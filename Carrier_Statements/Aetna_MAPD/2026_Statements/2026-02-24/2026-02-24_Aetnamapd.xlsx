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2-24-26\"/>
    </mc:Choice>
  </mc:AlternateContent>
  <xr:revisionPtr revIDLastSave="0" documentId="13_ncr:1_{B1B3E81F-C298-4E93-B638-2393BBDD5B33}" xr6:coauthVersionLast="47" xr6:coauthVersionMax="47" xr10:uidLastSave="{00000000-0000-0000-0000-000000000000}"/>
  <bookViews>
    <workbookView xWindow="-120" yWindow="-120" windowWidth="29040" windowHeight="16440" activeTab="1" xr2:uid="{87A70C75-3B2A-4C1B-BB0B-1A1FAF209962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31" i="2"/>
  <c r="E4" i="2"/>
  <c r="E32" i="2"/>
  <c r="E5" i="2"/>
  <c r="E33" i="2"/>
  <c r="E6" i="2"/>
  <c r="E34" i="2"/>
  <c r="E7" i="2"/>
  <c r="E22" i="2"/>
  <c r="E35" i="2"/>
  <c r="E8" i="2"/>
  <c r="E36" i="2"/>
  <c r="E9" i="2"/>
  <c r="E37" i="2"/>
  <c r="E16" i="2"/>
  <c r="E17" i="2"/>
  <c r="E23" i="2"/>
  <c r="E24" i="2"/>
  <c r="E25" i="2"/>
  <c r="E18" i="2"/>
  <c r="E19" i="2"/>
  <c r="E26" i="2"/>
  <c r="E27" i="2"/>
  <c r="E20" i="2"/>
  <c r="E28" i="2"/>
  <c r="E38" i="2"/>
  <c r="E39" i="2"/>
  <c r="E40" i="2"/>
  <c r="E29" i="2"/>
  <c r="E10" i="2"/>
  <c r="E41" i="2"/>
  <c r="E42" i="2"/>
  <c r="E11" i="2"/>
  <c r="E12" i="2"/>
  <c r="E13" i="2"/>
  <c r="E14" i="2"/>
  <c r="E43" i="2"/>
  <c r="E44" i="2"/>
  <c r="E45" i="2"/>
  <c r="E46" i="2"/>
  <c r="E47" i="2"/>
  <c r="E21" i="2"/>
  <c r="E30" i="2"/>
  <c r="E48" i="2"/>
  <c r="E15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2" i="2"/>
  <c r="B52" i="2" l="1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51" i="2"/>
  <c r="B47" i="2"/>
  <c r="B50" i="2"/>
  <c r="B40" i="2"/>
  <c r="B42" i="2"/>
  <c r="B48" i="2"/>
  <c r="B33" i="2"/>
  <c r="B46" i="2"/>
  <c r="B32" i="2"/>
  <c r="B34" i="2"/>
  <c r="B36" i="2"/>
  <c r="B45" i="2"/>
  <c r="B31" i="2"/>
  <c r="B44" i="2"/>
  <c r="B41" i="2"/>
  <c r="B35" i="2"/>
  <c r="B37" i="2"/>
  <c r="B43" i="2"/>
  <c r="B39" i="2"/>
  <c r="B49" i="2"/>
  <c r="B38" i="2"/>
  <c r="B25" i="2"/>
  <c r="B22" i="2"/>
  <c r="B29" i="2"/>
  <c r="B24" i="2"/>
  <c r="B28" i="2"/>
  <c r="B30" i="2"/>
  <c r="B23" i="2"/>
  <c r="B27" i="2"/>
  <c r="B26" i="2"/>
  <c r="B21" i="2"/>
  <c r="B17" i="2"/>
  <c r="B20" i="2"/>
  <c r="B16" i="2"/>
  <c r="B19" i="2"/>
  <c r="B18" i="2"/>
  <c r="B4" i="2"/>
  <c r="B6" i="2"/>
  <c r="B8" i="2"/>
  <c r="B14" i="2"/>
  <c r="B13" i="2"/>
  <c r="B3" i="2"/>
  <c r="B7" i="2"/>
  <c r="B9" i="2"/>
  <c r="B5" i="2"/>
  <c r="B12" i="2"/>
  <c r="B11" i="2"/>
  <c r="B10" i="2"/>
  <c r="B15" i="2"/>
  <c r="B2" i="2"/>
  <c r="R91" i="2"/>
  <c r="R10" i="2"/>
  <c r="R74" i="2"/>
  <c r="R33" i="2"/>
  <c r="R73" i="2"/>
  <c r="R46" i="2"/>
  <c r="R71" i="2"/>
  <c r="R28" i="2"/>
  <c r="R59" i="2"/>
  <c r="R43" i="2"/>
  <c r="R26" i="2"/>
  <c r="R55" i="2"/>
</calcChain>
</file>

<file path=xl/sharedStrings.xml><?xml version="1.0" encoding="utf-8"?>
<sst xmlns="http://schemas.openxmlformats.org/spreadsheetml/2006/main" count="1824" uniqueCount="298">
  <si>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</si>
  <si>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</si>
  <si>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</si>
  <si>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</si>
  <si>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</si>
  <si>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</si>
  <si>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</si>
  <si>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</si>
  <si>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</si>
  <si>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</si>
  <si>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</si>
  <si>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</si>
  <si>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</si>
  <si>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</si>
  <si>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</si>
  <si>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</si>
  <si>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</si>
  <si>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</si>
  <si>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</si>
  <si>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</si>
  <si>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</si>
  <si>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</si>
  <si>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</si>
  <si>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</si>
  <si>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6NP8GC6GF34</t>
  </si>
  <si>
    <t>NG102265013400</t>
  </si>
  <si>
    <t>AUGUSTINE J,ALLEN</t>
  </si>
  <si>
    <t>PA</t>
  </si>
  <si>
    <t>New Business</t>
  </si>
  <si>
    <t>MA</t>
  </si>
  <si>
    <t>IMM608</t>
  </si>
  <si>
    <t>H3959-041</t>
  </si>
  <si>
    <t>LOA</t>
  </si>
  <si>
    <t>Powers, Timothy</t>
  </si>
  <si>
    <t>MMO</t>
  </si>
  <si>
    <t>Main Line Benefits LLC</t>
  </si>
  <si>
    <t xml:space="preserve">N  </t>
  </si>
  <si>
    <t>4D47VN9DV59</t>
  </si>
  <si>
    <t>NG102258640900</t>
  </si>
  <si>
    <t>BORLAND G,DANNY</t>
  </si>
  <si>
    <t>IL</t>
  </si>
  <si>
    <t>CMS Trueup</t>
  </si>
  <si>
    <t>MAPD</t>
  </si>
  <si>
    <t>IMM619</t>
  </si>
  <si>
    <t>H7301-027</t>
  </si>
  <si>
    <t>Sherman, Matthew</t>
  </si>
  <si>
    <t xml:space="preserve">Y  </t>
  </si>
  <si>
    <t>CMS Trueup reversal</t>
  </si>
  <si>
    <t>2T11V02DH16</t>
  </si>
  <si>
    <t>NG102259399800</t>
  </si>
  <si>
    <t>BRALLIER B,RONALD</t>
  </si>
  <si>
    <t>H5522-005</t>
  </si>
  <si>
    <t>Luse, Alison</t>
  </si>
  <si>
    <t>6QK1PT8JP08</t>
  </si>
  <si>
    <t>NG102259407200</t>
  </si>
  <si>
    <t>BRALLIER E,ROBIN</t>
  </si>
  <si>
    <t>5XJ0EM1EK14</t>
  </si>
  <si>
    <t>NG102257499500</t>
  </si>
  <si>
    <t>BURTNER L,SANDRA</t>
  </si>
  <si>
    <t>H3959-002</t>
  </si>
  <si>
    <t>7TF0D84KN13</t>
  </si>
  <si>
    <t>NG102243360500</t>
  </si>
  <si>
    <t>CADDY,DAVID</t>
  </si>
  <si>
    <t>FL</t>
  </si>
  <si>
    <t>Voluntarily Rapid Disenroll</t>
  </si>
  <si>
    <t>IMM604</t>
  </si>
  <si>
    <t>H5521-433</t>
  </si>
  <si>
    <t>Berg, Ines</t>
  </si>
  <si>
    <t>7QM2PE3TK06</t>
  </si>
  <si>
    <t>NG102233313600</t>
  </si>
  <si>
    <t>CHANTHANALAY M,PHETSAMONE</t>
  </si>
  <si>
    <t>IMM606</t>
  </si>
  <si>
    <t>H5521-086</t>
  </si>
  <si>
    <t>THANADABOUTH, PATSAMON</t>
  </si>
  <si>
    <t>7XY3YK4GJ05</t>
  </si>
  <si>
    <t>NG102202551200</t>
  </si>
  <si>
    <t>CHRISTMAS D,COURTNEY</t>
  </si>
  <si>
    <t>GA</t>
  </si>
  <si>
    <t>IMM605</t>
  </si>
  <si>
    <t>H1608-109</t>
  </si>
  <si>
    <t>AG4</t>
  </si>
  <si>
    <t>Fredriksz, Buffy</t>
  </si>
  <si>
    <t>4WF2RQ6YG08</t>
  </si>
  <si>
    <t>NG102265340700</t>
  </si>
  <si>
    <t>DI STEFANO R,RICHARD</t>
  </si>
  <si>
    <t>H3959-052</t>
  </si>
  <si>
    <t>Roccia, Mark</t>
  </si>
  <si>
    <t>9U08DW1EN59</t>
  </si>
  <si>
    <t>NG102260854400</t>
  </si>
  <si>
    <t>DOLLIN,MATTHEW</t>
  </si>
  <si>
    <t>H3959-011</t>
  </si>
  <si>
    <t>1W20N81WT15</t>
  </si>
  <si>
    <t>NG102265310800</t>
  </si>
  <si>
    <t>DUNN F,KATHLEEN</t>
  </si>
  <si>
    <t>OH</t>
  </si>
  <si>
    <t>IMM617</t>
  </si>
  <si>
    <t>H0628-013</t>
  </si>
  <si>
    <t>Shepard, Jill</t>
  </si>
  <si>
    <t>1HV9XT2AE10</t>
  </si>
  <si>
    <t>NG102261961300</t>
  </si>
  <si>
    <t>ECKERT J,MARTHA</t>
  </si>
  <si>
    <t>H7301-009</t>
  </si>
  <si>
    <t>Deaton, Pamela</t>
  </si>
  <si>
    <t>8QX9YQ0AF11</t>
  </si>
  <si>
    <t>NG102201932000</t>
  </si>
  <si>
    <t>ELLENBARGER S,NEWTON</t>
  </si>
  <si>
    <t>OK</t>
  </si>
  <si>
    <t>IMM618</t>
  </si>
  <si>
    <t>H3288-051</t>
  </si>
  <si>
    <t>Pardue Thomas</t>
  </si>
  <si>
    <t>8NU6CM9VN44</t>
  </si>
  <si>
    <t>NG102264404800</t>
  </si>
  <si>
    <t>GODFREY L,KAREN</t>
  </si>
  <si>
    <t>Foley, Carol</t>
  </si>
  <si>
    <t>4Q82TY8NQ00</t>
  </si>
  <si>
    <t>NG102261995100</t>
  </si>
  <si>
    <t>HANSON R,MICHAEL</t>
  </si>
  <si>
    <t>H7301-033</t>
  </si>
  <si>
    <t>Hodgman, Timothy</t>
  </si>
  <si>
    <t>9T50J05YY13</t>
  </si>
  <si>
    <t>MEQNPDZM00001566197</t>
  </si>
  <si>
    <t>HARPER,ORA</t>
  </si>
  <si>
    <t>H9771-001</t>
  </si>
  <si>
    <t>Portugal, Gary</t>
  </si>
  <si>
    <t>6XK4K85TK95</t>
  </si>
  <si>
    <t>NG101982874100</t>
  </si>
  <si>
    <t>HARRIS Y,BRENDA</t>
  </si>
  <si>
    <t>H7301-032</t>
  </si>
  <si>
    <t>8H72JH1YW12</t>
  </si>
  <si>
    <t>NG102261632000</t>
  </si>
  <si>
    <t>HAWRYLIAK S,FRANK</t>
  </si>
  <si>
    <t>4U90Y35GE31</t>
  </si>
  <si>
    <t>NG102262310700</t>
  </si>
  <si>
    <t>HORNYAK L,JOHN</t>
  </si>
  <si>
    <t>DE</t>
  </si>
  <si>
    <t>H3959-055</t>
  </si>
  <si>
    <t>7HQ4YD4MN91</t>
  </si>
  <si>
    <t>NG102250781600</t>
  </si>
  <si>
    <t>JACKSON M,BRENDA</t>
  </si>
  <si>
    <t>TX</t>
  </si>
  <si>
    <t>H3288-002</t>
  </si>
  <si>
    <t>Weitzman, Kenneth</t>
  </si>
  <si>
    <t>6KR3UC9MQ94</t>
  </si>
  <si>
    <t>NG102265356000</t>
  </si>
  <si>
    <t>KOHLMYER L,CAROL</t>
  </si>
  <si>
    <t>H5522-001</t>
  </si>
  <si>
    <t>Inskipt, Deborah</t>
  </si>
  <si>
    <t>5JM0YA6EY27</t>
  </si>
  <si>
    <t>NG102261103900</t>
  </si>
  <si>
    <t>LANE W,KEVIN</t>
  </si>
  <si>
    <t>9N10CY8VF44</t>
  </si>
  <si>
    <t>NG101381629500</t>
  </si>
  <si>
    <t>LAPINSKAS A,MARY</t>
  </si>
  <si>
    <t>Yale, Jacob</t>
  </si>
  <si>
    <t>9TG5GC9FT78</t>
  </si>
  <si>
    <t>NG102259416600</t>
  </si>
  <si>
    <t>MACHOR A,THOMAS</t>
  </si>
  <si>
    <t>PRONEW</t>
  </si>
  <si>
    <t>H0628-036</t>
  </si>
  <si>
    <t>7RX8MM3MU22</t>
  </si>
  <si>
    <t>NG102257274900</t>
  </si>
  <si>
    <t>MANKO W,DAVID</t>
  </si>
  <si>
    <t>McCorkle, Michelle</t>
  </si>
  <si>
    <t>9FQ1Q07VG96</t>
  </si>
  <si>
    <t>NG102259307900</t>
  </si>
  <si>
    <t>MOORE B,JOYCE</t>
  </si>
  <si>
    <t>H7301-007</t>
  </si>
  <si>
    <t>4TM9XJ5GP19</t>
  </si>
  <si>
    <t>NG102261469100</t>
  </si>
  <si>
    <t>NANCE J,BEA</t>
  </si>
  <si>
    <t>3NF5V01PV89</t>
  </si>
  <si>
    <t>NG102258019000</t>
  </si>
  <si>
    <t>NEAL B,MOLLY</t>
  </si>
  <si>
    <t>1GX4MQ8PP70</t>
  </si>
  <si>
    <t>NG102258436500</t>
  </si>
  <si>
    <t>NEAL E,DAVID</t>
  </si>
  <si>
    <t>OH9999999</t>
  </si>
  <si>
    <t>ME0000OH</t>
  </si>
  <si>
    <t>OHIO, JANE</t>
  </si>
  <si>
    <t>HRA</t>
  </si>
  <si>
    <t>PPO</t>
  </si>
  <si>
    <t>H5521-087</t>
  </si>
  <si>
    <t>HRA/T126004122726A/18142208/DUNN_KATHLEEN</t>
  </si>
  <si>
    <t>MAIN LINE BENEFITS LLC</t>
  </si>
  <si>
    <t>N/A</t>
  </si>
  <si>
    <t>2FK2U53GK15</t>
  </si>
  <si>
    <t>NG102259605300</t>
  </si>
  <si>
    <t>PIOTROWSKI,ROBIN</t>
  </si>
  <si>
    <t>8FY3H56EG02</t>
  </si>
  <si>
    <t>NG102259346100</t>
  </si>
  <si>
    <t>POLLARD L,JOHN</t>
  </si>
  <si>
    <t>H2663-017</t>
  </si>
  <si>
    <t>HANSFORD, GREGORY</t>
  </si>
  <si>
    <t>8FE4UJ7NW09</t>
  </si>
  <si>
    <t>NG102264248700</t>
  </si>
  <si>
    <t>RAY S,WILMA</t>
  </si>
  <si>
    <t>Teipel, Gregory</t>
  </si>
  <si>
    <t>9DH4HA6UV91</t>
  </si>
  <si>
    <t>NG102264457200</t>
  </si>
  <si>
    <t>SHULMAN,MIRIAM</t>
  </si>
  <si>
    <t>H7301-013</t>
  </si>
  <si>
    <t>Shulman, Jake</t>
  </si>
  <si>
    <t>7PX3J74YQ09</t>
  </si>
  <si>
    <t>NG102259315500</t>
  </si>
  <si>
    <t>THOMAS J,TAMMY</t>
  </si>
  <si>
    <t>DUNAVANT, MICHAEL</t>
  </si>
  <si>
    <t>5N01QD7XX07</t>
  </si>
  <si>
    <t>NG102259025800</t>
  </si>
  <si>
    <t>ULERY D,SCOTT</t>
  </si>
  <si>
    <t>H0628-017</t>
  </si>
  <si>
    <t>BRANDT, STEVEN</t>
  </si>
  <si>
    <t>6DY4D65HA50</t>
  </si>
  <si>
    <t>NG102259889900</t>
  </si>
  <si>
    <t>WILLIAMS A,RICHARD</t>
  </si>
  <si>
    <t>H5522-022</t>
  </si>
  <si>
    <t>Stocker, Ryan</t>
  </si>
  <si>
    <t>Total Payee Amount: $41613.31</t>
  </si>
  <si>
    <t>[%/$=694]</t>
  </si>
  <si>
    <t>Aetna 2026</t>
  </si>
  <si>
    <t>Aetna MAPD OVR 2026</t>
  </si>
  <si>
    <t>Aetna MAPD 2026*</t>
  </si>
  <si>
    <t>[%/$=347][prorate=12/12]</t>
  </si>
  <si>
    <t>Aetna 2026 CT, PA, DC *</t>
  </si>
  <si>
    <t>[%/$=391][prorate=11/12]</t>
  </si>
  <si>
    <t>[%/$=347][prorate=11/12]</t>
  </si>
  <si>
    <t>[%/$=391][prorate=10/12]</t>
  </si>
  <si>
    <t>[%/$=347][prorate=10/12]</t>
  </si>
  <si>
    <t>[%/$=347][prorate=9/12]</t>
  </si>
  <si>
    <t>[%/$=694][prorate=11/12]</t>
  </si>
  <si>
    <t>Aetna 2026 CT, PA, DC</t>
  </si>
  <si>
    <t>[%/$=781]</t>
  </si>
  <si>
    <t>Main Line Benefits</t>
  </si>
  <si>
    <t>17528908N</t>
  </si>
  <si>
    <t>9254978N</t>
  </si>
  <si>
    <t>18710070N</t>
  </si>
  <si>
    <t>CADDY</t>
  </si>
  <si>
    <t>DAVID</t>
  </si>
  <si>
    <t>NANCE</t>
  </si>
  <si>
    <t>BEA</t>
  </si>
  <si>
    <t>ULERY</t>
  </si>
  <si>
    <t>SCOTT</t>
  </si>
  <si>
    <t>ECKERT</t>
  </si>
  <si>
    <t>MARTHA</t>
  </si>
  <si>
    <t>THOMAS</t>
  </si>
  <si>
    <t>TAMMY</t>
  </si>
  <si>
    <t>HORNYAK</t>
  </si>
  <si>
    <t>JOHN</t>
  </si>
  <si>
    <t>GODFREY</t>
  </si>
  <si>
    <t>KAREN</t>
  </si>
  <si>
    <t>POLLARD</t>
  </si>
  <si>
    <t>HANSON</t>
  </si>
  <si>
    <t>MICHAEL</t>
  </si>
  <si>
    <t>LANE</t>
  </si>
  <si>
    <t>KEVIN</t>
  </si>
  <si>
    <t>PIOTROWSKI</t>
  </si>
  <si>
    <t>ROBIN</t>
  </si>
  <si>
    <t>KOHLMYER</t>
  </si>
  <si>
    <t>CAROL</t>
  </si>
  <si>
    <t>BRALLIER</t>
  </si>
  <si>
    <t>RONALD</t>
  </si>
  <si>
    <t>MANKO</t>
  </si>
  <si>
    <t>ELLENBARGER</t>
  </si>
  <si>
    <t>NEWTON</t>
  </si>
  <si>
    <t>HARRIS</t>
  </si>
  <si>
    <t>BRENDA</t>
  </si>
  <si>
    <t>HARPER</t>
  </si>
  <si>
    <t>ORA</t>
  </si>
  <si>
    <t>RICHARD</t>
  </si>
  <si>
    <t>MACHOR</t>
  </si>
  <si>
    <t>DUNN</t>
  </si>
  <si>
    <t>KATHLEEN</t>
  </si>
  <si>
    <t>MOORE</t>
  </si>
  <si>
    <t>JOYCE</t>
  </si>
  <si>
    <t>BORLAND</t>
  </si>
  <si>
    <t>DANNY</t>
  </si>
  <si>
    <t>NEAL</t>
  </si>
  <si>
    <t>MOLLY</t>
  </si>
  <si>
    <t>SHULMAN</t>
  </si>
  <si>
    <t>MIRIAM</t>
  </si>
  <si>
    <t>WILLIAMS</t>
  </si>
  <si>
    <t>RAY</t>
  </si>
  <si>
    <t>WILMA</t>
  </si>
  <si>
    <t>CHANTHANALAY</t>
  </si>
  <si>
    <t>PHETSAMONE</t>
  </si>
  <si>
    <t>JACKSON</t>
  </si>
  <si>
    <t>LAPINSKAS</t>
  </si>
  <si>
    <t>MARY</t>
  </si>
  <si>
    <t>CHRISTMAS</t>
  </si>
  <si>
    <t>COURTNEY</t>
  </si>
  <si>
    <t>DOLLIN</t>
  </si>
  <si>
    <t>MATTHEW</t>
  </si>
  <si>
    <t>BURTNER</t>
  </si>
  <si>
    <t>SANDRA</t>
  </si>
  <si>
    <t>HAWRYLIAK</t>
  </si>
  <si>
    <t>FRANK</t>
  </si>
  <si>
    <t>AUGUSTINE</t>
  </si>
  <si>
    <t>ALLEN</t>
  </si>
  <si>
    <t>DI 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</si>
</sst>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8452-C096-4C24-88EA-0E7B8D2036DA}">
  <dimension ref="A1:X1343"/>
  <sheetViews>
    <sheetView topLeftCell="H28" workbookViewId="0">
      <selection activeCell="K48" sqref="K48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23.28515625" bestFit="1" customWidth="1"/>
    <col min="4" max="4" width="17.42578125" bestFit="1" customWidth="1"/>
    <col min="5" max="5" width="55.5703125" bestFit="1" customWidth="1"/>
    <col min="6" max="6" width="13.7109375" bestFit="1" customWidth="1"/>
    <col min="7" max="7" width="28" bestFit="1" customWidth="1"/>
    <col min="8" max="8" width="7.85546875" bestFit="1" customWidth="1"/>
    <col min="9" max="9" width="8" bestFit="1" customWidth="1"/>
    <col min="10" max="10" width="10" bestFit="1" customWidth="1"/>
    <col min="11" max="11" width="46.2851562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46077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46143</v>
      </c>
      <c r="M2" s="1">
        <v>46143</v>
      </c>
      <c r="O2">
        <v>17886092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43.34</v>
      </c>
      <c r="V2" t="s">
        <v>36</v>
      </c>
      <c r="W2" s="1">
        <v>46062</v>
      </c>
      <c r="X2">
        <v>2026</v>
      </c>
    </row>
    <row r="3" spans="1:24" x14ac:dyDescent="0.25">
      <c r="A3" s="1">
        <v>46077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L3" s="1">
        <v>46054</v>
      </c>
      <c r="M3" s="1">
        <v>46054</v>
      </c>
      <c r="O3">
        <v>8812322</v>
      </c>
      <c r="P3" t="s">
        <v>32</v>
      </c>
      <c r="Q3" t="s">
        <v>45</v>
      </c>
      <c r="R3">
        <v>8192</v>
      </c>
      <c r="S3" t="s">
        <v>34</v>
      </c>
      <c r="T3" t="s">
        <v>35</v>
      </c>
      <c r="U3">
        <v>844</v>
      </c>
      <c r="V3" t="s">
        <v>46</v>
      </c>
      <c r="W3" s="1">
        <v>46031</v>
      </c>
      <c r="X3">
        <v>2026</v>
      </c>
    </row>
    <row r="4" spans="1:24" x14ac:dyDescent="0.25">
      <c r="A4" s="1">
        <v>46077</v>
      </c>
      <c r="B4" t="s">
        <v>37</v>
      </c>
      <c r="C4" t="s">
        <v>38</v>
      </c>
      <c r="E4" t="s">
        <v>39</v>
      </c>
      <c r="F4" t="s">
        <v>40</v>
      </c>
      <c r="G4" t="s">
        <v>47</v>
      </c>
      <c r="H4" t="s">
        <v>42</v>
      </c>
      <c r="I4" t="s">
        <v>43</v>
      </c>
      <c r="J4" t="s">
        <v>44</v>
      </c>
      <c r="L4" s="1">
        <v>46054</v>
      </c>
      <c r="M4" s="1">
        <v>46054</v>
      </c>
      <c r="O4">
        <v>8812322</v>
      </c>
      <c r="P4" t="s">
        <v>32</v>
      </c>
      <c r="Q4" t="s">
        <v>45</v>
      </c>
      <c r="R4">
        <v>8192</v>
      </c>
      <c r="S4" t="s">
        <v>34</v>
      </c>
      <c r="T4" t="s">
        <v>35</v>
      </c>
      <c r="U4">
        <v>-455.58</v>
      </c>
      <c r="V4" t="s">
        <v>36</v>
      </c>
      <c r="W4" s="1">
        <v>46031</v>
      </c>
      <c r="X4">
        <v>2026</v>
      </c>
    </row>
    <row r="5" spans="1:24" x14ac:dyDescent="0.25">
      <c r="A5" s="1">
        <v>46077</v>
      </c>
      <c r="B5" t="s">
        <v>48</v>
      </c>
      <c r="C5" t="s">
        <v>49</v>
      </c>
      <c r="E5" t="s">
        <v>50</v>
      </c>
      <c r="F5" t="s">
        <v>27</v>
      </c>
      <c r="G5" t="s">
        <v>41</v>
      </c>
      <c r="H5" t="s">
        <v>42</v>
      </c>
      <c r="I5" t="s">
        <v>30</v>
      </c>
      <c r="J5" t="s">
        <v>51</v>
      </c>
      <c r="L5" s="1">
        <v>46054</v>
      </c>
      <c r="M5" s="1">
        <v>46054</v>
      </c>
      <c r="O5">
        <v>9254978</v>
      </c>
      <c r="P5" t="s">
        <v>32</v>
      </c>
      <c r="Q5" t="s">
        <v>52</v>
      </c>
      <c r="R5">
        <v>8192</v>
      </c>
      <c r="S5" t="s">
        <v>34</v>
      </c>
      <c r="T5" t="s">
        <v>35</v>
      </c>
      <c r="U5">
        <v>931</v>
      </c>
      <c r="V5" t="s">
        <v>46</v>
      </c>
      <c r="W5" s="1">
        <v>46035</v>
      </c>
      <c r="X5">
        <v>2026</v>
      </c>
    </row>
    <row r="6" spans="1:24" x14ac:dyDescent="0.25">
      <c r="A6" s="1">
        <v>46077</v>
      </c>
      <c r="B6" t="s">
        <v>48</v>
      </c>
      <c r="C6" t="s">
        <v>49</v>
      </c>
      <c r="E6" t="s">
        <v>50</v>
      </c>
      <c r="F6" t="s">
        <v>27</v>
      </c>
      <c r="G6" t="s">
        <v>47</v>
      </c>
      <c r="H6" t="s">
        <v>42</v>
      </c>
      <c r="I6" t="s">
        <v>30</v>
      </c>
      <c r="J6" t="s">
        <v>51</v>
      </c>
      <c r="L6" s="1">
        <v>46054</v>
      </c>
      <c r="M6" s="1">
        <v>46054</v>
      </c>
      <c r="O6">
        <v>9254978</v>
      </c>
      <c r="P6" t="s">
        <v>32</v>
      </c>
      <c r="Q6" t="s">
        <v>52</v>
      </c>
      <c r="R6">
        <v>8192</v>
      </c>
      <c r="S6" t="s">
        <v>34</v>
      </c>
      <c r="T6" t="s">
        <v>35</v>
      </c>
      <c r="U6">
        <v>-495.92</v>
      </c>
      <c r="V6" t="s">
        <v>36</v>
      </c>
      <c r="W6" s="1">
        <v>46035</v>
      </c>
      <c r="X6">
        <v>2026</v>
      </c>
    </row>
    <row r="7" spans="1:24" x14ac:dyDescent="0.25">
      <c r="A7" s="1">
        <v>46077</v>
      </c>
      <c r="B7" t="s">
        <v>53</v>
      </c>
      <c r="C7" t="s">
        <v>54</v>
      </c>
      <c r="E7" t="s">
        <v>55</v>
      </c>
      <c r="F7" t="s">
        <v>27</v>
      </c>
      <c r="G7" t="s">
        <v>41</v>
      </c>
      <c r="H7" t="s">
        <v>42</v>
      </c>
      <c r="I7" t="s">
        <v>30</v>
      </c>
      <c r="J7" t="s">
        <v>51</v>
      </c>
      <c r="L7" s="1">
        <v>46054</v>
      </c>
      <c r="M7" s="1">
        <v>46054</v>
      </c>
      <c r="O7">
        <v>9254978</v>
      </c>
      <c r="P7" t="s">
        <v>32</v>
      </c>
      <c r="Q7" t="s">
        <v>52</v>
      </c>
      <c r="R7">
        <v>8192</v>
      </c>
      <c r="S7" t="s">
        <v>34</v>
      </c>
      <c r="T7" t="s">
        <v>35</v>
      </c>
      <c r="U7">
        <v>931</v>
      </c>
      <c r="V7" t="s">
        <v>46</v>
      </c>
      <c r="W7" s="1">
        <v>46035</v>
      </c>
      <c r="X7">
        <v>2026</v>
      </c>
    </row>
    <row r="8" spans="1:24" x14ac:dyDescent="0.25">
      <c r="A8" s="1">
        <v>46077</v>
      </c>
      <c r="B8" t="s">
        <v>53</v>
      </c>
      <c r="C8" t="s">
        <v>54</v>
      </c>
      <c r="E8" t="s">
        <v>55</v>
      </c>
      <c r="F8" t="s">
        <v>27</v>
      </c>
      <c r="G8" t="s">
        <v>47</v>
      </c>
      <c r="H8" t="s">
        <v>42</v>
      </c>
      <c r="I8" t="s">
        <v>30</v>
      </c>
      <c r="J8" t="s">
        <v>51</v>
      </c>
      <c r="L8" s="1">
        <v>46054</v>
      </c>
      <c r="M8" s="1">
        <v>46054</v>
      </c>
      <c r="O8">
        <v>9254978</v>
      </c>
      <c r="P8" t="s">
        <v>32</v>
      </c>
      <c r="Q8" t="s">
        <v>52</v>
      </c>
      <c r="R8">
        <v>8192</v>
      </c>
      <c r="S8" t="s">
        <v>34</v>
      </c>
      <c r="T8" t="s">
        <v>35</v>
      </c>
      <c r="U8">
        <v>-495.92</v>
      </c>
      <c r="V8" t="s">
        <v>36</v>
      </c>
      <c r="W8" s="1">
        <v>46035</v>
      </c>
      <c r="X8">
        <v>2026</v>
      </c>
    </row>
    <row r="9" spans="1:24" x14ac:dyDescent="0.25">
      <c r="A9" s="1">
        <v>46077</v>
      </c>
      <c r="B9" t="s">
        <v>56</v>
      </c>
      <c r="C9" t="s">
        <v>57</v>
      </c>
      <c r="E9" t="s">
        <v>58</v>
      </c>
      <c r="F9" t="s">
        <v>27</v>
      </c>
      <c r="G9" t="s">
        <v>41</v>
      </c>
      <c r="H9" t="s">
        <v>42</v>
      </c>
      <c r="I9" t="s">
        <v>30</v>
      </c>
      <c r="J9" t="s">
        <v>59</v>
      </c>
      <c r="L9" s="1">
        <v>46082</v>
      </c>
      <c r="M9" s="1">
        <v>46082</v>
      </c>
      <c r="O9">
        <v>17886092</v>
      </c>
      <c r="P9" t="s">
        <v>32</v>
      </c>
      <c r="Q9" t="s">
        <v>33</v>
      </c>
      <c r="R9">
        <v>8192</v>
      </c>
      <c r="S9" t="s">
        <v>34</v>
      </c>
      <c r="T9" t="s">
        <v>35</v>
      </c>
      <c r="U9">
        <v>65</v>
      </c>
      <c r="V9" t="s">
        <v>46</v>
      </c>
      <c r="W9" s="1">
        <v>46027</v>
      </c>
      <c r="X9">
        <v>2026</v>
      </c>
    </row>
    <row r="10" spans="1:24" x14ac:dyDescent="0.25">
      <c r="A10" s="1">
        <v>46077</v>
      </c>
      <c r="B10" t="s">
        <v>56</v>
      </c>
      <c r="C10" t="s">
        <v>57</v>
      </c>
      <c r="E10" t="s">
        <v>58</v>
      </c>
      <c r="F10" t="s">
        <v>27</v>
      </c>
      <c r="G10" t="s">
        <v>47</v>
      </c>
      <c r="H10" t="s">
        <v>42</v>
      </c>
      <c r="I10" t="s">
        <v>30</v>
      </c>
      <c r="J10" t="s">
        <v>59</v>
      </c>
      <c r="L10" s="1">
        <v>46082</v>
      </c>
      <c r="M10" s="1">
        <v>46082</v>
      </c>
      <c r="O10">
        <v>17886092</v>
      </c>
      <c r="P10" t="s">
        <v>32</v>
      </c>
      <c r="Q10" t="s">
        <v>33</v>
      </c>
      <c r="R10">
        <v>8192</v>
      </c>
      <c r="S10" t="s">
        <v>34</v>
      </c>
      <c r="T10" t="s">
        <v>35</v>
      </c>
      <c r="U10">
        <v>-54.16</v>
      </c>
      <c r="V10" t="s">
        <v>36</v>
      </c>
      <c r="W10" s="1">
        <v>46027</v>
      </c>
      <c r="X10">
        <v>2026</v>
      </c>
    </row>
    <row r="11" spans="1:24" x14ac:dyDescent="0.25">
      <c r="A11" s="1">
        <v>46077</v>
      </c>
      <c r="B11" t="s">
        <v>60</v>
      </c>
      <c r="C11" t="s">
        <v>61</v>
      </c>
      <c r="E11" t="s">
        <v>62</v>
      </c>
      <c r="F11" t="s">
        <v>63</v>
      </c>
      <c r="G11" t="s">
        <v>64</v>
      </c>
      <c r="H11" t="s">
        <v>42</v>
      </c>
      <c r="I11" t="s">
        <v>65</v>
      </c>
      <c r="J11" t="s">
        <v>66</v>
      </c>
      <c r="L11" s="1">
        <v>46023</v>
      </c>
      <c r="M11" s="1">
        <v>46023</v>
      </c>
      <c r="N11" s="1">
        <v>46081</v>
      </c>
      <c r="O11">
        <v>17117649</v>
      </c>
      <c r="P11" t="s">
        <v>32</v>
      </c>
      <c r="Q11" t="s">
        <v>67</v>
      </c>
      <c r="R11">
        <v>8192</v>
      </c>
      <c r="S11" t="s">
        <v>34</v>
      </c>
      <c r="T11" t="s">
        <v>35</v>
      </c>
      <c r="U11">
        <v>-844</v>
      </c>
      <c r="V11" t="s">
        <v>46</v>
      </c>
      <c r="W11" s="1">
        <v>45993</v>
      </c>
      <c r="X11">
        <v>2026</v>
      </c>
    </row>
    <row r="12" spans="1:24" x14ac:dyDescent="0.25">
      <c r="A12" s="1">
        <v>46077</v>
      </c>
      <c r="B12" t="s">
        <v>68</v>
      </c>
      <c r="C12" t="s">
        <v>69</v>
      </c>
      <c r="E12" t="s">
        <v>70</v>
      </c>
      <c r="F12" t="s">
        <v>40</v>
      </c>
      <c r="G12" t="s">
        <v>64</v>
      </c>
      <c r="H12" t="s">
        <v>42</v>
      </c>
      <c r="I12" t="s">
        <v>71</v>
      </c>
      <c r="J12" t="s">
        <v>72</v>
      </c>
      <c r="L12" s="1">
        <v>46023</v>
      </c>
      <c r="M12" s="1">
        <v>46023</v>
      </c>
      <c r="N12" s="1">
        <v>46081</v>
      </c>
      <c r="O12">
        <v>8405446</v>
      </c>
      <c r="P12" t="s">
        <v>32</v>
      </c>
      <c r="Q12" t="s">
        <v>73</v>
      </c>
      <c r="R12">
        <v>8192</v>
      </c>
      <c r="S12" t="s">
        <v>34</v>
      </c>
      <c r="T12" t="s">
        <v>35</v>
      </c>
      <c r="U12">
        <v>-844</v>
      </c>
      <c r="V12" t="s">
        <v>46</v>
      </c>
      <c r="W12" s="1">
        <v>45983</v>
      </c>
      <c r="X12">
        <v>2026</v>
      </c>
    </row>
    <row r="13" spans="1:24" x14ac:dyDescent="0.25">
      <c r="A13" s="1">
        <v>46077</v>
      </c>
      <c r="B13" t="s">
        <v>74</v>
      </c>
      <c r="C13" t="s">
        <v>75</v>
      </c>
      <c r="E13" t="s">
        <v>76</v>
      </c>
      <c r="F13" t="s">
        <v>77</v>
      </c>
      <c r="G13" t="s">
        <v>41</v>
      </c>
      <c r="H13" t="s">
        <v>42</v>
      </c>
      <c r="I13" t="s">
        <v>78</v>
      </c>
      <c r="J13" t="s">
        <v>79</v>
      </c>
      <c r="L13" s="1">
        <v>46023</v>
      </c>
      <c r="M13" s="1">
        <v>46023</v>
      </c>
      <c r="O13">
        <v>21496984</v>
      </c>
      <c r="P13" t="s">
        <v>80</v>
      </c>
      <c r="Q13" t="s">
        <v>81</v>
      </c>
      <c r="R13">
        <v>8192</v>
      </c>
      <c r="S13" t="s">
        <v>34</v>
      </c>
      <c r="T13" t="s">
        <v>35</v>
      </c>
      <c r="U13">
        <v>135</v>
      </c>
      <c r="V13" t="s">
        <v>46</v>
      </c>
      <c r="W13" s="1">
        <v>45947</v>
      </c>
      <c r="X13">
        <v>2026</v>
      </c>
    </row>
    <row r="14" spans="1:24" x14ac:dyDescent="0.25">
      <c r="A14" s="1">
        <v>46077</v>
      </c>
      <c r="B14" t="s">
        <v>74</v>
      </c>
      <c r="C14" t="s">
        <v>75</v>
      </c>
      <c r="E14" t="s">
        <v>76</v>
      </c>
      <c r="F14" t="s">
        <v>77</v>
      </c>
      <c r="G14" t="s">
        <v>47</v>
      </c>
      <c r="H14" t="s">
        <v>42</v>
      </c>
      <c r="I14" t="s">
        <v>78</v>
      </c>
      <c r="J14" t="s">
        <v>79</v>
      </c>
      <c r="L14" s="1">
        <v>46023</v>
      </c>
      <c r="M14" s="1">
        <v>46023</v>
      </c>
      <c r="O14">
        <v>21496984</v>
      </c>
      <c r="P14" t="s">
        <v>80</v>
      </c>
      <c r="Q14" t="s">
        <v>81</v>
      </c>
      <c r="R14">
        <v>8192</v>
      </c>
      <c r="S14" t="s">
        <v>34</v>
      </c>
      <c r="T14" t="s">
        <v>35</v>
      </c>
      <c r="U14">
        <v>-135</v>
      </c>
      <c r="V14" t="s">
        <v>36</v>
      </c>
      <c r="W14" s="1">
        <v>45947</v>
      </c>
      <c r="X14">
        <v>2026</v>
      </c>
    </row>
    <row r="15" spans="1:24" x14ac:dyDescent="0.25">
      <c r="A15" s="1">
        <v>46077</v>
      </c>
      <c r="B15" t="s">
        <v>82</v>
      </c>
      <c r="C15" t="s">
        <v>83</v>
      </c>
      <c r="E15" t="s">
        <v>84</v>
      </c>
      <c r="F15" t="s">
        <v>27</v>
      </c>
      <c r="G15" t="s">
        <v>28</v>
      </c>
      <c r="H15" t="s">
        <v>42</v>
      </c>
      <c r="I15" t="s">
        <v>30</v>
      </c>
      <c r="J15" t="s">
        <v>85</v>
      </c>
      <c r="L15" s="1">
        <v>46082</v>
      </c>
      <c r="M15" s="1">
        <v>46082</v>
      </c>
      <c r="O15">
        <v>21618313</v>
      </c>
      <c r="P15" t="s">
        <v>32</v>
      </c>
      <c r="Q15" t="s">
        <v>86</v>
      </c>
      <c r="R15">
        <v>8192</v>
      </c>
      <c r="S15" t="s">
        <v>34</v>
      </c>
      <c r="T15" t="s">
        <v>35</v>
      </c>
      <c r="U15">
        <v>450.83</v>
      </c>
      <c r="V15" t="s">
        <v>36</v>
      </c>
      <c r="W15" s="1">
        <v>46064</v>
      </c>
      <c r="X15">
        <v>2026</v>
      </c>
    </row>
    <row r="16" spans="1:24" x14ac:dyDescent="0.25">
      <c r="A16" s="1">
        <v>46077</v>
      </c>
      <c r="B16" t="s">
        <v>87</v>
      </c>
      <c r="C16" t="s">
        <v>88</v>
      </c>
      <c r="E16" t="s">
        <v>89</v>
      </c>
      <c r="F16" t="s">
        <v>27</v>
      </c>
      <c r="G16" t="s">
        <v>41</v>
      </c>
      <c r="H16" t="s">
        <v>42</v>
      </c>
      <c r="I16" t="s">
        <v>30</v>
      </c>
      <c r="J16" t="s">
        <v>90</v>
      </c>
      <c r="L16" s="1">
        <v>46054</v>
      </c>
      <c r="M16" s="1">
        <v>46054</v>
      </c>
      <c r="O16">
        <v>17886092</v>
      </c>
      <c r="P16" t="s">
        <v>32</v>
      </c>
      <c r="Q16" t="s">
        <v>33</v>
      </c>
      <c r="R16">
        <v>8192</v>
      </c>
      <c r="S16" t="s">
        <v>34</v>
      </c>
      <c r="T16" t="s">
        <v>35</v>
      </c>
      <c r="U16">
        <v>65</v>
      </c>
      <c r="V16" t="s">
        <v>46</v>
      </c>
      <c r="W16" s="1">
        <v>46042</v>
      </c>
      <c r="X16">
        <v>2026</v>
      </c>
    </row>
    <row r="17" spans="1:24" x14ac:dyDescent="0.25">
      <c r="A17" s="1">
        <v>46077</v>
      </c>
      <c r="B17" t="s">
        <v>87</v>
      </c>
      <c r="C17" t="s">
        <v>88</v>
      </c>
      <c r="E17" t="s">
        <v>89</v>
      </c>
      <c r="F17" t="s">
        <v>27</v>
      </c>
      <c r="G17" t="s">
        <v>47</v>
      </c>
      <c r="H17" t="s">
        <v>42</v>
      </c>
      <c r="I17" t="s">
        <v>30</v>
      </c>
      <c r="J17" t="s">
        <v>90</v>
      </c>
      <c r="L17" s="1">
        <v>46054</v>
      </c>
      <c r="M17" s="1">
        <v>46054</v>
      </c>
      <c r="O17">
        <v>17886092</v>
      </c>
      <c r="P17" t="s">
        <v>32</v>
      </c>
      <c r="Q17" t="s">
        <v>33</v>
      </c>
      <c r="R17">
        <v>8192</v>
      </c>
      <c r="S17" t="s">
        <v>34</v>
      </c>
      <c r="T17" t="s">
        <v>35</v>
      </c>
      <c r="U17">
        <v>-59.59</v>
      </c>
      <c r="V17" t="s">
        <v>36</v>
      </c>
      <c r="W17" s="1">
        <v>46042</v>
      </c>
      <c r="X17">
        <v>2026</v>
      </c>
    </row>
    <row r="18" spans="1:24" x14ac:dyDescent="0.25">
      <c r="A18" s="1">
        <v>46077</v>
      </c>
      <c r="B18" t="s">
        <v>91</v>
      </c>
      <c r="C18" t="s">
        <v>92</v>
      </c>
      <c r="E18" t="s">
        <v>93</v>
      </c>
      <c r="F18" t="s">
        <v>94</v>
      </c>
      <c r="G18" t="s">
        <v>28</v>
      </c>
      <c r="H18" t="s">
        <v>42</v>
      </c>
      <c r="I18" t="s">
        <v>95</v>
      </c>
      <c r="J18" t="s">
        <v>96</v>
      </c>
      <c r="L18" s="1">
        <v>46082</v>
      </c>
      <c r="M18" s="1">
        <v>46082</v>
      </c>
      <c r="O18">
        <v>18142208</v>
      </c>
      <c r="P18" t="s">
        <v>32</v>
      </c>
      <c r="Q18" t="s">
        <v>97</v>
      </c>
      <c r="R18">
        <v>8192</v>
      </c>
      <c r="S18" t="s">
        <v>34</v>
      </c>
      <c r="T18" t="s">
        <v>35</v>
      </c>
      <c r="U18">
        <v>414.17</v>
      </c>
      <c r="V18" t="s">
        <v>36</v>
      </c>
      <c r="W18" s="1">
        <v>46063</v>
      </c>
      <c r="X18">
        <v>2026</v>
      </c>
    </row>
    <row r="19" spans="1:24" x14ac:dyDescent="0.25">
      <c r="A19" s="1">
        <v>46077</v>
      </c>
      <c r="B19" t="s">
        <v>98</v>
      </c>
      <c r="C19" t="s">
        <v>99</v>
      </c>
      <c r="E19" t="s">
        <v>100</v>
      </c>
      <c r="F19" t="s">
        <v>40</v>
      </c>
      <c r="G19" t="s">
        <v>41</v>
      </c>
      <c r="H19" t="s">
        <v>42</v>
      </c>
      <c r="I19" t="s">
        <v>43</v>
      </c>
      <c r="J19" t="s">
        <v>101</v>
      </c>
      <c r="L19" s="1">
        <v>46113</v>
      </c>
      <c r="M19" s="1">
        <v>46113</v>
      </c>
      <c r="O19">
        <v>8244481</v>
      </c>
      <c r="P19" t="s">
        <v>32</v>
      </c>
      <c r="Q19" t="s">
        <v>102</v>
      </c>
      <c r="R19">
        <v>8192</v>
      </c>
      <c r="S19" t="s">
        <v>34</v>
      </c>
      <c r="T19" t="s">
        <v>35</v>
      </c>
      <c r="U19">
        <v>844</v>
      </c>
      <c r="V19" t="s">
        <v>46</v>
      </c>
      <c r="W19" s="1">
        <v>46048</v>
      </c>
      <c r="X19">
        <v>2026</v>
      </c>
    </row>
    <row r="20" spans="1:24" x14ac:dyDescent="0.25">
      <c r="A20" s="1">
        <v>46077</v>
      </c>
      <c r="B20" t="s">
        <v>98</v>
      </c>
      <c r="C20" t="s">
        <v>99</v>
      </c>
      <c r="E20" t="s">
        <v>100</v>
      </c>
      <c r="F20" t="s">
        <v>40</v>
      </c>
      <c r="G20" t="s">
        <v>47</v>
      </c>
      <c r="H20" t="s">
        <v>42</v>
      </c>
      <c r="I20" t="s">
        <v>43</v>
      </c>
      <c r="J20" t="s">
        <v>101</v>
      </c>
      <c r="L20" s="1">
        <v>46113</v>
      </c>
      <c r="M20" s="1">
        <v>46113</v>
      </c>
      <c r="O20">
        <v>8244481</v>
      </c>
      <c r="P20" t="s">
        <v>32</v>
      </c>
      <c r="Q20" t="s">
        <v>102</v>
      </c>
      <c r="R20">
        <v>8192</v>
      </c>
      <c r="S20" t="s">
        <v>34</v>
      </c>
      <c r="T20" t="s">
        <v>35</v>
      </c>
      <c r="U20">
        <v>-372.75</v>
      </c>
      <c r="V20" t="s">
        <v>36</v>
      </c>
      <c r="W20" s="1">
        <v>46048</v>
      </c>
      <c r="X20">
        <v>2026</v>
      </c>
    </row>
    <row r="21" spans="1:24" x14ac:dyDescent="0.25">
      <c r="A21" s="1">
        <v>46077</v>
      </c>
      <c r="B21" t="s">
        <v>103</v>
      </c>
      <c r="C21" t="s">
        <v>104</v>
      </c>
      <c r="E21" t="s">
        <v>105</v>
      </c>
      <c r="F21" t="s">
        <v>106</v>
      </c>
      <c r="G21" t="s">
        <v>64</v>
      </c>
      <c r="H21" t="s">
        <v>29</v>
      </c>
      <c r="I21" t="s">
        <v>107</v>
      </c>
      <c r="J21" t="s">
        <v>108</v>
      </c>
      <c r="L21" s="1">
        <v>46023</v>
      </c>
      <c r="M21" s="1">
        <v>46023</v>
      </c>
      <c r="N21" s="1">
        <v>46053</v>
      </c>
      <c r="O21">
        <v>371819</v>
      </c>
      <c r="P21" t="s">
        <v>32</v>
      </c>
      <c r="Q21" t="s">
        <v>109</v>
      </c>
      <c r="R21">
        <v>8192</v>
      </c>
      <c r="S21" t="s">
        <v>34</v>
      </c>
      <c r="T21" t="s">
        <v>35</v>
      </c>
      <c r="U21">
        <v>-497</v>
      </c>
      <c r="V21" t="s">
        <v>36</v>
      </c>
      <c r="W21" s="1">
        <v>45946</v>
      </c>
      <c r="X21">
        <v>2026</v>
      </c>
    </row>
    <row r="22" spans="1:24" x14ac:dyDescent="0.25">
      <c r="A22" s="1">
        <v>46077</v>
      </c>
      <c r="B22" t="s">
        <v>110</v>
      </c>
      <c r="C22" t="s">
        <v>111</v>
      </c>
      <c r="E22" t="s">
        <v>112</v>
      </c>
      <c r="F22" t="s">
        <v>27</v>
      </c>
      <c r="G22" t="s">
        <v>28</v>
      </c>
      <c r="H22" t="s">
        <v>42</v>
      </c>
      <c r="I22" t="s">
        <v>30</v>
      </c>
      <c r="J22" t="s">
        <v>85</v>
      </c>
      <c r="L22" s="1">
        <v>46082</v>
      </c>
      <c r="M22" s="1">
        <v>46082</v>
      </c>
      <c r="O22">
        <v>17425766</v>
      </c>
      <c r="P22" t="s">
        <v>32</v>
      </c>
      <c r="Q22" t="s">
        <v>113</v>
      </c>
      <c r="R22">
        <v>8192</v>
      </c>
      <c r="S22" t="s">
        <v>34</v>
      </c>
      <c r="T22" t="s">
        <v>35</v>
      </c>
      <c r="U22">
        <v>450.83</v>
      </c>
      <c r="V22" t="s">
        <v>36</v>
      </c>
      <c r="W22" s="1">
        <v>46060</v>
      </c>
      <c r="X22">
        <v>2026</v>
      </c>
    </row>
    <row r="23" spans="1:24" x14ac:dyDescent="0.25">
      <c r="A23" s="1">
        <v>46077</v>
      </c>
      <c r="B23" t="s">
        <v>114</v>
      </c>
      <c r="C23" t="s">
        <v>115</v>
      </c>
      <c r="E23" t="s">
        <v>116</v>
      </c>
      <c r="F23" t="s">
        <v>40</v>
      </c>
      <c r="G23" t="s">
        <v>41</v>
      </c>
      <c r="H23" t="s">
        <v>42</v>
      </c>
      <c r="I23" t="s">
        <v>71</v>
      </c>
      <c r="J23" t="s">
        <v>117</v>
      </c>
      <c r="L23" s="1">
        <v>46054</v>
      </c>
      <c r="M23" s="1">
        <v>46054</v>
      </c>
      <c r="O23">
        <v>18581063</v>
      </c>
      <c r="P23" t="s">
        <v>32</v>
      </c>
      <c r="Q23" t="s">
        <v>118</v>
      </c>
      <c r="R23">
        <v>8192</v>
      </c>
      <c r="S23" t="s">
        <v>34</v>
      </c>
      <c r="T23" t="s">
        <v>35</v>
      </c>
      <c r="U23">
        <v>844</v>
      </c>
      <c r="V23" t="s">
        <v>46</v>
      </c>
      <c r="W23" s="1">
        <v>46048</v>
      </c>
      <c r="X23">
        <v>2026</v>
      </c>
    </row>
    <row r="24" spans="1:24" x14ac:dyDescent="0.25">
      <c r="A24" s="1">
        <v>46077</v>
      </c>
      <c r="B24" t="s">
        <v>114</v>
      </c>
      <c r="C24" t="s">
        <v>115</v>
      </c>
      <c r="E24" t="s">
        <v>116</v>
      </c>
      <c r="F24" t="s">
        <v>40</v>
      </c>
      <c r="G24" t="s">
        <v>47</v>
      </c>
      <c r="H24" t="s">
        <v>42</v>
      </c>
      <c r="I24" t="s">
        <v>71</v>
      </c>
      <c r="J24" t="s">
        <v>117</v>
      </c>
      <c r="L24" s="1">
        <v>46054</v>
      </c>
      <c r="M24" s="1">
        <v>46054</v>
      </c>
      <c r="O24">
        <v>18581063</v>
      </c>
      <c r="P24" t="s">
        <v>32</v>
      </c>
      <c r="Q24" t="s">
        <v>118</v>
      </c>
      <c r="R24">
        <v>8192</v>
      </c>
      <c r="S24" t="s">
        <v>34</v>
      </c>
      <c r="T24" t="s">
        <v>35</v>
      </c>
      <c r="U24">
        <v>-455.58</v>
      </c>
      <c r="V24" t="s">
        <v>36</v>
      </c>
      <c r="W24" s="1">
        <v>46048</v>
      </c>
      <c r="X24">
        <v>2026</v>
      </c>
    </row>
    <row r="25" spans="1:24" x14ac:dyDescent="0.25">
      <c r="A25" s="1">
        <v>46077</v>
      </c>
      <c r="B25" t="s">
        <v>119</v>
      </c>
      <c r="C25" t="s">
        <v>120</v>
      </c>
      <c r="E25" t="s">
        <v>121</v>
      </c>
      <c r="F25" t="s">
        <v>40</v>
      </c>
      <c r="G25" t="s">
        <v>28</v>
      </c>
      <c r="H25" t="s">
        <v>42</v>
      </c>
      <c r="I25" t="s">
        <v>71</v>
      </c>
      <c r="J25" t="s">
        <v>122</v>
      </c>
      <c r="L25" s="1">
        <v>46082</v>
      </c>
      <c r="M25" s="1">
        <v>46082</v>
      </c>
      <c r="O25">
        <v>9213293</v>
      </c>
      <c r="P25" t="s">
        <v>32</v>
      </c>
      <c r="Q25" t="s">
        <v>123</v>
      </c>
      <c r="R25">
        <v>8192</v>
      </c>
      <c r="S25" t="s">
        <v>34</v>
      </c>
      <c r="T25" t="s">
        <v>35</v>
      </c>
      <c r="U25">
        <v>414.17</v>
      </c>
      <c r="V25" t="s">
        <v>36</v>
      </c>
      <c r="W25" s="1">
        <v>46059</v>
      </c>
      <c r="X25">
        <v>2026</v>
      </c>
    </row>
    <row r="26" spans="1:24" x14ac:dyDescent="0.25">
      <c r="A26" s="1">
        <v>46077</v>
      </c>
      <c r="B26" t="s">
        <v>124</v>
      </c>
      <c r="C26" t="s">
        <v>125</v>
      </c>
      <c r="E26" t="s">
        <v>126</v>
      </c>
      <c r="F26" t="s">
        <v>40</v>
      </c>
      <c r="G26" t="s">
        <v>64</v>
      </c>
      <c r="H26" t="s">
        <v>42</v>
      </c>
      <c r="I26" t="s">
        <v>71</v>
      </c>
      <c r="J26" t="s">
        <v>127</v>
      </c>
      <c r="L26" s="1">
        <v>46023</v>
      </c>
      <c r="M26" s="1">
        <v>46023</v>
      </c>
      <c r="N26" s="1">
        <v>46081</v>
      </c>
      <c r="O26">
        <v>9213293</v>
      </c>
      <c r="P26" t="s">
        <v>32</v>
      </c>
      <c r="Q26" t="s">
        <v>123</v>
      </c>
      <c r="R26">
        <v>8192</v>
      </c>
      <c r="S26" t="s">
        <v>34</v>
      </c>
      <c r="T26" t="s">
        <v>35</v>
      </c>
      <c r="U26">
        <v>-482</v>
      </c>
      <c r="V26" t="s">
        <v>36</v>
      </c>
      <c r="W26" s="1">
        <v>45971</v>
      </c>
      <c r="X26">
        <v>2026</v>
      </c>
    </row>
    <row r="27" spans="1:24" x14ac:dyDescent="0.25">
      <c r="A27" s="1">
        <v>46077</v>
      </c>
      <c r="B27" t="s">
        <v>128</v>
      </c>
      <c r="C27" t="s">
        <v>129</v>
      </c>
      <c r="E27" t="s">
        <v>130</v>
      </c>
      <c r="F27" t="s">
        <v>27</v>
      </c>
      <c r="G27" t="s">
        <v>41</v>
      </c>
      <c r="H27" t="s">
        <v>29</v>
      </c>
      <c r="I27" t="s">
        <v>30</v>
      </c>
      <c r="J27" t="s">
        <v>31</v>
      </c>
      <c r="L27" s="1">
        <v>46082</v>
      </c>
      <c r="M27" s="1">
        <v>46082</v>
      </c>
      <c r="O27">
        <v>17886092</v>
      </c>
      <c r="P27" t="s">
        <v>32</v>
      </c>
      <c r="Q27" t="s">
        <v>33</v>
      </c>
      <c r="R27">
        <v>8192</v>
      </c>
      <c r="S27" t="s">
        <v>34</v>
      </c>
      <c r="T27" t="s">
        <v>35</v>
      </c>
      <c r="U27">
        <v>65</v>
      </c>
      <c r="V27" t="s">
        <v>46</v>
      </c>
      <c r="W27" s="1">
        <v>46045</v>
      </c>
      <c r="X27">
        <v>2026</v>
      </c>
    </row>
    <row r="28" spans="1:24" x14ac:dyDescent="0.25">
      <c r="A28" s="1">
        <v>46077</v>
      </c>
      <c r="B28" t="s">
        <v>128</v>
      </c>
      <c r="C28" t="s">
        <v>129</v>
      </c>
      <c r="E28" t="s">
        <v>130</v>
      </c>
      <c r="F28" t="s">
        <v>27</v>
      </c>
      <c r="G28" t="s">
        <v>47</v>
      </c>
      <c r="H28" t="s">
        <v>29</v>
      </c>
      <c r="I28" t="s">
        <v>30</v>
      </c>
      <c r="J28" t="s">
        <v>31</v>
      </c>
      <c r="L28" s="1">
        <v>46082</v>
      </c>
      <c r="M28" s="1">
        <v>46082</v>
      </c>
      <c r="O28">
        <v>17886092</v>
      </c>
      <c r="P28" t="s">
        <v>32</v>
      </c>
      <c r="Q28" t="s">
        <v>33</v>
      </c>
      <c r="R28">
        <v>8192</v>
      </c>
      <c r="S28" t="s">
        <v>34</v>
      </c>
      <c r="T28" t="s">
        <v>35</v>
      </c>
      <c r="U28">
        <v>-54.16</v>
      </c>
      <c r="V28" t="s">
        <v>36</v>
      </c>
      <c r="W28" s="1">
        <v>46045</v>
      </c>
      <c r="X28">
        <v>2026</v>
      </c>
    </row>
    <row r="29" spans="1:24" x14ac:dyDescent="0.25">
      <c r="A29" s="1">
        <v>46077</v>
      </c>
      <c r="B29" t="s">
        <v>131</v>
      </c>
      <c r="C29" t="s">
        <v>132</v>
      </c>
      <c r="E29" t="s">
        <v>133</v>
      </c>
      <c r="F29" t="s">
        <v>134</v>
      </c>
      <c r="G29" t="s">
        <v>41</v>
      </c>
      <c r="H29" t="s">
        <v>42</v>
      </c>
      <c r="I29" t="s">
        <v>30</v>
      </c>
      <c r="J29" t="s">
        <v>135</v>
      </c>
      <c r="L29" s="1">
        <v>46054</v>
      </c>
      <c r="M29" s="1">
        <v>46054</v>
      </c>
      <c r="O29">
        <v>17425766</v>
      </c>
      <c r="P29" t="s">
        <v>32</v>
      </c>
      <c r="Q29" t="s">
        <v>113</v>
      </c>
      <c r="R29">
        <v>8192</v>
      </c>
      <c r="S29" t="s">
        <v>34</v>
      </c>
      <c r="T29" t="s">
        <v>35</v>
      </c>
      <c r="U29">
        <v>844</v>
      </c>
      <c r="V29" t="s">
        <v>46</v>
      </c>
      <c r="W29" s="1">
        <v>46049</v>
      </c>
      <c r="X29">
        <v>2026</v>
      </c>
    </row>
    <row r="30" spans="1:24" x14ac:dyDescent="0.25">
      <c r="A30" s="1">
        <v>46077</v>
      </c>
      <c r="B30" t="s">
        <v>131</v>
      </c>
      <c r="C30" t="s">
        <v>132</v>
      </c>
      <c r="E30" t="s">
        <v>133</v>
      </c>
      <c r="F30" t="s">
        <v>134</v>
      </c>
      <c r="G30" t="s">
        <v>47</v>
      </c>
      <c r="H30" t="s">
        <v>42</v>
      </c>
      <c r="I30" t="s">
        <v>30</v>
      </c>
      <c r="J30" t="s">
        <v>135</v>
      </c>
      <c r="L30" s="1">
        <v>46054</v>
      </c>
      <c r="M30" s="1">
        <v>46054</v>
      </c>
      <c r="O30">
        <v>17425766</v>
      </c>
      <c r="P30" t="s">
        <v>32</v>
      </c>
      <c r="Q30" t="s">
        <v>113</v>
      </c>
      <c r="R30">
        <v>8192</v>
      </c>
      <c r="S30" t="s">
        <v>34</v>
      </c>
      <c r="T30" t="s">
        <v>35</v>
      </c>
      <c r="U30">
        <v>-455.58</v>
      </c>
      <c r="V30" t="s">
        <v>36</v>
      </c>
      <c r="W30" s="1">
        <v>46049</v>
      </c>
      <c r="X30">
        <v>2026</v>
      </c>
    </row>
    <row r="31" spans="1:24" x14ac:dyDescent="0.25">
      <c r="A31" s="1">
        <v>46077</v>
      </c>
      <c r="B31" t="s">
        <v>136</v>
      </c>
      <c r="C31" t="s">
        <v>137</v>
      </c>
      <c r="E31" t="s">
        <v>138</v>
      </c>
      <c r="F31" t="s">
        <v>139</v>
      </c>
      <c r="G31" t="s">
        <v>64</v>
      </c>
      <c r="H31" t="s">
        <v>42</v>
      </c>
      <c r="I31" t="s">
        <v>107</v>
      </c>
      <c r="J31" t="s">
        <v>140</v>
      </c>
      <c r="L31" s="1">
        <v>46023</v>
      </c>
      <c r="M31" s="1">
        <v>46023</v>
      </c>
      <c r="N31" s="1">
        <v>46081</v>
      </c>
      <c r="O31">
        <v>17516272</v>
      </c>
      <c r="P31" t="s">
        <v>32</v>
      </c>
      <c r="Q31" t="s">
        <v>141</v>
      </c>
      <c r="R31">
        <v>8192</v>
      </c>
      <c r="S31" t="s">
        <v>34</v>
      </c>
      <c r="T31" t="s">
        <v>35</v>
      </c>
      <c r="U31">
        <v>-497</v>
      </c>
      <c r="V31" t="s">
        <v>36</v>
      </c>
      <c r="W31" s="1">
        <v>45997</v>
      </c>
      <c r="X31">
        <v>2026</v>
      </c>
    </row>
    <row r="32" spans="1:24" x14ac:dyDescent="0.25">
      <c r="A32" s="1">
        <v>46077</v>
      </c>
      <c r="B32" t="s">
        <v>142</v>
      </c>
      <c r="C32" t="s">
        <v>143</v>
      </c>
      <c r="E32" t="s">
        <v>144</v>
      </c>
      <c r="F32" t="s">
        <v>27</v>
      </c>
      <c r="G32" t="s">
        <v>28</v>
      </c>
      <c r="H32" t="s">
        <v>42</v>
      </c>
      <c r="I32" t="s">
        <v>30</v>
      </c>
      <c r="J32" t="s">
        <v>145</v>
      </c>
      <c r="L32" s="1">
        <v>46082</v>
      </c>
      <c r="M32" s="1">
        <v>46082</v>
      </c>
      <c r="O32">
        <v>17528908</v>
      </c>
      <c r="P32" t="s">
        <v>32</v>
      </c>
      <c r="Q32" t="s">
        <v>146</v>
      </c>
      <c r="R32">
        <v>8192</v>
      </c>
      <c r="S32" t="s">
        <v>34</v>
      </c>
      <c r="T32" t="s">
        <v>35</v>
      </c>
      <c r="U32">
        <v>450.83</v>
      </c>
      <c r="V32" t="s">
        <v>36</v>
      </c>
      <c r="W32" s="1">
        <v>46064</v>
      </c>
      <c r="X32">
        <v>2026</v>
      </c>
    </row>
    <row r="33" spans="1:24" x14ac:dyDescent="0.25">
      <c r="A33" s="1">
        <v>46077</v>
      </c>
      <c r="B33" t="s">
        <v>147</v>
      </c>
      <c r="C33" t="s">
        <v>148</v>
      </c>
      <c r="E33" t="s">
        <v>149</v>
      </c>
      <c r="F33" t="s">
        <v>27</v>
      </c>
      <c r="G33" t="s">
        <v>41</v>
      </c>
      <c r="H33" t="s">
        <v>42</v>
      </c>
      <c r="I33" t="s">
        <v>30</v>
      </c>
      <c r="J33" t="s">
        <v>59</v>
      </c>
      <c r="L33" s="1">
        <v>46054</v>
      </c>
      <c r="M33" s="1">
        <v>46054</v>
      </c>
      <c r="O33">
        <v>17528908</v>
      </c>
      <c r="P33" t="s">
        <v>32</v>
      </c>
      <c r="Q33" t="s">
        <v>146</v>
      </c>
      <c r="R33">
        <v>8192</v>
      </c>
      <c r="S33" t="s">
        <v>34</v>
      </c>
      <c r="T33" t="s">
        <v>35</v>
      </c>
      <c r="U33">
        <v>931</v>
      </c>
      <c r="V33" t="s">
        <v>46</v>
      </c>
      <c r="W33" s="1">
        <v>46043</v>
      </c>
      <c r="X33">
        <v>2026</v>
      </c>
    </row>
    <row r="34" spans="1:24" x14ac:dyDescent="0.25">
      <c r="A34" s="1">
        <v>46077</v>
      </c>
      <c r="B34" t="s">
        <v>147</v>
      </c>
      <c r="C34" t="s">
        <v>148</v>
      </c>
      <c r="E34" t="s">
        <v>149</v>
      </c>
      <c r="F34" t="s">
        <v>27</v>
      </c>
      <c r="G34" t="s">
        <v>47</v>
      </c>
      <c r="H34" t="s">
        <v>42</v>
      </c>
      <c r="I34" t="s">
        <v>30</v>
      </c>
      <c r="J34" t="s">
        <v>59</v>
      </c>
      <c r="L34" s="1">
        <v>46054</v>
      </c>
      <c r="M34" s="1">
        <v>46054</v>
      </c>
      <c r="O34">
        <v>17528908</v>
      </c>
      <c r="P34" t="s">
        <v>32</v>
      </c>
      <c r="Q34" t="s">
        <v>146</v>
      </c>
      <c r="R34">
        <v>8192</v>
      </c>
      <c r="S34" t="s">
        <v>34</v>
      </c>
      <c r="T34" t="s">
        <v>35</v>
      </c>
      <c r="U34">
        <v>-495.92</v>
      </c>
      <c r="V34" t="s">
        <v>36</v>
      </c>
      <c r="W34" s="1">
        <v>46043</v>
      </c>
      <c r="X34">
        <v>2026</v>
      </c>
    </row>
    <row r="35" spans="1:24" x14ac:dyDescent="0.25">
      <c r="A35" s="1">
        <v>46077</v>
      </c>
      <c r="B35" t="s">
        <v>150</v>
      </c>
      <c r="C35" t="s">
        <v>151</v>
      </c>
      <c r="E35" t="s">
        <v>152</v>
      </c>
      <c r="F35" t="s">
        <v>40</v>
      </c>
      <c r="G35" t="s">
        <v>28</v>
      </c>
      <c r="H35" t="s">
        <v>42</v>
      </c>
      <c r="I35" t="s">
        <v>71</v>
      </c>
      <c r="J35" t="s">
        <v>72</v>
      </c>
      <c r="L35" s="1">
        <v>46082</v>
      </c>
      <c r="M35" s="1">
        <v>46082</v>
      </c>
      <c r="O35">
        <v>18754354</v>
      </c>
      <c r="P35" t="s">
        <v>32</v>
      </c>
      <c r="Q35" t="s">
        <v>153</v>
      </c>
      <c r="R35">
        <v>8192</v>
      </c>
      <c r="S35" t="s">
        <v>34</v>
      </c>
      <c r="T35" t="s">
        <v>35</v>
      </c>
      <c r="U35">
        <v>414.17</v>
      </c>
      <c r="V35" t="s">
        <v>36</v>
      </c>
      <c r="W35" s="1">
        <v>46063</v>
      </c>
      <c r="X35">
        <v>2026</v>
      </c>
    </row>
    <row r="36" spans="1:24" x14ac:dyDescent="0.25">
      <c r="A36" s="1">
        <v>46077</v>
      </c>
      <c r="B36" t="s">
        <v>154</v>
      </c>
      <c r="C36" t="s">
        <v>155</v>
      </c>
      <c r="E36" t="s">
        <v>156</v>
      </c>
      <c r="F36" t="s">
        <v>94</v>
      </c>
      <c r="G36" t="s">
        <v>157</v>
      </c>
      <c r="H36" t="s">
        <v>42</v>
      </c>
      <c r="I36" t="s">
        <v>95</v>
      </c>
      <c r="J36" t="s">
        <v>158</v>
      </c>
      <c r="L36" s="1">
        <v>46054</v>
      </c>
      <c r="M36" s="1">
        <v>46054</v>
      </c>
      <c r="O36">
        <v>18142208</v>
      </c>
      <c r="P36" t="s">
        <v>32</v>
      </c>
      <c r="Q36" t="s">
        <v>97</v>
      </c>
      <c r="R36">
        <v>8192</v>
      </c>
      <c r="S36" t="s">
        <v>34</v>
      </c>
      <c r="T36" t="s">
        <v>35</v>
      </c>
      <c r="U36">
        <v>773.67</v>
      </c>
      <c r="V36" t="s">
        <v>46</v>
      </c>
      <c r="W36" s="1">
        <v>46035</v>
      </c>
      <c r="X36">
        <v>2026</v>
      </c>
    </row>
    <row r="37" spans="1:24" x14ac:dyDescent="0.25">
      <c r="A37" s="1">
        <v>46077</v>
      </c>
      <c r="B37" t="s">
        <v>154</v>
      </c>
      <c r="C37" t="s">
        <v>155</v>
      </c>
      <c r="E37" t="s">
        <v>156</v>
      </c>
      <c r="F37" t="s">
        <v>94</v>
      </c>
      <c r="G37" t="s">
        <v>47</v>
      </c>
      <c r="H37" t="s">
        <v>42</v>
      </c>
      <c r="I37" t="s">
        <v>95</v>
      </c>
      <c r="J37" t="s">
        <v>158</v>
      </c>
      <c r="L37" s="1">
        <v>46054</v>
      </c>
      <c r="M37" s="1">
        <v>46054</v>
      </c>
      <c r="O37">
        <v>18142208</v>
      </c>
      <c r="P37" t="s">
        <v>32</v>
      </c>
      <c r="Q37" t="s">
        <v>97</v>
      </c>
      <c r="R37">
        <v>8192</v>
      </c>
      <c r="S37" t="s">
        <v>34</v>
      </c>
      <c r="T37" t="s">
        <v>35</v>
      </c>
      <c r="U37">
        <v>-455.58</v>
      </c>
      <c r="V37" t="s">
        <v>36</v>
      </c>
      <c r="W37" s="1">
        <v>46035</v>
      </c>
      <c r="X37">
        <v>2026</v>
      </c>
    </row>
    <row r="38" spans="1:24" x14ac:dyDescent="0.25">
      <c r="A38" s="1">
        <v>46077</v>
      </c>
      <c r="B38" t="s">
        <v>159</v>
      </c>
      <c r="C38" t="s">
        <v>160</v>
      </c>
      <c r="E38" t="s">
        <v>161</v>
      </c>
      <c r="F38" t="s">
        <v>27</v>
      </c>
      <c r="G38" t="s">
        <v>41</v>
      </c>
      <c r="H38" t="s">
        <v>42</v>
      </c>
      <c r="I38" t="s">
        <v>30</v>
      </c>
      <c r="J38" t="s">
        <v>145</v>
      </c>
      <c r="L38" s="1">
        <v>46082</v>
      </c>
      <c r="M38" s="1">
        <v>46082</v>
      </c>
      <c r="O38">
        <v>18710070</v>
      </c>
      <c r="P38" t="s">
        <v>32</v>
      </c>
      <c r="Q38" t="s">
        <v>162</v>
      </c>
      <c r="R38">
        <v>8192</v>
      </c>
      <c r="S38" t="s">
        <v>34</v>
      </c>
      <c r="T38" t="s">
        <v>35</v>
      </c>
      <c r="U38">
        <v>931</v>
      </c>
      <c r="V38" t="s">
        <v>46</v>
      </c>
      <c r="W38" s="1">
        <v>46027</v>
      </c>
      <c r="X38">
        <v>2026</v>
      </c>
    </row>
    <row r="39" spans="1:24" x14ac:dyDescent="0.25">
      <c r="A39" s="1">
        <v>46077</v>
      </c>
      <c r="B39" t="s">
        <v>159</v>
      </c>
      <c r="C39" t="s">
        <v>160</v>
      </c>
      <c r="E39" t="s">
        <v>161</v>
      </c>
      <c r="F39" t="s">
        <v>27</v>
      </c>
      <c r="G39" t="s">
        <v>47</v>
      </c>
      <c r="H39" t="s">
        <v>42</v>
      </c>
      <c r="I39" t="s">
        <v>30</v>
      </c>
      <c r="J39" t="s">
        <v>145</v>
      </c>
      <c r="L39" s="1">
        <v>46082</v>
      </c>
      <c r="M39" s="1">
        <v>46082</v>
      </c>
      <c r="O39">
        <v>18710070</v>
      </c>
      <c r="P39" t="s">
        <v>32</v>
      </c>
      <c r="Q39" t="s">
        <v>162</v>
      </c>
      <c r="R39">
        <v>8192</v>
      </c>
      <c r="S39" t="s">
        <v>34</v>
      </c>
      <c r="T39" t="s">
        <v>35</v>
      </c>
      <c r="U39">
        <v>-450.83</v>
      </c>
      <c r="V39" t="s">
        <v>36</v>
      </c>
      <c r="W39" s="1">
        <v>46027</v>
      </c>
      <c r="X39">
        <v>2026</v>
      </c>
    </row>
    <row r="40" spans="1:24" x14ac:dyDescent="0.25">
      <c r="A40" s="1">
        <v>46077</v>
      </c>
      <c r="B40" t="s">
        <v>163</v>
      </c>
      <c r="C40" t="s">
        <v>164</v>
      </c>
      <c r="E40" t="s">
        <v>165</v>
      </c>
      <c r="F40" t="s">
        <v>40</v>
      </c>
      <c r="G40" t="s">
        <v>157</v>
      </c>
      <c r="H40" t="s">
        <v>42</v>
      </c>
      <c r="I40" t="s">
        <v>43</v>
      </c>
      <c r="J40" t="s">
        <v>166</v>
      </c>
      <c r="L40" s="1">
        <v>46054</v>
      </c>
      <c r="M40" s="1">
        <v>46054</v>
      </c>
      <c r="O40">
        <v>8812322</v>
      </c>
      <c r="P40" t="s">
        <v>32</v>
      </c>
      <c r="Q40" t="s">
        <v>45</v>
      </c>
      <c r="R40">
        <v>8192</v>
      </c>
      <c r="S40" t="s">
        <v>34</v>
      </c>
      <c r="T40" t="s">
        <v>35</v>
      </c>
      <c r="U40">
        <v>773.67</v>
      </c>
      <c r="V40" t="s">
        <v>46</v>
      </c>
      <c r="W40" s="1">
        <v>46035</v>
      </c>
      <c r="X40">
        <v>2026</v>
      </c>
    </row>
    <row r="41" spans="1:24" x14ac:dyDescent="0.25">
      <c r="A41" s="1">
        <v>46077</v>
      </c>
      <c r="B41" t="s">
        <v>163</v>
      </c>
      <c r="C41" t="s">
        <v>164</v>
      </c>
      <c r="E41" t="s">
        <v>165</v>
      </c>
      <c r="F41" t="s">
        <v>40</v>
      </c>
      <c r="G41" t="s">
        <v>47</v>
      </c>
      <c r="H41" t="s">
        <v>42</v>
      </c>
      <c r="I41" t="s">
        <v>43</v>
      </c>
      <c r="J41" t="s">
        <v>166</v>
      </c>
      <c r="L41" s="1">
        <v>46054</v>
      </c>
      <c r="M41" s="1">
        <v>46054</v>
      </c>
      <c r="O41">
        <v>8812322</v>
      </c>
      <c r="P41" t="s">
        <v>32</v>
      </c>
      <c r="Q41" t="s">
        <v>45</v>
      </c>
      <c r="R41">
        <v>8192</v>
      </c>
      <c r="S41" t="s">
        <v>34</v>
      </c>
      <c r="T41" t="s">
        <v>35</v>
      </c>
      <c r="U41">
        <v>-455.58</v>
      </c>
      <c r="V41" t="s">
        <v>36</v>
      </c>
      <c r="W41" s="1">
        <v>46035</v>
      </c>
      <c r="X41">
        <v>2026</v>
      </c>
    </row>
    <row r="42" spans="1:24" x14ac:dyDescent="0.25">
      <c r="A42" s="1">
        <v>46077</v>
      </c>
      <c r="B42" t="s">
        <v>167</v>
      </c>
      <c r="C42" t="s">
        <v>168</v>
      </c>
      <c r="E42" t="s">
        <v>169</v>
      </c>
      <c r="F42" t="s">
        <v>63</v>
      </c>
      <c r="G42" t="s">
        <v>41</v>
      </c>
      <c r="H42" t="s">
        <v>42</v>
      </c>
      <c r="I42" t="s">
        <v>65</v>
      </c>
      <c r="J42" t="s">
        <v>66</v>
      </c>
      <c r="L42" s="1">
        <v>46054</v>
      </c>
      <c r="M42" s="1">
        <v>46054</v>
      </c>
      <c r="O42">
        <v>17117649</v>
      </c>
      <c r="P42" t="s">
        <v>32</v>
      </c>
      <c r="Q42" t="s">
        <v>67</v>
      </c>
      <c r="R42">
        <v>8192</v>
      </c>
      <c r="S42" t="s">
        <v>34</v>
      </c>
      <c r="T42" t="s">
        <v>35</v>
      </c>
      <c r="U42">
        <v>844</v>
      </c>
      <c r="V42" t="s">
        <v>46</v>
      </c>
      <c r="W42" s="1">
        <v>46044</v>
      </c>
      <c r="X42">
        <v>2026</v>
      </c>
    </row>
    <row r="43" spans="1:24" x14ac:dyDescent="0.25">
      <c r="A43" s="1">
        <v>46077</v>
      </c>
      <c r="B43" t="s">
        <v>167</v>
      </c>
      <c r="C43" t="s">
        <v>168</v>
      </c>
      <c r="E43" t="s">
        <v>169</v>
      </c>
      <c r="F43" t="s">
        <v>63</v>
      </c>
      <c r="G43" t="s">
        <v>47</v>
      </c>
      <c r="H43" t="s">
        <v>42</v>
      </c>
      <c r="I43" t="s">
        <v>65</v>
      </c>
      <c r="J43" t="s">
        <v>66</v>
      </c>
      <c r="L43" s="1">
        <v>46054</v>
      </c>
      <c r="M43" s="1">
        <v>46054</v>
      </c>
      <c r="O43">
        <v>17117649</v>
      </c>
      <c r="P43" t="s">
        <v>32</v>
      </c>
      <c r="Q43" t="s">
        <v>67</v>
      </c>
      <c r="R43">
        <v>8192</v>
      </c>
      <c r="S43" t="s">
        <v>34</v>
      </c>
      <c r="T43" t="s">
        <v>35</v>
      </c>
      <c r="U43">
        <v>-455.58</v>
      </c>
      <c r="V43" t="s">
        <v>36</v>
      </c>
      <c r="W43" s="1">
        <v>46044</v>
      </c>
      <c r="X43">
        <v>2026</v>
      </c>
    </row>
    <row r="44" spans="1:24" x14ac:dyDescent="0.25">
      <c r="A44" s="1">
        <v>46077</v>
      </c>
      <c r="B44" t="s">
        <v>170</v>
      </c>
      <c r="C44" t="s">
        <v>171</v>
      </c>
      <c r="E44" t="s">
        <v>172</v>
      </c>
      <c r="F44" t="s">
        <v>40</v>
      </c>
      <c r="G44" t="s">
        <v>41</v>
      </c>
      <c r="H44" t="s">
        <v>42</v>
      </c>
      <c r="I44" t="s">
        <v>43</v>
      </c>
      <c r="J44" t="s">
        <v>44</v>
      </c>
      <c r="L44" s="1">
        <v>46082</v>
      </c>
      <c r="M44" s="1">
        <v>46082</v>
      </c>
      <c r="O44">
        <v>8812322</v>
      </c>
      <c r="P44" t="s">
        <v>32</v>
      </c>
      <c r="Q44" t="s">
        <v>45</v>
      </c>
      <c r="R44">
        <v>8192</v>
      </c>
      <c r="S44" t="s">
        <v>34</v>
      </c>
      <c r="T44" t="s">
        <v>35</v>
      </c>
      <c r="U44">
        <v>844</v>
      </c>
      <c r="V44" t="s">
        <v>46</v>
      </c>
      <c r="W44" s="1">
        <v>46029</v>
      </c>
      <c r="X44">
        <v>2026</v>
      </c>
    </row>
    <row r="45" spans="1:24" x14ac:dyDescent="0.25">
      <c r="A45" s="1">
        <v>46077</v>
      </c>
      <c r="B45" t="s">
        <v>170</v>
      </c>
      <c r="C45" t="s">
        <v>171</v>
      </c>
      <c r="E45" t="s">
        <v>172</v>
      </c>
      <c r="F45" t="s">
        <v>40</v>
      </c>
      <c r="G45" t="s">
        <v>47</v>
      </c>
      <c r="H45" t="s">
        <v>42</v>
      </c>
      <c r="I45" t="s">
        <v>43</v>
      </c>
      <c r="J45" t="s">
        <v>44</v>
      </c>
      <c r="L45" s="1">
        <v>46082</v>
      </c>
      <c r="M45" s="1">
        <v>46082</v>
      </c>
      <c r="O45">
        <v>8812322</v>
      </c>
      <c r="P45" t="s">
        <v>32</v>
      </c>
      <c r="Q45" t="s">
        <v>45</v>
      </c>
      <c r="R45">
        <v>8192</v>
      </c>
      <c r="S45" t="s">
        <v>34</v>
      </c>
      <c r="T45" t="s">
        <v>35</v>
      </c>
      <c r="U45">
        <v>-414.17</v>
      </c>
      <c r="V45" t="s">
        <v>36</v>
      </c>
      <c r="W45" s="1">
        <v>46029</v>
      </c>
      <c r="X45">
        <v>2026</v>
      </c>
    </row>
    <row r="46" spans="1:24" x14ac:dyDescent="0.25">
      <c r="A46" s="1">
        <v>46077</v>
      </c>
      <c r="B46" t="s">
        <v>173</v>
      </c>
      <c r="C46" t="s">
        <v>174</v>
      </c>
      <c r="E46" t="s">
        <v>175</v>
      </c>
      <c r="F46" t="s">
        <v>40</v>
      </c>
      <c r="G46" t="s">
        <v>41</v>
      </c>
      <c r="H46" t="s">
        <v>42</v>
      </c>
      <c r="I46" t="s">
        <v>43</v>
      </c>
      <c r="J46" t="s">
        <v>44</v>
      </c>
      <c r="L46" s="1">
        <v>46054</v>
      </c>
      <c r="M46" s="1">
        <v>46054</v>
      </c>
      <c r="O46">
        <v>8812322</v>
      </c>
      <c r="P46" t="s">
        <v>32</v>
      </c>
      <c r="Q46" t="s">
        <v>45</v>
      </c>
      <c r="R46">
        <v>8192</v>
      </c>
      <c r="S46" t="s">
        <v>34</v>
      </c>
      <c r="T46" t="s">
        <v>35</v>
      </c>
      <c r="U46">
        <v>844</v>
      </c>
      <c r="V46" t="s">
        <v>46</v>
      </c>
      <c r="W46" s="1">
        <v>46030</v>
      </c>
      <c r="X46">
        <v>2026</v>
      </c>
    </row>
    <row r="47" spans="1:24" x14ac:dyDescent="0.25">
      <c r="A47" s="1">
        <v>46077</v>
      </c>
      <c r="B47" t="s">
        <v>173</v>
      </c>
      <c r="C47" t="s">
        <v>174</v>
      </c>
      <c r="E47" t="s">
        <v>175</v>
      </c>
      <c r="F47" t="s">
        <v>40</v>
      </c>
      <c r="G47" t="s">
        <v>47</v>
      </c>
      <c r="H47" t="s">
        <v>42</v>
      </c>
      <c r="I47" t="s">
        <v>43</v>
      </c>
      <c r="J47" t="s">
        <v>44</v>
      </c>
      <c r="L47" s="1">
        <v>46054</v>
      </c>
      <c r="M47" s="1">
        <v>46054</v>
      </c>
      <c r="O47">
        <v>8812322</v>
      </c>
      <c r="P47" t="s">
        <v>32</v>
      </c>
      <c r="Q47" t="s">
        <v>45</v>
      </c>
      <c r="R47">
        <v>8192</v>
      </c>
      <c r="S47" t="s">
        <v>34</v>
      </c>
      <c r="T47" t="s">
        <v>35</v>
      </c>
      <c r="U47">
        <v>-455.58</v>
      </c>
      <c r="V47" t="s">
        <v>36</v>
      </c>
      <c r="W47" s="1">
        <v>46030</v>
      </c>
      <c r="X47">
        <v>2026</v>
      </c>
    </row>
    <row r="48" spans="1:24" x14ac:dyDescent="0.25">
      <c r="A48" s="1">
        <v>46077</v>
      </c>
      <c r="B48" t="s">
        <v>176</v>
      </c>
      <c r="C48" t="s">
        <v>177</v>
      </c>
      <c r="E48" t="s">
        <v>178</v>
      </c>
      <c r="F48" t="s">
        <v>94</v>
      </c>
      <c r="G48" t="s">
        <v>179</v>
      </c>
      <c r="H48" t="s">
        <v>180</v>
      </c>
      <c r="I48" t="s">
        <v>95</v>
      </c>
      <c r="J48" t="s">
        <v>181</v>
      </c>
      <c r="K48" t="s">
        <v>182</v>
      </c>
      <c r="L48" s="1">
        <v>46054</v>
      </c>
      <c r="M48" s="1">
        <v>44562</v>
      </c>
      <c r="R48">
        <v>8192</v>
      </c>
      <c r="T48" t="s">
        <v>183</v>
      </c>
      <c r="U48">
        <v>55</v>
      </c>
      <c r="V48" t="s">
        <v>184</v>
      </c>
      <c r="W48" s="1">
        <v>44501</v>
      </c>
      <c r="X48">
        <v>2026</v>
      </c>
    </row>
    <row r="49" spans="1:24" x14ac:dyDescent="0.25">
      <c r="A49" s="1">
        <v>46077</v>
      </c>
      <c r="B49" t="s">
        <v>185</v>
      </c>
      <c r="C49" t="s">
        <v>186</v>
      </c>
      <c r="E49" t="s">
        <v>187</v>
      </c>
      <c r="F49" t="s">
        <v>27</v>
      </c>
      <c r="G49" t="s">
        <v>41</v>
      </c>
      <c r="H49" t="s">
        <v>42</v>
      </c>
      <c r="I49" t="s">
        <v>30</v>
      </c>
      <c r="J49" t="s">
        <v>145</v>
      </c>
      <c r="L49" s="1">
        <v>46082</v>
      </c>
      <c r="M49" s="1">
        <v>46082</v>
      </c>
      <c r="O49">
        <v>17528908</v>
      </c>
      <c r="P49" t="s">
        <v>32</v>
      </c>
      <c r="Q49" t="s">
        <v>146</v>
      </c>
      <c r="R49">
        <v>8192</v>
      </c>
      <c r="S49" t="s">
        <v>34</v>
      </c>
      <c r="T49" t="s">
        <v>35</v>
      </c>
      <c r="U49">
        <v>931</v>
      </c>
      <c r="V49" t="s">
        <v>46</v>
      </c>
      <c r="W49" s="1">
        <v>46036</v>
      </c>
      <c r="X49">
        <v>2026</v>
      </c>
    </row>
    <row r="50" spans="1:24" x14ac:dyDescent="0.25">
      <c r="A50" s="1">
        <v>46077</v>
      </c>
      <c r="B50" t="s">
        <v>185</v>
      </c>
      <c r="C50" t="s">
        <v>186</v>
      </c>
      <c r="E50" t="s">
        <v>187</v>
      </c>
      <c r="F50" t="s">
        <v>27</v>
      </c>
      <c r="G50" t="s">
        <v>47</v>
      </c>
      <c r="H50" t="s">
        <v>42</v>
      </c>
      <c r="I50" t="s">
        <v>30</v>
      </c>
      <c r="J50" t="s">
        <v>145</v>
      </c>
      <c r="L50" s="1">
        <v>46082</v>
      </c>
      <c r="M50" s="1">
        <v>46082</v>
      </c>
      <c r="O50">
        <v>17528908</v>
      </c>
      <c r="P50" t="s">
        <v>32</v>
      </c>
      <c r="Q50" t="s">
        <v>146</v>
      </c>
      <c r="R50">
        <v>8192</v>
      </c>
      <c r="S50" t="s">
        <v>34</v>
      </c>
      <c r="T50" t="s">
        <v>35</v>
      </c>
      <c r="U50">
        <v>-450.83</v>
      </c>
      <c r="V50" t="s">
        <v>36</v>
      </c>
      <c r="W50" s="1">
        <v>46036</v>
      </c>
      <c r="X50">
        <v>2026</v>
      </c>
    </row>
    <row r="51" spans="1:24" x14ac:dyDescent="0.25">
      <c r="A51" s="1">
        <v>46077</v>
      </c>
      <c r="B51" t="s">
        <v>188</v>
      </c>
      <c r="C51" t="s">
        <v>189</v>
      </c>
      <c r="E51" t="s">
        <v>190</v>
      </c>
      <c r="F51" t="s">
        <v>40</v>
      </c>
      <c r="G51" t="s">
        <v>41</v>
      </c>
      <c r="H51" t="s">
        <v>42</v>
      </c>
      <c r="I51" t="s">
        <v>43</v>
      </c>
      <c r="J51" t="s">
        <v>191</v>
      </c>
      <c r="L51" s="1">
        <v>46054</v>
      </c>
      <c r="M51" s="1">
        <v>46054</v>
      </c>
      <c r="O51">
        <v>17094718</v>
      </c>
      <c r="P51" t="s">
        <v>32</v>
      </c>
      <c r="Q51" t="s">
        <v>192</v>
      </c>
      <c r="R51">
        <v>8192</v>
      </c>
      <c r="S51" t="s">
        <v>34</v>
      </c>
      <c r="T51" t="s">
        <v>35</v>
      </c>
      <c r="U51">
        <v>844</v>
      </c>
      <c r="V51" t="s">
        <v>46</v>
      </c>
      <c r="W51" s="1">
        <v>46035</v>
      </c>
      <c r="X51">
        <v>2026</v>
      </c>
    </row>
    <row r="52" spans="1:24" x14ac:dyDescent="0.25">
      <c r="A52" s="1">
        <v>46077</v>
      </c>
      <c r="B52" t="s">
        <v>188</v>
      </c>
      <c r="C52" t="s">
        <v>189</v>
      </c>
      <c r="E52" t="s">
        <v>190</v>
      </c>
      <c r="F52" t="s">
        <v>40</v>
      </c>
      <c r="G52" t="s">
        <v>47</v>
      </c>
      <c r="H52" t="s">
        <v>42</v>
      </c>
      <c r="I52" t="s">
        <v>43</v>
      </c>
      <c r="J52" t="s">
        <v>191</v>
      </c>
      <c r="L52" s="1">
        <v>46054</v>
      </c>
      <c r="M52" s="1">
        <v>46054</v>
      </c>
      <c r="O52">
        <v>17094718</v>
      </c>
      <c r="P52" t="s">
        <v>32</v>
      </c>
      <c r="Q52" t="s">
        <v>192</v>
      </c>
      <c r="R52">
        <v>8192</v>
      </c>
      <c r="S52" t="s">
        <v>34</v>
      </c>
      <c r="T52" t="s">
        <v>35</v>
      </c>
      <c r="U52">
        <v>-455.58</v>
      </c>
      <c r="V52" t="s">
        <v>36</v>
      </c>
      <c r="W52" s="1">
        <v>46035</v>
      </c>
      <c r="X52">
        <v>2026</v>
      </c>
    </row>
    <row r="53" spans="1:24" x14ac:dyDescent="0.25">
      <c r="A53" s="1">
        <v>46077</v>
      </c>
      <c r="B53" t="s">
        <v>193</v>
      </c>
      <c r="C53" t="s">
        <v>194</v>
      </c>
      <c r="E53" t="s">
        <v>195</v>
      </c>
      <c r="F53" t="s">
        <v>40</v>
      </c>
      <c r="G53" t="s">
        <v>28</v>
      </c>
      <c r="H53" t="s">
        <v>42</v>
      </c>
      <c r="I53" t="s">
        <v>43</v>
      </c>
      <c r="J53" t="s">
        <v>44</v>
      </c>
      <c r="L53" s="1">
        <v>46113</v>
      </c>
      <c r="M53" s="1">
        <v>46113</v>
      </c>
      <c r="O53">
        <v>8307933</v>
      </c>
      <c r="P53" t="s">
        <v>32</v>
      </c>
      <c r="Q53" t="s">
        <v>196</v>
      </c>
      <c r="R53">
        <v>8192</v>
      </c>
      <c r="S53" t="s">
        <v>34</v>
      </c>
      <c r="T53" t="s">
        <v>35</v>
      </c>
      <c r="U53">
        <v>372.75</v>
      </c>
      <c r="V53" t="s">
        <v>36</v>
      </c>
      <c r="W53" s="1">
        <v>46057</v>
      </c>
      <c r="X53">
        <v>2026</v>
      </c>
    </row>
    <row r="54" spans="1:24" x14ac:dyDescent="0.25">
      <c r="A54" s="1">
        <v>46077</v>
      </c>
      <c r="B54" t="s">
        <v>197</v>
      </c>
      <c r="C54" t="s">
        <v>198</v>
      </c>
      <c r="E54" t="s">
        <v>199</v>
      </c>
      <c r="F54" t="s">
        <v>40</v>
      </c>
      <c r="G54" t="s">
        <v>28</v>
      </c>
      <c r="H54" t="s">
        <v>42</v>
      </c>
      <c r="I54" t="s">
        <v>71</v>
      </c>
      <c r="J54" t="s">
        <v>200</v>
      </c>
      <c r="L54" s="1">
        <v>46082</v>
      </c>
      <c r="M54" s="1">
        <v>46082</v>
      </c>
      <c r="O54">
        <v>18201929</v>
      </c>
      <c r="P54" t="s">
        <v>32</v>
      </c>
      <c r="Q54" t="s">
        <v>201</v>
      </c>
      <c r="R54">
        <v>8192</v>
      </c>
      <c r="S54" t="s">
        <v>34</v>
      </c>
      <c r="T54" t="s">
        <v>35</v>
      </c>
      <c r="U54">
        <v>414.17</v>
      </c>
      <c r="V54" t="s">
        <v>36</v>
      </c>
      <c r="W54" s="1">
        <v>46058</v>
      </c>
      <c r="X54">
        <v>2026</v>
      </c>
    </row>
    <row r="55" spans="1:24" x14ac:dyDescent="0.25">
      <c r="A55" s="1">
        <v>46077</v>
      </c>
      <c r="B55" t="s">
        <v>202</v>
      </c>
      <c r="C55" t="s">
        <v>203</v>
      </c>
      <c r="E55" t="s">
        <v>204</v>
      </c>
      <c r="F55" t="s">
        <v>40</v>
      </c>
      <c r="G55" t="s">
        <v>41</v>
      </c>
      <c r="H55" t="s">
        <v>42</v>
      </c>
      <c r="I55" t="s">
        <v>43</v>
      </c>
      <c r="J55" t="s">
        <v>101</v>
      </c>
      <c r="L55" s="1">
        <v>46054</v>
      </c>
      <c r="M55" s="1">
        <v>46054</v>
      </c>
      <c r="O55">
        <v>18828278</v>
      </c>
      <c r="P55" t="s">
        <v>32</v>
      </c>
      <c r="Q55" t="s">
        <v>205</v>
      </c>
      <c r="R55">
        <v>8192</v>
      </c>
      <c r="S55" t="s">
        <v>34</v>
      </c>
      <c r="T55" t="s">
        <v>35</v>
      </c>
      <c r="U55">
        <v>844</v>
      </c>
      <c r="V55" t="s">
        <v>46</v>
      </c>
      <c r="W55" s="1">
        <v>46035</v>
      </c>
      <c r="X55">
        <v>2026</v>
      </c>
    </row>
    <row r="56" spans="1:24" x14ac:dyDescent="0.25">
      <c r="A56" s="1">
        <v>46077</v>
      </c>
      <c r="B56" t="s">
        <v>202</v>
      </c>
      <c r="C56" t="s">
        <v>203</v>
      </c>
      <c r="E56" t="s">
        <v>204</v>
      </c>
      <c r="F56" t="s">
        <v>40</v>
      </c>
      <c r="G56" t="s">
        <v>47</v>
      </c>
      <c r="H56" t="s">
        <v>42</v>
      </c>
      <c r="I56" t="s">
        <v>43</v>
      </c>
      <c r="J56" t="s">
        <v>101</v>
      </c>
      <c r="L56" s="1">
        <v>46054</v>
      </c>
      <c r="M56" s="1">
        <v>46054</v>
      </c>
      <c r="O56">
        <v>18828278</v>
      </c>
      <c r="P56" t="s">
        <v>32</v>
      </c>
      <c r="Q56" t="s">
        <v>205</v>
      </c>
      <c r="R56">
        <v>8192</v>
      </c>
      <c r="S56" t="s">
        <v>34</v>
      </c>
      <c r="T56" t="s">
        <v>35</v>
      </c>
      <c r="U56">
        <v>-455.58</v>
      </c>
      <c r="V56" t="s">
        <v>36</v>
      </c>
      <c r="W56" s="1">
        <v>46035</v>
      </c>
      <c r="X56">
        <v>2026</v>
      </c>
    </row>
    <row r="57" spans="1:24" x14ac:dyDescent="0.25">
      <c r="A57" s="1">
        <v>46077</v>
      </c>
      <c r="B57" t="s">
        <v>206</v>
      </c>
      <c r="C57" t="s">
        <v>207</v>
      </c>
      <c r="E57" t="s">
        <v>208</v>
      </c>
      <c r="F57" t="s">
        <v>94</v>
      </c>
      <c r="G57" t="s">
        <v>41</v>
      </c>
      <c r="H57" t="s">
        <v>42</v>
      </c>
      <c r="I57" t="s">
        <v>95</v>
      </c>
      <c r="J57" t="s">
        <v>209</v>
      </c>
      <c r="L57" s="1">
        <v>46054</v>
      </c>
      <c r="M57" s="1">
        <v>46054</v>
      </c>
      <c r="O57">
        <v>19491313</v>
      </c>
      <c r="P57" t="s">
        <v>32</v>
      </c>
      <c r="Q57" t="s">
        <v>210</v>
      </c>
      <c r="R57">
        <v>8192</v>
      </c>
      <c r="S57" t="s">
        <v>34</v>
      </c>
      <c r="T57" t="s">
        <v>35</v>
      </c>
      <c r="U57">
        <v>844</v>
      </c>
      <c r="V57" t="s">
        <v>46</v>
      </c>
      <c r="W57" s="1">
        <v>46034</v>
      </c>
      <c r="X57">
        <v>2026</v>
      </c>
    </row>
    <row r="58" spans="1:24" x14ac:dyDescent="0.25">
      <c r="A58" s="1">
        <v>46077</v>
      </c>
      <c r="B58" t="s">
        <v>206</v>
      </c>
      <c r="C58" t="s">
        <v>207</v>
      </c>
      <c r="E58" t="s">
        <v>208</v>
      </c>
      <c r="F58" t="s">
        <v>94</v>
      </c>
      <c r="G58" t="s">
        <v>47</v>
      </c>
      <c r="H58" t="s">
        <v>42</v>
      </c>
      <c r="I58" t="s">
        <v>95</v>
      </c>
      <c r="J58" t="s">
        <v>209</v>
      </c>
      <c r="L58" s="1">
        <v>46054</v>
      </c>
      <c r="M58" s="1">
        <v>46054</v>
      </c>
      <c r="O58">
        <v>19491313</v>
      </c>
      <c r="P58" t="s">
        <v>32</v>
      </c>
      <c r="Q58" t="s">
        <v>210</v>
      </c>
      <c r="R58">
        <v>8192</v>
      </c>
      <c r="S58" t="s">
        <v>34</v>
      </c>
      <c r="T58" t="s">
        <v>35</v>
      </c>
      <c r="U58">
        <v>-455.58</v>
      </c>
      <c r="V58" t="s">
        <v>36</v>
      </c>
      <c r="W58" s="1">
        <v>46034</v>
      </c>
      <c r="X58">
        <v>2026</v>
      </c>
    </row>
    <row r="59" spans="1:24" x14ac:dyDescent="0.25">
      <c r="A59" s="1">
        <v>46077</v>
      </c>
      <c r="B59" t="s">
        <v>211</v>
      </c>
      <c r="C59" t="s">
        <v>212</v>
      </c>
      <c r="E59" t="s">
        <v>213</v>
      </c>
      <c r="F59" t="s">
        <v>27</v>
      </c>
      <c r="G59" t="s">
        <v>41</v>
      </c>
      <c r="H59" t="s">
        <v>42</v>
      </c>
      <c r="I59" t="s">
        <v>30</v>
      </c>
      <c r="J59" t="s">
        <v>214</v>
      </c>
      <c r="L59" s="1">
        <v>46054</v>
      </c>
      <c r="M59" s="1">
        <v>46054</v>
      </c>
      <c r="O59">
        <v>15950276</v>
      </c>
      <c r="P59" t="s">
        <v>32</v>
      </c>
      <c r="Q59" t="s">
        <v>215</v>
      </c>
      <c r="R59">
        <v>8192</v>
      </c>
      <c r="S59" t="s">
        <v>34</v>
      </c>
      <c r="T59" t="s">
        <v>35</v>
      </c>
      <c r="U59">
        <v>931</v>
      </c>
      <c r="V59" t="s">
        <v>46</v>
      </c>
      <c r="W59" s="1">
        <v>46037</v>
      </c>
      <c r="X59">
        <v>2026</v>
      </c>
    </row>
    <row r="60" spans="1:24" x14ac:dyDescent="0.25">
      <c r="A60" s="1">
        <v>46077</v>
      </c>
      <c r="B60" t="s">
        <v>211</v>
      </c>
      <c r="C60" t="s">
        <v>212</v>
      </c>
      <c r="E60" t="s">
        <v>213</v>
      </c>
      <c r="F60" t="s">
        <v>27</v>
      </c>
      <c r="G60" t="s">
        <v>47</v>
      </c>
      <c r="H60" t="s">
        <v>42</v>
      </c>
      <c r="I60" t="s">
        <v>30</v>
      </c>
      <c r="J60" t="s">
        <v>214</v>
      </c>
      <c r="L60" s="1">
        <v>46054</v>
      </c>
      <c r="M60" s="1">
        <v>46054</v>
      </c>
      <c r="O60">
        <v>15950276</v>
      </c>
      <c r="P60" t="s">
        <v>32</v>
      </c>
      <c r="Q60" t="s">
        <v>215</v>
      </c>
      <c r="R60">
        <v>8192</v>
      </c>
      <c r="S60" t="s">
        <v>34</v>
      </c>
      <c r="T60" t="s">
        <v>35</v>
      </c>
      <c r="U60">
        <v>-495.92</v>
      </c>
      <c r="V60" t="s">
        <v>36</v>
      </c>
      <c r="W60" s="1">
        <v>46037</v>
      </c>
      <c r="X60">
        <v>2026</v>
      </c>
    </row>
    <row r="61" spans="1:24" x14ac:dyDescent="0.25">
      <c r="A61" s="1"/>
      <c r="L61" s="1"/>
      <c r="M61" s="1"/>
      <c r="W61" s="1"/>
    </row>
    <row r="62" spans="1:24" x14ac:dyDescent="0.25">
      <c r="A62" s="1"/>
      <c r="L62" s="1"/>
      <c r="M62" s="1"/>
      <c r="W62" s="1"/>
    </row>
    <row r="63" spans="1:24" x14ac:dyDescent="0.25">
      <c r="A63" s="1"/>
      <c r="L63" s="1"/>
      <c r="M63" s="1"/>
      <c r="W63" s="1"/>
    </row>
    <row r="64" spans="1:24" x14ac:dyDescent="0.25">
      <c r="A64" s="1"/>
      <c r="L64" s="1"/>
      <c r="M64" s="1"/>
      <c r="W64" s="1"/>
    </row>
    <row r="65" spans="1:23" x14ac:dyDescent="0.25">
      <c r="A65" s="1"/>
      <c r="L65" s="1"/>
      <c r="M65" s="1"/>
      <c r="W65" s="1"/>
    </row>
    <row r="66" spans="1:23" x14ac:dyDescent="0.25">
      <c r="A66" s="1"/>
      <c r="L66" s="1"/>
      <c r="M66" s="1"/>
      <c r="W66" s="1"/>
    </row>
    <row r="67" spans="1:23" x14ac:dyDescent="0.25">
      <c r="A67" s="1"/>
      <c r="L67" s="1"/>
      <c r="M67" s="1"/>
      <c r="W67" s="1"/>
    </row>
    <row r="68" spans="1:23" x14ac:dyDescent="0.25">
      <c r="A68" s="1"/>
      <c r="L68" s="1"/>
      <c r="M68" s="1"/>
      <c r="W68" s="1"/>
    </row>
    <row r="69" spans="1:23" x14ac:dyDescent="0.25">
      <c r="A69" s="1"/>
      <c r="L69" s="1"/>
      <c r="M69" s="1"/>
      <c r="W69" s="1"/>
    </row>
    <row r="70" spans="1:23" x14ac:dyDescent="0.25">
      <c r="A70" s="1"/>
      <c r="L70" s="1"/>
      <c r="M70" s="1"/>
      <c r="W70" s="1"/>
    </row>
    <row r="71" spans="1:23" x14ac:dyDescent="0.25">
      <c r="A71" s="1"/>
      <c r="L71" s="1"/>
      <c r="M71" s="1"/>
      <c r="W71" s="1"/>
    </row>
    <row r="72" spans="1:23" x14ac:dyDescent="0.25">
      <c r="A72" s="1"/>
      <c r="L72" s="1"/>
      <c r="M72" s="1"/>
      <c r="W72" s="1"/>
    </row>
    <row r="73" spans="1:23" x14ac:dyDescent="0.25">
      <c r="A73" s="1"/>
      <c r="L73" s="1"/>
      <c r="M73" s="1"/>
      <c r="W73" s="1"/>
    </row>
    <row r="74" spans="1:23" x14ac:dyDescent="0.25">
      <c r="A74" s="1"/>
      <c r="L74" s="1"/>
      <c r="M74" s="1"/>
      <c r="W74" s="1"/>
    </row>
    <row r="75" spans="1:23" x14ac:dyDescent="0.25">
      <c r="A75" s="1"/>
      <c r="L75" s="1"/>
      <c r="M75" s="1"/>
      <c r="W75" s="1"/>
    </row>
    <row r="76" spans="1:23" x14ac:dyDescent="0.25">
      <c r="A76" s="1"/>
      <c r="L76" s="1"/>
      <c r="M76" s="1"/>
      <c r="W76" s="1"/>
    </row>
    <row r="77" spans="1:23" x14ac:dyDescent="0.25">
      <c r="A77" s="1"/>
      <c r="L77" s="1"/>
      <c r="M77" s="1"/>
      <c r="W77" s="1"/>
    </row>
    <row r="78" spans="1:23" x14ac:dyDescent="0.25">
      <c r="A78" s="1"/>
      <c r="L78" s="1"/>
      <c r="M78" s="1"/>
      <c r="W78" s="1"/>
    </row>
    <row r="79" spans="1:23" x14ac:dyDescent="0.25">
      <c r="A79" s="1"/>
      <c r="L79" s="1"/>
      <c r="M79" s="1"/>
      <c r="W79" s="1"/>
    </row>
    <row r="80" spans="1:23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N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N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N740" s="1"/>
      <c r="W740" s="1"/>
    </row>
    <row r="741" spans="1:23" x14ac:dyDescent="0.25">
      <c r="A741" s="1"/>
      <c r="L741" s="1"/>
      <c r="M741" s="1"/>
      <c r="N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N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N890" s="1"/>
      <c r="W890" s="1"/>
    </row>
    <row r="891" spans="1:23" x14ac:dyDescent="0.25">
      <c r="A891" s="1"/>
      <c r="L891" s="1"/>
      <c r="M891" s="1"/>
      <c r="N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N899" s="1"/>
      <c r="W899" s="1"/>
    </row>
    <row r="900" spans="1:23" x14ac:dyDescent="0.25">
      <c r="A900" s="1"/>
      <c r="L900" s="1"/>
      <c r="M900" s="1"/>
      <c r="N900" s="1"/>
      <c r="W900" s="1"/>
    </row>
    <row r="901" spans="1:23" x14ac:dyDescent="0.25">
      <c r="A901" s="1"/>
      <c r="L901" s="1"/>
      <c r="M901" s="1"/>
      <c r="N901" s="1"/>
      <c r="W901" s="1"/>
    </row>
    <row r="902" spans="1:23" x14ac:dyDescent="0.25">
      <c r="A902" s="1"/>
      <c r="L902" s="1"/>
      <c r="M902" s="1"/>
      <c r="N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N930" s="1"/>
      <c r="W930" s="1"/>
    </row>
    <row r="931" spans="1:23" x14ac:dyDescent="0.25">
      <c r="A931" s="1"/>
      <c r="L931" s="1"/>
      <c r="M931" s="1"/>
      <c r="N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N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N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N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N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N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N1303" s="1"/>
      <c r="W1303" s="1"/>
    </row>
    <row r="1304" spans="1:23" x14ac:dyDescent="0.25">
      <c r="A1304" s="1"/>
      <c r="L1304" s="1"/>
      <c r="M1304" s="1"/>
      <c r="N1304" s="1"/>
      <c r="W1304" s="1"/>
    </row>
    <row r="1305" spans="1:23" x14ac:dyDescent="0.25">
      <c r="A1305" s="1"/>
      <c r="L1305" s="1"/>
      <c r="M1305" s="1"/>
      <c r="N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N1308" s="1"/>
      <c r="W1308" s="1"/>
    </row>
    <row r="1309" spans="1:23" x14ac:dyDescent="0.25">
      <c r="A1309" s="1"/>
      <c r="L1309" s="1"/>
      <c r="M1309" s="1"/>
      <c r="N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N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N1317" s="1"/>
      <c r="W1317" s="1"/>
    </row>
    <row r="1318" spans="1:23" x14ac:dyDescent="0.25">
      <c r="A1318" s="1"/>
      <c r="L1318" s="1"/>
      <c r="M1318" s="1"/>
      <c r="N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N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N1328" s="1"/>
      <c r="W1328" s="1"/>
    </row>
    <row r="1329" spans="1:23" x14ac:dyDescent="0.25">
      <c r="A1329" s="1"/>
      <c r="L1329" s="1"/>
      <c r="M1329" s="1"/>
      <c r="W1329" s="1"/>
    </row>
    <row r="1330" spans="1:23" x14ac:dyDescent="0.25">
      <c r="A1330" s="1"/>
      <c r="L1330" s="1"/>
      <c r="M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N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N1338" s="1"/>
      <c r="W1338" s="1"/>
    </row>
    <row r="1339" spans="1:23" x14ac:dyDescent="0.25">
      <c r="A1339" s="1"/>
      <c r="L1339" s="1"/>
      <c r="M1339" s="1"/>
      <c r="N1339" s="1"/>
      <c r="W1339" s="1"/>
    </row>
    <row r="1340" spans="1:23" x14ac:dyDescent="0.25">
      <c r="A1340" s="1"/>
      <c r="L1340" s="1"/>
      <c r="M1340" s="1"/>
      <c r="W1340" s="1"/>
    </row>
    <row r="1343" spans="1:23" x14ac:dyDescent="0.25">
      <c r="A1343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4018-3B33-438C-AA16-01D1033032D1}">
  <dimension ref="A1:AB1387"/>
  <sheetViews>
    <sheetView tabSelected="1" topLeftCell="B68" workbookViewId="0">
      <selection activeCell="Q2" sqref="Q2:Q50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1.140625" customWidth="1"/>
    <col min="4" max="4" width="11.7109375" customWidth="1"/>
    <col min="5" max="5" width="17.5703125" customWidth="1"/>
    <col min="6" max="6" width="5.85546875" customWidth="1"/>
    <col min="7" max="7" width="21.5703125" customWidth="1"/>
    <col min="8" max="8" width="7.85546875" bestFit="1" customWidth="1"/>
    <col min="9" max="9" width="15.7109375" bestFit="1" customWidth="1"/>
    <col min="10" max="10" width="13.5703125" bestFit="1" customWidth="1"/>
    <col min="11" max="11" width="18" bestFit="1" customWidth="1"/>
    <col min="12" max="12" width="27.85546875" bestFit="1" customWidth="1"/>
    <col min="13" max="13" width="11.5703125" bestFit="1" customWidth="1"/>
    <col min="14" max="14" width="14.140625" bestFit="1" customWidth="1"/>
    <col min="16" max="16" width="21.140625" bestFit="1" customWidth="1"/>
    <col min="17" max="17" width="24.140625" bestFit="1" customWidth="1"/>
  </cols>
  <sheetData>
    <row r="1" spans="1:28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16</v>
      </c>
      <c r="M1" t="s">
        <v>18</v>
      </c>
      <c r="N1" t="s">
        <v>20</v>
      </c>
    </row>
    <row r="2" spans="1:28" s="2" customFormat="1" x14ac:dyDescent="0.25">
      <c r="A2" s="2" t="s">
        <v>60</v>
      </c>
      <c r="B2" s="2" t="str">
        <f>CONCATENATE(A2,77)</f>
        <v>7TF0D84KN1377</v>
      </c>
      <c r="C2" s="2" t="s">
        <v>235</v>
      </c>
      <c r="D2" s="2" t="s">
        <v>236</v>
      </c>
      <c r="E2" s="2" t="str">
        <f>CONCATENATE(D2, " ",C2)</f>
        <v>DAVID CADDY</v>
      </c>
      <c r="F2" s="2" t="s">
        <v>63</v>
      </c>
      <c r="G2" s="2" t="s">
        <v>64</v>
      </c>
      <c r="H2" s="2" t="s">
        <v>42</v>
      </c>
      <c r="I2" s="3">
        <v>46023</v>
      </c>
      <c r="J2" s="3">
        <v>46023</v>
      </c>
      <c r="K2" s="2">
        <v>17117649</v>
      </c>
      <c r="L2" s="2" t="s">
        <v>67</v>
      </c>
      <c r="M2" s="2" t="s">
        <v>34</v>
      </c>
      <c r="N2" s="2">
        <v>-844</v>
      </c>
      <c r="O2" s="2">
        <v>-694</v>
      </c>
      <c r="P2" s="2" t="s">
        <v>218</v>
      </c>
      <c r="Q2" s="2" t="s">
        <v>217</v>
      </c>
    </row>
    <row r="3" spans="1:28" s="2" customFormat="1" x14ac:dyDescent="0.25">
      <c r="A3" s="2" t="s">
        <v>167</v>
      </c>
      <c r="B3" s="2" t="str">
        <f>CONCATENATE(A3,77)</f>
        <v>4TM9XJ5GP1977</v>
      </c>
      <c r="C3" s="2" t="s">
        <v>237</v>
      </c>
      <c r="D3" s="2" t="s">
        <v>238</v>
      </c>
      <c r="E3" s="2" t="str">
        <f>CONCATENATE(D3, " ",C3)</f>
        <v>BEA NANCE</v>
      </c>
      <c r="F3" s="2" t="s">
        <v>63</v>
      </c>
      <c r="G3" s="2" t="s">
        <v>41</v>
      </c>
      <c r="H3" s="2" t="s">
        <v>42</v>
      </c>
      <c r="I3" s="3">
        <v>46054</v>
      </c>
      <c r="J3" s="3">
        <v>46054</v>
      </c>
      <c r="K3" s="2">
        <v>17117649</v>
      </c>
      <c r="L3" s="2" t="s">
        <v>67</v>
      </c>
      <c r="M3" s="2" t="s">
        <v>34</v>
      </c>
      <c r="N3" s="2">
        <v>844</v>
      </c>
      <c r="O3" s="2">
        <v>694</v>
      </c>
      <c r="P3" s="2" t="s">
        <v>218</v>
      </c>
      <c r="Q3" s="2" t="s">
        <v>217</v>
      </c>
    </row>
    <row r="4" spans="1:28" s="4" customFormat="1" x14ac:dyDescent="0.25">
      <c r="A4" s="2" t="s">
        <v>206</v>
      </c>
      <c r="B4" s="2" t="str">
        <f>CONCATENATE(A4,77)</f>
        <v>5N01QD7XX0777</v>
      </c>
      <c r="C4" s="2" t="s">
        <v>239</v>
      </c>
      <c r="D4" s="2" t="s">
        <v>240</v>
      </c>
      <c r="E4" s="2" t="str">
        <f>CONCATENATE(D4, " ",C4)</f>
        <v>SCOTT ULERY</v>
      </c>
      <c r="F4" s="2" t="s">
        <v>94</v>
      </c>
      <c r="G4" s="2" t="s">
        <v>41</v>
      </c>
      <c r="H4" s="2" t="s">
        <v>42</v>
      </c>
      <c r="I4" s="3">
        <v>46054</v>
      </c>
      <c r="J4" s="3">
        <v>46054</v>
      </c>
      <c r="K4" s="2">
        <v>19491313</v>
      </c>
      <c r="L4" s="2" t="s">
        <v>210</v>
      </c>
      <c r="M4" s="2" t="s">
        <v>34</v>
      </c>
      <c r="N4" s="2">
        <v>844</v>
      </c>
      <c r="O4" s="2">
        <v>694</v>
      </c>
      <c r="P4" s="2" t="s">
        <v>218</v>
      </c>
      <c r="Q4" s="2" t="s">
        <v>217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8" s="4" customFormat="1" x14ac:dyDescent="0.25">
      <c r="A5" s="2" t="s">
        <v>98</v>
      </c>
      <c r="B5" s="2" t="str">
        <f>CONCATENATE(A5,77)</f>
        <v>1HV9XT2AE1077</v>
      </c>
      <c r="C5" s="2" t="s">
        <v>241</v>
      </c>
      <c r="D5" s="2" t="s">
        <v>242</v>
      </c>
      <c r="E5" s="2" t="str">
        <f>CONCATENATE(D5, " ",C5)</f>
        <v>MARTHA ECKERT</v>
      </c>
      <c r="F5" s="2" t="s">
        <v>40</v>
      </c>
      <c r="G5" s="2" t="s">
        <v>41</v>
      </c>
      <c r="H5" s="2" t="s">
        <v>42</v>
      </c>
      <c r="I5" s="3">
        <v>46113</v>
      </c>
      <c r="J5" s="3">
        <v>46113</v>
      </c>
      <c r="K5" s="2">
        <v>8244481</v>
      </c>
      <c r="L5" s="2" t="s">
        <v>102</v>
      </c>
      <c r="M5" s="2" t="s">
        <v>34</v>
      </c>
      <c r="N5" s="2">
        <v>844</v>
      </c>
      <c r="O5" s="2">
        <v>694</v>
      </c>
      <c r="P5" s="2" t="s">
        <v>218</v>
      </c>
      <c r="Q5" s="2" t="s">
        <v>217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s="2" customFormat="1" x14ac:dyDescent="0.25">
      <c r="A6" s="2" t="s">
        <v>202</v>
      </c>
      <c r="B6" s="2" t="str">
        <f>CONCATENATE(A6,77)</f>
        <v>7PX3J74YQ0977</v>
      </c>
      <c r="C6" s="2" t="s">
        <v>243</v>
      </c>
      <c r="D6" s="2" t="s">
        <v>244</v>
      </c>
      <c r="E6" s="2" t="str">
        <f>CONCATENATE(D6, " ",C6)</f>
        <v>TAMMY THOMAS</v>
      </c>
      <c r="F6" s="2" t="s">
        <v>40</v>
      </c>
      <c r="G6" s="2" t="s">
        <v>41</v>
      </c>
      <c r="H6" s="2" t="s">
        <v>42</v>
      </c>
      <c r="I6" s="3">
        <v>46054</v>
      </c>
      <c r="J6" s="3">
        <v>46054</v>
      </c>
      <c r="K6" s="2">
        <v>18828278</v>
      </c>
      <c r="L6" s="2" t="s">
        <v>205</v>
      </c>
      <c r="M6" s="2" t="s">
        <v>34</v>
      </c>
      <c r="N6" s="2">
        <v>844</v>
      </c>
      <c r="O6" s="2">
        <v>694</v>
      </c>
      <c r="P6" s="2" t="s">
        <v>218</v>
      </c>
      <c r="Q6" s="2" t="s">
        <v>217</v>
      </c>
      <c r="AB6" s="4"/>
    </row>
    <row r="7" spans="1:28" s="2" customFormat="1" x14ac:dyDescent="0.25">
      <c r="A7" s="2" t="s">
        <v>131</v>
      </c>
      <c r="B7" s="2" t="str">
        <f>CONCATENATE(A7,77)</f>
        <v>4U90Y35GE3177</v>
      </c>
      <c r="C7" s="2" t="s">
        <v>245</v>
      </c>
      <c r="D7" s="2" t="s">
        <v>246</v>
      </c>
      <c r="E7" s="2" t="str">
        <f>CONCATENATE(D7, " ",C7)</f>
        <v>JOHN HORNYAK</v>
      </c>
      <c r="F7" s="2" t="s">
        <v>134</v>
      </c>
      <c r="G7" s="2" t="s">
        <v>41</v>
      </c>
      <c r="H7" s="2" t="s">
        <v>42</v>
      </c>
      <c r="I7" s="3">
        <v>46054</v>
      </c>
      <c r="J7" s="3">
        <v>46054</v>
      </c>
      <c r="K7" s="2">
        <v>17425766</v>
      </c>
      <c r="L7" s="2" t="s">
        <v>113</v>
      </c>
      <c r="M7" s="2" t="s">
        <v>34</v>
      </c>
      <c r="N7" s="2">
        <v>844</v>
      </c>
      <c r="O7" s="2">
        <v>694</v>
      </c>
      <c r="P7" s="2" t="s">
        <v>218</v>
      </c>
      <c r="Q7" s="2" t="s">
        <v>217</v>
      </c>
    </row>
    <row r="8" spans="1:28" s="4" customFormat="1" x14ac:dyDescent="0.25">
      <c r="A8" s="2" t="s">
        <v>188</v>
      </c>
      <c r="B8" s="2" t="str">
        <f>CONCATENATE(A8,77)</f>
        <v>8FY3H56EG0277</v>
      </c>
      <c r="C8" s="2" t="s">
        <v>249</v>
      </c>
      <c r="D8" s="2" t="s">
        <v>246</v>
      </c>
      <c r="E8" s="2" t="str">
        <f>CONCATENATE(D8, " ",C8)</f>
        <v>JOHN POLLARD</v>
      </c>
      <c r="F8" s="2" t="s">
        <v>40</v>
      </c>
      <c r="G8" s="2" t="s">
        <v>41</v>
      </c>
      <c r="H8" s="2" t="s">
        <v>42</v>
      </c>
      <c r="I8" s="3">
        <v>46054</v>
      </c>
      <c r="J8" s="3">
        <v>46054</v>
      </c>
      <c r="K8" s="2">
        <v>17094718</v>
      </c>
      <c r="L8" s="2" t="s">
        <v>192</v>
      </c>
      <c r="M8" s="2" t="s">
        <v>34</v>
      </c>
      <c r="N8" s="2">
        <v>844</v>
      </c>
      <c r="O8" s="2">
        <v>694</v>
      </c>
      <c r="P8" s="2" t="s">
        <v>218</v>
      </c>
      <c r="Q8" s="2" t="s">
        <v>217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8" s="4" customFormat="1" x14ac:dyDescent="0.25">
      <c r="A9" s="2" t="s">
        <v>114</v>
      </c>
      <c r="B9" s="2" t="str">
        <f>CONCATENATE(A9,77)</f>
        <v>4Q82TY8NQ0077</v>
      </c>
      <c r="C9" s="2" t="s">
        <v>250</v>
      </c>
      <c r="D9" s="2" t="s">
        <v>251</v>
      </c>
      <c r="E9" s="2" t="str">
        <f>CONCATENATE(D9, " ",C9)</f>
        <v>MICHAEL HANSON</v>
      </c>
      <c r="F9" s="2" t="s">
        <v>40</v>
      </c>
      <c r="G9" s="2" t="s">
        <v>41</v>
      </c>
      <c r="H9" s="2" t="s">
        <v>42</v>
      </c>
      <c r="I9" s="3">
        <v>46054</v>
      </c>
      <c r="J9" s="3">
        <v>46054</v>
      </c>
      <c r="K9" s="2">
        <v>18581063</v>
      </c>
      <c r="L9" s="2" t="s">
        <v>118</v>
      </c>
      <c r="M9" s="2" t="s">
        <v>34</v>
      </c>
      <c r="N9" s="2">
        <v>844</v>
      </c>
      <c r="O9" s="2">
        <v>694</v>
      </c>
      <c r="P9" s="2" t="s">
        <v>218</v>
      </c>
      <c r="Q9" s="2" t="s">
        <v>217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8" s="2" customFormat="1" x14ac:dyDescent="0.25">
      <c r="A10" s="2" t="s">
        <v>154</v>
      </c>
      <c r="B10" s="2" t="str">
        <f>CONCATENATE(A10,77)</f>
        <v>9TG5GC9FT7877</v>
      </c>
      <c r="C10" s="2" t="s">
        <v>268</v>
      </c>
      <c r="D10" s="2" t="s">
        <v>243</v>
      </c>
      <c r="E10" s="2" t="str">
        <f>CONCATENATE(D10, " ",C10)</f>
        <v>THOMAS MACHOR</v>
      </c>
      <c r="F10" s="2" t="s">
        <v>94</v>
      </c>
      <c r="G10" s="2" t="s">
        <v>157</v>
      </c>
      <c r="H10" s="2" t="s">
        <v>42</v>
      </c>
      <c r="I10" s="3">
        <v>46054</v>
      </c>
      <c r="J10" s="3">
        <v>46054</v>
      </c>
      <c r="K10" s="2">
        <v>18142208</v>
      </c>
      <c r="L10" s="2" t="s">
        <v>97</v>
      </c>
      <c r="M10" s="2" t="s">
        <v>34</v>
      </c>
      <c r="N10" s="2">
        <v>773.67</v>
      </c>
      <c r="O10" s="2">
        <v>636.16999999999996</v>
      </c>
      <c r="P10" s="2" t="s">
        <v>218</v>
      </c>
      <c r="Q10" s="2" t="s">
        <v>228</v>
      </c>
      <c r="R10" s="2">
        <f>694/12*11</f>
        <v>636.16666666666674</v>
      </c>
      <c r="AB10" s="4"/>
    </row>
    <row r="11" spans="1:28" s="2" customFormat="1" x14ac:dyDescent="0.25">
      <c r="A11" s="2" t="s">
        <v>163</v>
      </c>
      <c r="B11" s="2" t="str">
        <f>CONCATENATE(A11,77)</f>
        <v>9FQ1Q07VG9677</v>
      </c>
      <c r="C11" s="2" t="s">
        <v>271</v>
      </c>
      <c r="D11" s="2" t="s">
        <v>272</v>
      </c>
      <c r="E11" s="2" t="str">
        <f>CONCATENATE(D11, " ",C11)</f>
        <v>JOYCE MOORE</v>
      </c>
      <c r="F11" s="2" t="s">
        <v>40</v>
      </c>
      <c r="G11" s="2" t="s">
        <v>157</v>
      </c>
      <c r="H11" s="2" t="s">
        <v>42</v>
      </c>
      <c r="I11" s="3">
        <v>46054</v>
      </c>
      <c r="J11" s="3">
        <v>46054</v>
      </c>
      <c r="K11" s="2">
        <v>8812322</v>
      </c>
      <c r="L11" s="2" t="s">
        <v>45</v>
      </c>
      <c r="M11" s="2" t="s">
        <v>34</v>
      </c>
      <c r="N11" s="2">
        <v>773.67</v>
      </c>
      <c r="O11" s="2">
        <v>636.16999999999996</v>
      </c>
      <c r="P11" s="2" t="s">
        <v>218</v>
      </c>
      <c r="Q11" s="2" t="s">
        <v>228</v>
      </c>
      <c r="AB11" s="4"/>
    </row>
    <row r="12" spans="1:28" s="2" customFormat="1" x14ac:dyDescent="0.25">
      <c r="A12" s="2" t="s">
        <v>37</v>
      </c>
      <c r="B12" s="2" t="str">
        <f>CONCATENATE(A12,77)</f>
        <v>4D47VN9DV5977</v>
      </c>
      <c r="C12" s="2" t="s">
        <v>273</v>
      </c>
      <c r="D12" s="2" t="s">
        <v>274</v>
      </c>
      <c r="E12" s="2" t="str">
        <f>CONCATENATE(D12, " ",C12)</f>
        <v>DANNY BORLAND</v>
      </c>
      <c r="F12" s="2" t="s">
        <v>40</v>
      </c>
      <c r="G12" s="2" t="s">
        <v>41</v>
      </c>
      <c r="H12" s="2" t="s">
        <v>42</v>
      </c>
      <c r="I12" s="3">
        <v>46054</v>
      </c>
      <c r="J12" s="3">
        <v>46054</v>
      </c>
      <c r="K12" s="2">
        <v>8812322</v>
      </c>
      <c r="L12" s="2" t="s">
        <v>45</v>
      </c>
      <c r="M12" s="2" t="s">
        <v>34</v>
      </c>
      <c r="N12" s="2">
        <v>844</v>
      </c>
      <c r="O12" s="2">
        <v>694</v>
      </c>
      <c r="P12" s="2" t="s">
        <v>218</v>
      </c>
      <c r="Q12" s="2" t="s">
        <v>217</v>
      </c>
      <c r="AB12" s="4"/>
    </row>
    <row r="13" spans="1:28" s="2" customFormat="1" x14ac:dyDescent="0.25">
      <c r="A13" s="2" t="s">
        <v>170</v>
      </c>
      <c r="B13" s="2" t="str">
        <f>CONCATENATE(A13,77)</f>
        <v>3NF5V01PV8977</v>
      </c>
      <c r="C13" s="2" t="s">
        <v>275</v>
      </c>
      <c r="D13" s="2" t="s">
        <v>276</v>
      </c>
      <c r="E13" s="2" t="str">
        <f>CONCATENATE(D13, " ",C13)</f>
        <v>MOLLY NEAL</v>
      </c>
      <c r="F13" s="2" t="s">
        <v>40</v>
      </c>
      <c r="G13" s="2" t="s">
        <v>41</v>
      </c>
      <c r="H13" s="2" t="s">
        <v>42</v>
      </c>
      <c r="I13" s="3">
        <v>46082</v>
      </c>
      <c r="J13" s="3">
        <v>46082</v>
      </c>
      <c r="K13" s="2">
        <v>8812322</v>
      </c>
      <c r="L13" s="2" t="s">
        <v>45</v>
      </c>
      <c r="M13" s="2" t="s">
        <v>34</v>
      </c>
      <c r="N13" s="2">
        <v>844</v>
      </c>
      <c r="O13" s="2">
        <v>694</v>
      </c>
      <c r="P13" s="2" t="s">
        <v>218</v>
      </c>
      <c r="Q13" s="2" t="s">
        <v>217</v>
      </c>
      <c r="AB13" s="4"/>
    </row>
    <row r="14" spans="1:28" s="4" customFormat="1" x14ac:dyDescent="0.25">
      <c r="A14" s="2" t="s">
        <v>173</v>
      </c>
      <c r="B14" s="2" t="str">
        <f>CONCATENATE(A14,77)</f>
        <v>1GX4MQ8PP7077</v>
      </c>
      <c r="C14" s="2" t="s">
        <v>275</v>
      </c>
      <c r="D14" s="2" t="s">
        <v>236</v>
      </c>
      <c r="E14" s="2" t="str">
        <f>CONCATENATE(D14, " ",C14)</f>
        <v>DAVID NEAL</v>
      </c>
      <c r="F14" s="2" t="s">
        <v>40</v>
      </c>
      <c r="G14" s="2" t="s">
        <v>41</v>
      </c>
      <c r="H14" s="2" t="s">
        <v>42</v>
      </c>
      <c r="I14" s="3">
        <v>46054</v>
      </c>
      <c r="J14" s="3">
        <v>46054</v>
      </c>
      <c r="K14" s="2">
        <v>8812322</v>
      </c>
      <c r="L14" s="2" t="s">
        <v>45</v>
      </c>
      <c r="M14" s="2" t="s">
        <v>34</v>
      </c>
      <c r="N14" s="2">
        <v>844</v>
      </c>
      <c r="O14" s="2">
        <v>694</v>
      </c>
      <c r="P14" s="2" t="s">
        <v>218</v>
      </c>
      <c r="Q14" s="2" t="s">
        <v>217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8" s="4" customFormat="1" x14ac:dyDescent="0.25">
      <c r="A15" s="2" t="s">
        <v>68</v>
      </c>
      <c r="B15" s="2" t="str">
        <f>CONCATENATE(A15,77)</f>
        <v>7QM2PE3TK0677</v>
      </c>
      <c r="C15" s="2" t="s">
        <v>282</v>
      </c>
      <c r="D15" s="2" t="s">
        <v>283</v>
      </c>
      <c r="E15" s="2" t="str">
        <f>CONCATENATE(D15, " ",C15)</f>
        <v>PHETSAMONE CHANTHANALAY</v>
      </c>
      <c r="F15" s="2" t="s">
        <v>40</v>
      </c>
      <c r="G15" s="2" t="s">
        <v>64</v>
      </c>
      <c r="H15" s="2" t="s">
        <v>42</v>
      </c>
      <c r="I15" s="3">
        <v>46023</v>
      </c>
      <c r="J15" s="3">
        <v>46023</v>
      </c>
      <c r="K15" s="2">
        <v>8405446</v>
      </c>
      <c r="L15" s="2" t="s">
        <v>73</v>
      </c>
      <c r="M15" s="2" t="s">
        <v>34</v>
      </c>
      <c r="N15" s="2">
        <v>-844</v>
      </c>
      <c r="O15" s="2">
        <v>-694</v>
      </c>
      <c r="P15" s="2" t="s">
        <v>218</v>
      </c>
      <c r="Q15" s="2" t="s">
        <v>217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8" s="4" customFormat="1" x14ac:dyDescent="0.25">
      <c r="A16" s="2" t="s">
        <v>147</v>
      </c>
      <c r="B16" s="2" t="str">
        <f>CONCATENATE(A16,77)</f>
        <v>5JM0YA6EY2777</v>
      </c>
      <c r="C16" s="2" t="s">
        <v>252</v>
      </c>
      <c r="D16" s="2" t="s">
        <v>253</v>
      </c>
      <c r="E16" s="2" t="str">
        <f>CONCATENATE(D16, " ",C16)</f>
        <v>KEVIN LANE</v>
      </c>
      <c r="F16" s="2" t="s">
        <v>27</v>
      </c>
      <c r="G16" s="2" t="s">
        <v>41</v>
      </c>
      <c r="H16" s="2" t="s">
        <v>42</v>
      </c>
      <c r="I16" s="3">
        <v>46054</v>
      </c>
      <c r="J16" s="3">
        <v>46054</v>
      </c>
      <c r="K16" s="2" t="s">
        <v>232</v>
      </c>
      <c r="L16" s="2" t="s">
        <v>146</v>
      </c>
      <c r="M16" s="2" t="s">
        <v>34</v>
      </c>
      <c r="N16" s="2">
        <v>931</v>
      </c>
      <c r="O16" s="2">
        <v>781</v>
      </c>
      <c r="P16" s="2" t="s">
        <v>229</v>
      </c>
      <c r="Q16" s="2" t="s">
        <v>230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s="4" customFormat="1" x14ac:dyDescent="0.25">
      <c r="A17" s="2" t="s">
        <v>185</v>
      </c>
      <c r="B17" s="2" t="str">
        <f>CONCATENATE(A17,77)</f>
        <v>2FK2U53GK1577</v>
      </c>
      <c r="C17" s="2" t="s">
        <v>254</v>
      </c>
      <c r="D17" s="2" t="s">
        <v>255</v>
      </c>
      <c r="E17" s="2" t="str">
        <f>CONCATENATE(D17, " ",C17)</f>
        <v>ROBIN PIOTROWSKI</v>
      </c>
      <c r="F17" s="2" t="s">
        <v>27</v>
      </c>
      <c r="G17" s="2" t="s">
        <v>41</v>
      </c>
      <c r="H17" s="2" t="s">
        <v>42</v>
      </c>
      <c r="I17" s="3">
        <v>46082</v>
      </c>
      <c r="J17" s="3">
        <v>46082</v>
      </c>
      <c r="K17" s="2" t="s">
        <v>232</v>
      </c>
      <c r="L17" s="2" t="s">
        <v>146</v>
      </c>
      <c r="M17" s="2" t="s">
        <v>34</v>
      </c>
      <c r="N17" s="2">
        <v>931</v>
      </c>
      <c r="O17" s="2">
        <v>781</v>
      </c>
      <c r="P17" s="2" t="s">
        <v>229</v>
      </c>
      <c r="Q17" s="2" t="s">
        <v>230</v>
      </c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8" s="2" customFormat="1" x14ac:dyDescent="0.25">
      <c r="A18" s="2" t="s">
        <v>48</v>
      </c>
      <c r="B18" s="2" t="str">
        <f>CONCATENATE(A18,77)</f>
        <v>2T11V02DH1677</v>
      </c>
      <c r="C18" s="2" t="s">
        <v>258</v>
      </c>
      <c r="D18" s="2" t="s">
        <v>259</v>
      </c>
      <c r="E18" s="2" t="str">
        <f>CONCATENATE(D18, " ",C18)</f>
        <v>RONALD BRALLIER</v>
      </c>
      <c r="F18" s="2" t="s">
        <v>27</v>
      </c>
      <c r="G18" s="2" t="s">
        <v>41</v>
      </c>
      <c r="H18" s="2" t="s">
        <v>42</v>
      </c>
      <c r="I18" s="3">
        <v>46054</v>
      </c>
      <c r="J18" s="3">
        <v>46054</v>
      </c>
      <c r="K18" s="2" t="s">
        <v>233</v>
      </c>
      <c r="L18" s="2" t="s">
        <v>52</v>
      </c>
      <c r="M18" s="2" t="s">
        <v>34</v>
      </c>
      <c r="N18" s="2">
        <v>931</v>
      </c>
      <c r="O18" s="2">
        <v>781</v>
      </c>
      <c r="P18" s="2" t="s">
        <v>229</v>
      </c>
      <c r="Q18" s="2" t="s">
        <v>230</v>
      </c>
    </row>
    <row r="19" spans="1:28" s="4" customFormat="1" x14ac:dyDescent="0.25">
      <c r="A19" s="2" t="s">
        <v>53</v>
      </c>
      <c r="B19" s="2" t="str">
        <f>CONCATENATE(A19,77)</f>
        <v>6QK1PT8JP0877</v>
      </c>
      <c r="C19" s="2" t="s">
        <v>258</v>
      </c>
      <c r="D19" s="2" t="s">
        <v>255</v>
      </c>
      <c r="E19" s="2" t="str">
        <f>CONCATENATE(D19, " ",C19)</f>
        <v>ROBIN BRALLIER</v>
      </c>
      <c r="F19" s="2" t="s">
        <v>27</v>
      </c>
      <c r="G19" s="2" t="s">
        <v>41</v>
      </c>
      <c r="H19" s="2" t="s">
        <v>42</v>
      </c>
      <c r="I19" s="3">
        <v>46054</v>
      </c>
      <c r="J19" s="3">
        <v>46054</v>
      </c>
      <c r="K19" s="2" t="s">
        <v>233</v>
      </c>
      <c r="L19" s="2" t="s">
        <v>52</v>
      </c>
      <c r="M19" s="2" t="s">
        <v>34</v>
      </c>
      <c r="N19" s="2">
        <v>931</v>
      </c>
      <c r="O19" s="2">
        <v>781</v>
      </c>
      <c r="P19" s="2" t="s">
        <v>229</v>
      </c>
      <c r="Q19" s="2" t="s">
        <v>230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s="2" customFormat="1" x14ac:dyDescent="0.25">
      <c r="A20" s="2" t="s">
        <v>159</v>
      </c>
      <c r="B20" s="2" t="str">
        <f>CONCATENATE(A20,77)</f>
        <v>7RX8MM3MU2277</v>
      </c>
      <c r="C20" s="2" t="s">
        <v>260</v>
      </c>
      <c r="D20" s="2" t="s">
        <v>236</v>
      </c>
      <c r="E20" s="2" t="str">
        <f>CONCATENATE(D20, " ",C20)</f>
        <v>DAVID MANKO</v>
      </c>
      <c r="F20" s="2" t="s">
        <v>27</v>
      </c>
      <c r="G20" s="2" t="s">
        <v>41</v>
      </c>
      <c r="H20" s="2" t="s">
        <v>42</v>
      </c>
      <c r="I20" s="3">
        <v>46082</v>
      </c>
      <c r="J20" s="3">
        <v>46082</v>
      </c>
      <c r="K20" s="2" t="s">
        <v>234</v>
      </c>
      <c r="L20" s="2" t="s">
        <v>162</v>
      </c>
      <c r="M20" s="2" t="s">
        <v>34</v>
      </c>
      <c r="N20" s="2">
        <v>931</v>
      </c>
      <c r="O20" s="2">
        <v>781</v>
      </c>
      <c r="P20" s="2" t="s">
        <v>229</v>
      </c>
      <c r="Q20" s="2" t="s">
        <v>230</v>
      </c>
    </row>
    <row r="21" spans="1:28" s="2" customFormat="1" x14ac:dyDescent="0.25">
      <c r="A21" s="2" t="s">
        <v>211</v>
      </c>
      <c r="B21" s="2" t="str">
        <f>CONCATENATE(A21,77)</f>
        <v>6DY4D65HA5077</v>
      </c>
      <c r="C21" s="2" t="s">
        <v>279</v>
      </c>
      <c r="D21" s="2" t="s">
        <v>267</v>
      </c>
      <c r="E21" s="2" t="str">
        <f>CONCATENATE(D21, " ",C21)</f>
        <v>RICHARD WILLIAMS</v>
      </c>
      <c r="F21" s="2" t="s">
        <v>27</v>
      </c>
      <c r="G21" s="2" t="s">
        <v>41</v>
      </c>
      <c r="H21" s="2" t="s">
        <v>42</v>
      </c>
      <c r="I21" s="3">
        <v>46054</v>
      </c>
      <c r="J21" s="3">
        <v>46054</v>
      </c>
      <c r="K21" s="2">
        <v>15950276</v>
      </c>
      <c r="L21" s="2" t="s">
        <v>215</v>
      </c>
      <c r="M21" s="2" t="s">
        <v>34</v>
      </c>
      <c r="N21" s="2">
        <v>931</v>
      </c>
      <c r="O21" s="2">
        <v>781</v>
      </c>
      <c r="P21" s="2" t="s">
        <v>229</v>
      </c>
      <c r="Q21" s="2" t="s">
        <v>230</v>
      </c>
      <c r="AB21" s="4"/>
    </row>
    <row r="22" spans="1:28" s="2" customFormat="1" x14ac:dyDescent="0.25">
      <c r="A22" s="2" t="s">
        <v>110</v>
      </c>
      <c r="B22" s="2" t="str">
        <f>CONCATENATE(A22,89)</f>
        <v>8NU6CM9VN4489</v>
      </c>
      <c r="C22" s="2" t="s">
        <v>247</v>
      </c>
      <c r="D22" s="2" t="s">
        <v>248</v>
      </c>
      <c r="E22" s="2" t="str">
        <f>CONCATENATE(D22, " ",C22)</f>
        <v>KAREN GODFREY</v>
      </c>
      <c r="F22" s="2" t="s">
        <v>27</v>
      </c>
      <c r="G22" s="2" t="s">
        <v>28</v>
      </c>
      <c r="H22" s="2" t="s">
        <v>42</v>
      </c>
      <c r="I22" s="3">
        <v>46082</v>
      </c>
      <c r="J22" s="3">
        <v>46082</v>
      </c>
      <c r="K22" s="2">
        <v>17425766</v>
      </c>
      <c r="L22" s="2" t="s">
        <v>113</v>
      </c>
      <c r="M22" s="2" t="s">
        <v>34</v>
      </c>
      <c r="N22" s="2">
        <v>450.83</v>
      </c>
      <c r="O22" s="2">
        <v>325.83</v>
      </c>
      <c r="P22" s="2" t="s">
        <v>222</v>
      </c>
      <c r="Q22" s="2" t="s">
        <v>225</v>
      </c>
    </row>
    <row r="23" spans="1:28" s="2" customFormat="1" x14ac:dyDescent="0.25">
      <c r="A23" s="2" t="s">
        <v>147</v>
      </c>
      <c r="B23" s="2" t="str">
        <f>CONCATENATE(A23,89)</f>
        <v>5JM0YA6EY2789</v>
      </c>
      <c r="C23" s="2" t="s">
        <v>252</v>
      </c>
      <c r="D23" s="2" t="s">
        <v>253</v>
      </c>
      <c r="E23" s="2" t="str">
        <f>CONCATENATE(D23, " ",C23)</f>
        <v>KEVIN LANE</v>
      </c>
      <c r="F23" s="2" t="s">
        <v>27</v>
      </c>
      <c r="G23" s="2" t="s">
        <v>47</v>
      </c>
      <c r="H23" s="2" t="s">
        <v>42</v>
      </c>
      <c r="I23" s="3">
        <v>46054</v>
      </c>
      <c r="J23" s="3">
        <v>46054</v>
      </c>
      <c r="K23" s="2" t="s">
        <v>232</v>
      </c>
      <c r="L23" s="2" t="s">
        <v>146</v>
      </c>
      <c r="M23" s="2" t="s">
        <v>34</v>
      </c>
      <c r="N23" s="2">
        <v>-495.92</v>
      </c>
      <c r="O23" s="2">
        <v>-358.42</v>
      </c>
      <c r="P23" s="2" t="s">
        <v>222</v>
      </c>
      <c r="Q23" s="2" t="s">
        <v>223</v>
      </c>
    </row>
    <row r="24" spans="1:28" s="2" customFormat="1" x14ac:dyDescent="0.25">
      <c r="A24" s="2" t="s">
        <v>185</v>
      </c>
      <c r="B24" s="2" t="str">
        <f>CONCATENATE(A24,89)</f>
        <v>2FK2U53GK1589</v>
      </c>
      <c r="C24" s="2" t="s">
        <v>254</v>
      </c>
      <c r="D24" s="2" t="s">
        <v>255</v>
      </c>
      <c r="E24" s="2" t="str">
        <f>CONCATENATE(D24, " ",C24)</f>
        <v>ROBIN PIOTROWSKI</v>
      </c>
      <c r="F24" s="2" t="s">
        <v>27</v>
      </c>
      <c r="G24" s="2" t="s">
        <v>47</v>
      </c>
      <c r="H24" s="2" t="s">
        <v>42</v>
      </c>
      <c r="I24" s="3">
        <v>46082</v>
      </c>
      <c r="J24" s="3">
        <v>46082</v>
      </c>
      <c r="K24" s="2" t="s">
        <v>232</v>
      </c>
      <c r="L24" s="2" t="s">
        <v>146</v>
      </c>
      <c r="M24" s="2" t="s">
        <v>34</v>
      </c>
      <c r="N24" s="2">
        <v>-450.83</v>
      </c>
      <c r="O24" s="2">
        <v>-325.83</v>
      </c>
      <c r="P24" s="2" t="s">
        <v>222</v>
      </c>
      <c r="Q24" s="2" t="s">
        <v>225</v>
      </c>
    </row>
    <row r="25" spans="1:28" s="2" customFormat="1" x14ac:dyDescent="0.25">
      <c r="A25" s="2" t="s">
        <v>142</v>
      </c>
      <c r="B25" s="2" t="str">
        <f>CONCATENATE(A25,89)</f>
        <v>6KR3UC9MQ9489</v>
      </c>
      <c r="C25" s="2" t="s">
        <v>256</v>
      </c>
      <c r="D25" s="2" t="s">
        <v>257</v>
      </c>
      <c r="E25" s="2" t="str">
        <f>CONCATENATE(D25, " ",C25)</f>
        <v>CAROL KOHLMYER</v>
      </c>
      <c r="F25" s="2" t="s">
        <v>27</v>
      </c>
      <c r="G25" s="2" t="s">
        <v>28</v>
      </c>
      <c r="H25" s="2" t="s">
        <v>42</v>
      </c>
      <c r="I25" s="3">
        <v>46082</v>
      </c>
      <c r="J25" s="3">
        <v>46082</v>
      </c>
      <c r="K25" s="2" t="s">
        <v>232</v>
      </c>
      <c r="L25" s="2" t="s">
        <v>146</v>
      </c>
      <c r="M25" s="2" t="s">
        <v>34</v>
      </c>
      <c r="N25" s="2">
        <v>450.83</v>
      </c>
      <c r="O25" s="2">
        <v>325.83</v>
      </c>
      <c r="P25" s="2" t="s">
        <v>222</v>
      </c>
      <c r="Q25" s="2" t="s">
        <v>225</v>
      </c>
    </row>
    <row r="26" spans="1:28" s="2" customFormat="1" x14ac:dyDescent="0.25">
      <c r="A26" s="2" t="s">
        <v>48</v>
      </c>
      <c r="B26" s="2" t="str">
        <f>CONCATENATE(A26,89)</f>
        <v>2T11V02DH1689</v>
      </c>
      <c r="C26" s="2" t="s">
        <v>258</v>
      </c>
      <c r="D26" s="2" t="s">
        <v>259</v>
      </c>
      <c r="E26" s="2" t="str">
        <f>CONCATENATE(D26, " ",C26)</f>
        <v>RONALD BRALLIER</v>
      </c>
      <c r="F26" s="2" t="s">
        <v>27</v>
      </c>
      <c r="G26" s="2" t="s">
        <v>47</v>
      </c>
      <c r="H26" s="2" t="s">
        <v>42</v>
      </c>
      <c r="I26" s="3">
        <v>46054</v>
      </c>
      <c r="J26" s="3">
        <v>46054</v>
      </c>
      <c r="K26" s="2" t="s">
        <v>233</v>
      </c>
      <c r="L26" s="2" t="s">
        <v>52</v>
      </c>
      <c r="M26" s="2" t="s">
        <v>34</v>
      </c>
      <c r="N26" s="2">
        <v>-495.92</v>
      </c>
      <c r="O26" s="2">
        <v>-358.42</v>
      </c>
      <c r="P26" s="2" t="s">
        <v>222</v>
      </c>
      <c r="Q26" s="2" t="s">
        <v>223</v>
      </c>
      <c r="R26" s="2">
        <f>391/12*11</f>
        <v>358.41666666666669</v>
      </c>
    </row>
    <row r="27" spans="1:28" s="2" customFormat="1" x14ac:dyDescent="0.25">
      <c r="A27" s="2" t="s">
        <v>53</v>
      </c>
      <c r="B27" s="2" t="str">
        <f>CONCATENATE(A27,89)</f>
        <v>6QK1PT8JP0889</v>
      </c>
      <c r="C27" s="2" t="s">
        <v>258</v>
      </c>
      <c r="D27" s="2" t="s">
        <v>255</v>
      </c>
      <c r="E27" s="2" t="str">
        <f>CONCATENATE(D27, " ",C27)</f>
        <v>ROBIN BRALLIER</v>
      </c>
      <c r="F27" s="2" t="s">
        <v>27</v>
      </c>
      <c r="G27" s="2" t="s">
        <v>47</v>
      </c>
      <c r="H27" s="2" t="s">
        <v>42</v>
      </c>
      <c r="I27" s="3">
        <v>46054</v>
      </c>
      <c r="J27" s="3">
        <v>46054</v>
      </c>
      <c r="K27" s="2" t="s">
        <v>233</v>
      </c>
      <c r="L27" s="2" t="s">
        <v>52</v>
      </c>
      <c r="M27" s="2" t="s">
        <v>34</v>
      </c>
      <c r="N27" s="2">
        <v>-495.92</v>
      </c>
      <c r="O27" s="2">
        <v>-358.42</v>
      </c>
      <c r="P27" s="2" t="s">
        <v>222</v>
      </c>
      <c r="Q27" s="2" t="s">
        <v>223</v>
      </c>
    </row>
    <row r="28" spans="1:28" s="2" customFormat="1" x14ac:dyDescent="0.25">
      <c r="A28" s="2" t="s">
        <v>159</v>
      </c>
      <c r="B28" s="2" t="str">
        <f>CONCATENATE(A28,89)</f>
        <v>7RX8MM3MU2289</v>
      </c>
      <c r="C28" s="2" t="s">
        <v>260</v>
      </c>
      <c r="D28" s="2" t="s">
        <v>236</v>
      </c>
      <c r="E28" s="2" t="str">
        <f>CONCATENATE(D28, " ",C28)</f>
        <v>DAVID MANKO</v>
      </c>
      <c r="F28" s="2" t="s">
        <v>27</v>
      </c>
      <c r="G28" s="2" t="s">
        <v>47</v>
      </c>
      <c r="H28" s="2" t="s">
        <v>42</v>
      </c>
      <c r="I28" s="3">
        <v>46082</v>
      </c>
      <c r="J28" s="3">
        <v>46082</v>
      </c>
      <c r="K28" s="2" t="s">
        <v>234</v>
      </c>
      <c r="L28" s="2" t="s">
        <v>162</v>
      </c>
      <c r="M28" s="2" t="s">
        <v>34</v>
      </c>
      <c r="N28" s="2">
        <v>-450.83</v>
      </c>
      <c r="O28" s="2">
        <v>-325.83</v>
      </c>
      <c r="P28" s="2" t="s">
        <v>222</v>
      </c>
      <c r="Q28" s="2" t="s">
        <v>225</v>
      </c>
      <c r="R28" s="2">
        <f>391/12*10</f>
        <v>325.83333333333337</v>
      </c>
    </row>
    <row r="29" spans="1:28" s="2" customFormat="1" x14ac:dyDescent="0.25">
      <c r="A29" s="2" t="s">
        <v>82</v>
      </c>
      <c r="B29" s="2" t="str">
        <f>CONCATENATE(A29,89)</f>
        <v>4WF2RQ6YG0889</v>
      </c>
      <c r="C29" s="2" t="s">
        <v>297</v>
      </c>
      <c r="D29" s="2" t="s">
        <v>267</v>
      </c>
      <c r="E29" s="2" t="str">
        <f>CONCATENATE(D29, " ",C29)</f>
        <v>RICHARD DI STEFANO</v>
      </c>
      <c r="F29" s="2" t="s">
        <v>27</v>
      </c>
      <c r="G29" s="2" t="s">
        <v>28</v>
      </c>
      <c r="H29" s="2" t="s">
        <v>42</v>
      </c>
      <c r="I29" s="3">
        <v>46082</v>
      </c>
      <c r="J29" s="3">
        <v>46082</v>
      </c>
      <c r="K29" s="2">
        <v>21618313</v>
      </c>
      <c r="L29" s="2" t="s">
        <v>86</v>
      </c>
      <c r="M29" s="2" t="s">
        <v>34</v>
      </c>
      <c r="N29" s="2">
        <v>450.83</v>
      </c>
      <c r="O29" s="2">
        <v>325.83</v>
      </c>
      <c r="P29" s="2" t="s">
        <v>222</v>
      </c>
      <c r="Q29" s="2" t="s">
        <v>225</v>
      </c>
      <c r="AB29" s="4"/>
    </row>
    <row r="30" spans="1:28" s="4" customFormat="1" x14ac:dyDescent="0.25">
      <c r="A30" s="2" t="s">
        <v>211</v>
      </c>
      <c r="B30" s="2" t="str">
        <f>CONCATENATE(A30,89)</f>
        <v>6DY4D65HA5089</v>
      </c>
      <c r="C30" s="2" t="s">
        <v>279</v>
      </c>
      <c r="D30" s="2" t="s">
        <v>267</v>
      </c>
      <c r="E30" s="2" t="str">
        <f>CONCATENATE(D30, " ",C30)</f>
        <v>RICHARD WILLIAMS</v>
      </c>
      <c r="F30" s="2" t="s">
        <v>27</v>
      </c>
      <c r="G30" s="2" t="s">
        <v>47</v>
      </c>
      <c r="H30" s="2" t="s">
        <v>42</v>
      </c>
      <c r="I30" s="3">
        <v>46054</v>
      </c>
      <c r="J30" s="3">
        <v>46054</v>
      </c>
      <c r="K30" s="2">
        <v>15950276</v>
      </c>
      <c r="L30" s="2" t="s">
        <v>215</v>
      </c>
      <c r="M30" s="2" t="s">
        <v>34</v>
      </c>
      <c r="N30" s="2">
        <v>-495.92</v>
      </c>
      <c r="O30" s="2">
        <v>-358.42</v>
      </c>
      <c r="P30" s="2" t="s">
        <v>222</v>
      </c>
      <c r="Q30" s="2" t="s">
        <v>223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s="4" customFormat="1" x14ac:dyDescent="0.25">
      <c r="A31" s="2" t="s">
        <v>167</v>
      </c>
      <c r="B31" s="2" t="str">
        <f>CONCATENATE(A31,89)</f>
        <v>4TM9XJ5GP1989</v>
      </c>
      <c r="C31" s="2" t="s">
        <v>237</v>
      </c>
      <c r="D31" s="2" t="s">
        <v>238</v>
      </c>
      <c r="E31" s="2" t="str">
        <f>CONCATENATE(D31, " ",C31)</f>
        <v>BEA NANCE</v>
      </c>
      <c r="F31" s="2" t="s">
        <v>63</v>
      </c>
      <c r="G31" s="2" t="s">
        <v>47</v>
      </c>
      <c r="H31" s="2" t="s">
        <v>42</v>
      </c>
      <c r="I31" s="3">
        <v>46054</v>
      </c>
      <c r="J31" s="3">
        <v>46054</v>
      </c>
      <c r="K31" s="2">
        <v>17117649</v>
      </c>
      <c r="L31" s="2" t="s">
        <v>67</v>
      </c>
      <c r="M31" s="2" t="s">
        <v>34</v>
      </c>
      <c r="N31" s="2">
        <v>-455.58</v>
      </c>
      <c r="O31" s="2">
        <v>-318.08</v>
      </c>
      <c r="P31" s="2" t="s">
        <v>220</v>
      </c>
      <c r="Q31" s="2" t="s">
        <v>224</v>
      </c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8" s="4" customFormat="1" x14ac:dyDescent="0.25">
      <c r="A32" s="2" t="s">
        <v>206</v>
      </c>
      <c r="B32" s="2" t="str">
        <f>CONCATENATE(A32,89)</f>
        <v>5N01QD7XX0789</v>
      </c>
      <c r="C32" s="2" t="s">
        <v>239</v>
      </c>
      <c r="D32" s="2" t="s">
        <v>240</v>
      </c>
      <c r="E32" s="2" t="str">
        <f>CONCATENATE(D32, " ",C32)</f>
        <v>SCOTT ULERY</v>
      </c>
      <c r="F32" s="2" t="s">
        <v>94</v>
      </c>
      <c r="G32" s="2" t="s">
        <v>47</v>
      </c>
      <c r="H32" s="2" t="s">
        <v>42</v>
      </c>
      <c r="I32" s="3">
        <v>46054</v>
      </c>
      <c r="J32" s="3">
        <v>46054</v>
      </c>
      <c r="K32" s="2">
        <v>19491313</v>
      </c>
      <c r="L32" s="2" t="s">
        <v>210</v>
      </c>
      <c r="M32" s="2" t="s">
        <v>34</v>
      </c>
      <c r="N32" s="2">
        <v>-455.58</v>
      </c>
      <c r="O32" s="2">
        <v>-318.08</v>
      </c>
      <c r="P32" s="2" t="s">
        <v>220</v>
      </c>
      <c r="Q32" s="2" t="s">
        <v>224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s="4" customFormat="1" x14ac:dyDescent="0.25">
      <c r="A33" s="2" t="s">
        <v>98</v>
      </c>
      <c r="B33" s="2" t="str">
        <f>CONCATENATE(A33,89)</f>
        <v>1HV9XT2AE1089</v>
      </c>
      <c r="C33" s="2" t="s">
        <v>241</v>
      </c>
      <c r="D33" s="2" t="s">
        <v>242</v>
      </c>
      <c r="E33" s="2" t="str">
        <f>CONCATENATE(D33, " ",C33)</f>
        <v>MARTHA ECKERT</v>
      </c>
      <c r="F33" s="2" t="s">
        <v>40</v>
      </c>
      <c r="G33" s="2" t="s">
        <v>47</v>
      </c>
      <c r="H33" s="2" t="s">
        <v>42</v>
      </c>
      <c r="I33" s="3">
        <v>46113</v>
      </c>
      <c r="J33" s="3">
        <v>46113</v>
      </c>
      <c r="K33" s="2">
        <v>8244481</v>
      </c>
      <c r="L33" s="2" t="s">
        <v>102</v>
      </c>
      <c r="M33" s="2" t="s">
        <v>34</v>
      </c>
      <c r="N33" s="2">
        <v>-372.75</v>
      </c>
      <c r="O33" s="2">
        <v>-260.25</v>
      </c>
      <c r="P33" s="2" t="s">
        <v>220</v>
      </c>
      <c r="Q33" s="2" t="s">
        <v>227</v>
      </c>
      <c r="R33" s="2">
        <f>347/12*9</f>
        <v>260.25</v>
      </c>
      <c r="S33" s="2"/>
      <c r="T33" s="2"/>
      <c r="U33" s="2"/>
      <c r="V33" s="2"/>
      <c r="W33" s="2"/>
      <c r="X33" s="2"/>
      <c r="Y33" s="2"/>
      <c r="Z33" s="2"/>
      <c r="AA33" s="2"/>
    </row>
    <row r="34" spans="1:28" s="4" customFormat="1" x14ac:dyDescent="0.25">
      <c r="A34" s="2" t="s">
        <v>202</v>
      </c>
      <c r="B34" s="2" t="str">
        <f>CONCATENATE(A34,89)</f>
        <v>7PX3J74YQ0989</v>
      </c>
      <c r="C34" s="2" t="s">
        <v>243</v>
      </c>
      <c r="D34" s="2" t="s">
        <v>244</v>
      </c>
      <c r="E34" s="2" t="str">
        <f>CONCATENATE(D34, " ",C34)</f>
        <v>TAMMY THOMAS</v>
      </c>
      <c r="F34" s="2" t="s">
        <v>40</v>
      </c>
      <c r="G34" s="2" t="s">
        <v>47</v>
      </c>
      <c r="H34" s="2" t="s">
        <v>42</v>
      </c>
      <c r="I34" s="3">
        <v>46054</v>
      </c>
      <c r="J34" s="3">
        <v>46054</v>
      </c>
      <c r="K34" s="2">
        <v>18828278</v>
      </c>
      <c r="L34" s="2" t="s">
        <v>205</v>
      </c>
      <c r="M34" s="2" t="s">
        <v>34</v>
      </c>
      <c r="N34" s="2">
        <v>-455.58</v>
      </c>
      <c r="O34" s="2">
        <v>-318.08</v>
      </c>
      <c r="P34" s="2" t="s">
        <v>220</v>
      </c>
      <c r="Q34" s="2" t="s">
        <v>224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s="4" customFormat="1" x14ac:dyDescent="0.25">
      <c r="A35" s="2" t="s">
        <v>131</v>
      </c>
      <c r="B35" s="2" t="str">
        <f>CONCATENATE(A35,89)</f>
        <v>4U90Y35GE3189</v>
      </c>
      <c r="C35" s="2" t="s">
        <v>245</v>
      </c>
      <c r="D35" s="2" t="s">
        <v>246</v>
      </c>
      <c r="E35" s="2" t="str">
        <f>CONCATENATE(D35, " ",C35)</f>
        <v>JOHN HORNYAK</v>
      </c>
      <c r="F35" s="2" t="s">
        <v>134</v>
      </c>
      <c r="G35" s="2" t="s">
        <v>47</v>
      </c>
      <c r="H35" s="2" t="s">
        <v>42</v>
      </c>
      <c r="I35" s="3">
        <v>46054</v>
      </c>
      <c r="J35" s="3">
        <v>46054</v>
      </c>
      <c r="K35" s="2">
        <v>17425766</v>
      </c>
      <c r="L35" s="2" t="s">
        <v>113</v>
      </c>
      <c r="M35" s="2" t="s">
        <v>34</v>
      </c>
      <c r="N35" s="2">
        <v>-455.58</v>
      </c>
      <c r="O35" s="2">
        <v>-318.08</v>
      </c>
      <c r="P35" s="2" t="s">
        <v>220</v>
      </c>
      <c r="Q35" s="2" t="s">
        <v>224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s="4" customFormat="1" x14ac:dyDescent="0.25">
      <c r="A36" s="2" t="s">
        <v>188</v>
      </c>
      <c r="B36" s="2" t="str">
        <f>CONCATENATE(A36,89)</f>
        <v>8FY3H56EG0289</v>
      </c>
      <c r="C36" s="2" t="s">
        <v>249</v>
      </c>
      <c r="D36" s="2" t="s">
        <v>246</v>
      </c>
      <c r="E36" s="2" t="str">
        <f>CONCATENATE(D36, " ",C36)</f>
        <v>JOHN POLLARD</v>
      </c>
      <c r="F36" s="2" t="s">
        <v>40</v>
      </c>
      <c r="G36" s="2" t="s">
        <v>47</v>
      </c>
      <c r="H36" s="2" t="s">
        <v>42</v>
      </c>
      <c r="I36" s="3">
        <v>46054</v>
      </c>
      <c r="J36" s="3">
        <v>46054</v>
      </c>
      <c r="K36" s="2">
        <v>17094718</v>
      </c>
      <c r="L36" s="2" t="s">
        <v>192</v>
      </c>
      <c r="M36" s="2" t="s">
        <v>34</v>
      </c>
      <c r="N36" s="2">
        <v>-455.58</v>
      </c>
      <c r="O36" s="2">
        <v>-318.08</v>
      </c>
      <c r="P36" s="2" t="s">
        <v>220</v>
      </c>
      <c r="Q36" s="2" t="s">
        <v>224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8" s="4" customFormat="1" x14ac:dyDescent="0.25">
      <c r="A37" s="2" t="s">
        <v>114</v>
      </c>
      <c r="B37" s="2" t="str">
        <f>CONCATENATE(A37,89)</f>
        <v>4Q82TY8NQ0089</v>
      </c>
      <c r="C37" s="2" t="s">
        <v>250</v>
      </c>
      <c r="D37" s="2" t="s">
        <v>251</v>
      </c>
      <c r="E37" s="2" t="str">
        <f>CONCATENATE(D37, " ",C37)</f>
        <v>MICHAEL HANSON</v>
      </c>
      <c r="F37" s="2" t="s">
        <v>40</v>
      </c>
      <c r="G37" s="2" t="s">
        <v>47</v>
      </c>
      <c r="H37" s="2" t="s">
        <v>42</v>
      </c>
      <c r="I37" s="3">
        <v>46054</v>
      </c>
      <c r="J37" s="3">
        <v>46054</v>
      </c>
      <c r="K37" s="2">
        <v>18581063</v>
      </c>
      <c r="L37" s="2" t="s">
        <v>118</v>
      </c>
      <c r="M37" s="2" t="s">
        <v>34</v>
      </c>
      <c r="N37" s="2">
        <v>-455.58</v>
      </c>
      <c r="O37" s="2">
        <v>-318.08</v>
      </c>
      <c r="P37" s="2" t="s">
        <v>220</v>
      </c>
      <c r="Q37" s="2" t="s">
        <v>224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8" s="4" customFormat="1" x14ac:dyDescent="0.25">
      <c r="A38" s="2" t="s">
        <v>103</v>
      </c>
      <c r="B38" s="2" t="str">
        <f>CONCATENATE(A38,89)</f>
        <v>8QX9YQ0AF1189</v>
      </c>
      <c r="C38" s="2" t="s">
        <v>261</v>
      </c>
      <c r="D38" s="2" t="s">
        <v>262</v>
      </c>
      <c r="E38" s="2" t="str">
        <f>CONCATENATE(D38, " ",C38)</f>
        <v>NEWTON ELLENBARGER</v>
      </c>
      <c r="F38" s="2" t="s">
        <v>106</v>
      </c>
      <c r="G38" s="2" t="s">
        <v>64</v>
      </c>
      <c r="H38" s="2" t="s">
        <v>29</v>
      </c>
      <c r="I38" s="3">
        <v>46023</v>
      </c>
      <c r="J38" s="3">
        <v>46023</v>
      </c>
      <c r="K38" s="2">
        <v>371819</v>
      </c>
      <c r="L38" s="2" t="s">
        <v>109</v>
      </c>
      <c r="M38" s="2" t="s">
        <v>34</v>
      </c>
      <c r="N38" s="2">
        <v>-497</v>
      </c>
      <c r="O38" s="2">
        <v>-347</v>
      </c>
      <c r="P38" s="2" t="s">
        <v>220</v>
      </c>
      <c r="Q38" s="2" t="s">
        <v>221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s="4" customFormat="1" x14ac:dyDescent="0.25">
      <c r="A39" s="2" t="s">
        <v>124</v>
      </c>
      <c r="B39" s="2" t="str">
        <f>CONCATENATE(A39,89)</f>
        <v>6XK4K85TK9589</v>
      </c>
      <c r="C39" s="2" t="s">
        <v>263</v>
      </c>
      <c r="D39" s="2" t="s">
        <v>264</v>
      </c>
      <c r="E39" s="2" t="str">
        <f>CONCATENATE(D39, " ",C39)</f>
        <v>BRENDA HARRIS</v>
      </c>
      <c r="F39" s="2" t="s">
        <v>40</v>
      </c>
      <c r="G39" s="2" t="s">
        <v>64</v>
      </c>
      <c r="H39" s="2" t="s">
        <v>42</v>
      </c>
      <c r="I39" s="3">
        <v>46023</v>
      </c>
      <c r="J39" s="3">
        <v>46023</v>
      </c>
      <c r="K39" s="2">
        <v>9213293</v>
      </c>
      <c r="L39" s="2" t="s">
        <v>123</v>
      </c>
      <c r="M39" s="2" t="s">
        <v>34</v>
      </c>
      <c r="N39" s="2">
        <v>-482</v>
      </c>
      <c r="O39" s="2">
        <v>-347</v>
      </c>
      <c r="P39" s="2" t="s">
        <v>220</v>
      </c>
      <c r="Q39" s="2" t="s">
        <v>221</v>
      </c>
      <c r="R39" s="2">
        <v>347</v>
      </c>
      <c r="S39" s="2"/>
      <c r="T39" s="2"/>
      <c r="U39" s="2"/>
      <c r="V39" s="2"/>
      <c r="W39" s="2"/>
      <c r="X39" s="2"/>
      <c r="Y39" s="2"/>
      <c r="Z39" s="2"/>
      <c r="AA39" s="2"/>
    </row>
    <row r="40" spans="1:28" s="2" customFormat="1" x14ac:dyDescent="0.25">
      <c r="A40" s="2" t="s">
        <v>119</v>
      </c>
      <c r="B40" s="2" t="str">
        <f>CONCATENATE(A40,89)</f>
        <v>9T50J05YY1389</v>
      </c>
      <c r="C40" s="2" t="s">
        <v>265</v>
      </c>
      <c r="D40" s="2" t="s">
        <v>266</v>
      </c>
      <c r="E40" s="2" t="str">
        <f>CONCATENATE(D40, " ",C40)</f>
        <v>ORA HARPER</v>
      </c>
      <c r="F40" s="2" t="s">
        <v>40</v>
      </c>
      <c r="G40" s="2" t="s">
        <v>28</v>
      </c>
      <c r="H40" s="2" t="s">
        <v>42</v>
      </c>
      <c r="I40" s="3">
        <v>46082</v>
      </c>
      <c r="J40" s="3">
        <v>46082</v>
      </c>
      <c r="K40" s="2">
        <v>9213293</v>
      </c>
      <c r="L40" s="2" t="s">
        <v>123</v>
      </c>
      <c r="M40" s="2" t="s">
        <v>34</v>
      </c>
      <c r="N40" s="2">
        <v>414.17</v>
      </c>
      <c r="O40" s="2">
        <v>289.17</v>
      </c>
      <c r="P40" s="2" t="s">
        <v>220</v>
      </c>
      <c r="Q40" s="2" t="s">
        <v>226</v>
      </c>
      <c r="AB40" s="4"/>
    </row>
    <row r="41" spans="1:28" s="2" customFormat="1" x14ac:dyDescent="0.25">
      <c r="A41" s="2" t="s">
        <v>154</v>
      </c>
      <c r="B41" s="2" t="str">
        <f>CONCATENATE(A41,89)</f>
        <v>9TG5GC9FT7889</v>
      </c>
      <c r="C41" s="2" t="s">
        <v>268</v>
      </c>
      <c r="D41" s="2" t="s">
        <v>243</v>
      </c>
      <c r="E41" s="2" t="str">
        <f>CONCATENATE(D41, " ",C41)</f>
        <v>THOMAS MACHOR</v>
      </c>
      <c r="F41" s="2" t="s">
        <v>94</v>
      </c>
      <c r="G41" s="2" t="s">
        <v>47</v>
      </c>
      <c r="H41" s="2" t="s">
        <v>42</v>
      </c>
      <c r="I41" s="3">
        <v>46054</v>
      </c>
      <c r="J41" s="3">
        <v>46054</v>
      </c>
      <c r="K41" s="2">
        <v>18142208</v>
      </c>
      <c r="L41" s="2" t="s">
        <v>97</v>
      </c>
      <c r="M41" s="2" t="s">
        <v>34</v>
      </c>
      <c r="N41" s="2">
        <v>-455.58</v>
      </c>
      <c r="O41" s="2">
        <v>-318.08</v>
      </c>
      <c r="P41" s="2" t="s">
        <v>220</v>
      </c>
      <c r="Q41" s="2" t="s">
        <v>224</v>
      </c>
      <c r="AB41" s="4"/>
    </row>
    <row r="42" spans="1:28" s="4" customFormat="1" x14ac:dyDescent="0.25">
      <c r="A42" s="2" t="s">
        <v>91</v>
      </c>
      <c r="B42" s="2" t="str">
        <f>CONCATENATE(A42,89)</f>
        <v>1W20N81WT1589</v>
      </c>
      <c r="C42" s="2" t="s">
        <v>269</v>
      </c>
      <c r="D42" s="2" t="s">
        <v>270</v>
      </c>
      <c r="E42" s="2" t="str">
        <f>CONCATENATE(D42, " ",C42)</f>
        <v>KATHLEEN DUNN</v>
      </c>
      <c r="F42" s="2" t="s">
        <v>94</v>
      </c>
      <c r="G42" s="2" t="s">
        <v>28</v>
      </c>
      <c r="H42" s="2" t="s">
        <v>42</v>
      </c>
      <c r="I42" s="3">
        <v>46082</v>
      </c>
      <c r="J42" s="3">
        <v>46082</v>
      </c>
      <c r="K42" s="2">
        <v>18142208</v>
      </c>
      <c r="L42" s="2" t="s">
        <v>97</v>
      </c>
      <c r="M42" s="2" t="s">
        <v>34</v>
      </c>
      <c r="N42" s="2">
        <v>414.17</v>
      </c>
      <c r="O42" s="2">
        <v>289.17</v>
      </c>
      <c r="P42" s="2" t="s">
        <v>220</v>
      </c>
      <c r="Q42" s="2" t="s">
        <v>226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8" s="4" customFormat="1" x14ac:dyDescent="0.25">
      <c r="A43" s="2" t="s">
        <v>37</v>
      </c>
      <c r="B43" s="2" t="str">
        <f>CONCATENATE(A43,89)</f>
        <v>4D47VN9DV5989</v>
      </c>
      <c r="C43" s="2" t="s">
        <v>273</v>
      </c>
      <c r="D43" s="2" t="s">
        <v>274</v>
      </c>
      <c r="E43" s="2" t="str">
        <f>CONCATENATE(D43, " ",C43)</f>
        <v>DANNY BORLAND</v>
      </c>
      <c r="F43" s="2" t="s">
        <v>40</v>
      </c>
      <c r="G43" s="2" t="s">
        <v>47</v>
      </c>
      <c r="H43" s="2" t="s">
        <v>42</v>
      </c>
      <c r="I43" s="3">
        <v>46054</v>
      </c>
      <c r="J43" s="3">
        <v>46054</v>
      </c>
      <c r="K43" s="2">
        <v>8812322</v>
      </c>
      <c r="L43" s="2" t="s">
        <v>45</v>
      </c>
      <c r="M43" s="2" t="s">
        <v>34</v>
      </c>
      <c r="N43" s="2">
        <v>-455.58</v>
      </c>
      <c r="O43" s="2">
        <v>-318.08</v>
      </c>
      <c r="P43" s="2" t="s">
        <v>220</v>
      </c>
      <c r="Q43" s="2" t="s">
        <v>224</v>
      </c>
      <c r="R43" s="2">
        <f>347/12*11</f>
        <v>318.08333333333337</v>
      </c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s="2" customFormat="1" x14ac:dyDescent="0.25">
      <c r="A44" s="2" t="s">
        <v>163</v>
      </c>
      <c r="B44" s="2" t="str">
        <f>CONCATENATE(A44,89)</f>
        <v>9FQ1Q07VG9689</v>
      </c>
      <c r="C44" s="2" t="s">
        <v>271</v>
      </c>
      <c r="D44" s="2" t="s">
        <v>272</v>
      </c>
      <c r="E44" s="2" t="str">
        <f>CONCATENATE(D44, " ",C44)</f>
        <v>JOYCE MOORE</v>
      </c>
      <c r="F44" s="2" t="s">
        <v>40</v>
      </c>
      <c r="G44" s="2" t="s">
        <v>47</v>
      </c>
      <c r="H44" s="2" t="s">
        <v>42</v>
      </c>
      <c r="I44" s="3">
        <v>46054</v>
      </c>
      <c r="J44" s="3">
        <v>46054</v>
      </c>
      <c r="K44" s="2">
        <v>8812322</v>
      </c>
      <c r="L44" s="2" t="s">
        <v>45</v>
      </c>
      <c r="M44" s="2" t="s">
        <v>34</v>
      </c>
      <c r="N44" s="2">
        <v>-455.58</v>
      </c>
      <c r="O44" s="2">
        <v>-318.08</v>
      </c>
      <c r="P44" s="2" t="s">
        <v>220</v>
      </c>
      <c r="Q44" s="2" t="s">
        <v>224</v>
      </c>
    </row>
    <row r="45" spans="1:28" s="4" customFormat="1" x14ac:dyDescent="0.25">
      <c r="A45" s="2" t="s">
        <v>173</v>
      </c>
      <c r="B45" s="2" t="str">
        <f>CONCATENATE(A45,89)</f>
        <v>1GX4MQ8PP7089</v>
      </c>
      <c r="C45" s="2" t="s">
        <v>275</v>
      </c>
      <c r="D45" s="2" t="s">
        <v>236</v>
      </c>
      <c r="E45" s="2" t="str">
        <f>CONCATENATE(D45, " ",C45)</f>
        <v>DAVID NEAL</v>
      </c>
      <c r="F45" s="2" t="s">
        <v>40</v>
      </c>
      <c r="G45" s="2" t="s">
        <v>47</v>
      </c>
      <c r="H45" s="2" t="s">
        <v>42</v>
      </c>
      <c r="I45" s="3">
        <v>46054</v>
      </c>
      <c r="J45" s="3">
        <v>46054</v>
      </c>
      <c r="K45" s="2">
        <v>8812322</v>
      </c>
      <c r="L45" s="2" t="s">
        <v>45</v>
      </c>
      <c r="M45" s="2" t="s">
        <v>34</v>
      </c>
      <c r="N45" s="2">
        <v>-455.58</v>
      </c>
      <c r="O45" s="2">
        <v>-318.08</v>
      </c>
      <c r="P45" s="2" t="s">
        <v>220</v>
      </c>
      <c r="Q45" s="2" t="s">
        <v>224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8" s="2" customFormat="1" x14ac:dyDescent="0.25">
      <c r="A46" s="2" t="s">
        <v>170</v>
      </c>
      <c r="B46" s="2" t="str">
        <f>CONCATENATE(A46,89)</f>
        <v>3NF5V01PV8989</v>
      </c>
      <c r="C46" s="2" t="s">
        <v>275</v>
      </c>
      <c r="D46" s="2" t="s">
        <v>276</v>
      </c>
      <c r="E46" s="2" t="str">
        <f>CONCATENATE(D46, " ",C46)</f>
        <v>MOLLY NEAL</v>
      </c>
      <c r="F46" s="2" t="s">
        <v>40</v>
      </c>
      <c r="G46" s="2" t="s">
        <v>47</v>
      </c>
      <c r="H46" s="2" t="s">
        <v>42</v>
      </c>
      <c r="I46" s="3">
        <v>46082</v>
      </c>
      <c r="J46" s="3">
        <v>46082</v>
      </c>
      <c r="K46" s="2">
        <v>8812322</v>
      </c>
      <c r="L46" s="2" t="s">
        <v>45</v>
      </c>
      <c r="M46" s="2" t="s">
        <v>34</v>
      </c>
      <c r="N46" s="2">
        <v>-414.17</v>
      </c>
      <c r="O46" s="2">
        <v>-289.17</v>
      </c>
      <c r="P46" s="2" t="s">
        <v>220</v>
      </c>
      <c r="Q46" s="2" t="s">
        <v>226</v>
      </c>
      <c r="R46" s="2">
        <f>347/12*10</f>
        <v>289.16666666666669</v>
      </c>
      <c r="AB46" s="4"/>
    </row>
    <row r="47" spans="1:28" s="4" customFormat="1" x14ac:dyDescent="0.25">
      <c r="A47" s="2" t="s">
        <v>197</v>
      </c>
      <c r="B47" s="2" t="str">
        <f>CONCATENATE(A47,89)</f>
        <v>9DH4HA6UV9189</v>
      </c>
      <c r="C47" s="2" t="s">
        <v>277</v>
      </c>
      <c r="D47" s="2" t="s">
        <v>278</v>
      </c>
      <c r="E47" s="2" t="str">
        <f>CONCATENATE(D47, " ",C47)</f>
        <v>MIRIAM SHULMAN</v>
      </c>
      <c r="F47" s="2" t="s">
        <v>40</v>
      </c>
      <c r="G47" s="2" t="s">
        <v>28</v>
      </c>
      <c r="H47" s="2" t="s">
        <v>42</v>
      </c>
      <c r="I47" s="3">
        <v>46082</v>
      </c>
      <c r="J47" s="3">
        <v>46082</v>
      </c>
      <c r="K47" s="2">
        <v>18201929</v>
      </c>
      <c r="L47" s="2" t="s">
        <v>201</v>
      </c>
      <c r="M47" s="2" t="s">
        <v>34</v>
      </c>
      <c r="N47" s="2">
        <v>414.17</v>
      </c>
      <c r="O47" s="2">
        <v>289.17</v>
      </c>
      <c r="P47" s="2" t="s">
        <v>220</v>
      </c>
      <c r="Q47" s="2" t="s">
        <v>226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s="4" customFormat="1" x14ac:dyDescent="0.25">
      <c r="A48" s="2" t="s">
        <v>193</v>
      </c>
      <c r="B48" s="2" t="str">
        <f>CONCATENATE(A48,89)</f>
        <v>8FE4UJ7NW0989</v>
      </c>
      <c r="C48" s="2" t="s">
        <v>280</v>
      </c>
      <c r="D48" s="2" t="s">
        <v>281</v>
      </c>
      <c r="E48" s="2" t="str">
        <f>CONCATENATE(D48, " ",C48)</f>
        <v>WILMA RAY</v>
      </c>
      <c r="F48" s="2" t="s">
        <v>40</v>
      </c>
      <c r="G48" s="2" t="s">
        <v>28</v>
      </c>
      <c r="H48" s="2" t="s">
        <v>42</v>
      </c>
      <c r="I48" s="3">
        <v>46113</v>
      </c>
      <c r="J48" s="3">
        <v>46113</v>
      </c>
      <c r="K48" s="2">
        <v>8307933</v>
      </c>
      <c r="L48" s="2" t="s">
        <v>196</v>
      </c>
      <c r="M48" s="2" t="s">
        <v>34</v>
      </c>
      <c r="N48" s="2">
        <v>372.75</v>
      </c>
      <c r="O48" s="2">
        <v>260.25</v>
      </c>
      <c r="P48" s="2" t="s">
        <v>220</v>
      </c>
      <c r="Q48" s="2" t="s">
        <v>227</v>
      </c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s="4" customFormat="1" x14ac:dyDescent="0.25">
      <c r="A49" s="2" t="s">
        <v>136</v>
      </c>
      <c r="B49" s="2" t="str">
        <f>CONCATENATE(A49,89)</f>
        <v>7HQ4YD4MN9189</v>
      </c>
      <c r="C49" s="2" t="s">
        <v>284</v>
      </c>
      <c r="D49" s="2" t="s">
        <v>264</v>
      </c>
      <c r="E49" s="2" t="str">
        <f>CONCATENATE(D49, " ",C49)</f>
        <v>BRENDA JACKSON</v>
      </c>
      <c r="F49" s="2" t="s">
        <v>139</v>
      </c>
      <c r="G49" s="2" t="s">
        <v>64</v>
      </c>
      <c r="H49" s="2" t="s">
        <v>42</v>
      </c>
      <c r="I49" s="3">
        <v>46023</v>
      </c>
      <c r="J49" s="3">
        <v>46023</v>
      </c>
      <c r="K49" s="2">
        <v>17516272</v>
      </c>
      <c r="L49" s="2" t="s">
        <v>141</v>
      </c>
      <c r="M49" s="2" t="s">
        <v>34</v>
      </c>
      <c r="N49" s="2">
        <v>-497</v>
      </c>
      <c r="O49" s="2">
        <v>-347</v>
      </c>
      <c r="P49" s="2" t="s">
        <v>220</v>
      </c>
      <c r="Q49" s="2" t="s">
        <v>221</v>
      </c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s="4" customFormat="1" x14ac:dyDescent="0.25">
      <c r="A50" s="2" t="s">
        <v>150</v>
      </c>
      <c r="B50" s="2" t="str">
        <f>CONCATENATE(A50,89)</f>
        <v>9N10CY8VF4489</v>
      </c>
      <c r="C50" s="2" t="s">
        <v>285</v>
      </c>
      <c r="D50" s="2" t="s">
        <v>286</v>
      </c>
      <c r="E50" s="2" t="str">
        <f>CONCATENATE(D50, " ",C50)</f>
        <v>MARY LAPINSKAS</v>
      </c>
      <c r="F50" s="2" t="s">
        <v>40</v>
      </c>
      <c r="G50" s="2" t="s">
        <v>28</v>
      </c>
      <c r="H50" s="2" t="s">
        <v>42</v>
      </c>
      <c r="I50" s="3">
        <v>46082</v>
      </c>
      <c r="J50" s="3">
        <v>46082</v>
      </c>
      <c r="K50" s="2">
        <v>18754354</v>
      </c>
      <c r="L50" s="2" t="s">
        <v>153</v>
      </c>
      <c r="M50" s="2" t="s">
        <v>34</v>
      </c>
      <c r="N50" s="2">
        <v>414.17</v>
      </c>
      <c r="O50" s="2">
        <v>289.17</v>
      </c>
      <c r="P50" s="2" t="s">
        <v>220</v>
      </c>
      <c r="Q50" s="2" t="s">
        <v>226</v>
      </c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s="4" customFormat="1" x14ac:dyDescent="0.25">
      <c r="A51" s="4" t="s">
        <v>60</v>
      </c>
      <c r="B51" s="4" t="str">
        <f>CONCATENATE(A51,"OVR")</f>
        <v>7TF0D84KN13OVR</v>
      </c>
      <c r="C51" s="4" t="s">
        <v>235</v>
      </c>
      <c r="D51" s="4" t="s">
        <v>236</v>
      </c>
      <c r="E51" s="4" t="str">
        <f>CONCATENATE(D51, " ",C51)</f>
        <v>DAVID CADDY</v>
      </c>
      <c r="F51" s="4" t="s">
        <v>63</v>
      </c>
      <c r="G51" s="4" t="s">
        <v>64</v>
      </c>
      <c r="H51" s="4" t="s">
        <v>42</v>
      </c>
      <c r="I51" s="5">
        <v>46023</v>
      </c>
      <c r="J51" s="5">
        <v>46023</v>
      </c>
      <c r="K51" s="4">
        <v>20411454</v>
      </c>
      <c r="L51" s="4" t="s">
        <v>231</v>
      </c>
      <c r="M51" s="4" t="s">
        <v>34</v>
      </c>
      <c r="N51" s="4">
        <v>-844</v>
      </c>
      <c r="O51" s="4">
        <v>-150</v>
      </c>
      <c r="P51" s="4" t="s">
        <v>219</v>
      </c>
    </row>
    <row r="52" spans="1:27" s="4" customFormat="1" x14ac:dyDescent="0.25">
      <c r="A52" s="4" t="s">
        <v>68</v>
      </c>
      <c r="B52" s="4" t="str">
        <f>CONCATENATE(A52,"OVR")</f>
        <v>7QM2PE3TK06OVR</v>
      </c>
      <c r="C52" s="4" t="s">
        <v>282</v>
      </c>
      <c r="D52" s="4" t="s">
        <v>283</v>
      </c>
      <c r="E52" s="4" t="str">
        <f>CONCATENATE(D52, " ",C52)</f>
        <v>PHETSAMONE CHANTHANALAY</v>
      </c>
      <c r="F52" s="4" t="s">
        <v>40</v>
      </c>
      <c r="G52" s="4" t="s">
        <v>64</v>
      </c>
      <c r="H52" s="4" t="s">
        <v>42</v>
      </c>
      <c r="I52" s="5">
        <v>46023</v>
      </c>
      <c r="J52" s="5">
        <v>46023</v>
      </c>
      <c r="K52" s="4">
        <v>20411454</v>
      </c>
      <c r="L52" s="4" t="s">
        <v>231</v>
      </c>
      <c r="M52" s="4" t="s">
        <v>34</v>
      </c>
      <c r="N52" s="4">
        <v>-844</v>
      </c>
      <c r="O52" s="4">
        <v>-150</v>
      </c>
      <c r="P52" s="4" t="s">
        <v>219</v>
      </c>
    </row>
    <row r="53" spans="1:27" s="4" customFormat="1" x14ac:dyDescent="0.25">
      <c r="A53" s="4" t="s">
        <v>103</v>
      </c>
      <c r="B53" s="4" t="str">
        <f>CONCATENATE(A53,"OVR")</f>
        <v>8QX9YQ0AF11OVR</v>
      </c>
      <c r="C53" s="4" t="s">
        <v>261</v>
      </c>
      <c r="D53" s="4" t="s">
        <v>262</v>
      </c>
      <c r="E53" s="4" t="str">
        <f>CONCATENATE(D53, " ",C53)</f>
        <v>NEWTON ELLENBARGER</v>
      </c>
      <c r="F53" s="4" t="s">
        <v>106</v>
      </c>
      <c r="G53" s="4" t="s">
        <v>64</v>
      </c>
      <c r="H53" s="4" t="s">
        <v>29</v>
      </c>
      <c r="I53" s="5">
        <v>46023</v>
      </c>
      <c r="J53" s="5">
        <v>46023</v>
      </c>
      <c r="K53" s="4">
        <v>20411454</v>
      </c>
      <c r="L53" s="4" t="s">
        <v>231</v>
      </c>
      <c r="M53" s="4" t="s">
        <v>34</v>
      </c>
      <c r="N53" s="4">
        <v>-497</v>
      </c>
      <c r="O53" s="4">
        <v>-150</v>
      </c>
      <c r="P53" s="4" t="s">
        <v>219</v>
      </c>
    </row>
    <row r="54" spans="1:27" s="4" customFormat="1" x14ac:dyDescent="0.25">
      <c r="A54" s="4" t="s">
        <v>136</v>
      </c>
      <c r="B54" s="4" t="str">
        <f>CONCATENATE(A54,"OVR")</f>
        <v>7HQ4YD4MN91OVR</v>
      </c>
      <c r="C54" s="4" t="s">
        <v>284</v>
      </c>
      <c r="D54" s="4" t="s">
        <v>264</v>
      </c>
      <c r="E54" s="4" t="str">
        <f>CONCATENATE(D54, " ",C54)</f>
        <v>BRENDA JACKSON</v>
      </c>
      <c r="F54" s="4" t="s">
        <v>139</v>
      </c>
      <c r="G54" s="4" t="s">
        <v>64</v>
      </c>
      <c r="H54" s="4" t="s">
        <v>42</v>
      </c>
      <c r="I54" s="5">
        <v>46023</v>
      </c>
      <c r="J54" s="5">
        <v>46023</v>
      </c>
      <c r="K54" s="4">
        <v>20411454</v>
      </c>
      <c r="L54" s="4" t="s">
        <v>231</v>
      </c>
      <c r="M54" s="4" t="s">
        <v>34</v>
      </c>
      <c r="N54" s="4">
        <v>-497</v>
      </c>
      <c r="O54" s="4">
        <v>-150</v>
      </c>
      <c r="P54" s="4" t="s">
        <v>219</v>
      </c>
    </row>
    <row r="55" spans="1:27" s="4" customFormat="1" x14ac:dyDescent="0.25">
      <c r="A55" s="4" t="s">
        <v>48</v>
      </c>
      <c r="B55" s="4" t="str">
        <f>CONCATENATE(A55,"OVR")</f>
        <v>2T11V02DH16OVR</v>
      </c>
      <c r="C55" s="4" t="s">
        <v>258</v>
      </c>
      <c r="D55" s="4" t="s">
        <v>259</v>
      </c>
      <c r="E55" s="4" t="str">
        <f>CONCATENATE(D55, " ",C55)</f>
        <v>RONALD BRALLIER</v>
      </c>
      <c r="F55" s="4" t="s">
        <v>27</v>
      </c>
      <c r="G55" s="4" t="s">
        <v>47</v>
      </c>
      <c r="H55" s="4" t="s">
        <v>42</v>
      </c>
      <c r="I55" s="5">
        <v>46054</v>
      </c>
      <c r="J55" s="5">
        <v>46054</v>
      </c>
      <c r="K55" s="4">
        <v>20411454</v>
      </c>
      <c r="L55" s="4" t="s">
        <v>231</v>
      </c>
      <c r="M55" s="4" t="s">
        <v>34</v>
      </c>
      <c r="N55" s="4">
        <v>-495.92</v>
      </c>
      <c r="O55" s="4">
        <v>-137.5</v>
      </c>
      <c r="P55" s="4" t="s">
        <v>219</v>
      </c>
      <c r="R55" s="4">
        <f>150/12*11</f>
        <v>137.5</v>
      </c>
    </row>
    <row r="56" spans="1:27" s="4" customFormat="1" x14ac:dyDescent="0.25">
      <c r="A56" s="4" t="s">
        <v>53</v>
      </c>
      <c r="B56" s="4" t="str">
        <f>CONCATENATE(A56,"OVR")</f>
        <v>6QK1PT8JP08OVR</v>
      </c>
      <c r="C56" s="4" t="s">
        <v>258</v>
      </c>
      <c r="D56" s="4" t="s">
        <v>255</v>
      </c>
      <c r="E56" s="4" t="str">
        <f>CONCATENATE(D56, " ",C56)</f>
        <v>ROBIN BRALLIER</v>
      </c>
      <c r="F56" s="4" t="s">
        <v>27</v>
      </c>
      <c r="G56" s="4" t="s">
        <v>47</v>
      </c>
      <c r="H56" s="4" t="s">
        <v>42</v>
      </c>
      <c r="I56" s="5">
        <v>46054</v>
      </c>
      <c r="J56" s="5">
        <v>46054</v>
      </c>
      <c r="K56" s="4">
        <v>20411454</v>
      </c>
      <c r="L56" s="4" t="s">
        <v>231</v>
      </c>
      <c r="M56" s="4" t="s">
        <v>34</v>
      </c>
      <c r="N56" s="4">
        <v>-495.92</v>
      </c>
      <c r="O56" s="4">
        <v>-137.5</v>
      </c>
      <c r="P56" s="4" t="s">
        <v>219</v>
      </c>
    </row>
    <row r="57" spans="1:27" s="4" customFormat="1" x14ac:dyDescent="0.25">
      <c r="A57" s="4" t="s">
        <v>147</v>
      </c>
      <c r="B57" s="4" t="str">
        <f>CONCATENATE(A57,"OVR")</f>
        <v>5JM0YA6EY27OVR</v>
      </c>
      <c r="C57" s="4" t="s">
        <v>252</v>
      </c>
      <c r="D57" s="4" t="s">
        <v>253</v>
      </c>
      <c r="E57" s="4" t="str">
        <f>CONCATENATE(D57, " ",C57)</f>
        <v>KEVIN LANE</v>
      </c>
      <c r="F57" s="4" t="s">
        <v>27</v>
      </c>
      <c r="G57" s="4" t="s">
        <v>47</v>
      </c>
      <c r="H57" s="4" t="s">
        <v>42</v>
      </c>
      <c r="I57" s="5">
        <v>46054</v>
      </c>
      <c r="J57" s="5">
        <v>46054</v>
      </c>
      <c r="K57" s="4">
        <v>20411454</v>
      </c>
      <c r="L57" s="4" t="s">
        <v>231</v>
      </c>
      <c r="M57" s="4" t="s">
        <v>34</v>
      </c>
      <c r="N57" s="4">
        <v>-495.92</v>
      </c>
      <c r="O57" s="4">
        <v>-137.5</v>
      </c>
      <c r="P57" s="4" t="s">
        <v>219</v>
      </c>
    </row>
    <row r="58" spans="1:27" s="4" customFormat="1" x14ac:dyDescent="0.25">
      <c r="A58" s="4" t="s">
        <v>211</v>
      </c>
      <c r="B58" s="4" t="str">
        <f>CONCATENATE(A58,"OVR")</f>
        <v>6DY4D65HA50OVR</v>
      </c>
      <c r="C58" s="4" t="s">
        <v>279</v>
      </c>
      <c r="D58" s="4" t="s">
        <v>267</v>
      </c>
      <c r="E58" s="4" t="str">
        <f>CONCATENATE(D58, " ",C58)</f>
        <v>RICHARD WILLIAMS</v>
      </c>
      <c r="F58" s="4" t="s">
        <v>27</v>
      </c>
      <c r="G58" s="4" t="s">
        <v>47</v>
      </c>
      <c r="H58" s="4" t="s">
        <v>42</v>
      </c>
      <c r="I58" s="5">
        <v>46054</v>
      </c>
      <c r="J58" s="5">
        <v>46054</v>
      </c>
      <c r="K58" s="4">
        <v>20411454</v>
      </c>
      <c r="L58" s="4" t="s">
        <v>231</v>
      </c>
      <c r="M58" s="4" t="s">
        <v>34</v>
      </c>
      <c r="N58" s="4">
        <v>-495.92</v>
      </c>
      <c r="O58" s="4">
        <v>-137.5</v>
      </c>
      <c r="P58" s="4" t="s">
        <v>219</v>
      </c>
    </row>
    <row r="59" spans="1:27" s="4" customFormat="1" x14ac:dyDescent="0.25">
      <c r="A59" s="4" t="s">
        <v>37</v>
      </c>
      <c r="B59" s="4" t="str">
        <f>CONCATENATE(A59,"OVR")</f>
        <v>4D47VN9DV59OVR</v>
      </c>
      <c r="C59" s="4" t="s">
        <v>273</v>
      </c>
      <c r="D59" s="4" t="s">
        <v>274</v>
      </c>
      <c r="E59" s="4" t="str">
        <f>CONCATENATE(D59, " ",C59)</f>
        <v>DANNY BORLAND</v>
      </c>
      <c r="F59" s="4" t="s">
        <v>40</v>
      </c>
      <c r="G59" s="4" t="s">
        <v>47</v>
      </c>
      <c r="H59" s="4" t="s">
        <v>42</v>
      </c>
      <c r="I59" s="5">
        <v>46054</v>
      </c>
      <c r="J59" s="5">
        <v>46054</v>
      </c>
      <c r="K59" s="4">
        <v>20411454</v>
      </c>
      <c r="L59" s="4" t="s">
        <v>231</v>
      </c>
      <c r="M59" s="4" t="s">
        <v>34</v>
      </c>
      <c r="N59" s="4">
        <v>-455.58</v>
      </c>
      <c r="O59" s="4">
        <v>-137.5</v>
      </c>
      <c r="P59" s="4" t="s">
        <v>219</v>
      </c>
      <c r="R59" s="4">
        <f>150/12*11</f>
        <v>137.5</v>
      </c>
    </row>
    <row r="60" spans="1:27" s="4" customFormat="1" x14ac:dyDescent="0.25">
      <c r="A60" s="4" t="s">
        <v>114</v>
      </c>
      <c r="B60" s="4" t="str">
        <f>CONCATENATE(A60,"OVR")</f>
        <v>4Q82TY8NQ00OVR</v>
      </c>
      <c r="C60" s="4" t="s">
        <v>250</v>
      </c>
      <c r="D60" s="4" t="s">
        <v>251</v>
      </c>
      <c r="E60" s="4" t="str">
        <f>CONCATENATE(D60, " ",C60)</f>
        <v>MICHAEL HANSON</v>
      </c>
      <c r="F60" s="4" t="s">
        <v>40</v>
      </c>
      <c r="G60" s="4" t="s">
        <v>47</v>
      </c>
      <c r="H60" s="4" t="s">
        <v>42</v>
      </c>
      <c r="I60" s="5">
        <v>46054</v>
      </c>
      <c r="J60" s="5">
        <v>46054</v>
      </c>
      <c r="K60" s="4">
        <v>20411454</v>
      </c>
      <c r="L60" s="4" t="s">
        <v>231</v>
      </c>
      <c r="M60" s="4" t="s">
        <v>34</v>
      </c>
      <c r="N60" s="4">
        <v>-455.58</v>
      </c>
      <c r="O60" s="4">
        <v>-137.5</v>
      </c>
      <c r="P60" s="4" t="s">
        <v>219</v>
      </c>
    </row>
    <row r="61" spans="1:27" s="4" customFormat="1" x14ac:dyDescent="0.25">
      <c r="A61" s="4" t="s">
        <v>131</v>
      </c>
      <c r="B61" s="4" t="str">
        <f>CONCATENATE(A61,"OVR")</f>
        <v>4U90Y35GE31OVR</v>
      </c>
      <c r="C61" s="4" t="s">
        <v>245</v>
      </c>
      <c r="D61" s="4" t="s">
        <v>246</v>
      </c>
      <c r="E61" s="4" t="str">
        <f>CONCATENATE(D61, " ",C61)</f>
        <v>JOHN HORNYAK</v>
      </c>
      <c r="F61" s="4" t="s">
        <v>134</v>
      </c>
      <c r="G61" s="4" t="s">
        <v>47</v>
      </c>
      <c r="H61" s="4" t="s">
        <v>42</v>
      </c>
      <c r="I61" s="5">
        <v>46054</v>
      </c>
      <c r="J61" s="5">
        <v>46054</v>
      </c>
      <c r="K61" s="4">
        <v>20411454</v>
      </c>
      <c r="L61" s="4" t="s">
        <v>231</v>
      </c>
      <c r="M61" s="4" t="s">
        <v>34</v>
      </c>
      <c r="N61" s="4">
        <v>-455.58</v>
      </c>
      <c r="O61" s="4">
        <v>-137.5</v>
      </c>
      <c r="P61" s="4" t="s">
        <v>219</v>
      </c>
    </row>
    <row r="62" spans="1:27" s="4" customFormat="1" x14ac:dyDescent="0.25">
      <c r="A62" s="4" t="s">
        <v>154</v>
      </c>
      <c r="B62" s="4" t="str">
        <f>CONCATENATE(A62,"OVR")</f>
        <v>9TG5GC9FT78OVR</v>
      </c>
      <c r="C62" s="4" t="s">
        <v>268</v>
      </c>
      <c r="D62" s="4" t="s">
        <v>243</v>
      </c>
      <c r="E62" s="4" t="str">
        <f>CONCATENATE(D62, " ",C62)</f>
        <v>THOMAS MACHOR</v>
      </c>
      <c r="F62" s="4" t="s">
        <v>94</v>
      </c>
      <c r="G62" s="4" t="s">
        <v>47</v>
      </c>
      <c r="H62" s="4" t="s">
        <v>42</v>
      </c>
      <c r="I62" s="5">
        <v>46054</v>
      </c>
      <c r="J62" s="5">
        <v>46054</v>
      </c>
      <c r="K62" s="4">
        <v>20411454</v>
      </c>
      <c r="L62" s="4" t="s">
        <v>231</v>
      </c>
      <c r="M62" s="4" t="s">
        <v>34</v>
      </c>
      <c r="N62" s="4">
        <v>-455.58</v>
      </c>
      <c r="O62" s="4">
        <v>-137.5</v>
      </c>
      <c r="P62" s="4" t="s">
        <v>219</v>
      </c>
    </row>
    <row r="63" spans="1:27" s="4" customFormat="1" x14ac:dyDescent="0.25">
      <c r="A63" s="4" t="s">
        <v>163</v>
      </c>
      <c r="B63" s="4" t="str">
        <f>CONCATENATE(A63,"OVR")</f>
        <v>9FQ1Q07VG96OVR</v>
      </c>
      <c r="C63" s="4" t="s">
        <v>271</v>
      </c>
      <c r="D63" s="4" t="s">
        <v>272</v>
      </c>
      <c r="E63" s="4" t="str">
        <f>CONCATENATE(D63, " ",C63)</f>
        <v>JOYCE MOORE</v>
      </c>
      <c r="F63" s="4" t="s">
        <v>40</v>
      </c>
      <c r="G63" s="4" t="s">
        <v>47</v>
      </c>
      <c r="H63" s="4" t="s">
        <v>42</v>
      </c>
      <c r="I63" s="5">
        <v>46054</v>
      </c>
      <c r="J63" s="5">
        <v>46054</v>
      </c>
      <c r="K63" s="4">
        <v>20411454</v>
      </c>
      <c r="L63" s="4" t="s">
        <v>231</v>
      </c>
      <c r="M63" s="4" t="s">
        <v>34</v>
      </c>
      <c r="N63" s="4">
        <v>-455.58</v>
      </c>
      <c r="O63" s="4">
        <v>-137.5</v>
      </c>
      <c r="P63" s="4" t="s">
        <v>219</v>
      </c>
    </row>
    <row r="64" spans="1:27" s="4" customFormat="1" x14ac:dyDescent="0.25">
      <c r="A64" s="4" t="s">
        <v>167</v>
      </c>
      <c r="B64" s="4" t="str">
        <f>CONCATENATE(A64,"OVR")</f>
        <v>4TM9XJ5GP19OVR</v>
      </c>
      <c r="C64" s="4" t="s">
        <v>237</v>
      </c>
      <c r="D64" s="4" t="s">
        <v>238</v>
      </c>
      <c r="E64" s="4" t="str">
        <f>CONCATENATE(D64, " ",C64)</f>
        <v>BEA NANCE</v>
      </c>
      <c r="F64" s="4" t="s">
        <v>63</v>
      </c>
      <c r="G64" s="4" t="s">
        <v>47</v>
      </c>
      <c r="H64" s="4" t="s">
        <v>42</v>
      </c>
      <c r="I64" s="5">
        <v>46054</v>
      </c>
      <c r="J64" s="5">
        <v>46054</v>
      </c>
      <c r="K64" s="4">
        <v>20411454</v>
      </c>
      <c r="L64" s="4" t="s">
        <v>231</v>
      </c>
      <c r="M64" s="4" t="s">
        <v>34</v>
      </c>
      <c r="N64" s="4">
        <v>-455.58</v>
      </c>
      <c r="O64" s="4">
        <v>-137.5</v>
      </c>
      <c r="P64" s="4" t="s">
        <v>219</v>
      </c>
    </row>
    <row r="65" spans="1:18" s="4" customFormat="1" x14ac:dyDescent="0.25">
      <c r="A65" s="4" t="s">
        <v>173</v>
      </c>
      <c r="B65" s="4" t="str">
        <f>CONCATENATE(A65,"OVR")</f>
        <v>1GX4MQ8PP70OVR</v>
      </c>
      <c r="C65" s="4" t="s">
        <v>275</v>
      </c>
      <c r="D65" s="4" t="s">
        <v>236</v>
      </c>
      <c r="E65" s="4" t="str">
        <f>CONCATENATE(D65, " ",C65)</f>
        <v>DAVID NEAL</v>
      </c>
      <c r="F65" s="4" t="s">
        <v>40</v>
      </c>
      <c r="G65" s="4" t="s">
        <v>47</v>
      </c>
      <c r="H65" s="4" t="s">
        <v>42</v>
      </c>
      <c r="I65" s="5">
        <v>46054</v>
      </c>
      <c r="J65" s="5">
        <v>46054</v>
      </c>
      <c r="K65" s="4">
        <v>20411454</v>
      </c>
      <c r="L65" s="4" t="s">
        <v>231</v>
      </c>
      <c r="M65" s="4" t="s">
        <v>34</v>
      </c>
      <c r="N65" s="4">
        <v>-455.58</v>
      </c>
      <c r="O65" s="4">
        <v>-137.5</v>
      </c>
      <c r="P65" s="4" t="s">
        <v>219</v>
      </c>
    </row>
    <row r="66" spans="1:18" s="4" customFormat="1" x14ac:dyDescent="0.25">
      <c r="A66" s="4" t="s">
        <v>188</v>
      </c>
      <c r="B66" s="4" t="str">
        <f>CONCATENATE(A66,"OVR")</f>
        <v>8FY3H56EG02OVR</v>
      </c>
      <c r="C66" s="4" t="s">
        <v>249</v>
      </c>
      <c r="D66" s="4" t="s">
        <v>246</v>
      </c>
      <c r="E66" s="4" t="str">
        <f>CONCATENATE(D66, " ",C66)</f>
        <v>JOHN POLLARD</v>
      </c>
      <c r="F66" s="4" t="s">
        <v>40</v>
      </c>
      <c r="G66" s="4" t="s">
        <v>47</v>
      </c>
      <c r="H66" s="4" t="s">
        <v>42</v>
      </c>
      <c r="I66" s="5">
        <v>46054</v>
      </c>
      <c r="J66" s="5">
        <v>46054</v>
      </c>
      <c r="K66" s="4">
        <v>20411454</v>
      </c>
      <c r="L66" s="4" t="s">
        <v>231</v>
      </c>
      <c r="M66" s="4" t="s">
        <v>34</v>
      </c>
      <c r="N66" s="4">
        <v>-455.58</v>
      </c>
      <c r="O66" s="4">
        <v>-137.5</v>
      </c>
      <c r="P66" s="4" t="s">
        <v>219</v>
      </c>
    </row>
    <row r="67" spans="1:18" s="4" customFormat="1" x14ac:dyDescent="0.25">
      <c r="A67" s="4" t="s">
        <v>202</v>
      </c>
      <c r="B67" s="4" t="str">
        <f>CONCATENATE(A67,"OVR")</f>
        <v>7PX3J74YQ09OVR</v>
      </c>
      <c r="C67" s="4" t="s">
        <v>243</v>
      </c>
      <c r="D67" s="4" t="s">
        <v>244</v>
      </c>
      <c r="E67" s="4" t="str">
        <f>CONCATENATE(D67, " ",C67)</f>
        <v>TAMMY THOMAS</v>
      </c>
      <c r="F67" s="4" t="s">
        <v>40</v>
      </c>
      <c r="G67" s="4" t="s">
        <v>47</v>
      </c>
      <c r="H67" s="4" t="s">
        <v>42</v>
      </c>
      <c r="I67" s="5">
        <v>46054</v>
      </c>
      <c r="J67" s="5">
        <v>46054</v>
      </c>
      <c r="K67" s="4">
        <v>20411454</v>
      </c>
      <c r="L67" s="4" t="s">
        <v>231</v>
      </c>
      <c r="M67" s="4" t="s">
        <v>34</v>
      </c>
      <c r="N67" s="4">
        <v>-455.58</v>
      </c>
      <c r="O67" s="4">
        <v>-137.5</v>
      </c>
      <c r="P67" s="4" t="s">
        <v>219</v>
      </c>
    </row>
    <row r="68" spans="1:18" s="4" customFormat="1" x14ac:dyDescent="0.25">
      <c r="A68" s="4" t="s">
        <v>206</v>
      </c>
      <c r="B68" s="4" t="str">
        <f>CONCATENATE(A68,"OVR")</f>
        <v>5N01QD7XX07OVR</v>
      </c>
      <c r="C68" s="4" t="s">
        <v>239</v>
      </c>
      <c r="D68" s="4" t="s">
        <v>240</v>
      </c>
      <c r="E68" s="4" t="str">
        <f>CONCATENATE(D68, " ",C68)</f>
        <v>SCOTT ULERY</v>
      </c>
      <c r="F68" s="4" t="s">
        <v>94</v>
      </c>
      <c r="G68" s="4" t="s">
        <v>47</v>
      </c>
      <c r="H68" s="4" t="s">
        <v>42</v>
      </c>
      <c r="I68" s="5">
        <v>46054</v>
      </c>
      <c r="J68" s="5">
        <v>46054</v>
      </c>
      <c r="K68" s="4">
        <v>20411454</v>
      </c>
      <c r="L68" s="4" t="s">
        <v>231</v>
      </c>
      <c r="M68" s="4" t="s">
        <v>34</v>
      </c>
      <c r="N68" s="4">
        <v>-455.58</v>
      </c>
      <c r="O68" s="4">
        <v>-137.5</v>
      </c>
      <c r="P68" s="4" t="s">
        <v>219</v>
      </c>
    </row>
    <row r="69" spans="1:18" s="4" customFormat="1" x14ac:dyDescent="0.25">
      <c r="A69" s="4" t="s">
        <v>124</v>
      </c>
      <c r="B69" s="4" t="str">
        <f>CONCATENATE(A69,"OVR")</f>
        <v>6XK4K85TK95OVR</v>
      </c>
      <c r="C69" s="4" t="s">
        <v>263</v>
      </c>
      <c r="D69" s="4" t="s">
        <v>264</v>
      </c>
      <c r="E69" s="4" t="str">
        <f>CONCATENATE(D69, " ",C69)</f>
        <v>BRENDA HARRIS</v>
      </c>
      <c r="F69" s="4" t="s">
        <v>40</v>
      </c>
      <c r="G69" s="4" t="s">
        <v>64</v>
      </c>
      <c r="H69" s="4" t="s">
        <v>42</v>
      </c>
      <c r="I69" s="5">
        <v>46023</v>
      </c>
      <c r="J69" s="5">
        <v>46023</v>
      </c>
      <c r="K69" s="4">
        <v>20411454</v>
      </c>
      <c r="L69" s="4" t="s">
        <v>231</v>
      </c>
      <c r="M69" s="4" t="s">
        <v>34</v>
      </c>
      <c r="N69" s="4">
        <v>-482</v>
      </c>
      <c r="O69" s="4">
        <v>-135</v>
      </c>
      <c r="P69" s="4" t="s">
        <v>219</v>
      </c>
      <c r="R69" s="4">
        <v>135</v>
      </c>
    </row>
    <row r="70" spans="1:18" s="4" customFormat="1" x14ac:dyDescent="0.25">
      <c r="A70" s="4" t="s">
        <v>74</v>
      </c>
      <c r="B70" s="4" t="str">
        <f>CONCATENATE(A70,"OVR")</f>
        <v>7XY3YK4GJ05OVR</v>
      </c>
      <c r="C70" s="4" t="s">
        <v>287</v>
      </c>
      <c r="D70" s="4" t="s">
        <v>288</v>
      </c>
      <c r="E70" s="4" t="str">
        <f>CONCATENATE(D70, " ",C70)</f>
        <v>COURTNEY CHRISTMAS</v>
      </c>
      <c r="F70" s="4" t="s">
        <v>77</v>
      </c>
      <c r="G70" s="4" t="s">
        <v>47</v>
      </c>
      <c r="H70" s="4" t="s">
        <v>42</v>
      </c>
      <c r="I70" s="5">
        <v>46023</v>
      </c>
      <c r="J70" s="5">
        <v>46023</v>
      </c>
      <c r="K70" s="4">
        <v>20411454</v>
      </c>
      <c r="L70" s="4" t="s">
        <v>231</v>
      </c>
      <c r="M70" s="4" t="s">
        <v>34</v>
      </c>
      <c r="N70" s="4">
        <v>-135</v>
      </c>
      <c r="O70" s="4">
        <v>-135</v>
      </c>
      <c r="P70" s="4" t="s">
        <v>219</v>
      </c>
    </row>
    <row r="71" spans="1:18" s="4" customFormat="1" x14ac:dyDescent="0.25">
      <c r="A71" s="4" t="s">
        <v>159</v>
      </c>
      <c r="B71" s="4" t="str">
        <f>CONCATENATE(A71,"OVR")</f>
        <v>7RX8MM3MU22OVR</v>
      </c>
      <c r="C71" s="4" t="s">
        <v>260</v>
      </c>
      <c r="D71" s="4" t="s">
        <v>236</v>
      </c>
      <c r="E71" s="4" t="str">
        <f>CONCATENATE(D71, " ",C71)</f>
        <v>DAVID MANKO</v>
      </c>
      <c r="F71" s="4" t="s">
        <v>27</v>
      </c>
      <c r="G71" s="4" t="s">
        <v>47</v>
      </c>
      <c r="H71" s="4" t="s">
        <v>42</v>
      </c>
      <c r="I71" s="5">
        <v>46082</v>
      </c>
      <c r="J71" s="5">
        <v>46082</v>
      </c>
      <c r="K71" s="4">
        <v>20411454</v>
      </c>
      <c r="L71" s="4" t="s">
        <v>231</v>
      </c>
      <c r="M71" s="4" t="s">
        <v>34</v>
      </c>
      <c r="N71" s="4">
        <v>-450.83</v>
      </c>
      <c r="O71" s="4">
        <v>-125</v>
      </c>
      <c r="P71" s="4" t="s">
        <v>219</v>
      </c>
      <c r="R71" s="4">
        <f>150/12*10</f>
        <v>125</v>
      </c>
    </row>
    <row r="72" spans="1:18" s="4" customFormat="1" x14ac:dyDescent="0.25">
      <c r="A72" s="4" t="s">
        <v>185</v>
      </c>
      <c r="B72" s="4" t="str">
        <f>CONCATENATE(A72,"OVR")</f>
        <v>2FK2U53GK15OVR</v>
      </c>
      <c r="C72" s="4" t="s">
        <v>254</v>
      </c>
      <c r="D72" s="4" t="s">
        <v>255</v>
      </c>
      <c r="E72" s="4" t="str">
        <f>CONCATENATE(D72, " ",C72)</f>
        <v>ROBIN PIOTROWSKI</v>
      </c>
      <c r="F72" s="4" t="s">
        <v>27</v>
      </c>
      <c r="G72" s="4" t="s">
        <v>47</v>
      </c>
      <c r="H72" s="4" t="s">
        <v>42</v>
      </c>
      <c r="I72" s="5">
        <v>46082</v>
      </c>
      <c r="J72" s="5">
        <v>46082</v>
      </c>
      <c r="K72" s="4">
        <v>20411454</v>
      </c>
      <c r="L72" s="4" t="s">
        <v>231</v>
      </c>
      <c r="M72" s="4" t="s">
        <v>34</v>
      </c>
      <c r="N72" s="4">
        <v>-450.83</v>
      </c>
      <c r="O72" s="4">
        <v>-125</v>
      </c>
      <c r="P72" s="4" t="s">
        <v>219</v>
      </c>
    </row>
    <row r="73" spans="1:18" s="4" customFormat="1" x14ac:dyDescent="0.25">
      <c r="A73" s="4" t="s">
        <v>170</v>
      </c>
      <c r="B73" s="4" t="str">
        <f>CONCATENATE(A73,"OVR")</f>
        <v>3NF5V01PV89OVR</v>
      </c>
      <c r="C73" s="4" t="s">
        <v>275</v>
      </c>
      <c r="D73" s="4" t="s">
        <v>276</v>
      </c>
      <c r="E73" s="4" t="str">
        <f>CONCATENATE(D73, " ",C73)</f>
        <v>MOLLY NEAL</v>
      </c>
      <c r="F73" s="4" t="s">
        <v>40</v>
      </c>
      <c r="G73" s="4" t="s">
        <v>47</v>
      </c>
      <c r="H73" s="4" t="s">
        <v>42</v>
      </c>
      <c r="I73" s="5">
        <v>46082</v>
      </c>
      <c r="J73" s="5">
        <v>46082</v>
      </c>
      <c r="K73" s="4">
        <v>20411454</v>
      </c>
      <c r="L73" s="4" t="s">
        <v>231</v>
      </c>
      <c r="M73" s="4" t="s">
        <v>34</v>
      </c>
      <c r="N73" s="4">
        <v>-414.17</v>
      </c>
      <c r="O73" s="4">
        <v>-125</v>
      </c>
      <c r="P73" s="4" t="s">
        <v>219</v>
      </c>
      <c r="R73" s="4">
        <f>150/12*10</f>
        <v>125</v>
      </c>
    </row>
    <row r="74" spans="1:18" s="4" customFormat="1" x14ac:dyDescent="0.25">
      <c r="A74" s="4" t="s">
        <v>98</v>
      </c>
      <c r="B74" s="4" t="str">
        <f>CONCATENATE(A74,"OVR")</f>
        <v>1HV9XT2AE10OVR</v>
      </c>
      <c r="C74" s="4" t="s">
        <v>241</v>
      </c>
      <c r="D74" s="4" t="s">
        <v>242</v>
      </c>
      <c r="E74" s="4" t="str">
        <f>CONCATENATE(D74, " ",C74)</f>
        <v>MARTHA ECKERT</v>
      </c>
      <c r="F74" s="4" t="s">
        <v>40</v>
      </c>
      <c r="G74" s="4" t="s">
        <v>47</v>
      </c>
      <c r="H74" s="4" t="s">
        <v>42</v>
      </c>
      <c r="I74" s="5">
        <v>46113</v>
      </c>
      <c r="J74" s="5">
        <v>46113</v>
      </c>
      <c r="K74" s="4">
        <v>20411454</v>
      </c>
      <c r="L74" s="4" t="s">
        <v>231</v>
      </c>
      <c r="M74" s="4" t="s">
        <v>34</v>
      </c>
      <c r="N74" s="4">
        <v>-372.75</v>
      </c>
      <c r="O74" s="4">
        <v>-112.5</v>
      </c>
      <c r="P74" s="4" t="s">
        <v>219</v>
      </c>
      <c r="R74" s="4">
        <f>150/12*9</f>
        <v>112.5</v>
      </c>
    </row>
    <row r="75" spans="1:18" s="4" customFormat="1" x14ac:dyDescent="0.25">
      <c r="A75" s="4" t="s">
        <v>87</v>
      </c>
      <c r="B75" s="4" t="str">
        <f>CONCATENATE(A75,"OVR")</f>
        <v>9U08DW1EN59OVR</v>
      </c>
      <c r="C75" s="4" t="s">
        <v>289</v>
      </c>
      <c r="D75" s="4" t="s">
        <v>290</v>
      </c>
      <c r="E75" s="4" t="str">
        <f>CONCATENATE(D75, " ",C75)</f>
        <v>MATTHEW DOLLIN</v>
      </c>
      <c r="F75" s="4" t="s">
        <v>27</v>
      </c>
      <c r="G75" s="4" t="s">
        <v>47</v>
      </c>
      <c r="H75" s="4" t="s">
        <v>42</v>
      </c>
      <c r="I75" s="5">
        <v>46054</v>
      </c>
      <c r="J75" s="5">
        <v>46054</v>
      </c>
      <c r="K75" s="4">
        <v>20411454</v>
      </c>
      <c r="L75" s="4" t="s">
        <v>231</v>
      </c>
      <c r="M75" s="4" t="s">
        <v>34</v>
      </c>
      <c r="N75" s="4">
        <v>-59.59</v>
      </c>
      <c r="O75" s="4">
        <v>-59.59</v>
      </c>
      <c r="P75" s="4" t="s">
        <v>219</v>
      </c>
    </row>
    <row r="76" spans="1:18" s="4" customFormat="1" x14ac:dyDescent="0.25">
      <c r="A76" s="4" t="s">
        <v>56</v>
      </c>
      <c r="B76" s="4" t="str">
        <f>CONCATENATE(A76,"OVR")</f>
        <v>5XJ0EM1EK14OVR</v>
      </c>
      <c r="C76" s="4" t="s">
        <v>291</v>
      </c>
      <c r="D76" s="4" t="s">
        <v>292</v>
      </c>
      <c r="E76" s="4" t="str">
        <f>CONCATENATE(D76, " ",C76)</f>
        <v>SANDRA BURTNER</v>
      </c>
      <c r="F76" s="4" t="s">
        <v>27</v>
      </c>
      <c r="G76" s="4" t="s">
        <v>47</v>
      </c>
      <c r="H76" s="4" t="s">
        <v>42</v>
      </c>
      <c r="I76" s="5">
        <v>46082</v>
      </c>
      <c r="J76" s="5">
        <v>46082</v>
      </c>
      <c r="K76" s="4">
        <v>20411454</v>
      </c>
      <c r="L76" s="4" t="s">
        <v>231</v>
      </c>
      <c r="M76" s="4" t="s">
        <v>34</v>
      </c>
      <c r="N76" s="4">
        <v>-54.16</v>
      </c>
      <c r="O76" s="4">
        <v>-54.16</v>
      </c>
      <c r="P76" s="4" t="s">
        <v>219</v>
      </c>
    </row>
    <row r="77" spans="1:18" s="4" customFormat="1" x14ac:dyDescent="0.25">
      <c r="A77" s="4" t="s">
        <v>128</v>
      </c>
      <c r="B77" s="4" t="str">
        <f>CONCATENATE(A77,"OVR")</f>
        <v>8H72JH1YW12OVR</v>
      </c>
      <c r="C77" s="4" t="s">
        <v>293</v>
      </c>
      <c r="D77" s="4" t="s">
        <v>294</v>
      </c>
      <c r="E77" s="4" t="str">
        <f>CONCATENATE(D77, " ",C77)</f>
        <v>FRANK HAWRYLIAK</v>
      </c>
      <c r="F77" s="4" t="s">
        <v>27</v>
      </c>
      <c r="G77" s="4" t="s">
        <v>47</v>
      </c>
      <c r="H77" s="4" t="s">
        <v>29</v>
      </c>
      <c r="I77" s="5">
        <v>46082</v>
      </c>
      <c r="J77" s="5">
        <v>46082</v>
      </c>
      <c r="K77" s="4">
        <v>20411454</v>
      </c>
      <c r="L77" s="4" t="s">
        <v>231</v>
      </c>
      <c r="M77" s="4" t="s">
        <v>34</v>
      </c>
      <c r="N77" s="4">
        <v>-54.16</v>
      </c>
      <c r="O77" s="4">
        <v>-54.16</v>
      </c>
      <c r="P77" s="4" t="s">
        <v>219</v>
      </c>
    </row>
    <row r="78" spans="1:18" s="4" customFormat="1" x14ac:dyDescent="0.25">
      <c r="A78" s="4" t="s">
        <v>24</v>
      </c>
      <c r="B78" s="4" t="str">
        <f>CONCATENATE(A78,"OVR")</f>
        <v>6NP8GC6GF34OVR</v>
      </c>
      <c r="C78" s="4" t="s">
        <v>295</v>
      </c>
      <c r="D78" s="4" t="s">
        <v>296</v>
      </c>
      <c r="E78" s="4" t="str">
        <f>CONCATENATE(D78, " ",C78)</f>
        <v>ALLEN AUGUSTINE</v>
      </c>
      <c r="F78" s="4" t="s">
        <v>27</v>
      </c>
      <c r="G78" s="4" t="s">
        <v>28</v>
      </c>
      <c r="H78" s="4" t="s">
        <v>29</v>
      </c>
      <c r="I78" s="5">
        <v>46143</v>
      </c>
      <c r="J78" s="5">
        <v>46143</v>
      </c>
      <c r="K78" s="4">
        <v>20411454</v>
      </c>
      <c r="L78" s="4" t="s">
        <v>231</v>
      </c>
      <c r="M78" s="4" t="s">
        <v>34</v>
      </c>
      <c r="N78" s="4">
        <v>43.34</v>
      </c>
      <c r="O78" s="4">
        <v>43.34</v>
      </c>
      <c r="P78" s="4" t="s">
        <v>219</v>
      </c>
    </row>
    <row r="79" spans="1:18" s="4" customFormat="1" x14ac:dyDescent="0.25">
      <c r="A79" s="4" t="s">
        <v>56</v>
      </c>
      <c r="B79" s="4" t="str">
        <f>CONCATENATE(A79,"OVR")</f>
        <v>5XJ0EM1EK14OVR</v>
      </c>
      <c r="C79" s="4" t="s">
        <v>291</v>
      </c>
      <c r="D79" s="4" t="s">
        <v>292</v>
      </c>
      <c r="E79" s="4" t="str">
        <f>CONCATENATE(D79, " ",C79)</f>
        <v>SANDRA BURTNER</v>
      </c>
      <c r="F79" s="4" t="s">
        <v>27</v>
      </c>
      <c r="G79" s="4" t="s">
        <v>41</v>
      </c>
      <c r="H79" s="4" t="s">
        <v>42</v>
      </c>
      <c r="I79" s="5">
        <v>46082</v>
      </c>
      <c r="J79" s="5">
        <v>46082</v>
      </c>
      <c r="K79" s="4">
        <v>20411454</v>
      </c>
      <c r="L79" s="4" t="s">
        <v>231</v>
      </c>
      <c r="M79" s="4" t="s">
        <v>34</v>
      </c>
      <c r="N79" s="4">
        <v>65</v>
      </c>
      <c r="O79" s="4">
        <v>65</v>
      </c>
      <c r="P79" s="4" t="s">
        <v>219</v>
      </c>
    </row>
    <row r="80" spans="1:18" s="4" customFormat="1" x14ac:dyDescent="0.25">
      <c r="A80" s="4" t="s">
        <v>87</v>
      </c>
      <c r="B80" s="4" t="str">
        <f>CONCATENATE(A80,"OVR")</f>
        <v>9U08DW1EN59OVR</v>
      </c>
      <c r="C80" s="4" t="s">
        <v>289</v>
      </c>
      <c r="D80" s="4" t="s">
        <v>290</v>
      </c>
      <c r="E80" s="4" t="str">
        <f>CONCATENATE(D80, " ",C80)</f>
        <v>MATTHEW DOLLIN</v>
      </c>
      <c r="F80" s="4" t="s">
        <v>27</v>
      </c>
      <c r="G80" s="4" t="s">
        <v>41</v>
      </c>
      <c r="H80" s="4" t="s">
        <v>42</v>
      </c>
      <c r="I80" s="5">
        <v>46054</v>
      </c>
      <c r="J80" s="5">
        <v>46054</v>
      </c>
      <c r="K80" s="4">
        <v>20411454</v>
      </c>
      <c r="L80" s="4" t="s">
        <v>231</v>
      </c>
      <c r="M80" s="4" t="s">
        <v>34</v>
      </c>
      <c r="N80" s="4">
        <v>65</v>
      </c>
      <c r="O80" s="4">
        <v>65</v>
      </c>
      <c r="P80" s="4" t="s">
        <v>219</v>
      </c>
    </row>
    <row r="81" spans="1:18" s="4" customFormat="1" x14ac:dyDescent="0.25">
      <c r="A81" s="4" t="s">
        <v>128</v>
      </c>
      <c r="B81" s="4" t="str">
        <f>CONCATENATE(A81,"OVR")</f>
        <v>8H72JH1YW12OVR</v>
      </c>
      <c r="C81" s="4" t="s">
        <v>293</v>
      </c>
      <c r="D81" s="4" t="s">
        <v>294</v>
      </c>
      <c r="E81" s="4" t="str">
        <f>CONCATENATE(D81, " ",C81)</f>
        <v>FRANK HAWRYLIAK</v>
      </c>
      <c r="F81" s="4" t="s">
        <v>27</v>
      </c>
      <c r="G81" s="4" t="s">
        <v>41</v>
      </c>
      <c r="H81" s="4" t="s">
        <v>29</v>
      </c>
      <c r="I81" s="5">
        <v>46082</v>
      </c>
      <c r="J81" s="5">
        <v>46082</v>
      </c>
      <c r="K81" s="4">
        <v>20411454</v>
      </c>
      <c r="L81" s="4" t="s">
        <v>231</v>
      </c>
      <c r="M81" s="4" t="s">
        <v>34</v>
      </c>
      <c r="N81" s="4">
        <v>65</v>
      </c>
      <c r="O81" s="4">
        <v>65</v>
      </c>
      <c r="P81" s="4" t="s">
        <v>219</v>
      </c>
    </row>
    <row r="82" spans="1:18" s="4" customFormat="1" x14ac:dyDescent="0.25">
      <c r="A82" s="4" t="s">
        <v>193</v>
      </c>
      <c r="B82" s="4" t="str">
        <f>CONCATENATE(A82,"OVR")</f>
        <v>8FE4UJ7NW09OVR</v>
      </c>
      <c r="C82" s="4" t="s">
        <v>280</v>
      </c>
      <c r="D82" s="4" t="s">
        <v>281</v>
      </c>
      <c r="E82" s="4" t="str">
        <f>CONCATENATE(D82, " ",C82)</f>
        <v>WILMA RAY</v>
      </c>
      <c r="F82" s="4" t="s">
        <v>40</v>
      </c>
      <c r="G82" s="4" t="s">
        <v>28</v>
      </c>
      <c r="H82" s="4" t="s">
        <v>42</v>
      </c>
      <c r="I82" s="5">
        <v>46113</v>
      </c>
      <c r="J82" s="5">
        <v>46113</v>
      </c>
      <c r="K82" s="4">
        <v>20411454</v>
      </c>
      <c r="L82" s="4" t="s">
        <v>231</v>
      </c>
      <c r="M82" s="4" t="s">
        <v>34</v>
      </c>
      <c r="N82" s="4">
        <v>372.75</v>
      </c>
      <c r="O82" s="4">
        <v>112.5</v>
      </c>
      <c r="P82" s="4" t="s">
        <v>219</v>
      </c>
    </row>
    <row r="83" spans="1:18" s="4" customFormat="1" x14ac:dyDescent="0.25">
      <c r="A83" s="4" t="s">
        <v>91</v>
      </c>
      <c r="B83" s="4" t="str">
        <f>CONCATENATE(A83,"OVR")</f>
        <v>1W20N81WT15OVR</v>
      </c>
      <c r="C83" s="4" t="s">
        <v>269</v>
      </c>
      <c r="D83" s="4" t="s">
        <v>270</v>
      </c>
      <c r="E83" s="4" t="str">
        <f>CONCATENATE(D83, " ",C83)</f>
        <v>KATHLEEN DUNN</v>
      </c>
      <c r="F83" s="4" t="s">
        <v>94</v>
      </c>
      <c r="G83" s="4" t="s">
        <v>28</v>
      </c>
      <c r="H83" s="4" t="s">
        <v>42</v>
      </c>
      <c r="I83" s="5">
        <v>46082</v>
      </c>
      <c r="J83" s="5">
        <v>46082</v>
      </c>
      <c r="K83" s="4">
        <v>20411454</v>
      </c>
      <c r="L83" s="4" t="s">
        <v>231</v>
      </c>
      <c r="M83" s="4" t="s">
        <v>34</v>
      </c>
      <c r="N83" s="4">
        <v>414.17</v>
      </c>
      <c r="O83" s="4">
        <v>125</v>
      </c>
      <c r="P83" s="4" t="s">
        <v>219</v>
      </c>
    </row>
    <row r="84" spans="1:18" s="4" customFormat="1" x14ac:dyDescent="0.25">
      <c r="A84" s="4" t="s">
        <v>119</v>
      </c>
      <c r="B84" s="4" t="str">
        <f>CONCATENATE(A84,"OVR")</f>
        <v>9T50J05YY13OVR</v>
      </c>
      <c r="C84" s="4" t="s">
        <v>265</v>
      </c>
      <c r="D84" s="4" t="s">
        <v>266</v>
      </c>
      <c r="E84" s="4" t="str">
        <f>CONCATENATE(D84, " ",C84)</f>
        <v>ORA HARPER</v>
      </c>
      <c r="F84" s="4" t="s">
        <v>40</v>
      </c>
      <c r="G84" s="4" t="s">
        <v>28</v>
      </c>
      <c r="H84" s="4" t="s">
        <v>42</v>
      </c>
      <c r="I84" s="5">
        <v>46082</v>
      </c>
      <c r="J84" s="5">
        <v>46082</v>
      </c>
      <c r="K84" s="4">
        <v>20411454</v>
      </c>
      <c r="L84" s="4" t="s">
        <v>231</v>
      </c>
      <c r="M84" s="4" t="s">
        <v>34</v>
      </c>
      <c r="N84" s="4">
        <v>414.17</v>
      </c>
      <c r="O84" s="4">
        <v>125</v>
      </c>
      <c r="P84" s="4" t="s">
        <v>219</v>
      </c>
    </row>
    <row r="85" spans="1:18" s="4" customFormat="1" x14ac:dyDescent="0.25">
      <c r="A85" s="4" t="s">
        <v>150</v>
      </c>
      <c r="B85" s="4" t="str">
        <f>CONCATENATE(A85,"OVR")</f>
        <v>9N10CY8VF44OVR</v>
      </c>
      <c r="C85" s="4" t="s">
        <v>285</v>
      </c>
      <c r="D85" s="4" t="s">
        <v>286</v>
      </c>
      <c r="E85" s="4" t="str">
        <f>CONCATENATE(D85, " ",C85)</f>
        <v>MARY LAPINSKAS</v>
      </c>
      <c r="F85" s="4" t="s">
        <v>40</v>
      </c>
      <c r="G85" s="4" t="s">
        <v>28</v>
      </c>
      <c r="H85" s="4" t="s">
        <v>42</v>
      </c>
      <c r="I85" s="5">
        <v>46082</v>
      </c>
      <c r="J85" s="5">
        <v>46082</v>
      </c>
      <c r="K85" s="4">
        <v>20411454</v>
      </c>
      <c r="L85" s="4" t="s">
        <v>231</v>
      </c>
      <c r="M85" s="4" t="s">
        <v>34</v>
      </c>
      <c r="N85" s="4">
        <v>414.17</v>
      </c>
      <c r="O85" s="4">
        <v>125</v>
      </c>
      <c r="P85" s="4" t="s">
        <v>219</v>
      </c>
    </row>
    <row r="86" spans="1:18" s="4" customFormat="1" x14ac:dyDescent="0.25">
      <c r="A86" s="4" t="s">
        <v>197</v>
      </c>
      <c r="B86" s="4" t="str">
        <f>CONCATENATE(A86,"OVR")</f>
        <v>9DH4HA6UV91OVR</v>
      </c>
      <c r="C86" s="4" t="s">
        <v>277</v>
      </c>
      <c r="D86" s="4" t="s">
        <v>278</v>
      </c>
      <c r="E86" s="4" t="str">
        <f>CONCATENATE(D86, " ",C86)</f>
        <v>MIRIAM SHULMAN</v>
      </c>
      <c r="F86" s="4" t="s">
        <v>40</v>
      </c>
      <c r="G86" s="4" t="s">
        <v>28</v>
      </c>
      <c r="H86" s="4" t="s">
        <v>42</v>
      </c>
      <c r="I86" s="5">
        <v>46082</v>
      </c>
      <c r="J86" s="5">
        <v>46082</v>
      </c>
      <c r="K86" s="4">
        <v>20411454</v>
      </c>
      <c r="L86" s="4" t="s">
        <v>231</v>
      </c>
      <c r="M86" s="4" t="s">
        <v>34</v>
      </c>
      <c r="N86" s="4">
        <v>414.17</v>
      </c>
      <c r="O86" s="4">
        <v>125</v>
      </c>
      <c r="P86" s="4" t="s">
        <v>219</v>
      </c>
    </row>
    <row r="87" spans="1:18" s="4" customFormat="1" x14ac:dyDescent="0.25">
      <c r="A87" s="4" t="s">
        <v>82</v>
      </c>
      <c r="B87" s="4" t="str">
        <f>CONCATENATE(A87,"OVR")</f>
        <v>4WF2RQ6YG08OVR</v>
      </c>
      <c r="C87" s="4" t="s">
        <v>297</v>
      </c>
      <c r="D87" s="4" t="s">
        <v>267</v>
      </c>
      <c r="E87" s="4" t="str">
        <f>CONCATENATE(D87, " ",C87)</f>
        <v>RICHARD DI STEFANO</v>
      </c>
      <c r="F87" s="4" t="s">
        <v>27</v>
      </c>
      <c r="G87" s="4" t="s">
        <v>28</v>
      </c>
      <c r="H87" s="4" t="s">
        <v>42</v>
      </c>
      <c r="I87" s="5">
        <v>46082</v>
      </c>
      <c r="J87" s="5">
        <v>46082</v>
      </c>
      <c r="K87" s="4">
        <v>20411454</v>
      </c>
      <c r="L87" s="4" t="s">
        <v>231</v>
      </c>
      <c r="M87" s="4" t="s">
        <v>34</v>
      </c>
      <c r="N87" s="4">
        <v>450.83</v>
      </c>
      <c r="O87" s="4">
        <v>125</v>
      </c>
      <c r="P87" s="4" t="s">
        <v>219</v>
      </c>
    </row>
    <row r="88" spans="1:18" s="4" customFormat="1" x14ac:dyDescent="0.25">
      <c r="A88" s="4" t="s">
        <v>110</v>
      </c>
      <c r="B88" s="4" t="str">
        <f>CONCATENATE(A88,"OVR")</f>
        <v>8NU6CM9VN44OVR</v>
      </c>
      <c r="C88" s="4" t="s">
        <v>247</v>
      </c>
      <c r="D88" s="4" t="s">
        <v>248</v>
      </c>
      <c r="E88" s="4" t="str">
        <f>CONCATENATE(D88, " ",C88)</f>
        <v>KAREN GODFREY</v>
      </c>
      <c r="F88" s="4" t="s">
        <v>27</v>
      </c>
      <c r="G88" s="4" t="s">
        <v>28</v>
      </c>
      <c r="H88" s="4" t="s">
        <v>42</v>
      </c>
      <c r="I88" s="5">
        <v>46082</v>
      </c>
      <c r="J88" s="5">
        <v>46082</v>
      </c>
      <c r="K88" s="4">
        <v>20411454</v>
      </c>
      <c r="L88" s="4" t="s">
        <v>231</v>
      </c>
      <c r="M88" s="4" t="s">
        <v>34</v>
      </c>
      <c r="N88" s="4">
        <v>450.83</v>
      </c>
      <c r="O88" s="4">
        <v>125</v>
      </c>
      <c r="P88" s="4" t="s">
        <v>219</v>
      </c>
    </row>
    <row r="89" spans="1:18" s="4" customFormat="1" x14ac:dyDescent="0.25">
      <c r="A89" s="4" t="s">
        <v>142</v>
      </c>
      <c r="B89" s="4" t="str">
        <f>CONCATENATE(A89,"OVR")</f>
        <v>6KR3UC9MQ94OVR</v>
      </c>
      <c r="C89" s="4" t="s">
        <v>256</v>
      </c>
      <c r="D89" s="4" t="s">
        <v>257</v>
      </c>
      <c r="E89" s="4" t="str">
        <f>CONCATENATE(D89, " ",C89)</f>
        <v>CAROL KOHLMYER</v>
      </c>
      <c r="F89" s="4" t="s">
        <v>27</v>
      </c>
      <c r="G89" s="4" t="s">
        <v>28</v>
      </c>
      <c r="H89" s="4" t="s">
        <v>42</v>
      </c>
      <c r="I89" s="5">
        <v>46082</v>
      </c>
      <c r="J89" s="5">
        <v>46082</v>
      </c>
      <c r="K89" s="4">
        <v>20411454</v>
      </c>
      <c r="L89" s="4" t="s">
        <v>231</v>
      </c>
      <c r="M89" s="4" t="s">
        <v>34</v>
      </c>
      <c r="N89" s="4">
        <v>450.83</v>
      </c>
      <c r="O89" s="4">
        <v>125</v>
      </c>
      <c r="P89" s="4" t="s">
        <v>219</v>
      </c>
    </row>
    <row r="90" spans="1:18" s="4" customFormat="1" x14ac:dyDescent="0.25">
      <c r="A90" s="4" t="s">
        <v>74</v>
      </c>
      <c r="B90" s="4" t="str">
        <f>CONCATENATE(A90,"OVR")</f>
        <v>7XY3YK4GJ05OVR</v>
      </c>
      <c r="C90" s="4" t="s">
        <v>287</v>
      </c>
      <c r="D90" s="4" t="s">
        <v>288</v>
      </c>
      <c r="E90" s="4" t="str">
        <f>CONCATENATE(D90, " ",C90)</f>
        <v>COURTNEY CHRISTMAS</v>
      </c>
      <c r="F90" s="4" t="s">
        <v>77</v>
      </c>
      <c r="G90" s="4" t="s">
        <v>41</v>
      </c>
      <c r="H90" s="4" t="s">
        <v>42</v>
      </c>
      <c r="I90" s="5">
        <v>46023</v>
      </c>
      <c r="J90" s="5">
        <v>46023</v>
      </c>
      <c r="K90" s="4">
        <v>20411454</v>
      </c>
      <c r="L90" s="4" t="s">
        <v>231</v>
      </c>
      <c r="M90" s="4" t="s">
        <v>34</v>
      </c>
      <c r="N90" s="4">
        <v>135</v>
      </c>
      <c r="O90" s="4">
        <v>135</v>
      </c>
      <c r="P90" s="4" t="s">
        <v>219</v>
      </c>
    </row>
    <row r="91" spans="1:18" s="4" customFormat="1" x14ac:dyDescent="0.25">
      <c r="A91" s="4" t="s">
        <v>154</v>
      </c>
      <c r="B91" s="4" t="str">
        <f>CONCATENATE(A91,"OVR")</f>
        <v>9TG5GC9FT78OVR</v>
      </c>
      <c r="C91" s="4" t="s">
        <v>268</v>
      </c>
      <c r="D91" s="4" t="s">
        <v>243</v>
      </c>
      <c r="E91" s="4" t="str">
        <f>CONCATENATE(D91, " ",C91)</f>
        <v>THOMAS MACHOR</v>
      </c>
      <c r="F91" s="4" t="s">
        <v>94</v>
      </c>
      <c r="G91" s="4" t="s">
        <v>157</v>
      </c>
      <c r="H91" s="4" t="s">
        <v>42</v>
      </c>
      <c r="I91" s="5">
        <v>46054</v>
      </c>
      <c r="J91" s="5">
        <v>46054</v>
      </c>
      <c r="K91" s="4">
        <v>20411454</v>
      </c>
      <c r="L91" s="4" t="s">
        <v>231</v>
      </c>
      <c r="M91" s="4" t="s">
        <v>34</v>
      </c>
      <c r="N91" s="4">
        <v>773.67</v>
      </c>
      <c r="O91" s="4">
        <v>137.5</v>
      </c>
      <c r="P91" s="4" t="s">
        <v>219</v>
      </c>
      <c r="R91" s="4">
        <f>150/12*11</f>
        <v>137.5</v>
      </c>
    </row>
    <row r="92" spans="1:18" s="4" customFormat="1" x14ac:dyDescent="0.25">
      <c r="A92" s="4" t="s">
        <v>163</v>
      </c>
      <c r="B92" s="4" t="str">
        <f>CONCATENATE(A92,"OVR")</f>
        <v>9FQ1Q07VG96OVR</v>
      </c>
      <c r="C92" s="4" t="s">
        <v>271</v>
      </c>
      <c r="D92" s="4" t="s">
        <v>272</v>
      </c>
      <c r="E92" s="4" t="str">
        <f>CONCATENATE(D92, " ",C92)</f>
        <v>JOYCE MOORE</v>
      </c>
      <c r="F92" s="4" t="s">
        <v>40</v>
      </c>
      <c r="G92" s="4" t="s">
        <v>157</v>
      </c>
      <c r="H92" s="4" t="s">
        <v>42</v>
      </c>
      <c r="I92" s="5">
        <v>46054</v>
      </c>
      <c r="J92" s="5">
        <v>46054</v>
      </c>
      <c r="K92" s="4">
        <v>20411454</v>
      </c>
      <c r="L92" s="4" t="s">
        <v>231</v>
      </c>
      <c r="M92" s="4" t="s">
        <v>34</v>
      </c>
      <c r="N92" s="4">
        <v>773.67</v>
      </c>
      <c r="O92" s="4">
        <v>137.5</v>
      </c>
      <c r="P92" s="4" t="s">
        <v>219</v>
      </c>
    </row>
    <row r="93" spans="1:18" s="4" customFormat="1" x14ac:dyDescent="0.25">
      <c r="A93" s="4" t="s">
        <v>37</v>
      </c>
      <c r="B93" s="4" t="str">
        <f>CONCATENATE(A93,"OVR")</f>
        <v>4D47VN9DV59OVR</v>
      </c>
      <c r="C93" s="4" t="s">
        <v>273</v>
      </c>
      <c r="D93" s="4" t="s">
        <v>274</v>
      </c>
      <c r="E93" s="4" t="str">
        <f>CONCATENATE(D93, " ",C93)</f>
        <v>DANNY BORLAND</v>
      </c>
      <c r="F93" s="4" t="s">
        <v>40</v>
      </c>
      <c r="G93" s="4" t="s">
        <v>41</v>
      </c>
      <c r="H93" s="4" t="s">
        <v>42</v>
      </c>
      <c r="I93" s="5">
        <v>46054</v>
      </c>
      <c r="J93" s="5">
        <v>46054</v>
      </c>
      <c r="K93" s="4">
        <v>20411454</v>
      </c>
      <c r="L93" s="4" t="s">
        <v>231</v>
      </c>
      <c r="M93" s="4" t="s">
        <v>34</v>
      </c>
      <c r="N93" s="4">
        <v>844</v>
      </c>
      <c r="O93" s="4">
        <v>150</v>
      </c>
      <c r="P93" s="4" t="s">
        <v>219</v>
      </c>
    </row>
    <row r="94" spans="1:18" s="4" customFormat="1" x14ac:dyDescent="0.25">
      <c r="A94" s="4" t="s">
        <v>98</v>
      </c>
      <c r="B94" s="4" t="str">
        <f>CONCATENATE(A94,"OVR")</f>
        <v>1HV9XT2AE10OVR</v>
      </c>
      <c r="C94" s="4" t="s">
        <v>241</v>
      </c>
      <c r="D94" s="4" t="s">
        <v>242</v>
      </c>
      <c r="E94" s="4" t="str">
        <f>CONCATENATE(D94, " ",C94)</f>
        <v>MARTHA ECKERT</v>
      </c>
      <c r="F94" s="4" t="s">
        <v>40</v>
      </c>
      <c r="G94" s="4" t="s">
        <v>41</v>
      </c>
      <c r="H94" s="4" t="s">
        <v>42</v>
      </c>
      <c r="I94" s="5">
        <v>46113</v>
      </c>
      <c r="J94" s="5">
        <v>46113</v>
      </c>
      <c r="K94" s="4">
        <v>20411454</v>
      </c>
      <c r="L94" s="4" t="s">
        <v>231</v>
      </c>
      <c r="M94" s="4" t="s">
        <v>34</v>
      </c>
      <c r="N94" s="4">
        <v>844</v>
      </c>
      <c r="O94" s="4">
        <v>150</v>
      </c>
      <c r="P94" s="4" t="s">
        <v>219</v>
      </c>
    </row>
    <row r="95" spans="1:18" s="4" customFormat="1" x14ac:dyDescent="0.25">
      <c r="A95" s="4" t="s">
        <v>114</v>
      </c>
      <c r="B95" s="4" t="str">
        <f>CONCATENATE(A95,"OVR")</f>
        <v>4Q82TY8NQ00OVR</v>
      </c>
      <c r="C95" s="4" t="s">
        <v>250</v>
      </c>
      <c r="D95" s="4" t="s">
        <v>251</v>
      </c>
      <c r="E95" s="4" t="str">
        <f>CONCATENATE(D95, " ",C95)</f>
        <v>MICHAEL HANSON</v>
      </c>
      <c r="F95" s="4" t="s">
        <v>40</v>
      </c>
      <c r="G95" s="4" t="s">
        <v>41</v>
      </c>
      <c r="H95" s="4" t="s">
        <v>42</v>
      </c>
      <c r="I95" s="5">
        <v>46054</v>
      </c>
      <c r="J95" s="5">
        <v>46054</v>
      </c>
      <c r="K95" s="4">
        <v>20411454</v>
      </c>
      <c r="L95" s="4" t="s">
        <v>231</v>
      </c>
      <c r="M95" s="4" t="s">
        <v>34</v>
      </c>
      <c r="N95" s="4">
        <v>844</v>
      </c>
      <c r="O95" s="4">
        <v>150</v>
      </c>
      <c r="P95" s="4" t="s">
        <v>219</v>
      </c>
    </row>
    <row r="96" spans="1:18" s="4" customFormat="1" x14ac:dyDescent="0.25">
      <c r="A96" s="4" t="s">
        <v>131</v>
      </c>
      <c r="B96" s="4" t="str">
        <f>CONCATENATE(A96,"OVR")</f>
        <v>4U90Y35GE31OVR</v>
      </c>
      <c r="C96" s="4" t="s">
        <v>245</v>
      </c>
      <c r="D96" s="4" t="s">
        <v>246</v>
      </c>
      <c r="E96" s="4" t="str">
        <f>CONCATENATE(D96, " ",C96)</f>
        <v>JOHN HORNYAK</v>
      </c>
      <c r="F96" s="4" t="s">
        <v>134</v>
      </c>
      <c r="G96" s="4" t="s">
        <v>41</v>
      </c>
      <c r="H96" s="4" t="s">
        <v>42</v>
      </c>
      <c r="I96" s="5">
        <v>46054</v>
      </c>
      <c r="J96" s="5">
        <v>46054</v>
      </c>
      <c r="K96" s="4">
        <v>20411454</v>
      </c>
      <c r="L96" s="4" t="s">
        <v>231</v>
      </c>
      <c r="M96" s="4" t="s">
        <v>34</v>
      </c>
      <c r="N96" s="4">
        <v>844</v>
      </c>
      <c r="O96" s="4">
        <v>150</v>
      </c>
      <c r="P96" s="4" t="s">
        <v>219</v>
      </c>
    </row>
    <row r="97" spans="1:16" s="4" customFormat="1" x14ac:dyDescent="0.25">
      <c r="A97" s="4" t="s">
        <v>167</v>
      </c>
      <c r="B97" s="4" t="str">
        <f>CONCATENATE(A97,"OVR")</f>
        <v>4TM9XJ5GP19OVR</v>
      </c>
      <c r="C97" s="4" t="s">
        <v>237</v>
      </c>
      <c r="D97" s="4" t="s">
        <v>238</v>
      </c>
      <c r="E97" s="4" t="str">
        <f>CONCATENATE(D97, " ",C97)</f>
        <v>BEA NANCE</v>
      </c>
      <c r="F97" s="4" t="s">
        <v>63</v>
      </c>
      <c r="G97" s="4" t="s">
        <v>41</v>
      </c>
      <c r="H97" s="4" t="s">
        <v>42</v>
      </c>
      <c r="I97" s="5">
        <v>46054</v>
      </c>
      <c r="J97" s="5">
        <v>46054</v>
      </c>
      <c r="K97" s="4">
        <v>20411454</v>
      </c>
      <c r="L97" s="4" t="s">
        <v>231</v>
      </c>
      <c r="M97" s="4" t="s">
        <v>34</v>
      </c>
      <c r="N97" s="4">
        <v>844</v>
      </c>
      <c r="O97" s="4">
        <v>150</v>
      </c>
      <c r="P97" s="4" t="s">
        <v>219</v>
      </c>
    </row>
    <row r="98" spans="1:16" s="4" customFormat="1" x14ac:dyDescent="0.25">
      <c r="A98" s="4" t="s">
        <v>170</v>
      </c>
      <c r="B98" s="4" t="str">
        <f>CONCATENATE(A98,"OVR")</f>
        <v>3NF5V01PV89OVR</v>
      </c>
      <c r="C98" s="4" t="s">
        <v>275</v>
      </c>
      <c r="D98" s="4" t="s">
        <v>276</v>
      </c>
      <c r="E98" s="4" t="str">
        <f>CONCATENATE(D98, " ",C98)</f>
        <v>MOLLY NEAL</v>
      </c>
      <c r="F98" s="4" t="s">
        <v>40</v>
      </c>
      <c r="G98" s="4" t="s">
        <v>41</v>
      </c>
      <c r="H98" s="4" t="s">
        <v>42</v>
      </c>
      <c r="I98" s="5">
        <v>46082</v>
      </c>
      <c r="J98" s="5">
        <v>46082</v>
      </c>
      <c r="K98" s="4">
        <v>20411454</v>
      </c>
      <c r="L98" s="4" t="s">
        <v>231</v>
      </c>
      <c r="M98" s="4" t="s">
        <v>34</v>
      </c>
      <c r="N98" s="4">
        <v>844</v>
      </c>
      <c r="O98" s="4">
        <v>150</v>
      </c>
      <c r="P98" s="4" t="s">
        <v>219</v>
      </c>
    </row>
    <row r="99" spans="1:16" s="4" customFormat="1" x14ac:dyDescent="0.25">
      <c r="A99" s="4" t="s">
        <v>173</v>
      </c>
      <c r="B99" s="4" t="str">
        <f>CONCATENATE(A99,"OVR")</f>
        <v>1GX4MQ8PP70OVR</v>
      </c>
      <c r="C99" s="4" t="s">
        <v>275</v>
      </c>
      <c r="D99" s="4" t="s">
        <v>236</v>
      </c>
      <c r="E99" s="4" t="str">
        <f>CONCATENATE(D99, " ",C99)</f>
        <v>DAVID NEAL</v>
      </c>
      <c r="F99" s="4" t="s">
        <v>40</v>
      </c>
      <c r="G99" s="4" t="s">
        <v>41</v>
      </c>
      <c r="H99" s="4" t="s">
        <v>42</v>
      </c>
      <c r="I99" s="5">
        <v>46054</v>
      </c>
      <c r="J99" s="5">
        <v>46054</v>
      </c>
      <c r="K99" s="4">
        <v>20411454</v>
      </c>
      <c r="L99" s="4" t="s">
        <v>231</v>
      </c>
      <c r="M99" s="4" t="s">
        <v>34</v>
      </c>
      <c r="N99" s="4">
        <v>844</v>
      </c>
      <c r="O99" s="4">
        <v>150</v>
      </c>
      <c r="P99" s="4" t="s">
        <v>219</v>
      </c>
    </row>
    <row r="100" spans="1:16" s="4" customFormat="1" x14ac:dyDescent="0.25">
      <c r="A100" s="4" t="s">
        <v>188</v>
      </c>
      <c r="B100" s="4" t="str">
        <f>CONCATENATE(A100,"OVR")</f>
        <v>8FY3H56EG02OVR</v>
      </c>
      <c r="C100" s="4" t="s">
        <v>249</v>
      </c>
      <c r="D100" s="4" t="s">
        <v>246</v>
      </c>
      <c r="E100" s="4" t="str">
        <f>CONCATENATE(D100, " ",C100)</f>
        <v>JOHN POLLARD</v>
      </c>
      <c r="F100" s="4" t="s">
        <v>40</v>
      </c>
      <c r="G100" s="4" t="s">
        <v>41</v>
      </c>
      <c r="H100" s="4" t="s">
        <v>42</v>
      </c>
      <c r="I100" s="5">
        <v>46054</v>
      </c>
      <c r="J100" s="5">
        <v>46054</v>
      </c>
      <c r="K100" s="4">
        <v>20411454</v>
      </c>
      <c r="L100" s="4" t="s">
        <v>231</v>
      </c>
      <c r="M100" s="4" t="s">
        <v>34</v>
      </c>
      <c r="N100" s="4">
        <v>844</v>
      </c>
      <c r="O100" s="4">
        <v>150</v>
      </c>
      <c r="P100" s="4" t="s">
        <v>219</v>
      </c>
    </row>
    <row r="101" spans="1:16" s="4" customFormat="1" x14ac:dyDescent="0.25">
      <c r="A101" s="4" t="s">
        <v>202</v>
      </c>
      <c r="B101" s="4" t="str">
        <f>CONCATENATE(A101,"OVR")</f>
        <v>7PX3J74YQ09OVR</v>
      </c>
      <c r="C101" s="4" t="s">
        <v>243</v>
      </c>
      <c r="D101" s="4" t="s">
        <v>244</v>
      </c>
      <c r="E101" s="4" t="str">
        <f>CONCATENATE(D101, " ",C101)</f>
        <v>TAMMY THOMAS</v>
      </c>
      <c r="F101" s="4" t="s">
        <v>40</v>
      </c>
      <c r="G101" s="4" t="s">
        <v>41</v>
      </c>
      <c r="H101" s="4" t="s">
        <v>42</v>
      </c>
      <c r="I101" s="5">
        <v>46054</v>
      </c>
      <c r="J101" s="5">
        <v>46054</v>
      </c>
      <c r="K101" s="4">
        <v>20411454</v>
      </c>
      <c r="L101" s="4" t="s">
        <v>231</v>
      </c>
      <c r="M101" s="4" t="s">
        <v>34</v>
      </c>
      <c r="N101" s="4">
        <v>844</v>
      </c>
      <c r="O101" s="4">
        <v>150</v>
      </c>
      <c r="P101" s="4" t="s">
        <v>219</v>
      </c>
    </row>
    <row r="102" spans="1:16" s="4" customFormat="1" x14ac:dyDescent="0.25">
      <c r="A102" s="4" t="s">
        <v>206</v>
      </c>
      <c r="B102" s="4" t="str">
        <f>CONCATENATE(A102,"OVR")</f>
        <v>5N01QD7XX07OVR</v>
      </c>
      <c r="C102" s="4" t="s">
        <v>239</v>
      </c>
      <c r="D102" s="4" t="s">
        <v>240</v>
      </c>
      <c r="E102" s="4" t="str">
        <f>CONCATENATE(D102, " ",C102)</f>
        <v>SCOTT ULERY</v>
      </c>
      <c r="F102" s="4" t="s">
        <v>94</v>
      </c>
      <c r="G102" s="4" t="s">
        <v>41</v>
      </c>
      <c r="H102" s="4" t="s">
        <v>42</v>
      </c>
      <c r="I102" s="5">
        <v>46054</v>
      </c>
      <c r="J102" s="5">
        <v>46054</v>
      </c>
      <c r="K102" s="4">
        <v>20411454</v>
      </c>
      <c r="L102" s="4" t="s">
        <v>231</v>
      </c>
      <c r="M102" s="4" t="s">
        <v>34</v>
      </c>
      <c r="N102" s="4">
        <v>844</v>
      </c>
      <c r="O102" s="4">
        <v>150</v>
      </c>
      <c r="P102" s="4" t="s">
        <v>219</v>
      </c>
    </row>
    <row r="103" spans="1:16" s="4" customFormat="1" x14ac:dyDescent="0.25">
      <c r="A103" s="4" t="s">
        <v>48</v>
      </c>
      <c r="B103" s="4" t="str">
        <f>CONCATENATE(A103,"OVR")</f>
        <v>2T11V02DH16OVR</v>
      </c>
      <c r="C103" s="4" t="s">
        <v>258</v>
      </c>
      <c r="D103" s="4" t="s">
        <v>259</v>
      </c>
      <c r="E103" s="4" t="str">
        <f>CONCATENATE(D103, " ",C103)</f>
        <v>RONALD BRALLIER</v>
      </c>
      <c r="F103" s="4" t="s">
        <v>27</v>
      </c>
      <c r="G103" s="4" t="s">
        <v>41</v>
      </c>
      <c r="H103" s="4" t="s">
        <v>42</v>
      </c>
      <c r="I103" s="5">
        <v>46054</v>
      </c>
      <c r="J103" s="5">
        <v>46054</v>
      </c>
      <c r="K103" s="4">
        <v>20411454</v>
      </c>
      <c r="L103" s="4" t="s">
        <v>231</v>
      </c>
      <c r="M103" s="4" t="s">
        <v>34</v>
      </c>
      <c r="N103" s="4">
        <v>931</v>
      </c>
      <c r="O103" s="4">
        <v>150</v>
      </c>
      <c r="P103" s="4" t="s">
        <v>219</v>
      </c>
    </row>
    <row r="104" spans="1:16" s="4" customFormat="1" x14ac:dyDescent="0.25">
      <c r="A104" s="4" t="s">
        <v>53</v>
      </c>
      <c r="B104" s="4" t="str">
        <f>CONCATENATE(A104,"OVR")</f>
        <v>6QK1PT8JP08OVR</v>
      </c>
      <c r="C104" s="4" t="s">
        <v>258</v>
      </c>
      <c r="D104" s="4" t="s">
        <v>255</v>
      </c>
      <c r="E104" s="4" t="str">
        <f>CONCATENATE(D104, " ",C104)</f>
        <v>ROBIN BRALLIER</v>
      </c>
      <c r="F104" s="4" t="s">
        <v>27</v>
      </c>
      <c r="G104" s="4" t="s">
        <v>41</v>
      </c>
      <c r="H104" s="4" t="s">
        <v>42</v>
      </c>
      <c r="I104" s="5">
        <v>46054</v>
      </c>
      <c r="J104" s="5">
        <v>46054</v>
      </c>
      <c r="K104" s="4">
        <v>20411454</v>
      </c>
      <c r="L104" s="4" t="s">
        <v>231</v>
      </c>
      <c r="M104" s="4" t="s">
        <v>34</v>
      </c>
      <c r="N104" s="4">
        <v>931</v>
      </c>
      <c r="O104" s="4">
        <v>150</v>
      </c>
      <c r="P104" s="4" t="s">
        <v>219</v>
      </c>
    </row>
    <row r="105" spans="1:16" s="4" customFormat="1" x14ac:dyDescent="0.25">
      <c r="A105" s="4" t="s">
        <v>147</v>
      </c>
      <c r="B105" s="4" t="str">
        <f>CONCATENATE(A105,"OVR")</f>
        <v>5JM0YA6EY27OVR</v>
      </c>
      <c r="C105" s="4" t="s">
        <v>252</v>
      </c>
      <c r="D105" s="4" t="s">
        <v>253</v>
      </c>
      <c r="E105" s="4" t="str">
        <f>CONCATENATE(D105, " ",C105)</f>
        <v>KEVIN LANE</v>
      </c>
      <c r="F105" s="4" t="s">
        <v>27</v>
      </c>
      <c r="G105" s="4" t="s">
        <v>41</v>
      </c>
      <c r="H105" s="4" t="s">
        <v>42</v>
      </c>
      <c r="I105" s="5">
        <v>46054</v>
      </c>
      <c r="J105" s="5">
        <v>46054</v>
      </c>
      <c r="K105" s="4">
        <v>20411454</v>
      </c>
      <c r="L105" s="4" t="s">
        <v>231</v>
      </c>
      <c r="M105" s="4" t="s">
        <v>34</v>
      </c>
      <c r="N105" s="4">
        <v>931</v>
      </c>
      <c r="O105" s="4">
        <v>150</v>
      </c>
      <c r="P105" s="4" t="s">
        <v>219</v>
      </c>
    </row>
    <row r="106" spans="1:16" s="4" customFormat="1" x14ac:dyDescent="0.25">
      <c r="A106" s="4" t="s">
        <v>159</v>
      </c>
      <c r="B106" s="4" t="str">
        <f>CONCATENATE(A106,"OVR")</f>
        <v>7RX8MM3MU22OVR</v>
      </c>
      <c r="C106" s="4" t="s">
        <v>260</v>
      </c>
      <c r="D106" s="4" t="s">
        <v>236</v>
      </c>
      <c r="E106" s="4" t="str">
        <f>CONCATENATE(D106, " ",C106)</f>
        <v>DAVID MANKO</v>
      </c>
      <c r="F106" s="4" t="s">
        <v>27</v>
      </c>
      <c r="G106" s="4" t="s">
        <v>41</v>
      </c>
      <c r="H106" s="4" t="s">
        <v>42</v>
      </c>
      <c r="I106" s="5">
        <v>46082</v>
      </c>
      <c r="J106" s="5">
        <v>46082</v>
      </c>
      <c r="K106" s="4">
        <v>20411454</v>
      </c>
      <c r="L106" s="4" t="s">
        <v>231</v>
      </c>
      <c r="M106" s="4" t="s">
        <v>34</v>
      </c>
      <c r="N106" s="4">
        <v>931</v>
      </c>
      <c r="O106" s="4">
        <v>150</v>
      </c>
      <c r="P106" s="4" t="s">
        <v>219</v>
      </c>
    </row>
    <row r="107" spans="1:16" s="4" customFormat="1" x14ac:dyDescent="0.25">
      <c r="A107" s="4" t="s">
        <v>185</v>
      </c>
      <c r="B107" s="4" t="str">
        <f>CONCATENATE(A107,"OVR")</f>
        <v>2FK2U53GK15OVR</v>
      </c>
      <c r="C107" s="4" t="s">
        <v>254</v>
      </c>
      <c r="D107" s="4" t="s">
        <v>255</v>
      </c>
      <c r="E107" s="4" t="str">
        <f>CONCATENATE(D107, " ",C107)</f>
        <v>ROBIN PIOTROWSKI</v>
      </c>
      <c r="F107" s="4" t="s">
        <v>27</v>
      </c>
      <c r="G107" s="4" t="s">
        <v>41</v>
      </c>
      <c r="H107" s="4" t="s">
        <v>42</v>
      </c>
      <c r="I107" s="5">
        <v>46082</v>
      </c>
      <c r="J107" s="5">
        <v>46082</v>
      </c>
      <c r="K107" s="4">
        <v>20411454</v>
      </c>
      <c r="L107" s="4" t="s">
        <v>231</v>
      </c>
      <c r="M107" s="4" t="s">
        <v>34</v>
      </c>
      <c r="N107" s="4">
        <v>931</v>
      </c>
      <c r="O107" s="4">
        <v>150</v>
      </c>
      <c r="P107" s="4" t="s">
        <v>219</v>
      </c>
    </row>
    <row r="108" spans="1:16" s="4" customFormat="1" x14ac:dyDescent="0.25">
      <c r="A108" s="4" t="s">
        <v>211</v>
      </c>
      <c r="B108" s="4" t="str">
        <f>CONCATENATE(A108,"OVR")</f>
        <v>6DY4D65HA50OVR</v>
      </c>
      <c r="C108" s="4" t="s">
        <v>279</v>
      </c>
      <c r="D108" s="4" t="s">
        <v>267</v>
      </c>
      <c r="E108" s="4" t="str">
        <f>CONCATENATE(D108, " ",C108)</f>
        <v>RICHARD WILLIAMS</v>
      </c>
      <c r="F108" s="4" t="s">
        <v>27</v>
      </c>
      <c r="G108" s="4" t="s">
        <v>41</v>
      </c>
      <c r="H108" s="4" t="s">
        <v>42</v>
      </c>
      <c r="I108" s="5">
        <v>46054</v>
      </c>
      <c r="J108" s="5">
        <v>46054</v>
      </c>
      <c r="K108" s="4">
        <v>20411454</v>
      </c>
      <c r="L108" s="4" t="s">
        <v>231</v>
      </c>
      <c r="M108" s="4" t="s">
        <v>34</v>
      </c>
      <c r="N108" s="4">
        <v>931</v>
      </c>
      <c r="O108" s="4">
        <v>150</v>
      </c>
      <c r="P108" s="4" t="s">
        <v>219</v>
      </c>
    </row>
    <row r="109" spans="1:16" x14ac:dyDescent="0.25">
      <c r="I109" s="1"/>
      <c r="J109" s="1"/>
    </row>
    <row r="110" spans="1:16" x14ac:dyDescent="0.25">
      <c r="I110" s="1"/>
      <c r="J110" s="1"/>
    </row>
    <row r="111" spans="1:16" x14ac:dyDescent="0.25">
      <c r="I111" s="1"/>
      <c r="J111" s="1"/>
    </row>
    <row r="112" spans="1:16" x14ac:dyDescent="0.25">
      <c r="I112" s="1"/>
      <c r="J112" s="1"/>
    </row>
    <row r="113" spans="9:10" x14ac:dyDescent="0.25">
      <c r="I113" s="1"/>
      <c r="J113" s="1"/>
    </row>
    <row r="114" spans="9:10" x14ac:dyDescent="0.25">
      <c r="I114" s="1"/>
      <c r="J114" s="1"/>
    </row>
    <row r="115" spans="9:10" x14ac:dyDescent="0.25">
      <c r="I115" s="1"/>
      <c r="J115" s="1"/>
    </row>
    <row r="116" spans="9:10" x14ac:dyDescent="0.25">
      <c r="I116" s="1"/>
      <c r="J116" s="1"/>
    </row>
    <row r="117" spans="9:10" x14ac:dyDescent="0.25">
      <c r="I117" s="1"/>
      <c r="J117" s="1"/>
    </row>
    <row r="118" spans="9:10" x14ac:dyDescent="0.25">
      <c r="I118" s="1"/>
      <c r="J118" s="1"/>
    </row>
    <row r="119" spans="9:10" x14ac:dyDescent="0.25">
      <c r="I119" s="1"/>
      <c r="J119" s="1"/>
    </row>
    <row r="120" spans="9:10" x14ac:dyDescent="0.25">
      <c r="I120" s="1"/>
      <c r="J120" s="1"/>
    </row>
    <row r="121" spans="9:10" x14ac:dyDescent="0.25">
      <c r="I121" s="1"/>
      <c r="J121" s="1"/>
    </row>
    <row r="122" spans="9:10" x14ac:dyDescent="0.25">
      <c r="I122" s="1"/>
      <c r="J122" s="1"/>
    </row>
    <row r="123" spans="9:10" x14ac:dyDescent="0.25">
      <c r="I123" s="1"/>
      <c r="J123" s="1"/>
    </row>
    <row r="124" spans="9:10" x14ac:dyDescent="0.25">
      <c r="I124" s="1"/>
      <c r="J124" s="1"/>
    </row>
    <row r="125" spans="9:10" x14ac:dyDescent="0.25">
      <c r="I125" s="1"/>
      <c r="J125" s="1"/>
    </row>
    <row r="126" spans="9:10" x14ac:dyDescent="0.25">
      <c r="I126" s="1"/>
      <c r="J126" s="1"/>
    </row>
    <row r="127" spans="9:10" x14ac:dyDescent="0.25">
      <c r="I127" s="1"/>
      <c r="J127" s="1"/>
    </row>
    <row r="128" spans="9:10" x14ac:dyDescent="0.25">
      <c r="I128" s="1"/>
      <c r="J128" s="1"/>
    </row>
    <row r="129" spans="9:10" x14ac:dyDescent="0.25">
      <c r="I129" s="1"/>
      <c r="J129" s="1"/>
    </row>
    <row r="130" spans="9:10" x14ac:dyDescent="0.25">
      <c r="I130" s="1"/>
      <c r="J130" s="1"/>
    </row>
    <row r="131" spans="9:10" x14ac:dyDescent="0.25">
      <c r="I131" s="1"/>
      <c r="J131" s="1"/>
    </row>
    <row r="132" spans="9:10" x14ac:dyDescent="0.25">
      <c r="I132" s="1"/>
      <c r="J132" s="1"/>
    </row>
    <row r="133" spans="9:10" x14ac:dyDescent="0.25">
      <c r="I133" s="1"/>
      <c r="J133" s="1"/>
    </row>
    <row r="134" spans="9:10" x14ac:dyDescent="0.25">
      <c r="I134" s="1"/>
      <c r="J134" s="1"/>
    </row>
    <row r="135" spans="9:10" x14ac:dyDescent="0.25">
      <c r="I135" s="1"/>
      <c r="J135" s="1"/>
    </row>
    <row r="136" spans="9:10" x14ac:dyDescent="0.25">
      <c r="I136" s="1"/>
      <c r="J136" s="1"/>
    </row>
    <row r="137" spans="9:10" x14ac:dyDescent="0.25">
      <c r="I137" s="1"/>
      <c r="J137" s="1"/>
    </row>
    <row r="138" spans="9:10" x14ac:dyDescent="0.25">
      <c r="I138" s="1"/>
      <c r="J138" s="1"/>
    </row>
    <row r="139" spans="9:10" x14ac:dyDescent="0.25">
      <c r="I139" s="1"/>
      <c r="J139" s="1"/>
    </row>
    <row r="140" spans="9:10" x14ac:dyDescent="0.25">
      <c r="I140" s="1"/>
      <c r="J140" s="1"/>
    </row>
    <row r="141" spans="9:10" x14ac:dyDescent="0.25">
      <c r="I141" s="1"/>
      <c r="J141" s="1"/>
    </row>
    <row r="142" spans="9:10" x14ac:dyDescent="0.25">
      <c r="I142" s="1"/>
      <c r="J142" s="1"/>
    </row>
    <row r="143" spans="9:10" x14ac:dyDescent="0.25">
      <c r="I143" s="1"/>
      <c r="J143" s="1"/>
    </row>
    <row r="144" spans="9:10" x14ac:dyDescent="0.25">
      <c r="I144" s="1"/>
      <c r="J144" s="1"/>
    </row>
    <row r="145" spans="9:10" x14ac:dyDescent="0.25">
      <c r="I145" s="1"/>
      <c r="J145" s="1"/>
    </row>
    <row r="146" spans="9:10" x14ac:dyDescent="0.25">
      <c r="I146" s="1"/>
      <c r="J146" s="1"/>
    </row>
    <row r="147" spans="9:10" x14ac:dyDescent="0.25">
      <c r="I147" s="1"/>
      <c r="J147" s="1"/>
    </row>
    <row r="148" spans="9:10" x14ac:dyDescent="0.25">
      <c r="I148" s="1"/>
      <c r="J148" s="1"/>
    </row>
    <row r="149" spans="9:10" x14ac:dyDescent="0.25">
      <c r="I149" s="1"/>
      <c r="J149" s="1"/>
    </row>
    <row r="150" spans="9:10" x14ac:dyDescent="0.25">
      <c r="I150" s="1"/>
      <c r="J150" s="1"/>
    </row>
    <row r="151" spans="9:10" x14ac:dyDescent="0.25">
      <c r="I151" s="1"/>
      <c r="J151" s="1"/>
    </row>
    <row r="152" spans="9:10" x14ac:dyDescent="0.25">
      <c r="I152" s="1"/>
      <c r="J152" s="1"/>
    </row>
    <row r="153" spans="9:10" x14ac:dyDescent="0.25">
      <c r="I153" s="1"/>
      <c r="J153" s="1"/>
    </row>
    <row r="154" spans="9:10" x14ac:dyDescent="0.25">
      <c r="I154" s="1"/>
      <c r="J154" s="1"/>
    </row>
    <row r="155" spans="9:10" x14ac:dyDescent="0.25">
      <c r="I155" s="1"/>
      <c r="J155" s="1"/>
    </row>
    <row r="156" spans="9:10" x14ac:dyDescent="0.25">
      <c r="I156" s="1"/>
      <c r="J156" s="1"/>
    </row>
    <row r="157" spans="9:10" x14ac:dyDescent="0.25">
      <c r="I157" s="1"/>
      <c r="J157" s="1"/>
    </row>
    <row r="158" spans="9:10" x14ac:dyDescent="0.25">
      <c r="I158" s="1"/>
      <c r="J158" s="1"/>
    </row>
    <row r="159" spans="9:10" x14ac:dyDescent="0.25">
      <c r="I159" s="1"/>
      <c r="J159" s="1"/>
    </row>
    <row r="160" spans="9:10" x14ac:dyDescent="0.25">
      <c r="I160" s="1"/>
      <c r="J160" s="1"/>
    </row>
    <row r="161" spans="9:10" x14ac:dyDescent="0.25">
      <c r="I161" s="1"/>
      <c r="J161" s="1"/>
    </row>
    <row r="162" spans="9:10" x14ac:dyDescent="0.25">
      <c r="I162" s="1"/>
      <c r="J162" s="1"/>
    </row>
    <row r="163" spans="9:10" x14ac:dyDescent="0.25">
      <c r="I163" s="1"/>
      <c r="J163" s="1"/>
    </row>
    <row r="164" spans="9:10" x14ac:dyDescent="0.25">
      <c r="I164" s="1"/>
      <c r="J164" s="1"/>
    </row>
    <row r="165" spans="9:10" x14ac:dyDescent="0.25">
      <c r="I165" s="1"/>
      <c r="J165" s="1"/>
    </row>
    <row r="166" spans="9:10" x14ac:dyDescent="0.25">
      <c r="I166" s="1"/>
      <c r="J166" s="1"/>
    </row>
    <row r="167" spans="9:10" x14ac:dyDescent="0.25">
      <c r="I167" s="1"/>
      <c r="J167" s="1"/>
    </row>
    <row r="168" spans="9:10" x14ac:dyDescent="0.25">
      <c r="I168" s="1"/>
      <c r="J168" s="1"/>
    </row>
    <row r="169" spans="9:10" x14ac:dyDescent="0.25">
      <c r="I169" s="1"/>
      <c r="J169" s="1"/>
    </row>
    <row r="170" spans="9:10" x14ac:dyDescent="0.25">
      <c r="I170" s="1"/>
      <c r="J170" s="1"/>
    </row>
    <row r="171" spans="9:10" x14ac:dyDescent="0.25">
      <c r="I171" s="1"/>
      <c r="J171" s="1"/>
    </row>
    <row r="172" spans="9:10" x14ac:dyDescent="0.25">
      <c r="I172" s="1"/>
      <c r="J172" s="1"/>
    </row>
    <row r="173" spans="9:10" x14ac:dyDescent="0.25">
      <c r="I173" s="1"/>
      <c r="J173" s="1"/>
    </row>
    <row r="174" spans="9:10" x14ac:dyDescent="0.25">
      <c r="I174" s="1"/>
      <c r="J174" s="1"/>
    </row>
    <row r="175" spans="9:10" x14ac:dyDescent="0.25">
      <c r="I175" s="1"/>
      <c r="J175" s="1"/>
    </row>
    <row r="176" spans="9:10" x14ac:dyDescent="0.25">
      <c r="I176" s="1"/>
      <c r="J176" s="1"/>
    </row>
    <row r="177" spans="9:10" x14ac:dyDescent="0.25">
      <c r="I177" s="1"/>
      <c r="J177" s="1"/>
    </row>
    <row r="178" spans="9:10" x14ac:dyDescent="0.25">
      <c r="I178" s="1"/>
      <c r="J178" s="1"/>
    </row>
    <row r="179" spans="9:10" x14ac:dyDescent="0.25">
      <c r="I179" s="1"/>
      <c r="J179" s="1"/>
    </row>
    <row r="180" spans="9:10" x14ac:dyDescent="0.25">
      <c r="I180" s="1"/>
      <c r="J180" s="1"/>
    </row>
    <row r="181" spans="9:10" x14ac:dyDescent="0.25">
      <c r="I181" s="1"/>
      <c r="J181" s="1"/>
    </row>
    <row r="182" spans="9:10" x14ac:dyDescent="0.25">
      <c r="I182" s="1"/>
      <c r="J182" s="1"/>
    </row>
    <row r="183" spans="9:10" x14ac:dyDescent="0.25">
      <c r="I183" s="1"/>
      <c r="J183" s="1"/>
    </row>
    <row r="184" spans="9:10" x14ac:dyDescent="0.25">
      <c r="I184" s="1"/>
      <c r="J184" s="1"/>
    </row>
    <row r="185" spans="9:10" x14ac:dyDescent="0.25">
      <c r="I185" s="1"/>
      <c r="J185" s="1"/>
    </row>
    <row r="186" spans="9:10" x14ac:dyDescent="0.25">
      <c r="I186" s="1"/>
      <c r="J186" s="1"/>
    </row>
    <row r="187" spans="9:10" x14ac:dyDescent="0.25">
      <c r="I187" s="1"/>
      <c r="J187" s="1"/>
    </row>
    <row r="188" spans="9:10" x14ac:dyDescent="0.25">
      <c r="I188" s="1"/>
      <c r="J188" s="1"/>
    </row>
    <row r="189" spans="9:10" x14ac:dyDescent="0.25">
      <c r="I189" s="1"/>
      <c r="J189" s="1"/>
    </row>
    <row r="190" spans="9:10" x14ac:dyDescent="0.25">
      <c r="I190" s="1"/>
      <c r="J190" s="1"/>
    </row>
    <row r="191" spans="9:10" x14ac:dyDescent="0.25">
      <c r="I191" s="1"/>
      <c r="J191" s="1"/>
    </row>
    <row r="192" spans="9:10" x14ac:dyDescent="0.25">
      <c r="I192" s="1"/>
      <c r="J192" s="1"/>
    </row>
    <row r="193" spans="9:10" x14ac:dyDescent="0.25">
      <c r="I193" s="1"/>
      <c r="J193" s="1"/>
    </row>
    <row r="194" spans="9:10" x14ac:dyDescent="0.25">
      <c r="I194" s="1"/>
      <c r="J194" s="1"/>
    </row>
    <row r="195" spans="9:10" x14ac:dyDescent="0.25">
      <c r="I195" s="1"/>
      <c r="J195" s="1"/>
    </row>
    <row r="196" spans="9:10" x14ac:dyDescent="0.25">
      <c r="I196" s="1"/>
      <c r="J196" s="1"/>
    </row>
    <row r="197" spans="9:10" x14ac:dyDescent="0.25">
      <c r="I197" s="1"/>
      <c r="J197" s="1"/>
    </row>
    <row r="198" spans="9:10" x14ac:dyDescent="0.25">
      <c r="I198" s="1"/>
      <c r="J198" s="1"/>
    </row>
    <row r="199" spans="9:10" x14ac:dyDescent="0.25">
      <c r="I199" s="1"/>
      <c r="J199" s="1"/>
    </row>
    <row r="200" spans="9:10" x14ac:dyDescent="0.25">
      <c r="I200" s="1"/>
      <c r="J200" s="1"/>
    </row>
    <row r="201" spans="9:10" x14ac:dyDescent="0.25">
      <c r="I201" s="1"/>
      <c r="J201" s="1"/>
    </row>
    <row r="202" spans="9:10" x14ac:dyDescent="0.25">
      <c r="I202" s="1"/>
      <c r="J202" s="1"/>
    </row>
    <row r="203" spans="9:10" x14ac:dyDescent="0.25">
      <c r="I203" s="1"/>
      <c r="J203" s="1"/>
    </row>
    <row r="204" spans="9:10" x14ac:dyDescent="0.25">
      <c r="I204" s="1"/>
      <c r="J204" s="1"/>
    </row>
    <row r="205" spans="9:10" x14ac:dyDescent="0.25">
      <c r="I205" s="1"/>
      <c r="J205" s="1"/>
    </row>
    <row r="206" spans="9:10" x14ac:dyDescent="0.25">
      <c r="I206" s="1"/>
      <c r="J206" s="1"/>
    </row>
    <row r="207" spans="9:10" x14ac:dyDescent="0.25">
      <c r="I207" s="1"/>
      <c r="J207" s="1"/>
    </row>
    <row r="208" spans="9:10" x14ac:dyDescent="0.25">
      <c r="I208" s="1"/>
      <c r="J208" s="1"/>
    </row>
    <row r="209" spans="9:10" x14ac:dyDescent="0.25">
      <c r="I209" s="1"/>
      <c r="J209" s="1"/>
    </row>
    <row r="210" spans="9:10" x14ac:dyDescent="0.25">
      <c r="I210" s="1"/>
      <c r="J210" s="1"/>
    </row>
    <row r="211" spans="9:10" x14ac:dyDescent="0.25">
      <c r="I211" s="1"/>
      <c r="J211" s="1"/>
    </row>
    <row r="212" spans="9:10" x14ac:dyDescent="0.25">
      <c r="I212" s="1"/>
      <c r="J212" s="1"/>
    </row>
    <row r="213" spans="9:10" x14ac:dyDescent="0.25">
      <c r="I213" s="1"/>
      <c r="J213" s="1"/>
    </row>
    <row r="214" spans="9:10" x14ac:dyDescent="0.25">
      <c r="I214" s="1"/>
      <c r="J214" s="1"/>
    </row>
    <row r="215" spans="9:10" x14ac:dyDescent="0.25">
      <c r="I215" s="1"/>
      <c r="J215" s="1"/>
    </row>
    <row r="216" spans="9:10" x14ac:dyDescent="0.25">
      <c r="I216" s="1"/>
      <c r="J216" s="1"/>
    </row>
    <row r="217" spans="9:10" x14ac:dyDescent="0.25">
      <c r="I217" s="1"/>
      <c r="J217" s="1"/>
    </row>
    <row r="218" spans="9:10" x14ac:dyDescent="0.25">
      <c r="I218" s="1"/>
      <c r="J218" s="1"/>
    </row>
    <row r="219" spans="9:10" x14ac:dyDescent="0.25">
      <c r="I219" s="1"/>
      <c r="J219" s="1"/>
    </row>
    <row r="220" spans="9:10" x14ac:dyDescent="0.25">
      <c r="I220" s="1"/>
      <c r="J220" s="1"/>
    </row>
    <row r="221" spans="9:10" x14ac:dyDescent="0.25">
      <c r="I221" s="1"/>
      <c r="J221" s="1"/>
    </row>
    <row r="222" spans="9:10" x14ac:dyDescent="0.25">
      <c r="I222" s="1"/>
      <c r="J222" s="1"/>
    </row>
    <row r="223" spans="9:10" x14ac:dyDescent="0.25">
      <c r="I223" s="1"/>
      <c r="J223" s="1"/>
    </row>
    <row r="224" spans="9:10" x14ac:dyDescent="0.25">
      <c r="I224" s="1"/>
      <c r="J224" s="1"/>
    </row>
    <row r="225" spans="9:10" x14ac:dyDescent="0.25">
      <c r="I225" s="1"/>
      <c r="J225" s="1"/>
    </row>
    <row r="226" spans="9:10" x14ac:dyDescent="0.25">
      <c r="I226" s="1"/>
      <c r="J226" s="1"/>
    </row>
    <row r="227" spans="9:10" x14ac:dyDescent="0.25">
      <c r="I227" s="1"/>
      <c r="J227" s="1"/>
    </row>
    <row r="228" spans="9:10" x14ac:dyDescent="0.25">
      <c r="I228" s="1"/>
      <c r="J228" s="1"/>
    </row>
    <row r="229" spans="9:10" x14ac:dyDescent="0.25">
      <c r="I229" s="1"/>
      <c r="J229" s="1"/>
    </row>
    <row r="230" spans="9:10" x14ac:dyDescent="0.25">
      <c r="I230" s="1"/>
      <c r="J230" s="1"/>
    </row>
    <row r="231" spans="9:10" x14ac:dyDescent="0.25">
      <c r="I231" s="1"/>
      <c r="J231" s="1"/>
    </row>
    <row r="232" spans="9:10" x14ac:dyDescent="0.25">
      <c r="I232" s="1"/>
      <c r="J232" s="1"/>
    </row>
    <row r="233" spans="9:10" x14ac:dyDescent="0.25">
      <c r="I233" s="1"/>
      <c r="J233" s="1"/>
    </row>
    <row r="234" spans="9:10" x14ac:dyDescent="0.25">
      <c r="I234" s="1"/>
      <c r="J234" s="1"/>
    </row>
    <row r="235" spans="9:10" x14ac:dyDescent="0.25">
      <c r="I235" s="1"/>
      <c r="J235" s="1"/>
    </row>
    <row r="236" spans="9:10" x14ac:dyDescent="0.25">
      <c r="I236" s="1"/>
      <c r="J236" s="1"/>
    </row>
    <row r="237" spans="9:10" x14ac:dyDescent="0.25">
      <c r="I237" s="1"/>
      <c r="J237" s="1"/>
    </row>
    <row r="238" spans="9:10" x14ac:dyDescent="0.25">
      <c r="I238" s="1"/>
      <c r="J238" s="1"/>
    </row>
    <row r="239" spans="9:10" x14ac:dyDescent="0.25">
      <c r="I239" s="1"/>
      <c r="J239" s="1"/>
    </row>
    <row r="240" spans="9:10" x14ac:dyDescent="0.25">
      <c r="I240" s="1"/>
      <c r="J240" s="1"/>
    </row>
    <row r="241" spans="9:10" x14ac:dyDescent="0.25">
      <c r="I241" s="1"/>
      <c r="J241" s="1"/>
    </row>
    <row r="242" spans="9:10" x14ac:dyDescent="0.25">
      <c r="I242" s="1"/>
      <c r="J242" s="1"/>
    </row>
    <row r="243" spans="9:10" x14ac:dyDescent="0.25">
      <c r="I243" s="1"/>
      <c r="J243" s="1"/>
    </row>
    <row r="244" spans="9:10" x14ac:dyDescent="0.25">
      <c r="I244" s="1"/>
      <c r="J244" s="1"/>
    </row>
    <row r="245" spans="9:10" x14ac:dyDescent="0.25">
      <c r="I245" s="1"/>
      <c r="J245" s="1"/>
    </row>
    <row r="246" spans="9:10" x14ac:dyDescent="0.25">
      <c r="I246" s="1"/>
      <c r="J246" s="1"/>
    </row>
    <row r="247" spans="9:10" x14ac:dyDescent="0.25">
      <c r="I247" s="1"/>
      <c r="J247" s="1"/>
    </row>
    <row r="248" spans="9:10" x14ac:dyDescent="0.25">
      <c r="I248" s="1"/>
      <c r="J248" s="1"/>
    </row>
    <row r="249" spans="9:10" x14ac:dyDescent="0.25">
      <c r="I249" s="1"/>
      <c r="J249" s="1"/>
    </row>
    <row r="250" spans="9:10" x14ac:dyDescent="0.25">
      <c r="I250" s="1"/>
      <c r="J250" s="1"/>
    </row>
    <row r="251" spans="9:10" x14ac:dyDescent="0.25">
      <c r="I251" s="1"/>
      <c r="J251" s="1"/>
    </row>
    <row r="252" spans="9:10" x14ac:dyDescent="0.25">
      <c r="I252" s="1"/>
      <c r="J252" s="1"/>
    </row>
    <row r="253" spans="9:10" x14ac:dyDescent="0.25">
      <c r="I253" s="1"/>
      <c r="J253" s="1"/>
    </row>
    <row r="254" spans="9:10" x14ac:dyDescent="0.25">
      <c r="I254" s="1"/>
      <c r="J254" s="1"/>
    </row>
    <row r="255" spans="9:10" x14ac:dyDescent="0.25">
      <c r="I255" s="1"/>
      <c r="J255" s="1"/>
    </row>
    <row r="256" spans="9:10" x14ac:dyDescent="0.25">
      <c r="I256" s="1"/>
      <c r="J256" s="1"/>
    </row>
    <row r="257" spans="9:10" x14ac:dyDescent="0.25">
      <c r="I257" s="1"/>
      <c r="J257" s="1"/>
    </row>
    <row r="258" spans="9:10" x14ac:dyDescent="0.25">
      <c r="I258" s="1"/>
      <c r="J258" s="1"/>
    </row>
    <row r="259" spans="9:10" x14ac:dyDescent="0.25">
      <c r="I259" s="1"/>
      <c r="J259" s="1"/>
    </row>
    <row r="260" spans="9:10" x14ac:dyDescent="0.25">
      <c r="I260" s="1"/>
      <c r="J260" s="1"/>
    </row>
    <row r="261" spans="9:10" x14ac:dyDescent="0.25">
      <c r="I261" s="1"/>
      <c r="J261" s="1"/>
    </row>
    <row r="262" spans="9:10" x14ac:dyDescent="0.25">
      <c r="I262" s="1"/>
      <c r="J262" s="1"/>
    </row>
    <row r="263" spans="9:10" x14ac:dyDescent="0.25">
      <c r="I263" s="1"/>
      <c r="J263" s="1"/>
    </row>
    <row r="264" spans="9:10" x14ac:dyDescent="0.25">
      <c r="I264" s="1"/>
      <c r="J264" s="1"/>
    </row>
    <row r="265" spans="9:10" x14ac:dyDescent="0.25">
      <c r="I265" s="1"/>
      <c r="J265" s="1"/>
    </row>
    <row r="266" spans="9:10" x14ac:dyDescent="0.25">
      <c r="I266" s="1"/>
      <c r="J266" s="1"/>
    </row>
    <row r="267" spans="9:10" x14ac:dyDescent="0.25">
      <c r="I267" s="1"/>
      <c r="J267" s="1"/>
    </row>
    <row r="268" spans="9:10" x14ac:dyDescent="0.25">
      <c r="I268" s="1"/>
      <c r="J268" s="1"/>
    </row>
    <row r="269" spans="9:10" x14ac:dyDescent="0.25">
      <c r="I269" s="1"/>
      <c r="J269" s="1"/>
    </row>
    <row r="270" spans="9:10" x14ac:dyDescent="0.25">
      <c r="I270" s="1"/>
      <c r="J270" s="1"/>
    </row>
    <row r="271" spans="9:10" x14ac:dyDescent="0.25">
      <c r="I271" s="1"/>
      <c r="J271" s="1"/>
    </row>
    <row r="272" spans="9:10" x14ac:dyDescent="0.25">
      <c r="I272" s="1"/>
      <c r="J272" s="1"/>
    </row>
    <row r="273" spans="9:10" x14ac:dyDescent="0.25">
      <c r="I273" s="1"/>
      <c r="J273" s="1"/>
    </row>
    <row r="274" spans="9:10" x14ac:dyDescent="0.25">
      <c r="I274" s="1"/>
      <c r="J274" s="1"/>
    </row>
    <row r="275" spans="9:10" x14ac:dyDescent="0.25">
      <c r="I275" s="1"/>
      <c r="J275" s="1"/>
    </row>
    <row r="276" spans="9:10" x14ac:dyDescent="0.25">
      <c r="I276" s="1"/>
      <c r="J276" s="1"/>
    </row>
    <row r="277" spans="9:10" x14ac:dyDescent="0.25">
      <c r="I277" s="1"/>
      <c r="J277" s="1"/>
    </row>
    <row r="278" spans="9:10" x14ac:dyDescent="0.25">
      <c r="I278" s="1"/>
      <c r="J278" s="1"/>
    </row>
    <row r="279" spans="9:10" x14ac:dyDescent="0.25">
      <c r="I279" s="1"/>
      <c r="J279" s="1"/>
    </row>
    <row r="280" spans="9:10" x14ac:dyDescent="0.25">
      <c r="I280" s="1"/>
      <c r="J280" s="1"/>
    </row>
    <row r="281" spans="9:10" x14ac:dyDescent="0.25">
      <c r="I281" s="1"/>
      <c r="J281" s="1"/>
    </row>
    <row r="282" spans="9:10" x14ac:dyDescent="0.25">
      <c r="I282" s="1"/>
      <c r="J282" s="1"/>
    </row>
    <row r="283" spans="9:10" x14ac:dyDescent="0.25">
      <c r="I283" s="1"/>
      <c r="J283" s="1"/>
    </row>
    <row r="284" spans="9:10" x14ac:dyDescent="0.25">
      <c r="I284" s="1"/>
      <c r="J284" s="1"/>
    </row>
    <row r="285" spans="9:10" x14ac:dyDescent="0.25">
      <c r="I285" s="1"/>
      <c r="J285" s="1"/>
    </row>
    <row r="286" spans="9:10" x14ac:dyDescent="0.25">
      <c r="I286" s="1"/>
      <c r="J286" s="1"/>
    </row>
    <row r="287" spans="9:10" x14ac:dyDescent="0.25">
      <c r="I287" s="1"/>
      <c r="J287" s="1"/>
    </row>
    <row r="288" spans="9:10" x14ac:dyDescent="0.25">
      <c r="I288" s="1"/>
      <c r="J288" s="1"/>
    </row>
    <row r="289" spans="9:10" x14ac:dyDescent="0.25">
      <c r="I289" s="1"/>
      <c r="J289" s="1"/>
    </row>
    <row r="290" spans="9:10" x14ac:dyDescent="0.25">
      <c r="I290" s="1"/>
      <c r="J290" s="1"/>
    </row>
    <row r="291" spans="9:10" x14ac:dyDescent="0.25">
      <c r="I291" s="1"/>
      <c r="J291" s="1"/>
    </row>
    <row r="292" spans="9:10" x14ac:dyDescent="0.25">
      <c r="I292" s="1"/>
      <c r="J292" s="1"/>
    </row>
    <row r="293" spans="9:10" x14ac:dyDescent="0.25">
      <c r="I293" s="1"/>
      <c r="J293" s="1"/>
    </row>
    <row r="294" spans="9:10" x14ac:dyDescent="0.25">
      <c r="I294" s="1"/>
      <c r="J294" s="1"/>
    </row>
    <row r="295" spans="9:10" x14ac:dyDescent="0.25">
      <c r="I295" s="1"/>
      <c r="J295" s="1"/>
    </row>
    <row r="296" spans="9:10" x14ac:dyDescent="0.25">
      <c r="I296" s="1"/>
      <c r="J296" s="1"/>
    </row>
    <row r="297" spans="9:10" x14ac:dyDescent="0.25">
      <c r="I297" s="1"/>
      <c r="J297" s="1"/>
    </row>
    <row r="298" spans="9:10" x14ac:dyDescent="0.25">
      <c r="I298" s="1"/>
      <c r="J298" s="1"/>
    </row>
    <row r="299" spans="9:10" x14ac:dyDescent="0.25">
      <c r="I299" s="1"/>
      <c r="J299" s="1"/>
    </row>
    <row r="300" spans="9:10" x14ac:dyDescent="0.25">
      <c r="I300" s="1"/>
      <c r="J300" s="1"/>
    </row>
    <row r="301" spans="9:10" x14ac:dyDescent="0.25">
      <c r="I301" s="1"/>
      <c r="J301" s="1"/>
    </row>
    <row r="302" spans="9:10" x14ac:dyDescent="0.25">
      <c r="I302" s="1"/>
      <c r="J302" s="1"/>
    </row>
    <row r="303" spans="9:10" x14ac:dyDescent="0.25">
      <c r="I303" s="1"/>
      <c r="J303" s="1"/>
    </row>
    <row r="304" spans="9:10" x14ac:dyDescent="0.25">
      <c r="I304" s="1"/>
      <c r="J304" s="1"/>
    </row>
    <row r="305" spans="9:10" x14ac:dyDescent="0.25">
      <c r="I305" s="1"/>
      <c r="J305" s="1"/>
    </row>
    <row r="306" spans="9:10" x14ac:dyDescent="0.25">
      <c r="I306" s="1"/>
      <c r="J306" s="1"/>
    </row>
    <row r="307" spans="9:10" x14ac:dyDescent="0.25">
      <c r="I307" s="1"/>
      <c r="J307" s="1"/>
    </row>
    <row r="308" spans="9:10" x14ac:dyDescent="0.25">
      <c r="I308" s="1"/>
      <c r="J308" s="1"/>
    </row>
    <row r="309" spans="9:10" x14ac:dyDescent="0.25">
      <c r="I309" s="1"/>
      <c r="J309" s="1"/>
    </row>
    <row r="310" spans="9:10" x14ac:dyDescent="0.25">
      <c r="I310" s="1"/>
      <c r="J310" s="1"/>
    </row>
    <row r="311" spans="9:10" x14ac:dyDescent="0.25">
      <c r="I311" s="1"/>
      <c r="J311" s="1"/>
    </row>
    <row r="312" spans="9:10" x14ac:dyDescent="0.25">
      <c r="I312" s="1"/>
      <c r="J312" s="1"/>
    </row>
    <row r="313" spans="9:10" x14ac:dyDescent="0.25">
      <c r="I313" s="1"/>
      <c r="J313" s="1"/>
    </row>
    <row r="314" spans="9:10" x14ac:dyDescent="0.25">
      <c r="I314" s="1"/>
      <c r="J314" s="1"/>
    </row>
    <row r="315" spans="9:10" x14ac:dyDescent="0.25">
      <c r="I315" s="1"/>
      <c r="J315" s="1"/>
    </row>
    <row r="316" spans="9:10" x14ac:dyDescent="0.25">
      <c r="I316" s="1"/>
      <c r="J316" s="1"/>
    </row>
    <row r="317" spans="9:10" x14ac:dyDescent="0.25">
      <c r="I317" s="1"/>
      <c r="J317" s="1"/>
    </row>
    <row r="318" spans="9:10" x14ac:dyDescent="0.25">
      <c r="I318" s="1"/>
      <c r="J318" s="1"/>
    </row>
    <row r="319" spans="9:10" x14ac:dyDescent="0.25">
      <c r="I319" s="1"/>
      <c r="J319" s="1"/>
    </row>
    <row r="320" spans="9:10" x14ac:dyDescent="0.25">
      <c r="I320" s="1"/>
      <c r="J320" s="1"/>
    </row>
    <row r="321" spans="9:10" x14ac:dyDescent="0.25">
      <c r="I321" s="1"/>
      <c r="J321" s="1"/>
    </row>
    <row r="322" spans="9:10" x14ac:dyDescent="0.25">
      <c r="I322" s="1"/>
      <c r="J322" s="1"/>
    </row>
    <row r="323" spans="9:10" x14ac:dyDescent="0.25">
      <c r="I323" s="1"/>
      <c r="J323" s="1"/>
    </row>
    <row r="324" spans="9:10" x14ac:dyDescent="0.25">
      <c r="I324" s="1"/>
      <c r="J324" s="1"/>
    </row>
    <row r="325" spans="9:10" x14ac:dyDescent="0.25">
      <c r="I325" s="1"/>
      <c r="J325" s="1"/>
    </row>
    <row r="326" spans="9:10" x14ac:dyDescent="0.25">
      <c r="I326" s="1"/>
      <c r="J326" s="1"/>
    </row>
    <row r="327" spans="9:10" x14ac:dyDescent="0.25">
      <c r="I327" s="1"/>
      <c r="J327" s="1"/>
    </row>
    <row r="328" spans="9:10" x14ac:dyDescent="0.25">
      <c r="I328" s="1"/>
      <c r="J328" s="1"/>
    </row>
    <row r="329" spans="9:10" x14ac:dyDescent="0.25">
      <c r="I329" s="1"/>
      <c r="J329" s="1"/>
    </row>
    <row r="330" spans="9:10" x14ac:dyDescent="0.25">
      <c r="I330" s="1"/>
      <c r="J330" s="1"/>
    </row>
    <row r="331" spans="9:10" x14ac:dyDescent="0.25">
      <c r="I331" s="1"/>
      <c r="J331" s="1"/>
    </row>
    <row r="332" spans="9:10" x14ac:dyDescent="0.25">
      <c r="I332" s="1"/>
      <c r="J332" s="1"/>
    </row>
    <row r="333" spans="9:10" x14ac:dyDescent="0.25">
      <c r="I333" s="1"/>
      <c r="J333" s="1"/>
    </row>
    <row r="334" spans="9:10" x14ac:dyDescent="0.25">
      <c r="I334" s="1"/>
      <c r="J334" s="1"/>
    </row>
    <row r="335" spans="9:10" x14ac:dyDescent="0.25">
      <c r="I335" s="1"/>
      <c r="J335" s="1"/>
    </row>
    <row r="336" spans="9:10" x14ac:dyDescent="0.25">
      <c r="I336" s="1"/>
      <c r="J336" s="1"/>
    </row>
    <row r="337" spans="9:10" x14ac:dyDescent="0.25">
      <c r="I337" s="1"/>
      <c r="J337" s="1"/>
    </row>
    <row r="338" spans="9:10" x14ac:dyDescent="0.25">
      <c r="I338" s="1"/>
      <c r="J338" s="1"/>
    </row>
    <row r="339" spans="9:10" x14ac:dyDescent="0.25">
      <c r="I339" s="1"/>
      <c r="J339" s="1"/>
    </row>
    <row r="340" spans="9:10" x14ac:dyDescent="0.25">
      <c r="I340" s="1"/>
      <c r="J340" s="1"/>
    </row>
    <row r="341" spans="9:10" x14ac:dyDescent="0.25">
      <c r="I341" s="1"/>
      <c r="J341" s="1"/>
    </row>
    <row r="342" spans="9:10" x14ac:dyDescent="0.25">
      <c r="I342" s="1"/>
      <c r="J342" s="1"/>
    </row>
    <row r="343" spans="9:10" x14ac:dyDescent="0.25">
      <c r="I343" s="1"/>
      <c r="J343" s="1"/>
    </row>
    <row r="344" spans="9:10" x14ac:dyDescent="0.25">
      <c r="I344" s="1"/>
      <c r="J344" s="1"/>
    </row>
    <row r="345" spans="9:10" x14ac:dyDescent="0.25">
      <c r="I345" s="1"/>
      <c r="J345" s="1"/>
    </row>
    <row r="346" spans="9:10" x14ac:dyDescent="0.25">
      <c r="I346" s="1"/>
      <c r="J346" s="1"/>
    </row>
    <row r="347" spans="9:10" x14ac:dyDescent="0.25">
      <c r="I347" s="1"/>
      <c r="J347" s="1"/>
    </row>
    <row r="348" spans="9:10" x14ac:dyDescent="0.25">
      <c r="I348" s="1"/>
      <c r="J348" s="1"/>
    </row>
    <row r="349" spans="9:10" x14ac:dyDescent="0.25">
      <c r="I349" s="1"/>
      <c r="J349" s="1"/>
    </row>
    <row r="350" spans="9:10" x14ac:dyDescent="0.25">
      <c r="I350" s="1"/>
      <c r="J350" s="1"/>
    </row>
    <row r="351" spans="9:10" x14ac:dyDescent="0.25">
      <c r="I351" s="1"/>
      <c r="J351" s="1"/>
    </row>
    <row r="352" spans="9:10" x14ac:dyDescent="0.25">
      <c r="I352" s="1"/>
      <c r="J352" s="1"/>
    </row>
    <row r="353" spans="9:10" x14ac:dyDescent="0.25">
      <c r="I353" s="1"/>
      <c r="J353" s="1"/>
    </row>
    <row r="354" spans="9:10" x14ac:dyDescent="0.25">
      <c r="I354" s="1"/>
      <c r="J354" s="1"/>
    </row>
    <row r="355" spans="9:10" x14ac:dyDescent="0.25">
      <c r="I355" s="1"/>
      <c r="J355" s="1"/>
    </row>
    <row r="356" spans="9:10" x14ac:dyDescent="0.25">
      <c r="I356" s="1"/>
      <c r="J356" s="1"/>
    </row>
    <row r="357" spans="9:10" x14ac:dyDescent="0.25">
      <c r="I357" s="1"/>
      <c r="J357" s="1"/>
    </row>
    <row r="358" spans="9:10" x14ac:dyDescent="0.25">
      <c r="I358" s="1"/>
      <c r="J358" s="1"/>
    </row>
    <row r="359" spans="9:10" x14ac:dyDescent="0.25">
      <c r="I359" s="1"/>
      <c r="J359" s="1"/>
    </row>
    <row r="360" spans="9:10" x14ac:dyDescent="0.25">
      <c r="I360" s="1"/>
      <c r="J360" s="1"/>
    </row>
    <row r="361" spans="9:10" x14ac:dyDescent="0.25">
      <c r="I361" s="1"/>
      <c r="J361" s="1"/>
    </row>
    <row r="362" spans="9:10" x14ac:dyDescent="0.25">
      <c r="I362" s="1"/>
      <c r="J362" s="1"/>
    </row>
    <row r="363" spans="9:10" x14ac:dyDescent="0.25">
      <c r="I363" s="1"/>
      <c r="J363" s="1"/>
    </row>
    <row r="364" spans="9:10" x14ac:dyDescent="0.25">
      <c r="I364" s="1"/>
      <c r="J364" s="1"/>
    </row>
    <row r="365" spans="9:10" x14ac:dyDescent="0.25">
      <c r="I365" s="1"/>
      <c r="J365" s="1"/>
    </row>
    <row r="366" spans="9:10" x14ac:dyDescent="0.25">
      <c r="I366" s="1"/>
      <c r="J366" s="1"/>
    </row>
    <row r="367" spans="9:10" x14ac:dyDescent="0.25">
      <c r="I367" s="1"/>
      <c r="J367" s="1"/>
    </row>
    <row r="368" spans="9:10" x14ac:dyDescent="0.25">
      <c r="I368" s="1"/>
      <c r="J368" s="1"/>
    </row>
    <row r="369" spans="9:10" x14ac:dyDescent="0.25">
      <c r="I369" s="1"/>
      <c r="J369" s="1"/>
    </row>
    <row r="370" spans="9:10" x14ac:dyDescent="0.25">
      <c r="I370" s="1"/>
      <c r="J370" s="1"/>
    </row>
    <row r="371" spans="9:10" x14ac:dyDescent="0.25">
      <c r="I371" s="1"/>
      <c r="J371" s="1"/>
    </row>
    <row r="372" spans="9:10" x14ac:dyDescent="0.25">
      <c r="I372" s="1"/>
      <c r="J372" s="1"/>
    </row>
    <row r="373" spans="9:10" x14ac:dyDescent="0.25">
      <c r="I373" s="1"/>
      <c r="J373" s="1"/>
    </row>
    <row r="374" spans="9:10" x14ac:dyDescent="0.25">
      <c r="I374" s="1"/>
      <c r="J374" s="1"/>
    </row>
    <row r="375" spans="9:10" x14ac:dyDescent="0.25">
      <c r="I375" s="1"/>
      <c r="J375" s="1"/>
    </row>
    <row r="376" spans="9:10" x14ac:dyDescent="0.25">
      <c r="I376" s="1"/>
      <c r="J376" s="1"/>
    </row>
    <row r="377" spans="9:10" x14ac:dyDescent="0.25">
      <c r="I377" s="1"/>
      <c r="J377" s="1"/>
    </row>
    <row r="378" spans="9:10" x14ac:dyDescent="0.25">
      <c r="I378" s="1"/>
      <c r="J378" s="1"/>
    </row>
    <row r="379" spans="9:10" x14ac:dyDescent="0.25">
      <c r="I379" s="1"/>
      <c r="J379" s="1"/>
    </row>
    <row r="380" spans="9:10" x14ac:dyDescent="0.25">
      <c r="I380" s="1"/>
      <c r="J380" s="1"/>
    </row>
    <row r="381" spans="9:10" x14ac:dyDescent="0.25">
      <c r="I381" s="1"/>
      <c r="J381" s="1"/>
    </row>
    <row r="382" spans="9:10" x14ac:dyDescent="0.25">
      <c r="I382" s="1"/>
      <c r="J382" s="1"/>
    </row>
    <row r="383" spans="9:10" x14ac:dyDescent="0.25">
      <c r="I383" s="1"/>
      <c r="J383" s="1"/>
    </row>
    <row r="384" spans="9:10" x14ac:dyDescent="0.25">
      <c r="I384" s="1"/>
      <c r="J384" s="1"/>
    </row>
    <row r="385" spans="9:10" x14ac:dyDescent="0.25">
      <c r="I385" s="1"/>
      <c r="J385" s="1"/>
    </row>
    <row r="386" spans="9:10" x14ac:dyDescent="0.25">
      <c r="I386" s="1"/>
      <c r="J386" s="1"/>
    </row>
    <row r="387" spans="9:10" x14ac:dyDescent="0.25">
      <c r="I387" s="1"/>
      <c r="J387" s="1"/>
    </row>
    <row r="388" spans="9:10" x14ac:dyDescent="0.25">
      <c r="I388" s="1"/>
      <c r="J388" s="1"/>
    </row>
    <row r="389" spans="9:10" x14ac:dyDescent="0.25">
      <c r="I389" s="1"/>
      <c r="J389" s="1"/>
    </row>
    <row r="390" spans="9:10" x14ac:dyDescent="0.25">
      <c r="I390" s="1"/>
      <c r="J390" s="1"/>
    </row>
    <row r="391" spans="9:10" x14ac:dyDescent="0.25">
      <c r="I391" s="1"/>
      <c r="J391" s="1"/>
    </row>
    <row r="392" spans="9:10" x14ac:dyDescent="0.25">
      <c r="I392" s="1"/>
      <c r="J392" s="1"/>
    </row>
    <row r="393" spans="9:10" x14ac:dyDescent="0.25">
      <c r="I393" s="1"/>
      <c r="J393" s="1"/>
    </row>
    <row r="394" spans="9:10" x14ac:dyDescent="0.25">
      <c r="I394" s="1"/>
      <c r="J394" s="1"/>
    </row>
    <row r="395" spans="9:10" x14ac:dyDescent="0.25">
      <c r="I395" s="1"/>
      <c r="J395" s="1"/>
    </row>
    <row r="396" spans="9:10" x14ac:dyDescent="0.25">
      <c r="I396" s="1"/>
      <c r="J396" s="1"/>
    </row>
    <row r="397" spans="9:10" x14ac:dyDescent="0.25">
      <c r="I397" s="1"/>
      <c r="J397" s="1"/>
    </row>
    <row r="398" spans="9:10" x14ac:dyDescent="0.25">
      <c r="I398" s="1"/>
      <c r="J398" s="1"/>
    </row>
    <row r="399" spans="9:10" x14ac:dyDescent="0.25">
      <c r="I399" s="1"/>
      <c r="J399" s="1"/>
    </row>
    <row r="400" spans="9:10" x14ac:dyDescent="0.25">
      <c r="I400" s="1"/>
      <c r="J400" s="1"/>
    </row>
    <row r="401" spans="9:10" x14ac:dyDescent="0.25">
      <c r="I401" s="1"/>
      <c r="J401" s="1"/>
    </row>
    <row r="402" spans="9:10" x14ac:dyDescent="0.25">
      <c r="I402" s="1"/>
      <c r="J402" s="1"/>
    </row>
    <row r="403" spans="9:10" x14ac:dyDescent="0.25">
      <c r="I403" s="1"/>
      <c r="J403" s="1"/>
    </row>
    <row r="404" spans="9:10" x14ac:dyDescent="0.25">
      <c r="I404" s="1"/>
      <c r="J404" s="1"/>
    </row>
    <row r="405" spans="9:10" x14ac:dyDescent="0.25">
      <c r="I405" s="1"/>
      <c r="J405" s="1"/>
    </row>
    <row r="406" spans="9:10" x14ac:dyDescent="0.25">
      <c r="I406" s="1"/>
      <c r="J406" s="1"/>
    </row>
    <row r="407" spans="9:10" x14ac:dyDescent="0.25">
      <c r="I407" s="1"/>
      <c r="J407" s="1"/>
    </row>
    <row r="408" spans="9:10" x14ac:dyDescent="0.25">
      <c r="I408" s="1"/>
      <c r="J408" s="1"/>
    </row>
    <row r="409" spans="9:10" x14ac:dyDescent="0.25">
      <c r="I409" s="1"/>
      <c r="J409" s="1"/>
    </row>
    <row r="410" spans="9:10" x14ac:dyDescent="0.25">
      <c r="I410" s="1"/>
      <c r="J410" s="1"/>
    </row>
    <row r="411" spans="9:10" x14ac:dyDescent="0.25">
      <c r="I411" s="1"/>
      <c r="J411" s="1"/>
    </row>
    <row r="412" spans="9:10" x14ac:dyDescent="0.25">
      <c r="I412" s="1"/>
      <c r="J412" s="1"/>
    </row>
    <row r="413" spans="9:10" x14ac:dyDescent="0.25">
      <c r="I413" s="1"/>
      <c r="J413" s="1"/>
    </row>
    <row r="414" spans="9:10" x14ac:dyDescent="0.25">
      <c r="I414" s="1"/>
      <c r="J414" s="1"/>
    </row>
    <row r="415" spans="9:10" x14ac:dyDescent="0.25">
      <c r="I415" s="1"/>
      <c r="J415" s="1"/>
    </row>
    <row r="416" spans="9:10" x14ac:dyDescent="0.25">
      <c r="I416" s="1"/>
      <c r="J416" s="1"/>
    </row>
    <row r="417" spans="9:10" x14ac:dyDescent="0.25">
      <c r="I417" s="1"/>
      <c r="J417" s="1"/>
    </row>
    <row r="418" spans="9:10" x14ac:dyDescent="0.25">
      <c r="I418" s="1"/>
      <c r="J418" s="1"/>
    </row>
    <row r="419" spans="9:10" x14ac:dyDescent="0.25">
      <c r="I419" s="1"/>
      <c r="J419" s="1"/>
    </row>
    <row r="420" spans="9:10" x14ac:dyDescent="0.25">
      <c r="I420" s="1"/>
      <c r="J420" s="1"/>
    </row>
    <row r="421" spans="9:10" x14ac:dyDescent="0.25">
      <c r="I421" s="1"/>
      <c r="J421" s="1"/>
    </row>
    <row r="422" spans="9:10" x14ac:dyDescent="0.25">
      <c r="I422" s="1"/>
      <c r="J422" s="1"/>
    </row>
    <row r="423" spans="9:10" x14ac:dyDescent="0.25">
      <c r="I423" s="1"/>
      <c r="J423" s="1"/>
    </row>
    <row r="424" spans="9:10" x14ac:dyDescent="0.25">
      <c r="I424" s="1"/>
      <c r="J424" s="1"/>
    </row>
    <row r="425" spans="9:10" x14ac:dyDescent="0.25">
      <c r="I425" s="1"/>
      <c r="J425" s="1"/>
    </row>
    <row r="426" spans="9:10" x14ac:dyDescent="0.25">
      <c r="I426" s="1"/>
      <c r="J426" s="1"/>
    </row>
    <row r="427" spans="9:10" x14ac:dyDescent="0.25">
      <c r="I427" s="1"/>
      <c r="J427" s="1"/>
    </row>
    <row r="428" spans="9:10" x14ac:dyDescent="0.25">
      <c r="I428" s="1"/>
      <c r="J428" s="1"/>
    </row>
    <row r="429" spans="9:10" x14ac:dyDescent="0.25">
      <c r="I429" s="1"/>
      <c r="J429" s="1"/>
    </row>
    <row r="430" spans="9:10" x14ac:dyDescent="0.25">
      <c r="I430" s="1"/>
      <c r="J430" s="1"/>
    </row>
    <row r="431" spans="9:10" x14ac:dyDescent="0.25">
      <c r="I431" s="1"/>
      <c r="J431" s="1"/>
    </row>
    <row r="432" spans="9:10" x14ac:dyDescent="0.25">
      <c r="I432" s="1"/>
      <c r="J432" s="1"/>
    </row>
    <row r="433" spans="9:10" x14ac:dyDescent="0.25">
      <c r="I433" s="1"/>
      <c r="J433" s="1"/>
    </row>
    <row r="434" spans="9:10" x14ac:dyDescent="0.25">
      <c r="I434" s="1"/>
      <c r="J434" s="1"/>
    </row>
    <row r="435" spans="9:10" x14ac:dyDescent="0.25">
      <c r="I435" s="1"/>
      <c r="J435" s="1"/>
    </row>
    <row r="436" spans="9:10" x14ac:dyDescent="0.25">
      <c r="I436" s="1"/>
      <c r="J436" s="1"/>
    </row>
    <row r="437" spans="9:10" x14ac:dyDescent="0.25">
      <c r="I437" s="1"/>
      <c r="J437" s="1"/>
    </row>
    <row r="438" spans="9:10" x14ac:dyDescent="0.25">
      <c r="I438" s="1"/>
      <c r="J438" s="1"/>
    </row>
    <row r="439" spans="9:10" x14ac:dyDescent="0.25">
      <c r="I439" s="1"/>
      <c r="J439" s="1"/>
    </row>
    <row r="440" spans="9:10" x14ac:dyDescent="0.25">
      <c r="I440" s="1"/>
      <c r="J440" s="1"/>
    </row>
    <row r="441" spans="9:10" x14ac:dyDescent="0.25">
      <c r="I441" s="1"/>
      <c r="J441" s="1"/>
    </row>
    <row r="442" spans="9:10" x14ac:dyDescent="0.25">
      <c r="I442" s="1"/>
      <c r="J442" s="1"/>
    </row>
    <row r="443" spans="9:10" x14ac:dyDescent="0.25">
      <c r="I443" s="1"/>
      <c r="J443" s="1"/>
    </row>
    <row r="444" spans="9:10" x14ac:dyDescent="0.25">
      <c r="I444" s="1"/>
      <c r="J444" s="1"/>
    </row>
    <row r="445" spans="9:10" x14ac:dyDescent="0.25">
      <c r="I445" s="1"/>
      <c r="J445" s="1"/>
    </row>
    <row r="446" spans="9:10" x14ac:dyDescent="0.25">
      <c r="I446" s="1"/>
      <c r="J446" s="1"/>
    </row>
    <row r="447" spans="9:10" x14ac:dyDescent="0.25">
      <c r="I447" s="1"/>
      <c r="J447" s="1"/>
    </row>
    <row r="448" spans="9:10" x14ac:dyDescent="0.25">
      <c r="I448" s="1"/>
      <c r="J448" s="1"/>
    </row>
    <row r="449" spans="9:10" x14ac:dyDescent="0.25">
      <c r="I449" s="1"/>
      <c r="J449" s="1"/>
    </row>
    <row r="450" spans="9:10" x14ac:dyDescent="0.25">
      <c r="I450" s="1"/>
      <c r="J450" s="1"/>
    </row>
    <row r="451" spans="9:10" x14ac:dyDescent="0.25">
      <c r="I451" s="1"/>
      <c r="J451" s="1"/>
    </row>
    <row r="452" spans="9:10" x14ac:dyDescent="0.25">
      <c r="I452" s="1"/>
      <c r="J452" s="1"/>
    </row>
    <row r="453" spans="9:10" x14ac:dyDescent="0.25">
      <c r="I453" s="1"/>
      <c r="J453" s="1"/>
    </row>
    <row r="454" spans="9:10" x14ac:dyDescent="0.25">
      <c r="I454" s="1"/>
      <c r="J454" s="1"/>
    </row>
    <row r="455" spans="9:10" x14ac:dyDescent="0.25">
      <c r="I455" s="1"/>
      <c r="J455" s="1"/>
    </row>
    <row r="456" spans="9:10" x14ac:dyDescent="0.25">
      <c r="I456" s="1"/>
      <c r="J456" s="1"/>
    </row>
    <row r="457" spans="9:10" x14ac:dyDescent="0.25">
      <c r="I457" s="1"/>
      <c r="J457" s="1"/>
    </row>
    <row r="458" spans="9:10" x14ac:dyDescent="0.25">
      <c r="I458" s="1"/>
      <c r="J458" s="1"/>
    </row>
    <row r="459" spans="9:10" x14ac:dyDescent="0.25">
      <c r="I459" s="1"/>
      <c r="J459" s="1"/>
    </row>
    <row r="460" spans="9:10" x14ac:dyDescent="0.25">
      <c r="I460" s="1"/>
      <c r="J460" s="1"/>
    </row>
    <row r="461" spans="9:10" x14ac:dyDescent="0.25">
      <c r="I461" s="1"/>
      <c r="J461" s="1"/>
    </row>
    <row r="462" spans="9:10" x14ac:dyDescent="0.25">
      <c r="I462" s="1"/>
      <c r="J462" s="1"/>
    </row>
    <row r="463" spans="9:10" x14ac:dyDescent="0.25">
      <c r="I463" s="1"/>
      <c r="J463" s="1"/>
    </row>
    <row r="464" spans="9:10" x14ac:dyDescent="0.25">
      <c r="I464" s="1"/>
      <c r="J464" s="1"/>
    </row>
    <row r="465" spans="9:10" x14ac:dyDescent="0.25">
      <c r="I465" s="1"/>
      <c r="J465" s="1"/>
    </row>
    <row r="466" spans="9:10" x14ac:dyDescent="0.25">
      <c r="I466" s="1"/>
      <c r="J466" s="1"/>
    </row>
    <row r="467" spans="9:10" x14ac:dyDescent="0.25">
      <c r="I467" s="1"/>
      <c r="J467" s="1"/>
    </row>
    <row r="468" spans="9:10" x14ac:dyDescent="0.25">
      <c r="I468" s="1"/>
      <c r="J468" s="1"/>
    </row>
    <row r="469" spans="9:10" x14ac:dyDescent="0.25">
      <c r="I469" s="1"/>
      <c r="J469" s="1"/>
    </row>
    <row r="470" spans="9:10" x14ac:dyDescent="0.25">
      <c r="I470" s="1"/>
      <c r="J470" s="1"/>
    </row>
    <row r="471" spans="9:10" x14ac:dyDescent="0.25">
      <c r="I471" s="1"/>
      <c r="J471" s="1"/>
    </row>
    <row r="472" spans="9:10" x14ac:dyDescent="0.25">
      <c r="I472" s="1"/>
      <c r="J472" s="1"/>
    </row>
    <row r="473" spans="9:10" x14ac:dyDescent="0.25">
      <c r="I473" s="1"/>
      <c r="J473" s="1"/>
    </row>
    <row r="474" spans="9:10" x14ac:dyDescent="0.25">
      <c r="I474" s="1"/>
      <c r="J474" s="1"/>
    </row>
    <row r="475" spans="9:10" x14ac:dyDescent="0.25">
      <c r="I475" s="1"/>
      <c r="J475" s="1"/>
    </row>
    <row r="476" spans="9:10" x14ac:dyDescent="0.25">
      <c r="I476" s="1"/>
      <c r="J476" s="1"/>
    </row>
    <row r="477" spans="9:10" x14ac:dyDescent="0.25">
      <c r="I477" s="1"/>
      <c r="J477" s="1"/>
    </row>
    <row r="478" spans="9:10" x14ac:dyDescent="0.25">
      <c r="I478" s="1"/>
      <c r="J478" s="1"/>
    </row>
    <row r="479" spans="9:10" x14ac:dyDescent="0.25">
      <c r="I479" s="1"/>
      <c r="J479" s="1"/>
    </row>
    <row r="480" spans="9:10" x14ac:dyDescent="0.25">
      <c r="I480" s="1"/>
      <c r="J480" s="1"/>
    </row>
    <row r="481" spans="9:10" x14ac:dyDescent="0.25">
      <c r="I481" s="1"/>
      <c r="J481" s="1"/>
    </row>
    <row r="482" spans="9:10" x14ac:dyDescent="0.25">
      <c r="I482" s="1"/>
      <c r="J482" s="1"/>
    </row>
    <row r="483" spans="9:10" x14ac:dyDescent="0.25">
      <c r="I483" s="1"/>
      <c r="J483" s="1"/>
    </row>
    <row r="484" spans="9:10" x14ac:dyDescent="0.25">
      <c r="I484" s="1"/>
      <c r="J484" s="1"/>
    </row>
    <row r="485" spans="9:10" x14ac:dyDescent="0.25">
      <c r="I485" s="1"/>
      <c r="J485" s="1"/>
    </row>
    <row r="486" spans="9:10" x14ac:dyDescent="0.25">
      <c r="I486" s="1"/>
      <c r="J486" s="1"/>
    </row>
    <row r="487" spans="9:10" x14ac:dyDescent="0.25">
      <c r="I487" s="1"/>
      <c r="J487" s="1"/>
    </row>
    <row r="488" spans="9:10" x14ac:dyDescent="0.25">
      <c r="I488" s="1"/>
      <c r="J488" s="1"/>
    </row>
    <row r="489" spans="9:10" x14ac:dyDescent="0.25">
      <c r="I489" s="1"/>
      <c r="J489" s="1"/>
    </row>
    <row r="490" spans="9:10" x14ac:dyDescent="0.25">
      <c r="I490" s="1"/>
      <c r="J490" s="1"/>
    </row>
    <row r="491" spans="9:10" x14ac:dyDescent="0.25">
      <c r="I491" s="1"/>
      <c r="J491" s="1"/>
    </row>
    <row r="492" spans="9:10" x14ac:dyDescent="0.25">
      <c r="I492" s="1"/>
      <c r="J492" s="1"/>
    </row>
    <row r="493" spans="9:10" x14ac:dyDescent="0.25">
      <c r="I493" s="1"/>
      <c r="J493" s="1"/>
    </row>
    <row r="494" spans="9:10" x14ac:dyDescent="0.25">
      <c r="I494" s="1"/>
      <c r="J494" s="1"/>
    </row>
    <row r="495" spans="9:10" x14ac:dyDescent="0.25">
      <c r="I495" s="1"/>
      <c r="J495" s="1"/>
    </row>
    <row r="496" spans="9:10" x14ac:dyDescent="0.25">
      <c r="I496" s="1"/>
      <c r="J496" s="1"/>
    </row>
    <row r="497" spans="9:10" x14ac:dyDescent="0.25">
      <c r="I497" s="1"/>
      <c r="J497" s="1"/>
    </row>
    <row r="498" spans="9:10" x14ac:dyDescent="0.25">
      <c r="I498" s="1"/>
      <c r="J498" s="1"/>
    </row>
    <row r="499" spans="9:10" x14ac:dyDescent="0.25">
      <c r="I499" s="1"/>
      <c r="J499" s="1"/>
    </row>
    <row r="500" spans="9:10" x14ac:dyDescent="0.25">
      <c r="I500" s="1"/>
      <c r="J500" s="1"/>
    </row>
    <row r="501" spans="9:10" x14ac:dyDescent="0.25">
      <c r="I501" s="1"/>
      <c r="J501" s="1"/>
    </row>
    <row r="502" spans="9:10" x14ac:dyDescent="0.25">
      <c r="I502" s="1"/>
      <c r="J502" s="1"/>
    </row>
    <row r="503" spans="9:10" x14ac:dyDescent="0.25">
      <c r="I503" s="1"/>
      <c r="J503" s="1"/>
    </row>
    <row r="504" spans="9:10" x14ac:dyDescent="0.25">
      <c r="I504" s="1"/>
      <c r="J504" s="1"/>
    </row>
    <row r="505" spans="9:10" x14ac:dyDescent="0.25">
      <c r="I505" s="1"/>
      <c r="J505" s="1"/>
    </row>
    <row r="506" spans="9:10" x14ac:dyDescent="0.25">
      <c r="I506" s="1"/>
      <c r="J506" s="1"/>
    </row>
    <row r="507" spans="9:10" x14ac:dyDescent="0.25">
      <c r="I507" s="1"/>
      <c r="J507" s="1"/>
    </row>
    <row r="508" spans="9:10" x14ac:dyDescent="0.25">
      <c r="I508" s="1"/>
      <c r="J508" s="1"/>
    </row>
    <row r="509" spans="9:10" x14ac:dyDescent="0.25">
      <c r="I509" s="1"/>
      <c r="J509" s="1"/>
    </row>
    <row r="510" spans="9:10" x14ac:dyDescent="0.25">
      <c r="I510" s="1"/>
      <c r="J510" s="1"/>
    </row>
    <row r="511" spans="9:10" x14ac:dyDescent="0.25">
      <c r="I511" s="1"/>
      <c r="J511" s="1"/>
    </row>
    <row r="512" spans="9:10" x14ac:dyDescent="0.25">
      <c r="I512" s="1"/>
      <c r="J512" s="1"/>
    </row>
    <row r="513" spans="9:10" x14ac:dyDescent="0.25">
      <c r="I513" s="1"/>
      <c r="J513" s="1"/>
    </row>
    <row r="514" spans="9:10" x14ac:dyDescent="0.25">
      <c r="I514" s="1"/>
      <c r="J514" s="1"/>
    </row>
    <row r="515" spans="9:10" x14ac:dyDescent="0.25">
      <c r="I515" s="1"/>
      <c r="J515" s="1"/>
    </row>
    <row r="516" spans="9:10" x14ac:dyDescent="0.25">
      <c r="I516" s="1"/>
      <c r="J516" s="1"/>
    </row>
    <row r="517" spans="9:10" x14ac:dyDescent="0.25">
      <c r="I517" s="1"/>
      <c r="J517" s="1"/>
    </row>
    <row r="518" spans="9:10" x14ac:dyDescent="0.25">
      <c r="I518" s="1"/>
      <c r="J518" s="1"/>
    </row>
    <row r="519" spans="9:10" x14ac:dyDescent="0.25">
      <c r="I519" s="1"/>
      <c r="J519" s="1"/>
    </row>
    <row r="520" spans="9:10" x14ac:dyDescent="0.25">
      <c r="I520" s="1"/>
      <c r="J520" s="1"/>
    </row>
    <row r="521" spans="9:10" x14ac:dyDescent="0.25">
      <c r="I521" s="1"/>
      <c r="J521" s="1"/>
    </row>
    <row r="522" spans="9:10" x14ac:dyDescent="0.25">
      <c r="I522" s="1"/>
      <c r="J522" s="1"/>
    </row>
    <row r="523" spans="9:10" x14ac:dyDescent="0.25">
      <c r="I523" s="1"/>
      <c r="J523" s="1"/>
    </row>
    <row r="524" spans="9:10" x14ac:dyDescent="0.25">
      <c r="I524" s="1"/>
      <c r="J524" s="1"/>
    </row>
    <row r="525" spans="9:10" x14ac:dyDescent="0.25">
      <c r="I525" s="1"/>
      <c r="J525" s="1"/>
    </row>
    <row r="526" spans="9:10" x14ac:dyDescent="0.25">
      <c r="I526" s="1"/>
      <c r="J526" s="1"/>
    </row>
    <row r="527" spans="9:10" x14ac:dyDescent="0.25">
      <c r="I527" s="1"/>
      <c r="J527" s="1"/>
    </row>
    <row r="528" spans="9:10" x14ac:dyDescent="0.25">
      <c r="I528" s="1"/>
      <c r="J528" s="1"/>
    </row>
    <row r="529" spans="9:10" x14ac:dyDescent="0.25">
      <c r="I529" s="1"/>
      <c r="J529" s="1"/>
    </row>
    <row r="530" spans="9:10" x14ac:dyDescent="0.25">
      <c r="I530" s="1"/>
      <c r="J530" s="1"/>
    </row>
    <row r="531" spans="9:10" x14ac:dyDescent="0.25">
      <c r="I531" s="1"/>
      <c r="J531" s="1"/>
    </row>
    <row r="532" spans="9:10" x14ac:dyDescent="0.25">
      <c r="I532" s="1"/>
      <c r="J532" s="1"/>
    </row>
    <row r="533" spans="9:10" x14ac:dyDescent="0.25">
      <c r="I533" s="1"/>
      <c r="J533" s="1"/>
    </row>
    <row r="534" spans="9:10" x14ac:dyDescent="0.25">
      <c r="I534" s="1"/>
      <c r="J534" s="1"/>
    </row>
    <row r="535" spans="9:10" x14ac:dyDescent="0.25">
      <c r="I535" s="1"/>
      <c r="J535" s="1"/>
    </row>
    <row r="536" spans="9:10" x14ac:dyDescent="0.25">
      <c r="I536" s="1"/>
      <c r="J536" s="1"/>
    </row>
    <row r="537" spans="9:10" x14ac:dyDescent="0.25">
      <c r="I537" s="1"/>
      <c r="J537" s="1"/>
    </row>
    <row r="538" spans="9:10" x14ac:dyDescent="0.25">
      <c r="I538" s="1"/>
      <c r="J538" s="1"/>
    </row>
    <row r="539" spans="9:10" x14ac:dyDescent="0.25">
      <c r="I539" s="1"/>
      <c r="J539" s="1"/>
    </row>
    <row r="540" spans="9:10" x14ac:dyDescent="0.25">
      <c r="I540" s="1"/>
      <c r="J540" s="1"/>
    </row>
    <row r="541" spans="9:10" x14ac:dyDescent="0.25">
      <c r="I541" s="1"/>
      <c r="J541" s="1"/>
    </row>
    <row r="542" spans="9:10" x14ac:dyDescent="0.25">
      <c r="I542" s="1"/>
      <c r="J542" s="1"/>
    </row>
    <row r="543" spans="9:10" x14ac:dyDescent="0.25">
      <c r="I543" s="1"/>
      <c r="J543" s="1"/>
    </row>
    <row r="544" spans="9:10" x14ac:dyDescent="0.25">
      <c r="I544" s="1"/>
      <c r="J544" s="1"/>
    </row>
    <row r="545" spans="9:10" x14ac:dyDescent="0.25">
      <c r="I545" s="1"/>
      <c r="J545" s="1"/>
    </row>
    <row r="546" spans="9:10" x14ac:dyDescent="0.25">
      <c r="I546" s="1"/>
      <c r="J546" s="1"/>
    </row>
    <row r="547" spans="9:10" x14ac:dyDescent="0.25">
      <c r="I547" s="1"/>
      <c r="J547" s="1"/>
    </row>
    <row r="548" spans="9:10" x14ac:dyDescent="0.25">
      <c r="I548" s="1"/>
      <c r="J548" s="1"/>
    </row>
    <row r="549" spans="9:10" x14ac:dyDescent="0.25">
      <c r="I549" s="1"/>
      <c r="J549" s="1"/>
    </row>
    <row r="550" spans="9:10" x14ac:dyDescent="0.25">
      <c r="I550" s="1"/>
      <c r="J550" s="1"/>
    </row>
    <row r="551" spans="9:10" x14ac:dyDescent="0.25">
      <c r="I551" s="1"/>
      <c r="J551" s="1"/>
    </row>
    <row r="552" spans="9:10" x14ac:dyDescent="0.25">
      <c r="I552" s="1"/>
      <c r="J552" s="1"/>
    </row>
    <row r="553" spans="9:10" x14ac:dyDescent="0.25">
      <c r="I553" s="1"/>
      <c r="J553" s="1"/>
    </row>
    <row r="554" spans="9:10" x14ac:dyDescent="0.25">
      <c r="I554" s="1"/>
      <c r="J554" s="1"/>
    </row>
    <row r="555" spans="9:10" x14ac:dyDescent="0.25">
      <c r="I555" s="1"/>
      <c r="J555" s="1"/>
    </row>
    <row r="556" spans="9:10" x14ac:dyDescent="0.25">
      <c r="I556" s="1"/>
      <c r="J556" s="1"/>
    </row>
    <row r="557" spans="9:10" x14ac:dyDescent="0.25">
      <c r="I557" s="1"/>
      <c r="J557" s="1"/>
    </row>
    <row r="558" spans="9:10" x14ac:dyDescent="0.25">
      <c r="I558" s="1"/>
      <c r="J558" s="1"/>
    </row>
    <row r="559" spans="9:10" x14ac:dyDescent="0.25">
      <c r="I559" s="1"/>
      <c r="J559" s="1"/>
    </row>
    <row r="560" spans="9:10" x14ac:dyDescent="0.25">
      <c r="I560" s="1"/>
      <c r="J560" s="1"/>
    </row>
    <row r="561" spans="9:10" x14ac:dyDescent="0.25">
      <c r="I561" s="1"/>
      <c r="J561" s="1"/>
    </row>
    <row r="562" spans="9:10" x14ac:dyDescent="0.25">
      <c r="I562" s="1"/>
      <c r="J562" s="1"/>
    </row>
    <row r="563" spans="9:10" x14ac:dyDescent="0.25">
      <c r="I563" s="1"/>
      <c r="J563" s="1"/>
    </row>
    <row r="564" spans="9:10" x14ac:dyDescent="0.25">
      <c r="I564" s="1"/>
      <c r="J564" s="1"/>
    </row>
    <row r="565" spans="9:10" x14ac:dyDescent="0.25">
      <c r="I565" s="1"/>
      <c r="J565" s="1"/>
    </row>
    <row r="566" spans="9:10" x14ac:dyDescent="0.25">
      <c r="I566" s="1"/>
      <c r="J566" s="1"/>
    </row>
    <row r="567" spans="9:10" x14ac:dyDescent="0.25">
      <c r="I567" s="1"/>
      <c r="J567" s="1"/>
    </row>
    <row r="568" spans="9:10" x14ac:dyDescent="0.25">
      <c r="I568" s="1"/>
      <c r="J568" s="1"/>
    </row>
    <row r="569" spans="9:10" x14ac:dyDescent="0.25">
      <c r="I569" s="1"/>
      <c r="J569" s="1"/>
    </row>
    <row r="570" spans="9:10" x14ac:dyDescent="0.25">
      <c r="I570" s="1"/>
      <c r="J570" s="1"/>
    </row>
    <row r="571" spans="9:10" x14ac:dyDescent="0.25">
      <c r="I571" s="1"/>
      <c r="J571" s="1"/>
    </row>
    <row r="572" spans="9:10" x14ac:dyDescent="0.25">
      <c r="I572" s="1"/>
      <c r="J572" s="1"/>
    </row>
    <row r="573" spans="9:10" x14ac:dyDescent="0.25">
      <c r="I573" s="1"/>
      <c r="J573" s="1"/>
    </row>
    <row r="574" spans="9:10" x14ac:dyDescent="0.25">
      <c r="I574" s="1"/>
      <c r="J574" s="1"/>
    </row>
    <row r="575" spans="9:10" x14ac:dyDescent="0.25">
      <c r="I575" s="1"/>
      <c r="J575" s="1"/>
    </row>
    <row r="576" spans="9:10" x14ac:dyDescent="0.25">
      <c r="I576" s="1"/>
      <c r="J576" s="1"/>
    </row>
    <row r="577" spans="9:10" x14ac:dyDescent="0.25">
      <c r="I577" s="1"/>
      <c r="J577" s="1"/>
    </row>
    <row r="578" spans="9:10" x14ac:dyDescent="0.25">
      <c r="I578" s="1"/>
      <c r="J578" s="1"/>
    </row>
    <row r="579" spans="9:10" x14ac:dyDescent="0.25">
      <c r="I579" s="1"/>
      <c r="J579" s="1"/>
    </row>
    <row r="580" spans="9:10" x14ac:dyDescent="0.25">
      <c r="I580" s="1"/>
      <c r="J580" s="1"/>
    </row>
    <row r="581" spans="9:10" x14ac:dyDescent="0.25">
      <c r="I581" s="1"/>
      <c r="J581" s="1"/>
    </row>
    <row r="582" spans="9:10" x14ac:dyDescent="0.25">
      <c r="I582" s="1"/>
      <c r="J582" s="1"/>
    </row>
    <row r="583" spans="9:10" x14ac:dyDescent="0.25">
      <c r="I583" s="1"/>
      <c r="J583" s="1"/>
    </row>
    <row r="584" spans="9:10" x14ac:dyDescent="0.25">
      <c r="I584" s="1"/>
      <c r="J584" s="1"/>
    </row>
    <row r="585" spans="9:10" x14ac:dyDescent="0.25">
      <c r="I585" s="1"/>
      <c r="J585" s="1"/>
    </row>
    <row r="586" spans="9:10" x14ac:dyDescent="0.25">
      <c r="I586" s="1"/>
      <c r="J586" s="1"/>
    </row>
    <row r="587" spans="9:10" x14ac:dyDescent="0.25">
      <c r="I587" s="1"/>
      <c r="J587" s="1"/>
    </row>
    <row r="588" spans="9:10" x14ac:dyDescent="0.25">
      <c r="I588" s="1"/>
      <c r="J588" s="1"/>
    </row>
    <row r="589" spans="9:10" x14ac:dyDescent="0.25">
      <c r="I589" s="1"/>
      <c r="J589" s="1"/>
    </row>
    <row r="590" spans="9:10" x14ac:dyDescent="0.25">
      <c r="I590" s="1"/>
      <c r="J590" s="1"/>
    </row>
    <row r="591" spans="9:10" x14ac:dyDescent="0.25">
      <c r="I591" s="1"/>
      <c r="J591" s="1"/>
    </row>
    <row r="592" spans="9:10" x14ac:dyDescent="0.25">
      <c r="I592" s="1"/>
      <c r="J592" s="1"/>
    </row>
    <row r="593" spans="9:10" x14ac:dyDescent="0.25">
      <c r="I593" s="1"/>
      <c r="J593" s="1"/>
    </row>
    <row r="594" spans="9:10" x14ac:dyDescent="0.25">
      <c r="I594" s="1"/>
      <c r="J594" s="1"/>
    </row>
    <row r="595" spans="9:10" x14ac:dyDescent="0.25">
      <c r="I595" s="1"/>
      <c r="J595" s="1"/>
    </row>
    <row r="596" spans="9:10" x14ac:dyDescent="0.25">
      <c r="I596" s="1"/>
      <c r="J596" s="1"/>
    </row>
    <row r="597" spans="9:10" x14ac:dyDescent="0.25">
      <c r="I597" s="1"/>
      <c r="J597" s="1"/>
    </row>
    <row r="598" spans="9:10" x14ac:dyDescent="0.25">
      <c r="I598" s="1"/>
      <c r="J598" s="1"/>
    </row>
    <row r="599" spans="9:10" x14ac:dyDescent="0.25">
      <c r="I599" s="1"/>
      <c r="J599" s="1"/>
    </row>
    <row r="600" spans="9:10" x14ac:dyDescent="0.25">
      <c r="I600" s="1"/>
      <c r="J600" s="1"/>
    </row>
    <row r="601" spans="9:10" x14ac:dyDescent="0.25">
      <c r="I601" s="1"/>
      <c r="J601" s="1"/>
    </row>
    <row r="602" spans="9:10" x14ac:dyDescent="0.25">
      <c r="I602" s="1"/>
      <c r="J602" s="1"/>
    </row>
    <row r="603" spans="9:10" x14ac:dyDescent="0.25">
      <c r="I603" s="1"/>
      <c r="J603" s="1"/>
    </row>
    <row r="604" spans="9:10" x14ac:dyDescent="0.25">
      <c r="I604" s="1"/>
      <c r="J604" s="1"/>
    </row>
    <row r="605" spans="9:10" x14ac:dyDescent="0.25">
      <c r="I605" s="1"/>
      <c r="J605" s="1"/>
    </row>
    <row r="606" spans="9:10" x14ac:dyDescent="0.25">
      <c r="I606" s="1"/>
      <c r="J606" s="1"/>
    </row>
    <row r="607" spans="9:10" x14ac:dyDescent="0.25">
      <c r="I607" s="1"/>
      <c r="J607" s="1"/>
    </row>
    <row r="608" spans="9:10" x14ac:dyDescent="0.25">
      <c r="I608" s="1"/>
      <c r="J608" s="1"/>
    </row>
    <row r="609" spans="9:10" x14ac:dyDescent="0.25">
      <c r="I609" s="1"/>
      <c r="J609" s="1"/>
    </row>
    <row r="610" spans="9:10" x14ac:dyDescent="0.25">
      <c r="I610" s="1"/>
      <c r="J610" s="1"/>
    </row>
    <row r="611" spans="9:10" x14ac:dyDescent="0.25">
      <c r="I611" s="1"/>
      <c r="J611" s="1"/>
    </row>
    <row r="612" spans="9:10" x14ac:dyDescent="0.25">
      <c r="I612" s="1"/>
      <c r="J612" s="1"/>
    </row>
    <row r="613" spans="9:10" x14ac:dyDescent="0.25">
      <c r="I613" s="1"/>
      <c r="J613" s="1"/>
    </row>
    <row r="614" spans="9:10" x14ac:dyDescent="0.25">
      <c r="I614" s="1"/>
      <c r="J614" s="1"/>
    </row>
    <row r="615" spans="9:10" x14ac:dyDescent="0.25">
      <c r="I615" s="1"/>
      <c r="J615" s="1"/>
    </row>
    <row r="616" spans="9:10" x14ac:dyDescent="0.25">
      <c r="I616" s="1"/>
      <c r="J616" s="1"/>
    </row>
    <row r="617" spans="9:10" x14ac:dyDescent="0.25">
      <c r="I617" s="1"/>
      <c r="J617" s="1"/>
    </row>
    <row r="618" spans="9:10" x14ac:dyDescent="0.25">
      <c r="I618" s="1"/>
      <c r="J618" s="1"/>
    </row>
    <row r="619" spans="9:10" x14ac:dyDescent="0.25">
      <c r="I619" s="1"/>
      <c r="J619" s="1"/>
    </row>
    <row r="620" spans="9:10" x14ac:dyDescent="0.25">
      <c r="I620" s="1"/>
      <c r="J620" s="1"/>
    </row>
    <row r="621" spans="9:10" x14ac:dyDescent="0.25">
      <c r="I621" s="1"/>
      <c r="J621" s="1"/>
    </row>
    <row r="622" spans="9:10" x14ac:dyDescent="0.25">
      <c r="I622" s="1"/>
      <c r="J622" s="1"/>
    </row>
    <row r="623" spans="9:10" x14ac:dyDescent="0.25">
      <c r="I623" s="1"/>
      <c r="J623" s="1"/>
    </row>
    <row r="624" spans="9:10" x14ac:dyDescent="0.25">
      <c r="I624" s="1"/>
      <c r="J624" s="1"/>
    </row>
    <row r="625" spans="9:10" x14ac:dyDescent="0.25">
      <c r="I625" s="1"/>
      <c r="J625" s="1"/>
    </row>
    <row r="626" spans="9:10" x14ac:dyDescent="0.25">
      <c r="I626" s="1"/>
      <c r="J626" s="1"/>
    </row>
    <row r="627" spans="9:10" x14ac:dyDescent="0.25">
      <c r="I627" s="1"/>
      <c r="J627" s="1"/>
    </row>
    <row r="628" spans="9:10" x14ac:dyDescent="0.25">
      <c r="I628" s="1"/>
      <c r="J628" s="1"/>
    </row>
    <row r="629" spans="9:10" x14ac:dyDescent="0.25">
      <c r="I629" s="1"/>
      <c r="J629" s="1"/>
    </row>
    <row r="630" spans="9:10" x14ac:dyDescent="0.25">
      <c r="I630" s="1"/>
      <c r="J630" s="1"/>
    </row>
    <row r="631" spans="9:10" x14ac:dyDescent="0.25">
      <c r="I631" s="1"/>
      <c r="J631" s="1"/>
    </row>
    <row r="632" spans="9:10" x14ac:dyDescent="0.25">
      <c r="I632" s="1"/>
      <c r="J632" s="1"/>
    </row>
    <row r="633" spans="9:10" x14ac:dyDescent="0.25">
      <c r="I633" s="1"/>
      <c r="J633" s="1"/>
    </row>
    <row r="634" spans="9:10" x14ac:dyDescent="0.25">
      <c r="I634" s="1"/>
      <c r="J634" s="1"/>
    </row>
    <row r="635" spans="9:10" x14ac:dyDescent="0.25">
      <c r="I635" s="1"/>
      <c r="J635" s="1"/>
    </row>
    <row r="636" spans="9:10" x14ac:dyDescent="0.25">
      <c r="I636" s="1"/>
      <c r="J636" s="1"/>
    </row>
    <row r="637" spans="9:10" x14ac:dyDescent="0.25">
      <c r="I637" s="1"/>
      <c r="J637" s="1"/>
    </row>
    <row r="638" spans="9:10" x14ac:dyDescent="0.25">
      <c r="I638" s="1"/>
      <c r="J638" s="1"/>
    </row>
    <row r="639" spans="9:10" x14ac:dyDescent="0.25">
      <c r="I639" s="1"/>
      <c r="J639" s="1"/>
    </row>
    <row r="640" spans="9:10" x14ac:dyDescent="0.25">
      <c r="I640" s="1"/>
      <c r="J640" s="1"/>
    </row>
    <row r="641" spans="9:10" x14ac:dyDescent="0.25">
      <c r="I641" s="1"/>
      <c r="J641" s="1"/>
    </row>
    <row r="642" spans="9:10" x14ac:dyDescent="0.25">
      <c r="I642" s="1"/>
      <c r="J642" s="1"/>
    </row>
    <row r="643" spans="9:10" x14ac:dyDescent="0.25">
      <c r="I643" s="1"/>
      <c r="J643" s="1"/>
    </row>
    <row r="644" spans="9:10" x14ac:dyDescent="0.25">
      <c r="I644" s="1"/>
      <c r="J644" s="1"/>
    </row>
    <row r="645" spans="9:10" x14ac:dyDescent="0.25">
      <c r="I645" s="1"/>
      <c r="J645" s="1"/>
    </row>
    <row r="646" spans="9:10" x14ac:dyDescent="0.25">
      <c r="I646" s="1"/>
      <c r="J646" s="1"/>
    </row>
    <row r="647" spans="9:10" x14ac:dyDescent="0.25">
      <c r="I647" s="1"/>
      <c r="J647" s="1"/>
    </row>
    <row r="648" spans="9:10" x14ac:dyDescent="0.25">
      <c r="I648" s="1"/>
      <c r="J648" s="1"/>
    </row>
    <row r="649" spans="9:10" x14ac:dyDescent="0.25">
      <c r="I649" s="1"/>
      <c r="J649" s="1"/>
    </row>
    <row r="650" spans="9:10" x14ac:dyDescent="0.25">
      <c r="I650" s="1"/>
      <c r="J650" s="1"/>
    </row>
    <row r="651" spans="9:10" x14ac:dyDescent="0.25">
      <c r="I651" s="1"/>
      <c r="J651" s="1"/>
    </row>
    <row r="652" spans="9:10" x14ac:dyDescent="0.25">
      <c r="I652" s="1"/>
      <c r="J652" s="1"/>
    </row>
    <row r="653" spans="9:10" x14ac:dyDescent="0.25">
      <c r="I653" s="1"/>
      <c r="J653" s="1"/>
    </row>
    <row r="654" spans="9:10" x14ac:dyDescent="0.25">
      <c r="I654" s="1"/>
      <c r="J654" s="1"/>
    </row>
    <row r="655" spans="9:10" x14ac:dyDescent="0.25">
      <c r="I655" s="1"/>
      <c r="J655" s="1"/>
    </row>
    <row r="656" spans="9:10" x14ac:dyDescent="0.25">
      <c r="I656" s="1"/>
      <c r="J656" s="1"/>
    </row>
    <row r="657" spans="9:10" x14ac:dyDescent="0.25">
      <c r="I657" s="1"/>
      <c r="J657" s="1"/>
    </row>
    <row r="658" spans="9:10" x14ac:dyDescent="0.25">
      <c r="I658" s="1"/>
      <c r="J658" s="1"/>
    </row>
    <row r="659" spans="9:10" x14ac:dyDescent="0.25">
      <c r="I659" s="1"/>
      <c r="J659" s="1"/>
    </row>
    <row r="660" spans="9:10" x14ac:dyDescent="0.25">
      <c r="I660" s="1"/>
      <c r="J660" s="1"/>
    </row>
    <row r="661" spans="9:10" x14ac:dyDescent="0.25">
      <c r="I661" s="1"/>
      <c r="J661" s="1"/>
    </row>
    <row r="662" spans="9:10" x14ac:dyDescent="0.25">
      <c r="I662" s="1"/>
      <c r="J662" s="1"/>
    </row>
    <row r="663" spans="9:10" x14ac:dyDescent="0.25">
      <c r="I663" s="1"/>
      <c r="J663" s="1"/>
    </row>
    <row r="664" spans="9:10" x14ac:dyDescent="0.25">
      <c r="I664" s="1"/>
      <c r="J664" s="1"/>
    </row>
    <row r="665" spans="9:10" x14ac:dyDescent="0.25">
      <c r="I665" s="1"/>
      <c r="J665" s="1"/>
    </row>
    <row r="666" spans="9:10" x14ac:dyDescent="0.25">
      <c r="I666" s="1"/>
      <c r="J666" s="1"/>
    </row>
    <row r="667" spans="9:10" x14ac:dyDescent="0.25">
      <c r="I667" s="1"/>
      <c r="J667" s="1"/>
    </row>
    <row r="668" spans="9:10" x14ac:dyDescent="0.25">
      <c r="I668" s="1"/>
      <c r="J668" s="1"/>
    </row>
    <row r="669" spans="9:10" x14ac:dyDescent="0.25">
      <c r="I669" s="1"/>
      <c r="J669" s="1"/>
    </row>
    <row r="670" spans="9:10" x14ac:dyDescent="0.25">
      <c r="I670" s="1"/>
      <c r="J670" s="1"/>
    </row>
    <row r="671" spans="9:10" x14ac:dyDescent="0.25">
      <c r="I671" s="1"/>
      <c r="J671" s="1"/>
    </row>
    <row r="672" spans="9:10" x14ac:dyDescent="0.25">
      <c r="I672" s="1"/>
      <c r="J672" s="1"/>
    </row>
    <row r="673" spans="9:10" x14ac:dyDescent="0.25">
      <c r="I673" s="1"/>
      <c r="J673" s="1"/>
    </row>
    <row r="674" spans="9:10" x14ac:dyDescent="0.25">
      <c r="I674" s="1"/>
      <c r="J674" s="1"/>
    </row>
    <row r="675" spans="9:10" x14ac:dyDescent="0.25">
      <c r="I675" s="1"/>
      <c r="J675" s="1"/>
    </row>
    <row r="676" spans="9:10" x14ac:dyDescent="0.25">
      <c r="I676" s="1"/>
      <c r="J676" s="1"/>
    </row>
    <row r="677" spans="9:10" x14ac:dyDescent="0.25">
      <c r="I677" s="1"/>
      <c r="J677" s="1"/>
    </row>
    <row r="678" spans="9:10" x14ac:dyDescent="0.25">
      <c r="I678" s="1"/>
      <c r="J678" s="1"/>
    </row>
    <row r="679" spans="9:10" x14ac:dyDescent="0.25">
      <c r="I679" s="1"/>
      <c r="J679" s="1"/>
    </row>
    <row r="680" spans="9:10" x14ac:dyDescent="0.25">
      <c r="I680" s="1"/>
      <c r="J680" s="1"/>
    </row>
    <row r="681" spans="9:10" x14ac:dyDescent="0.25">
      <c r="I681" s="1"/>
      <c r="J681" s="1"/>
    </row>
    <row r="682" spans="9:10" x14ac:dyDescent="0.25">
      <c r="I682" s="1"/>
      <c r="J682" s="1"/>
    </row>
    <row r="683" spans="9:10" x14ac:dyDescent="0.25">
      <c r="I683" s="1"/>
      <c r="J683" s="1"/>
    </row>
    <row r="684" spans="9:10" x14ac:dyDescent="0.25">
      <c r="I684" s="1"/>
      <c r="J684" s="1"/>
    </row>
    <row r="685" spans="9:10" x14ac:dyDescent="0.25">
      <c r="I685" s="1"/>
      <c r="J685" s="1"/>
    </row>
    <row r="686" spans="9:10" x14ac:dyDescent="0.25">
      <c r="I686" s="1"/>
      <c r="J686" s="1"/>
    </row>
    <row r="687" spans="9:10" x14ac:dyDescent="0.25">
      <c r="I687" s="1"/>
      <c r="J687" s="1"/>
    </row>
    <row r="688" spans="9:10" x14ac:dyDescent="0.25">
      <c r="I688" s="1"/>
      <c r="J688" s="1"/>
    </row>
    <row r="689" spans="9:10" x14ac:dyDescent="0.25">
      <c r="I689" s="1"/>
      <c r="J689" s="1"/>
    </row>
    <row r="690" spans="9:10" x14ac:dyDescent="0.25">
      <c r="I690" s="1"/>
      <c r="J690" s="1"/>
    </row>
    <row r="691" spans="9:10" x14ac:dyDescent="0.25">
      <c r="I691" s="1"/>
      <c r="J691" s="1"/>
    </row>
    <row r="692" spans="9:10" x14ac:dyDescent="0.25">
      <c r="I692" s="1"/>
      <c r="J692" s="1"/>
    </row>
    <row r="693" spans="9:10" x14ac:dyDescent="0.25">
      <c r="I693" s="1"/>
      <c r="J693" s="1"/>
    </row>
    <row r="694" spans="9:10" x14ac:dyDescent="0.25">
      <c r="I694" s="1"/>
      <c r="J694" s="1"/>
    </row>
    <row r="695" spans="9:10" x14ac:dyDescent="0.25">
      <c r="I695" s="1"/>
      <c r="J695" s="1"/>
    </row>
    <row r="696" spans="9:10" x14ac:dyDescent="0.25">
      <c r="I696" s="1"/>
      <c r="J696" s="1"/>
    </row>
    <row r="697" spans="9:10" x14ac:dyDescent="0.25">
      <c r="I697" s="1"/>
      <c r="J697" s="1"/>
    </row>
    <row r="698" spans="9:10" x14ac:dyDescent="0.25">
      <c r="I698" s="1"/>
      <c r="J698" s="1"/>
    </row>
    <row r="699" spans="9:10" x14ac:dyDescent="0.25">
      <c r="I699" s="1"/>
      <c r="J699" s="1"/>
    </row>
    <row r="700" spans="9:10" x14ac:dyDescent="0.25">
      <c r="I700" s="1"/>
      <c r="J700" s="1"/>
    </row>
    <row r="701" spans="9:10" x14ac:dyDescent="0.25">
      <c r="I701" s="1"/>
      <c r="J701" s="1"/>
    </row>
    <row r="702" spans="9:10" x14ac:dyDescent="0.25">
      <c r="I702" s="1"/>
      <c r="J702" s="1"/>
    </row>
    <row r="703" spans="9:10" x14ac:dyDescent="0.25">
      <c r="I703" s="1"/>
      <c r="J703" s="1"/>
    </row>
    <row r="704" spans="9:10" x14ac:dyDescent="0.25">
      <c r="I704" s="1"/>
      <c r="J704" s="1"/>
    </row>
    <row r="705" spans="9:10" x14ac:dyDescent="0.25">
      <c r="I705" s="1"/>
      <c r="J705" s="1"/>
    </row>
    <row r="706" spans="9:10" x14ac:dyDescent="0.25">
      <c r="I706" s="1"/>
      <c r="J706" s="1"/>
    </row>
    <row r="707" spans="9:10" x14ac:dyDescent="0.25">
      <c r="I707" s="1"/>
      <c r="J707" s="1"/>
    </row>
    <row r="708" spans="9:10" x14ac:dyDescent="0.25">
      <c r="I708" s="1"/>
      <c r="J708" s="1"/>
    </row>
    <row r="709" spans="9:10" x14ac:dyDescent="0.25">
      <c r="I709" s="1"/>
      <c r="J709" s="1"/>
    </row>
    <row r="710" spans="9:10" x14ac:dyDescent="0.25">
      <c r="I710" s="1"/>
      <c r="J710" s="1"/>
    </row>
    <row r="711" spans="9:10" x14ac:dyDescent="0.25">
      <c r="I711" s="1"/>
      <c r="J711" s="1"/>
    </row>
    <row r="712" spans="9:10" x14ac:dyDescent="0.25">
      <c r="I712" s="1"/>
      <c r="J712" s="1"/>
    </row>
    <row r="713" spans="9:10" x14ac:dyDescent="0.25">
      <c r="I713" s="1"/>
      <c r="J713" s="1"/>
    </row>
    <row r="714" spans="9:10" x14ac:dyDescent="0.25">
      <c r="I714" s="1"/>
      <c r="J714" s="1"/>
    </row>
    <row r="715" spans="9:10" x14ac:dyDescent="0.25">
      <c r="I715" s="1"/>
      <c r="J715" s="1"/>
    </row>
    <row r="716" spans="9:10" x14ac:dyDescent="0.25">
      <c r="I716" s="1"/>
      <c r="J716" s="1"/>
    </row>
    <row r="717" spans="9:10" x14ac:dyDescent="0.25">
      <c r="I717" s="1"/>
      <c r="J717" s="1"/>
    </row>
    <row r="718" spans="9:10" x14ac:dyDescent="0.25">
      <c r="I718" s="1"/>
      <c r="J718" s="1"/>
    </row>
    <row r="719" spans="9:10" x14ac:dyDescent="0.25">
      <c r="I719" s="1"/>
      <c r="J719" s="1"/>
    </row>
    <row r="720" spans="9:10" x14ac:dyDescent="0.25">
      <c r="I720" s="1"/>
      <c r="J720" s="1"/>
    </row>
    <row r="721" spans="9:10" x14ac:dyDescent="0.25">
      <c r="I721" s="1"/>
      <c r="J721" s="1"/>
    </row>
    <row r="722" spans="9:10" x14ac:dyDescent="0.25">
      <c r="I722" s="1"/>
      <c r="J722" s="1"/>
    </row>
    <row r="723" spans="9:10" x14ac:dyDescent="0.25">
      <c r="I723" s="1"/>
      <c r="J723" s="1"/>
    </row>
    <row r="724" spans="9:10" x14ac:dyDescent="0.25">
      <c r="I724" s="1"/>
      <c r="J724" s="1"/>
    </row>
    <row r="725" spans="9:10" x14ac:dyDescent="0.25">
      <c r="I725" s="1"/>
      <c r="J725" s="1"/>
    </row>
    <row r="726" spans="9:10" x14ac:dyDescent="0.25">
      <c r="I726" s="1"/>
      <c r="J726" s="1"/>
    </row>
    <row r="727" spans="9:10" x14ac:dyDescent="0.25">
      <c r="I727" s="1"/>
      <c r="J727" s="1"/>
    </row>
    <row r="728" spans="9:10" x14ac:dyDescent="0.25">
      <c r="I728" s="1"/>
      <c r="J728" s="1"/>
    </row>
    <row r="729" spans="9:10" x14ac:dyDescent="0.25">
      <c r="I729" s="1"/>
      <c r="J729" s="1"/>
    </row>
    <row r="730" spans="9:10" x14ac:dyDescent="0.25">
      <c r="I730" s="1"/>
      <c r="J730" s="1"/>
    </row>
    <row r="731" spans="9:10" x14ac:dyDescent="0.25">
      <c r="I731" s="1"/>
      <c r="J731" s="1"/>
    </row>
    <row r="732" spans="9:10" x14ac:dyDescent="0.25">
      <c r="I732" s="1"/>
      <c r="J732" s="1"/>
    </row>
    <row r="733" spans="9:10" x14ac:dyDescent="0.25">
      <c r="I733" s="1"/>
      <c r="J733" s="1"/>
    </row>
    <row r="734" spans="9:10" x14ac:dyDescent="0.25">
      <c r="I734" s="1"/>
      <c r="J734" s="1"/>
    </row>
    <row r="735" spans="9:10" x14ac:dyDescent="0.25">
      <c r="I735" s="1"/>
      <c r="J735" s="1"/>
    </row>
    <row r="736" spans="9:10" x14ac:dyDescent="0.25">
      <c r="I736" s="1"/>
      <c r="J736" s="1"/>
    </row>
    <row r="737" spans="9:10" x14ac:dyDescent="0.25">
      <c r="I737" s="1"/>
      <c r="J737" s="1"/>
    </row>
    <row r="738" spans="9:10" x14ac:dyDescent="0.25">
      <c r="I738" s="1"/>
      <c r="J738" s="1"/>
    </row>
    <row r="739" spans="9:10" x14ac:dyDescent="0.25">
      <c r="I739" s="1"/>
      <c r="J739" s="1"/>
    </row>
    <row r="740" spans="9:10" x14ac:dyDescent="0.25">
      <c r="I740" s="1"/>
      <c r="J740" s="1"/>
    </row>
    <row r="741" spans="9:10" x14ac:dyDescent="0.25">
      <c r="I741" s="1"/>
      <c r="J741" s="1"/>
    </row>
    <row r="742" spans="9:10" x14ac:dyDescent="0.25">
      <c r="I742" s="1"/>
      <c r="J742" s="1"/>
    </row>
    <row r="743" spans="9:10" x14ac:dyDescent="0.25">
      <c r="I743" s="1"/>
      <c r="J743" s="1"/>
    </row>
    <row r="744" spans="9:10" x14ac:dyDescent="0.25">
      <c r="I744" s="1"/>
      <c r="J744" s="1"/>
    </row>
    <row r="745" spans="9:10" x14ac:dyDescent="0.25">
      <c r="I745" s="1"/>
      <c r="J745" s="1"/>
    </row>
    <row r="746" spans="9:10" x14ac:dyDescent="0.25">
      <c r="I746" s="1"/>
      <c r="J746" s="1"/>
    </row>
    <row r="747" spans="9:10" x14ac:dyDescent="0.25">
      <c r="I747" s="1"/>
      <c r="J747" s="1"/>
    </row>
    <row r="748" spans="9:10" x14ac:dyDescent="0.25">
      <c r="I748" s="1"/>
      <c r="J748" s="1"/>
    </row>
    <row r="749" spans="9:10" x14ac:dyDescent="0.25">
      <c r="I749" s="1"/>
      <c r="J749" s="1"/>
    </row>
    <row r="750" spans="9:10" x14ac:dyDescent="0.25">
      <c r="I750" s="1"/>
      <c r="J750" s="1"/>
    </row>
    <row r="751" spans="9:10" x14ac:dyDescent="0.25">
      <c r="I751" s="1"/>
      <c r="J751" s="1"/>
    </row>
    <row r="752" spans="9:10" x14ac:dyDescent="0.25">
      <c r="I752" s="1"/>
      <c r="J752" s="1"/>
    </row>
    <row r="753" spans="9:10" x14ac:dyDescent="0.25">
      <c r="I753" s="1"/>
      <c r="J753" s="1"/>
    </row>
    <row r="754" spans="9:10" x14ac:dyDescent="0.25">
      <c r="I754" s="1"/>
      <c r="J754" s="1"/>
    </row>
    <row r="755" spans="9:10" x14ac:dyDescent="0.25">
      <c r="I755" s="1"/>
      <c r="J755" s="1"/>
    </row>
    <row r="756" spans="9:10" x14ac:dyDescent="0.25">
      <c r="I756" s="1"/>
      <c r="J756" s="1"/>
    </row>
    <row r="757" spans="9:10" x14ac:dyDescent="0.25">
      <c r="I757" s="1"/>
      <c r="J757" s="1"/>
    </row>
    <row r="758" spans="9:10" x14ac:dyDescent="0.25">
      <c r="I758" s="1"/>
      <c r="J758" s="1"/>
    </row>
    <row r="759" spans="9:10" x14ac:dyDescent="0.25">
      <c r="I759" s="1"/>
      <c r="J759" s="1"/>
    </row>
    <row r="760" spans="9:10" x14ac:dyDescent="0.25">
      <c r="I760" s="1"/>
      <c r="J760" s="1"/>
    </row>
    <row r="761" spans="9:10" x14ac:dyDescent="0.25">
      <c r="I761" s="1"/>
      <c r="J761" s="1"/>
    </row>
    <row r="762" spans="9:10" x14ac:dyDescent="0.25">
      <c r="I762" s="1"/>
      <c r="J762" s="1"/>
    </row>
    <row r="763" spans="9:10" x14ac:dyDescent="0.25">
      <c r="I763" s="1"/>
      <c r="J763" s="1"/>
    </row>
    <row r="764" spans="9:10" x14ac:dyDescent="0.25">
      <c r="I764" s="1"/>
      <c r="J764" s="1"/>
    </row>
    <row r="765" spans="9:10" x14ac:dyDescent="0.25">
      <c r="I765" s="1"/>
      <c r="J765" s="1"/>
    </row>
    <row r="766" spans="9:10" x14ac:dyDescent="0.25">
      <c r="I766" s="1"/>
      <c r="J766" s="1"/>
    </row>
    <row r="767" spans="9:10" x14ac:dyDescent="0.25">
      <c r="I767" s="1"/>
      <c r="J767" s="1"/>
    </row>
    <row r="768" spans="9:10" x14ac:dyDescent="0.25">
      <c r="I768" s="1"/>
      <c r="J768" s="1"/>
    </row>
    <row r="769" spans="9:10" x14ac:dyDescent="0.25">
      <c r="I769" s="1"/>
      <c r="J769" s="1"/>
    </row>
    <row r="770" spans="9:10" x14ac:dyDescent="0.25">
      <c r="I770" s="1"/>
      <c r="J770" s="1"/>
    </row>
    <row r="771" spans="9:10" x14ac:dyDescent="0.25">
      <c r="I771" s="1"/>
      <c r="J771" s="1"/>
    </row>
    <row r="772" spans="9:10" x14ac:dyDescent="0.25">
      <c r="I772" s="1"/>
      <c r="J772" s="1"/>
    </row>
    <row r="773" spans="9:10" x14ac:dyDescent="0.25">
      <c r="I773" s="1"/>
      <c r="J773" s="1"/>
    </row>
    <row r="774" spans="9:10" x14ac:dyDescent="0.25">
      <c r="I774" s="1"/>
      <c r="J774" s="1"/>
    </row>
    <row r="775" spans="9:10" x14ac:dyDescent="0.25">
      <c r="I775" s="1"/>
      <c r="J775" s="1"/>
    </row>
    <row r="776" spans="9:10" x14ac:dyDescent="0.25">
      <c r="I776" s="1"/>
      <c r="J776" s="1"/>
    </row>
    <row r="777" spans="9:10" x14ac:dyDescent="0.25">
      <c r="I777" s="1"/>
      <c r="J777" s="1"/>
    </row>
    <row r="778" spans="9:10" x14ac:dyDescent="0.25">
      <c r="I778" s="1"/>
      <c r="J778" s="1"/>
    </row>
    <row r="779" spans="9:10" x14ac:dyDescent="0.25">
      <c r="I779" s="1"/>
      <c r="J779" s="1"/>
    </row>
    <row r="780" spans="9:10" x14ac:dyDescent="0.25">
      <c r="I780" s="1"/>
      <c r="J780" s="1"/>
    </row>
    <row r="781" spans="9:10" x14ac:dyDescent="0.25">
      <c r="I781" s="1"/>
      <c r="J781" s="1"/>
    </row>
    <row r="782" spans="9:10" x14ac:dyDescent="0.25">
      <c r="I782" s="1"/>
      <c r="J782" s="1"/>
    </row>
    <row r="783" spans="9:10" x14ac:dyDescent="0.25">
      <c r="I783" s="1"/>
      <c r="J783" s="1"/>
    </row>
    <row r="784" spans="9:10" x14ac:dyDescent="0.25">
      <c r="I784" s="1"/>
      <c r="J784" s="1"/>
    </row>
    <row r="785" spans="9:10" x14ac:dyDescent="0.25">
      <c r="I785" s="1"/>
      <c r="J785" s="1"/>
    </row>
    <row r="786" spans="9:10" x14ac:dyDescent="0.25">
      <c r="I786" s="1"/>
      <c r="J786" s="1"/>
    </row>
    <row r="787" spans="9:10" x14ac:dyDescent="0.25">
      <c r="I787" s="1"/>
      <c r="J787" s="1"/>
    </row>
    <row r="788" spans="9:10" x14ac:dyDescent="0.25">
      <c r="I788" s="1"/>
      <c r="J788" s="1"/>
    </row>
    <row r="789" spans="9:10" x14ac:dyDescent="0.25">
      <c r="I789" s="1"/>
      <c r="J789" s="1"/>
    </row>
    <row r="790" spans="9:10" x14ac:dyDescent="0.25">
      <c r="I790" s="1"/>
      <c r="J790" s="1"/>
    </row>
    <row r="791" spans="9:10" x14ac:dyDescent="0.25">
      <c r="I791" s="1"/>
      <c r="J791" s="1"/>
    </row>
    <row r="792" spans="9:10" x14ac:dyDescent="0.25">
      <c r="I792" s="1"/>
      <c r="J792" s="1"/>
    </row>
    <row r="793" spans="9:10" x14ac:dyDescent="0.25">
      <c r="I793" s="1"/>
      <c r="J793" s="1"/>
    </row>
    <row r="794" spans="9:10" x14ac:dyDescent="0.25">
      <c r="I794" s="1"/>
      <c r="J794" s="1"/>
    </row>
    <row r="795" spans="9:10" x14ac:dyDescent="0.25">
      <c r="I795" s="1"/>
      <c r="J795" s="1"/>
    </row>
    <row r="796" spans="9:10" x14ac:dyDescent="0.25">
      <c r="I796" s="1"/>
      <c r="J796" s="1"/>
    </row>
    <row r="797" spans="9:10" x14ac:dyDescent="0.25">
      <c r="I797" s="1"/>
      <c r="J797" s="1"/>
    </row>
    <row r="798" spans="9:10" x14ac:dyDescent="0.25">
      <c r="I798" s="1"/>
      <c r="J798" s="1"/>
    </row>
    <row r="799" spans="9:10" x14ac:dyDescent="0.25">
      <c r="I799" s="1"/>
      <c r="J799" s="1"/>
    </row>
    <row r="800" spans="9:10" x14ac:dyDescent="0.25">
      <c r="I800" s="1"/>
      <c r="J800" s="1"/>
    </row>
    <row r="801" spans="9:10" x14ac:dyDescent="0.25">
      <c r="I801" s="1"/>
      <c r="J801" s="1"/>
    </row>
    <row r="802" spans="9:10" x14ac:dyDescent="0.25">
      <c r="I802" s="1"/>
      <c r="J802" s="1"/>
    </row>
    <row r="803" spans="9:10" x14ac:dyDescent="0.25">
      <c r="I803" s="1"/>
      <c r="J803" s="1"/>
    </row>
    <row r="804" spans="9:10" x14ac:dyDescent="0.25">
      <c r="I804" s="1"/>
      <c r="J804" s="1"/>
    </row>
    <row r="805" spans="9:10" x14ac:dyDescent="0.25">
      <c r="I805" s="1"/>
      <c r="J805" s="1"/>
    </row>
    <row r="806" spans="9:10" x14ac:dyDescent="0.25">
      <c r="I806" s="1"/>
      <c r="J806" s="1"/>
    </row>
    <row r="807" spans="9:10" x14ac:dyDescent="0.25">
      <c r="I807" s="1"/>
      <c r="J807" s="1"/>
    </row>
    <row r="808" spans="9:10" x14ac:dyDescent="0.25">
      <c r="I808" s="1"/>
      <c r="J808" s="1"/>
    </row>
    <row r="809" spans="9:10" x14ac:dyDescent="0.25">
      <c r="I809" s="1"/>
      <c r="J809" s="1"/>
    </row>
    <row r="810" spans="9:10" x14ac:dyDescent="0.25">
      <c r="I810" s="1"/>
      <c r="J810" s="1"/>
    </row>
    <row r="811" spans="9:10" x14ac:dyDescent="0.25">
      <c r="I811" s="1"/>
      <c r="J811" s="1"/>
    </row>
    <row r="812" spans="9:10" x14ac:dyDescent="0.25">
      <c r="I812" s="1"/>
      <c r="J812" s="1"/>
    </row>
    <row r="813" spans="9:10" x14ac:dyDescent="0.25">
      <c r="I813" s="1"/>
      <c r="J813" s="1"/>
    </row>
    <row r="814" spans="9:10" x14ac:dyDescent="0.25">
      <c r="I814" s="1"/>
      <c r="J814" s="1"/>
    </row>
    <row r="815" spans="9:10" x14ac:dyDescent="0.25">
      <c r="I815" s="1"/>
      <c r="J815" s="1"/>
    </row>
    <row r="816" spans="9:10" x14ac:dyDescent="0.25">
      <c r="I816" s="1"/>
      <c r="J816" s="1"/>
    </row>
    <row r="817" spans="9:10" x14ac:dyDescent="0.25">
      <c r="I817" s="1"/>
      <c r="J817" s="1"/>
    </row>
    <row r="818" spans="9:10" x14ac:dyDescent="0.25">
      <c r="I818" s="1"/>
      <c r="J818" s="1"/>
    </row>
    <row r="819" spans="9:10" x14ac:dyDescent="0.25">
      <c r="I819" s="1"/>
      <c r="J819" s="1"/>
    </row>
    <row r="820" spans="9:10" x14ac:dyDescent="0.25">
      <c r="I820" s="1"/>
      <c r="J820" s="1"/>
    </row>
    <row r="821" spans="9:10" x14ac:dyDescent="0.25">
      <c r="I821" s="1"/>
      <c r="J821" s="1"/>
    </row>
    <row r="822" spans="9:10" x14ac:dyDescent="0.25">
      <c r="I822" s="1"/>
      <c r="J822" s="1"/>
    </row>
    <row r="823" spans="9:10" x14ac:dyDescent="0.25">
      <c r="I823" s="1"/>
      <c r="J823" s="1"/>
    </row>
    <row r="824" spans="9:10" x14ac:dyDescent="0.25">
      <c r="I824" s="1"/>
      <c r="J824" s="1"/>
    </row>
    <row r="825" spans="9:10" x14ac:dyDescent="0.25">
      <c r="I825" s="1"/>
      <c r="J825" s="1"/>
    </row>
    <row r="826" spans="9:10" x14ac:dyDescent="0.25">
      <c r="I826" s="1"/>
      <c r="J826" s="1"/>
    </row>
    <row r="827" spans="9:10" x14ac:dyDescent="0.25">
      <c r="I827" s="1"/>
      <c r="J827" s="1"/>
    </row>
    <row r="828" spans="9:10" x14ac:dyDescent="0.25">
      <c r="I828" s="1"/>
      <c r="J828" s="1"/>
    </row>
    <row r="829" spans="9:10" x14ac:dyDescent="0.25">
      <c r="I829" s="1"/>
      <c r="J829" s="1"/>
    </row>
    <row r="830" spans="9:10" x14ac:dyDescent="0.25">
      <c r="I830" s="1"/>
      <c r="J830" s="1"/>
    </row>
    <row r="831" spans="9:10" x14ac:dyDescent="0.25">
      <c r="I831" s="1"/>
      <c r="J831" s="1"/>
    </row>
    <row r="832" spans="9:10" x14ac:dyDescent="0.25">
      <c r="I832" s="1"/>
      <c r="J832" s="1"/>
    </row>
    <row r="833" spans="9:10" x14ac:dyDescent="0.25">
      <c r="I833" s="1"/>
      <c r="J833" s="1"/>
    </row>
    <row r="834" spans="9:10" x14ac:dyDescent="0.25">
      <c r="I834" s="1"/>
      <c r="J834" s="1"/>
    </row>
    <row r="835" spans="9:10" x14ac:dyDescent="0.25">
      <c r="I835" s="1"/>
      <c r="J835" s="1"/>
    </row>
    <row r="836" spans="9:10" x14ac:dyDescent="0.25">
      <c r="I836" s="1"/>
      <c r="J836" s="1"/>
    </row>
    <row r="837" spans="9:10" x14ac:dyDescent="0.25">
      <c r="I837" s="1"/>
      <c r="J837" s="1"/>
    </row>
    <row r="838" spans="9:10" x14ac:dyDescent="0.25">
      <c r="I838" s="1"/>
      <c r="J838" s="1"/>
    </row>
    <row r="839" spans="9:10" x14ac:dyDescent="0.25">
      <c r="I839" s="1"/>
      <c r="J839" s="1"/>
    </row>
    <row r="840" spans="9:10" x14ac:dyDescent="0.25">
      <c r="I840" s="1"/>
      <c r="J840" s="1"/>
    </row>
    <row r="841" spans="9:10" x14ac:dyDescent="0.25">
      <c r="I841" s="1"/>
      <c r="J841" s="1"/>
    </row>
    <row r="842" spans="9:10" x14ac:dyDescent="0.25">
      <c r="I842" s="1"/>
      <c r="J842" s="1"/>
    </row>
    <row r="843" spans="9:10" x14ac:dyDescent="0.25">
      <c r="I843" s="1"/>
      <c r="J843" s="1"/>
    </row>
    <row r="844" spans="9:10" x14ac:dyDescent="0.25">
      <c r="I844" s="1"/>
      <c r="J844" s="1"/>
    </row>
    <row r="845" spans="9:10" x14ac:dyDescent="0.25">
      <c r="I845" s="1"/>
      <c r="J845" s="1"/>
    </row>
    <row r="846" spans="9:10" x14ac:dyDescent="0.25">
      <c r="I846" s="1"/>
      <c r="J846" s="1"/>
    </row>
    <row r="847" spans="9:10" x14ac:dyDescent="0.25">
      <c r="I847" s="1"/>
      <c r="J847" s="1"/>
    </row>
    <row r="848" spans="9:10" x14ac:dyDescent="0.25">
      <c r="I848" s="1"/>
      <c r="J848" s="1"/>
    </row>
    <row r="849" spans="9:10" x14ac:dyDescent="0.25">
      <c r="I849" s="1"/>
      <c r="J849" s="1"/>
    </row>
    <row r="850" spans="9:10" x14ac:dyDescent="0.25">
      <c r="I850" s="1"/>
      <c r="J850" s="1"/>
    </row>
    <row r="851" spans="9:10" x14ac:dyDescent="0.25">
      <c r="I851" s="1"/>
      <c r="J851" s="1"/>
    </row>
    <row r="852" spans="9:10" x14ac:dyDescent="0.25">
      <c r="I852" s="1"/>
      <c r="J852" s="1"/>
    </row>
    <row r="853" spans="9:10" x14ac:dyDescent="0.25">
      <c r="I853" s="1"/>
      <c r="J853" s="1"/>
    </row>
    <row r="854" spans="9:10" x14ac:dyDescent="0.25">
      <c r="I854" s="1"/>
      <c r="J854" s="1"/>
    </row>
    <row r="855" spans="9:10" x14ac:dyDescent="0.25">
      <c r="I855" s="1"/>
      <c r="J855" s="1"/>
    </row>
    <row r="856" spans="9:10" x14ac:dyDescent="0.25">
      <c r="I856" s="1"/>
      <c r="J856" s="1"/>
    </row>
    <row r="857" spans="9:10" x14ac:dyDescent="0.25">
      <c r="I857" s="1"/>
      <c r="J857" s="1"/>
    </row>
    <row r="858" spans="9:10" x14ac:dyDescent="0.25">
      <c r="I858" s="1"/>
      <c r="J858" s="1"/>
    </row>
    <row r="859" spans="9:10" x14ac:dyDescent="0.25">
      <c r="I859" s="1"/>
      <c r="J859" s="1"/>
    </row>
    <row r="860" spans="9:10" x14ac:dyDescent="0.25">
      <c r="I860" s="1"/>
      <c r="J860" s="1"/>
    </row>
    <row r="861" spans="9:10" x14ac:dyDescent="0.25">
      <c r="I861" s="1"/>
      <c r="J861" s="1"/>
    </row>
    <row r="862" spans="9:10" x14ac:dyDescent="0.25">
      <c r="I862" s="1"/>
      <c r="J862" s="1"/>
    </row>
    <row r="863" spans="9:10" x14ac:dyDescent="0.25">
      <c r="I863" s="1"/>
      <c r="J863" s="1"/>
    </row>
    <row r="864" spans="9:10" x14ac:dyDescent="0.25">
      <c r="I864" s="1"/>
      <c r="J864" s="1"/>
    </row>
    <row r="865" spans="9:10" x14ac:dyDescent="0.25">
      <c r="I865" s="1"/>
      <c r="J865" s="1"/>
    </row>
    <row r="866" spans="9:10" x14ac:dyDescent="0.25">
      <c r="I866" s="1"/>
      <c r="J866" s="1"/>
    </row>
    <row r="867" spans="9:10" x14ac:dyDescent="0.25">
      <c r="I867" s="1"/>
      <c r="J867" s="1"/>
    </row>
    <row r="868" spans="9:10" x14ac:dyDescent="0.25">
      <c r="I868" s="1"/>
      <c r="J868" s="1"/>
    </row>
    <row r="869" spans="9:10" x14ac:dyDescent="0.25">
      <c r="I869" s="1"/>
      <c r="J869" s="1"/>
    </row>
    <row r="870" spans="9:10" x14ac:dyDescent="0.25">
      <c r="I870" s="1"/>
      <c r="J870" s="1"/>
    </row>
    <row r="871" spans="9:10" x14ac:dyDescent="0.25">
      <c r="I871" s="1"/>
      <c r="J871" s="1"/>
    </row>
    <row r="872" spans="9:10" x14ac:dyDescent="0.25">
      <c r="I872" s="1"/>
      <c r="J872" s="1"/>
    </row>
    <row r="873" spans="9:10" x14ac:dyDescent="0.25">
      <c r="I873" s="1"/>
      <c r="J873" s="1"/>
    </row>
    <row r="874" spans="9:10" x14ac:dyDescent="0.25">
      <c r="I874" s="1"/>
      <c r="J874" s="1"/>
    </row>
    <row r="875" spans="9:10" x14ac:dyDescent="0.25">
      <c r="I875" s="1"/>
      <c r="J875" s="1"/>
    </row>
    <row r="876" spans="9:10" x14ac:dyDescent="0.25">
      <c r="I876" s="1"/>
      <c r="J876" s="1"/>
    </row>
    <row r="877" spans="9:10" x14ac:dyDescent="0.25">
      <c r="I877" s="1"/>
      <c r="J877" s="1"/>
    </row>
    <row r="878" spans="9:10" x14ac:dyDescent="0.25">
      <c r="I878" s="1"/>
      <c r="J878" s="1"/>
    </row>
    <row r="879" spans="9:10" x14ac:dyDescent="0.25">
      <c r="I879" s="1"/>
      <c r="J879" s="1"/>
    </row>
    <row r="880" spans="9:10" x14ac:dyDescent="0.25">
      <c r="I880" s="1"/>
      <c r="J880" s="1"/>
    </row>
    <row r="881" spans="9:10" x14ac:dyDescent="0.25">
      <c r="I881" s="1"/>
      <c r="J881" s="1"/>
    </row>
    <row r="882" spans="9:10" x14ac:dyDescent="0.25">
      <c r="I882" s="1"/>
      <c r="J882" s="1"/>
    </row>
    <row r="883" spans="9:10" x14ac:dyDescent="0.25">
      <c r="I883" s="1"/>
      <c r="J883" s="1"/>
    </row>
    <row r="884" spans="9:10" x14ac:dyDescent="0.25">
      <c r="I884" s="1"/>
      <c r="J884" s="1"/>
    </row>
    <row r="885" spans="9:10" x14ac:dyDescent="0.25">
      <c r="I885" s="1"/>
      <c r="J885" s="1"/>
    </row>
    <row r="886" spans="9:10" x14ac:dyDescent="0.25">
      <c r="I886" s="1"/>
      <c r="J886" s="1"/>
    </row>
    <row r="887" spans="9:10" x14ac:dyDescent="0.25">
      <c r="I887" s="1"/>
      <c r="J887" s="1"/>
    </row>
    <row r="888" spans="9:10" x14ac:dyDescent="0.25">
      <c r="I888" s="1"/>
      <c r="J888" s="1"/>
    </row>
    <row r="889" spans="9:10" x14ac:dyDescent="0.25">
      <c r="I889" s="1"/>
      <c r="J889" s="1"/>
    </row>
    <row r="890" spans="9:10" x14ac:dyDescent="0.25">
      <c r="I890" s="1"/>
      <c r="J890" s="1"/>
    </row>
    <row r="891" spans="9:10" x14ac:dyDescent="0.25">
      <c r="I891" s="1"/>
      <c r="J891" s="1"/>
    </row>
    <row r="892" spans="9:10" x14ac:dyDescent="0.25">
      <c r="I892" s="1"/>
      <c r="J892" s="1"/>
    </row>
    <row r="893" spans="9:10" x14ac:dyDescent="0.25">
      <c r="I893" s="1"/>
      <c r="J893" s="1"/>
    </row>
    <row r="894" spans="9:10" x14ac:dyDescent="0.25">
      <c r="I894" s="1"/>
      <c r="J894" s="1"/>
    </row>
    <row r="895" spans="9:10" x14ac:dyDescent="0.25">
      <c r="I895" s="1"/>
      <c r="J895" s="1"/>
    </row>
    <row r="896" spans="9:10" x14ac:dyDescent="0.25">
      <c r="I896" s="1"/>
      <c r="J896" s="1"/>
    </row>
    <row r="897" spans="9:10" x14ac:dyDescent="0.25">
      <c r="I897" s="1"/>
      <c r="J897" s="1"/>
    </row>
    <row r="898" spans="9:10" x14ac:dyDescent="0.25">
      <c r="I898" s="1"/>
      <c r="J898" s="1"/>
    </row>
    <row r="899" spans="9:10" x14ac:dyDescent="0.25">
      <c r="I899" s="1"/>
      <c r="J899" s="1"/>
    </row>
    <row r="900" spans="9:10" x14ac:dyDescent="0.25">
      <c r="I900" s="1"/>
      <c r="J900" s="1"/>
    </row>
    <row r="901" spans="9:10" x14ac:dyDescent="0.25">
      <c r="I901" s="1"/>
      <c r="J901" s="1"/>
    </row>
    <row r="902" spans="9:10" x14ac:dyDescent="0.25">
      <c r="I902" s="1"/>
      <c r="J902" s="1"/>
    </row>
    <row r="903" spans="9:10" x14ac:dyDescent="0.25">
      <c r="I903" s="1"/>
      <c r="J903" s="1"/>
    </row>
    <row r="904" spans="9:10" x14ac:dyDescent="0.25">
      <c r="I904" s="1"/>
      <c r="J904" s="1"/>
    </row>
    <row r="905" spans="9:10" x14ac:dyDescent="0.25">
      <c r="I905" s="1"/>
      <c r="J905" s="1"/>
    </row>
    <row r="906" spans="9:10" x14ac:dyDescent="0.25">
      <c r="I906" s="1"/>
      <c r="J906" s="1"/>
    </row>
    <row r="907" spans="9:10" x14ac:dyDescent="0.25">
      <c r="I907" s="1"/>
      <c r="J907" s="1"/>
    </row>
    <row r="908" spans="9:10" x14ac:dyDescent="0.25">
      <c r="I908" s="1"/>
      <c r="J908" s="1"/>
    </row>
    <row r="909" spans="9:10" x14ac:dyDescent="0.25">
      <c r="I909" s="1"/>
      <c r="J909" s="1"/>
    </row>
    <row r="910" spans="9:10" x14ac:dyDescent="0.25">
      <c r="I910" s="1"/>
      <c r="J910" s="1"/>
    </row>
    <row r="911" spans="9:10" x14ac:dyDescent="0.25">
      <c r="I911" s="1"/>
      <c r="J911" s="1"/>
    </row>
    <row r="912" spans="9:10" x14ac:dyDescent="0.25">
      <c r="I912" s="1"/>
      <c r="J912" s="1"/>
    </row>
    <row r="913" spans="9:10" x14ac:dyDescent="0.25">
      <c r="I913" s="1"/>
      <c r="J913" s="1"/>
    </row>
    <row r="914" spans="9:10" x14ac:dyDescent="0.25">
      <c r="I914" s="1"/>
      <c r="J914" s="1"/>
    </row>
    <row r="915" spans="9:10" x14ac:dyDescent="0.25">
      <c r="I915" s="1"/>
      <c r="J915" s="1"/>
    </row>
    <row r="916" spans="9:10" x14ac:dyDescent="0.25">
      <c r="I916" s="1"/>
      <c r="J916" s="1"/>
    </row>
    <row r="917" spans="9:10" x14ac:dyDescent="0.25">
      <c r="I917" s="1"/>
      <c r="J917" s="1"/>
    </row>
    <row r="918" spans="9:10" x14ac:dyDescent="0.25">
      <c r="I918" s="1"/>
      <c r="J918" s="1"/>
    </row>
    <row r="919" spans="9:10" x14ac:dyDescent="0.25">
      <c r="I919" s="1"/>
      <c r="J919" s="1"/>
    </row>
    <row r="920" spans="9:10" x14ac:dyDescent="0.25">
      <c r="I920" s="1"/>
      <c r="J920" s="1"/>
    </row>
    <row r="921" spans="9:10" x14ac:dyDescent="0.25">
      <c r="I921" s="1"/>
      <c r="J921" s="1"/>
    </row>
    <row r="922" spans="9:10" x14ac:dyDescent="0.25">
      <c r="I922" s="1"/>
      <c r="J922" s="1"/>
    </row>
    <row r="923" spans="9:10" x14ac:dyDescent="0.25">
      <c r="I923" s="1"/>
      <c r="J923" s="1"/>
    </row>
    <row r="924" spans="9:10" x14ac:dyDescent="0.25">
      <c r="I924" s="1"/>
      <c r="J924" s="1"/>
    </row>
    <row r="925" spans="9:10" x14ac:dyDescent="0.25">
      <c r="I925" s="1"/>
      <c r="J925" s="1"/>
    </row>
    <row r="926" spans="9:10" x14ac:dyDescent="0.25">
      <c r="I926" s="1"/>
      <c r="J926" s="1"/>
    </row>
    <row r="927" spans="9:10" x14ac:dyDescent="0.25">
      <c r="I927" s="1"/>
      <c r="J927" s="1"/>
    </row>
    <row r="928" spans="9:10" x14ac:dyDescent="0.25">
      <c r="I928" s="1"/>
      <c r="J928" s="1"/>
    </row>
    <row r="929" spans="9:10" x14ac:dyDescent="0.25">
      <c r="I929" s="1"/>
      <c r="J929" s="1"/>
    </row>
    <row r="930" spans="9:10" x14ac:dyDescent="0.25">
      <c r="I930" s="1"/>
      <c r="J930" s="1"/>
    </row>
    <row r="931" spans="9:10" x14ac:dyDescent="0.25">
      <c r="I931" s="1"/>
      <c r="J931" s="1"/>
    </row>
    <row r="932" spans="9:10" x14ac:dyDescent="0.25">
      <c r="I932" s="1"/>
      <c r="J932" s="1"/>
    </row>
    <row r="933" spans="9:10" x14ac:dyDescent="0.25">
      <c r="I933" s="1"/>
      <c r="J933" s="1"/>
    </row>
    <row r="934" spans="9:10" x14ac:dyDescent="0.25">
      <c r="I934" s="1"/>
      <c r="J934" s="1"/>
    </row>
    <row r="935" spans="9:10" x14ac:dyDescent="0.25">
      <c r="I935" s="1"/>
      <c r="J935" s="1"/>
    </row>
    <row r="936" spans="9:10" x14ac:dyDescent="0.25">
      <c r="I936" s="1"/>
      <c r="J936" s="1"/>
    </row>
    <row r="937" spans="9:10" x14ac:dyDescent="0.25">
      <c r="I937" s="1"/>
      <c r="J937" s="1"/>
    </row>
    <row r="938" spans="9:10" x14ac:dyDescent="0.25">
      <c r="I938" s="1"/>
      <c r="J938" s="1"/>
    </row>
    <row r="939" spans="9:10" x14ac:dyDescent="0.25">
      <c r="I939" s="1"/>
      <c r="J939" s="1"/>
    </row>
    <row r="940" spans="9:10" x14ac:dyDescent="0.25">
      <c r="I940" s="1"/>
      <c r="J940" s="1"/>
    </row>
    <row r="941" spans="9:10" x14ac:dyDescent="0.25">
      <c r="I941" s="1"/>
      <c r="J941" s="1"/>
    </row>
    <row r="942" spans="9:10" x14ac:dyDescent="0.25">
      <c r="I942" s="1"/>
      <c r="J942" s="1"/>
    </row>
    <row r="943" spans="9:10" x14ac:dyDescent="0.25">
      <c r="I943" s="1"/>
      <c r="J943" s="1"/>
    </row>
    <row r="944" spans="9:10" x14ac:dyDescent="0.25">
      <c r="I944" s="1"/>
      <c r="J944" s="1"/>
    </row>
    <row r="945" spans="9:10" x14ac:dyDescent="0.25">
      <c r="I945" s="1"/>
      <c r="J945" s="1"/>
    </row>
    <row r="946" spans="9:10" x14ac:dyDescent="0.25">
      <c r="I946" s="1"/>
      <c r="J946" s="1"/>
    </row>
    <row r="947" spans="9:10" x14ac:dyDescent="0.25">
      <c r="I947" s="1"/>
      <c r="J947" s="1"/>
    </row>
    <row r="948" spans="9:10" x14ac:dyDescent="0.25">
      <c r="I948" s="1"/>
      <c r="J948" s="1"/>
    </row>
    <row r="949" spans="9:10" x14ac:dyDescent="0.25">
      <c r="I949" s="1"/>
      <c r="J949" s="1"/>
    </row>
    <row r="950" spans="9:10" x14ac:dyDescent="0.25">
      <c r="I950" s="1"/>
      <c r="J950" s="1"/>
    </row>
    <row r="951" spans="9:10" x14ac:dyDescent="0.25">
      <c r="I951" s="1"/>
      <c r="J951" s="1"/>
    </row>
    <row r="952" spans="9:10" x14ac:dyDescent="0.25">
      <c r="I952" s="1"/>
      <c r="J952" s="1"/>
    </row>
    <row r="953" spans="9:10" x14ac:dyDescent="0.25">
      <c r="I953" s="1"/>
      <c r="J953" s="1"/>
    </row>
    <row r="954" spans="9:10" x14ac:dyDescent="0.25">
      <c r="I954" s="1"/>
      <c r="J954" s="1"/>
    </row>
    <row r="955" spans="9:10" x14ac:dyDescent="0.25">
      <c r="I955" s="1"/>
      <c r="J955" s="1"/>
    </row>
    <row r="956" spans="9:10" x14ac:dyDescent="0.25">
      <c r="I956" s="1"/>
      <c r="J956" s="1"/>
    </row>
    <row r="957" spans="9:10" x14ac:dyDescent="0.25">
      <c r="I957" s="1"/>
      <c r="J957" s="1"/>
    </row>
    <row r="958" spans="9:10" x14ac:dyDescent="0.25">
      <c r="I958" s="1"/>
      <c r="J958" s="1"/>
    </row>
    <row r="959" spans="9:10" x14ac:dyDescent="0.25">
      <c r="I959" s="1"/>
      <c r="J959" s="1"/>
    </row>
    <row r="960" spans="9:10" x14ac:dyDescent="0.25">
      <c r="I960" s="1"/>
      <c r="J960" s="1"/>
    </row>
    <row r="961" spans="9:10" x14ac:dyDescent="0.25">
      <c r="I961" s="1"/>
      <c r="J961" s="1"/>
    </row>
    <row r="962" spans="9:10" x14ac:dyDescent="0.25">
      <c r="I962" s="1"/>
      <c r="J962" s="1"/>
    </row>
    <row r="963" spans="9:10" x14ac:dyDescent="0.25">
      <c r="I963" s="1"/>
      <c r="J963" s="1"/>
    </row>
    <row r="964" spans="9:10" x14ac:dyDescent="0.25">
      <c r="I964" s="1"/>
      <c r="J964" s="1"/>
    </row>
    <row r="965" spans="9:10" x14ac:dyDescent="0.25">
      <c r="I965" s="1"/>
      <c r="J965" s="1"/>
    </row>
    <row r="966" spans="9:10" x14ac:dyDescent="0.25">
      <c r="I966" s="1"/>
      <c r="J966" s="1"/>
    </row>
    <row r="967" spans="9:10" x14ac:dyDescent="0.25">
      <c r="I967" s="1"/>
      <c r="J967" s="1"/>
    </row>
    <row r="968" spans="9:10" x14ac:dyDescent="0.25">
      <c r="I968" s="1"/>
      <c r="J968" s="1"/>
    </row>
    <row r="969" spans="9:10" x14ac:dyDescent="0.25">
      <c r="I969" s="1"/>
      <c r="J969" s="1"/>
    </row>
    <row r="970" spans="9:10" x14ac:dyDescent="0.25">
      <c r="I970" s="1"/>
      <c r="J970" s="1"/>
    </row>
    <row r="971" spans="9:10" x14ac:dyDescent="0.25">
      <c r="I971" s="1"/>
      <c r="J971" s="1"/>
    </row>
    <row r="972" spans="9:10" x14ac:dyDescent="0.25">
      <c r="I972" s="1"/>
      <c r="J972" s="1"/>
    </row>
    <row r="973" spans="9:10" x14ac:dyDescent="0.25">
      <c r="I973" s="1"/>
      <c r="J973" s="1"/>
    </row>
    <row r="974" spans="9:10" x14ac:dyDescent="0.25">
      <c r="I974" s="1"/>
      <c r="J974" s="1"/>
    </row>
    <row r="975" spans="9:10" x14ac:dyDescent="0.25">
      <c r="I975" s="1"/>
      <c r="J975" s="1"/>
    </row>
    <row r="976" spans="9:10" x14ac:dyDescent="0.25">
      <c r="I976" s="1"/>
      <c r="J976" s="1"/>
    </row>
    <row r="977" spans="9:10" x14ac:dyDescent="0.25">
      <c r="I977" s="1"/>
      <c r="J977" s="1"/>
    </row>
    <row r="978" spans="9:10" x14ac:dyDescent="0.25">
      <c r="I978" s="1"/>
      <c r="J978" s="1"/>
    </row>
    <row r="979" spans="9:10" x14ac:dyDescent="0.25">
      <c r="I979" s="1"/>
      <c r="J979" s="1"/>
    </row>
    <row r="980" spans="9:10" x14ac:dyDescent="0.25">
      <c r="I980" s="1"/>
      <c r="J980" s="1"/>
    </row>
    <row r="981" spans="9:10" x14ac:dyDescent="0.25">
      <c r="I981" s="1"/>
      <c r="J981" s="1"/>
    </row>
    <row r="982" spans="9:10" x14ac:dyDescent="0.25">
      <c r="I982" s="1"/>
      <c r="J982" s="1"/>
    </row>
    <row r="983" spans="9:10" x14ac:dyDescent="0.25">
      <c r="I983" s="1"/>
      <c r="J983" s="1"/>
    </row>
    <row r="984" spans="9:10" x14ac:dyDescent="0.25">
      <c r="I984" s="1"/>
      <c r="J984" s="1"/>
    </row>
    <row r="985" spans="9:10" x14ac:dyDescent="0.25">
      <c r="I985" s="1"/>
      <c r="J985" s="1"/>
    </row>
    <row r="986" spans="9:10" x14ac:dyDescent="0.25">
      <c r="I986" s="1"/>
      <c r="J986" s="1"/>
    </row>
    <row r="987" spans="9:10" x14ac:dyDescent="0.25">
      <c r="I987" s="1"/>
      <c r="J987" s="1"/>
    </row>
    <row r="988" spans="9:10" x14ac:dyDescent="0.25">
      <c r="I988" s="1"/>
      <c r="J988" s="1"/>
    </row>
    <row r="989" spans="9:10" x14ac:dyDescent="0.25">
      <c r="I989" s="1"/>
      <c r="J989" s="1"/>
    </row>
    <row r="990" spans="9:10" x14ac:dyDescent="0.25">
      <c r="I990" s="1"/>
      <c r="J990" s="1"/>
    </row>
    <row r="991" spans="9:10" x14ac:dyDescent="0.25">
      <c r="I991" s="1"/>
      <c r="J991" s="1"/>
    </row>
    <row r="992" spans="9:10" x14ac:dyDescent="0.25">
      <c r="I992" s="1"/>
      <c r="J992" s="1"/>
    </row>
    <row r="993" spans="9:10" x14ac:dyDescent="0.25">
      <c r="I993" s="1"/>
      <c r="J993" s="1"/>
    </row>
    <row r="994" spans="9:10" x14ac:dyDescent="0.25">
      <c r="I994" s="1"/>
      <c r="J994" s="1"/>
    </row>
    <row r="995" spans="9:10" x14ac:dyDescent="0.25">
      <c r="I995" s="1"/>
      <c r="J995" s="1"/>
    </row>
    <row r="996" spans="9:10" x14ac:dyDescent="0.25">
      <c r="I996" s="1"/>
      <c r="J996" s="1"/>
    </row>
    <row r="997" spans="9:10" x14ac:dyDescent="0.25">
      <c r="I997" s="1"/>
      <c r="J997" s="1"/>
    </row>
    <row r="998" spans="9:10" x14ac:dyDescent="0.25">
      <c r="I998" s="1"/>
      <c r="J998" s="1"/>
    </row>
    <row r="999" spans="9:10" x14ac:dyDescent="0.25">
      <c r="I999" s="1"/>
      <c r="J999" s="1"/>
    </row>
    <row r="1000" spans="9:10" x14ac:dyDescent="0.25">
      <c r="I1000" s="1"/>
      <c r="J1000" s="1"/>
    </row>
    <row r="1001" spans="9:10" x14ac:dyDescent="0.25">
      <c r="I1001" s="1"/>
      <c r="J1001" s="1"/>
    </row>
    <row r="1002" spans="9:10" x14ac:dyDescent="0.25">
      <c r="I1002" s="1"/>
      <c r="J1002" s="1"/>
    </row>
    <row r="1003" spans="9:10" x14ac:dyDescent="0.25">
      <c r="I1003" s="1"/>
      <c r="J1003" s="1"/>
    </row>
    <row r="1004" spans="9:10" x14ac:dyDescent="0.25">
      <c r="I1004" s="1"/>
      <c r="J1004" s="1"/>
    </row>
    <row r="1005" spans="9:10" x14ac:dyDescent="0.25">
      <c r="I1005" s="1"/>
      <c r="J1005" s="1"/>
    </row>
    <row r="1006" spans="9:10" x14ac:dyDescent="0.25">
      <c r="I1006" s="1"/>
      <c r="J1006" s="1"/>
    </row>
    <row r="1007" spans="9:10" x14ac:dyDescent="0.25">
      <c r="I1007" s="1"/>
      <c r="J1007" s="1"/>
    </row>
    <row r="1008" spans="9:10" x14ac:dyDescent="0.25">
      <c r="I1008" s="1"/>
      <c r="J1008" s="1"/>
    </row>
    <row r="1009" spans="9:10" x14ac:dyDescent="0.25">
      <c r="I1009" s="1"/>
      <c r="J1009" s="1"/>
    </row>
    <row r="1010" spans="9:10" x14ac:dyDescent="0.25">
      <c r="I1010" s="1"/>
      <c r="J1010" s="1"/>
    </row>
    <row r="1011" spans="9:10" x14ac:dyDescent="0.25">
      <c r="I1011" s="1"/>
      <c r="J1011" s="1"/>
    </row>
    <row r="1012" spans="9:10" x14ac:dyDescent="0.25">
      <c r="I1012" s="1"/>
      <c r="J1012" s="1"/>
    </row>
    <row r="1013" spans="9:10" x14ac:dyDescent="0.25">
      <c r="I1013" s="1"/>
      <c r="J1013" s="1"/>
    </row>
    <row r="1014" spans="9:10" x14ac:dyDescent="0.25">
      <c r="I1014" s="1"/>
      <c r="J1014" s="1"/>
    </row>
    <row r="1015" spans="9:10" x14ac:dyDescent="0.25">
      <c r="I1015" s="1"/>
      <c r="J1015" s="1"/>
    </row>
    <row r="1016" spans="9:10" x14ac:dyDescent="0.25">
      <c r="I1016" s="1"/>
      <c r="J1016" s="1"/>
    </row>
    <row r="1017" spans="9:10" x14ac:dyDescent="0.25">
      <c r="I1017" s="1"/>
      <c r="J1017" s="1"/>
    </row>
    <row r="1018" spans="9:10" x14ac:dyDescent="0.25">
      <c r="I1018" s="1"/>
      <c r="J1018" s="1"/>
    </row>
    <row r="1019" spans="9:10" x14ac:dyDescent="0.25">
      <c r="I1019" s="1"/>
      <c r="J1019" s="1"/>
    </row>
    <row r="1020" spans="9:10" x14ac:dyDescent="0.25">
      <c r="I1020" s="1"/>
      <c r="J1020" s="1"/>
    </row>
    <row r="1021" spans="9:10" x14ac:dyDescent="0.25">
      <c r="I1021" s="1"/>
      <c r="J1021" s="1"/>
    </row>
    <row r="1022" spans="9:10" x14ac:dyDescent="0.25">
      <c r="I1022" s="1"/>
      <c r="J1022" s="1"/>
    </row>
    <row r="1023" spans="9:10" x14ac:dyDescent="0.25">
      <c r="I1023" s="1"/>
      <c r="J1023" s="1"/>
    </row>
    <row r="1024" spans="9:10" x14ac:dyDescent="0.25">
      <c r="I1024" s="1"/>
      <c r="J1024" s="1"/>
    </row>
    <row r="1025" spans="9:10" x14ac:dyDescent="0.25">
      <c r="I1025" s="1"/>
      <c r="J1025" s="1"/>
    </row>
    <row r="1026" spans="9:10" x14ac:dyDescent="0.25">
      <c r="I1026" s="1"/>
      <c r="J1026" s="1"/>
    </row>
    <row r="1027" spans="9:10" x14ac:dyDescent="0.25">
      <c r="I1027" s="1"/>
      <c r="J1027" s="1"/>
    </row>
    <row r="1028" spans="9:10" x14ac:dyDescent="0.25">
      <c r="I1028" s="1"/>
      <c r="J1028" s="1"/>
    </row>
    <row r="1029" spans="9:10" x14ac:dyDescent="0.25">
      <c r="I1029" s="1"/>
      <c r="J1029" s="1"/>
    </row>
    <row r="1030" spans="9:10" x14ac:dyDescent="0.25">
      <c r="I1030" s="1"/>
      <c r="J1030" s="1"/>
    </row>
    <row r="1031" spans="9:10" x14ac:dyDescent="0.25">
      <c r="I1031" s="1"/>
      <c r="J1031" s="1"/>
    </row>
    <row r="1032" spans="9:10" x14ac:dyDescent="0.25">
      <c r="I1032" s="1"/>
      <c r="J1032" s="1"/>
    </row>
    <row r="1033" spans="9:10" x14ac:dyDescent="0.25">
      <c r="I1033" s="1"/>
      <c r="J1033" s="1"/>
    </row>
    <row r="1034" spans="9:10" x14ac:dyDescent="0.25">
      <c r="I1034" s="1"/>
      <c r="J1034" s="1"/>
    </row>
    <row r="1035" spans="9:10" x14ac:dyDescent="0.25">
      <c r="I1035" s="1"/>
      <c r="J1035" s="1"/>
    </row>
    <row r="1036" spans="9:10" x14ac:dyDescent="0.25">
      <c r="I1036" s="1"/>
      <c r="J1036" s="1"/>
    </row>
    <row r="1037" spans="9:10" x14ac:dyDescent="0.25">
      <c r="I1037" s="1"/>
      <c r="J1037" s="1"/>
    </row>
    <row r="1038" spans="9:10" x14ac:dyDescent="0.25">
      <c r="I1038" s="1"/>
      <c r="J1038" s="1"/>
    </row>
    <row r="1039" spans="9:10" x14ac:dyDescent="0.25">
      <c r="I1039" s="1"/>
      <c r="J1039" s="1"/>
    </row>
    <row r="1040" spans="9:10" x14ac:dyDescent="0.25">
      <c r="I1040" s="1"/>
      <c r="J1040" s="1"/>
    </row>
    <row r="1041" spans="9:10" x14ac:dyDescent="0.25">
      <c r="I1041" s="1"/>
      <c r="J1041" s="1"/>
    </row>
    <row r="1042" spans="9:10" x14ac:dyDescent="0.25">
      <c r="I1042" s="1"/>
      <c r="J1042" s="1"/>
    </row>
    <row r="1043" spans="9:10" x14ac:dyDescent="0.25">
      <c r="I1043" s="1"/>
      <c r="J1043" s="1"/>
    </row>
    <row r="1044" spans="9:10" x14ac:dyDescent="0.25">
      <c r="I1044" s="1"/>
      <c r="J1044" s="1"/>
    </row>
    <row r="1045" spans="9:10" x14ac:dyDescent="0.25">
      <c r="I1045" s="1"/>
      <c r="J1045" s="1"/>
    </row>
    <row r="1046" spans="9:10" x14ac:dyDescent="0.25">
      <c r="I1046" s="1"/>
      <c r="J1046" s="1"/>
    </row>
    <row r="1047" spans="9:10" x14ac:dyDescent="0.25">
      <c r="I1047" s="1"/>
      <c r="J1047" s="1"/>
    </row>
    <row r="1048" spans="9:10" x14ac:dyDescent="0.25">
      <c r="I1048" s="1"/>
      <c r="J1048" s="1"/>
    </row>
    <row r="1049" spans="9:10" x14ac:dyDescent="0.25">
      <c r="I1049" s="1"/>
      <c r="J1049" s="1"/>
    </row>
    <row r="1050" spans="9:10" x14ac:dyDescent="0.25">
      <c r="I1050" s="1"/>
      <c r="J1050" s="1"/>
    </row>
    <row r="1051" spans="9:10" x14ac:dyDescent="0.25">
      <c r="I1051" s="1"/>
      <c r="J1051" s="1"/>
    </row>
    <row r="1052" spans="9:10" x14ac:dyDescent="0.25">
      <c r="I1052" s="1"/>
      <c r="J1052" s="1"/>
    </row>
    <row r="1053" spans="9:10" x14ac:dyDescent="0.25">
      <c r="I1053" s="1"/>
      <c r="J1053" s="1"/>
    </row>
    <row r="1054" spans="9:10" x14ac:dyDescent="0.25">
      <c r="I1054" s="1"/>
      <c r="J1054" s="1"/>
    </row>
    <row r="1055" spans="9:10" x14ac:dyDescent="0.25">
      <c r="I1055" s="1"/>
      <c r="J1055" s="1"/>
    </row>
    <row r="1056" spans="9:10" x14ac:dyDescent="0.25">
      <c r="I1056" s="1"/>
      <c r="J1056" s="1"/>
    </row>
    <row r="1057" spans="9:10" x14ac:dyDescent="0.25">
      <c r="I1057" s="1"/>
      <c r="J1057" s="1"/>
    </row>
    <row r="1058" spans="9:10" x14ac:dyDescent="0.25">
      <c r="I1058" s="1"/>
      <c r="J1058" s="1"/>
    </row>
    <row r="1059" spans="9:10" x14ac:dyDescent="0.25">
      <c r="I1059" s="1"/>
      <c r="J1059" s="1"/>
    </row>
    <row r="1060" spans="9:10" x14ac:dyDescent="0.25">
      <c r="I1060" s="1"/>
      <c r="J1060" s="1"/>
    </row>
    <row r="1061" spans="9:10" x14ac:dyDescent="0.25">
      <c r="I1061" s="1"/>
      <c r="J1061" s="1"/>
    </row>
    <row r="1062" spans="9:10" x14ac:dyDescent="0.25">
      <c r="I1062" s="1"/>
      <c r="J1062" s="1"/>
    </row>
    <row r="1063" spans="9:10" x14ac:dyDescent="0.25">
      <c r="I1063" s="1"/>
      <c r="J1063" s="1"/>
    </row>
    <row r="1064" spans="9:10" x14ac:dyDescent="0.25">
      <c r="I1064" s="1"/>
      <c r="J1064" s="1"/>
    </row>
    <row r="1065" spans="9:10" x14ac:dyDescent="0.25">
      <c r="I1065" s="1"/>
      <c r="J1065" s="1"/>
    </row>
    <row r="1066" spans="9:10" x14ac:dyDescent="0.25">
      <c r="I1066" s="1"/>
      <c r="J1066" s="1"/>
    </row>
    <row r="1067" spans="9:10" x14ac:dyDescent="0.25">
      <c r="I1067" s="1"/>
      <c r="J1067" s="1"/>
    </row>
    <row r="1068" spans="9:10" x14ac:dyDescent="0.25">
      <c r="I1068" s="1"/>
      <c r="J1068" s="1"/>
    </row>
    <row r="1069" spans="9:10" x14ac:dyDescent="0.25">
      <c r="I1069" s="1"/>
      <c r="J1069" s="1"/>
    </row>
    <row r="1070" spans="9:10" x14ac:dyDescent="0.25">
      <c r="I1070" s="1"/>
      <c r="J1070" s="1"/>
    </row>
    <row r="1071" spans="9:10" x14ac:dyDescent="0.25">
      <c r="I1071" s="1"/>
      <c r="J1071" s="1"/>
    </row>
    <row r="1072" spans="9:10" x14ac:dyDescent="0.25">
      <c r="I1072" s="1"/>
      <c r="J1072" s="1"/>
    </row>
    <row r="1073" spans="9:10" x14ac:dyDescent="0.25">
      <c r="I1073" s="1"/>
      <c r="J1073" s="1"/>
    </row>
    <row r="1074" spans="9:10" x14ac:dyDescent="0.25">
      <c r="I1074" s="1"/>
      <c r="J1074" s="1"/>
    </row>
    <row r="1075" spans="9:10" x14ac:dyDescent="0.25">
      <c r="I1075" s="1"/>
      <c r="J1075" s="1"/>
    </row>
    <row r="1076" spans="9:10" x14ac:dyDescent="0.25">
      <c r="I1076" s="1"/>
      <c r="J1076" s="1"/>
    </row>
    <row r="1077" spans="9:10" x14ac:dyDescent="0.25">
      <c r="I1077" s="1"/>
      <c r="J1077" s="1"/>
    </row>
    <row r="1078" spans="9:10" x14ac:dyDescent="0.25">
      <c r="I1078" s="1"/>
      <c r="J1078" s="1"/>
    </row>
    <row r="1079" spans="9:10" x14ac:dyDescent="0.25">
      <c r="I1079" s="1"/>
      <c r="J1079" s="1"/>
    </row>
    <row r="1080" spans="9:10" x14ac:dyDescent="0.25">
      <c r="I1080" s="1"/>
      <c r="J1080" s="1"/>
    </row>
    <row r="1081" spans="9:10" x14ac:dyDescent="0.25">
      <c r="I1081" s="1"/>
      <c r="J1081" s="1"/>
    </row>
    <row r="1082" spans="9:10" x14ac:dyDescent="0.25">
      <c r="I1082" s="1"/>
      <c r="J1082" s="1"/>
    </row>
    <row r="1083" spans="9:10" x14ac:dyDescent="0.25">
      <c r="I1083" s="1"/>
      <c r="J1083" s="1"/>
    </row>
    <row r="1084" spans="9:10" x14ac:dyDescent="0.25">
      <c r="I1084" s="1"/>
      <c r="J1084" s="1"/>
    </row>
    <row r="1085" spans="9:10" x14ac:dyDescent="0.25">
      <c r="I1085" s="1"/>
      <c r="J1085" s="1"/>
    </row>
    <row r="1086" spans="9:10" x14ac:dyDescent="0.25">
      <c r="I1086" s="1"/>
      <c r="J1086" s="1"/>
    </row>
    <row r="1087" spans="9:10" x14ac:dyDescent="0.25">
      <c r="I1087" s="1"/>
      <c r="J1087" s="1"/>
    </row>
    <row r="1088" spans="9:10" x14ac:dyDescent="0.25">
      <c r="I1088" s="1"/>
      <c r="J1088" s="1"/>
    </row>
    <row r="1089" spans="9:10" x14ac:dyDescent="0.25">
      <c r="I1089" s="1"/>
      <c r="J1089" s="1"/>
    </row>
    <row r="1090" spans="9:10" x14ac:dyDescent="0.25">
      <c r="I1090" s="1"/>
      <c r="J1090" s="1"/>
    </row>
    <row r="1091" spans="9:10" x14ac:dyDescent="0.25">
      <c r="I1091" s="1"/>
      <c r="J1091" s="1"/>
    </row>
    <row r="1092" spans="9:10" x14ac:dyDescent="0.25">
      <c r="I1092" s="1"/>
      <c r="J1092" s="1"/>
    </row>
    <row r="1093" spans="9:10" x14ac:dyDescent="0.25">
      <c r="I1093" s="1"/>
      <c r="J1093" s="1"/>
    </row>
    <row r="1094" spans="9:10" x14ac:dyDescent="0.25">
      <c r="I1094" s="1"/>
      <c r="J1094" s="1"/>
    </row>
    <row r="1095" spans="9:10" x14ac:dyDescent="0.25">
      <c r="I1095" s="1"/>
      <c r="J1095" s="1"/>
    </row>
    <row r="1096" spans="9:10" x14ac:dyDescent="0.25">
      <c r="I1096" s="1"/>
      <c r="J1096" s="1"/>
    </row>
    <row r="1097" spans="9:10" x14ac:dyDescent="0.25">
      <c r="I1097" s="1"/>
      <c r="J1097" s="1"/>
    </row>
    <row r="1098" spans="9:10" x14ac:dyDescent="0.25">
      <c r="I1098" s="1"/>
      <c r="J1098" s="1"/>
    </row>
    <row r="1099" spans="9:10" x14ac:dyDescent="0.25">
      <c r="I1099" s="1"/>
      <c r="J1099" s="1"/>
    </row>
    <row r="1100" spans="9:10" x14ac:dyDescent="0.25">
      <c r="I1100" s="1"/>
      <c r="J1100" s="1"/>
    </row>
    <row r="1101" spans="9:10" x14ac:dyDescent="0.25">
      <c r="I1101" s="1"/>
      <c r="J1101" s="1"/>
    </row>
    <row r="1102" spans="9:10" x14ac:dyDescent="0.25">
      <c r="I1102" s="1"/>
      <c r="J1102" s="1"/>
    </row>
    <row r="1103" spans="9:10" x14ac:dyDescent="0.25">
      <c r="I1103" s="1"/>
      <c r="J1103" s="1"/>
    </row>
    <row r="1104" spans="9:10" x14ac:dyDescent="0.25">
      <c r="I1104" s="1"/>
      <c r="J1104" s="1"/>
    </row>
    <row r="1105" spans="9:10" x14ac:dyDescent="0.25">
      <c r="I1105" s="1"/>
      <c r="J1105" s="1"/>
    </row>
    <row r="1106" spans="9:10" x14ac:dyDescent="0.25">
      <c r="I1106" s="1"/>
      <c r="J1106" s="1"/>
    </row>
    <row r="1107" spans="9:10" x14ac:dyDescent="0.25">
      <c r="I1107" s="1"/>
      <c r="J1107" s="1"/>
    </row>
    <row r="1108" spans="9:10" x14ac:dyDescent="0.25">
      <c r="I1108" s="1"/>
      <c r="J1108" s="1"/>
    </row>
    <row r="1109" spans="9:10" x14ac:dyDescent="0.25">
      <c r="I1109" s="1"/>
      <c r="J1109" s="1"/>
    </row>
    <row r="1110" spans="9:10" x14ac:dyDescent="0.25">
      <c r="I1110" s="1"/>
      <c r="J1110" s="1"/>
    </row>
    <row r="1111" spans="9:10" x14ac:dyDescent="0.25">
      <c r="I1111" s="1"/>
      <c r="J1111" s="1"/>
    </row>
    <row r="1112" spans="9:10" x14ac:dyDescent="0.25">
      <c r="I1112" s="1"/>
      <c r="J1112" s="1"/>
    </row>
    <row r="1113" spans="9:10" x14ac:dyDescent="0.25">
      <c r="I1113" s="1"/>
      <c r="J1113" s="1"/>
    </row>
    <row r="1114" spans="9:10" x14ac:dyDescent="0.25">
      <c r="I1114" s="1"/>
      <c r="J1114" s="1"/>
    </row>
    <row r="1115" spans="9:10" x14ac:dyDescent="0.25">
      <c r="I1115" s="1"/>
      <c r="J1115" s="1"/>
    </row>
    <row r="1116" spans="9:10" x14ac:dyDescent="0.25">
      <c r="I1116" s="1"/>
      <c r="J1116" s="1"/>
    </row>
    <row r="1117" spans="9:10" x14ac:dyDescent="0.25">
      <c r="I1117" s="1"/>
      <c r="J1117" s="1"/>
    </row>
    <row r="1118" spans="9:10" x14ac:dyDescent="0.25">
      <c r="I1118" s="1"/>
      <c r="J1118" s="1"/>
    </row>
    <row r="1119" spans="9:10" x14ac:dyDescent="0.25">
      <c r="I1119" s="1"/>
      <c r="J1119" s="1"/>
    </row>
    <row r="1120" spans="9:10" x14ac:dyDescent="0.25">
      <c r="I1120" s="1"/>
      <c r="J1120" s="1"/>
    </row>
    <row r="1121" spans="9:10" x14ac:dyDescent="0.25">
      <c r="I1121" s="1"/>
      <c r="J1121" s="1"/>
    </row>
    <row r="1122" spans="9:10" x14ac:dyDescent="0.25">
      <c r="I1122" s="1"/>
      <c r="J1122" s="1"/>
    </row>
    <row r="1123" spans="9:10" x14ac:dyDescent="0.25">
      <c r="I1123" s="1"/>
      <c r="J1123" s="1"/>
    </row>
    <row r="1124" spans="9:10" x14ac:dyDescent="0.25">
      <c r="I1124" s="1"/>
      <c r="J1124" s="1"/>
    </row>
    <row r="1125" spans="9:10" x14ac:dyDescent="0.25">
      <c r="I1125" s="1"/>
      <c r="J1125" s="1"/>
    </row>
    <row r="1126" spans="9:10" x14ac:dyDescent="0.25">
      <c r="I1126" s="1"/>
      <c r="J1126" s="1"/>
    </row>
    <row r="1127" spans="9:10" x14ac:dyDescent="0.25">
      <c r="I1127" s="1"/>
      <c r="J1127" s="1"/>
    </row>
    <row r="1128" spans="9:10" x14ac:dyDescent="0.25">
      <c r="I1128" s="1"/>
      <c r="J1128" s="1"/>
    </row>
    <row r="1129" spans="9:10" x14ac:dyDescent="0.25">
      <c r="I1129" s="1"/>
      <c r="J1129" s="1"/>
    </row>
    <row r="1130" spans="9:10" x14ac:dyDescent="0.25">
      <c r="I1130" s="1"/>
      <c r="J1130" s="1"/>
    </row>
    <row r="1131" spans="9:10" x14ac:dyDescent="0.25">
      <c r="I1131" s="1"/>
      <c r="J1131" s="1"/>
    </row>
    <row r="1132" spans="9:10" x14ac:dyDescent="0.25">
      <c r="I1132" s="1"/>
      <c r="J1132" s="1"/>
    </row>
    <row r="1133" spans="9:10" x14ac:dyDescent="0.25">
      <c r="I1133" s="1"/>
      <c r="J1133" s="1"/>
    </row>
    <row r="1134" spans="9:10" x14ac:dyDescent="0.25">
      <c r="I1134" s="1"/>
      <c r="J1134" s="1"/>
    </row>
    <row r="1135" spans="9:10" x14ac:dyDescent="0.25">
      <c r="I1135" s="1"/>
      <c r="J1135" s="1"/>
    </row>
    <row r="1136" spans="9:10" x14ac:dyDescent="0.25">
      <c r="I1136" s="1"/>
      <c r="J1136" s="1"/>
    </row>
    <row r="1137" spans="9:10" x14ac:dyDescent="0.25">
      <c r="I1137" s="1"/>
      <c r="J1137" s="1"/>
    </row>
    <row r="1138" spans="9:10" x14ac:dyDescent="0.25">
      <c r="I1138" s="1"/>
      <c r="J1138" s="1"/>
    </row>
    <row r="1139" spans="9:10" x14ac:dyDescent="0.25">
      <c r="I1139" s="1"/>
      <c r="J1139" s="1"/>
    </row>
    <row r="1140" spans="9:10" x14ac:dyDescent="0.25">
      <c r="I1140" s="1"/>
      <c r="J1140" s="1"/>
    </row>
    <row r="1141" spans="9:10" x14ac:dyDescent="0.25">
      <c r="I1141" s="1"/>
      <c r="J1141" s="1"/>
    </row>
    <row r="1142" spans="9:10" x14ac:dyDescent="0.25">
      <c r="I1142" s="1"/>
      <c r="J1142" s="1"/>
    </row>
    <row r="1143" spans="9:10" x14ac:dyDescent="0.25">
      <c r="I1143" s="1"/>
      <c r="J1143" s="1"/>
    </row>
    <row r="1144" spans="9:10" x14ac:dyDescent="0.25">
      <c r="I1144" s="1"/>
      <c r="J1144" s="1"/>
    </row>
    <row r="1145" spans="9:10" x14ac:dyDescent="0.25">
      <c r="I1145" s="1"/>
      <c r="J1145" s="1"/>
    </row>
    <row r="1146" spans="9:10" x14ac:dyDescent="0.25">
      <c r="I1146" s="1"/>
      <c r="J1146" s="1"/>
    </row>
    <row r="1147" spans="9:10" x14ac:dyDescent="0.25">
      <c r="I1147" s="1"/>
      <c r="J1147" s="1"/>
    </row>
    <row r="1148" spans="9:10" x14ac:dyDescent="0.25">
      <c r="I1148" s="1"/>
      <c r="J1148" s="1"/>
    </row>
    <row r="1149" spans="9:10" x14ac:dyDescent="0.25">
      <c r="I1149" s="1"/>
      <c r="J1149" s="1"/>
    </row>
    <row r="1150" spans="9:10" x14ac:dyDescent="0.25">
      <c r="I1150" s="1"/>
      <c r="J1150" s="1"/>
    </row>
    <row r="1151" spans="9:10" x14ac:dyDescent="0.25">
      <c r="I1151" s="1"/>
      <c r="J1151" s="1"/>
    </row>
    <row r="1152" spans="9:10" x14ac:dyDescent="0.25">
      <c r="I1152" s="1"/>
      <c r="J1152" s="1"/>
    </row>
    <row r="1153" spans="9:10" x14ac:dyDescent="0.25">
      <c r="I1153" s="1"/>
      <c r="J1153" s="1"/>
    </row>
    <row r="1154" spans="9:10" x14ac:dyDescent="0.25">
      <c r="I1154" s="1"/>
      <c r="J1154" s="1"/>
    </row>
    <row r="1155" spans="9:10" x14ac:dyDescent="0.25">
      <c r="I1155" s="1"/>
      <c r="J1155" s="1"/>
    </row>
    <row r="1156" spans="9:10" x14ac:dyDescent="0.25">
      <c r="I1156" s="1"/>
      <c r="J1156" s="1"/>
    </row>
    <row r="1157" spans="9:10" x14ac:dyDescent="0.25">
      <c r="I1157" s="1"/>
      <c r="J1157" s="1"/>
    </row>
    <row r="1158" spans="9:10" x14ac:dyDescent="0.25">
      <c r="I1158" s="1"/>
      <c r="J1158" s="1"/>
    </row>
    <row r="1159" spans="9:10" x14ac:dyDescent="0.25">
      <c r="I1159" s="1"/>
      <c r="J1159" s="1"/>
    </row>
    <row r="1160" spans="9:10" x14ac:dyDescent="0.25">
      <c r="I1160" s="1"/>
      <c r="J1160" s="1"/>
    </row>
    <row r="1161" spans="9:10" x14ac:dyDescent="0.25">
      <c r="I1161" s="1"/>
      <c r="J1161" s="1"/>
    </row>
    <row r="1162" spans="9:10" x14ac:dyDescent="0.25">
      <c r="I1162" s="1"/>
      <c r="J1162" s="1"/>
    </row>
    <row r="1163" spans="9:10" x14ac:dyDescent="0.25">
      <c r="I1163" s="1"/>
      <c r="J1163" s="1"/>
    </row>
    <row r="1164" spans="9:10" x14ac:dyDescent="0.25">
      <c r="I1164" s="1"/>
      <c r="J1164" s="1"/>
    </row>
    <row r="1165" spans="9:10" x14ac:dyDescent="0.25">
      <c r="I1165" s="1"/>
      <c r="J1165" s="1"/>
    </row>
    <row r="1166" spans="9:10" x14ac:dyDescent="0.25">
      <c r="I1166" s="1"/>
      <c r="J1166" s="1"/>
    </row>
    <row r="1167" spans="9:10" x14ac:dyDescent="0.25">
      <c r="I1167" s="1"/>
      <c r="J1167" s="1"/>
    </row>
    <row r="1168" spans="9:10" x14ac:dyDescent="0.25">
      <c r="I1168" s="1"/>
      <c r="J1168" s="1"/>
    </row>
    <row r="1169" spans="9:10" x14ac:dyDescent="0.25">
      <c r="I1169" s="1"/>
      <c r="J1169" s="1"/>
    </row>
    <row r="1170" spans="9:10" x14ac:dyDescent="0.25">
      <c r="I1170" s="1"/>
      <c r="J1170" s="1"/>
    </row>
    <row r="1171" spans="9:10" x14ac:dyDescent="0.25">
      <c r="I1171" s="1"/>
      <c r="J1171" s="1"/>
    </row>
    <row r="1172" spans="9:10" x14ac:dyDescent="0.25">
      <c r="I1172" s="1"/>
      <c r="J1172" s="1"/>
    </row>
    <row r="1173" spans="9:10" x14ac:dyDescent="0.25">
      <c r="I1173" s="1"/>
      <c r="J1173" s="1"/>
    </row>
    <row r="1174" spans="9:10" x14ac:dyDescent="0.25">
      <c r="I1174" s="1"/>
      <c r="J1174" s="1"/>
    </row>
    <row r="1175" spans="9:10" x14ac:dyDescent="0.25">
      <c r="I1175" s="1"/>
      <c r="J1175" s="1"/>
    </row>
    <row r="1176" spans="9:10" x14ac:dyDescent="0.25">
      <c r="I1176" s="1"/>
      <c r="J1176" s="1"/>
    </row>
    <row r="1177" spans="9:10" x14ac:dyDescent="0.25">
      <c r="I1177" s="1"/>
      <c r="J1177" s="1"/>
    </row>
    <row r="1178" spans="9:10" x14ac:dyDescent="0.25">
      <c r="I1178" s="1"/>
      <c r="J1178" s="1"/>
    </row>
    <row r="1179" spans="9:10" x14ac:dyDescent="0.25">
      <c r="I1179" s="1"/>
      <c r="J1179" s="1"/>
    </row>
    <row r="1180" spans="9:10" x14ac:dyDescent="0.25">
      <c r="I1180" s="1"/>
      <c r="J1180" s="1"/>
    </row>
    <row r="1181" spans="9:10" x14ac:dyDescent="0.25">
      <c r="I1181" s="1"/>
      <c r="J1181" s="1"/>
    </row>
    <row r="1182" spans="9:10" x14ac:dyDescent="0.25">
      <c r="I1182" s="1"/>
      <c r="J1182" s="1"/>
    </row>
    <row r="1183" spans="9:10" x14ac:dyDescent="0.25">
      <c r="I1183" s="1"/>
      <c r="J1183" s="1"/>
    </row>
    <row r="1184" spans="9:10" x14ac:dyDescent="0.25">
      <c r="I1184" s="1"/>
      <c r="J1184" s="1"/>
    </row>
    <row r="1185" spans="9:10" x14ac:dyDescent="0.25">
      <c r="I1185" s="1"/>
      <c r="J1185" s="1"/>
    </row>
    <row r="1186" spans="9:10" x14ac:dyDescent="0.25">
      <c r="I1186" s="1"/>
      <c r="J1186" s="1"/>
    </row>
    <row r="1187" spans="9:10" x14ac:dyDescent="0.25">
      <c r="I1187" s="1"/>
      <c r="J1187" s="1"/>
    </row>
    <row r="1188" spans="9:10" x14ac:dyDescent="0.25">
      <c r="I1188" s="1"/>
      <c r="J1188" s="1"/>
    </row>
    <row r="1189" spans="9:10" x14ac:dyDescent="0.25">
      <c r="I1189" s="1"/>
      <c r="J1189" s="1"/>
    </row>
    <row r="1190" spans="9:10" x14ac:dyDescent="0.25">
      <c r="I1190" s="1"/>
      <c r="J1190" s="1"/>
    </row>
    <row r="1191" spans="9:10" x14ac:dyDescent="0.25">
      <c r="I1191" s="1"/>
      <c r="J1191" s="1"/>
    </row>
    <row r="1192" spans="9:10" x14ac:dyDescent="0.25">
      <c r="I1192" s="1"/>
      <c r="J1192" s="1"/>
    </row>
    <row r="1193" spans="9:10" x14ac:dyDescent="0.25">
      <c r="I1193" s="1"/>
      <c r="J1193" s="1"/>
    </row>
    <row r="1194" spans="9:10" x14ac:dyDescent="0.25">
      <c r="I1194" s="1"/>
      <c r="J1194" s="1"/>
    </row>
    <row r="1195" spans="9:10" x14ac:dyDescent="0.25">
      <c r="I1195" s="1"/>
      <c r="J1195" s="1"/>
    </row>
    <row r="1196" spans="9:10" x14ac:dyDescent="0.25">
      <c r="I1196" s="1"/>
      <c r="J1196" s="1"/>
    </row>
    <row r="1197" spans="9:10" x14ac:dyDescent="0.25">
      <c r="I1197" s="1"/>
      <c r="J1197" s="1"/>
    </row>
    <row r="1198" spans="9:10" x14ac:dyDescent="0.25">
      <c r="I1198" s="1"/>
      <c r="J1198" s="1"/>
    </row>
    <row r="1199" spans="9:10" x14ac:dyDescent="0.25">
      <c r="I1199" s="1"/>
      <c r="J1199" s="1"/>
    </row>
    <row r="1200" spans="9:10" x14ac:dyDescent="0.25">
      <c r="I1200" s="1"/>
      <c r="J1200" s="1"/>
    </row>
    <row r="1201" spans="9:10" x14ac:dyDescent="0.25">
      <c r="I1201" s="1"/>
      <c r="J1201" s="1"/>
    </row>
    <row r="1202" spans="9:10" x14ac:dyDescent="0.25">
      <c r="I1202" s="1"/>
      <c r="J1202" s="1"/>
    </row>
    <row r="1203" spans="9:10" x14ac:dyDescent="0.25">
      <c r="I1203" s="1"/>
      <c r="J1203" s="1"/>
    </row>
    <row r="1204" spans="9:10" x14ac:dyDescent="0.25">
      <c r="I1204" s="1"/>
      <c r="J1204" s="1"/>
    </row>
    <row r="1205" spans="9:10" x14ac:dyDescent="0.25">
      <c r="I1205" s="1"/>
      <c r="J1205" s="1"/>
    </row>
    <row r="1206" spans="9:10" x14ac:dyDescent="0.25">
      <c r="I1206" s="1"/>
      <c r="J1206" s="1"/>
    </row>
    <row r="1207" spans="9:10" x14ac:dyDescent="0.25">
      <c r="I1207" s="1"/>
      <c r="J1207" s="1"/>
    </row>
    <row r="1208" spans="9:10" x14ac:dyDescent="0.25">
      <c r="I1208" s="1"/>
      <c r="J1208" s="1"/>
    </row>
    <row r="1209" spans="9:10" x14ac:dyDescent="0.25">
      <c r="I1209" s="1"/>
      <c r="J1209" s="1"/>
    </row>
    <row r="1210" spans="9:10" x14ac:dyDescent="0.25">
      <c r="I1210" s="1"/>
      <c r="J1210" s="1"/>
    </row>
    <row r="1211" spans="9:10" x14ac:dyDescent="0.25">
      <c r="I1211" s="1"/>
      <c r="J1211" s="1"/>
    </row>
    <row r="1212" spans="9:10" x14ac:dyDescent="0.25">
      <c r="I1212" s="1"/>
      <c r="J1212" s="1"/>
    </row>
    <row r="1213" spans="9:10" x14ac:dyDescent="0.25">
      <c r="I1213" s="1"/>
      <c r="J1213" s="1"/>
    </row>
    <row r="1214" spans="9:10" x14ac:dyDescent="0.25">
      <c r="I1214" s="1"/>
      <c r="J1214" s="1"/>
    </row>
    <row r="1215" spans="9:10" x14ac:dyDescent="0.25">
      <c r="I1215" s="1"/>
      <c r="J1215" s="1"/>
    </row>
    <row r="1216" spans="9:10" x14ac:dyDescent="0.25">
      <c r="I1216" s="1"/>
      <c r="J1216" s="1"/>
    </row>
    <row r="1217" spans="9:10" x14ac:dyDescent="0.25">
      <c r="I1217" s="1"/>
      <c r="J1217" s="1"/>
    </row>
    <row r="1218" spans="9:10" x14ac:dyDescent="0.25">
      <c r="I1218" s="1"/>
      <c r="J1218" s="1"/>
    </row>
    <row r="1219" spans="9:10" x14ac:dyDescent="0.25">
      <c r="I1219" s="1"/>
      <c r="J1219" s="1"/>
    </row>
    <row r="1220" spans="9:10" x14ac:dyDescent="0.25">
      <c r="I1220" s="1"/>
      <c r="J1220" s="1"/>
    </row>
    <row r="1221" spans="9:10" x14ac:dyDescent="0.25">
      <c r="I1221" s="1"/>
      <c r="J1221" s="1"/>
    </row>
    <row r="1222" spans="9:10" x14ac:dyDescent="0.25">
      <c r="I1222" s="1"/>
      <c r="J1222" s="1"/>
    </row>
    <row r="1223" spans="9:10" x14ac:dyDescent="0.25">
      <c r="I1223" s="1"/>
      <c r="J1223" s="1"/>
    </row>
    <row r="1224" spans="9:10" x14ac:dyDescent="0.25">
      <c r="I1224" s="1"/>
      <c r="J1224" s="1"/>
    </row>
    <row r="1225" spans="9:10" x14ac:dyDescent="0.25">
      <c r="I1225" s="1"/>
      <c r="J1225" s="1"/>
    </row>
    <row r="1226" spans="9:10" x14ac:dyDescent="0.25">
      <c r="I1226" s="1"/>
      <c r="J1226" s="1"/>
    </row>
    <row r="1227" spans="9:10" x14ac:dyDescent="0.25">
      <c r="I1227" s="1"/>
      <c r="J1227" s="1"/>
    </row>
    <row r="1228" spans="9:10" x14ac:dyDescent="0.25">
      <c r="I1228" s="1"/>
      <c r="J1228" s="1"/>
    </row>
    <row r="1229" spans="9:10" x14ac:dyDescent="0.25">
      <c r="I1229" s="1"/>
      <c r="J1229" s="1"/>
    </row>
    <row r="1230" spans="9:10" x14ac:dyDescent="0.25">
      <c r="I1230" s="1"/>
      <c r="J1230" s="1"/>
    </row>
    <row r="1231" spans="9:10" x14ac:dyDescent="0.25">
      <c r="I1231" s="1"/>
      <c r="J1231" s="1"/>
    </row>
    <row r="1232" spans="9:10" x14ac:dyDescent="0.25">
      <c r="I1232" s="1"/>
      <c r="J1232" s="1"/>
    </row>
    <row r="1233" spans="9:10" x14ac:dyDescent="0.25">
      <c r="I1233" s="1"/>
      <c r="J1233" s="1"/>
    </row>
    <row r="1234" spans="9:10" x14ac:dyDescent="0.25">
      <c r="I1234" s="1"/>
      <c r="J1234" s="1"/>
    </row>
    <row r="1235" spans="9:10" x14ac:dyDescent="0.25">
      <c r="I1235" s="1"/>
      <c r="J1235" s="1"/>
    </row>
    <row r="1236" spans="9:10" x14ac:dyDescent="0.25">
      <c r="I1236" s="1"/>
      <c r="J1236" s="1"/>
    </row>
    <row r="1237" spans="9:10" x14ac:dyDescent="0.25">
      <c r="I1237" s="1"/>
      <c r="J1237" s="1"/>
    </row>
    <row r="1238" spans="9:10" x14ac:dyDescent="0.25">
      <c r="I1238" s="1"/>
      <c r="J1238" s="1"/>
    </row>
    <row r="1239" spans="9:10" x14ac:dyDescent="0.25">
      <c r="I1239" s="1"/>
      <c r="J1239" s="1"/>
    </row>
    <row r="1240" spans="9:10" x14ac:dyDescent="0.25">
      <c r="I1240" s="1"/>
      <c r="J1240" s="1"/>
    </row>
    <row r="1241" spans="9:10" x14ac:dyDescent="0.25">
      <c r="I1241" s="1"/>
      <c r="J1241" s="1"/>
    </row>
    <row r="1242" spans="9:10" x14ac:dyDescent="0.25">
      <c r="I1242" s="1"/>
      <c r="J1242" s="1"/>
    </row>
    <row r="1243" spans="9:10" x14ac:dyDescent="0.25">
      <c r="I1243" s="1"/>
      <c r="J1243" s="1"/>
    </row>
    <row r="1244" spans="9:10" x14ac:dyDescent="0.25">
      <c r="I1244" s="1"/>
      <c r="J1244" s="1"/>
    </row>
    <row r="1245" spans="9:10" x14ac:dyDescent="0.25">
      <c r="I1245" s="1"/>
      <c r="J1245" s="1"/>
    </row>
    <row r="1246" spans="9:10" x14ac:dyDescent="0.25">
      <c r="I1246" s="1"/>
      <c r="J1246" s="1"/>
    </row>
    <row r="1247" spans="9:10" x14ac:dyDescent="0.25">
      <c r="I1247" s="1"/>
      <c r="J1247" s="1"/>
    </row>
    <row r="1248" spans="9:10" x14ac:dyDescent="0.25">
      <c r="I1248" s="1"/>
      <c r="J1248" s="1"/>
    </row>
    <row r="1249" spans="9:10" x14ac:dyDescent="0.25">
      <c r="I1249" s="1"/>
      <c r="J1249" s="1"/>
    </row>
    <row r="1250" spans="9:10" x14ac:dyDescent="0.25">
      <c r="I1250" s="1"/>
      <c r="J1250" s="1"/>
    </row>
    <row r="1251" spans="9:10" x14ac:dyDescent="0.25">
      <c r="I1251" s="1"/>
      <c r="J1251" s="1"/>
    </row>
    <row r="1252" spans="9:10" x14ac:dyDescent="0.25">
      <c r="I1252" s="1"/>
      <c r="J1252" s="1"/>
    </row>
    <row r="1253" spans="9:10" x14ac:dyDescent="0.25">
      <c r="I1253" s="1"/>
      <c r="J1253" s="1"/>
    </row>
    <row r="1254" spans="9:10" x14ac:dyDescent="0.25">
      <c r="I1254" s="1"/>
      <c r="J1254" s="1"/>
    </row>
    <row r="1255" spans="9:10" x14ac:dyDescent="0.25">
      <c r="I1255" s="1"/>
      <c r="J1255" s="1"/>
    </row>
    <row r="1256" spans="9:10" x14ac:dyDescent="0.25">
      <c r="I1256" s="1"/>
      <c r="J1256" s="1"/>
    </row>
    <row r="1257" spans="9:10" x14ac:dyDescent="0.25">
      <c r="I1257" s="1"/>
      <c r="J1257" s="1"/>
    </row>
    <row r="1258" spans="9:10" x14ac:dyDescent="0.25">
      <c r="I1258" s="1"/>
      <c r="J1258" s="1"/>
    </row>
    <row r="1259" spans="9:10" x14ac:dyDescent="0.25">
      <c r="I1259" s="1"/>
      <c r="J1259" s="1"/>
    </row>
    <row r="1260" spans="9:10" x14ac:dyDescent="0.25">
      <c r="I1260" s="1"/>
      <c r="J1260" s="1"/>
    </row>
    <row r="1261" spans="9:10" x14ac:dyDescent="0.25">
      <c r="I1261" s="1"/>
      <c r="J1261" s="1"/>
    </row>
    <row r="1262" spans="9:10" x14ac:dyDescent="0.25">
      <c r="I1262" s="1"/>
      <c r="J1262" s="1"/>
    </row>
    <row r="1263" spans="9:10" x14ac:dyDescent="0.25">
      <c r="I1263" s="1"/>
      <c r="J1263" s="1"/>
    </row>
    <row r="1264" spans="9:10" x14ac:dyDescent="0.25">
      <c r="I1264" s="1"/>
      <c r="J1264" s="1"/>
    </row>
    <row r="1265" spans="9:10" x14ac:dyDescent="0.25">
      <c r="I1265" s="1"/>
      <c r="J1265" s="1"/>
    </row>
    <row r="1266" spans="9:10" x14ac:dyDescent="0.25">
      <c r="I1266" s="1"/>
      <c r="J1266" s="1"/>
    </row>
    <row r="1267" spans="9:10" x14ac:dyDescent="0.25">
      <c r="I1267" s="1"/>
      <c r="J1267" s="1"/>
    </row>
    <row r="1268" spans="9:10" x14ac:dyDescent="0.25">
      <c r="I1268" s="1"/>
      <c r="J1268" s="1"/>
    </row>
    <row r="1269" spans="9:10" x14ac:dyDescent="0.25">
      <c r="I1269" s="1"/>
      <c r="J1269" s="1"/>
    </row>
    <row r="1270" spans="9:10" x14ac:dyDescent="0.25">
      <c r="I1270" s="1"/>
      <c r="J1270" s="1"/>
    </row>
    <row r="1271" spans="9:10" x14ac:dyDescent="0.25">
      <c r="I1271" s="1"/>
      <c r="J1271" s="1"/>
    </row>
    <row r="1272" spans="9:10" x14ac:dyDescent="0.25">
      <c r="I1272" s="1"/>
      <c r="J1272" s="1"/>
    </row>
    <row r="1273" spans="9:10" x14ac:dyDescent="0.25">
      <c r="I1273" s="1"/>
      <c r="J1273" s="1"/>
    </row>
    <row r="1274" spans="9:10" x14ac:dyDescent="0.25">
      <c r="I1274" s="1"/>
      <c r="J1274" s="1"/>
    </row>
    <row r="1275" spans="9:10" x14ac:dyDescent="0.25">
      <c r="I1275" s="1"/>
      <c r="J1275" s="1"/>
    </row>
    <row r="1276" spans="9:10" x14ac:dyDescent="0.25">
      <c r="I1276" s="1"/>
      <c r="J1276" s="1"/>
    </row>
    <row r="1277" spans="9:10" x14ac:dyDescent="0.25">
      <c r="I1277" s="1"/>
      <c r="J1277" s="1"/>
    </row>
    <row r="1278" spans="9:10" x14ac:dyDescent="0.25">
      <c r="I1278" s="1"/>
      <c r="J1278" s="1"/>
    </row>
    <row r="1279" spans="9:10" x14ac:dyDescent="0.25">
      <c r="I1279" s="1"/>
      <c r="J1279" s="1"/>
    </row>
    <row r="1280" spans="9:10" x14ac:dyDescent="0.25">
      <c r="I1280" s="1"/>
      <c r="J1280" s="1"/>
    </row>
    <row r="1281" spans="9:10" x14ac:dyDescent="0.25">
      <c r="I1281" s="1"/>
      <c r="J1281" s="1"/>
    </row>
    <row r="1282" spans="9:10" x14ac:dyDescent="0.25">
      <c r="I1282" s="1"/>
      <c r="J1282" s="1"/>
    </row>
    <row r="1283" spans="9:10" x14ac:dyDescent="0.25">
      <c r="I1283" s="1"/>
      <c r="J1283" s="1"/>
    </row>
    <row r="1284" spans="9:10" x14ac:dyDescent="0.25">
      <c r="I1284" s="1"/>
      <c r="J1284" s="1"/>
    </row>
    <row r="1285" spans="9:10" x14ac:dyDescent="0.25">
      <c r="I1285" s="1"/>
      <c r="J1285" s="1"/>
    </row>
    <row r="1286" spans="9:10" x14ac:dyDescent="0.25">
      <c r="I1286" s="1"/>
      <c r="J1286" s="1"/>
    </row>
    <row r="1287" spans="9:10" x14ac:dyDescent="0.25">
      <c r="I1287" s="1"/>
      <c r="J1287" s="1"/>
    </row>
    <row r="1288" spans="9:10" x14ac:dyDescent="0.25">
      <c r="I1288" s="1"/>
      <c r="J1288" s="1"/>
    </row>
    <row r="1289" spans="9:10" x14ac:dyDescent="0.25">
      <c r="I1289" s="1"/>
      <c r="J1289" s="1"/>
    </row>
    <row r="1290" spans="9:10" x14ac:dyDescent="0.25">
      <c r="I1290" s="1"/>
      <c r="J1290" s="1"/>
    </row>
    <row r="1291" spans="9:10" x14ac:dyDescent="0.25">
      <c r="I1291" s="1"/>
      <c r="J1291" s="1"/>
    </row>
    <row r="1292" spans="9:10" x14ac:dyDescent="0.25">
      <c r="I1292" s="1"/>
      <c r="J1292" s="1"/>
    </row>
    <row r="1293" spans="9:10" x14ac:dyDescent="0.25">
      <c r="I1293" s="1"/>
      <c r="J1293" s="1"/>
    </row>
    <row r="1294" spans="9:10" x14ac:dyDescent="0.25">
      <c r="I1294" s="1"/>
      <c r="J1294" s="1"/>
    </row>
    <row r="1295" spans="9:10" x14ac:dyDescent="0.25">
      <c r="I1295" s="1"/>
      <c r="J1295" s="1"/>
    </row>
    <row r="1296" spans="9:10" x14ac:dyDescent="0.25">
      <c r="I1296" s="1"/>
      <c r="J1296" s="1"/>
    </row>
    <row r="1297" spans="9:10" x14ac:dyDescent="0.25">
      <c r="I1297" s="1"/>
      <c r="J1297" s="1"/>
    </row>
    <row r="1298" spans="9:10" x14ac:dyDescent="0.25">
      <c r="I1298" s="1"/>
      <c r="J1298" s="1"/>
    </row>
    <row r="1299" spans="9:10" x14ac:dyDescent="0.25">
      <c r="I1299" s="1"/>
      <c r="J1299" s="1"/>
    </row>
    <row r="1300" spans="9:10" x14ac:dyDescent="0.25">
      <c r="I1300" s="1"/>
      <c r="J1300" s="1"/>
    </row>
    <row r="1301" spans="9:10" x14ac:dyDescent="0.25">
      <c r="I1301" s="1"/>
      <c r="J1301" s="1"/>
    </row>
    <row r="1302" spans="9:10" x14ac:dyDescent="0.25">
      <c r="I1302" s="1"/>
      <c r="J1302" s="1"/>
    </row>
    <row r="1303" spans="9:10" x14ac:dyDescent="0.25">
      <c r="I1303" s="1"/>
      <c r="J1303" s="1"/>
    </row>
    <row r="1304" spans="9:10" x14ac:dyDescent="0.25">
      <c r="I1304" s="1"/>
      <c r="J1304" s="1"/>
    </row>
    <row r="1305" spans="9:10" x14ac:dyDescent="0.25">
      <c r="I1305" s="1"/>
      <c r="J1305" s="1"/>
    </row>
    <row r="1306" spans="9:10" x14ac:dyDescent="0.25">
      <c r="I1306" s="1"/>
      <c r="J1306" s="1"/>
    </row>
    <row r="1307" spans="9:10" x14ac:dyDescent="0.25">
      <c r="I1307" s="1"/>
      <c r="J1307" s="1"/>
    </row>
    <row r="1308" spans="9:10" x14ac:dyDescent="0.25">
      <c r="I1308" s="1"/>
      <c r="J1308" s="1"/>
    </row>
    <row r="1309" spans="9:10" x14ac:dyDescent="0.25">
      <c r="I1309" s="1"/>
      <c r="J1309" s="1"/>
    </row>
    <row r="1310" spans="9:10" x14ac:dyDescent="0.25">
      <c r="I1310" s="1"/>
      <c r="J1310" s="1"/>
    </row>
    <row r="1311" spans="9:10" x14ac:dyDescent="0.25">
      <c r="I1311" s="1"/>
      <c r="J1311" s="1"/>
    </row>
    <row r="1312" spans="9:10" x14ac:dyDescent="0.25">
      <c r="I1312" s="1"/>
      <c r="J1312" s="1"/>
    </row>
    <row r="1313" spans="9:10" x14ac:dyDescent="0.25">
      <c r="I1313" s="1"/>
      <c r="J1313" s="1"/>
    </row>
    <row r="1314" spans="9:10" x14ac:dyDescent="0.25">
      <c r="I1314" s="1"/>
      <c r="J1314" s="1"/>
    </row>
    <row r="1315" spans="9:10" x14ac:dyDescent="0.25">
      <c r="I1315" s="1"/>
      <c r="J1315" s="1"/>
    </row>
    <row r="1316" spans="9:10" x14ac:dyDescent="0.25">
      <c r="I1316" s="1"/>
      <c r="J1316" s="1"/>
    </row>
    <row r="1317" spans="9:10" x14ac:dyDescent="0.25">
      <c r="I1317" s="1"/>
      <c r="J1317" s="1"/>
    </row>
    <row r="1318" spans="9:10" x14ac:dyDescent="0.25">
      <c r="I1318" s="1"/>
      <c r="J1318" s="1"/>
    </row>
    <row r="1319" spans="9:10" x14ac:dyDescent="0.25">
      <c r="I1319" s="1"/>
      <c r="J1319" s="1"/>
    </row>
    <row r="1320" spans="9:10" x14ac:dyDescent="0.25">
      <c r="I1320" s="1"/>
      <c r="J1320" s="1"/>
    </row>
    <row r="1321" spans="9:10" x14ac:dyDescent="0.25">
      <c r="I1321" s="1"/>
      <c r="J1321" s="1"/>
    </row>
    <row r="1322" spans="9:10" x14ac:dyDescent="0.25">
      <c r="I1322" s="1"/>
      <c r="J1322" s="1"/>
    </row>
    <row r="1323" spans="9:10" x14ac:dyDescent="0.25">
      <c r="I1323" s="1"/>
      <c r="J1323" s="1"/>
    </row>
    <row r="1324" spans="9:10" x14ac:dyDescent="0.25">
      <c r="I1324" s="1"/>
      <c r="J1324" s="1"/>
    </row>
    <row r="1325" spans="9:10" x14ac:dyDescent="0.25">
      <c r="I1325" s="1"/>
      <c r="J1325" s="1"/>
    </row>
    <row r="1326" spans="9:10" x14ac:dyDescent="0.25">
      <c r="I1326" s="1"/>
      <c r="J1326" s="1"/>
    </row>
    <row r="1327" spans="9:10" x14ac:dyDescent="0.25">
      <c r="I1327" s="1"/>
      <c r="J1327" s="1"/>
    </row>
    <row r="1328" spans="9:10" x14ac:dyDescent="0.25">
      <c r="I1328" s="1"/>
      <c r="J1328" s="1"/>
    </row>
    <row r="1329" spans="9:10" x14ac:dyDescent="0.25">
      <c r="I1329" s="1"/>
      <c r="J1329" s="1"/>
    </row>
    <row r="1330" spans="9:10" x14ac:dyDescent="0.25">
      <c r="I1330" s="1"/>
      <c r="J1330" s="1"/>
    </row>
    <row r="1331" spans="9:10" x14ac:dyDescent="0.25">
      <c r="I1331" s="1"/>
      <c r="J1331" s="1"/>
    </row>
    <row r="1332" spans="9:10" x14ac:dyDescent="0.25">
      <c r="I1332" s="1"/>
      <c r="J1332" s="1"/>
    </row>
    <row r="1333" spans="9:10" x14ac:dyDescent="0.25">
      <c r="I1333" s="1"/>
      <c r="J1333" s="1"/>
    </row>
    <row r="1334" spans="9:10" x14ac:dyDescent="0.25">
      <c r="I1334" s="1"/>
      <c r="J1334" s="1"/>
    </row>
    <row r="1335" spans="9:10" x14ac:dyDescent="0.25">
      <c r="I1335" s="1"/>
      <c r="J1335" s="1"/>
    </row>
    <row r="1336" spans="9:10" x14ac:dyDescent="0.25">
      <c r="I1336" s="1"/>
      <c r="J1336" s="1"/>
    </row>
    <row r="1337" spans="9:10" x14ac:dyDescent="0.25">
      <c r="I1337" s="1"/>
      <c r="J1337" s="1"/>
    </row>
    <row r="1338" spans="9:10" x14ac:dyDescent="0.25">
      <c r="I1338" s="1"/>
      <c r="J1338" s="1"/>
    </row>
    <row r="1339" spans="9:10" x14ac:dyDescent="0.25">
      <c r="I1339" s="1"/>
      <c r="J1339" s="1"/>
    </row>
    <row r="1340" spans="9:10" x14ac:dyDescent="0.25">
      <c r="I1340" s="1"/>
      <c r="J1340" s="1"/>
    </row>
    <row r="1341" spans="9:10" x14ac:dyDescent="0.25">
      <c r="I1341" s="1"/>
      <c r="J1341" s="1"/>
    </row>
    <row r="1342" spans="9:10" x14ac:dyDescent="0.25">
      <c r="I1342" s="1"/>
      <c r="J1342" s="1"/>
    </row>
    <row r="1343" spans="9:10" x14ac:dyDescent="0.25">
      <c r="I1343" s="1"/>
      <c r="J1343" s="1"/>
    </row>
    <row r="1344" spans="9:10" x14ac:dyDescent="0.25">
      <c r="I1344" s="1"/>
      <c r="J1344" s="1"/>
    </row>
    <row r="1345" spans="9:10" x14ac:dyDescent="0.25">
      <c r="I1345" s="1"/>
      <c r="J1345" s="1"/>
    </row>
    <row r="1346" spans="9:10" x14ac:dyDescent="0.25">
      <c r="I1346" s="1"/>
      <c r="J1346" s="1"/>
    </row>
    <row r="1347" spans="9:10" x14ac:dyDescent="0.25">
      <c r="I1347" s="1"/>
      <c r="J1347" s="1"/>
    </row>
    <row r="1348" spans="9:10" x14ac:dyDescent="0.25">
      <c r="I1348" s="1"/>
      <c r="J1348" s="1"/>
    </row>
    <row r="1349" spans="9:10" x14ac:dyDescent="0.25">
      <c r="I1349" s="1"/>
      <c r="J1349" s="1"/>
    </row>
    <row r="1350" spans="9:10" x14ac:dyDescent="0.25">
      <c r="I1350" s="1"/>
      <c r="J1350" s="1"/>
    </row>
    <row r="1351" spans="9:10" x14ac:dyDescent="0.25">
      <c r="I1351" s="1"/>
      <c r="J1351" s="1"/>
    </row>
    <row r="1352" spans="9:10" x14ac:dyDescent="0.25">
      <c r="I1352" s="1"/>
      <c r="J1352" s="1"/>
    </row>
    <row r="1353" spans="9:10" x14ac:dyDescent="0.25">
      <c r="I1353" s="1"/>
      <c r="J1353" s="1"/>
    </row>
    <row r="1354" spans="9:10" x14ac:dyDescent="0.25">
      <c r="I1354" s="1"/>
      <c r="J1354" s="1"/>
    </row>
    <row r="1355" spans="9:10" x14ac:dyDescent="0.25">
      <c r="I1355" s="1"/>
      <c r="J1355" s="1"/>
    </row>
    <row r="1356" spans="9:10" x14ac:dyDescent="0.25">
      <c r="I1356" s="1"/>
      <c r="J1356" s="1"/>
    </row>
    <row r="1357" spans="9:10" x14ac:dyDescent="0.25">
      <c r="I1357" s="1"/>
      <c r="J1357" s="1"/>
    </row>
    <row r="1358" spans="9:10" x14ac:dyDescent="0.25">
      <c r="I1358" s="1"/>
      <c r="J1358" s="1"/>
    </row>
    <row r="1359" spans="9:10" x14ac:dyDescent="0.25">
      <c r="I1359" s="1"/>
      <c r="J1359" s="1"/>
    </row>
    <row r="1360" spans="9:10" x14ac:dyDescent="0.25">
      <c r="I1360" s="1"/>
      <c r="J1360" s="1"/>
    </row>
    <row r="1361" spans="9:10" x14ac:dyDescent="0.25">
      <c r="I1361" s="1"/>
      <c r="J1361" s="1"/>
    </row>
    <row r="1362" spans="9:10" x14ac:dyDescent="0.25">
      <c r="I1362" s="1"/>
      <c r="J1362" s="1"/>
    </row>
    <row r="1363" spans="9:10" x14ac:dyDescent="0.25">
      <c r="I1363" s="1"/>
      <c r="J1363" s="1"/>
    </row>
    <row r="1364" spans="9:10" x14ac:dyDescent="0.25">
      <c r="I1364" s="1"/>
      <c r="J1364" s="1"/>
    </row>
    <row r="1365" spans="9:10" x14ac:dyDescent="0.25">
      <c r="I1365" s="1"/>
      <c r="J1365" s="1"/>
    </row>
    <row r="1366" spans="9:10" x14ac:dyDescent="0.25">
      <c r="I1366" s="1"/>
      <c r="J1366" s="1"/>
    </row>
    <row r="1367" spans="9:10" x14ac:dyDescent="0.25">
      <c r="I1367" s="1"/>
      <c r="J1367" s="1"/>
    </row>
    <row r="1368" spans="9:10" x14ac:dyDescent="0.25">
      <c r="I1368" s="1"/>
      <c r="J1368" s="1"/>
    </row>
    <row r="1369" spans="9:10" x14ac:dyDescent="0.25">
      <c r="I1369" s="1"/>
      <c r="J1369" s="1"/>
    </row>
    <row r="1370" spans="9:10" x14ac:dyDescent="0.25">
      <c r="I1370" s="1"/>
      <c r="J1370" s="1"/>
    </row>
    <row r="1371" spans="9:10" x14ac:dyDescent="0.25">
      <c r="I1371" s="1"/>
      <c r="J1371" s="1"/>
    </row>
    <row r="1372" spans="9:10" x14ac:dyDescent="0.25">
      <c r="I1372" s="1"/>
      <c r="J1372" s="1"/>
    </row>
    <row r="1373" spans="9:10" x14ac:dyDescent="0.25">
      <c r="I1373" s="1"/>
      <c r="J1373" s="1"/>
    </row>
    <row r="1374" spans="9:10" x14ac:dyDescent="0.25">
      <c r="I1374" s="1"/>
      <c r="J1374" s="1"/>
    </row>
    <row r="1375" spans="9:10" x14ac:dyDescent="0.25">
      <c r="I1375" s="1"/>
      <c r="J1375" s="1"/>
    </row>
    <row r="1376" spans="9:10" x14ac:dyDescent="0.25">
      <c r="I1376" s="1"/>
      <c r="J1376" s="1"/>
    </row>
    <row r="1377" spans="9:10" x14ac:dyDescent="0.25">
      <c r="I1377" s="1"/>
      <c r="J1377" s="1"/>
    </row>
    <row r="1378" spans="9:10" x14ac:dyDescent="0.25">
      <c r="I1378" s="1"/>
      <c r="J1378" s="1"/>
    </row>
    <row r="1379" spans="9:10" x14ac:dyDescent="0.25">
      <c r="I1379" s="1"/>
      <c r="J1379" s="1"/>
    </row>
    <row r="1380" spans="9:10" x14ac:dyDescent="0.25">
      <c r="I1380" s="1"/>
      <c r="J1380" s="1"/>
    </row>
    <row r="1381" spans="9:10" x14ac:dyDescent="0.25">
      <c r="I1381" s="1"/>
      <c r="J1381" s="1"/>
    </row>
    <row r="1382" spans="9:10" x14ac:dyDescent="0.25">
      <c r="I1382" s="1"/>
      <c r="J1382" s="1"/>
    </row>
    <row r="1383" spans="9:10" x14ac:dyDescent="0.25">
      <c r="I1383" s="1"/>
      <c r="J1383" s="1"/>
    </row>
    <row r="1384" spans="9:10" x14ac:dyDescent="0.25">
      <c r="I1384" s="1"/>
      <c r="J1384" s="1"/>
    </row>
    <row r="1385" spans="9:10" x14ac:dyDescent="0.25">
      <c r="I1385" s="1"/>
      <c r="J1385" s="1"/>
    </row>
    <row r="1386" spans="9:10" x14ac:dyDescent="0.25">
      <c r="I1386" s="1"/>
      <c r="J1386" s="1"/>
    </row>
    <row r="1387" spans="9:10" x14ac:dyDescent="0.25">
      <c r="I1387" s="1"/>
      <c r="J1387" s="1"/>
    </row>
  </sheetData>
  <sortState xmlns:xlrd2="http://schemas.microsoft.com/office/spreadsheetml/2017/richdata2" ref="A2:AB108">
    <sortCondition ref="P2:P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2026-02-27T08:16:34Z</dcterms:created>
  <dcterms:modified xsi:type="dcterms:W3CDTF">2026-02-27T15:16:19Z</dcterms:modified>
</cp:coreProperties>
</file>