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3-3-26\"/>
    </mc:Choice>
  </mc:AlternateContent>
  <xr:revisionPtr revIDLastSave="0" documentId="13_ncr:1_{C659B7BF-29B3-41B1-86F0-59BBFCB25948}" xr6:coauthVersionLast="47" xr6:coauthVersionMax="47" xr10:uidLastSave="{00000000-0000-0000-0000-000000000000}"/>
  <bookViews>
    <workbookView xWindow="-120" yWindow="-120" windowWidth="29040" windowHeight="16440" activeTab="1" xr2:uid="{AC102E78-02AF-4E4F-9DC3-B1B69E8D3CD1}"/>
  </bookViews>
  <sheets>
    <sheet name="Main Line Benefits LLC_med_comm" sheetId="1" r:id="rId1"/>
    <sheet name="Sheet2" sheetId="3" r:id="rId2"/>
  </sheets>
  <calcPr calcId="18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2" i="3"/>
  <c r="B8" i="3" l="1"/>
  <c r="B7" i="3"/>
  <c r="B6" i="3"/>
  <c r="B5" i="3"/>
  <c r="B4" i="3"/>
  <c r="B3" i="3"/>
  <c r="B19" i="3"/>
  <c r="B18" i="3"/>
  <c r="B17" i="3"/>
  <c r="B16" i="3"/>
  <c r="B15" i="3"/>
  <c r="B14" i="3"/>
  <c r="B13" i="3"/>
  <c r="B12" i="3"/>
  <c r="B11" i="3"/>
  <c r="B10" i="3"/>
  <c r="B9" i="3"/>
  <c r="B2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U16" i="3"/>
  <c r="T16" i="3"/>
  <c r="T29" i="3"/>
  <c r="T14" i="3"/>
</calcChain>
</file>

<file path=xl/sharedStrings.xml><?xml version="1.0" encoding="utf-8"?>
<sst xmlns="http://schemas.openxmlformats.org/spreadsheetml/2006/main" count="625" uniqueCount="139">
  <si>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</si>
  <si>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</si>
  <si>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</si>
  <si>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</si>
  <si>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</si>
  <si>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</si>
  <si>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</si>
  <si>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</si>
  <si>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</si>
  <si>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</si>
  <si>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</si>
  <si>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</si>
  <si>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</si>
  <si>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</si>
  <si>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</si>
  <si>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</si>
  <si>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</si>
  <si>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</si>
  <si>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</si>
  <si>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</si>
  <si>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</si>
  <si>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</si>
  <si>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</si>
  <si>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</si>
  <si>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3P73KM6RK93</t>
  </si>
  <si>
    <t>NG101580286400</t>
  </si>
  <si>
    <t>BENTLEY J,PHYLLIS</t>
  </si>
  <si>
    <t>PA</t>
  </si>
  <si>
    <t>Exception</t>
  </si>
  <si>
    <t>MA</t>
  </si>
  <si>
    <t>IMM608</t>
  </si>
  <si>
    <t>H3959-041</t>
  </si>
  <si>
    <t>LOA</t>
  </si>
  <si>
    <t>Powers, Timothy</t>
  </si>
  <si>
    <t>MMO</t>
  </si>
  <si>
    <t>Main Line Benefits LLC</t>
  </si>
  <si>
    <t xml:space="preserve">N  </t>
  </si>
  <si>
    <t>Involuntarily Rapid Disenroll</t>
  </si>
  <si>
    <t>MAPD</t>
  </si>
  <si>
    <t>H5522-005</t>
  </si>
  <si>
    <t>1VT3VA3JD95</t>
  </si>
  <si>
    <t>NG102205311400</t>
  </si>
  <si>
    <t>CONNER R,ANNA</t>
  </si>
  <si>
    <t>IL</t>
  </si>
  <si>
    <t>Involuntary Pro-Rata Payment</t>
  </si>
  <si>
    <t>IMM619</t>
  </si>
  <si>
    <t>H7301-009</t>
  </si>
  <si>
    <t>Deaton, Pamela</t>
  </si>
  <si>
    <t>9CE0Y20JA02</t>
  </si>
  <si>
    <t>NG102266145500</t>
  </si>
  <si>
    <t>DEVOS L,GARY</t>
  </si>
  <si>
    <t>OH</t>
  </si>
  <si>
    <t>New Business</t>
  </si>
  <si>
    <t>IMM617</t>
  </si>
  <si>
    <t>H0628-005</t>
  </si>
  <si>
    <t>Shepard, Jill</t>
  </si>
  <si>
    <t>8C91X99YH14</t>
  </si>
  <si>
    <t>NG102266469400</t>
  </si>
  <si>
    <t>GRAYSON A,DONNA</t>
  </si>
  <si>
    <t>H1608-029</t>
  </si>
  <si>
    <t>1UQ6WC9YF74</t>
  </si>
  <si>
    <t>NG102266484400</t>
  </si>
  <si>
    <t>GRAYSON T,EDWARD</t>
  </si>
  <si>
    <t>9CR3X01AR75</t>
  </si>
  <si>
    <t>NG102266103000</t>
  </si>
  <si>
    <t>HILLIARD,LOUIS</t>
  </si>
  <si>
    <t>H3959-036</t>
  </si>
  <si>
    <t>9HA9GR9AY00</t>
  </si>
  <si>
    <t>NG102044738100</t>
  </si>
  <si>
    <t>HOEPPNER B,SUSAN</t>
  </si>
  <si>
    <t>TN</t>
  </si>
  <si>
    <t>IMM609</t>
  </si>
  <si>
    <t>H5521-254</t>
  </si>
  <si>
    <t>Teipel, Gregory</t>
  </si>
  <si>
    <t>GMO</t>
  </si>
  <si>
    <t>Renewal</t>
  </si>
  <si>
    <t>7DK3TK0JJ74</t>
  </si>
  <si>
    <t>NG101819351300</t>
  </si>
  <si>
    <t>MARQUEZ,SONIA</t>
  </si>
  <si>
    <t>Voluntarily Rapid Disenroll</t>
  </si>
  <si>
    <t>IMM606</t>
  </si>
  <si>
    <t>H7301-033</t>
  </si>
  <si>
    <t>THANADABOUTH, PATSAMON</t>
  </si>
  <si>
    <t>7RD9AT9QF15</t>
  </si>
  <si>
    <t>MEQNPDZM00005502643</t>
  </si>
  <si>
    <t>MOORE,SANDRA</t>
  </si>
  <si>
    <t>H9771-001</t>
  </si>
  <si>
    <t>Portugal, Gary</t>
  </si>
  <si>
    <t>5JA7QA6YF43</t>
  </si>
  <si>
    <t>NG101061083700</t>
  </si>
  <si>
    <t>THOMAS E,JAMES</t>
  </si>
  <si>
    <t>H3959-002</t>
  </si>
  <si>
    <t>Inskipt, Deborah</t>
  </si>
  <si>
    <t>8WR5R65HT75</t>
  </si>
  <si>
    <t>NG102266066700</t>
  </si>
  <si>
    <t>TURNER A,YVETTE</t>
  </si>
  <si>
    <t>H5521-016</t>
  </si>
  <si>
    <t>6Y76TD4HP77</t>
  </si>
  <si>
    <t>NG102266469300</t>
  </si>
  <si>
    <t>VAUGHAN P,LAWRENCE</t>
  </si>
  <si>
    <t>MO</t>
  </si>
  <si>
    <t>H2663-041</t>
  </si>
  <si>
    <t>Total Payee Amount: $1364.23</t>
  </si>
  <si>
    <t>Main Line Benefits</t>
  </si>
  <si>
    <t>Aetna MAPD 2026*</t>
  </si>
  <si>
    <t>Aetna MAPD OVR 2026</t>
  </si>
  <si>
    <t>[%/$=347][prorate=12/12]</t>
  </si>
  <si>
    <t>[%/$=347][prorate=2/12]</t>
  </si>
  <si>
    <t>Aetna 2026 CT, PA, DC *</t>
  </si>
  <si>
    <t>[%/$=391][prorate=12/12]</t>
  </si>
  <si>
    <t>[%/$=358][prorate=1/12]</t>
  </si>
  <si>
    <t>Aetna MAPD 2025*</t>
  </si>
  <si>
    <t>[%/$=347][prorate=1/12]</t>
  </si>
  <si>
    <t>[%/$=347][prorate=9/12]</t>
  </si>
  <si>
    <t>[%/$=347][prorate=10/12]</t>
  </si>
  <si>
    <t>17528908N</t>
  </si>
  <si>
    <t>THOMAS</t>
  </si>
  <si>
    <t>JAMES</t>
  </si>
  <si>
    <t>HOEPPNER</t>
  </si>
  <si>
    <t>SUSAN</t>
  </si>
  <si>
    <t>CONNER</t>
  </si>
  <si>
    <t>ANNA</t>
  </si>
  <si>
    <t>MARQUEZ</t>
  </si>
  <si>
    <t>SONIA</t>
  </si>
  <si>
    <t>DEVOS</t>
  </si>
  <si>
    <t>GARY</t>
  </si>
  <si>
    <t>TURNER</t>
  </si>
  <si>
    <t>YVETTE</t>
  </si>
  <si>
    <t>GRAYSON</t>
  </si>
  <si>
    <t>DONNA</t>
  </si>
  <si>
    <t>EDWARD</t>
  </si>
  <si>
    <t>VAUGHAN</t>
  </si>
  <si>
    <t>LAWRENCE</t>
  </si>
  <si>
    <t>MOORE</t>
  </si>
  <si>
    <t>SANDRA</t>
  </si>
  <si>
    <t>BENTLEY</t>
  </si>
  <si>
    <t>PHYLLIS</t>
  </si>
  <si>
    <t>HILLIARD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</si>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</sst>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863E-912F-4D0F-8F86-1D8815458CD4}">
  <dimension ref="A1:X25"/>
  <sheetViews>
    <sheetView workbookViewId="0">
      <selection activeCell="D4" sqref="A4:XFD4"/>
    </sheetView>
  </sheetViews>
  <sheetFormatPr defaultRowHeight="15" x14ac:dyDescent="0.25"/>
  <cols>
    <col min="1" max="1" width="25.5703125" bestFit="1" customWidth="1"/>
    <col min="2" max="2" width="15.5703125" bestFit="1" customWidth="1"/>
    <col min="3" max="3" width="22.140625" bestFit="1" customWidth="1"/>
    <col min="4" max="4" width="15.7109375" bestFit="1" customWidth="1"/>
    <col min="5" max="5" width="21.140625" bestFit="1" customWidth="1"/>
    <col min="6" max="6" width="12.140625" bestFit="1" customWidth="1"/>
    <col min="7" max="7" width="24.7109375" bestFit="1" customWidth="1"/>
    <col min="8" max="9" width="7.28515625" bestFit="1" customWidth="1"/>
    <col min="10" max="10" width="10" bestFit="1" customWidth="1"/>
    <col min="11" max="11" width="21.7109375" bestFit="1" customWidth="1"/>
    <col min="12" max="12" width="14.28515625" bestFit="1" customWidth="1"/>
    <col min="13" max="13" width="12" bestFit="1" customWidth="1"/>
    <col min="14" max="14" width="9.28515625" bestFit="1" customWidth="1"/>
    <col min="15" max="15" width="15.7109375" bestFit="1" customWidth="1"/>
    <col min="16" max="16" width="16.140625" bestFit="1" customWidth="1"/>
    <col min="17" max="17" width="25.7109375" bestFit="1" customWidth="1"/>
    <col min="18" max="18" width="7.85546875" bestFit="1" customWidth="1"/>
    <col min="19" max="19" width="10.28515625" bestFit="1" customWidth="1"/>
    <col min="20" max="20" width="19" bestFit="1" customWidth="1"/>
    <col min="21" max="21" width="12.42578125" bestFit="1" customWidth="1"/>
    <col min="22" max="22" width="8.7109375" bestFit="1" customWidth="1"/>
    <col min="23" max="23" width="12.42578125" bestFit="1" customWidth="1"/>
    <col min="24" max="24" width="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46084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65</v>
      </c>
      <c r="V2" t="s">
        <v>36</v>
      </c>
      <c r="W2" s="1">
        <v>45965</v>
      </c>
      <c r="X2">
        <v>2026</v>
      </c>
    </row>
    <row r="3" spans="1:24" x14ac:dyDescent="0.25">
      <c r="A3" s="1">
        <v>46084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38</v>
      </c>
      <c r="I3" t="s">
        <v>30</v>
      </c>
      <c r="J3" t="s">
        <v>39</v>
      </c>
      <c r="L3" s="1">
        <v>46054</v>
      </c>
      <c r="M3" s="1">
        <v>46054</v>
      </c>
      <c r="N3" s="1">
        <v>46054</v>
      </c>
      <c r="O3">
        <v>17886092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-59.59</v>
      </c>
      <c r="V3" t="s">
        <v>36</v>
      </c>
      <c r="W3" s="1">
        <v>45965</v>
      </c>
      <c r="X3">
        <v>2026</v>
      </c>
    </row>
    <row r="4" spans="1:24" x14ac:dyDescent="0.25">
      <c r="A4" s="1">
        <v>46084</v>
      </c>
      <c r="B4" t="s">
        <v>40</v>
      </c>
      <c r="C4" t="s">
        <v>41</v>
      </c>
      <c r="E4" t="s">
        <v>42</v>
      </c>
      <c r="F4" t="s">
        <v>43</v>
      </c>
      <c r="G4" t="s">
        <v>44</v>
      </c>
      <c r="H4" t="s">
        <v>38</v>
      </c>
      <c r="I4" t="s">
        <v>45</v>
      </c>
      <c r="J4" t="s">
        <v>46</v>
      </c>
      <c r="L4" s="1">
        <v>46023</v>
      </c>
      <c r="M4" s="1">
        <v>46023</v>
      </c>
      <c r="N4" s="1">
        <v>46081</v>
      </c>
      <c r="O4">
        <v>8244481</v>
      </c>
      <c r="P4" t="s">
        <v>32</v>
      </c>
      <c r="Q4" t="s">
        <v>47</v>
      </c>
      <c r="R4">
        <v>8192</v>
      </c>
      <c r="S4" t="s">
        <v>34</v>
      </c>
      <c r="T4" t="s">
        <v>35</v>
      </c>
      <c r="U4">
        <v>80.33</v>
      </c>
      <c r="V4" t="s">
        <v>36</v>
      </c>
      <c r="W4" s="1">
        <v>45951</v>
      </c>
      <c r="X4">
        <v>2026</v>
      </c>
    </row>
    <row r="5" spans="1:24" x14ac:dyDescent="0.25">
      <c r="A5" s="1">
        <v>46084</v>
      </c>
      <c r="B5" t="s">
        <v>40</v>
      </c>
      <c r="C5" t="s">
        <v>41</v>
      </c>
      <c r="E5" t="s">
        <v>42</v>
      </c>
      <c r="F5" t="s">
        <v>43</v>
      </c>
      <c r="G5" t="s">
        <v>37</v>
      </c>
      <c r="H5" t="s">
        <v>38</v>
      </c>
      <c r="I5" t="s">
        <v>45</v>
      </c>
      <c r="J5" t="s">
        <v>46</v>
      </c>
      <c r="L5" s="1">
        <v>46023</v>
      </c>
      <c r="M5" s="1">
        <v>46023</v>
      </c>
      <c r="N5" s="1">
        <v>46081</v>
      </c>
      <c r="O5">
        <v>8244481</v>
      </c>
      <c r="P5" t="s">
        <v>32</v>
      </c>
      <c r="Q5" t="s">
        <v>47</v>
      </c>
      <c r="R5">
        <v>8192</v>
      </c>
      <c r="S5" t="s">
        <v>34</v>
      </c>
      <c r="T5" t="s">
        <v>35</v>
      </c>
      <c r="U5">
        <v>-482</v>
      </c>
      <c r="V5" t="s">
        <v>36</v>
      </c>
      <c r="W5" s="1">
        <v>45951</v>
      </c>
      <c r="X5">
        <v>2026</v>
      </c>
    </row>
    <row r="6" spans="1:24" x14ac:dyDescent="0.25">
      <c r="A6" s="1">
        <v>46084</v>
      </c>
      <c r="B6" t="s">
        <v>48</v>
      </c>
      <c r="C6" t="s">
        <v>49</v>
      </c>
      <c r="E6" t="s">
        <v>50</v>
      </c>
      <c r="F6" t="s">
        <v>51</v>
      </c>
      <c r="G6" t="s">
        <v>52</v>
      </c>
      <c r="H6" t="s">
        <v>38</v>
      </c>
      <c r="I6" t="s">
        <v>53</v>
      </c>
      <c r="J6" t="s">
        <v>54</v>
      </c>
      <c r="L6" s="1">
        <v>46113</v>
      </c>
      <c r="M6" s="1">
        <v>46113</v>
      </c>
      <c r="O6">
        <v>18142208</v>
      </c>
      <c r="P6" t="s">
        <v>32</v>
      </c>
      <c r="Q6" t="s">
        <v>55</v>
      </c>
      <c r="R6">
        <v>8192</v>
      </c>
      <c r="S6" t="s">
        <v>34</v>
      </c>
      <c r="T6" t="s">
        <v>35</v>
      </c>
      <c r="U6">
        <v>372.75</v>
      </c>
      <c r="V6" t="s">
        <v>36</v>
      </c>
      <c r="W6" s="1">
        <v>46069</v>
      </c>
      <c r="X6">
        <v>2026</v>
      </c>
    </row>
    <row r="7" spans="1:24" x14ac:dyDescent="0.25">
      <c r="A7" s="1">
        <v>46084</v>
      </c>
      <c r="B7" t="s">
        <v>56</v>
      </c>
      <c r="C7" t="s">
        <v>57</v>
      </c>
      <c r="E7" t="s">
        <v>58</v>
      </c>
      <c r="F7" t="s">
        <v>51</v>
      </c>
      <c r="G7" t="s">
        <v>52</v>
      </c>
      <c r="H7" t="s">
        <v>38</v>
      </c>
      <c r="I7" t="s">
        <v>53</v>
      </c>
      <c r="J7" t="s">
        <v>59</v>
      </c>
      <c r="L7" s="1">
        <v>46082</v>
      </c>
      <c r="M7" s="1">
        <v>46082</v>
      </c>
      <c r="O7">
        <v>18142208</v>
      </c>
      <c r="P7" t="s">
        <v>32</v>
      </c>
      <c r="Q7" t="s">
        <v>55</v>
      </c>
      <c r="R7">
        <v>8192</v>
      </c>
      <c r="S7" t="s">
        <v>34</v>
      </c>
      <c r="T7" t="s">
        <v>35</v>
      </c>
      <c r="U7">
        <v>414.17</v>
      </c>
      <c r="V7" t="s">
        <v>36</v>
      </c>
      <c r="W7" s="1">
        <v>46070</v>
      </c>
      <c r="X7">
        <v>2026</v>
      </c>
    </row>
    <row r="8" spans="1:24" x14ac:dyDescent="0.25">
      <c r="A8" s="1">
        <v>46084</v>
      </c>
      <c r="B8" t="s">
        <v>60</v>
      </c>
      <c r="C8" t="s">
        <v>61</v>
      </c>
      <c r="E8" t="s">
        <v>62</v>
      </c>
      <c r="F8" t="s">
        <v>51</v>
      </c>
      <c r="G8" t="s">
        <v>52</v>
      </c>
      <c r="H8" t="s">
        <v>38</v>
      </c>
      <c r="I8" t="s">
        <v>53</v>
      </c>
      <c r="J8" t="s">
        <v>59</v>
      </c>
      <c r="L8" s="1">
        <v>46082</v>
      </c>
      <c r="M8" s="1">
        <v>46082</v>
      </c>
      <c r="O8">
        <v>18142208</v>
      </c>
      <c r="P8" t="s">
        <v>32</v>
      </c>
      <c r="Q8" t="s">
        <v>55</v>
      </c>
      <c r="R8">
        <v>8192</v>
      </c>
      <c r="S8" t="s">
        <v>34</v>
      </c>
      <c r="T8" t="s">
        <v>35</v>
      </c>
      <c r="U8">
        <v>414.17</v>
      </c>
      <c r="V8" t="s">
        <v>36</v>
      </c>
      <c r="W8" s="1">
        <v>46070</v>
      </c>
      <c r="X8">
        <v>2026</v>
      </c>
    </row>
    <row r="9" spans="1:24" x14ac:dyDescent="0.25">
      <c r="A9" s="1">
        <v>46084</v>
      </c>
      <c r="B9" t="s">
        <v>63</v>
      </c>
      <c r="C9" t="s">
        <v>64</v>
      </c>
      <c r="E9" t="s">
        <v>65</v>
      </c>
      <c r="F9" t="s">
        <v>27</v>
      </c>
      <c r="G9" t="s">
        <v>52</v>
      </c>
      <c r="H9" t="s">
        <v>38</v>
      </c>
      <c r="I9" t="s">
        <v>30</v>
      </c>
      <c r="J9" t="s">
        <v>66</v>
      </c>
      <c r="L9" s="1">
        <v>46082</v>
      </c>
      <c r="M9" s="1">
        <v>46082</v>
      </c>
      <c r="O9">
        <v>17886092</v>
      </c>
      <c r="P9" t="s">
        <v>32</v>
      </c>
      <c r="Q9" t="s">
        <v>33</v>
      </c>
      <c r="R9">
        <v>8192</v>
      </c>
      <c r="S9" t="s">
        <v>34</v>
      </c>
      <c r="T9" t="s">
        <v>35</v>
      </c>
      <c r="U9">
        <v>54.16</v>
      </c>
      <c r="V9" t="s">
        <v>36</v>
      </c>
      <c r="W9" s="1">
        <v>46064</v>
      </c>
      <c r="X9">
        <v>2026</v>
      </c>
    </row>
    <row r="10" spans="1:24" x14ac:dyDescent="0.25">
      <c r="A10" s="1">
        <v>46084</v>
      </c>
      <c r="B10" t="s">
        <v>67</v>
      </c>
      <c r="C10" t="s">
        <v>68</v>
      </c>
      <c r="E10" t="s">
        <v>69</v>
      </c>
      <c r="F10" t="s">
        <v>70</v>
      </c>
      <c r="G10" t="s">
        <v>28</v>
      </c>
      <c r="H10" t="s">
        <v>38</v>
      </c>
      <c r="I10" t="s">
        <v>71</v>
      </c>
      <c r="J10" t="s">
        <v>72</v>
      </c>
      <c r="L10" s="1">
        <v>45839</v>
      </c>
      <c r="M10" s="1">
        <v>45536</v>
      </c>
      <c r="O10">
        <v>8307933</v>
      </c>
      <c r="P10" t="s">
        <v>32</v>
      </c>
      <c r="Q10" t="s">
        <v>73</v>
      </c>
      <c r="R10">
        <v>8192</v>
      </c>
      <c r="S10" t="s">
        <v>74</v>
      </c>
      <c r="T10" t="s">
        <v>35</v>
      </c>
      <c r="U10">
        <v>29.83</v>
      </c>
      <c r="V10" t="s">
        <v>36</v>
      </c>
      <c r="W10" s="1">
        <v>45511</v>
      </c>
      <c r="X10">
        <v>2026</v>
      </c>
    </row>
    <row r="11" spans="1:24" x14ac:dyDescent="0.25">
      <c r="A11" s="1">
        <v>46084</v>
      </c>
      <c r="B11" t="s">
        <v>67</v>
      </c>
      <c r="C11" t="s">
        <v>68</v>
      </c>
      <c r="E11" t="s">
        <v>69</v>
      </c>
      <c r="F11" t="s">
        <v>70</v>
      </c>
      <c r="G11" t="s">
        <v>75</v>
      </c>
      <c r="H11" t="s">
        <v>38</v>
      </c>
      <c r="I11" t="s">
        <v>71</v>
      </c>
      <c r="J11" t="s">
        <v>72</v>
      </c>
      <c r="L11" s="1">
        <v>45870</v>
      </c>
      <c r="M11" s="1">
        <v>45536</v>
      </c>
      <c r="O11">
        <v>8307933</v>
      </c>
      <c r="P11" t="s">
        <v>32</v>
      </c>
      <c r="Q11" t="s">
        <v>73</v>
      </c>
      <c r="R11">
        <v>8192</v>
      </c>
      <c r="S11" t="s">
        <v>74</v>
      </c>
      <c r="T11" t="s">
        <v>35</v>
      </c>
      <c r="U11">
        <v>29.83</v>
      </c>
      <c r="V11" t="s">
        <v>36</v>
      </c>
      <c r="W11" s="1">
        <v>45511</v>
      </c>
      <c r="X11">
        <v>2026</v>
      </c>
    </row>
    <row r="12" spans="1:24" x14ac:dyDescent="0.25">
      <c r="A12" s="1">
        <v>46084</v>
      </c>
      <c r="B12" t="s">
        <v>67</v>
      </c>
      <c r="C12" t="s">
        <v>68</v>
      </c>
      <c r="E12" t="s">
        <v>69</v>
      </c>
      <c r="F12" t="s">
        <v>70</v>
      </c>
      <c r="G12" t="s">
        <v>75</v>
      </c>
      <c r="H12" t="s">
        <v>38</v>
      </c>
      <c r="I12" t="s">
        <v>71</v>
      </c>
      <c r="J12" t="s">
        <v>72</v>
      </c>
      <c r="L12" s="1">
        <v>45901</v>
      </c>
      <c r="M12" s="1">
        <v>45536</v>
      </c>
      <c r="O12">
        <v>8307933</v>
      </c>
      <c r="P12" t="s">
        <v>32</v>
      </c>
      <c r="Q12" t="s">
        <v>73</v>
      </c>
      <c r="R12">
        <v>8192</v>
      </c>
      <c r="S12" t="s">
        <v>74</v>
      </c>
      <c r="T12" t="s">
        <v>35</v>
      </c>
      <c r="U12">
        <v>29.83</v>
      </c>
      <c r="V12" t="s">
        <v>36</v>
      </c>
      <c r="W12" s="1">
        <v>45511</v>
      </c>
      <c r="X12">
        <v>2026</v>
      </c>
    </row>
    <row r="13" spans="1:24" x14ac:dyDescent="0.25">
      <c r="A13" s="1">
        <v>46084</v>
      </c>
      <c r="B13" t="s">
        <v>67</v>
      </c>
      <c r="C13" t="s">
        <v>68</v>
      </c>
      <c r="E13" t="s">
        <v>69</v>
      </c>
      <c r="F13" t="s">
        <v>70</v>
      </c>
      <c r="G13" t="s">
        <v>75</v>
      </c>
      <c r="H13" t="s">
        <v>38</v>
      </c>
      <c r="I13" t="s">
        <v>71</v>
      </c>
      <c r="J13" t="s">
        <v>72</v>
      </c>
      <c r="L13" s="1">
        <v>45931</v>
      </c>
      <c r="M13" s="1">
        <v>45536</v>
      </c>
      <c r="O13">
        <v>8307933</v>
      </c>
      <c r="P13" t="s">
        <v>32</v>
      </c>
      <c r="Q13" t="s">
        <v>73</v>
      </c>
      <c r="R13">
        <v>8192</v>
      </c>
      <c r="S13" t="s">
        <v>74</v>
      </c>
      <c r="T13" t="s">
        <v>35</v>
      </c>
      <c r="U13">
        <v>29.83</v>
      </c>
      <c r="V13" t="s">
        <v>36</v>
      </c>
      <c r="W13" s="1">
        <v>45511</v>
      </c>
      <c r="X13">
        <v>2026</v>
      </c>
    </row>
    <row r="14" spans="1:24" x14ac:dyDescent="0.25">
      <c r="A14" s="1">
        <v>46084</v>
      </c>
      <c r="B14" t="s">
        <v>67</v>
      </c>
      <c r="C14" t="s">
        <v>68</v>
      </c>
      <c r="E14" t="s">
        <v>69</v>
      </c>
      <c r="F14" t="s">
        <v>70</v>
      </c>
      <c r="G14" t="s">
        <v>75</v>
      </c>
      <c r="H14" t="s">
        <v>38</v>
      </c>
      <c r="I14" t="s">
        <v>71</v>
      </c>
      <c r="J14" t="s">
        <v>72</v>
      </c>
      <c r="L14" s="1">
        <v>45962</v>
      </c>
      <c r="M14" s="1">
        <v>45536</v>
      </c>
      <c r="O14">
        <v>8307933</v>
      </c>
      <c r="P14" t="s">
        <v>32</v>
      </c>
      <c r="Q14" t="s">
        <v>73</v>
      </c>
      <c r="R14">
        <v>8192</v>
      </c>
      <c r="S14" t="s">
        <v>74</v>
      </c>
      <c r="T14" t="s">
        <v>35</v>
      </c>
      <c r="U14">
        <v>29.83</v>
      </c>
      <c r="V14" t="s">
        <v>36</v>
      </c>
      <c r="W14" s="1">
        <v>45511</v>
      </c>
      <c r="X14">
        <v>2026</v>
      </c>
    </row>
    <row r="15" spans="1:24" x14ac:dyDescent="0.25">
      <c r="A15" s="1">
        <v>46084</v>
      </c>
      <c r="B15" t="s">
        <v>67</v>
      </c>
      <c r="C15" t="s">
        <v>68</v>
      </c>
      <c r="E15" t="s">
        <v>69</v>
      </c>
      <c r="F15" t="s">
        <v>70</v>
      </c>
      <c r="G15" t="s">
        <v>75</v>
      </c>
      <c r="H15" t="s">
        <v>38</v>
      </c>
      <c r="I15" t="s">
        <v>71</v>
      </c>
      <c r="J15" t="s">
        <v>72</v>
      </c>
      <c r="L15" s="1">
        <v>45992</v>
      </c>
      <c r="M15" s="1">
        <v>45536</v>
      </c>
      <c r="O15">
        <v>8307933</v>
      </c>
      <c r="P15" t="s">
        <v>32</v>
      </c>
      <c r="Q15" t="s">
        <v>73</v>
      </c>
      <c r="R15">
        <v>8192</v>
      </c>
      <c r="S15" t="s">
        <v>74</v>
      </c>
      <c r="T15" t="s">
        <v>35</v>
      </c>
      <c r="U15">
        <v>29.83</v>
      </c>
      <c r="V15" t="s">
        <v>36</v>
      </c>
      <c r="W15" s="1">
        <v>45511</v>
      </c>
      <c r="X15">
        <v>2026</v>
      </c>
    </row>
    <row r="16" spans="1:24" x14ac:dyDescent="0.25">
      <c r="A16" s="1">
        <v>46084</v>
      </c>
      <c r="B16" t="s">
        <v>67</v>
      </c>
      <c r="C16" t="s">
        <v>68</v>
      </c>
      <c r="E16" t="s">
        <v>69</v>
      </c>
      <c r="F16" t="s">
        <v>70</v>
      </c>
      <c r="G16" t="s">
        <v>75</v>
      </c>
      <c r="H16" t="s">
        <v>38</v>
      </c>
      <c r="I16" t="s">
        <v>71</v>
      </c>
      <c r="J16" t="s">
        <v>72</v>
      </c>
      <c r="L16" s="1">
        <v>46023</v>
      </c>
      <c r="M16" s="1">
        <v>45536</v>
      </c>
      <c r="O16">
        <v>8307933</v>
      </c>
      <c r="P16" t="s">
        <v>32</v>
      </c>
      <c r="Q16" t="s">
        <v>73</v>
      </c>
      <c r="R16">
        <v>8192</v>
      </c>
      <c r="S16" t="s">
        <v>74</v>
      </c>
      <c r="T16" t="s">
        <v>35</v>
      </c>
      <c r="U16">
        <v>32.67</v>
      </c>
      <c r="V16" t="s">
        <v>36</v>
      </c>
      <c r="W16" s="1">
        <v>45511</v>
      </c>
      <c r="X16">
        <v>2026</v>
      </c>
    </row>
    <row r="17" spans="1:24" x14ac:dyDescent="0.25">
      <c r="A17" s="1">
        <v>46084</v>
      </c>
      <c r="B17" t="s">
        <v>67</v>
      </c>
      <c r="C17" t="s">
        <v>68</v>
      </c>
      <c r="E17" t="s">
        <v>69</v>
      </c>
      <c r="F17" t="s">
        <v>70</v>
      </c>
      <c r="G17" t="s">
        <v>75</v>
      </c>
      <c r="H17" t="s">
        <v>38</v>
      </c>
      <c r="I17" t="s">
        <v>71</v>
      </c>
      <c r="J17" t="s">
        <v>72</v>
      </c>
      <c r="L17" s="1">
        <v>46054</v>
      </c>
      <c r="M17" s="1">
        <v>45536</v>
      </c>
      <c r="O17">
        <v>8307933</v>
      </c>
      <c r="P17" t="s">
        <v>32</v>
      </c>
      <c r="Q17" t="s">
        <v>73</v>
      </c>
      <c r="R17">
        <v>8192</v>
      </c>
      <c r="S17" t="s">
        <v>74</v>
      </c>
      <c r="T17" t="s">
        <v>35</v>
      </c>
      <c r="U17">
        <v>32.67</v>
      </c>
      <c r="V17" t="s">
        <v>36</v>
      </c>
      <c r="W17" s="1">
        <v>45511</v>
      </c>
      <c r="X17">
        <v>2026</v>
      </c>
    </row>
    <row r="18" spans="1:24" x14ac:dyDescent="0.25">
      <c r="A18" s="1">
        <v>46084</v>
      </c>
      <c r="B18" t="s">
        <v>76</v>
      </c>
      <c r="C18" t="s">
        <v>77</v>
      </c>
      <c r="E18" t="s">
        <v>78</v>
      </c>
      <c r="F18" t="s">
        <v>43</v>
      </c>
      <c r="G18" t="s">
        <v>79</v>
      </c>
      <c r="H18" t="s">
        <v>38</v>
      </c>
      <c r="I18" t="s">
        <v>80</v>
      </c>
      <c r="J18" t="s">
        <v>81</v>
      </c>
      <c r="L18" s="1">
        <v>46023</v>
      </c>
      <c r="M18" s="1">
        <v>46023</v>
      </c>
      <c r="N18" s="1">
        <v>46081</v>
      </c>
      <c r="O18">
        <v>8405446</v>
      </c>
      <c r="P18" t="s">
        <v>32</v>
      </c>
      <c r="Q18" t="s">
        <v>82</v>
      </c>
      <c r="R18">
        <v>8192</v>
      </c>
      <c r="S18" t="s">
        <v>34</v>
      </c>
      <c r="T18" t="s">
        <v>35</v>
      </c>
      <c r="U18">
        <v>-497</v>
      </c>
      <c r="V18" t="s">
        <v>36</v>
      </c>
      <c r="W18" s="1">
        <v>45979</v>
      </c>
      <c r="X18">
        <v>2026</v>
      </c>
    </row>
    <row r="19" spans="1:24" x14ac:dyDescent="0.25">
      <c r="A19" s="1">
        <v>46084</v>
      </c>
      <c r="B19" t="s">
        <v>83</v>
      </c>
      <c r="C19" t="s">
        <v>84</v>
      </c>
      <c r="E19" t="s">
        <v>85</v>
      </c>
      <c r="F19" t="s">
        <v>43</v>
      </c>
      <c r="G19" t="s">
        <v>52</v>
      </c>
      <c r="H19" t="s">
        <v>38</v>
      </c>
      <c r="I19" t="s">
        <v>80</v>
      </c>
      <c r="J19" t="s">
        <v>86</v>
      </c>
      <c r="L19" s="1">
        <v>46023</v>
      </c>
      <c r="M19" s="1">
        <v>46023</v>
      </c>
      <c r="O19">
        <v>9213293</v>
      </c>
      <c r="P19" t="s">
        <v>32</v>
      </c>
      <c r="Q19" t="s">
        <v>87</v>
      </c>
      <c r="R19">
        <v>8192</v>
      </c>
      <c r="S19" t="s">
        <v>34</v>
      </c>
      <c r="T19" t="s">
        <v>35</v>
      </c>
      <c r="U19">
        <v>497</v>
      </c>
      <c r="V19" t="s">
        <v>36</v>
      </c>
      <c r="W19" s="1">
        <v>45945</v>
      </c>
      <c r="X19">
        <v>2026</v>
      </c>
    </row>
    <row r="20" spans="1:24" x14ac:dyDescent="0.25">
      <c r="A20" s="1">
        <v>46084</v>
      </c>
      <c r="B20" t="s">
        <v>88</v>
      </c>
      <c r="C20" t="s">
        <v>89</v>
      </c>
      <c r="E20" t="s">
        <v>90</v>
      </c>
      <c r="F20" t="s">
        <v>27</v>
      </c>
      <c r="G20" t="s">
        <v>79</v>
      </c>
      <c r="H20" t="s">
        <v>38</v>
      </c>
      <c r="I20" t="s">
        <v>30</v>
      </c>
      <c r="J20" t="s">
        <v>91</v>
      </c>
      <c r="L20" s="1">
        <v>46023</v>
      </c>
      <c r="M20" s="1">
        <v>46023</v>
      </c>
      <c r="N20" s="1">
        <v>46081</v>
      </c>
      <c r="O20">
        <v>17528908</v>
      </c>
      <c r="P20" t="s">
        <v>32</v>
      </c>
      <c r="Q20" t="s">
        <v>92</v>
      </c>
      <c r="R20">
        <v>8192</v>
      </c>
      <c r="S20" t="s">
        <v>34</v>
      </c>
      <c r="T20" t="s">
        <v>35</v>
      </c>
      <c r="U20">
        <v>-526</v>
      </c>
      <c r="V20" t="s">
        <v>36</v>
      </c>
      <c r="W20" s="1">
        <v>45948</v>
      </c>
      <c r="X20">
        <v>2026</v>
      </c>
    </row>
    <row r="21" spans="1:24" x14ac:dyDescent="0.25">
      <c r="A21" s="1">
        <v>46084</v>
      </c>
      <c r="B21" t="s">
        <v>93</v>
      </c>
      <c r="C21" t="s">
        <v>94</v>
      </c>
      <c r="E21" t="s">
        <v>95</v>
      </c>
      <c r="F21" t="s">
        <v>43</v>
      </c>
      <c r="G21" t="s">
        <v>52</v>
      </c>
      <c r="H21" t="s">
        <v>38</v>
      </c>
      <c r="I21" t="s">
        <v>80</v>
      </c>
      <c r="J21" t="s">
        <v>96</v>
      </c>
      <c r="L21" s="1">
        <v>46113</v>
      </c>
      <c r="M21" s="1">
        <v>46113</v>
      </c>
      <c r="O21">
        <v>9213293</v>
      </c>
      <c r="P21" t="s">
        <v>32</v>
      </c>
      <c r="Q21" t="s">
        <v>87</v>
      </c>
      <c r="R21">
        <v>8192</v>
      </c>
      <c r="S21" t="s">
        <v>34</v>
      </c>
      <c r="T21" t="s">
        <v>35</v>
      </c>
      <c r="U21">
        <v>372.75</v>
      </c>
      <c r="V21" t="s">
        <v>36</v>
      </c>
      <c r="W21" s="1">
        <v>46067</v>
      </c>
      <c r="X21">
        <v>2026</v>
      </c>
    </row>
    <row r="22" spans="1:24" x14ac:dyDescent="0.25">
      <c r="A22" s="1">
        <v>46084</v>
      </c>
      <c r="B22" t="s">
        <v>97</v>
      </c>
      <c r="C22" t="s">
        <v>98</v>
      </c>
      <c r="E22" t="s">
        <v>99</v>
      </c>
      <c r="F22" t="s">
        <v>100</v>
      </c>
      <c r="G22" t="s">
        <v>52</v>
      </c>
      <c r="H22" t="s">
        <v>38</v>
      </c>
      <c r="I22" t="s">
        <v>45</v>
      </c>
      <c r="J22" t="s">
        <v>101</v>
      </c>
      <c r="L22" s="1">
        <v>46082</v>
      </c>
      <c r="M22" s="1">
        <v>46082</v>
      </c>
      <c r="O22">
        <v>8307933</v>
      </c>
      <c r="P22" t="s">
        <v>32</v>
      </c>
      <c r="Q22" t="s">
        <v>73</v>
      </c>
      <c r="R22">
        <v>8192</v>
      </c>
      <c r="S22" t="s">
        <v>34</v>
      </c>
      <c r="T22" t="s">
        <v>35</v>
      </c>
      <c r="U22">
        <v>414.17</v>
      </c>
      <c r="V22" t="s">
        <v>36</v>
      </c>
      <c r="W22" s="1">
        <v>46070</v>
      </c>
      <c r="X22">
        <v>2026</v>
      </c>
    </row>
    <row r="25" spans="1:24" x14ac:dyDescent="0.25">
      <c r="A25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B925-0B03-4277-9131-65888643B3F3}">
  <dimension ref="A1:AA34"/>
  <sheetViews>
    <sheetView tabSelected="1" topLeftCell="F1" workbookViewId="0">
      <selection activeCell="F2" sqref="F2:F34"/>
    </sheetView>
  </sheetViews>
  <sheetFormatPr defaultRowHeight="15" x14ac:dyDescent="0.25"/>
  <cols>
    <col min="1" max="1" width="15.5703125" bestFit="1" customWidth="1"/>
    <col min="2" max="2" width="17" bestFit="1" customWidth="1"/>
    <col min="3" max="3" width="14.7109375" customWidth="1"/>
    <col min="4" max="4" width="15.28515625" customWidth="1"/>
    <col min="5" max="5" width="21.140625" customWidth="1"/>
    <col min="6" max="6" width="12.140625" bestFit="1" customWidth="1"/>
    <col min="7" max="7" width="24.7109375" bestFit="1" customWidth="1"/>
    <col min="8" max="8" width="14.28515625" bestFit="1" customWidth="1"/>
    <col min="9" max="9" width="12" bestFit="1" customWidth="1"/>
    <col min="10" max="10" width="15.7109375" bestFit="1" customWidth="1"/>
    <col min="11" max="11" width="16.140625" bestFit="1" customWidth="1"/>
    <col min="12" max="12" width="25.7109375" bestFit="1" customWidth="1"/>
    <col min="13" max="13" width="10.28515625" bestFit="1" customWidth="1"/>
    <col min="14" max="14" width="12.42578125" bestFit="1" customWidth="1"/>
    <col min="16" max="16" width="20.42578125" bestFit="1" customWidth="1"/>
    <col min="20" max="20" width="9.57031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18</v>
      </c>
      <c r="N1" t="s">
        <v>20</v>
      </c>
    </row>
    <row r="2" spans="1:27" s="4" customFormat="1" x14ac:dyDescent="0.25">
      <c r="A2" s="2" t="s">
        <v>88</v>
      </c>
      <c r="B2" s="2" t="str">
        <f>CONCATENATE(A2,89)</f>
        <v>5JA7QA6YF4389</v>
      </c>
      <c r="C2" s="2" t="s">
        <v>116</v>
      </c>
      <c r="D2" s="2" t="s">
        <v>117</v>
      </c>
      <c r="E2" s="2" t="str">
        <f>CONCATENATE(D2," ",C2)</f>
        <v>JAMES THOMAS</v>
      </c>
      <c r="F2" s="2" t="s">
        <v>27</v>
      </c>
      <c r="G2" s="2" t="s">
        <v>79</v>
      </c>
      <c r="H2" s="3">
        <v>46023</v>
      </c>
      <c r="I2" s="3">
        <v>46023</v>
      </c>
      <c r="J2" s="2" t="s">
        <v>115</v>
      </c>
      <c r="K2" s="2" t="s">
        <v>32</v>
      </c>
      <c r="L2" s="2" t="s">
        <v>92</v>
      </c>
      <c r="M2" s="2" t="s">
        <v>34</v>
      </c>
      <c r="N2" s="2">
        <v>-526</v>
      </c>
      <c r="O2" s="2">
        <v>-391</v>
      </c>
      <c r="P2" s="2" t="s">
        <v>108</v>
      </c>
      <c r="Q2" s="2" t="s">
        <v>109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x14ac:dyDescent="0.25">
      <c r="A3" s="6" t="s">
        <v>67</v>
      </c>
      <c r="B3" s="2" t="str">
        <f>CONCATENATE(A3,8)</f>
        <v>9HA9GR9AY008</v>
      </c>
      <c r="C3" s="6" t="s">
        <v>118</v>
      </c>
      <c r="D3" s="6" t="s">
        <v>119</v>
      </c>
      <c r="E3" s="2" t="str">
        <f t="shared" ref="E3:E34" si="0">CONCATENATE(D3," ",C3)</f>
        <v>SUSAN HOEPPNER</v>
      </c>
      <c r="F3" s="6" t="s">
        <v>70</v>
      </c>
      <c r="G3" s="6" t="s">
        <v>28</v>
      </c>
      <c r="H3" s="7">
        <v>45839</v>
      </c>
      <c r="I3" s="7">
        <v>45536</v>
      </c>
      <c r="J3" s="6">
        <v>8307933</v>
      </c>
      <c r="K3" s="6" t="s">
        <v>32</v>
      </c>
      <c r="L3" s="6" t="s">
        <v>73</v>
      </c>
      <c r="M3" s="6" t="s">
        <v>74</v>
      </c>
      <c r="N3" s="6">
        <v>29.83</v>
      </c>
      <c r="O3" s="6">
        <v>29.83</v>
      </c>
      <c r="P3" s="6" t="s">
        <v>111</v>
      </c>
      <c r="Q3" s="6" t="s">
        <v>110</v>
      </c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s="2" customFormat="1" x14ac:dyDescent="0.25">
      <c r="A4" s="6" t="s">
        <v>67</v>
      </c>
      <c r="B4" s="2" t="str">
        <f t="shared" ref="B4:B8" si="1">CONCATENATE(A4,8)</f>
        <v>9HA9GR9AY008</v>
      </c>
      <c r="C4" s="6" t="s">
        <v>118</v>
      </c>
      <c r="D4" s="6" t="s">
        <v>119</v>
      </c>
      <c r="E4" s="2" t="str">
        <f t="shared" si="0"/>
        <v>SUSAN HOEPPNER</v>
      </c>
      <c r="F4" s="6" t="s">
        <v>70</v>
      </c>
      <c r="G4" s="6" t="s">
        <v>75</v>
      </c>
      <c r="H4" s="7">
        <v>45870</v>
      </c>
      <c r="I4" s="7">
        <v>45536</v>
      </c>
      <c r="J4" s="6">
        <v>8307933</v>
      </c>
      <c r="K4" s="6" t="s">
        <v>32</v>
      </c>
      <c r="L4" s="6" t="s">
        <v>73</v>
      </c>
      <c r="M4" s="6" t="s">
        <v>74</v>
      </c>
      <c r="N4" s="6">
        <v>29.83</v>
      </c>
      <c r="O4" s="6">
        <v>29.83</v>
      </c>
      <c r="P4" s="6" t="s">
        <v>111</v>
      </c>
      <c r="Q4" s="6" t="s">
        <v>110</v>
      </c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s="4" customFormat="1" x14ac:dyDescent="0.25">
      <c r="A5" s="6" t="s">
        <v>67</v>
      </c>
      <c r="B5" s="2" t="str">
        <f t="shared" si="1"/>
        <v>9HA9GR9AY008</v>
      </c>
      <c r="C5" s="6" t="s">
        <v>118</v>
      </c>
      <c r="D5" s="6" t="s">
        <v>119</v>
      </c>
      <c r="E5" s="2" t="str">
        <f t="shared" si="0"/>
        <v>SUSAN HOEPPNER</v>
      </c>
      <c r="F5" s="6" t="s">
        <v>70</v>
      </c>
      <c r="G5" s="6" t="s">
        <v>75</v>
      </c>
      <c r="H5" s="7">
        <v>45901</v>
      </c>
      <c r="I5" s="7">
        <v>45536</v>
      </c>
      <c r="J5" s="6">
        <v>8307933</v>
      </c>
      <c r="K5" s="6" t="s">
        <v>32</v>
      </c>
      <c r="L5" s="6" t="s">
        <v>73</v>
      </c>
      <c r="M5" s="6" t="s">
        <v>74</v>
      </c>
      <c r="N5" s="6">
        <v>29.83</v>
      </c>
      <c r="O5" s="6">
        <v>29.83</v>
      </c>
      <c r="P5" s="6" t="s">
        <v>111</v>
      </c>
      <c r="Q5" s="6" t="s">
        <v>110</v>
      </c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s="2" customFormat="1" x14ac:dyDescent="0.25">
      <c r="A6" s="6" t="s">
        <v>67</v>
      </c>
      <c r="B6" s="2" t="str">
        <f t="shared" si="1"/>
        <v>9HA9GR9AY008</v>
      </c>
      <c r="C6" s="6" t="s">
        <v>118</v>
      </c>
      <c r="D6" s="6" t="s">
        <v>119</v>
      </c>
      <c r="E6" s="2" t="str">
        <f t="shared" si="0"/>
        <v>SUSAN HOEPPNER</v>
      </c>
      <c r="F6" s="6" t="s">
        <v>70</v>
      </c>
      <c r="G6" s="6" t="s">
        <v>75</v>
      </c>
      <c r="H6" s="7">
        <v>45931</v>
      </c>
      <c r="I6" s="7">
        <v>45536</v>
      </c>
      <c r="J6" s="6">
        <v>8307933</v>
      </c>
      <c r="K6" s="6" t="s">
        <v>32</v>
      </c>
      <c r="L6" s="6" t="s">
        <v>73</v>
      </c>
      <c r="M6" s="6" t="s">
        <v>74</v>
      </c>
      <c r="N6" s="6">
        <v>29.83</v>
      </c>
      <c r="O6" s="6">
        <v>29.83</v>
      </c>
      <c r="P6" s="6" t="s">
        <v>111</v>
      </c>
      <c r="Q6" s="6" t="s">
        <v>110</v>
      </c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s="4" customFormat="1" x14ac:dyDescent="0.25">
      <c r="A7" s="6" t="s">
        <v>67</v>
      </c>
      <c r="B7" s="2" t="str">
        <f t="shared" si="1"/>
        <v>9HA9GR9AY008</v>
      </c>
      <c r="C7" s="6" t="s">
        <v>118</v>
      </c>
      <c r="D7" s="6" t="s">
        <v>119</v>
      </c>
      <c r="E7" s="2" t="str">
        <f t="shared" si="0"/>
        <v>SUSAN HOEPPNER</v>
      </c>
      <c r="F7" s="6" t="s">
        <v>70</v>
      </c>
      <c r="G7" s="6" t="s">
        <v>75</v>
      </c>
      <c r="H7" s="7">
        <v>45962</v>
      </c>
      <c r="I7" s="7">
        <v>45536</v>
      </c>
      <c r="J7" s="6">
        <v>8307933</v>
      </c>
      <c r="K7" s="6" t="s">
        <v>32</v>
      </c>
      <c r="L7" s="6" t="s">
        <v>73</v>
      </c>
      <c r="M7" s="6" t="s">
        <v>74</v>
      </c>
      <c r="N7" s="6">
        <v>29.83</v>
      </c>
      <c r="O7" s="6">
        <v>29.83</v>
      </c>
      <c r="P7" s="6" t="s">
        <v>111</v>
      </c>
      <c r="Q7" s="6" t="s">
        <v>110</v>
      </c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s="2" customFormat="1" x14ac:dyDescent="0.25">
      <c r="A8" s="6" t="s">
        <v>67</v>
      </c>
      <c r="B8" s="2" t="str">
        <f t="shared" si="1"/>
        <v>9HA9GR9AY008</v>
      </c>
      <c r="C8" s="6" t="s">
        <v>118</v>
      </c>
      <c r="D8" s="6" t="s">
        <v>119</v>
      </c>
      <c r="E8" s="2" t="str">
        <f t="shared" si="0"/>
        <v>SUSAN HOEPPNER</v>
      </c>
      <c r="F8" s="6" t="s">
        <v>70</v>
      </c>
      <c r="G8" s="6" t="s">
        <v>75</v>
      </c>
      <c r="H8" s="7">
        <v>45992</v>
      </c>
      <c r="I8" s="7">
        <v>45536</v>
      </c>
      <c r="J8" s="6">
        <v>8307933</v>
      </c>
      <c r="K8" s="6" t="s">
        <v>32</v>
      </c>
      <c r="L8" s="6" t="s">
        <v>73</v>
      </c>
      <c r="M8" s="6" t="s">
        <v>74</v>
      </c>
      <c r="N8" s="6">
        <v>29.83</v>
      </c>
      <c r="O8" s="6">
        <v>29.83</v>
      </c>
      <c r="P8" s="6" t="s">
        <v>111</v>
      </c>
      <c r="Q8" s="6" t="s">
        <v>110</v>
      </c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s="4" customFormat="1" x14ac:dyDescent="0.25">
      <c r="A9" s="2" t="s">
        <v>40</v>
      </c>
      <c r="B9" s="2" t="str">
        <f t="shared" ref="B9:B19" si="2">CONCATENATE(A9,89)</f>
        <v>1VT3VA3JD9589</v>
      </c>
      <c r="C9" s="2" t="s">
        <v>120</v>
      </c>
      <c r="D9" s="2" t="s">
        <v>121</v>
      </c>
      <c r="E9" s="2" t="str">
        <f t="shared" si="0"/>
        <v>ANNA CONNER</v>
      </c>
      <c r="F9" s="2" t="s">
        <v>43</v>
      </c>
      <c r="G9" s="2" t="s">
        <v>44</v>
      </c>
      <c r="H9" s="3">
        <v>46023</v>
      </c>
      <c r="I9" s="3">
        <v>46023</v>
      </c>
      <c r="J9" s="2">
        <v>8244481</v>
      </c>
      <c r="K9" s="2" t="s">
        <v>32</v>
      </c>
      <c r="L9" s="2" t="s">
        <v>47</v>
      </c>
      <c r="M9" s="2" t="s">
        <v>34</v>
      </c>
      <c r="N9" s="2">
        <v>80.33</v>
      </c>
      <c r="O9" s="2">
        <v>57.83</v>
      </c>
      <c r="P9" s="2" t="s">
        <v>104</v>
      </c>
      <c r="Q9" s="2" t="s">
        <v>107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s="2" customFormat="1" x14ac:dyDescent="0.25">
      <c r="A10" s="2" t="s">
        <v>40</v>
      </c>
      <c r="B10" s="2" t="str">
        <f t="shared" si="2"/>
        <v>1VT3VA3JD9589</v>
      </c>
      <c r="C10" s="2" t="s">
        <v>120</v>
      </c>
      <c r="D10" s="2" t="s">
        <v>121</v>
      </c>
      <c r="E10" s="2" t="str">
        <f t="shared" si="0"/>
        <v>ANNA CONNER</v>
      </c>
      <c r="F10" s="2" t="s">
        <v>43</v>
      </c>
      <c r="G10" s="2" t="s">
        <v>37</v>
      </c>
      <c r="H10" s="3">
        <v>46023</v>
      </c>
      <c r="I10" s="3">
        <v>46023</v>
      </c>
      <c r="J10" s="2">
        <v>8244481</v>
      </c>
      <c r="K10" s="2" t="s">
        <v>32</v>
      </c>
      <c r="L10" s="2" t="s">
        <v>47</v>
      </c>
      <c r="M10" s="2" t="s">
        <v>34</v>
      </c>
      <c r="N10" s="2">
        <v>-482</v>
      </c>
      <c r="O10" s="2">
        <v>-347</v>
      </c>
      <c r="P10" s="2" t="s">
        <v>104</v>
      </c>
      <c r="Q10" s="2" t="s">
        <v>106</v>
      </c>
    </row>
    <row r="11" spans="1:27" s="4" customFormat="1" x14ac:dyDescent="0.25">
      <c r="A11" s="2" t="s">
        <v>76</v>
      </c>
      <c r="B11" s="2" t="str">
        <f t="shared" si="2"/>
        <v>7DK3TK0JJ7489</v>
      </c>
      <c r="C11" s="2" t="s">
        <v>122</v>
      </c>
      <c r="D11" s="2" t="s">
        <v>123</v>
      </c>
      <c r="E11" s="2" t="str">
        <f t="shared" si="0"/>
        <v>SONIA MARQUEZ</v>
      </c>
      <c r="F11" s="2" t="s">
        <v>43</v>
      </c>
      <c r="G11" s="2" t="s">
        <v>79</v>
      </c>
      <c r="H11" s="3">
        <v>46023</v>
      </c>
      <c r="I11" s="3">
        <v>46023</v>
      </c>
      <c r="J11" s="2">
        <v>8405446</v>
      </c>
      <c r="K11" s="2" t="s">
        <v>32</v>
      </c>
      <c r="L11" s="2" t="s">
        <v>82</v>
      </c>
      <c r="M11" s="2" t="s">
        <v>34</v>
      </c>
      <c r="N11" s="2">
        <v>-497</v>
      </c>
      <c r="O11" s="2">
        <v>-347</v>
      </c>
      <c r="P11" s="2" t="s">
        <v>104</v>
      </c>
      <c r="Q11" s="2" t="s">
        <v>106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s="6" customFormat="1" x14ac:dyDescent="0.25">
      <c r="A12" s="2" t="s">
        <v>67</v>
      </c>
      <c r="B12" s="2" t="str">
        <f t="shared" si="2"/>
        <v>9HA9GR9AY0089</v>
      </c>
      <c r="C12" s="2" t="s">
        <v>118</v>
      </c>
      <c r="D12" s="2" t="s">
        <v>119</v>
      </c>
      <c r="E12" s="2" t="str">
        <f t="shared" si="0"/>
        <v>SUSAN HOEPPNER</v>
      </c>
      <c r="F12" s="2" t="s">
        <v>70</v>
      </c>
      <c r="G12" s="2" t="s">
        <v>75</v>
      </c>
      <c r="H12" s="3">
        <v>46023</v>
      </c>
      <c r="I12" s="3">
        <v>45536</v>
      </c>
      <c r="J12" s="2">
        <v>8307933</v>
      </c>
      <c r="K12" s="2" t="s">
        <v>32</v>
      </c>
      <c r="L12" s="2" t="s">
        <v>73</v>
      </c>
      <c r="M12" s="2" t="s">
        <v>74</v>
      </c>
      <c r="N12" s="2">
        <v>32.67</v>
      </c>
      <c r="O12" s="2">
        <v>28.92</v>
      </c>
      <c r="P12" s="2" t="s">
        <v>104</v>
      </c>
      <c r="Q12" s="2" t="s">
        <v>112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6" customFormat="1" x14ac:dyDescent="0.25">
      <c r="A13" s="2" t="s">
        <v>67</v>
      </c>
      <c r="B13" s="2" t="str">
        <f t="shared" si="2"/>
        <v>9HA9GR9AY0089</v>
      </c>
      <c r="C13" s="2" t="s">
        <v>118</v>
      </c>
      <c r="D13" s="2" t="s">
        <v>119</v>
      </c>
      <c r="E13" s="2" t="str">
        <f t="shared" si="0"/>
        <v>SUSAN HOEPPNER</v>
      </c>
      <c r="F13" s="2" t="s">
        <v>70</v>
      </c>
      <c r="G13" s="2" t="s">
        <v>75</v>
      </c>
      <c r="H13" s="3">
        <v>46054</v>
      </c>
      <c r="I13" s="3">
        <v>45536</v>
      </c>
      <c r="J13" s="2">
        <v>8307933</v>
      </c>
      <c r="K13" s="2" t="s">
        <v>32</v>
      </c>
      <c r="L13" s="2" t="s">
        <v>73</v>
      </c>
      <c r="M13" s="2" t="s">
        <v>74</v>
      </c>
      <c r="N13" s="2">
        <v>32.67</v>
      </c>
      <c r="O13" s="2">
        <v>28.92</v>
      </c>
      <c r="P13" s="2" t="s">
        <v>104</v>
      </c>
      <c r="Q13" s="2" t="s">
        <v>112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6" customFormat="1" x14ac:dyDescent="0.25">
      <c r="A14" s="2" t="s">
        <v>48</v>
      </c>
      <c r="B14" s="2" t="str">
        <f t="shared" si="2"/>
        <v>9CE0Y20JA0289</v>
      </c>
      <c r="C14" s="2" t="s">
        <v>124</v>
      </c>
      <c r="D14" s="2" t="s">
        <v>125</v>
      </c>
      <c r="E14" s="2" t="str">
        <f t="shared" si="0"/>
        <v>GARY DEVOS</v>
      </c>
      <c r="F14" s="2" t="s">
        <v>51</v>
      </c>
      <c r="G14" s="2" t="s">
        <v>52</v>
      </c>
      <c r="H14" s="3">
        <v>46113</v>
      </c>
      <c r="I14" s="3">
        <v>46113</v>
      </c>
      <c r="J14" s="2">
        <v>18142208</v>
      </c>
      <c r="K14" s="2" t="s">
        <v>32</v>
      </c>
      <c r="L14" s="2" t="s">
        <v>55</v>
      </c>
      <c r="M14" s="2" t="s">
        <v>34</v>
      </c>
      <c r="N14" s="2">
        <v>372.75</v>
      </c>
      <c r="O14" s="2">
        <v>260.25</v>
      </c>
      <c r="P14" s="2" t="s">
        <v>104</v>
      </c>
      <c r="Q14" s="2" t="s">
        <v>113</v>
      </c>
      <c r="R14" s="2"/>
      <c r="S14" s="2"/>
      <c r="T14" s="2">
        <f>347/12*9</f>
        <v>260.25</v>
      </c>
      <c r="U14" s="2"/>
      <c r="V14" s="2"/>
      <c r="W14" s="2"/>
      <c r="X14" s="2"/>
      <c r="Y14" s="2"/>
      <c r="Z14" s="2"/>
      <c r="AA14" s="2"/>
    </row>
    <row r="15" spans="1:27" s="6" customFormat="1" x14ac:dyDescent="0.25">
      <c r="A15" s="2" t="s">
        <v>93</v>
      </c>
      <c r="B15" s="2" t="str">
        <f t="shared" si="2"/>
        <v>8WR5R65HT7589</v>
      </c>
      <c r="C15" s="2" t="s">
        <v>126</v>
      </c>
      <c r="D15" s="2" t="s">
        <v>127</v>
      </c>
      <c r="E15" s="2" t="str">
        <f t="shared" si="0"/>
        <v>YVETTE TURNER</v>
      </c>
      <c r="F15" s="2" t="s">
        <v>43</v>
      </c>
      <c r="G15" s="2" t="s">
        <v>52</v>
      </c>
      <c r="H15" s="3">
        <v>46113</v>
      </c>
      <c r="I15" s="3">
        <v>46113</v>
      </c>
      <c r="J15" s="2">
        <v>9213293</v>
      </c>
      <c r="K15" s="2" t="s">
        <v>32</v>
      </c>
      <c r="L15" s="2" t="s">
        <v>87</v>
      </c>
      <c r="M15" s="2" t="s">
        <v>34</v>
      </c>
      <c r="N15" s="2">
        <v>372.75</v>
      </c>
      <c r="O15" s="2">
        <v>260.25</v>
      </c>
      <c r="P15" s="2" t="s">
        <v>104</v>
      </c>
      <c r="Q15" s="2" t="s">
        <v>113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6" customFormat="1" x14ac:dyDescent="0.25">
      <c r="A16" s="2" t="s">
        <v>56</v>
      </c>
      <c r="B16" s="2" t="str">
        <f t="shared" si="2"/>
        <v>8C91X99YH1489</v>
      </c>
      <c r="C16" s="2" t="s">
        <v>128</v>
      </c>
      <c r="D16" s="2" t="s">
        <v>129</v>
      </c>
      <c r="E16" s="2" t="str">
        <f t="shared" si="0"/>
        <v>DONNA GRAYSON</v>
      </c>
      <c r="F16" s="2" t="s">
        <v>51</v>
      </c>
      <c r="G16" s="2" t="s">
        <v>52</v>
      </c>
      <c r="H16" s="3">
        <v>46082</v>
      </c>
      <c r="I16" s="3">
        <v>46082</v>
      </c>
      <c r="J16" s="2">
        <v>18142208</v>
      </c>
      <c r="K16" s="2" t="s">
        <v>32</v>
      </c>
      <c r="L16" s="2" t="s">
        <v>55</v>
      </c>
      <c r="M16" s="2" t="s">
        <v>34</v>
      </c>
      <c r="N16" s="2">
        <v>414.17</v>
      </c>
      <c r="O16" s="2">
        <v>289.17</v>
      </c>
      <c r="P16" s="2" t="s">
        <v>104</v>
      </c>
      <c r="Q16" s="2" t="s">
        <v>114</v>
      </c>
      <c r="R16" s="2"/>
      <c r="S16" s="2"/>
      <c r="T16" s="8">
        <f>347/12*10</f>
        <v>289.16666666666669</v>
      </c>
      <c r="U16" s="2">
        <f>150/12*10</f>
        <v>125</v>
      </c>
      <c r="V16" s="2"/>
      <c r="W16" s="2"/>
      <c r="X16" s="2"/>
      <c r="Y16" s="2"/>
      <c r="Z16" s="2"/>
      <c r="AA16" s="2"/>
    </row>
    <row r="17" spans="1:27" s="6" customFormat="1" x14ac:dyDescent="0.25">
      <c r="A17" s="2" t="s">
        <v>60</v>
      </c>
      <c r="B17" s="2" t="str">
        <f t="shared" si="2"/>
        <v>1UQ6WC9YF7489</v>
      </c>
      <c r="C17" s="2" t="s">
        <v>128</v>
      </c>
      <c r="D17" s="2" t="s">
        <v>130</v>
      </c>
      <c r="E17" s="2" t="str">
        <f t="shared" si="0"/>
        <v>EDWARD GRAYSON</v>
      </c>
      <c r="F17" s="2" t="s">
        <v>51</v>
      </c>
      <c r="G17" s="2" t="s">
        <v>52</v>
      </c>
      <c r="H17" s="3">
        <v>46082</v>
      </c>
      <c r="I17" s="3">
        <v>46082</v>
      </c>
      <c r="J17" s="2">
        <v>18142208</v>
      </c>
      <c r="K17" s="2" t="s">
        <v>32</v>
      </c>
      <c r="L17" s="2" t="s">
        <v>55</v>
      </c>
      <c r="M17" s="2" t="s">
        <v>34</v>
      </c>
      <c r="N17" s="2">
        <v>414.17</v>
      </c>
      <c r="O17" s="2">
        <v>289.17</v>
      </c>
      <c r="P17" s="2" t="s">
        <v>104</v>
      </c>
      <c r="Q17" s="2" t="s">
        <v>114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s="2" customFormat="1" x14ac:dyDescent="0.25">
      <c r="A18" s="2" t="s">
        <v>97</v>
      </c>
      <c r="B18" s="2" t="str">
        <f t="shared" si="2"/>
        <v>6Y76TD4HP7789</v>
      </c>
      <c r="C18" s="2" t="s">
        <v>131</v>
      </c>
      <c r="D18" s="2" t="s">
        <v>132</v>
      </c>
      <c r="E18" s="2" t="str">
        <f t="shared" si="0"/>
        <v>LAWRENCE VAUGHAN</v>
      </c>
      <c r="F18" s="2" t="s">
        <v>100</v>
      </c>
      <c r="G18" s="2" t="s">
        <v>52</v>
      </c>
      <c r="H18" s="3">
        <v>46082</v>
      </c>
      <c r="I18" s="3">
        <v>46082</v>
      </c>
      <c r="J18" s="2">
        <v>8307933</v>
      </c>
      <c r="K18" s="2" t="s">
        <v>32</v>
      </c>
      <c r="L18" s="2" t="s">
        <v>73</v>
      </c>
      <c r="M18" s="2" t="s">
        <v>34</v>
      </c>
      <c r="N18" s="2">
        <v>414.17</v>
      </c>
      <c r="O18" s="2">
        <v>289.17</v>
      </c>
      <c r="P18" s="2" t="s">
        <v>104</v>
      </c>
      <c r="Q18" s="2" t="s">
        <v>114</v>
      </c>
    </row>
    <row r="19" spans="1:27" s="2" customFormat="1" x14ac:dyDescent="0.25">
      <c r="A19" s="2" t="s">
        <v>83</v>
      </c>
      <c r="B19" s="2" t="str">
        <f t="shared" si="2"/>
        <v>7RD9AT9QF1589</v>
      </c>
      <c r="C19" s="2" t="s">
        <v>133</v>
      </c>
      <c r="D19" s="2" t="s">
        <v>134</v>
      </c>
      <c r="E19" s="2" t="str">
        <f t="shared" si="0"/>
        <v>SANDRA MOORE</v>
      </c>
      <c r="F19" s="2" t="s">
        <v>43</v>
      </c>
      <c r="G19" s="2" t="s">
        <v>52</v>
      </c>
      <c r="H19" s="3">
        <v>46023</v>
      </c>
      <c r="I19" s="3">
        <v>46023</v>
      </c>
      <c r="J19" s="2">
        <v>9213293</v>
      </c>
      <c r="K19" s="2" t="s">
        <v>32</v>
      </c>
      <c r="L19" s="2" t="s">
        <v>87</v>
      </c>
      <c r="M19" s="2" t="s">
        <v>34</v>
      </c>
      <c r="N19" s="2">
        <v>497</v>
      </c>
      <c r="O19" s="2">
        <v>347</v>
      </c>
      <c r="P19" s="2" t="s">
        <v>104</v>
      </c>
      <c r="Q19" s="2" t="s">
        <v>106</v>
      </c>
    </row>
    <row r="20" spans="1:27" s="4" customFormat="1" x14ac:dyDescent="0.25">
      <c r="A20" s="4" t="s">
        <v>24</v>
      </c>
      <c r="B20" s="4" t="str">
        <f>CONCATENATE(A20,"OVR")</f>
        <v>3P73KM6RK93OVR</v>
      </c>
      <c r="C20" s="4" t="s">
        <v>135</v>
      </c>
      <c r="D20" s="4" t="s">
        <v>136</v>
      </c>
      <c r="E20" s="2" t="str">
        <f t="shared" si="0"/>
        <v>PHYLLIS BENTLEY</v>
      </c>
      <c r="F20" s="4" t="s">
        <v>27</v>
      </c>
      <c r="G20" s="4" t="s">
        <v>28</v>
      </c>
      <c r="H20" s="5">
        <v>46023</v>
      </c>
      <c r="I20" s="5">
        <v>46023</v>
      </c>
      <c r="J20" s="4">
        <v>20411454</v>
      </c>
      <c r="K20" s="4" t="s">
        <v>32</v>
      </c>
      <c r="L20" s="4" t="s">
        <v>103</v>
      </c>
      <c r="M20" s="4" t="s">
        <v>34</v>
      </c>
      <c r="N20" s="4">
        <v>65</v>
      </c>
      <c r="O20" s="4">
        <v>65</v>
      </c>
      <c r="P20" s="4" t="s">
        <v>105</v>
      </c>
    </row>
    <row r="21" spans="1:27" s="4" customFormat="1" x14ac:dyDescent="0.25">
      <c r="A21" s="4" t="s">
        <v>24</v>
      </c>
      <c r="B21" s="4" t="str">
        <f t="shared" ref="B21:B34" si="3">CONCATENATE(A21,"OVR")</f>
        <v>3P73KM6RK93OVR</v>
      </c>
      <c r="C21" s="4" t="s">
        <v>135</v>
      </c>
      <c r="D21" s="4" t="s">
        <v>136</v>
      </c>
      <c r="E21" s="2" t="str">
        <f t="shared" si="0"/>
        <v>PHYLLIS BENTLEY</v>
      </c>
      <c r="F21" s="4" t="s">
        <v>27</v>
      </c>
      <c r="G21" s="4" t="s">
        <v>37</v>
      </c>
      <c r="H21" s="5">
        <v>46054</v>
      </c>
      <c r="I21" s="5">
        <v>46054</v>
      </c>
      <c r="J21" s="4">
        <v>20411454</v>
      </c>
      <c r="K21" s="4" t="s">
        <v>32</v>
      </c>
      <c r="L21" s="4" t="s">
        <v>103</v>
      </c>
      <c r="M21" s="4" t="s">
        <v>34</v>
      </c>
      <c r="N21" s="4">
        <v>-59.59</v>
      </c>
      <c r="O21" s="4">
        <v>-59.59</v>
      </c>
      <c r="P21" s="4" t="s">
        <v>105</v>
      </c>
    </row>
    <row r="22" spans="1:27" s="4" customFormat="1" x14ac:dyDescent="0.25">
      <c r="A22" s="4" t="s">
        <v>40</v>
      </c>
      <c r="B22" s="4" t="str">
        <f t="shared" si="3"/>
        <v>1VT3VA3JD95OVR</v>
      </c>
      <c r="C22" s="4" t="s">
        <v>120</v>
      </c>
      <c r="D22" s="4" t="s">
        <v>121</v>
      </c>
      <c r="E22" s="2" t="str">
        <f t="shared" si="0"/>
        <v>ANNA CONNER</v>
      </c>
      <c r="F22" s="4" t="s">
        <v>43</v>
      </c>
      <c r="G22" s="4" t="s">
        <v>44</v>
      </c>
      <c r="H22" s="5">
        <v>46023</v>
      </c>
      <c r="I22" s="5">
        <v>46023</v>
      </c>
      <c r="J22" s="4">
        <v>20411454</v>
      </c>
      <c r="K22" s="4" t="s">
        <v>32</v>
      </c>
      <c r="L22" s="4" t="s">
        <v>103</v>
      </c>
      <c r="M22" s="4" t="s">
        <v>34</v>
      </c>
      <c r="N22" s="4">
        <v>80.33</v>
      </c>
      <c r="O22" s="4">
        <v>22.5</v>
      </c>
      <c r="P22" s="4" t="s">
        <v>105</v>
      </c>
    </row>
    <row r="23" spans="1:27" s="2" customFormat="1" x14ac:dyDescent="0.25">
      <c r="A23" s="4" t="s">
        <v>40</v>
      </c>
      <c r="B23" s="4" t="str">
        <f t="shared" si="3"/>
        <v>1VT3VA3JD95OVR</v>
      </c>
      <c r="C23" s="4" t="s">
        <v>120</v>
      </c>
      <c r="D23" s="4" t="s">
        <v>121</v>
      </c>
      <c r="E23" s="2" t="str">
        <f t="shared" si="0"/>
        <v>ANNA CONNER</v>
      </c>
      <c r="F23" s="4" t="s">
        <v>43</v>
      </c>
      <c r="G23" s="4" t="s">
        <v>37</v>
      </c>
      <c r="H23" s="5">
        <v>46023</v>
      </c>
      <c r="I23" s="5">
        <v>46023</v>
      </c>
      <c r="J23" s="4">
        <v>20411454</v>
      </c>
      <c r="K23" s="4" t="s">
        <v>32</v>
      </c>
      <c r="L23" s="4" t="s">
        <v>103</v>
      </c>
      <c r="M23" s="4" t="s">
        <v>34</v>
      </c>
      <c r="N23" s="4">
        <v>-482</v>
      </c>
      <c r="O23" s="4">
        <v>-135</v>
      </c>
      <c r="P23" s="4" t="s">
        <v>105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s="2" customFormat="1" x14ac:dyDescent="0.25">
      <c r="A24" s="4" t="s">
        <v>88</v>
      </c>
      <c r="B24" s="4" t="str">
        <f t="shared" si="3"/>
        <v>5JA7QA6YF43OVR</v>
      </c>
      <c r="C24" s="4" t="s">
        <v>116</v>
      </c>
      <c r="D24" s="4" t="s">
        <v>117</v>
      </c>
      <c r="E24" s="2" t="str">
        <f t="shared" si="0"/>
        <v>JAMES THOMAS</v>
      </c>
      <c r="F24" s="4" t="s">
        <v>27</v>
      </c>
      <c r="G24" s="4" t="s">
        <v>79</v>
      </c>
      <c r="H24" s="5">
        <v>46023</v>
      </c>
      <c r="I24" s="5">
        <v>46023</v>
      </c>
      <c r="J24" s="4">
        <v>20411454</v>
      </c>
      <c r="K24" s="4" t="s">
        <v>32</v>
      </c>
      <c r="L24" s="4" t="s">
        <v>103</v>
      </c>
      <c r="M24" s="4" t="s">
        <v>34</v>
      </c>
      <c r="N24" s="4">
        <v>-526</v>
      </c>
      <c r="O24" s="4">
        <v>-135</v>
      </c>
      <c r="P24" s="4" t="s">
        <v>105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s="4" customFormat="1" x14ac:dyDescent="0.25">
      <c r="A25" s="4" t="s">
        <v>76</v>
      </c>
      <c r="B25" s="4" t="str">
        <f t="shared" si="3"/>
        <v>7DK3TK0JJ74OVR</v>
      </c>
      <c r="C25" s="4" t="s">
        <v>122</v>
      </c>
      <c r="D25" s="4" t="s">
        <v>123</v>
      </c>
      <c r="E25" s="2" t="str">
        <f t="shared" si="0"/>
        <v>SONIA MARQUEZ</v>
      </c>
      <c r="F25" s="4" t="s">
        <v>43</v>
      </c>
      <c r="G25" s="4" t="s">
        <v>79</v>
      </c>
      <c r="H25" s="5">
        <v>46023</v>
      </c>
      <c r="I25" s="5">
        <v>46023</v>
      </c>
      <c r="J25" s="4">
        <v>20411454</v>
      </c>
      <c r="K25" s="4" t="s">
        <v>32</v>
      </c>
      <c r="L25" s="4" t="s">
        <v>103</v>
      </c>
      <c r="M25" s="4" t="s">
        <v>34</v>
      </c>
      <c r="N25" s="4">
        <v>-497</v>
      </c>
      <c r="O25" s="4">
        <v>-150</v>
      </c>
      <c r="P25" s="4" t="s">
        <v>105</v>
      </c>
    </row>
    <row r="26" spans="1:27" s="4" customFormat="1" x14ac:dyDescent="0.25">
      <c r="A26" s="4" t="s">
        <v>67</v>
      </c>
      <c r="B26" s="4" t="str">
        <f t="shared" si="3"/>
        <v>9HA9GR9AY00OVR</v>
      </c>
      <c r="C26" s="4" t="s">
        <v>118</v>
      </c>
      <c r="D26" s="4" t="s">
        <v>119</v>
      </c>
      <c r="E26" s="2" t="str">
        <f t="shared" si="0"/>
        <v>SUSAN HOEPPNER</v>
      </c>
      <c r="F26" s="4" t="s">
        <v>70</v>
      </c>
      <c r="G26" s="4" t="s">
        <v>75</v>
      </c>
      <c r="H26" s="5">
        <v>46023</v>
      </c>
      <c r="I26" s="5">
        <v>45536</v>
      </c>
      <c r="J26" s="4">
        <v>20411454</v>
      </c>
      <c r="K26" s="4" t="s">
        <v>32</v>
      </c>
      <c r="L26" s="4" t="s">
        <v>103</v>
      </c>
      <c r="M26" s="4" t="s">
        <v>74</v>
      </c>
      <c r="N26" s="4">
        <v>32.67</v>
      </c>
      <c r="O26" s="4">
        <v>3.75</v>
      </c>
      <c r="P26" s="4" t="s">
        <v>105</v>
      </c>
    </row>
    <row r="27" spans="1:27" s="2" customFormat="1" x14ac:dyDescent="0.25">
      <c r="A27" s="4" t="s">
        <v>67</v>
      </c>
      <c r="B27" s="4" t="str">
        <f t="shared" si="3"/>
        <v>9HA9GR9AY00OVR</v>
      </c>
      <c r="C27" s="4" t="s">
        <v>118</v>
      </c>
      <c r="D27" s="4" t="s">
        <v>119</v>
      </c>
      <c r="E27" s="2" t="str">
        <f t="shared" si="0"/>
        <v>SUSAN HOEPPNER</v>
      </c>
      <c r="F27" s="4" t="s">
        <v>70</v>
      </c>
      <c r="G27" s="4" t="s">
        <v>75</v>
      </c>
      <c r="H27" s="5">
        <v>46054</v>
      </c>
      <c r="I27" s="5">
        <v>45536</v>
      </c>
      <c r="J27" s="4">
        <v>20411454</v>
      </c>
      <c r="K27" s="4" t="s">
        <v>32</v>
      </c>
      <c r="L27" s="4" t="s">
        <v>103</v>
      </c>
      <c r="M27" s="4" t="s">
        <v>74</v>
      </c>
      <c r="N27" s="4">
        <v>32.67</v>
      </c>
      <c r="O27" s="4">
        <v>3.75</v>
      </c>
      <c r="P27" s="4" t="s">
        <v>105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s="2" customFormat="1" x14ac:dyDescent="0.25">
      <c r="A28" s="4" t="s">
        <v>63</v>
      </c>
      <c r="B28" s="4" t="str">
        <f t="shared" si="3"/>
        <v>9CR3X01AR75OVR</v>
      </c>
      <c r="C28" s="4" t="s">
        <v>137</v>
      </c>
      <c r="D28" s="4" t="s">
        <v>138</v>
      </c>
      <c r="E28" s="2" t="str">
        <f t="shared" si="0"/>
        <v>LOUIS HILLIARD</v>
      </c>
      <c r="F28" s="4" t="s">
        <v>27</v>
      </c>
      <c r="G28" s="4" t="s">
        <v>52</v>
      </c>
      <c r="H28" s="5">
        <v>46082</v>
      </c>
      <c r="I28" s="5">
        <v>46082</v>
      </c>
      <c r="J28" s="4">
        <v>20411454</v>
      </c>
      <c r="K28" s="4" t="s">
        <v>32</v>
      </c>
      <c r="L28" s="4" t="s">
        <v>103</v>
      </c>
      <c r="M28" s="4" t="s">
        <v>34</v>
      </c>
      <c r="N28" s="4">
        <v>54.16</v>
      </c>
      <c r="O28" s="4">
        <v>54.16</v>
      </c>
      <c r="P28" s="4" t="s">
        <v>105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s="2" customFormat="1" x14ac:dyDescent="0.25">
      <c r="A29" s="4" t="s">
        <v>48</v>
      </c>
      <c r="B29" s="4" t="str">
        <f t="shared" si="3"/>
        <v>9CE0Y20JA02OVR</v>
      </c>
      <c r="C29" s="4" t="s">
        <v>124</v>
      </c>
      <c r="D29" s="4" t="s">
        <v>125</v>
      </c>
      <c r="E29" s="2" t="str">
        <f t="shared" si="0"/>
        <v>GARY DEVOS</v>
      </c>
      <c r="F29" s="4" t="s">
        <v>51</v>
      </c>
      <c r="G29" s="4" t="s">
        <v>52</v>
      </c>
      <c r="H29" s="5">
        <v>46113</v>
      </c>
      <c r="I29" s="5">
        <v>46113</v>
      </c>
      <c r="J29" s="4">
        <v>20411454</v>
      </c>
      <c r="K29" s="4" t="s">
        <v>32</v>
      </c>
      <c r="L29" s="4" t="s">
        <v>103</v>
      </c>
      <c r="M29" s="4" t="s">
        <v>34</v>
      </c>
      <c r="N29" s="4">
        <v>372.75</v>
      </c>
      <c r="O29" s="4">
        <v>112.5</v>
      </c>
      <c r="P29" s="4" t="s">
        <v>105</v>
      </c>
      <c r="Q29" s="4"/>
      <c r="R29" s="4"/>
      <c r="S29" s="4"/>
      <c r="T29" s="4">
        <f>150/12*9</f>
        <v>112.5</v>
      </c>
      <c r="U29" s="4"/>
      <c r="V29" s="4"/>
      <c r="W29" s="4"/>
      <c r="X29" s="4"/>
      <c r="Y29" s="4"/>
      <c r="Z29" s="4"/>
      <c r="AA29" s="4"/>
    </row>
    <row r="30" spans="1:27" s="2" customFormat="1" x14ac:dyDescent="0.25">
      <c r="A30" s="4" t="s">
        <v>93</v>
      </c>
      <c r="B30" s="4" t="str">
        <f t="shared" si="3"/>
        <v>8WR5R65HT75OVR</v>
      </c>
      <c r="C30" s="4" t="s">
        <v>126</v>
      </c>
      <c r="D30" s="4" t="s">
        <v>127</v>
      </c>
      <c r="E30" s="2" t="str">
        <f t="shared" si="0"/>
        <v>YVETTE TURNER</v>
      </c>
      <c r="F30" s="4" t="s">
        <v>43</v>
      </c>
      <c r="G30" s="4" t="s">
        <v>52</v>
      </c>
      <c r="H30" s="5">
        <v>46113</v>
      </c>
      <c r="I30" s="5">
        <v>46113</v>
      </c>
      <c r="J30" s="4">
        <v>20411454</v>
      </c>
      <c r="K30" s="4" t="s">
        <v>32</v>
      </c>
      <c r="L30" s="4" t="s">
        <v>103</v>
      </c>
      <c r="M30" s="4" t="s">
        <v>34</v>
      </c>
      <c r="N30" s="4">
        <v>372.75</v>
      </c>
      <c r="O30" s="4">
        <v>112.5</v>
      </c>
      <c r="P30" s="4" t="s">
        <v>105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s="4" customFormat="1" x14ac:dyDescent="0.25">
      <c r="A31" s="4" t="s">
        <v>56</v>
      </c>
      <c r="B31" s="4" t="str">
        <f t="shared" si="3"/>
        <v>8C91X99YH14OVR</v>
      </c>
      <c r="C31" s="4" t="s">
        <v>128</v>
      </c>
      <c r="D31" s="4" t="s">
        <v>129</v>
      </c>
      <c r="E31" s="2" t="str">
        <f t="shared" si="0"/>
        <v>DONNA GRAYSON</v>
      </c>
      <c r="F31" s="4" t="s">
        <v>51</v>
      </c>
      <c r="G31" s="4" t="s">
        <v>52</v>
      </c>
      <c r="H31" s="5">
        <v>46082</v>
      </c>
      <c r="I31" s="5">
        <v>46082</v>
      </c>
      <c r="J31" s="4">
        <v>20411454</v>
      </c>
      <c r="K31" s="4" t="s">
        <v>32</v>
      </c>
      <c r="L31" s="4" t="s">
        <v>103</v>
      </c>
      <c r="M31" s="4" t="s">
        <v>34</v>
      </c>
      <c r="N31" s="4">
        <v>414.17</v>
      </c>
      <c r="O31" s="4">
        <v>125</v>
      </c>
      <c r="P31" s="4" t="s">
        <v>105</v>
      </c>
    </row>
    <row r="32" spans="1:27" s="4" customFormat="1" x14ac:dyDescent="0.25">
      <c r="A32" s="4" t="s">
        <v>60</v>
      </c>
      <c r="B32" s="4" t="str">
        <f t="shared" si="3"/>
        <v>1UQ6WC9YF74OVR</v>
      </c>
      <c r="C32" s="4" t="s">
        <v>128</v>
      </c>
      <c r="D32" s="4" t="s">
        <v>130</v>
      </c>
      <c r="E32" s="2" t="str">
        <f t="shared" si="0"/>
        <v>EDWARD GRAYSON</v>
      </c>
      <c r="F32" s="4" t="s">
        <v>51</v>
      </c>
      <c r="G32" s="4" t="s">
        <v>52</v>
      </c>
      <c r="H32" s="5">
        <v>46082</v>
      </c>
      <c r="I32" s="5">
        <v>46082</v>
      </c>
      <c r="J32" s="4">
        <v>20411454</v>
      </c>
      <c r="K32" s="4" t="s">
        <v>32</v>
      </c>
      <c r="L32" s="4" t="s">
        <v>103</v>
      </c>
      <c r="M32" s="4" t="s">
        <v>34</v>
      </c>
      <c r="N32" s="4">
        <v>414.17</v>
      </c>
      <c r="O32" s="4">
        <v>125</v>
      </c>
      <c r="P32" s="4" t="s">
        <v>105</v>
      </c>
    </row>
    <row r="33" spans="1:16" s="4" customFormat="1" x14ac:dyDescent="0.25">
      <c r="A33" s="4" t="s">
        <v>97</v>
      </c>
      <c r="B33" s="4" t="str">
        <f t="shared" si="3"/>
        <v>6Y76TD4HP77OVR</v>
      </c>
      <c r="C33" s="4" t="s">
        <v>131</v>
      </c>
      <c r="D33" s="4" t="s">
        <v>132</v>
      </c>
      <c r="E33" s="2" t="str">
        <f t="shared" si="0"/>
        <v>LAWRENCE VAUGHAN</v>
      </c>
      <c r="F33" s="4" t="s">
        <v>100</v>
      </c>
      <c r="G33" s="4" t="s">
        <v>52</v>
      </c>
      <c r="H33" s="5">
        <v>46082</v>
      </c>
      <c r="I33" s="5">
        <v>46082</v>
      </c>
      <c r="J33" s="4">
        <v>20411454</v>
      </c>
      <c r="K33" s="4" t="s">
        <v>32</v>
      </c>
      <c r="L33" s="4" t="s">
        <v>103</v>
      </c>
      <c r="M33" s="4" t="s">
        <v>34</v>
      </c>
      <c r="N33" s="4">
        <v>414.17</v>
      </c>
      <c r="O33" s="4">
        <v>125</v>
      </c>
      <c r="P33" s="4" t="s">
        <v>105</v>
      </c>
    </row>
    <row r="34" spans="1:16" s="4" customFormat="1" x14ac:dyDescent="0.25">
      <c r="A34" s="4" t="s">
        <v>83</v>
      </c>
      <c r="B34" s="4" t="str">
        <f t="shared" si="3"/>
        <v>7RD9AT9QF15OVR</v>
      </c>
      <c r="C34" s="4" t="s">
        <v>133</v>
      </c>
      <c r="D34" s="4" t="s">
        <v>134</v>
      </c>
      <c r="E34" s="2" t="str">
        <f t="shared" si="0"/>
        <v>SANDRA MOORE</v>
      </c>
      <c r="F34" s="4" t="s">
        <v>43</v>
      </c>
      <c r="G34" s="4" t="s">
        <v>52</v>
      </c>
      <c r="H34" s="5">
        <v>46023</v>
      </c>
      <c r="I34" s="5">
        <v>46023</v>
      </c>
      <c r="J34" s="4">
        <v>20411454</v>
      </c>
      <c r="K34" s="4" t="s">
        <v>32</v>
      </c>
      <c r="L34" s="4" t="s">
        <v>103</v>
      </c>
      <c r="M34" s="4" t="s">
        <v>34</v>
      </c>
      <c r="N34" s="4">
        <v>497</v>
      </c>
      <c r="O34" s="4">
        <v>150</v>
      </c>
      <c r="P34" s="4" t="s">
        <v>105</v>
      </c>
    </row>
  </sheetData>
  <sortState xmlns:xlrd2="http://schemas.microsoft.com/office/spreadsheetml/2017/richdata2" ref="A2:AA34">
    <sortCondition ref="P2:P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2026-03-06T16:05:34Z</dcterms:created>
  <dcterms:modified xsi:type="dcterms:W3CDTF">2026-03-09T14:01:32Z</dcterms:modified>
</cp:coreProperties>
</file>