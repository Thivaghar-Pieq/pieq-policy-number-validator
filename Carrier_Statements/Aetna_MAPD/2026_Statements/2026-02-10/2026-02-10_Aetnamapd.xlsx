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2-10-26\"/>
    </mc:Choice>
  </mc:AlternateContent>
  <xr:revisionPtr revIDLastSave="0" documentId="13_ncr:1_{90C1BAC5-FDD5-41B5-AA02-28A5DE37F339}" xr6:coauthVersionLast="47" xr6:coauthVersionMax="47" xr10:uidLastSave="{00000000-0000-0000-0000-000000000000}"/>
  <bookViews>
    <workbookView xWindow="-120" yWindow="-120" windowWidth="29040" windowHeight="16440" activeTab="1" xr2:uid="{C1332284-D3CF-418B-9097-02A5F1BEE32F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2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24" i="2"/>
  <c r="B7" i="2"/>
  <c r="B2" i="2"/>
  <c r="B11" i="2"/>
  <c r="B8" i="2"/>
  <c r="B9" i="2"/>
  <c r="B10" i="2"/>
  <c r="B16" i="2"/>
  <c r="B23" i="2"/>
  <c r="B6" i="2"/>
  <c r="B15" i="2"/>
  <c r="B20" i="2"/>
  <c r="B22" i="2"/>
  <c r="B18" i="2"/>
  <c r="B19" i="2"/>
  <c r="B14" i="2"/>
  <c r="B3" i="2"/>
  <c r="B21" i="2"/>
  <c r="B13" i="2"/>
  <c r="B12" i="2"/>
  <c r="B5" i="2"/>
  <c r="B4" i="2"/>
  <c r="B17" i="2"/>
  <c r="U49" i="2"/>
  <c r="U12" i="2"/>
  <c r="U41" i="2"/>
  <c r="U23" i="2"/>
  <c r="U40" i="2"/>
  <c r="U6" i="2"/>
  <c r="U39" i="2"/>
  <c r="U15" i="2"/>
  <c r="U20" i="2"/>
  <c r="U22" i="2"/>
</calcChain>
</file>

<file path=xl/sharedStrings.xml><?xml version="1.0" encoding="utf-8"?>
<sst xmlns="http://schemas.openxmlformats.org/spreadsheetml/2006/main" count="913" uniqueCount="235">
  <si>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</si>
  <si>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</si>
  <si>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</si>
  <si>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</si>
  <si>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</si>
  <si>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</si>
  <si>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</si>
  <si>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</si>
  <si>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</si>
  <si>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</si>
  <si>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</si>
  <si>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</si>
  <si>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</si>
  <si>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</si>
  <si>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</si>
  <si>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</si>
  <si>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</si>
  <si>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</si>
  <si>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</si>
  <si>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</si>
  <si>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</si>
  <si>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</si>
  <si>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</si>
  <si>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</si>
  <si>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4HH8NR2AK23</t>
  </si>
  <si>
    <t>NG101128227000</t>
  </si>
  <si>
    <t>BIERBAUM D,FRED</t>
  </si>
  <si>
    <t>IL</t>
  </si>
  <si>
    <t>New Business</t>
  </si>
  <si>
    <t>MAPD</t>
  </si>
  <si>
    <t>IMM619</t>
  </si>
  <si>
    <t>H7301-007</t>
  </si>
  <si>
    <t>LOA</t>
  </si>
  <si>
    <t>Yale, Jacob</t>
  </si>
  <si>
    <t>MMO</t>
  </si>
  <si>
    <t>Main Line Benefits LLC</t>
  </si>
  <si>
    <t xml:space="preserve">N  </t>
  </si>
  <si>
    <t>7M78KF8DR38</t>
  </si>
  <si>
    <t>NG102247489500</t>
  </si>
  <si>
    <t>CLARK E,KATHRYN</t>
  </si>
  <si>
    <t>MI</t>
  </si>
  <si>
    <t>Involuntary Pro-Rata Payment</t>
  </si>
  <si>
    <t>IMM606</t>
  </si>
  <si>
    <t>H5521-285</t>
  </si>
  <si>
    <t>Yale, Chad</t>
  </si>
  <si>
    <t>Involuntarily Rapid Disenroll</t>
  </si>
  <si>
    <t>8K97TX6PY76</t>
  </si>
  <si>
    <t>NG102217983900</t>
  </si>
  <si>
    <t>DELAFUENTE M,ROSA</t>
  </si>
  <si>
    <t>TX</t>
  </si>
  <si>
    <t>Voluntarily Rapid Disenroll</t>
  </si>
  <si>
    <t>IMM618</t>
  </si>
  <si>
    <t>H2293-016</t>
  </si>
  <si>
    <t>Carney, Daniel</t>
  </si>
  <si>
    <t>8EH9PN1NF48</t>
  </si>
  <si>
    <t>NG101951156200</t>
  </si>
  <si>
    <t>DUNLAP,GREGORY</t>
  </si>
  <si>
    <t>H1206-004</t>
  </si>
  <si>
    <t>Portugal, Gary</t>
  </si>
  <si>
    <t>1HV9XT2AE10</t>
  </si>
  <si>
    <t>NG102261961300</t>
  </si>
  <si>
    <t>ECKERT J,MARTHA</t>
  </si>
  <si>
    <t>H7301-009</t>
  </si>
  <si>
    <t>Deaton, Pamela</t>
  </si>
  <si>
    <t>8QX9YQ0AF11</t>
  </si>
  <si>
    <t>NG102201932000</t>
  </si>
  <si>
    <t>ELLENBARGER S,NEWTON</t>
  </si>
  <si>
    <t>OK</t>
  </si>
  <si>
    <t>MA</t>
  </si>
  <si>
    <t>H3288-051</t>
  </si>
  <si>
    <t>Pardue Thomas</t>
  </si>
  <si>
    <t>4DN0G18WG44</t>
  </si>
  <si>
    <t>NG101458687800</t>
  </si>
  <si>
    <t>GASPER J,BARRY</t>
  </si>
  <si>
    <t>PA</t>
  </si>
  <si>
    <t>IMM608</t>
  </si>
  <si>
    <t>H3959-002</t>
  </si>
  <si>
    <t>Inskipt, Deborah</t>
  </si>
  <si>
    <t>4Q82TY8NQ00</t>
  </si>
  <si>
    <t>NG102261995100</t>
  </si>
  <si>
    <t>HANSON R,MICHAEL</t>
  </si>
  <si>
    <t>H7301-033</t>
  </si>
  <si>
    <t>Hodgman, Timothy</t>
  </si>
  <si>
    <t>8H72JH1YW12</t>
  </si>
  <si>
    <t>NG102261632000</t>
  </si>
  <si>
    <t>HAWRYLIAK S,FRANK</t>
  </si>
  <si>
    <t>H3959-041</t>
  </si>
  <si>
    <t>Powers, Timothy</t>
  </si>
  <si>
    <t>6U15EP6CV76</t>
  </si>
  <si>
    <t>NG102253394300</t>
  </si>
  <si>
    <t>HOLLEY J,LISA</t>
  </si>
  <si>
    <t>OH</t>
  </si>
  <si>
    <t>IMM617</t>
  </si>
  <si>
    <t>H0628-013</t>
  </si>
  <si>
    <t>Shepard, Jill</t>
  </si>
  <si>
    <t xml:space="preserve">Y  </t>
  </si>
  <si>
    <t>4U90Y35GE31</t>
  </si>
  <si>
    <t>NG102262310700</t>
  </si>
  <si>
    <t>HORNYAK L,JOHN</t>
  </si>
  <si>
    <t>DE</t>
  </si>
  <si>
    <t>H3959-055</t>
  </si>
  <si>
    <t>Foley, Carol</t>
  </si>
  <si>
    <t>9T37RK9PF75</t>
  </si>
  <si>
    <t>NG102262032300</t>
  </si>
  <si>
    <t>HOSETTE J,DEBRA</t>
  </si>
  <si>
    <t>DUNAVANT, MICHAEL</t>
  </si>
  <si>
    <t>1E14K04RP71</t>
  </si>
  <si>
    <t>NG102178830400</t>
  </si>
  <si>
    <t>HUBERTY H,MICHAEL</t>
  </si>
  <si>
    <t>H5521-314</t>
  </si>
  <si>
    <t>HORN, JEFFREY</t>
  </si>
  <si>
    <t>8Y45PH1JU78</t>
  </si>
  <si>
    <t>NG101942229700</t>
  </si>
  <si>
    <t>KENT D,JUDY</t>
  </si>
  <si>
    <t>WUENSCH, RICHARD</t>
  </si>
  <si>
    <t>3JR3TQ6UW89</t>
  </si>
  <si>
    <t>NG102261184800</t>
  </si>
  <si>
    <t>KLUKAN L,DAVID</t>
  </si>
  <si>
    <t>H5522-005</t>
  </si>
  <si>
    <t>5JM0YA6EY27</t>
  </si>
  <si>
    <t>NG102261103900</t>
  </si>
  <si>
    <t>LANE W,KEVIN</t>
  </si>
  <si>
    <t>4TM9XJ5GP19</t>
  </si>
  <si>
    <t>NG102261469100</t>
  </si>
  <si>
    <t>NANCE J,BEA</t>
  </si>
  <si>
    <t>FL</t>
  </si>
  <si>
    <t>IMM604</t>
  </si>
  <si>
    <t>H5521-433</t>
  </si>
  <si>
    <t>Berg, Ines</t>
  </si>
  <si>
    <t>OH9999999</t>
  </si>
  <si>
    <t>ME0000OH</t>
  </si>
  <si>
    <t>OHIO, JANE</t>
  </si>
  <si>
    <t>HRA</t>
  </si>
  <si>
    <t>PPO</t>
  </si>
  <si>
    <t>H5521-087</t>
  </si>
  <si>
    <t>HRA/T126002811068A/18142208/EDINGER_DEBBIE</t>
  </si>
  <si>
    <t>MAIN LINE BENEFITS LLC</t>
  </si>
  <si>
    <t>N/A</t>
  </si>
  <si>
    <t>7V13E05JF04</t>
  </si>
  <si>
    <t>NG102261226800</t>
  </si>
  <si>
    <t>PELLERIN J,STACEY</t>
  </si>
  <si>
    <t>H5521-261</t>
  </si>
  <si>
    <t>Smith, Margaret</t>
  </si>
  <si>
    <t>1EX2XD0TP90</t>
  </si>
  <si>
    <t>MEQNDVZM00000153055</t>
  </si>
  <si>
    <t>SHELDON,DEBBIE</t>
  </si>
  <si>
    <t>H9314-001</t>
  </si>
  <si>
    <t>Weitzman, Kenneth</t>
  </si>
  <si>
    <t>5JR2CX2EU97</t>
  </si>
  <si>
    <t>NG102262001300</t>
  </si>
  <si>
    <t>SINES M,JENNA</t>
  </si>
  <si>
    <t>7DR9WP2MF36</t>
  </si>
  <si>
    <t>NG101497408000</t>
  </si>
  <si>
    <t>STUDEBAKER K,DEBORAH</t>
  </si>
  <si>
    <t>CA</t>
  </si>
  <si>
    <t>Exception</t>
  </si>
  <si>
    <t>IMM602</t>
  </si>
  <si>
    <t>H5521-581</t>
  </si>
  <si>
    <t>DAUGHERTY, MATTHEW</t>
  </si>
  <si>
    <t>GMO</t>
  </si>
  <si>
    <t>3JV0AQ5DA25</t>
  </si>
  <si>
    <t>NG101086547500</t>
  </si>
  <si>
    <t>STUPER J,FRANK</t>
  </si>
  <si>
    <t>H3959-011</t>
  </si>
  <si>
    <t>7E50KK4WP45</t>
  </si>
  <si>
    <t>NG102254768700</t>
  </si>
  <si>
    <t>WILSON H,ELIZABETH</t>
  </si>
  <si>
    <t>AZ</t>
  </si>
  <si>
    <t>IMM601</t>
  </si>
  <si>
    <t>H5521-554</t>
  </si>
  <si>
    <t>Choi, Andrew</t>
  </si>
  <si>
    <t>5JK4WR7CX65</t>
  </si>
  <si>
    <t>NG101853302100</t>
  </si>
  <si>
    <t>ZULICK,JOHN</t>
  </si>
  <si>
    <t>Total Payee Amount: $3370.01</t>
  </si>
  <si>
    <t>[%/$=694]</t>
  </si>
  <si>
    <t>Aetna 2026</t>
  </si>
  <si>
    <t>Aetna MAPD OVR 2026</t>
  </si>
  <si>
    <t>Aetna MAPD 2026*</t>
  </si>
  <si>
    <t>[%/$=347][prorate=12/12]</t>
  </si>
  <si>
    <t>[%/$=432][prorate=1/12]</t>
  </si>
  <si>
    <t>Aetna 2026 CA, NJ*</t>
  </si>
  <si>
    <t>[%/$=347][prorate=11/12]</t>
  </si>
  <si>
    <t>[%/$=347][prorate=1/12]</t>
  </si>
  <si>
    <t>[%/$=347][prorate=2/12]</t>
  </si>
  <si>
    <t>[%/$=347][prorate=9/12]</t>
  </si>
  <si>
    <t>Aetna 2026 CT, PA, DC *</t>
  </si>
  <si>
    <t>[%/$=391][prorate=11/12]</t>
  </si>
  <si>
    <t>Main Line Benefits</t>
  </si>
  <si>
    <t>17528908N</t>
  </si>
  <si>
    <t>NANCE</t>
  </si>
  <si>
    <t>BEA</t>
  </si>
  <si>
    <t>DELAFUENTE</t>
  </si>
  <si>
    <t>ROSA</t>
  </si>
  <si>
    <t>WILSON</t>
  </si>
  <si>
    <t>ELIZABETH</t>
  </si>
  <si>
    <t>STUDEBAKER</t>
  </si>
  <si>
    <t>DEBORAH</t>
  </si>
  <si>
    <t>ECKERT</t>
  </si>
  <si>
    <t>MARTHA</t>
  </si>
  <si>
    <t>SINES</t>
  </si>
  <si>
    <t>JENNA</t>
  </si>
  <si>
    <t>HOSETTE</t>
  </si>
  <si>
    <t>DEBRA</t>
  </si>
  <si>
    <t>HORNYAK</t>
  </si>
  <si>
    <t>JOHN</t>
  </si>
  <si>
    <t>HANSON</t>
  </si>
  <si>
    <t>MICHAEL</t>
  </si>
  <si>
    <t>HUBERTY</t>
  </si>
  <si>
    <t>GASPER</t>
  </si>
  <si>
    <t>BARRY</t>
  </si>
  <si>
    <t>LANE</t>
  </si>
  <si>
    <t>KEVIN</t>
  </si>
  <si>
    <t>ELLENBARGER</t>
  </si>
  <si>
    <t>NEWTON</t>
  </si>
  <si>
    <t>DUNLAP</t>
  </si>
  <si>
    <t>GREGORY</t>
  </si>
  <si>
    <t>HOLLEY</t>
  </si>
  <si>
    <t>LISA</t>
  </si>
  <si>
    <t>SHELDON</t>
  </si>
  <si>
    <t>DEBBIE</t>
  </si>
  <si>
    <t>KENT</t>
  </si>
  <si>
    <t>JUDY</t>
  </si>
  <si>
    <t>CLARK</t>
  </si>
  <si>
    <t>KATHRYN</t>
  </si>
  <si>
    <t>BIERBAUM</t>
  </si>
  <si>
    <t>FRED</t>
  </si>
  <si>
    <t>HAWRYLIAK</t>
  </si>
  <si>
    <t>FRANK</t>
  </si>
  <si>
    <t>KLUKAN</t>
  </si>
  <si>
    <t>DAVID</t>
  </si>
  <si>
    <t>PELLERIN</t>
  </si>
  <si>
    <t>STACEY</t>
  </si>
  <si>
    <t>STUPER</t>
  </si>
  <si>
    <t>ZULICK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</si>
</sst>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8EE35-D078-4F8F-A2E4-9B8B3C47050B}">
  <dimension ref="A1:X43"/>
  <sheetViews>
    <sheetView workbookViewId="0">
      <selection sqref="A1:XFD1048576"/>
    </sheetView>
  </sheetViews>
  <sheetFormatPr defaultRowHeight="15" x14ac:dyDescent="0.25"/>
  <cols>
    <col min="1" max="1" width="28" bestFit="1" customWidth="1"/>
    <col min="2" max="2" width="17.28515625" bestFit="1" customWidth="1"/>
    <col min="3" max="3" width="23.28515625" bestFit="1" customWidth="1"/>
    <col min="4" max="4" width="17.42578125" bestFit="1" customWidth="1"/>
    <col min="5" max="5" width="23.7109375" bestFit="1" customWidth="1"/>
    <col min="6" max="6" width="13.7109375" bestFit="1" customWidth="1"/>
    <col min="7" max="7" width="28" bestFit="1" customWidth="1"/>
    <col min="8" max="8" width="7.85546875" bestFit="1" customWidth="1"/>
    <col min="9" max="9" width="8" bestFit="1" customWidth="1"/>
    <col min="10" max="10" width="10" bestFit="1" customWidth="1"/>
    <col min="11" max="11" width="45.5703125" bestFit="1" customWidth="1"/>
    <col min="12" max="12" width="15.7109375" bestFit="1" customWidth="1"/>
    <col min="13" max="13" width="13.5703125" bestFit="1" customWidth="1"/>
    <col min="14" max="14" width="10.140625" bestFit="1" customWidth="1"/>
    <col min="15" max="15" width="18" bestFit="1" customWidth="1"/>
    <col min="16" max="16" width="18.7109375" bestFit="1" customWidth="1"/>
    <col min="17" max="17" width="22.140625" bestFit="1" customWidth="1"/>
    <col min="18" max="18" width="8.7109375" bestFit="1" customWidth="1"/>
    <col min="19" max="19" width="11.5703125" bestFit="1" customWidth="1"/>
    <col min="20" max="20" width="22.5703125" bestFit="1" customWidth="1"/>
    <col min="21" max="21" width="14.140625" bestFit="1" customWidth="1"/>
    <col min="22" max="22" width="9.42578125" bestFit="1" customWidth="1"/>
    <col min="23" max="23" width="14.140625" bestFit="1" customWidth="1"/>
    <col min="24" max="24" width="9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46063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46054</v>
      </c>
      <c r="M2" s="1">
        <v>46054</v>
      </c>
      <c r="O2">
        <v>18754354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455.58</v>
      </c>
      <c r="V2" t="s">
        <v>36</v>
      </c>
      <c r="W2" s="1">
        <v>46048</v>
      </c>
      <c r="X2">
        <v>2026</v>
      </c>
    </row>
    <row r="3" spans="1:24" x14ac:dyDescent="0.25">
      <c r="A3" s="1">
        <v>46063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29</v>
      </c>
      <c r="I3" t="s">
        <v>42</v>
      </c>
      <c r="J3" t="s">
        <v>43</v>
      </c>
      <c r="L3" s="1">
        <v>46023</v>
      </c>
      <c r="M3" s="1">
        <v>46023</v>
      </c>
      <c r="N3" s="1">
        <v>46053</v>
      </c>
      <c r="O3">
        <v>20003537</v>
      </c>
      <c r="P3" t="s">
        <v>32</v>
      </c>
      <c r="Q3" t="s">
        <v>44</v>
      </c>
      <c r="R3">
        <v>8192</v>
      </c>
      <c r="S3" t="s">
        <v>34</v>
      </c>
      <c r="T3" t="s">
        <v>35</v>
      </c>
      <c r="U3">
        <v>41.42</v>
      </c>
      <c r="V3" t="s">
        <v>36</v>
      </c>
      <c r="W3" s="1">
        <v>45995</v>
      </c>
      <c r="X3">
        <v>2026</v>
      </c>
    </row>
    <row r="4" spans="1:24" x14ac:dyDescent="0.25">
      <c r="A4" s="1">
        <v>46063</v>
      </c>
      <c r="B4" t="s">
        <v>37</v>
      </c>
      <c r="C4" t="s">
        <v>38</v>
      </c>
      <c r="E4" t="s">
        <v>39</v>
      </c>
      <c r="F4" t="s">
        <v>40</v>
      </c>
      <c r="G4" t="s">
        <v>45</v>
      </c>
      <c r="H4" t="s">
        <v>29</v>
      </c>
      <c r="I4" t="s">
        <v>42</v>
      </c>
      <c r="J4" t="s">
        <v>43</v>
      </c>
      <c r="L4" s="1">
        <v>46023</v>
      </c>
      <c r="M4" s="1">
        <v>46023</v>
      </c>
      <c r="N4" s="1">
        <v>46053</v>
      </c>
      <c r="O4">
        <v>20003537</v>
      </c>
      <c r="P4" t="s">
        <v>32</v>
      </c>
      <c r="Q4" t="s">
        <v>44</v>
      </c>
      <c r="R4">
        <v>8192</v>
      </c>
      <c r="S4" t="s">
        <v>34</v>
      </c>
      <c r="T4" t="s">
        <v>35</v>
      </c>
      <c r="U4">
        <v>-497</v>
      </c>
      <c r="V4" t="s">
        <v>36</v>
      </c>
      <c r="W4" s="1">
        <v>45995</v>
      </c>
      <c r="X4">
        <v>2026</v>
      </c>
    </row>
    <row r="5" spans="1:24" x14ac:dyDescent="0.25">
      <c r="A5" s="1">
        <v>46063</v>
      </c>
      <c r="B5" t="s">
        <v>46</v>
      </c>
      <c r="C5" t="s">
        <v>47</v>
      </c>
      <c r="E5" t="s">
        <v>48</v>
      </c>
      <c r="F5" t="s">
        <v>49</v>
      </c>
      <c r="G5" t="s">
        <v>50</v>
      </c>
      <c r="H5" t="s">
        <v>29</v>
      </c>
      <c r="I5" t="s">
        <v>51</v>
      </c>
      <c r="J5" t="s">
        <v>52</v>
      </c>
      <c r="L5" s="1">
        <v>46023</v>
      </c>
      <c r="M5" s="1">
        <v>46023</v>
      </c>
      <c r="N5" s="1">
        <v>46053</v>
      </c>
      <c r="O5">
        <v>21749481</v>
      </c>
      <c r="P5" t="s">
        <v>32</v>
      </c>
      <c r="Q5" t="s">
        <v>53</v>
      </c>
      <c r="R5">
        <v>8192</v>
      </c>
      <c r="S5" t="s">
        <v>34</v>
      </c>
      <c r="T5" t="s">
        <v>35</v>
      </c>
      <c r="U5">
        <v>-497</v>
      </c>
      <c r="V5" t="s">
        <v>36</v>
      </c>
      <c r="W5" s="1">
        <v>45965</v>
      </c>
      <c r="X5">
        <v>2026</v>
      </c>
    </row>
    <row r="6" spans="1:24" x14ac:dyDescent="0.25">
      <c r="A6" s="1">
        <v>46063</v>
      </c>
      <c r="B6" t="s">
        <v>54</v>
      </c>
      <c r="C6" t="s">
        <v>55</v>
      </c>
      <c r="E6" t="s">
        <v>56</v>
      </c>
      <c r="F6" t="s">
        <v>27</v>
      </c>
      <c r="G6" t="s">
        <v>28</v>
      </c>
      <c r="H6" t="s">
        <v>29</v>
      </c>
      <c r="I6" t="s">
        <v>42</v>
      </c>
      <c r="J6" t="s">
        <v>57</v>
      </c>
      <c r="L6" s="1">
        <v>46054</v>
      </c>
      <c r="M6" s="1">
        <v>46054</v>
      </c>
      <c r="O6">
        <v>9213293</v>
      </c>
      <c r="P6" t="s">
        <v>32</v>
      </c>
      <c r="Q6" t="s">
        <v>58</v>
      </c>
      <c r="R6">
        <v>8192</v>
      </c>
      <c r="S6" t="s">
        <v>34</v>
      </c>
      <c r="T6" t="s">
        <v>35</v>
      </c>
      <c r="U6">
        <v>455.58</v>
      </c>
      <c r="V6" t="s">
        <v>36</v>
      </c>
      <c r="W6" s="1">
        <v>46043</v>
      </c>
      <c r="X6">
        <v>2026</v>
      </c>
    </row>
    <row r="7" spans="1:24" x14ac:dyDescent="0.25">
      <c r="A7" s="1">
        <v>46063</v>
      </c>
      <c r="B7" t="s">
        <v>59</v>
      </c>
      <c r="C7" t="s">
        <v>60</v>
      </c>
      <c r="E7" t="s">
        <v>61</v>
      </c>
      <c r="F7" t="s">
        <v>27</v>
      </c>
      <c r="G7" t="s">
        <v>28</v>
      </c>
      <c r="H7" t="s">
        <v>29</v>
      </c>
      <c r="I7" t="s">
        <v>30</v>
      </c>
      <c r="J7" t="s">
        <v>62</v>
      </c>
      <c r="L7" s="1">
        <v>46113</v>
      </c>
      <c r="M7" s="1">
        <v>46113</v>
      </c>
      <c r="O7">
        <v>8244481</v>
      </c>
      <c r="P7" t="s">
        <v>32</v>
      </c>
      <c r="Q7" t="s">
        <v>63</v>
      </c>
      <c r="R7">
        <v>8192</v>
      </c>
      <c r="S7" t="s">
        <v>34</v>
      </c>
      <c r="T7" t="s">
        <v>35</v>
      </c>
      <c r="U7">
        <v>372.75</v>
      </c>
      <c r="V7" t="s">
        <v>36</v>
      </c>
      <c r="W7" s="1">
        <v>46048</v>
      </c>
      <c r="X7">
        <v>2026</v>
      </c>
    </row>
    <row r="8" spans="1:24" x14ac:dyDescent="0.25">
      <c r="A8" s="1">
        <v>46063</v>
      </c>
      <c r="B8" t="s">
        <v>64</v>
      </c>
      <c r="C8" t="s">
        <v>65</v>
      </c>
      <c r="E8" t="s">
        <v>66</v>
      </c>
      <c r="F8" t="s">
        <v>67</v>
      </c>
      <c r="G8" t="s">
        <v>41</v>
      </c>
      <c r="H8" t="s">
        <v>68</v>
      </c>
      <c r="I8" t="s">
        <v>51</v>
      </c>
      <c r="J8" t="s">
        <v>69</v>
      </c>
      <c r="L8" s="1">
        <v>46023</v>
      </c>
      <c r="M8" s="1">
        <v>46023</v>
      </c>
      <c r="N8" s="1">
        <v>46081</v>
      </c>
      <c r="O8">
        <v>371819</v>
      </c>
      <c r="P8" t="s">
        <v>32</v>
      </c>
      <c r="Q8" t="s">
        <v>70</v>
      </c>
      <c r="R8">
        <v>8192</v>
      </c>
      <c r="S8" t="s">
        <v>34</v>
      </c>
      <c r="T8" t="s">
        <v>35</v>
      </c>
      <c r="U8">
        <v>82.83</v>
      </c>
      <c r="V8" t="s">
        <v>36</v>
      </c>
      <c r="W8" s="1">
        <v>45946</v>
      </c>
      <c r="X8">
        <v>2026</v>
      </c>
    </row>
    <row r="9" spans="1:24" x14ac:dyDescent="0.25">
      <c r="A9" s="1">
        <v>46063</v>
      </c>
      <c r="B9" t="s">
        <v>64</v>
      </c>
      <c r="C9" t="s">
        <v>65</v>
      </c>
      <c r="E9" t="s">
        <v>66</v>
      </c>
      <c r="F9" t="s">
        <v>67</v>
      </c>
      <c r="G9" t="s">
        <v>45</v>
      </c>
      <c r="H9" t="s">
        <v>68</v>
      </c>
      <c r="I9" t="s">
        <v>51</v>
      </c>
      <c r="J9" t="s">
        <v>69</v>
      </c>
      <c r="L9" s="1">
        <v>46023</v>
      </c>
      <c r="M9" s="1">
        <v>46023</v>
      </c>
      <c r="N9" s="1">
        <v>46081</v>
      </c>
      <c r="O9">
        <v>371819</v>
      </c>
      <c r="P9" t="s">
        <v>32</v>
      </c>
      <c r="Q9" t="s">
        <v>70</v>
      </c>
      <c r="R9">
        <v>8192</v>
      </c>
      <c r="S9" t="s">
        <v>34</v>
      </c>
      <c r="T9" t="s">
        <v>35</v>
      </c>
      <c r="U9">
        <v>-497</v>
      </c>
      <c r="V9" t="s">
        <v>36</v>
      </c>
      <c r="W9" s="1">
        <v>45946</v>
      </c>
      <c r="X9">
        <v>2026</v>
      </c>
    </row>
    <row r="10" spans="1:24" x14ac:dyDescent="0.25">
      <c r="A10" s="1">
        <v>46063</v>
      </c>
      <c r="B10" t="s">
        <v>71</v>
      </c>
      <c r="C10" t="s">
        <v>72</v>
      </c>
      <c r="E10" t="s">
        <v>73</v>
      </c>
      <c r="F10" t="s">
        <v>74</v>
      </c>
      <c r="G10" t="s">
        <v>28</v>
      </c>
      <c r="H10" t="s">
        <v>29</v>
      </c>
      <c r="I10" t="s">
        <v>75</v>
      </c>
      <c r="J10" t="s">
        <v>76</v>
      </c>
      <c r="L10" s="1">
        <v>46054</v>
      </c>
      <c r="M10" s="1">
        <v>46054</v>
      </c>
      <c r="O10">
        <v>17528908</v>
      </c>
      <c r="P10" t="s">
        <v>32</v>
      </c>
      <c r="Q10" t="s">
        <v>77</v>
      </c>
      <c r="R10">
        <v>8192</v>
      </c>
      <c r="S10" t="s">
        <v>34</v>
      </c>
      <c r="T10" t="s">
        <v>35</v>
      </c>
      <c r="U10">
        <v>495.92</v>
      </c>
      <c r="V10" t="s">
        <v>36</v>
      </c>
      <c r="W10" s="1">
        <v>46049</v>
      </c>
      <c r="X10">
        <v>2026</v>
      </c>
    </row>
    <row r="11" spans="1:24" x14ac:dyDescent="0.25">
      <c r="A11" s="1">
        <v>46063</v>
      </c>
      <c r="B11" t="s">
        <v>78</v>
      </c>
      <c r="C11" t="s">
        <v>79</v>
      </c>
      <c r="E11" t="s">
        <v>80</v>
      </c>
      <c r="F11" t="s">
        <v>27</v>
      </c>
      <c r="G11" t="s">
        <v>28</v>
      </c>
      <c r="H11" t="s">
        <v>29</v>
      </c>
      <c r="I11" t="s">
        <v>42</v>
      </c>
      <c r="J11" t="s">
        <v>81</v>
      </c>
      <c r="L11" s="1">
        <v>46054</v>
      </c>
      <c r="M11" s="1">
        <v>46054</v>
      </c>
      <c r="O11">
        <v>18581063</v>
      </c>
      <c r="P11" t="s">
        <v>32</v>
      </c>
      <c r="Q11" t="s">
        <v>82</v>
      </c>
      <c r="R11">
        <v>8192</v>
      </c>
      <c r="S11" t="s">
        <v>34</v>
      </c>
      <c r="T11" t="s">
        <v>35</v>
      </c>
      <c r="U11">
        <v>455.58</v>
      </c>
      <c r="V11" t="s">
        <v>36</v>
      </c>
      <c r="W11" s="1">
        <v>46048</v>
      </c>
      <c r="X11">
        <v>2026</v>
      </c>
    </row>
    <row r="12" spans="1:24" x14ac:dyDescent="0.25">
      <c r="A12" s="1">
        <v>46063</v>
      </c>
      <c r="B12" t="s">
        <v>83</v>
      </c>
      <c r="C12" t="s">
        <v>84</v>
      </c>
      <c r="E12" t="s">
        <v>85</v>
      </c>
      <c r="F12" t="s">
        <v>74</v>
      </c>
      <c r="G12" t="s">
        <v>28</v>
      </c>
      <c r="H12" t="s">
        <v>68</v>
      </c>
      <c r="I12" t="s">
        <v>75</v>
      </c>
      <c r="J12" t="s">
        <v>86</v>
      </c>
      <c r="L12" s="1">
        <v>46082</v>
      </c>
      <c r="M12" s="1">
        <v>46082</v>
      </c>
      <c r="O12">
        <v>17886092</v>
      </c>
      <c r="P12" t="s">
        <v>32</v>
      </c>
      <c r="Q12" t="s">
        <v>87</v>
      </c>
      <c r="R12">
        <v>8192</v>
      </c>
      <c r="S12" t="s">
        <v>34</v>
      </c>
      <c r="T12" t="s">
        <v>35</v>
      </c>
      <c r="U12">
        <v>54.16</v>
      </c>
      <c r="V12" t="s">
        <v>36</v>
      </c>
      <c r="W12" s="1">
        <v>46045</v>
      </c>
      <c r="X12">
        <v>2026</v>
      </c>
    </row>
    <row r="13" spans="1:24" x14ac:dyDescent="0.25">
      <c r="A13" s="1">
        <v>46063</v>
      </c>
      <c r="B13" t="s">
        <v>88</v>
      </c>
      <c r="C13" t="s">
        <v>89</v>
      </c>
      <c r="E13" t="s">
        <v>90</v>
      </c>
      <c r="F13" t="s">
        <v>91</v>
      </c>
      <c r="G13" t="s">
        <v>50</v>
      </c>
      <c r="H13" t="s">
        <v>29</v>
      </c>
      <c r="I13" t="s">
        <v>92</v>
      </c>
      <c r="J13" t="s">
        <v>93</v>
      </c>
      <c r="L13" s="1">
        <v>46023</v>
      </c>
      <c r="M13" s="1">
        <v>46023</v>
      </c>
      <c r="N13" s="1">
        <v>46053</v>
      </c>
      <c r="O13">
        <v>18142208</v>
      </c>
      <c r="P13" t="s">
        <v>32</v>
      </c>
      <c r="Q13" t="s">
        <v>94</v>
      </c>
      <c r="R13">
        <v>8192</v>
      </c>
      <c r="S13" t="s">
        <v>34</v>
      </c>
      <c r="T13" t="s">
        <v>35</v>
      </c>
      <c r="U13">
        <v>-844</v>
      </c>
      <c r="V13" t="s">
        <v>95</v>
      </c>
      <c r="W13" s="1">
        <v>45999</v>
      </c>
      <c r="X13">
        <v>2026</v>
      </c>
    </row>
    <row r="14" spans="1:24" x14ac:dyDescent="0.25">
      <c r="A14" s="1">
        <v>46063</v>
      </c>
      <c r="B14" t="s">
        <v>96</v>
      </c>
      <c r="C14" t="s">
        <v>97</v>
      </c>
      <c r="E14" t="s">
        <v>98</v>
      </c>
      <c r="F14" t="s">
        <v>99</v>
      </c>
      <c r="G14" t="s">
        <v>28</v>
      </c>
      <c r="H14" t="s">
        <v>29</v>
      </c>
      <c r="I14" t="s">
        <v>75</v>
      </c>
      <c r="J14" t="s">
        <v>100</v>
      </c>
      <c r="L14" s="1">
        <v>46054</v>
      </c>
      <c r="M14" s="1">
        <v>46054</v>
      </c>
      <c r="O14">
        <v>17425766</v>
      </c>
      <c r="P14" t="s">
        <v>32</v>
      </c>
      <c r="Q14" t="s">
        <v>101</v>
      </c>
      <c r="R14">
        <v>8192</v>
      </c>
      <c r="S14" t="s">
        <v>34</v>
      </c>
      <c r="T14" t="s">
        <v>35</v>
      </c>
      <c r="U14">
        <v>455.58</v>
      </c>
      <c r="V14" t="s">
        <v>36</v>
      </c>
      <c r="W14" s="1">
        <v>46049</v>
      </c>
      <c r="X14">
        <v>2026</v>
      </c>
    </row>
    <row r="15" spans="1:24" x14ac:dyDescent="0.25">
      <c r="A15" s="1">
        <v>46063</v>
      </c>
      <c r="B15" t="s">
        <v>102</v>
      </c>
      <c r="C15" t="s">
        <v>103</v>
      </c>
      <c r="E15" t="s">
        <v>104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L15" s="1">
        <v>46054</v>
      </c>
      <c r="M15" s="1">
        <v>46054</v>
      </c>
      <c r="O15">
        <v>18828278</v>
      </c>
      <c r="P15" t="s">
        <v>32</v>
      </c>
      <c r="Q15" t="s">
        <v>105</v>
      </c>
      <c r="R15">
        <v>8192</v>
      </c>
      <c r="S15" t="s">
        <v>34</v>
      </c>
      <c r="T15" t="s">
        <v>35</v>
      </c>
      <c r="U15">
        <v>455.58</v>
      </c>
      <c r="V15" t="s">
        <v>36</v>
      </c>
      <c r="W15" s="1">
        <v>46048</v>
      </c>
      <c r="X15">
        <v>2026</v>
      </c>
    </row>
    <row r="16" spans="1:24" x14ac:dyDescent="0.25">
      <c r="A16" s="1">
        <v>46063</v>
      </c>
      <c r="B16" t="s">
        <v>106</v>
      </c>
      <c r="C16" t="s">
        <v>107</v>
      </c>
      <c r="E16" t="s">
        <v>108</v>
      </c>
      <c r="F16" t="s">
        <v>27</v>
      </c>
      <c r="G16" t="s">
        <v>28</v>
      </c>
      <c r="H16" t="s">
        <v>29</v>
      </c>
      <c r="I16" t="s">
        <v>42</v>
      </c>
      <c r="J16" t="s">
        <v>109</v>
      </c>
      <c r="L16" s="1">
        <v>46054</v>
      </c>
      <c r="M16" s="1">
        <v>46054</v>
      </c>
      <c r="O16">
        <v>2158366</v>
      </c>
      <c r="P16" t="s">
        <v>32</v>
      </c>
      <c r="Q16" t="s">
        <v>110</v>
      </c>
      <c r="R16">
        <v>8192</v>
      </c>
      <c r="S16" t="s">
        <v>34</v>
      </c>
      <c r="T16" t="s">
        <v>35</v>
      </c>
      <c r="U16">
        <v>455.58</v>
      </c>
      <c r="V16" t="s">
        <v>36</v>
      </c>
      <c r="W16" s="1">
        <v>46044</v>
      </c>
      <c r="X16">
        <v>2026</v>
      </c>
    </row>
    <row r="17" spans="1:24" x14ac:dyDescent="0.25">
      <c r="A17" s="1">
        <v>46063</v>
      </c>
      <c r="B17" t="s">
        <v>111</v>
      </c>
      <c r="C17" t="s">
        <v>112</v>
      </c>
      <c r="E17" t="s">
        <v>113</v>
      </c>
      <c r="F17" t="s">
        <v>27</v>
      </c>
      <c r="G17" t="s">
        <v>41</v>
      </c>
      <c r="H17" t="s">
        <v>29</v>
      </c>
      <c r="I17" t="s">
        <v>30</v>
      </c>
      <c r="J17" t="s">
        <v>31</v>
      </c>
      <c r="L17" s="1">
        <v>46023</v>
      </c>
      <c r="M17" s="1">
        <v>46023</v>
      </c>
      <c r="N17" s="1">
        <v>46053</v>
      </c>
      <c r="O17">
        <v>19615078</v>
      </c>
      <c r="P17" t="s">
        <v>32</v>
      </c>
      <c r="Q17" t="s">
        <v>114</v>
      </c>
      <c r="R17">
        <v>8192</v>
      </c>
      <c r="S17" t="s">
        <v>34</v>
      </c>
      <c r="T17" t="s">
        <v>35</v>
      </c>
      <c r="U17">
        <v>41.42</v>
      </c>
      <c r="V17" t="s">
        <v>36</v>
      </c>
      <c r="W17" s="1">
        <v>45997</v>
      </c>
      <c r="X17">
        <v>2026</v>
      </c>
    </row>
    <row r="18" spans="1:24" x14ac:dyDescent="0.25">
      <c r="A18" s="1">
        <v>46063</v>
      </c>
      <c r="B18" t="s">
        <v>111</v>
      </c>
      <c r="C18" t="s">
        <v>112</v>
      </c>
      <c r="E18" t="s">
        <v>113</v>
      </c>
      <c r="F18" t="s">
        <v>27</v>
      </c>
      <c r="G18" t="s">
        <v>45</v>
      </c>
      <c r="H18" t="s">
        <v>29</v>
      </c>
      <c r="I18" t="s">
        <v>30</v>
      </c>
      <c r="J18" t="s">
        <v>31</v>
      </c>
      <c r="L18" s="1">
        <v>46023</v>
      </c>
      <c r="M18" s="1">
        <v>46023</v>
      </c>
      <c r="N18" s="1">
        <v>46053</v>
      </c>
      <c r="O18">
        <v>19615078</v>
      </c>
      <c r="P18" t="s">
        <v>32</v>
      </c>
      <c r="Q18" t="s">
        <v>114</v>
      </c>
      <c r="R18">
        <v>8192</v>
      </c>
      <c r="S18" t="s">
        <v>34</v>
      </c>
      <c r="T18" t="s">
        <v>35</v>
      </c>
      <c r="U18">
        <v>-497</v>
      </c>
      <c r="V18" t="s">
        <v>36</v>
      </c>
      <c r="W18" s="1">
        <v>45997</v>
      </c>
      <c r="X18">
        <v>2026</v>
      </c>
    </row>
    <row r="19" spans="1:24" x14ac:dyDescent="0.25">
      <c r="A19" s="1">
        <v>46063</v>
      </c>
      <c r="B19" t="s">
        <v>115</v>
      </c>
      <c r="C19" t="s">
        <v>116</v>
      </c>
      <c r="E19" t="s">
        <v>117</v>
      </c>
      <c r="F19" t="s">
        <v>74</v>
      </c>
      <c r="G19" t="s">
        <v>28</v>
      </c>
      <c r="H19" t="s">
        <v>29</v>
      </c>
      <c r="I19" t="s">
        <v>75</v>
      </c>
      <c r="J19" t="s">
        <v>118</v>
      </c>
      <c r="L19" s="1">
        <v>46054</v>
      </c>
      <c r="M19" s="1">
        <v>46054</v>
      </c>
      <c r="O19">
        <v>17886092</v>
      </c>
      <c r="P19" t="s">
        <v>32</v>
      </c>
      <c r="Q19" t="s">
        <v>87</v>
      </c>
      <c r="R19">
        <v>8192</v>
      </c>
      <c r="S19" t="s">
        <v>34</v>
      </c>
      <c r="T19" t="s">
        <v>35</v>
      </c>
      <c r="U19">
        <v>59.59</v>
      </c>
      <c r="V19" t="s">
        <v>36</v>
      </c>
      <c r="W19" s="1">
        <v>46043</v>
      </c>
      <c r="X19">
        <v>2026</v>
      </c>
    </row>
    <row r="20" spans="1:24" x14ac:dyDescent="0.25">
      <c r="A20" s="1">
        <v>46063</v>
      </c>
      <c r="B20" t="s">
        <v>119</v>
      </c>
      <c r="C20" t="s">
        <v>120</v>
      </c>
      <c r="E20" t="s">
        <v>121</v>
      </c>
      <c r="F20" t="s">
        <v>74</v>
      </c>
      <c r="G20" t="s">
        <v>28</v>
      </c>
      <c r="H20" t="s">
        <v>29</v>
      </c>
      <c r="I20" t="s">
        <v>75</v>
      </c>
      <c r="J20" t="s">
        <v>76</v>
      </c>
      <c r="L20" s="1">
        <v>46054</v>
      </c>
      <c r="M20" s="1">
        <v>46054</v>
      </c>
      <c r="O20">
        <v>17528908</v>
      </c>
      <c r="P20" t="s">
        <v>32</v>
      </c>
      <c r="Q20" t="s">
        <v>77</v>
      </c>
      <c r="R20">
        <v>8192</v>
      </c>
      <c r="S20" t="s">
        <v>34</v>
      </c>
      <c r="T20" t="s">
        <v>35</v>
      </c>
      <c r="U20">
        <v>495.92</v>
      </c>
      <c r="V20" t="s">
        <v>36</v>
      </c>
      <c r="W20" s="1">
        <v>46043</v>
      </c>
      <c r="X20">
        <v>2026</v>
      </c>
    </row>
    <row r="21" spans="1:24" x14ac:dyDescent="0.25">
      <c r="A21" s="1">
        <v>46063</v>
      </c>
      <c r="B21" t="s">
        <v>122</v>
      </c>
      <c r="C21" t="s">
        <v>123</v>
      </c>
      <c r="E21" t="s">
        <v>124</v>
      </c>
      <c r="F21" t="s">
        <v>125</v>
      </c>
      <c r="G21" t="s">
        <v>28</v>
      </c>
      <c r="H21" t="s">
        <v>29</v>
      </c>
      <c r="I21" t="s">
        <v>126</v>
      </c>
      <c r="J21" t="s">
        <v>127</v>
      </c>
      <c r="L21" s="1">
        <v>46054</v>
      </c>
      <c r="M21" s="1">
        <v>46054</v>
      </c>
      <c r="O21">
        <v>17117649</v>
      </c>
      <c r="P21" t="s">
        <v>32</v>
      </c>
      <c r="Q21" t="s">
        <v>128</v>
      </c>
      <c r="R21">
        <v>8192</v>
      </c>
      <c r="S21" t="s">
        <v>34</v>
      </c>
      <c r="T21" t="s">
        <v>35</v>
      </c>
      <c r="U21">
        <v>455.58</v>
      </c>
      <c r="V21" t="s">
        <v>36</v>
      </c>
      <c r="W21" s="1">
        <v>46044</v>
      </c>
      <c r="X21">
        <v>2026</v>
      </c>
    </row>
    <row r="22" spans="1:24" x14ac:dyDescent="0.25">
      <c r="A22" s="1">
        <v>46063</v>
      </c>
      <c r="B22" t="s">
        <v>129</v>
      </c>
      <c r="C22" t="s">
        <v>130</v>
      </c>
      <c r="E22" t="s">
        <v>131</v>
      </c>
      <c r="F22" t="s">
        <v>91</v>
      </c>
      <c r="G22" t="s">
        <v>132</v>
      </c>
      <c r="H22" t="s">
        <v>133</v>
      </c>
      <c r="I22" t="s">
        <v>92</v>
      </c>
      <c r="J22" t="s">
        <v>134</v>
      </c>
      <c r="K22" t="s">
        <v>135</v>
      </c>
      <c r="L22" s="1">
        <v>46054</v>
      </c>
      <c r="M22" s="1">
        <v>44562</v>
      </c>
      <c r="R22">
        <v>8192</v>
      </c>
      <c r="T22" t="s">
        <v>136</v>
      </c>
      <c r="U22">
        <v>55</v>
      </c>
      <c r="V22" t="s">
        <v>137</v>
      </c>
      <c r="W22" s="1">
        <v>44501</v>
      </c>
      <c r="X22">
        <v>2026</v>
      </c>
    </row>
    <row r="23" spans="1:24" x14ac:dyDescent="0.25">
      <c r="A23" s="1">
        <v>46063</v>
      </c>
      <c r="B23" t="s">
        <v>138</v>
      </c>
      <c r="C23" t="s">
        <v>139</v>
      </c>
      <c r="E23" t="s">
        <v>140</v>
      </c>
      <c r="F23" t="s">
        <v>74</v>
      </c>
      <c r="G23" t="s">
        <v>28</v>
      </c>
      <c r="H23" t="s">
        <v>29</v>
      </c>
      <c r="I23" t="s">
        <v>75</v>
      </c>
      <c r="J23" t="s">
        <v>141</v>
      </c>
      <c r="L23" s="1">
        <v>46054</v>
      </c>
      <c r="M23" s="1">
        <v>46054</v>
      </c>
      <c r="O23">
        <v>20253958</v>
      </c>
      <c r="P23" t="s">
        <v>32</v>
      </c>
      <c r="Q23" t="s">
        <v>142</v>
      </c>
      <c r="R23">
        <v>8192</v>
      </c>
      <c r="S23" t="s">
        <v>34</v>
      </c>
      <c r="T23" t="s">
        <v>35</v>
      </c>
      <c r="U23">
        <v>59.59</v>
      </c>
      <c r="V23" t="s">
        <v>36</v>
      </c>
      <c r="W23" s="1">
        <v>46043</v>
      </c>
      <c r="X23">
        <v>2026</v>
      </c>
    </row>
    <row r="24" spans="1:24" x14ac:dyDescent="0.25">
      <c r="A24" s="1">
        <v>46063</v>
      </c>
      <c r="B24" t="s">
        <v>143</v>
      </c>
      <c r="C24" t="s">
        <v>144</v>
      </c>
      <c r="E24" t="s">
        <v>145</v>
      </c>
      <c r="F24" t="s">
        <v>40</v>
      </c>
      <c r="G24" t="s">
        <v>50</v>
      </c>
      <c r="H24" t="s">
        <v>29</v>
      </c>
      <c r="I24" t="s">
        <v>42</v>
      </c>
      <c r="J24" t="s">
        <v>146</v>
      </c>
      <c r="L24" s="1">
        <v>46023</v>
      </c>
      <c r="M24" s="1">
        <v>46023</v>
      </c>
      <c r="N24" s="1">
        <v>46053</v>
      </c>
      <c r="O24">
        <v>17516272</v>
      </c>
      <c r="P24" t="s">
        <v>32</v>
      </c>
      <c r="Q24" t="s">
        <v>147</v>
      </c>
      <c r="R24">
        <v>8192</v>
      </c>
      <c r="S24" t="s">
        <v>34</v>
      </c>
      <c r="T24" t="s">
        <v>35</v>
      </c>
      <c r="U24">
        <v>-497</v>
      </c>
      <c r="V24" t="s">
        <v>36</v>
      </c>
      <c r="W24" s="1">
        <v>45984</v>
      </c>
      <c r="X24">
        <v>2026</v>
      </c>
    </row>
    <row r="25" spans="1:24" x14ac:dyDescent="0.25">
      <c r="A25" s="1">
        <v>46063</v>
      </c>
      <c r="B25" t="s">
        <v>148</v>
      </c>
      <c r="C25" t="s">
        <v>149</v>
      </c>
      <c r="E25" t="s">
        <v>150</v>
      </c>
      <c r="F25" t="s">
        <v>27</v>
      </c>
      <c r="G25" t="s">
        <v>28</v>
      </c>
      <c r="H25" t="s">
        <v>29</v>
      </c>
      <c r="I25" t="s">
        <v>30</v>
      </c>
      <c r="J25" t="s">
        <v>62</v>
      </c>
      <c r="L25" s="1">
        <v>46054</v>
      </c>
      <c r="M25" s="1">
        <v>46054</v>
      </c>
      <c r="O25">
        <v>8244481</v>
      </c>
      <c r="P25" t="s">
        <v>32</v>
      </c>
      <c r="Q25" t="s">
        <v>63</v>
      </c>
      <c r="R25">
        <v>8192</v>
      </c>
      <c r="S25" t="s">
        <v>34</v>
      </c>
      <c r="T25" t="s">
        <v>35</v>
      </c>
      <c r="U25">
        <v>455.58</v>
      </c>
      <c r="V25" t="s">
        <v>36</v>
      </c>
      <c r="W25" s="1">
        <v>46048</v>
      </c>
      <c r="X25">
        <v>2026</v>
      </c>
    </row>
    <row r="26" spans="1:24" x14ac:dyDescent="0.25">
      <c r="A26" s="1">
        <v>46063</v>
      </c>
      <c r="B26" t="s">
        <v>151</v>
      </c>
      <c r="C26" t="s">
        <v>152</v>
      </c>
      <c r="E26" t="s">
        <v>153</v>
      </c>
      <c r="F26" t="s">
        <v>154</v>
      </c>
      <c r="G26" t="s">
        <v>155</v>
      </c>
      <c r="H26" t="s">
        <v>29</v>
      </c>
      <c r="I26" t="s">
        <v>156</v>
      </c>
      <c r="J26" t="s">
        <v>157</v>
      </c>
      <c r="L26" s="1">
        <v>46023</v>
      </c>
      <c r="M26" s="1">
        <v>45870</v>
      </c>
      <c r="O26">
        <v>16378851</v>
      </c>
      <c r="P26" t="s">
        <v>32</v>
      </c>
      <c r="Q26" t="s">
        <v>158</v>
      </c>
      <c r="R26">
        <v>8192</v>
      </c>
      <c r="S26" t="s">
        <v>159</v>
      </c>
      <c r="T26" t="s">
        <v>35</v>
      </c>
      <c r="U26">
        <v>40.17</v>
      </c>
      <c r="V26" t="s">
        <v>36</v>
      </c>
      <c r="W26" s="1">
        <v>45854</v>
      </c>
      <c r="X26">
        <v>2026</v>
      </c>
    </row>
    <row r="27" spans="1:24" x14ac:dyDescent="0.25">
      <c r="A27" s="1">
        <v>46063</v>
      </c>
      <c r="B27" t="s">
        <v>160</v>
      </c>
      <c r="C27" t="s">
        <v>161</v>
      </c>
      <c r="E27" t="s">
        <v>162</v>
      </c>
      <c r="F27" t="s">
        <v>74</v>
      </c>
      <c r="G27" t="s">
        <v>28</v>
      </c>
      <c r="H27" t="s">
        <v>29</v>
      </c>
      <c r="I27" t="s">
        <v>75</v>
      </c>
      <c r="J27" t="s">
        <v>163</v>
      </c>
      <c r="L27" s="1">
        <v>46054</v>
      </c>
      <c r="M27" s="1">
        <v>46054</v>
      </c>
      <c r="O27">
        <v>17886092</v>
      </c>
      <c r="P27" t="s">
        <v>32</v>
      </c>
      <c r="Q27" t="s">
        <v>87</v>
      </c>
      <c r="R27">
        <v>8192</v>
      </c>
      <c r="S27" t="s">
        <v>34</v>
      </c>
      <c r="T27" t="s">
        <v>35</v>
      </c>
      <c r="U27">
        <v>59.59</v>
      </c>
      <c r="V27" t="s">
        <v>36</v>
      </c>
      <c r="W27" s="1">
        <v>46045</v>
      </c>
      <c r="X27">
        <v>2026</v>
      </c>
    </row>
    <row r="28" spans="1:24" x14ac:dyDescent="0.25">
      <c r="A28" s="1">
        <v>46063</v>
      </c>
      <c r="B28" t="s">
        <v>164</v>
      </c>
      <c r="C28" t="s">
        <v>165</v>
      </c>
      <c r="E28" t="s">
        <v>166</v>
      </c>
      <c r="F28" t="s">
        <v>167</v>
      </c>
      <c r="G28" t="s">
        <v>50</v>
      </c>
      <c r="H28" t="s">
        <v>29</v>
      </c>
      <c r="I28" t="s">
        <v>168</v>
      </c>
      <c r="J28" t="s">
        <v>169</v>
      </c>
      <c r="L28" s="1">
        <v>46023</v>
      </c>
      <c r="M28" s="1">
        <v>46023</v>
      </c>
      <c r="N28" s="1">
        <v>46053</v>
      </c>
      <c r="O28">
        <v>7470776</v>
      </c>
      <c r="P28" t="s">
        <v>32</v>
      </c>
      <c r="Q28" t="s">
        <v>170</v>
      </c>
      <c r="R28">
        <v>8192</v>
      </c>
      <c r="S28" t="s">
        <v>34</v>
      </c>
      <c r="T28" t="s">
        <v>35</v>
      </c>
      <c r="U28">
        <v>-844</v>
      </c>
      <c r="V28" t="s">
        <v>95</v>
      </c>
      <c r="W28" s="1">
        <v>46006</v>
      </c>
      <c r="X28">
        <v>2026</v>
      </c>
    </row>
    <row r="29" spans="1:24" x14ac:dyDescent="0.25">
      <c r="A29" s="1">
        <v>46063</v>
      </c>
      <c r="B29" t="s">
        <v>171</v>
      </c>
      <c r="C29" t="s">
        <v>172</v>
      </c>
      <c r="E29" t="s">
        <v>173</v>
      </c>
      <c r="F29" t="s">
        <v>74</v>
      </c>
      <c r="G29" t="s">
        <v>28</v>
      </c>
      <c r="H29" t="s">
        <v>29</v>
      </c>
      <c r="I29" t="s">
        <v>75</v>
      </c>
      <c r="J29" t="s">
        <v>76</v>
      </c>
      <c r="L29" s="1">
        <v>46054</v>
      </c>
      <c r="M29" s="1">
        <v>46054</v>
      </c>
      <c r="O29">
        <v>17886092</v>
      </c>
      <c r="P29" t="s">
        <v>32</v>
      </c>
      <c r="Q29" t="s">
        <v>87</v>
      </c>
      <c r="R29">
        <v>8192</v>
      </c>
      <c r="S29" t="s">
        <v>34</v>
      </c>
      <c r="T29" t="s">
        <v>35</v>
      </c>
      <c r="U29">
        <v>59.59</v>
      </c>
      <c r="V29" t="s">
        <v>36</v>
      </c>
      <c r="W29" s="1">
        <v>46045</v>
      </c>
      <c r="X29">
        <v>2026</v>
      </c>
    </row>
    <row r="30" spans="1:24" x14ac:dyDescent="0.25">
      <c r="A30" s="1"/>
      <c r="L30" s="1"/>
      <c r="M30" s="1"/>
      <c r="W30" s="1"/>
    </row>
    <row r="31" spans="1:24" x14ac:dyDescent="0.25">
      <c r="A31" s="1"/>
      <c r="L31" s="1"/>
      <c r="M31" s="1"/>
      <c r="W31" s="1"/>
    </row>
    <row r="32" spans="1:24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  <row r="34" spans="1:23" x14ac:dyDescent="0.25">
      <c r="A34" s="1"/>
      <c r="L34" s="1"/>
      <c r="M34" s="1"/>
      <c r="N34" s="1"/>
      <c r="W34" s="1"/>
    </row>
    <row r="35" spans="1:23" x14ac:dyDescent="0.25">
      <c r="A35" s="1"/>
      <c r="L35" s="1"/>
      <c r="M35" s="1"/>
      <c r="W35" s="1"/>
    </row>
    <row r="36" spans="1:23" x14ac:dyDescent="0.25">
      <c r="A36" s="1"/>
      <c r="L36" s="1"/>
      <c r="M36" s="1"/>
      <c r="W36" s="1"/>
    </row>
    <row r="37" spans="1:23" x14ac:dyDescent="0.25">
      <c r="A37" s="1"/>
      <c r="L37" s="1"/>
      <c r="M37" s="1"/>
      <c r="W37" s="1"/>
    </row>
    <row r="38" spans="1:23" x14ac:dyDescent="0.25">
      <c r="A38" s="1"/>
      <c r="L38" s="1"/>
      <c r="M38" s="1"/>
      <c r="N38" s="1"/>
      <c r="W38" s="1"/>
    </row>
    <row r="39" spans="1:23" x14ac:dyDescent="0.25">
      <c r="A39" s="1"/>
      <c r="L39" s="1"/>
      <c r="M39" s="1"/>
      <c r="N39" s="1"/>
      <c r="W39" s="1"/>
    </row>
    <row r="40" spans="1:23" x14ac:dyDescent="0.25">
      <c r="A40" s="1"/>
      <c r="L40" s="1"/>
      <c r="M40" s="1"/>
      <c r="W40" s="1"/>
    </row>
    <row r="43" spans="1:23" x14ac:dyDescent="0.25">
      <c r="A43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ECD0-D7E4-4CB2-828D-51811449A22B}">
  <dimension ref="A1:AC60"/>
  <sheetViews>
    <sheetView tabSelected="1" topLeftCell="C2" workbookViewId="0">
      <selection activeCell="R2" sqref="R2:R23"/>
    </sheetView>
  </sheetViews>
  <sheetFormatPr defaultRowHeight="15" x14ac:dyDescent="0.25"/>
  <cols>
    <col min="1" max="1" width="17.28515625" bestFit="1" customWidth="1"/>
    <col min="2" max="2" width="17.28515625" customWidth="1"/>
    <col min="3" max="3" width="23.7109375" bestFit="1" customWidth="1"/>
    <col min="4" max="5" width="23.7109375" customWidth="1"/>
    <col min="6" max="6" width="13.7109375" bestFit="1" customWidth="1"/>
    <col min="7" max="7" width="28" bestFit="1" customWidth="1"/>
    <col min="8" max="8" width="7.85546875" bestFit="1" customWidth="1"/>
    <col min="9" max="9" width="11.42578125" customWidth="1"/>
    <col min="10" max="10" width="10.140625" customWidth="1"/>
    <col min="11" max="11" width="11" customWidth="1"/>
    <col min="12" max="12" width="6.7109375" customWidth="1"/>
    <col min="13" max="13" width="22.140625" bestFit="1" customWidth="1"/>
    <col min="14" max="14" width="8" customWidth="1"/>
    <col min="15" max="15" width="14.140625" bestFit="1" customWidth="1"/>
    <col min="17" max="17" width="21.140625" bestFit="1" customWidth="1"/>
  </cols>
  <sheetData>
    <row r="1" spans="1:29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15</v>
      </c>
      <c r="M1" t="s">
        <v>16</v>
      </c>
      <c r="N1" t="s">
        <v>18</v>
      </c>
      <c r="O1" t="s">
        <v>20</v>
      </c>
    </row>
    <row r="2" spans="1:29" s="2" customFormat="1" x14ac:dyDescent="0.25">
      <c r="A2" s="2" t="s">
        <v>122</v>
      </c>
      <c r="B2" s="2" t="str">
        <f>CONCATENATE(A2,89)</f>
        <v>4TM9XJ5GP1989</v>
      </c>
      <c r="C2" s="2" t="s">
        <v>190</v>
      </c>
      <c r="D2" s="2" t="s">
        <v>191</v>
      </c>
      <c r="E2" s="2" t="str">
        <f>CONCATENATE(D2," ",C2)</f>
        <v>BEA NANCE</v>
      </c>
      <c r="F2" s="2" t="s">
        <v>125</v>
      </c>
      <c r="G2" s="2" t="s">
        <v>28</v>
      </c>
      <c r="H2" s="2" t="s">
        <v>29</v>
      </c>
      <c r="I2" s="3">
        <v>46054</v>
      </c>
      <c r="J2" s="3">
        <v>46054</v>
      </c>
      <c r="K2" s="2">
        <v>17117649</v>
      </c>
      <c r="L2" s="2" t="s">
        <v>32</v>
      </c>
      <c r="M2" s="2" t="s">
        <v>128</v>
      </c>
      <c r="N2" s="2" t="s">
        <v>34</v>
      </c>
      <c r="O2" s="2">
        <v>455.58</v>
      </c>
      <c r="P2" s="2">
        <v>318.08</v>
      </c>
      <c r="Q2" s="2" t="s">
        <v>178</v>
      </c>
      <c r="R2" s="2" t="s">
        <v>182</v>
      </c>
    </row>
    <row r="3" spans="1:29" s="2" customFormat="1" x14ac:dyDescent="0.25">
      <c r="A3" s="2" t="s">
        <v>46</v>
      </c>
      <c r="B3" s="2" t="str">
        <f>CONCATENATE(A3,89)</f>
        <v>8K97TX6PY7689</v>
      </c>
      <c r="C3" s="2" t="s">
        <v>192</v>
      </c>
      <c r="D3" s="2" t="s">
        <v>193</v>
      </c>
      <c r="E3" s="2" t="str">
        <f t="shared" ref="E3:E50" si="0">CONCATENATE(D3," ",C3)</f>
        <v>ROSA DELAFUENTE</v>
      </c>
      <c r="F3" s="2" t="s">
        <v>49</v>
      </c>
      <c r="G3" s="2" t="s">
        <v>50</v>
      </c>
      <c r="H3" s="2" t="s">
        <v>29</v>
      </c>
      <c r="I3" s="3">
        <v>46023</v>
      </c>
      <c r="J3" s="3">
        <v>46023</v>
      </c>
      <c r="K3" s="2">
        <v>21749481</v>
      </c>
      <c r="L3" s="2" t="s">
        <v>32</v>
      </c>
      <c r="M3" s="2" t="s">
        <v>53</v>
      </c>
      <c r="N3" s="2" t="s">
        <v>34</v>
      </c>
      <c r="O3" s="2">
        <v>-497</v>
      </c>
      <c r="P3" s="2">
        <v>-347</v>
      </c>
      <c r="Q3" s="2" t="s">
        <v>178</v>
      </c>
      <c r="R3" s="2" t="s">
        <v>179</v>
      </c>
    </row>
    <row r="4" spans="1:29" s="4" customFormat="1" x14ac:dyDescent="0.25">
      <c r="A4" s="2" t="s">
        <v>164</v>
      </c>
      <c r="B4" s="2" t="str">
        <f>CONCATENATE(A4,77)</f>
        <v>7E50KK4WP4577</v>
      </c>
      <c r="C4" s="2" t="s">
        <v>194</v>
      </c>
      <c r="D4" s="2" t="s">
        <v>195</v>
      </c>
      <c r="E4" s="2" t="str">
        <f t="shared" si="0"/>
        <v>ELIZABETH WILSON</v>
      </c>
      <c r="F4" s="2" t="s">
        <v>167</v>
      </c>
      <c r="G4" s="2" t="s">
        <v>50</v>
      </c>
      <c r="H4" s="2" t="s">
        <v>29</v>
      </c>
      <c r="I4" s="3">
        <v>46023</v>
      </c>
      <c r="J4" s="3">
        <v>46023</v>
      </c>
      <c r="K4" s="2">
        <v>7470776</v>
      </c>
      <c r="L4" s="2" t="s">
        <v>32</v>
      </c>
      <c r="M4" s="2" t="s">
        <v>170</v>
      </c>
      <c r="N4" s="2" t="s">
        <v>34</v>
      </c>
      <c r="O4" s="2">
        <v>-844</v>
      </c>
      <c r="P4" s="2">
        <v>-694</v>
      </c>
      <c r="Q4" s="2" t="s">
        <v>176</v>
      </c>
      <c r="R4" s="2" t="s">
        <v>175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s="4" customFormat="1" x14ac:dyDescent="0.25">
      <c r="A5" s="2" t="s">
        <v>151</v>
      </c>
      <c r="B5" s="2" t="str">
        <f>CONCATENATE(A5,89)</f>
        <v>7DR9WP2MF3689</v>
      </c>
      <c r="C5" s="2" t="s">
        <v>196</v>
      </c>
      <c r="D5" s="2" t="s">
        <v>197</v>
      </c>
      <c r="E5" s="2" t="str">
        <f t="shared" si="0"/>
        <v>DEBORAH STUDEBAKER</v>
      </c>
      <c r="F5" s="2" t="s">
        <v>154</v>
      </c>
      <c r="G5" s="2" t="s">
        <v>155</v>
      </c>
      <c r="H5" s="2" t="s">
        <v>29</v>
      </c>
      <c r="I5" s="3">
        <v>46023</v>
      </c>
      <c r="J5" s="3">
        <v>45870</v>
      </c>
      <c r="K5" s="2">
        <v>1706194</v>
      </c>
      <c r="L5" s="2" t="s">
        <v>32</v>
      </c>
      <c r="M5" s="2" t="s">
        <v>158</v>
      </c>
      <c r="N5" s="2" t="s">
        <v>159</v>
      </c>
      <c r="O5" s="2">
        <v>40.17</v>
      </c>
      <c r="P5" s="2">
        <v>36</v>
      </c>
      <c r="Q5" s="2" t="s">
        <v>181</v>
      </c>
      <c r="R5" s="2" t="s">
        <v>180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s="2" customFormat="1" x14ac:dyDescent="0.25">
      <c r="A6" s="2" t="s">
        <v>59</v>
      </c>
      <c r="B6" s="2" t="str">
        <f>CONCATENATE(A6,89)</f>
        <v>1HV9XT2AE1089</v>
      </c>
      <c r="C6" s="2" t="s">
        <v>198</v>
      </c>
      <c r="D6" s="2" t="s">
        <v>199</v>
      </c>
      <c r="E6" s="2" t="str">
        <f t="shared" si="0"/>
        <v>MARTHA ECKERT</v>
      </c>
      <c r="F6" s="2" t="s">
        <v>27</v>
      </c>
      <c r="G6" s="2" t="s">
        <v>28</v>
      </c>
      <c r="H6" s="2" t="s">
        <v>29</v>
      </c>
      <c r="I6" s="3">
        <v>46113</v>
      </c>
      <c r="J6" s="3">
        <v>46113</v>
      </c>
      <c r="K6" s="2">
        <v>8244481</v>
      </c>
      <c r="L6" s="2" t="s">
        <v>32</v>
      </c>
      <c r="M6" s="2" t="s">
        <v>63</v>
      </c>
      <c r="N6" s="2" t="s">
        <v>34</v>
      </c>
      <c r="O6" s="2">
        <v>372.75</v>
      </c>
      <c r="P6" s="2">
        <v>260.25</v>
      </c>
      <c r="Q6" s="2" t="s">
        <v>178</v>
      </c>
      <c r="R6" s="2" t="s">
        <v>185</v>
      </c>
      <c r="U6" s="2">
        <f>347/12*9</f>
        <v>260.25</v>
      </c>
    </row>
    <row r="7" spans="1:29" s="2" customFormat="1" x14ac:dyDescent="0.25">
      <c r="A7" s="2" t="s">
        <v>148</v>
      </c>
      <c r="B7" s="2" t="str">
        <f>CONCATENATE(A7,89)</f>
        <v>5JR2CX2EU9789</v>
      </c>
      <c r="C7" s="2" t="s">
        <v>200</v>
      </c>
      <c r="D7" s="2" t="s">
        <v>201</v>
      </c>
      <c r="E7" s="2" t="str">
        <f t="shared" si="0"/>
        <v>JENNA SINES</v>
      </c>
      <c r="F7" s="2" t="s">
        <v>27</v>
      </c>
      <c r="G7" s="2" t="s">
        <v>28</v>
      </c>
      <c r="H7" s="2" t="s">
        <v>29</v>
      </c>
      <c r="I7" s="3">
        <v>46054</v>
      </c>
      <c r="J7" s="3">
        <v>46054</v>
      </c>
      <c r="K7" s="2">
        <v>8244481</v>
      </c>
      <c r="L7" s="2" t="s">
        <v>32</v>
      </c>
      <c r="M7" s="2" t="s">
        <v>63</v>
      </c>
      <c r="N7" s="2" t="s">
        <v>34</v>
      </c>
      <c r="O7" s="2">
        <v>455.58</v>
      </c>
      <c r="P7" s="2">
        <v>318.08</v>
      </c>
      <c r="Q7" s="2" t="s">
        <v>178</v>
      </c>
      <c r="R7" s="2" t="s">
        <v>182</v>
      </c>
    </row>
    <row r="8" spans="1:29" s="2" customFormat="1" x14ac:dyDescent="0.25">
      <c r="A8" s="2" t="s">
        <v>102</v>
      </c>
      <c r="B8" s="2" t="str">
        <f>CONCATENATE(A8,89)</f>
        <v>9T37RK9PF7589</v>
      </c>
      <c r="C8" s="2" t="s">
        <v>202</v>
      </c>
      <c r="D8" s="2" t="s">
        <v>203</v>
      </c>
      <c r="E8" s="2" t="str">
        <f t="shared" si="0"/>
        <v>DEBRA HOSETTE</v>
      </c>
      <c r="F8" s="2" t="s">
        <v>27</v>
      </c>
      <c r="G8" s="2" t="s">
        <v>28</v>
      </c>
      <c r="H8" s="2" t="s">
        <v>29</v>
      </c>
      <c r="I8" s="3">
        <v>46054</v>
      </c>
      <c r="J8" s="3">
        <v>46054</v>
      </c>
      <c r="K8" s="2">
        <v>18828278</v>
      </c>
      <c r="L8" s="2" t="s">
        <v>32</v>
      </c>
      <c r="M8" s="2" t="s">
        <v>105</v>
      </c>
      <c r="N8" s="2" t="s">
        <v>34</v>
      </c>
      <c r="O8" s="2">
        <v>455.58</v>
      </c>
      <c r="P8" s="2">
        <v>318.08</v>
      </c>
      <c r="Q8" s="2" t="s">
        <v>178</v>
      </c>
      <c r="R8" s="2" t="s">
        <v>182</v>
      </c>
    </row>
    <row r="9" spans="1:29" s="2" customFormat="1" x14ac:dyDescent="0.25">
      <c r="A9" s="2" t="s">
        <v>96</v>
      </c>
      <c r="B9" s="2" t="str">
        <f>CONCATENATE(A9,89)</f>
        <v>4U90Y35GE3189</v>
      </c>
      <c r="C9" s="2" t="s">
        <v>204</v>
      </c>
      <c r="D9" s="2" t="s">
        <v>205</v>
      </c>
      <c r="E9" s="2" t="str">
        <f t="shared" si="0"/>
        <v>JOHN HORNYAK</v>
      </c>
      <c r="F9" s="2" t="s">
        <v>99</v>
      </c>
      <c r="G9" s="2" t="s">
        <v>28</v>
      </c>
      <c r="H9" s="2" t="s">
        <v>29</v>
      </c>
      <c r="I9" s="3">
        <v>46054</v>
      </c>
      <c r="J9" s="3">
        <v>46054</v>
      </c>
      <c r="K9" s="2">
        <v>17425766</v>
      </c>
      <c r="L9" s="2" t="s">
        <v>32</v>
      </c>
      <c r="M9" s="2" t="s">
        <v>101</v>
      </c>
      <c r="N9" s="2" t="s">
        <v>34</v>
      </c>
      <c r="O9" s="2">
        <v>455.58</v>
      </c>
      <c r="P9" s="2">
        <v>318.08</v>
      </c>
      <c r="Q9" s="2" t="s">
        <v>178</v>
      </c>
      <c r="R9" s="2" t="s">
        <v>182</v>
      </c>
    </row>
    <row r="10" spans="1:29" s="2" customFormat="1" x14ac:dyDescent="0.25">
      <c r="A10" s="2" t="s">
        <v>78</v>
      </c>
      <c r="B10" s="2" t="str">
        <f>CONCATENATE(A10,89)</f>
        <v>4Q82TY8NQ0089</v>
      </c>
      <c r="C10" s="2" t="s">
        <v>206</v>
      </c>
      <c r="D10" s="2" t="s">
        <v>207</v>
      </c>
      <c r="E10" s="2" t="str">
        <f t="shared" si="0"/>
        <v>MICHAEL HANSON</v>
      </c>
      <c r="F10" s="2" t="s">
        <v>27</v>
      </c>
      <c r="G10" s="2" t="s">
        <v>28</v>
      </c>
      <c r="H10" s="2" t="s">
        <v>29</v>
      </c>
      <c r="I10" s="3">
        <v>46054</v>
      </c>
      <c r="J10" s="3">
        <v>46054</v>
      </c>
      <c r="K10" s="2">
        <v>18581063</v>
      </c>
      <c r="L10" s="2" t="s">
        <v>32</v>
      </c>
      <c r="M10" s="2" t="s">
        <v>82</v>
      </c>
      <c r="N10" s="2" t="s">
        <v>34</v>
      </c>
      <c r="O10" s="2">
        <v>455.58</v>
      </c>
      <c r="P10" s="2">
        <v>318.08</v>
      </c>
      <c r="Q10" s="2" t="s">
        <v>178</v>
      </c>
      <c r="R10" s="2" t="s">
        <v>182</v>
      </c>
    </row>
    <row r="11" spans="1:29" s="4" customFormat="1" x14ac:dyDescent="0.25">
      <c r="A11" s="2" t="s">
        <v>106</v>
      </c>
      <c r="B11" s="2" t="str">
        <f>CONCATENATE(A11,89)</f>
        <v>1E14K04RP7189</v>
      </c>
      <c r="C11" s="2" t="s">
        <v>208</v>
      </c>
      <c r="D11" s="2" t="s">
        <v>207</v>
      </c>
      <c r="E11" s="2" t="str">
        <f t="shared" si="0"/>
        <v>MICHAEL HUBERTY</v>
      </c>
      <c r="F11" s="2" t="s">
        <v>27</v>
      </c>
      <c r="G11" s="2" t="s">
        <v>28</v>
      </c>
      <c r="H11" s="2" t="s">
        <v>29</v>
      </c>
      <c r="I11" s="3">
        <v>46054</v>
      </c>
      <c r="J11" s="3">
        <v>46054</v>
      </c>
      <c r="K11" s="2">
        <v>2158366</v>
      </c>
      <c r="L11" s="2" t="s">
        <v>32</v>
      </c>
      <c r="M11" s="2" t="s">
        <v>110</v>
      </c>
      <c r="N11" s="2" t="s">
        <v>34</v>
      </c>
      <c r="O11" s="2">
        <v>455.58</v>
      </c>
      <c r="P11" s="2">
        <v>318.08</v>
      </c>
      <c r="Q11" s="2" t="s">
        <v>178</v>
      </c>
      <c r="R11" s="2" t="s">
        <v>182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s="4" customFormat="1" x14ac:dyDescent="0.25">
      <c r="A12" s="2" t="s">
        <v>71</v>
      </c>
      <c r="B12" s="2" t="str">
        <f>CONCATENATE(A12,89)</f>
        <v>4DN0G18WG4489</v>
      </c>
      <c r="C12" s="2" t="s">
        <v>209</v>
      </c>
      <c r="D12" s="2" t="s">
        <v>210</v>
      </c>
      <c r="E12" s="2" t="str">
        <f t="shared" si="0"/>
        <v>BARRY GASPER</v>
      </c>
      <c r="F12" s="2" t="s">
        <v>74</v>
      </c>
      <c r="G12" s="2" t="s">
        <v>28</v>
      </c>
      <c r="H12" s="2" t="s">
        <v>29</v>
      </c>
      <c r="I12" s="3">
        <v>46054</v>
      </c>
      <c r="J12" s="3">
        <v>46054</v>
      </c>
      <c r="K12" s="2" t="s">
        <v>189</v>
      </c>
      <c r="L12" s="2" t="s">
        <v>32</v>
      </c>
      <c r="M12" s="2" t="s">
        <v>77</v>
      </c>
      <c r="N12" s="2" t="s">
        <v>34</v>
      </c>
      <c r="O12" s="2">
        <v>495.92</v>
      </c>
      <c r="P12" s="2">
        <v>358.42</v>
      </c>
      <c r="Q12" s="2" t="s">
        <v>186</v>
      </c>
      <c r="R12" s="2" t="s">
        <v>187</v>
      </c>
      <c r="S12" s="2"/>
      <c r="T12" s="2"/>
      <c r="U12" s="2">
        <f>391/12*11</f>
        <v>358.41666666666669</v>
      </c>
      <c r="V12" s="2"/>
      <c r="W12" s="2"/>
      <c r="X12" s="2"/>
      <c r="Y12" s="2"/>
      <c r="Z12" s="2"/>
      <c r="AA12" s="2"/>
      <c r="AB12" s="2"/>
      <c r="AC12" s="2"/>
    </row>
    <row r="13" spans="1:29" s="4" customFormat="1" x14ac:dyDescent="0.25">
      <c r="A13" s="2" t="s">
        <v>119</v>
      </c>
      <c r="B13" s="2" t="str">
        <f>CONCATENATE(A13,89)</f>
        <v>5JM0YA6EY2789</v>
      </c>
      <c r="C13" s="2" t="s">
        <v>211</v>
      </c>
      <c r="D13" s="2" t="s">
        <v>212</v>
      </c>
      <c r="E13" s="2" t="str">
        <f t="shared" si="0"/>
        <v>KEVIN LANE</v>
      </c>
      <c r="F13" s="2" t="s">
        <v>74</v>
      </c>
      <c r="G13" s="2" t="s">
        <v>28</v>
      </c>
      <c r="H13" s="2" t="s">
        <v>29</v>
      </c>
      <c r="I13" s="3">
        <v>46054</v>
      </c>
      <c r="J13" s="3">
        <v>46054</v>
      </c>
      <c r="K13" s="2" t="s">
        <v>189</v>
      </c>
      <c r="L13" s="2" t="s">
        <v>32</v>
      </c>
      <c r="M13" s="2" t="s">
        <v>77</v>
      </c>
      <c r="N13" s="2" t="s">
        <v>34</v>
      </c>
      <c r="O13" s="2">
        <v>495.92</v>
      </c>
      <c r="P13" s="2">
        <v>358.42</v>
      </c>
      <c r="Q13" s="2" t="s">
        <v>186</v>
      </c>
      <c r="R13" s="2" t="s">
        <v>187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s="4" customFormat="1" x14ac:dyDescent="0.25">
      <c r="A14" s="2" t="s">
        <v>64</v>
      </c>
      <c r="B14" s="2" t="str">
        <f>CONCATENATE(A14,89)</f>
        <v>8QX9YQ0AF1189</v>
      </c>
      <c r="C14" s="2" t="s">
        <v>213</v>
      </c>
      <c r="D14" s="2" t="s">
        <v>214</v>
      </c>
      <c r="E14" s="2" t="str">
        <f t="shared" si="0"/>
        <v>NEWTON ELLENBARGER</v>
      </c>
      <c r="F14" s="2" t="s">
        <v>67</v>
      </c>
      <c r="G14" s="2" t="s">
        <v>45</v>
      </c>
      <c r="H14" s="2" t="s">
        <v>68</v>
      </c>
      <c r="I14" s="3">
        <v>46023</v>
      </c>
      <c r="J14" s="3">
        <v>46023</v>
      </c>
      <c r="K14" s="2">
        <v>371819</v>
      </c>
      <c r="L14" s="2" t="s">
        <v>32</v>
      </c>
      <c r="M14" s="2" t="s">
        <v>70</v>
      </c>
      <c r="N14" s="2" t="s">
        <v>34</v>
      </c>
      <c r="O14" s="2">
        <v>-497</v>
      </c>
      <c r="P14" s="2">
        <v>-347</v>
      </c>
      <c r="Q14" s="2" t="s">
        <v>178</v>
      </c>
      <c r="R14" s="2" t="s">
        <v>179</v>
      </c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s="4" customFormat="1" x14ac:dyDescent="0.25">
      <c r="A15" s="2" t="s">
        <v>64</v>
      </c>
      <c r="B15" s="2" t="str">
        <f>CONCATENATE(A15,89)</f>
        <v>8QX9YQ0AF1189</v>
      </c>
      <c r="C15" s="2" t="s">
        <v>213</v>
      </c>
      <c r="D15" s="2" t="s">
        <v>214</v>
      </c>
      <c r="E15" s="2" t="str">
        <f t="shared" si="0"/>
        <v>NEWTON ELLENBARGER</v>
      </c>
      <c r="F15" s="2" t="s">
        <v>67</v>
      </c>
      <c r="G15" s="2" t="s">
        <v>41</v>
      </c>
      <c r="H15" s="2" t="s">
        <v>68</v>
      </c>
      <c r="I15" s="3">
        <v>46023</v>
      </c>
      <c r="J15" s="3">
        <v>46023</v>
      </c>
      <c r="K15" s="2">
        <v>371819</v>
      </c>
      <c r="L15" s="2" t="s">
        <v>32</v>
      </c>
      <c r="M15" s="2" t="s">
        <v>70</v>
      </c>
      <c r="N15" s="2" t="s">
        <v>34</v>
      </c>
      <c r="O15" s="2">
        <v>82.83</v>
      </c>
      <c r="P15" s="2">
        <v>57.83</v>
      </c>
      <c r="Q15" s="2" t="s">
        <v>178</v>
      </c>
      <c r="R15" s="2" t="s">
        <v>184</v>
      </c>
      <c r="S15" s="2"/>
      <c r="T15" s="2"/>
      <c r="U15" s="2">
        <f>347/12*2</f>
        <v>57.833333333333336</v>
      </c>
      <c r="V15" s="2"/>
      <c r="W15" s="2"/>
      <c r="X15" s="2"/>
      <c r="Y15" s="2"/>
      <c r="Z15" s="2"/>
      <c r="AA15" s="2"/>
      <c r="AB15" s="2"/>
      <c r="AC15" s="2"/>
    </row>
    <row r="16" spans="1:29" s="2" customFormat="1" x14ac:dyDescent="0.25">
      <c r="A16" s="2" t="s">
        <v>54</v>
      </c>
      <c r="B16" s="2" t="str">
        <f>CONCATENATE(A16,89)</f>
        <v>8EH9PN1NF4889</v>
      </c>
      <c r="C16" s="2" t="s">
        <v>215</v>
      </c>
      <c r="D16" s="2" t="s">
        <v>216</v>
      </c>
      <c r="E16" s="2" t="str">
        <f t="shared" si="0"/>
        <v>GREGORY DUNLAP</v>
      </c>
      <c r="F16" s="2" t="s">
        <v>27</v>
      </c>
      <c r="G16" s="2" t="s">
        <v>28</v>
      </c>
      <c r="H16" s="2" t="s">
        <v>29</v>
      </c>
      <c r="I16" s="3">
        <v>46054</v>
      </c>
      <c r="J16" s="3">
        <v>46054</v>
      </c>
      <c r="K16" s="2">
        <v>9213293</v>
      </c>
      <c r="L16" s="2" t="s">
        <v>32</v>
      </c>
      <c r="M16" s="2" t="s">
        <v>58</v>
      </c>
      <c r="N16" s="2" t="s">
        <v>34</v>
      </c>
      <c r="O16" s="2">
        <v>455.58</v>
      </c>
      <c r="P16" s="2">
        <v>318.08</v>
      </c>
      <c r="Q16" s="2" t="s">
        <v>178</v>
      </c>
      <c r="R16" s="2" t="s">
        <v>182</v>
      </c>
    </row>
    <row r="17" spans="1:29" s="4" customFormat="1" x14ac:dyDescent="0.25">
      <c r="A17" s="2" t="s">
        <v>88</v>
      </c>
      <c r="B17" s="2" t="str">
        <f>CONCATENATE(A17,77)</f>
        <v>6U15EP6CV7677</v>
      </c>
      <c r="C17" s="2" t="s">
        <v>217</v>
      </c>
      <c r="D17" s="2" t="s">
        <v>218</v>
      </c>
      <c r="E17" s="2" t="str">
        <f t="shared" si="0"/>
        <v>LISA HOLLEY</v>
      </c>
      <c r="F17" s="2" t="s">
        <v>91</v>
      </c>
      <c r="G17" s="2" t="s">
        <v>50</v>
      </c>
      <c r="H17" s="2" t="s">
        <v>29</v>
      </c>
      <c r="I17" s="3">
        <v>46023</v>
      </c>
      <c r="J17" s="3">
        <v>46023</v>
      </c>
      <c r="K17" s="2">
        <v>18142208</v>
      </c>
      <c r="L17" s="2" t="s">
        <v>32</v>
      </c>
      <c r="M17" s="2" t="s">
        <v>94</v>
      </c>
      <c r="N17" s="2" t="s">
        <v>34</v>
      </c>
      <c r="O17" s="2">
        <v>-844</v>
      </c>
      <c r="P17" s="2">
        <v>-694</v>
      </c>
      <c r="Q17" s="2" t="s">
        <v>176</v>
      </c>
      <c r="R17" s="2" t="s">
        <v>175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s="2" customFormat="1" x14ac:dyDescent="0.25">
      <c r="A18" s="2" t="s">
        <v>143</v>
      </c>
      <c r="B18" s="2" t="str">
        <f>CONCATENATE(A18,89)</f>
        <v>1EX2XD0TP9089</v>
      </c>
      <c r="C18" s="2" t="s">
        <v>219</v>
      </c>
      <c r="D18" s="2" t="s">
        <v>220</v>
      </c>
      <c r="E18" s="2" t="str">
        <f t="shared" si="0"/>
        <v>DEBBIE SHELDON</v>
      </c>
      <c r="F18" s="2" t="s">
        <v>40</v>
      </c>
      <c r="G18" s="2" t="s">
        <v>50</v>
      </c>
      <c r="H18" s="2" t="s">
        <v>29</v>
      </c>
      <c r="I18" s="3">
        <v>46023</v>
      </c>
      <c r="J18" s="3">
        <v>46023</v>
      </c>
      <c r="K18" s="2">
        <v>17516272</v>
      </c>
      <c r="L18" s="2" t="s">
        <v>32</v>
      </c>
      <c r="M18" s="2" t="s">
        <v>147</v>
      </c>
      <c r="N18" s="2" t="s">
        <v>34</v>
      </c>
      <c r="O18" s="2">
        <v>-497</v>
      </c>
      <c r="P18" s="2">
        <v>-347</v>
      </c>
      <c r="Q18" s="2" t="s">
        <v>178</v>
      </c>
      <c r="R18" s="2" t="s">
        <v>179</v>
      </c>
    </row>
    <row r="19" spans="1:29" s="2" customFormat="1" x14ac:dyDescent="0.25">
      <c r="A19" s="2" t="s">
        <v>111</v>
      </c>
      <c r="B19" s="2" t="str">
        <f>CONCATENATE(A19,89)</f>
        <v>8Y45PH1JU7889</v>
      </c>
      <c r="C19" s="2" t="s">
        <v>221</v>
      </c>
      <c r="D19" s="2" t="s">
        <v>222</v>
      </c>
      <c r="E19" s="2" t="str">
        <f t="shared" si="0"/>
        <v>JUDY KENT</v>
      </c>
      <c r="F19" s="2" t="s">
        <v>27</v>
      </c>
      <c r="G19" s="2" t="s">
        <v>45</v>
      </c>
      <c r="H19" s="2" t="s">
        <v>29</v>
      </c>
      <c r="I19" s="3">
        <v>46023</v>
      </c>
      <c r="J19" s="3">
        <v>46023</v>
      </c>
      <c r="K19" s="2">
        <v>19615078</v>
      </c>
      <c r="L19" s="2" t="s">
        <v>32</v>
      </c>
      <c r="M19" s="2" t="s">
        <v>114</v>
      </c>
      <c r="N19" s="2" t="s">
        <v>34</v>
      </c>
      <c r="O19" s="2">
        <v>-497</v>
      </c>
      <c r="P19" s="2">
        <v>-347</v>
      </c>
      <c r="Q19" s="2" t="s">
        <v>178</v>
      </c>
      <c r="R19" s="2" t="s">
        <v>179</v>
      </c>
    </row>
    <row r="20" spans="1:29" s="4" customFormat="1" x14ac:dyDescent="0.25">
      <c r="A20" s="2" t="s">
        <v>111</v>
      </c>
      <c r="B20" s="2" t="str">
        <f>CONCATENATE(A20,89)</f>
        <v>8Y45PH1JU7889</v>
      </c>
      <c r="C20" s="2" t="s">
        <v>221</v>
      </c>
      <c r="D20" s="2" t="s">
        <v>222</v>
      </c>
      <c r="E20" s="2" t="str">
        <f t="shared" si="0"/>
        <v>JUDY KENT</v>
      </c>
      <c r="F20" s="2" t="s">
        <v>27</v>
      </c>
      <c r="G20" s="2" t="s">
        <v>41</v>
      </c>
      <c r="H20" s="2" t="s">
        <v>29</v>
      </c>
      <c r="I20" s="3">
        <v>46023</v>
      </c>
      <c r="J20" s="3">
        <v>46023</v>
      </c>
      <c r="K20" s="2">
        <v>19615078</v>
      </c>
      <c r="L20" s="2" t="s">
        <v>32</v>
      </c>
      <c r="M20" s="2" t="s">
        <v>114</v>
      </c>
      <c r="N20" s="2" t="s">
        <v>34</v>
      </c>
      <c r="O20" s="2">
        <v>41.42</v>
      </c>
      <c r="P20" s="2">
        <v>28.92</v>
      </c>
      <c r="Q20" s="2" t="s">
        <v>178</v>
      </c>
      <c r="R20" s="2" t="s">
        <v>183</v>
      </c>
      <c r="S20" s="2"/>
      <c r="T20" s="2"/>
      <c r="U20" s="2">
        <f>150/12</f>
        <v>12.5</v>
      </c>
      <c r="V20" s="2"/>
      <c r="W20" s="2"/>
      <c r="X20" s="2"/>
      <c r="Y20" s="2"/>
      <c r="Z20" s="2"/>
      <c r="AA20" s="2"/>
      <c r="AB20" s="2"/>
      <c r="AC20" s="2"/>
    </row>
    <row r="21" spans="1:29" s="4" customFormat="1" x14ac:dyDescent="0.25">
      <c r="A21" s="2" t="s">
        <v>37</v>
      </c>
      <c r="B21" s="2" t="str">
        <f>CONCATENATE(A21,89)</f>
        <v>7M78KF8DR3889</v>
      </c>
      <c r="C21" s="2" t="s">
        <v>223</v>
      </c>
      <c r="D21" s="2" t="s">
        <v>224</v>
      </c>
      <c r="E21" s="2" t="str">
        <f t="shared" si="0"/>
        <v>KATHRYN CLARK</v>
      </c>
      <c r="F21" s="2" t="s">
        <v>40</v>
      </c>
      <c r="G21" s="2" t="s">
        <v>45</v>
      </c>
      <c r="H21" s="2" t="s">
        <v>29</v>
      </c>
      <c r="I21" s="3">
        <v>46023</v>
      </c>
      <c r="J21" s="3">
        <v>46023</v>
      </c>
      <c r="K21" s="2">
        <v>20003537</v>
      </c>
      <c r="L21" s="2" t="s">
        <v>32</v>
      </c>
      <c r="M21" s="2" t="s">
        <v>44</v>
      </c>
      <c r="N21" s="2" t="s">
        <v>34</v>
      </c>
      <c r="O21" s="2">
        <v>-497</v>
      </c>
      <c r="P21" s="2">
        <v>-347</v>
      </c>
      <c r="Q21" s="2" t="s">
        <v>178</v>
      </c>
      <c r="R21" s="2" t="s">
        <v>179</v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s="4" customFormat="1" x14ac:dyDescent="0.25">
      <c r="A22" s="2" t="s">
        <v>37</v>
      </c>
      <c r="B22" s="2" t="str">
        <f>CONCATENATE(A22,89)</f>
        <v>7M78KF8DR3889</v>
      </c>
      <c r="C22" s="2" t="s">
        <v>223</v>
      </c>
      <c r="D22" s="2" t="s">
        <v>224</v>
      </c>
      <c r="E22" s="2" t="str">
        <f t="shared" si="0"/>
        <v>KATHRYN CLARK</v>
      </c>
      <c r="F22" s="2" t="s">
        <v>40</v>
      </c>
      <c r="G22" s="2" t="s">
        <v>41</v>
      </c>
      <c r="H22" s="2" t="s">
        <v>29</v>
      </c>
      <c r="I22" s="3">
        <v>46023</v>
      </c>
      <c r="J22" s="3">
        <v>46023</v>
      </c>
      <c r="K22" s="2">
        <v>20003537</v>
      </c>
      <c r="L22" s="2" t="s">
        <v>32</v>
      </c>
      <c r="M22" s="2" t="s">
        <v>44</v>
      </c>
      <c r="N22" s="2" t="s">
        <v>34</v>
      </c>
      <c r="O22" s="2">
        <v>41.42</v>
      </c>
      <c r="P22" s="2">
        <v>28.92</v>
      </c>
      <c r="Q22" s="2" t="s">
        <v>178</v>
      </c>
      <c r="R22" s="2" t="s">
        <v>183</v>
      </c>
      <c r="S22" s="2"/>
      <c r="T22" s="2"/>
      <c r="U22" s="2">
        <f>347/12</f>
        <v>28.916666666666668</v>
      </c>
      <c r="V22" s="2"/>
      <c r="W22" s="2"/>
      <c r="X22" s="2"/>
      <c r="Y22" s="2"/>
      <c r="Z22" s="2"/>
      <c r="AA22" s="2"/>
      <c r="AB22" s="2"/>
      <c r="AC22" s="2"/>
    </row>
    <row r="23" spans="1:29" s="4" customFormat="1" x14ac:dyDescent="0.25">
      <c r="A23" s="2" t="s">
        <v>24</v>
      </c>
      <c r="B23" s="2" t="str">
        <f>CONCATENATE(A23,89)</f>
        <v>4HH8NR2AK2389</v>
      </c>
      <c r="C23" s="2" t="s">
        <v>225</v>
      </c>
      <c r="D23" s="2" t="s">
        <v>226</v>
      </c>
      <c r="E23" s="2" t="str">
        <f t="shared" si="0"/>
        <v>FRED BIERBAUM</v>
      </c>
      <c r="F23" s="2" t="s">
        <v>27</v>
      </c>
      <c r="G23" s="2" t="s">
        <v>28</v>
      </c>
      <c r="H23" s="2" t="s">
        <v>29</v>
      </c>
      <c r="I23" s="3">
        <v>46054</v>
      </c>
      <c r="J23" s="3">
        <v>46054</v>
      </c>
      <c r="K23" s="2">
        <v>18754354</v>
      </c>
      <c r="L23" s="2" t="s">
        <v>32</v>
      </c>
      <c r="M23" s="2" t="s">
        <v>33</v>
      </c>
      <c r="N23" s="2" t="s">
        <v>34</v>
      </c>
      <c r="O23" s="2">
        <v>455.58</v>
      </c>
      <c r="P23" s="2">
        <v>318.08</v>
      </c>
      <c r="Q23" s="2" t="s">
        <v>178</v>
      </c>
      <c r="R23" s="2" t="s">
        <v>182</v>
      </c>
      <c r="S23" s="2"/>
      <c r="T23" s="2"/>
      <c r="U23" s="2">
        <f>347/12*11</f>
        <v>318.08333333333337</v>
      </c>
      <c r="V23" s="2"/>
      <c r="W23" s="2"/>
      <c r="X23" s="2"/>
      <c r="Y23" s="2"/>
      <c r="Z23" s="2"/>
      <c r="AA23" s="2"/>
      <c r="AB23" s="2"/>
      <c r="AC23" s="2"/>
    </row>
    <row r="24" spans="1:29" s="4" customFormat="1" x14ac:dyDescent="0.25">
      <c r="A24" s="4" t="s">
        <v>88</v>
      </c>
      <c r="B24" s="4" t="str">
        <f>CONCATENATE(A24,"OVR")</f>
        <v>6U15EP6CV76OVR</v>
      </c>
      <c r="C24" s="4" t="s">
        <v>217</v>
      </c>
      <c r="D24" s="4" t="s">
        <v>218</v>
      </c>
      <c r="E24" s="4" t="str">
        <f t="shared" si="0"/>
        <v>LISA HOLLEY</v>
      </c>
      <c r="F24" s="4" t="s">
        <v>91</v>
      </c>
      <c r="G24" s="4" t="s">
        <v>50</v>
      </c>
      <c r="H24" s="4" t="s">
        <v>29</v>
      </c>
      <c r="I24" s="5">
        <v>46023</v>
      </c>
      <c r="J24" s="5">
        <v>46023</v>
      </c>
      <c r="K24" s="4">
        <v>20411454</v>
      </c>
      <c r="L24" s="4" t="s">
        <v>32</v>
      </c>
      <c r="M24" s="4" t="s">
        <v>188</v>
      </c>
      <c r="N24" s="4" t="s">
        <v>34</v>
      </c>
      <c r="O24" s="4">
        <v>-844</v>
      </c>
      <c r="P24" s="4">
        <v>-150</v>
      </c>
      <c r="Q24" s="4" t="s">
        <v>177</v>
      </c>
    </row>
    <row r="25" spans="1:29" s="4" customFormat="1" x14ac:dyDescent="0.25">
      <c r="A25" s="4" t="s">
        <v>164</v>
      </c>
      <c r="B25" s="4" t="str">
        <f t="shared" ref="B25:B50" si="1">CONCATENATE(A25,"OVR")</f>
        <v>7E50KK4WP45OVR</v>
      </c>
      <c r="C25" s="4" t="s">
        <v>194</v>
      </c>
      <c r="D25" s="4" t="s">
        <v>195</v>
      </c>
      <c r="E25" s="4" t="str">
        <f t="shared" si="0"/>
        <v>ELIZABETH WILSON</v>
      </c>
      <c r="F25" s="4" t="s">
        <v>167</v>
      </c>
      <c r="G25" s="4" t="s">
        <v>50</v>
      </c>
      <c r="H25" s="4" t="s">
        <v>29</v>
      </c>
      <c r="I25" s="5">
        <v>46023</v>
      </c>
      <c r="J25" s="5">
        <v>46023</v>
      </c>
      <c r="K25" s="4">
        <v>20411454</v>
      </c>
      <c r="L25" s="4" t="s">
        <v>32</v>
      </c>
      <c r="M25" s="4" t="s">
        <v>188</v>
      </c>
      <c r="N25" s="4" t="s">
        <v>34</v>
      </c>
      <c r="O25" s="4">
        <v>-844</v>
      </c>
      <c r="P25" s="4">
        <v>-150</v>
      </c>
      <c r="Q25" s="4" t="s">
        <v>177</v>
      </c>
    </row>
    <row r="26" spans="1:29" s="4" customFormat="1" x14ac:dyDescent="0.25">
      <c r="A26" s="4" t="s">
        <v>37</v>
      </c>
      <c r="B26" s="4" t="str">
        <f t="shared" si="1"/>
        <v>7M78KF8DR38OVR</v>
      </c>
      <c r="C26" s="4" t="s">
        <v>223</v>
      </c>
      <c r="D26" s="4" t="s">
        <v>224</v>
      </c>
      <c r="E26" s="4" t="str">
        <f t="shared" si="0"/>
        <v>KATHRYN CLARK</v>
      </c>
      <c r="F26" s="4" t="s">
        <v>40</v>
      </c>
      <c r="G26" s="4" t="s">
        <v>45</v>
      </c>
      <c r="H26" s="4" t="s">
        <v>29</v>
      </c>
      <c r="I26" s="5">
        <v>46023</v>
      </c>
      <c r="J26" s="5">
        <v>46023</v>
      </c>
      <c r="K26" s="4">
        <v>20411454</v>
      </c>
      <c r="L26" s="4" t="s">
        <v>32</v>
      </c>
      <c r="M26" s="4" t="s">
        <v>188</v>
      </c>
      <c r="N26" s="4" t="s">
        <v>34</v>
      </c>
      <c r="O26" s="4">
        <v>-497</v>
      </c>
      <c r="P26" s="4">
        <v>-150</v>
      </c>
      <c r="Q26" s="4" t="s">
        <v>177</v>
      </c>
    </row>
    <row r="27" spans="1:29" s="4" customFormat="1" x14ac:dyDescent="0.25">
      <c r="A27" s="4" t="s">
        <v>46</v>
      </c>
      <c r="B27" s="4" t="str">
        <f t="shared" si="1"/>
        <v>8K97TX6PY76OVR</v>
      </c>
      <c r="C27" s="4" t="s">
        <v>192</v>
      </c>
      <c r="D27" s="4" t="s">
        <v>193</v>
      </c>
      <c r="E27" s="4" t="str">
        <f t="shared" si="0"/>
        <v>ROSA DELAFUENTE</v>
      </c>
      <c r="F27" s="4" t="s">
        <v>49</v>
      </c>
      <c r="G27" s="4" t="s">
        <v>50</v>
      </c>
      <c r="H27" s="4" t="s">
        <v>29</v>
      </c>
      <c r="I27" s="5">
        <v>46023</v>
      </c>
      <c r="J27" s="5">
        <v>46023</v>
      </c>
      <c r="K27" s="4">
        <v>20411454</v>
      </c>
      <c r="L27" s="4" t="s">
        <v>32</v>
      </c>
      <c r="M27" s="4" t="s">
        <v>188</v>
      </c>
      <c r="N27" s="4" t="s">
        <v>34</v>
      </c>
      <c r="O27" s="4">
        <v>-497</v>
      </c>
      <c r="P27" s="4">
        <v>-150</v>
      </c>
      <c r="Q27" s="4" t="s">
        <v>177</v>
      </c>
    </row>
    <row r="28" spans="1:29" s="4" customFormat="1" x14ac:dyDescent="0.25">
      <c r="A28" s="4" t="s">
        <v>64</v>
      </c>
      <c r="B28" s="4" t="str">
        <f t="shared" si="1"/>
        <v>8QX9YQ0AF11OVR</v>
      </c>
      <c r="C28" s="4" t="s">
        <v>213</v>
      </c>
      <c r="D28" s="4" t="s">
        <v>214</v>
      </c>
      <c r="E28" s="4" t="str">
        <f t="shared" si="0"/>
        <v>NEWTON ELLENBARGER</v>
      </c>
      <c r="F28" s="4" t="s">
        <v>67</v>
      </c>
      <c r="G28" s="4" t="s">
        <v>45</v>
      </c>
      <c r="H28" s="4" t="s">
        <v>68</v>
      </c>
      <c r="I28" s="5">
        <v>46023</v>
      </c>
      <c r="J28" s="5">
        <v>46023</v>
      </c>
      <c r="K28" s="4">
        <v>20411454</v>
      </c>
      <c r="L28" s="4" t="s">
        <v>32</v>
      </c>
      <c r="M28" s="4" t="s">
        <v>188</v>
      </c>
      <c r="N28" s="4" t="s">
        <v>34</v>
      </c>
      <c r="O28" s="4">
        <v>-497</v>
      </c>
      <c r="P28" s="4">
        <v>-150</v>
      </c>
      <c r="Q28" s="4" t="s">
        <v>177</v>
      </c>
    </row>
    <row r="29" spans="1:29" s="4" customFormat="1" x14ac:dyDescent="0.25">
      <c r="A29" s="4" t="s">
        <v>111</v>
      </c>
      <c r="B29" s="4" t="str">
        <f t="shared" si="1"/>
        <v>8Y45PH1JU78OVR</v>
      </c>
      <c r="C29" s="4" t="s">
        <v>221</v>
      </c>
      <c r="D29" s="4" t="s">
        <v>222</v>
      </c>
      <c r="E29" s="4" t="str">
        <f t="shared" si="0"/>
        <v>JUDY KENT</v>
      </c>
      <c r="F29" s="4" t="s">
        <v>27</v>
      </c>
      <c r="G29" s="4" t="s">
        <v>45</v>
      </c>
      <c r="H29" s="4" t="s">
        <v>29</v>
      </c>
      <c r="I29" s="5">
        <v>46023</v>
      </c>
      <c r="J29" s="5">
        <v>46023</v>
      </c>
      <c r="K29" s="4">
        <v>20411454</v>
      </c>
      <c r="L29" s="4" t="s">
        <v>32</v>
      </c>
      <c r="M29" s="4" t="s">
        <v>188</v>
      </c>
      <c r="N29" s="4" t="s">
        <v>34</v>
      </c>
      <c r="O29" s="4">
        <v>-497</v>
      </c>
      <c r="P29" s="4">
        <v>-150</v>
      </c>
      <c r="Q29" s="4" t="s">
        <v>177</v>
      </c>
    </row>
    <row r="30" spans="1:29" s="4" customFormat="1" x14ac:dyDescent="0.25">
      <c r="A30" s="4" t="s">
        <v>143</v>
      </c>
      <c r="B30" s="4" t="str">
        <f t="shared" si="1"/>
        <v>1EX2XD0TP90OVR</v>
      </c>
      <c r="C30" s="4" t="s">
        <v>219</v>
      </c>
      <c r="D30" s="4" t="s">
        <v>220</v>
      </c>
      <c r="E30" s="4" t="str">
        <f t="shared" si="0"/>
        <v>DEBBIE SHELDON</v>
      </c>
      <c r="F30" s="4" t="s">
        <v>40</v>
      </c>
      <c r="G30" s="4" t="s">
        <v>50</v>
      </c>
      <c r="H30" s="4" t="s">
        <v>29</v>
      </c>
      <c r="I30" s="5">
        <v>46023</v>
      </c>
      <c r="J30" s="5">
        <v>46023</v>
      </c>
      <c r="K30" s="4">
        <v>20411454</v>
      </c>
      <c r="L30" s="4" t="s">
        <v>32</v>
      </c>
      <c r="M30" s="4" t="s">
        <v>188</v>
      </c>
      <c r="N30" s="4" t="s">
        <v>34</v>
      </c>
      <c r="O30" s="4">
        <v>-497</v>
      </c>
      <c r="P30" s="4">
        <v>-150</v>
      </c>
      <c r="Q30" s="4" t="s">
        <v>177</v>
      </c>
    </row>
    <row r="31" spans="1:29" s="4" customFormat="1" x14ac:dyDescent="0.25">
      <c r="A31" s="4" t="s">
        <v>151</v>
      </c>
      <c r="B31" s="4" t="str">
        <f t="shared" si="1"/>
        <v>7DR9WP2MF36OVR</v>
      </c>
      <c r="C31" s="4" t="s">
        <v>196</v>
      </c>
      <c r="D31" s="4" t="s">
        <v>197</v>
      </c>
      <c r="E31" s="4" t="str">
        <f t="shared" si="0"/>
        <v>DEBORAH STUDEBAKER</v>
      </c>
      <c r="F31" s="4" t="s">
        <v>154</v>
      </c>
      <c r="G31" s="4" t="s">
        <v>155</v>
      </c>
      <c r="H31" s="4" t="s">
        <v>29</v>
      </c>
      <c r="I31" s="5">
        <v>46023</v>
      </c>
      <c r="J31" s="5">
        <v>45870</v>
      </c>
      <c r="K31" s="4">
        <v>20411454</v>
      </c>
      <c r="L31" s="4" t="s">
        <v>32</v>
      </c>
      <c r="M31" s="4" t="s">
        <v>188</v>
      </c>
      <c r="N31" s="4" t="s">
        <v>159</v>
      </c>
      <c r="O31" s="4">
        <v>40.17</v>
      </c>
      <c r="P31" s="4">
        <v>4.17</v>
      </c>
      <c r="Q31" s="4" t="s">
        <v>177</v>
      </c>
    </row>
    <row r="32" spans="1:29" s="4" customFormat="1" x14ac:dyDescent="0.25">
      <c r="A32" s="4" t="s">
        <v>37</v>
      </c>
      <c r="B32" s="4" t="str">
        <f t="shared" si="1"/>
        <v>7M78KF8DR38OVR</v>
      </c>
      <c r="C32" s="4" t="s">
        <v>223</v>
      </c>
      <c r="D32" s="4" t="s">
        <v>224</v>
      </c>
      <c r="E32" s="4" t="str">
        <f t="shared" si="0"/>
        <v>KATHRYN CLARK</v>
      </c>
      <c r="F32" s="4" t="s">
        <v>40</v>
      </c>
      <c r="G32" s="4" t="s">
        <v>41</v>
      </c>
      <c r="H32" s="4" t="s">
        <v>29</v>
      </c>
      <c r="I32" s="5">
        <v>46023</v>
      </c>
      <c r="J32" s="5">
        <v>46023</v>
      </c>
      <c r="K32" s="4">
        <v>20411454</v>
      </c>
      <c r="L32" s="4" t="s">
        <v>32</v>
      </c>
      <c r="M32" s="4" t="s">
        <v>188</v>
      </c>
      <c r="N32" s="4" t="s">
        <v>34</v>
      </c>
      <c r="O32" s="4">
        <v>41.42</v>
      </c>
      <c r="P32" s="4">
        <v>12.5</v>
      </c>
      <c r="Q32" s="4" t="s">
        <v>177</v>
      </c>
    </row>
    <row r="33" spans="1:21" s="4" customFormat="1" x14ac:dyDescent="0.25">
      <c r="A33" s="4" t="s">
        <v>111</v>
      </c>
      <c r="B33" s="4" t="str">
        <f t="shared" si="1"/>
        <v>8Y45PH1JU78OVR</v>
      </c>
      <c r="C33" s="4" t="s">
        <v>221</v>
      </c>
      <c r="D33" s="4" t="s">
        <v>222</v>
      </c>
      <c r="E33" s="4" t="str">
        <f t="shared" si="0"/>
        <v>JUDY KENT</v>
      </c>
      <c r="F33" s="4" t="s">
        <v>27</v>
      </c>
      <c r="G33" s="4" t="s">
        <v>41</v>
      </c>
      <c r="H33" s="4" t="s">
        <v>29</v>
      </c>
      <c r="I33" s="5">
        <v>46023</v>
      </c>
      <c r="J33" s="5">
        <v>46023</v>
      </c>
      <c r="K33" s="4">
        <v>20411454</v>
      </c>
      <c r="L33" s="4" t="s">
        <v>32</v>
      </c>
      <c r="M33" s="4" t="s">
        <v>188</v>
      </c>
      <c r="N33" s="4" t="s">
        <v>34</v>
      </c>
      <c r="O33" s="4">
        <v>41.42</v>
      </c>
      <c r="P33" s="4">
        <v>12.5</v>
      </c>
      <c r="Q33" s="4" t="s">
        <v>177</v>
      </c>
    </row>
    <row r="34" spans="1:21" s="4" customFormat="1" x14ac:dyDescent="0.25">
      <c r="A34" s="4" t="s">
        <v>83</v>
      </c>
      <c r="B34" s="4" t="str">
        <f t="shared" si="1"/>
        <v>8H72JH1YW12OVR</v>
      </c>
      <c r="C34" s="4" t="s">
        <v>227</v>
      </c>
      <c r="D34" s="4" t="s">
        <v>228</v>
      </c>
      <c r="E34" s="4" t="str">
        <f t="shared" si="0"/>
        <v>FRANK HAWRYLIAK</v>
      </c>
      <c r="F34" s="4" t="s">
        <v>74</v>
      </c>
      <c r="G34" s="4" t="s">
        <v>28</v>
      </c>
      <c r="H34" s="4" t="s">
        <v>68</v>
      </c>
      <c r="I34" s="5">
        <v>46082</v>
      </c>
      <c r="J34" s="5">
        <v>46082</v>
      </c>
      <c r="K34" s="4">
        <v>20411454</v>
      </c>
      <c r="L34" s="4" t="s">
        <v>32</v>
      </c>
      <c r="M34" s="4" t="s">
        <v>188</v>
      </c>
      <c r="N34" s="4" t="s">
        <v>34</v>
      </c>
      <c r="O34" s="4">
        <v>54.16</v>
      </c>
      <c r="P34" s="4">
        <v>54.16</v>
      </c>
      <c r="Q34" s="4" t="s">
        <v>177</v>
      </c>
    </row>
    <row r="35" spans="1:21" s="4" customFormat="1" x14ac:dyDescent="0.25">
      <c r="A35" s="4" t="s">
        <v>115</v>
      </c>
      <c r="B35" s="4" t="str">
        <f t="shared" si="1"/>
        <v>3JR3TQ6UW89OVR</v>
      </c>
      <c r="C35" s="4" t="s">
        <v>229</v>
      </c>
      <c r="D35" s="4" t="s">
        <v>230</v>
      </c>
      <c r="E35" s="4" t="str">
        <f t="shared" si="0"/>
        <v>DAVID KLUKAN</v>
      </c>
      <c r="F35" s="4" t="s">
        <v>74</v>
      </c>
      <c r="G35" s="4" t="s">
        <v>28</v>
      </c>
      <c r="H35" s="4" t="s">
        <v>29</v>
      </c>
      <c r="I35" s="5">
        <v>46054</v>
      </c>
      <c r="J35" s="5">
        <v>46054</v>
      </c>
      <c r="K35" s="4">
        <v>20411454</v>
      </c>
      <c r="L35" s="4" t="s">
        <v>32</v>
      </c>
      <c r="M35" s="4" t="s">
        <v>188</v>
      </c>
      <c r="N35" s="4" t="s">
        <v>34</v>
      </c>
      <c r="O35" s="4">
        <v>59.59</v>
      </c>
      <c r="P35" s="4">
        <v>59.59</v>
      </c>
      <c r="Q35" s="4" t="s">
        <v>177</v>
      </c>
    </row>
    <row r="36" spans="1:21" s="4" customFormat="1" x14ac:dyDescent="0.25">
      <c r="A36" s="4" t="s">
        <v>138</v>
      </c>
      <c r="B36" s="4" t="str">
        <f t="shared" si="1"/>
        <v>7V13E05JF04OVR</v>
      </c>
      <c r="C36" s="4" t="s">
        <v>231</v>
      </c>
      <c r="D36" s="4" t="s">
        <v>232</v>
      </c>
      <c r="E36" s="4" t="str">
        <f t="shared" si="0"/>
        <v>STACEY PELLERIN</v>
      </c>
      <c r="F36" s="4" t="s">
        <v>74</v>
      </c>
      <c r="G36" s="4" t="s">
        <v>28</v>
      </c>
      <c r="H36" s="4" t="s">
        <v>29</v>
      </c>
      <c r="I36" s="5">
        <v>46054</v>
      </c>
      <c r="J36" s="5">
        <v>46054</v>
      </c>
      <c r="K36" s="4">
        <v>20411454</v>
      </c>
      <c r="L36" s="4" t="s">
        <v>32</v>
      </c>
      <c r="M36" s="4" t="s">
        <v>188</v>
      </c>
      <c r="N36" s="4" t="s">
        <v>34</v>
      </c>
      <c r="O36" s="4">
        <v>59.59</v>
      </c>
      <c r="P36" s="4">
        <v>59.59</v>
      </c>
      <c r="Q36" s="4" t="s">
        <v>177</v>
      </c>
    </row>
    <row r="37" spans="1:21" s="4" customFormat="1" x14ac:dyDescent="0.25">
      <c r="A37" s="4" t="s">
        <v>160</v>
      </c>
      <c r="B37" s="4" t="str">
        <f t="shared" si="1"/>
        <v>3JV0AQ5DA25OVR</v>
      </c>
      <c r="C37" s="4" t="s">
        <v>233</v>
      </c>
      <c r="D37" s="4" t="s">
        <v>228</v>
      </c>
      <c r="E37" s="4" t="str">
        <f t="shared" si="0"/>
        <v>FRANK STUPER</v>
      </c>
      <c r="F37" s="4" t="s">
        <v>74</v>
      </c>
      <c r="G37" s="4" t="s">
        <v>28</v>
      </c>
      <c r="H37" s="4" t="s">
        <v>29</v>
      </c>
      <c r="I37" s="5">
        <v>46054</v>
      </c>
      <c r="J37" s="5">
        <v>46054</v>
      </c>
      <c r="K37" s="4">
        <v>20411454</v>
      </c>
      <c r="L37" s="4" t="s">
        <v>32</v>
      </c>
      <c r="M37" s="4" t="s">
        <v>188</v>
      </c>
      <c r="N37" s="4" t="s">
        <v>34</v>
      </c>
      <c r="O37" s="4">
        <v>59.59</v>
      </c>
      <c r="P37" s="4">
        <v>59.59</v>
      </c>
      <c r="Q37" s="4" t="s">
        <v>177</v>
      </c>
    </row>
    <row r="38" spans="1:21" s="4" customFormat="1" x14ac:dyDescent="0.25">
      <c r="A38" s="4" t="s">
        <v>171</v>
      </c>
      <c r="B38" s="4" t="str">
        <f t="shared" si="1"/>
        <v>5JK4WR7CX65OVR</v>
      </c>
      <c r="C38" s="4" t="s">
        <v>234</v>
      </c>
      <c r="D38" s="4" t="s">
        <v>205</v>
      </c>
      <c r="E38" s="4" t="str">
        <f t="shared" si="0"/>
        <v>JOHN ZULICK</v>
      </c>
      <c r="F38" s="4" t="s">
        <v>74</v>
      </c>
      <c r="G38" s="4" t="s">
        <v>28</v>
      </c>
      <c r="H38" s="4" t="s">
        <v>29</v>
      </c>
      <c r="I38" s="5">
        <v>46054</v>
      </c>
      <c r="J38" s="5">
        <v>46054</v>
      </c>
      <c r="K38" s="4">
        <v>20411454</v>
      </c>
      <c r="L38" s="4" t="s">
        <v>32</v>
      </c>
      <c r="M38" s="4" t="s">
        <v>188</v>
      </c>
      <c r="N38" s="4" t="s">
        <v>34</v>
      </c>
      <c r="O38" s="4">
        <v>59.59</v>
      </c>
      <c r="P38" s="4">
        <v>59.59</v>
      </c>
      <c r="Q38" s="4" t="s">
        <v>177</v>
      </c>
    </row>
    <row r="39" spans="1:21" s="4" customFormat="1" x14ac:dyDescent="0.25">
      <c r="A39" s="4" t="s">
        <v>64</v>
      </c>
      <c r="B39" s="4" t="str">
        <f t="shared" si="1"/>
        <v>8QX9YQ0AF11OVR</v>
      </c>
      <c r="C39" s="4" t="s">
        <v>213</v>
      </c>
      <c r="D39" s="4" t="s">
        <v>214</v>
      </c>
      <c r="E39" s="4" t="str">
        <f t="shared" si="0"/>
        <v>NEWTON ELLENBARGER</v>
      </c>
      <c r="F39" s="4" t="s">
        <v>67</v>
      </c>
      <c r="G39" s="4" t="s">
        <v>41</v>
      </c>
      <c r="H39" s="4" t="s">
        <v>68</v>
      </c>
      <c r="I39" s="5">
        <v>46023</v>
      </c>
      <c r="J39" s="5">
        <v>46023</v>
      </c>
      <c r="K39" s="4">
        <v>20411454</v>
      </c>
      <c r="L39" s="4" t="s">
        <v>32</v>
      </c>
      <c r="M39" s="4" t="s">
        <v>188</v>
      </c>
      <c r="N39" s="4" t="s">
        <v>34</v>
      </c>
      <c r="O39" s="4">
        <v>82.83</v>
      </c>
      <c r="P39" s="4">
        <v>25</v>
      </c>
      <c r="Q39" s="4" t="s">
        <v>177</v>
      </c>
      <c r="U39" s="4">
        <f>150/12*2</f>
        <v>25</v>
      </c>
    </row>
    <row r="40" spans="1:21" s="4" customFormat="1" x14ac:dyDescent="0.25">
      <c r="A40" s="4" t="s">
        <v>59</v>
      </c>
      <c r="B40" s="4" t="str">
        <f t="shared" si="1"/>
        <v>1HV9XT2AE10OVR</v>
      </c>
      <c r="C40" s="4" t="s">
        <v>198</v>
      </c>
      <c r="D40" s="4" t="s">
        <v>199</v>
      </c>
      <c r="E40" s="4" t="str">
        <f t="shared" si="0"/>
        <v>MARTHA ECKERT</v>
      </c>
      <c r="F40" s="4" t="s">
        <v>27</v>
      </c>
      <c r="G40" s="4" t="s">
        <v>28</v>
      </c>
      <c r="H40" s="4" t="s">
        <v>29</v>
      </c>
      <c r="I40" s="5">
        <v>46113</v>
      </c>
      <c r="J40" s="5">
        <v>46113</v>
      </c>
      <c r="K40" s="4">
        <v>20411454</v>
      </c>
      <c r="L40" s="4" t="s">
        <v>32</v>
      </c>
      <c r="M40" s="4" t="s">
        <v>188</v>
      </c>
      <c r="N40" s="4" t="s">
        <v>34</v>
      </c>
      <c r="O40" s="4">
        <v>372.75</v>
      </c>
      <c r="P40" s="4">
        <v>112.5</v>
      </c>
      <c r="Q40" s="4" t="s">
        <v>177</v>
      </c>
      <c r="U40" s="4">
        <f>150/12*9</f>
        <v>112.5</v>
      </c>
    </row>
    <row r="41" spans="1:21" s="4" customFormat="1" x14ac:dyDescent="0.25">
      <c r="A41" s="4" t="s">
        <v>24</v>
      </c>
      <c r="B41" s="4" t="str">
        <f t="shared" si="1"/>
        <v>4HH8NR2AK23OVR</v>
      </c>
      <c r="C41" s="4" t="s">
        <v>225</v>
      </c>
      <c r="D41" s="4" t="s">
        <v>226</v>
      </c>
      <c r="E41" s="4" t="str">
        <f t="shared" si="0"/>
        <v>FRED BIERBAUM</v>
      </c>
      <c r="F41" s="4" t="s">
        <v>27</v>
      </c>
      <c r="G41" s="4" t="s">
        <v>28</v>
      </c>
      <c r="H41" s="4" t="s">
        <v>29</v>
      </c>
      <c r="I41" s="5">
        <v>46054</v>
      </c>
      <c r="J41" s="5">
        <v>46054</v>
      </c>
      <c r="K41" s="4">
        <v>20411454</v>
      </c>
      <c r="L41" s="4" t="s">
        <v>32</v>
      </c>
      <c r="M41" s="4" t="s">
        <v>188</v>
      </c>
      <c r="N41" s="4" t="s">
        <v>34</v>
      </c>
      <c r="O41" s="4">
        <v>455.58</v>
      </c>
      <c r="P41" s="4">
        <v>137.5</v>
      </c>
      <c r="Q41" s="4" t="s">
        <v>177</v>
      </c>
      <c r="U41" s="4">
        <f>150/12*11</f>
        <v>137.5</v>
      </c>
    </row>
    <row r="42" spans="1:21" s="4" customFormat="1" x14ac:dyDescent="0.25">
      <c r="A42" s="4" t="s">
        <v>54</v>
      </c>
      <c r="B42" s="4" t="str">
        <f t="shared" si="1"/>
        <v>8EH9PN1NF48OVR</v>
      </c>
      <c r="C42" s="4" t="s">
        <v>215</v>
      </c>
      <c r="D42" s="4" t="s">
        <v>216</v>
      </c>
      <c r="E42" s="4" t="str">
        <f t="shared" si="0"/>
        <v>GREGORY DUNLAP</v>
      </c>
      <c r="F42" s="4" t="s">
        <v>27</v>
      </c>
      <c r="G42" s="4" t="s">
        <v>28</v>
      </c>
      <c r="H42" s="4" t="s">
        <v>29</v>
      </c>
      <c r="I42" s="5">
        <v>46054</v>
      </c>
      <c r="J42" s="5">
        <v>46054</v>
      </c>
      <c r="K42" s="4">
        <v>20411454</v>
      </c>
      <c r="L42" s="4" t="s">
        <v>32</v>
      </c>
      <c r="M42" s="4" t="s">
        <v>188</v>
      </c>
      <c r="N42" s="4" t="s">
        <v>34</v>
      </c>
      <c r="O42" s="4">
        <v>455.58</v>
      </c>
      <c r="P42" s="4">
        <v>137.5</v>
      </c>
      <c r="Q42" s="4" t="s">
        <v>177</v>
      </c>
    </row>
    <row r="43" spans="1:21" s="4" customFormat="1" x14ac:dyDescent="0.25">
      <c r="A43" s="4" t="s">
        <v>78</v>
      </c>
      <c r="B43" s="4" t="str">
        <f t="shared" si="1"/>
        <v>4Q82TY8NQ00OVR</v>
      </c>
      <c r="C43" s="4" t="s">
        <v>206</v>
      </c>
      <c r="D43" s="4" t="s">
        <v>207</v>
      </c>
      <c r="E43" s="4" t="str">
        <f t="shared" si="0"/>
        <v>MICHAEL HANSON</v>
      </c>
      <c r="F43" s="4" t="s">
        <v>27</v>
      </c>
      <c r="G43" s="4" t="s">
        <v>28</v>
      </c>
      <c r="H43" s="4" t="s">
        <v>29</v>
      </c>
      <c r="I43" s="5">
        <v>46054</v>
      </c>
      <c r="J43" s="5">
        <v>46054</v>
      </c>
      <c r="K43" s="4">
        <v>20411454</v>
      </c>
      <c r="L43" s="4" t="s">
        <v>32</v>
      </c>
      <c r="M43" s="4" t="s">
        <v>188</v>
      </c>
      <c r="N43" s="4" t="s">
        <v>34</v>
      </c>
      <c r="O43" s="4">
        <v>455.58</v>
      </c>
      <c r="P43" s="4">
        <v>137.5</v>
      </c>
      <c r="Q43" s="4" t="s">
        <v>177</v>
      </c>
    </row>
    <row r="44" spans="1:21" s="4" customFormat="1" x14ac:dyDescent="0.25">
      <c r="A44" s="4" t="s">
        <v>96</v>
      </c>
      <c r="B44" s="4" t="str">
        <f t="shared" si="1"/>
        <v>4U90Y35GE31OVR</v>
      </c>
      <c r="C44" s="4" t="s">
        <v>204</v>
      </c>
      <c r="D44" s="4" t="s">
        <v>205</v>
      </c>
      <c r="E44" s="4" t="str">
        <f t="shared" si="0"/>
        <v>JOHN HORNYAK</v>
      </c>
      <c r="F44" s="4" t="s">
        <v>99</v>
      </c>
      <c r="G44" s="4" t="s">
        <v>28</v>
      </c>
      <c r="H44" s="4" t="s">
        <v>29</v>
      </c>
      <c r="I44" s="5">
        <v>46054</v>
      </c>
      <c r="J44" s="5">
        <v>46054</v>
      </c>
      <c r="K44" s="4">
        <v>20411454</v>
      </c>
      <c r="L44" s="4" t="s">
        <v>32</v>
      </c>
      <c r="M44" s="4" t="s">
        <v>188</v>
      </c>
      <c r="N44" s="4" t="s">
        <v>34</v>
      </c>
      <c r="O44" s="4">
        <v>455.58</v>
      </c>
      <c r="P44" s="4">
        <v>137.5</v>
      </c>
      <c r="Q44" s="4" t="s">
        <v>177</v>
      </c>
    </row>
    <row r="45" spans="1:21" s="4" customFormat="1" x14ac:dyDescent="0.25">
      <c r="A45" s="4" t="s">
        <v>102</v>
      </c>
      <c r="B45" s="4" t="str">
        <f t="shared" si="1"/>
        <v>9T37RK9PF75OVR</v>
      </c>
      <c r="C45" s="4" t="s">
        <v>202</v>
      </c>
      <c r="D45" s="4" t="s">
        <v>203</v>
      </c>
      <c r="E45" s="4" t="str">
        <f t="shared" si="0"/>
        <v>DEBRA HOSETTE</v>
      </c>
      <c r="F45" s="4" t="s">
        <v>27</v>
      </c>
      <c r="G45" s="4" t="s">
        <v>28</v>
      </c>
      <c r="H45" s="4" t="s">
        <v>29</v>
      </c>
      <c r="I45" s="5">
        <v>46054</v>
      </c>
      <c r="J45" s="5">
        <v>46054</v>
      </c>
      <c r="K45" s="4">
        <v>20411454</v>
      </c>
      <c r="L45" s="4" t="s">
        <v>32</v>
      </c>
      <c r="M45" s="4" t="s">
        <v>188</v>
      </c>
      <c r="N45" s="4" t="s">
        <v>34</v>
      </c>
      <c r="O45" s="4">
        <v>455.58</v>
      </c>
      <c r="P45" s="4">
        <v>137.5</v>
      </c>
      <c r="Q45" s="4" t="s">
        <v>177</v>
      </c>
    </row>
    <row r="46" spans="1:21" s="4" customFormat="1" x14ac:dyDescent="0.25">
      <c r="A46" s="4" t="s">
        <v>106</v>
      </c>
      <c r="B46" s="4" t="str">
        <f t="shared" si="1"/>
        <v>1E14K04RP71OVR</v>
      </c>
      <c r="C46" s="4" t="s">
        <v>208</v>
      </c>
      <c r="D46" s="4" t="s">
        <v>207</v>
      </c>
      <c r="E46" s="4" t="str">
        <f t="shared" si="0"/>
        <v>MICHAEL HUBERTY</v>
      </c>
      <c r="F46" s="4" t="s">
        <v>27</v>
      </c>
      <c r="G46" s="4" t="s">
        <v>28</v>
      </c>
      <c r="H46" s="4" t="s">
        <v>29</v>
      </c>
      <c r="I46" s="5">
        <v>46054</v>
      </c>
      <c r="J46" s="5">
        <v>46054</v>
      </c>
      <c r="K46" s="4">
        <v>20411454</v>
      </c>
      <c r="L46" s="4" t="s">
        <v>32</v>
      </c>
      <c r="M46" s="4" t="s">
        <v>188</v>
      </c>
      <c r="N46" s="4" t="s">
        <v>34</v>
      </c>
      <c r="O46" s="4">
        <v>455.58</v>
      </c>
      <c r="P46" s="4">
        <v>137.5</v>
      </c>
      <c r="Q46" s="4" t="s">
        <v>177</v>
      </c>
    </row>
    <row r="47" spans="1:21" s="4" customFormat="1" x14ac:dyDescent="0.25">
      <c r="A47" s="4" t="s">
        <v>122</v>
      </c>
      <c r="B47" s="4" t="str">
        <f t="shared" si="1"/>
        <v>4TM9XJ5GP19OVR</v>
      </c>
      <c r="C47" s="4" t="s">
        <v>190</v>
      </c>
      <c r="D47" s="4" t="s">
        <v>191</v>
      </c>
      <c r="E47" s="4" t="str">
        <f t="shared" si="0"/>
        <v>BEA NANCE</v>
      </c>
      <c r="F47" s="4" t="s">
        <v>125</v>
      </c>
      <c r="G47" s="4" t="s">
        <v>28</v>
      </c>
      <c r="H47" s="4" t="s">
        <v>29</v>
      </c>
      <c r="I47" s="5">
        <v>46054</v>
      </c>
      <c r="J47" s="5">
        <v>46054</v>
      </c>
      <c r="K47" s="4">
        <v>20411454</v>
      </c>
      <c r="L47" s="4" t="s">
        <v>32</v>
      </c>
      <c r="M47" s="4" t="s">
        <v>188</v>
      </c>
      <c r="N47" s="4" t="s">
        <v>34</v>
      </c>
      <c r="O47" s="4">
        <v>455.58</v>
      </c>
      <c r="P47" s="4">
        <v>137.5</v>
      </c>
      <c r="Q47" s="4" t="s">
        <v>177</v>
      </c>
    </row>
    <row r="48" spans="1:21" s="4" customFormat="1" x14ac:dyDescent="0.25">
      <c r="A48" s="4" t="s">
        <v>148</v>
      </c>
      <c r="B48" s="4" t="str">
        <f t="shared" si="1"/>
        <v>5JR2CX2EU97OVR</v>
      </c>
      <c r="C48" s="4" t="s">
        <v>200</v>
      </c>
      <c r="D48" s="4" t="s">
        <v>201</v>
      </c>
      <c r="E48" s="4" t="str">
        <f t="shared" si="0"/>
        <v>JENNA SINES</v>
      </c>
      <c r="F48" s="4" t="s">
        <v>27</v>
      </c>
      <c r="G48" s="4" t="s">
        <v>28</v>
      </c>
      <c r="H48" s="4" t="s">
        <v>29</v>
      </c>
      <c r="I48" s="5">
        <v>46054</v>
      </c>
      <c r="J48" s="5">
        <v>46054</v>
      </c>
      <c r="K48" s="4">
        <v>20411454</v>
      </c>
      <c r="L48" s="4" t="s">
        <v>32</v>
      </c>
      <c r="M48" s="4" t="s">
        <v>188</v>
      </c>
      <c r="N48" s="4" t="s">
        <v>34</v>
      </c>
      <c r="O48" s="4">
        <v>455.58</v>
      </c>
      <c r="P48" s="4">
        <v>137.5</v>
      </c>
      <c r="Q48" s="4" t="s">
        <v>177</v>
      </c>
    </row>
    <row r="49" spans="1:21" s="4" customFormat="1" x14ac:dyDescent="0.25">
      <c r="A49" s="4" t="s">
        <v>71</v>
      </c>
      <c r="B49" s="4" t="str">
        <f t="shared" si="1"/>
        <v>4DN0G18WG44OVR</v>
      </c>
      <c r="C49" s="4" t="s">
        <v>209</v>
      </c>
      <c r="D49" s="4" t="s">
        <v>210</v>
      </c>
      <c r="E49" s="4" t="str">
        <f t="shared" si="0"/>
        <v>BARRY GASPER</v>
      </c>
      <c r="F49" s="4" t="s">
        <v>74</v>
      </c>
      <c r="G49" s="4" t="s">
        <v>28</v>
      </c>
      <c r="H49" s="4" t="s">
        <v>29</v>
      </c>
      <c r="I49" s="5">
        <v>46054</v>
      </c>
      <c r="J49" s="5">
        <v>46054</v>
      </c>
      <c r="K49" s="4">
        <v>20411454</v>
      </c>
      <c r="L49" s="4" t="s">
        <v>32</v>
      </c>
      <c r="M49" s="4" t="s">
        <v>188</v>
      </c>
      <c r="N49" s="4" t="s">
        <v>34</v>
      </c>
      <c r="O49" s="4">
        <v>495.92</v>
      </c>
      <c r="P49" s="4">
        <v>137.5</v>
      </c>
      <c r="Q49" s="4" t="s">
        <v>177</v>
      </c>
      <c r="U49" s="4">
        <f>150/12*11</f>
        <v>137.5</v>
      </c>
    </row>
    <row r="50" spans="1:21" s="4" customFormat="1" x14ac:dyDescent="0.25">
      <c r="A50" s="4" t="s">
        <v>119</v>
      </c>
      <c r="B50" s="4" t="str">
        <f t="shared" si="1"/>
        <v>5JM0YA6EY27OVR</v>
      </c>
      <c r="C50" s="4" t="s">
        <v>211</v>
      </c>
      <c r="D50" s="4" t="s">
        <v>212</v>
      </c>
      <c r="E50" s="4" t="str">
        <f t="shared" si="0"/>
        <v>KEVIN LANE</v>
      </c>
      <c r="F50" s="4" t="s">
        <v>74</v>
      </c>
      <c r="G50" s="4" t="s">
        <v>28</v>
      </c>
      <c r="H50" s="4" t="s">
        <v>29</v>
      </c>
      <c r="I50" s="5">
        <v>46054</v>
      </c>
      <c r="J50" s="5">
        <v>46054</v>
      </c>
      <c r="K50" s="4">
        <v>20411454</v>
      </c>
      <c r="L50" s="4" t="s">
        <v>32</v>
      </c>
      <c r="M50" s="4" t="s">
        <v>188</v>
      </c>
      <c r="N50" s="4" t="s">
        <v>34</v>
      </c>
      <c r="O50" s="4">
        <v>495.92</v>
      </c>
      <c r="P50" s="4">
        <v>137.5</v>
      </c>
      <c r="Q50" s="4" t="s">
        <v>177</v>
      </c>
    </row>
    <row r="51" spans="1:21" x14ac:dyDescent="0.25">
      <c r="I51" s="1"/>
      <c r="J51" s="1"/>
    </row>
    <row r="52" spans="1:21" x14ac:dyDescent="0.25">
      <c r="I52" s="1"/>
      <c r="J52" s="1"/>
    </row>
    <row r="53" spans="1:21" x14ac:dyDescent="0.25">
      <c r="I53" s="1"/>
      <c r="J53" s="1"/>
    </row>
    <row r="54" spans="1:21" x14ac:dyDescent="0.25">
      <c r="I54" s="1"/>
      <c r="J54" s="1"/>
    </row>
    <row r="55" spans="1:21" x14ac:dyDescent="0.25">
      <c r="I55" s="1"/>
      <c r="J55" s="1"/>
    </row>
    <row r="56" spans="1:21" x14ac:dyDescent="0.25">
      <c r="I56" s="1"/>
      <c r="J56" s="1"/>
    </row>
    <row r="57" spans="1:21" x14ac:dyDescent="0.25">
      <c r="I57" s="1"/>
      <c r="J57" s="1"/>
    </row>
    <row r="58" spans="1:21" x14ac:dyDescent="0.25">
      <c r="I58" s="1"/>
      <c r="J58" s="1"/>
    </row>
    <row r="59" spans="1:21" x14ac:dyDescent="0.25">
      <c r="I59" s="1"/>
      <c r="J59" s="1"/>
    </row>
    <row r="60" spans="1:21" x14ac:dyDescent="0.25">
      <c r="I60" s="1"/>
      <c r="J60" s="1"/>
    </row>
  </sheetData>
  <sortState xmlns:xlrd2="http://schemas.microsoft.com/office/spreadsheetml/2017/richdata2" ref="A2:AC23">
    <sortCondition ref="M2:M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2026-02-12T06:35:55Z</dcterms:created>
  <dcterms:modified xsi:type="dcterms:W3CDTF">2026-02-16T20:03:04Z</dcterms:modified>
</cp:coreProperties>
</file>