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apd\2026 Statements\2026-06-02\"/>
    </mc:Choice>
  </mc:AlternateContent>
  <xr:revisionPtr revIDLastSave="0" documentId="13_ncr:1_{C90C4654-E315-4FE5-88B8-DC5AEEE31513}" xr6:coauthVersionLast="47" xr6:coauthVersionMax="47" xr10:uidLastSave="{00000000-0000-0000-0000-000000000000}"/>
  <bookViews>
    <workbookView xWindow="-120" yWindow="-120" windowWidth="29040" windowHeight="15720" activeTab="1" xr2:uid="{865486E7-48BE-4907-A18E-7964AB877FA6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2" l="1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35" i="2"/>
  <c r="B27" i="2"/>
  <c r="B26" i="2"/>
  <c r="B25" i="2"/>
  <c r="B24" i="2"/>
  <c r="B23" i="2"/>
  <c r="B22" i="2"/>
  <c r="B21" i="2"/>
  <c r="B20" i="2"/>
  <c r="B19" i="2"/>
  <c r="B2" i="2"/>
  <c r="B18" i="2"/>
  <c r="B14" i="2"/>
  <c r="B33" i="2"/>
  <c r="B4" i="2"/>
  <c r="B34" i="2"/>
  <c r="B3" i="2"/>
  <c r="B10" i="2"/>
  <c r="B15" i="2"/>
  <c r="B5" i="2"/>
  <c r="B17" i="2"/>
  <c r="B9" i="2"/>
  <c r="B32" i="2"/>
  <c r="B31" i="2"/>
  <c r="B30" i="2"/>
  <c r="B29" i="2"/>
  <c r="B28" i="2"/>
  <c r="B11" i="2"/>
  <c r="B8" i="2"/>
  <c r="B12" i="2"/>
  <c r="B7" i="2"/>
  <c r="B6" i="2"/>
  <c r="B13" i="2"/>
  <c r="B16" i="2"/>
  <c r="M45" i="2"/>
  <c r="M9" i="2"/>
  <c r="M63" i="2"/>
  <c r="M62" i="2"/>
  <c r="M61" i="2"/>
  <c r="M12" i="2"/>
  <c r="M7" i="2"/>
  <c r="M6" i="2"/>
  <c r="M60" i="2"/>
  <c r="M59" i="2"/>
  <c r="M58" i="2"/>
  <c r="M57" i="2"/>
  <c r="M56" i="2"/>
  <c r="M55" i="2"/>
  <c r="M54" i="2"/>
  <c r="M53" i="2"/>
  <c r="M52" i="2"/>
  <c r="M51" i="2"/>
  <c r="M21" i="2"/>
  <c r="M20" i="2"/>
  <c r="M19" i="2"/>
  <c r="M2" i="2"/>
  <c r="M18" i="2"/>
  <c r="M14" i="2"/>
  <c r="M33" i="2"/>
  <c r="M4" i="2"/>
  <c r="M34" i="2"/>
  <c r="M3" i="2"/>
  <c r="M50" i="2"/>
  <c r="M13" i="2"/>
  <c r="M49" i="2"/>
  <c r="M48" i="2"/>
  <c r="M47" i="2"/>
  <c r="M10" i="2"/>
  <c r="M15" i="2"/>
  <c r="M5" i="2"/>
  <c r="M46" i="2"/>
  <c r="M17" i="2"/>
  <c r="V61" i="2"/>
  <c r="V6" i="2"/>
  <c r="E63" i="2"/>
  <c r="E62" i="2"/>
  <c r="E61" i="2"/>
  <c r="V51" i="2"/>
  <c r="V3" i="2"/>
  <c r="E60" i="2"/>
  <c r="E59" i="2"/>
  <c r="E58" i="2"/>
  <c r="E57" i="2"/>
  <c r="E56" i="2"/>
  <c r="E55" i="2"/>
  <c r="E54" i="2"/>
  <c r="E53" i="2"/>
  <c r="E52" i="2"/>
  <c r="E51" i="2"/>
  <c r="V50" i="2"/>
  <c r="V13" i="2"/>
  <c r="E50" i="2"/>
  <c r="V47" i="2"/>
  <c r="V5" i="2"/>
  <c r="E49" i="2"/>
  <c r="E48" i="2"/>
  <c r="E47" i="2"/>
  <c r="V46" i="2"/>
  <c r="V17" i="2"/>
  <c r="E46" i="2"/>
  <c r="E45" i="2"/>
  <c r="E43" i="2"/>
  <c r="E42" i="2"/>
  <c r="E41" i="2"/>
  <c r="E40" i="2"/>
  <c r="E39" i="2"/>
  <c r="E38" i="2"/>
  <c r="E37" i="2"/>
  <c r="E36" i="2"/>
  <c r="E35" i="2"/>
  <c r="E34" i="2"/>
  <c r="E5" i="2"/>
  <c r="E6" i="2"/>
  <c r="E7" i="2"/>
  <c r="E15" i="2"/>
  <c r="E4" i="2"/>
  <c r="E12" i="2"/>
  <c r="E16" i="2"/>
  <c r="E33" i="2"/>
  <c r="E13" i="2"/>
  <c r="E22" i="2"/>
  <c r="E23" i="2"/>
  <c r="E24" i="2"/>
  <c r="E25" i="2"/>
  <c r="E26" i="2"/>
  <c r="E27" i="2"/>
  <c r="E28" i="2"/>
  <c r="E29" i="2"/>
  <c r="E30" i="2"/>
  <c r="E31" i="2"/>
  <c r="E32" i="2"/>
  <c r="E14" i="2"/>
  <c r="E18" i="2"/>
  <c r="E2" i="2"/>
  <c r="E10" i="2"/>
  <c r="E9" i="2"/>
  <c r="E8" i="2"/>
  <c r="E11" i="2"/>
  <c r="E19" i="2"/>
  <c r="E17" i="2"/>
  <c r="E44" i="2"/>
  <c r="E20" i="2"/>
  <c r="E21" i="2"/>
  <c r="E3" i="2"/>
</calcChain>
</file>

<file path=xl/sharedStrings.xml><?xml version="1.0" encoding="utf-8"?>
<sst xmlns="http://schemas.openxmlformats.org/spreadsheetml/2006/main" count="1161" uniqueCount="228">
  <si>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</si>
  <si>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</si>
  <si>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</si>
  <si>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</si>
  <si>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</si>
  <si>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</si>
  <si>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</si>
  <si>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</si>
  <si>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</si>
  <si>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</si>
  <si>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</si>
  <si>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</si>
  <si>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</si>
  <si>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</si>
  <si>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</si>
  <si>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</si>
  <si>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</si>
  <si>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</si>
  <si>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</si>
  <si>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</si>
  <si>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</si>
  <si>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</si>
  <si>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</si>
  <si>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</si>
  <si>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2A87G63XP60</t>
  </si>
  <si>
    <t>NG102280421300</t>
  </si>
  <si>
    <t>BANNISTER E,FRANCES</t>
  </si>
  <si>
    <t>TX</t>
  </si>
  <si>
    <t>New Business</t>
  </si>
  <si>
    <t>MAPD</t>
  </si>
  <si>
    <t>IMM618</t>
  </si>
  <si>
    <t>H3288-016</t>
  </si>
  <si>
    <t>LOA</t>
  </si>
  <si>
    <t>Choi, Andrew</t>
  </si>
  <si>
    <t>MMO</t>
  </si>
  <si>
    <t>Main Line Benefits LLC</t>
  </si>
  <si>
    <t xml:space="preserve">N  </t>
  </si>
  <si>
    <t>8R70PA3XG01</t>
  </si>
  <si>
    <t>NG102280752000</t>
  </si>
  <si>
    <t>BARUCK M,CYNTHIA</t>
  </si>
  <si>
    <t>IL</t>
  </si>
  <si>
    <t>IMM606</t>
  </si>
  <si>
    <t>H5521-086</t>
  </si>
  <si>
    <t>Yale, Richard</t>
  </si>
  <si>
    <t>8A78VV5NW23</t>
  </si>
  <si>
    <t>NG102267666700</t>
  </si>
  <si>
    <t>CRAMER A,DAVID</t>
  </si>
  <si>
    <t>PA</t>
  </si>
  <si>
    <t>Voluntarily Rapid Disenroll</t>
  </si>
  <si>
    <t>IMM608</t>
  </si>
  <si>
    <t>H3959-036</t>
  </si>
  <si>
    <t>Powers, Timothy</t>
  </si>
  <si>
    <t xml:space="preserve">Y  </t>
  </si>
  <si>
    <t>7FE7G53TR74</t>
  </si>
  <si>
    <t>NG102280181000</t>
  </si>
  <si>
    <t>ESAREY CANNON L,CORBY</t>
  </si>
  <si>
    <t>MO</t>
  </si>
  <si>
    <t>IMM619</t>
  </si>
  <si>
    <t>H1608-067</t>
  </si>
  <si>
    <t>DUNAVANT, MICHAEL</t>
  </si>
  <si>
    <t>5CT6D56NC64</t>
  </si>
  <si>
    <t>NG101710321400</t>
  </si>
  <si>
    <t>FILIAGGI G,JANIS</t>
  </si>
  <si>
    <t>H5522-004</t>
  </si>
  <si>
    <t>Foley, Carol</t>
  </si>
  <si>
    <t>1P90C93HK46</t>
  </si>
  <si>
    <t>NG101926865400</t>
  </si>
  <si>
    <t>FILIAGGI,ROBERT</t>
  </si>
  <si>
    <t>6PE4XQ2TE04</t>
  </si>
  <si>
    <t>NG102280466100</t>
  </si>
  <si>
    <t>FRIAS H,MARIA</t>
  </si>
  <si>
    <t>Shapiro, Robert</t>
  </si>
  <si>
    <t>1U16T09GP61</t>
  </si>
  <si>
    <t>NG102280061000</t>
  </si>
  <si>
    <t>FUNKHOUSER,MARIANN</t>
  </si>
  <si>
    <t>5FG8XM4ET30</t>
  </si>
  <si>
    <t>NG102280464500</t>
  </si>
  <si>
    <t>GAINER A,JUDITH</t>
  </si>
  <si>
    <t>H3959-002</t>
  </si>
  <si>
    <t>Inskipt, Deborah</t>
  </si>
  <si>
    <t>5XY7E09VM66</t>
  </si>
  <si>
    <t>NG102276738400</t>
  </si>
  <si>
    <t>HALLEY A,KAREN</t>
  </si>
  <si>
    <t>OH</t>
  </si>
  <si>
    <t>IMM617</t>
  </si>
  <si>
    <t>H0628-036</t>
  </si>
  <si>
    <t>SHEPARD RYAN</t>
  </si>
  <si>
    <t>7RF9A67YK31</t>
  </si>
  <si>
    <t>NG102280430500</t>
  </si>
  <si>
    <t>HARPER A,RODNEY</t>
  </si>
  <si>
    <t>FL</t>
  </si>
  <si>
    <t>IMM604</t>
  </si>
  <si>
    <t>H5521-271</t>
  </si>
  <si>
    <t>Teipel, Gregory</t>
  </si>
  <si>
    <t>7PX3HH2DV02</t>
  </si>
  <si>
    <t>NG102280187800</t>
  </si>
  <si>
    <t>HARTMAN A,NANCY</t>
  </si>
  <si>
    <t>H5522-001</t>
  </si>
  <si>
    <t>McCorkle, Michelle</t>
  </si>
  <si>
    <t>9HA9GR9AY00</t>
  </si>
  <si>
    <t>NG102044738100</t>
  </si>
  <si>
    <t>HOEPPNER B,SUSAN</t>
  </si>
  <si>
    <t>TN</t>
  </si>
  <si>
    <t>Renewal Termination</t>
  </si>
  <si>
    <t>IMM609</t>
  </si>
  <si>
    <t>H5521-254</t>
  </si>
  <si>
    <t>GMO</t>
  </si>
  <si>
    <t>8X14PW9QD72</t>
  </si>
  <si>
    <t>NG102280689200</t>
  </si>
  <si>
    <t>JARES W,SCOTT</t>
  </si>
  <si>
    <t>WI</t>
  </si>
  <si>
    <t>H5521-403</t>
  </si>
  <si>
    <t>Portugal, Stacey</t>
  </si>
  <si>
    <t>1EC1HQ1DM99</t>
  </si>
  <si>
    <t>NG102280265800</t>
  </si>
  <si>
    <t>MCDONALD K,GARY</t>
  </si>
  <si>
    <t>H1608-029</t>
  </si>
  <si>
    <t>5GY9RU9XP19</t>
  </si>
  <si>
    <t>NG102280192900</t>
  </si>
  <si>
    <t>MICHALSKI A,JOSEPH</t>
  </si>
  <si>
    <t>H0628-038</t>
  </si>
  <si>
    <t>BRANDT, STEVEN</t>
  </si>
  <si>
    <t>7Y88GX1YF61</t>
  </si>
  <si>
    <t>NG102280195700</t>
  </si>
  <si>
    <t>MONARREZ V,MARIA</t>
  </si>
  <si>
    <t>Herrera-Larsen, Esther</t>
  </si>
  <si>
    <t>8T22ET0XD92</t>
  </si>
  <si>
    <t>NG101867154500</t>
  </si>
  <si>
    <t>MOUNTS K,DEBORAH</t>
  </si>
  <si>
    <t>IN</t>
  </si>
  <si>
    <t>Pro-Rata Payment</t>
  </si>
  <si>
    <t>H5521-231</t>
  </si>
  <si>
    <t>Green, Danna</t>
  </si>
  <si>
    <t>Pro-Rata Disenroll</t>
  </si>
  <si>
    <t>OH9999999</t>
  </si>
  <si>
    <t>ME0000OH</t>
  </si>
  <si>
    <t>OHIO, JANE</t>
  </si>
  <si>
    <t>HRA</t>
  </si>
  <si>
    <t>PPO</t>
  </si>
  <si>
    <t>H5521-087</t>
  </si>
  <si>
    <t>HRA/DRXI785R4754M/17094718/PENNINGTON_STEVEN</t>
  </si>
  <si>
    <t>MAIN LINE BENEFITS LLC</t>
  </si>
  <si>
    <t>N/A</t>
  </si>
  <si>
    <t>7X21TN9GF95</t>
  </si>
  <si>
    <t>MEQNPDZM00003487368</t>
  </si>
  <si>
    <t>ROSS,DEBORAH</t>
  </si>
  <si>
    <t>H9771-001</t>
  </si>
  <si>
    <t>HORN, JEFFREY</t>
  </si>
  <si>
    <t>7Y11A09WM19</t>
  </si>
  <si>
    <t>NG102280776800</t>
  </si>
  <si>
    <t>TRAYERS B,MARY</t>
  </si>
  <si>
    <t>H0628-005</t>
  </si>
  <si>
    <t>6N71UV1EV02</t>
  </si>
  <si>
    <t>NG102280584900</t>
  </si>
  <si>
    <t>WARNOCK M,JANET</t>
  </si>
  <si>
    <t>2W99YA6VJ35</t>
  </si>
  <si>
    <t>NG102280764200</t>
  </si>
  <si>
    <t>ZANG A,CAROL</t>
  </si>
  <si>
    <t>2K41R39QF37</t>
  </si>
  <si>
    <t>NG102280590400</t>
  </si>
  <si>
    <t>ZELINSKI M,BRENDA</t>
  </si>
  <si>
    <t>7FF8MQ2WT56</t>
  </si>
  <si>
    <t>NG102280581000</t>
  </si>
  <si>
    <t>ZELINSKI S,MATTHEW</t>
  </si>
  <si>
    <t>Total Payee Amount: $3294.79</t>
  </si>
  <si>
    <t>BANNISTER</t>
  </si>
  <si>
    <t>FRANCES</t>
  </si>
  <si>
    <t>BARUCK</t>
  </si>
  <si>
    <t>CYNTHIA</t>
  </si>
  <si>
    <t>CRAMER</t>
  </si>
  <si>
    <t>DAVID</t>
  </si>
  <si>
    <t>ESAREY</t>
  </si>
  <si>
    <t>CORBY</t>
  </si>
  <si>
    <t>FILIAGGI</t>
  </si>
  <si>
    <t>JANIS</t>
  </si>
  <si>
    <t>ROBERT</t>
  </si>
  <si>
    <t>FRIAS</t>
  </si>
  <si>
    <t>MARIA</t>
  </si>
  <si>
    <t>FUNKHOUSER</t>
  </si>
  <si>
    <t>MARIANN</t>
  </si>
  <si>
    <t>GAINER</t>
  </si>
  <si>
    <t>JUDITH</t>
  </si>
  <si>
    <t>HALLEY</t>
  </si>
  <si>
    <t>KAREN</t>
  </si>
  <si>
    <t>HARPER</t>
  </si>
  <si>
    <t>RODNEY</t>
  </si>
  <si>
    <t>HARTMAN</t>
  </si>
  <si>
    <t>NANCY</t>
  </si>
  <si>
    <t>HOEPPNER</t>
  </si>
  <si>
    <t>SUSAN</t>
  </si>
  <si>
    <t>JARES</t>
  </si>
  <si>
    <t>SCOTT</t>
  </si>
  <si>
    <t>MCDONALD</t>
  </si>
  <si>
    <t>GARY</t>
  </si>
  <si>
    <t>MICHALSKI</t>
  </si>
  <si>
    <t>JOSEPH</t>
  </si>
  <si>
    <t>MONARREZ</t>
  </si>
  <si>
    <t>MOUNTS</t>
  </si>
  <si>
    <t>DEBORAH</t>
  </si>
  <si>
    <t>ROSS</t>
  </si>
  <si>
    <t>TRAYERS</t>
  </si>
  <si>
    <t>MARY</t>
  </si>
  <si>
    <t>WARNOCK</t>
  </si>
  <si>
    <t>JANET</t>
  </si>
  <si>
    <t>ZANG</t>
  </si>
  <si>
    <t>CAROL</t>
  </si>
  <si>
    <t>ZELINSKI</t>
  </si>
  <si>
    <t>BRENDA</t>
  </si>
  <si>
    <t>MATTHEW</t>
  </si>
  <si>
    <t>[%/$=694]</t>
  </si>
  <si>
    <t>Aetna 2026</t>
  </si>
  <si>
    <t>Aetna MAPD OVR 2026</t>
  </si>
  <si>
    <t>Aetna MAPD 2026*</t>
  </si>
  <si>
    <t>[%/$=347][prorate=11/12]</t>
  </si>
  <si>
    <t>[%/$=347][prorate=8/12]</t>
  </si>
  <si>
    <t>[%/$=347][prorate=1/12]</t>
  </si>
  <si>
    <t>[%/$=358][prorate=1/12]</t>
  </si>
  <si>
    <t>Aetna MAPD 2025*</t>
  </si>
  <si>
    <t>[%/$=347][prorate=4/12]</t>
  </si>
  <si>
    <t>[%/$=347][prorate=5/12]</t>
  </si>
  <si>
    <t>[%/$=347][prorate=6/12]</t>
  </si>
  <si>
    <t>Aetna 2026 CT, PA, DC *</t>
  </si>
  <si>
    <t>[%/$=391][prorate=6/12]</t>
  </si>
  <si>
    <t>[%/$=347][prorate=7/12]</t>
  </si>
  <si>
    <t>[%/$=391][prorate=7/12]</t>
  </si>
  <si>
    <t>16849453L5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</si>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</sst>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18" fillId="33" borderId="0" xfId="0" applyFont="1" applyFill="1"/>
    <xf numFmtId="0" fontId="18" fillId="35" borderId="0" xfId="0" applyFont="1" applyFill="1"/>
    <xf numFmtId="14" fontId="18" fillId="35" borderId="0" xfId="0" applyNumberFormat="1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F290-BB0E-49AC-9822-E7F3FD58AC5A}">
  <dimension ref="A1:X40"/>
  <sheetViews>
    <sheetView workbookViewId="0">
      <selection sqref="A1:XFD1048576"/>
    </sheetView>
  </sheetViews>
  <sheetFormatPr defaultRowHeight="15" x14ac:dyDescent="0.25"/>
  <cols>
    <col min="1" max="1" width="2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46175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46174</v>
      </c>
      <c r="M2" s="1">
        <v>46174</v>
      </c>
      <c r="O2">
        <v>7470776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289.92</v>
      </c>
      <c r="V2" t="s">
        <v>36</v>
      </c>
      <c r="W2" s="1">
        <v>46156</v>
      </c>
      <c r="X2">
        <v>2026</v>
      </c>
    </row>
    <row r="3" spans="1:24" x14ac:dyDescent="0.25">
      <c r="A3" s="1">
        <v>46175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46174</v>
      </c>
      <c r="M3" s="1">
        <v>46174</v>
      </c>
      <c r="O3">
        <v>16633294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289.92</v>
      </c>
      <c r="V3" t="s">
        <v>36</v>
      </c>
      <c r="W3" s="1">
        <v>46160</v>
      </c>
      <c r="X3">
        <v>2026</v>
      </c>
    </row>
    <row r="4" spans="1:24" x14ac:dyDescent="0.25">
      <c r="A4" s="1">
        <v>46175</v>
      </c>
      <c r="B4" t="s">
        <v>44</v>
      </c>
      <c r="C4" t="s">
        <v>45</v>
      </c>
      <c r="E4" t="s">
        <v>46</v>
      </c>
      <c r="F4" t="s">
        <v>47</v>
      </c>
      <c r="G4" t="s">
        <v>48</v>
      </c>
      <c r="H4" t="s">
        <v>29</v>
      </c>
      <c r="I4" t="s">
        <v>49</v>
      </c>
      <c r="J4" t="s">
        <v>50</v>
      </c>
      <c r="L4" s="1">
        <v>46082</v>
      </c>
      <c r="M4" s="1">
        <v>46082</v>
      </c>
      <c r="N4" s="1">
        <v>46173</v>
      </c>
      <c r="O4">
        <v>17886092</v>
      </c>
      <c r="P4" t="s">
        <v>32</v>
      </c>
      <c r="Q4" t="s">
        <v>51</v>
      </c>
      <c r="R4">
        <v>8192</v>
      </c>
      <c r="S4" t="s">
        <v>34</v>
      </c>
      <c r="T4" t="s">
        <v>35</v>
      </c>
      <c r="U4">
        <v>-54.16</v>
      </c>
      <c r="V4" t="s">
        <v>52</v>
      </c>
      <c r="W4" s="1">
        <v>46076</v>
      </c>
      <c r="X4">
        <v>2026</v>
      </c>
    </row>
    <row r="5" spans="1:24" x14ac:dyDescent="0.25">
      <c r="A5" s="1">
        <v>46175</v>
      </c>
      <c r="B5" t="s">
        <v>53</v>
      </c>
      <c r="C5" t="s">
        <v>54</v>
      </c>
      <c r="E5" t="s">
        <v>55</v>
      </c>
      <c r="F5" t="s">
        <v>56</v>
      </c>
      <c r="G5" t="s">
        <v>28</v>
      </c>
      <c r="H5" t="s">
        <v>29</v>
      </c>
      <c r="I5" t="s">
        <v>57</v>
      </c>
      <c r="J5" t="s">
        <v>58</v>
      </c>
      <c r="L5" s="1">
        <v>46204</v>
      </c>
      <c r="M5" s="1">
        <v>46204</v>
      </c>
      <c r="O5">
        <v>18828278</v>
      </c>
      <c r="P5" t="s">
        <v>32</v>
      </c>
      <c r="Q5" t="s">
        <v>59</v>
      </c>
      <c r="R5">
        <v>8192</v>
      </c>
      <c r="S5" t="s">
        <v>34</v>
      </c>
      <c r="T5" t="s">
        <v>35</v>
      </c>
      <c r="U5">
        <v>248.5</v>
      </c>
      <c r="V5" t="s">
        <v>36</v>
      </c>
      <c r="W5" s="1">
        <v>46155</v>
      </c>
      <c r="X5">
        <v>2026</v>
      </c>
    </row>
    <row r="6" spans="1:24" x14ac:dyDescent="0.25">
      <c r="A6" s="1">
        <v>46175</v>
      </c>
      <c r="B6" t="s">
        <v>60</v>
      </c>
      <c r="C6" t="s">
        <v>61</v>
      </c>
      <c r="E6" t="s">
        <v>62</v>
      </c>
      <c r="F6" t="s">
        <v>47</v>
      </c>
      <c r="G6" t="s">
        <v>28</v>
      </c>
      <c r="H6" t="s">
        <v>29</v>
      </c>
      <c r="I6" t="s">
        <v>49</v>
      </c>
      <c r="J6" t="s">
        <v>63</v>
      </c>
      <c r="L6" s="1">
        <v>46174</v>
      </c>
      <c r="M6" s="1">
        <v>46174</v>
      </c>
      <c r="O6">
        <v>17425766</v>
      </c>
      <c r="P6" t="s">
        <v>32</v>
      </c>
      <c r="Q6" t="s">
        <v>64</v>
      </c>
      <c r="R6">
        <v>8192</v>
      </c>
      <c r="S6" t="s">
        <v>34</v>
      </c>
      <c r="T6" t="s">
        <v>35</v>
      </c>
      <c r="U6">
        <v>315.58</v>
      </c>
      <c r="V6" t="s">
        <v>36</v>
      </c>
      <c r="W6" s="1">
        <v>46157</v>
      </c>
      <c r="X6">
        <v>2026</v>
      </c>
    </row>
    <row r="7" spans="1:24" x14ac:dyDescent="0.25">
      <c r="A7" s="1">
        <v>46175</v>
      </c>
      <c r="B7" t="s">
        <v>65</v>
      </c>
      <c r="C7" t="s">
        <v>66</v>
      </c>
      <c r="E7" t="s">
        <v>67</v>
      </c>
      <c r="F7" t="s">
        <v>47</v>
      </c>
      <c r="G7" t="s">
        <v>28</v>
      </c>
      <c r="H7" t="s">
        <v>29</v>
      </c>
      <c r="I7" t="s">
        <v>49</v>
      </c>
      <c r="J7" t="s">
        <v>63</v>
      </c>
      <c r="L7" s="1">
        <v>46174</v>
      </c>
      <c r="M7" s="1">
        <v>46174</v>
      </c>
      <c r="O7">
        <v>17425766</v>
      </c>
      <c r="P7" t="s">
        <v>32</v>
      </c>
      <c r="Q7" t="s">
        <v>64</v>
      </c>
      <c r="R7">
        <v>8192</v>
      </c>
      <c r="S7" t="s">
        <v>34</v>
      </c>
      <c r="T7" t="s">
        <v>35</v>
      </c>
      <c r="U7">
        <v>315.58</v>
      </c>
      <c r="V7" t="s">
        <v>36</v>
      </c>
      <c r="W7" s="1">
        <v>46160</v>
      </c>
      <c r="X7">
        <v>2026</v>
      </c>
    </row>
    <row r="8" spans="1:24" x14ac:dyDescent="0.25">
      <c r="A8" s="1">
        <v>46175</v>
      </c>
      <c r="B8" t="s">
        <v>68</v>
      </c>
      <c r="C8" t="s">
        <v>69</v>
      </c>
      <c r="E8" t="s">
        <v>70</v>
      </c>
      <c r="F8" t="s">
        <v>40</v>
      </c>
      <c r="G8" t="s">
        <v>28</v>
      </c>
      <c r="H8" t="s">
        <v>29</v>
      </c>
      <c r="I8" t="s">
        <v>41</v>
      </c>
      <c r="J8" t="s">
        <v>42</v>
      </c>
      <c r="L8" s="1">
        <v>46204</v>
      </c>
      <c r="M8" s="1">
        <v>46204</v>
      </c>
      <c r="O8">
        <v>7565575</v>
      </c>
      <c r="P8" t="s">
        <v>32</v>
      </c>
      <c r="Q8" t="s">
        <v>71</v>
      </c>
      <c r="R8">
        <v>8192</v>
      </c>
      <c r="S8" t="s">
        <v>34</v>
      </c>
      <c r="T8" t="s">
        <v>35</v>
      </c>
      <c r="U8">
        <v>248.5</v>
      </c>
      <c r="V8" t="s">
        <v>36</v>
      </c>
      <c r="W8" s="1">
        <v>46156</v>
      </c>
      <c r="X8">
        <v>2026</v>
      </c>
    </row>
    <row r="9" spans="1:24" x14ac:dyDescent="0.25">
      <c r="A9" s="1">
        <v>46175</v>
      </c>
      <c r="B9" t="s">
        <v>72</v>
      </c>
      <c r="C9" t="s">
        <v>73</v>
      </c>
      <c r="E9" t="s">
        <v>74</v>
      </c>
      <c r="F9" t="s">
        <v>40</v>
      </c>
      <c r="G9" t="s">
        <v>28</v>
      </c>
      <c r="H9" t="s">
        <v>29</v>
      </c>
      <c r="I9" t="s">
        <v>41</v>
      </c>
      <c r="J9" t="s">
        <v>42</v>
      </c>
      <c r="L9" s="1">
        <v>46174</v>
      </c>
      <c r="M9" s="1">
        <v>46174</v>
      </c>
      <c r="O9">
        <v>7470776</v>
      </c>
      <c r="P9" t="s">
        <v>32</v>
      </c>
      <c r="Q9" t="s">
        <v>33</v>
      </c>
      <c r="R9">
        <v>8192</v>
      </c>
      <c r="S9" t="s">
        <v>34</v>
      </c>
      <c r="T9" t="s">
        <v>35</v>
      </c>
      <c r="U9">
        <v>289.92</v>
      </c>
      <c r="V9" t="s">
        <v>36</v>
      </c>
      <c r="W9" s="1">
        <v>46154</v>
      </c>
      <c r="X9">
        <v>2026</v>
      </c>
    </row>
    <row r="10" spans="1:24" x14ac:dyDescent="0.25">
      <c r="A10" s="1">
        <v>46175</v>
      </c>
      <c r="B10" t="s">
        <v>75</v>
      </c>
      <c r="C10" t="s">
        <v>76</v>
      </c>
      <c r="E10" t="s">
        <v>77</v>
      </c>
      <c r="F10" t="s">
        <v>47</v>
      </c>
      <c r="G10" t="s">
        <v>28</v>
      </c>
      <c r="H10" t="s">
        <v>29</v>
      </c>
      <c r="I10" t="s">
        <v>49</v>
      </c>
      <c r="J10" t="s">
        <v>78</v>
      </c>
      <c r="L10" s="1">
        <v>46174</v>
      </c>
      <c r="M10" s="1">
        <v>46174</v>
      </c>
      <c r="O10">
        <v>17528908</v>
      </c>
      <c r="P10" t="s">
        <v>32</v>
      </c>
      <c r="Q10" t="s">
        <v>79</v>
      </c>
      <c r="R10">
        <v>8192</v>
      </c>
      <c r="S10" t="s">
        <v>34</v>
      </c>
      <c r="T10" t="s">
        <v>35</v>
      </c>
      <c r="U10">
        <v>315.58</v>
      </c>
      <c r="V10" t="s">
        <v>36</v>
      </c>
      <c r="W10" s="1">
        <v>46156</v>
      </c>
      <c r="X10">
        <v>2026</v>
      </c>
    </row>
    <row r="11" spans="1:24" x14ac:dyDescent="0.25">
      <c r="A11" s="1">
        <v>46175</v>
      </c>
      <c r="B11" t="s">
        <v>80</v>
      </c>
      <c r="C11" t="s">
        <v>81</v>
      </c>
      <c r="E11" t="s">
        <v>82</v>
      </c>
      <c r="F11" t="s">
        <v>83</v>
      </c>
      <c r="G11" t="s">
        <v>48</v>
      </c>
      <c r="H11" t="s">
        <v>29</v>
      </c>
      <c r="I11" t="s">
        <v>84</v>
      </c>
      <c r="J11" t="s">
        <v>85</v>
      </c>
      <c r="L11" s="1">
        <v>46143</v>
      </c>
      <c r="M11" s="1">
        <v>46143</v>
      </c>
      <c r="N11" s="1">
        <v>46173</v>
      </c>
      <c r="O11">
        <v>16170994</v>
      </c>
      <c r="P11" t="s">
        <v>32</v>
      </c>
      <c r="Q11" t="s">
        <v>86</v>
      </c>
      <c r="R11">
        <v>8192</v>
      </c>
      <c r="S11" t="s">
        <v>34</v>
      </c>
      <c r="T11" t="s">
        <v>35</v>
      </c>
      <c r="U11">
        <v>-844</v>
      </c>
      <c r="V11" t="s">
        <v>52</v>
      </c>
      <c r="W11" s="1">
        <v>46128</v>
      </c>
      <c r="X11">
        <v>2026</v>
      </c>
    </row>
    <row r="12" spans="1:24" x14ac:dyDescent="0.25">
      <c r="A12" s="1">
        <v>46175</v>
      </c>
      <c r="B12" t="s">
        <v>87</v>
      </c>
      <c r="C12" t="s">
        <v>88</v>
      </c>
      <c r="E12" t="s">
        <v>89</v>
      </c>
      <c r="F12" t="s">
        <v>90</v>
      </c>
      <c r="G12" t="s">
        <v>28</v>
      </c>
      <c r="H12" t="s">
        <v>29</v>
      </c>
      <c r="I12" t="s">
        <v>91</v>
      </c>
      <c r="J12" t="s">
        <v>92</v>
      </c>
      <c r="L12" s="1">
        <v>46174</v>
      </c>
      <c r="M12" s="1">
        <v>46174</v>
      </c>
      <c r="O12">
        <v>8307933</v>
      </c>
      <c r="P12" t="s">
        <v>32</v>
      </c>
      <c r="Q12" t="s">
        <v>93</v>
      </c>
      <c r="R12">
        <v>8192</v>
      </c>
      <c r="S12" t="s">
        <v>34</v>
      </c>
      <c r="T12" t="s">
        <v>35</v>
      </c>
      <c r="U12">
        <v>289.92</v>
      </c>
      <c r="V12" t="s">
        <v>36</v>
      </c>
      <c r="W12" s="1">
        <v>46156</v>
      </c>
      <c r="X12">
        <v>2026</v>
      </c>
    </row>
    <row r="13" spans="1:24" x14ac:dyDescent="0.25">
      <c r="A13" s="1">
        <v>46175</v>
      </c>
      <c r="B13" t="s">
        <v>94</v>
      </c>
      <c r="C13" t="s">
        <v>95</v>
      </c>
      <c r="E13" t="s">
        <v>96</v>
      </c>
      <c r="F13" t="s">
        <v>47</v>
      </c>
      <c r="G13" t="s">
        <v>28</v>
      </c>
      <c r="H13" t="s">
        <v>29</v>
      </c>
      <c r="I13" t="s">
        <v>49</v>
      </c>
      <c r="J13" t="s">
        <v>97</v>
      </c>
      <c r="L13" s="1">
        <v>46204</v>
      </c>
      <c r="M13" s="1">
        <v>46204</v>
      </c>
      <c r="O13">
        <v>18710070</v>
      </c>
      <c r="P13" t="s">
        <v>32</v>
      </c>
      <c r="Q13" t="s">
        <v>98</v>
      </c>
      <c r="R13">
        <v>8192</v>
      </c>
      <c r="S13" t="s">
        <v>34</v>
      </c>
      <c r="T13" t="s">
        <v>35</v>
      </c>
      <c r="U13">
        <v>270.5</v>
      </c>
      <c r="V13" t="s">
        <v>36</v>
      </c>
      <c r="W13" s="1">
        <v>46155</v>
      </c>
      <c r="X13">
        <v>2026</v>
      </c>
    </row>
    <row r="14" spans="1:24" x14ac:dyDescent="0.25">
      <c r="A14" s="1">
        <v>46175</v>
      </c>
      <c r="B14" t="s">
        <v>99</v>
      </c>
      <c r="C14" t="s">
        <v>100</v>
      </c>
      <c r="E14" t="s">
        <v>101</v>
      </c>
      <c r="F14" t="s">
        <v>102</v>
      </c>
      <c r="G14" t="s">
        <v>103</v>
      </c>
      <c r="H14" t="s">
        <v>29</v>
      </c>
      <c r="I14" t="s">
        <v>104</v>
      </c>
      <c r="J14" t="s">
        <v>105</v>
      </c>
      <c r="L14" s="1">
        <v>45839</v>
      </c>
      <c r="M14" s="1">
        <v>45536</v>
      </c>
      <c r="N14" s="1">
        <v>45838</v>
      </c>
      <c r="O14">
        <v>8307933</v>
      </c>
      <c r="P14" t="s">
        <v>32</v>
      </c>
      <c r="Q14" t="s">
        <v>93</v>
      </c>
      <c r="R14">
        <v>8192</v>
      </c>
      <c r="S14" t="s">
        <v>106</v>
      </c>
      <c r="T14" t="s">
        <v>35</v>
      </c>
      <c r="U14">
        <v>-29.83</v>
      </c>
      <c r="V14" t="s">
        <v>36</v>
      </c>
      <c r="W14" s="1">
        <v>45511</v>
      </c>
      <c r="X14">
        <v>2026</v>
      </c>
    </row>
    <row r="15" spans="1:24" x14ac:dyDescent="0.25">
      <c r="A15" s="1">
        <v>46175</v>
      </c>
      <c r="B15" t="s">
        <v>99</v>
      </c>
      <c r="C15" t="s">
        <v>100</v>
      </c>
      <c r="E15" t="s">
        <v>101</v>
      </c>
      <c r="F15" t="s">
        <v>102</v>
      </c>
      <c r="G15" t="s">
        <v>103</v>
      </c>
      <c r="H15" t="s">
        <v>29</v>
      </c>
      <c r="I15" t="s">
        <v>104</v>
      </c>
      <c r="J15" t="s">
        <v>105</v>
      </c>
      <c r="L15" s="1">
        <v>45870</v>
      </c>
      <c r="M15" s="1">
        <v>45536</v>
      </c>
      <c r="N15" s="1">
        <v>45838</v>
      </c>
      <c r="O15">
        <v>8307933</v>
      </c>
      <c r="P15" t="s">
        <v>32</v>
      </c>
      <c r="Q15" t="s">
        <v>93</v>
      </c>
      <c r="R15">
        <v>8192</v>
      </c>
      <c r="S15" t="s">
        <v>106</v>
      </c>
      <c r="T15" t="s">
        <v>35</v>
      </c>
      <c r="U15">
        <v>-29.83</v>
      </c>
      <c r="V15" t="s">
        <v>36</v>
      </c>
      <c r="W15" s="1">
        <v>45511</v>
      </c>
      <c r="X15">
        <v>2026</v>
      </c>
    </row>
    <row r="16" spans="1:24" x14ac:dyDescent="0.25">
      <c r="A16" s="1">
        <v>46175</v>
      </c>
      <c r="B16" t="s">
        <v>99</v>
      </c>
      <c r="C16" t="s">
        <v>100</v>
      </c>
      <c r="E16" t="s">
        <v>101</v>
      </c>
      <c r="F16" t="s">
        <v>102</v>
      </c>
      <c r="G16" t="s">
        <v>103</v>
      </c>
      <c r="H16" t="s">
        <v>29</v>
      </c>
      <c r="I16" t="s">
        <v>104</v>
      </c>
      <c r="J16" t="s">
        <v>105</v>
      </c>
      <c r="L16" s="1">
        <v>45901</v>
      </c>
      <c r="M16" s="1">
        <v>45536</v>
      </c>
      <c r="N16" s="1">
        <v>45838</v>
      </c>
      <c r="O16">
        <v>8307933</v>
      </c>
      <c r="P16" t="s">
        <v>32</v>
      </c>
      <c r="Q16" t="s">
        <v>93</v>
      </c>
      <c r="R16">
        <v>8192</v>
      </c>
      <c r="S16" t="s">
        <v>106</v>
      </c>
      <c r="T16" t="s">
        <v>35</v>
      </c>
      <c r="U16">
        <v>-29.83</v>
      </c>
      <c r="V16" t="s">
        <v>36</v>
      </c>
      <c r="W16" s="1">
        <v>45511</v>
      </c>
      <c r="X16">
        <v>2026</v>
      </c>
    </row>
    <row r="17" spans="1:24" x14ac:dyDescent="0.25">
      <c r="A17" s="1">
        <v>46175</v>
      </c>
      <c r="B17" t="s">
        <v>99</v>
      </c>
      <c r="C17" t="s">
        <v>100</v>
      </c>
      <c r="E17" t="s">
        <v>101</v>
      </c>
      <c r="F17" t="s">
        <v>102</v>
      </c>
      <c r="G17" t="s">
        <v>103</v>
      </c>
      <c r="H17" t="s">
        <v>29</v>
      </c>
      <c r="I17" t="s">
        <v>104</v>
      </c>
      <c r="J17" t="s">
        <v>105</v>
      </c>
      <c r="L17" s="1">
        <v>45931</v>
      </c>
      <c r="M17" s="1">
        <v>45536</v>
      </c>
      <c r="N17" s="1">
        <v>45838</v>
      </c>
      <c r="O17">
        <v>8307933</v>
      </c>
      <c r="P17" t="s">
        <v>32</v>
      </c>
      <c r="Q17" t="s">
        <v>93</v>
      </c>
      <c r="R17">
        <v>8192</v>
      </c>
      <c r="S17" t="s">
        <v>106</v>
      </c>
      <c r="T17" t="s">
        <v>35</v>
      </c>
      <c r="U17">
        <v>-29.83</v>
      </c>
      <c r="V17" t="s">
        <v>36</v>
      </c>
      <c r="W17" s="1">
        <v>45511</v>
      </c>
      <c r="X17">
        <v>2026</v>
      </c>
    </row>
    <row r="18" spans="1:24" x14ac:dyDescent="0.25">
      <c r="A18" s="1">
        <v>46175</v>
      </c>
      <c r="B18" t="s">
        <v>99</v>
      </c>
      <c r="C18" t="s">
        <v>100</v>
      </c>
      <c r="E18" t="s">
        <v>101</v>
      </c>
      <c r="F18" t="s">
        <v>102</v>
      </c>
      <c r="G18" t="s">
        <v>103</v>
      </c>
      <c r="H18" t="s">
        <v>29</v>
      </c>
      <c r="I18" t="s">
        <v>104</v>
      </c>
      <c r="J18" t="s">
        <v>105</v>
      </c>
      <c r="L18" s="1">
        <v>45962</v>
      </c>
      <c r="M18" s="1">
        <v>45536</v>
      </c>
      <c r="N18" s="1">
        <v>45838</v>
      </c>
      <c r="O18">
        <v>8307933</v>
      </c>
      <c r="P18" t="s">
        <v>32</v>
      </c>
      <c r="Q18" t="s">
        <v>93</v>
      </c>
      <c r="R18">
        <v>8192</v>
      </c>
      <c r="S18" t="s">
        <v>106</v>
      </c>
      <c r="T18" t="s">
        <v>35</v>
      </c>
      <c r="U18">
        <v>-29.83</v>
      </c>
      <c r="V18" t="s">
        <v>36</v>
      </c>
      <c r="W18" s="1">
        <v>45511</v>
      </c>
      <c r="X18">
        <v>2026</v>
      </c>
    </row>
    <row r="19" spans="1:24" x14ac:dyDescent="0.25">
      <c r="A19" s="1">
        <v>46175</v>
      </c>
      <c r="B19" t="s">
        <v>99</v>
      </c>
      <c r="C19" t="s">
        <v>100</v>
      </c>
      <c r="E19" t="s">
        <v>101</v>
      </c>
      <c r="F19" t="s">
        <v>102</v>
      </c>
      <c r="G19" t="s">
        <v>103</v>
      </c>
      <c r="H19" t="s">
        <v>29</v>
      </c>
      <c r="I19" t="s">
        <v>104</v>
      </c>
      <c r="J19" t="s">
        <v>105</v>
      </c>
      <c r="L19" s="1">
        <v>45992</v>
      </c>
      <c r="M19" s="1">
        <v>45536</v>
      </c>
      <c r="N19" s="1">
        <v>45838</v>
      </c>
      <c r="O19">
        <v>8307933</v>
      </c>
      <c r="P19" t="s">
        <v>32</v>
      </c>
      <c r="Q19" t="s">
        <v>93</v>
      </c>
      <c r="R19">
        <v>8192</v>
      </c>
      <c r="S19" t="s">
        <v>106</v>
      </c>
      <c r="T19" t="s">
        <v>35</v>
      </c>
      <c r="U19">
        <v>-29.83</v>
      </c>
      <c r="V19" t="s">
        <v>36</v>
      </c>
      <c r="W19" s="1">
        <v>45511</v>
      </c>
      <c r="X19">
        <v>2026</v>
      </c>
    </row>
    <row r="20" spans="1:24" x14ac:dyDescent="0.25">
      <c r="A20" s="1">
        <v>46175</v>
      </c>
      <c r="B20" t="s">
        <v>99</v>
      </c>
      <c r="C20" t="s">
        <v>100</v>
      </c>
      <c r="E20" t="s">
        <v>101</v>
      </c>
      <c r="F20" t="s">
        <v>102</v>
      </c>
      <c r="G20" t="s">
        <v>103</v>
      </c>
      <c r="H20" t="s">
        <v>29</v>
      </c>
      <c r="I20" t="s">
        <v>104</v>
      </c>
      <c r="J20" t="s">
        <v>105</v>
      </c>
      <c r="L20" s="1">
        <v>46023</v>
      </c>
      <c r="M20" s="1">
        <v>45536</v>
      </c>
      <c r="N20" s="1">
        <v>45838</v>
      </c>
      <c r="O20">
        <v>8307933</v>
      </c>
      <c r="P20" t="s">
        <v>32</v>
      </c>
      <c r="Q20" t="s">
        <v>93</v>
      </c>
      <c r="R20">
        <v>8192</v>
      </c>
      <c r="S20" t="s">
        <v>106</v>
      </c>
      <c r="T20" t="s">
        <v>35</v>
      </c>
      <c r="U20">
        <v>-32.67</v>
      </c>
      <c r="V20" t="s">
        <v>36</v>
      </c>
      <c r="W20" s="1">
        <v>45511</v>
      </c>
      <c r="X20">
        <v>2026</v>
      </c>
    </row>
    <row r="21" spans="1:24" x14ac:dyDescent="0.25">
      <c r="A21" s="1">
        <v>46175</v>
      </c>
      <c r="B21" t="s">
        <v>99</v>
      </c>
      <c r="C21" t="s">
        <v>100</v>
      </c>
      <c r="E21" t="s">
        <v>101</v>
      </c>
      <c r="F21" t="s">
        <v>102</v>
      </c>
      <c r="G21" t="s">
        <v>103</v>
      </c>
      <c r="H21" t="s">
        <v>29</v>
      </c>
      <c r="I21" t="s">
        <v>104</v>
      </c>
      <c r="J21" t="s">
        <v>105</v>
      </c>
      <c r="L21" s="1">
        <v>46054</v>
      </c>
      <c r="M21" s="1">
        <v>45536</v>
      </c>
      <c r="N21" s="1">
        <v>45838</v>
      </c>
      <c r="O21">
        <v>8307933</v>
      </c>
      <c r="P21" t="s">
        <v>32</v>
      </c>
      <c r="Q21" t="s">
        <v>93</v>
      </c>
      <c r="R21">
        <v>8192</v>
      </c>
      <c r="S21" t="s">
        <v>106</v>
      </c>
      <c r="T21" t="s">
        <v>35</v>
      </c>
      <c r="U21">
        <v>-32.67</v>
      </c>
      <c r="V21" t="s">
        <v>36</v>
      </c>
      <c r="W21" s="1">
        <v>45511</v>
      </c>
      <c r="X21">
        <v>2026</v>
      </c>
    </row>
    <row r="22" spans="1:24" x14ac:dyDescent="0.25">
      <c r="A22" s="1">
        <v>46175</v>
      </c>
      <c r="B22" t="s">
        <v>99</v>
      </c>
      <c r="C22" t="s">
        <v>100</v>
      </c>
      <c r="E22" t="s">
        <v>101</v>
      </c>
      <c r="F22" t="s">
        <v>102</v>
      </c>
      <c r="G22" t="s">
        <v>103</v>
      </c>
      <c r="H22" t="s">
        <v>29</v>
      </c>
      <c r="I22" t="s">
        <v>104</v>
      </c>
      <c r="J22" t="s">
        <v>105</v>
      </c>
      <c r="L22" s="1">
        <v>46082</v>
      </c>
      <c r="M22" s="1">
        <v>45536</v>
      </c>
      <c r="N22" s="1">
        <v>45838</v>
      </c>
      <c r="O22">
        <v>8307933</v>
      </c>
      <c r="P22" t="s">
        <v>32</v>
      </c>
      <c r="Q22" t="s">
        <v>93</v>
      </c>
      <c r="R22">
        <v>8192</v>
      </c>
      <c r="S22" t="s">
        <v>106</v>
      </c>
      <c r="T22" t="s">
        <v>35</v>
      </c>
      <c r="U22">
        <v>-32.67</v>
      </c>
      <c r="V22" t="s">
        <v>36</v>
      </c>
      <c r="W22" s="1">
        <v>45511</v>
      </c>
      <c r="X22">
        <v>2026</v>
      </c>
    </row>
    <row r="23" spans="1:24" x14ac:dyDescent="0.25">
      <c r="A23" s="1">
        <v>46175</v>
      </c>
      <c r="B23" t="s">
        <v>99</v>
      </c>
      <c r="C23" t="s">
        <v>100</v>
      </c>
      <c r="E23" t="s">
        <v>101</v>
      </c>
      <c r="F23" t="s">
        <v>102</v>
      </c>
      <c r="G23" t="s">
        <v>103</v>
      </c>
      <c r="H23" t="s">
        <v>29</v>
      </c>
      <c r="I23" t="s">
        <v>104</v>
      </c>
      <c r="J23" t="s">
        <v>105</v>
      </c>
      <c r="L23" s="1">
        <v>46113</v>
      </c>
      <c r="M23" s="1">
        <v>45536</v>
      </c>
      <c r="N23" s="1">
        <v>45838</v>
      </c>
      <c r="O23">
        <v>8307933</v>
      </c>
      <c r="P23" t="s">
        <v>32</v>
      </c>
      <c r="Q23" t="s">
        <v>93</v>
      </c>
      <c r="R23">
        <v>8192</v>
      </c>
      <c r="S23" t="s">
        <v>106</v>
      </c>
      <c r="T23" t="s">
        <v>35</v>
      </c>
      <c r="U23">
        <v>-32.67</v>
      </c>
      <c r="V23" t="s">
        <v>36</v>
      </c>
      <c r="W23" s="1">
        <v>45511</v>
      </c>
      <c r="X23">
        <v>2026</v>
      </c>
    </row>
    <row r="24" spans="1:24" x14ac:dyDescent="0.25">
      <c r="A24" s="1">
        <v>46175</v>
      </c>
      <c r="B24" t="s">
        <v>99</v>
      </c>
      <c r="C24" t="s">
        <v>100</v>
      </c>
      <c r="E24" t="s">
        <v>101</v>
      </c>
      <c r="F24" t="s">
        <v>102</v>
      </c>
      <c r="G24" t="s">
        <v>103</v>
      </c>
      <c r="H24" t="s">
        <v>29</v>
      </c>
      <c r="I24" t="s">
        <v>104</v>
      </c>
      <c r="J24" t="s">
        <v>105</v>
      </c>
      <c r="L24" s="1">
        <v>46143</v>
      </c>
      <c r="M24" s="1">
        <v>45536</v>
      </c>
      <c r="N24" s="1">
        <v>45838</v>
      </c>
      <c r="O24">
        <v>8307933</v>
      </c>
      <c r="P24" t="s">
        <v>32</v>
      </c>
      <c r="Q24" t="s">
        <v>93</v>
      </c>
      <c r="R24">
        <v>8192</v>
      </c>
      <c r="S24" t="s">
        <v>106</v>
      </c>
      <c r="T24" t="s">
        <v>35</v>
      </c>
      <c r="U24">
        <v>-32.67</v>
      </c>
      <c r="V24" t="s">
        <v>36</v>
      </c>
      <c r="W24" s="1">
        <v>45511</v>
      </c>
      <c r="X24">
        <v>2026</v>
      </c>
    </row>
    <row r="25" spans="1:24" x14ac:dyDescent="0.25">
      <c r="A25" s="1">
        <v>46175</v>
      </c>
      <c r="B25" t="s">
        <v>107</v>
      </c>
      <c r="C25" t="s">
        <v>108</v>
      </c>
      <c r="E25" t="s">
        <v>109</v>
      </c>
      <c r="F25" t="s">
        <v>110</v>
      </c>
      <c r="G25" t="s">
        <v>28</v>
      </c>
      <c r="H25" t="s">
        <v>29</v>
      </c>
      <c r="I25" t="s">
        <v>41</v>
      </c>
      <c r="J25" t="s">
        <v>111</v>
      </c>
      <c r="L25" s="1">
        <v>46174</v>
      </c>
      <c r="M25" s="1">
        <v>46174</v>
      </c>
      <c r="O25">
        <v>19645587</v>
      </c>
      <c r="P25" t="s">
        <v>32</v>
      </c>
      <c r="Q25" t="s">
        <v>112</v>
      </c>
      <c r="R25">
        <v>8192</v>
      </c>
      <c r="S25" t="s">
        <v>34</v>
      </c>
      <c r="T25" t="s">
        <v>35</v>
      </c>
      <c r="U25">
        <v>289.92</v>
      </c>
      <c r="V25" t="s">
        <v>36</v>
      </c>
      <c r="W25" s="1">
        <v>46160</v>
      </c>
      <c r="X25">
        <v>2026</v>
      </c>
    </row>
    <row r="26" spans="1:24" x14ac:dyDescent="0.25">
      <c r="A26" s="1">
        <v>46175</v>
      </c>
      <c r="B26" t="s">
        <v>113</v>
      </c>
      <c r="C26" t="s">
        <v>114</v>
      </c>
      <c r="E26" t="s">
        <v>115</v>
      </c>
      <c r="F26" t="s">
        <v>83</v>
      </c>
      <c r="G26" t="s">
        <v>28</v>
      </c>
      <c r="H26" t="s">
        <v>29</v>
      </c>
      <c r="I26" t="s">
        <v>84</v>
      </c>
      <c r="J26" t="s">
        <v>116</v>
      </c>
      <c r="L26" s="1">
        <v>46174</v>
      </c>
      <c r="M26" s="1">
        <v>46174</v>
      </c>
      <c r="O26">
        <v>16170994</v>
      </c>
      <c r="P26" t="s">
        <v>32</v>
      </c>
      <c r="Q26" t="s">
        <v>86</v>
      </c>
      <c r="R26">
        <v>8192</v>
      </c>
      <c r="S26" t="s">
        <v>34</v>
      </c>
      <c r="T26" t="s">
        <v>35</v>
      </c>
      <c r="U26">
        <v>289.92</v>
      </c>
      <c r="V26" t="s">
        <v>36</v>
      </c>
      <c r="W26" s="1">
        <v>46155</v>
      </c>
      <c r="X26">
        <v>2026</v>
      </c>
    </row>
    <row r="27" spans="1:24" x14ac:dyDescent="0.25">
      <c r="A27" s="1">
        <v>46175</v>
      </c>
      <c r="B27" t="s">
        <v>117</v>
      </c>
      <c r="C27" t="s">
        <v>118</v>
      </c>
      <c r="E27" t="s">
        <v>119</v>
      </c>
      <c r="F27" t="s">
        <v>83</v>
      </c>
      <c r="G27" t="s">
        <v>28</v>
      </c>
      <c r="H27" t="s">
        <v>29</v>
      </c>
      <c r="I27" t="s">
        <v>84</v>
      </c>
      <c r="J27" t="s">
        <v>120</v>
      </c>
      <c r="L27" s="1">
        <v>46174</v>
      </c>
      <c r="M27" s="1">
        <v>46174</v>
      </c>
      <c r="O27">
        <v>19491313</v>
      </c>
      <c r="P27" t="s">
        <v>32</v>
      </c>
      <c r="Q27" t="s">
        <v>121</v>
      </c>
      <c r="R27">
        <v>8192</v>
      </c>
      <c r="S27" t="s">
        <v>34</v>
      </c>
      <c r="T27" t="s">
        <v>35</v>
      </c>
      <c r="U27">
        <v>289.92</v>
      </c>
      <c r="V27" t="s">
        <v>36</v>
      </c>
      <c r="W27" s="1">
        <v>46155</v>
      </c>
      <c r="X27">
        <v>2026</v>
      </c>
    </row>
    <row r="28" spans="1:24" x14ac:dyDescent="0.25">
      <c r="A28" s="1">
        <v>46175</v>
      </c>
      <c r="B28" t="s">
        <v>122</v>
      </c>
      <c r="C28" t="s">
        <v>123</v>
      </c>
      <c r="E28" t="s">
        <v>124</v>
      </c>
      <c r="F28" t="s">
        <v>40</v>
      </c>
      <c r="G28" t="s">
        <v>28</v>
      </c>
      <c r="H28" t="s">
        <v>29</v>
      </c>
      <c r="I28" t="s">
        <v>41</v>
      </c>
      <c r="J28" t="s">
        <v>42</v>
      </c>
      <c r="L28" s="1">
        <v>46204</v>
      </c>
      <c r="M28" s="1">
        <v>46204</v>
      </c>
      <c r="O28">
        <v>17301495</v>
      </c>
      <c r="P28" t="s">
        <v>32</v>
      </c>
      <c r="Q28" t="s">
        <v>125</v>
      </c>
      <c r="R28">
        <v>8192</v>
      </c>
      <c r="S28" t="s">
        <v>34</v>
      </c>
      <c r="T28" t="s">
        <v>35</v>
      </c>
      <c r="U28">
        <v>248.5</v>
      </c>
      <c r="V28" t="s">
        <v>36</v>
      </c>
      <c r="W28" s="1">
        <v>46155</v>
      </c>
      <c r="X28">
        <v>2026</v>
      </c>
    </row>
    <row r="29" spans="1:24" x14ac:dyDescent="0.25">
      <c r="A29" s="1">
        <v>46175</v>
      </c>
      <c r="B29" t="s">
        <v>126</v>
      </c>
      <c r="C29" t="s">
        <v>127</v>
      </c>
      <c r="E29" t="s">
        <v>128</v>
      </c>
      <c r="F29" t="s">
        <v>129</v>
      </c>
      <c r="G29" t="s">
        <v>130</v>
      </c>
      <c r="H29" t="s">
        <v>29</v>
      </c>
      <c r="I29" t="s">
        <v>41</v>
      </c>
      <c r="J29" t="s">
        <v>131</v>
      </c>
      <c r="L29" s="1">
        <v>46054</v>
      </c>
      <c r="M29" s="1">
        <v>46054</v>
      </c>
      <c r="N29" s="1">
        <v>46173</v>
      </c>
      <c r="O29">
        <v>16849453</v>
      </c>
      <c r="P29" t="s">
        <v>32</v>
      </c>
      <c r="Q29" t="s">
        <v>132</v>
      </c>
      <c r="R29">
        <v>8192</v>
      </c>
      <c r="S29" t="s">
        <v>34</v>
      </c>
      <c r="T29" t="s">
        <v>35</v>
      </c>
      <c r="U29">
        <v>165.67</v>
      </c>
      <c r="V29" t="s">
        <v>36</v>
      </c>
      <c r="W29" s="1">
        <v>46053</v>
      </c>
      <c r="X29">
        <v>2026</v>
      </c>
    </row>
    <row r="30" spans="1:24" x14ac:dyDescent="0.25">
      <c r="A30" s="1">
        <v>46175</v>
      </c>
      <c r="B30" t="s">
        <v>126</v>
      </c>
      <c r="C30" t="s">
        <v>127</v>
      </c>
      <c r="E30" t="s">
        <v>128</v>
      </c>
      <c r="F30" t="s">
        <v>129</v>
      </c>
      <c r="G30" t="s">
        <v>133</v>
      </c>
      <c r="H30" t="s">
        <v>29</v>
      </c>
      <c r="I30" t="s">
        <v>41</v>
      </c>
      <c r="J30" t="s">
        <v>131</v>
      </c>
      <c r="L30" s="1">
        <v>46054</v>
      </c>
      <c r="M30" s="1">
        <v>46054</v>
      </c>
      <c r="N30" s="1">
        <v>46173</v>
      </c>
      <c r="O30">
        <v>16849453</v>
      </c>
      <c r="P30" t="s">
        <v>32</v>
      </c>
      <c r="Q30" t="s">
        <v>132</v>
      </c>
      <c r="R30">
        <v>8192</v>
      </c>
      <c r="S30" t="s">
        <v>34</v>
      </c>
      <c r="T30" t="s">
        <v>35</v>
      </c>
      <c r="U30">
        <v>-455.58</v>
      </c>
      <c r="V30" t="s">
        <v>36</v>
      </c>
      <c r="W30" s="1">
        <v>46053</v>
      </c>
      <c r="X30">
        <v>2026</v>
      </c>
    </row>
    <row r="31" spans="1:24" x14ac:dyDescent="0.25">
      <c r="A31" s="1">
        <v>46175</v>
      </c>
      <c r="B31" t="s">
        <v>134</v>
      </c>
      <c r="C31" t="s">
        <v>135</v>
      </c>
      <c r="E31" t="s">
        <v>136</v>
      </c>
      <c r="F31" t="s">
        <v>83</v>
      </c>
      <c r="G31" t="s">
        <v>137</v>
      </c>
      <c r="H31" t="s">
        <v>138</v>
      </c>
      <c r="I31" t="s">
        <v>84</v>
      </c>
      <c r="J31" t="s">
        <v>139</v>
      </c>
      <c r="K31" t="s">
        <v>140</v>
      </c>
      <c r="L31" s="1">
        <v>46143</v>
      </c>
      <c r="M31" s="1">
        <v>44562</v>
      </c>
      <c r="R31">
        <v>8192</v>
      </c>
      <c r="T31" t="s">
        <v>141</v>
      </c>
      <c r="U31">
        <v>55</v>
      </c>
      <c r="V31" t="s">
        <v>142</v>
      </c>
      <c r="W31" s="1">
        <v>44501</v>
      </c>
      <c r="X31">
        <v>2026</v>
      </c>
    </row>
    <row r="32" spans="1:24" x14ac:dyDescent="0.25">
      <c r="A32" s="1">
        <v>46175</v>
      </c>
      <c r="B32" t="s">
        <v>143</v>
      </c>
      <c r="C32" t="s">
        <v>144</v>
      </c>
      <c r="E32" t="s">
        <v>145</v>
      </c>
      <c r="F32" t="s">
        <v>40</v>
      </c>
      <c r="G32" t="s">
        <v>48</v>
      </c>
      <c r="H32" t="s">
        <v>29</v>
      </c>
      <c r="I32" t="s">
        <v>41</v>
      </c>
      <c r="J32" t="s">
        <v>146</v>
      </c>
      <c r="L32" s="1">
        <v>46143</v>
      </c>
      <c r="M32" s="1">
        <v>46143</v>
      </c>
      <c r="N32" s="1">
        <v>46173</v>
      </c>
      <c r="O32">
        <v>2158366</v>
      </c>
      <c r="P32" t="s">
        <v>32</v>
      </c>
      <c r="Q32" t="s">
        <v>147</v>
      </c>
      <c r="R32">
        <v>8192</v>
      </c>
      <c r="S32" t="s">
        <v>34</v>
      </c>
      <c r="T32" t="s">
        <v>35</v>
      </c>
      <c r="U32">
        <v>-331.33</v>
      </c>
      <c r="V32" t="s">
        <v>36</v>
      </c>
      <c r="W32" s="1">
        <v>46121</v>
      </c>
      <c r="X32">
        <v>2026</v>
      </c>
    </row>
    <row r="33" spans="1:24" x14ac:dyDescent="0.25">
      <c r="A33" s="1">
        <v>46175</v>
      </c>
      <c r="B33" t="s">
        <v>148</v>
      </c>
      <c r="C33" t="s">
        <v>149</v>
      </c>
      <c r="E33" t="s">
        <v>150</v>
      </c>
      <c r="F33" t="s">
        <v>83</v>
      </c>
      <c r="G33" t="s">
        <v>28</v>
      </c>
      <c r="H33" t="s">
        <v>29</v>
      </c>
      <c r="I33" t="s">
        <v>84</v>
      </c>
      <c r="J33" t="s">
        <v>151</v>
      </c>
      <c r="L33" s="1">
        <v>46174</v>
      </c>
      <c r="M33" s="1">
        <v>46174</v>
      </c>
      <c r="O33">
        <v>16170994</v>
      </c>
      <c r="P33" t="s">
        <v>32</v>
      </c>
      <c r="Q33" t="s">
        <v>86</v>
      </c>
      <c r="R33">
        <v>8192</v>
      </c>
      <c r="S33" t="s">
        <v>34</v>
      </c>
      <c r="T33" t="s">
        <v>35</v>
      </c>
      <c r="U33">
        <v>289.92</v>
      </c>
      <c r="V33" t="s">
        <v>36</v>
      </c>
      <c r="W33" s="1">
        <v>46160</v>
      </c>
      <c r="X33">
        <v>2026</v>
      </c>
    </row>
    <row r="34" spans="1:24" x14ac:dyDescent="0.25">
      <c r="A34" s="1">
        <v>46175</v>
      </c>
      <c r="B34" t="s">
        <v>152</v>
      </c>
      <c r="C34" t="s">
        <v>153</v>
      </c>
      <c r="E34" t="s">
        <v>154</v>
      </c>
      <c r="F34" t="s">
        <v>83</v>
      </c>
      <c r="G34" t="s">
        <v>28</v>
      </c>
      <c r="H34" t="s">
        <v>29</v>
      </c>
      <c r="I34" t="s">
        <v>84</v>
      </c>
      <c r="J34" t="s">
        <v>151</v>
      </c>
      <c r="L34" s="1">
        <v>46235</v>
      </c>
      <c r="M34" s="1">
        <v>46235</v>
      </c>
      <c r="O34">
        <v>16170994</v>
      </c>
      <c r="P34" t="s">
        <v>32</v>
      </c>
      <c r="Q34" t="s">
        <v>86</v>
      </c>
      <c r="R34">
        <v>8192</v>
      </c>
      <c r="S34" t="s">
        <v>34</v>
      </c>
      <c r="T34" t="s">
        <v>35</v>
      </c>
      <c r="U34">
        <v>207.08</v>
      </c>
      <c r="V34" t="s">
        <v>36</v>
      </c>
      <c r="W34" s="1">
        <v>46157</v>
      </c>
      <c r="X34">
        <v>2026</v>
      </c>
    </row>
    <row r="35" spans="1:24" x14ac:dyDescent="0.25">
      <c r="A35" s="1">
        <v>46175</v>
      </c>
      <c r="B35" t="s">
        <v>155</v>
      </c>
      <c r="C35" t="s">
        <v>156</v>
      </c>
      <c r="E35" t="s">
        <v>157</v>
      </c>
      <c r="F35" t="s">
        <v>47</v>
      </c>
      <c r="G35" t="s">
        <v>28</v>
      </c>
      <c r="H35" t="s">
        <v>29</v>
      </c>
      <c r="I35" t="s">
        <v>49</v>
      </c>
      <c r="J35" t="s">
        <v>78</v>
      </c>
      <c r="L35" s="1">
        <v>46204</v>
      </c>
      <c r="M35" s="1">
        <v>46204</v>
      </c>
      <c r="O35">
        <v>17886092</v>
      </c>
      <c r="P35" t="s">
        <v>32</v>
      </c>
      <c r="Q35" t="s">
        <v>51</v>
      </c>
      <c r="R35">
        <v>8192</v>
      </c>
      <c r="S35" t="s">
        <v>34</v>
      </c>
      <c r="T35" t="s">
        <v>35</v>
      </c>
      <c r="U35">
        <v>32.5</v>
      </c>
      <c r="V35" t="s">
        <v>36</v>
      </c>
      <c r="W35" s="1">
        <v>46160</v>
      </c>
      <c r="X35">
        <v>2026</v>
      </c>
    </row>
    <row r="36" spans="1:24" x14ac:dyDescent="0.25">
      <c r="A36" s="1">
        <v>46175</v>
      </c>
      <c r="B36" t="s">
        <v>158</v>
      </c>
      <c r="C36" t="s">
        <v>159</v>
      </c>
      <c r="E36" t="s">
        <v>160</v>
      </c>
      <c r="F36" t="s">
        <v>83</v>
      </c>
      <c r="G36" t="s">
        <v>28</v>
      </c>
      <c r="H36" t="s">
        <v>29</v>
      </c>
      <c r="I36" t="s">
        <v>84</v>
      </c>
      <c r="J36" t="s">
        <v>116</v>
      </c>
      <c r="L36" s="1">
        <v>46174</v>
      </c>
      <c r="M36" s="1">
        <v>46174</v>
      </c>
      <c r="O36">
        <v>16170994</v>
      </c>
      <c r="P36" t="s">
        <v>32</v>
      </c>
      <c r="Q36" t="s">
        <v>86</v>
      </c>
      <c r="R36">
        <v>8192</v>
      </c>
      <c r="S36" t="s">
        <v>34</v>
      </c>
      <c r="T36" t="s">
        <v>35</v>
      </c>
      <c r="U36">
        <v>289.92</v>
      </c>
      <c r="V36" t="s">
        <v>36</v>
      </c>
      <c r="W36" s="1">
        <v>46157</v>
      </c>
      <c r="X36">
        <v>2026</v>
      </c>
    </row>
    <row r="37" spans="1:24" x14ac:dyDescent="0.25">
      <c r="A37" s="1">
        <v>46175</v>
      </c>
      <c r="B37" t="s">
        <v>161</v>
      </c>
      <c r="C37" t="s">
        <v>162</v>
      </c>
      <c r="E37" t="s">
        <v>163</v>
      </c>
      <c r="F37" t="s">
        <v>83</v>
      </c>
      <c r="G37" t="s">
        <v>28</v>
      </c>
      <c r="H37" t="s">
        <v>29</v>
      </c>
      <c r="I37" t="s">
        <v>84</v>
      </c>
      <c r="J37" t="s">
        <v>116</v>
      </c>
      <c r="L37" s="1">
        <v>46174</v>
      </c>
      <c r="M37" s="1">
        <v>46174</v>
      </c>
      <c r="O37">
        <v>16170994</v>
      </c>
      <c r="P37" t="s">
        <v>32</v>
      </c>
      <c r="Q37" t="s">
        <v>86</v>
      </c>
      <c r="R37">
        <v>8192</v>
      </c>
      <c r="S37" t="s">
        <v>34</v>
      </c>
      <c r="T37" t="s">
        <v>35</v>
      </c>
      <c r="U37">
        <v>289.92</v>
      </c>
      <c r="V37" t="s">
        <v>36</v>
      </c>
      <c r="W37" s="1">
        <v>46157</v>
      </c>
      <c r="X37">
        <v>2026</v>
      </c>
    </row>
    <row r="40" spans="1:24" x14ac:dyDescent="0.25">
      <c r="A40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4C1B-8913-47E4-8C85-C8B434C2B428}">
  <dimension ref="A1:V63"/>
  <sheetViews>
    <sheetView tabSelected="1" topLeftCell="E2" workbookViewId="0">
      <selection activeCell="U2" sqref="U2:U34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4.42578125" bestFit="1" customWidth="1"/>
    <col min="4" max="4" width="10.140625" bestFit="1" customWidth="1"/>
    <col min="5" max="5" width="19.7109375" bestFit="1" customWidth="1"/>
    <col min="7" max="7" width="25.140625" bestFit="1" customWidth="1"/>
    <col min="11" max="11" width="15.7109375" bestFit="1" customWidth="1"/>
    <col min="12" max="12" width="13.5703125" bestFit="1" customWidth="1"/>
    <col min="13" max="13" width="13.5703125" customWidth="1"/>
    <col min="15" max="15" width="12.85546875" bestFit="1" customWidth="1"/>
    <col min="16" max="16" width="21" bestFit="1" customWidth="1"/>
    <col min="20" max="20" width="21.140625" bestFit="1" customWidth="1"/>
    <col min="21" max="21" width="24.140625" bestFit="1" customWidth="1"/>
  </cols>
  <sheetData>
    <row r="1" spans="1:22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N1" t="s">
        <v>14</v>
      </c>
      <c r="P1" t="s">
        <v>16</v>
      </c>
      <c r="Q1" t="s">
        <v>17</v>
      </c>
      <c r="R1" t="s">
        <v>20</v>
      </c>
    </row>
    <row r="2" spans="1:22" s="2" customFormat="1" x14ac:dyDescent="0.25">
      <c r="A2" s="2" t="s">
        <v>117</v>
      </c>
      <c r="B2" s="2" t="str">
        <f>CONCATENATE(A2,89)</f>
        <v>5GY9RU9XP1989</v>
      </c>
      <c r="C2" s="2" t="s">
        <v>194</v>
      </c>
      <c r="D2" s="2" t="s">
        <v>195</v>
      </c>
      <c r="E2" s="2" t="str">
        <f>CONCATENATE(D2," ",C2)</f>
        <v>JOSEPH MICHALSKI</v>
      </c>
      <c r="F2" s="2" t="s">
        <v>83</v>
      </c>
      <c r="G2" s="2" t="s">
        <v>28</v>
      </c>
      <c r="H2" s="2" t="s">
        <v>29</v>
      </c>
      <c r="I2" s="2" t="s">
        <v>84</v>
      </c>
      <c r="J2" s="2" t="s">
        <v>120</v>
      </c>
      <c r="K2" s="3">
        <v>46174</v>
      </c>
      <c r="L2" s="3">
        <v>46174</v>
      </c>
      <c r="M2" s="3">
        <f>DATE(YEAR(L2), MONTH(L2) +6, DAY(L2))</f>
        <v>46357</v>
      </c>
      <c r="N2" s="2">
        <v>19491313</v>
      </c>
      <c r="O2" s="2">
        <v>19491313</v>
      </c>
      <c r="P2" s="2" t="s">
        <v>121</v>
      </c>
      <c r="Q2" s="2">
        <v>8192</v>
      </c>
      <c r="R2" s="2">
        <v>289.92</v>
      </c>
      <c r="S2" s="2">
        <v>202.42</v>
      </c>
      <c r="T2" s="2" t="s">
        <v>212</v>
      </c>
      <c r="U2" s="2" t="s">
        <v>223</v>
      </c>
    </row>
    <row r="3" spans="1:22" s="4" customFormat="1" x14ac:dyDescent="0.25">
      <c r="A3" s="2" t="s">
        <v>24</v>
      </c>
      <c r="B3" s="2" t="str">
        <f>CONCATENATE(A3,89)</f>
        <v>2A87G63XP6089</v>
      </c>
      <c r="C3" s="2" t="s">
        <v>165</v>
      </c>
      <c r="D3" s="2" t="s">
        <v>166</v>
      </c>
      <c r="E3" s="2" t="str">
        <f>CONCATENATE(D3," ",C3)</f>
        <v>FRANCES BANNISTER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3">
        <v>46174</v>
      </c>
      <c r="L3" s="3">
        <v>46174</v>
      </c>
      <c r="M3" s="3">
        <f>DATE(YEAR(L3), MONTH(L3) +6, DAY(L3))</f>
        <v>46357</v>
      </c>
      <c r="N3" s="2">
        <v>7470776</v>
      </c>
      <c r="O3" s="2">
        <v>7470776</v>
      </c>
      <c r="P3" s="2" t="s">
        <v>33</v>
      </c>
      <c r="Q3" s="2">
        <v>8192</v>
      </c>
      <c r="R3" s="2">
        <v>289.92</v>
      </c>
      <c r="S3" s="2">
        <v>202.42</v>
      </c>
      <c r="T3" s="2" t="s">
        <v>212</v>
      </c>
      <c r="U3" s="2" t="s">
        <v>223</v>
      </c>
      <c r="V3" s="2">
        <f>347/12*7</f>
        <v>202.41666666666669</v>
      </c>
    </row>
    <row r="4" spans="1:22" s="2" customFormat="1" x14ac:dyDescent="0.25">
      <c r="A4" s="2" t="s">
        <v>72</v>
      </c>
      <c r="B4" s="2" t="str">
        <f>CONCATENATE(A4,89)</f>
        <v>1U16T09GP6189</v>
      </c>
      <c r="C4" s="2" t="s">
        <v>178</v>
      </c>
      <c r="D4" s="2" t="s">
        <v>179</v>
      </c>
      <c r="E4" s="2" t="str">
        <f>CONCATENATE(D4," ",C4)</f>
        <v>MARIANN FUNKHOUSER</v>
      </c>
      <c r="F4" s="2" t="s">
        <v>40</v>
      </c>
      <c r="G4" s="2" t="s">
        <v>28</v>
      </c>
      <c r="H4" s="2" t="s">
        <v>29</v>
      </c>
      <c r="I4" s="2" t="s">
        <v>41</v>
      </c>
      <c r="J4" s="2" t="s">
        <v>42</v>
      </c>
      <c r="K4" s="3">
        <v>46174</v>
      </c>
      <c r="L4" s="3">
        <v>46174</v>
      </c>
      <c r="M4" s="3">
        <f>DATE(YEAR(L4), MONTH(L4) +6, DAY(L4))</f>
        <v>46357</v>
      </c>
      <c r="N4" s="2">
        <v>7470776</v>
      </c>
      <c r="O4" s="2">
        <v>7470776</v>
      </c>
      <c r="P4" s="2" t="s">
        <v>33</v>
      </c>
      <c r="Q4" s="2">
        <v>8192</v>
      </c>
      <c r="R4" s="2">
        <v>289.92</v>
      </c>
      <c r="S4" s="2">
        <v>202.42</v>
      </c>
      <c r="T4" s="2" t="s">
        <v>212</v>
      </c>
      <c r="U4" s="2" t="s">
        <v>223</v>
      </c>
    </row>
    <row r="5" spans="1:22" s="4" customFormat="1" x14ac:dyDescent="0.25">
      <c r="A5" s="2" t="s">
        <v>53</v>
      </c>
      <c r="B5" s="2" t="str">
        <f>CONCATENATE(A5,89)</f>
        <v>7FE7G53TR7489</v>
      </c>
      <c r="C5" s="2" t="s">
        <v>171</v>
      </c>
      <c r="D5" s="2" t="s">
        <v>172</v>
      </c>
      <c r="E5" s="2" t="str">
        <f>CONCATENATE(D5," ",C5)</f>
        <v>CORBY ESAREY</v>
      </c>
      <c r="F5" s="2" t="s">
        <v>56</v>
      </c>
      <c r="G5" s="2" t="s">
        <v>28</v>
      </c>
      <c r="H5" s="2" t="s">
        <v>29</v>
      </c>
      <c r="I5" s="2" t="s">
        <v>57</v>
      </c>
      <c r="J5" s="2" t="s">
        <v>58</v>
      </c>
      <c r="K5" s="3">
        <v>46204</v>
      </c>
      <c r="L5" s="3">
        <v>46204</v>
      </c>
      <c r="M5" s="3">
        <f>DATE(YEAR(L5), MONTH(L5) +5, DAY(L5))</f>
        <v>46357</v>
      </c>
      <c r="N5" s="2">
        <v>18828278</v>
      </c>
      <c r="O5" s="2">
        <v>18828278</v>
      </c>
      <c r="P5" s="2" t="s">
        <v>59</v>
      </c>
      <c r="Q5" s="2">
        <v>8192</v>
      </c>
      <c r="R5" s="2">
        <v>248.5</v>
      </c>
      <c r="S5" s="2">
        <v>173.5</v>
      </c>
      <c r="T5" s="2" t="s">
        <v>212</v>
      </c>
      <c r="U5" s="2" t="s">
        <v>220</v>
      </c>
      <c r="V5" s="2">
        <f>347/12*6</f>
        <v>173.5</v>
      </c>
    </row>
    <row r="6" spans="1:22" s="2" customFormat="1" x14ac:dyDescent="0.25">
      <c r="A6" s="2" t="s">
        <v>60</v>
      </c>
      <c r="B6" s="2" t="str">
        <f>CONCATENATE(A6,89)</f>
        <v>5CT6D56NC6489</v>
      </c>
      <c r="C6" s="2" t="s">
        <v>173</v>
      </c>
      <c r="D6" s="2" t="s">
        <v>174</v>
      </c>
      <c r="E6" s="2" t="str">
        <f>CONCATENATE(D6," ",C6)</f>
        <v>JANIS FILIAGGI</v>
      </c>
      <c r="F6" s="2" t="s">
        <v>47</v>
      </c>
      <c r="G6" s="2" t="s">
        <v>28</v>
      </c>
      <c r="H6" s="2" t="s">
        <v>29</v>
      </c>
      <c r="I6" s="2" t="s">
        <v>49</v>
      </c>
      <c r="J6" s="2" t="s">
        <v>63</v>
      </c>
      <c r="K6" s="3">
        <v>46174</v>
      </c>
      <c r="L6" s="3">
        <v>46174</v>
      </c>
      <c r="M6" s="3">
        <f>DATE(YEAR(L6), MONTH(L6) +6, DAY(L6))</f>
        <v>46357</v>
      </c>
      <c r="N6" s="2">
        <v>17425766</v>
      </c>
      <c r="O6" s="2">
        <v>17425766</v>
      </c>
      <c r="P6" s="2" t="s">
        <v>64</v>
      </c>
      <c r="Q6" s="2">
        <v>8192</v>
      </c>
      <c r="R6" s="2">
        <v>315.58</v>
      </c>
      <c r="S6" s="2">
        <v>228.08</v>
      </c>
      <c r="T6" s="2" t="s">
        <v>221</v>
      </c>
      <c r="U6" s="2" t="s">
        <v>224</v>
      </c>
      <c r="V6" s="2">
        <f>391/12*7</f>
        <v>228.08333333333334</v>
      </c>
    </row>
    <row r="7" spans="1:22" s="4" customFormat="1" x14ac:dyDescent="0.25">
      <c r="A7" s="2" t="s">
        <v>65</v>
      </c>
      <c r="B7" s="2" t="str">
        <f>CONCATENATE(A7,89)</f>
        <v>1P90C93HK4689</v>
      </c>
      <c r="C7" s="2" t="s">
        <v>173</v>
      </c>
      <c r="D7" s="2" t="s">
        <v>175</v>
      </c>
      <c r="E7" s="2" t="str">
        <f>CONCATENATE(D7," ",C7)</f>
        <v>ROBERT FILIAGGI</v>
      </c>
      <c r="F7" s="2" t="s">
        <v>47</v>
      </c>
      <c r="G7" s="2" t="s">
        <v>28</v>
      </c>
      <c r="H7" s="2" t="s">
        <v>29</v>
      </c>
      <c r="I7" s="2" t="s">
        <v>49</v>
      </c>
      <c r="J7" s="2" t="s">
        <v>63</v>
      </c>
      <c r="K7" s="3">
        <v>46174</v>
      </c>
      <c r="L7" s="3">
        <v>46174</v>
      </c>
      <c r="M7" s="3">
        <f>DATE(YEAR(L7), MONTH(L7) +6, DAY(L7))</f>
        <v>46357</v>
      </c>
      <c r="N7" s="2">
        <v>17425766</v>
      </c>
      <c r="O7" s="2">
        <v>17425766</v>
      </c>
      <c r="P7" s="2" t="s">
        <v>64</v>
      </c>
      <c r="Q7" s="2">
        <v>8192</v>
      </c>
      <c r="R7" s="2">
        <v>315.58</v>
      </c>
      <c r="S7" s="2">
        <v>228.08</v>
      </c>
      <c r="T7" s="2" t="s">
        <v>221</v>
      </c>
      <c r="U7" s="2" t="s">
        <v>224</v>
      </c>
      <c r="V7" s="2"/>
    </row>
    <row r="8" spans="1:22" s="4" customFormat="1" x14ac:dyDescent="0.25">
      <c r="A8" s="2" t="s">
        <v>126</v>
      </c>
      <c r="B8" s="2" t="str">
        <f>CONCATENATE(A8,89)</f>
        <v>8T22ET0XD9289</v>
      </c>
      <c r="C8" s="2" t="s">
        <v>197</v>
      </c>
      <c r="D8" s="2" t="s">
        <v>198</v>
      </c>
      <c r="E8" s="2" t="str">
        <f>CONCATENATE(D8," ",C8)</f>
        <v>DEBORAH MOUNTS</v>
      </c>
      <c r="F8" s="2" t="s">
        <v>129</v>
      </c>
      <c r="G8" s="2" t="s">
        <v>133</v>
      </c>
      <c r="H8" s="2" t="s">
        <v>29</v>
      </c>
      <c r="I8" s="2" t="s">
        <v>41</v>
      </c>
      <c r="J8" s="2" t="s">
        <v>131</v>
      </c>
      <c r="K8" s="3">
        <v>46054</v>
      </c>
      <c r="L8" s="3">
        <v>46054</v>
      </c>
      <c r="M8" s="3">
        <v>46082</v>
      </c>
      <c r="N8" s="2">
        <v>16849453</v>
      </c>
      <c r="O8" s="2" t="s">
        <v>225</v>
      </c>
      <c r="P8" s="2" t="s">
        <v>132</v>
      </c>
      <c r="Q8" s="2">
        <v>8192</v>
      </c>
      <c r="R8" s="2">
        <v>-455.58</v>
      </c>
      <c r="S8" s="2">
        <v>-318.08</v>
      </c>
      <c r="T8" s="2" t="s">
        <v>212</v>
      </c>
      <c r="U8" s="2" t="s">
        <v>213</v>
      </c>
      <c r="V8" s="2"/>
    </row>
    <row r="9" spans="1:22" s="2" customFormat="1" x14ac:dyDescent="0.25">
      <c r="A9" s="2" t="s">
        <v>126</v>
      </c>
      <c r="B9" s="2" t="str">
        <f>CONCATENATE(A9,89)</f>
        <v>8T22ET0XD9289</v>
      </c>
      <c r="C9" s="2" t="s">
        <v>197</v>
      </c>
      <c r="D9" s="2" t="s">
        <v>198</v>
      </c>
      <c r="E9" s="2" t="str">
        <f>CONCATENATE(D9," ",C9)</f>
        <v>DEBORAH MOUNTS</v>
      </c>
      <c r="F9" s="2" t="s">
        <v>129</v>
      </c>
      <c r="G9" s="2" t="s">
        <v>130</v>
      </c>
      <c r="H9" s="2" t="s">
        <v>29</v>
      </c>
      <c r="I9" s="2" t="s">
        <v>41</v>
      </c>
      <c r="J9" s="2" t="s">
        <v>131</v>
      </c>
      <c r="K9" s="3">
        <v>46054</v>
      </c>
      <c r="L9" s="3">
        <v>46054</v>
      </c>
      <c r="M9" s="3">
        <f>DATE(YEAR(L9), MONTH(L9) +3, DAY(L9))</f>
        <v>46143</v>
      </c>
      <c r="N9" s="2">
        <v>16849453</v>
      </c>
      <c r="O9" s="2" t="s">
        <v>225</v>
      </c>
      <c r="P9" s="2" t="s">
        <v>132</v>
      </c>
      <c r="Q9" s="2">
        <v>8192</v>
      </c>
      <c r="R9" s="2">
        <v>165.67</v>
      </c>
      <c r="S9" s="6">
        <v>115.67</v>
      </c>
      <c r="T9" s="2" t="s">
        <v>212</v>
      </c>
      <c r="U9" s="2" t="s">
        <v>218</v>
      </c>
    </row>
    <row r="10" spans="1:22" s="2" customFormat="1" x14ac:dyDescent="0.25">
      <c r="A10" s="2" t="s">
        <v>122</v>
      </c>
      <c r="B10" s="2" t="str">
        <f>CONCATENATE(A10,89)</f>
        <v>7Y88GX1YF6189</v>
      </c>
      <c r="C10" s="2" t="s">
        <v>196</v>
      </c>
      <c r="D10" s="2" t="s">
        <v>177</v>
      </c>
      <c r="E10" s="2" t="str">
        <f>CONCATENATE(D10," ",C10)</f>
        <v>MARIA MONARREZ</v>
      </c>
      <c r="F10" s="2" t="s">
        <v>40</v>
      </c>
      <c r="G10" s="2" t="s">
        <v>28</v>
      </c>
      <c r="H10" s="2" t="s">
        <v>29</v>
      </c>
      <c r="I10" s="2" t="s">
        <v>41</v>
      </c>
      <c r="J10" s="2" t="s">
        <v>42</v>
      </c>
      <c r="K10" s="3">
        <v>46204</v>
      </c>
      <c r="L10" s="3">
        <v>46204</v>
      </c>
      <c r="M10" s="3">
        <f>DATE(YEAR(L10), MONTH(L10) +5, DAY(L10))</f>
        <v>46357</v>
      </c>
      <c r="N10" s="2">
        <v>17301495</v>
      </c>
      <c r="O10" s="2">
        <v>17301495</v>
      </c>
      <c r="P10" s="2" t="s">
        <v>125</v>
      </c>
      <c r="Q10" s="2">
        <v>8192</v>
      </c>
      <c r="R10" s="2">
        <v>248.5</v>
      </c>
      <c r="S10" s="2">
        <v>173.5</v>
      </c>
      <c r="T10" s="2" t="s">
        <v>212</v>
      </c>
      <c r="U10" s="2" t="s">
        <v>220</v>
      </c>
    </row>
    <row r="11" spans="1:22" s="2" customFormat="1" x14ac:dyDescent="0.25">
      <c r="A11" s="2" t="s">
        <v>143</v>
      </c>
      <c r="B11" s="2" t="str">
        <f>CONCATENATE(A11,89)</f>
        <v>7X21TN9GF9589</v>
      </c>
      <c r="C11" s="2" t="s">
        <v>199</v>
      </c>
      <c r="D11" s="2" t="s">
        <v>198</v>
      </c>
      <c r="E11" s="2" t="str">
        <f>CONCATENATE(D11," ",C11)</f>
        <v>DEBORAH ROSS</v>
      </c>
      <c r="F11" s="2" t="s">
        <v>40</v>
      </c>
      <c r="G11" s="2" t="s">
        <v>48</v>
      </c>
      <c r="H11" s="2" t="s">
        <v>29</v>
      </c>
      <c r="I11" s="2" t="s">
        <v>41</v>
      </c>
      <c r="J11" s="2" t="s">
        <v>146</v>
      </c>
      <c r="K11" s="3">
        <v>46143</v>
      </c>
      <c r="L11" s="3">
        <v>46143</v>
      </c>
      <c r="M11" s="3">
        <v>46174</v>
      </c>
      <c r="N11" s="2">
        <v>2158366</v>
      </c>
      <c r="O11" s="2">
        <v>2158366</v>
      </c>
      <c r="P11" s="2" t="s">
        <v>147</v>
      </c>
      <c r="Q11" s="2">
        <v>8192</v>
      </c>
      <c r="R11" s="2">
        <v>-331.33</v>
      </c>
      <c r="S11" s="2">
        <v>-231.33</v>
      </c>
      <c r="T11" s="2" t="s">
        <v>212</v>
      </c>
      <c r="U11" s="2" t="s">
        <v>214</v>
      </c>
    </row>
    <row r="12" spans="1:22" s="2" customFormat="1" x14ac:dyDescent="0.25">
      <c r="A12" s="2" t="s">
        <v>75</v>
      </c>
      <c r="B12" s="2" t="str">
        <f>CONCATENATE(A12,89)</f>
        <v>5FG8XM4ET3089</v>
      </c>
      <c r="C12" s="2" t="s">
        <v>180</v>
      </c>
      <c r="D12" s="2" t="s">
        <v>181</v>
      </c>
      <c r="E12" s="2" t="str">
        <f>CONCATENATE(D12," ",C12)</f>
        <v>JUDITH GAINER</v>
      </c>
      <c r="F12" s="2" t="s">
        <v>47</v>
      </c>
      <c r="G12" s="2" t="s">
        <v>28</v>
      </c>
      <c r="H12" s="2" t="s">
        <v>29</v>
      </c>
      <c r="I12" s="2" t="s">
        <v>49</v>
      </c>
      <c r="J12" s="2" t="s">
        <v>78</v>
      </c>
      <c r="K12" s="3">
        <v>46174</v>
      </c>
      <c r="L12" s="3">
        <v>46174</v>
      </c>
      <c r="M12" s="3">
        <f>DATE(YEAR(L12), MONTH(L12) +6, DAY(L12))</f>
        <v>46357</v>
      </c>
      <c r="N12" s="2">
        <v>17528908</v>
      </c>
      <c r="O12" s="2" t="s">
        <v>226</v>
      </c>
      <c r="P12" s="2" t="s">
        <v>79</v>
      </c>
      <c r="Q12" s="2">
        <v>8192</v>
      </c>
      <c r="R12" s="2">
        <v>315.58</v>
      </c>
      <c r="S12" s="2">
        <v>228.08</v>
      </c>
      <c r="T12" s="2" t="s">
        <v>221</v>
      </c>
      <c r="U12" s="2" t="s">
        <v>224</v>
      </c>
    </row>
    <row r="13" spans="1:22" s="2" customFormat="1" x14ac:dyDescent="0.25">
      <c r="A13" s="2" t="s">
        <v>94</v>
      </c>
      <c r="B13" s="2" t="str">
        <f>CONCATENATE(A13,89)</f>
        <v>7PX3HH2DV0289</v>
      </c>
      <c r="C13" s="2" t="s">
        <v>186</v>
      </c>
      <c r="D13" s="2" t="s">
        <v>187</v>
      </c>
      <c r="E13" s="2" t="str">
        <f>CONCATENATE(D13," ",C13)</f>
        <v>NANCY HARTMAN</v>
      </c>
      <c r="F13" s="2" t="s">
        <v>47</v>
      </c>
      <c r="G13" s="2" t="s">
        <v>28</v>
      </c>
      <c r="H13" s="2" t="s">
        <v>29</v>
      </c>
      <c r="I13" s="2" t="s">
        <v>49</v>
      </c>
      <c r="J13" s="2" t="s">
        <v>97</v>
      </c>
      <c r="K13" s="3">
        <v>46204</v>
      </c>
      <c r="L13" s="3">
        <v>46204</v>
      </c>
      <c r="M13" s="3">
        <f>DATE(YEAR(L13), MONTH(L13) +5, DAY(L13))</f>
        <v>46357</v>
      </c>
      <c r="N13" s="2">
        <v>18710070</v>
      </c>
      <c r="O13" s="2" t="s">
        <v>227</v>
      </c>
      <c r="P13" s="2" t="s">
        <v>98</v>
      </c>
      <c r="Q13" s="2">
        <v>8192</v>
      </c>
      <c r="R13" s="2">
        <v>270.5</v>
      </c>
      <c r="S13" s="2">
        <v>195.5</v>
      </c>
      <c r="T13" s="2" t="s">
        <v>221</v>
      </c>
      <c r="U13" s="2" t="s">
        <v>222</v>
      </c>
      <c r="V13" s="2">
        <f>391/12*6</f>
        <v>195.5</v>
      </c>
    </row>
    <row r="14" spans="1:22" s="4" customFormat="1" x14ac:dyDescent="0.25">
      <c r="A14" s="2" t="s">
        <v>107</v>
      </c>
      <c r="B14" s="2" t="str">
        <f>CONCATENATE(A14,89)</f>
        <v>8X14PW9QD7289</v>
      </c>
      <c r="C14" s="2" t="s">
        <v>190</v>
      </c>
      <c r="D14" s="2" t="s">
        <v>191</v>
      </c>
      <c r="E14" s="2" t="str">
        <f>CONCATENATE(D14," ",C14)</f>
        <v>SCOTT JARES</v>
      </c>
      <c r="F14" s="2" t="s">
        <v>110</v>
      </c>
      <c r="G14" s="2" t="s">
        <v>28</v>
      </c>
      <c r="H14" s="2" t="s">
        <v>29</v>
      </c>
      <c r="I14" s="2" t="s">
        <v>41</v>
      </c>
      <c r="J14" s="2" t="s">
        <v>111</v>
      </c>
      <c r="K14" s="3">
        <v>46174</v>
      </c>
      <c r="L14" s="3">
        <v>46174</v>
      </c>
      <c r="M14" s="3">
        <f>DATE(YEAR(L14), MONTH(L14) +6, DAY(L14))</f>
        <v>46357</v>
      </c>
      <c r="N14" s="2">
        <v>19645587</v>
      </c>
      <c r="O14" s="2">
        <v>19645587</v>
      </c>
      <c r="P14" s="2" t="s">
        <v>112</v>
      </c>
      <c r="Q14" s="2">
        <v>8192</v>
      </c>
      <c r="R14" s="2">
        <v>289.92</v>
      </c>
      <c r="S14" s="2">
        <v>202.42</v>
      </c>
      <c r="T14" s="2" t="s">
        <v>212</v>
      </c>
      <c r="U14" s="2" t="s">
        <v>223</v>
      </c>
      <c r="V14" s="2"/>
    </row>
    <row r="15" spans="1:22" s="4" customFormat="1" x14ac:dyDescent="0.25">
      <c r="A15" s="2" t="s">
        <v>68</v>
      </c>
      <c r="B15" s="2" t="str">
        <f>CONCATENATE(A15,89)</f>
        <v>6PE4XQ2TE0489</v>
      </c>
      <c r="C15" s="2" t="s">
        <v>176</v>
      </c>
      <c r="D15" s="2" t="s">
        <v>177</v>
      </c>
      <c r="E15" s="2" t="str">
        <f>CONCATENATE(D15," ",C15)</f>
        <v>MARIA FRIAS</v>
      </c>
      <c r="F15" s="2" t="s">
        <v>40</v>
      </c>
      <c r="G15" s="2" t="s">
        <v>28</v>
      </c>
      <c r="H15" s="2" t="s">
        <v>29</v>
      </c>
      <c r="I15" s="2" t="s">
        <v>41</v>
      </c>
      <c r="J15" s="2" t="s">
        <v>42</v>
      </c>
      <c r="K15" s="3">
        <v>46204</v>
      </c>
      <c r="L15" s="3">
        <v>46204</v>
      </c>
      <c r="M15" s="3">
        <f>DATE(YEAR(L15), MONTH(L15) +5, DAY(L15))</f>
        <v>46357</v>
      </c>
      <c r="N15" s="2">
        <v>7565575</v>
      </c>
      <c r="O15" s="2">
        <v>7565575</v>
      </c>
      <c r="P15" s="2" t="s">
        <v>71</v>
      </c>
      <c r="Q15" s="2">
        <v>8192</v>
      </c>
      <c r="R15" s="2">
        <v>248.5</v>
      </c>
      <c r="S15" s="2">
        <v>173.5</v>
      </c>
      <c r="T15" s="2" t="s">
        <v>212</v>
      </c>
      <c r="U15" s="2" t="s">
        <v>220</v>
      </c>
      <c r="V15" s="2"/>
    </row>
    <row r="16" spans="1:22" s="4" customFormat="1" x14ac:dyDescent="0.25">
      <c r="A16" s="2" t="s">
        <v>80</v>
      </c>
      <c r="B16" s="2" t="str">
        <f>_xlfn.CONCAT(A16,77)</f>
        <v>5XY7E09VM6677</v>
      </c>
      <c r="C16" s="2" t="s">
        <v>182</v>
      </c>
      <c r="D16" s="2" t="s">
        <v>183</v>
      </c>
      <c r="E16" s="2" t="str">
        <f>CONCATENATE(D16," ",C16)</f>
        <v>KAREN HALLEY</v>
      </c>
      <c r="F16" s="2" t="s">
        <v>83</v>
      </c>
      <c r="G16" s="2" t="s">
        <v>48</v>
      </c>
      <c r="H16" s="2" t="s">
        <v>29</v>
      </c>
      <c r="I16" s="2" t="s">
        <v>84</v>
      </c>
      <c r="J16" s="2" t="s">
        <v>85</v>
      </c>
      <c r="K16" s="3">
        <v>46143</v>
      </c>
      <c r="L16" s="3">
        <v>46143</v>
      </c>
      <c r="M16" s="3">
        <v>46174</v>
      </c>
      <c r="N16" s="2">
        <v>16170994</v>
      </c>
      <c r="O16" s="2">
        <v>16170994</v>
      </c>
      <c r="P16" s="2" t="s">
        <v>86</v>
      </c>
      <c r="Q16" s="2">
        <v>8192</v>
      </c>
      <c r="R16" s="2">
        <v>-844</v>
      </c>
      <c r="S16" s="2">
        <v>-694</v>
      </c>
      <c r="T16" s="2" t="s">
        <v>210</v>
      </c>
      <c r="U16" s="2" t="s">
        <v>209</v>
      </c>
      <c r="V16" s="2"/>
    </row>
    <row r="17" spans="1:22" s="4" customFormat="1" x14ac:dyDescent="0.25">
      <c r="A17" s="2" t="s">
        <v>152</v>
      </c>
      <c r="B17" s="2" t="str">
        <f>CONCATENATE(A17,89)</f>
        <v>6N71UV1EV0289</v>
      </c>
      <c r="C17" s="2" t="s">
        <v>202</v>
      </c>
      <c r="D17" s="2" t="s">
        <v>203</v>
      </c>
      <c r="E17" s="2" t="str">
        <f>CONCATENATE(D17," ",C17)</f>
        <v>JANET WARNOCK</v>
      </c>
      <c r="F17" s="2" t="s">
        <v>83</v>
      </c>
      <c r="G17" s="2" t="s">
        <v>28</v>
      </c>
      <c r="H17" s="2" t="s">
        <v>29</v>
      </c>
      <c r="I17" s="2" t="s">
        <v>84</v>
      </c>
      <c r="J17" s="2" t="s">
        <v>151</v>
      </c>
      <c r="K17" s="3">
        <v>46235</v>
      </c>
      <c r="L17" s="3">
        <v>46235</v>
      </c>
      <c r="M17" s="3">
        <f>DATE(YEAR(L17), MONTH(L17) +4, DAY(L17))</f>
        <v>46357</v>
      </c>
      <c r="N17" s="2">
        <v>16170994</v>
      </c>
      <c r="O17" s="2">
        <v>16170994</v>
      </c>
      <c r="P17" s="2" t="s">
        <v>86</v>
      </c>
      <c r="Q17" s="2">
        <v>8192</v>
      </c>
      <c r="R17" s="2">
        <v>207.08</v>
      </c>
      <c r="S17" s="2">
        <v>144.58000000000001</v>
      </c>
      <c r="T17" s="2" t="s">
        <v>212</v>
      </c>
      <c r="U17" s="2" t="s">
        <v>219</v>
      </c>
      <c r="V17" s="2">
        <f>347/12*5</f>
        <v>144.58333333333334</v>
      </c>
    </row>
    <row r="18" spans="1:22" s="4" customFormat="1" x14ac:dyDescent="0.25">
      <c r="A18" s="2" t="s">
        <v>113</v>
      </c>
      <c r="B18" s="2" t="str">
        <f>CONCATENATE(A18,89)</f>
        <v>1EC1HQ1DM9989</v>
      </c>
      <c r="C18" s="2" t="s">
        <v>192</v>
      </c>
      <c r="D18" s="2" t="s">
        <v>193</v>
      </c>
      <c r="E18" s="2" t="str">
        <f>CONCATENATE(D18," ",C18)</f>
        <v>GARY MCDONALD</v>
      </c>
      <c r="F18" s="2" t="s">
        <v>83</v>
      </c>
      <c r="G18" s="2" t="s">
        <v>28</v>
      </c>
      <c r="H18" s="2" t="s">
        <v>29</v>
      </c>
      <c r="I18" s="2" t="s">
        <v>84</v>
      </c>
      <c r="J18" s="2" t="s">
        <v>116</v>
      </c>
      <c r="K18" s="3">
        <v>46174</v>
      </c>
      <c r="L18" s="3">
        <v>46174</v>
      </c>
      <c r="M18" s="3">
        <f>DATE(YEAR(L18), MONTH(L18) +6, DAY(L18))</f>
        <v>46357</v>
      </c>
      <c r="N18" s="2">
        <v>16170994</v>
      </c>
      <c r="O18" s="2">
        <v>16170994</v>
      </c>
      <c r="P18" s="2" t="s">
        <v>86</v>
      </c>
      <c r="Q18" s="2">
        <v>8192</v>
      </c>
      <c r="R18" s="2">
        <v>289.92</v>
      </c>
      <c r="S18" s="2">
        <v>202.42</v>
      </c>
      <c r="T18" s="2" t="s">
        <v>212</v>
      </c>
      <c r="U18" s="2" t="s">
        <v>223</v>
      </c>
      <c r="V18" s="2"/>
    </row>
    <row r="19" spans="1:22" s="7" customFormat="1" x14ac:dyDescent="0.25">
      <c r="A19" s="2" t="s">
        <v>148</v>
      </c>
      <c r="B19" s="2" t="str">
        <f>CONCATENATE(A19,89)</f>
        <v>7Y11A09WM1989</v>
      </c>
      <c r="C19" s="2" t="s">
        <v>200</v>
      </c>
      <c r="D19" s="2" t="s">
        <v>201</v>
      </c>
      <c r="E19" s="2" t="str">
        <f>CONCATENATE(D19," ",C19)</f>
        <v>MARY TRAYERS</v>
      </c>
      <c r="F19" s="2" t="s">
        <v>83</v>
      </c>
      <c r="G19" s="2" t="s">
        <v>28</v>
      </c>
      <c r="H19" s="2" t="s">
        <v>29</v>
      </c>
      <c r="I19" s="2" t="s">
        <v>84</v>
      </c>
      <c r="J19" s="2" t="s">
        <v>151</v>
      </c>
      <c r="K19" s="3">
        <v>46174</v>
      </c>
      <c r="L19" s="3">
        <v>46174</v>
      </c>
      <c r="M19" s="3">
        <f>DATE(YEAR(L19), MONTH(L19) +6, DAY(L19))</f>
        <v>46357</v>
      </c>
      <c r="N19" s="2">
        <v>16170994</v>
      </c>
      <c r="O19" s="2">
        <v>16170994</v>
      </c>
      <c r="P19" s="2" t="s">
        <v>86</v>
      </c>
      <c r="Q19" s="2">
        <v>8192</v>
      </c>
      <c r="R19" s="2">
        <v>289.92</v>
      </c>
      <c r="S19" s="2">
        <v>202.42</v>
      </c>
      <c r="T19" s="2" t="s">
        <v>212</v>
      </c>
      <c r="U19" s="2" t="s">
        <v>223</v>
      </c>
      <c r="V19" s="2"/>
    </row>
    <row r="20" spans="1:22" s="7" customFormat="1" x14ac:dyDescent="0.25">
      <c r="A20" s="2" t="s">
        <v>158</v>
      </c>
      <c r="B20" s="2" t="str">
        <f>CONCATENATE(A20,89)</f>
        <v>2K41R39QF3789</v>
      </c>
      <c r="C20" s="2" t="s">
        <v>206</v>
      </c>
      <c r="D20" s="2" t="s">
        <v>207</v>
      </c>
      <c r="E20" s="2" t="str">
        <f>CONCATENATE(D20," ",C20)</f>
        <v>BRENDA ZELINSKI</v>
      </c>
      <c r="F20" s="2" t="s">
        <v>83</v>
      </c>
      <c r="G20" s="2" t="s">
        <v>28</v>
      </c>
      <c r="H20" s="2" t="s">
        <v>29</v>
      </c>
      <c r="I20" s="2" t="s">
        <v>84</v>
      </c>
      <c r="J20" s="2" t="s">
        <v>116</v>
      </c>
      <c r="K20" s="3">
        <v>46174</v>
      </c>
      <c r="L20" s="3">
        <v>46174</v>
      </c>
      <c r="M20" s="3">
        <f>DATE(YEAR(L20), MONTH(L20) +6, DAY(L20))</f>
        <v>46357</v>
      </c>
      <c r="N20" s="2">
        <v>16170994</v>
      </c>
      <c r="O20" s="2">
        <v>16170994</v>
      </c>
      <c r="P20" s="2" t="s">
        <v>86</v>
      </c>
      <c r="Q20" s="2">
        <v>8192</v>
      </c>
      <c r="R20" s="2">
        <v>289.92</v>
      </c>
      <c r="S20" s="2">
        <v>202.42</v>
      </c>
      <c r="T20" s="2" t="s">
        <v>212</v>
      </c>
      <c r="U20" s="2" t="s">
        <v>223</v>
      </c>
      <c r="V20" s="2"/>
    </row>
    <row r="21" spans="1:22" s="7" customFormat="1" x14ac:dyDescent="0.25">
      <c r="A21" s="2" t="s">
        <v>161</v>
      </c>
      <c r="B21" s="2" t="str">
        <f>CONCATENATE(A21,89)</f>
        <v>7FF8MQ2WT5689</v>
      </c>
      <c r="C21" s="2" t="s">
        <v>206</v>
      </c>
      <c r="D21" s="2" t="s">
        <v>208</v>
      </c>
      <c r="E21" s="2" t="str">
        <f>CONCATENATE(D21," ",C21)</f>
        <v>MATTHEW ZELINSKI</v>
      </c>
      <c r="F21" s="2" t="s">
        <v>83</v>
      </c>
      <c r="G21" s="2" t="s">
        <v>28</v>
      </c>
      <c r="H21" s="2" t="s">
        <v>29</v>
      </c>
      <c r="I21" s="2" t="s">
        <v>84</v>
      </c>
      <c r="J21" s="2" t="s">
        <v>116</v>
      </c>
      <c r="K21" s="3">
        <v>46174</v>
      </c>
      <c r="L21" s="3">
        <v>46174</v>
      </c>
      <c r="M21" s="3">
        <f>DATE(YEAR(L21), MONTH(L21) +6, DAY(L21))</f>
        <v>46357</v>
      </c>
      <c r="N21" s="2">
        <v>16170994</v>
      </c>
      <c r="O21" s="2">
        <v>16170994</v>
      </c>
      <c r="P21" s="2" t="s">
        <v>86</v>
      </c>
      <c r="Q21" s="2">
        <v>8192</v>
      </c>
      <c r="R21" s="2">
        <v>289.92</v>
      </c>
      <c r="S21" s="2">
        <v>202.42</v>
      </c>
      <c r="T21" s="2" t="s">
        <v>212</v>
      </c>
      <c r="U21" s="2" t="s">
        <v>223</v>
      </c>
      <c r="V21" s="2"/>
    </row>
    <row r="22" spans="1:22" s="7" customFormat="1" x14ac:dyDescent="0.25">
      <c r="A22" s="7" t="s">
        <v>99</v>
      </c>
      <c r="B22" s="7" t="str">
        <f>CONCATENATE(A22,8)</f>
        <v>9HA9GR9AY008</v>
      </c>
      <c r="C22" s="7" t="s">
        <v>188</v>
      </c>
      <c r="D22" s="7" t="s">
        <v>189</v>
      </c>
      <c r="E22" s="7" t="str">
        <f>CONCATENATE(D22," ",C22)</f>
        <v>SUSAN HOEPPNER</v>
      </c>
      <c r="F22" s="7" t="s">
        <v>102</v>
      </c>
      <c r="G22" s="7" t="s">
        <v>103</v>
      </c>
      <c r="H22" s="7" t="s">
        <v>29</v>
      </c>
      <c r="I22" s="7" t="s">
        <v>104</v>
      </c>
      <c r="J22" s="7" t="s">
        <v>105</v>
      </c>
      <c r="K22" s="8">
        <v>45839</v>
      </c>
      <c r="L22" s="8">
        <v>45536</v>
      </c>
      <c r="M22" s="8">
        <v>45839</v>
      </c>
      <c r="N22" s="7">
        <v>8307933</v>
      </c>
      <c r="O22" s="7">
        <v>8307933</v>
      </c>
      <c r="P22" s="7" t="s">
        <v>93</v>
      </c>
      <c r="Q22" s="7">
        <v>8192</v>
      </c>
      <c r="R22" s="7">
        <v>-29.83</v>
      </c>
      <c r="S22" s="7">
        <v>-29.83</v>
      </c>
      <c r="T22" s="7" t="s">
        <v>217</v>
      </c>
      <c r="U22" s="7" t="s">
        <v>216</v>
      </c>
    </row>
    <row r="23" spans="1:22" s="7" customFormat="1" x14ac:dyDescent="0.25">
      <c r="A23" s="7" t="s">
        <v>99</v>
      </c>
      <c r="B23" s="7" t="str">
        <f>CONCATENATE(A23,8)</f>
        <v>9HA9GR9AY008</v>
      </c>
      <c r="C23" s="7" t="s">
        <v>188</v>
      </c>
      <c r="D23" s="7" t="s">
        <v>189</v>
      </c>
      <c r="E23" s="7" t="str">
        <f>CONCATENATE(D23," ",C23)</f>
        <v>SUSAN HOEPPNER</v>
      </c>
      <c r="F23" s="7" t="s">
        <v>102</v>
      </c>
      <c r="G23" s="7" t="s">
        <v>103</v>
      </c>
      <c r="H23" s="7" t="s">
        <v>29</v>
      </c>
      <c r="I23" s="7" t="s">
        <v>104</v>
      </c>
      <c r="J23" s="7" t="s">
        <v>105</v>
      </c>
      <c r="K23" s="8">
        <v>45870</v>
      </c>
      <c r="L23" s="8">
        <v>45536</v>
      </c>
      <c r="M23" s="8">
        <v>45870</v>
      </c>
      <c r="N23" s="7">
        <v>8307933</v>
      </c>
      <c r="O23" s="7">
        <v>8307933</v>
      </c>
      <c r="P23" s="7" t="s">
        <v>93</v>
      </c>
      <c r="Q23" s="7">
        <v>8192</v>
      </c>
      <c r="R23" s="7">
        <v>-29.83</v>
      </c>
      <c r="S23" s="7">
        <v>-29.83</v>
      </c>
      <c r="T23" s="7" t="s">
        <v>217</v>
      </c>
      <c r="U23" s="7" t="s">
        <v>216</v>
      </c>
    </row>
    <row r="24" spans="1:22" s="7" customFormat="1" x14ac:dyDescent="0.25">
      <c r="A24" s="7" t="s">
        <v>99</v>
      </c>
      <c r="B24" s="7" t="str">
        <f>CONCATENATE(A24,8)</f>
        <v>9HA9GR9AY008</v>
      </c>
      <c r="C24" s="7" t="s">
        <v>188</v>
      </c>
      <c r="D24" s="7" t="s">
        <v>189</v>
      </c>
      <c r="E24" s="7" t="str">
        <f>CONCATENATE(D24," ",C24)</f>
        <v>SUSAN HOEPPNER</v>
      </c>
      <c r="F24" s="7" t="s">
        <v>102</v>
      </c>
      <c r="G24" s="7" t="s">
        <v>103</v>
      </c>
      <c r="H24" s="7" t="s">
        <v>29</v>
      </c>
      <c r="I24" s="7" t="s">
        <v>104</v>
      </c>
      <c r="J24" s="7" t="s">
        <v>105</v>
      </c>
      <c r="K24" s="8">
        <v>45901</v>
      </c>
      <c r="L24" s="8">
        <v>45536</v>
      </c>
      <c r="M24" s="8">
        <v>45901</v>
      </c>
      <c r="N24" s="7">
        <v>8307933</v>
      </c>
      <c r="O24" s="7">
        <v>8307933</v>
      </c>
      <c r="P24" s="7" t="s">
        <v>93</v>
      </c>
      <c r="Q24" s="7">
        <v>8192</v>
      </c>
      <c r="R24" s="7">
        <v>-29.83</v>
      </c>
      <c r="S24" s="7">
        <v>-29.83</v>
      </c>
      <c r="T24" s="7" t="s">
        <v>217</v>
      </c>
      <c r="U24" s="7" t="s">
        <v>216</v>
      </c>
    </row>
    <row r="25" spans="1:22" s="4" customFormat="1" x14ac:dyDescent="0.25">
      <c r="A25" s="7" t="s">
        <v>99</v>
      </c>
      <c r="B25" s="7" t="str">
        <f>CONCATENATE(A25,8)</f>
        <v>9HA9GR9AY008</v>
      </c>
      <c r="C25" s="7" t="s">
        <v>188</v>
      </c>
      <c r="D25" s="7" t="s">
        <v>189</v>
      </c>
      <c r="E25" s="7" t="str">
        <f>CONCATENATE(D25," ",C25)</f>
        <v>SUSAN HOEPPNER</v>
      </c>
      <c r="F25" s="7" t="s">
        <v>102</v>
      </c>
      <c r="G25" s="7" t="s">
        <v>103</v>
      </c>
      <c r="H25" s="7" t="s">
        <v>29</v>
      </c>
      <c r="I25" s="7" t="s">
        <v>104</v>
      </c>
      <c r="J25" s="7" t="s">
        <v>105</v>
      </c>
      <c r="K25" s="8">
        <v>45931</v>
      </c>
      <c r="L25" s="8">
        <v>45536</v>
      </c>
      <c r="M25" s="8">
        <v>45931</v>
      </c>
      <c r="N25" s="7">
        <v>8307933</v>
      </c>
      <c r="O25" s="7">
        <v>8307933</v>
      </c>
      <c r="P25" s="7" t="s">
        <v>93</v>
      </c>
      <c r="Q25" s="7">
        <v>8192</v>
      </c>
      <c r="R25" s="7">
        <v>-29.83</v>
      </c>
      <c r="S25" s="7">
        <v>-29.83</v>
      </c>
      <c r="T25" s="7" t="s">
        <v>217</v>
      </c>
      <c r="U25" s="7" t="s">
        <v>216</v>
      </c>
      <c r="V25" s="7"/>
    </row>
    <row r="26" spans="1:22" s="2" customFormat="1" x14ac:dyDescent="0.25">
      <c r="A26" s="7" t="s">
        <v>99</v>
      </c>
      <c r="B26" s="7" t="str">
        <f>CONCATENATE(A26,8)</f>
        <v>9HA9GR9AY008</v>
      </c>
      <c r="C26" s="7" t="s">
        <v>188</v>
      </c>
      <c r="D26" s="7" t="s">
        <v>189</v>
      </c>
      <c r="E26" s="7" t="str">
        <f>CONCATENATE(D26," ",C26)</f>
        <v>SUSAN HOEPPNER</v>
      </c>
      <c r="F26" s="7" t="s">
        <v>102</v>
      </c>
      <c r="G26" s="7" t="s">
        <v>103</v>
      </c>
      <c r="H26" s="7" t="s">
        <v>29</v>
      </c>
      <c r="I26" s="7" t="s">
        <v>104</v>
      </c>
      <c r="J26" s="7" t="s">
        <v>105</v>
      </c>
      <c r="K26" s="8">
        <v>45962</v>
      </c>
      <c r="L26" s="8">
        <v>45536</v>
      </c>
      <c r="M26" s="8">
        <v>45962</v>
      </c>
      <c r="N26" s="7">
        <v>8307933</v>
      </c>
      <c r="O26" s="7">
        <v>8307933</v>
      </c>
      <c r="P26" s="7" t="s">
        <v>93</v>
      </c>
      <c r="Q26" s="7">
        <v>8192</v>
      </c>
      <c r="R26" s="7">
        <v>-29.83</v>
      </c>
      <c r="S26" s="7">
        <v>-29.83</v>
      </c>
      <c r="T26" s="7" t="s">
        <v>217</v>
      </c>
      <c r="U26" s="7" t="s">
        <v>216</v>
      </c>
      <c r="V26" s="7"/>
    </row>
    <row r="27" spans="1:22" s="4" customFormat="1" x14ac:dyDescent="0.25">
      <c r="A27" s="7" t="s">
        <v>99</v>
      </c>
      <c r="B27" s="7" t="str">
        <f>CONCATENATE(A27,8)</f>
        <v>9HA9GR9AY008</v>
      </c>
      <c r="C27" s="7" t="s">
        <v>188</v>
      </c>
      <c r="D27" s="7" t="s">
        <v>189</v>
      </c>
      <c r="E27" s="7" t="str">
        <f>CONCATENATE(D27," ",C27)</f>
        <v>SUSAN HOEPPNER</v>
      </c>
      <c r="F27" s="7" t="s">
        <v>102</v>
      </c>
      <c r="G27" s="7" t="s">
        <v>103</v>
      </c>
      <c r="H27" s="7" t="s">
        <v>29</v>
      </c>
      <c r="I27" s="7" t="s">
        <v>104</v>
      </c>
      <c r="J27" s="7" t="s">
        <v>105</v>
      </c>
      <c r="K27" s="8">
        <v>45992</v>
      </c>
      <c r="L27" s="8">
        <v>45536</v>
      </c>
      <c r="M27" s="8">
        <v>45992</v>
      </c>
      <c r="N27" s="7">
        <v>8307933</v>
      </c>
      <c r="O27" s="7">
        <v>8307933</v>
      </c>
      <c r="P27" s="7" t="s">
        <v>93</v>
      </c>
      <c r="Q27" s="7">
        <v>8192</v>
      </c>
      <c r="R27" s="7">
        <v>-29.83</v>
      </c>
      <c r="S27" s="7">
        <v>-29.83</v>
      </c>
      <c r="T27" s="7" t="s">
        <v>217</v>
      </c>
      <c r="U27" s="7" t="s">
        <v>216</v>
      </c>
      <c r="V27" s="7"/>
    </row>
    <row r="28" spans="1:22" s="2" customFormat="1" x14ac:dyDescent="0.25">
      <c r="A28" s="2" t="s">
        <v>99</v>
      </c>
      <c r="B28" s="2" t="str">
        <f>CONCATENATE(A28,89)</f>
        <v>9HA9GR9AY0089</v>
      </c>
      <c r="C28" s="2" t="s">
        <v>188</v>
      </c>
      <c r="D28" s="2" t="s">
        <v>189</v>
      </c>
      <c r="E28" s="2" t="str">
        <f>CONCATENATE(D28," ",C28)</f>
        <v>SUSAN HOEPPNER</v>
      </c>
      <c r="F28" s="2" t="s">
        <v>102</v>
      </c>
      <c r="G28" s="2" t="s">
        <v>103</v>
      </c>
      <c r="H28" s="2" t="s">
        <v>29</v>
      </c>
      <c r="I28" s="2" t="s">
        <v>104</v>
      </c>
      <c r="J28" s="2" t="s">
        <v>105</v>
      </c>
      <c r="K28" s="3">
        <v>46023</v>
      </c>
      <c r="L28" s="3">
        <v>45536</v>
      </c>
      <c r="M28" s="3">
        <v>46023</v>
      </c>
      <c r="N28" s="2">
        <v>8307933</v>
      </c>
      <c r="O28" s="2">
        <v>8307933</v>
      </c>
      <c r="P28" s="2" t="s">
        <v>93</v>
      </c>
      <c r="Q28" s="2">
        <v>8192</v>
      </c>
      <c r="R28" s="2">
        <v>-32.67</v>
      </c>
      <c r="S28" s="2">
        <v>-28.92</v>
      </c>
      <c r="T28" s="2" t="s">
        <v>212</v>
      </c>
      <c r="U28" s="2" t="s">
        <v>215</v>
      </c>
    </row>
    <row r="29" spans="1:22" s="4" customFormat="1" x14ac:dyDescent="0.25">
      <c r="A29" s="2" t="s">
        <v>99</v>
      </c>
      <c r="B29" s="2" t="str">
        <f>CONCATENATE(A29,89)</f>
        <v>9HA9GR9AY0089</v>
      </c>
      <c r="C29" s="2" t="s">
        <v>188</v>
      </c>
      <c r="D29" s="2" t="s">
        <v>189</v>
      </c>
      <c r="E29" s="2" t="str">
        <f>CONCATENATE(D29," ",C29)</f>
        <v>SUSAN HOEPPNER</v>
      </c>
      <c r="F29" s="2" t="s">
        <v>102</v>
      </c>
      <c r="G29" s="2" t="s">
        <v>103</v>
      </c>
      <c r="H29" s="2" t="s">
        <v>29</v>
      </c>
      <c r="I29" s="2" t="s">
        <v>104</v>
      </c>
      <c r="J29" s="2" t="s">
        <v>105</v>
      </c>
      <c r="K29" s="3">
        <v>46054</v>
      </c>
      <c r="L29" s="3">
        <v>45536</v>
      </c>
      <c r="M29" s="3">
        <v>46054</v>
      </c>
      <c r="N29" s="2">
        <v>8307933</v>
      </c>
      <c r="O29" s="2">
        <v>8307933</v>
      </c>
      <c r="P29" s="2" t="s">
        <v>93</v>
      </c>
      <c r="Q29" s="2">
        <v>8192</v>
      </c>
      <c r="R29" s="2">
        <v>-32.67</v>
      </c>
      <c r="S29" s="2">
        <v>-28.92</v>
      </c>
      <c r="T29" s="2" t="s">
        <v>212</v>
      </c>
      <c r="U29" s="2" t="s">
        <v>215</v>
      </c>
      <c r="V29" s="2"/>
    </row>
    <row r="30" spans="1:22" s="2" customFormat="1" x14ac:dyDescent="0.25">
      <c r="A30" s="2" t="s">
        <v>99</v>
      </c>
      <c r="B30" s="2" t="str">
        <f>CONCATENATE(A30,89)</f>
        <v>9HA9GR9AY0089</v>
      </c>
      <c r="C30" s="2" t="s">
        <v>188</v>
      </c>
      <c r="D30" s="2" t="s">
        <v>189</v>
      </c>
      <c r="E30" s="2" t="str">
        <f>CONCATENATE(D30," ",C30)</f>
        <v>SUSAN HOEPPNER</v>
      </c>
      <c r="F30" s="2" t="s">
        <v>102</v>
      </c>
      <c r="G30" s="2" t="s">
        <v>103</v>
      </c>
      <c r="H30" s="2" t="s">
        <v>29</v>
      </c>
      <c r="I30" s="2" t="s">
        <v>104</v>
      </c>
      <c r="J30" s="2" t="s">
        <v>105</v>
      </c>
      <c r="K30" s="3">
        <v>46082</v>
      </c>
      <c r="L30" s="3">
        <v>45536</v>
      </c>
      <c r="M30" s="3">
        <v>46082</v>
      </c>
      <c r="N30" s="2">
        <v>8307933</v>
      </c>
      <c r="O30" s="2">
        <v>8307933</v>
      </c>
      <c r="P30" s="2" t="s">
        <v>93</v>
      </c>
      <c r="Q30" s="2">
        <v>8192</v>
      </c>
      <c r="R30" s="2">
        <v>-32.67</v>
      </c>
      <c r="S30" s="2">
        <v>-28.92</v>
      </c>
      <c r="T30" s="2" t="s">
        <v>212</v>
      </c>
      <c r="U30" s="2" t="s">
        <v>215</v>
      </c>
    </row>
    <row r="31" spans="1:22" s="2" customFormat="1" x14ac:dyDescent="0.25">
      <c r="A31" s="2" t="s">
        <v>99</v>
      </c>
      <c r="B31" s="2" t="str">
        <f>CONCATENATE(A31,89)</f>
        <v>9HA9GR9AY0089</v>
      </c>
      <c r="C31" s="2" t="s">
        <v>188</v>
      </c>
      <c r="D31" s="2" t="s">
        <v>189</v>
      </c>
      <c r="E31" s="2" t="str">
        <f>CONCATENATE(D31," ",C31)</f>
        <v>SUSAN HOEPPNER</v>
      </c>
      <c r="F31" s="2" t="s">
        <v>102</v>
      </c>
      <c r="G31" s="2" t="s">
        <v>103</v>
      </c>
      <c r="H31" s="2" t="s">
        <v>29</v>
      </c>
      <c r="I31" s="2" t="s">
        <v>104</v>
      </c>
      <c r="J31" s="2" t="s">
        <v>105</v>
      </c>
      <c r="K31" s="3">
        <v>46113</v>
      </c>
      <c r="L31" s="3">
        <v>45536</v>
      </c>
      <c r="M31" s="3">
        <v>46113</v>
      </c>
      <c r="N31" s="2">
        <v>8307933</v>
      </c>
      <c r="O31" s="2">
        <v>8307933</v>
      </c>
      <c r="P31" s="2" t="s">
        <v>93</v>
      </c>
      <c r="Q31" s="2">
        <v>8192</v>
      </c>
      <c r="R31" s="2">
        <v>-32.67</v>
      </c>
      <c r="S31" s="2">
        <v>-28.92</v>
      </c>
      <c r="T31" s="2" t="s">
        <v>212</v>
      </c>
      <c r="U31" s="2" t="s">
        <v>215</v>
      </c>
    </row>
    <row r="32" spans="1:22" s="2" customFormat="1" x14ac:dyDescent="0.25">
      <c r="A32" s="2" t="s">
        <v>99</v>
      </c>
      <c r="B32" s="2" t="str">
        <f>CONCATENATE(A32,89)</f>
        <v>9HA9GR9AY0089</v>
      </c>
      <c r="C32" s="2" t="s">
        <v>188</v>
      </c>
      <c r="D32" s="2" t="s">
        <v>189</v>
      </c>
      <c r="E32" s="2" t="str">
        <f>CONCATENATE(D32," ",C32)</f>
        <v>SUSAN HOEPPNER</v>
      </c>
      <c r="F32" s="2" t="s">
        <v>102</v>
      </c>
      <c r="G32" s="2" t="s">
        <v>103</v>
      </c>
      <c r="H32" s="2" t="s">
        <v>29</v>
      </c>
      <c r="I32" s="2" t="s">
        <v>104</v>
      </c>
      <c r="J32" s="2" t="s">
        <v>105</v>
      </c>
      <c r="K32" s="3">
        <v>46143</v>
      </c>
      <c r="L32" s="3">
        <v>45536</v>
      </c>
      <c r="M32" s="3">
        <v>46143</v>
      </c>
      <c r="N32" s="2">
        <v>8307933</v>
      </c>
      <c r="O32" s="2">
        <v>8307933</v>
      </c>
      <c r="P32" s="2" t="s">
        <v>93</v>
      </c>
      <c r="Q32" s="2">
        <v>8192</v>
      </c>
      <c r="R32" s="2">
        <v>-32.67</v>
      </c>
      <c r="S32" s="2">
        <v>-28.92</v>
      </c>
      <c r="T32" s="2" t="s">
        <v>212</v>
      </c>
      <c r="U32" s="2" t="s">
        <v>215</v>
      </c>
    </row>
    <row r="33" spans="1:22" s="4" customFormat="1" x14ac:dyDescent="0.25">
      <c r="A33" s="2" t="s">
        <v>87</v>
      </c>
      <c r="B33" s="2" t="str">
        <f>CONCATENATE(A33,89)</f>
        <v>7RF9A67YK3189</v>
      </c>
      <c r="C33" s="2" t="s">
        <v>184</v>
      </c>
      <c r="D33" s="2" t="s">
        <v>185</v>
      </c>
      <c r="E33" s="2" t="str">
        <f>CONCATENATE(D33," ",C33)</f>
        <v>RODNEY HARPER</v>
      </c>
      <c r="F33" s="2" t="s">
        <v>90</v>
      </c>
      <c r="G33" s="2" t="s">
        <v>28</v>
      </c>
      <c r="H33" s="2" t="s">
        <v>29</v>
      </c>
      <c r="I33" s="2" t="s">
        <v>91</v>
      </c>
      <c r="J33" s="2" t="s">
        <v>92</v>
      </c>
      <c r="K33" s="3">
        <v>46174</v>
      </c>
      <c r="L33" s="3">
        <v>46174</v>
      </c>
      <c r="M33" s="3">
        <f>DATE(YEAR(L33), MONTH(L33) +6, DAY(L33))</f>
        <v>46357</v>
      </c>
      <c r="N33" s="2">
        <v>8307933</v>
      </c>
      <c r="O33" s="2">
        <v>8307933</v>
      </c>
      <c r="P33" s="2" t="s">
        <v>93</v>
      </c>
      <c r="Q33" s="2">
        <v>8192</v>
      </c>
      <c r="R33" s="2">
        <v>289.92</v>
      </c>
      <c r="S33" s="2">
        <v>202.42</v>
      </c>
      <c r="T33" s="2" t="s">
        <v>212</v>
      </c>
      <c r="U33" s="2" t="s">
        <v>223</v>
      </c>
      <c r="V33" s="2"/>
    </row>
    <row r="34" spans="1:22" s="4" customFormat="1" x14ac:dyDescent="0.25">
      <c r="A34" s="2" t="s">
        <v>37</v>
      </c>
      <c r="B34" s="2" t="str">
        <f>CONCATENATE(A34,89)</f>
        <v>8R70PA3XG0189</v>
      </c>
      <c r="C34" s="2" t="s">
        <v>167</v>
      </c>
      <c r="D34" s="2" t="s">
        <v>168</v>
      </c>
      <c r="E34" s="2" t="str">
        <f>CONCATENATE(D34," ",C34)</f>
        <v>CYNTHIA BARUCK</v>
      </c>
      <c r="F34" s="2" t="s">
        <v>40</v>
      </c>
      <c r="G34" s="2" t="s">
        <v>28</v>
      </c>
      <c r="H34" s="2" t="s">
        <v>29</v>
      </c>
      <c r="I34" s="2" t="s">
        <v>41</v>
      </c>
      <c r="J34" s="2" t="s">
        <v>42</v>
      </c>
      <c r="K34" s="3">
        <v>46174</v>
      </c>
      <c r="L34" s="3">
        <v>46174</v>
      </c>
      <c r="M34" s="3">
        <f>DATE(YEAR(L34), MONTH(L34) +6, DAY(L34))</f>
        <v>46357</v>
      </c>
      <c r="N34" s="2">
        <v>16633294</v>
      </c>
      <c r="O34" s="2">
        <v>16633294</v>
      </c>
      <c r="P34" s="2" t="s">
        <v>43</v>
      </c>
      <c r="Q34" s="2">
        <v>8192</v>
      </c>
      <c r="R34" s="2">
        <v>289.92</v>
      </c>
      <c r="S34" s="2">
        <v>202.42</v>
      </c>
      <c r="T34" s="2" t="s">
        <v>212</v>
      </c>
      <c r="U34" s="2" t="s">
        <v>223</v>
      </c>
      <c r="V34" s="2"/>
    </row>
    <row r="35" spans="1:22" s="4" customFormat="1" x14ac:dyDescent="0.25">
      <c r="A35" s="4" t="s">
        <v>80</v>
      </c>
      <c r="B35" s="4" t="str">
        <f>CONCATENATE(A35,"OVR")</f>
        <v>5XY7E09VM66OVR</v>
      </c>
      <c r="C35" s="4" t="s">
        <v>182</v>
      </c>
      <c r="D35" s="4" t="s">
        <v>183</v>
      </c>
      <c r="E35" s="4" t="str">
        <f>CONCATENATE(D35," ",C35)</f>
        <v>KAREN HALLEY</v>
      </c>
      <c r="F35" s="4" t="s">
        <v>83</v>
      </c>
      <c r="G35" s="4" t="s">
        <v>48</v>
      </c>
      <c r="H35" s="4" t="s">
        <v>29</v>
      </c>
      <c r="I35" s="4" t="s">
        <v>84</v>
      </c>
      <c r="J35" s="4" t="s">
        <v>85</v>
      </c>
      <c r="K35" s="5">
        <v>46143</v>
      </c>
      <c r="L35" s="5">
        <v>46143</v>
      </c>
      <c r="M35" s="5">
        <v>46174</v>
      </c>
      <c r="N35" s="4">
        <v>16170994</v>
      </c>
      <c r="O35" s="4" t="str">
        <f>CONCATENATE(N35,"OVR")</f>
        <v>16170994OVR</v>
      </c>
      <c r="P35" s="4" t="s">
        <v>86</v>
      </c>
      <c r="Q35" s="4">
        <v>8192</v>
      </c>
      <c r="R35" s="4">
        <v>-844</v>
      </c>
      <c r="S35" s="4">
        <v>-150</v>
      </c>
      <c r="T35" s="4" t="s">
        <v>211</v>
      </c>
    </row>
    <row r="36" spans="1:22" s="2" customFormat="1" x14ac:dyDescent="0.25">
      <c r="A36" s="4" t="s">
        <v>126</v>
      </c>
      <c r="B36" s="4" t="str">
        <f t="shared" ref="B36:B63" si="0">CONCATENATE(A36,"OVR")</f>
        <v>8T22ET0XD92OVR</v>
      </c>
      <c r="C36" s="4" t="s">
        <v>197</v>
      </c>
      <c r="D36" s="4" t="s">
        <v>198</v>
      </c>
      <c r="E36" s="4" t="str">
        <f>CONCATENATE(D36," ",C36)</f>
        <v>DEBORAH MOUNTS</v>
      </c>
      <c r="F36" s="4" t="s">
        <v>129</v>
      </c>
      <c r="G36" s="4" t="s">
        <v>133</v>
      </c>
      <c r="H36" s="4" t="s">
        <v>29</v>
      </c>
      <c r="I36" s="4" t="s">
        <v>41</v>
      </c>
      <c r="J36" s="4" t="s">
        <v>131</v>
      </c>
      <c r="K36" s="5">
        <v>46054</v>
      </c>
      <c r="L36" s="5">
        <v>46054</v>
      </c>
      <c r="M36" s="5">
        <v>46082</v>
      </c>
      <c r="N36" s="4">
        <v>16849453</v>
      </c>
      <c r="O36" s="4" t="str">
        <f t="shared" ref="O36:O63" si="1">CONCATENATE(N36,"OVR")</f>
        <v>16849453OVR</v>
      </c>
      <c r="P36" s="4" t="s">
        <v>132</v>
      </c>
      <c r="Q36" s="4">
        <v>8192</v>
      </c>
      <c r="R36" s="4">
        <v>-455.58</v>
      </c>
      <c r="S36" s="4">
        <v>-137.5</v>
      </c>
      <c r="T36" s="4" t="s">
        <v>211</v>
      </c>
      <c r="U36" s="4"/>
      <c r="V36" s="4"/>
    </row>
    <row r="37" spans="1:22" s="4" customFormat="1" x14ac:dyDescent="0.25">
      <c r="A37" s="4" t="s">
        <v>143</v>
      </c>
      <c r="B37" s="4" t="str">
        <f t="shared" si="0"/>
        <v>7X21TN9GF95OVR</v>
      </c>
      <c r="C37" s="4" t="s">
        <v>199</v>
      </c>
      <c r="D37" s="4" t="s">
        <v>198</v>
      </c>
      <c r="E37" s="4" t="str">
        <f>CONCATENATE(D37," ",C37)</f>
        <v>DEBORAH ROSS</v>
      </c>
      <c r="F37" s="4" t="s">
        <v>40</v>
      </c>
      <c r="G37" s="4" t="s">
        <v>48</v>
      </c>
      <c r="H37" s="4" t="s">
        <v>29</v>
      </c>
      <c r="I37" s="4" t="s">
        <v>41</v>
      </c>
      <c r="J37" s="4" t="s">
        <v>146</v>
      </c>
      <c r="K37" s="5">
        <v>46143</v>
      </c>
      <c r="L37" s="5">
        <v>46143</v>
      </c>
      <c r="M37" s="5">
        <v>46174</v>
      </c>
      <c r="N37" s="4">
        <v>2158366</v>
      </c>
      <c r="O37" s="4" t="str">
        <f t="shared" si="1"/>
        <v>2158366OVR</v>
      </c>
      <c r="P37" s="4" t="s">
        <v>147</v>
      </c>
      <c r="Q37" s="4">
        <v>8192</v>
      </c>
      <c r="R37" s="4">
        <v>-331.33</v>
      </c>
      <c r="S37" s="4">
        <v>-100</v>
      </c>
      <c r="T37" s="4" t="s">
        <v>211</v>
      </c>
    </row>
    <row r="38" spans="1:22" s="2" customFormat="1" x14ac:dyDescent="0.25">
      <c r="A38" s="4" t="s">
        <v>44</v>
      </c>
      <c r="B38" s="4" t="str">
        <f t="shared" si="0"/>
        <v>8A78VV5NW23OVR</v>
      </c>
      <c r="C38" s="4" t="s">
        <v>169</v>
      </c>
      <c r="D38" s="4" t="s">
        <v>170</v>
      </c>
      <c r="E38" s="4" t="str">
        <f>CONCATENATE(D38," ",C38)</f>
        <v>DAVID CRAMER</v>
      </c>
      <c r="F38" s="4" t="s">
        <v>47</v>
      </c>
      <c r="G38" s="4" t="s">
        <v>48</v>
      </c>
      <c r="H38" s="4" t="s">
        <v>29</v>
      </c>
      <c r="I38" s="4" t="s">
        <v>49</v>
      </c>
      <c r="J38" s="4" t="s">
        <v>50</v>
      </c>
      <c r="K38" s="5">
        <v>46082</v>
      </c>
      <c r="L38" s="5">
        <v>46082</v>
      </c>
      <c r="M38" s="5">
        <v>46113</v>
      </c>
      <c r="N38" s="4">
        <v>17886092</v>
      </c>
      <c r="O38" s="4" t="str">
        <f t="shared" si="1"/>
        <v>17886092OVR</v>
      </c>
      <c r="P38" s="4" t="s">
        <v>51</v>
      </c>
      <c r="Q38" s="4">
        <v>8192</v>
      </c>
      <c r="R38" s="4">
        <v>-54.16</v>
      </c>
      <c r="S38" s="4">
        <v>-54.16</v>
      </c>
      <c r="T38" s="4" t="s">
        <v>211</v>
      </c>
      <c r="U38" s="4"/>
      <c r="V38" s="4"/>
    </row>
    <row r="39" spans="1:22" s="2" customFormat="1" x14ac:dyDescent="0.25">
      <c r="A39" s="4" t="s">
        <v>99</v>
      </c>
      <c r="B39" s="4" t="str">
        <f t="shared" si="0"/>
        <v>9HA9GR9AY00OVR</v>
      </c>
      <c r="C39" s="4" t="s">
        <v>188</v>
      </c>
      <c r="D39" s="4" t="s">
        <v>189</v>
      </c>
      <c r="E39" s="4" t="str">
        <f>CONCATENATE(D39," ",C39)</f>
        <v>SUSAN HOEPPNER</v>
      </c>
      <c r="F39" s="4" t="s">
        <v>102</v>
      </c>
      <c r="G39" s="4" t="s">
        <v>103</v>
      </c>
      <c r="H39" s="4" t="s">
        <v>29</v>
      </c>
      <c r="I39" s="4" t="s">
        <v>104</v>
      </c>
      <c r="J39" s="4" t="s">
        <v>105</v>
      </c>
      <c r="K39" s="5">
        <v>46023</v>
      </c>
      <c r="L39" s="5">
        <v>45536</v>
      </c>
      <c r="M39" s="5">
        <v>46023</v>
      </c>
      <c r="N39" s="4">
        <v>8307933</v>
      </c>
      <c r="O39" s="4" t="str">
        <f t="shared" si="1"/>
        <v>8307933OVR</v>
      </c>
      <c r="P39" s="4" t="s">
        <v>93</v>
      </c>
      <c r="Q39" s="4">
        <v>8192</v>
      </c>
      <c r="R39" s="4">
        <v>-32.67</v>
      </c>
      <c r="S39" s="4">
        <v>-3.75</v>
      </c>
      <c r="T39" s="4" t="s">
        <v>211</v>
      </c>
      <c r="U39" s="4"/>
      <c r="V39" s="4"/>
    </row>
    <row r="40" spans="1:22" s="2" customFormat="1" x14ac:dyDescent="0.25">
      <c r="A40" s="4" t="s">
        <v>99</v>
      </c>
      <c r="B40" s="4" t="str">
        <f t="shared" si="0"/>
        <v>9HA9GR9AY00OVR</v>
      </c>
      <c r="C40" s="4" t="s">
        <v>188</v>
      </c>
      <c r="D40" s="4" t="s">
        <v>189</v>
      </c>
      <c r="E40" s="4" t="str">
        <f>CONCATENATE(D40," ",C40)</f>
        <v>SUSAN HOEPPNER</v>
      </c>
      <c r="F40" s="4" t="s">
        <v>102</v>
      </c>
      <c r="G40" s="4" t="s">
        <v>103</v>
      </c>
      <c r="H40" s="4" t="s">
        <v>29</v>
      </c>
      <c r="I40" s="4" t="s">
        <v>104</v>
      </c>
      <c r="J40" s="4" t="s">
        <v>105</v>
      </c>
      <c r="K40" s="5">
        <v>46054</v>
      </c>
      <c r="L40" s="5">
        <v>45536</v>
      </c>
      <c r="M40" s="5">
        <v>46054</v>
      </c>
      <c r="N40" s="4">
        <v>8307933</v>
      </c>
      <c r="O40" s="4" t="str">
        <f t="shared" si="1"/>
        <v>8307933OVR</v>
      </c>
      <c r="P40" s="4" t="s">
        <v>93</v>
      </c>
      <c r="Q40" s="4">
        <v>8192</v>
      </c>
      <c r="R40" s="4">
        <v>-32.67</v>
      </c>
      <c r="S40" s="4">
        <v>-3.75</v>
      </c>
      <c r="T40" s="4" t="s">
        <v>211</v>
      </c>
      <c r="U40" s="4"/>
      <c r="V40" s="4"/>
    </row>
    <row r="41" spans="1:22" s="2" customFormat="1" x14ac:dyDescent="0.25">
      <c r="A41" s="4" t="s">
        <v>99</v>
      </c>
      <c r="B41" s="4" t="str">
        <f t="shared" si="0"/>
        <v>9HA9GR9AY00OVR</v>
      </c>
      <c r="C41" s="4" t="s">
        <v>188</v>
      </c>
      <c r="D41" s="4" t="s">
        <v>189</v>
      </c>
      <c r="E41" s="4" t="str">
        <f>CONCATENATE(D41," ",C41)</f>
        <v>SUSAN HOEPPNER</v>
      </c>
      <c r="F41" s="4" t="s">
        <v>102</v>
      </c>
      <c r="G41" s="4" t="s">
        <v>103</v>
      </c>
      <c r="H41" s="4" t="s">
        <v>29</v>
      </c>
      <c r="I41" s="4" t="s">
        <v>104</v>
      </c>
      <c r="J41" s="4" t="s">
        <v>105</v>
      </c>
      <c r="K41" s="5">
        <v>46082</v>
      </c>
      <c r="L41" s="5">
        <v>45536</v>
      </c>
      <c r="M41" s="5">
        <v>46082</v>
      </c>
      <c r="N41" s="4">
        <v>8307933</v>
      </c>
      <c r="O41" s="4" t="str">
        <f t="shared" si="1"/>
        <v>8307933OVR</v>
      </c>
      <c r="P41" s="4" t="s">
        <v>93</v>
      </c>
      <c r="Q41" s="4">
        <v>8192</v>
      </c>
      <c r="R41" s="4">
        <v>-32.67</v>
      </c>
      <c r="S41" s="4">
        <v>-3.75</v>
      </c>
      <c r="T41" s="4" t="s">
        <v>211</v>
      </c>
      <c r="U41" s="4"/>
      <c r="V41" s="4"/>
    </row>
    <row r="42" spans="1:22" s="2" customFormat="1" x14ac:dyDescent="0.25">
      <c r="A42" s="4" t="s">
        <v>99</v>
      </c>
      <c r="B42" s="4" t="str">
        <f t="shared" si="0"/>
        <v>9HA9GR9AY00OVR</v>
      </c>
      <c r="C42" s="4" t="s">
        <v>188</v>
      </c>
      <c r="D42" s="4" t="s">
        <v>189</v>
      </c>
      <c r="E42" s="4" t="str">
        <f>CONCATENATE(D42," ",C42)</f>
        <v>SUSAN HOEPPNER</v>
      </c>
      <c r="F42" s="4" t="s">
        <v>102</v>
      </c>
      <c r="G42" s="4" t="s">
        <v>103</v>
      </c>
      <c r="H42" s="4" t="s">
        <v>29</v>
      </c>
      <c r="I42" s="4" t="s">
        <v>104</v>
      </c>
      <c r="J42" s="4" t="s">
        <v>105</v>
      </c>
      <c r="K42" s="5">
        <v>46113</v>
      </c>
      <c r="L42" s="5">
        <v>45536</v>
      </c>
      <c r="M42" s="5">
        <v>46113</v>
      </c>
      <c r="N42" s="4">
        <v>8307933</v>
      </c>
      <c r="O42" s="4" t="str">
        <f t="shared" si="1"/>
        <v>8307933OVR</v>
      </c>
      <c r="P42" s="4" t="s">
        <v>93</v>
      </c>
      <c r="Q42" s="4">
        <v>8192</v>
      </c>
      <c r="R42" s="4">
        <v>-32.67</v>
      </c>
      <c r="S42" s="4">
        <v>-3.75</v>
      </c>
      <c r="T42" s="4" t="s">
        <v>211</v>
      </c>
      <c r="U42" s="4"/>
      <c r="V42" s="4"/>
    </row>
    <row r="43" spans="1:22" s="2" customFormat="1" x14ac:dyDescent="0.25">
      <c r="A43" s="4" t="s">
        <v>99</v>
      </c>
      <c r="B43" s="4" t="str">
        <f t="shared" si="0"/>
        <v>9HA9GR9AY00OVR</v>
      </c>
      <c r="C43" s="4" t="s">
        <v>188</v>
      </c>
      <c r="D43" s="4" t="s">
        <v>189</v>
      </c>
      <c r="E43" s="4" t="str">
        <f>CONCATENATE(D43," ",C43)</f>
        <v>SUSAN HOEPPNER</v>
      </c>
      <c r="F43" s="4" t="s">
        <v>102</v>
      </c>
      <c r="G43" s="4" t="s">
        <v>103</v>
      </c>
      <c r="H43" s="4" t="s">
        <v>29</v>
      </c>
      <c r="I43" s="4" t="s">
        <v>104</v>
      </c>
      <c r="J43" s="4" t="s">
        <v>105</v>
      </c>
      <c r="K43" s="5">
        <v>46143</v>
      </c>
      <c r="L43" s="5">
        <v>45536</v>
      </c>
      <c r="M43" s="5">
        <v>46143</v>
      </c>
      <c r="N43" s="4">
        <v>8307933</v>
      </c>
      <c r="O43" s="4" t="str">
        <f t="shared" si="1"/>
        <v>8307933OVR</v>
      </c>
      <c r="P43" s="4" t="s">
        <v>93</v>
      </c>
      <c r="Q43" s="4">
        <v>8192</v>
      </c>
      <c r="R43" s="4">
        <v>-32.67</v>
      </c>
      <c r="S43" s="4">
        <v>-3.75</v>
      </c>
      <c r="T43" s="4" t="s">
        <v>211</v>
      </c>
      <c r="U43" s="4"/>
      <c r="V43" s="4"/>
    </row>
    <row r="44" spans="1:22" s="2" customFormat="1" x14ac:dyDescent="0.25">
      <c r="A44" s="4" t="s">
        <v>155</v>
      </c>
      <c r="B44" s="4" t="str">
        <f t="shared" si="0"/>
        <v>2W99YA6VJ35OVR</v>
      </c>
      <c r="C44" s="4" t="s">
        <v>204</v>
      </c>
      <c r="D44" s="4" t="s">
        <v>205</v>
      </c>
      <c r="E44" s="4" t="str">
        <f>CONCATENATE(D44," ",C44)</f>
        <v>CAROL ZANG</v>
      </c>
      <c r="F44" s="4" t="s">
        <v>47</v>
      </c>
      <c r="G44" s="4" t="s">
        <v>28</v>
      </c>
      <c r="H44" s="4" t="s">
        <v>29</v>
      </c>
      <c r="I44" s="4" t="s">
        <v>49</v>
      </c>
      <c r="J44" s="4" t="s">
        <v>78</v>
      </c>
      <c r="K44" s="5">
        <v>46204</v>
      </c>
      <c r="L44" s="5">
        <v>46204</v>
      </c>
      <c r="M44" s="5">
        <v>46235</v>
      </c>
      <c r="N44" s="4">
        <v>17886092</v>
      </c>
      <c r="O44" s="4" t="str">
        <f t="shared" si="1"/>
        <v>17886092OVR</v>
      </c>
      <c r="P44" s="4" t="s">
        <v>51</v>
      </c>
      <c r="Q44" s="4">
        <v>8192</v>
      </c>
      <c r="R44" s="4">
        <v>32.5</v>
      </c>
      <c r="S44" s="4">
        <v>32.5</v>
      </c>
      <c r="T44" s="4" t="s">
        <v>211</v>
      </c>
      <c r="U44" s="4"/>
      <c r="V44" s="4"/>
    </row>
    <row r="45" spans="1:22" s="2" customFormat="1" x14ac:dyDescent="0.25">
      <c r="A45" s="4" t="s">
        <v>126</v>
      </c>
      <c r="B45" s="4" t="str">
        <f t="shared" si="0"/>
        <v>8T22ET0XD92OVR</v>
      </c>
      <c r="C45" s="4" t="s">
        <v>197</v>
      </c>
      <c r="D45" s="4" t="s">
        <v>198</v>
      </c>
      <c r="E45" s="4" t="str">
        <f>CONCATENATE(D45," ",C45)</f>
        <v>DEBORAH MOUNTS</v>
      </c>
      <c r="F45" s="4" t="s">
        <v>129</v>
      </c>
      <c r="G45" s="4" t="s">
        <v>130</v>
      </c>
      <c r="H45" s="4" t="s">
        <v>29</v>
      </c>
      <c r="I45" s="4" t="s">
        <v>41</v>
      </c>
      <c r="J45" s="4" t="s">
        <v>131</v>
      </c>
      <c r="K45" s="5">
        <v>46054</v>
      </c>
      <c r="L45" s="5">
        <v>46054</v>
      </c>
      <c r="M45" s="5">
        <f>DATE(YEAR(L45), MONTH(L45) +3, DAY(L45))</f>
        <v>46143</v>
      </c>
      <c r="N45" s="4">
        <v>16849453</v>
      </c>
      <c r="O45" s="4" t="str">
        <f t="shared" si="1"/>
        <v>16849453OVR</v>
      </c>
      <c r="P45" s="4" t="s">
        <v>132</v>
      </c>
      <c r="Q45" s="4">
        <v>8192</v>
      </c>
      <c r="R45" s="4">
        <v>165.67</v>
      </c>
      <c r="S45" s="9">
        <v>50</v>
      </c>
      <c r="T45" s="4" t="s">
        <v>211</v>
      </c>
      <c r="U45" s="4"/>
      <c r="V45" s="4"/>
    </row>
    <row r="46" spans="1:22" s="2" customFormat="1" x14ac:dyDescent="0.25">
      <c r="A46" s="4" t="s">
        <v>152</v>
      </c>
      <c r="B46" s="4" t="str">
        <f t="shared" si="0"/>
        <v>6N71UV1EV02OVR</v>
      </c>
      <c r="C46" s="4" t="s">
        <v>202</v>
      </c>
      <c r="D46" s="4" t="s">
        <v>203</v>
      </c>
      <c r="E46" s="4" t="str">
        <f>CONCATENATE(D46," ",C46)</f>
        <v>JANET WARNOCK</v>
      </c>
      <c r="F46" s="4" t="s">
        <v>83</v>
      </c>
      <c r="G46" s="4" t="s">
        <v>28</v>
      </c>
      <c r="H46" s="4" t="s">
        <v>29</v>
      </c>
      <c r="I46" s="4" t="s">
        <v>84</v>
      </c>
      <c r="J46" s="4" t="s">
        <v>151</v>
      </c>
      <c r="K46" s="5">
        <v>46235</v>
      </c>
      <c r="L46" s="5">
        <v>46235</v>
      </c>
      <c r="M46" s="5">
        <f>DATE(YEAR(L46), MONTH(L46) +4, DAY(L46))</f>
        <v>46357</v>
      </c>
      <c r="N46" s="4">
        <v>16170994</v>
      </c>
      <c r="O46" s="4" t="str">
        <f t="shared" si="1"/>
        <v>16170994OVR</v>
      </c>
      <c r="P46" s="4" t="s">
        <v>86</v>
      </c>
      <c r="Q46" s="4">
        <v>8192</v>
      </c>
      <c r="R46" s="4">
        <v>207.08</v>
      </c>
      <c r="S46" s="4">
        <v>62.5</v>
      </c>
      <c r="T46" s="4" t="s">
        <v>211</v>
      </c>
      <c r="U46" s="4"/>
      <c r="V46" s="4">
        <f>150/12*5</f>
        <v>62.5</v>
      </c>
    </row>
    <row r="47" spans="1:22" s="2" customFormat="1" x14ac:dyDescent="0.25">
      <c r="A47" s="4" t="s">
        <v>53</v>
      </c>
      <c r="B47" s="4" t="str">
        <f t="shared" si="0"/>
        <v>7FE7G53TR74OVR</v>
      </c>
      <c r="C47" s="4" t="s">
        <v>171</v>
      </c>
      <c r="D47" s="4" t="s">
        <v>172</v>
      </c>
      <c r="E47" s="4" t="str">
        <f>CONCATENATE(D47," ",C47)</f>
        <v>CORBY ESAREY</v>
      </c>
      <c r="F47" s="4" t="s">
        <v>56</v>
      </c>
      <c r="G47" s="4" t="s">
        <v>28</v>
      </c>
      <c r="H47" s="4" t="s">
        <v>29</v>
      </c>
      <c r="I47" s="4" t="s">
        <v>57</v>
      </c>
      <c r="J47" s="4" t="s">
        <v>58</v>
      </c>
      <c r="K47" s="5">
        <v>46204</v>
      </c>
      <c r="L47" s="5">
        <v>46204</v>
      </c>
      <c r="M47" s="5">
        <f>DATE(YEAR(L47), MONTH(L47) +5, DAY(L47))</f>
        <v>46357</v>
      </c>
      <c r="N47" s="4">
        <v>18828278</v>
      </c>
      <c r="O47" s="4" t="str">
        <f t="shared" si="1"/>
        <v>18828278OVR</v>
      </c>
      <c r="P47" s="4" t="s">
        <v>59</v>
      </c>
      <c r="Q47" s="4">
        <v>8192</v>
      </c>
      <c r="R47" s="4">
        <v>248.5</v>
      </c>
      <c r="S47" s="4">
        <v>75</v>
      </c>
      <c r="T47" s="4" t="s">
        <v>211</v>
      </c>
      <c r="U47" s="4"/>
      <c r="V47" s="4">
        <f>150/12*6</f>
        <v>75</v>
      </c>
    </row>
    <row r="48" spans="1:22" s="4" customFormat="1" x14ac:dyDescent="0.25">
      <c r="A48" s="4" t="s">
        <v>68</v>
      </c>
      <c r="B48" s="4" t="str">
        <f t="shared" si="0"/>
        <v>6PE4XQ2TE04OVR</v>
      </c>
      <c r="C48" s="4" t="s">
        <v>176</v>
      </c>
      <c r="D48" s="4" t="s">
        <v>177</v>
      </c>
      <c r="E48" s="4" t="str">
        <f>CONCATENATE(D48," ",C48)</f>
        <v>MARIA FRIAS</v>
      </c>
      <c r="F48" s="4" t="s">
        <v>40</v>
      </c>
      <c r="G48" s="4" t="s">
        <v>28</v>
      </c>
      <c r="H48" s="4" t="s">
        <v>29</v>
      </c>
      <c r="I48" s="4" t="s">
        <v>41</v>
      </c>
      <c r="J48" s="4" t="s">
        <v>42</v>
      </c>
      <c r="K48" s="5">
        <v>46204</v>
      </c>
      <c r="L48" s="5">
        <v>46204</v>
      </c>
      <c r="M48" s="5">
        <f>DATE(YEAR(L48), MONTH(L48) +5, DAY(L48))</f>
        <v>46357</v>
      </c>
      <c r="N48" s="4">
        <v>7565575</v>
      </c>
      <c r="O48" s="4" t="str">
        <f t="shared" si="1"/>
        <v>7565575OVR</v>
      </c>
      <c r="P48" s="4" t="s">
        <v>71</v>
      </c>
      <c r="Q48" s="4">
        <v>8192</v>
      </c>
      <c r="R48" s="4">
        <v>248.5</v>
      </c>
      <c r="S48" s="4">
        <v>75</v>
      </c>
      <c r="T48" s="4" t="s">
        <v>211</v>
      </c>
    </row>
    <row r="49" spans="1:22" s="4" customFormat="1" x14ac:dyDescent="0.25">
      <c r="A49" s="4" t="s">
        <v>122</v>
      </c>
      <c r="B49" s="4" t="str">
        <f t="shared" si="0"/>
        <v>7Y88GX1YF61OVR</v>
      </c>
      <c r="C49" s="4" t="s">
        <v>196</v>
      </c>
      <c r="D49" s="4" t="s">
        <v>177</v>
      </c>
      <c r="E49" s="4" t="str">
        <f>CONCATENATE(D49," ",C49)</f>
        <v>MARIA MONARREZ</v>
      </c>
      <c r="F49" s="4" t="s">
        <v>40</v>
      </c>
      <c r="G49" s="4" t="s">
        <v>28</v>
      </c>
      <c r="H49" s="4" t="s">
        <v>29</v>
      </c>
      <c r="I49" s="4" t="s">
        <v>41</v>
      </c>
      <c r="J49" s="4" t="s">
        <v>42</v>
      </c>
      <c r="K49" s="5">
        <v>46204</v>
      </c>
      <c r="L49" s="5">
        <v>46204</v>
      </c>
      <c r="M49" s="5">
        <f>DATE(YEAR(L49), MONTH(L49) +5, DAY(L49))</f>
        <v>46357</v>
      </c>
      <c r="N49" s="4">
        <v>17301495</v>
      </c>
      <c r="O49" s="4" t="str">
        <f t="shared" si="1"/>
        <v>17301495OVR</v>
      </c>
      <c r="P49" s="4" t="s">
        <v>125</v>
      </c>
      <c r="Q49" s="4">
        <v>8192</v>
      </c>
      <c r="R49" s="4">
        <v>248.5</v>
      </c>
      <c r="S49" s="4">
        <v>75</v>
      </c>
      <c r="T49" s="4" t="s">
        <v>211</v>
      </c>
    </row>
    <row r="50" spans="1:22" s="4" customFormat="1" x14ac:dyDescent="0.25">
      <c r="A50" s="4" t="s">
        <v>94</v>
      </c>
      <c r="B50" s="4" t="str">
        <f t="shared" si="0"/>
        <v>7PX3HH2DV02OVR</v>
      </c>
      <c r="C50" s="4" t="s">
        <v>186</v>
      </c>
      <c r="D50" s="4" t="s">
        <v>187</v>
      </c>
      <c r="E50" s="4" t="str">
        <f>CONCATENATE(D50," ",C50)</f>
        <v>NANCY HARTMAN</v>
      </c>
      <c r="F50" s="4" t="s">
        <v>47</v>
      </c>
      <c r="G50" s="4" t="s">
        <v>28</v>
      </c>
      <c r="H50" s="4" t="s">
        <v>29</v>
      </c>
      <c r="I50" s="4" t="s">
        <v>49</v>
      </c>
      <c r="J50" s="4" t="s">
        <v>97</v>
      </c>
      <c r="K50" s="5">
        <v>46204</v>
      </c>
      <c r="L50" s="5">
        <v>46204</v>
      </c>
      <c r="M50" s="5">
        <f>DATE(YEAR(L50), MONTH(L50) +5, DAY(L50))</f>
        <v>46357</v>
      </c>
      <c r="N50" s="4">
        <v>18710070</v>
      </c>
      <c r="O50" s="4" t="str">
        <f t="shared" si="1"/>
        <v>18710070OVR</v>
      </c>
      <c r="P50" s="4" t="s">
        <v>98</v>
      </c>
      <c r="Q50" s="4">
        <v>8192</v>
      </c>
      <c r="R50" s="4">
        <v>270.5</v>
      </c>
      <c r="S50" s="4">
        <v>75</v>
      </c>
      <c r="T50" s="4" t="s">
        <v>211</v>
      </c>
      <c r="V50" s="4">
        <f>150/12*6</f>
        <v>75</v>
      </c>
    </row>
    <row r="51" spans="1:22" s="4" customFormat="1" x14ac:dyDescent="0.25">
      <c r="A51" s="4" t="s">
        <v>24</v>
      </c>
      <c r="B51" s="4" t="str">
        <f t="shared" si="0"/>
        <v>2A87G63XP60OVR</v>
      </c>
      <c r="C51" s="4" t="s">
        <v>165</v>
      </c>
      <c r="D51" s="4" t="s">
        <v>166</v>
      </c>
      <c r="E51" s="4" t="str">
        <f>CONCATENATE(D51," ",C51)</f>
        <v>FRANCES BANNISTER</v>
      </c>
      <c r="F51" s="4" t="s">
        <v>27</v>
      </c>
      <c r="G51" s="4" t="s">
        <v>28</v>
      </c>
      <c r="H51" s="4" t="s">
        <v>29</v>
      </c>
      <c r="I51" s="4" t="s">
        <v>30</v>
      </c>
      <c r="J51" s="4" t="s">
        <v>31</v>
      </c>
      <c r="K51" s="5">
        <v>46174</v>
      </c>
      <c r="L51" s="5">
        <v>46174</v>
      </c>
      <c r="M51" s="5">
        <f>DATE(YEAR(L51), MONTH(L51) +6, DAY(L51))</f>
        <v>46357</v>
      </c>
      <c r="N51" s="4">
        <v>7470776</v>
      </c>
      <c r="O51" s="4" t="str">
        <f t="shared" si="1"/>
        <v>7470776OVR</v>
      </c>
      <c r="P51" s="4" t="s">
        <v>33</v>
      </c>
      <c r="Q51" s="4">
        <v>8192</v>
      </c>
      <c r="R51" s="4">
        <v>289.92</v>
      </c>
      <c r="S51" s="4">
        <v>87.5</v>
      </c>
      <c r="T51" s="4" t="s">
        <v>211</v>
      </c>
      <c r="V51" s="4">
        <f>150/12*7</f>
        <v>87.5</v>
      </c>
    </row>
    <row r="52" spans="1:22" s="4" customFormat="1" x14ac:dyDescent="0.25">
      <c r="A52" s="4" t="s">
        <v>37</v>
      </c>
      <c r="B52" s="4" t="str">
        <f t="shared" si="0"/>
        <v>8R70PA3XG01OVR</v>
      </c>
      <c r="C52" s="4" t="s">
        <v>167</v>
      </c>
      <c r="D52" s="4" t="s">
        <v>168</v>
      </c>
      <c r="E52" s="4" t="str">
        <f>CONCATENATE(D52," ",C52)</f>
        <v>CYNTHIA BARUCK</v>
      </c>
      <c r="F52" s="4" t="s">
        <v>40</v>
      </c>
      <c r="G52" s="4" t="s">
        <v>28</v>
      </c>
      <c r="H52" s="4" t="s">
        <v>29</v>
      </c>
      <c r="I52" s="4" t="s">
        <v>41</v>
      </c>
      <c r="J52" s="4" t="s">
        <v>42</v>
      </c>
      <c r="K52" s="5">
        <v>46174</v>
      </c>
      <c r="L52" s="5">
        <v>46174</v>
      </c>
      <c r="M52" s="5">
        <f>DATE(YEAR(L52), MONTH(L52) +6, DAY(L52))</f>
        <v>46357</v>
      </c>
      <c r="N52" s="4">
        <v>16633294</v>
      </c>
      <c r="O52" s="4" t="str">
        <f t="shared" si="1"/>
        <v>16633294OVR</v>
      </c>
      <c r="P52" s="4" t="s">
        <v>43</v>
      </c>
      <c r="Q52" s="4">
        <v>8192</v>
      </c>
      <c r="R52" s="4">
        <v>289.92</v>
      </c>
      <c r="S52" s="4">
        <v>87.5</v>
      </c>
      <c r="T52" s="4" t="s">
        <v>211</v>
      </c>
    </row>
    <row r="53" spans="1:22" s="4" customFormat="1" x14ac:dyDescent="0.25">
      <c r="A53" s="4" t="s">
        <v>72</v>
      </c>
      <c r="B53" s="4" t="str">
        <f t="shared" si="0"/>
        <v>1U16T09GP61OVR</v>
      </c>
      <c r="C53" s="4" t="s">
        <v>178</v>
      </c>
      <c r="D53" s="4" t="s">
        <v>179</v>
      </c>
      <c r="E53" s="4" t="str">
        <f>CONCATENATE(D53," ",C53)</f>
        <v>MARIANN FUNKHOUSER</v>
      </c>
      <c r="F53" s="4" t="s">
        <v>40</v>
      </c>
      <c r="G53" s="4" t="s">
        <v>28</v>
      </c>
      <c r="H53" s="4" t="s">
        <v>29</v>
      </c>
      <c r="I53" s="4" t="s">
        <v>41</v>
      </c>
      <c r="J53" s="4" t="s">
        <v>42</v>
      </c>
      <c r="K53" s="5">
        <v>46174</v>
      </c>
      <c r="L53" s="5">
        <v>46174</v>
      </c>
      <c r="M53" s="5">
        <f>DATE(YEAR(L53), MONTH(L53) +6, DAY(L53))</f>
        <v>46357</v>
      </c>
      <c r="N53" s="4">
        <v>7470776</v>
      </c>
      <c r="O53" s="4" t="str">
        <f t="shared" si="1"/>
        <v>7470776OVR</v>
      </c>
      <c r="P53" s="4" t="s">
        <v>33</v>
      </c>
      <c r="Q53" s="4">
        <v>8192</v>
      </c>
      <c r="R53" s="4">
        <v>289.92</v>
      </c>
      <c r="S53" s="4">
        <v>87.5</v>
      </c>
      <c r="T53" s="4" t="s">
        <v>211</v>
      </c>
    </row>
    <row r="54" spans="1:22" s="4" customFormat="1" x14ac:dyDescent="0.25">
      <c r="A54" s="4" t="s">
        <v>87</v>
      </c>
      <c r="B54" s="4" t="str">
        <f t="shared" si="0"/>
        <v>7RF9A67YK31OVR</v>
      </c>
      <c r="C54" s="4" t="s">
        <v>184</v>
      </c>
      <c r="D54" s="4" t="s">
        <v>185</v>
      </c>
      <c r="E54" s="4" t="str">
        <f>CONCATENATE(D54," ",C54)</f>
        <v>RODNEY HARPER</v>
      </c>
      <c r="F54" s="4" t="s">
        <v>90</v>
      </c>
      <c r="G54" s="4" t="s">
        <v>28</v>
      </c>
      <c r="H54" s="4" t="s">
        <v>29</v>
      </c>
      <c r="I54" s="4" t="s">
        <v>91</v>
      </c>
      <c r="J54" s="4" t="s">
        <v>92</v>
      </c>
      <c r="K54" s="5">
        <v>46174</v>
      </c>
      <c r="L54" s="5">
        <v>46174</v>
      </c>
      <c r="M54" s="5">
        <f>DATE(YEAR(L54), MONTH(L54) +6, DAY(L54))</f>
        <v>46357</v>
      </c>
      <c r="N54" s="4">
        <v>8307933</v>
      </c>
      <c r="O54" s="4" t="str">
        <f t="shared" si="1"/>
        <v>8307933OVR</v>
      </c>
      <c r="P54" s="4" t="s">
        <v>93</v>
      </c>
      <c r="Q54" s="4">
        <v>8192</v>
      </c>
      <c r="R54" s="4">
        <v>289.92</v>
      </c>
      <c r="S54" s="4">
        <v>87.5</v>
      </c>
      <c r="T54" s="4" t="s">
        <v>211</v>
      </c>
    </row>
    <row r="55" spans="1:22" s="4" customFormat="1" x14ac:dyDescent="0.25">
      <c r="A55" s="4" t="s">
        <v>107</v>
      </c>
      <c r="B55" s="4" t="str">
        <f t="shared" si="0"/>
        <v>8X14PW9QD72OVR</v>
      </c>
      <c r="C55" s="4" t="s">
        <v>190</v>
      </c>
      <c r="D55" s="4" t="s">
        <v>191</v>
      </c>
      <c r="E55" s="4" t="str">
        <f>CONCATENATE(D55," ",C55)</f>
        <v>SCOTT JARES</v>
      </c>
      <c r="F55" s="4" t="s">
        <v>110</v>
      </c>
      <c r="G55" s="4" t="s">
        <v>28</v>
      </c>
      <c r="H55" s="4" t="s">
        <v>29</v>
      </c>
      <c r="I55" s="4" t="s">
        <v>41</v>
      </c>
      <c r="J55" s="4" t="s">
        <v>111</v>
      </c>
      <c r="K55" s="5">
        <v>46174</v>
      </c>
      <c r="L55" s="5">
        <v>46174</v>
      </c>
      <c r="M55" s="5">
        <f>DATE(YEAR(L55), MONTH(L55) +6, DAY(L55))</f>
        <v>46357</v>
      </c>
      <c r="N55" s="4">
        <v>19645587</v>
      </c>
      <c r="O55" s="4" t="str">
        <f t="shared" si="1"/>
        <v>19645587OVR</v>
      </c>
      <c r="P55" s="4" t="s">
        <v>112</v>
      </c>
      <c r="Q55" s="4">
        <v>8192</v>
      </c>
      <c r="R55" s="4">
        <v>289.92</v>
      </c>
      <c r="S55" s="4">
        <v>87.5</v>
      </c>
      <c r="T55" s="4" t="s">
        <v>211</v>
      </c>
    </row>
    <row r="56" spans="1:22" s="4" customFormat="1" x14ac:dyDescent="0.25">
      <c r="A56" s="4" t="s">
        <v>113</v>
      </c>
      <c r="B56" s="4" t="str">
        <f t="shared" si="0"/>
        <v>1EC1HQ1DM99OVR</v>
      </c>
      <c r="C56" s="4" t="s">
        <v>192</v>
      </c>
      <c r="D56" s="4" t="s">
        <v>193</v>
      </c>
      <c r="E56" s="4" t="str">
        <f>CONCATENATE(D56," ",C56)</f>
        <v>GARY MCDONALD</v>
      </c>
      <c r="F56" s="4" t="s">
        <v>83</v>
      </c>
      <c r="G56" s="4" t="s">
        <v>28</v>
      </c>
      <c r="H56" s="4" t="s">
        <v>29</v>
      </c>
      <c r="I56" s="4" t="s">
        <v>84</v>
      </c>
      <c r="J56" s="4" t="s">
        <v>116</v>
      </c>
      <c r="K56" s="5">
        <v>46174</v>
      </c>
      <c r="L56" s="5">
        <v>46174</v>
      </c>
      <c r="M56" s="5">
        <f>DATE(YEAR(L56), MONTH(L56) +6, DAY(L56))</f>
        <v>46357</v>
      </c>
      <c r="N56" s="4">
        <v>16170994</v>
      </c>
      <c r="O56" s="4" t="str">
        <f t="shared" si="1"/>
        <v>16170994OVR</v>
      </c>
      <c r="P56" s="4" t="s">
        <v>86</v>
      </c>
      <c r="Q56" s="4">
        <v>8192</v>
      </c>
      <c r="R56" s="4">
        <v>289.92</v>
      </c>
      <c r="S56" s="4">
        <v>87.5</v>
      </c>
      <c r="T56" s="4" t="s">
        <v>211</v>
      </c>
    </row>
    <row r="57" spans="1:22" s="4" customFormat="1" x14ac:dyDescent="0.25">
      <c r="A57" s="4" t="s">
        <v>117</v>
      </c>
      <c r="B57" s="4" t="str">
        <f t="shared" si="0"/>
        <v>5GY9RU9XP19OVR</v>
      </c>
      <c r="C57" s="4" t="s">
        <v>194</v>
      </c>
      <c r="D57" s="4" t="s">
        <v>195</v>
      </c>
      <c r="E57" s="4" t="str">
        <f>CONCATENATE(D57," ",C57)</f>
        <v>JOSEPH MICHALSKI</v>
      </c>
      <c r="F57" s="4" t="s">
        <v>83</v>
      </c>
      <c r="G57" s="4" t="s">
        <v>28</v>
      </c>
      <c r="H57" s="4" t="s">
        <v>29</v>
      </c>
      <c r="I57" s="4" t="s">
        <v>84</v>
      </c>
      <c r="J57" s="4" t="s">
        <v>120</v>
      </c>
      <c r="K57" s="5">
        <v>46174</v>
      </c>
      <c r="L57" s="5">
        <v>46174</v>
      </c>
      <c r="M57" s="5">
        <f>DATE(YEAR(L57), MONTH(L57) +6, DAY(L57))</f>
        <v>46357</v>
      </c>
      <c r="N57" s="4">
        <v>19491313</v>
      </c>
      <c r="O57" s="4" t="str">
        <f t="shared" si="1"/>
        <v>19491313OVR</v>
      </c>
      <c r="P57" s="4" t="s">
        <v>121</v>
      </c>
      <c r="Q57" s="4">
        <v>8192</v>
      </c>
      <c r="R57" s="4">
        <v>289.92</v>
      </c>
      <c r="S57" s="4">
        <v>87.5</v>
      </c>
      <c r="T57" s="4" t="s">
        <v>211</v>
      </c>
    </row>
    <row r="58" spans="1:22" s="2" customFormat="1" x14ac:dyDescent="0.25">
      <c r="A58" s="4" t="s">
        <v>148</v>
      </c>
      <c r="B58" s="4" t="str">
        <f t="shared" si="0"/>
        <v>7Y11A09WM19OVR</v>
      </c>
      <c r="C58" s="4" t="s">
        <v>200</v>
      </c>
      <c r="D58" s="4" t="s">
        <v>201</v>
      </c>
      <c r="E58" s="4" t="str">
        <f>CONCATENATE(D58," ",C58)</f>
        <v>MARY TRAYERS</v>
      </c>
      <c r="F58" s="4" t="s">
        <v>83</v>
      </c>
      <c r="G58" s="4" t="s">
        <v>28</v>
      </c>
      <c r="H58" s="4" t="s">
        <v>29</v>
      </c>
      <c r="I58" s="4" t="s">
        <v>84</v>
      </c>
      <c r="J58" s="4" t="s">
        <v>151</v>
      </c>
      <c r="K58" s="5">
        <v>46174</v>
      </c>
      <c r="L58" s="5">
        <v>46174</v>
      </c>
      <c r="M58" s="5">
        <f>DATE(YEAR(L58), MONTH(L58) +6, DAY(L58))</f>
        <v>46357</v>
      </c>
      <c r="N58" s="4">
        <v>16170994</v>
      </c>
      <c r="O58" s="4" t="str">
        <f t="shared" si="1"/>
        <v>16170994OVR</v>
      </c>
      <c r="P58" s="4" t="s">
        <v>86</v>
      </c>
      <c r="Q58" s="4">
        <v>8192</v>
      </c>
      <c r="R58" s="4">
        <v>289.92</v>
      </c>
      <c r="S58" s="4">
        <v>87.5</v>
      </c>
      <c r="T58" s="4" t="s">
        <v>211</v>
      </c>
      <c r="U58" s="4"/>
      <c r="V58" s="4"/>
    </row>
    <row r="59" spans="1:22" s="2" customFormat="1" x14ac:dyDescent="0.25">
      <c r="A59" s="4" t="s">
        <v>158</v>
      </c>
      <c r="B59" s="4" t="str">
        <f t="shared" si="0"/>
        <v>2K41R39QF37OVR</v>
      </c>
      <c r="C59" s="4" t="s">
        <v>206</v>
      </c>
      <c r="D59" s="4" t="s">
        <v>207</v>
      </c>
      <c r="E59" s="4" t="str">
        <f>CONCATENATE(D59," ",C59)</f>
        <v>BRENDA ZELINSKI</v>
      </c>
      <c r="F59" s="4" t="s">
        <v>83</v>
      </c>
      <c r="G59" s="4" t="s">
        <v>28</v>
      </c>
      <c r="H59" s="4" t="s">
        <v>29</v>
      </c>
      <c r="I59" s="4" t="s">
        <v>84</v>
      </c>
      <c r="J59" s="4" t="s">
        <v>116</v>
      </c>
      <c r="K59" s="5">
        <v>46174</v>
      </c>
      <c r="L59" s="5">
        <v>46174</v>
      </c>
      <c r="M59" s="5">
        <f>DATE(YEAR(L59), MONTH(L59) +6, DAY(L59))</f>
        <v>46357</v>
      </c>
      <c r="N59" s="4">
        <v>16170994</v>
      </c>
      <c r="O59" s="4" t="str">
        <f t="shared" si="1"/>
        <v>16170994OVR</v>
      </c>
      <c r="P59" s="4" t="s">
        <v>86</v>
      </c>
      <c r="Q59" s="4">
        <v>8192</v>
      </c>
      <c r="R59" s="4">
        <v>289.92</v>
      </c>
      <c r="S59" s="4">
        <v>87.5</v>
      </c>
      <c r="T59" s="4" t="s">
        <v>211</v>
      </c>
      <c r="U59" s="4"/>
      <c r="V59" s="4"/>
    </row>
    <row r="60" spans="1:22" s="2" customFormat="1" x14ac:dyDescent="0.25">
      <c r="A60" s="4" t="s">
        <v>161</v>
      </c>
      <c r="B60" s="4" t="str">
        <f t="shared" si="0"/>
        <v>7FF8MQ2WT56OVR</v>
      </c>
      <c r="C60" s="4" t="s">
        <v>206</v>
      </c>
      <c r="D60" s="4" t="s">
        <v>208</v>
      </c>
      <c r="E60" s="4" t="str">
        <f>CONCATENATE(D60," ",C60)</f>
        <v>MATTHEW ZELINSKI</v>
      </c>
      <c r="F60" s="4" t="s">
        <v>83</v>
      </c>
      <c r="G60" s="4" t="s">
        <v>28</v>
      </c>
      <c r="H60" s="4" t="s">
        <v>29</v>
      </c>
      <c r="I60" s="4" t="s">
        <v>84</v>
      </c>
      <c r="J60" s="4" t="s">
        <v>116</v>
      </c>
      <c r="K60" s="5">
        <v>46174</v>
      </c>
      <c r="L60" s="5">
        <v>46174</v>
      </c>
      <c r="M60" s="5">
        <f>DATE(YEAR(L60), MONTH(L60) +6, DAY(L60))</f>
        <v>46357</v>
      </c>
      <c r="N60" s="4">
        <v>16170994</v>
      </c>
      <c r="O60" s="4" t="str">
        <f t="shared" si="1"/>
        <v>16170994OVR</v>
      </c>
      <c r="P60" s="4" t="s">
        <v>86</v>
      </c>
      <c r="Q60" s="4">
        <v>8192</v>
      </c>
      <c r="R60" s="4">
        <v>289.92</v>
      </c>
      <c r="S60" s="4">
        <v>87.5</v>
      </c>
      <c r="T60" s="4" t="s">
        <v>211</v>
      </c>
      <c r="U60" s="4"/>
      <c r="V60" s="4"/>
    </row>
    <row r="61" spans="1:22" s="4" customFormat="1" x14ac:dyDescent="0.25">
      <c r="A61" s="4" t="s">
        <v>60</v>
      </c>
      <c r="B61" s="4" t="str">
        <f t="shared" si="0"/>
        <v>5CT6D56NC64OVR</v>
      </c>
      <c r="C61" s="4" t="s">
        <v>173</v>
      </c>
      <c r="D61" s="4" t="s">
        <v>174</v>
      </c>
      <c r="E61" s="4" t="str">
        <f>CONCATENATE(D61," ",C61)</f>
        <v>JANIS FILIAGGI</v>
      </c>
      <c r="F61" s="4" t="s">
        <v>47</v>
      </c>
      <c r="G61" s="4" t="s">
        <v>28</v>
      </c>
      <c r="H61" s="4" t="s">
        <v>29</v>
      </c>
      <c r="I61" s="4" t="s">
        <v>49</v>
      </c>
      <c r="J61" s="4" t="s">
        <v>63</v>
      </c>
      <c r="K61" s="5">
        <v>46174</v>
      </c>
      <c r="L61" s="5">
        <v>46174</v>
      </c>
      <c r="M61" s="5">
        <f>DATE(YEAR(L61), MONTH(L61) +6, DAY(L61))</f>
        <v>46357</v>
      </c>
      <c r="N61" s="4">
        <v>17425766</v>
      </c>
      <c r="O61" s="4" t="str">
        <f t="shared" si="1"/>
        <v>17425766OVR</v>
      </c>
      <c r="P61" s="4" t="s">
        <v>64</v>
      </c>
      <c r="Q61" s="4">
        <v>8192</v>
      </c>
      <c r="R61" s="4">
        <v>315.58</v>
      </c>
      <c r="S61" s="4">
        <v>87.5</v>
      </c>
      <c r="T61" s="4" t="s">
        <v>211</v>
      </c>
      <c r="V61" s="4">
        <f>150/12*7</f>
        <v>87.5</v>
      </c>
    </row>
    <row r="62" spans="1:22" s="4" customFormat="1" x14ac:dyDescent="0.25">
      <c r="A62" s="4" t="s">
        <v>65</v>
      </c>
      <c r="B62" s="4" t="str">
        <f t="shared" si="0"/>
        <v>1P90C93HK46OVR</v>
      </c>
      <c r="C62" s="4" t="s">
        <v>173</v>
      </c>
      <c r="D62" s="4" t="s">
        <v>175</v>
      </c>
      <c r="E62" s="4" t="str">
        <f>CONCATENATE(D62," ",C62)</f>
        <v>ROBERT FILIAGGI</v>
      </c>
      <c r="F62" s="4" t="s">
        <v>47</v>
      </c>
      <c r="G62" s="4" t="s">
        <v>28</v>
      </c>
      <c r="H62" s="4" t="s">
        <v>29</v>
      </c>
      <c r="I62" s="4" t="s">
        <v>49</v>
      </c>
      <c r="J62" s="4" t="s">
        <v>63</v>
      </c>
      <c r="K62" s="5">
        <v>46174</v>
      </c>
      <c r="L62" s="5">
        <v>46174</v>
      </c>
      <c r="M62" s="5">
        <f>DATE(YEAR(L62), MONTH(L62) +6, DAY(L62))</f>
        <v>46357</v>
      </c>
      <c r="N62" s="4">
        <v>17425766</v>
      </c>
      <c r="O62" s="4" t="str">
        <f t="shared" si="1"/>
        <v>17425766OVR</v>
      </c>
      <c r="P62" s="4" t="s">
        <v>64</v>
      </c>
      <c r="Q62" s="4">
        <v>8192</v>
      </c>
      <c r="R62" s="4">
        <v>315.58</v>
      </c>
      <c r="S62" s="4">
        <v>87.5</v>
      </c>
      <c r="T62" s="4" t="s">
        <v>211</v>
      </c>
    </row>
    <row r="63" spans="1:22" s="4" customFormat="1" x14ac:dyDescent="0.25">
      <c r="A63" s="4" t="s">
        <v>75</v>
      </c>
      <c r="B63" s="4" t="str">
        <f t="shared" si="0"/>
        <v>5FG8XM4ET30OVR</v>
      </c>
      <c r="C63" s="4" t="s">
        <v>180</v>
      </c>
      <c r="D63" s="4" t="s">
        <v>181</v>
      </c>
      <c r="E63" s="4" t="str">
        <f>CONCATENATE(D63," ",C63)</f>
        <v>JUDITH GAINER</v>
      </c>
      <c r="F63" s="4" t="s">
        <v>47</v>
      </c>
      <c r="G63" s="4" t="s">
        <v>28</v>
      </c>
      <c r="H63" s="4" t="s">
        <v>29</v>
      </c>
      <c r="I63" s="4" t="s">
        <v>49</v>
      </c>
      <c r="J63" s="4" t="s">
        <v>78</v>
      </c>
      <c r="K63" s="5">
        <v>46174</v>
      </c>
      <c r="L63" s="5">
        <v>46174</v>
      </c>
      <c r="M63" s="5">
        <f>DATE(YEAR(L63), MONTH(L63) +6, DAY(L63))</f>
        <v>46357</v>
      </c>
      <c r="N63" s="4">
        <v>17528908</v>
      </c>
      <c r="O63" s="4" t="str">
        <f t="shared" si="1"/>
        <v>17528908OVR</v>
      </c>
      <c r="P63" s="4" t="s">
        <v>79</v>
      </c>
      <c r="Q63" s="4">
        <v>8192</v>
      </c>
      <c r="R63" s="4">
        <v>315.58</v>
      </c>
      <c r="S63" s="4">
        <v>87.5</v>
      </c>
      <c r="T63" s="4" t="s">
        <v>211</v>
      </c>
    </row>
  </sheetData>
  <sortState xmlns:xlrd2="http://schemas.microsoft.com/office/spreadsheetml/2017/richdata2" ref="A2:V34">
    <sortCondition ref="P2:P34"/>
  </sortState>
  <pageMargins left="0.7" right="0.7" top="0.75" bottom="0.75" header="0.3" footer="0.3"/>
  <ignoredErrors>
    <ignoredError sqref="M5:M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2026-06-05T11:13:26Z</dcterms:created>
  <dcterms:modified xsi:type="dcterms:W3CDTF">2026-06-05T17:58:39Z</dcterms:modified>
</cp:coreProperties>
</file>