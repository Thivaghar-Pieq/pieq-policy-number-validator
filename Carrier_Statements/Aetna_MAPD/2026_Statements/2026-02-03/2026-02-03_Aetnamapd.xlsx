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2-3-26\"/>
    </mc:Choice>
  </mc:AlternateContent>
  <xr:revisionPtr revIDLastSave="0" documentId="13_ncr:1_{CE175E01-E09F-4229-9223-9ED7E4E0F6FC}" xr6:coauthVersionLast="47" xr6:coauthVersionMax="47" xr10:uidLastSave="{00000000-0000-0000-0000-000000000000}"/>
  <bookViews>
    <workbookView xWindow="28680" yWindow="-120" windowWidth="29040" windowHeight="16440" activeTab="1" xr2:uid="{B40A0029-89A9-48A8-A80F-E5E95B714473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12" i="2"/>
  <c r="B3" i="2"/>
  <c r="B4" i="2"/>
  <c r="B5" i="2"/>
  <c r="B6" i="2"/>
  <c r="B7" i="2"/>
  <c r="B8" i="2"/>
  <c r="B9" i="2"/>
  <c r="B10" i="2"/>
  <c r="B11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  <c r="S22" i="2"/>
  <c r="S7" i="2"/>
  <c r="S19" i="2"/>
  <c r="S5" i="2"/>
  <c r="S17" i="2"/>
  <c r="S9" i="2"/>
  <c r="S16" i="2"/>
  <c r="S4" i="2"/>
</calcChain>
</file>

<file path=xl/sharedStrings.xml><?xml version="1.0" encoding="utf-8"?>
<sst xmlns="http://schemas.openxmlformats.org/spreadsheetml/2006/main" count="404" uniqueCount="121">
  <si>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</si>
  <si>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</si>
  <si>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</si>
  <si>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</si>
  <si>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</si>
  <si>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</si>
  <si>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</si>
  <si>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</si>
  <si>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</si>
  <si>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</si>
  <si>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</si>
  <si>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</si>
  <si>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</si>
  <si>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</si>
  <si>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</si>
  <si>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</si>
  <si>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</si>
  <si>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</si>
  <si>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</si>
  <si>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</si>
  <si>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</si>
  <si>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</si>
  <si>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</si>
  <si>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</si>
  <si>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1DW6WK4JJ53</t>
  </si>
  <si>
    <t>NG101197552500</t>
  </si>
  <si>
    <t>BAUNACH N,BRUCE</t>
  </si>
  <si>
    <t>OH</t>
  </si>
  <si>
    <t>New Business</t>
  </si>
  <si>
    <t>MAPD</t>
  </si>
  <si>
    <t>IMM617</t>
  </si>
  <si>
    <t>H1608-029</t>
  </si>
  <si>
    <t>LOA</t>
  </si>
  <si>
    <t>Shepard, Jill</t>
  </si>
  <si>
    <t>MMO</t>
  </si>
  <si>
    <t>Main Line Benefits LLC</t>
  </si>
  <si>
    <t xml:space="preserve">N  </t>
  </si>
  <si>
    <t>1DD6C20RX59</t>
  </si>
  <si>
    <t>NG101134784500</t>
  </si>
  <si>
    <t>BENARD P,CATTIE</t>
  </si>
  <si>
    <t>PA</t>
  </si>
  <si>
    <t>IMM608</t>
  </si>
  <si>
    <t>H5521-261</t>
  </si>
  <si>
    <t>Inskipt, Deborah</t>
  </si>
  <si>
    <t>9U08DW1EN59</t>
  </si>
  <si>
    <t>NG102260854400</t>
  </si>
  <si>
    <t>DOLLIN,MATTHEW</t>
  </si>
  <si>
    <t>H3959-011</t>
  </si>
  <si>
    <t>Powers, Timothy</t>
  </si>
  <si>
    <t>2M25UJ6PJ68</t>
  </si>
  <si>
    <t>NG102260467100</t>
  </si>
  <si>
    <t>GOSTIC W,EVELYN</t>
  </si>
  <si>
    <t>H5522-001</t>
  </si>
  <si>
    <t>1E14K04RP71</t>
  </si>
  <si>
    <t>NG102178830400</t>
  </si>
  <si>
    <t>HUBERTY H,MICHAEL</t>
  </si>
  <si>
    <t>IL</t>
  </si>
  <si>
    <t>Voluntarily Rapid Disenroll</t>
  </si>
  <si>
    <t>IMM606</t>
  </si>
  <si>
    <t>H7301-033</t>
  </si>
  <si>
    <t>HORN, JEFFREY</t>
  </si>
  <si>
    <t>2FK2U53GK15</t>
  </si>
  <si>
    <t>NG102259605300</t>
  </si>
  <si>
    <t>PIOTROWSKI,ROBIN</t>
  </si>
  <si>
    <t>1EU4CC9RX01</t>
  </si>
  <si>
    <t>NG101216911700</t>
  </si>
  <si>
    <t>ROTHERY C,KIM</t>
  </si>
  <si>
    <t>H5521-086</t>
  </si>
  <si>
    <t>Walenga, Dale</t>
  </si>
  <si>
    <t>2Y08CE8NR52</t>
  </si>
  <si>
    <t>NG102259630500</t>
  </si>
  <si>
    <t>SCHENKEL M,EDNA</t>
  </si>
  <si>
    <t>FL</t>
  </si>
  <si>
    <t>IMM604</t>
  </si>
  <si>
    <t>H1609-093</t>
  </si>
  <si>
    <t>Portugal, Stacey</t>
  </si>
  <si>
    <t>6JY0FT8QW35</t>
  </si>
  <si>
    <t>NG101530995100</t>
  </si>
  <si>
    <t>WADE M,KATHRYN</t>
  </si>
  <si>
    <t>H0628-036</t>
  </si>
  <si>
    <t>7PU8FG1GA64</t>
  </si>
  <si>
    <t>NG102152552400</t>
  </si>
  <si>
    <t>WILKER,KEVIN</t>
  </si>
  <si>
    <t>6DY4D65HA50</t>
  </si>
  <si>
    <t>NG102259889900</t>
  </si>
  <si>
    <t>WILLIAMS A,RICHARD</t>
  </si>
  <si>
    <t>H5522-022</t>
  </si>
  <si>
    <t>Stocker, Ryan</t>
  </si>
  <si>
    <t>Total Payee Amount: $1980.42</t>
  </si>
  <si>
    <t>[%/$=391][prorate=12/12]</t>
  </si>
  <si>
    <t>Aetna 2026 CT, PA, DC *</t>
  </si>
  <si>
    <t>Aetna MAPD OVR 2026</t>
  </si>
  <si>
    <t>[%/$=347][prorate=12/12]</t>
  </si>
  <si>
    <t>Aetna MAPD 2026*</t>
  </si>
  <si>
    <t>[%/$=391][prorate=10/12]</t>
  </si>
  <si>
    <t>[%/$=347][prorate=11/12]</t>
  </si>
  <si>
    <t>[%/$=391][prorate=11/12]</t>
  </si>
  <si>
    <t>Main Line Benefits</t>
  </si>
  <si>
    <t>17528908N</t>
  </si>
  <si>
    <t>HUBERTY</t>
  </si>
  <si>
    <t>MICHAEL</t>
  </si>
  <si>
    <t>WILKER</t>
  </si>
  <si>
    <t>KEVIN</t>
  </si>
  <si>
    <t>PIOTROWSKI</t>
  </si>
  <si>
    <t>ROBIN</t>
  </si>
  <si>
    <t>GOSTIC</t>
  </si>
  <si>
    <t>EVELYN</t>
  </si>
  <si>
    <t>BENARD</t>
  </si>
  <si>
    <t>CATTIE</t>
  </si>
  <si>
    <t>SCHENKEL</t>
  </si>
  <si>
    <t>EDNA</t>
  </si>
  <si>
    <t>WADE</t>
  </si>
  <si>
    <t>KATHRYN</t>
  </si>
  <si>
    <t>BAUNACH</t>
  </si>
  <si>
    <t>BRUCE</t>
  </si>
  <si>
    <t>WILLIAMS</t>
  </si>
  <si>
    <t>RICHARD</t>
  </si>
  <si>
    <t>ROTHERY</t>
  </si>
  <si>
    <t>KIM</t>
  </si>
  <si>
    <t>DOLLIN</t>
  </si>
  <si>
    <t>MATTHEW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</si>
</sst>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D7A4-F426-436F-B625-DEC716E13FB8}">
  <dimension ref="A1:X15"/>
  <sheetViews>
    <sheetView workbookViewId="0">
      <selection sqref="A1:XFD1048576"/>
    </sheetView>
  </sheetViews>
  <sheetFormatPr defaultRowHeight="15" x14ac:dyDescent="0.25"/>
  <cols>
    <col min="1" max="1" width="28" bestFit="1" customWidth="1"/>
    <col min="2" max="2" width="17.28515625" bestFit="1" customWidth="1"/>
    <col min="3" max="3" width="15.85546875" bestFit="1" customWidth="1"/>
    <col min="4" max="4" width="17.42578125" bestFit="1" customWidth="1"/>
    <col min="5" max="5" width="20.14062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24.710937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19.28515625" bestFit="1" customWidth="1"/>
    <col min="18" max="18" width="8.7109375" bestFit="1" customWidth="1"/>
    <col min="19" max="19" width="11.5703125" bestFit="1" customWidth="1"/>
    <col min="20" max="20" width="21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46056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46054</v>
      </c>
      <c r="M2" s="1">
        <v>46054</v>
      </c>
      <c r="O2">
        <v>18142208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455.58</v>
      </c>
      <c r="V2" t="s">
        <v>36</v>
      </c>
      <c r="W2" s="1">
        <v>46038</v>
      </c>
      <c r="X2">
        <v>2026</v>
      </c>
    </row>
    <row r="3" spans="1:24" x14ac:dyDescent="0.25">
      <c r="A3" s="1">
        <v>46056</v>
      </c>
      <c r="B3" t="s">
        <v>37</v>
      </c>
      <c r="C3" t="s">
        <v>38</v>
      </c>
      <c r="E3" t="s">
        <v>39</v>
      </c>
      <c r="F3" t="s">
        <v>40</v>
      </c>
      <c r="G3" t="s">
        <v>28</v>
      </c>
      <c r="H3" t="s">
        <v>29</v>
      </c>
      <c r="I3" t="s">
        <v>41</v>
      </c>
      <c r="J3" t="s">
        <v>42</v>
      </c>
      <c r="L3" s="1">
        <v>46023</v>
      </c>
      <c r="M3" s="1">
        <v>46023</v>
      </c>
      <c r="O3">
        <v>17528908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541</v>
      </c>
      <c r="V3" t="s">
        <v>36</v>
      </c>
      <c r="W3" s="1">
        <v>46002</v>
      </c>
      <c r="X3">
        <v>2026</v>
      </c>
    </row>
    <row r="4" spans="1:24" x14ac:dyDescent="0.25">
      <c r="A4" s="1">
        <v>46056</v>
      </c>
      <c r="B4" t="s">
        <v>44</v>
      </c>
      <c r="C4" t="s">
        <v>45</v>
      </c>
      <c r="E4" t="s">
        <v>46</v>
      </c>
      <c r="F4" t="s">
        <v>40</v>
      </c>
      <c r="G4" t="s">
        <v>28</v>
      </c>
      <c r="H4" t="s">
        <v>29</v>
      </c>
      <c r="I4" t="s">
        <v>41</v>
      </c>
      <c r="J4" t="s">
        <v>47</v>
      </c>
      <c r="L4" s="1">
        <v>46054</v>
      </c>
      <c r="M4" s="1">
        <v>46054</v>
      </c>
      <c r="O4">
        <v>17886092</v>
      </c>
      <c r="P4" t="s">
        <v>32</v>
      </c>
      <c r="Q4" t="s">
        <v>48</v>
      </c>
      <c r="R4">
        <v>8192</v>
      </c>
      <c r="S4" t="s">
        <v>34</v>
      </c>
      <c r="T4" t="s">
        <v>35</v>
      </c>
      <c r="U4">
        <v>59.59</v>
      </c>
      <c r="V4" t="s">
        <v>36</v>
      </c>
      <c r="W4" s="1">
        <v>46042</v>
      </c>
      <c r="X4">
        <v>2026</v>
      </c>
    </row>
    <row r="5" spans="1:24" x14ac:dyDescent="0.25">
      <c r="A5" s="1">
        <v>46056</v>
      </c>
      <c r="B5" t="s">
        <v>49</v>
      </c>
      <c r="C5" t="s">
        <v>50</v>
      </c>
      <c r="E5" t="s">
        <v>51</v>
      </c>
      <c r="F5" t="s">
        <v>40</v>
      </c>
      <c r="G5" t="s">
        <v>28</v>
      </c>
      <c r="H5" t="s">
        <v>29</v>
      </c>
      <c r="I5" t="s">
        <v>41</v>
      </c>
      <c r="J5" t="s">
        <v>52</v>
      </c>
      <c r="L5" s="1">
        <v>46054</v>
      </c>
      <c r="M5" s="1">
        <v>46054</v>
      </c>
      <c r="O5">
        <v>17528908</v>
      </c>
      <c r="P5" t="s">
        <v>32</v>
      </c>
      <c r="Q5" t="s">
        <v>43</v>
      </c>
      <c r="R5">
        <v>8192</v>
      </c>
      <c r="S5" t="s">
        <v>34</v>
      </c>
      <c r="T5" t="s">
        <v>35</v>
      </c>
      <c r="U5">
        <v>495.92</v>
      </c>
      <c r="V5" t="s">
        <v>36</v>
      </c>
      <c r="W5" s="1">
        <v>46039</v>
      </c>
      <c r="X5">
        <v>2026</v>
      </c>
    </row>
    <row r="6" spans="1:24" x14ac:dyDescent="0.25">
      <c r="A6" s="1">
        <v>46056</v>
      </c>
      <c r="B6" t="s">
        <v>53</v>
      </c>
      <c r="C6" t="s">
        <v>54</v>
      </c>
      <c r="E6" t="s">
        <v>55</v>
      </c>
      <c r="F6" t="s">
        <v>56</v>
      </c>
      <c r="G6" t="s">
        <v>57</v>
      </c>
      <c r="H6" t="s">
        <v>29</v>
      </c>
      <c r="I6" t="s">
        <v>58</v>
      </c>
      <c r="J6" t="s">
        <v>59</v>
      </c>
      <c r="L6" s="1">
        <v>46023</v>
      </c>
      <c r="M6" s="1">
        <v>46023</v>
      </c>
      <c r="N6" s="1">
        <v>46053</v>
      </c>
      <c r="O6">
        <v>2158366</v>
      </c>
      <c r="P6" t="s">
        <v>32</v>
      </c>
      <c r="Q6" t="s">
        <v>60</v>
      </c>
      <c r="R6">
        <v>8192</v>
      </c>
      <c r="S6" t="s">
        <v>34</v>
      </c>
      <c r="T6" t="s">
        <v>35</v>
      </c>
      <c r="U6">
        <v>-497</v>
      </c>
      <c r="V6" t="s">
        <v>36</v>
      </c>
      <c r="W6" s="1">
        <v>45945</v>
      </c>
      <c r="X6">
        <v>2026</v>
      </c>
    </row>
    <row r="7" spans="1:24" x14ac:dyDescent="0.25">
      <c r="A7" s="1">
        <v>46056</v>
      </c>
      <c r="B7" t="s">
        <v>61</v>
      </c>
      <c r="C7" t="s">
        <v>62</v>
      </c>
      <c r="E7" t="s">
        <v>63</v>
      </c>
      <c r="F7" t="s">
        <v>40</v>
      </c>
      <c r="G7" t="s">
        <v>28</v>
      </c>
      <c r="H7" t="s">
        <v>29</v>
      </c>
      <c r="I7" t="s">
        <v>41</v>
      </c>
      <c r="J7" t="s">
        <v>52</v>
      </c>
      <c r="L7" s="1">
        <v>46082</v>
      </c>
      <c r="M7" s="1">
        <v>46082</v>
      </c>
      <c r="O7">
        <v>17528908</v>
      </c>
      <c r="P7" t="s">
        <v>32</v>
      </c>
      <c r="Q7" t="s">
        <v>43</v>
      </c>
      <c r="R7">
        <v>8192</v>
      </c>
      <c r="S7" t="s">
        <v>34</v>
      </c>
      <c r="T7" t="s">
        <v>35</v>
      </c>
      <c r="U7">
        <v>450.83</v>
      </c>
      <c r="V7" t="s">
        <v>36</v>
      </c>
      <c r="W7" s="1">
        <v>46036</v>
      </c>
      <c r="X7">
        <v>2026</v>
      </c>
    </row>
    <row r="8" spans="1:24" x14ac:dyDescent="0.25">
      <c r="A8" s="1">
        <v>46056</v>
      </c>
      <c r="B8" t="s">
        <v>64</v>
      </c>
      <c r="C8" t="s">
        <v>65</v>
      </c>
      <c r="E8" t="s">
        <v>66</v>
      </c>
      <c r="F8" t="s">
        <v>56</v>
      </c>
      <c r="G8" t="s">
        <v>28</v>
      </c>
      <c r="H8" t="s">
        <v>29</v>
      </c>
      <c r="I8" t="s">
        <v>58</v>
      </c>
      <c r="J8" t="s">
        <v>67</v>
      </c>
      <c r="L8" s="1">
        <v>46054</v>
      </c>
      <c r="M8" s="1">
        <v>46054</v>
      </c>
      <c r="O8">
        <v>8325282</v>
      </c>
      <c r="P8" t="s">
        <v>32</v>
      </c>
      <c r="Q8" t="s">
        <v>68</v>
      </c>
      <c r="R8">
        <v>8192</v>
      </c>
      <c r="S8" t="s">
        <v>34</v>
      </c>
      <c r="T8" t="s">
        <v>35</v>
      </c>
      <c r="U8">
        <v>455.58</v>
      </c>
      <c r="V8" t="s">
        <v>36</v>
      </c>
      <c r="W8" s="1">
        <v>46038</v>
      </c>
      <c r="X8">
        <v>2026</v>
      </c>
    </row>
    <row r="9" spans="1:24" x14ac:dyDescent="0.25">
      <c r="A9" s="1">
        <v>46056</v>
      </c>
      <c r="B9" t="s">
        <v>69</v>
      </c>
      <c r="C9" t="s">
        <v>70</v>
      </c>
      <c r="E9" t="s">
        <v>71</v>
      </c>
      <c r="F9" t="s">
        <v>72</v>
      </c>
      <c r="G9" t="s">
        <v>28</v>
      </c>
      <c r="H9" t="s">
        <v>29</v>
      </c>
      <c r="I9" t="s">
        <v>73</v>
      </c>
      <c r="J9" t="s">
        <v>74</v>
      </c>
      <c r="L9" s="1">
        <v>46054</v>
      </c>
      <c r="M9" s="1">
        <v>46054</v>
      </c>
      <c r="O9">
        <v>19645587</v>
      </c>
      <c r="P9" t="s">
        <v>32</v>
      </c>
      <c r="Q9" t="s">
        <v>75</v>
      </c>
      <c r="R9">
        <v>8192</v>
      </c>
      <c r="S9" t="s">
        <v>34</v>
      </c>
      <c r="T9" t="s">
        <v>35</v>
      </c>
      <c r="U9">
        <v>561</v>
      </c>
      <c r="V9" t="s">
        <v>36</v>
      </c>
      <c r="W9" s="1">
        <v>46036</v>
      </c>
      <c r="X9">
        <v>2026</v>
      </c>
    </row>
    <row r="10" spans="1:24" x14ac:dyDescent="0.25">
      <c r="A10" s="1">
        <v>46056</v>
      </c>
      <c r="B10" t="s">
        <v>76</v>
      </c>
      <c r="C10" t="s">
        <v>77</v>
      </c>
      <c r="E10" t="s">
        <v>78</v>
      </c>
      <c r="F10" t="s">
        <v>27</v>
      </c>
      <c r="G10" t="s">
        <v>57</v>
      </c>
      <c r="H10" t="s">
        <v>29</v>
      </c>
      <c r="I10" t="s">
        <v>30</v>
      </c>
      <c r="J10" t="s">
        <v>79</v>
      </c>
      <c r="L10" s="1">
        <v>46023</v>
      </c>
      <c r="M10" s="1">
        <v>46023</v>
      </c>
      <c r="N10" s="1">
        <v>46053</v>
      </c>
      <c r="O10">
        <v>18142208</v>
      </c>
      <c r="P10" t="s">
        <v>32</v>
      </c>
      <c r="Q10" t="s">
        <v>33</v>
      </c>
      <c r="R10">
        <v>8192</v>
      </c>
      <c r="S10" t="s">
        <v>34</v>
      </c>
      <c r="T10" t="s">
        <v>35</v>
      </c>
      <c r="U10">
        <v>-497</v>
      </c>
      <c r="V10" t="s">
        <v>36</v>
      </c>
      <c r="W10" s="1">
        <v>45982</v>
      </c>
      <c r="X10">
        <v>2026</v>
      </c>
    </row>
    <row r="11" spans="1:24" x14ac:dyDescent="0.25">
      <c r="A11" s="1">
        <v>46056</v>
      </c>
      <c r="B11" t="s">
        <v>80</v>
      </c>
      <c r="C11" t="s">
        <v>81</v>
      </c>
      <c r="E11" t="s">
        <v>82</v>
      </c>
      <c r="F11" t="s">
        <v>40</v>
      </c>
      <c r="G11" t="s">
        <v>57</v>
      </c>
      <c r="H11" t="s">
        <v>29</v>
      </c>
      <c r="I11" t="s">
        <v>41</v>
      </c>
      <c r="J11" t="s">
        <v>47</v>
      </c>
      <c r="L11" s="1">
        <v>46023</v>
      </c>
      <c r="M11" s="1">
        <v>46023</v>
      </c>
      <c r="N11" s="1">
        <v>46053</v>
      </c>
      <c r="O11">
        <v>17528908</v>
      </c>
      <c r="P11" t="s">
        <v>32</v>
      </c>
      <c r="Q11" t="s">
        <v>43</v>
      </c>
      <c r="R11">
        <v>8192</v>
      </c>
      <c r="S11" t="s">
        <v>34</v>
      </c>
      <c r="T11" t="s">
        <v>35</v>
      </c>
      <c r="U11">
        <v>-541</v>
      </c>
      <c r="V11" t="s">
        <v>36</v>
      </c>
      <c r="W11" s="1">
        <v>45973</v>
      </c>
      <c r="X11">
        <v>2026</v>
      </c>
    </row>
    <row r="12" spans="1:24" x14ac:dyDescent="0.25">
      <c r="A12" s="1">
        <v>46056</v>
      </c>
      <c r="B12" t="s">
        <v>83</v>
      </c>
      <c r="C12" t="s">
        <v>84</v>
      </c>
      <c r="E12" t="s">
        <v>85</v>
      </c>
      <c r="F12" t="s">
        <v>40</v>
      </c>
      <c r="G12" t="s">
        <v>28</v>
      </c>
      <c r="H12" t="s">
        <v>29</v>
      </c>
      <c r="I12" t="s">
        <v>41</v>
      </c>
      <c r="J12" t="s">
        <v>86</v>
      </c>
      <c r="L12" s="1">
        <v>46054</v>
      </c>
      <c r="M12" s="1">
        <v>46054</v>
      </c>
      <c r="O12">
        <v>15950276</v>
      </c>
      <c r="P12" t="s">
        <v>32</v>
      </c>
      <c r="Q12" t="s">
        <v>87</v>
      </c>
      <c r="R12">
        <v>8192</v>
      </c>
      <c r="S12" t="s">
        <v>34</v>
      </c>
      <c r="T12" t="s">
        <v>35</v>
      </c>
      <c r="U12">
        <v>495.92</v>
      </c>
      <c r="V12" t="s">
        <v>36</v>
      </c>
      <c r="W12" s="1">
        <v>46037</v>
      </c>
      <c r="X12">
        <v>2026</v>
      </c>
    </row>
    <row r="15" spans="1:24" x14ac:dyDescent="0.25">
      <c r="A1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04DD-BB4B-44A1-AB48-834704624D65}">
  <dimension ref="A1:AA22"/>
  <sheetViews>
    <sheetView tabSelected="1" topLeftCell="B1" workbookViewId="0">
      <selection activeCell="P2" sqref="P2:P22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1.85546875" customWidth="1"/>
    <col min="4" max="4" width="10.7109375" customWidth="1"/>
    <col min="5" max="5" width="20.140625" customWidth="1"/>
    <col min="6" max="6" width="13.7109375" bestFit="1" customWidth="1"/>
    <col min="7" max="7" width="25.140625" bestFit="1" customWidth="1"/>
    <col min="8" max="8" width="7.85546875" bestFit="1" customWidth="1"/>
    <col min="9" max="9" width="15.7109375" bestFit="1" customWidth="1"/>
    <col min="10" max="10" width="13.5703125" bestFit="1" customWidth="1"/>
    <col min="11" max="11" width="18" bestFit="1" customWidth="1"/>
    <col min="12" max="12" width="7.140625" customWidth="1"/>
    <col min="13" max="13" width="19.28515625" bestFit="1" customWidth="1"/>
    <col min="14" max="14" width="11.5703125" bestFit="1" customWidth="1"/>
    <col min="15" max="15" width="14.140625" bestFit="1" customWidth="1"/>
    <col min="17" max="17" width="22" bestFit="1" customWidth="1"/>
    <col min="18" max="18" width="24.1406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</row>
    <row r="2" spans="1:27" x14ac:dyDescent="0.25">
      <c r="A2" t="s">
        <v>53</v>
      </c>
      <c r="B2" t="str">
        <f>CONCATENATE(A2,89)</f>
        <v>1E14K04RP7189</v>
      </c>
      <c r="C2" t="s">
        <v>99</v>
      </c>
      <c r="D2" t="s">
        <v>100</v>
      </c>
      <c r="E2" t="str">
        <f>CONCATENATE(D2," ",C2)</f>
        <v>MICHAEL HUBERTY</v>
      </c>
      <c r="F2" t="s">
        <v>56</v>
      </c>
      <c r="G2" t="s">
        <v>57</v>
      </c>
      <c r="H2" t="s">
        <v>29</v>
      </c>
      <c r="I2" s="1">
        <v>46023</v>
      </c>
      <c r="J2" s="1">
        <v>46023</v>
      </c>
      <c r="K2">
        <v>2158366</v>
      </c>
      <c r="L2" t="s">
        <v>32</v>
      </c>
      <c r="M2" t="s">
        <v>60</v>
      </c>
      <c r="N2" t="s">
        <v>34</v>
      </c>
      <c r="O2">
        <v>-497</v>
      </c>
      <c r="P2">
        <v>-347</v>
      </c>
      <c r="Q2" t="s">
        <v>93</v>
      </c>
      <c r="R2" t="s">
        <v>92</v>
      </c>
    </row>
    <row r="3" spans="1:27" s="2" customFormat="1" x14ac:dyDescent="0.25">
      <c r="A3" t="s">
        <v>80</v>
      </c>
      <c r="B3" t="str">
        <f t="shared" ref="B3:B11" si="0">CONCATENATE(A3,89)</f>
        <v>7PU8FG1GA6489</v>
      </c>
      <c r="C3" t="s">
        <v>101</v>
      </c>
      <c r="D3" t="s">
        <v>102</v>
      </c>
      <c r="E3" t="str">
        <f t="shared" ref="E3:E22" si="1">CONCATENATE(D3," ",C3)</f>
        <v>KEVIN WILKER</v>
      </c>
      <c r="F3" t="s">
        <v>40</v>
      </c>
      <c r="G3" t="s">
        <v>57</v>
      </c>
      <c r="H3" t="s">
        <v>29</v>
      </c>
      <c r="I3" s="1">
        <v>46023</v>
      </c>
      <c r="J3" s="1">
        <v>46023</v>
      </c>
      <c r="K3" t="s">
        <v>98</v>
      </c>
      <c r="L3" t="s">
        <v>32</v>
      </c>
      <c r="M3" t="s">
        <v>43</v>
      </c>
      <c r="N3" t="s">
        <v>34</v>
      </c>
      <c r="O3">
        <v>-541</v>
      </c>
      <c r="P3">
        <v>-391</v>
      </c>
      <c r="Q3" t="s">
        <v>90</v>
      </c>
      <c r="R3" t="s">
        <v>89</v>
      </c>
      <c r="S3"/>
      <c r="T3"/>
      <c r="U3"/>
      <c r="V3"/>
      <c r="W3"/>
      <c r="X3"/>
      <c r="Y3"/>
      <c r="Z3"/>
      <c r="AA3"/>
    </row>
    <row r="4" spans="1:27" x14ac:dyDescent="0.25">
      <c r="A4" t="s">
        <v>61</v>
      </c>
      <c r="B4" t="str">
        <f t="shared" si="0"/>
        <v>2FK2U53GK1589</v>
      </c>
      <c r="C4" t="s">
        <v>103</v>
      </c>
      <c r="D4" t="s">
        <v>104</v>
      </c>
      <c r="E4" t="str">
        <f t="shared" si="1"/>
        <v>ROBIN PIOTROWSKI</v>
      </c>
      <c r="F4" t="s">
        <v>40</v>
      </c>
      <c r="G4" t="s">
        <v>28</v>
      </c>
      <c r="H4" t="s">
        <v>29</v>
      </c>
      <c r="I4" s="1">
        <v>46082</v>
      </c>
      <c r="J4" s="1">
        <v>46082</v>
      </c>
      <c r="K4" t="s">
        <v>98</v>
      </c>
      <c r="L4" t="s">
        <v>32</v>
      </c>
      <c r="M4" t="s">
        <v>43</v>
      </c>
      <c r="N4" t="s">
        <v>34</v>
      </c>
      <c r="O4">
        <v>450.83</v>
      </c>
      <c r="P4">
        <v>325.83</v>
      </c>
      <c r="Q4" t="s">
        <v>90</v>
      </c>
      <c r="R4" t="s">
        <v>94</v>
      </c>
      <c r="S4">
        <f>391/12*10</f>
        <v>325.83333333333337</v>
      </c>
    </row>
    <row r="5" spans="1:27" x14ac:dyDescent="0.25">
      <c r="A5" s="5" t="s">
        <v>49</v>
      </c>
      <c r="B5" t="str">
        <f t="shared" si="0"/>
        <v>2M25UJ6PJ6889</v>
      </c>
      <c r="C5" s="5" t="s">
        <v>105</v>
      </c>
      <c r="D5" s="5" t="s">
        <v>106</v>
      </c>
      <c r="E5" t="str">
        <f t="shared" si="1"/>
        <v>EVELYN GOSTIC</v>
      </c>
      <c r="F5" s="5" t="s">
        <v>40</v>
      </c>
      <c r="G5" s="5" t="s">
        <v>28</v>
      </c>
      <c r="H5" s="5" t="s">
        <v>29</v>
      </c>
      <c r="I5" s="6">
        <v>46054</v>
      </c>
      <c r="J5" s="6">
        <v>46054</v>
      </c>
      <c r="K5" t="s">
        <v>98</v>
      </c>
      <c r="L5" s="5" t="s">
        <v>32</v>
      </c>
      <c r="M5" s="5" t="s">
        <v>43</v>
      </c>
      <c r="N5" s="5" t="s">
        <v>34</v>
      </c>
      <c r="O5" s="5">
        <v>495.92</v>
      </c>
      <c r="P5" s="5">
        <v>358.42</v>
      </c>
      <c r="Q5" s="5" t="s">
        <v>90</v>
      </c>
      <c r="R5" s="5" t="s">
        <v>96</v>
      </c>
      <c r="S5" s="5">
        <f>391/12*11</f>
        <v>358.41666666666669</v>
      </c>
      <c r="T5" s="5"/>
      <c r="U5" s="5"/>
      <c r="V5" s="5"/>
      <c r="W5" s="5"/>
      <c r="X5" s="5"/>
      <c r="Y5" s="5"/>
      <c r="Z5" s="5"/>
      <c r="AA5" s="5"/>
    </row>
    <row r="6" spans="1:27" s="2" customFormat="1" x14ac:dyDescent="0.25">
      <c r="A6" s="5" t="s">
        <v>37</v>
      </c>
      <c r="B6" t="str">
        <f t="shared" si="0"/>
        <v>1DD6C20RX5989</v>
      </c>
      <c r="C6" s="5" t="s">
        <v>107</v>
      </c>
      <c r="D6" s="5" t="s">
        <v>108</v>
      </c>
      <c r="E6" t="str">
        <f t="shared" si="1"/>
        <v>CATTIE BENARD</v>
      </c>
      <c r="F6" s="5" t="s">
        <v>40</v>
      </c>
      <c r="G6" s="5" t="s">
        <v>28</v>
      </c>
      <c r="H6" s="5" t="s">
        <v>29</v>
      </c>
      <c r="I6" s="6">
        <v>46023</v>
      </c>
      <c r="J6" s="6">
        <v>46023</v>
      </c>
      <c r="K6" t="s">
        <v>98</v>
      </c>
      <c r="L6" s="5" t="s">
        <v>32</v>
      </c>
      <c r="M6" s="5" t="s">
        <v>43</v>
      </c>
      <c r="N6" s="5" t="s">
        <v>34</v>
      </c>
      <c r="O6" s="5">
        <v>541</v>
      </c>
      <c r="P6" s="5">
        <v>391</v>
      </c>
      <c r="Q6" t="s">
        <v>90</v>
      </c>
      <c r="R6" t="s">
        <v>89</v>
      </c>
      <c r="S6" s="5"/>
      <c r="T6" s="5"/>
      <c r="U6" s="5"/>
      <c r="V6" s="5"/>
      <c r="W6" s="5"/>
      <c r="X6" s="5"/>
      <c r="Y6" s="5"/>
      <c r="Z6" s="5"/>
      <c r="AA6" s="5"/>
    </row>
    <row r="7" spans="1:27" s="2" customFormat="1" x14ac:dyDescent="0.25">
      <c r="A7" s="5" t="s">
        <v>69</v>
      </c>
      <c r="B7" t="str">
        <f t="shared" si="0"/>
        <v>2Y08CE8NR5289</v>
      </c>
      <c r="C7" s="5" t="s">
        <v>109</v>
      </c>
      <c r="D7" s="5" t="s">
        <v>110</v>
      </c>
      <c r="E7" t="str">
        <f t="shared" si="1"/>
        <v>EDNA SCHENKEL</v>
      </c>
      <c r="F7" s="5" t="s">
        <v>72</v>
      </c>
      <c r="G7" s="5" t="s">
        <v>28</v>
      </c>
      <c r="H7" s="5" t="s">
        <v>29</v>
      </c>
      <c r="I7" s="6">
        <v>46054</v>
      </c>
      <c r="J7" s="6">
        <v>46054</v>
      </c>
      <c r="K7" s="5">
        <v>19645587</v>
      </c>
      <c r="L7" s="5" t="s">
        <v>32</v>
      </c>
      <c r="M7" s="5" t="s">
        <v>75</v>
      </c>
      <c r="N7" s="5" t="s">
        <v>34</v>
      </c>
      <c r="O7" s="5">
        <v>561</v>
      </c>
      <c r="P7" s="5">
        <v>318.08</v>
      </c>
      <c r="Q7" t="s">
        <v>93</v>
      </c>
      <c r="R7" t="s">
        <v>95</v>
      </c>
      <c r="S7" s="5">
        <f>347/12*11</f>
        <v>318.08333333333337</v>
      </c>
      <c r="T7" s="5"/>
      <c r="U7" s="5"/>
      <c r="V7" s="5"/>
      <c r="W7" s="5"/>
      <c r="X7" s="5"/>
      <c r="Y7" s="5"/>
      <c r="Z7" s="5"/>
      <c r="AA7" s="5"/>
    </row>
    <row r="8" spans="1:27" s="2" customFormat="1" x14ac:dyDescent="0.25">
      <c r="A8" t="s">
        <v>76</v>
      </c>
      <c r="B8" t="str">
        <f t="shared" si="0"/>
        <v>6JY0FT8QW3589</v>
      </c>
      <c r="C8" t="s">
        <v>111</v>
      </c>
      <c r="D8" t="s">
        <v>112</v>
      </c>
      <c r="E8" t="str">
        <f t="shared" si="1"/>
        <v>KATHRYN WADE</v>
      </c>
      <c r="F8" t="s">
        <v>27</v>
      </c>
      <c r="G8" t="s">
        <v>57</v>
      </c>
      <c r="H8" t="s">
        <v>29</v>
      </c>
      <c r="I8" s="1">
        <v>46023</v>
      </c>
      <c r="J8" s="1">
        <v>46023</v>
      </c>
      <c r="K8">
        <v>18142208</v>
      </c>
      <c r="L8" t="s">
        <v>32</v>
      </c>
      <c r="M8" t="s">
        <v>33</v>
      </c>
      <c r="N8" t="s">
        <v>34</v>
      </c>
      <c r="O8">
        <v>-497</v>
      </c>
      <c r="P8">
        <v>-347</v>
      </c>
      <c r="Q8" t="s">
        <v>93</v>
      </c>
      <c r="R8" t="s">
        <v>92</v>
      </c>
      <c r="S8"/>
      <c r="T8"/>
      <c r="U8"/>
      <c r="V8"/>
      <c r="W8"/>
      <c r="X8"/>
      <c r="Y8"/>
      <c r="Z8"/>
      <c r="AA8"/>
    </row>
    <row r="9" spans="1:27" x14ac:dyDescent="0.25">
      <c r="A9" s="5" t="s">
        <v>24</v>
      </c>
      <c r="B9" t="str">
        <f t="shared" si="0"/>
        <v>1DW6WK4JJ5389</v>
      </c>
      <c r="C9" s="5" t="s">
        <v>113</v>
      </c>
      <c r="D9" s="5" t="s">
        <v>114</v>
      </c>
      <c r="E9" t="str">
        <f t="shared" si="1"/>
        <v>BRUCE BAUNACH</v>
      </c>
      <c r="F9" s="5" t="s">
        <v>27</v>
      </c>
      <c r="G9" s="5" t="s">
        <v>28</v>
      </c>
      <c r="H9" s="5" t="s">
        <v>29</v>
      </c>
      <c r="I9" s="6">
        <v>46054</v>
      </c>
      <c r="J9" s="6">
        <v>46054</v>
      </c>
      <c r="K9" s="5">
        <v>18142208</v>
      </c>
      <c r="L9" s="5" t="s">
        <v>32</v>
      </c>
      <c r="M9" s="5" t="s">
        <v>33</v>
      </c>
      <c r="N9" s="5" t="s">
        <v>34</v>
      </c>
      <c r="O9" s="5">
        <v>455.58</v>
      </c>
      <c r="P9" s="5">
        <v>318.08</v>
      </c>
      <c r="Q9" t="s">
        <v>93</v>
      </c>
      <c r="R9" t="s">
        <v>95</v>
      </c>
      <c r="S9" s="5">
        <f>347/12*11</f>
        <v>318.08333333333337</v>
      </c>
      <c r="T9" s="5"/>
      <c r="U9" s="5"/>
      <c r="V9" s="5"/>
      <c r="W9" s="5"/>
      <c r="X9" s="5"/>
      <c r="Y9" s="5"/>
      <c r="Z9" s="5"/>
      <c r="AA9" s="5"/>
    </row>
    <row r="10" spans="1:27" s="2" customFormat="1" x14ac:dyDescent="0.25">
      <c r="A10" s="5" t="s">
        <v>83</v>
      </c>
      <c r="B10" t="str">
        <f t="shared" si="0"/>
        <v>6DY4D65HA5089</v>
      </c>
      <c r="C10" s="5" t="s">
        <v>115</v>
      </c>
      <c r="D10" s="5" t="s">
        <v>116</v>
      </c>
      <c r="E10" t="str">
        <f t="shared" si="1"/>
        <v>RICHARD WILLIAMS</v>
      </c>
      <c r="F10" s="5" t="s">
        <v>40</v>
      </c>
      <c r="G10" s="5" t="s">
        <v>28</v>
      </c>
      <c r="H10" s="5" t="s">
        <v>29</v>
      </c>
      <c r="I10" s="6">
        <v>46054</v>
      </c>
      <c r="J10" s="6">
        <v>46054</v>
      </c>
      <c r="K10" s="5">
        <v>15950276</v>
      </c>
      <c r="L10" s="5" t="s">
        <v>32</v>
      </c>
      <c r="M10" s="5" t="s">
        <v>87</v>
      </c>
      <c r="N10" s="5" t="s">
        <v>34</v>
      </c>
      <c r="O10" s="5">
        <v>495.92</v>
      </c>
      <c r="P10" s="5">
        <v>358.42</v>
      </c>
      <c r="Q10" s="5" t="s">
        <v>90</v>
      </c>
      <c r="R10" s="5" t="s">
        <v>96</v>
      </c>
      <c r="S10" s="5"/>
      <c r="T10" s="5"/>
      <c r="U10" s="5"/>
      <c r="V10" s="5"/>
      <c r="W10" s="5"/>
      <c r="X10" s="5"/>
      <c r="Y10" s="5"/>
      <c r="Z10" s="5"/>
      <c r="AA10" s="5"/>
    </row>
    <row r="11" spans="1:27" s="5" customFormat="1" x14ac:dyDescent="0.25">
      <c r="A11" t="s">
        <v>64</v>
      </c>
      <c r="B11" t="str">
        <f t="shared" si="0"/>
        <v>1EU4CC9RX0189</v>
      </c>
      <c r="C11" t="s">
        <v>117</v>
      </c>
      <c r="D11" t="s">
        <v>118</v>
      </c>
      <c r="E11" t="str">
        <f t="shared" si="1"/>
        <v>KIM ROTHERY</v>
      </c>
      <c r="F11" t="s">
        <v>56</v>
      </c>
      <c r="G11" t="s">
        <v>28</v>
      </c>
      <c r="H11" t="s">
        <v>29</v>
      </c>
      <c r="I11" s="1">
        <v>46054</v>
      </c>
      <c r="J11" s="1">
        <v>46054</v>
      </c>
      <c r="K11">
        <v>8325282</v>
      </c>
      <c r="L11" t="s">
        <v>32</v>
      </c>
      <c r="M11" t="s">
        <v>68</v>
      </c>
      <c r="N11" t="s">
        <v>34</v>
      </c>
      <c r="O11">
        <v>455.58</v>
      </c>
      <c r="P11" s="5">
        <v>318.08</v>
      </c>
      <c r="Q11" t="s">
        <v>93</v>
      </c>
      <c r="R11" t="s">
        <v>95</v>
      </c>
      <c r="S11"/>
      <c r="T11"/>
      <c r="U11"/>
      <c r="V11"/>
      <c r="W11"/>
      <c r="X11"/>
      <c r="Y11"/>
      <c r="Z11"/>
      <c r="AA11"/>
    </row>
    <row r="12" spans="1:27" x14ac:dyDescent="0.25">
      <c r="A12" s="2" t="s">
        <v>80</v>
      </c>
      <c r="B12" s="2" t="str">
        <f>CONCATENATE(A12:A12,"OVR")</f>
        <v>7PU8FG1GA64OVR</v>
      </c>
      <c r="C12" s="2" t="s">
        <v>101</v>
      </c>
      <c r="D12" s="2" t="s">
        <v>102</v>
      </c>
      <c r="E12" t="str">
        <f t="shared" si="1"/>
        <v>KEVIN WILKER</v>
      </c>
      <c r="F12" s="2" t="s">
        <v>40</v>
      </c>
      <c r="G12" s="2" t="s">
        <v>57</v>
      </c>
      <c r="H12" s="2" t="s">
        <v>29</v>
      </c>
      <c r="I12" s="3">
        <v>46023</v>
      </c>
      <c r="J12" s="3">
        <v>46023</v>
      </c>
      <c r="K12" s="2">
        <v>20411454</v>
      </c>
      <c r="L12" s="2" t="s">
        <v>32</v>
      </c>
      <c r="M12" s="2" t="s">
        <v>97</v>
      </c>
      <c r="N12" s="2" t="s">
        <v>34</v>
      </c>
      <c r="O12" s="2">
        <v>-541</v>
      </c>
      <c r="P12" s="2">
        <v>-150</v>
      </c>
      <c r="Q12" s="2" t="s">
        <v>91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2" customFormat="1" x14ac:dyDescent="0.25">
      <c r="A13" s="2" t="s">
        <v>53</v>
      </c>
      <c r="B13" s="2" t="str">
        <f t="shared" ref="B13:B22" si="2">CONCATENATE(A13:A13,"OVR")</f>
        <v>1E14K04RP71OVR</v>
      </c>
      <c r="C13" s="2" t="s">
        <v>99</v>
      </c>
      <c r="D13" s="2" t="s">
        <v>100</v>
      </c>
      <c r="E13" t="str">
        <f t="shared" si="1"/>
        <v>MICHAEL HUBERTY</v>
      </c>
      <c r="F13" s="2" t="s">
        <v>56</v>
      </c>
      <c r="G13" s="2" t="s">
        <v>57</v>
      </c>
      <c r="H13" s="2" t="s">
        <v>29</v>
      </c>
      <c r="I13" s="3">
        <v>46023</v>
      </c>
      <c r="J13" s="3">
        <v>46023</v>
      </c>
      <c r="K13" s="2">
        <v>20411454</v>
      </c>
      <c r="L13" s="2" t="s">
        <v>32</v>
      </c>
      <c r="M13" s="2" t="s">
        <v>97</v>
      </c>
      <c r="N13" s="2" t="s">
        <v>34</v>
      </c>
      <c r="O13" s="2">
        <v>-497</v>
      </c>
      <c r="P13" s="2">
        <v>-150</v>
      </c>
      <c r="Q13" s="2" t="s">
        <v>91</v>
      </c>
    </row>
    <row r="14" spans="1:27" s="2" customFormat="1" x14ac:dyDescent="0.25">
      <c r="A14" s="2" t="s">
        <v>76</v>
      </c>
      <c r="B14" s="2" t="str">
        <f t="shared" si="2"/>
        <v>6JY0FT8QW35OVR</v>
      </c>
      <c r="C14" s="2" t="s">
        <v>111</v>
      </c>
      <c r="D14" s="2" t="s">
        <v>112</v>
      </c>
      <c r="E14" t="str">
        <f t="shared" si="1"/>
        <v>KATHRYN WADE</v>
      </c>
      <c r="F14" s="2" t="s">
        <v>27</v>
      </c>
      <c r="G14" s="2" t="s">
        <v>57</v>
      </c>
      <c r="H14" s="2" t="s">
        <v>29</v>
      </c>
      <c r="I14" s="3">
        <v>46023</v>
      </c>
      <c r="J14" s="3">
        <v>46023</v>
      </c>
      <c r="K14" s="2">
        <v>20411454</v>
      </c>
      <c r="L14" s="2" t="s">
        <v>32</v>
      </c>
      <c r="M14" s="2" t="s">
        <v>97</v>
      </c>
      <c r="N14" s="2" t="s">
        <v>34</v>
      </c>
      <c r="O14" s="2">
        <v>-497</v>
      </c>
      <c r="P14" s="2">
        <v>-150</v>
      </c>
      <c r="Q14" s="2" t="s">
        <v>91</v>
      </c>
    </row>
    <row r="15" spans="1:27" s="5" customFormat="1" x14ac:dyDescent="0.25">
      <c r="A15" s="2" t="s">
        <v>44</v>
      </c>
      <c r="B15" s="2" t="str">
        <f t="shared" si="2"/>
        <v>9U08DW1EN59OVR</v>
      </c>
      <c r="C15" s="2" t="s">
        <v>119</v>
      </c>
      <c r="D15" s="2" t="s">
        <v>120</v>
      </c>
      <c r="E15" t="str">
        <f t="shared" si="1"/>
        <v>MATTHEW DOLLIN</v>
      </c>
      <c r="F15" s="2" t="s">
        <v>40</v>
      </c>
      <c r="G15" s="2" t="s">
        <v>28</v>
      </c>
      <c r="H15" s="2" t="s">
        <v>29</v>
      </c>
      <c r="I15" s="3">
        <v>46054</v>
      </c>
      <c r="J15" s="3">
        <v>46054</v>
      </c>
      <c r="K15" s="2">
        <v>20411454</v>
      </c>
      <c r="L15" s="2" t="s">
        <v>32</v>
      </c>
      <c r="M15" s="2" t="s">
        <v>97</v>
      </c>
      <c r="N15" s="2" t="s">
        <v>34</v>
      </c>
      <c r="O15" s="2">
        <v>59.59</v>
      </c>
      <c r="P15" s="4">
        <v>59.59</v>
      </c>
      <c r="Q15" s="2" t="s">
        <v>91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5" customFormat="1" x14ac:dyDescent="0.25">
      <c r="A16" s="2" t="s">
        <v>61</v>
      </c>
      <c r="B16" s="2" t="str">
        <f t="shared" si="2"/>
        <v>2FK2U53GK15OVR</v>
      </c>
      <c r="C16" s="2" t="s">
        <v>103</v>
      </c>
      <c r="D16" s="2" t="s">
        <v>104</v>
      </c>
      <c r="E16" t="str">
        <f t="shared" si="1"/>
        <v>ROBIN PIOTROWSKI</v>
      </c>
      <c r="F16" s="2" t="s">
        <v>40</v>
      </c>
      <c r="G16" s="2" t="s">
        <v>28</v>
      </c>
      <c r="H16" s="2" t="s">
        <v>29</v>
      </c>
      <c r="I16" s="3">
        <v>46082</v>
      </c>
      <c r="J16" s="3">
        <v>46082</v>
      </c>
      <c r="K16" s="2">
        <v>20411454</v>
      </c>
      <c r="L16" s="2" t="s">
        <v>32</v>
      </c>
      <c r="M16" s="2" t="s">
        <v>97</v>
      </c>
      <c r="N16" s="2" t="s">
        <v>34</v>
      </c>
      <c r="O16" s="2">
        <v>450.83</v>
      </c>
      <c r="P16" s="2">
        <v>125</v>
      </c>
      <c r="Q16" s="2" t="s">
        <v>91</v>
      </c>
      <c r="R16" s="2"/>
      <c r="S16" s="2">
        <f>150/12*10</f>
        <v>125</v>
      </c>
      <c r="T16" s="2"/>
      <c r="U16" s="2"/>
      <c r="V16" s="2"/>
      <c r="W16" s="2"/>
      <c r="X16" s="2"/>
      <c r="Y16" s="2"/>
      <c r="Z16" s="2"/>
      <c r="AA16" s="2"/>
    </row>
    <row r="17" spans="1:27" s="2" customFormat="1" x14ac:dyDescent="0.25">
      <c r="A17" s="2" t="s">
        <v>24</v>
      </c>
      <c r="B17" s="2" t="str">
        <f t="shared" si="2"/>
        <v>1DW6WK4JJ53OVR</v>
      </c>
      <c r="C17" s="2" t="s">
        <v>113</v>
      </c>
      <c r="D17" s="2" t="s">
        <v>114</v>
      </c>
      <c r="E17" t="str">
        <f t="shared" si="1"/>
        <v>BRUCE BAUNACH</v>
      </c>
      <c r="F17" s="2" t="s">
        <v>27</v>
      </c>
      <c r="G17" s="2" t="s">
        <v>28</v>
      </c>
      <c r="H17" s="2" t="s">
        <v>29</v>
      </c>
      <c r="I17" s="3">
        <v>46054</v>
      </c>
      <c r="J17" s="3">
        <v>46054</v>
      </c>
      <c r="K17" s="2">
        <v>20411454</v>
      </c>
      <c r="L17" s="2" t="s">
        <v>32</v>
      </c>
      <c r="M17" s="2" t="s">
        <v>97</v>
      </c>
      <c r="N17" s="2" t="s">
        <v>34</v>
      </c>
      <c r="O17" s="2">
        <v>455.58</v>
      </c>
      <c r="P17" s="2">
        <v>137.5</v>
      </c>
      <c r="Q17" s="2" t="s">
        <v>91</v>
      </c>
      <c r="S17" s="2">
        <f>150/12*11</f>
        <v>137.5</v>
      </c>
    </row>
    <row r="18" spans="1:27" s="2" customFormat="1" x14ac:dyDescent="0.25">
      <c r="A18" s="2" t="s">
        <v>64</v>
      </c>
      <c r="B18" s="2" t="str">
        <f t="shared" si="2"/>
        <v>1EU4CC9RX01OVR</v>
      </c>
      <c r="C18" s="2" t="s">
        <v>117</v>
      </c>
      <c r="D18" s="2" t="s">
        <v>118</v>
      </c>
      <c r="E18" t="str">
        <f t="shared" si="1"/>
        <v>KIM ROTHERY</v>
      </c>
      <c r="F18" s="2" t="s">
        <v>56</v>
      </c>
      <c r="G18" s="2" t="s">
        <v>28</v>
      </c>
      <c r="H18" s="2" t="s">
        <v>29</v>
      </c>
      <c r="I18" s="3">
        <v>46054</v>
      </c>
      <c r="J18" s="3">
        <v>46054</v>
      </c>
      <c r="K18" s="2">
        <v>20411454</v>
      </c>
      <c r="L18" s="2" t="s">
        <v>32</v>
      </c>
      <c r="M18" s="2" t="s">
        <v>97</v>
      </c>
      <c r="N18" s="2" t="s">
        <v>34</v>
      </c>
      <c r="O18" s="2">
        <v>455.58</v>
      </c>
      <c r="P18" s="2">
        <v>137.5</v>
      </c>
      <c r="Q18" s="2" t="s">
        <v>91</v>
      </c>
    </row>
    <row r="19" spans="1:27" s="5" customFormat="1" x14ac:dyDescent="0.25">
      <c r="A19" s="2" t="s">
        <v>49</v>
      </c>
      <c r="B19" s="2" t="str">
        <f t="shared" si="2"/>
        <v>2M25UJ6PJ68OVR</v>
      </c>
      <c r="C19" s="2" t="s">
        <v>105</v>
      </c>
      <c r="D19" s="2" t="s">
        <v>106</v>
      </c>
      <c r="E19" t="str">
        <f t="shared" si="1"/>
        <v>EVELYN GOSTIC</v>
      </c>
      <c r="F19" s="2" t="s">
        <v>40</v>
      </c>
      <c r="G19" s="2" t="s">
        <v>28</v>
      </c>
      <c r="H19" s="2" t="s">
        <v>29</v>
      </c>
      <c r="I19" s="3">
        <v>46054</v>
      </c>
      <c r="J19" s="3">
        <v>46054</v>
      </c>
      <c r="K19" s="2">
        <v>20411454</v>
      </c>
      <c r="L19" s="2" t="s">
        <v>32</v>
      </c>
      <c r="M19" s="2" t="s">
        <v>97</v>
      </c>
      <c r="N19" s="2" t="s">
        <v>34</v>
      </c>
      <c r="O19" s="2">
        <v>495.92</v>
      </c>
      <c r="P19" s="2">
        <v>137.5</v>
      </c>
      <c r="Q19" s="2" t="s">
        <v>91</v>
      </c>
      <c r="R19" s="2"/>
      <c r="S19" s="2">
        <f>150/12*11</f>
        <v>137.5</v>
      </c>
      <c r="T19" s="2"/>
      <c r="U19" s="2"/>
      <c r="V19" s="2"/>
      <c r="W19" s="2"/>
      <c r="X19" s="2"/>
      <c r="Y19" s="2"/>
      <c r="Z19" s="2"/>
      <c r="AA19" s="2"/>
    </row>
    <row r="20" spans="1:27" s="2" customFormat="1" x14ac:dyDescent="0.25">
      <c r="A20" s="2" t="s">
        <v>83</v>
      </c>
      <c r="B20" s="2" t="str">
        <f t="shared" si="2"/>
        <v>6DY4D65HA50OVR</v>
      </c>
      <c r="C20" s="2" t="s">
        <v>115</v>
      </c>
      <c r="D20" s="2" t="s">
        <v>116</v>
      </c>
      <c r="E20" t="str">
        <f t="shared" si="1"/>
        <v>RICHARD WILLIAMS</v>
      </c>
      <c r="F20" s="2" t="s">
        <v>40</v>
      </c>
      <c r="G20" s="2" t="s">
        <v>28</v>
      </c>
      <c r="H20" s="2" t="s">
        <v>29</v>
      </c>
      <c r="I20" s="3">
        <v>46054</v>
      </c>
      <c r="J20" s="3">
        <v>46054</v>
      </c>
      <c r="K20" s="2">
        <v>20411454</v>
      </c>
      <c r="L20" s="2" t="s">
        <v>32</v>
      </c>
      <c r="M20" s="2" t="s">
        <v>97</v>
      </c>
      <c r="N20" s="2" t="s">
        <v>34</v>
      </c>
      <c r="O20" s="2">
        <v>495.92</v>
      </c>
      <c r="P20" s="2">
        <v>137.5</v>
      </c>
      <c r="Q20" s="2" t="s">
        <v>91</v>
      </c>
    </row>
    <row r="21" spans="1:27" s="5" customFormat="1" x14ac:dyDescent="0.25">
      <c r="A21" s="2" t="s">
        <v>37</v>
      </c>
      <c r="B21" s="2" t="str">
        <f t="shared" si="2"/>
        <v>1DD6C20RX59OVR</v>
      </c>
      <c r="C21" s="2" t="s">
        <v>107</v>
      </c>
      <c r="D21" s="2" t="s">
        <v>108</v>
      </c>
      <c r="E21" t="str">
        <f t="shared" si="1"/>
        <v>CATTIE BENARD</v>
      </c>
      <c r="F21" s="2" t="s">
        <v>40</v>
      </c>
      <c r="G21" s="2" t="s">
        <v>28</v>
      </c>
      <c r="H21" s="2" t="s">
        <v>29</v>
      </c>
      <c r="I21" s="3">
        <v>46023</v>
      </c>
      <c r="J21" s="3">
        <v>46023</v>
      </c>
      <c r="K21" s="2">
        <v>20411454</v>
      </c>
      <c r="L21" s="2" t="s">
        <v>32</v>
      </c>
      <c r="M21" s="2" t="s">
        <v>97</v>
      </c>
      <c r="N21" s="2" t="s">
        <v>34</v>
      </c>
      <c r="O21" s="2">
        <v>541</v>
      </c>
      <c r="P21" s="2">
        <v>150</v>
      </c>
      <c r="Q21" s="2" t="s">
        <v>91</v>
      </c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s="2" customFormat="1" x14ac:dyDescent="0.25">
      <c r="A22" s="2" t="s">
        <v>69</v>
      </c>
      <c r="B22" s="2" t="str">
        <f t="shared" si="2"/>
        <v>2Y08CE8NR52OVR</v>
      </c>
      <c r="C22" s="2" t="s">
        <v>109</v>
      </c>
      <c r="D22" s="2" t="s">
        <v>110</v>
      </c>
      <c r="E22" t="str">
        <f t="shared" si="1"/>
        <v>EDNA SCHENKEL</v>
      </c>
      <c r="F22" s="2" t="s">
        <v>72</v>
      </c>
      <c r="G22" s="2" t="s">
        <v>28</v>
      </c>
      <c r="H22" s="2" t="s">
        <v>29</v>
      </c>
      <c r="I22" s="3">
        <v>46054</v>
      </c>
      <c r="J22" s="3">
        <v>46054</v>
      </c>
      <c r="K22" s="2">
        <v>20411454</v>
      </c>
      <c r="L22" s="2" t="s">
        <v>32</v>
      </c>
      <c r="M22" s="2" t="s">
        <v>97</v>
      </c>
      <c r="N22" s="2" t="s">
        <v>34</v>
      </c>
      <c r="O22" s="2">
        <v>561</v>
      </c>
      <c r="P22" s="2">
        <v>242.92</v>
      </c>
      <c r="Q22" s="2" t="s">
        <v>91</v>
      </c>
      <c r="S22" s="2">
        <f>265/12*11</f>
        <v>242.91666666666666</v>
      </c>
    </row>
  </sheetData>
  <sortState xmlns:xlrd2="http://schemas.microsoft.com/office/spreadsheetml/2017/richdata2" ref="A2:AA11">
    <sortCondition ref="M2:M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2026-02-06T11:19:59Z</dcterms:created>
  <dcterms:modified xsi:type="dcterms:W3CDTF">2026-02-06T19:59:46Z</dcterms:modified>
</cp:coreProperties>
</file>