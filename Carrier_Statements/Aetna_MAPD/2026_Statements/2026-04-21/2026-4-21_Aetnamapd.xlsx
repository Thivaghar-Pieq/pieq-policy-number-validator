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med_comm" sheetId="1" r:id="rId4"/>
    <sheet state="visible" name="Sheet1" sheetId="2" r:id="rId5"/>
  </sheets>
  <definedNames>
    <definedName hidden="1" localSheetId="0" name="_xlnm._FilterDatabase">'Main Line Benefits LLC_med_comm'!$A$1:$X$1288</definedName>
  </definedNames>
  <calcPr/>
  <extLst>
    <ext uri="GoogleSheetsCustomDataVersion2">
      <go:sheetsCustomData xmlns:go="http://customooxmlschemas.google.com/" r:id="rId6" roundtripDataChecksum="SjfMo4u0eZEm4GVCTp5BXiMSK3mdHs0zvbMYFKGfgSw="/>
    </ext>
  </extLst>
</workbook>
</file>

<file path=xl/sharedStrings.xml><?xml version="1.0" encoding="utf-8"?>
<sst xmlns="http://schemas.openxmlformats.org/spreadsheetml/2006/main" count="2344" uniqueCount="359">
  <si>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</si>
  <si>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</si>
  <si>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</si>
  <si>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</si>
  <si>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</si>
  <si>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</si>
  <si>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</si>
  <si>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</si>
  <si>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</si>
  <si>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</si>
  <si>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</si>
  <si>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</si>
  <si>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</si>
  <si>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</si>
  <si>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</si>
  <si>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</si>
  <si>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</si>
  <si>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</si>
  <si>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</si>
  <si>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</si>
  <si>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</si>
  <si>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</si>
  <si>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</si>
  <si>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</si>
  <si>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4EM0UJ8VG33</t>
  </si>
  <si>
    <t>NG102271460200</t>
  </si>
  <si>
    <t>ANDERSON A,MILDRED</t>
  </si>
  <si>
    <t>PA</t>
  </si>
  <si>
    <t>CMS Trueup</t>
  </si>
  <si>
    <t>MAPD</t>
  </si>
  <si>
    <t>IMM608</t>
  </si>
  <si>
    <t>H3959-002</t>
  </si>
  <si>
    <t>LOA</t>
  </si>
  <si>
    <t>Inskipt, Deborah</t>
  </si>
  <si>
    <t>MMO</t>
  </si>
  <si>
    <t>Main Line Benefits LLC</t>
  </si>
  <si>
    <t xml:space="preserve">Y  </t>
  </si>
  <si>
    <t>CMS Trueup reversal</t>
  </si>
  <si>
    <t xml:space="preserve">N  </t>
  </si>
  <si>
    <t>8GH7PJ6HE47</t>
  </si>
  <si>
    <t>NG102272472700</t>
  </si>
  <si>
    <t>BANE A,SUSAN</t>
  </si>
  <si>
    <t>IL</t>
  </si>
  <si>
    <t>IMM619</t>
  </si>
  <si>
    <t>H7301-009</t>
  </si>
  <si>
    <t>DUNAVANT, MICHAEL</t>
  </si>
  <si>
    <t>3PX5U97JY86</t>
  </si>
  <si>
    <t>NG102271321000</t>
  </si>
  <si>
    <t>BENDOWSKI C,WILLIAM</t>
  </si>
  <si>
    <t>H3959-037</t>
  </si>
  <si>
    <t>BENDER, CHAD</t>
  </si>
  <si>
    <t>6HP6N86VK48</t>
  </si>
  <si>
    <t>NG101555674700</t>
  </si>
  <si>
    <t>BOHONOK,EVHEN</t>
  </si>
  <si>
    <t>New Business</t>
  </si>
  <si>
    <t>H5522-001</t>
  </si>
  <si>
    <t>5K67VU3MY34</t>
  </si>
  <si>
    <t>NG102269443700</t>
  </si>
  <si>
    <t>CALHOON A,BETH</t>
  </si>
  <si>
    <t>KS</t>
  </si>
  <si>
    <t>IMM607</t>
  </si>
  <si>
    <t>H2663-038</t>
  </si>
  <si>
    <t>Teipel, Gregory</t>
  </si>
  <si>
    <t>1N39C85JE25</t>
  </si>
  <si>
    <t>NG101946796200</t>
  </si>
  <si>
    <t>COLLIGNON L,RENEE</t>
  </si>
  <si>
    <t>Pro-Rata Payment</t>
  </si>
  <si>
    <t>Deaton, Pamela</t>
  </si>
  <si>
    <t>Pro-Rata Disenroll</t>
  </si>
  <si>
    <t>6U08KP1HM50</t>
  </si>
  <si>
    <t>NG101944921700</t>
  </si>
  <si>
    <t>DALEY W,DOUGLAS</t>
  </si>
  <si>
    <t>FL</t>
  </si>
  <si>
    <t>IMM604</t>
  </si>
  <si>
    <t>H5521-702</t>
  </si>
  <si>
    <t>9KM4UA0WN80</t>
  </si>
  <si>
    <t>NG102275688500</t>
  </si>
  <si>
    <t>DICKSON A,REBECCA</t>
  </si>
  <si>
    <t>OH</t>
  </si>
  <si>
    <t>IMM617</t>
  </si>
  <si>
    <t>H0628-005</t>
  </si>
  <si>
    <t>SHEPARD RYAN</t>
  </si>
  <si>
    <t>4AX3E96UD09</t>
  </si>
  <si>
    <t>NG102268859600</t>
  </si>
  <si>
    <t>DOLGANSKY,NADIA</t>
  </si>
  <si>
    <t>H5521-261</t>
  </si>
  <si>
    <t>2Y79GE6WR48</t>
  </si>
  <si>
    <t>NG102268604400</t>
  </si>
  <si>
    <t>DOYLE A,LEROY</t>
  </si>
  <si>
    <t>IMM606</t>
  </si>
  <si>
    <t>H7301-021</t>
  </si>
  <si>
    <t>Herrera-Larsen, Esther</t>
  </si>
  <si>
    <t>4JQ0U76XX20</t>
  </si>
  <si>
    <t>NG102275328300</t>
  </si>
  <si>
    <t>EZNACK R,JAMES</t>
  </si>
  <si>
    <t>TX</t>
  </si>
  <si>
    <t>IMM618</t>
  </si>
  <si>
    <t>H3288-048</t>
  </si>
  <si>
    <t>3DM6WH5JH54</t>
  </si>
  <si>
    <t>NG102273082600</t>
  </si>
  <si>
    <t>FEDERICI D,EARLENE</t>
  </si>
  <si>
    <t>H5521-016</t>
  </si>
  <si>
    <t>Portugal, Gary</t>
  </si>
  <si>
    <t>9JX0CX3JT01</t>
  </si>
  <si>
    <t>NG102268234900</t>
  </si>
  <si>
    <t>FISHER E,ROSEMARY</t>
  </si>
  <si>
    <t>5A87VN5UC78</t>
  </si>
  <si>
    <t>NG102271783600</t>
  </si>
  <si>
    <t>FREDRIKSEN J,MARK</t>
  </si>
  <si>
    <t>NC</t>
  </si>
  <si>
    <t>IMM609</t>
  </si>
  <si>
    <t>H5521-609</t>
  </si>
  <si>
    <t>Choi, Andrew</t>
  </si>
  <si>
    <t>1RH4QG1NE70</t>
  </si>
  <si>
    <t>NG102269817700</t>
  </si>
  <si>
    <t>GALEAZ R,MELINDA</t>
  </si>
  <si>
    <t>H7301-007</t>
  </si>
  <si>
    <t>Sherman, Matthew</t>
  </si>
  <si>
    <t>9HP6TA8PR53</t>
  </si>
  <si>
    <t>NG102271005900</t>
  </si>
  <si>
    <t>GARLAND M,TINA</t>
  </si>
  <si>
    <t>7XF6N06PX71</t>
  </si>
  <si>
    <t>NG102270467400</t>
  </si>
  <si>
    <t>GAUL L,DEBORAH</t>
  </si>
  <si>
    <t>H3959-011</t>
  </si>
  <si>
    <t>Powers, Timothy</t>
  </si>
  <si>
    <t>3QP4DC9AP81</t>
  </si>
  <si>
    <t>NG102269897400</t>
  </si>
  <si>
    <t>GILBERT S,JEFFREY</t>
  </si>
  <si>
    <t>H1206-004</t>
  </si>
  <si>
    <t>4Q52K22QY93</t>
  </si>
  <si>
    <t>NG102269533700</t>
  </si>
  <si>
    <t>GUMPPER J,WILLIAM</t>
  </si>
  <si>
    <t>NJ</t>
  </si>
  <si>
    <t>IMM614</t>
  </si>
  <si>
    <t>H3152-082</t>
  </si>
  <si>
    <t>Foley, Carol</t>
  </si>
  <si>
    <t>6ND7NH6JT45</t>
  </si>
  <si>
    <t>NG102224738500</t>
  </si>
  <si>
    <t>JALLAQ A,MOHAMMAD</t>
  </si>
  <si>
    <t>H0628-017</t>
  </si>
  <si>
    <t>BRANDT, STEVEN</t>
  </si>
  <si>
    <t>4UY7J83RP49</t>
  </si>
  <si>
    <t>NG102058131300</t>
  </si>
  <si>
    <t>JANI G,BANK</t>
  </si>
  <si>
    <t>3AX5P77DK55</t>
  </si>
  <si>
    <t>NG102270998700</t>
  </si>
  <si>
    <t>KILEY R,JOHN</t>
  </si>
  <si>
    <t>H5521-086</t>
  </si>
  <si>
    <t>8HW5VR6UD98</t>
  </si>
  <si>
    <t>NG102269137100</t>
  </si>
  <si>
    <t>KILLEN M,RONALD</t>
  </si>
  <si>
    <t>6UD9A75JD53</t>
  </si>
  <si>
    <t>NG102272313500</t>
  </si>
  <si>
    <t>LAPISKA A,GARY</t>
  </si>
  <si>
    <t>3DD5F06WR64</t>
  </si>
  <si>
    <t>NG101194807400</t>
  </si>
  <si>
    <t>MADISON D,NANCY</t>
  </si>
  <si>
    <t>H3959-075</t>
  </si>
  <si>
    <t>8FW1VC0WC07</t>
  </si>
  <si>
    <t>NG102275027100</t>
  </si>
  <si>
    <t>NEFF D,MARK</t>
  </si>
  <si>
    <t>9VH1N08JN95</t>
  </si>
  <si>
    <t>NG102271733800</t>
  </si>
  <si>
    <t>NELSON,LYNN</t>
  </si>
  <si>
    <t>4AV7U25PM34</t>
  </si>
  <si>
    <t>NG102206475500</t>
  </si>
  <si>
    <t>PAOLELLA J,CHARLOTTE</t>
  </si>
  <si>
    <t>H0628-036</t>
  </si>
  <si>
    <t>9J73VE0JH11</t>
  </si>
  <si>
    <t>NG101987947300</t>
  </si>
  <si>
    <t>PEIFFER S,JEFFREY</t>
  </si>
  <si>
    <t>H5522-022</t>
  </si>
  <si>
    <t>8HA2GJ7EV05</t>
  </si>
  <si>
    <t>NG101088108800</t>
  </si>
  <si>
    <t>PIAZZA G,TINA</t>
  </si>
  <si>
    <t>3CW2AT8NX04</t>
  </si>
  <si>
    <t>NG102270721900</t>
  </si>
  <si>
    <t>PURCELL L,PATRICIA</t>
  </si>
  <si>
    <t>AL</t>
  </si>
  <si>
    <t>IMM605</t>
  </si>
  <si>
    <t>H5521-171</t>
  </si>
  <si>
    <t>2YU8H05NT30</t>
  </si>
  <si>
    <t>NG102275148400</t>
  </si>
  <si>
    <t>RAMEY A,LAURIE</t>
  </si>
  <si>
    <t>1H57NH3KW41</t>
  </si>
  <si>
    <t>NG102271768500</t>
  </si>
  <si>
    <t>RICCA J,KENNETH</t>
  </si>
  <si>
    <t>H1608-029</t>
  </si>
  <si>
    <t>3NC4DC1VU84</t>
  </si>
  <si>
    <t>NG102268225300</t>
  </si>
  <si>
    <t>RIENTS D,CURTIS</t>
  </si>
  <si>
    <t>PRONEW</t>
  </si>
  <si>
    <t>1E81PD5NN97</t>
  </si>
  <si>
    <t>NG102271808400</t>
  </si>
  <si>
    <t>ROACH L,SAMUEL</t>
  </si>
  <si>
    <t>3V68T51TW22</t>
  </si>
  <si>
    <t>NG102270482200</t>
  </si>
  <si>
    <t>SCHULTE M,LYNN</t>
  </si>
  <si>
    <t>Shepard, Jill</t>
  </si>
  <si>
    <t>4KU2PG6JM12</t>
  </si>
  <si>
    <t>NG102270733900</t>
  </si>
  <si>
    <t>SEMINATORE M,JUNE</t>
  </si>
  <si>
    <t>4FW5GE4EH72</t>
  </si>
  <si>
    <t>NG102188567800</t>
  </si>
  <si>
    <t>SHIPLETT J,LAURA</t>
  </si>
  <si>
    <t>H5521-243</t>
  </si>
  <si>
    <t>Liskovec, Frank</t>
  </si>
  <si>
    <t>2CX0GD3DY26</t>
  </si>
  <si>
    <t>NG102271179800</t>
  </si>
  <si>
    <t>STARKEY A,CHRISTOPHER</t>
  </si>
  <si>
    <t>Aguglia, Scott</t>
  </si>
  <si>
    <t>1A98UT2WR31</t>
  </si>
  <si>
    <t>NG102270469600</t>
  </si>
  <si>
    <t>STORNES R,MARK</t>
  </si>
  <si>
    <t>1Y54KT1AK82</t>
  </si>
  <si>
    <t>NG101232126300</t>
  </si>
  <si>
    <t>THANADABOUTH S,INSANOUK</t>
  </si>
  <si>
    <t>H7301-033</t>
  </si>
  <si>
    <t>THANADABOUTH, PATSAMON</t>
  </si>
  <si>
    <t>6JX1JF9TP18</t>
  </si>
  <si>
    <t>NG101320044800</t>
  </si>
  <si>
    <t>VELMS W,DAVID</t>
  </si>
  <si>
    <t>H5521-569</t>
  </si>
  <si>
    <t>Shulman, Jake</t>
  </si>
  <si>
    <t>7DQ0D66DK38</t>
  </si>
  <si>
    <t>NG102275502600</t>
  </si>
  <si>
    <t>VRONOSKI,MICHAEL</t>
  </si>
  <si>
    <t>Smith, Margaret</t>
  </si>
  <si>
    <t>7FG7W32AU59</t>
  </si>
  <si>
    <t>NG102270356800</t>
  </si>
  <si>
    <t>WHITING M,DAWN</t>
  </si>
  <si>
    <t>AR</t>
  </si>
  <si>
    <t>H2663-039</t>
  </si>
  <si>
    <t>SANTOS, RICARDO</t>
  </si>
  <si>
    <t>3R32H92GU87</t>
  </si>
  <si>
    <t>NG102270622700</t>
  </si>
  <si>
    <t>WILLIAMS,REGINALD</t>
  </si>
  <si>
    <t>Portugal, Stacey</t>
  </si>
  <si>
    <t>6Y12J28VK28</t>
  </si>
  <si>
    <t>NG102270721600</t>
  </si>
  <si>
    <t>WOMACK E,DAVID</t>
  </si>
  <si>
    <t>5U51TC0KN14</t>
  </si>
  <si>
    <t>NG102270652400</t>
  </si>
  <si>
    <t>WOODS A,MAUREEN</t>
  </si>
  <si>
    <t>Total Payee Amount: $47328.92</t>
  </si>
  <si>
    <t>JALLAQ</t>
  </si>
  <si>
    <t>MOHAMMAD</t>
  </si>
  <si>
    <t>Aetna 2026</t>
  </si>
  <si>
    <t>[%/$=694]</t>
  </si>
  <si>
    <t>FREDRIKSEN</t>
  </si>
  <si>
    <t>MARK</t>
  </si>
  <si>
    <t>RIENTS</t>
  </si>
  <si>
    <t>CURTIS</t>
  </si>
  <si>
    <t>[%/$=694][prorate=10/12]</t>
  </si>
  <si>
    <t>WOODS</t>
  </si>
  <si>
    <t>MAUREEN</t>
  </si>
  <si>
    <t>BANE</t>
  </si>
  <si>
    <t>SUSAN</t>
  </si>
  <si>
    <t>DOYLE</t>
  </si>
  <si>
    <t>LEROY</t>
  </si>
  <si>
    <t>FEDERICI</t>
  </si>
  <si>
    <t>EARLENE</t>
  </si>
  <si>
    <t>WILLIAMS</t>
  </si>
  <si>
    <t>REGINALD</t>
  </si>
  <si>
    <t>WHITING</t>
  </si>
  <si>
    <t>DAWN</t>
  </si>
  <si>
    <t>GARLAND</t>
  </si>
  <si>
    <t>TINA</t>
  </si>
  <si>
    <t>PAOLELLA</t>
  </si>
  <si>
    <t>CHARLOTTE</t>
  </si>
  <si>
    <t>RICCA</t>
  </si>
  <si>
    <t>KENNETH</t>
  </si>
  <si>
    <t>SCHULTE</t>
  </si>
  <si>
    <t>LYNN</t>
  </si>
  <si>
    <t>SEMINATORE</t>
  </si>
  <si>
    <t>JUNE</t>
  </si>
  <si>
    <t>STORNES</t>
  </si>
  <si>
    <t>WOMACK</t>
  </si>
  <si>
    <t>DAVID</t>
  </si>
  <si>
    <t>GALEAZ</t>
  </si>
  <si>
    <t>MELINDA</t>
  </si>
  <si>
    <t>VELMS</t>
  </si>
  <si>
    <t>[%/$=694][prorate=9/12]</t>
  </si>
  <si>
    <t>CALHOON</t>
  </si>
  <si>
    <t>BETH</t>
  </si>
  <si>
    <t>DALEY</t>
  </si>
  <si>
    <t>DOUGLAS</t>
  </si>
  <si>
    <t>GILBERT</t>
  </si>
  <si>
    <t>JEFFREY</t>
  </si>
  <si>
    <t>KILEY</t>
  </si>
  <si>
    <t>JOHN</t>
  </si>
  <si>
    <t>PURCELL</t>
  </si>
  <si>
    <t>PATRICIA</t>
  </si>
  <si>
    <t>GUMPPER</t>
  </si>
  <si>
    <t>WILLIAM</t>
  </si>
  <si>
    <t>Aetna 2026 CA, NJ</t>
  </si>
  <si>
    <t>[%/$=864]</t>
  </si>
  <si>
    <t>Aetna 2026 CA, NJ*</t>
  </si>
  <si>
    <t>[%/$=432][prorate=9/12]</t>
  </si>
  <si>
    <t>STARKEY</t>
  </si>
  <si>
    <t>CHRISTOPHER</t>
  </si>
  <si>
    <t>8971826N</t>
  </si>
  <si>
    <t>Aetna 2026 CT, PA, DC</t>
  </si>
  <si>
    <t>[%/$=781]</t>
  </si>
  <si>
    <t>BENDOWSKI</t>
  </si>
  <si>
    <t>LAPISKA</t>
  </si>
  <si>
    <t>GARY</t>
  </si>
  <si>
    <t>ANDERSON</t>
  </si>
  <si>
    <t>MILDRED</t>
  </si>
  <si>
    <t>17528908N</t>
  </si>
  <si>
    <t>DOLGANSKY</t>
  </si>
  <si>
    <t>NADIA</t>
  </si>
  <si>
    <t>FISHER</t>
  </si>
  <si>
    <t>ROSEMARY</t>
  </si>
  <si>
    <t>JANI</t>
  </si>
  <si>
    <t>BANK</t>
  </si>
  <si>
    <t>KILLEN</t>
  </si>
  <si>
    <t>RONALD</t>
  </si>
  <si>
    <t>NELSON</t>
  </si>
  <si>
    <t>ROACH</t>
  </si>
  <si>
    <t>SAMUEL</t>
  </si>
  <si>
    <t>Aetna 2026 CT, PA, DC *</t>
  </si>
  <si>
    <t>[%/$=391][prorate=10/12]</t>
  </si>
  <si>
    <t>[%/$=391][prorate=9/12]</t>
  </si>
  <si>
    <t>[%/$=391][prorate=8/12]</t>
  </si>
  <si>
    <t>PEIFFER</t>
  </si>
  <si>
    <t>[%/$=391][prorate=7/12]</t>
  </si>
  <si>
    <t>PIAZZA</t>
  </si>
  <si>
    <t>BOHONOK</t>
  </si>
  <si>
    <t>EVHEN</t>
  </si>
  <si>
    <t>Aetna MAPD 2026*</t>
  </si>
  <si>
    <t>[%/$=347][prorate=9/12]</t>
  </si>
  <si>
    <t>COLLIGNON</t>
  </si>
  <si>
    <t>RENEE</t>
  </si>
  <si>
    <t>[%/$=347][prorate=12/12]</t>
  </si>
  <si>
    <t>[%/$=347][prorate=10/12]</t>
  </si>
  <si>
    <t>[%/$=347][prorate=4/12]</t>
  </si>
  <si>
    <t>[%/$=347][prorate=8/12]</t>
  </si>
  <si>
    <t>SHIPLETT</t>
  </si>
  <si>
    <t>LAURA</t>
  </si>
  <si>
    <t>[%/$=347][prorate=7/12]</t>
  </si>
  <si>
    <t>DICKSON</t>
  </si>
  <si>
    <t>REBECCA</t>
  </si>
  <si>
    <t>NEFF</t>
  </si>
  <si>
    <t>RAMEY</t>
  </si>
  <si>
    <t>LAURIE</t>
  </si>
  <si>
    <t>EZNACK</t>
  </si>
  <si>
    <t>JAMES</t>
  </si>
  <si>
    <t>THANADABOUTH</t>
  </si>
  <si>
    <t>INSANOUK</t>
  </si>
  <si>
    <t>Main Line Benefits</t>
  </si>
  <si>
    <t>Aetna MAPD OVR 2026</t>
  </si>
  <si>
    <t>GAUL</t>
  </si>
  <si>
    <t>DEBORAH</t>
  </si>
  <si>
    <t>VRONOSKI</t>
  </si>
  <si>
    <t>MICHAEL</t>
  </si>
  <si>
    <t>MADISON</t>
  </si>
  <si>
    <t>NANCY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</si>
</sst>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3" fontId="2" numFmtId="0" xfId="0" applyBorder="1" applyFill="1" applyFont="1"/>
    <xf borderId="1" fillId="3" fontId="2" numFmtId="14" xfId="0" applyBorder="1" applyFont="1" applyNumberFormat="1"/>
    <xf borderId="1" fillId="4" fontId="2" numFmtId="0" xfId="0" applyBorder="1" applyFill="1" applyFont="1"/>
    <xf borderId="1" fillId="4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7.29"/>
    <col customWidth="1" min="3" max="3" width="23.86"/>
    <col customWidth="1" min="4" max="4" width="17.43"/>
    <col customWidth="1" min="5" max="5" width="55.57"/>
    <col customWidth="1" min="6" max="6" width="13.71"/>
    <col customWidth="1" min="7" max="7" width="28.0"/>
    <col customWidth="1" min="8" max="8" width="7.86"/>
    <col customWidth="1" min="9" max="9" width="8.0"/>
    <col customWidth="1" min="10" max="10" width="10.0"/>
    <col customWidth="1" min="11" max="11" width="24.71"/>
    <col customWidth="1" min="12" max="12" width="15.71"/>
    <col customWidth="1" min="13" max="13" width="13.57"/>
    <col customWidth="1" min="14" max="14" width="10.14"/>
    <col customWidth="1" min="15" max="15" width="18.0"/>
    <col customWidth="1" min="16" max="16" width="18.71"/>
    <col customWidth="1" min="17" max="17" width="27.86"/>
    <col customWidth="1" min="18" max="18" width="8.71"/>
    <col customWidth="1" min="19" max="19" width="11.57"/>
    <col customWidth="1" min="20" max="20" width="21.0"/>
    <col customWidth="1" min="21" max="21" width="14.14"/>
    <col customWidth="1" min="22" max="22" width="9.43"/>
    <col customWidth="1" min="23" max="23" width="14.14"/>
    <col customWidth="1" min="24" max="24" width="9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4.25" customHeight="1">
      <c r="A2" s="2">
        <v>46133.0</v>
      </c>
      <c r="B2" s="1" t="s">
        <v>24</v>
      </c>
      <c r="C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L2" s="2">
        <v>46113.0</v>
      </c>
      <c r="M2" s="2">
        <v>46113.0</v>
      </c>
      <c r="O2" s="1">
        <v>1.7528908E7</v>
      </c>
      <c r="P2" s="1" t="s">
        <v>32</v>
      </c>
      <c r="Q2" s="1" t="s">
        <v>33</v>
      </c>
      <c r="R2" s="1">
        <v>8192.0</v>
      </c>
      <c r="S2" s="1" t="s">
        <v>34</v>
      </c>
      <c r="T2" s="1" t="s">
        <v>35</v>
      </c>
      <c r="U2" s="1">
        <v>931.0</v>
      </c>
      <c r="V2" s="1" t="s">
        <v>36</v>
      </c>
      <c r="W2" s="2">
        <v>46097.0</v>
      </c>
      <c r="X2" s="1">
        <v>2026.0</v>
      </c>
    </row>
    <row r="3" ht="14.25" customHeight="1">
      <c r="A3" s="2">
        <v>46133.0</v>
      </c>
      <c r="B3" s="1" t="s">
        <v>24</v>
      </c>
      <c r="C3" s="1" t="s">
        <v>25</v>
      </c>
      <c r="E3" s="1" t="s">
        <v>26</v>
      </c>
      <c r="F3" s="1" t="s">
        <v>27</v>
      </c>
      <c r="G3" s="1" t="s">
        <v>37</v>
      </c>
      <c r="H3" s="1" t="s">
        <v>29</v>
      </c>
      <c r="I3" s="1" t="s">
        <v>30</v>
      </c>
      <c r="J3" s="1" t="s">
        <v>31</v>
      </c>
      <c r="L3" s="2">
        <v>46113.0</v>
      </c>
      <c r="M3" s="2">
        <v>46113.0</v>
      </c>
      <c r="O3" s="1">
        <v>1.7528908E7</v>
      </c>
      <c r="P3" s="1" t="s">
        <v>32</v>
      </c>
      <c r="Q3" s="1" t="s">
        <v>33</v>
      </c>
      <c r="R3" s="1">
        <v>8192.0</v>
      </c>
      <c r="S3" s="1" t="s">
        <v>34</v>
      </c>
      <c r="T3" s="1" t="s">
        <v>35</v>
      </c>
      <c r="U3" s="1">
        <v>-405.75</v>
      </c>
      <c r="V3" s="1" t="s">
        <v>38</v>
      </c>
      <c r="W3" s="2">
        <v>46097.0</v>
      </c>
      <c r="X3" s="1">
        <v>2026.0</v>
      </c>
    </row>
    <row r="4" ht="14.25" customHeight="1">
      <c r="A4" s="2">
        <v>46133.0</v>
      </c>
      <c r="B4" s="1" t="s">
        <v>39</v>
      </c>
      <c r="C4" s="1" t="s">
        <v>40</v>
      </c>
      <c r="E4" s="1" t="s">
        <v>41</v>
      </c>
      <c r="F4" s="1" t="s">
        <v>42</v>
      </c>
      <c r="G4" s="1" t="s">
        <v>28</v>
      </c>
      <c r="H4" s="1" t="s">
        <v>29</v>
      </c>
      <c r="I4" s="1" t="s">
        <v>43</v>
      </c>
      <c r="J4" s="1" t="s">
        <v>44</v>
      </c>
      <c r="L4" s="2">
        <v>46143.0</v>
      </c>
      <c r="M4" s="2">
        <v>46143.0</v>
      </c>
      <c r="O4" s="1">
        <v>1.8828278E7</v>
      </c>
      <c r="P4" s="1" t="s">
        <v>32</v>
      </c>
      <c r="Q4" s="1" t="s">
        <v>45</v>
      </c>
      <c r="R4" s="1">
        <v>8192.0</v>
      </c>
      <c r="S4" s="1" t="s">
        <v>34</v>
      </c>
      <c r="T4" s="1" t="s">
        <v>35</v>
      </c>
      <c r="U4" s="1">
        <v>844.0</v>
      </c>
      <c r="V4" s="1" t="s">
        <v>36</v>
      </c>
      <c r="W4" s="2">
        <v>46101.0</v>
      </c>
      <c r="X4" s="1">
        <v>2026.0</v>
      </c>
    </row>
    <row r="5" ht="14.25" customHeight="1">
      <c r="A5" s="2">
        <v>46133.0</v>
      </c>
      <c r="B5" s="1" t="s">
        <v>39</v>
      </c>
      <c r="C5" s="1" t="s">
        <v>40</v>
      </c>
      <c r="E5" s="1" t="s">
        <v>41</v>
      </c>
      <c r="F5" s="1" t="s">
        <v>42</v>
      </c>
      <c r="G5" s="1" t="s">
        <v>37</v>
      </c>
      <c r="H5" s="1" t="s">
        <v>29</v>
      </c>
      <c r="I5" s="1" t="s">
        <v>43</v>
      </c>
      <c r="J5" s="1" t="s">
        <v>44</v>
      </c>
      <c r="L5" s="2">
        <v>46143.0</v>
      </c>
      <c r="M5" s="2">
        <v>46143.0</v>
      </c>
      <c r="O5" s="1">
        <v>1.8828278E7</v>
      </c>
      <c r="P5" s="1" t="s">
        <v>32</v>
      </c>
      <c r="Q5" s="1" t="s">
        <v>45</v>
      </c>
      <c r="R5" s="1">
        <v>8192.0</v>
      </c>
      <c r="S5" s="1" t="s">
        <v>34</v>
      </c>
      <c r="T5" s="1" t="s">
        <v>35</v>
      </c>
      <c r="U5" s="1">
        <v>-331.33</v>
      </c>
      <c r="V5" s="1" t="s">
        <v>38</v>
      </c>
      <c r="W5" s="2">
        <v>46101.0</v>
      </c>
      <c r="X5" s="1">
        <v>2026.0</v>
      </c>
    </row>
    <row r="6" ht="14.25" customHeight="1">
      <c r="A6" s="2">
        <v>46133.0</v>
      </c>
      <c r="B6" s="1" t="s">
        <v>46</v>
      </c>
      <c r="C6" s="1" t="s">
        <v>47</v>
      </c>
      <c r="E6" s="1" t="s">
        <v>48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49</v>
      </c>
      <c r="L6" s="2">
        <v>46143.0</v>
      </c>
      <c r="M6" s="2">
        <v>46143.0</v>
      </c>
      <c r="O6" s="1">
        <v>1.8598357E7</v>
      </c>
      <c r="P6" s="1" t="s">
        <v>32</v>
      </c>
      <c r="Q6" s="1" t="s">
        <v>50</v>
      </c>
      <c r="R6" s="1">
        <v>8192.0</v>
      </c>
      <c r="S6" s="1" t="s">
        <v>34</v>
      </c>
      <c r="T6" s="1" t="s">
        <v>35</v>
      </c>
      <c r="U6" s="1">
        <v>931.0</v>
      </c>
      <c r="V6" s="1" t="s">
        <v>36</v>
      </c>
      <c r="W6" s="2">
        <v>46094.0</v>
      </c>
      <c r="X6" s="1">
        <v>2026.0</v>
      </c>
    </row>
    <row r="7" ht="14.25" customHeight="1">
      <c r="A7" s="2">
        <v>46133.0</v>
      </c>
      <c r="B7" s="1" t="s">
        <v>46</v>
      </c>
      <c r="C7" s="1" t="s">
        <v>47</v>
      </c>
      <c r="E7" s="1" t="s">
        <v>48</v>
      </c>
      <c r="F7" s="1" t="s">
        <v>27</v>
      </c>
      <c r="G7" s="1" t="s">
        <v>37</v>
      </c>
      <c r="H7" s="1" t="s">
        <v>29</v>
      </c>
      <c r="I7" s="1" t="s">
        <v>30</v>
      </c>
      <c r="J7" s="1" t="s">
        <v>49</v>
      </c>
      <c r="L7" s="2">
        <v>46143.0</v>
      </c>
      <c r="M7" s="2">
        <v>46143.0</v>
      </c>
      <c r="O7" s="1">
        <v>1.8598357E7</v>
      </c>
      <c r="P7" s="1" t="s">
        <v>32</v>
      </c>
      <c r="Q7" s="1" t="s">
        <v>50</v>
      </c>
      <c r="R7" s="1">
        <v>8192.0</v>
      </c>
      <c r="S7" s="1" t="s">
        <v>34</v>
      </c>
      <c r="T7" s="1" t="s">
        <v>35</v>
      </c>
      <c r="U7" s="1">
        <v>-360.67</v>
      </c>
      <c r="V7" s="1" t="s">
        <v>38</v>
      </c>
      <c r="W7" s="2">
        <v>46094.0</v>
      </c>
      <c r="X7" s="1">
        <v>2026.0</v>
      </c>
    </row>
    <row r="8" ht="14.25" customHeight="1">
      <c r="A8" s="2">
        <v>46133.0</v>
      </c>
      <c r="B8" s="1" t="s">
        <v>51</v>
      </c>
      <c r="C8" s="1" t="s">
        <v>52</v>
      </c>
      <c r="E8" s="1" t="s">
        <v>53</v>
      </c>
      <c r="F8" s="1" t="s">
        <v>27</v>
      </c>
      <c r="G8" s="1" t="s">
        <v>54</v>
      </c>
      <c r="H8" s="1" t="s">
        <v>29</v>
      </c>
      <c r="I8" s="1" t="s">
        <v>30</v>
      </c>
      <c r="J8" s="1" t="s">
        <v>55</v>
      </c>
      <c r="L8" s="2">
        <v>46113.0</v>
      </c>
      <c r="M8" s="2">
        <v>46113.0</v>
      </c>
      <c r="O8" s="1">
        <v>1.7528908E7</v>
      </c>
      <c r="P8" s="1" t="s">
        <v>32</v>
      </c>
      <c r="Q8" s="1" t="s">
        <v>33</v>
      </c>
      <c r="R8" s="1">
        <v>8192.0</v>
      </c>
      <c r="S8" s="1" t="s">
        <v>34</v>
      </c>
      <c r="T8" s="1" t="s">
        <v>35</v>
      </c>
      <c r="U8" s="1">
        <v>405.75</v>
      </c>
      <c r="V8" s="1" t="s">
        <v>38</v>
      </c>
      <c r="W8" s="2">
        <v>46112.0</v>
      </c>
      <c r="X8" s="1">
        <v>2026.0</v>
      </c>
    </row>
    <row r="9" ht="14.25" customHeight="1">
      <c r="A9" s="2">
        <v>46133.0</v>
      </c>
      <c r="B9" s="1" t="s">
        <v>56</v>
      </c>
      <c r="C9" s="1" t="s">
        <v>57</v>
      </c>
      <c r="E9" s="1" t="s">
        <v>58</v>
      </c>
      <c r="F9" s="1" t="s">
        <v>59</v>
      </c>
      <c r="G9" s="1" t="s">
        <v>28</v>
      </c>
      <c r="H9" s="1" t="s">
        <v>29</v>
      </c>
      <c r="I9" s="1" t="s">
        <v>60</v>
      </c>
      <c r="J9" s="1" t="s">
        <v>61</v>
      </c>
      <c r="L9" s="2">
        <v>46113.0</v>
      </c>
      <c r="M9" s="2">
        <v>46113.0</v>
      </c>
      <c r="O9" s="1">
        <v>8307933.0</v>
      </c>
      <c r="P9" s="1" t="s">
        <v>32</v>
      </c>
      <c r="Q9" s="1" t="s">
        <v>62</v>
      </c>
      <c r="R9" s="1">
        <v>8192.0</v>
      </c>
      <c r="S9" s="1" t="s">
        <v>34</v>
      </c>
      <c r="T9" s="1" t="s">
        <v>35</v>
      </c>
      <c r="U9" s="1">
        <v>844.0</v>
      </c>
      <c r="V9" s="1" t="s">
        <v>36</v>
      </c>
      <c r="W9" s="2">
        <v>46085.0</v>
      </c>
      <c r="X9" s="1">
        <v>2026.0</v>
      </c>
    </row>
    <row r="10" ht="14.25" customHeight="1">
      <c r="A10" s="2">
        <v>46133.0</v>
      </c>
      <c r="B10" s="1" t="s">
        <v>56</v>
      </c>
      <c r="C10" s="1" t="s">
        <v>57</v>
      </c>
      <c r="E10" s="1" t="s">
        <v>58</v>
      </c>
      <c r="F10" s="1" t="s">
        <v>59</v>
      </c>
      <c r="G10" s="1" t="s">
        <v>37</v>
      </c>
      <c r="H10" s="1" t="s">
        <v>29</v>
      </c>
      <c r="I10" s="1" t="s">
        <v>60</v>
      </c>
      <c r="J10" s="1" t="s">
        <v>61</v>
      </c>
      <c r="L10" s="2">
        <v>46113.0</v>
      </c>
      <c r="M10" s="2">
        <v>46113.0</v>
      </c>
      <c r="O10" s="1">
        <v>8307933.0</v>
      </c>
      <c r="P10" s="1" t="s">
        <v>32</v>
      </c>
      <c r="Q10" s="1" t="s">
        <v>62</v>
      </c>
      <c r="R10" s="1">
        <v>8192.0</v>
      </c>
      <c r="S10" s="1" t="s">
        <v>34</v>
      </c>
      <c r="T10" s="1" t="s">
        <v>35</v>
      </c>
      <c r="U10" s="1">
        <v>-372.75</v>
      </c>
      <c r="V10" s="1" t="s">
        <v>38</v>
      </c>
      <c r="W10" s="2">
        <v>46085.0</v>
      </c>
      <c r="X10" s="1">
        <v>2026.0</v>
      </c>
    </row>
    <row r="11" ht="14.25" customHeight="1">
      <c r="A11" s="2">
        <v>46133.0</v>
      </c>
      <c r="B11" s="1" t="s">
        <v>63</v>
      </c>
      <c r="C11" s="1" t="s">
        <v>64</v>
      </c>
      <c r="E11" s="1" t="s">
        <v>65</v>
      </c>
      <c r="F11" s="1" t="s">
        <v>42</v>
      </c>
      <c r="G11" s="1" t="s">
        <v>66</v>
      </c>
      <c r="H11" s="1" t="s">
        <v>29</v>
      </c>
      <c r="I11" s="1" t="s">
        <v>43</v>
      </c>
      <c r="J11" s="1" t="s">
        <v>44</v>
      </c>
      <c r="L11" s="2">
        <v>46023.0</v>
      </c>
      <c r="M11" s="2">
        <v>46023.0</v>
      </c>
      <c r="N11" s="2">
        <v>46142.0</v>
      </c>
      <c r="O11" s="1">
        <v>8244481.0</v>
      </c>
      <c r="P11" s="1" t="s">
        <v>32</v>
      </c>
      <c r="Q11" s="1" t="s">
        <v>67</v>
      </c>
      <c r="R11" s="1">
        <v>8192.0</v>
      </c>
      <c r="S11" s="1" t="s">
        <v>34</v>
      </c>
      <c r="T11" s="1" t="s">
        <v>35</v>
      </c>
      <c r="U11" s="1">
        <v>160.67</v>
      </c>
      <c r="V11" s="1" t="s">
        <v>38</v>
      </c>
      <c r="W11" s="2">
        <v>45953.0</v>
      </c>
      <c r="X11" s="1">
        <v>2026.0</v>
      </c>
    </row>
    <row r="12" ht="14.25" customHeight="1">
      <c r="A12" s="2">
        <v>46133.0</v>
      </c>
      <c r="B12" s="1" t="s">
        <v>63</v>
      </c>
      <c r="C12" s="1" t="s">
        <v>64</v>
      </c>
      <c r="E12" s="1" t="s">
        <v>65</v>
      </c>
      <c r="F12" s="1" t="s">
        <v>42</v>
      </c>
      <c r="G12" s="1" t="s">
        <v>68</v>
      </c>
      <c r="H12" s="1" t="s">
        <v>29</v>
      </c>
      <c r="I12" s="1" t="s">
        <v>43</v>
      </c>
      <c r="J12" s="1" t="s">
        <v>44</v>
      </c>
      <c r="L12" s="2">
        <v>46023.0</v>
      </c>
      <c r="M12" s="2">
        <v>46023.0</v>
      </c>
      <c r="N12" s="2">
        <v>46142.0</v>
      </c>
      <c r="O12" s="1">
        <v>8244481.0</v>
      </c>
      <c r="P12" s="1" t="s">
        <v>32</v>
      </c>
      <c r="Q12" s="1" t="s">
        <v>67</v>
      </c>
      <c r="R12" s="1">
        <v>8192.0</v>
      </c>
      <c r="S12" s="1" t="s">
        <v>34</v>
      </c>
      <c r="T12" s="1" t="s">
        <v>35</v>
      </c>
      <c r="U12" s="1">
        <v>-482.0</v>
      </c>
      <c r="V12" s="1" t="s">
        <v>38</v>
      </c>
      <c r="W12" s="2">
        <v>45953.0</v>
      </c>
      <c r="X12" s="1">
        <v>2026.0</v>
      </c>
    </row>
    <row r="13" ht="14.25" customHeight="1">
      <c r="A13" s="2">
        <v>46133.0</v>
      </c>
      <c r="B13" s="1" t="s">
        <v>69</v>
      </c>
      <c r="C13" s="1" t="s">
        <v>70</v>
      </c>
      <c r="E13" s="1" t="s">
        <v>71</v>
      </c>
      <c r="F13" s="1" t="s">
        <v>72</v>
      </c>
      <c r="G13" s="1" t="s">
        <v>28</v>
      </c>
      <c r="H13" s="1" t="s">
        <v>29</v>
      </c>
      <c r="I13" s="1" t="s">
        <v>73</v>
      </c>
      <c r="J13" s="1" t="s">
        <v>74</v>
      </c>
      <c r="L13" s="2">
        <v>46113.0</v>
      </c>
      <c r="M13" s="2">
        <v>46113.0</v>
      </c>
      <c r="O13" s="1">
        <v>8307933.0</v>
      </c>
      <c r="P13" s="1" t="s">
        <v>32</v>
      </c>
      <c r="Q13" s="1" t="s">
        <v>62</v>
      </c>
      <c r="R13" s="1">
        <v>8192.0</v>
      </c>
      <c r="S13" s="1" t="s">
        <v>34</v>
      </c>
      <c r="T13" s="1" t="s">
        <v>35</v>
      </c>
      <c r="U13" s="1">
        <v>844.0</v>
      </c>
      <c r="V13" s="1" t="s">
        <v>36</v>
      </c>
      <c r="W13" s="2">
        <v>46104.0</v>
      </c>
      <c r="X13" s="1">
        <v>2026.0</v>
      </c>
    </row>
    <row r="14" ht="14.25" customHeight="1">
      <c r="A14" s="2">
        <v>46133.0</v>
      </c>
      <c r="B14" s="1" t="s">
        <v>69</v>
      </c>
      <c r="C14" s="1" t="s">
        <v>70</v>
      </c>
      <c r="E14" s="1" t="s">
        <v>71</v>
      </c>
      <c r="F14" s="1" t="s">
        <v>72</v>
      </c>
      <c r="G14" s="1" t="s">
        <v>37</v>
      </c>
      <c r="H14" s="1" t="s">
        <v>29</v>
      </c>
      <c r="I14" s="1" t="s">
        <v>73</v>
      </c>
      <c r="J14" s="1" t="s">
        <v>74</v>
      </c>
      <c r="L14" s="2">
        <v>46113.0</v>
      </c>
      <c r="M14" s="2">
        <v>46113.0</v>
      </c>
      <c r="O14" s="1">
        <v>8307933.0</v>
      </c>
      <c r="P14" s="1" t="s">
        <v>32</v>
      </c>
      <c r="Q14" s="1" t="s">
        <v>62</v>
      </c>
      <c r="R14" s="1">
        <v>8192.0</v>
      </c>
      <c r="S14" s="1" t="s">
        <v>34</v>
      </c>
      <c r="T14" s="1" t="s">
        <v>35</v>
      </c>
      <c r="U14" s="1">
        <v>-372.75</v>
      </c>
      <c r="V14" s="1" t="s">
        <v>38</v>
      </c>
      <c r="W14" s="2">
        <v>46104.0</v>
      </c>
      <c r="X14" s="1">
        <v>2026.0</v>
      </c>
    </row>
    <row r="15" ht="14.25" customHeight="1">
      <c r="A15" s="2">
        <v>46133.0</v>
      </c>
      <c r="B15" s="1" t="s">
        <v>75</v>
      </c>
      <c r="C15" s="1" t="s">
        <v>76</v>
      </c>
      <c r="E15" s="1" t="s">
        <v>77</v>
      </c>
      <c r="F15" s="1" t="s">
        <v>78</v>
      </c>
      <c r="G15" s="1" t="s">
        <v>54</v>
      </c>
      <c r="H15" s="1" t="s">
        <v>29</v>
      </c>
      <c r="I15" s="1" t="s">
        <v>79</v>
      </c>
      <c r="J15" s="1" t="s">
        <v>80</v>
      </c>
      <c r="L15" s="2">
        <v>46143.0</v>
      </c>
      <c r="M15" s="2">
        <v>46143.0</v>
      </c>
      <c r="O15" s="1">
        <v>1.6170994E7</v>
      </c>
      <c r="P15" s="1" t="s">
        <v>32</v>
      </c>
      <c r="Q15" s="1" t="s">
        <v>81</v>
      </c>
      <c r="R15" s="1">
        <v>8192.0</v>
      </c>
      <c r="S15" s="1" t="s">
        <v>34</v>
      </c>
      <c r="T15" s="1" t="s">
        <v>35</v>
      </c>
      <c r="U15" s="1">
        <v>331.33</v>
      </c>
      <c r="V15" s="1" t="s">
        <v>38</v>
      </c>
      <c r="W15" s="2">
        <v>46120.0</v>
      </c>
      <c r="X15" s="1">
        <v>2026.0</v>
      </c>
    </row>
    <row r="16" ht="14.25" customHeight="1">
      <c r="A16" s="2">
        <v>46133.0</v>
      </c>
      <c r="B16" s="1" t="s">
        <v>82</v>
      </c>
      <c r="C16" s="1" t="s">
        <v>83</v>
      </c>
      <c r="E16" s="1" t="s">
        <v>84</v>
      </c>
      <c r="F16" s="1" t="s">
        <v>27</v>
      </c>
      <c r="G16" s="1" t="s">
        <v>28</v>
      </c>
      <c r="H16" s="1" t="s">
        <v>29</v>
      </c>
      <c r="I16" s="1" t="s">
        <v>30</v>
      </c>
      <c r="J16" s="1" t="s">
        <v>85</v>
      </c>
      <c r="L16" s="2">
        <v>46174.0</v>
      </c>
      <c r="M16" s="2">
        <v>46174.0</v>
      </c>
      <c r="O16" s="1">
        <v>1.7528908E7</v>
      </c>
      <c r="P16" s="1" t="s">
        <v>32</v>
      </c>
      <c r="Q16" s="1" t="s">
        <v>33</v>
      </c>
      <c r="R16" s="1">
        <v>8192.0</v>
      </c>
      <c r="S16" s="1" t="s">
        <v>34</v>
      </c>
      <c r="T16" s="1" t="s">
        <v>35</v>
      </c>
      <c r="U16" s="1">
        <v>931.0</v>
      </c>
      <c r="V16" s="1" t="s">
        <v>36</v>
      </c>
      <c r="W16" s="2">
        <v>46083.0</v>
      </c>
      <c r="X16" s="1">
        <v>2026.0</v>
      </c>
    </row>
    <row r="17" ht="14.25" customHeight="1">
      <c r="A17" s="2">
        <v>46133.0</v>
      </c>
      <c r="B17" s="1" t="s">
        <v>82</v>
      </c>
      <c r="C17" s="1" t="s">
        <v>83</v>
      </c>
      <c r="E17" s="1" t="s">
        <v>84</v>
      </c>
      <c r="F17" s="1" t="s">
        <v>27</v>
      </c>
      <c r="G17" s="1" t="s">
        <v>37</v>
      </c>
      <c r="H17" s="1" t="s">
        <v>29</v>
      </c>
      <c r="I17" s="1" t="s">
        <v>30</v>
      </c>
      <c r="J17" s="1" t="s">
        <v>85</v>
      </c>
      <c r="L17" s="2">
        <v>46174.0</v>
      </c>
      <c r="M17" s="2">
        <v>46174.0</v>
      </c>
      <c r="O17" s="1">
        <v>1.7528908E7</v>
      </c>
      <c r="P17" s="1" t="s">
        <v>32</v>
      </c>
      <c r="Q17" s="1" t="s">
        <v>33</v>
      </c>
      <c r="R17" s="1">
        <v>8192.0</v>
      </c>
      <c r="S17" s="1" t="s">
        <v>34</v>
      </c>
      <c r="T17" s="1" t="s">
        <v>35</v>
      </c>
      <c r="U17" s="1">
        <v>-315.58</v>
      </c>
      <c r="V17" s="1" t="s">
        <v>38</v>
      </c>
      <c r="W17" s="2">
        <v>46083.0</v>
      </c>
      <c r="X17" s="1">
        <v>2026.0</v>
      </c>
    </row>
    <row r="18" ht="14.25" customHeight="1">
      <c r="A18" s="2">
        <v>46133.0</v>
      </c>
      <c r="B18" s="1" t="s">
        <v>86</v>
      </c>
      <c r="C18" s="1" t="s">
        <v>87</v>
      </c>
      <c r="E18" s="1" t="s">
        <v>88</v>
      </c>
      <c r="F18" s="1" t="s">
        <v>42</v>
      </c>
      <c r="G18" s="1" t="s">
        <v>28</v>
      </c>
      <c r="H18" s="1" t="s">
        <v>29</v>
      </c>
      <c r="I18" s="1" t="s">
        <v>89</v>
      </c>
      <c r="J18" s="1" t="s">
        <v>90</v>
      </c>
      <c r="L18" s="2">
        <v>46082.0</v>
      </c>
      <c r="M18" s="2">
        <v>46082.0</v>
      </c>
      <c r="O18" s="1">
        <v>1.7301495E7</v>
      </c>
      <c r="P18" s="1" t="s">
        <v>32</v>
      </c>
      <c r="Q18" s="1" t="s">
        <v>91</v>
      </c>
      <c r="R18" s="1">
        <v>8192.0</v>
      </c>
      <c r="S18" s="1" t="s">
        <v>34</v>
      </c>
      <c r="T18" s="1" t="s">
        <v>35</v>
      </c>
      <c r="U18" s="1">
        <v>844.0</v>
      </c>
      <c r="V18" s="1" t="s">
        <v>36</v>
      </c>
      <c r="W18" s="2">
        <v>46081.0</v>
      </c>
      <c r="X18" s="1">
        <v>2026.0</v>
      </c>
    </row>
    <row r="19" ht="14.25" customHeight="1">
      <c r="A19" s="2">
        <v>46133.0</v>
      </c>
      <c r="B19" s="1" t="s">
        <v>86</v>
      </c>
      <c r="C19" s="1" t="s">
        <v>87</v>
      </c>
      <c r="E19" s="1" t="s">
        <v>88</v>
      </c>
      <c r="F19" s="1" t="s">
        <v>42</v>
      </c>
      <c r="G19" s="1" t="s">
        <v>37</v>
      </c>
      <c r="H19" s="1" t="s">
        <v>29</v>
      </c>
      <c r="I19" s="1" t="s">
        <v>89</v>
      </c>
      <c r="J19" s="1" t="s">
        <v>90</v>
      </c>
      <c r="L19" s="2">
        <v>46082.0</v>
      </c>
      <c r="M19" s="2">
        <v>46082.0</v>
      </c>
      <c r="O19" s="1">
        <v>1.7301495E7</v>
      </c>
      <c r="P19" s="1" t="s">
        <v>32</v>
      </c>
      <c r="Q19" s="1" t="s">
        <v>91</v>
      </c>
      <c r="R19" s="1">
        <v>8192.0</v>
      </c>
      <c r="S19" s="1" t="s">
        <v>34</v>
      </c>
      <c r="T19" s="1" t="s">
        <v>35</v>
      </c>
      <c r="U19" s="1">
        <v>-414.17</v>
      </c>
      <c r="V19" s="1" t="s">
        <v>38</v>
      </c>
      <c r="W19" s="2">
        <v>46081.0</v>
      </c>
      <c r="X19" s="1">
        <v>2026.0</v>
      </c>
    </row>
    <row r="20" ht="14.25" customHeight="1">
      <c r="A20" s="2">
        <v>46133.0</v>
      </c>
      <c r="B20" s="1" t="s">
        <v>92</v>
      </c>
      <c r="C20" s="1" t="s">
        <v>93</v>
      </c>
      <c r="E20" s="1" t="s">
        <v>94</v>
      </c>
      <c r="F20" s="1" t="s">
        <v>95</v>
      </c>
      <c r="G20" s="1" t="s">
        <v>54</v>
      </c>
      <c r="H20" s="1" t="s">
        <v>29</v>
      </c>
      <c r="I20" s="1" t="s">
        <v>96</v>
      </c>
      <c r="J20" s="1" t="s">
        <v>97</v>
      </c>
      <c r="L20" s="2">
        <v>46143.0</v>
      </c>
      <c r="M20" s="2">
        <v>46143.0</v>
      </c>
      <c r="O20" s="1">
        <v>8307933.0</v>
      </c>
      <c r="P20" s="1" t="s">
        <v>32</v>
      </c>
      <c r="Q20" s="1" t="s">
        <v>62</v>
      </c>
      <c r="R20" s="1">
        <v>8192.0</v>
      </c>
      <c r="S20" s="1" t="s">
        <v>34</v>
      </c>
      <c r="T20" s="1" t="s">
        <v>35</v>
      </c>
      <c r="U20" s="1">
        <v>331.33</v>
      </c>
      <c r="V20" s="1" t="s">
        <v>38</v>
      </c>
      <c r="W20" s="2">
        <v>46118.0</v>
      </c>
      <c r="X20" s="1">
        <v>2026.0</v>
      </c>
    </row>
    <row r="21" ht="14.25" customHeight="1">
      <c r="A21" s="2">
        <v>46133.0</v>
      </c>
      <c r="B21" s="1" t="s">
        <v>98</v>
      </c>
      <c r="C21" s="1" t="s">
        <v>99</v>
      </c>
      <c r="E21" s="1" t="s">
        <v>100</v>
      </c>
      <c r="F21" s="1" t="s">
        <v>42</v>
      </c>
      <c r="G21" s="1" t="s">
        <v>28</v>
      </c>
      <c r="H21" s="1" t="s">
        <v>29</v>
      </c>
      <c r="I21" s="1" t="s">
        <v>89</v>
      </c>
      <c r="J21" s="1" t="s">
        <v>101</v>
      </c>
      <c r="L21" s="2">
        <v>46113.0</v>
      </c>
      <c r="M21" s="2">
        <v>46113.0</v>
      </c>
      <c r="O21" s="1">
        <v>9213293.0</v>
      </c>
      <c r="P21" s="1" t="s">
        <v>32</v>
      </c>
      <c r="Q21" s="1" t="s">
        <v>102</v>
      </c>
      <c r="R21" s="1">
        <v>8192.0</v>
      </c>
      <c r="S21" s="1" t="s">
        <v>34</v>
      </c>
      <c r="T21" s="1" t="s">
        <v>35</v>
      </c>
      <c r="U21" s="1">
        <v>844.0</v>
      </c>
      <c r="V21" s="1" t="s">
        <v>36</v>
      </c>
      <c r="W21" s="2">
        <v>46105.0</v>
      </c>
      <c r="X21" s="1">
        <v>2026.0</v>
      </c>
    </row>
    <row r="22" ht="14.25" customHeight="1">
      <c r="A22" s="2">
        <v>46133.0</v>
      </c>
      <c r="B22" s="1" t="s">
        <v>98</v>
      </c>
      <c r="C22" s="1" t="s">
        <v>99</v>
      </c>
      <c r="E22" s="1" t="s">
        <v>100</v>
      </c>
      <c r="F22" s="1" t="s">
        <v>42</v>
      </c>
      <c r="G22" s="1" t="s">
        <v>37</v>
      </c>
      <c r="H22" s="1" t="s">
        <v>29</v>
      </c>
      <c r="I22" s="1" t="s">
        <v>89</v>
      </c>
      <c r="J22" s="1" t="s">
        <v>101</v>
      </c>
      <c r="L22" s="2">
        <v>46113.0</v>
      </c>
      <c r="M22" s="2">
        <v>46113.0</v>
      </c>
      <c r="O22" s="1">
        <v>9213293.0</v>
      </c>
      <c r="P22" s="1" t="s">
        <v>32</v>
      </c>
      <c r="Q22" s="1" t="s">
        <v>102</v>
      </c>
      <c r="R22" s="1">
        <v>8192.0</v>
      </c>
      <c r="S22" s="1" t="s">
        <v>34</v>
      </c>
      <c r="T22" s="1" t="s">
        <v>35</v>
      </c>
      <c r="U22" s="1">
        <v>-372.75</v>
      </c>
      <c r="V22" s="1" t="s">
        <v>38</v>
      </c>
      <c r="W22" s="2">
        <v>46105.0</v>
      </c>
      <c r="X22" s="1">
        <v>2026.0</v>
      </c>
    </row>
    <row r="23" ht="14.25" customHeight="1">
      <c r="A23" s="2">
        <v>46133.0</v>
      </c>
      <c r="B23" s="1" t="s">
        <v>103</v>
      </c>
      <c r="C23" s="1" t="s">
        <v>104</v>
      </c>
      <c r="E23" s="1" t="s">
        <v>105</v>
      </c>
      <c r="F23" s="1" t="s">
        <v>27</v>
      </c>
      <c r="G23" s="1" t="s">
        <v>28</v>
      </c>
      <c r="H23" s="1" t="s">
        <v>29</v>
      </c>
      <c r="I23" s="1" t="s">
        <v>30</v>
      </c>
      <c r="J23" s="1" t="s">
        <v>55</v>
      </c>
      <c r="L23" s="2">
        <v>46082.0</v>
      </c>
      <c r="M23" s="2">
        <v>46082.0</v>
      </c>
      <c r="O23" s="1">
        <v>1.7528908E7</v>
      </c>
      <c r="P23" s="1" t="s">
        <v>32</v>
      </c>
      <c r="Q23" s="1" t="s">
        <v>33</v>
      </c>
      <c r="R23" s="1">
        <v>8192.0</v>
      </c>
      <c r="S23" s="1" t="s">
        <v>34</v>
      </c>
      <c r="T23" s="1" t="s">
        <v>35</v>
      </c>
      <c r="U23" s="1">
        <v>931.0</v>
      </c>
      <c r="V23" s="1" t="s">
        <v>36</v>
      </c>
      <c r="W23" s="2">
        <v>46079.0</v>
      </c>
      <c r="X23" s="1">
        <v>2026.0</v>
      </c>
    </row>
    <row r="24" ht="14.25" customHeight="1">
      <c r="A24" s="2">
        <v>46133.0</v>
      </c>
      <c r="B24" s="1" t="s">
        <v>103</v>
      </c>
      <c r="C24" s="1" t="s">
        <v>104</v>
      </c>
      <c r="E24" s="1" t="s">
        <v>105</v>
      </c>
      <c r="F24" s="1" t="s">
        <v>27</v>
      </c>
      <c r="G24" s="1" t="s">
        <v>37</v>
      </c>
      <c r="H24" s="1" t="s">
        <v>29</v>
      </c>
      <c r="I24" s="1" t="s">
        <v>30</v>
      </c>
      <c r="J24" s="1" t="s">
        <v>55</v>
      </c>
      <c r="L24" s="2">
        <v>46082.0</v>
      </c>
      <c r="M24" s="2">
        <v>46082.0</v>
      </c>
      <c r="O24" s="1">
        <v>1.7528908E7</v>
      </c>
      <c r="P24" s="1" t="s">
        <v>32</v>
      </c>
      <c r="Q24" s="1" t="s">
        <v>33</v>
      </c>
      <c r="R24" s="1">
        <v>8192.0</v>
      </c>
      <c r="S24" s="1" t="s">
        <v>34</v>
      </c>
      <c r="T24" s="1" t="s">
        <v>35</v>
      </c>
      <c r="U24" s="1">
        <v>-450.83</v>
      </c>
      <c r="V24" s="1" t="s">
        <v>38</v>
      </c>
      <c r="W24" s="2">
        <v>46079.0</v>
      </c>
      <c r="X24" s="1">
        <v>2026.0</v>
      </c>
    </row>
    <row r="25" ht="14.25" customHeight="1">
      <c r="A25" s="2">
        <v>46133.0</v>
      </c>
      <c r="B25" s="1" t="s">
        <v>106</v>
      </c>
      <c r="C25" s="1" t="s">
        <v>107</v>
      </c>
      <c r="E25" s="1" t="s">
        <v>108</v>
      </c>
      <c r="F25" s="1" t="s">
        <v>109</v>
      </c>
      <c r="G25" s="1" t="s">
        <v>28</v>
      </c>
      <c r="H25" s="1" t="s">
        <v>29</v>
      </c>
      <c r="I25" s="1" t="s">
        <v>110</v>
      </c>
      <c r="J25" s="1" t="s">
        <v>111</v>
      </c>
      <c r="L25" s="2">
        <v>46113.0</v>
      </c>
      <c r="M25" s="2">
        <v>46113.0</v>
      </c>
      <c r="O25" s="1">
        <v>7470776.0</v>
      </c>
      <c r="P25" s="1" t="s">
        <v>32</v>
      </c>
      <c r="Q25" s="1" t="s">
        <v>112</v>
      </c>
      <c r="R25" s="1">
        <v>8192.0</v>
      </c>
      <c r="S25" s="1" t="s">
        <v>34</v>
      </c>
      <c r="T25" s="1" t="s">
        <v>35</v>
      </c>
      <c r="U25" s="1">
        <v>844.0</v>
      </c>
      <c r="V25" s="1" t="s">
        <v>36</v>
      </c>
      <c r="W25" s="2">
        <v>46098.0</v>
      </c>
      <c r="X25" s="1">
        <v>2026.0</v>
      </c>
    </row>
    <row r="26" ht="14.25" customHeight="1">
      <c r="A26" s="2">
        <v>46133.0</v>
      </c>
      <c r="B26" s="1" t="s">
        <v>106</v>
      </c>
      <c r="C26" s="1" t="s">
        <v>107</v>
      </c>
      <c r="E26" s="1" t="s">
        <v>108</v>
      </c>
      <c r="F26" s="1" t="s">
        <v>109</v>
      </c>
      <c r="G26" s="1" t="s">
        <v>37</v>
      </c>
      <c r="H26" s="1" t="s">
        <v>29</v>
      </c>
      <c r="I26" s="1" t="s">
        <v>110</v>
      </c>
      <c r="J26" s="1" t="s">
        <v>111</v>
      </c>
      <c r="L26" s="2">
        <v>46113.0</v>
      </c>
      <c r="M26" s="2">
        <v>46113.0</v>
      </c>
      <c r="O26" s="1">
        <v>7470776.0</v>
      </c>
      <c r="P26" s="1" t="s">
        <v>32</v>
      </c>
      <c r="Q26" s="1" t="s">
        <v>112</v>
      </c>
      <c r="R26" s="1">
        <v>8192.0</v>
      </c>
      <c r="S26" s="1" t="s">
        <v>34</v>
      </c>
      <c r="T26" s="1" t="s">
        <v>35</v>
      </c>
      <c r="U26" s="1">
        <v>-372.75</v>
      </c>
      <c r="V26" s="1" t="s">
        <v>38</v>
      </c>
      <c r="W26" s="2">
        <v>46098.0</v>
      </c>
      <c r="X26" s="1">
        <v>2026.0</v>
      </c>
    </row>
    <row r="27" ht="14.25" customHeight="1">
      <c r="A27" s="2">
        <v>46133.0</v>
      </c>
      <c r="B27" s="1" t="s">
        <v>113</v>
      </c>
      <c r="C27" s="1" t="s">
        <v>114</v>
      </c>
      <c r="E27" s="1" t="s">
        <v>115</v>
      </c>
      <c r="F27" s="1" t="s">
        <v>42</v>
      </c>
      <c r="G27" s="1" t="s">
        <v>28</v>
      </c>
      <c r="H27" s="1" t="s">
        <v>29</v>
      </c>
      <c r="I27" s="1" t="s">
        <v>43</v>
      </c>
      <c r="J27" s="1" t="s">
        <v>116</v>
      </c>
      <c r="L27" s="2">
        <v>46113.0</v>
      </c>
      <c r="M27" s="2">
        <v>46113.0</v>
      </c>
      <c r="O27" s="1">
        <v>8812322.0</v>
      </c>
      <c r="P27" s="1" t="s">
        <v>32</v>
      </c>
      <c r="Q27" s="1" t="s">
        <v>117</v>
      </c>
      <c r="R27" s="1">
        <v>8192.0</v>
      </c>
      <c r="S27" s="1" t="s">
        <v>34</v>
      </c>
      <c r="T27" s="1" t="s">
        <v>35</v>
      </c>
      <c r="U27" s="1">
        <v>844.0</v>
      </c>
      <c r="V27" s="1" t="s">
        <v>36</v>
      </c>
      <c r="W27" s="2">
        <v>46087.0</v>
      </c>
      <c r="X27" s="1">
        <v>2026.0</v>
      </c>
    </row>
    <row r="28" ht="14.25" customHeight="1">
      <c r="A28" s="2">
        <v>46133.0</v>
      </c>
      <c r="B28" s="1" t="s">
        <v>113</v>
      </c>
      <c r="C28" s="1" t="s">
        <v>114</v>
      </c>
      <c r="E28" s="1" t="s">
        <v>115</v>
      </c>
      <c r="F28" s="1" t="s">
        <v>42</v>
      </c>
      <c r="G28" s="1" t="s">
        <v>37</v>
      </c>
      <c r="H28" s="1" t="s">
        <v>29</v>
      </c>
      <c r="I28" s="1" t="s">
        <v>43</v>
      </c>
      <c r="J28" s="1" t="s">
        <v>116</v>
      </c>
      <c r="L28" s="2">
        <v>46113.0</v>
      </c>
      <c r="M28" s="2">
        <v>46113.0</v>
      </c>
      <c r="O28" s="1">
        <v>8812322.0</v>
      </c>
      <c r="P28" s="1" t="s">
        <v>32</v>
      </c>
      <c r="Q28" s="1" t="s">
        <v>117</v>
      </c>
      <c r="R28" s="1">
        <v>8192.0</v>
      </c>
      <c r="S28" s="1" t="s">
        <v>34</v>
      </c>
      <c r="T28" s="1" t="s">
        <v>35</v>
      </c>
      <c r="U28" s="1">
        <v>-372.75</v>
      </c>
      <c r="V28" s="1" t="s">
        <v>38</v>
      </c>
      <c r="W28" s="2">
        <v>46087.0</v>
      </c>
      <c r="X28" s="1">
        <v>2026.0</v>
      </c>
    </row>
    <row r="29" ht="14.25" customHeight="1">
      <c r="A29" s="2">
        <v>46133.0</v>
      </c>
      <c r="B29" s="1" t="s">
        <v>118</v>
      </c>
      <c r="C29" s="1" t="s">
        <v>119</v>
      </c>
      <c r="E29" s="1" t="s">
        <v>120</v>
      </c>
      <c r="F29" s="1" t="s">
        <v>78</v>
      </c>
      <c r="G29" s="1" t="s">
        <v>28</v>
      </c>
      <c r="H29" s="1" t="s">
        <v>29</v>
      </c>
      <c r="I29" s="1" t="s">
        <v>79</v>
      </c>
      <c r="J29" s="1" t="s">
        <v>80</v>
      </c>
      <c r="L29" s="2">
        <v>46113.0</v>
      </c>
      <c r="M29" s="2">
        <v>46113.0</v>
      </c>
      <c r="O29" s="1">
        <v>1.6170994E7</v>
      </c>
      <c r="P29" s="1" t="s">
        <v>32</v>
      </c>
      <c r="Q29" s="1" t="s">
        <v>81</v>
      </c>
      <c r="R29" s="1">
        <v>8192.0</v>
      </c>
      <c r="S29" s="1" t="s">
        <v>34</v>
      </c>
      <c r="T29" s="1" t="s">
        <v>35</v>
      </c>
      <c r="U29" s="1">
        <v>844.0</v>
      </c>
      <c r="V29" s="1" t="s">
        <v>36</v>
      </c>
      <c r="W29" s="2">
        <v>46093.0</v>
      </c>
      <c r="X29" s="1">
        <v>2026.0</v>
      </c>
    </row>
    <row r="30" ht="14.25" customHeight="1">
      <c r="A30" s="2">
        <v>46133.0</v>
      </c>
      <c r="B30" s="1" t="s">
        <v>118</v>
      </c>
      <c r="C30" s="1" t="s">
        <v>119</v>
      </c>
      <c r="E30" s="1" t="s">
        <v>120</v>
      </c>
      <c r="F30" s="1" t="s">
        <v>78</v>
      </c>
      <c r="G30" s="1" t="s">
        <v>37</v>
      </c>
      <c r="H30" s="1" t="s">
        <v>29</v>
      </c>
      <c r="I30" s="1" t="s">
        <v>79</v>
      </c>
      <c r="J30" s="1" t="s">
        <v>80</v>
      </c>
      <c r="L30" s="2">
        <v>46113.0</v>
      </c>
      <c r="M30" s="2">
        <v>46113.0</v>
      </c>
      <c r="O30" s="1">
        <v>1.6170994E7</v>
      </c>
      <c r="P30" s="1" t="s">
        <v>32</v>
      </c>
      <c r="Q30" s="1" t="s">
        <v>81</v>
      </c>
      <c r="R30" s="1">
        <v>8192.0</v>
      </c>
      <c r="S30" s="1" t="s">
        <v>34</v>
      </c>
      <c r="T30" s="1" t="s">
        <v>35</v>
      </c>
      <c r="U30" s="1">
        <v>-372.75</v>
      </c>
      <c r="V30" s="1" t="s">
        <v>38</v>
      </c>
      <c r="W30" s="2">
        <v>46093.0</v>
      </c>
      <c r="X30" s="1">
        <v>2026.0</v>
      </c>
    </row>
    <row r="31" ht="14.25" customHeight="1">
      <c r="A31" s="2">
        <v>46133.0</v>
      </c>
      <c r="B31" s="1" t="s">
        <v>121</v>
      </c>
      <c r="C31" s="1" t="s">
        <v>122</v>
      </c>
      <c r="E31" s="1" t="s">
        <v>123</v>
      </c>
      <c r="F31" s="1" t="s">
        <v>27</v>
      </c>
      <c r="G31" s="1" t="s">
        <v>28</v>
      </c>
      <c r="H31" s="1" t="s">
        <v>29</v>
      </c>
      <c r="I31" s="1" t="s">
        <v>30</v>
      </c>
      <c r="J31" s="1" t="s">
        <v>124</v>
      </c>
      <c r="L31" s="2">
        <v>46113.0</v>
      </c>
      <c r="M31" s="2">
        <v>46113.0</v>
      </c>
      <c r="O31" s="1">
        <v>1.7886092E7</v>
      </c>
      <c r="P31" s="1" t="s">
        <v>32</v>
      </c>
      <c r="Q31" s="1" t="s">
        <v>125</v>
      </c>
      <c r="R31" s="1">
        <v>8192.0</v>
      </c>
      <c r="S31" s="1" t="s">
        <v>34</v>
      </c>
      <c r="T31" s="1" t="s">
        <v>35</v>
      </c>
      <c r="U31" s="1">
        <v>65.0</v>
      </c>
      <c r="V31" s="1" t="s">
        <v>36</v>
      </c>
      <c r="W31" s="2">
        <v>46091.0</v>
      </c>
      <c r="X31" s="1">
        <v>2026.0</v>
      </c>
    </row>
    <row r="32" ht="14.25" customHeight="1">
      <c r="A32" s="2">
        <v>46133.0</v>
      </c>
      <c r="B32" s="1" t="s">
        <v>121</v>
      </c>
      <c r="C32" s="1" t="s">
        <v>122</v>
      </c>
      <c r="E32" s="1" t="s">
        <v>123</v>
      </c>
      <c r="F32" s="1" t="s">
        <v>27</v>
      </c>
      <c r="G32" s="1" t="s">
        <v>37</v>
      </c>
      <c r="H32" s="1" t="s">
        <v>29</v>
      </c>
      <c r="I32" s="1" t="s">
        <v>30</v>
      </c>
      <c r="J32" s="1" t="s">
        <v>124</v>
      </c>
      <c r="L32" s="2">
        <v>46113.0</v>
      </c>
      <c r="M32" s="2">
        <v>46113.0</v>
      </c>
      <c r="O32" s="1">
        <v>1.7886092E7</v>
      </c>
      <c r="P32" s="1" t="s">
        <v>32</v>
      </c>
      <c r="Q32" s="1" t="s">
        <v>125</v>
      </c>
      <c r="R32" s="1">
        <v>8192.0</v>
      </c>
      <c r="S32" s="1" t="s">
        <v>34</v>
      </c>
      <c r="T32" s="1" t="s">
        <v>35</v>
      </c>
      <c r="U32" s="1">
        <v>-48.75</v>
      </c>
      <c r="V32" s="1" t="s">
        <v>38</v>
      </c>
      <c r="W32" s="2">
        <v>46091.0</v>
      </c>
      <c r="X32" s="1">
        <v>2026.0</v>
      </c>
    </row>
    <row r="33" ht="14.25" customHeight="1">
      <c r="A33" s="2">
        <v>46133.0</v>
      </c>
      <c r="B33" s="1" t="s">
        <v>126</v>
      </c>
      <c r="C33" s="1" t="s">
        <v>127</v>
      </c>
      <c r="E33" s="1" t="s">
        <v>128</v>
      </c>
      <c r="F33" s="1" t="s">
        <v>42</v>
      </c>
      <c r="G33" s="1" t="s">
        <v>28</v>
      </c>
      <c r="H33" s="1" t="s">
        <v>29</v>
      </c>
      <c r="I33" s="1" t="s">
        <v>89</v>
      </c>
      <c r="J33" s="1" t="s">
        <v>129</v>
      </c>
      <c r="L33" s="2">
        <v>46113.0</v>
      </c>
      <c r="M33" s="2">
        <v>46113.0</v>
      </c>
      <c r="O33" s="1">
        <v>8307933.0</v>
      </c>
      <c r="P33" s="1" t="s">
        <v>32</v>
      </c>
      <c r="Q33" s="1" t="s">
        <v>62</v>
      </c>
      <c r="R33" s="1">
        <v>8192.0</v>
      </c>
      <c r="S33" s="1" t="s">
        <v>34</v>
      </c>
      <c r="T33" s="1" t="s">
        <v>35</v>
      </c>
      <c r="U33" s="1">
        <v>844.0</v>
      </c>
      <c r="V33" s="1" t="s">
        <v>36</v>
      </c>
      <c r="W33" s="2">
        <v>46087.0</v>
      </c>
      <c r="X33" s="1">
        <v>2026.0</v>
      </c>
    </row>
    <row r="34" ht="14.25" customHeight="1">
      <c r="A34" s="2">
        <v>46133.0</v>
      </c>
      <c r="B34" s="1" t="s">
        <v>126</v>
      </c>
      <c r="C34" s="1" t="s">
        <v>127</v>
      </c>
      <c r="E34" s="1" t="s">
        <v>128</v>
      </c>
      <c r="F34" s="1" t="s">
        <v>42</v>
      </c>
      <c r="G34" s="1" t="s">
        <v>37</v>
      </c>
      <c r="H34" s="1" t="s">
        <v>29</v>
      </c>
      <c r="I34" s="1" t="s">
        <v>89</v>
      </c>
      <c r="J34" s="1" t="s">
        <v>129</v>
      </c>
      <c r="L34" s="2">
        <v>46113.0</v>
      </c>
      <c r="M34" s="2">
        <v>46113.0</v>
      </c>
      <c r="O34" s="1">
        <v>8307933.0</v>
      </c>
      <c r="P34" s="1" t="s">
        <v>32</v>
      </c>
      <c r="Q34" s="1" t="s">
        <v>62</v>
      </c>
      <c r="R34" s="1">
        <v>8192.0</v>
      </c>
      <c r="S34" s="1" t="s">
        <v>34</v>
      </c>
      <c r="T34" s="1" t="s">
        <v>35</v>
      </c>
      <c r="U34" s="1">
        <v>-372.75</v>
      </c>
      <c r="V34" s="1" t="s">
        <v>38</v>
      </c>
      <c r="W34" s="2">
        <v>46087.0</v>
      </c>
      <c r="X34" s="1">
        <v>2026.0</v>
      </c>
    </row>
    <row r="35" ht="14.25" customHeight="1">
      <c r="A35" s="2">
        <v>46133.0</v>
      </c>
      <c r="B35" s="1" t="s">
        <v>130</v>
      </c>
      <c r="C35" s="1" t="s">
        <v>131</v>
      </c>
      <c r="E35" s="1" t="s">
        <v>132</v>
      </c>
      <c r="F35" s="1" t="s">
        <v>133</v>
      </c>
      <c r="G35" s="1" t="s">
        <v>28</v>
      </c>
      <c r="H35" s="1" t="s">
        <v>29</v>
      </c>
      <c r="I35" s="1" t="s">
        <v>134</v>
      </c>
      <c r="J35" s="1" t="s">
        <v>135</v>
      </c>
      <c r="L35" s="2">
        <v>46113.0</v>
      </c>
      <c r="M35" s="2">
        <v>46113.0</v>
      </c>
      <c r="O35" s="1">
        <v>1.7425766E7</v>
      </c>
      <c r="P35" s="1" t="s">
        <v>32</v>
      </c>
      <c r="Q35" s="1" t="s">
        <v>136</v>
      </c>
      <c r="R35" s="1">
        <v>8192.0</v>
      </c>
      <c r="S35" s="1" t="s">
        <v>34</v>
      </c>
      <c r="T35" s="1" t="s">
        <v>35</v>
      </c>
      <c r="U35" s="1">
        <v>1039.0</v>
      </c>
      <c r="V35" s="1" t="s">
        <v>36</v>
      </c>
      <c r="W35" s="2">
        <v>46085.0</v>
      </c>
      <c r="X35" s="1">
        <v>2026.0</v>
      </c>
    </row>
    <row r="36" ht="14.25" customHeight="1">
      <c r="A36" s="2">
        <v>46133.0</v>
      </c>
      <c r="B36" s="1" t="s">
        <v>130</v>
      </c>
      <c r="C36" s="1" t="s">
        <v>131</v>
      </c>
      <c r="E36" s="1" t="s">
        <v>132</v>
      </c>
      <c r="F36" s="1" t="s">
        <v>133</v>
      </c>
      <c r="G36" s="1" t="s">
        <v>37</v>
      </c>
      <c r="H36" s="1" t="s">
        <v>29</v>
      </c>
      <c r="I36" s="1" t="s">
        <v>134</v>
      </c>
      <c r="J36" s="1" t="s">
        <v>135</v>
      </c>
      <c r="L36" s="2">
        <v>46113.0</v>
      </c>
      <c r="M36" s="2">
        <v>46113.0</v>
      </c>
      <c r="O36" s="1">
        <v>1.7425766E7</v>
      </c>
      <c r="P36" s="1" t="s">
        <v>32</v>
      </c>
      <c r="Q36" s="1" t="s">
        <v>136</v>
      </c>
      <c r="R36" s="1">
        <v>8192.0</v>
      </c>
      <c r="S36" s="1" t="s">
        <v>34</v>
      </c>
      <c r="T36" s="1" t="s">
        <v>35</v>
      </c>
      <c r="U36" s="1">
        <v>-455.25</v>
      </c>
      <c r="V36" s="1" t="s">
        <v>38</v>
      </c>
      <c r="W36" s="2">
        <v>46085.0</v>
      </c>
      <c r="X36" s="1">
        <v>2026.0</v>
      </c>
    </row>
    <row r="37" ht="14.25" customHeight="1">
      <c r="A37" s="2">
        <v>46133.0</v>
      </c>
      <c r="B37" s="1" t="s">
        <v>137</v>
      </c>
      <c r="C37" s="1" t="s">
        <v>138</v>
      </c>
      <c r="E37" s="1" t="s">
        <v>139</v>
      </c>
      <c r="F37" s="1" t="s">
        <v>78</v>
      </c>
      <c r="G37" s="1" t="s">
        <v>28</v>
      </c>
      <c r="H37" s="1" t="s">
        <v>29</v>
      </c>
      <c r="I37" s="1" t="s">
        <v>79</v>
      </c>
      <c r="J37" s="1" t="s">
        <v>140</v>
      </c>
      <c r="L37" s="2">
        <v>46113.0</v>
      </c>
      <c r="M37" s="2">
        <v>46113.0</v>
      </c>
      <c r="O37" s="1">
        <v>1.9491313E7</v>
      </c>
      <c r="P37" s="1" t="s">
        <v>32</v>
      </c>
      <c r="Q37" s="1" t="s">
        <v>141</v>
      </c>
      <c r="R37" s="1">
        <v>8192.0</v>
      </c>
      <c r="S37" s="1" t="s">
        <v>34</v>
      </c>
      <c r="T37" s="1" t="s">
        <v>35</v>
      </c>
      <c r="U37" s="1">
        <v>844.0</v>
      </c>
      <c r="V37" s="1" t="s">
        <v>36</v>
      </c>
      <c r="W37" s="2">
        <v>46106.0</v>
      </c>
      <c r="X37" s="1">
        <v>2026.0</v>
      </c>
    </row>
    <row r="38" ht="14.25" customHeight="1">
      <c r="A38" s="2">
        <v>46133.0</v>
      </c>
      <c r="B38" s="1" t="s">
        <v>137</v>
      </c>
      <c r="C38" s="1" t="s">
        <v>138</v>
      </c>
      <c r="E38" s="1" t="s">
        <v>139</v>
      </c>
      <c r="F38" s="1" t="s">
        <v>78</v>
      </c>
      <c r="G38" s="1" t="s">
        <v>37</v>
      </c>
      <c r="H38" s="1" t="s">
        <v>29</v>
      </c>
      <c r="I38" s="1" t="s">
        <v>79</v>
      </c>
      <c r="J38" s="1" t="s">
        <v>140</v>
      </c>
      <c r="L38" s="2">
        <v>46113.0</v>
      </c>
      <c r="M38" s="2">
        <v>46113.0</v>
      </c>
      <c r="O38" s="1">
        <v>1.9491313E7</v>
      </c>
      <c r="P38" s="1" t="s">
        <v>32</v>
      </c>
      <c r="Q38" s="1" t="s">
        <v>141</v>
      </c>
      <c r="R38" s="1">
        <v>8192.0</v>
      </c>
      <c r="S38" s="1" t="s">
        <v>34</v>
      </c>
      <c r="T38" s="1" t="s">
        <v>35</v>
      </c>
      <c r="U38" s="1">
        <v>-372.75</v>
      </c>
      <c r="V38" s="1" t="s">
        <v>38</v>
      </c>
      <c r="W38" s="2">
        <v>46106.0</v>
      </c>
      <c r="X38" s="1">
        <v>2026.0</v>
      </c>
    </row>
    <row r="39" ht="14.25" customHeight="1">
      <c r="A39" s="2">
        <v>46133.0</v>
      </c>
      <c r="B39" s="1" t="s">
        <v>142</v>
      </c>
      <c r="C39" s="1" t="s">
        <v>143</v>
      </c>
      <c r="E39" s="1" t="s">
        <v>144</v>
      </c>
      <c r="F39" s="1" t="s">
        <v>27</v>
      </c>
      <c r="G39" s="1" t="s">
        <v>28</v>
      </c>
      <c r="H39" s="1" t="s">
        <v>29</v>
      </c>
      <c r="I39" s="1" t="s">
        <v>30</v>
      </c>
      <c r="J39" s="1" t="s">
        <v>85</v>
      </c>
      <c r="L39" s="2">
        <v>46082.0</v>
      </c>
      <c r="M39" s="2">
        <v>46082.0</v>
      </c>
      <c r="O39" s="1">
        <v>1.7528908E7</v>
      </c>
      <c r="P39" s="1" t="s">
        <v>32</v>
      </c>
      <c r="Q39" s="1" t="s">
        <v>33</v>
      </c>
      <c r="R39" s="1">
        <v>8192.0</v>
      </c>
      <c r="S39" s="1" t="s">
        <v>34</v>
      </c>
      <c r="T39" s="1" t="s">
        <v>35</v>
      </c>
      <c r="U39" s="1">
        <v>931.0</v>
      </c>
      <c r="V39" s="1" t="s">
        <v>36</v>
      </c>
      <c r="W39" s="2">
        <v>46076.0</v>
      </c>
      <c r="X39" s="1">
        <v>2026.0</v>
      </c>
    </row>
    <row r="40" ht="14.25" customHeight="1">
      <c r="A40" s="2">
        <v>46133.0</v>
      </c>
      <c r="B40" s="1" t="s">
        <v>142</v>
      </c>
      <c r="C40" s="1" t="s">
        <v>143</v>
      </c>
      <c r="E40" s="1" t="s">
        <v>144</v>
      </c>
      <c r="F40" s="1" t="s">
        <v>27</v>
      </c>
      <c r="G40" s="1" t="s">
        <v>37</v>
      </c>
      <c r="H40" s="1" t="s">
        <v>29</v>
      </c>
      <c r="I40" s="1" t="s">
        <v>30</v>
      </c>
      <c r="J40" s="1" t="s">
        <v>85</v>
      </c>
      <c r="L40" s="2">
        <v>46082.0</v>
      </c>
      <c r="M40" s="2">
        <v>46082.0</v>
      </c>
      <c r="O40" s="1">
        <v>1.7528908E7</v>
      </c>
      <c r="P40" s="1" t="s">
        <v>32</v>
      </c>
      <c r="Q40" s="1" t="s">
        <v>33</v>
      </c>
      <c r="R40" s="1">
        <v>8192.0</v>
      </c>
      <c r="S40" s="1" t="s">
        <v>34</v>
      </c>
      <c r="T40" s="1" t="s">
        <v>35</v>
      </c>
      <c r="U40" s="1">
        <v>-450.83</v>
      </c>
      <c r="V40" s="1" t="s">
        <v>38</v>
      </c>
      <c r="W40" s="2">
        <v>46076.0</v>
      </c>
      <c r="X40" s="1">
        <v>2026.0</v>
      </c>
    </row>
    <row r="41" ht="14.25" customHeight="1">
      <c r="A41" s="2">
        <v>46133.0</v>
      </c>
      <c r="B41" s="1" t="s">
        <v>145</v>
      </c>
      <c r="C41" s="1" t="s">
        <v>146</v>
      </c>
      <c r="E41" s="1" t="s">
        <v>147</v>
      </c>
      <c r="F41" s="1" t="s">
        <v>42</v>
      </c>
      <c r="G41" s="1" t="s">
        <v>28</v>
      </c>
      <c r="H41" s="1" t="s">
        <v>29</v>
      </c>
      <c r="I41" s="1" t="s">
        <v>89</v>
      </c>
      <c r="J41" s="1" t="s">
        <v>148</v>
      </c>
      <c r="L41" s="2">
        <v>46113.0</v>
      </c>
      <c r="M41" s="2">
        <v>46113.0</v>
      </c>
      <c r="O41" s="1">
        <v>8307933.0</v>
      </c>
      <c r="P41" s="1" t="s">
        <v>32</v>
      </c>
      <c r="Q41" s="1" t="s">
        <v>62</v>
      </c>
      <c r="R41" s="1">
        <v>8192.0</v>
      </c>
      <c r="S41" s="1" t="s">
        <v>34</v>
      </c>
      <c r="T41" s="1" t="s">
        <v>35</v>
      </c>
      <c r="U41" s="1">
        <v>844.0</v>
      </c>
      <c r="V41" s="1" t="s">
        <v>36</v>
      </c>
      <c r="W41" s="2">
        <v>46093.0</v>
      </c>
      <c r="X41" s="1">
        <v>2026.0</v>
      </c>
    </row>
    <row r="42" ht="14.25" customHeight="1">
      <c r="A42" s="2">
        <v>46133.0</v>
      </c>
      <c r="B42" s="1" t="s">
        <v>145</v>
      </c>
      <c r="C42" s="1" t="s">
        <v>146</v>
      </c>
      <c r="E42" s="1" t="s">
        <v>147</v>
      </c>
      <c r="F42" s="1" t="s">
        <v>42</v>
      </c>
      <c r="G42" s="1" t="s">
        <v>37</v>
      </c>
      <c r="H42" s="1" t="s">
        <v>29</v>
      </c>
      <c r="I42" s="1" t="s">
        <v>89</v>
      </c>
      <c r="J42" s="1" t="s">
        <v>148</v>
      </c>
      <c r="L42" s="2">
        <v>46113.0</v>
      </c>
      <c r="M42" s="2">
        <v>46113.0</v>
      </c>
      <c r="O42" s="1">
        <v>8307933.0</v>
      </c>
      <c r="P42" s="1" t="s">
        <v>32</v>
      </c>
      <c r="Q42" s="1" t="s">
        <v>62</v>
      </c>
      <c r="R42" s="1">
        <v>8192.0</v>
      </c>
      <c r="S42" s="1" t="s">
        <v>34</v>
      </c>
      <c r="T42" s="1" t="s">
        <v>35</v>
      </c>
      <c r="U42" s="1">
        <v>-372.75</v>
      </c>
      <c r="V42" s="1" t="s">
        <v>38</v>
      </c>
      <c r="W42" s="2">
        <v>46093.0</v>
      </c>
      <c r="X42" s="1">
        <v>2026.0</v>
      </c>
    </row>
    <row r="43" ht="14.25" customHeight="1">
      <c r="A43" s="2">
        <v>46133.0</v>
      </c>
      <c r="B43" s="1" t="s">
        <v>149</v>
      </c>
      <c r="C43" s="1" t="s">
        <v>150</v>
      </c>
      <c r="E43" s="1" t="s">
        <v>151</v>
      </c>
      <c r="F43" s="1" t="s">
        <v>27</v>
      </c>
      <c r="G43" s="1" t="s">
        <v>28</v>
      </c>
      <c r="H43" s="1" t="s">
        <v>29</v>
      </c>
      <c r="I43" s="1" t="s">
        <v>30</v>
      </c>
      <c r="J43" s="1" t="s">
        <v>55</v>
      </c>
      <c r="L43" s="2">
        <v>46113.0</v>
      </c>
      <c r="M43" s="2">
        <v>46113.0</v>
      </c>
      <c r="O43" s="1">
        <v>1.7528908E7</v>
      </c>
      <c r="P43" s="1" t="s">
        <v>32</v>
      </c>
      <c r="Q43" s="1" t="s">
        <v>33</v>
      </c>
      <c r="R43" s="1">
        <v>8192.0</v>
      </c>
      <c r="S43" s="1" t="s">
        <v>34</v>
      </c>
      <c r="T43" s="1" t="s">
        <v>35</v>
      </c>
      <c r="U43" s="1">
        <v>931.0</v>
      </c>
      <c r="V43" s="1" t="s">
        <v>36</v>
      </c>
      <c r="W43" s="2">
        <v>46084.0</v>
      </c>
      <c r="X43" s="1">
        <v>2026.0</v>
      </c>
    </row>
    <row r="44" ht="14.25" customHeight="1">
      <c r="A44" s="2">
        <v>46133.0</v>
      </c>
      <c r="B44" s="1" t="s">
        <v>149</v>
      </c>
      <c r="C44" s="1" t="s">
        <v>150</v>
      </c>
      <c r="E44" s="1" t="s">
        <v>151</v>
      </c>
      <c r="F44" s="1" t="s">
        <v>27</v>
      </c>
      <c r="G44" s="1" t="s">
        <v>37</v>
      </c>
      <c r="H44" s="1" t="s">
        <v>29</v>
      </c>
      <c r="I44" s="1" t="s">
        <v>30</v>
      </c>
      <c r="J44" s="1" t="s">
        <v>55</v>
      </c>
      <c r="L44" s="2">
        <v>46113.0</v>
      </c>
      <c r="M44" s="2">
        <v>46113.0</v>
      </c>
      <c r="O44" s="1">
        <v>1.7528908E7</v>
      </c>
      <c r="P44" s="1" t="s">
        <v>32</v>
      </c>
      <c r="Q44" s="1" t="s">
        <v>33</v>
      </c>
      <c r="R44" s="1">
        <v>8192.0</v>
      </c>
      <c r="S44" s="1" t="s">
        <v>34</v>
      </c>
      <c r="T44" s="1" t="s">
        <v>35</v>
      </c>
      <c r="U44" s="1">
        <v>-405.75</v>
      </c>
      <c r="V44" s="1" t="s">
        <v>38</v>
      </c>
      <c r="W44" s="2">
        <v>46084.0</v>
      </c>
      <c r="X44" s="1">
        <v>2026.0</v>
      </c>
    </row>
    <row r="45" ht="14.25" customHeight="1">
      <c r="A45" s="2">
        <v>46133.0</v>
      </c>
      <c r="B45" s="1" t="s">
        <v>152</v>
      </c>
      <c r="C45" s="1" t="s">
        <v>153</v>
      </c>
      <c r="E45" s="1" t="s">
        <v>154</v>
      </c>
      <c r="F45" s="1" t="s">
        <v>27</v>
      </c>
      <c r="G45" s="1" t="s">
        <v>28</v>
      </c>
      <c r="H45" s="1" t="s">
        <v>29</v>
      </c>
      <c r="I45" s="1" t="s">
        <v>30</v>
      </c>
      <c r="J45" s="1" t="s">
        <v>85</v>
      </c>
      <c r="L45" s="2">
        <v>46113.0</v>
      </c>
      <c r="M45" s="2">
        <v>46113.0</v>
      </c>
      <c r="O45" s="1">
        <v>1.8598357E7</v>
      </c>
      <c r="P45" s="1" t="s">
        <v>32</v>
      </c>
      <c r="Q45" s="1" t="s">
        <v>50</v>
      </c>
      <c r="R45" s="1">
        <v>8192.0</v>
      </c>
      <c r="S45" s="1" t="s">
        <v>34</v>
      </c>
      <c r="T45" s="1" t="s">
        <v>35</v>
      </c>
      <c r="U45" s="1">
        <v>931.0</v>
      </c>
      <c r="V45" s="1" t="s">
        <v>36</v>
      </c>
      <c r="W45" s="2">
        <v>46100.0</v>
      </c>
      <c r="X45" s="1">
        <v>2026.0</v>
      </c>
    </row>
    <row r="46" ht="14.25" customHeight="1">
      <c r="A46" s="2">
        <v>46133.0</v>
      </c>
      <c r="B46" s="1" t="s">
        <v>152</v>
      </c>
      <c r="C46" s="1" t="s">
        <v>153</v>
      </c>
      <c r="E46" s="1" t="s">
        <v>154</v>
      </c>
      <c r="F46" s="1" t="s">
        <v>27</v>
      </c>
      <c r="G46" s="1" t="s">
        <v>37</v>
      </c>
      <c r="H46" s="1" t="s">
        <v>29</v>
      </c>
      <c r="I46" s="1" t="s">
        <v>30</v>
      </c>
      <c r="J46" s="1" t="s">
        <v>85</v>
      </c>
      <c r="L46" s="2">
        <v>46113.0</v>
      </c>
      <c r="M46" s="2">
        <v>46113.0</v>
      </c>
      <c r="O46" s="1">
        <v>1.8598357E7</v>
      </c>
      <c r="P46" s="1" t="s">
        <v>32</v>
      </c>
      <c r="Q46" s="1" t="s">
        <v>50</v>
      </c>
      <c r="R46" s="1">
        <v>8192.0</v>
      </c>
      <c r="S46" s="1" t="s">
        <v>34</v>
      </c>
      <c r="T46" s="1" t="s">
        <v>35</v>
      </c>
      <c r="U46" s="1">
        <v>-405.75</v>
      </c>
      <c r="V46" s="1" t="s">
        <v>38</v>
      </c>
      <c r="W46" s="2">
        <v>46100.0</v>
      </c>
      <c r="X46" s="1">
        <v>2026.0</v>
      </c>
    </row>
    <row r="47" ht="14.25" customHeight="1">
      <c r="A47" s="2">
        <v>46133.0</v>
      </c>
      <c r="B47" s="1" t="s">
        <v>155</v>
      </c>
      <c r="C47" s="1" t="s">
        <v>156</v>
      </c>
      <c r="E47" s="1" t="s">
        <v>157</v>
      </c>
      <c r="F47" s="1" t="s">
        <v>27</v>
      </c>
      <c r="G47" s="1" t="s">
        <v>54</v>
      </c>
      <c r="H47" s="1" t="s">
        <v>29</v>
      </c>
      <c r="I47" s="1" t="s">
        <v>30</v>
      </c>
      <c r="J47" s="1" t="s">
        <v>158</v>
      </c>
      <c r="L47" s="2">
        <v>46113.0</v>
      </c>
      <c r="M47" s="2">
        <v>46113.0</v>
      </c>
      <c r="O47" s="1">
        <v>1.7886092E7</v>
      </c>
      <c r="P47" s="1" t="s">
        <v>32</v>
      </c>
      <c r="Q47" s="1" t="s">
        <v>125</v>
      </c>
      <c r="R47" s="1">
        <v>8192.0</v>
      </c>
      <c r="S47" s="1" t="s">
        <v>34</v>
      </c>
      <c r="T47" s="1" t="s">
        <v>35</v>
      </c>
      <c r="U47" s="1">
        <v>48.75</v>
      </c>
      <c r="V47" s="1" t="s">
        <v>38</v>
      </c>
      <c r="W47" s="2">
        <v>46108.0</v>
      </c>
      <c r="X47" s="1">
        <v>2026.0</v>
      </c>
    </row>
    <row r="48" ht="14.25" customHeight="1">
      <c r="A48" s="2">
        <v>46133.0</v>
      </c>
      <c r="B48" s="1" t="s">
        <v>159</v>
      </c>
      <c r="C48" s="1" t="s">
        <v>160</v>
      </c>
      <c r="E48" s="1" t="s">
        <v>161</v>
      </c>
      <c r="F48" s="1" t="s">
        <v>78</v>
      </c>
      <c r="G48" s="1" t="s">
        <v>54</v>
      </c>
      <c r="H48" s="1" t="s">
        <v>29</v>
      </c>
      <c r="I48" s="1" t="s">
        <v>79</v>
      </c>
      <c r="J48" s="1" t="s">
        <v>80</v>
      </c>
      <c r="L48" s="2">
        <v>46143.0</v>
      </c>
      <c r="M48" s="2">
        <v>46143.0</v>
      </c>
      <c r="O48" s="1">
        <v>1.6170994E7</v>
      </c>
      <c r="P48" s="1" t="s">
        <v>32</v>
      </c>
      <c r="Q48" s="1" t="s">
        <v>81</v>
      </c>
      <c r="R48" s="1">
        <v>8192.0</v>
      </c>
      <c r="S48" s="1" t="s">
        <v>34</v>
      </c>
      <c r="T48" s="1" t="s">
        <v>35</v>
      </c>
      <c r="U48" s="1">
        <v>331.33</v>
      </c>
      <c r="V48" s="1" t="s">
        <v>38</v>
      </c>
      <c r="W48" s="2">
        <v>46114.0</v>
      </c>
      <c r="X48" s="1">
        <v>2026.0</v>
      </c>
    </row>
    <row r="49" ht="14.25" customHeight="1">
      <c r="A49" s="2">
        <v>46133.0</v>
      </c>
      <c r="B49" s="1" t="s">
        <v>162</v>
      </c>
      <c r="C49" s="1" t="s">
        <v>163</v>
      </c>
      <c r="E49" s="1" t="s">
        <v>164</v>
      </c>
      <c r="F49" s="1" t="s">
        <v>27</v>
      </c>
      <c r="G49" s="1" t="s">
        <v>28</v>
      </c>
      <c r="H49" s="1" t="s">
        <v>29</v>
      </c>
      <c r="I49" s="1" t="s">
        <v>30</v>
      </c>
      <c r="J49" s="1" t="s">
        <v>55</v>
      </c>
      <c r="L49" s="2">
        <v>46113.0</v>
      </c>
      <c r="M49" s="2">
        <v>46113.0</v>
      </c>
      <c r="O49" s="1">
        <v>1.7528908E7</v>
      </c>
      <c r="P49" s="1" t="s">
        <v>32</v>
      </c>
      <c r="Q49" s="1" t="s">
        <v>33</v>
      </c>
      <c r="R49" s="1">
        <v>8192.0</v>
      </c>
      <c r="S49" s="1" t="s">
        <v>34</v>
      </c>
      <c r="T49" s="1" t="s">
        <v>35</v>
      </c>
      <c r="U49" s="1">
        <v>931.0</v>
      </c>
      <c r="V49" s="1" t="s">
        <v>36</v>
      </c>
      <c r="W49" s="2">
        <v>46098.0</v>
      </c>
      <c r="X49" s="1">
        <v>2026.0</v>
      </c>
    </row>
    <row r="50" ht="14.25" customHeight="1">
      <c r="A50" s="2">
        <v>46133.0</v>
      </c>
      <c r="B50" s="1" t="s">
        <v>162</v>
      </c>
      <c r="C50" s="1" t="s">
        <v>163</v>
      </c>
      <c r="E50" s="1" t="s">
        <v>164</v>
      </c>
      <c r="F50" s="1" t="s">
        <v>27</v>
      </c>
      <c r="G50" s="1" t="s">
        <v>37</v>
      </c>
      <c r="H50" s="1" t="s">
        <v>29</v>
      </c>
      <c r="I50" s="1" t="s">
        <v>30</v>
      </c>
      <c r="J50" s="1" t="s">
        <v>55</v>
      </c>
      <c r="L50" s="2">
        <v>46113.0</v>
      </c>
      <c r="M50" s="2">
        <v>46113.0</v>
      </c>
      <c r="O50" s="1">
        <v>1.7528908E7</v>
      </c>
      <c r="P50" s="1" t="s">
        <v>32</v>
      </c>
      <c r="Q50" s="1" t="s">
        <v>33</v>
      </c>
      <c r="R50" s="1">
        <v>8192.0</v>
      </c>
      <c r="S50" s="1" t="s">
        <v>34</v>
      </c>
      <c r="T50" s="1" t="s">
        <v>35</v>
      </c>
      <c r="U50" s="1">
        <v>-405.75</v>
      </c>
      <c r="V50" s="1" t="s">
        <v>38</v>
      </c>
      <c r="W50" s="2">
        <v>46098.0</v>
      </c>
      <c r="X50" s="1">
        <v>2026.0</v>
      </c>
    </row>
    <row r="51" ht="14.25" customHeight="1">
      <c r="A51" s="2">
        <v>46133.0</v>
      </c>
      <c r="B51" s="1" t="s">
        <v>165</v>
      </c>
      <c r="C51" s="1" t="s">
        <v>166</v>
      </c>
      <c r="E51" s="1" t="s">
        <v>167</v>
      </c>
      <c r="F51" s="1" t="s">
        <v>78</v>
      </c>
      <c r="G51" s="1" t="s">
        <v>28</v>
      </c>
      <c r="H51" s="1" t="s">
        <v>29</v>
      </c>
      <c r="I51" s="1" t="s">
        <v>79</v>
      </c>
      <c r="J51" s="1" t="s">
        <v>168</v>
      </c>
      <c r="L51" s="2">
        <v>46113.0</v>
      </c>
      <c r="M51" s="2">
        <v>46113.0</v>
      </c>
      <c r="O51" s="1">
        <v>1.6170994E7</v>
      </c>
      <c r="P51" s="1" t="s">
        <v>32</v>
      </c>
      <c r="Q51" s="1" t="s">
        <v>81</v>
      </c>
      <c r="R51" s="1">
        <v>8192.0</v>
      </c>
      <c r="S51" s="1" t="s">
        <v>34</v>
      </c>
      <c r="T51" s="1" t="s">
        <v>35</v>
      </c>
      <c r="U51" s="1">
        <v>844.0</v>
      </c>
      <c r="V51" s="1" t="s">
        <v>36</v>
      </c>
      <c r="W51" s="2">
        <v>46100.0</v>
      </c>
      <c r="X51" s="1">
        <v>2026.0</v>
      </c>
    </row>
    <row r="52" ht="14.25" customHeight="1">
      <c r="A52" s="2">
        <v>46133.0</v>
      </c>
      <c r="B52" s="1" t="s">
        <v>165</v>
      </c>
      <c r="C52" s="1" t="s">
        <v>166</v>
      </c>
      <c r="E52" s="1" t="s">
        <v>167</v>
      </c>
      <c r="F52" s="1" t="s">
        <v>78</v>
      </c>
      <c r="G52" s="1" t="s">
        <v>37</v>
      </c>
      <c r="H52" s="1" t="s">
        <v>29</v>
      </c>
      <c r="I52" s="1" t="s">
        <v>79</v>
      </c>
      <c r="J52" s="1" t="s">
        <v>168</v>
      </c>
      <c r="L52" s="2">
        <v>46113.0</v>
      </c>
      <c r="M52" s="2">
        <v>46113.0</v>
      </c>
      <c r="O52" s="1">
        <v>1.6170994E7</v>
      </c>
      <c r="P52" s="1" t="s">
        <v>32</v>
      </c>
      <c r="Q52" s="1" t="s">
        <v>81</v>
      </c>
      <c r="R52" s="1">
        <v>8192.0</v>
      </c>
      <c r="S52" s="1" t="s">
        <v>34</v>
      </c>
      <c r="T52" s="1" t="s">
        <v>35</v>
      </c>
      <c r="U52" s="1">
        <v>-372.75</v>
      </c>
      <c r="V52" s="1" t="s">
        <v>38</v>
      </c>
      <c r="W52" s="2">
        <v>46100.0</v>
      </c>
      <c r="X52" s="1">
        <v>2026.0</v>
      </c>
    </row>
    <row r="53" ht="14.25" customHeight="1">
      <c r="A53" s="2">
        <v>46133.0</v>
      </c>
      <c r="B53" s="1" t="s">
        <v>169</v>
      </c>
      <c r="C53" s="1" t="s">
        <v>170</v>
      </c>
      <c r="E53" s="1" t="s">
        <v>171</v>
      </c>
      <c r="F53" s="1" t="s">
        <v>27</v>
      </c>
      <c r="G53" s="1" t="s">
        <v>54</v>
      </c>
      <c r="H53" s="1" t="s">
        <v>29</v>
      </c>
      <c r="I53" s="1" t="s">
        <v>30</v>
      </c>
      <c r="J53" s="1" t="s">
        <v>172</v>
      </c>
      <c r="L53" s="2">
        <v>46113.0</v>
      </c>
      <c r="M53" s="2">
        <v>46113.0</v>
      </c>
      <c r="O53" s="1">
        <v>1.7425766E7</v>
      </c>
      <c r="P53" s="1" t="s">
        <v>32</v>
      </c>
      <c r="Q53" s="1" t="s">
        <v>136</v>
      </c>
      <c r="R53" s="1">
        <v>8192.0</v>
      </c>
      <c r="S53" s="1" t="s">
        <v>34</v>
      </c>
      <c r="T53" s="1" t="s">
        <v>35</v>
      </c>
      <c r="U53" s="1">
        <v>405.75</v>
      </c>
      <c r="V53" s="1" t="s">
        <v>38</v>
      </c>
      <c r="W53" s="2">
        <v>46104.0</v>
      </c>
      <c r="X53" s="1">
        <v>2026.0</v>
      </c>
    </row>
    <row r="54" ht="14.25" customHeight="1">
      <c r="A54" s="2">
        <v>46133.0</v>
      </c>
      <c r="B54" s="1" t="s">
        <v>173</v>
      </c>
      <c r="C54" s="1" t="s">
        <v>174</v>
      </c>
      <c r="E54" s="1" t="s">
        <v>175</v>
      </c>
      <c r="F54" s="1" t="s">
        <v>27</v>
      </c>
      <c r="G54" s="1" t="s">
        <v>54</v>
      </c>
      <c r="H54" s="1" t="s">
        <v>29</v>
      </c>
      <c r="I54" s="1" t="s">
        <v>30</v>
      </c>
      <c r="J54" s="1" t="s">
        <v>85</v>
      </c>
      <c r="L54" s="2">
        <v>46143.0</v>
      </c>
      <c r="M54" s="2">
        <v>46143.0</v>
      </c>
      <c r="O54" s="1">
        <v>1.7528908E7</v>
      </c>
      <c r="P54" s="1" t="s">
        <v>32</v>
      </c>
      <c r="Q54" s="1" t="s">
        <v>33</v>
      </c>
      <c r="R54" s="1">
        <v>8192.0</v>
      </c>
      <c r="S54" s="1" t="s">
        <v>34</v>
      </c>
      <c r="T54" s="1" t="s">
        <v>35</v>
      </c>
      <c r="U54" s="1">
        <v>360.67</v>
      </c>
      <c r="V54" s="1" t="s">
        <v>38</v>
      </c>
      <c r="W54" s="2">
        <v>46115.0</v>
      </c>
      <c r="X54" s="1">
        <v>2026.0</v>
      </c>
    </row>
    <row r="55" ht="14.25" customHeight="1">
      <c r="A55" s="2">
        <v>46133.0</v>
      </c>
      <c r="B55" s="1" t="s">
        <v>176</v>
      </c>
      <c r="C55" s="1" t="s">
        <v>177</v>
      </c>
      <c r="E55" s="1" t="s">
        <v>178</v>
      </c>
      <c r="F55" s="1" t="s">
        <v>179</v>
      </c>
      <c r="G55" s="1" t="s">
        <v>28</v>
      </c>
      <c r="H55" s="1" t="s">
        <v>29</v>
      </c>
      <c r="I55" s="1" t="s">
        <v>180</v>
      </c>
      <c r="J55" s="1" t="s">
        <v>181</v>
      </c>
      <c r="L55" s="2">
        <v>46113.0</v>
      </c>
      <c r="M55" s="2">
        <v>46113.0</v>
      </c>
      <c r="O55" s="1">
        <v>8307933.0</v>
      </c>
      <c r="P55" s="1" t="s">
        <v>32</v>
      </c>
      <c r="Q55" s="1" t="s">
        <v>62</v>
      </c>
      <c r="R55" s="1">
        <v>8192.0</v>
      </c>
      <c r="S55" s="1" t="s">
        <v>34</v>
      </c>
      <c r="T55" s="1" t="s">
        <v>35</v>
      </c>
      <c r="U55" s="1">
        <v>844.0</v>
      </c>
      <c r="V55" s="1" t="s">
        <v>36</v>
      </c>
      <c r="W55" s="2">
        <v>46092.0</v>
      </c>
      <c r="X55" s="1">
        <v>2026.0</v>
      </c>
    </row>
    <row r="56" ht="14.25" customHeight="1">
      <c r="A56" s="2">
        <v>46133.0</v>
      </c>
      <c r="B56" s="1" t="s">
        <v>176</v>
      </c>
      <c r="C56" s="1" t="s">
        <v>177</v>
      </c>
      <c r="E56" s="1" t="s">
        <v>178</v>
      </c>
      <c r="F56" s="1" t="s">
        <v>179</v>
      </c>
      <c r="G56" s="1" t="s">
        <v>37</v>
      </c>
      <c r="H56" s="1" t="s">
        <v>29</v>
      </c>
      <c r="I56" s="1" t="s">
        <v>180</v>
      </c>
      <c r="J56" s="1" t="s">
        <v>181</v>
      </c>
      <c r="L56" s="2">
        <v>46113.0</v>
      </c>
      <c r="M56" s="2">
        <v>46113.0</v>
      </c>
      <c r="O56" s="1">
        <v>8307933.0</v>
      </c>
      <c r="P56" s="1" t="s">
        <v>32</v>
      </c>
      <c r="Q56" s="1" t="s">
        <v>62</v>
      </c>
      <c r="R56" s="1">
        <v>8192.0</v>
      </c>
      <c r="S56" s="1" t="s">
        <v>34</v>
      </c>
      <c r="T56" s="1" t="s">
        <v>35</v>
      </c>
      <c r="U56" s="1">
        <v>-372.75</v>
      </c>
      <c r="V56" s="1" t="s">
        <v>38</v>
      </c>
      <c r="W56" s="2">
        <v>46092.0</v>
      </c>
      <c r="X56" s="1">
        <v>2026.0</v>
      </c>
    </row>
    <row r="57" ht="14.25" customHeight="1">
      <c r="A57" s="2">
        <v>46133.0</v>
      </c>
      <c r="B57" s="1" t="s">
        <v>182</v>
      </c>
      <c r="C57" s="1" t="s">
        <v>183</v>
      </c>
      <c r="E57" s="1" t="s">
        <v>184</v>
      </c>
      <c r="F57" s="1" t="s">
        <v>78</v>
      </c>
      <c r="G57" s="1" t="s">
        <v>54</v>
      </c>
      <c r="H57" s="1" t="s">
        <v>29</v>
      </c>
      <c r="I57" s="1" t="s">
        <v>79</v>
      </c>
      <c r="J57" s="1" t="s">
        <v>80</v>
      </c>
      <c r="L57" s="2">
        <v>46143.0</v>
      </c>
      <c r="M57" s="2">
        <v>46143.0</v>
      </c>
      <c r="O57" s="1">
        <v>1.6170994E7</v>
      </c>
      <c r="P57" s="1" t="s">
        <v>32</v>
      </c>
      <c r="Q57" s="1" t="s">
        <v>81</v>
      </c>
      <c r="R57" s="1">
        <v>8192.0</v>
      </c>
      <c r="S57" s="1" t="s">
        <v>34</v>
      </c>
      <c r="T57" s="1" t="s">
        <v>35</v>
      </c>
      <c r="U57" s="1">
        <v>331.33</v>
      </c>
      <c r="V57" s="1" t="s">
        <v>38</v>
      </c>
      <c r="W57" s="2">
        <v>46115.0</v>
      </c>
      <c r="X57" s="1">
        <v>2026.0</v>
      </c>
    </row>
    <row r="58" ht="14.25" customHeight="1">
      <c r="A58" s="2">
        <v>46133.0</v>
      </c>
      <c r="B58" s="1" t="s">
        <v>185</v>
      </c>
      <c r="C58" s="1" t="s">
        <v>186</v>
      </c>
      <c r="E58" s="1" t="s">
        <v>187</v>
      </c>
      <c r="F58" s="1" t="s">
        <v>78</v>
      </c>
      <c r="G58" s="1" t="s">
        <v>28</v>
      </c>
      <c r="H58" s="1" t="s">
        <v>29</v>
      </c>
      <c r="I58" s="1" t="s">
        <v>79</v>
      </c>
      <c r="J58" s="1" t="s">
        <v>188</v>
      </c>
      <c r="L58" s="2">
        <v>46113.0</v>
      </c>
      <c r="M58" s="2">
        <v>46113.0</v>
      </c>
      <c r="O58" s="1">
        <v>1.6170994E7</v>
      </c>
      <c r="P58" s="1" t="s">
        <v>32</v>
      </c>
      <c r="Q58" s="1" t="s">
        <v>81</v>
      </c>
      <c r="R58" s="1">
        <v>8192.0</v>
      </c>
      <c r="S58" s="1" t="s">
        <v>34</v>
      </c>
      <c r="T58" s="1" t="s">
        <v>35</v>
      </c>
      <c r="U58" s="1">
        <v>844.0</v>
      </c>
      <c r="V58" s="1" t="s">
        <v>36</v>
      </c>
      <c r="W58" s="2">
        <v>46098.0</v>
      </c>
      <c r="X58" s="1">
        <v>2026.0</v>
      </c>
    </row>
    <row r="59" ht="14.25" customHeight="1">
      <c r="A59" s="2">
        <v>46133.0</v>
      </c>
      <c r="B59" s="1" t="s">
        <v>185</v>
      </c>
      <c r="C59" s="1" t="s">
        <v>186</v>
      </c>
      <c r="E59" s="1" t="s">
        <v>187</v>
      </c>
      <c r="F59" s="1" t="s">
        <v>78</v>
      </c>
      <c r="G59" s="1" t="s">
        <v>37</v>
      </c>
      <c r="H59" s="1" t="s">
        <v>29</v>
      </c>
      <c r="I59" s="1" t="s">
        <v>79</v>
      </c>
      <c r="J59" s="1" t="s">
        <v>188</v>
      </c>
      <c r="L59" s="2">
        <v>46113.0</v>
      </c>
      <c r="M59" s="2">
        <v>46113.0</v>
      </c>
      <c r="O59" s="1">
        <v>1.6170994E7</v>
      </c>
      <c r="P59" s="1" t="s">
        <v>32</v>
      </c>
      <c r="Q59" s="1" t="s">
        <v>81</v>
      </c>
      <c r="R59" s="1">
        <v>8192.0</v>
      </c>
      <c r="S59" s="1" t="s">
        <v>34</v>
      </c>
      <c r="T59" s="1" t="s">
        <v>35</v>
      </c>
      <c r="U59" s="1">
        <v>-372.75</v>
      </c>
      <c r="V59" s="1" t="s">
        <v>38</v>
      </c>
      <c r="W59" s="2">
        <v>46098.0</v>
      </c>
      <c r="X59" s="1">
        <v>2026.0</v>
      </c>
    </row>
    <row r="60" ht="14.25" customHeight="1">
      <c r="A60" s="2">
        <v>46133.0</v>
      </c>
      <c r="B60" s="1" t="s">
        <v>189</v>
      </c>
      <c r="C60" s="1" t="s">
        <v>190</v>
      </c>
      <c r="E60" s="1" t="s">
        <v>191</v>
      </c>
      <c r="F60" s="1" t="s">
        <v>42</v>
      </c>
      <c r="G60" s="1" t="s">
        <v>192</v>
      </c>
      <c r="H60" s="1" t="s">
        <v>29</v>
      </c>
      <c r="I60" s="1" t="s">
        <v>43</v>
      </c>
      <c r="J60" s="1" t="s">
        <v>44</v>
      </c>
      <c r="L60" s="2">
        <v>46082.0</v>
      </c>
      <c r="M60" s="2">
        <v>46082.0</v>
      </c>
      <c r="O60" s="1">
        <v>8244481.0</v>
      </c>
      <c r="P60" s="1" t="s">
        <v>32</v>
      </c>
      <c r="Q60" s="1" t="s">
        <v>67</v>
      </c>
      <c r="R60" s="1">
        <v>8192.0</v>
      </c>
      <c r="S60" s="1" t="s">
        <v>34</v>
      </c>
      <c r="T60" s="1" t="s">
        <v>35</v>
      </c>
      <c r="U60" s="1">
        <v>703.33</v>
      </c>
      <c r="V60" s="1" t="s">
        <v>36</v>
      </c>
      <c r="W60" s="2">
        <v>46079.0</v>
      </c>
      <c r="X60" s="1">
        <v>2026.0</v>
      </c>
    </row>
    <row r="61" ht="14.25" customHeight="1">
      <c r="A61" s="2">
        <v>46133.0</v>
      </c>
      <c r="B61" s="1" t="s">
        <v>189</v>
      </c>
      <c r="C61" s="1" t="s">
        <v>190</v>
      </c>
      <c r="E61" s="1" t="s">
        <v>191</v>
      </c>
      <c r="F61" s="1" t="s">
        <v>42</v>
      </c>
      <c r="G61" s="1" t="s">
        <v>37</v>
      </c>
      <c r="H61" s="1" t="s">
        <v>29</v>
      </c>
      <c r="I61" s="1" t="s">
        <v>43</v>
      </c>
      <c r="J61" s="1" t="s">
        <v>44</v>
      </c>
      <c r="L61" s="2">
        <v>46082.0</v>
      </c>
      <c r="M61" s="2">
        <v>46082.0</v>
      </c>
      <c r="O61" s="1">
        <v>8244481.0</v>
      </c>
      <c r="P61" s="1" t="s">
        <v>32</v>
      </c>
      <c r="Q61" s="1" t="s">
        <v>67</v>
      </c>
      <c r="R61" s="1">
        <v>8192.0</v>
      </c>
      <c r="S61" s="1" t="s">
        <v>34</v>
      </c>
      <c r="T61" s="1" t="s">
        <v>35</v>
      </c>
      <c r="U61" s="1">
        <v>-414.17</v>
      </c>
      <c r="V61" s="1" t="s">
        <v>38</v>
      </c>
      <c r="W61" s="2">
        <v>46079.0</v>
      </c>
      <c r="X61" s="1">
        <v>2026.0</v>
      </c>
    </row>
    <row r="62" ht="14.25" customHeight="1">
      <c r="A62" s="2">
        <v>46133.0</v>
      </c>
      <c r="B62" s="1" t="s">
        <v>193</v>
      </c>
      <c r="C62" s="1" t="s">
        <v>194</v>
      </c>
      <c r="E62" s="1" t="s">
        <v>195</v>
      </c>
      <c r="F62" s="1" t="s">
        <v>27</v>
      </c>
      <c r="G62" s="1" t="s">
        <v>28</v>
      </c>
      <c r="H62" s="1" t="s">
        <v>29</v>
      </c>
      <c r="I62" s="1" t="s">
        <v>30</v>
      </c>
      <c r="J62" s="1" t="s">
        <v>55</v>
      </c>
      <c r="L62" s="2">
        <v>46082.0</v>
      </c>
      <c r="M62" s="2">
        <v>46082.0</v>
      </c>
      <c r="O62" s="1">
        <v>1.7528908E7</v>
      </c>
      <c r="P62" s="1" t="s">
        <v>32</v>
      </c>
      <c r="Q62" s="1" t="s">
        <v>33</v>
      </c>
      <c r="R62" s="1">
        <v>8192.0</v>
      </c>
      <c r="S62" s="1" t="s">
        <v>34</v>
      </c>
      <c r="T62" s="1" t="s">
        <v>35</v>
      </c>
      <c r="U62" s="1">
        <v>931.0</v>
      </c>
      <c r="V62" s="1" t="s">
        <v>36</v>
      </c>
      <c r="W62" s="2">
        <v>46079.0</v>
      </c>
      <c r="X62" s="1">
        <v>2026.0</v>
      </c>
    </row>
    <row r="63" ht="14.25" customHeight="1">
      <c r="A63" s="2">
        <v>46133.0</v>
      </c>
      <c r="B63" s="1" t="s">
        <v>193</v>
      </c>
      <c r="C63" s="1" t="s">
        <v>194</v>
      </c>
      <c r="E63" s="1" t="s">
        <v>195</v>
      </c>
      <c r="F63" s="1" t="s">
        <v>27</v>
      </c>
      <c r="G63" s="1" t="s">
        <v>37</v>
      </c>
      <c r="H63" s="1" t="s">
        <v>29</v>
      </c>
      <c r="I63" s="1" t="s">
        <v>30</v>
      </c>
      <c r="J63" s="1" t="s">
        <v>55</v>
      </c>
      <c r="L63" s="2">
        <v>46082.0</v>
      </c>
      <c r="M63" s="2">
        <v>46082.0</v>
      </c>
      <c r="O63" s="1">
        <v>1.7528908E7</v>
      </c>
      <c r="P63" s="1" t="s">
        <v>32</v>
      </c>
      <c r="Q63" s="1" t="s">
        <v>33</v>
      </c>
      <c r="R63" s="1">
        <v>8192.0</v>
      </c>
      <c r="S63" s="1" t="s">
        <v>34</v>
      </c>
      <c r="T63" s="1" t="s">
        <v>35</v>
      </c>
      <c r="U63" s="1">
        <v>-450.83</v>
      </c>
      <c r="V63" s="1" t="s">
        <v>38</v>
      </c>
      <c r="W63" s="2">
        <v>46079.0</v>
      </c>
      <c r="X63" s="1">
        <v>2026.0</v>
      </c>
    </row>
    <row r="64" ht="14.25" customHeight="1">
      <c r="A64" s="2">
        <v>46133.0</v>
      </c>
      <c r="B64" s="1" t="s">
        <v>196</v>
      </c>
      <c r="C64" s="1" t="s">
        <v>197</v>
      </c>
      <c r="E64" s="1" t="s">
        <v>198</v>
      </c>
      <c r="F64" s="1" t="s">
        <v>78</v>
      </c>
      <c r="G64" s="1" t="s">
        <v>28</v>
      </c>
      <c r="H64" s="1" t="s">
        <v>29</v>
      </c>
      <c r="I64" s="1" t="s">
        <v>79</v>
      </c>
      <c r="J64" s="1" t="s">
        <v>188</v>
      </c>
      <c r="L64" s="2">
        <v>46113.0</v>
      </c>
      <c r="M64" s="2">
        <v>46113.0</v>
      </c>
      <c r="O64" s="1">
        <v>1.8142208E7</v>
      </c>
      <c r="P64" s="1" t="s">
        <v>32</v>
      </c>
      <c r="Q64" s="1" t="s">
        <v>199</v>
      </c>
      <c r="R64" s="1">
        <v>8192.0</v>
      </c>
      <c r="S64" s="1" t="s">
        <v>34</v>
      </c>
      <c r="T64" s="1" t="s">
        <v>35</v>
      </c>
      <c r="U64" s="1">
        <v>844.0</v>
      </c>
      <c r="V64" s="1" t="s">
        <v>36</v>
      </c>
      <c r="W64" s="2">
        <v>46091.0</v>
      </c>
      <c r="X64" s="1">
        <v>2026.0</v>
      </c>
    </row>
    <row r="65" ht="14.25" customHeight="1">
      <c r="A65" s="2">
        <v>46133.0</v>
      </c>
      <c r="B65" s="1" t="s">
        <v>196</v>
      </c>
      <c r="C65" s="1" t="s">
        <v>197</v>
      </c>
      <c r="E65" s="1" t="s">
        <v>198</v>
      </c>
      <c r="F65" s="1" t="s">
        <v>78</v>
      </c>
      <c r="G65" s="1" t="s">
        <v>37</v>
      </c>
      <c r="H65" s="1" t="s">
        <v>29</v>
      </c>
      <c r="I65" s="1" t="s">
        <v>79</v>
      </c>
      <c r="J65" s="1" t="s">
        <v>188</v>
      </c>
      <c r="L65" s="2">
        <v>46113.0</v>
      </c>
      <c r="M65" s="2">
        <v>46113.0</v>
      </c>
      <c r="O65" s="1">
        <v>1.8142208E7</v>
      </c>
      <c r="P65" s="1" t="s">
        <v>32</v>
      </c>
      <c r="Q65" s="1" t="s">
        <v>199</v>
      </c>
      <c r="R65" s="1">
        <v>8192.0</v>
      </c>
      <c r="S65" s="1" t="s">
        <v>34</v>
      </c>
      <c r="T65" s="1" t="s">
        <v>35</v>
      </c>
      <c r="U65" s="1">
        <v>-372.75</v>
      </c>
      <c r="V65" s="1" t="s">
        <v>38</v>
      </c>
      <c r="W65" s="2">
        <v>46091.0</v>
      </c>
      <c r="X65" s="1">
        <v>2026.0</v>
      </c>
    </row>
    <row r="66" ht="14.25" customHeight="1">
      <c r="A66" s="2">
        <v>46133.0</v>
      </c>
      <c r="B66" s="1" t="s">
        <v>200</v>
      </c>
      <c r="C66" s="1" t="s">
        <v>201</v>
      </c>
      <c r="E66" s="1" t="s">
        <v>202</v>
      </c>
      <c r="F66" s="1" t="s">
        <v>78</v>
      </c>
      <c r="G66" s="1" t="s">
        <v>28</v>
      </c>
      <c r="H66" s="1" t="s">
        <v>29</v>
      </c>
      <c r="I66" s="1" t="s">
        <v>79</v>
      </c>
      <c r="J66" s="1" t="s">
        <v>168</v>
      </c>
      <c r="L66" s="2">
        <v>46113.0</v>
      </c>
      <c r="M66" s="2">
        <v>46113.0</v>
      </c>
      <c r="O66" s="1">
        <v>1.8142208E7</v>
      </c>
      <c r="P66" s="1" t="s">
        <v>32</v>
      </c>
      <c r="Q66" s="1" t="s">
        <v>199</v>
      </c>
      <c r="R66" s="1">
        <v>8192.0</v>
      </c>
      <c r="S66" s="1" t="s">
        <v>34</v>
      </c>
      <c r="T66" s="1" t="s">
        <v>35</v>
      </c>
      <c r="U66" s="1">
        <v>844.0</v>
      </c>
      <c r="V66" s="1" t="s">
        <v>36</v>
      </c>
      <c r="W66" s="2">
        <v>46092.0</v>
      </c>
      <c r="X66" s="1">
        <v>2026.0</v>
      </c>
    </row>
    <row r="67" ht="14.25" customHeight="1">
      <c r="A67" s="2">
        <v>46133.0</v>
      </c>
      <c r="B67" s="1" t="s">
        <v>200</v>
      </c>
      <c r="C67" s="1" t="s">
        <v>201</v>
      </c>
      <c r="E67" s="1" t="s">
        <v>202</v>
      </c>
      <c r="F67" s="1" t="s">
        <v>78</v>
      </c>
      <c r="G67" s="1" t="s">
        <v>37</v>
      </c>
      <c r="H67" s="1" t="s">
        <v>29</v>
      </c>
      <c r="I67" s="1" t="s">
        <v>79</v>
      </c>
      <c r="J67" s="1" t="s">
        <v>168</v>
      </c>
      <c r="L67" s="2">
        <v>46113.0</v>
      </c>
      <c r="M67" s="2">
        <v>46113.0</v>
      </c>
      <c r="O67" s="1">
        <v>1.8142208E7</v>
      </c>
      <c r="P67" s="1" t="s">
        <v>32</v>
      </c>
      <c r="Q67" s="1" t="s">
        <v>199</v>
      </c>
      <c r="R67" s="1">
        <v>8192.0</v>
      </c>
      <c r="S67" s="1" t="s">
        <v>34</v>
      </c>
      <c r="T67" s="1" t="s">
        <v>35</v>
      </c>
      <c r="U67" s="1">
        <v>-372.75</v>
      </c>
      <c r="V67" s="1" t="s">
        <v>38</v>
      </c>
      <c r="W67" s="2">
        <v>46092.0</v>
      </c>
      <c r="X67" s="1">
        <v>2026.0</v>
      </c>
    </row>
    <row r="68" ht="14.25" customHeight="1">
      <c r="A68" s="2">
        <v>46133.0</v>
      </c>
      <c r="B68" s="1" t="s">
        <v>203</v>
      </c>
      <c r="C68" s="1" t="s">
        <v>204</v>
      </c>
      <c r="E68" s="1" t="s">
        <v>205</v>
      </c>
      <c r="F68" s="1" t="s">
        <v>109</v>
      </c>
      <c r="G68" s="1" t="s">
        <v>54</v>
      </c>
      <c r="H68" s="1" t="s">
        <v>29</v>
      </c>
      <c r="I68" s="1" t="s">
        <v>110</v>
      </c>
      <c r="J68" s="1" t="s">
        <v>206</v>
      </c>
      <c r="L68" s="2">
        <v>46113.0</v>
      </c>
      <c r="M68" s="2">
        <v>46113.0</v>
      </c>
      <c r="O68" s="1">
        <v>8814784.0</v>
      </c>
      <c r="P68" s="1" t="s">
        <v>32</v>
      </c>
      <c r="Q68" s="1" t="s">
        <v>207</v>
      </c>
      <c r="R68" s="1">
        <v>8192.0</v>
      </c>
      <c r="S68" s="1" t="s">
        <v>34</v>
      </c>
      <c r="T68" s="1" t="s">
        <v>35</v>
      </c>
      <c r="U68" s="1">
        <v>372.75</v>
      </c>
      <c r="V68" s="1" t="s">
        <v>38</v>
      </c>
      <c r="W68" s="2">
        <v>46111.0</v>
      </c>
      <c r="X68" s="1">
        <v>2026.0</v>
      </c>
    </row>
    <row r="69" ht="14.25" customHeight="1">
      <c r="A69" s="2">
        <v>46133.0</v>
      </c>
      <c r="B69" s="1" t="s">
        <v>208</v>
      </c>
      <c r="C69" s="1" t="s">
        <v>209</v>
      </c>
      <c r="E69" s="1" t="s">
        <v>210</v>
      </c>
      <c r="F69" s="1" t="s">
        <v>27</v>
      </c>
      <c r="G69" s="1" t="s">
        <v>28</v>
      </c>
      <c r="H69" s="1" t="s">
        <v>29</v>
      </c>
      <c r="I69" s="1" t="s">
        <v>30</v>
      </c>
      <c r="J69" s="1" t="s">
        <v>85</v>
      </c>
      <c r="L69" s="2">
        <v>46082.0</v>
      </c>
      <c r="M69" s="2">
        <v>46082.0</v>
      </c>
      <c r="O69" s="1">
        <v>8971826.0</v>
      </c>
      <c r="P69" s="1" t="s">
        <v>32</v>
      </c>
      <c r="Q69" s="1" t="s">
        <v>211</v>
      </c>
      <c r="R69" s="1">
        <v>8192.0</v>
      </c>
      <c r="S69" s="1" t="s">
        <v>34</v>
      </c>
      <c r="T69" s="1" t="s">
        <v>35</v>
      </c>
      <c r="U69" s="1">
        <v>931.0</v>
      </c>
      <c r="V69" s="1" t="s">
        <v>36</v>
      </c>
      <c r="W69" s="2">
        <v>46076.0</v>
      </c>
      <c r="X69" s="1">
        <v>2026.0</v>
      </c>
    </row>
    <row r="70" ht="14.25" customHeight="1">
      <c r="A70" s="2">
        <v>46133.0</v>
      </c>
      <c r="B70" s="1" t="s">
        <v>208</v>
      </c>
      <c r="C70" s="1" t="s">
        <v>209</v>
      </c>
      <c r="E70" s="1" t="s">
        <v>210</v>
      </c>
      <c r="F70" s="1" t="s">
        <v>27</v>
      </c>
      <c r="G70" s="1" t="s">
        <v>37</v>
      </c>
      <c r="H70" s="1" t="s">
        <v>29</v>
      </c>
      <c r="I70" s="1" t="s">
        <v>30</v>
      </c>
      <c r="J70" s="1" t="s">
        <v>85</v>
      </c>
      <c r="L70" s="2">
        <v>46082.0</v>
      </c>
      <c r="M70" s="2">
        <v>46082.0</v>
      </c>
      <c r="O70" s="1">
        <v>8971826.0</v>
      </c>
      <c r="P70" s="1" t="s">
        <v>32</v>
      </c>
      <c r="Q70" s="1" t="s">
        <v>211</v>
      </c>
      <c r="R70" s="1">
        <v>8192.0</v>
      </c>
      <c r="S70" s="1" t="s">
        <v>34</v>
      </c>
      <c r="T70" s="1" t="s">
        <v>35</v>
      </c>
      <c r="U70" s="1">
        <v>-450.83</v>
      </c>
      <c r="V70" s="1" t="s">
        <v>38</v>
      </c>
      <c r="W70" s="2">
        <v>46076.0</v>
      </c>
      <c r="X70" s="1">
        <v>2026.0</v>
      </c>
    </row>
    <row r="71" ht="14.25" customHeight="1">
      <c r="A71" s="2">
        <v>46133.0</v>
      </c>
      <c r="B71" s="1" t="s">
        <v>212</v>
      </c>
      <c r="C71" s="1" t="s">
        <v>213</v>
      </c>
      <c r="E71" s="1" t="s">
        <v>214</v>
      </c>
      <c r="F71" s="1" t="s">
        <v>78</v>
      </c>
      <c r="G71" s="1" t="s">
        <v>28</v>
      </c>
      <c r="H71" s="1" t="s">
        <v>29</v>
      </c>
      <c r="I71" s="1" t="s">
        <v>79</v>
      </c>
      <c r="J71" s="1" t="s">
        <v>188</v>
      </c>
      <c r="L71" s="2">
        <v>46143.0</v>
      </c>
      <c r="M71" s="2">
        <v>46143.0</v>
      </c>
      <c r="O71" s="1">
        <v>1.8142208E7</v>
      </c>
      <c r="P71" s="1" t="s">
        <v>32</v>
      </c>
      <c r="Q71" s="1" t="s">
        <v>199</v>
      </c>
      <c r="R71" s="1">
        <v>8192.0</v>
      </c>
      <c r="S71" s="1" t="s">
        <v>34</v>
      </c>
      <c r="T71" s="1" t="s">
        <v>35</v>
      </c>
      <c r="U71" s="1">
        <v>844.0</v>
      </c>
      <c r="V71" s="1" t="s">
        <v>36</v>
      </c>
      <c r="W71" s="2">
        <v>46091.0</v>
      </c>
      <c r="X71" s="1">
        <v>2026.0</v>
      </c>
    </row>
    <row r="72" ht="14.25" customHeight="1">
      <c r="A72" s="2">
        <v>46133.0</v>
      </c>
      <c r="B72" s="1" t="s">
        <v>212</v>
      </c>
      <c r="C72" s="1" t="s">
        <v>213</v>
      </c>
      <c r="E72" s="1" t="s">
        <v>214</v>
      </c>
      <c r="F72" s="1" t="s">
        <v>78</v>
      </c>
      <c r="G72" s="1" t="s">
        <v>37</v>
      </c>
      <c r="H72" s="1" t="s">
        <v>29</v>
      </c>
      <c r="I72" s="1" t="s">
        <v>79</v>
      </c>
      <c r="J72" s="1" t="s">
        <v>188</v>
      </c>
      <c r="L72" s="2">
        <v>46143.0</v>
      </c>
      <c r="M72" s="2">
        <v>46143.0</v>
      </c>
      <c r="O72" s="1">
        <v>1.8142208E7</v>
      </c>
      <c r="P72" s="1" t="s">
        <v>32</v>
      </c>
      <c r="Q72" s="1" t="s">
        <v>199</v>
      </c>
      <c r="R72" s="1">
        <v>8192.0</v>
      </c>
      <c r="S72" s="1" t="s">
        <v>34</v>
      </c>
      <c r="T72" s="1" t="s">
        <v>35</v>
      </c>
      <c r="U72" s="1">
        <v>-331.33</v>
      </c>
      <c r="V72" s="1" t="s">
        <v>38</v>
      </c>
      <c r="W72" s="2">
        <v>46091.0</v>
      </c>
      <c r="X72" s="1">
        <v>2026.0</v>
      </c>
    </row>
    <row r="73" ht="14.25" customHeight="1">
      <c r="A73" s="2">
        <v>46133.0</v>
      </c>
      <c r="B73" s="1" t="s">
        <v>215</v>
      </c>
      <c r="C73" s="1" t="s">
        <v>216</v>
      </c>
      <c r="E73" s="1" t="s">
        <v>217</v>
      </c>
      <c r="F73" s="1" t="s">
        <v>42</v>
      </c>
      <c r="G73" s="1" t="s">
        <v>54</v>
      </c>
      <c r="H73" s="1" t="s">
        <v>29</v>
      </c>
      <c r="I73" s="1" t="s">
        <v>89</v>
      </c>
      <c r="J73" s="1" t="s">
        <v>218</v>
      </c>
      <c r="L73" s="2">
        <v>46143.0</v>
      </c>
      <c r="M73" s="2">
        <v>46143.0</v>
      </c>
      <c r="O73" s="1">
        <v>8405446.0</v>
      </c>
      <c r="P73" s="1" t="s">
        <v>32</v>
      </c>
      <c r="Q73" s="1" t="s">
        <v>219</v>
      </c>
      <c r="R73" s="1">
        <v>8192.0</v>
      </c>
      <c r="S73" s="1" t="s">
        <v>34</v>
      </c>
      <c r="T73" s="1" t="s">
        <v>35</v>
      </c>
      <c r="U73" s="1">
        <v>331.33</v>
      </c>
      <c r="V73" s="1" t="s">
        <v>38</v>
      </c>
      <c r="W73" s="2">
        <v>46114.0</v>
      </c>
      <c r="X73" s="1">
        <v>2026.0</v>
      </c>
    </row>
    <row r="74" ht="14.25" customHeight="1">
      <c r="A74" s="2">
        <v>46133.0</v>
      </c>
      <c r="B74" s="1" t="s">
        <v>220</v>
      </c>
      <c r="C74" s="1" t="s">
        <v>221</v>
      </c>
      <c r="E74" s="1" t="s">
        <v>222</v>
      </c>
      <c r="F74" s="1" t="s">
        <v>72</v>
      </c>
      <c r="G74" s="1" t="s">
        <v>192</v>
      </c>
      <c r="H74" s="1" t="s">
        <v>29</v>
      </c>
      <c r="I74" s="1" t="s">
        <v>73</v>
      </c>
      <c r="J74" s="1" t="s">
        <v>223</v>
      </c>
      <c r="L74" s="2">
        <v>46113.0</v>
      </c>
      <c r="M74" s="2">
        <v>46113.0</v>
      </c>
      <c r="O74" s="1">
        <v>1.8201929E7</v>
      </c>
      <c r="P74" s="1" t="s">
        <v>32</v>
      </c>
      <c r="Q74" s="1" t="s">
        <v>224</v>
      </c>
      <c r="R74" s="1">
        <v>8192.0</v>
      </c>
      <c r="S74" s="1" t="s">
        <v>34</v>
      </c>
      <c r="T74" s="1" t="s">
        <v>35</v>
      </c>
      <c r="U74" s="1">
        <v>633.0</v>
      </c>
      <c r="V74" s="1" t="s">
        <v>36</v>
      </c>
      <c r="W74" s="2">
        <v>46108.0</v>
      </c>
      <c r="X74" s="1">
        <v>2026.0</v>
      </c>
    </row>
    <row r="75" ht="14.25" customHeight="1">
      <c r="A75" s="2">
        <v>46133.0</v>
      </c>
      <c r="B75" s="1" t="s">
        <v>220</v>
      </c>
      <c r="C75" s="1" t="s">
        <v>221</v>
      </c>
      <c r="E75" s="1" t="s">
        <v>222</v>
      </c>
      <c r="F75" s="1" t="s">
        <v>72</v>
      </c>
      <c r="G75" s="1" t="s">
        <v>37</v>
      </c>
      <c r="H75" s="1" t="s">
        <v>29</v>
      </c>
      <c r="I75" s="1" t="s">
        <v>73</v>
      </c>
      <c r="J75" s="1" t="s">
        <v>223</v>
      </c>
      <c r="L75" s="2">
        <v>46113.0</v>
      </c>
      <c r="M75" s="2">
        <v>46113.0</v>
      </c>
      <c r="O75" s="1">
        <v>1.8201929E7</v>
      </c>
      <c r="P75" s="1" t="s">
        <v>32</v>
      </c>
      <c r="Q75" s="1" t="s">
        <v>224</v>
      </c>
      <c r="R75" s="1">
        <v>8192.0</v>
      </c>
      <c r="S75" s="1" t="s">
        <v>34</v>
      </c>
      <c r="T75" s="1" t="s">
        <v>35</v>
      </c>
      <c r="U75" s="1">
        <v>-372.75</v>
      </c>
      <c r="V75" s="1" t="s">
        <v>38</v>
      </c>
      <c r="W75" s="2">
        <v>46108.0</v>
      </c>
      <c r="X75" s="1">
        <v>2026.0</v>
      </c>
    </row>
    <row r="76" ht="14.25" customHeight="1">
      <c r="A76" s="2">
        <v>46133.0</v>
      </c>
      <c r="B76" s="1" t="s">
        <v>225</v>
      </c>
      <c r="C76" s="1" t="s">
        <v>226</v>
      </c>
      <c r="E76" s="1" t="s">
        <v>227</v>
      </c>
      <c r="F76" s="1" t="s">
        <v>27</v>
      </c>
      <c r="G76" s="1" t="s">
        <v>54</v>
      </c>
      <c r="H76" s="1" t="s">
        <v>29</v>
      </c>
      <c r="I76" s="1" t="s">
        <v>30</v>
      </c>
      <c r="J76" s="1" t="s">
        <v>31</v>
      </c>
      <c r="L76" s="2">
        <v>46143.0</v>
      </c>
      <c r="M76" s="2">
        <v>46143.0</v>
      </c>
      <c r="O76" s="1">
        <v>2.0253958E7</v>
      </c>
      <c r="P76" s="1" t="s">
        <v>32</v>
      </c>
      <c r="Q76" s="1" t="s">
        <v>228</v>
      </c>
      <c r="R76" s="1">
        <v>8192.0</v>
      </c>
      <c r="S76" s="1" t="s">
        <v>34</v>
      </c>
      <c r="T76" s="1" t="s">
        <v>35</v>
      </c>
      <c r="U76" s="1">
        <v>43.34</v>
      </c>
      <c r="V76" s="1" t="s">
        <v>38</v>
      </c>
      <c r="W76" s="2">
        <v>46119.0</v>
      </c>
      <c r="X76" s="1">
        <v>2026.0</v>
      </c>
    </row>
    <row r="77" ht="14.25" customHeight="1">
      <c r="A77" s="2">
        <v>46133.0</v>
      </c>
      <c r="B77" s="1" t="s">
        <v>229</v>
      </c>
      <c r="C77" s="1" t="s">
        <v>230</v>
      </c>
      <c r="E77" s="1" t="s">
        <v>231</v>
      </c>
      <c r="F77" s="1" t="s">
        <v>232</v>
      </c>
      <c r="G77" s="1" t="s">
        <v>28</v>
      </c>
      <c r="H77" s="1" t="s">
        <v>29</v>
      </c>
      <c r="I77" s="1" t="s">
        <v>180</v>
      </c>
      <c r="J77" s="1" t="s">
        <v>233</v>
      </c>
      <c r="L77" s="2">
        <v>46113.0</v>
      </c>
      <c r="M77" s="2">
        <v>46113.0</v>
      </c>
      <c r="O77" s="1">
        <v>1.9200754E7</v>
      </c>
      <c r="P77" s="1" t="s">
        <v>32</v>
      </c>
      <c r="Q77" s="1" t="s">
        <v>234</v>
      </c>
      <c r="R77" s="1">
        <v>8192.0</v>
      </c>
      <c r="S77" s="1" t="s">
        <v>34</v>
      </c>
      <c r="T77" s="1" t="s">
        <v>35</v>
      </c>
      <c r="U77" s="1">
        <v>844.0</v>
      </c>
      <c r="V77" s="1" t="s">
        <v>36</v>
      </c>
      <c r="W77" s="2">
        <v>46091.0</v>
      </c>
      <c r="X77" s="1">
        <v>2026.0</v>
      </c>
    </row>
    <row r="78" ht="14.25" customHeight="1">
      <c r="A78" s="2">
        <v>46133.0</v>
      </c>
      <c r="B78" s="1" t="s">
        <v>229</v>
      </c>
      <c r="C78" s="1" t="s">
        <v>230</v>
      </c>
      <c r="E78" s="1" t="s">
        <v>231</v>
      </c>
      <c r="F78" s="1" t="s">
        <v>232</v>
      </c>
      <c r="G78" s="1" t="s">
        <v>37</v>
      </c>
      <c r="H78" s="1" t="s">
        <v>29</v>
      </c>
      <c r="I78" s="1" t="s">
        <v>180</v>
      </c>
      <c r="J78" s="1" t="s">
        <v>233</v>
      </c>
      <c r="L78" s="2">
        <v>46113.0</v>
      </c>
      <c r="M78" s="2">
        <v>46113.0</v>
      </c>
      <c r="O78" s="1">
        <v>1.9200754E7</v>
      </c>
      <c r="P78" s="1" t="s">
        <v>32</v>
      </c>
      <c r="Q78" s="1" t="s">
        <v>234</v>
      </c>
      <c r="R78" s="1">
        <v>8192.0</v>
      </c>
      <c r="S78" s="1" t="s">
        <v>34</v>
      </c>
      <c r="T78" s="1" t="s">
        <v>35</v>
      </c>
      <c r="U78" s="1">
        <v>-372.75</v>
      </c>
      <c r="V78" s="1" t="s">
        <v>38</v>
      </c>
      <c r="W78" s="2">
        <v>46091.0</v>
      </c>
      <c r="X78" s="1">
        <v>2026.0</v>
      </c>
    </row>
    <row r="79" ht="14.25" customHeight="1">
      <c r="A79" s="2">
        <v>46133.0</v>
      </c>
      <c r="B79" s="1" t="s">
        <v>235</v>
      </c>
      <c r="C79" s="1" t="s">
        <v>236</v>
      </c>
      <c r="E79" s="1" t="s">
        <v>237</v>
      </c>
      <c r="F79" s="1" t="s">
        <v>42</v>
      </c>
      <c r="G79" s="1" t="s">
        <v>28</v>
      </c>
      <c r="H79" s="1" t="s">
        <v>29</v>
      </c>
      <c r="I79" s="1" t="s">
        <v>89</v>
      </c>
      <c r="J79" s="1" t="s">
        <v>148</v>
      </c>
      <c r="L79" s="2">
        <v>46174.0</v>
      </c>
      <c r="M79" s="2">
        <v>46174.0</v>
      </c>
      <c r="O79" s="1">
        <v>1.9645587E7</v>
      </c>
      <c r="P79" s="1" t="s">
        <v>32</v>
      </c>
      <c r="Q79" s="1" t="s">
        <v>238</v>
      </c>
      <c r="R79" s="1">
        <v>8192.0</v>
      </c>
      <c r="S79" s="1" t="s">
        <v>34</v>
      </c>
      <c r="T79" s="1" t="s">
        <v>35</v>
      </c>
      <c r="U79" s="1">
        <v>844.0</v>
      </c>
      <c r="V79" s="1" t="s">
        <v>36</v>
      </c>
      <c r="W79" s="2">
        <v>46092.0</v>
      </c>
      <c r="X79" s="1">
        <v>2026.0</v>
      </c>
    </row>
    <row r="80" ht="14.25" customHeight="1">
      <c r="A80" s="2">
        <v>46133.0</v>
      </c>
      <c r="B80" s="1" t="s">
        <v>235</v>
      </c>
      <c r="C80" s="1" t="s">
        <v>236</v>
      </c>
      <c r="E80" s="1" t="s">
        <v>237</v>
      </c>
      <c r="F80" s="1" t="s">
        <v>42</v>
      </c>
      <c r="G80" s="1" t="s">
        <v>37</v>
      </c>
      <c r="H80" s="1" t="s">
        <v>29</v>
      </c>
      <c r="I80" s="1" t="s">
        <v>89</v>
      </c>
      <c r="J80" s="1" t="s">
        <v>148</v>
      </c>
      <c r="L80" s="2">
        <v>46174.0</v>
      </c>
      <c r="M80" s="2">
        <v>46174.0</v>
      </c>
      <c r="O80" s="1">
        <v>1.9645587E7</v>
      </c>
      <c r="P80" s="1" t="s">
        <v>32</v>
      </c>
      <c r="Q80" s="1" t="s">
        <v>238</v>
      </c>
      <c r="R80" s="1">
        <v>8192.0</v>
      </c>
      <c r="S80" s="1" t="s">
        <v>34</v>
      </c>
      <c r="T80" s="1" t="s">
        <v>35</v>
      </c>
      <c r="U80" s="1">
        <v>-289.92</v>
      </c>
      <c r="V80" s="1" t="s">
        <v>38</v>
      </c>
      <c r="W80" s="2">
        <v>46092.0</v>
      </c>
      <c r="X80" s="1">
        <v>2026.0</v>
      </c>
    </row>
    <row r="81" ht="14.25" customHeight="1">
      <c r="A81" s="2">
        <v>46133.0</v>
      </c>
      <c r="B81" s="1" t="s">
        <v>239</v>
      </c>
      <c r="C81" s="1" t="s">
        <v>240</v>
      </c>
      <c r="E81" s="1" t="s">
        <v>241</v>
      </c>
      <c r="F81" s="1" t="s">
        <v>78</v>
      </c>
      <c r="G81" s="1" t="s">
        <v>28</v>
      </c>
      <c r="H81" s="1" t="s">
        <v>29</v>
      </c>
      <c r="I81" s="1" t="s">
        <v>79</v>
      </c>
      <c r="J81" s="1" t="s">
        <v>188</v>
      </c>
      <c r="L81" s="2">
        <v>46113.0</v>
      </c>
      <c r="M81" s="2">
        <v>46113.0</v>
      </c>
      <c r="O81" s="1">
        <v>1.8142208E7</v>
      </c>
      <c r="P81" s="1" t="s">
        <v>32</v>
      </c>
      <c r="Q81" s="1" t="s">
        <v>199</v>
      </c>
      <c r="R81" s="1">
        <v>8192.0</v>
      </c>
      <c r="S81" s="1" t="s">
        <v>34</v>
      </c>
      <c r="T81" s="1" t="s">
        <v>35</v>
      </c>
      <c r="U81" s="1">
        <v>844.0</v>
      </c>
      <c r="V81" s="1" t="s">
        <v>36</v>
      </c>
      <c r="W81" s="2">
        <v>46092.0</v>
      </c>
      <c r="X81" s="1">
        <v>2026.0</v>
      </c>
    </row>
    <row r="82" ht="14.25" customHeight="1">
      <c r="A82" s="2">
        <v>46133.0</v>
      </c>
      <c r="B82" s="1" t="s">
        <v>239</v>
      </c>
      <c r="C82" s="1" t="s">
        <v>240</v>
      </c>
      <c r="E82" s="1" t="s">
        <v>241</v>
      </c>
      <c r="F82" s="1" t="s">
        <v>78</v>
      </c>
      <c r="G82" s="1" t="s">
        <v>37</v>
      </c>
      <c r="H82" s="1" t="s">
        <v>29</v>
      </c>
      <c r="I82" s="1" t="s">
        <v>79</v>
      </c>
      <c r="J82" s="1" t="s">
        <v>188</v>
      </c>
      <c r="L82" s="2">
        <v>46113.0</v>
      </c>
      <c r="M82" s="2">
        <v>46113.0</v>
      </c>
      <c r="O82" s="1">
        <v>1.8142208E7</v>
      </c>
      <c r="P82" s="1" t="s">
        <v>32</v>
      </c>
      <c r="Q82" s="1" t="s">
        <v>199</v>
      </c>
      <c r="R82" s="1">
        <v>8192.0</v>
      </c>
      <c r="S82" s="1" t="s">
        <v>34</v>
      </c>
      <c r="T82" s="1" t="s">
        <v>35</v>
      </c>
      <c r="U82" s="1">
        <v>-372.75</v>
      </c>
      <c r="V82" s="1" t="s">
        <v>38</v>
      </c>
      <c r="W82" s="2">
        <v>46092.0</v>
      </c>
      <c r="X82" s="1">
        <v>2026.0</v>
      </c>
    </row>
    <row r="83" ht="14.25" customHeight="1">
      <c r="A83" s="2">
        <v>46133.0</v>
      </c>
      <c r="B83" s="1" t="s">
        <v>242</v>
      </c>
      <c r="C83" s="1" t="s">
        <v>243</v>
      </c>
      <c r="E83" s="1" t="s">
        <v>244</v>
      </c>
      <c r="F83" s="1" t="s">
        <v>42</v>
      </c>
      <c r="G83" s="1" t="s">
        <v>28</v>
      </c>
      <c r="H83" s="1" t="s">
        <v>29</v>
      </c>
      <c r="I83" s="1" t="s">
        <v>43</v>
      </c>
      <c r="J83" s="1" t="s">
        <v>44</v>
      </c>
      <c r="L83" s="2">
        <v>46113.0</v>
      </c>
      <c r="M83" s="2">
        <v>46113.0</v>
      </c>
      <c r="O83" s="1">
        <v>8244481.0</v>
      </c>
      <c r="P83" s="1" t="s">
        <v>32</v>
      </c>
      <c r="Q83" s="1" t="s">
        <v>67</v>
      </c>
      <c r="R83" s="1">
        <v>8192.0</v>
      </c>
      <c r="S83" s="1" t="s">
        <v>34</v>
      </c>
      <c r="T83" s="1" t="s">
        <v>35</v>
      </c>
      <c r="U83" s="1">
        <v>844.0</v>
      </c>
      <c r="V83" s="1" t="s">
        <v>36</v>
      </c>
      <c r="W83" s="2">
        <v>46092.0</v>
      </c>
      <c r="X83" s="1">
        <v>2026.0</v>
      </c>
    </row>
    <row r="84" ht="14.25" customHeight="1">
      <c r="A84" s="2">
        <v>46133.0</v>
      </c>
      <c r="B84" s="1" t="s">
        <v>242</v>
      </c>
      <c r="C84" s="1" t="s">
        <v>243</v>
      </c>
      <c r="E84" s="1" t="s">
        <v>244</v>
      </c>
      <c r="F84" s="1" t="s">
        <v>42</v>
      </c>
      <c r="G84" s="1" t="s">
        <v>37</v>
      </c>
      <c r="H84" s="1" t="s">
        <v>29</v>
      </c>
      <c r="I84" s="1" t="s">
        <v>43</v>
      </c>
      <c r="J84" s="1" t="s">
        <v>44</v>
      </c>
      <c r="L84" s="2">
        <v>46113.0</v>
      </c>
      <c r="M84" s="2">
        <v>46113.0</v>
      </c>
      <c r="O84" s="1">
        <v>8244481.0</v>
      </c>
      <c r="P84" s="1" t="s">
        <v>32</v>
      </c>
      <c r="Q84" s="1" t="s">
        <v>67</v>
      </c>
      <c r="R84" s="1">
        <v>8192.0</v>
      </c>
      <c r="S84" s="1" t="s">
        <v>34</v>
      </c>
      <c r="T84" s="1" t="s">
        <v>35</v>
      </c>
      <c r="U84" s="1">
        <v>-372.75</v>
      </c>
      <c r="V84" s="1" t="s">
        <v>38</v>
      </c>
      <c r="W84" s="2">
        <v>46092.0</v>
      </c>
      <c r="X84" s="1">
        <v>2026.0</v>
      </c>
    </row>
    <row r="85" ht="14.25" customHeight="1">
      <c r="A85" s="2"/>
      <c r="L85" s="2"/>
      <c r="M85" s="2"/>
      <c r="W85" s="2"/>
    </row>
    <row r="86" ht="14.25" customHeight="1">
      <c r="A86" s="2"/>
      <c r="L86" s="2"/>
      <c r="M86" s="2"/>
      <c r="W86" s="2"/>
    </row>
    <row r="87" ht="14.25" customHeight="1">
      <c r="A87" s="2"/>
      <c r="L87" s="2"/>
      <c r="M87" s="2"/>
      <c r="W87" s="2"/>
    </row>
    <row r="88" ht="14.25" customHeight="1">
      <c r="A88" s="2"/>
      <c r="L88" s="2"/>
      <c r="M88" s="2"/>
      <c r="W88" s="2"/>
    </row>
    <row r="89" ht="14.25" customHeight="1">
      <c r="A89" s="2"/>
      <c r="L89" s="2"/>
      <c r="M89" s="2"/>
      <c r="W89" s="2"/>
    </row>
    <row r="90" ht="14.25" customHeight="1">
      <c r="A90" s="2"/>
      <c r="L90" s="2"/>
      <c r="M90" s="2"/>
      <c r="W90" s="2"/>
    </row>
    <row r="91" ht="14.25" customHeight="1">
      <c r="A91" s="2"/>
      <c r="L91" s="2"/>
      <c r="M91" s="2"/>
      <c r="W91" s="2"/>
    </row>
    <row r="92" ht="14.25" customHeight="1">
      <c r="A92" s="2"/>
      <c r="L92" s="2"/>
      <c r="M92" s="2"/>
      <c r="W92" s="2"/>
    </row>
    <row r="93" ht="14.25" customHeight="1">
      <c r="A93" s="2"/>
      <c r="L93" s="2"/>
      <c r="M93" s="2"/>
      <c r="W93" s="2"/>
    </row>
    <row r="94" ht="14.25" customHeight="1">
      <c r="A94" s="2"/>
      <c r="L94" s="2"/>
      <c r="M94" s="2"/>
      <c r="W94" s="2"/>
    </row>
    <row r="95" ht="14.25" customHeight="1">
      <c r="A95" s="2"/>
      <c r="L95" s="2"/>
      <c r="M95" s="2"/>
      <c r="W95" s="2"/>
    </row>
    <row r="96" ht="14.25" customHeight="1">
      <c r="A96" s="2"/>
      <c r="L96" s="2"/>
      <c r="M96" s="2"/>
      <c r="W96" s="2"/>
    </row>
    <row r="97" ht="14.25" customHeight="1">
      <c r="A97" s="2"/>
      <c r="L97" s="2"/>
      <c r="M97" s="2"/>
      <c r="W97" s="2"/>
    </row>
    <row r="98" ht="14.25" customHeight="1">
      <c r="A98" s="2"/>
      <c r="L98" s="2"/>
      <c r="M98" s="2"/>
      <c r="W98" s="2"/>
    </row>
    <row r="99" ht="14.25" customHeight="1">
      <c r="A99" s="2"/>
      <c r="L99" s="2"/>
      <c r="M99" s="2"/>
      <c r="W99" s="2"/>
    </row>
    <row r="100" ht="14.25" customHeight="1">
      <c r="A100" s="2"/>
      <c r="L100" s="2"/>
      <c r="M100" s="2"/>
      <c r="W100" s="2"/>
    </row>
    <row r="101" ht="14.25" customHeight="1">
      <c r="A101" s="2"/>
      <c r="L101" s="2"/>
      <c r="M101" s="2"/>
      <c r="W101" s="2"/>
    </row>
    <row r="102" ht="14.25" customHeight="1">
      <c r="A102" s="2"/>
      <c r="L102" s="2"/>
      <c r="M102" s="2"/>
      <c r="W102" s="2"/>
    </row>
    <row r="103" ht="14.25" customHeight="1">
      <c r="A103" s="2"/>
      <c r="L103" s="2"/>
      <c r="M103" s="2"/>
      <c r="W103" s="2"/>
    </row>
    <row r="104" ht="14.25" customHeight="1">
      <c r="A104" s="2"/>
      <c r="L104" s="2"/>
      <c r="M104" s="2"/>
      <c r="W104" s="2"/>
    </row>
    <row r="105" ht="14.25" customHeight="1">
      <c r="A105" s="2"/>
      <c r="L105" s="2"/>
      <c r="M105" s="2"/>
      <c r="W105" s="2"/>
    </row>
    <row r="106" ht="14.25" customHeight="1">
      <c r="A106" s="2"/>
      <c r="L106" s="2"/>
      <c r="M106" s="2"/>
      <c r="W106" s="2"/>
    </row>
    <row r="107" ht="14.25" customHeight="1">
      <c r="A107" s="2"/>
      <c r="L107" s="2"/>
      <c r="M107" s="2"/>
      <c r="W107" s="2"/>
    </row>
    <row r="108" ht="14.25" customHeight="1">
      <c r="A108" s="2"/>
      <c r="L108" s="2"/>
      <c r="M108" s="2"/>
      <c r="W108" s="2"/>
    </row>
    <row r="109" ht="14.25" customHeight="1">
      <c r="A109" s="2"/>
      <c r="L109" s="2"/>
      <c r="M109" s="2"/>
      <c r="W109" s="2"/>
    </row>
    <row r="110" ht="14.25" customHeight="1">
      <c r="A110" s="2"/>
      <c r="L110" s="2"/>
      <c r="M110" s="2"/>
      <c r="W110" s="2"/>
    </row>
    <row r="111" ht="14.25" customHeight="1">
      <c r="A111" s="2"/>
      <c r="L111" s="2"/>
      <c r="M111" s="2"/>
      <c r="W111" s="2"/>
    </row>
    <row r="112" ht="14.25" customHeight="1">
      <c r="A112" s="2"/>
      <c r="L112" s="2"/>
      <c r="M112" s="2"/>
      <c r="W112" s="2"/>
    </row>
    <row r="113" ht="14.25" customHeight="1">
      <c r="A113" s="2"/>
      <c r="L113" s="2"/>
      <c r="M113" s="2"/>
      <c r="W113" s="2"/>
    </row>
    <row r="114" ht="14.25" customHeight="1">
      <c r="A114" s="2"/>
      <c r="L114" s="2"/>
      <c r="M114" s="2"/>
      <c r="W114" s="2"/>
    </row>
    <row r="115" ht="14.25" customHeight="1">
      <c r="A115" s="2"/>
      <c r="L115" s="2"/>
      <c r="M115" s="2"/>
      <c r="W115" s="2"/>
    </row>
    <row r="116" ht="14.25" customHeight="1">
      <c r="A116" s="2"/>
      <c r="L116" s="2"/>
      <c r="M116" s="2"/>
      <c r="W116" s="2"/>
    </row>
    <row r="117" ht="14.25" customHeight="1">
      <c r="A117" s="2"/>
      <c r="L117" s="2"/>
      <c r="M117" s="2"/>
      <c r="W117" s="2"/>
    </row>
    <row r="118" ht="14.25" customHeight="1">
      <c r="A118" s="2"/>
      <c r="L118" s="2"/>
      <c r="M118" s="2"/>
      <c r="W118" s="2"/>
    </row>
    <row r="119" ht="14.25" customHeight="1">
      <c r="A119" s="2"/>
      <c r="L119" s="2"/>
      <c r="M119" s="2"/>
      <c r="W119" s="2"/>
    </row>
    <row r="120" ht="14.25" customHeight="1">
      <c r="A120" s="2"/>
      <c r="L120" s="2"/>
      <c r="M120" s="2"/>
      <c r="W120" s="2"/>
    </row>
    <row r="121" ht="14.25" customHeight="1">
      <c r="A121" s="2"/>
      <c r="L121" s="2"/>
      <c r="M121" s="2"/>
      <c r="W121" s="2"/>
    </row>
    <row r="122" ht="14.25" customHeight="1">
      <c r="A122" s="2"/>
      <c r="L122" s="2"/>
      <c r="M122" s="2"/>
      <c r="W122" s="2"/>
    </row>
    <row r="123" ht="14.25" customHeight="1">
      <c r="A123" s="2"/>
      <c r="L123" s="2"/>
      <c r="M123" s="2"/>
      <c r="W123" s="2"/>
    </row>
    <row r="124" ht="14.25" customHeight="1">
      <c r="A124" s="2"/>
      <c r="L124" s="2"/>
      <c r="M124" s="2"/>
      <c r="W124" s="2"/>
    </row>
    <row r="125" ht="14.25" customHeight="1">
      <c r="A125" s="2"/>
      <c r="L125" s="2"/>
      <c r="M125" s="2"/>
      <c r="W125" s="2"/>
    </row>
    <row r="126" ht="14.25" customHeight="1">
      <c r="A126" s="2"/>
      <c r="L126" s="2"/>
      <c r="M126" s="2"/>
      <c r="W126" s="2"/>
    </row>
    <row r="127" ht="14.25" customHeight="1">
      <c r="A127" s="2"/>
      <c r="L127" s="2"/>
      <c r="M127" s="2"/>
      <c r="W127" s="2"/>
    </row>
    <row r="128" ht="14.25" customHeight="1">
      <c r="A128" s="2"/>
      <c r="L128" s="2"/>
      <c r="M128" s="2"/>
      <c r="W128" s="2"/>
    </row>
    <row r="129" ht="14.25" customHeight="1">
      <c r="A129" s="2"/>
      <c r="L129" s="2"/>
      <c r="M129" s="2"/>
      <c r="W129" s="2"/>
    </row>
    <row r="130" ht="14.25" customHeight="1">
      <c r="A130" s="2"/>
      <c r="L130" s="2"/>
      <c r="M130" s="2"/>
      <c r="W130" s="2"/>
    </row>
    <row r="131" ht="14.25" customHeight="1">
      <c r="A131" s="2"/>
      <c r="L131" s="2"/>
      <c r="M131" s="2"/>
      <c r="W131" s="2"/>
    </row>
    <row r="132" ht="14.25" customHeight="1">
      <c r="A132" s="2"/>
      <c r="L132" s="2"/>
      <c r="M132" s="2"/>
      <c r="W132" s="2"/>
    </row>
    <row r="133" ht="14.25" customHeight="1">
      <c r="A133" s="2"/>
      <c r="L133" s="2"/>
      <c r="M133" s="2"/>
      <c r="W133" s="2"/>
    </row>
    <row r="134" ht="14.25" customHeight="1">
      <c r="A134" s="2"/>
      <c r="L134" s="2"/>
      <c r="M134" s="2"/>
      <c r="W134" s="2"/>
    </row>
    <row r="135" ht="14.25" customHeight="1">
      <c r="A135" s="2"/>
      <c r="L135" s="2"/>
      <c r="M135" s="2"/>
      <c r="W135" s="2"/>
    </row>
    <row r="136" ht="14.25" customHeight="1">
      <c r="A136" s="2"/>
      <c r="L136" s="2"/>
      <c r="M136" s="2"/>
      <c r="W136" s="2"/>
    </row>
    <row r="137" ht="14.25" customHeight="1">
      <c r="A137" s="2"/>
      <c r="L137" s="2"/>
      <c r="M137" s="2"/>
      <c r="W137" s="2"/>
    </row>
    <row r="138" ht="14.25" customHeight="1">
      <c r="A138" s="2"/>
      <c r="L138" s="2"/>
      <c r="M138" s="2"/>
      <c r="W138" s="2"/>
    </row>
    <row r="139" ht="14.25" customHeight="1">
      <c r="A139" s="2"/>
      <c r="L139" s="2"/>
      <c r="M139" s="2"/>
      <c r="W139" s="2"/>
    </row>
    <row r="140" ht="14.25" customHeight="1">
      <c r="A140" s="2"/>
      <c r="L140" s="2"/>
      <c r="M140" s="2"/>
      <c r="W140" s="2"/>
    </row>
    <row r="141" ht="14.25" customHeight="1">
      <c r="A141" s="2"/>
      <c r="L141" s="2"/>
      <c r="M141" s="2"/>
      <c r="W141" s="2"/>
    </row>
    <row r="142" ht="14.25" customHeight="1">
      <c r="A142" s="2"/>
      <c r="L142" s="2"/>
      <c r="M142" s="2"/>
      <c r="W142" s="2"/>
    </row>
    <row r="143" ht="14.25" customHeight="1">
      <c r="A143" s="2"/>
      <c r="L143" s="2"/>
      <c r="M143" s="2"/>
      <c r="W143" s="2"/>
    </row>
    <row r="144" ht="14.25" customHeight="1">
      <c r="A144" s="2"/>
      <c r="L144" s="2"/>
      <c r="M144" s="2"/>
      <c r="W144" s="2"/>
    </row>
    <row r="145" ht="14.25" customHeight="1">
      <c r="A145" s="2"/>
      <c r="L145" s="2"/>
      <c r="M145" s="2"/>
      <c r="N145" s="2"/>
      <c r="W145" s="2"/>
    </row>
    <row r="146" ht="14.25" customHeight="1">
      <c r="A146" s="2"/>
      <c r="L146" s="2"/>
      <c r="M146" s="2"/>
      <c r="W146" s="2"/>
    </row>
    <row r="147" ht="14.25" customHeight="1">
      <c r="A147" s="2"/>
      <c r="L147" s="2"/>
      <c r="M147" s="2"/>
      <c r="W147" s="2"/>
    </row>
    <row r="148" ht="14.25" customHeight="1">
      <c r="A148" s="2"/>
      <c r="L148" s="2"/>
      <c r="M148" s="2"/>
      <c r="W148" s="2"/>
    </row>
    <row r="149" ht="14.25" customHeight="1">
      <c r="A149" s="2"/>
      <c r="L149" s="2"/>
      <c r="M149" s="2"/>
      <c r="W149" s="2"/>
    </row>
    <row r="150" ht="14.25" customHeight="1">
      <c r="A150" s="2"/>
      <c r="L150" s="2"/>
      <c r="M150" s="2"/>
      <c r="W150" s="2"/>
    </row>
    <row r="151" ht="14.25" customHeight="1">
      <c r="A151" s="2"/>
      <c r="L151" s="2"/>
      <c r="M151" s="2"/>
      <c r="W151" s="2"/>
    </row>
    <row r="152" ht="14.25" customHeight="1">
      <c r="A152" s="2"/>
      <c r="L152" s="2"/>
      <c r="M152" s="2"/>
      <c r="W152" s="2"/>
    </row>
    <row r="153" ht="14.25" customHeight="1">
      <c r="A153" s="2"/>
      <c r="L153" s="2"/>
      <c r="M153" s="2"/>
      <c r="W153" s="2"/>
    </row>
    <row r="154" ht="14.25" customHeight="1">
      <c r="A154" s="2"/>
      <c r="L154" s="2"/>
      <c r="M154" s="2"/>
      <c r="W154" s="2"/>
    </row>
    <row r="155" ht="14.25" customHeight="1">
      <c r="A155" s="2"/>
      <c r="L155" s="2"/>
      <c r="M155" s="2"/>
      <c r="W155" s="2"/>
    </row>
    <row r="156" ht="14.25" customHeight="1">
      <c r="A156" s="2"/>
      <c r="L156" s="2"/>
      <c r="M156" s="2"/>
      <c r="W156" s="2"/>
    </row>
    <row r="157" ht="14.25" customHeight="1">
      <c r="A157" s="2"/>
      <c r="L157" s="2"/>
      <c r="M157" s="2"/>
      <c r="W157" s="2"/>
    </row>
    <row r="158" ht="14.25" customHeight="1">
      <c r="A158" s="2"/>
      <c r="L158" s="2"/>
      <c r="M158" s="2"/>
      <c r="W158" s="2"/>
    </row>
    <row r="159" ht="14.25" customHeight="1">
      <c r="A159" s="2"/>
      <c r="L159" s="2"/>
      <c r="M159" s="2"/>
      <c r="W159" s="2"/>
    </row>
    <row r="160" ht="14.25" customHeight="1">
      <c r="A160" s="2"/>
      <c r="L160" s="2"/>
      <c r="M160" s="2"/>
      <c r="W160" s="2"/>
    </row>
    <row r="161" ht="14.25" customHeight="1">
      <c r="A161" s="2"/>
      <c r="L161" s="2"/>
      <c r="M161" s="2"/>
      <c r="W161" s="2"/>
    </row>
    <row r="162" ht="14.25" customHeight="1">
      <c r="A162" s="2"/>
      <c r="L162" s="2"/>
      <c r="M162" s="2"/>
      <c r="W162" s="2"/>
    </row>
    <row r="163" ht="14.25" customHeight="1">
      <c r="A163" s="2"/>
      <c r="L163" s="2"/>
      <c r="M163" s="2"/>
      <c r="W163" s="2"/>
    </row>
    <row r="164" ht="14.25" customHeight="1">
      <c r="A164" s="2"/>
      <c r="L164" s="2"/>
      <c r="M164" s="2"/>
      <c r="W164" s="2"/>
    </row>
    <row r="165" ht="14.25" customHeight="1">
      <c r="A165" s="2"/>
      <c r="L165" s="2"/>
      <c r="M165" s="2"/>
      <c r="W165" s="2"/>
    </row>
    <row r="166" ht="14.25" customHeight="1">
      <c r="A166" s="2"/>
      <c r="L166" s="2"/>
      <c r="M166" s="2"/>
      <c r="W166" s="2"/>
    </row>
    <row r="167" ht="14.25" customHeight="1">
      <c r="A167" s="2"/>
      <c r="L167" s="2"/>
      <c r="M167" s="2"/>
      <c r="W167" s="2"/>
    </row>
    <row r="168" ht="14.25" customHeight="1">
      <c r="A168" s="2"/>
      <c r="L168" s="2"/>
      <c r="M168" s="2"/>
      <c r="W168" s="2"/>
    </row>
    <row r="169" ht="14.25" customHeight="1">
      <c r="A169" s="2"/>
      <c r="L169" s="2"/>
      <c r="M169" s="2"/>
      <c r="W169" s="2"/>
    </row>
    <row r="170" ht="14.25" customHeight="1">
      <c r="A170" s="2"/>
      <c r="L170" s="2"/>
      <c r="M170" s="2"/>
      <c r="W170" s="2"/>
    </row>
    <row r="171" ht="14.25" customHeight="1">
      <c r="A171" s="2"/>
      <c r="L171" s="2"/>
      <c r="M171" s="2"/>
      <c r="W171" s="2"/>
    </row>
    <row r="172" ht="14.25" customHeight="1">
      <c r="A172" s="2"/>
      <c r="L172" s="2"/>
      <c r="M172" s="2"/>
      <c r="W172" s="2"/>
    </row>
    <row r="173" ht="14.25" customHeight="1">
      <c r="A173" s="2"/>
      <c r="L173" s="2"/>
      <c r="M173" s="2"/>
      <c r="W173" s="2"/>
    </row>
    <row r="174" ht="14.25" customHeight="1">
      <c r="A174" s="2"/>
      <c r="L174" s="2"/>
      <c r="M174" s="2"/>
      <c r="W174" s="2"/>
    </row>
    <row r="175" ht="14.25" customHeight="1">
      <c r="A175" s="2"/>
      <c r="L175" s="2"/>
      <c r="M175" s="2"/>
      <c r="W175" s="2"/>
    </row>
    <row r="176" ht="14.25" customHeight="1">
      <c r="A176" s="2"/>
      <c r="L176" s="2"/>
      <c r="M176" s="2"/>
      <c r="W176" s="2"/>
    </row>
    <row r="177" ht="14.25" customHeight="1">
      <c r="A177" s="2"/>
      <c r="L177" s="2"/>
      <c r="M177" s="2"/>
      <c r="W177" s="2"/>
    </row>
    <row r="178" ht="14.25" customHeight="1">
      <c r="A178" s="2"/>
      <c r="L178" s="2"/>
      <c r="M178" s="2"/>
      <c r="W178" s="2"/>
    </row>
    <row r="179" ht="14.25" customHeight="1">
      <c r="A179" s="2"/>
      <c r="L179" s="2"/>
      <c r="M179" s="2"/>
      <c r="W179" s="2"/>
    </row>
    <row r="180" ht="14.25" customHeight="1">
      <c r="A180" s="2"/>
      <c r="L180" s="2"/>
      <c r="M180" s="2"/>
      <c r="W180" s="2"/>
    </row>
    <row r="181" ht="14.25" customHeight="1">
      <c r="A181" s="2"/>
      <c r="L181" s="2"/>
      <c r="M181" s="2"/>
      <c r="W181" s="2"/>
    </row>
    <row r="182" ht="14.25" customHeight="1">
      <c r="A182" s="2"/>
      <c r="L182" s="2"/>
      <c r="M182" s="2"/>
      <c r="W182" s="2"/>
    </row>
    <row r="183" ht="14.25" customHeight="1">
      <c r="A183" s="2"/>
      <c r="L183" s="2"/>
      <c r="M183" s="2"/>
      <c r="W183" s="2"/>
    </row>
    <row r="184" ht="14.25" customHeight="1">
      <c r="A184" s="2"/>
      <c r="L184" s="2"/>
      <c r="M184" s="2"/>
      <c r="W184" s="2"/>
    </row>
    <row r="185" ht="14.25" customHeight="1">
      <c r="A185" s="2"/>
      <c r="L185" s="2"/>
      <c r="M185" s="2"/>
      <c r="W185" s="2"/>
    </row>
    <row r="186" ht="14.25" customHeight="1">
      <c r="A186" s="2"/>
      <c r="L186" s="2"/>
      <c r="M186" s="2"/>
      <c r="W186" s="2"/>
    </row>
    <row r="187" ht="14.25" customHeight="1">
      <c r="A187" s="2"/>
      <c r="L187" s="2"/>
      <c r="M187" s="2"/>
      <c r="W187" s="2"/>
    </row>
    <row r="188" ht="14.25" customHeight="1">
      <c r="A188" s="2"/>
      <c r="L188" s="2"/>
      <c r="M188" s="2"/>
      <c r="W188" s="2"/>
    </row>
    <row r="189" ht="14.25" customHeight="1">
      <c r="A189" s="2"/>
      <c r="L189" s="2"/>
      <c r="M189" s="2"/>
      <c r="N189" s="2"/>
      <c r="W189" s="2"/>
    </row>
    <row r="190" ht="14.25" customHeight="1">
      <c r="A190" s="2"/>
      <c r="L190" s="2"/>
      <c r="M190" s="2"/>
      <c r="W190" s="2"/>
    </row>
    <row r="191" ht="14.25" customHeight="1">
      <c r="A191" s="2"/>
      <c r="L191" s="2"/>
      <c r="M191" s="2"/>
      <c r="W191" s="2"/>
    </row>
    <row r="192" ht="14.25" customHeight="1">
      <c r="A192" s="2"/>
      <c r="L192" s="2"/>
      <c r="M192" s="2"/>
      <c r="W192" s="2"/>
    </row>
    <row r="193" ht="14.25" customHeight="1">
      <c r="A193" s="2"/>
      <c r="L193" s="2"/>
      <c r="M193" s="2"/>
      <c r="W193" s="2"/>
    </row>
    <row r="194" ht="14.25" customHeight="1">
      <c r="A194" s="2"/>
      <c r="L194" s="2"/>
      <c r="M194" s="2"/>
      <c r="W194" s="2"/>
    </row>
    <row r="195" ht="14.25" customHeight="1">
      <c r="A195" s="2"/>
      <c r="L195" s="2"/>
      <c r="M195" s="2"/>
      <c r="W195" s="2"/>
    </row>
    <row r="196" ht="14.25" customHeight="1">
      <c r="A196" s="2"/>
      <c r="L196" s="2"/>
      <c r="M196" s="2"/>
      <c r="W196" s="2"/>
    </row>
    <row r="197" ht="14.25" customHeight="1">
      <c r="A197" s="2"/>
      <c r="L197" s="2"/>
      <c r="M197" s="2"/>
      <c r="W197" s="2"/>
    </row>
    <row r="198" ht="14.25" customHeight="1">
      <c r="A198" s="2"/>
      <c r="L198" s="2"/>
      <c r="M198" s="2"/>
      <c r="W198" s="2"/>
    </row>
    <row r="199" ht="14.25" customHeight="1">
      <c r="A199" s="2"/>
      <c r="L199" s="2"/>
      <c r="M199" s="2"/>
      <c r="W199" s="2"/>
    </row>
    <row r="200" ht="14.25" customHeight="1">
      <c r="A200" s="2"/>
      <c r="L200" s="2"/>
      <c r="M200" s="2"/>
      <c r="W200" s="2"/>
    </row>
    <row r="201" ht="14.25" customHeight="1">
      <c r="A201" s="2"/>
      <c r="L201" s="2"/>
      <c r="M201" s="2"/>
      <c r="W201" s="2"/>
    </row>
    <row r="202" ht="14.25" customHeight="1">
      <c r="A202" s="2"/>
      <c r="L202" s="2"/>
      <c r="M202" s="2"/>
      <c r="W202" s="2"/>
    </row>
    <row r="203" ht="14.25" customHeight="1">
      <c r="A203" s="2"/>
      <c r="L203" s="2"/>
      <c r="M203" s="2"/>
      <c r="W203" s="2"/>
    </row>
    <row r="204" ht="14.25" customHeight="1">
      <c r="A204" s="2"/>
      <c r="L204" s="2"/>
      <c r="M204" s="2"/>
      <c r="W204" s="2"/>
    </row>
    <row r="205" ht="14.25" customHeight="1">
      <c r="A205" s="2"/>
      <c r="L205" s="2"/>
      <c r="M205" s="2"/>
      <c r="W205" s="2"/>
    </row>
    <row r="206" ht="14.25" customHeight="1">
      <c r="A206" s="2"/>
      <c r="L206" s="2"/>
      <c r="M206" s="2"/>
      <c r="W206" s="2"/>
    </row>
    <row r="207" ht="14.25" customHeight="1">
      <c r="A207" s="2"/>
      <c r="L207" s="2"/>
      <c r="M207" s="2"/>
      <c r="W207" s="2"/>
    </row>
    <row r="208" ht="14.25" customHeight="1">
      <c r="A208" s="2"/>
      <c r="L208" s="2"/>
      <c r="M208" s="2"/>
      <c r="W208" s="2"/>
    </row>
    <row r="209" ht="14.25" customHeight="1">
      <c r="A209" s="2"/>
      <c r="L209" s="2"/>
      <c r="M209" s="2"/>
      <c r="W209" s="2"/>
    </row>
    <row r="210" ht="14.25" customHeight="1">
      <c r="A210" s="2"/>
      <c r="L210" s="2"/>
      <c r="M210" s="2"/>
      <c r="W210" s="2"/>
    </row>
    <row r="211" ht="14.25" customHeight="1">
      <c r="A211" s="2"/>
      <c r="L211" s="2"/>
      <c r="M211" s="2"/>
      <c r="W211" s="2"/>
    </row>
    <row r="212" ht="14.25" customHeight="1">
      <c r="A212" s="2"/>
      <c r="L212" s="2"/>
      <c r="M212" s="2"/>
      <c r="W212" s="2"/>
    </row>
    <row r="213" ht="14.25" customHeight="1">
      <c r="A213" s="2"/>
      <c r="L213" s="2"/>
      <c r="M213" s="2"/>
      <c r="W213" s="2"/>
    </row>
    <row r="214" ht="14.25" customHeight="1">
      <c r="A214" s="2"/>
      <c r="L214" s="2"/>
      <c r="M214" s="2"/>
      <c r="W214" s="2"/>
    </row>
    <row r="215" ht="14.25" customHeight="1">
      <c r="A215" s="2"/>
      <c r="L215" s="2"/>
      <c r="M215" s="2"/>
      <c r="W215" s="2"/>
    </row>
    <row r="216" ht="14.25" customHeight="1">
      <c r="A216" s="2"/>
      <c r="L216" s="2"/>
      <c r="M216" s="2"/>
      <c r="W216" s="2"/>
    </row>
    <row r="217" ht="14.25" customHeight="1">
      <c r="A217" s="2"/>
      <c r="L217" s="2"/>
      <c r="M217" s="2"/>
      <c r="W217" s="2"/>
    </row>
    <row r="218" ht="14.25" customHeight="1">
      <c r="A218" s="2"/>
      <c r="L218" s="2"/>
      <c r="M218" s="2"/>
      <c r="W218" s="2"/>
    </row>
    <row r="219" ht="14.25" customHeight="1">
      <c r="A219" s="2"/>
      <c r="L219" s="2"/>
      <c r="M219" s="2"/>
      <c r="W219" s="2"/>
    </row>
    <row r="220" ht="14.25" customHeight="1">
      <c r="A220" s="2"/>
      <c r="L220" s="2"/>
      <c r="M220" s="2"/>
      <c r="W220" s="2"/>
    </row>
    <row r="221" ht="14.25" customHeight="1">
      <c r="A221" s="2"/>
      <c r="L221" s="2"/>
      <c r="M221" s="2"/>
      <c r="W221" s="2"/>
    </row>
    <row r="222" ht="14.25" customHeight="1">
      <c r="A222" s="2"/>
      <c r="L222" s="2"/>
      <c r="M222" s="2"/>
      <c r="W222" s="2"/>
    </row>
    <row r="223" ht="14.25" customHeight="1">
      <c r="A223" s="2"/>
      <c r="L223" s="2"/>
      <c r="M223" s="2"/>
      <c r="W223" s="2"/>
    </row>
    <row r="224" ht="14.25" customHeight="1">
      <c r="A224" s="2"/>
      <c r="L224" s="2"/>
      <c r="M224" s="2"/>
      <c r="W224" s="2"/>
    </row>
    <row r="225" ht="14.25" customHeight="1">
      <c r="A225" s="2"/>
      <c r="L225" s="2"/>
      <c r="M225" s="2"/>
      <c r="W225" s="2"/>
    </row>
    <row r="226" ht="14.25" customHeight="1">
      <c r="A226" s="2"/>
      <c r="L226" s="2"/>
      <c r="M226" s="2"/>
      <c r="W226" s="2"/>
    </row>
    <row r="227" ht="14.25" customHeight="1">
      <c r="A227" s="2"/>
      <c r="L227" s="2"/>
      <c r="M227" s="2"/>
      <c r="W227" s="2"/>
    </row>
    <row r="228" ht="14.25" customHeight="1">
      <c r="A228" s="2"/>
      <c r="L228" s="2"/>
      <c r="M228" s="2"/>
      <c r="W228" s="2"/>
    </row>
    <row r="229" ht="14.25" customHeight="1">
      <c r="A229" s="2"/>
      <c r="L229" s="2"/>
      <c r="M229" s="2"/>
      <c r="W229" s="2"/>
    </row>
    <row r="230" ht="14.25" customHeight="1">
      <c r="A230" s="2"/>
      <c r="L230" s="2"/>
      <c r="M230" s="2"/>
      <c r="W230" s="2"/>
    </row>
    <row r="231" ht="14.25" customHeight="1">
      <c r="A231" s="2"/>
      <c r="L231" s="2"/>
      <c r="M231" s="2"/>
      <c r="W231" s="2"/>
    </row>
    <row r="232" ht="14.25" customHeight="1">
      <c r="A232" s="2"/>
      <c r="L232" s="2"/>
      <c r="M232" s="2"/>
      <c r="W232" s="2"/>
    </row>
    <row r="233" ht="14.25" customHeight="1">
      <c r="A233" s="2"/>
      <c r="L233" s="2"/>
      <c r="M233" s="2"/>
      <c r="W233" s="2"/>
    </row>
    <row r="234" ht="14.25" customHeight="1">
      <c r="A234" s="2"/>
      <c r="L234" s="2"/>
      <c r="M234" s="2"/>
      <c r="W234" s="2"/>
    </row>
    <row r="235" ht="14.25" customHeight="1">
      <c r="A235" s="2"/>
      <c r="L235" s="2"/>
      <c r="M235" s="2"/>
      <c r="W235" s="2"/>
    </row>
    <row r="236" ht="14.25" customHeight="1">
      <c r="A236" s="2"/>
      <c r="L236" s="2"/>
      <c r="M236" s="2"/>
      <c r="W236" s="2"/>
    </row>
    <row r="237" ht="14.25" customHeight="1">
      <c r="A237" s="2"/>
      <c r="L237" s="2"/>
      <c r="M237" s="2"/>
      <c r="W237" s="2"/>
    </row>
    <row r="238" ht="14.25" customHeight="1">
      <c r="A238" s="2"/>
      <c r="L238" s="2"/>
      <c r="M238" s="2"/>
      <c r="W238" s="2"/>
    </row>
    <row r="239" ht="14.25" customHeight="1">
      <c r="A239" s="2"/>
      <c r="L239" s="2"/>
      <c r="M239" s="2"/>
      <c r="W239" s="2"/>
    </row>
    <row r="240" ht="14.25" customHeight="1">
      <c r="A240" s="2"/>
      <c r="L240" s="2"/>
      <c r="M240" s="2"/>
      <c r="W240" s="2"/>
    </row>
    <row r="241" ht="14.25" customHeight="1">
      <c r="A241" s="2"/>
      <c r="L241" s="2"/>
      <c r="M241" s="2"/>
      <c r="W241" s="2"/>
    </row>
    <row r="242" ht="14.25" customHeight="1">
      <c r="A242" s="2"/>
      <c r="L242" s="2"/>
      <c r="M242" s="2"/>
      <c r="W242" s="2"/>
    </row>
    <row r="243" ht="14.25" customHeight="1">
      <c r="A243" s="2"/>
      <c r="L243" s="2"/>
      <c r="M243" s="2"/>
      <c r="W243" s="2"/>
    </row>
    <row r="244" ht="14.25" customHeight="1">
      <c r="A244" s="2"/>
      <c r="L244" s="2"/>
      <c r="M244" s="2"/>
      <c r="W244" s="2"/>
    </row>
    <row r="245" ht="14.25" customHeight="1">
      <c r="A245" s="2"/>
      <c r="L245" s="2"/>
      <c r="M245" s="2"/>
      <c r="W245" s="2"/>
    </row>
    <row r="246" ht="14.25" customHeight="1">
      <c r="A246" s="2"/>
      <c r="L246" s="2"/>
      <c r="M246" s="2"/>
      <c r="W246" s="2"/>
    </row>
    <row r="247" ht="14.25" customHeight="1">
      <c r="A247" s="2"/>
      <c r="L247" s="2"/>
      <c r="M247" s="2"/>
      <c r="W247" s="2"/>
    </row>
    <row r="248" ht="14.25" customHeight="1">
      <c r="A248" s="2"/>
      <c r="L248" s="2"/>
      <c r="M248" s="2"/>
      <c r="W248" s="2"/>
    </row>
    <row r="249" ht="14.25" customHeight="1">
      <c r="A249" s="2"/>
      <c r="L249" s="2"/>
      <c r="M249" s="2"/>
      <c r="W249" s="2"/>
    </row>
    <row r="250" ht="14.25" customHeight="1">
      <c r="A250" s="2"/>
      <c r="L250" s="2"/>
      <c r="M250" s="2"/>
      <c r="W250" s="2"/>
    </row>
    <row r="251" ht="14.25" customHeight="1">
      <c r="A251" s="2"/>
      <c r="L251" s="2"/>
      <c r="M251" s="2"/>
      <c r="W251" s="2"/>
    </row>
    <row r="252" ht="14.25" customHeight="1">
      <c r="A252" s="2"/>
      <c r="L252" s="2"/>
      <c r="M252" s="2"/>
      <c r="W252" s="2"/>
    </row>
    <row r="253" ht="14.25" customHeight="1">
      <c r="A253" s="2"/>
      <c r="L253" s="2"/>
      <c r="M253" s="2"/>
      <c r="W253" s="2"/>
    </row>
    <row r="254" ht="14.25" customHeight="1">
      <c r="A254" s="2"/>
      <c r="L254" s="2"/>
      <c r="M254" s="2"/>
      <c r="W254" s="2"/>
    </row>
    <row r="255" ht="14.25" customHeight="1">
      <c r="A255" s="2"/>
      <c r="L255" s="2"/>
      <c r="M255" s="2"/>
      <c r="W255" s="2"/>
    </row>
    <row r="256" ht="14.25" customHeight="1">
      <c r="A256" s="2"/>
      <c r="L256" s="2"/>
      <c r="M256" s="2"/>
      <c r="W256" s="2"/>
    </row>
    <row r="257" ht="14.25" customHeight="1">
      <c r="A257" s="2"/>
      <c r="L257" s="2"/>
      <c r="M257" s="2"/>
      <c r="W257" s="2"/>
    </row>
    <row r="258" ht="14.25" customHeight="1">
      <c r="A258" s="2"/>
      <c r="L258" s="2"/>
      <c r="M258" s="2"/>
      <c r="W258" s="2"/>
    </row>
    <row r="259" ht="14.25" customHeight="1">
      <c r="A259" s="2"/>
      <c r="L259" s="2"/>
      <c r="M259" s="2"/>
      <c r="W259" s="2"/>
    </row>
    <row r="260" ht="14.25" customHeight="1">
      <c r="A260" s="2"/>
      <c r="L260" s="2"/>
      <c r="M260" s="2"/>
      <c r="W260" s="2"/>
    </row>
    <row r="261" ht="14.25" customHeight="1">
      <c r="A261" s="2"/>
      <c r="L261" s="2"/>
      <c r="M261" s="2"/>
      <c r="W261" s="2"/>
    </row>
    <row r="262" ht="14.25" customHeight="1">
      <c r="A262" s="2"/>
      <c r="L262" s="2"/>
      <c r="M262" s="2"/>
      <c r="W262" s="2"/>
    </row>
    <row r="263" ht="14.25" customHeight="1">
      <c r="A263" s="2"/>
      <c r="L263" s="2"/>
      <c r="M263" s="2"/>
      <c r="W263" s="2"/>
    </row>
    <row r="264" ht="14.25" customHeight="1">
      <c r="A264" s="2"/>
      <c r="L264" s="2"/>
      <c r="M264" s="2"/>
      <c r="W264" s="2"/>
    </row>
    <row r="265" ht="14.25" customHeight="1">
      <c r="A265" s="2"/>
      <c r="L265" s="2"/>
      <c r="M265" s="2"/>
      <c r="W265" s="2"/>
    </row>
    <row r="266" ht="14.25" customHeight="1">
      <c r="A266" s="2"/>
      <c r="L266" s="2"/>
      <c r="M266" s="2"/>
      <c r="W266" s="2"/>
    </row>
    <row r="267" ht="14.25" customHeight="1">
      <c r="A267" s="2"/>
      <c r="L267" s="2"/>
      <c r="M267" s="2"/>
      <c r="W267" s="2"/>
    </row>
    <row r="268" ht="14.25" customHeight="1">
      <c r="A268" s="2"/>
      <c r="L268" s="2"/>
      <c r="M268" s="2"/>
      <c r="W268" s="2"/>
    </row>
    <row r="269" ht="14.25" customHeight="1">
      <c r="A269" s="2"/>
      <c r="L269" s="2"/>
      <c r="M269" s="2"/>
      <c r="W269" s="2"/>
    </row>
    <row r="270" ht="14.25" customHeight="1">
      <c r="A270" s="2"/>
      <c r="L270" s="2"/>
      <c r="M270" s="2"/>
      <c r="W270" s="2"/>
    </row>
    <row r="271" ht="14.25" customHeight="1">
      <c r="A271" s="2"/>
      <c r="L271" s="2"/>
      <c r="M271" s="2"/>
      <c r="W271" s="2"/>
    </row>
    <row r="272" ht="14.25" customHeight="1">
      <c r="A272" s="2"/>
      <c r="L272" s="2"/>
      <c r="M272" s="2"/>
      <c r="W272" s="2"/>
    </row>
    <row r="273" ht="14.25" customHeight="1">
      <c r="A273" s="2"/>
      <c r="L273" s="2"/>
      <c r="M273" s="2"/>
      <c r="W273" s="2"/>
    </row>
    <row r="274" ht="14.25" customHeight="1">
      <c r="A274" s="2"/>
      <c r="L274" s="2"/>
      <c r="M274" s="2"/>
      <c r="W274" s="2"/>
    </row>
    <row r="275" ht="14.25" customHeight="1">
      <c r="A275" s="2"/>
      <c r="L275" s="2"/>
      <c r="M275" s="2"/>
      <c r="W275" s="2"/>
    </row>
    <row r="276" ht="14.25" customHeight="1">
      <c r="A276" s="2"/>
      <c r="L276" s="2"/>
      <c r="M276" s="2"/>
      <c r="W276" s="2"/>
    </row>
    <row r="277" ht="14.25" customHeight="1">
      <c r="A277" s="2"/>
      <c r="L277" s="2"/>
      <c r="M277" s="2"/>
      <c r="W277" s="2"/>
    </row>
    <row r="278" ht="14.25" customHeight="1">
      <c r="A278" s="2"/>
      <c r="L278" s="2"/>
      <c r="M278" s="2"/>
      <c r="W278" s="2"/>
    </row>
    <row r="279" ht="14.25" customHeight="1">
      <c r="A279" s="2"/>
      <c r="L279" s="2"/>
      <c r="M279" s="2"/>
      <c r="W279" s="2"/>
    </row>
    <row r="280" ht="14.25" customHeight="1">
      <c r="A280" s="2"/>
      <c r="L280" s="2"/>
      <c r="M280" s="2"/>
      <c r="W280" s="2"/>
    </row>
    <row r="281" ht="14.25" customHeight="1">
      <c r="A281" s="2"/>
      <c r="L281" s="2"/>
      <c r="M281" s="2"/>
      <c r="W281" s="2"/>
    </row>
    <row r="282" ht="14.25" customHeight="1">
      <c r="A282" s="2"/>
      <c r="L282" s="2"/>
      <c r="M282" s="2"/>
      <c r="W282" s="2"/>
    </row>
    <row r="283" ht="14.25" customHeight="1">
      <c r="A283" s="2"/>
      <c r="L283" s="2"/>
      <c r="M283" s="2"/>
      <c r="W283" s="2"/>
    </row>
    <row r="284" ht="14.25" customHeight="1">
      <c r="A284" s="2"/>
      <c r="L284" s="2"/>
      <c r="M284" s="2"/>
      <c r="W284" s="2"/>
    </row>
    <row r="285" ht="14.25" customHeight="1">
      <c r="A285" s="2"/>
      <c r="L285" s="2"/>
      <c r="M285" s="2"/>
      <c r="W285" s="2"/>
    </row>
    <row r="286" ht="14.25" customHeight="1">
      <c r="A286" s="2"/>
      <c r="L286" s="2"/>
      <c r="M286" s="2"/>
      <c r="W286" s="2"/>
    </row>
    <row r="287" ht="14.25" customHeight="1">
      <c r="A287" s="2"/>
      <c r="L287" s="2"/>
      <c r="M287" s="2"/>
      <c r="W287" s="2"/>
    </row>
    <row r="288" ht="14.25" customHeight="1">
      <c r="A288" s="2"/>
      <c r="L288" s="2"/>
      <c r="M288" s="2"/>
      <c r="W288" s="2"/>
    </row>
    <row r="289" ht="14.25" customHeight="1">
      <c r="A289" s="2"/>
      <c r="L289" s="2"/>
      <c r="M289" s="2"/>
      <c r="W289" s="2"/>
    </row>
    <row r="290" ht="14.25" customHeight="1">
      <c r="A290" s="2"/>
      <c r="L290" s="2"/>
      <c r="M290" s="2"/>
      <c r="W290" s="2"/>
    </row>
    <row r="291" ht="14.25" customHeight="1">
      <c r="A291" s="2"/>
      <c r="L291" s="2"/>
      <c r="M291" s="2"/>
      <c r="W291" s="2"/>
    </row>
    <row r="292" ht="14.25" customHeight="1">
      <c r="A292" s="2"/>
      <c r="L292" s="2"/>
      <c r="M292" s="2"/>
      <c r="W292" s="2"/>
    </row>
    <row r="293" ht="14.25" customHeight="1">
      <c r="A293" s="2"/>
      <c r="L293" s="2"/>
      <c r="M293" s="2"/>
      <c r="W293" s="2"/>
    </row>
    <row r="294" ht="14.25" customHeight="1">
      <c r="A294" s="2"/>
      <c r="L294" s="2"/>
      <c r="M294" s="2"/>
      <c r="W294" s="2"/>
    </row>
    <row r="295" ht="14.25" customHeight="1">
      <c r="A295" s="2"/>
      <c r="L295" s="2"/>
      <c r="M295" s="2"/>
      <c r="W295" s="2"/>
    </row>
    <row r="296" ht="14.25" customHeight="1">
      <c r="A296" s="2"/>
      <c r="L296" s="2"/>
      <c r="M296" s="2"/>
      <c r="W296" s="2"/>
    </row>
    <row r="297" ht="14.25" customHeight="1">
      <c r="A297" s="2"/>
      <c r="L297" s="2"/>
      <c r="M297" s="2"/>
      <c r="W297" s="2"/>
    </row>
    <row r="298" ht="14.25" customHeight="1">
      <c r="A298" s="2"/>
      <c r="L298" s="2"/>
      <c r="M298" s="2"/>
      <c r="W298" s="2"/>
    </row>
    <row r="299" ht="14.25" customHeight="1">
      <c r="A299" s="2"/>
      <c r="L299" s="2"/>
      <c r="M299" s="2"/>
      <c r="W299" s="2"/>
    </row>
    <row r="300" ht="14.25" customHeight="1">
      <c r="A300" s="2"/>
      <c r="L300" s="2"/>
      <c r="M300" s="2"/>
      <c r="W300" s="2"/>
    </row>
    <row r="301" ht="14.25" customHeight="1">
      <c r="A301" s="2"/>
      <c r="L301" s="2"/>
      <c r="M301" s="2"/>
      <c r="W301" s="2"/>
    </row>
    <row r="302" ht="14.25" customHeight="1">
      <c r="A302" s="2"/>
      <c r="L302" s="2"/>
      <c r="M302" s="2"/>
      <c r="W302" s="2"/>
    </row>
    <row r="303" ht="14.25" customHeight="1">
      <c r="A303" s="2"/>
      <c r="L303" s="2"/>
      <c r="M303" s="2"/>
      <c r="W303" s="2"/>
    </row>
    <row r="304" ht="14.25" customHeight="1">
      <c r="A304" s="2"/>
      <c r="L304" s="2"/>
      <c r="M304" s="2"/>
      <c r="W304" s="2"/>
    </row>
    <row r="305" ht="14.25" customHeight="1">
      <c r="A305" s="2"/>
      <c r="L305" s="2"/>
      <c r="M305" s="2"/>
      <c r="W305" s="2"/>
    </row>
    <row r="306" ht="14.25" customHeight="1">
      <c r="A306" s="2"/>
      <c r="L306" s="2"/>
      <c r="M306" s="2"/>
      <c r="W306" s="2"/>
    </row>
    <row r="307" ht="14.25" customHeight="1">
      <c r="A307" s="2"/>
      <c r="L307" s="2"/>
      <c r="M307" s="2"/>
      <c r="W307" s="2"/>
    </row>
    <row r="308" ht="14.25" customHeight="1">
      <c r="A308" s="2"/>
      <c r="L308" s="2"/>
      <c r="M308" s="2"/>
      <c r="W308" s="2"/>
    </row>
    <row r="309" ht="14.25" customHeight="1">
      <c r="A309" s="2"/>
      <c r="L309" s="2"/>
      <c r="M309" s="2"/>
      <c r="W309" s="2"/>
    </row>
    <row r="310" ht="14.25" customHeight="1">
      <c r="A310" s="2"/>
      <c r="L310" s="2"/>
      <c r="M310" s="2"/>
      <c r="W310" s="2"/>
    </row>
    <row r="311" ht="14.25" customHeight="1">
      <c r="A311" s="2"/>
      <c r="L311" s="2"/>
      <c r="M311" s="2"/>
      <c r="W311" s="2"/>
    </row>
    <row r="312" ht="14.25" customHeight="1">
      <c r="A312" s="2"/>
      <c r="L312" s="2"/>
      <c r="M312" s="2"/>
      <c r="W312" s="2"/>
    </row>
    <row r="313" ht="14.25" customHeight="1">
      <c r="A313" s="2"/>
      <c r="L313" s="2"/>
      <c r="M313" s="2"/>
      <c r="W313" s="2"/>
    </row>
    <row r="314" ht="14.25" customHeight="1">
      <c r="A314" s="2"/>
      <c r="L314" s="2"/>
      <c r="M314" s="2"/>
      <c r="W314" s="2"/>
    </row>
    <row r="315" ht="14.25" customHeight="1">
      <c r="A315" s="2"/>
      <c r="L315" s="2"/>
      <c r="M315" s="2"/>
      <c r="W315" s="2"/>
    </row>
    <row r="316" ht="14.25" customHeight="1">
      <c r="A316" s="2"/>
      <c r="L316" s="2"/>
      <c r="M316" s="2"/>
      <c r="W316" s="2"/>
    </row>
    <row r="317" ht="14.25" customHeight="1">
      <c r="A317" s="2"/>
      <c r="L317" s="2"/>
      <c r="M317" s="2"/>
      <c r="W317" s="2"/>
    </row>
    <row r="318" ht="14.25" customHeight="1">
      <c r="A318" s="2"/>
      <c r="L318" s="2"/>
      <c r="M318" s="2"/>
      <c r="W318" s="2"/>
    </row>
    <row r="319" ht="14.25" customHeight="1">
      <c r="A319" s="2"/>
      <c r="L319" s="2"/>
      <c r="M319" s="2"/>
      <c r="W319" s="2"/>
    </row>
    <row r="320" ht="14.25" customHeight="1">
      <c r="A320" s="2"/>
      <c r="L320" s="2"/>
      <c r="M320" s="2"/>
      <c r="W320" s="2"/>
    </row>
    <row r="321" ht="14.25" customHeight="1">
      <c r="A321" s="2"/>
      <c r="L321" s="2"/>
      <c r="M321" s="2"/>
      <c r="W321" s="2"/>
    </row>
    <row r="322" ht="14.25" customHeight="1">
      <c r="A322" s="2"/>
      <c r="L322" s="2"/>
      <c r="M322" s="2"/>
      <c r="W322" s="2"/>
    </row>
    <row r="323" ht="14.25" customHeight="1">
      <c r="A323" s="2"/>
      <c r="L323" s="2"/>
      <c r="M323" s="2"/>
      <c r="W323" s="2"/>
    </row>
    <row r="324" ht="14.25" customHeight="1">
      <c r="A324" s="2"/>
      <c r="L324" s="2"/>
      <c r="M324" s="2"/>
      <c r="W324" s="2"/>
    </row>
    <row r="325" ht="14.25" customHeight="1">
      <c r="A325" s="2"/>
      <c r="L325" s="2"/>
      <c r="M325" s="2"/>
      <c r="W325" s="2"/>
    </row>
    <row r="326" ht="14.25" customHeight="1">
      <c r="A326" s="2"/>
      <c r="L326" s="2"/>
      <c r="M326" s="2"/>
      <c r="W326" s="2"/>
    </row>
    <row r="327" ht="14.25" customHeight="1">
      <c r="A327" s="2"/>
      <c r="L327" s="2"/>
      <c r="M327" s="2"/>
      <c r="W327" s="2"/>
    </row>
    <row r="328" ht="14.25" customHeight="1">
      <c r="A328" s="2"/>
      <c r="L328" s="2"/>
      <c r="M328" s="2"/>
      <c r="W328" s="2"/>
    </row>
    <row r="329" ht="14.25" customHeight="1">
      <c r="A329" s="2"/>
      <c r="L329" s="2"/>
      <c r="M329" s="2"/>
      <c r="W329" s="2"/>
    </row>
    <row r="330" ht="14.25" customHeight="1">
      <c r="A330" s="2"/>
      <c r="L330" s="2"/>
      <c r="M330" s="2"/>
      <c r="W330" s="2"/>
    </row>
    <row r="331" ht="14.25" customHeight="1">
      <c r="A331" s="2"/>
      <c r="L331" s="2"/>
      <c r="M331" s="2"/>
      <c r="W331" s="2"/>
    </row>
    <row r="332" ht="14.25" customHeight="1">
      <c r="A332" s="2"/>
      <c r="L332" s="2"/>
      <c r="M332" s="2"/>
      <c r="W332" s="2"/>
    </row>
    <row r="333" ht="14.25" customHeight="1">
      <c r="A333" s="2"/>
      <c r="L333" s="2"/>
      <c r="M333" s="2"/>
      <c r="W333" s="2"/>
    </row>
    <row r="334" ht="14.25" customHeight="1">
      <c r="A334" s="2"/>
      <c r="L334" s="2"/>
      <c r="M334" s="2"/>
      <c r="W334" s="2"/>
    </row>
    <row r="335" ht="14.25" customHeight="1">
      <c r="A335" s="2"/>
      <c r="L335" s="2"/>
      <c r="M335" s="2"/>
      <c r="W335" s="2"/>
    </row>
    <row r="336" ht="14.25" customHeight="1">
      <c r="A336" s="2"/>
      <c r="L336" s="2"/>
      <c r="M336" s="2"/>
      <c r="W336" s="2"/>
    </row>
    <row r="337" ht="14.25" customHeight="1">
      <c r="A337" s="2"/>
      <c r="L337" s="2"/>
      <c r="M337" s="2"/>
      <c r="W337" s="2"/>
    </row>
    <row r="338" ht="14.25" customHeight="1">
      <c r="A338" s="2"/>
      <c r="L338" s="2"/>
      <c r="M338" s="2"/>
      <c r="W338" s="2"/>
    </row>
    <row r="339" ht="14.25" customHeight="1">
      <c r="A339" s="2"/>
      <c r="L339" s="2"/>
      <c r="M339" s="2"/>
      <c r="W339" s="2"/>
    </row>
    <row r="340" ht="14.25" customHeight="1">
      <c r="A340" s="2"/>
      <c r="L340" s="2"/>
      <c r="M340" s="2"/>
      <c r="W340" s="2"/>
    </row>
    <row r="341" ht="14.25" customHeight="1">
      <c r="A341" s="2"/>
      <c r="L341" s="2"/>
      <c r="M341" s="2"/>
      <c r="W341" s="2"/>
    </row>
    <row r="342" ht="14.25" customHeight="1">
      <c r="A342" s="2"/>
      <c r="L342" s="2"/>
      <c r="M342" s="2"/>
      <c r="W342" s="2"/>
    </row>
    <row r="343" ht="14.25" customHeight="1">
      <c r="A343" s="2"/>
      <c r="L343" s="2"/>
      <c r="M343" s="2"/>
      <c r="W343" s="2"/>
    </row>
    <row r="344" ht="14.25" customHeight="1">
      <c r="A344" s="2"/>
      <c r="L344" s="2"/>
      <c r="M344" s="2"/>
      <c r="W344" s="2"/>
    </row>
    <row r="345" ht="14.25" customHeight="1">
      <c r="A345" s="2"/>
      <c r="L345" s="2"/>
      <c r="M345" s="2"/>
      <c r="W345" s="2"/>
    </row>
    <row r="346" ht="14.25" customHeight="1">
      <c r="A346" s="2"/>
      <c r="L346" s="2"/>
      <c r="M346" s="2"/>
      <c r="W346" s="2"/>
    </row>
    <row r="347" ht="14.25" customHeight="1">
      <c r="A347" s="2"/>
      <c r="L347" s="2"/>
      <c r="M347" s="2"/>
      <c r="W347" s="2"/>
    </row>
    <row r="348" ht="14.25" customHeight="1">
      <c r="A348" s="2"/>
      <c r="L348" s="2"/>
      <c r="M348" s="2"/>
      <c r="W348" s="2"/>
    </row>
    <row r="349" ht="14.25" customHeight="1">
      <c r="A349" s="2"/>
      <c r="L349" s="2"/>
      <c r="M349" s="2"/>
      <c r="W349" s="2"/>
    </row>
    <row r="350" ht="14.25" customHeight="1">
      <c r="A350" s="2"/>
      <c r="L350" s="2"/>
      <c r="M350" s="2"/>
      <c r="W350" s="2"/>
    </row>
    <row r="351" ht="14.25" customHeight="1">
      <c r="A351" s="2"/>
      <c r="L351" s="2"/>
      <c r="M351" s="2"/>
      <c r="W351" s="2"/>
    </row>
    <row r="352" ht="14.25" customHeight="1">
      <c r="A352" s="2"/>
      <c r="L352" s="2"/>
      <c r="M352" s="2"/>
      <c r="W352" s="2"/>
    </row>
    <row r="353" ht="14.25" customHeight="1">
      <c r="A353" s="2"/>
      <c r="L353" s="2"/>
      <c r="M353" s="2"/>
      <c r="W353" s="2"/>
    </row>
    <row r="354" ht="14.25" customHeight="1">
      <c r="A354" s="2"/>
      <c r="L354" s="2"/>
      <c r="M354" s="2"/>
      <c r="W354" s="2"/>
    </row>
    <row r="355" ht="14.25" customHeight="1">
      <c r="A355" s="2"/>
      <c r="L355" s="2"/>
      <c r="M355" s="2"/>
      <c r="W355" s="2"/>
    </row>
    <row r="356" ht="14.25" customHeight="1">
      <c r="A356" s="2"/>
      <c r="L356" s="2"/>
      <c r="M356" s="2"/>
      <c r="W356" s="2"/>
    </row>
    <row r="357" ht="14.25" customHeight="1">
      <c r="A357" s="2"/>
      <c r="L357" s="2"/>
      <c r="M357" s="2"/>
      <c r="W357" s="2"/>
    </row>
    <row r="358" ht="14.25" customHeight="1">
      <c r="A358" s="2"/>
      <c r="L358" s="2"/>
      <c r="M358" s="2"/>
      <c r="W358" s="2"/>
    </row>
    <row r="359" ht="14.25" customHeight="1">
      <c r="A359" s="2"/>
      <c r="L359" s="2"/>
      <c r="M359" s="2"/>
      <c r="W359" s="2"/>
    </row>
    <row r="360" ht="14.25" customHeight="1">
      <c r="A360" s="2"/>
      <c r="L360" s="2"/>
      <c r="M360" s="2"/>
      <c r="W360" s="2"/>
    </row>
    <row r="361" ht="14.25" customHeight="1">
      <c r="A361" s="2"/>
      <c r="L361" s="2"/>
      <c r="M361" s="2"/>
      <c r="W361" s="2"/>
    </row>
    <row r="362" ht="14.25" customHeight="1">
      <c r="A362" s="2"/>
      <c r="L362" s="2"/>
      <c r="M362" s="2"/>
      <c r="W362" s="2"/>
    </row>
    <row r="363" ht="14.25" customHeight="1">
      <c r="A363" s="2"/>
      <c r="L363" s="2"/>
      <c r="M363" s="2"/>
      <c r="W363" s="2"/>
    </row>
    <row r="364" ht="14.25" customHeight="1">
      <c r="A364" s="2"/>
      <c r="L364" s="2"/>
      <c r="M364" s="2"/>
      <c r="W364" s="2"/>
    </row>
    <row r="365" ht="14.25" customHeight="1">
      <c r="A365" s="2"/>
      <c r="L365" s="2"/>
      <c r="M365" s="2"/>
      <c r="W365" s="2"/>
    </row>
    <row r="366" ht="14.25" customHeight="1">
      <c r="A366" s="2"/>
      <c r="L366" s="2"/>
      <c r="M366" s="2"/>
      <c r="W366" s="2"/>
    </row>
    <row r="367" ht="14.25" customHeight="1">
      <c r="A367" s="2"/>
      <c r="L367" s="2"/>
      <c r="M367" s="2"/>
      <c r="W367" s="2"/>
    </row>
    <row r="368" ht="14.25" customHeight="1">
      <c r="A368" s="2"/>
      <c r="L368" s="2"/>
      <c r="M368" s="2"/>
      <c r="W368" s="2"/>
    </row>
    <row r="369" ht="14.25" customHeight="1">
      <c r="A369" s="2"/>
      <c r="L369" s="2"/>
      <c r="M369" s="2"/>
      <c r="W369" s="2"/>
    </row>
    <row r="370" ht="14.25" customHeight="1">
      <c r="A370" s="2"/>
      <c r="L370" s="2"/>
      <c r="M370" s="2"/>
      <c r="W370" s="2"/>
    </row>
    <row r="371" ht="14.25" customHeight="1">
      <c r="A371" s="2"/>
      <c r="L371" s="2"/>
      <c r="M371" s="2"/>
      <c r="W371" s="2"/>
    </row>
    <row r="372" ht="14.25" customHeight="1">
      <c r="A372" s="2"/>
      <c r="L372" s="2"/>
      <c r="M372" s="2"/>
      <c r="W372" s="2"/>
    </row>
    <row r="373" ht="14.25" customHeight="1">
      <c r="A373" s="2"/>
      <c r="L373" s="2"/>
      <c r="M373" s="2"/>
      <c r="W373" s="2"/>
    </row>
    <row r="374" ht="14.25" customHeight="1">
      <c r="A374" s="2"/>
      <c r="L374" s="2"/>
      <c r="M374" s="2"/>
      <c r="W374" s="2"/>
    </row>
    <row r="375" ht="14.25" customHeight="1">
      <c r="A375" s="2"/>
      <c r="L375" s="2"/>
      <c r="M375" s="2"/>
      <c r="W375" s="2"/>
    </row>
    <row r="376" ht="14.25" customHeight="1">
      <c r="A376" s="2"/>
      <c r="L376" s="2"/>
      <c r="M376" s="2"/>
      <c r="W376" s="2"/>
    </row>
    <row r="377" ht="14.25" customHeight="1">
      <c r="A377" s="2"/>
      <c r="L377" s="2"/>
      <c r="M377" s="2"/>
      <c r="W377" s="2"/>
    </row>
    <row r="378" ht="14.25" customHeight="1">
      <c r="A378" s="2"/>
      <c r="L378" s="2"/>
      <c r="M378" s="2"/>
      <c r="W378" s="2"/>
    </row>
    <row r="379" ht="14.25" customHeight="1">
      <c r="A379" s="2"/>
      <c r="L379" s="2"/>
      <c r="M379" s="2"/>
      <c r="W379" s="2"/>
    </row>
    <row r="380" ht="14.25" customHeight="1">
      <c r="A380" s="2"/>
      <c r="L380" s="2"/>
      <c r="M380" s="2"/>
      <c r="W380" s="2"/>
    </row>
    <row r="381" ht="14.25" customHeight="1">
      <c r="A381" s="2"/>
      <c r="L381" s="2"/>
      <c r="M381" s="2"/>
      <c r="W381" s="2"/>
    </row>
    <row r="382" ht="14.25" customHeight="1">
      <c r="A382" s="2"/>
      <c r="L382" s="2"/>
      <c r="M382" s="2"/>
      <c r="W382" s="2"/>
    </row>
    <row r="383" ht="14.25" customHeight="1">
      <c r="A383" s="2"/>
      <c r="L383" s="2"/>
      <c r="M383" s="2"/>
      <c r="W383" s="2"/>
    </row>
    <row r="384" ht="14.25" customHeight="1">
      <c r="A384" s="2"/>
      <c r="L384" s="2"/>
      <c r="M384" s="2"/>
      <c r="W384" s="2"/>
    </row>
    <row r="385" ht="14.25" customHeight="1">
      <c r="A385" s="2"/>
      <c r="L385" s="2"/>
      <c r="M385" s="2"/>
      <c r="W385" s="2"/>
    </row>
    <row r="386" ht="14.25" customHeight="1">
      <c r="A386" s="2"/>
      <c r="L386" s="2"/>
      <c r="M386" s="2"/>
      <c r="W386" s="2"/>
    </row>
    <row r="387" ht="14.25" customHeight="1">
      <c r="A387" s="2"/>
      <c r="L387" s="2"/>
      <c r="M387" s="2"/>
      <c r="W387" s="2"/>
    </row>
    <row r="388" ht="14.25" customHeight="1">
      <c r="A388" s="2"/>
      <c r="L388" s="2"/>
      <c r="M388" s="2"/>
      <c r="W388" s="2"/>
    </row>
    <row r="389" ht="14.25" customHeight="1">
      <c r="A389" s="2"/>
      <c r="L389" s="2"/>
      <c r="M389" s="2"/>
      <c r="N389" s="2"/>
      <c r="W389" s="2"/>
    </row>
    <row r="390" ht="14.25" customHeight="1">
      <c r="A390" s="2"/>
      <c r="L390" s="2"/>
      <c r="M390" s="2"/>
      <c r="W390" s="2"/>
    </row>
    <row r="391" ht="14.25" customHeight="1">
      <c r="A391" s="2"/>
      <c r="L391" s="2"/>
      <c r="M391" s="2"/>
      <c r="W391" s="2"/>
    </row>
    <row r="392" ht="14.25" customHeight="1">
      <c r="A392" s="2"/>
      <c r="L392" s="2"/>
      <c r="M392" s="2"/>
      <c r="W392" s="2"/>
    </row>
    <row r="393" ht="14.25" customHeight="1">
      <c r="A393" s="2"/>
      <c r="L393" s="2"/>
      <c r="M393" s="2"/>
      <c r="W393" s="2"/>
    </row>
    <row r="394" ht="14.25" customHeight="1">
      <c r="A394" s="2"/>
      <c r="L394" s="2"/>
      <c r="M394" s="2"/>
      <c r="W394" s="2"/>
    </row>
    <row r="395" ht="14.25" customHeight="1">
      <c r="A395" s="2"/>
      <c r="L395" s="2"/>
      <c r="M395" s="2"/>
      <c r="W395" s="2"/>
    </row>
    <row r="396" ht="14.25" customHeight="1">
      <c r="A396" s="2"/>
      <c r="L396" s="2"/>
      <c r="M396" s="2"/>
      <c r="W396" s="2"/>
    </row>
    <row r="397" ht="14.25" customHeight="1">
      <c r="A397" s="2"/>
      <c r="L397" s="2"/>
      <c r="M397" s="2"/>
      <c r="W397" s="2"/>
    </row>
    <row r="398" ht="14.25" customHeight="1">
      <c r="A398" s="2"/>
      <c r="L398" s="2"/>
      <c r="M398" s="2"/>
      <c r="W398" s="2"/>
    </row>
    <row r="399" ht="14.25" customHeight="1">
      <c r="A399" s="2"/>
      <c r="L399" s="2"/>
      <c r="M399" s="2"/>
      <c r="W399" s="2"/>
    </row>
    <row r="400" ht="14.25" customHeight="1">
      <c r="A400" s="2"/>
      <c r="L400" s="2"/>
      <c r="M400" s="2"/>
      <c r="W400" s="2"/>
    </row>
    <row r="401" ht="14.25" customHeight="1">
      <c r="A401" s="2"/>
      <c r="L401" s="2"/>
      <c r="M401" s="2"/>
      <c r="W401" s="2"/>
    </row>
    <row r="402" ht="14.25" customHeight="1">
      <c r="A402" s="2"/>
      <c r="L402" s="2"/>
      <c r="M402" s="2"/>
      <c r="W402" s="2"/>
    </row>
    <row r="403" ht="14.25" customHeight="1">
      <c r="A403" s="2"/>
      <c r="L403" s="2"/>
      <c r="M403" s="2"/>
      <c r="W403" s="2"/>
    </row>
    <row r="404" ht="14.25" customHeight="1">
      <c r="A404" s="2"/>
      <c r="L404" s="2"/>
      <c r="M404" s="2"/>
      <c r="W404" s="2"/>
    </row>
    <row r="405" ht="14.25" customHeight="1">
      <c r="A405" s="2"/>
      <c r="L405" s="2"/>
      <c r="M405" s="2"/>
      <c r="W405" s="2"/>
    </row>
    <row r="406" ht="14.25" customHeight="1">
      <c r="A406" s="2"/>
      <c r="L406" s="2"/>
      <c r="M406" s="2"/>
      <c r="W406" s="2"/>
    </row>
    <row r="407" ht="14.25" customHeight="1">
      <c r="A407" s="2"/>
      <c r="L407" s="2"/>
      <c r="M407" s="2"/>
      <c r="W407" s="2"/>
    </row>
    <row r="408" ht="14.25" customHeight="1">
      <c r="A408" s="2"/>
      <c r="L408" s="2"/>
      <c r="M408" s="2"/>
      <c r="W408" s="2"/>
    </row>
    <row r="409" ht="14.25" customHeight="1">
      <c r="A409" s="2"/>
      <c r="L409" s="2"/>
      <c r="M409" s="2"/>
      <c r="W409" s="2"/>
    </row>
    <row r="410" ht="14.25" customHeight="1">
      <c r="A410" s="2"/>
      <c r="L410" s="2"/>
      <c r="M410" s="2"/>
      <c r="W410" s="2"/>
    </row>
    <row r="411" ht="14.25" customHeight="1">
      <c r="A411" s="2"/>
      <c r="L411" s="2"/>
      <c r="M411" s="2"/>
      <c r="W411" s="2"/>
    </row>
    <row r="412" ht="14.25" customHeight="1">
      <c r="A412" s="2"/>
      <c r="L412" s="2"/>
      <c r="M412" s="2"/>
      <c r="W412" s="2"/>
    </row>
    <row r="413" ht="14.25" customHeight="1">
      <c r="A413" s="2"/>
      <c r="L413" s="2"/>
      <c r="M413" s="2"/>
      <c r="W413" s="2"/>
    </row>
    <row r="414" ht="14.25" customHeight="1">
      <c r="A414" s="2"/>
      <c r="L414" s="2"/>
      <c r="M414" s="2"/>
      <c r="W414" s="2"/>
    </row>
    <row r="415" ht="14.25" customHeight="1">
      <c r="A415" s="2"/>
      <c r="L415" s="2"/>
      <c r="M415" s="2"/>
      <c r="W415" s="2"/>
    </row>
    <row r="416" ht="14.25" customHeight="1">
      <c r="A416" s="2"/>
      <c r="L416" s="2"/>
      <c r="M416" s="2"/>
      <c r="W416" s="2"/>
    </row>
    <row r="417" ht="14.25" customHeight="1">
      <c r="A417" s="2"/>
      <c r="L417" s="2"/>
      <c r="M417" s="2"/>
      <c r="W417" s="2"/>
    </row>
    <row r="418" ht="14.25" customHeight="1">
      <c r="A418" s="2"/>
      <c r="L418" s="2"/>
      <c r="M418" s="2"/>
      <c r="W418" s="2"/>
    </row>
    <row r="419" ht="14.25" customHeight="1">
      <c r="A419" s="2"/>
      <c r="L419" s="2"/>
      <c r="M419" s="2"/>
      <c r="W419" s="2"/>
    </row>
    <row r="420" ht="14.25" customHeight="1">
      <c r="A420" s="2"/>
      <c r="L420" s="2"/>
      <c r="M420" s="2"/>
      <c r="W420" s="2"/>
    </row>
    <row r="421" ht="14.25" customHeight="1">
      <c r="A421" s="2"/>
      <c r="L421" s="2"/>
      <c r="M421" s="2"/>
      <c r="W421" s="2"/>
    </row>
    <row r="422" ht="14.25" customHeight="1">
      <c r="A422" s="2"/>
      <c r="L422" s="2"/>
      <c r="M422" s="2"/>
      <c r="W422" s="2"/>
    </row>
    <row r="423" ht="14.25" customHeight="1">
      <c r="A423" s="2"/>
      <c r="L423" s="2"/>
      <c r="M423" s="2"/>
      <c r="W423" s="2"/>
    </row>
    <row r="424" ht="14.25" customHeight="1">
      <c r="A424" s="2"/>
      <c r="L424" s="2"/>
      <c r="M424" s="2"/>
      <c r="W424" s="2"/>
    </row>
    <row r="425" ht="14.25" customHeight="1">
      <c r="A425" s="2"/>
      <c r="L425" s="2"/>
      <c r="M425" s="2"/>
      <c r="W425" s="2"/>
    </row>
    <row r="426" ht="14.25" customHeight="1">
      <c r="A426" s="2"/>
      <c r="L426" s="2"/>
      <c r="M426" s="2"/>
      <c r="W426" s="2"/>
    </row>
    <row r="427" ht="14.25" customHeight="1">
      <c r="A427" s="2"/>
      <c r="L427" s="2"/>
      <c r="M427" s="2"/>
      <c r="W427" s="2"/>
    </row>
    <row r="428" ht="14.25" customHeight="1">
      <c r="A428" s="2"/>
      <c r="L428" s="2"/>
      <c r="M428" s="2"/>
      <c r="W428" s="2"/>
    </row>
    <row r="429" ht="14.25" customHeight="1">
      <c r="A429" s="2"/>
      <c r="L429" s="2"/>
      <c r="M429" s="2"/>
      <c r="W429" s="2"/>
    </row>
    <row r="430" ht="14.25" customHeight="1">
      <c r="A430" s="2"/>
      <c r="L430" s="2"/>
      <c r="M430" s="2"/>
      <c r="W430" s="2"/>
    </row>
    <row r="431" ht="14.25" customHeight="1">
      <c r="A431" s="2"/>
      <c r="L431" s="2"/>
      <c r="M431" s="2"/>
      <c r="W431" s="2"/>
    </row>
    <row r="432" ht="14.25" customHeight="1">
      <c r="A432" s="2"/>
      <c r="L432" s="2"/>
      <c r="M432" s="2"/>
      <c r="W432" s="2"/>
    </row>
    <row r="433" ht="14.25" customHeight="1">
      <c r="A433" s="2"/>
      <c r="L433" s="2"/>
      <c r="M433" s="2"/>
      <c r="W433" s="2"/>
    </row>
    <row r="434" ht="14.25" customHeight="1">
      <c r="A434" s="2"/>
      <c r="L434" s="2"/>
      <c r="M434" s="2"/>
      <c r="W434" s="2"/>
    </row>
    <row r="435" ht="14.25" customHeight="1">
      <c r="A435" s="2"/>
      <c r="L435" s="2"/>
      <c r="M435" s="2"/>
      <c r="W435" s="2"/>
    </row>
    <row r="436" ht="14.25" customHeight="1">
      <c r="A436" s="2"/>
      <c r="L436" s="2"/>
      <c r="M436" s="2"/>
      <c r="W436" s="2"/>
    </row>
    <row r="437" ht="14.25" customHeight="1">
      <c r="A437" s="2"/>
      <c r="L437" s="2"/>
      <c r="M437" s="2"/>
      <c r="W437" s="2"/>
    </row>
    <row r="438" ht="14.25" customHeight="1">
      <c r="A438" s="2"/>
      <c r="L438" s="2"/>
      <c r="M438" s="2"/>
      <c r="W438" s="2"/>
    </row>
    <row r="439" ht="14.25" customHeight="1">
      <c r="A439" s="2"/>
      <c r="L439" s="2"/>
      <c r="M439" s="2"/>
      <c r="W439" s="2"/>
    </row>
    <row r="440" ht="14.25" customHeight="1">
      <c r="A440" s="2"/>
      <c r="L440" s="2"/>
      <c r="M440" s="2"/>
      <c r="W440" s="2"/>
    </row>
    <row r="441" ht="14.25" customHeight="1">
      <c r="A441" s="2"/>
      <c r="L441" s="2"/>
      <c r="M441" s="2"/>
      <c r="W441" s="2"/>
    </row>
    <row r="442" ht="14.25" customHeight="1">
      <c r="A442" s="2"/>
      <c r="L442" s="2"/>
      <c r="M442" s="2"/>
      <c r="W442" s="2"/>
    </row>
    <row r="443" ht="14.25" customHeight="1">
      <c r="A443" s="2"/>
      <c r="L443" s="2"/>
      <c r="M443" s="2"/>
      <c r="W443" s="2"/>
    </row>
    <row r="444" ht="14.25" customHeight="1">
      <c r="A444" s="2"/>
      <c r="L444" s="2"/>
      <c r="M444" s="2"/>
      <c r="W444" s="2"/>
    </row>
    <row r="445" ht="14.25" customHeight="1">
      <c r="A445" s="2"/>
      <c r="L445" s="2"/>
      <c r="M445" s="2"/>
      <c r="W445" s="2"/>
    </row>
    <row r="446" ht="14.25" customHeight="1">
      <c r="A446" s="2"/>
      <c r="L446" s="2"/>
      <c r="M446" s="2"/>
      <c r="W446" s="2"/>
    </row>
    <row r="447" ht="14.25" customHeight="1">
      <c r="A447" s="2"/>
      <c r="L447" s="2"/>
      <c r="M447" s="2"/>
      <c r="W447" s="2"/>
    </row>
    <row r="448" ht="14.25" customHeight="1">
      <c r="A448" s="2"/>
      <c r="L448" s="2"/>
      <c r="M448" s="2"/>
      <c r="W448" s="2"/>
    </row>
    <row r="449" ht="14.25" customHeight="1">
      <c r="A449" s="2"/>
      <c r="L449" s="2"/>
      <c r="M449" s="2"/>
      <c r="W449" s="2"/>
    </row>
    <row r="450" ht="14.25" customHeight="1">
      <c r="A450" s="2"/>
      <c r="L450" s="2"/>
      <c r="M450" s="2"/>
      <c r="W450" s="2"/>
    </row>
    <row r="451" ht="14.25" customHeight="1">
      <c r="A451" s="2"/>
      <c r="L451" s="2"/>
      <c r="M451" s="2"/>
      <c r="W451" s="2"/>
    </row>
    <row r="452" ht="14.25" customHeight="1">
      <c r="A452" s="2"/>
      <c r="L452" s="2"/>
      <c r="M452" s="2"/>
      <c r="W452" s="2"/>
    </row>
    <row r="453" ht="14.25" customHeight="1">
      <c r="A453" s="2"/>
      <c r="L453" s="2"/>
      <c r="M453" s="2"/>
      <c r="W453" s="2"/>
    </row>
    <row r="454" ht="14.25" customHeight="1">
      <c r="A454" s="2"/>
      <c r="L454" s="2"/>
      <c r="M454" s="2"/>
      <c r="W454" s="2"/>
    </row>
    <row r="455" ht="14.25" customHeight="1">
      <c r="A455" s="2"/>
      <c r="L455" s="2"/>
      <c r="M455" s="2"/>
      <c r="W455" s="2"/>
    </row>
    <row r="456" ht="14.25" customHeight="1">
      <c r="A456" s="2"/>
      <c r="L456" s="2"/>
      <c r="M456" s="2"/>
      <c r="W456" s="2"/>
    </row>
    <row r="457" ht="14.25" customHeight="1">
      <c r="A457" s="2"/>
      <c r="L457" s="2"/>
      <c r="M457" s="2"/>
      <c r="W457" s="2"/>
    </row>
    <row r="458" ht="14.25" customHeight="1">
      <c r="A458" s="2"/>
      <c r="L458" s="2"/>
      <c r="M458" s="2"/>
      <c r="W458" s="2"/>
    </row>
    <row r="459" ht="14.25" customHeight="1">
      <c r="A459" s="2"/>
      <c r="L459" s="2"/>
      <c r="M459" s="2"/>
      <c r="W459" s="2"/>
    </row>
    <row r="460" ht="14.25" customHeight="1">
      <c r="A460" s="2"/>
      <c r="L460" s="2"/>
      <c r="M460" s="2"/>
      <c r="W460" s="2"/>
    </row>
    <row r="461" ht="14.25" customHeight="1">
      <c r="A461" s="2"/>
      <c r="L461" s="2"/>
      <c r="M461" s="2"/>
      <c r="W461" s="2"/>
    </row>
    <row r="462" ht="14.25" customHeight="1">
      <c r="A462" s="2"/>
      <c r="L462" s="2"/>
      <c r="M462" s="2"/>
      <c r="W462" s="2"/>
    </row>
    <row r="463" ht="14.25" customHeight="1">
      <c r="A463" s="2"/>
      <c r="L463" s="2"/>
      <c r="M463" s="2"/>
      <c r="W463" s="2"/>
    </row>
    <row r="464" ht="14.25" customHeight="1">
      <c r="A464" s="2"/>
      <c r="L464" s="2"/>
      <c r="M464" s="2"/>
      <c r="W464" s="2"/>
    </row>
    <row r="465" ht="14.25" customHeight="1">
      <c r="A465" s="2"/>
      <c r="L465" s="2"/>
      <c r="M465" s="2"/>
      <c r="W465" s="2"/>
    </row>
    <row r="466" ht="14.25" customHeight="1">
      <c r="A466" s="2"/>
      <c r="L466" s="2"/>
      <c r="M466" s="2"/>
      <c r="W466" s="2"/>
    </row>
    <row r="467" ht="14.25" customHeight="1">
      <c r="A467" s="2"/>
      <c r="L467" s="2"/>
      <c r="M467" s="2"/>
      <c r="W467" s="2"/>
    </row>
    <row r="468" ht="14.25" customHeight="1">
      <c r="A468" s="2"/>
      <c r="L468" s="2"/>
      <c r="M468" s="2"/>
      <c r="W468" s="2"/>
    </row>
    <row r="469" ht="14.25" customHeight="1">
      <c r="A469" s="2"/>
      <c r="L469" s="2"/>
      <c r="M469" s="2"/>
      <c r="W469" s="2"/>
    </row>
    <row r="470" ht="14.25" customHeight="1">
      <c r="A470" s="2"/>
      <c r="L470" s="2"/>
      <c r="M470" s="2"/>
      <c r="W470" s="2"/>
    </row>
    <row r="471" ht="14.25" customHeight="1">
      <c r="A471" s="2"/>
      <c r="L471" s="2"/>
      <c r="M471" s="2"/>
      <c r="W471" s="2"/>
    </row>
    <row r="472" ht="14.25" customHeight="1">
      <c r="A472" s="2"/>
      <c r="L472" s="2"/>
      <c r="M472" s="2"/>
      <c r="W472" s="2"/>
    </row>
    <row r="473" ht="14.25" customHeight="1">
      <c r="A473" s="2"/>
      <c r="L473" s="2"/>
      <c r="M473" s="2"/>
      <c r="W473" s="2"/>
    </row>
    <row r="474" ht="14.25" customHeight="1">
      <c r="A474" s="2"/>
      <c r="L474" s="2"/>
      <c r="M474" s="2"/>
      <c r="W474" s="2"/>
    </row>
    <row r="475" ht="14.25" customHeight="1">
      <c r="A475" s="2"/>
      <c r="L475" s="2"/>
      <c r="M475" s="2"/>
      <c r="W475" s="2"/>
    </row>
    <row r="476" ht="14.25" customHeight="1">
      <c r="A476" s="2"/>
      <c r="L476" s="2"/>
      <c r="M476" s="2"/>
      <c r="W476" s="2"/>
    </row>
    <row r="477" ht="14.25" customHeight="1">
      <c r="A477" s="2"/>
      <c r="L477" s="2"/>
      <c r="M477" s="2"/>
      <c r="W477" s="2"/>
    </row>
    <row r="478" ht="14.25" customHeight="1">
      <c r="A478" s="2"/>
      <c r="L478" s="2"/>
      <c r="M478" s="2"/>
      <c r="W478" s="2"/>
    </row>
    <row r="479" ht="14.25" customHeight="1">
      <c r="A479" s="2"/>
      <c r="L479" s="2"/>
      <c r="M479" s="2"/>
      <c r="W479" s="2"/>
    </row>
    <row r="480" ht="14.25" customHeight="1">
      <c r="A480" s="2"/>
      <c r="L480" s="2"/>
      <c r="M480" s="2"/>
      <c r="W480" s="2"/>
    </row>
    <row r="481" ht="14.25" customHeight="1">
      <c r="A481" s="2"/>
      <c r="L481" s="2"/>
      <c r="M481" s="2"/>
      <c r="W481" s="2"/>
    </row>
    <row r="482" ht="14.25" customHeight="1">
      <c r="A482" s="2"/>
      <c r="L482" s="2"/>
      <c r="M482" s="2"/>
      <c r="W482" s="2"/>
    </row>
    <row r="483" ht="14.25" customHeight="1">
      <c r="A483" s="2"/>
      <c r="L483" s="2"/>
      <c r="M483" s="2"/>
      <c r="W483" s="2"/>
    </row>
    <row r="484" ht="14.25" customHeight="1">
      <c r="A484" s="2"/>
      <c r="L484" s="2"/>
      <c r="M484" s="2"/>
      <c r="W484" s="2"/>
    </row>
    <row r="485" ht="14.25" customHeight="1">
      <c r="A485" s="2"/>
      <c r="L485" s="2"/>
      <c r="M485" s="2"/>
      <c r="W485" s="2"/>
    </row>
    <row r="486" ht="14.25" customHeight="1">
      <c r="A486" s="2"/>
      <c r="L486" s="2"/>
      <c r="M486" s="2"/>
      <c r="W486" s="2"/>
    </row>
    <row r="487" ht="14.25" customHeight="1">
      <c r="A487" s="2"/>
      <c r="L487" s="2"/>
      <c r="M487" s="2"/>
      <c r="W487" s="2"/>
    </row>
    <row r="488" ht="14.25" customHeight="1">
      <c r="A488" s="2"/>
      <c r="L488" s="2"/>
      <c r="M488" s="2"/>
      <c r="W488" s="2"/>
    </row>
    <row r="489" ht="14.25" customHeight="1">
      <c r="A489" s="2"/>
      <c r="L489" s="2"/>
      <c r="M489" s="2"/>
      <c r="W489" s="2"/>
    </row>
    <row r="490" ht="14.25" customHeight="1">
      <c r="A490" s="2"/>
      <c r="L490" s="2"/>
      <c r="M490" s="2"/>
      <c r="W490" s="2"/>
    </row>
    <row r="491" ht="14.25" customHeight="1">
      <c r="A491" s="2"/>
      <c r="L491" s="2"/>
      <c r="M491" s="2"/>
      <c r="W491" s="2"/>
    </row>
    <row r="492" ht="14.25" customHeight="1">
      <c r="A492" s="2"/>
      <c r="L492" s="2"/>
      <c r="M492" s="2"/>
      <c r="W492" s="2"/>
    </row>
    <row r="493" ht="14.25" customHeight="1">
      <c r="A493" s="2"/>
      <c r="L493" s="2"/>
      <c r="M493" s="2"/>
      <c r="W493" s="2"/>
    </row>
    <row r="494" ht="14.25" customHeight="1">
      <c r="A494" s="2"/>
      <c r="L494" s="2"/>
      <c r="M494" s="2"/>
      <c r="W494" s="2"/>
    </row>
    <row r="495" ht="14.25" customHeight="1">
      <c r="A495" s="2"/>
      <c r="L495" s="2"/>
      <c r="M495" s="2"/>
      <c r="W495" s="2"/>
    </row>
    <row r="496" ht="14.25" customHeight="1">
      <c r="A496" s="2"/>
      <c r="L496" s="2"/>
      <c r="M496" s="2"/>
      <c r="W496" s="2"/>
    </row>
    <row r="497" ht="14.25" customHeight="1">
      <c r="A497" s="2"/>
      <c r="L497" s="2"/>
      <c r="M497" s="2"/>
      <c r="W497" s="2"/>
    </row>
    <row r="498" ht="14.25" customHeight="1">
      <c r="A498" s="2"/>
      <c r="L498" s="2"/>
      <c r="M498" s="2"/>
      <c r="W498" s="2"/>
    </row>
    <row r="499" ht="14.25" customHeight="1">
      <c r="A499" s="2"/>
      <c r="L499" s="2"/>
      <c r="M499" s="2"/>
      <c r="W499" s="2"/>
    </row>
    <row r="500" ht="14.25" customHeight="1">
      <c r="A500" s="2"/>
      <c r="L500" s="2"/>
      <c r="M500" s="2"/>
      <c r="W500" s="2"/>
    </row>
    <row r="501" ht="14.25" customHeight="1">
      <c r="A501" s="2"/>
      <c r="L501" s="2"/>
      <c r="M501" s="2"/>
      <c r="W501" s="2"/>
    </row>
    <row r="502" ht="14.25" customHeight="1">
      <c r="A502" s="2"/>
      <c r="L502" s="2"/>
      <c r="M502" s="2"/>
      <c r="W502" s="2"/>
    </row>
    <row r="503" ht="14.25" customHeight="1">
      <c r="A503" s="2"/>
      <c r="L503" s="2"/>
      <c r="M503" s="2"/>
      <c r="W503" s="2"/>
    </row>
    <row r="504" ht="14.25" customHeight="1">
      <c r="A504" s="2"/>
      <c r="L504" s="2"/>
      <c r="M504" s="2"/>
      <c r="W504" s="2"/>
    </row>
    <row r="505" ht="14.25" customHeight="1">
      <c r="A505" s="2"/>
      <c r="L505" s="2"/>
      <c r="M505" s="2"/>
      <c r="W505" s="2"/>
    </row>
    <row r="506" ht="14.25" customHeight="1">
      <c r="A506" s="2"/>
      <c r="L506" s="2"/>
      <c r="M506" s="2"/>
      <c r="W506" s="2"/>
    </row>
    <row r="507" ht="14.25" customHeight="1">
      <c r="A507" s="2"/>
      <c r="L507" s="2"/>
      <c r="M507" s="2"/>
      <c r="W507" s="2"/>
    </row>
    <row r="508" ht="14.25" customHeight="1">
      <c r="A508" s="2"/>
      <c r="L508" s="2"/>
      <c r="M508" s="2"/>
      <c r="W508" s="2"/>
    </row>
    <row r="509" ht="14.25" customHeight="1">
      <c r="A509" s="2"/>
      <c r="L509" s="2"/>
      <c r="M509" s="2"/>
      <c r="W509" s="2"/>
    </row>
    <row r="510" ht="14.25" customHeight="1">
      <c r="A510" s="2"/>
      <c r="L510" s="2"/>
      <c r="M510" s="2"/>
      <c r="W510" s="2"/>
    </row>
    <row r="511" ht="14.25" customHeight="1">
      <c r="A511" s="2"/>
      <c r="L511" s="2"/>
      <c r="M511" s="2"/>
      <c r="W511" s="2"/>
    </row>
    <row r="512" ht="14.25" customHeight="1">
      <c r="A512" s="2"/>
      <c r="L512" s="2"/>
      <c r="M512" s="2"/>
      <c r="W512" s="2"/>
    </row>
    <row r="513" ht="14.25" customHeight="1">
      <c r="A513" s="2"/>
      <c r="L513" s="2"/>
      <c r="M513" s="2"/>
      <c r="W513" s="2"/>
    </row>
    <row r="514" ht="14.25" customHeight="1">
      <c r="A514" s="2"/>
      <c r="L514" s="2"/>
      <c r="M514" s="2"/>
      <c r="W514" s="2"/>
    </row>
    <row r="515" ht="14.25" customHeight="1">
      <c r="A515" s="2"/>
      <c r="L515" s="2"/>
      <c r="M515" s="2"/>
      <c r="W515" s="2"/>
    </row>
    <row r="516" ht="14.25" customHeight="1">
      <c r="A516" s="2"/>
      <c r="L516" s="2"/>
      <c r="M516" s="2"/>
      <c r="W516" s="2"/>
    </row>
    <row r="517" ht="14.25" customHeight="1">
      <c r="A517" s="2"/>
      <c r="L517" s="2"/>
      <c r="M517" s="2"/>
      <c r="W517" s="2"/>
    </row>
    <row r="518" ht="14.25" customHeight="1">
      <c r="A518" s="2"/>
      <c r="L518" s="2"/>
      <c r="M518" s="2"/>
      <c r="W518" s="2"/>
    </row>
    <row r="519" ht="14.25" customHeight="1">
      <c r="A519" s="2"/>
      <c r="L519" s="2"/>
      <c r="M519" s="2"/>
      <c r="W519" s="2"/>
    </row>
    <row r="520" ht="14.25" customHeight="1">
      <c r="A520" s="2"/>
      <c r="L520" s="2"/>
      <c r="M520" s="2"/>
      <c r="W520" s="2"/>
    </row>
    <row r="521" ht="14.25" customHeight="1">
      <c r="A521" s="2"/>
      <c r="L521" s="2"/>
      <c r="M521" s="2"/>
      <c r="W521" s="2"/>
    </row>
    <row r="522" ht="14.25" customHeight="1">
      <c r="A522" s="2"/>
      <c r="L522" s="2"/>
      <c r="M522" s="2"/>
      <c r="W522" s="2"/>
    </row>
    <row r="523" ht="14.25" customHeight="1">
      <c r="A523" s="2"/>
      <c r="L523" s="2"/>
      <c r="M523" s="2"/>
      <c r="W523" s="2"/>
    </row>
    <row r="524" ht="14.25" customHeight="1">
      <c r="A524" s="2"/>
      <c r="L524" s="2"/>
      <c r="M524" s="2"/>
      <c r="W524" s="2"/>
    </row>
    <row r="525" ht="14.25" customHeight="1">
      <c r="A525" s="2"/>
      <c r="L525" s="2"/>
      <c r="M525" s="2"/>
      <c r="W525" s="2"/>
    </row>
    <row r="526" ht="14.25" customHeight="1">
      <c r="A526" s="2"/>
      <c r="L526" s="2"/>
      <c r="M526" s="2"/>
      <c r="W526" s="2"/>
    </row>
    <row r="527" ht="14.25" customHeight="1">
      <c r="A527" s="2"/>
      <c r="L527" s="2"/>
      <c r="M527" s="2"/>
      <c r="W527" s="2"/>
    </row>
    <row r="528" ht="14.25" customHeight="1">
      <c r="A528" s="2"/>
      <c r="L528" s="2"/>
      <c r="M528" s="2"/>
      <c r="W528" s="2"/>
    </row>
    <row r="529" ht="14.25" customHeight="1">
      <c r="A529" s="2"/>
      <c r="L529" s="2"/>
      <c r="M529" s="2"/>
      <c r="W529" s="2"/>
    </row>
    <row r="530" ht="14.25" customHeight="1">
      <c r="A530" s="2"/>
      <c r="L530" s="2"/>
      <c r="M530" s="2"/>
      <c r="W530" s="2"/>
    </row>
    <row r="531" ht="14.25" customHeight="1">
      <c r="A531" s="2"/>
      <c r="L531" s="2"/>
      <c r="M531" s="2"/>
      <c r="W531" s="2"/>
    </row>
    <row r="532" ht="14.25" customHeight="1">
      <c r="A532" s="2"/>
      <c r="L532" s="2"/>
      <c r="M532" s="2"/>
      <c r="W532" s="2"/>
    </row>
    <row r="533" ht="14.25" customHeight="1">
      <c r="A533" s="2"/>
      <c r="L533" s="2"/>
      <c r="M533" s="2"/>
      <c r="W533" s="2"/>
    </row>
    <row r="534" ht="14.25" customHeight="1">
      <c r="A534" s="2"/>
      <c r="L534" s="2"/>
      <c r="M534" s="2"/>
      <c r="W534" s="2"/>
    </row>
    <row r="535" ht="14.25" customHeight="1">
      <c r="A535" s="2"/>
      <c r="L535" s="2"/>
      <c r="M535" s="2"/>
      <c r="W535" s="2"/>
    </row>
    <row r="536" ht="14.25" customHeight="1">
      <c r="A536" s="2"/>
      <c r="L536" s="2"/>
      <c r="M536" s="2"/>
      <c r="W536" s="2"/>
    </row>
    <row r="537" ht="14.25" customHeight="1">
      <c r="A537" s="2"/>
      <c r="L537" s="2"/>
      <c r="M537" s="2"/>
      <c r="W537" s="2"/>
    </row>
    <row r="538" ht="14.25" customHeight="1">
      <c r="A538" s="2"/>
      <c r="L538" s="2"/>
      <c r="M538" s="2"/>
      <c r="W538" s="2"/>
    </row>
    <row r="539" ht="14.25" customHeight="1">
      <c r="A539" s="2"/>
      <c r="L539" s="2"/>
      <c r="M539" s="2"/>
      <c r="W539" s="2"/>
    </row>
    <row r="540" ht="14.25" customHeight="1">
      <c r="A540" s="2"/>
      <c r="L540" s="2"/>
      <c r="M540" s="2"/>
      <c r="W540" s="2"/>
    </row>
    <row r="541" ht="14.25" customHeight="1">
      <c r="A541" s="2"/>
      <c r="L541" s="2"/>
      <c r="M541" s="2"/>
      <c r="W541" s="2"/>
    </row>
    <row r="542" ht="14.25" customHeight="1">
      <c r="A542" s="2"/>
      <c r="L542" s="2"/>
      <c r="M542" s="2"/>
      <c r="W542" s="2"/>
    </row>
    <row r="543" ht="14.25" customHeight="1">
      <c r="A543" s="2"/>
      <c r="L543" s="2"/>
      <c r="M543" s="2"/>
      <c r="W543" s="2"/>
    </row>
    <row r="544" ht="14.25" customHeight="1">
      <c r="A544" s="2"/>
      <c r="L544" s="2"/>
      <c r="M544" s="2"/>
      <c r="W544" s="2"/>
    </row>
    <row r="545" ht="14.25" customHeight="1">
      <c r="A545" s="2"/>
      <c r="L545" s="2"/>
      <c r="M545" s="2"/>
      <c r="W545" s="2"/>
    </row>
    <row r="546" ht="14.25" customHeight="1">
      <c r="A546" s="2"/>
      <c r="L546" s="2"/>
      <c r="M546" s="2"/>
      <c r="W546" s="2"/>
    </row>
    <row r="547" ht="14.25" customHeight="1">
      <c r="A547" s="2"/>
      <c r="L547" s="2"/>
      <c r="M547" s="2"/>
      <c r="W547" s="2"/>
    </row>
    <row r="548" ht="14.25" customHeight="1">
      <c r="A548" s="2"/>
      <c r="L548" s="2"/>
      <c r="M548" s="2"/>
      <c r="W548" s="2"/>
    </row>
    <row r="549" ht="14.25" customHeight="1">
      <c r="A549" s="2"/>
      <c r="L549" s="2"/>
      <c r="M549" s="2"/>
      <c r="W549" s="2"/>
    </row>
    <row r="550" ht="14.25" customHeight="1">
      <c r="A550" s="2"/>
      <c r="L550" s="2"/>
      <c r="M550" s="2"/>
      <c r="W550" s="2"/>
    </row>
    <row r="551" ht="14.25" customHeight="1">
      <c r="A551" s="2"/>
      <c r="L551" s="2"/>
      <c r="M551" s="2"/>
      <c r="W551" s="2"/>
    </row>
    <row r="552" ht="14.25" customHeight="1">
      <c r="A552" s="2"/>
      <c r="L552" s="2"/>
      <c r="M552" s="2"/>
      <c r="W552" s="2"/>
    </row>
    <row r="553" ht="14.25" customHeight="1">
      <c r="A553" s="2"/>
      <c r="L553" s="2"/>
      <c r="M553" s="2"/>
      <c r="W553" s="2"/>
    </row>
    <row r="554" ht="14.25" customHeight="1">
      <c r="A554" s="2"/>
      <c r="L554" s="2"/>
      <c r="M554" s="2"/>
      <c r="W554" s="2"/>
    </row>
    <row r="555" ht="14.25" customHeight="1">
      <c r="A555" s="2"/>
      <c r="L555" s="2"/>
      <c r="M555" s="2"/>
      <c r="W555" s="2"/>
    </row>
    <row r="556" ht="14.25" customHeight="1">
      <c r="A556" s="2"/>
      <c r="L556" s="2"/>
      <c r="M556" s="2"/>
      <c r="W556" s="2"/>
    </row>
    <row r="557" ht="14.25" customHeight="1">
      <c r="A557" s="2"/>
      <c r="L557" s="2"/>
      <c r="M557" s="2"/>
      <c r="W557" s="2"/>
    </row>
    <row r="558" ht="14.25" customHeight="1">
      <c r="A558" s="2"/>
      <c r="L558" s="2"/>
      <c r="M558" s="2"/>
      <c r="W558" s="2"/>
    </row>
    <row r="559" ht="14.25" customHeight="1">
      <c r="A559" s="2"/>
      <c r="L559" s="2"/>
      <c r="M559" s="2"/>
      <c r="W559" s="2"/>
    </row>
    <row r="560" ht="14.25" customHeight="1">
      <c r="A560" s="2"/>
      <c r="L560" s="2"/>
      <c r="M560" s="2"/>
      <c r="W560" s="2"/>
    </row>
    <row r="561" ht="14.25" customHeight="1">
      <c r="A561" s="2"/>
      <c r="L561" s="2"/>
      <c r="M561" s="2"/>
      <c r="W561" s="2"/>
    </row>
    <row r="562" ht="14.25" customHeight="1">
      <c r="A562" s="2"/>
      <c r="L562" s="2"/>
      <c r="M562" s="2"/>
      <c r="W562" s="2"/>
    </row>
    <row r="563" ht="14.25" customHeight="1">
      <c r="A563" s="2"/>
      <c r="L563" s="2"/>
      <c r="M563" s="2"/>
      <c r="W563" s="2"/>
    </row>
    <row r="564" ht="14.25" customHeight="1">
      <c r="A564" s="2"/>
      <c r="L564" s="2"/>
      <c r="M564" s="2"/>
      <c r="W564" s="2"/>
    </row>
    <row r="565" ht="14.25" customHeight="1">
      <c r="A565" s="2"/>
      <c r="L565" s="2"/>
      <c r="M565" s="2"/>
      <c r="W565" s="2"/>
    </row>
    <row r="566" ht="14.25" customHeight="1">
      <c r="A566" s="2"/>
      <c r="L566" s="2"/>
      <c r="M566" s="2"/>
      <c r="W566" s="2"/>
    </row>
    <row r="567" ht="14.25" customHeight="1">
      <c r="A567" s="2"/>
      <c r="L567" s="2"/>
      <c r="M567" s="2"/>
      <c r="W567" s="2"/>
    </row>
    <row r="568" ht="14.25" customHeight="1">
      <c r="A568" s="2"/>
      <c r="L568" s="2"/>
      <c r="M568" s="2"/>
      <c r="W568" s="2"/>
    </row>
    <row r="569" ht="14.25" customHeight="1">
      <c r="A569" s="2"/>
      <c r="L569" s="2"/>
      <c r="M569" s="2"/>
      <c r="W569" s="2"/>
    </row>
    <row r="570" ht="14.25" customHeight="1">
      <c r="A570" s="2"/>
      <c r="L570" s="2"/>
      <c r="M570" s="2"/>
      <c r="W570" s="2"/>
    </row>
    <row r="571" ht="14.25" customHeight="1">
      <c r="A571" s="2"/>
      <c r="L571" s="2"/>
      <c r="M571" s="2"/>
      <c r="W571" s="2"/>
    </row>
    <row r="572" ht="14.25" customHeight="1">
      <c r="A572" s="2"/>
      <c r="L572" s="2"/>
      <c r="M572" s="2"/>
      <c r="W572" s="2"/>
    </row>
    <row r="573" ht="14.25" customHeight="1">
      <c r="A573" s="2"/>
      <c r="L573" s="2"/>
      <c r="M573" s="2"/>
      <c r="W573" s="2"/>
    </row>
    <row r="574" ht="14.25" customHeight="1">
      <c r="A574" s="2"/>
      <c r="L574" s="2"/>
      <c r="M574" s="2"/>
      <c r="W574" s="2"/>
    </row>
    <row r="575" ht="14.25" customHeight="1">
      <c r="A575" s="2"/>
      <c r="L575" s="2"/>
      <c r="M575" s="2"/>
      <c r="W575" s="2"/>
    </row>
    <row r="576" ht="14.25" customHeight="1">
      <c r="A576" s="2"/>
      <c r="L576" s="2"/>
      <c r="M576" s="2"/>
      <c r="W576" s="2"/>
    </row>
    <row r="577" ht="14.25" customHeight="1">
      <c r="A577" s="2"/>
      <c r="L577" s="2"/>
      <c r="M577" s="2"/>
      <c r="W577" s="2"/>
    </row>
    <row r="578" ht="14.25" customHeight="1">
      <c r="A578" s="2"/>
      <c r="L578" s="2"/>
      <c r="M578" s="2"/>
      <c r="W578" s="2"/>
    </row>
    <row r="579" ht="14.25" customHeight="1">
      <c r="A579" s="2"/>
      <c r="L579" s="2"/>
      <c r="M579" s="2"/>
      <c r="W579" s="2"/>
    </row>
    <row r="580" ht="14.25" customHeight="1">
      <c r="A580" s="2"/>
      <c r="L580" s="2"/>
      <c r="M580" s="2"/>
      <c r="W580" s="2"/>
    </row>
    <row r="581" ht="14.25" customHeight="1">
      <c r="A581" s="2"/>
      <c r="L581" s="2"/>
      <c r="M581" s="2"/>
      <c r="W581" s="2"/>
    </row>
    <row r="582" ht="14.25" customHeight="1">
      <c r="A582" s="2"/>
      <c r="L582" s="2"/>
      <c r="M582" s="2"/>
      <c r="W582" s="2"/>
    </row>
    <row r="583" ht="14.25" customHeight="1">
      <c r="A583" s="2"/>
      <c r="L583" s="2"/>
      <c r="M583" s="2"/>
      <c r="W583" s="2"/>
    </row>
    <row r="584" ht="14.25" customHeight="1">
      <c r="A584" s="2"/>
      <c r="L584" s="2"/>
      <c r="M584" s="2"/>
      <c r="W584" s="2"/>
    </row>
    <row r="585" ht="14.25" customHeight="1">
      <c r="A585" s="2"/>
      <c r="L585" s="2"/>
      <c r="M585" s="2"/>
      <c r="W585" s="2"/>
    </row>
    <row r="586" ht="14.25" customHeight="1">
      <c r="A586" s="2"/>
      <c r="L586" s="2"/>
      <c r="M586" s="2"/>
      <c r="W586" s="2"/>
    </row>
    <row r="587" ht="14.25" customHeight="1">
      <c r="A587" s="2"/>
      <c r="L587" s="2"/>
      <c r="M587" s="2"/>
      <c r="W587" s="2"/>
    </row>
    <row r="588" ht="14.25" customHeight="1">
      <c r="A588" s="2"/>
      <c r="L588" s="2"/>
      <c r="M588" s="2"/>
      <c r="W588" s="2"/>
    </row>
    <row r="589" ht="14.25" customHeight="1">
      <c r="A589" s="2"/>
      <c r="L589" s="2"/>
      <c r="M589" s="2"/>
      <c r="W589" s="2"/>
    </row>
    <row r="590" ht="14.25" customHeight="1">
      <c r="A590" s="2"/>
      <c r="L590" s="2"/>
      <c r="M590" s="2"/>
      <c r="W590" s="2"/>
    </row>
    <row r="591" ht="14.25" customHeight="1">
      <c r="A591" s="2"/>
      <c r="L591" s="2"/>
      <c r="M591" s="2"/>
      <c r="W591" s="2"/>
    </row>
    <row r="592" ht="14.25" customHeight="1">
      <c r="A592" s="2"/>
      <c r="L592" s="2"/>
      <c r="M592" s="2"/>
      <c r="W592" s="2"/>
    </row>
    <row r="593" ht="14.25" customHeight="1">
      <c r="A593" s="2"/>
      <c r="L593" s="2"/>
      <c r="M593" s="2"/>
      <c r="W593" s="2"/>
    </row>
    <row r="594" ht="14.25" customHeight="1">
      <c r="A594" s="2"/>
      <c r="L594" s="2"/>
      <c r="M594" s="2"/>
      <c r="W594" s="2"/>
    </row>
    <row r="595" ht="14.25" customHeight="1">
      <c r="A595" s="2"/>
      <c r="L595" s="2"/>
      <c r="M595" s="2"/>
      <c r="W595" s="2"/>
    </row>
    <row r="596" ht="14.25" customHeight="1">
      <c r="A596" s="2"/>
      <c r="L596" s="2"/>
      <c r="M596" s="2"/>
      <c r="W596" s="2"/>
    </row>
    <row r="597" ht="14.25" customHeight="1">
      <c r="A597" s="2"/>
      <c r="L597" s="2"/>
      <c r="M597" s="2"/>
      <c r="W597" s="2"/>
    </row>
    <row r="598" ht="14.25" customHeight="1">
      <c r="A598" s="2"/>
      <c r="L598" s="2"/>
      <c r="M598" s="2"/>
      <c r="W598" s="2"/>
    </row>
    <row r="599" ht="14.25" customHeight="1">
      <c r="A599" s="2"/>
      <c r="L599" s="2"/>
      <c r="M599" s="2"/>
      <c r="W599" s="2"/>
    </row>
    <row r="600" ht="14.25" customHeight="1">
      <c r="A600" s="2"/>
      <c r="L600" s="2"/>
      <c r="M600" s="2"/>
      <c r="W600" s="2"/>
    </row>
    <row r="601" ht="14.25" customHeight="1">
      <c r="A601" s="2"/>
      <c r="L601" s="2"/>
      <c r="M601" s="2"/>
      <c r="W601" s="2"/>
    </row>
    <row r="602" ht="14.25" customHeight="1">
      <c r="A602" s="2"/>
      <c r="L602" s="2"/>
      <c r="M602" s="2"/>
      <c r="W602" s="2"/>
    </row>
    <row r="603" ht="14.25" customHeight="1">
      <c r="A603" s="2"/>
      <c r="L603" s="2"/>
      <c r="M603" s="2"/>
      <c r="W603" s="2"/>
    </row>
    <row r="604" ht="14.25" customHeight="1">
      <c r="A604" s="2"/>
      <c r="L604" s="2"/>
      <c r="M604" s="2"/>
      <c r="W604" s="2"/>
    </row>
    <row r="605" ht="14.25" customHeight="1">
      <c r="A605" s="2"/>
      <c r="L605" s="2"/>
      <c r="M605" s="2"/>
      <c r="W605" s="2"/>
    </row>
    <row r="606" ht="14.25" customHeight="1">
      <c r="A606" s="2"/>
      <c r="L606" s="2"/>
      <c r="M606" s="2"/>
      <c r="W606" s="2"/>
    </row>
    <row r="607" ht="14.25" customHeight="1">
      <c r="A607" s="2"/>
      <c r="L607" s="2"/>
      <c r="M607" s="2"/>
      <c r="W607" s="2"/>
    </row>
    <row r="608" ht="14.25" customHeight="1">
      <c r="A608" s="2"/>
      <c r="L608" s="2"/>
      <c r="M608" s="2"/>
      <c r="W608" s="2"/>
    </row>
    <row r="609" ht="14.25" customHeight="1">
      <c r="A609" s="2"/>
      <c r="L609" s="2"/>
      <c r="M609" s="2"/>
      <c r="W609" s="2"/>
    </row>
    <row r="610" ht="14.25" customHeight="1">
      <c r="A610" s="2"/>
      <c r="L610" s="2"/>
      <c r="M610" s="2"/>
      <c r="W610" s="2"/>
    </row>
    <row r="611" ht="14.25" customHeight="1">
      <c r="A611" s="2"/>
      <c r="L611" s="2"/>
      <c r="M611" s="2"/>
      <c r="W611" s="2"/>
    </row>
    <row r="612" ht="14.25" customHeight="1">
      <c r="A612" s="2"/>
      <c r="L612" s="2"/>
      <c r="M612" s="2"/>
      <c r="W612" s="2"/>
    </row>
    <row r="613" ht="14.25" customHeight="1">
      <c r="A613" s="2"/>
      <c r="L613" s="2"/>
      <c r="M613" s="2"/>
      <c r="W613" s="2"/>
    </row>
    <row r="614" ht="14.25" customHeight="1">
      <c r="A614" s="2"/>
      <c r="L614" s="2"/>
      <c r="M614" s="2"/>
      <c r="W614" s="2"/>
    </row>
    <row r="615" ht="14.25" customHeight="1">
      <c r="A615" s="2"/>
      <c r="L615" s="2"/>
      <c r="M615" s="2"/>
      <c r="W615" s="2"/>
    </row>
    <row r="616" ht="14.25" customHeight="1">
      <c r="A616" s="2"/>
      <c r="L616" s="2"/>
      <c r="M616" s="2"/>
      <c r="W616" s="2"/>
    </row>
    <row r="617" ht="14.25" customHeight="1">
      <c r="A617" s="2"/>
      <c r="L617" s="2"/>
      <c r="M617" s="2"/>
      <c r="W617" s="2"/>
    </row>
    <row r="618" ht="14.25" customHeight="1">
      <c r="A618" s="2"/>
      <c r="L618" s="2"/>
      <c r="M618" s="2"/>
      <c r="W618" s="2"/>
    </row>
    <row r="619" ht="14.25" customHeight="1">
      <c r="A619" s="2"/>
      <c r="L619" s="2"/>
      <c r="M619" s="2"/>
      <c r="W619" s="2"/>
    </row>
    <row r="620" ht="14.25" customHeight="1">
      <c r="A620" s="2"/>
      <c r="L620" s="2"/>
      <c r="M620" s="2"/>
      <c r="W620" s="2"/>
    </row>
    <row r="621" ht="14.25" customHeight="1">
      <c r="A621" s="2"/>
      <c r="L621" s="2"/>
      <c r="M621" s="2"/>
      <c r="W621" s="2"/>
    </row>
    <row r="622" ht="14.25" customHeight="1">
      <c r="A622" s="2"/>
      <c r="L622" s="2"/>
      <c r="M622" s="2"/>
      <c r="W622" s="2"/>
    </row>
    <row r="623" ht="14.25" customHeight="1">
      <c r="A623" s="2"/>
      <c r="L623" s="2"/>
      <c r="M623" s="2"/>
      <c r="W623" s="2"/>
    </row>
    <row r="624" ht="14.25" customHeight="1">
      <c r="A624" s="2"/>
      <c r="L624" s="2"/>
      <c r="M624" s="2"/>
      <c r="W624" s="2"/>
    </row>
    <row r="625" ht="14.25" customHeight="1">
      <c r="A625" s="2"/>
      <c r="L625" s="2"/>
      <c r="M625" s="2"/>
      <c r="W625" s="2"/>
    </row>
    <row r="626" ht="14.25" customHeight="1">
      <c r="A626" s="2"/>
      <c r="L626" s="2"/>
      <c r="M626" s="2"/>
      <c r="W626" s="2"/>
    </row>
    <row r="627" ht="14.25" customHeight="1">
      <c r="A627" s="2"/>
      <c r="L627" s="2"/>
      <c r="M627" s="2"/>
      <c r="W627" s="2"/>
    </row>
    <row r="628" ht="14.25" customHeight="1">
      <c r="A628" s="2"/>
      <c r="L628" s="2"/>
      <c r="M628" s="2"/>
      <c r="W628" s="2"/>
    </row>
    <row r="629" ht="14.25" customHeight="1">
      <c r="A629" s="2"/>
      <c r="L629" s="2"/>
      <c r="M629" s="2"/>
      <c r="W629" s="2"/>
    </row>
    <row r="630" ht="14.25" customHeight="1">
      <c r="A630" s="2"/>
      <c r="L630" s="2"/>
      <c r="M630" s="2"/>
      <c r="W630" s="2"/>
    </row>
    <row r="631" ht="14.25" customHeight="1">
      <c r="A631" s="2"/>
      <c r="L631" s="2"/>
      <c r="M631" s="2"/>
      <c r="W631" s="2"/>
    </row>
    <row r="632" ht="14.25" customHeight="1">
      <c r="A632" s="2"/>
      <c r="L632" s="2"/>
      <c r="M632" s="2"/>
      <c r="W632" s="2"/>
    </row>
    <row r="633" ht="14.25" customHeight="1">
      <c r="A633" s="2"/>
      <c r="L633" s="2"/>
      <c r="M633" s="2"/>
      <c r="W633" s="2"/>
    </row>
    <row r="634" ht="14.25" customHeight="1">
      <c r="A634" s="2"/>
      <c r="L634" s="2"/>
      <c r="M634" s="2"/>
      <c r="W634" s="2"/>
    </row>
    <row r="635" ht="14.25" customHeight="1">
      <c r="A635" s="2"/>
      <c r="L635" s="2"/>
      <c r="M635" s="2"/>
      <c r="W635" s="2"/>
    </row>
    <row r="636" ht="14.25" customHeight="1">
      <c r="A636" s="2"/>
      <c r="L636" s="2"/>
      <c r="M636" s="2"/>
      <c r="W636" s="2"/>
    </row>
    <row r="637" ht="14.25" customHeight="1">
      <c r="A637" s="2"/>
      <c r="L637" s="2"/>
      <c r="M637" s="2"/>
      <c r="W637" s="2"/>
    </row>
    <row r="638" ht="14.25" customHeight="1">
      <c r="A638" s="2"/>
      <c r="L638" s="2"/>
      <c r="M638" s="2"/>
      <c r="W638" s="2"/>
    </row>
    <row r="639" ht="14.25" customHeight="1">
      <c r="A639" s="2"/>
      <c r="L639" s="2"/>
      <c r="M639" s="2"/>
      <c r="W639" s="2"/>
    </row>
    <row r="640" ht="14.25" customHeight="1">
      <c r="A640" s="2"/>
      <c r="L640" s="2"/>
      <c r="M640" s="2"/>
      <c r="N640" s="2"/>
      <c r="W640" s="2"/>
    </row>
    <row r="641" ht="14.25" customHeight="1">
      <c r="A641" s="2"/>
      <c r="L641" s="2"/>
      <c r="M641" s="2"/>
      <c r="W641" s="2"/>
    </row>
    <row r="642" ht="14.25" customHeight="1">
      <c r="A642" s="2"/>
      <c r="L642" s="2"/>
      <c r="M642" s="2"/>
      <c r="W642" s="2"/>
    </row>
    <row r="643" ht="14.25" customHeight="1">
      <c r="A643" s="2"/>
      <c r="L643" s="2"/>
      <c r="M643" s="2"/>
      <c r="W643" s="2"/>
    </row>
    <row r="644" ht="14.25" customHeight="1">
      <c r="A644" s="2"/>
      <c r="L644" s="2"/>
      <c r="M644" s="2"/>
      <c r="W644" s="2"/>
    </row>
    <row r="645" ht="14.25" customHeight="1">
      <c r="A645" s="2"/>
      <c r="L645" s="2"/>
      <c r="M645" s="2"/>
      <c r="W645" s="2"/>
    </row>
    <row r="646" ht="14.25" customHeight="1">
      <c r="A646" s="2"/>
      <c r="L646" s="2"/>
      <c r="M646" s="2"/>
      <c r="W646" s="2"/>
    </row>
    <row r="647" ht="14.25" customHeight="1">
      <c r="A647" s="2"/>
      <c r="L647" s="2"/>
      <c r="M647" s="2"/>
      <c r="W647" s="2"/>
    </row>
    <row r="648" ht="14.25" customHeight="1">
      <c r="A648" s="2"/>
      <c r="L648" s="2"/>
      <c r="M648" s="2"/>
      <c r="W648" s="2"/>
    </row>
    <row r="649" ht="14.25" customHeight="1">
      <c r="A649" s="2"/>
      <c r="L649" s="2"/>
      <c r="M649" s="2"/>
      <c r="W649" s="2"/>
    </row>
    <row r="650" ht="14.25" customHeight="1">
      <c r="A650" s="2"/>
      <c r="L650" s="2"/>
      <c r="M650" s="2"/>
      <c r="W650" s="2"/>
    </row>
    <row r="651" ht="14.25" customHeight="1">
      <c r="A651" s="2"/>
      <c r="L651" s="2"/>
      <c r="M651" s="2"/>
      <c r="W651" s="2"/>
    </row>
    <row r="652" ht="14.25" customHeight="1">
      <c r="A652" s="2"/>
      <c r="L652" s="2"/>
      <c r="M652" s="2"/>
      <c r="W652" s="2"/>
    </row>
    <row r="653" ht="14.25" customHeight="1">
      <c r="A653" s="2"/>
      <c r="L653" s="2"/>
      <c r="M653" s="2"/>
      <c r="W653" s="2"/>
    </row>
    <row r="654" ht="14.25" customHeight="1">
      <c r="A654" s="2"/>
      <c r="L654" s="2"/>
      <c r="M654" s="2"/>
      <c r="W654" s="2"/>
    </row>
    <row r="655" ht="14.25" customHeight="1">
      <c r="A655" s="2"/>
      <c r="L655" s="2"/>
      <c r="M655" s="2"/>
      <c r="W655" s="2"/>
    </row>
    <row r="656" ht="14.25" customHeight="1">
      <c r="A656" s="2"/>
      <c r="L656" s="2"/>
      <c r="M656" s="2"/>
      <c r="W656" s="2"/>
    </row>
    <row r="657" ht="14.25" customHeight="1">
      <c r="A657" s="2"/>
      <c r="L657" s="2"/>
      <c r="M657" s="2"/>
      <c r="W657" s="2"/>
    </row>
    <row r="658" ht="14.25" customHeight="1">
      <c r="A658" s="2"/>
      <c r="L658" s="2"/>
      <c r="M658" s="2"/>
      <c r="W658" s="2"/>
    </row>
    <row r="659" ht="14.25" customHeight="1">
      <c r="A659" s="2"/>
      <c r="L659" s="2"/>
      <c r="M659" s="2"/>
      <c r="W659" s="2"/>
    </row>
    <row r="660" ht="14.25" customHeight="1">
      <c r="A660" s="2"/>
      <c r="L660" s="2"/>
      <c r="M660" s="2"/>
      <c r="W660" s="2"/>
    </row>
    <row r="661" ht="14.25" customHeight="1">
      <c r="A661" s="2"/>
      <c r="L661" s="2"/>
      <c r="M661" s="2"/>
      <c r="W661" s="2"/>
    </row>
    <row r="662" ht="14.25" customHeight="1">
      <c r="A662" s="2"/>
      <c r="L662" s="2"/>
      <c r="M662" s="2"/>
      <c r="W662" s="2"/>
    </row>
    <row r="663" ht="14.25" customHeight="1">
      <c r="A663" s="2"/>
      <c r="L663" s="2"/>
      <c r="M663" s="2"/>
      <c r="W663" s="2"/>
    </row>
    <row r="664" ht="14.25" customHeight="1">
      <c r="A664" s="2"/>
      <c r="L664" s="2"/>
      <c r="M664" s="2"/>
      <c r="W664" s="2"/>
    </row>
    <row r="665" ht="14.25" customHeight="1">
      <c r="A665" s="2"/>
      <c r="L665" s="2"/>
      <c r="M665" s="2"/>
      <c r="W665" s="2"/>
    </row>
    <row r="666" ht="14.25" customHeight="1">
      <c r="A666" s="2"/>
      <c r="L666" s="2"/>
      <c r="M666" s="2"/>
      <c r="W666" s="2"/>
    </row>
    <row r="667" ht="14.25" customHeight="1">
      <c r="A667" s="2"/>
      <c r="L667" s="2"/>
      <c r="M667" s="2"/>
      <c r="W667" s="2"/>
    </row>
    <row r="668" ht="14.25" customHeight="1">
      <c r="A668" s="2"/>
      <c r="L668" s="2"/>
      <c r="M668" s="2"/>
      <c r="W668" s="2"/>
    </row>
    <row r="669" ht="14.25" customHeight="1">
      <c r="A669" s="2"/>
      <c r="L669" s="2"/>
      <c r="M669" s="2"/>
      <c r="W669" s="2"/>
    </row>
    <row r="670" ht="14.25" customHeight="1">
      <c r="A670" s="2"/>
      <c r="L670" s="2"/>
      <c r="M670" s="2"/>
      <c r="W670" s="2"/>
    </row>
    <row r="671" ht="14.25" customHeight="1">
      <c r="A671" s="2"/>
      <c r="L671" s="2"/>
      <c r="M671" s="2"/>
      <c r="W671" s="2"/>
    </row>
    <row r="672" ht="14.25" customHeight="1">
      <c r="A672" s="2"/>
      <c r="L672" s="2"/>
      <c r="M672" s="2"/>
      <c r="W672" s="2"/>
    </row>
    <row r="673" ht="14.25" customHeight="1">
      <c r="A673" s="2"/>
      <c r="L673" s="2"/>
      <c r="M673" s="2"/>
      <c r="W673" s="2"/>
    </row>
    <row r="674" ht="14.25" customHeight="1">
      <c r="A674" s="2"/>
      <c r="L674" s="2"/>
      <c r="M674" s="2"/>
      <c r="W674" s="2"/>
    </row>
    <row r="675" ht="14.25" customHeight="1">
      <c r="A675" s="2"/>
      <c r="L675" s="2"/>
      <c r="M675" s="2"/>
      <c r="W675" s="2"/>
    </row>
    <row r="676" ht="14.25" customHeight="1">
      <c r="A676" s="2"/>
      <c r="L676" s="2"/>
      <c r="M676" s="2"/>
      <c r="W676" s="2"/>
    </row>
    <row r="677" ht="14.25" customHeight="1">
      <c r="A677" s="2"/>
      <c r="L677" s="2"/>
      <c r="M677" s="2"/>
      <c r="W677" s="2"/>
    </row>
    <row r="678" ht="14.25" customHeight="1">
      <c r="A678" s="2"/>
      <c r="L678" s="2"/>
      <c r="M678" s="2"/>
      <c r="W678" s="2"/>
    </row>
    <row r="679" ht="14.25" customHeight="1">
      <c r="A679" s="2"/>
      <c r="L679" s="2"/>
      <c r="M679" s="2"/>
      <c r="W679" s="2"/>
    </row>
    <row r="680" ht="14.25" customHeight="1">
      <c r="A680" s="2"/>
      <c r="L680" s="2"/>
      <c r="M680" s="2"/>
      <c r="W680" s="2"/>
    </row>
    <row r="681" ht="14.25" customHeight="1">
      <c r="A681" s="2"/>
      <c r="L681" s="2"/>
      <c r="M681" s="2"/>
      <c r="W681" s="2"/>
    </row>
    <row r="682" ht="14.25" customHeight="1">
      <c r="A682" s="2"/>
      <c r="L682" s="2"/>
      <c r="M682" s="2"/>
      <c r="W682" s="2"/>
    </row>
    <row r="683" ht="14.25" customHeight="1">
      <c r="A683" s="2"/>
      <c r="L683" s="2"/>
      <c r="M683" s="2"/>
      <c r="W683" s="2"/>
    </row>
    <row r="684" ht="14.25" customHeight="1">
      <c r="A684" s="2"/>
      <c r="L684" s="2"/>
      <c r="M684" s="2"/>
      <c r="W684" s="2"/>
    </row>
    <row r="685" ht="14.25" customHeight="1">
      <c r="A685" s="2"/>
      <c r="L685" s="2"/>
      <c r="M685" s="2"/>
      <c r="W685" s="2"/>
    </row>
    <row r="686" ht="14.25" customHeight="1">
      <c r="A686" s="2"/>
      <c r="L686" s="2"/>
      <c r="M686" s="2"/>
      <c r="W686" s="2"/>
    </row>
    <row r="687" ht="14.25" customHeight="1">
      <c r="A687" s="2"/>
      <c r="L687" s="2"/>
      <c r="M687" s="2"/>
      <c r="W687" s="2"/>
    </row>
    <row r="688" ht="14.25" customHeight="1">
      <c r="A688" s="2"/>
      <c r="L688" s="2"/>
      <c r="M688" s="2"/>
      <c r="W688" s="2"/>
    </row>
    <row r="689" ht="14.25" customHeight="1">
      <c r="A689" s="2"/>
      <c r="L689" s="2"/>
      <c r="M689" s="2"/>
      <c r="W689" s="2"/>
    </row>
    <row r="690" ht="14.25" customHeight="1">
      <c r="A690" s="2"/>
      <c r="L690" s="2"/>
      <c r="M690" s="2"/>
      <c r="W690" s="2"/>
    </row>
    <row r="691" ht="14.25" customHeight="1">
      <c r="A691" s="2"/>
      <c r="L691" s="2"/>
      <c r="M691" s="2"/>
      <c r="W691" s="2"/>
    </row>
    <row r="692" ht="14.25" customHeight="1">
      <c r="A692" s="2"/>
      <c r="L692" s="2"/>
      <c r="M692" s="2"/>
      <c r="W692" s="2"/>
    </row>
    <row r="693" ht="14.25" customHeight="1">
      <c r="A693" s="2"/>
      <c r="L693" s="2"/>
      <c r="M693" s="2"/>
      <c r="W693" s="2"/>
    </row>
    <row r="694" ht="14.25" customHeight="1">
      <c r="A694" s="2"/>
      <c r="L694" s="2"/>
      <c r="M694" s="2"/>
      <c r="W694" s="2"/>
    </row>
    <row r="695" ht="14.25" customHeight="1">
      <c r="A695" s="2"/>
      <c r="L695" s="2"/>
      <c r="M695" s="2"/>
      <c r="W695" s="2"/>
    </row>
    <row r="696" ht="14.25" customHeight="1">
      <c r="A696" s="2"/>
      <c r="L696" s="2"/>
      <c r="M696" s="2"/>
      <c r="W696" s="2"/>
    </row>
    <row r="697" ht="14.25" customHeight="1">
      <c r="A697" s="2"/>
      <c r="L697" s="2"/>
      <c r="M697" s="2"/>
      <c r="W697" s="2"/>
    </row>
    <row r="698" ht="14.25" customHeight="1">
      <c r="A698" s="2"/>
      <c r="L698" s="2"/>
      <c r="M698" s="2"/>
      <c r="W698" s="2"/>
    </row>
    <row r="699" ht="14.25" customHeight="1">
      <c r="A699" s="2"/>
      <c r="L699" s="2"/>
      <c r="M699" s="2"/>
      <c r="W699" s="2"/>
    </row>
    <row r="700" ht="14.25" customHeight="1">
      <c r="A700" s="2"/>
      <c r="L700" s="2"/>
      <c r="M700" s="2"/>
      <c r="W700" s="2"/>
    </row>
    <row r="701" ht="14.25" customHeight="1">
      <c r="A701" s="2"/>
      <c r="L701" s="2"/>
      <c r="M701" s="2"/>
      <c r="W701" s="2"/>
    </row>
    <row r="702" ht="14.25" customHeight="1">
      <c r="A702" s="2"/>
      <c r="L702" s="2"/>
      <c r="M702" s="2"/>
      <c r="W702" s="2"/>
    </row>
    <row r="703" ht="14.25" customHeight="1">
      <c r="A703" s="2"/>
      <c r="L703" s="2"/>
      <c r="M703" s="2"/>
      <c r="W703" s="2"/>
    </row>
    <row r="704" ht="14.25" customHeight="1">
      <c r="A704" s="2"/>
      <c r="L704" s="2"/>
      <c r="M704" s="2"/>
      <c r="W704" s="2"/>
    </row>
    <row r="705" ht="14.25" customHeight="1">
      <c r="A705" s="2"/>
      <c r="L705" s="2"/>
      <c r="M705" s="2"/>
      <c r="W705" s="2"/>
    </row>
    <row r="706" ht="14.25" customHeight="1">
      <c r="A706" s="2"/>
      <c r="L706" s="2"/>
      <c r="M706" s="2"/>
      <c r="W706" s="2"/>
    </row>
    <row r="707" ht="14.25" customHeight="1">
      <c r="A707" s="2"/>
      <c r="L707" s="2"/>
      <c r="M707" s="2"/>
      <c r="W707" s="2"/>
    </row>
    <row r="708" ht="14.25" customHeight="1">
      <c r="A708" s="2"/>
      <c r="L708" s="2"/>
      <c r="M708" s="2"/>
      <c r="W708" s="2"/>
    </row>
    <row r="709" ht="14.25" customHeight="1">
      <c r="A709" s="2"/>
      <c r="L709" s="2"/>
      <c r="M709" s="2"/>
      <c r="W709" s="2"/>
    </row>
    <row r="710" ht="14.25" customHeight="1">
      <c r="A710" s="2"/>
      <c r="L710" s="2"/>
      <c r="M710" s="2"/>
      <c r="W710" s="2"/>
    </row>
    <row r="711" ht="14.25" customHeight="1">
      <c r="A711" s="2"/>
      <c r="L711" s="2"/>
      <c r="M711" s="2"/>
      <c r="W711" s="2"/>
    </row>
    <row r="712" ht="14.25" customHeight="1">
      <c r="A712" s="2"/>
      <c r="L712" s="2"/>
      <c r="M712" s="2"/>
      <c r="W712" s="2"/>
    </row>
    <row r="713" ht="14.25" customHeight="1">
      <c r="A713" s="2"/>
      <c r="L713" s="2"/>
      <c r="M713" s="2"/>
      <c r="W713" s="2"/>
    </row>
    <row r="714" ht="14.25" customHeight="1">
      <c r="A714" s="2"/>
      <c r="L714" s="2"/>
      <c r="M714" s="2"/>
      <c r="W714" s="2"/>
    </row>
    <row r="715" ht="14.25" customHeight="1">
      <c r="A715" s="2"/>
      <c r="L715" s="2"/>
      <c r="M715" s="2"/>
      <c r="W715" s="2"/>
    </row>
    <row r="716" ht="14.25" customHeight="1">
      <c r="A716" s="2"/>
      <c r="L716" s="2"/>
      <c r="M716" s="2"/>
      <c r="W716" s="2"/>
    </row>
    <row r="717" ht="14.25" customHeight="1">
      <c r="A717" s="2"/>
      <c r="L717" s="2"/>
      <c r="M717" s="2"/>
      <c r="W717" s="2"/>
    </row>
    <row r="718" ht="14.25" customHeight="1">
      <c r="A718" s="2"/>
      <c r="L718" s="2"/>
      <c r="M718" s="2"/>
      <c r="W718" s="2"/>
    </row>
    <row r="719" ht="14.25" customHeight="1">
      <c r="A719" s="2"/>
      <c r="L719" s="2"/>
      <c r="M719" s="2"/>
      <c r="W719" s="2"/>
    </row>
    <row r="720" ht="14.25" customHeight="1">
      <c r="A720" s="2"/>
      <c r="L720" s="2"/>
      <c r="M720" s="2"/>
      <c r="W720" s="2"/>
    </row>
    <row r="721" ht="14.25" customHeight="1">
      <c r="A721" s="2"/>
      <c r="L721" s="2"/>
      <c r="M721" s="2"/>
      <c r="W721" s="2"/>
    </row>
    <row r="722" ht="14.25" customHeight="1">
      <c r="A722" s="2"/>
      <c r="L722" s="2"/>
      <c r="M722" s="2"/>
      <c r="W722" s="2"/>
    </row>
    <row r="723" ht="14.25" customHeight="1">
      <c r="A723" s="2"/>
      <c r="L723" s="2"/>
      <c r="M723" s="2"/>
      <c r="W723" s="2"/>
    </row>
    <row r="724" ht="14.25" customHeight="1">
      <c r="A724" s="2"/>
      <c r="L724" s="2"/>
      <c r="M724" s="2"/>
      <c r="W724" s="2"/>
    </row>
    <row r="725" ht="14.25" customHeight="1">
      <c r="A725" s="2"/>
      <c r="L725" s="2"/>
      <c r="M725" s="2"/>
      <c r="W725" s="2"/>
    </row>
    <row r="726" ht="14.25" customHeight="1">
      <c r="A726" s="2"/>
      <c r="L726" s="2"/>
      <c r="M726" s="2"/>
      <c r="W726" s="2"/>
    </row>
    <row r="727" ht="14.25" customHeight="1">
      <c r="A727" s="2"/>
      <c r="L727" s="2"/>
      <c r="M727" s="2"/>
      <c r="W727" s="2"/>
    </row>
    <row r="728" ht="14.25" customHeight="1">
      <c r="A728" s="2"/>
      <c r="L728" s="2"/>
      <c r="M728" s="2"/>
      <c r="W728" s="2"/>
    </row>
    <row r="729" ht="14.25" customHeight="1">
      <c r="A729" s="2"/>
      <c r="L729" s="2"/>
      <c r="M729" s="2"/>
      <c r="W729" s="2"/>
    </row>
    <row r="730" ht="14.25" customHeight="1">
      <c r="A730" s="2"/>
      <c r="L730" s="2"/>
      <c r="M730" s="2"/>
      <c r="W730" s="2"/>
    </row>
    <row r="731" ht="14.25" customHeight="1">
      <c r="A731" s="2"/>
      <c r="L731" s="2"/>
      <c r="M731" s="2"/>
      <c r="W731" s="2"/>
    </row>
    <row r="732" ht="14.25" customHeight="1">
      <c r="A732" s="2"/>
      <c r="L732" s="2"/>
      <c r="M732" s="2"/>
      <c r="W732" s="2"/>
    </row>
    <row r="733" ht="14.25" customHeight="1">
      <c r="A733" s="2"/>
      <c r="L733" s="2"/>
      <c r="M733" s="2"/>
      <c r="W733" s="2"/>
    </row>
    <row r="734" ht="14.25" customHeight="1">
      <c r="A734" s="2"/>
      <c r="L734" s="2"/>
      <c r="M734" s="2"/>
      <c r="W734" s="2"/>
    </row>
    <row r="735" ht="14.25" customHeight="1">
      <c r="A735" s="2"/>
      <c r="L735" s="2"/>
      <c r="M735" s="2"/>
      <c r="W735" s="2"/>
    </row>
    <row r="736" ht="14.25" customHeight="1">
      <c r="A736" s="2"/>
      <c r="L736" s="2"/>
      <c r="M736" s="2"/>
      <c r="W736" s="2"/>
    </row>
    <row r="737" ht="14.25" customHeight="1">
      <c r="A737" s="2"/>
      <c r="L737" s="2"/>
      <c r="M737" s="2"/>
      <c r="W737" s="2"/>
    </row>
    <row r="738" ht="14.25" customHeight="1">
      <c r="A738" s="2"/>
      <c r="L738" s="2"/>
      <c r="M738" s="2"/>
      <c r="W738" s="2"/>
    </row>
    <row r="739" ht="14.25" customHeight="1">
      <c r="A739" s="2"/>
      <c r="L739" s="2"/>
      <c r="M739" s="2"/>
      <c r="W739" s="2"/>
    </row>
    <row r="740" ht="14.25" customHeight="1">
      <c r="A740" s="2"/>
      <c r="L740" s="2"/>
      <c r="M740" s="2"/>
      <c r="W740" s="2"/>
    </row>
    <row r="741" ht="14.25" customHeight="1">
      <c r="A741" s="2"/>
      <c r="L741" s="2"/>
      <c r="M741" s="2"/>
      <c r="W741" s="2"/>
    </row>
    <row r="742" ht="14.25" customHeight="1">
      <c r="A742" s="2"/>
      <c r="L742" s="2"/>
      <c r="M742" s="2"/>
      <c r="W742" s="2"/>
    </row>
    <row r="743" ht="14.25" customHeight="1">
      <c r="A743" s="2"/>
      <c r="L743" s="2"/>
      <c r="M743" s="2"/>
      <c r="W743" s="2"/>
    </row>
    <row r="744" ht="14.25" customHeight="1">
      <c r="A744" s="2"/>
      <c r="L744" s="2"/>
      <c r="M744" s="2"/>
      <c r="W744" s="2"/>
    </row>
    <row r="745" ht="14.25" customHeight="1">
      <c r="A745" s="2"/>
      <c r="L745" s="2"/>
      <c r="M745" s="2"/>
      <c r="W745" s="2"/>
    </row>
    <row r="746" ht="14.25" customHeight="1">
      <c r="A746" s="2"/>
      <c r="L746" s="2"/>
      <c r="M746" s="2"/>
      <c r="W746" s="2"/>
    </row>
    <row r="747" ht="14.25" customHeight="1">
      <c r="A747" s="2"/>
      <c r="L747" s="2"/>
      <c r="M747" s="2"/>
      <c r="W747" s="2"/>
    </row>
    <row r="748" ht="14.25" customHeight="1">
      <c r="A748" s="2"/>
      <c r="L748" s="2"/>
      <c r="M748" s="2"/>
      <c r="W748" s="2"/>
    </row>
    <row r="749" ht="14.25" customHeight="1">
      <c r="A749" s="2"/>
      <c r="L749" s="2"/>
      <c r="M749" s="2"/>
      <c r="W749" s="2"/>
    </row>
    <row r="750" ht="14.25" customHeight="1">
      <c r="A750" s="2"/>
      <c r="L750" s="2"/>
      <c r="M750" s="2"/>
      <c r="W750" s="2"/>
    </row>
    <row r="751" ht="14.25" customHeight="1">
      <c r="A751" s="2"/>
      <c r="L751" s="2"/>
      <c r="M751" s="2"/>
      <c r="W751" s="2"/>
    </row>
    <row r="752" ht="14.25" customHeight="1">
      <c r="A752" s="2"/>
      <c r="L752" s="2"/>
      <c r="M752" s="2"/>
      <c r="W752" s="2"/>
    </row>
    <row r="753" ht="14.25" customHeight="1">
      <c r="A753" s="2"/>
      <c r="L753" s="2"/>
      <c r="M753" s="2"/>
      <c r="W753" s="2"/>
    </row>
    <row r="754" ht="14.25" customHeight="1">
      <c r="A754" s="2"/>
      <c r="L754" s="2"/>
      <c r="M754" s="2"/>
      <c r="W754" s="2"/>
    </row>
    <row r="755" ht="14.25" customHeight="1">
      <c r="A755" s="2"/>
      <c r="L755" s="2"/>
      <c r="M755" s="2"/>
      <c r="W755" s="2"/>
    </row>
    <row r="756" ht="14.25" customHeight="1">
      <c r="A756" s="2"/>
      <c r="L756" s="2"/>
      <c r="M756" s="2"/>
      <c r="W756" s="2"/>
    </row>
    <row r="757" ht="14.25" customHeight="1">
      <c r="A757" s="2"/>
      <c r="L757" s="2"/>
      <c r="M757" s="2"/>
      <c r="W757" s="2"/>
    </row>
    <row r="758" ht="14.25" customHeight="1">
      <c r="A758" s="2"/>
      <c r="L758" s="2"/>
      <c r="M758" s="2"/>
      <c r="W758" s="2"/>
    </row>
    <row r="759" ht="14.25" customHeight="1">
      <c r="A759" s="2"/>
      <c r="L759" s="2"/>
      <c r="M759" s="2"/>
      <c r="W759" s="2"/>
    </row>
    <row r="760" ht="14.25" customHeight="1">
      <c r="A760" s="2"/>
      <c r="L760" s="2"/>
      <c r="M760" s="2"/>
      <c r="W760" s="2"/>
    </row>
    <row r="761" ht="14.25" customHeight="1">
      <c r="A761" s="2"/>
      <c r="L761" s="2"/>
      <c r="M761" s="2"/>
      <c r="W761" s="2"/>
    </row>
    <row r="762" ht="14.25" customHeight="1">
      <c r="A762" s="2"/>
      <c r="L762" s="2"/>
      <c r="M762" s="2"/>
      <c r="W762" s="2"/>
    </row>
    <row r="763" ht="14.25" customHeight="1">
      <c r="A763" s="2"/>
      <c r="L763" s="2"/>
      <c r="M763" s="2"/>
      <c r="W763" s="2"/>
    </row>
    <row r="764" ht="14.25" customHeight="1">
      <c r="A764" s="2"/>
      <c r="L764" s="2"/>
      <c r="M764" s="2"/>
      <c r="W764" s="2"/>
    </row>
    <row r="765" ht="14.25" customHeight="1">
      <c r="A765" s="2"/>
      <c r="L765" s="2"/>
      <c r="M765" s="2"/>
      <c r="W765" s="2"/>
    </row>
    <row r="766" ht="14.25" customHeight="1">
      <c r="A766" s="2"/>
      <c r="L766" s="2"/>
      <c r="M766" s="2"/>
      <c r="W766" s="2"/>
    </row>
    <row r="767" ht="14.25" customHeight="1">
      <c r="A767" s="2"/>
      <c r="L767" s="2"/>
      <c r="M767" s="2"/>
      <c r="W767" s="2"/>
    </row>
    <row r="768" ht="14.25" customHeight="1">
      <c r="A768" s="2"/>
      <c r="L768" s="2"/>
      <c r="M768" s="2"/>
      <c r="W768" s="2"/>
    </row>
    <row r="769" ht="14.25" customHeight="1">
      <c r="A769" s="2"/>
      <c r="L769" s="2"/>
      <c r="M769" s="2"/>
      <c r="W769" s="2"/>
    </row>
    <row r="770" ht="14.25" customHeight="1">
      <c r="A770" s="2"/>
      <c r="L770" s="2"/>
      <c r="M770" s="2"/>
      <c r="W770" s="2"/>
    </row>
    <row r="771" ht="14.25" customHeight="1">
      <c r="A771" s="2"/>
      <c r="L771" s="2"/>
      <c r="M771" s="2"/>
      <c r="W771" s="2"/>
    </row>
    <row r="772" ht="14.25" customHeight="1">
      <c r="A772" s="2"/>
      <c r="L772" s="2"/>
      <c r="M772" s="2"/>
      <c r="W772" s="2"/>
    </row>
    <row r="773" ht="14.25" customHeight="1">
      <c r="A773" s="2"/>
      <c r="L773" s="2"/>
      <c r="M773" s="2"/>
      <c r="W773" s="2"/>
    </row>
    <row r="774" ht="14.25" customHeight="1">
      <c r="A774" s="2"/>
      <c r="L774" s="2"/>
      <c r="M774" s="2"/>
      <c r="W774" s="2"/>
    </row>
    <row r="775" ht="14.25" customHeight="1">
      <c r="A775" s="2"/>
      <c r="L775" s="2"/>
      <c r="M775" s="2"/>
      <c r="W775" s="2"/>
    </row>
    <row r="776" ht="14.25" customHeight="1">
      <c r="A776" s="2"/>
      <c r="L776" s="2"/>
      <c r="M776" s="2"/>
      <c r="W776" s="2"/>
    </row>
    <row r="777" ht="14.25" customHeight="1">
      <c r="A777" s="2"/>
      <c r="L777" s="2"/>
      <c r="M777" s="2"/>
      <c r="W777" s="2"/>
    </row>
    <row r="778" ht="14.25" customHeight="1">
      <c r="A778" s="2"/>
      <c r="L778" s="2"/>
      <c r="M778" s="2"/>
      <c r="W778" s="2"/>
    </row>
    <row r="779" ht="14.25" customHeight="1">
      <c r="A779" s="2"/>
      <c r="L779" s="2"/>
      <c r="M779" s="2"/>
      <c r="W779" s="2"/>
    </row>
    <row r="780" ht="14.25" customHeight="1">
      <c r="A780" s="2"/>
      <c r="L780" s="2"/>
      <c r="M780" s="2"/>
      <c r="W780" s="2"/>
    </row>
    <row r="781" ht="14.25" customHeight="1">
      <c r="A781" s="2"/>
      <c r="L781" s="2"/>
      <c r="M781" s="2"/>
      <c r="W781" s="2"/>
    </row>
    <row r="782" ht="14.25" customHeight="1">
      <c r="A782" s="2"/>
      <c r="L782" s="2"/>
      <c r="M782" s="2"/>
      <c r="W782" s="2"/>
    </row>
    <row r="783" ht="14.25" customHeight="1">
      <c r="A783" s="2"/>
      <c r="L783" s="2"/>
      <c r="M783" s="2"/>
      <c r="W783" s="2"/>
    </row>
    <row r="784" ht="14.25" customHeight="1">
      <c r="A784" s="2"/>
      <c r="L784" s="2"/>
      <c r="M784" s="2"/>
      <c r="W784" s="2"/>
    </row>
    <row r="785" ht="14.25" customHeight="1">
      <c r="A785" s="2"/>
      <c r="L785" s="2"/>
      <c r="M785" s="2"/>
      <c r="W785" s="2"/>
    </row>
    <row r="786" ht="14.25" customHeight="1">
      <c r="A786" s="2"/>
      <c r="L786" s="2"/>
      <c r="M786" s="2"/>
      <c r="W786" s="2"/>
    </row>
    <row r="787" ht="14.25" customHeight="1">
      <c r="A787" s="2"/>
      <c r="L787" s="2"/>
      <c r="M787" s="2"/>
      <c r="W787" s="2"/>
    </row>
    <row r="788" ht="14.25" customHeight="1">
      <c r="A788" s="2"/>
      <c r="L788" s="2"/>
      <c r="M788" s="2"/>
      <c r="W788" s="2"/>
    </row>
    <row r="789" ht="14.25" customHeight="1">
      <c r="A789" s="2"/>
      <c r="L789" s="2"/>
      <c r="M789" s="2"/>
      <c r="W789" s="2"/>
    </row>
    <row r="790" ht="14.25" customHeight="1">
      <c r="A790" s="2"/>
      <c r="L790" s="2"/>
      <c r="M790" s="2"/>
      <c r="W790" s="2"/>
    </row>
    <row r="791" ht="14.25" customHeight="1">
      <c r="A791" s="2"/>
      <c r="L791" s="2"/>
      <c r="M791" s="2"/>
      <c r="W791" s="2"/>
    </row>
    <row r="792" ht="14.25" customHeight="1">
      <c r="A792" s="2"/>
      <c r="L792" s="2"/>
      <c r="M792" s="2"/>
      <c r="W792" s="2"/>
    </row>
    <row r="793" ht="14.25" customHeight="1">
      <c r="A793" s="2"/>
      <c r="L793" s="2"/>
      <c r="M793" s="2"/>
      <c r="W793" s="2"/>
    </row>
    <row r="794" ht="14.25" customHeight="1">
      <c r="A794" s="2"/>
      <c r="L794" s="2"/>
      <c r="M794" s="2"/>
      <c r="W794" s="2"/>
    </row>
    <row r="795" ht="14.25" customHeight="1">
      <c r="A795" s="2"/>
      <c r="L795" s="2"/>
      <c r="M795" s="2"/>
      <c r="W795" s="2"/>
    </row>
    <row r="796" ht="14.25" customHeight="1">
      <c r="A796" s="2"/>
      <c r="L796" s="2"/>
      <c r="M796" s="2"/>
      <c r="W796" s="2"/>
    </row>
    <row r="797" ht="14.25" customHeight="1">
      <c r="A797" s="2"/>
      <c r="L797" s="2"/>
      <c r="M797" s="2"/>
      <c r="W797" s="2"/>
    </row>
    <row r="798" ht="14.25" customHeight="1">
      <c r="A798" s="2"/>
      <c r="L798" s="2"/>
      <c r="M798" s="2"/>
      <c r="W798" s="2"/>
    </row>
    <row r="799" ht="14.25" customHeight="1">
      <c r="A799" s="2"/>
      <c r="L799" s="2"/>
      <c r="M799" s="2"/>
      <c r="W799" s="2"/>
    </row>
    <row r="800" ht="14.25" customHeight="1">
      <c r="A800" s="2"/>
      <c r="L800" s="2"/>
      <c r="M800" s="2"/>
      <c r="W800" s="2"/>
    </row>
    <row r="801" ht="14.25" customHeight="1">
      <c r="A801" s="2"/>
      <c r="L801" s="2"/>
      <c r="M801" s="2"/>
      <c r="W801" s="2"/>
    </row>
    <row r="802" ht="14.25" customHeight="1">
      <c r="A802" s="2"/>
      <c r="L802" s="2"/>
      <c r="M802" s="2"/>
      <c r="W802" s="2"/>
    </row>
    <row r="803" ht="14.25" customHeight="1">
      <c r="A803" s="2"/>
      <c r="L803" s="2"/>
      <c r="M803" s="2"/>
      <c r="W803" s="2"/>
    </row>
    <row r="804" ht="14.25" customHeight="1">
      <c r="A804" s="2"/>
      <c r="L804" s="2"/>
      <c r="M804" s="2"/>
      <c r="W804" s="2"/>
    </row>
    <row r="805" ht="14.25" customHeight="1">
      <c r="A805" s="2"/>
      <c r="L805" s="2"/>
      <c r="M805" s="2"/>
      <c r="W805" s="2"/>
    </row>
    <row r="806" ht="14.25" customHeight="1">
      <c r="A806" s="2"/>
      <c r="L806" s="2"/>
      <c r="M806" s="2"/>
      <c r="W806" s="2"/>
    </row>
    <row r="807" ht="14.25" customHeight="1">
      <c r="A807" s="2"/>
      <c r="L807" s="2"/>
      <c r="M807" s="2"/>
      <c r="W807" s="2"/>
    </row>
    <row r="808" ht="14.25" customHeight="1">
      <c r="A808" s="2"/>
      <c r="L808" s="2"/>
      <c r="M808" s="2"/>
      <c r="W808" s="2"/>
    </row>
    <row r="809" ht="14.25" customHeight="1">
      <c r="A809" s="2"/>
      <c r="L809" s="2"/>
      <c r="M809" s="2"/>
      <c r="W809" s="2"/>
    </row>
    <row r="810" ht="14.25" customHeight="1">
      <c r="A810" s="2"/>
      <c r="L810" s="2"/>
      <c r="M810" s="2"/>
      <c r="W810" s="2"/>
    </row>
    <row r="811" ht="14.25" customHeight="1">
      <c r="A811" s="2"/>
      <c r="L811" s="2"/>
      <c r="M811" s="2"/>
      <c r="W811" s="2"/>
    </row>
    <row r="812" ht="14.25" customHeight="1">
      <c r="A812" s="2"/>
      <c r="L812" s="2"/>
      <c r="M812" s="2"/>
      <c r="W812" s="2"/>
    </row>
    <row r="813" ht="14.25" customHeight="1">
      <c r="A813" s="2"/>
      <c r="L813" s="2"/>
      <c r="M813" s="2"/>
      <c r="W813" s="2"/>
    </row>
    <row r="814" ht="14.25" customHeight="1">
      <c r="A814" s="2"/>
      <c r="L814" s="2"/>
      <c r="M814" s="2"/>
      <c r="W814" s="2"/>
    </row>
    <row r="815" ht="14.25" customHeight="1">
      <c r="A815" s="2"/>
      <c r="L815" s="2"/>
      <c r="M815" s="2"/>
      <c r="W815" s="2"/>
    </row>
    <row r="816" ht="14.25" customHeight="1">
      <c r="A816" s="2"/>
      <c r="L816" s="2"/>
      <c r="M816" s="2"/>
      <c r="W816" s="2"/>
    </row>
    <row r="817" ht="14.25" customHeight="1">
      <c r="A817" s="2"/>
      <c r="L817" s="2"/>
      <c r="M817" s="2"/>
      <c r="W817" s="2"/>
    </row>
    <row r="818" ht="14.25" customHeight="1">
      <c r="A818" s="2"/>
      <c r="L818" s="2"/>
      <c r="M818" s="2"/>
      <c r="W818" s="2"/>
    </row>
    <row r="819" ht="14.25" customHeight="1">
      <c r="A819" s="2"/>
      <c r="L819" s="2"/>
      <c r="M819" s="2"/>
      <c r="W819" s="2"/>
    </row>
    <row r="820" ht="14.25" customHeight="1">
      <c r="A820" s="2"/>
      <c r="L820" s="2"/>
      <c r="M820" s="2"/>
      <c r="W820" s="2"/>
    </row>
    <row r="821" ht="14.25" customHeight="1">
      <c r="A821" s="2"/>
      <c r="L821" s="2"/>
      <c r="M821" s="2"/>
      <c r="W821" s="2"/>
    </row>
    <row r="822" ht="14.25" customHeight="1">
      <c r="A822" s="2"/>
      <c r="L822" s="2"/>
      <c r="M822" s="2"/>
      <c r="W822" s="2"/>
    </row>
    <row r="823" ht="14.25" customHeight="1">
      <c r="A823" s="2"/>
      <c r="L823" s="2"/>
      <c r="M823" s="2"/>
      <c r="W823" s="2"/>
    </row>
    <row r="824" ht="14.25" customHeight="1">
      <c r="A824" s="2"/>
      <c r="L824" s="2"/>
      <c r="M824" s="2"/>
      <c r="W824" s="2"/>
    </row>
    <row r="825" ht="14.25" customHeight="1">
      <c r="A825" s="2"/>
      <c r="L825" s="2"/>
      <c r="M825" s="2"/>
      <c r="W825" s="2"/>
    </row>
    <row r="826" ht="14.25" customHeight="1">
      <c r="A826" s="2"/>
      <c r="L826" s="2"/>
      <c r="M826" s="2"/>
      <c r="W826" s="2"/>
    </row>
    <row r="827" ht="14.25" customHeight="1">
      <c r="A827" s="2"/>
      <c r="L827" s="2"/>
      <c r="M827" s="2"/>
      <c r="W827" s="2"/>
    </row>
    <row r="828" ht="14.25" customHeight="1">
      <c r="A828" s="2"/>
      <c r="L828" s="2"/>
      <c r="M828" s="2"/>
      <c r="W828" s="2"/>
    </row>
    <row r="829" ht="14.25" customHeight="1">
      <c r="A829" s="2"/>
      <c r="L829" s="2"/>
      <c r="M829" s="2"/>
      <c r="W829" s="2"/>
    </row>
    <row r="830" ht="14.25" customHeight="1">
      <c r="A830" s="2"/>
      <c r="L830" s="2"/>
      <c r="M830" s="2"/>
      <c r="W830" s="2"/>
    </row>
    <row r="831" ht="14.25" customHeight="1">
      <c r="A831" s="2"/>
      <c r="L831" s="2"/>
      <c r="M831" s="2"/>
      <c r="W831" s="2"/>
    </row>
    <row r="832" ht="14.25" customHeight="1">
      <c r="A832" s="2"/>
      <c r="L832" s="2"/>
      <c r="M832" s="2"/>
      <c r="W832" s="2"/>
    </row>
    <row r="833" ht="14.25" customHeight="1">
      <c r="A833" s="2"/>
      <c r="L833" s="2"/>
      <c r="M833" s="2"/>
      <c r="W833" s="2"/>
    </row>
    <row r="834" ht="14.25" customHeight="1">
      <c r="A834" s="2"/>
      <c r="L834" s="2"/>
      <c r="M834" s="2"/>
      <c r="W834" s="2"/>
    </row>
    <row r="835" ht="14.25" customHeight="1">
      <c r="A835" s="2"/>
      <c r="L835" s="2"/>
      <c r="M835" s="2"/>
      <c r="W835" s="2"/>
    </row>
    <row r="836" ht="14.25" customHeight="1">
      <c r="A836" s="2"/>
      <c r="L836" s="2"/>
      <c r="M836" s="2"/>
      <c r="W836" s="2"/>
    </row>
    <row r="837" ht="14.25" customHeight="1">
      <c r="A837" s="2"/>
      <c r="L837" s="2"/>
      <c r="M837" s="2"/>
      <c r="W837" s="2"/>
    </row>
    <row r="838" ht="14.25" customHeight="1">
      <c r="A838" s="2"/>
      <c r="L838" s="2"/>
      <c r="M838" s="2"/>
      <c r="W838" s="2"/>
    </row>
    <row r="839" ht="14.25" customHeight="1">
      <c r="A839" s="2"/>
      <c r="L839" s="2"/>
      <c r="M839" s="2"/>
      <c r="W839" s="2"/>
    </row>
    <row r="840" ht="14.25" customHeight="1">
      <c r="A840" s="2"/>
      <c r="L840" s="2"/>
      <c r="M840" s="2"/>
      <c r="W840" s="2"/>
    </row>
    <row r="841" ht="14.25" customHeight="1">
      <c r="A841" s="2"/>
      <c r="L841" s="2"/>
      <c r="M841" s="2"/>
      <c r="W841" s="2"/>
    </row>
    <row r="842" ht="14.25" customHeight="1">
      <c r="A842" s="2"/>
      <c r="L842" s="2"/>
      <c r="M842" s="2"/>
      <c r="W842" s="2"/>
    </row>
    <row r="843" ht="14.25" customHeight="1">
      <c r="A843" s="2"/>
      <c r="L843" s="2"/>
      <c r="M843" s="2"/>
      <c r="W843" s="2"/>
    </row>
    <row r="844" ht="14.25" customHeight="1">
      <c r="A844" s="2"/>
      <c r="L844" s="2"/>
      <c r="M844" s="2"/>
      <c r="W844" s="2"/>
    </row>
    <row r="845" ht="14.25" customHeight="1">
      <c r="A845" s="2"/>
      <c r="L845" s="2"/>
      <c r="M845" s="2"/>
      <c r="W845" s="2"/>
    </row>
    <row r="846" ht="14.25" customHeight="1">
      <c r="A846" s="2"/>
      <c r="L846" s="2"/>
      <c r="M846" s="2"/>
      <c r="W846" s="2"/>
    </row>
    <row r="847" ht="14.25" customHeight="1">
      <c r="A847" s="2"/>
      <c r="L847" s="2"/>
      <c r="M847" s="2"/>
      <c r="W847" s="2"/>
    </row>
    <row r="848" ht="14.25" customHeight="1">
      <c r="A848" s="2"/>
      <c r="L848" s="2"/>
      <c r="M848" s="2"/>
      <c r="W848" s="2"/>
    </row>
    <row r="849" ht="14.25" customHeight="1">
      <c r="A849" s="2"/>
      <c r="L849" s="2"/>
      <c r="M849" s="2"/>
      <c r="W849" s="2"/>
    </row>
    <row r="850" ht="14.25" customHeight="1">
      <c r="A850" s="2"/>
      <c r="L850" s="2"/>
      <c r="M850" s="2"/>
      <c r="W850" s="2"/>
    </row>
    <row r="851" ht="14.25" customHeight="1">
      <c r="A851" s="2"/>
      <c r="L851" s="2"/>
      <c r="M851" s="2"/>
      <c r="W851" s="2"/>
    </row>
    <row r="852" ht="14.25" customHeight="1">
      <c r="A852" s="2"/>
      <c r="L852" s="2"/>
      <c r="M852" s="2"/>
      <c r="W852" s="2"/>
    </row>
    <row r="853" ht="14.25" customHeight="1">
      <c r="A853" s="2"/>
      <c r="L853" s="2"/>
      <c r="M853" s="2"/>
      <c r="W853" s="2"/>
    </row>
    <row r="854" ht="14.25" customHeight="1">
      <c r="A854" s="2"/>
      <c r="L854" s="2"/>
      <c r="M854" s="2"/>
      <c r="W854" s="2"/>
    </row>
    <row r="855" ht="14.25" customHeight="1">
      <c r="A855" s="2"/>
      <c r="L855" s="2"/>
      <c r="M855" s="2"/>
      <c r="W855" s="2"/>
    </row>
    <row r="856" ht="14.25" customHeight="1">
      <c r="A856" s="2"/>
      <c r="L856" s="2"/>
      <c r="M856" s="2"/>
      <c r="W856" s="2"/>
    </row>
    <row r="857" ht="14.25" customHeight="1">
      <c r="A857" s="2"/>
      <c r="L857" s="2"/>
      <c r="M857" s="2"/>
      <c r="W857" s="2"/>
    </row>
    <row r="858" ht="14.25" customHeight="1">
      <c r="A858" s="2"/>
      <c r="L858" s="2"/>
      <c r="M858" s="2"/>
      <c r="W858" s="2"/>
    </row>
    <row r="859" ht="14.25" customHeight="1">
      <c r="A859" s="2"/>
      <c r="L859" s="2"/>
      <c r="M859" s="2"/>
      <c r="W859" s="2"/>
    </row>
    <row r="860" ht="14.25" customHeight="1">
      <c r="A860" s="2"/>
      <c r="L860" s="2"/>
      <c r="M860" s="2"/>
      <c r="W860" s="2"/>
    </row>
    <row r="861" ht="14.25" customHeight="1">
      <c r="A861" s="2"/>
      <c r="L861" s="2"/>
      <c r="M861" s="2"/>
      <c r="W861" s="2"/>
    </row>
    <row r="862" ht="14.25" customHeight="1">
      <c r="A862" s="2"/>
      <c r="L862" s="2"/>
      <c r="M862" s="2"/>
      <c r="W862" s="2"/>
    </row>
    <row r="863" ht="14.25" customHeight="1">
      <c r="A863" s="2"/>
      <c r="L863" s="2"/>
      <c r="M863" s="2"/>
      <c r="W863" s="2"/>
    </row>
    <row r="864" ht="14.25" customHeight="1">
      <c r="A864" s="2"/>
      <c r="L864" s="2"/>
      <c r="M864" s="2"/>
      <c r="W864" s="2"/>
    </row>
    <row r="865" ht="14.25" customHeight="1">
      <c r="A865" s="2"/>
      <c r="L865" s="2"/>
      <c r="M865" s="2"/>
      <c r="W865" s="2"/>
    </row>
    <row r="866" ht="14.25" customHeight="1">
      <c r="A866" s="2"/>
      <c r="L866" s="2"/>
      <c r="M866" s="2"/>
      <c r="W866" s="2"/>
    </row>
    <row r="867" ht="14.25" customHeight="1">
      <c r="A867" s="2"/>
      <c r="L867" s="2"/>
      <c r="M867" s="2"/>
      <c r="W867" s="2"/>
    </row>
    <row r="868" ht="14.25" customHeight="1">
      <c r="A868" s="2"/>
      <c r="L868" s="2"/>
      <c r="M868" s="2"/>
      <c r="W868" s="2"/>
    </row>
    <row r="869" ht="14.25" customHeight="1">
      <c r="A869" s="2"/>
      <c r="L869" s="2"/>
      <c r="M869" s="2"/>
      <c r="W869" s="2"/>
    </row>
    <row r="870" ht="14.25" customHeight="1">
      <c r="A870" s="2"/>
      <c r="L870" s="2"/>
      <c r="M870" s="2"/>
      <c r="W870" s="2"/>
    </row>
    <row r="871" ht="14.25" customHeight="1">
      <c r="A871" s="2"/>
      <c r="L871" s="2"/>
      <c r="M871" s="2"/>
      <c r="W871" s="2"/>
    </row>
    <row r="872" ht="14.25" customHeight="1">
      <c r="A872" s="2"/>
      <c r="L872" s="2"/>
      <c r="M872" s="2"/>
      <c r="W872" s="2"/>
    </row>
    <row r="873" ht="14.25" customHeight="1">
      <c r="A873" s="2"/>
      <c r="L873" s="2"/>
      <c r="M873" s="2"/>
      <c r="W873" s="2"/>
    </row>
    <row r="874" ht="14.25" customHeight="1">
      <c r="A874" s="2"/>
      <c r="L874" s="2"/>
      <c r="M874" s="2"/>
      <c r="W874" s="2"/>
    </row>
    <row r="875" ht="14.25" customHeight="1">
      <c r="A875" s="2"/>
      <c r="L875" s="2"/>
      <c r="M875" s="2"/>
      <c r="W875" s="2"/>
    </row>
    <row r="876" ht="14.25" customHeight="1">
      <c r="A876" s="2"/>
      <c r="L876" s="2"/>
      <c r="M876" s="2"/>
      <c r="W876" s="2"/>
    </row>
    <row r="877" ht="14.25" customHeight="1">
      <c r="A877" s="2"/>
      <c r="L877" s="2"/>
      <c r="M877" s="2"/>
      <c r="W877" s="2"/>
    </row>
    <row r="878" ht="14.25" customHeight="1">
      <c r="A878" s="2"/>
      <c r="L878" s="2"/>
      <c r="M878" s="2"/>
      <c r="W878" s="2"/>
    </row>
    <row r="879" ht="14.25" customHeight="1">
      <c r="A879" s="2"/>
      <c r="L879" s="2"/>
      <c r="M879" s="2"/>
      <c r="W879" s="2"/>
    </row>
    <row r="880" ht="14.25" customHeight="1">
      <c r="A880" s="2"/>
      <c r="L880" s="2"/>
      <c r="M880" s="2"/>
      <c r="W880" s="2"/>
    </row>
    <row r="881" ht="14.25" customHeight="1">
      <c r="A881" s="2"/>
      <c r="L881" s="2"/>
      <c r="M881" s="2"/>
      <c r="W881" s="2"/>
    </row>
    <row r="882" ht="14.25" customHeight="1">
      <c r="A882" s="2"/>
      <c r="L882" s="2"/>
      <c r="M882" s="2"/>
      <c r="W882" s="2"/>
    </row>
    <row r="883" ht="14.25" customHeight="1">
      <c r="A883" s="2"/>
      <c r="L883" s="2"/>
      <c r="M883" s="2"/>
      <c r="W883" s="2"/>
    </row>
    <row r="884" ht="14.25" customHeight="1">
      <c r="A884" s="2"/>
      <c r="L884" s="2"/>
      <c r="M884" s="2"/>
      <c r="W884" s="2"/>
    </row>
    <row r="885" ht="14.25" customHeight="1">
      <c r="A885" s="2"/>
      <c r="L885" s="2"/>
      <c r="M885" s="2"/>
      <c r="W885" s="2"/>
    </row>
    <row r="886" ht="14.25" customHeight="1">
      <c r="A886" s="2"/>
      <c r="L886" s="2"/>
      <c r="M886" s="2"/>
      <c r="W886" s="2"/>
    </row>
    <row r="887" ht="14.25" customHeight="1">
      <c r="A887" s="2"/>
      <c r="L887" s="2"/>
      <c r="M887" s="2"/>
      <c r="W887" s="2"/>
    </row>
    <row r="888" ht="14.25" customHeight="1">
      <c r="A888" s="2"/>
      <c r="L888" s="2"/>
      <c r="M888" s="2"/>
      <c r="W888" s="2"/>
    </row>
    <row r="889" ht="14.25" customHeight="1">
      <c r="A889" s="2"/>
      <c r="L889" s="2"/>
      <c r="M889" s="2"/>
      <c r="N889" s="2"/>
      <c r="W889" s="2"/>
    </row>
    <row r="890" ht="14.25" customHeight="1">
      <c r="A890" s="2"/>
      <c r="L890" s="2"/>
      <c r="M890" s="2"/>
      <c r="W890" s="2"/>
    </row>
    <row r="891" ht="14.25" customHeight="1">
      <c r="A891" s="2"/>
      <c r="L891" s="2"/>
      <c r="M891" s="2"/>
      <c r="W891" s="2"/>
    </row>
    <row r="892" ht="14.25" customHeight="1">
      <c r="A892" s="2"/>
      <c r="L892" s="2"/>
      <c r="M892" s="2"/>
      <c r="W892" s="2"/>
    </row>
    <row r="893" ht="14.25" customHeight="1">
      <c r="A893" s="2"/>
      <c r="L893" s="2"/>
      <c r="M893" s="2"/>
      <c r="W893" s="2"/>
    </row>
    <row r="894" ht="14.25" customHeight="1">
      <c r="A894" s="2"/>
      <c r="L894" s="2"/>
      <c r="M894" s="2"/>
      <c r="W894" s="2"/>
    </row>
    <row r="895" ht="14.25" customHeight="1">
      <c r="A895" s="2"/>
      <c r="L895" s="2"/>
      <c r="M895" s="2"/>
      <c r="W895" s="2"/>
    </row>
    <row r="896" ht="14.25" customHeight="1">
      <c r="A896" s="2"/>
      <c r="L896" s="2"/>
      <c r="M896" s="2"/>
      <c r="W896" s="2"/>
    </row>
    <row r="897" ht="14.25" customHeight="1">
      <c r="A897" s="2"/>
      <c r="L897" s="2"/>
      <c r="M897" s="2"/>
      <c r="W897" s="2"/>
    </row>
    <row r="898" ht="14.25" customHeight="1">
      <c r="A898" s="2"/>
      <c r="L898" s="2"/>
      <c r="M898" s="2"/>
      <c r="W898" s="2"/>
    </row>
    <row r="899" ht="14.25" customHeight="1">
      <c r="A899" s="2"/>
      <c r="L899" s="2"/>
      <c r="M899" s="2"/>
      <c r="W899" s="2"/>
    </row>
    <row r="900" ht="14.25" customHeight="1">
      <c r="A900" s="2"/>
      <c r="L900" s="2"/>
      <c r="M900" s="2"/>
      <c r="W900" s="2"/>
    </row>
    <row r="901" ht="14.25" customHeight="1">
      <c r="A901" s="2"/>
      <c r="L901" s="2"/>
      <c r="M901" s="2"/>
      <c r="W901" s="2"/>
    </row>
    <row r="902" ht="14.25" customHeight="1">
      <c r="A902" s="2"/>
      <c r="L902" s="2"/>
      <c r="M902" s="2"/>
      <c r="W902" s="2"/>
    </row>
    <row r="903" ht="14.25" customHeight="1">
      <c r="A903" s="2"/>
      <c r="L903" s="2"/>
      <c r="M903" s="2"/>
      <c r="W903" s="2"/>
    </row>
    <row r="904" ht="14.25" customHeight="1">
      <c r="A904" s="2"/>
      <c r="L904" s="2"/>
      <c r="M904" s="2"/>
      <c r="W904" s="2"/>
    </row>
    <row r="905" ht="14.25" customHeight="1">
      <c r="A905" s="2"/>
      <c r="L905" s="2"/>
      <c r="M905" s="2"/>
      <c r="W905" s="2"/>
    </row>
    <row r="906" ht="14.25" customHeight="1">
      <c r="A906" s="2"/>
      <c r="L906" s="2"/>
      <c r="M906" s="2"/>
      <c r="W906" s="2"/>
    </row>
    <row r="907" ht="14.25" customHeight="1">
      <c r="A907" s="2"/>
      <c r="L907" s="2"/>
      <c r="M907" s="2"/>
      <c r="W907" s="2"/>
    </row>
    <row r="908" ht="14.25" customHeight="1">
      <c r="A908" s="2"/>
      <c r="L908" s="2"/>
      <c r="M908" s="2"/>
      <c r="W908" s="2"/>
    </row>
    <row r="909" ht="14.25" customHeight="1">
      <c r="A909" s="2"/>
      <c r="L909" s="2"/>
      <c r="M909" s="2"/>
      <c r="W909" s="2"/>
    </row>
    <row r="910" ht="14.25" customHeight="1">
      <c r="A910" s="2"/>
      <c r="L910" s="2"/>
      <c r="M910" s="2"/>
      <c r="W910" s="2"/>
    </row>
    <row r="911" ht="14.25" customHeight="1">
      <c r="A911" s="2"/>
      <c r="L911" s="2"/>
      <c r="M911" s="2"/>
      <c r="W911" s="2"/>
    </row>
    <row r="912" ht="14.25" customHeight="1">
      <c r="A912" s="2"/>
      <c r="L912" s="2"/>
      <c r="M912" s="2"/>
      <c r="W912" s="2"/>
    </row>
    <row r="913" ht="14.25" customHeight="1">
      <c r="A913" s="2"/>
      <c r="L913" s="2"/>
      <c r="M913" s="2"/>
      <c r="W913" s="2"/>
    </row>
    <row r="914" ht="14.25" customHeight="1">
      <c r="A914" s="2"/>
      <c r="L914" s="2"/>
      <c r="M914" s="2"/>
      <c r="W914" s="2"/>
    </row>
    <row r="915" ht="14.25" customHeight="1">
      <c r="A915" s="2"/>
      <c r="L915" s="2"/>
      <c r="M915" s="2"/>
      <c r="W915" s="2"/>
    </row>
    <row r="916" ht="14.25" customHeight="1">
      <c r="A916" s="2"/>
      <c r="L916" s="2"/>
      <c r="M916" s="2"/>
      <c r="W916" s="2"/>
    </row>
    <row r="917" ht="14.25" customHeight="1">
      <c r="A917" s="2"/>
      <c r="L917" s="2"/>
      <c r="M917" s="2"/>
      <c r="W917" s="2"/>
    </row>
    <row r="918" ht="14.25" customHeight="1">
      <c r="A918" s="2"/>
      <c r="L918" s="2"/>
      <c r="M918" s="2"/>
      <c r="W918" s="2"/>
    </row>
    <row r="919" ht="14.25" customHeight="1">
      <c r="A919" s="2"/>
      <c r="L919" s="2"/>
      <c r="M919" s="2"/>
      <c r="W919" s="2"/>
    </row>
    <row r="920" ht="14.25" customHeight="1">
      <c r="A920" s="2"/>
      <c r="L920" s="2"/>
      <c r="M920" s="2"/>
      <c r="W920" s="2"/>
    </row>
    <row r="921" ht="14.25" customHeight="1">
      <c r="A921" s="2"/>
      <c r="L921" s="2"/>
      <c r="M921" s="2"/>
      <c r="W921" s="2"/>
    </row>
    <row r="922" ht="14.25" customHeight="1">
      <c r="A922" s="2"/>
      <c r="L922" s="2"/>
      <c r="M922" s="2"/>
      <c r="W922" s="2"/>
    </row>
    <row r="923" ht="14.25" customHeight="1">
      <c r="A923" s="2"/>
      <c r="L923" s="2"/>
      <c r="M923" s="2"/>
      <c r="W923" s="2"/>
    </row>
    <row r="924" ht="14.25" customHeight="1">
      <c r="A924" s="2"/>
      <c r="L924" s="2"/>
      <c r="M924" s="2"/>
      <c r="W924" s="2"/>
    </row>
    <row r="925" ht="14.25" customHeight="1">
      <c r="A925" s="2"/>
      <c r="L925" s="2"/>
      <c r="M925" s="2"/>
      <c r="W925" s="2"/>
    </row>
    <row r="926" ht="14.25" customHeight="1">
      <c r="A926" s="2"/>
      <c r="L926" s="2"/>
      <c r="M926" s="2"/>
      <c r="W926" s="2"/>
    </row>
    <row r="927" ht="14.25" customHeight="1">
      <c r="A927" s="2"/>
      <c r="L927" s="2"/>
      <c r="M927" s="2"/>
      <c r="W927" s="2"/>
    </row>
    <row r="928" ht="14.25" customHeight="1">
      <c r="A928" s="2"/>
      <c r="L928" s="2"/>
      <c r="M928" s="2"/>
      <c r="W928" s="2"/>
    </row>
    <row r="929" ht="14.25" customHeight="1">
      <c r="A929" s="2"/>
      <c r="L929" s="2"/>
      <c r="M929" s="2"/>
      <c r="W929" s="2"/>
    </row>
    <row r="930" ht="14.25" customHeight="1">
      <c r="A930" s="2"/>
      <c r="L930" s="2"/>
      <c r="M930" s="2"/>
      <c r="W930" s="2"/>
    </row>
    <row r="931" ht="14.25" customHeight="1">
      <c r="A931" s="2"/>
      <c r="L931" s="2"/>
      <c r="M931" s="2"/>
      <c r="W931" s="2"/>
    </row>
    <row r="932" ht="14.25" customHeight="1">
      <c r="A932" s="2"/>
      <c r="L932" s="2"/>
      <c r="M932" s="2"/>
      <c r="W932" s="2"/>
    </row>
    <row r="933" ht="14.25" customHeight="1">
      <c r="A933" s="2"/>
      <c r="L933" s="2"/>
      <c r="M933" s="2"/>
      <c r="W933" s="2"/>
    </row>
    <row r="934" ht="14.25" customHeight="1">
      <c r="A934" s="2"/>
      <c r="L934" s="2"/>
      <c r="M934" s="2"/>
      <c r="W934" s="2"/>
    </row>
    <row r="935" ht="14.25" customHeight="1">
      <c r="A935" s="2"/>
      <c r="L935" s="2"/>
      <c r="M935" s="2"/>
      <c r="W935" s="2"/>
    </row>
    <row r="936" ht="14.25" customHeight="1">
      <c r="A936" s="2"/>
      <c r="L936" s="2"/>
      <c r="M936" s="2"/>
      <c r="W936" s="2"/>
    </row>
    <row r="937" ht="14.25" customHeight="1">
      <c r="A937" s="2"/>
      <c r="L937" s="2"/>
      <c r="M937" s="2"/>
      <c r="W937" s="2"/>
    </row>
    <row r="938" ht="14.25" customHeight="1">
      <c r="A938" s="2"/>
      <c r="L938" s="2"/>
      <c r="M938" s="2"/>
      <c r="W938" s="2"/>
    </row>
    <row r="939" ht="14.25" customHeight="1">
      <c r="A939" s="2"/>
      <c r="L939" s="2"/>
      <c r="M939" s="2"/>
      <c r="W939" s="2"/>
    </row>
    <row r="940" ht="14.25" customHeight="1">
      <c r="A940" s="2"/>
      <c r="L940" s="2"/>
      <c r="M940" s="2"/>
      <c r="W940" s="2"/>
    </row>
    <row r="941" ht="14.25" customHeight="1">
      <c r="A941" s="2"/>
      <c r="L941" s="2"/>
      <c r="M941" s="2"/>
      <c r="W941" s="2"/>
    </row>
    <row r="942" ht="14.25" customHeight="1">
      <c r="A942" s="2"/>
      <c r="L942" s="2"/>
      <c r="M942" s="2"/>
      <c r="N942" s="2"/>
      <c r="W942" s="2"/>
    </row>
    <row r="943" ht="14.25" customHeight="1">
      <c r="A943" s="2"/>
      <c r="L943" s="2"/>
      <c r="M943" s="2"/>
      <c r="W943" s="2"/>
    </row>
    <row r="944" ht="14.25" customHeight="1">
      <c r="A944" s="2"/>
      <c r="L944" s="2"/>
      <c r="M944" s="2"/>
      <c r="W944" s="2"/>
    </row>
    <row r="945" ht="14.25" customHeight="1">
      <c r="A945" s="2"/>
      <c r="L945" s="2"/>
      <c r="M945" s="2"/>
      <c r="W945" s="2"/>
    </row>
    <row r="946" ht="14.25" customHeight="1">
      <c r="A946" s="2"/>
      <c r="L946" s="2"/>
      <c r="M946" s="2"/>
      <c r="W946" s="2"/>
    </row>
    <row r="947" ht="14.25" customHeight="1">
      <c r="A947" s="2"/>
      <c r="L947" s="2"/>
      <c r="M947" s="2"/>
      <c r="W947" s="2"/>
    </row>
    <row r="948" ht="14.25" customHeight="1">
      <c r="A948" s="2"/>
      <c r="L948" s="2"/>
      <c r="M948" s="2"/>
      <c r="W948" s="2"/>
    </row>
    <row r="949" ht="14.25" customHeight="1">
      <c r="A949" s="2"/>
      <c r="L949" s="2"/>
      <c r="M949" s="2"/>
      <c r="W949" s="2"/>
    </row>
    <row r="950" ht="14.25" customHeight="1">
      <c r="A950" s="2"/>
      <c r="L950" s="2"/>
      <c r="M950" s="2"/>
      <c r="W950" s="2"/>
    </row>
    <row r="951" ht="14.25" customHeight="1">
      <c r="A951" s="2"/>
      <c r="L951" s="2"/>
      <c r="M951" s="2"/>
      <c r="W951" s="2"/>
    </row>
    <row r="952" ht="14.25" customHeight="1">
      <c r="A952" s="2"/>
      <c r="L952" s="2"/>
      <c r="M952" s="2"/>
      <c r="W952" s="2"/>
    </row>
    <row r="953" ht="14.25" customHeight="1">
      <c r="A953" s="2"/>
      <c r="L953" s="2"/>
      <c r="M953" s="2"/>
      <c r="W953" s="2"/>
    </row>
    <row r="954" ht="14.25" customHeight="1">
      <c r="A954" s="2"/>
      <c r="L954" s="2"/>
      <c r="M954" s="2"/>
      <c r="W954" s="2"/>
    </row>
    <row r="955" ht="14.25" customHeight="1">
      <c r="A955" s="2"/>
      <c r="L955" s="2"/>
      <c r="M955" s="2"/>
      <c r="W955" s="2"/>
    </row>
    <row r="956" ht="14.25" customHeight="1">
      <c r="A956" s="2"/>
      <c r="L956" s="2"/>
      <c r="M956" s="2"/>
      <c r="W956" s="2"/>
    </row>
    <row r="957" ht="14.25" customHeight="1">
      <c r="A957" s="2"/>
      <c r="L957" s="2"/>
      <c r="M957" s="2"/>
      <c r="W957" s="2"/>
    </row>
    <row r="958" ht="14.25" customHeight="1">
      <c r="A958" s="2"/>
      <c r="L958" s="2"/>
      <c r="M958" s="2"/>
      <c r="W958" s="2"/>
    </row>
    <row r="959" ht="14.25" customHeight="1">
      <c r="A959" s="2"/>
      <c r="L959" s="2"/>
      <c r="M959" s="2"/>
      <c r="W959" s="2"/>
    </row>
    <row r="960" ht="14.25" customHeight="1">
      <c r="A960" s="2"/>
      <c r="L960" s="2"/>
      <c r="M960" s="2"/>
      <c r="W960" s="2"/>
    </row>
    <row r="961" ht="14.25" customHeight="1">
      <c r="A961" s="2"/>
      <c r="L961" s="2"/>
      <c r="M961" s="2"/>
      <c r="W961" s="2"/>
    </row>
    <row r="962" ht="14.25" customHeight="1">
      <c r="A962" s="2"/>
      <c r="L962" s="2"/>
      <c r="M962" s="2"/>
      <c r="W962" s="2"/>
    </row>
    <row r="963" ht="14.25" customHeight="1">
      <c r="A963" s="2"/>
      <c r="L963" s="2"/>
      <c r="M963" s="2"/>
      <c r="W963" s="2"/>
    </row>
    <row r="964" ht="14.25" customHeight="1">
      <c r="A964" s="2"/>
      <c r="L964" s="2"/>
      <c r="M964" s="2"/>
      <c r="W964" s="2"/>
    </row>
    <row r="965" ht="14.25" customHeight="1">
      <c r="A965" s="2"/>
      <c r="L965" s="2"/>
      <c r="M965" s="2"/>
      <c r="W965" s="2"/>
    </row>
    <row r="966" ht="14.25" customHeight="1">
      <c r="A966" s="2"/>
      <c r="L966" s="2"/>
      <c r="M966" s="2"/>
      <c r="W966" s="2"/>
    </row>
    <row r="967" ht="14.25" customHeight="1">
      <c r="A967" s="2"/>
      <c r="L967" s="2"/>
      <c r="M967" s="2"/>
      <c r="W967" s="2"/>
    </row>
    <row r="968" ht="14.25" customHeight="1">
      <c r="A968" s="2"/>
      <c r="L968" s="2"/>
      <c r="M968" s="2"/>
      <c r="W968" s="2"/>
    </row>
    <row r="969" ht="14.25" customHeight="1">
      <c r="A969" s="2"/>
      <c r="L969" s="2"/>
      <c r="M969" s="2"/>
      <c r="W969" s="2"/>
    </row>
    <row r="970" ht="14.25" customHeight="1">
      <c r="A970" s="2"/>
      <c r="L970" s="2"/>
      <c r="M970" s="2"/>
      <c r="W970" s="2"/>
    </row>
    <row r="971" ht="14.25" customHeight="1">
      <c r="A971" s="2"/>
      <c r="L971" s="2"/>
      <c r="M971" s="2"/>
      <c r="W971" s="2"/>
    </row>
    <row r="972" ht="14.25" customHeight="1">
      <c r="A972" s="2"/>
      <c r="L972" s="2"/>
      <c r="M972" s="2"/>
      <c r="W972" s="2"/>
    </row>
    <row r="973" ht="14.25" customHeight="1">
      <c r="A973" s="2"/>
      <c r="L973" s="2"/>
      <c r="M973" s="2"/>
      <c r="W973" s="2"/>
    </row>
    <row r="974" ht="14.25" customHeight="1">
      <c r="A974" s="2"/>
      <c r="L974" s="2"/>
      <c r="M974" s="2"/>
      <c r="W974" s="2"/>
    </row>
    <row r="975" ht="14.25" customHeight="1">
      <c r="A975" s="2"/>
      <c r="L975" s="2"/>
      <c r="M975" s="2"/>
      <c r="W975" s="2"/>
    </row>
    <row r="976" ht="14.25" customHeight="1">
      <c r="A976" s="2"/>
      <c r="L976" s="2"/>
      <c r="M976" s="2"/>
      <c r="W976" s="2"/>
    </row>
    <row r="977" ht="14.25" customHeight="1">
      <c r="A977" s="2"/>
      <c r="L977" s="2"/>
      <c r="M977" s="2"/>
      <c r="W977" s="2"/>
    </row>
    <row r="978" ht="14.25" customHeight="1">
      <c r="A978" s="2"/>
      <c r="L978" s="2"/>
      <c r="M978" s="2"/>
      <c r="W978" s="2"/>
    </row>
    <row r="979" ht="14.25" customHeight="1">
      <c r="A979" s="2"/>
      <c r="L979" s="2"/>
      <c r="M979" s="2"/>
      <c r="W979" s="2"/>
    </row>
    <row r="980" ht="14.25" customHeight="1">
      <c r="A980" s="2"/>
      <c r="L980" s="2"/>
      <c r="M980" s="2"/>
      <c r="W980" s="2"/>
    </row>
    <row r="981" ht="14.25" customHeight="1">
      <c r="A981" s="2"/>
      <c r="L981" s="2"/>
      <c r="M981" s="2"/>
      <c r="W981" s="2"/>
    </row>
    <row r="982" ht="14.25" customHeight="1">
      <c r="A982" s="2"/>
      <c r="L982" s="2"/>
      <c r="M982" s="2"/>
      <c r="W982" s="2"/>
    </row>
    <row r="983" ht="14.25" customHeight="1">
      <c r="A983" s="2"/>
      <c r="L983" s="2"/>
      <c r="M983" s="2"/>
      <c r="W983" s="2"/>
    </row>
    <row r="984" ht="14.25" customHeight="1">
      <c r="A984" s="2"/>
      <c r="L984" s="2"/>
      <c r="M984" s="2"/>
      <c r="W984" s="2"/>
    </row>
    <row r="985" ht="14.25" customHeight="1">
      <c r="A985" s="2"/>
      <c r="L985" s="2"/>
      <c r="M985" s="2"/>
      <c r="W985" s="2"/>
    </row>
    <row r="986" ht="14.25" customHeight="1">
      <c r="A986" s="2"/>
      <c r="L986" s="2"/>
      <c r="M986" s="2"/>
      <c r="W986" s="2"/>
    </row>
    <row r="987" ht="14.25" customHeight="1">
      <c r="A987" s="2"/>
      <c r="L987" s="2"/>
      <c r="M987" s="2"/>
      <c r="W987" s="2"/>
    </row>
    <row r="988" ht="14.25" customHeight="1">
      <c r="A988" s="2"/>
      <c r="L988" s="2"/>
      <c r="M988" s="2"/>
      <c r="W988" s="2"/>
    </row>
    <row r="989" ht="14.25" customHeight="1">
      <c r="A989" s="2"/>
      <c r="L989" s="2"/>
      <c r="M989" s="2"/>
      <c r="W989" s="2"/>
    </row>
    <row r="990" ht="14.25" customHeight="1">
      <c r="A990" s="2"/>
      <c r="L990" s="2"/>
      <c r="M990" s="2"/>
      <c r="W990" s="2"/>
    </row>
    <row r="991" ht="14.25" customHeight="1">
      <c r="A991" s="2"/>
      <c r="L991" s="2"/>
      <c r="M991" s="2"/>
      <c r="W991" s="2"/>
    </row>
    <row r="992" ht="14.25" customHeight="1">
      <c r="A992" s="2"/>
      <c r="L992" s="2"/>
      <c r="M992" s="2"/>
      <c r="W992" s="2"/>
    </row>
    <row r="993" ht="14.25" customHeight="1">
      <c r="A993" s="2"/>
      <c r="L993" s="2"/>
      <c r="M993" s="2"/>
      <c r="N993" s="2"/>
      <c r="W993" s="2"/>
    </row>
    <row r="994" ht="14.25" customHeight="1">
      <c r="A994" s="2"/>
      <c r="L994" s="2"/>
      <c r="M994" s="2"/>
      <c r="W994" s="2"/>
    </row>
    <row r="995" ht="14.25" customHeight="1">
      <c r="A995" s="2"/>
      <c r="L995" s="2"/>
      <c r="M995" s="2"/>
      <c r="W995" s="2"/>
    </row>
    <row r="996" ht="14.25" customHeight="1">
      <c r="A996" s="2"/>
      <c r="L996" s="2"/>
      <c r="M996" s="2"/>
      <c r="W996" s="2"/>
    </row>
    <row r="997" ht="14.25" customHeight="1">
      <c r="A997" s="2"/>
      <c r="L997" s="2"/>
      <c r="M997" s="2"/>
      <c r="W997" s="2"/>
    </row>
    <row r="998" ht="14.25" customHeight="1">
      <c r="A998" s="2"/>
      <c r="L998" s="2"/>
      <c r="M998" s="2"/>
      <c r="W998" s="2"/>
    </row>
    <row r="999" ht="14.25" customHeight="1">
      <c r="A999" s="2"/>
      <c r="L999" s="2"/>
      <c r="M999" s="2"/>
      <c r="W999" s="2"/>
    </row>
    <row r="1000" ht="14.25" customHeight="1">
      <c r="A1000" s="2"/>
      <c r="L1000" s="2"/>
      <c r="M1000" s="2"/>
      <c r="W1000" s="2"/>
    </row>
    <row r="1001" ht="14.25" customHeight="1">
      <c r="A1001" s="2"/>
      <c r="L1001" s="2"/>
      <c r="M1001" s="2"/>
      <c r="W1001" s="2"/>
    </row>
    <row r="1002" ht="14.25" customHeight="1">
      <c r="A1002" s="2"/>
      <c r="L1002" s="2"/>
      <c r="M1002" s="2"/>
      <c r="W1002" s="2"/>
    </row>
    <row r="1003" ht="14.25" customHeight="1">
      <c r="A1003" s="2"/>
      <c r="L1003" s="2"/>
      <c r="M1003" s="2"/>
      <c r="W1003" s="2"/>
    </row>
    <row r="1004" ht="14.25" customHeight="1">
      <c r="A1004" s="2"/>
      <c r="L1004" s="2"/>
      <c r="M1004" s="2"/>
      <c r="W1004" s="2"/>
    </row>
    <row r="1005" ht="14.25" customHeight="1">
      <c r="A1005" s="2"/>
      <c r="L1005" s="2"/>
      <c r="M1005" s="2"/>
      <c r="W1005" s="2"/>
    </row>
    <row r="1006" ht="14.25" customHeight="1">
      <c r="A1006" s="2"/>
      <c r="L1006" s="2"/>
      <c r="M1006" s="2"/>
      <c r="W1006" s="2"/>
    </row>
    <row r="1007" ht="14.25" customHeight="1">
      <c r="A1007" s="2"/>
      <c r="L1007" s="2"/>
      <c r="M1007" s="2"/>
      <c r="W1007" s="2"/>
    </row>
    <row r="1008" ht="14.25" customHeight="1">
      <c r="A1008" s="2"/>
      <c r="L1008" s="2"/>
      <c r="M1008" s="2"/>
      <c r="W1008" s="2"/>
    </row>
    <row r="1009" ht="14.25" customHeight="1">
      <c r="A1009" s="2"/>
      <c r="L1009" s="2"/>
      <c r="M1009" s="2"/>
      <c r="W1009" s="2"/>
    </row>
    <row r="1010" ht="14.25" customHeight="1">
      <c r="A1010" s="2"/>
      <c r="L1010" s="2"/>
      <c r="M1010" s="2"/>
      <c r="W1010" s="2"/>
    </row>
    <row r="1011" ht="14.25" customHeight="1">
      <c r="A1011" s="2"/>
      <c r="L1011" s="2"/>
      <c r="M1011" s="2"/>
      <c r="W1011" s="2"/>
    </row>
    <row r="1012" ht="14.25" customHeight="1">
      <c r="A1012" s="2"/>
      <c r="L1012" s="2"/>
      <c r="M1012" s="2"/>
      <c r="W1012" s="2"/>
    </row>
    <row r="1013" ht="14.25" customHeight="1">
      <c r="A1013" s="2"/>
      <c r="L1013" s="2"/>
      <c r="M1013" s="2"/>
      <c r="W1013" s="2"/>
    </row>
    <row r="1014" ht="14.25" customHeight="1">
      <c r="A1014" s="2"/>
      <c r="L1014" s="2"/>
      <c r="M1014" s="2"/>
      <c r="W1014" s="2"/>
    </row>
    <row r="1015" ht="14.25" customHeight="1">
      <c r="A1015" s="2"/>
      <c r="L1015" s="2"/>
      <c r="M1015" s="2"/>
      <c r="W1015" s="2"/>
    </row>
    <row r="1016" ht="14.25" customHeight="1">
      <c r="A1016" s="2"/>
      <c r="L1016" s="2"/>
      <c r="M1016" s="2"/>
      <c r="W1016" s="2"/>
    </row>
    <row r="1017" ht="14.25" customHeight="1">
      <c r="A1017" s="2"/>
      <c r="L1017" s="2"/>
      <c r="M1017" s="2"/>
      <c r="W1017" s="2"/>
    </row>
    <row r="1018" ht="14.25" customHeight="1">
      <c r="A1018" s="2"/>
      <c r="L1018" s="2"/>
      <c r="M1018" s="2"/>
      <c r="W1018" s="2"/>
    </row>
    <row r="1019" ht="14.25" customHeight="1">
      <c r="A1019" s="2"/>
      <c r="L1019" s="2"/>
      <c r="M1019" s="2"/>
      <c r="W1019" s="2"/>
    </row>
    <row r="1020" ht="14.25" customHeight="1">
      <c r="A1020" s="2"/>
      <c r="L1020" s="2"/>
      <c r="M1020" s="2"/>
      <c r="W1020" s="2"/>
    </row>
    <row r="1021" ht="14.25" customHeight="1">
      <c r="A1021" s="2"/>
      <c r="L1021" s="2"/>
      <c r="M1021" s="2"/>
      <c r="W1021" s="2"/>
    </row>
    <row r="1022" ht="14.25" customHeight="1">
      <c r="A1022" s="2"/>
      <c r="L1022" s="2"/>
      <c r="M1022" s="2"/>
      <c r="W1022" s="2"/>
    </row>
    <row r="1023" ht="14.25" customHeight="1">
      <c r="A1023" s="2"/>
      <c r="L1023" s="2"/>
      <c r="M1023" s="2"/>
      <c r="W1023" s="2"/>
    </row>
    <row r="1024" ht="14.25" customHeight="1">
      <c r="A1024" s="2"/>
      <c r="L1024" s="2"/>
      <c r="M1024" s="2"/>
      <c r="W1024" s="2"/>
    </row>
    <row r="1025" ht="14.25" customHeight="1">
      <c r="A1025" s="2"/>
      <c r="L1025" s="2"/>
      <c r="M1025" s="2"/>
      <c r="W1025" s="2"/>
    </row>
    <row r="1026" ht="14.25" customHeight="1">
      <c r="A1026" s="2"/>
      <c r="L1026" s="2"/>
      <c r="M1026" s="2"/>
      <c r="W1026" s="2"/>
    </row>
    <row r="1027" ht="14.25" customHeight="1">
      <c r="A1027" s="2"/>
      <c r="L1027" s="2"/>
      <c r="M1027" s="2"/>
      <c r="W1027" s="2"/>
    </row>
    <row r="1028" ht="14.25" customHeight="1">
      <c r="A1028" s="2"/>
      <c r="L1028" s="2"/>
      <c r="M1028" s="2"/>
      <c r="W1028" s="2"/>
    </row>
    <row r="1029" ht="14.25" customHeight="1">
      <c r="A1029" s="2"/>
      <c r="L1029" s="2"/>
      <c r="M1029" s="2"/>
      <c r="W1029" s="2"/>
    </row>
    <row r="1030" ht="14.25" customHeight="1">
      <c r="A1030" s="2"/>
      <c r="L1030" s="2"/>
      <c r="M1030" s="2"/>
      <c r="W1030" s="2"/>
    </row>
    <row r="1031" ht="14.25" customHeight="1">
      <c r="A1031" s="2"/>
      <c r="L1031" s="2"/>
      <c r="M1031" s="2"/>
      <c r="W1031" s="2"/>
    </row>
    <row r="1032" ht="14.25" customHeight="1">
      <c r="A1032" s="2"/>
      <c r="L1032" s="2"/>
      <c r="M1032" s="2"/>
      <c r="W1032" s="2"/>
    </row>
    <row r="1033" ht="14.25" customHeight="1">
      <c r="A1033" s="2"/>
      <c r="L1033" s="2"/>
      <c r="M1033" s="2"/>
      <c r="W1033" s="2"/>
    </row>
    <row r="1034" ht="14.25" customHeight="1">
      <c r="A1034" s="2"/>
      <c r="L1034" s="2"/>
      <c r="M1034" s="2"/>
      <c r="W1034" s="2"/>
    </row>
    <row r="1035" ht="14.25" customHeight="1">
      <c r="A1035" s="2"/>
      <c r="L1035" s="2"/>
      <c r="M1035" s="2"/>
      <c r="W1035" s="2"/>
    </row>
    <row r="1036" ht="14.25" customHeight="1">
      <c r="A1036" s="2"/>
      <c r="L1036" s="2"/>
      <c r="M1036" s="2"/>
      <c r="W1036" s="2"/>
    </row>
    <row r="1037" ht="14.25" customHeight="1">
      <c r="A1037" s="2"/>
      <c r="L1037" s="2"/>
      <c r="M1037" s="2"/>
      <c r="W1037" s="2"/>
    </row>
    <row r="1038" ht="14.25" customHeight="1">
      <c r="A1038" s="2"/>
      <c r="L1038" s="2"/>
      <c r="M1038" s="2"/>
      <c r="W1038" s="2"/>
    </row>
    <row r="1039" ht="14.25" customHeight="1">
      <c r="A1039" s="2"/>
      <c r="L1039" s="2"/>
      <c r="M1039" s="2"/>
      <c r="W1039" s="2"/>
    </row>
    <row r="1040" ht="14.25" customHeight="1">
      <c r="A1040" s="2"/>
      <c r="L1040" s="2"/>
      <c r="M1040" s="2"/>
      <c r="W1040" s="2"/>
    </row>
    <row r="1041" ht="14.25" customHeight="1">
      <c r="A1041" s="2"/>
      <c r="L1041" s="2"/>
      <c r="M1041" s="2"/>
      <c r="W1041" s="2"/>
    </row>
    <row r="1042" ht="14.25" customHeight="1">
      <c r="A1042" s="2"/>
      <c r="L1042" s="2"/>
      <c r="M1042" s="2"/>
      <c r="W1042" s="2"/>
    </row>
    <row r="1043" ht="14.25" customHeight="1">
      <c r="A1043" s="2"/>
      <c r="L1043" s="2"/>
      <c r="M1043" s="2"/>
      <c r="W1043" s="2"/>
    </row>
    <row r="1044" ht="14.25" customHeight="1">
      <c r="A1044" s="2"/>
      <c r="L1044" s="2"/>
      <c r="M1044" s="2"/>
      <c r="W1044" s="2"/>
    </row>
    <row r="1045" ht="14.25" customHeight="1">
      <c r="A1045" s="2"/>
      <c r="L1045" s="2"/>
      <c r="M1045" s="2"/>
      <c r="W1045" s="2"/>
    </row>
    <row r="1046" ht="14.25" customHeight="1">
      <c r="A1046" s="2"/>
      <c r="L1046" s="2"/>
      <c r="M1046" s="2"/>
      <c r="W1046" s="2"/>
    </row>
    <row r="1047" ht="14.25" customHeight="1">
      <c r="A1047" s="2"/>
      <c r="L1047" s="2"/>
      <c r="M1047" s="2"/>
      <c r="W1047" s="2"/>
    </row>
    <row r="1048" ht="14.25" customHeight="1">
      <c r="A1048" s="2"/>
      <c r="L1048" s="2"/>
      <c r="M1048" s="2"/>
      <c r="W1048" s="2"/>
    </row>
    <row r="1049" ht="14.25" customHeight="1">
      <c r="A1049" s="2"/>
      <c r="L1049" s="2"/>
      <c r="M1049" s="2"/>
      <c r="W1049" s="2"/>
    </row>
    <row r="1050" ht="14.25" customHeight="1">
      <c r="A1050" s="2"/>
      <c r="L1050" s="2"/>
      <c r="M1050" s="2"/>
      <c r="W1050" s="2"/>
    </row>
    <row r="1051" ht="14.25" customHeight="1">
      <c r="A1051" s="2"/>
      <c r="L1051" s="2"/>
      <c r="M1051" s="2"/>
      <c r="W1051" s="2"/>
    </row>
    <row r="1052" ht="14.25" customHeight="1">
      <c r="A1052" s="2"/>
      <c r="L1052" s="2"/>
      <c r="M1052" s="2"/>
      <c r="W1052" s="2"/>
    </row>
    <row r="1053" ht="14.25" customHeight="1">
      <c r="A1053" s="2"/>
      <c r="L1053" s="2"/>
      <c r="M1053" s="2"/>
      <c r="W1053" s="2"/>
    </row>
    <row r="1054" ht="14.25" customHeight="1">
      <c r="A1054" s="2"/>
      <c r="L1054" s="2"/>
      <c r="M1054" s="2"/>
      <c r="W1054" s="2"/>
    </row>
    <row r="1055" ht="14.25" customHeight="1">
      <c r="A1055" s="2"/>
      <c r="L1055" s="2"/>
      <c r="M1055" s="2"/>
      <c r="W1055" s="2"/>
    </row>
    <row r="1056" ht="14.25" customHeight="1">
      <c r="A1056" s="2"/>
      <c r="L1056" s="2"/>
      <c r="M1056" s="2"/>
      <c r="W1056" s="2"/>
    </row>
    <row r="1057" ht="14.25" customHeight="1">
      <c r="A1057" s="2"/>
      <c r="L1057" s="2"/>
      <c r="M1057" s="2"/>
      <c r="W1057" s="2"/>
    </row>
    <row r="1058" ht="14.25" customHeight="1">
      <c r="A1058" s="2"/>
      <c r="L1058" s="2"/>
      <c r="M1058" s="2"/>
      <c r="W1058" s="2"/>
    </row>
    <row r="1059" ht="14.25" customHeight="1">
      <c r="A1059" s="2"/>
      <c r="L1059" s="2"/>
      <c r="M1059" s="2"/>
      <c r="W1059" s="2"/>
    </row>
    <row r="1060" ht="14.25" customHeight="1">
      <c r="A1060" s="2"/>
      <c r="L1060" s="2"/>
      <c r="M1060" s="2"/>
      <c r="W1060" s="2"/>
    </row>
    <row r="1061" ht="14.25" customHeight="1">
      <c r="A1061" s="2"/>
      <c r="L1061" s="2"/>
      <c r="M1061" s="2"/>
      <c r="W1061" s="2"/>
    </row>
    <row r="1062" ht="14.25" customHeight="1">
      <c r="A1062" s="2"/>
      <c r="L1062" s="2"/>
      <c r="M1062" s="2"/>
      <c r="W1062" s="2"/>
    </row>
    <row r="1063" ht="14.25" customHeight="1">
      <c r="A1063" s="2"/>
      <c r="L1063" s="2"/>
      <c r="M1063" s="2"/>
      <c r="W1063" s="2"/>
    </row>
    <row r="1064" ht="14.25" customHeight="1">
      <c r="A1064" s="2"/>
      <c r="L1064" s="2"/>
      <c r="M1064" s="2"/>
      <c r="W1064" s="2"/>
    </row>
    <row r="1065" ht="14.25" customHeight="1">
      <c r="A1065" s="2"/>
      <c r="L1065" s="2"/>
      <c r="M1065" s="2"/>
      <c r="W1065" s="2"/>
    </row>
    <row r="1066" ht="14.25" customHeight="1">
      <c r="A1066" s="2"/>
      <c r="L1066" s="2"/>
      <c r="M1066" s="2"/>
      <c r="W1066" s="2"/>
    </row>
    <row r="1067" ht="14.25" customHeight="1">
      <c r="A1067" s="2"/>
      <c r="L1067" s="2"/>
      <c r="M1067" s="2"/>
      <c r="W1067" s="2"/>
    </row>
    <row r="1068" ht="14.25" customHeight="1">
      <c r="A1068" s="2"/>
      <c r="L1068" s="2"/>
      <c r="M1068" s="2"/>
      <c r="W1068" s="2"/>
    </row>
    <row r="1069" ht="14.25" customHeight="1">
      <c r="A1069" s="2"/>
      <c r="L1069" s="2"/>
      <c r="M1069" s="2"/>
      <c r="W1069" s="2"/>
    </row>
    <row r="1070" ht="14.25" customHeight="1">
      <c r="A1070" s="2"/>
      <c r="L1070" s="2"/>
      <c r="M1070" s="2"/>
      <c r="W1070" s="2"/>
    </row>
    <row r="1071" ht="14.25" customHeight="1">
      <c r="A1071" s="2"/>
      <c r="L1071" s="2"/>
      <c r="M1071" s="2"/>
      <c r="W1071" s="2"/>
    </row>
    <row r="1072" ht="14.25" customHeight="1">
      <c r="A1072" s="2"/>
      <c r="L1072" s="2"/>
      <c r="M1072" s="2"/>
      <c r="W1072" s="2"/>
    </row>
    <row r="1073" ht="14.25" customHeight="1">
      <c r="A1073" s="2"/>
      <c r="L1073" s="2"/>
      <c r="M1073" s="2"/>
      <c r="W1073" s="2"/>
    </row>
    <row r="1074" ht="14.25" customHeight="1">
      <c r="A1074" s="2"/>
      <c r="L1074" s="2"/>
      <c r="M1074" s="2"/>
      <c r="W1074" s="2"/>
    </row>
    <row r="1075" ht="14.25" customHeight="1">
      <c r="A1075" s="2"/>
      <c r="L1075" s="2"/>
      <c r="M1075" s="2"/>
      <c r="W1075" s="2"/>
    </row>
    <row r="1076" ht="14.25" customHeight="1">
      <c r="A1076" s="2"/>
      <c r="L1076" s="2"/>
      <c r="M1076" s="2"/>
      <c r="W1076" s="2"/>
    </row>
    <row r="1077" ht="14.25" customHeight="1">
      <c r="A1077" s="2"/>
      <c r="L1077" s="2"/>
      <c r="M1077" s="2"/>
      <c r="W1077" s="2"/>
    </row>
    <row r="1078" ht="14.25" customHeight="1">
      <c r="A1078" s="2"/>
      <c r="L1078" s="2"/>
      <c r="M1078" s="2"/>
      <c r="W1078" s="2"/>
    </row>
    <row r="1079" ht="14.25" customHeight="1">
      <c r="A1079" s="2"/>
      <c r="L1079" s="2"/>
      <c r="M1079" s="2"/>
      <c r="W1079" s="2"/>
    </row>
    <row r="1080" ht="14.25" customHeight="1">
      <c r="A1080" s="2"/>
      <c r="L1080" s="2"/>
      <c r="M1080" s="2"/>
      <c r="W1080" s="2"/>
    </row>
    <row r="1081" ht="14.25" customHeight="1">
      <c r="A1081" s="2"/>
      <c r="L1081" s="2"/>
      <c r="M1081" s="2"/>
      <c r="W1081" s="2"/>
    </row>
    <row r="1082" ht="14.25" customHeight="1">
      <c r="A1082" s="2"/>
      <c r="L1082" s="2"/>
      <c r="M1082" s="2"/>
      <c r="W1082" s="2"/>
    </row>
    <row r="1083" ht="14.25" customHeight="1">
      <c r="A1083" s="2"/>
      <c r="L1083" s="2"/>
      <c r="M1083" s="2"/>
      <c r="W1083" s="2"/>
    </row>
    <row r="1084" ht="14.25" customHeight="1">
      <c r="A1084" s="2"/>
      <c r="L1084" s="2"/>
      <c r="M1084" s="2"/>
      <c r="W1084" s="2"/>
    </row>
    <row r="1085" ht="14.25" customHeight="1">
      <c r="A1085" s="2"/>
      <c r="L1085" s="2"/>
      <c r="M1085" s="2"/>
      <c r="W1085" s="2"/>
    </row>
    <row r="1086" ht="14.25" customHeight="1">
      <c r="A1086" s="2"/>
      <c r="L1086" s="2"/>
      <c r="M1086" s="2"/>
      <c r="W1086" s="2"/>
    </row>
    <row r="1087" ht="14.25" customHeight="1">
      <c r="A1087" s="2"/>
      <c r="L1087" s="2"/>
      <c r="M1087" s="2"/>
      <c r="W1087" s="2"/>
    </row>
    <row r="1088" ht="14.25" customHeight="1">
      <c r="A1088" s="2"/>
      <c r="L1088" s="2"/>
      <c r="M1088" s="2"/>
      <c r="W1088" s="2"/>
    </row>
    <row r="1089" ht="14.25" customHeight="1">
      <c r="A1089" s="2"/>
      <c r="L1089" s="2"/>
      <c r="M1089" s="2"/>
      <c r="W1089" s="2"/>
    </row>
    <row r="1090" ht="14.25" customHeight="1">
      <c r="A1090" s="2"/>
      <c r="L1090" s="2"/>
      <c r="M1090" s="2"/>
      <c r="W1090" s="2"/>
    </row>
    <row r="1091" ht="14.25" customHeight="1">
      <c r="A1091" s="2"/>
      <c r="L1091" s="2"/>
      <c r="M1091" s="2"/>
      <c r="W1091" s="2"/>
    </row>
    <row r="1092" ht="14.25" customHeight="1">
      <c r="A1092" s="2"/>
      <c r="L1092" s="2"/>
      <c r="M1092" s="2"/>
      <c r="W1092" s="2"/>
    </row>
    <row r="1093" ht="14.25" customHeight="1">
      <c r="A1093" s="2"/>
      <c r="L1093" s="2"/>
      <c r="M1093" s="2"/>
      <c r="W1093" s="2"/>
    </row>
    <row r="1094" ht="14.25" customHeight="1">
      <c r="A1094" s="2"/>
      <c r="L1094" s="2"/>
      <c r="M1094" s="2"/>
      <c r="W1094" s="2"/>
    </row>
    <row r="1095" ht="14.25" customHeight="1">
      <c r="A1095" s="2"/>
      <c r="L1095" s="2"/>
      <c r="M1095" s="2"/>
      <c r="W1095" s="2"/>
    </row>
    <row r="1096" ht="14.25" customHeight="1">
      <c r="A1096" s="2"/>
      <c r="L1096" s="2"/>
      <c r="M1096" s="2"/>
      <c r="W1096" s="2"/>
    </row>
    <row r="1097" ht="14.25" customHeight="1">
      <c r="A1097" s="2"/>
      <c r="L1097" s="2"/>
      <c r="M1097" s="2"/>
      <c r="W1097" s="2"/>
    </row>
    <row r="1098" ht="14.25" customHeight="1">
      <c r="A1098" s="2"/>
      <c r="L1098" s="2"/>
      <c r="M1098" s="2"/>
      <c r="W1098" s="2"/>
    </row>
    <row r="1099" ht="14.25" customHeight="1">
      <c r="A1099" s="2"/>
      <c r="L1099" s="2"/>
      <c r="M1099" s="2"/>
      <c r="W1099" s="2"/>
    </row>
    <row r="1100" ht="14.25" customHeight="1">
      <c r="A1100" s="2"/>
      <c r="L1100" s="2"/>
      <c r="M1100" s="2"/>
      <c r="W1100" s="2"/>
    </row>
    <row r="1101" ht="14.25" customHeight="1">
      <c r="A1101" s="2"/>
      <c r="L1101" s="2"/>
      <c r="M1101" s="2"/>
      <c r="W1101" s="2"/>
    </row>
    <row r="1102" ht="14.25" customHeight="1">
      <c r="A1102" s="2"/>
      <c r="L1102" s="2"/>
      <c r="M1102" s="2"/>
      <c r="W1102" s="2"/>
    </row>
    <row r="1103" ht="14.25" customHeight="1">
      <c r="A1103" s="2"/>
      <c r="L1103" s="2"/>
      <c r="M1103" s="2"/>
      <c r="W1103" s="2"/>
    </row>
    <row r="1104" ht="14.25" customHeight="1">
      <c r="A1104" s="2"/>
      <c r="L1104" s="2"/>
      <c r="M1104" s="2"/>
      <c r="W1104" s="2"/>
    </row>
    <row r="1105" ht="14.25" customHeight="1">
      <c r="A1105" s="2"/>
      <c r="L1105" s="2"/>
      <c r="M1105" s="2"/>
      <c r="W1105" s="2"/>
    </row>
    <row r="1106" ht="14.25" customHeight="1">
      <c r="A1106" s="2"/>
      <c r="L1106" s="2"/>
      <c r="M1106" s="2"/>
      <c r="W1106" s="2"/>
    </row>
    <row r="1107" ht="14.25" customHeight="1">
      <c r="A1107" s="2"/>
      <c r="L1107" s="2"/>
      <c r="M1107" s="2"/>
      <c r="W1107" s="2"/>
    </row>
    <row r="1108" ht="14.25" customHeight="1">
      <c r="A1108" s="2"/>
      <c r="L1108" s="2"/>
      <c r="M1108" s="2"/>
      <c r="W1108" s="2"/>
    </row>
    <row r="1109" ht="14.25" customHeight="1">
      <c r="A1109" s="2"/>
      <c r="L1109" s="2"/>
      <c r="M1109" s="2"/>
      <c r="W1109" s="2"/>
    </row>
    <row r="1110" ht="14.25" customHeight="1">
      <c r="A1110" s="2"/>
      <c r="L1110" s="2"/>
      <c r="M1110" s="2"/>
      <c r="W1110" s="2"/>
    </row>
    <row r="1111" ht="14.25" customHeight="1">
      <c r="A1111" s="2"/>
      <c r="L1111" s="2"/>
      <c r="M1111" s="2"/>
      <c r="W1111" s="2"/>
    </row>
    <row r="1112" ht="14.25" customHeight="1">
      <c r="A1112" s="2"/>
      <c r="L1112" s="2"/>
      <c r="M1112" s="2"/>
      <c r="W1112" s="2"/>
    </row>
    <row r="1113" ht="14.25" customHeight="1">
      <c r="A1113" s="2"/>
      <c r="L1113" s="2"/>
      <c r="M1113" s="2"/>
      <c r="W1113" s="2"/>
    </row>
    <row r="1114" ht="14.25" customHeight="1">
      <c r="A1114" s="2"/>
      <c r="L1114" s="2"/>
      <c r="M1114" s="2"/>
      <c r="W1114" s="2"/>
    </row>
    <row r="1115" ht="14.25" customHeight="1">
      <c r="A1115" s="2"/>
      <c r="L1115" s="2"/>
      <c r="M1115" s="2"/>
      <c r="W1115" s="2"/>
    </row>
    <row r="1116" ht="14.25" customHeight="1">
      <c r="A1116" s="2"/>
      <c r="L1116" s="2"/>
      <c r="M1116" s="2"/>
      <c r="W1116" s="2"/>
    </row>
    <row r="1117" ht="14.25" customHeight="1">
      <c r="A1117" s="2"/>
      <c r="L1117" s="2"/>
      <c r="M1117" s="2"/>
      <c r="W1117" s="2"/>
    </row>
    <row r="1118" ht="14.25" customHeight="1">
      <c r="A1118" s="2"/>
      <c r="L1118" s="2"/>
      <c r="M1118" s="2"/>
      <c r="W1118" s="2"/>
    </row>
    <row r="1119" ht="14.25" customHeight="1">
      <c r="A1119" s="2"/>
      <c r="L1119" s="2"/>
      <c r="M1119" s="2"/>
      <c r="W1119" s="2"/>
    </row>
    <row r="1120" ht="14.25" customHeight="1">
      <c r="A1120" s="2"/>
      <c r="L1120" s="2"/>
      <c r="M1120" s="2"/>
      <c r="W1120" s="2"/>
    </row>
    <row r="1121" ht="14.25" customHeight="1">
      <c r="A1121" s="2"/>
      <c r="L1121" s="2"/>
      <c r="M1121" s="2"/>
      <c r="W1121" s="2"/>
    </row>
    <row r="1122" ht="14.25" customHeight="1">
      <c r="A1122" s="2"/>
      <c r="L1122" s="2"/>
      <c r="M1122" s="2"/>
      <c r="W1122" s="2"/>
    </row>
    <row r="1123" ht="14.25" customHeight="1">
      <c r="A1123" s="2"/>
      <c r="L1123" s="2"/>
      <c r="M1123" s="2"/>
      <c r="W1123" s="2"/>
    </row>
    <row r="1124" ht="14.25" customHeight="1">
      <c r="A1124" s="2"/>
      <c r="L1124" s="2"/>
      <c r="M1124" s="2"/>
      <c r="W1124" s="2"/>
    </row>
    <row r="1125" ht="14.25" customHeight="1">
      <c r="A1125" s="2"/>
      <c r="L1125" s="2"/>
      <c r="M1125" s="2"/>
      <c r="W1125" s="2"/>
    </row>
    <row r="1126" ht="14.25" customHeight="1">
      <c r="A1126" s="2"/>
      <c r="L1126" s="2"/>
      <c r="M1126" s="2"/>
      <c r="W1126" s="2"/>
    </row>
    <row r="1127" ht="14.25" customHeight="1">
      <c r="A1127" s="2"/>
      <c r="L1127" s="2"/>
      <c r="M1127" s="2"/>
      <c r="W1127" s="2"/>
    </row>
    <row r="1128" ht="14.25" customHeight="1">
      <c r="A1128" s="2"/>
      <c r="L1128" s="2"/>
      <c r="M1128" s="2"/>
      <c r="W1128" s="2"/>
    </row>
    <row r="1129" ht="14.25" customHeight="1">
      <c r="A1129" s="2"/>
      <c r="L1129" s="2"/>
      <c r="M1129" s="2"/>
      <c r="W1129" s="2"/>
    </row>
    <row r="1130" ht="14.25" customHeight="1">
      <c r="A1130" s="2"/>
      <c r="L1130" s="2"/>
      <c r="M1130" s="2"/>
      <c r="W1130" s="2"/>
    </row>
    <row r="1131" ht="14.25" customHeight="1">
      <c r="A1131" s="2"/>
      <c r="L1131" s="2"/>
      <c r="M1131" s="2"/>
      <c r="W1131" s="2"/>
    </row>
    <row r="1132" ht="14.25" customHeight="1">
      <c r="A1132" s="2"/>
      <c r="L1132" s="2"/>
      <c r="M1132" s="2"/>
      <c r="W1132" s="2"/>
    </row>
    <row r="1133" ht="14.25" customHeight="1">
      <c r="A1133" s="2"/>
      <c r="L1133" s="2"/>
      <c r="M1133" s="2"/>
      <c r="W1133" s="2"/>
    </row>
    <row r="1134" ht="14.25" customHeight="1">
      <c r="A1134" s="2"/>
      <c r="L1134" s="2"/>
      <c r="M1134" s="2"/>
      <c r="W1134" s="2"/>
    </row>
    <row r="1135" ht="14.25" customHeight="1">
      <c r="A1135" s="2"/>
      <c r="L1135" s="2"/>
      <c r="M1135" s="2"/>
      <c r="W1135" s="2"/>
    </row>
    <row r="1136" ht="14.25" customHeight="1">
      <c r="A1136" s="2"/>
      <c r="L1136" s="2"/>
      <c r="M1136" s="2"/>
      <c r="W1136" s="2"/>
    </row>
    <row r="1137" ht="14.25" customHeight="1">
      <c r="A1137" s="2"/>
      <c r="L1137" s="2"/>
      <c r="M1137" s="2"/>
      <c r="W1137" s="2"/>
    </row>
    <row r="1138" ht="14.25" customHeight="1">
      <c r="A1138" s="2"/>
      <c r="L1138" s="2"/>
      <c r="M1138" s="2"/>
      <c r="W1138" s="2"/>
    </row>
    <row r="1139" ht="14.25" customHeight="1">
      <c r="A1139" s="2"/>
      <c r="L1139" s="2"/>
      <c r="M1139" s="2"/>
      <c r="W1139" s="2"/>
    </row>
    <row r="1140" ht="14.25" customHeight="1">
      <c r="A1140" s="2"/>
      <c r="L1140" s="2"/>
      <c r="M1140" s="2"/>
      <c r="W1140" s="2"/>
    </row>
    <row r="1141" ht="14.25" customHeight="1">
      <c r="A1141" s="2"/>
      <c r="L1141" s="2"/>
      <c r="M1141" s="2"/>
      <c r="W1141" s="2"/>
    </row>
    <row r="1142" ht="14.25" customHeight="1">
      <c r="A1142" s="2"/>
      <c r="L1142" s="2"/>
      <c r="M1142" s="2"/>
      <c r="W1142" s="2"/>
    </row>
    <row r="1143" ht="14.25" customHeight="1">
      <c r="A1143" s="2"/>
      <c r="L1143" s="2"/>
      <c r="M1143" s="2"/>
      <c r="W1143" s="2"/>
    </row>
    <row r="1144" ht="14.25" customHeight="1">
      <c r="A1144" s="2"/>
      <c r="L1144" s="2"/>
      <c r="M1144" s="2"/>
      <c r="W1144" s="2"/>
    </row>
    <row r="1145" ht="14.25" customHeight="1">
      <c r="A1145" s="2"/>
      <c r="L1145" s="2"/>
      <c r="M1145" s="2"/>
      <c r="W1145" s="2"/>
    </row>
    <row r="1146" ht="14.25" customHeight="1">
      <c r="A1146" s="2"/>
      <c r="L1146" s="2"/>
      <c r="M1146" s="2"/>
      <c r="W1146" s="2"/>
    </row>
    <row r="1147" ht="14.25" customHeight="1">
      <c r="A1147" s="2"/>
      <c r="L1147" s="2"/>
      <c r="M1147" s="2"/>
      <c r="W1147" s="2"/>
    </row>
    <row r="1148" ht="14.25" customHeight="1">
      <c r="A1148" s="2"/>
      <c r="L1148" s="2"/>
      <c r="M1148" s="2"/>
      <c r="W1148" s="2"/>
    </row>
    <row r="1149" ht="14.25" customHeight="1">
      <c r="A1149" s="2"/>
      <c r="L1149" s="2"/>
      <c r="M1149" s="2"/>
      <c r="W1149" s="2"/>
    </row>
    <row r="1150" ht="14.25" customHeight="1">
      <c r="A1150" s="2"/>
      <c r="L1150" s="2"/>
      <c r="M1150" s="2"/>
      <c r="W1150" s="2"/>
    </row>
    <row r="1151" ht="14.25" customHeight="1">
      <c r="A1151" s="2"/>
      <c r="L1151" s="2"/>
      <c r="M1151" s="2"/>
      <c r="W1151" s="2"/>
    </row>
    <row r="1152" ht="14.25" customHeight="1">
      <c r="A1152" s="2"/>
      <c r="L1152" s="2"/>
      <c r="M1152" s="2"/>
      <c r="W1152" s="2"/>
    </row>
    <row r="1153" ht="14.25" customHeight="1">
      <c r="A1153" s="2"/>
      <c r="L1153" s="2"/>
      <c r="M1153" s="2"/>
      <c r="W1153" s="2"/>
    </row>
    <row r="1154" ht="14.25" customHeight="1">
      <c r="A1154" s="2"/>
      <c r="L1154" s="2"/>
      <c r="M1154" s="2"/>
      <c r="W1154" s="2"/>
    </row>
    <row r="1155" ht="14.25" customHeight="1">
      <c r="A1155" s="2"/>
      <c r="L1155" s="2"/>
      <c r="M1155" s="2"/>
      <c r="W1155" s="2"/>
    </row>
    <row r="1156" ht="14.25" customHeight="1">
      <c r="A1156" s="2"/>
      <c r="L1156" s="2"/>
      <c r="M1156" s="2"/>
      <c r="W1156" s="2"/>
    </row>
    <row r="1157" ht="14.25" customHeight="1">
      <c r="A1157" s="2"/>
      <c r="L1157" s="2"/>
      <c r="M1157" s="2"/>
      <c r="W1157" s="2"/>
    </row>
    <row r="1158" ht="14.25" customHeight="1">
      <c r="A1158" s="2"/>
      <c r="L1158" s="2"/>
      <c r="M1158" s="2"/>
      <c r="W1158" s="2"/>
    </row>
    <row r="1159" ht="14.25" customHeight="1">
      <c r="A1159" s="2"/>
      <c r="L1159" s="2"/>
      <c r="M1159" s="2"/>
      <c r="W1159" s="2"/>
    </row>
    <row r="1160" ht="14.25" customHeight="1">
      <c r="A1160" s="2"/>
      <c r="L1160" s="2"/>
      <c r="M1160" s="2"/>
      <c r="W1160" s="2"/>
    </row>
    <row r="1161" ht="14.25" customHeight="1">
      <c r="A1161" s="2"/>
      <c r="L1161" s="2"/>
      <c r="M1161" s="2"/>
      <c r="W1161" s="2"/>
    </row>
    <row r="1162" ht="14.25" customHeight="1">
      <c r="A1162" s="2"/>
      <c r="L1162" s="2"/>
      <c r="M1162" s="2"/>
      <c r="W1162" s="2"/>
    </row>
    <row r="1163" ht="14.25" customHeight="1">
      <c r="A1163" s="2"/>
      <c r="L1163" s="2"/>
      <c r="M1163" s="2"/>
      <c r="W1163" s="2"/>
    </row>
    <row r="1164" ht="14.25" customHeight="1">
      <c r="A1164" s="2"/>
      <c r="L1164" s="2"/>
      <c r="M1164" s="2"/>
      <c r="W1164" s="2"/>
    </row>
    <row r="1165" ht="14.25" customHeight="1">
      <c r="A1165" s="2"/>
      <c r="L1165" s="2"/>
      <c r="M1165" s="2"/>
      <c r="W1165" s="2"/>
    </row>
    <row r="1166" ht="14.25" customHeight="1">
      <c r="A1166" s="2"/>
      <c r="L1166" s="2"/>
      <c r="M1166" s="2"/>
      <c r="W1166" s="2"/>
    </row>
    <row r="1167" ht="14.25" customHeight="1">
      <c r="A1167" s="2"/>
      <c r="L1167" s="2"/>
      <c r="M1167" s="2"/>
      <c r="W1167" s="2"/>
    </row>
    <row r="1168" ht="14.25" customHeight="1">
      <c r="A1168" s="2"/>
      <c r="L1168" s="2"/>
      <c r="M1168" s="2"/>
      <c r="W1168" s="2"/>
    </row>
    <row r="1169" ht="14.25" customHeight="1">
      <c r="A1169" s="2"/>
      <c r="L1169" s="2"/>
      <c r="M1169" s="2"/>
      <c r="W1169" s="2"/>
    </row>
    <row r="1170" ht="14.25" customHeight="1">
      <c r="A1170" s="2"/>
      <c r="L1170" s="2"/>
      <c r="M1170" s="2"/>
      <c r="W1170" s="2"/>
    </row>
    <row r="1171" ht="14.25" customHeight="1">
      <c r="A1171" s="2"/>
      <c r="L1171" s="2"/>
      <c r="M1171" s="2"/>
      <c r="W1171" s="2"/>
    </row>
    <row r="1172" ht="14.25" customHeight="1">
      <c r="A1172" s="2"/>
      <c r="L1172" s="2"/>
      <c r="M1172" s="2"/>
      <c r="W1172" s="2"/>
    </row>
    <row r="1173" ht="14.25" customHeight="1">
      <c r="A1173" s="2"/>
      <c r="L1173" s="2"/>
      <c r="M1173" s="2"/>
      <c r="W1173" s="2"/>
    </row>
    <row r="1174" ht="14.25" customHeight="1">
      <c r="A1174" s="2"/>
      <c r="L1174" s="2"/>
      <c r="M1174" s="2"/>
      <c r="W1174" s="2"/>
    </row>
    <row r="1175" ht="14.25" customHeight="1">
      <c r="A1175" s="2"/>
      <c r="L1175" s="2"/>
      <c r="M1175" s="2"/>
      <c r="W1175" s="2"/>
    </row>
    <row r="1176" ht="14.25" customHeight="1">
      <c r="A1176" s="2"/>
      <c r="L1176" s="2"/>
      <c r="M1176" s="2"/>
      <c r="W1176" s="2"/>
    </row>
    <row r="1177" ht="14.25" customHeight="1">
      <c r="A1177" s="2"/>
      <c r="L1177" s="2"/>
      <c r="M1177" s="2"/>
      <c r="W1177" s="2"/>
    </row>
    <row r="1178" ht="14.25" customHeight="1">
      <c r="A1178" s="2"/>
      <c r="L1178" s="2"/>
      <c r="M1178" s="2"/>
      <c r="W1178" s="2"/>
    </row>
    <row r="1179" ht="14.25" customHeight="1">
      <c r="A1179" s="2"/>
      <c r="L1179" s="2"/>
      <c r="M1179" s="2"/>
      <c r="W1179" s="2"/>
    </row>
    <row r="1180" ht="14.25" customHeight="1">
      <c r="A1180" s="2"/>
      <c r="L1180" s="2"/>
      <c r="M1180" s="2"/>
      <c r="W1180" s="2"/>
    </row>
    <row r="1181" ht="14.25" customHeight="1">
      <c r="A1181" s="2"/>
      <c r="L1181" s="2"/>
      <c r="M1181" s="2"/>
      <c r="W1181" s="2"/>
    </row>
    <row r="1182" ht="14.25" customHeight="1">
      <c r="A1182" s="2"/>
      <c r="L1182" s="2"/>
      <c r="M1182" s="2"/>
      <c r="W1182" s="2"/>
    </row>
    <row r="1183" ht="14.25" customHeight="1">
      <c r="A1183" s="2"/>
      <c r="L1183" s="2"/>
      <c r="M1183" s="2"/>
      <c r="W1183" s="2"/>
    </row>
    <row r="1184" ht="14.25" customHeight="1">
      <c r="A1184" s="2"/>
      <c r="L1184" s="2"/>
      <c r="M1184" s="2"/>
      <c r="W1184" s="2"/>
    </row>
    <row r="1185" ht="14.25" customHeight="1">
      <c r="A1185" s="2"/>
      <c r="L1185" s="2"/>
      <c r="M1185" s="2"/>
      <c r="W1185" s="2"/>
    </row>
    <row r="1186" ht="14.25" customHeight="1">
      <c r="A1186" s="2"/>
      <c r="L1186" s="2"/>
      <c r="M1186" s="2"/>
      <c r="W1186" s="2"/>
    </row>
    <row r="1187" ht="14.25" customHeight="1">
      <c r="A1187" s="2"/>
      <c r="L1187" s="2"/>
      <c r="M1187" s="2"/>
      <c r="W1187" s="2"/>
    </row>
    <row r="1188" ht="14.25" customHeight="1">
      <c r="A1188" s="2"/>
      <c r="L1188" s="2"/>
      <c r="M1188" s="2"/>
      <c r="W1188" s="2"/>
    </row>
    <row r="1189" ht="14.25" customHeight="1">
      <c r="A1189" s="2"/>
      <c r="L1189" s="2"/>
      <c r="M1189" s="2"/>
      <c r="W1189" s="2"/>
    </row>
    <row r="1190" ht="14.25" customHeight="1">
      <c r="A1190" s="2"/>
      <c r="L1190" s="2"/>
      <c r="M1190" s="2"/>
      <c r="W1190" s="2"/>
    </row>
    <row r="1191" ht="14.25" customHeight="1">
      <c r="A1191" s="2"/>
      <c r="L1191" s="2"/>
      <c r="M1191" s="2"/>
      <c r="W1191" s="2"/>
    </row>
    <row r="1192" ht="14.25" customHeight="1">
      <c r="A1192" s="2"/>
      <c r="L1192" s="2"/>
      <c r="M1192" s="2"/>
      <c r="W1192" s="2"/>
    </row>
    <row r="1193" ht="14.25" customHeight="1">
      <c r="A1193" s="2"/>
      <c r="L1193" s="2"/>
      <c r="M1193" s="2"/>
      <c r="W1193" s="2"/>
    </row>
    <row r="1194" ht="14.25" customHeight="1">
      <c r="A1194" s="2"/>
      <c r="L1194" s="2"/>
      <c r="M1194" s="2"/>
      <c r="W1194" s="2"/>
    </row>
    <row r="1195" ht="14.25" customHeight="1">
      <c r="A1195" s="2"/>
      <c r="L1195" s="2"/>
      <c r="M1195" s="2"/>
      <c r="W1195" s="2"/>
    </row>
    <row r="1196" ht="14.25" customHeight="1">
      <c r="A1196" s="2"/>
      <c r="L1196" s="2"/>
      <c r="M1196" s="2"/>
      <c r="W1196" s="2"/>
    </row>
    <row r="1197" ht="14.25" customHeight="1">
      <c r="A1197" s="2"/>
      <c r="L1197" s="2"/>
      <c r="M1197" s="2"/>
      <c r="W1197" s="2"/>
    </row>
    <row r="1198" ht="14.25" customHeight="1">
      <c r="A1198" s="2"/>
      <c r="L1198" s="2"/>
      <c r="M1198" s="2"/>
      <c r="W1198" s="2"/>
    </row>
    <row r="1199" ht="14.25" customHeight="1">
      <c r="A1199" s="2"/>
      <c r="L1199" s="2"/>
      <c r="M1199" s="2"/>
      <c r="W1199" s="2"/>
    </row>
    <row r="1200" ht="14.25" customHeight="1">
      <c r="A1200" s="2"/>
      <c r="L1200" s="2"/>
      <c r="M1200" s="2"/>
      <c r="W1200" s="2"/>
    </row>
    <row r="1201" ht="14.25" customHeight="1">
      <c r="A1201" s="2"/>
      <c r="L1201" s="2"/>
      <c r="M1201" s="2"/>
      <c r="W1201" s="2"/>
    </row>
    <row r="1202" ht="14.25" customHeight="1">
      <c r="A1202" s="2"/>
      <c r="L1202" s="2"/>
      <c r="M1202" s="2"/>
      <c r="W1202" s="2"/>
    </row>
    <row r="1203" ht="14.25" customHeight="1">
      <c r="A1203" s="2"/>
      <c r="L1203" s="2"/>
      <c r="M1203" s="2"/>
      <c r="W1203" s="2"/>
    </row>
    <row r="1204" ht="14.25" customHeight="1">
      <c r="A1204" s="2"/>
      <c r="L1204" s="2"/>
      <c r="M1204" s="2"/>
      <c r="W1204" s="2"/>
    </row>
    <row r="1205" ht="14.25" customHeight="1">
      <c r="A1205" s="2"/>
      <c r="L1205" s="2"/>
      <c r="M1205" s="2"/>
      <c r="W1205" s="2"/>
    </row>
    <row r="1206" ht="14.25" customHeight="1">
      <c r="A1206" s="2"/>
      <c r="L1206" s="2"/>
      <c r="M1206" s="2"/>
      <c r="W1206" s="2"/>
    </row>
    <row r="1207" ht="14.25" customHeight="1">
      <c r="A1207" s="2"/>
      <c r="L1207" s="2"/>
      <c r="M1207" s="2"/>
      <c r="W1207" s="2"/>
    </row>
    <row r="1208" ht="14.25" customHeight="1">
      <c r="A1208" s="2"/>
      <c r="L1208" s="2"/>
      <c r="M1208" s="2"/>
      <c r="W1208" s="2"/>
    </row>
    <row r="1209" ht="14.25" customHeight="1">
      <c r="A1209" s="2"/>
      <c r="L1209" s="2"/>
      <c r="M1209" s="2"/>
      <c r="W1209" s="2"/>
    </row>
    <row r="1210" ht="14.25" customHeight="1">
      <c r="A1210" s="2"/>
      <c r="L1210" s="2"/>
      <c r="M1210" s="2"/>
      <c r="W1210" s="2"/>
    </row>
    <row r="1211" ht="14.25" customHeight="1">
      <c r="A1211" s="2"/>
      <c r="L1211" s="2"/>
      <c r="M1211" s="2"/>
      <c r="W1211" s="2"/>
    </row>
    <row r="1212" ht="14.25" customHeight="1">
      <c r="A1212" s="2"/>
      <c r="L1212" s="2"/>
      <c r="M1212" s="2"/>
      <c r="W1212" s="2"/>
    </row>
    <row r="1213" ht="14.25" customHeight="1">
      <c r="A1213" s="2"/>
      <c r="L1213" s="2"/>
      <c r="M1213" s="2"/>
      <c r="W1213" s="2"/>
    </row>
    <row r="1214" ht="14.25" customHeight="1">
      <c r="A1214" s="2"/>
      <c r="L1214" s="2"/>
      <c r="M1214" s="2"/>
      <c r="W1214" s="2"/>
    </row>
    <row r="1215" ht="14.25" customHeight="1">
      <c r="A1215" s="2"/>
      <c r="L1215" s="2"/>
      <c r="M1215" s="2"/>
      <c r="W1215" s="2"/>
    </row>
    <row r="1216" ht="14.25" customHeight="1">
      <c r="A1216" s="2"/>
      <c r="L1216" s="2"/>
      <c r="M1216" s="2"/>
      <c r="W1216" s="2"/>
    </row>
    <row r="1217" ht="14.25" customHeight="1">
      <c r="A1217" s="2"/>
      <c r="L1217" s="2"/>
      <c r="M1217" s="2"/>
      <c r="W1217" s="2"/>
    </row>
    <row r="1218" ht="14.25" customHeight="1">
      <c r="A1218" s="2"/>
      <c r="L1218" s="2"/>
      <c r="M1218" s="2"/>
      <c r="W1218" s="2"/>
    </row>
    <row r="1219" ht="14.25" customHeight="1">
      <c r="A1219" s="2"/>
      <c r="L1219" s="2"/>
      <c r="M1219" s="2"/>
      <c r="W1219" s="2"/>
    </row>
    <row r="1220" ht="14.25" customHeight="1">
      <c r="A1220" s="2"/>
      <c r="L1220" s="2"/>
      <c r="M1220" s="2"/>
      <c r="W1220" s="2"/>
    </row>
    <row r="1221" ht="14.25" customHeight="1">
      <c r="A1221" s="2"/>
      <c r="L1221" s="2"/>
      <c r="M1221" s="2"/>
      <c r="W1221" s="2"/>
    </row>
    <row r="1222" ht="14.25" customHeight="1">
      <c r="A1222" s="2"/>
      <c r="L1222" s="2"/>
      <c r="M1222" s="2"/>
      <c r="W1222" s="2"/>
    </row>
    <row r="1223" ht="14.25" customHeight="1">
      <c r="A1223" s="2"/>
      <c r="L1223" s="2"/>
      <c r="M1223" s="2"/>
      <c r="W1223" s="2"/>
    </row>
    <row r="1224" ht="14.25" customHeight="1">
      <c r="A1224" s="2"/>
      <c r="L1224" s="2"/>
      <c r="M1224" s="2"/>
      <c r="N1224" s="2"/>
      <c r="W1224" s="2"/>
    </row>
    <row r="1225" ht="14.25" customHeight="1">
      <c r="A1225" s="2"/>
      <c r="L1225" s="2"/>
      <c r="M1225" s="2"/>
      <c r="W1225" s="2"/>
    </row>
    <row r="1226" ht="14.25" customHeight="1">
      <c r="A1226" s="2"/>
      <c r="L1226" s="2"/>
      <c r="M1226" s="2"/>
      <c r="W1226" s="2"/>
    </row>
    <row r="1227" ht="14.25" customHeight="1">
      <c r="A1227" s="2"/>
      <c r="L1227" s="2"/>
      <c r="M1227" s="2"/>
      <c r="W1227" s="2"/>
    </row>
    <row r="1228" ht="14.25" customHeight="1">
      <c r="A1228" s="2"/>
      <c r="L1228" s="2"/>
      <c r="M1228" s="2"/>
      <c r="W1228" s="2"/>
    </row>
    <row r="1229" ht="14.25" customHeight="1">
      <c r="A1229" s="2"/>
      <c r="L1229" s="2"/>
      <c r="M1229" s="2"/>
      <c r="W1229" s="2"/>
    </row>
    <row r="1230" ht="14.25" customHeight="1">
      <c r="A1230" s="2"/>
      <c r="L1230" s="2"/>
      <c r="M1230" s="2"/>
      <c r="W1230" s="2"/>
    </row>
    <row r="1231" ht="14.25" customHeight="1">
      <c r="A1231" s="2"/>
      <c r="L1231" s="2"/>
      <c r="M1231" s="2"/>
      <c r="W1231" s="2"/>
    </row>
    <row r="1232" ht="14.25" customHeight="1">
      <c r="A1232" s="2"/>
      <c r="L1232" s="2"/>
      <c r="M1232" s="2"/>
      <c r="W1232" s="2"/>
    </row>
    <row r="1233" ht="14.25" customHeight="1">
      <c r="A1233" s="2"/>
      <c r="L1233" s="2"/>
      <c r="M1233" s="2"/>
      <c r="W1233" s="2"/>
    </row>
    <row r="1234" ht="14.25" customHeight="1">
      <c r="A1234" s="2"/>
      <c r="L1234" s="2"/>
      <c r="M1234" s="2"/>
      <c r="W1234" s="2"/>
    </row>
    <row r="1235" ht="14.25" customHeight="1">
      <c r="A1235" s="2"/>
      <c r="L1235" s="2"/>
      <c r="M1235" s="2"/>
      <c r="W1235" s="2"/>
    </row>
    <row r="1236" ht="14.25" customHeight="1">
      <c r="A1236" s="2"/>
      <c r="L1236" s="2"/>
      <c r="M1236" s="2"/>
      <c r="W1236" s="2"/>
    </row>
    <row r="1237" ht="14.25" customHeight="1">
      <c r="A1237" s="2"/>
      <c r="L1237" s="2"/>
      <c r="M1237" s="2"/>
      <c r="W1237" s="2"/>
    </row>
    <row r="1238" ht="14.25" customHeight="1">
      <c r="A1238" s="2"/>
      <c r="L1238" s="2"/>
      <c r="M1238" s="2"/>
      <c r="W1238" s="2"/>
    </row>
    <row r="1239" ht="14.25" customHeight="1">
      <c r="A1239" s="2"/>
      <c r="L1239" s="2"/>
      <c r="M1239" s="2"/>
      <c r="W1239" s="2"/>
    </row>
    <row r="1240" ht="14.25" customHeight="1">
      <c r="A1240" s="2"/>
      <c r="L1240" s="2"/>
      <c r="M1240" s="2"/>
      <c r="W1240" s="2"/>
    </row>
    <row r="1241" ht="14.25" customHeight="1">
      <c r="A1241" s="2"/>
      <c r="L1241" s="2"/>
      <c r="M1241" s="2"/>
      <c r="W1241" s="2"/>
    </row>
    <row r="1242" ht="14.25" customHeight="1">
      <c r="A1242" s="2"/>
      <c r="L1242" s="2"/>
      <c r="M1242" s="2"/>
      <c r="W1242" s="2"/>
    </row>
    <row r="1243" ht="14.25" customHeight="1">
      <c r="A1243" s="2"/>
      <c r="L1243" s="2"/>
      <c r="M1243" s="2"/>
      <c r="W1243" s="2"/>
    </row>
    <row r="1244" ht="14.25" customHeight="1">
      <c r="A1244" s="2"/>
      <c r="L1244" s="2"/>
      <c r="M1244" s="2"/>
      <c r="W1244" s="2"/>
    </row>
    <row r="1245" ht="14.25" customHeight="1">
      <c r="A1245" s="2"/>
      <c r="L1245" s="2"/>
      <c r="M1245" s="2"/>
      <c r="W1245" s="2"/>
    </row>
    <row r="1246" ht="14.25" customHeight="1">
      <c r="A1246" s="2"/>
      <c r="L1246" s="2"/>
      <c r="M1246" s="2"/>
      <c r="W1246" s="2"/>
    </row>
    <row r="1247" ht="14.25" customHeight="1">
      <c r="A1247" s="2"/>
      <c r="L1247" s="2"/>
      <c r="M1247" s="2"/>
      <c r="W1247" s="2"/>
    </row>
    <row r="1248" ht="14.25" customHeight="1">
      <c r="A1248" s="2"/>
      <c r="L1248" s="2"/>
      <c r="M1248" s="2"/>
      <c r="W1248" s="2"/>
    </row>
    <row r="1249" ht="14.25" customHeight="1">
      <c r="A1249" s="2"/>
      <c r="L1249" s="2"/>
      <c r="M1249" s="2"/>
      <c r="W1249" s="2"/>
    </row>
    <row r="1250" ht="14.25" customHeight="1">
      <c r="A1250" s="2"/>
      <c r="L1250" s="2"/>
      <c r="M1250" s="2"/>
      <c r="W1250" s="2"/>
    </row>
    <row r="1251" ht="14.25" customHeight="1">
      <c r="A1251" s="2"/>
      <c r="L1251" s="2"/>
      <c r="M1251" s="2"/>
      <c r="W1251" s="2"/>
    </row>
    <row r="1252" ht="14.25" customHeight="1">
      <c r="A1252" s="2"/>
      <c r="L1252" s="2"/>
      <c r="M1252" s="2"/>
      <c r="W1252" s="2"/>
    </row>
    <row r="1253" ht="14.25" customHeight="1">
      <c r="A1253" s="2"/>
      <c r="L1253" s="2"/>
      <c r="M1253" s="2"/>
      <c r="W1253" s="2"/>
    </row>
    <row r="1254" ht="14.25" customHeight="1">
      <c r="A1254" s="2"/>
      <c r="L1254" s="2"/>
      <c r="M1254" s="2"/>
      <c r="W1254" s="2"/>
    </row>
    <row r="1255" ht="14.25" customHeight="1">
      <c r="A1255" s="2"/>
      <c r="L1255" s="2"/>
      <c r="M1255" s="2"/>
      <c r="W1255" s="2"/>
    </row>
    <row r="1256" ht="14.25" customHeight="1">
      <c r="A1256" s="2"/>
      <c r="L1256" s="2"/>
      <c r="M1256" s="2"/>
      <c r="W1256" s="2"/>
    </row>
    <row r="1257" ht="14.25" customHeight="1">
      <c r="A1257" s="2"/>
      <c r="L1257" s="2"/>
      <c r="M1257" s="2"/>
      <c r="W1257" s="2"/>
    </row>
    <row r="1258" ht="14.25" customHeight="1">
      <c r="A1258" s="2"/>
      <c r="L1258" s="2"/>
      <c r="M1258" s="2"/>
      <c r="W1258" s="2"/>
    </row>
    <row r="1259" ht="14.25" customHeight="1">
      <c r="A1259" s="2"/>
      <c r="L1259" s="2"/>
      <c r="M1259" s="2"/>
      <c r="W1259" s="2"/>
    </row>
    <row r="1260" ht="14.25" customHeight="1">
      <c r="A1260" s="2"/>
      <c r="L1260" s="2"/>
      <c r="M1260" s="2"/>
      <c r="W1260" s="2"/>
    </row>
    <row r="1261" ht="14.25" customHeight="1">
      <c r="A1261" s="2"/>
      <c r="L1261" s="2"/>
      <c r="M1261" s="2"/>
      <c r="W1261" s="2"/>
    </row>
    <row r="1262" ht="14.25" customHeight="1">
      <c r="A1262" s="2"/>
      <c r="L1262" s="2"/>
      <c r="M1262" s="2"/>
      <c r="W1262" s="2"/>
    </row>
    <row r="1263" ht="14.25" customHeight="1">
      <c r="A1263" s="2"/>
      <c r="L1263" s="2"/>
      <c r="M1263" s="2"/>
      <c r="W1263" s="2"/>
    </row>
    <row r="1264" ht="14.25" customHeight="1">
      <c r="A1264" s="2"/>
      <c r="L1264" s="2"/>
      <c r="M1264" s="2"/>
      <c r="W1264" s="2"/>
    </row>
    <row r="1265" ht="14.25" customHeight="1">
      <c r="A1265" s="2"/>
      <c r="L1265" s="2"/>
      <c r="M1265" s="2"/>
      <c r="W1265" s="2"/>
    </row>
    <row r="1266" ht="14.25" customHeight="1">
      <c r="A1266" s="2"/>
      <c r="L1266" s="2"/>
      <c r="M1266" s="2"/>
      <c r="W1266" s="2"/>
    </row>
    <row r="1267" ht="14.25" customHeight="1">
      <c r="A1267" s="2"/>
      <c r="L1267" s="2"/>
      <c r="M1267" s="2"/>
      <c r="N1267" s="2"/>
      <c r="W1267" s="2"/>
    </row>
    <row r="1268" ht="14.25" customHeight="1">
      <c r="A1268" s="2"/>
      <c r="L1268" s="2"/>
      <c r="M1268" s="2"/>
      <c r="W1268" s="2"/>
    </row>
    <row r="1269" ht="14.25" customHeight="1">
      <c r="A1269" s="2"/>
      <c r="L1269" s="2"/>
      <c r="M1269" s="2"/>
      <c r="W1269" s="2"/>
    </row>
    <row r="1270" ht="14.25" customHeight="1">
      <c r="A1270" s="2"/>
      <c r="L1270" s="2"/>
      <c r="M1270" s="2"/>
      <c r="W1270" s="2"/>
    </row>
    <row r="1271" ht="14.25" customHeight="1">
      <c r="A1271" s="2"/>
      <c r="L1271" s="2"/>
      <c r="M1271" s="2"/>
      <c r="W1271" s="2"/>
    </row>
    <row r="1272" ht="14.25" customHeight="1">
      <c r="A1272" s="2"/>
      <c r="L1272" s="2"/>
      <c r="M1272" s="2"/>
      <c r="W1272" s="2"/>
    </row>
    <row r="1273" ht="14.25" customHeight="1">
      <c r="A1273" s="2"/>
      <c r="L1273" s="2"/>
      <c r="M1273" s="2"/>
      <c r="N1273" s="2"/>
      <c r="W1273" s="2"/>
    </row>
    <row r="1274" ht="14.25" customHeight="1">
      <c r="A1274" s="2"/>
      <c r="L1274" s="2"/>
      <c r="M1274" s="2"/>
      <c r="N1274" s="2"/>
      <c r="W1274" s="2"/>
    </row>
    <row r="1275" ht="14.25" customHeight="1">
      <c r="A1275" s="2"/>
      <c r="L1275" s="2"/>
      <c r="M1275" s="2"/>
      <c r="W1275" s="2"/>
    </row>
    <row r="1276" ht="14.25" customHeight="1">
      <c r="A1276" s="2"/>
      <c r="L1276" s="2"/>
      <c r="M1276" s="2"/>
      <c r="N1276" s="2"/>
      <c r="W1276" s="2"/>
    </row>
    <row r="1277" ht="14.25" customHeight="1">
      <c r="A1277" s="2"/>
      <c r="L1277" s="2"/>
      <c r="M1277" s="2"/>
      <c r="W1277" s="2"/>
    </row>
    <row r="1278" ht="14.25" customHeight="1">
      <c r="A1278" s="2"/>
      <c r="L1278" s="2"/>
      <c r="M1278" s="2"/>
      <c r="N1278" s="2"/>
      <c r="W1278" s="2"/>
    </row>
    <row r="1279" ht="14.25" customHeight="1">
      <c r="A1279" s="2"/>
      <c r="L1279" s="2"/>
      <c r="M1279" s="2"/>
      <c r="W1279" s="2"/>
    </row>
    <row r="1280" ht="14.25" customHeight="1">
      <c r="A1280" s="2"/>
      <c r="L1280" s="2"/>
      <c r="M1280" s="2"/>
      <c r="W1280" s="2"/>
    </row>
    <row r="1281" ht="14.25" customHeight="1">
      <c r="A1281" s="2"/>
      <c r="L1281" s="2"/>
      <c r="M1281" s="2"/>
      <c r="W1281" s="2"/>
    </row>
    <row r="1282" ht="14.25" customHeight="1">
      <c r="A1282" s="2"/>
      <c r="L1282" s="2"/>
      <c r="M1282" s="2"/>
      <c r="W1282" s="2"/>
    </row>
    <row r="1283" ht="14.25" customHeight="1">
      <c r="A1283" s="2"/>
      <c r="L1283" s="2"/>
      <c r="M1283" s="2"/>
      <c r="N1283" s="2"/>
      <c r="W1283" s="2"/>
    </row>
    <row r="1284" ht="14.25" customHeight="1">
      <c r="A1284" s="2"/>
      <c r="L1284" s="2"/>
      <c r="M1284" s="2"/>
      <c r="W1284" s="2"/>
    </row>
    <row r="1285" ht="14.25" customHeight="1">
      <c r="A1285" s="2"/>
      <c r="L1285" s="2"/>
      <c r="M1285" s="2"/>
      <c r="W1285" s="2"/>
    </row>
    <row r="1286" ht="14.25" customHeight="1">
      <c r="A1286" s="2"/>
      <c r="L1286" s="2"/>
      <c r="M1286" s="2"/>
      <c r="W1286" s="2"/>
    </row>
    <row r="1287" ht="14.25" customHeight="1">
      <c r="A1287" s="2"/>
      <c r="L1287" s="2"/>
      <c r="M1287" s="2"/>
      <c r="N1287" s="2"/>
      <c r="W1287" s="2"/>
    </row>
    <row r="1288" ht="14.25" customHeight="1">
      <c r="A1288" s="2"/>
      <c r="L1288" s="2"/>
      <c r="M1288" s="2"/>
      <c r="W1288" s="2"/>
    </row>
    <row r="1289" ht="14.25" customHeight="1"/>
    <row r="1290" ht="14.25" customHeight="1"/>
    <row r="1291" ht="14.25" customHeight="1">
      <c r="A1291" s="1" t="s">
        <v>245</v>
      </c>
    </row>
  </sheetData>
  <autoFilter ref="$A$1:$X$128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29"/>
    <col customWidth="1" min="3" max="3" width="11.0"/>
    <col customWidth="1" min="4" max="4" width="9.43"/>
    <col customWidth="1" min="5" max="5" width="22.71"/>
    <col customWidth="1" min="6" max="6" width="13.71"/>
    <col customWidth="1" min="7" max="7" width="15.71"/>
    <col customWidth="1" min="8" max="8" width="13.57"/>
    <col customWidth="1" min="9" max="9" width="18.0"/>
    <col customWidth="1" min="10" max="10" width="27.86"/>
    <col customWidth="1" min="11" max="11" width="11.57"/>
    <col customWidth="1" min="12" max="12" width="14.14"/>
    <col customWidth="1" min="13" max="13" width="8.71"/>
    <col customWidth="1" min="14" max="14" width="21.29"/>
    <col customWidth="1" min="15" max="15" width="23.43"/>
    <col customWidth="1" min="16" max="28" width="8.71"/>
  </cols>
  <sheetData>
    <row r="1" ht="14.25" customHeight="1">
      <c r="A1" s="1" t="s">
        <v>1</v>
      </c>
      <c r="C1" s="1" t="s">
        <v>4</v>
      </c>
      <c r="F1" s="1" t="s">
        <v>5</v>
      </c>
      <c r="G1" s="1" t="s">
        <v>11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</row>
    <row r="2" ht="14.25" customHeight="1">
      <c r="A2" s="3" t="s">
        <v>137</v>
      </c>
      <c r="B2" s="3" t="str">
        <f t="shared" ref="B2:B25" si="1">CONCAT(A2,77)</f>
        <v>6ND7NH6JT4577</v>
      </c>
      <c r="C2" s="3" t="s">
        <v>246</v>
      </c>
      <c r="D2" s="3" t="s">
        <v>247</v>
      </c>
      <c r="E2" s="3" t="str">
        <f t="shared" ref="E2:E163" si="2">CONCAT(D2," ",C2)</f>
        <v>#N/A</v>
      </c>
      <c r="F2" s="3" t="s">
        <v>78</v>
      </c>
      <c r="G2" s="4">
        <v>46113.0</v>
      </c>
      <c r="H2" s="4">
        <v>46113.0</v>
      </c>
      <c r="I2" s="3">
        <v>1.9491313E7</v>
      </c>
      <c r="J2" s="3" t="s">
        <v>141</v>
      </c>
      <c r="K2" s="3" t="s">
        <v>34</v>
      </c>
      <c r="L2" s="3">
        <v>844.0</v>
      </c>
      <c r="M2" s="3">
        <v>694.0</v>
      </c>
      <c r="N2" s="3" t="s">
        <v>248</v>
      </c>
      <c r="O2" s="3" t="s">
        <v>249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4.25" customHeight="1">
      <c r="A3" s="3" t="s">
        <v>106</v>
      </c>
      <c r="B3" s="3" t="str">
        <f t="shared" si="1"/>
        <v>5A87VN5UC7877</v>
      </c>
      <c r="C3" s="3" t="s">
        <v>250</v>
      </c>
      <c r="D3" s="3" t="s">
        <v>251</v>
      </c>
      <c r="E3" s="3" t="str">
        <f t="shared" si="2"/>
        <v>#N/A</v>
      </c>
      <c r="F3" s="3" t="s">
        <v>109</v>
      </c>
      <c r="G3" s="4">
        <v>46113.0</v>
      </c>
      <c r="H3" s="4">
        <v>46113.0</v>
      </c>
      <c r="I3" s="3">
        <v>7470776.0</v>
      </c>
      <c r="J3" s="3" t="s">
        <v>112</v>
      </c>
      <c r="K3" s="3" t="s">
        <v>34</v>
      </c>
      <c r="L3" s="3">
        <v>844.0</v>
      </c>
      <c r="M3" s="3">
        <v>694.0</v>
      </c>
      <c r="N3" s="3" t="s">
        <v>248</v>
      </c>
      <c r="O3" s="3" t="s">
        <v>249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4.25" customHeight="1">
      <c r="A4" s="3" t="s">
        <v>189</v>
      </c>
      <c r="B4" s="3" t="str">
        <f t="shared" si="1"/>
        <v>3NC4DC1VU8477</v>
      </c>
      <c r="C4" s="3" t="s">
        <v>252</v>
      </c>
      <c r="D4" s="3" t="s">
        <v>253</v>
      </c>
      <c r="E4" s="3" t="str">
        <f t="shared" si="2"/>
        <v>#N/A</v>
      </c>
      <c r="F4" s="3" t="s">
        <v>42</v>
      </c>
      <c r="G4" s="4">
        <v>46082.0</v>
      </c>
      <c r="H4" s="4">
        <v>46082.0</v>
      </c>
      <c r="I4" s="3">
        <v>8244481.0</v>
      </c>
      <c r="J4" s="3" t="s">
        <v>67</v>
      </c>
      <c r="K4" s="3" t="s">
        <v>34</v>
      </c>
      <c r="L4" s="3">
        <v>703.33</v>
      </c>
      <c r="M4" s="3">
        <v>578.33</v>
      </c>
      <c r="N4" s="3" t="s">
        <v>248</v>
      </c>
      <c r="O4" s="3" t="s">
        <v>254</v>
      </c>
      <c r="P4" s="3">
        <f>694/12*10</f>
        <v>578.3333333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4.25" customHeight="1">
      <c r="A5" s="3" t="s">
        <v>242</v>
      </c>
      <c r="B5" s="3" t="str">
        <f t="shared" si="1"/>
        <v>5U51TC0KN1477</v>
      </c>
      <c r="C5" s="3" t="s">
        <v>255</v>
      </c>
      <c r="D5" s="3" t="s">
        <v>256</v>
      </c>
      <c r="E5" s="3" t="str">
        <f t="shared" si="2"/>
        <v>#N/A</v>
      </c>
      <c r="F5" s="3" t="s">
        <v>42</v>
      </c>
      <c r="G5" s="4">
        <v>46113.0</v>
      </c>
      <c r="H5" s="4">
        <v>46113.0</v>
      </c>
      <c r="I5" s="3">
        <v>8244481.0</v>
      </c>
      <c r="J5" s="3" t="s">
        <v>67</v>
      </c>
      <c r="K5" s="3" t="s">
        <v>34</v>
      </c>
      <c r="L5" s="3">
        <v>844.0</v>
      </c>
      <c r="M5" s="3">
        <v>694.0</v>
      </c>
      <c r="N5" s="3" t="s">
        <v>248</v>
      </c>
      <c r="O5" s="3" t="s">
        <v>249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4.25" customHeight="1">
      <c r="A6" s="3" t="s">
        <v>39</v>
      </c>
      <c r="B6" s="3" t="str">
        <f t="shared" si="1"/>
        <v>8GH7PJ6HE4777</v>
      </c>
      <c r="C6" s="3" t="s">
        <v>257</v>
      </c>
      <c r="D6" s="3" t="s">
        <v>258</v>
      </c>
      <c r="E6" s="3" t="str">
        <f t="shared" si="2"/>
        <v>#N/A</v>
      </c>
      <c r="F6" s="3" t="s">
        <v>42</v>
      </c>
      <c r="G6" s="4">
        <v>46143.0</v>
      </c>
      <c r="H6" s="4">
        <v>46143.0</v>
      </c>
      <c r="I6" s="3">
        <v>1.8828278E7</v>
      </c>
      <c r="J6" s="3" t="s">
        <v>45</v>
      </c>
      <c r="K6" s="3" t="s">
        <v>34</v>
      </c>
      <c r="L6" s="3">
        <v>844.0</v>
      </c>
      <c r="M6" s="3">
        <v>694.0</v>
      </c>
      <c r="N6" s="3" t="s">
        <v>248</v>
      </c>
      <c r="O6" s="3" t="s">
        <v>249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4.25" customHeight="1">
      <c r="A7" s="3" t="s">
        <v>86</v>
      </c>
      <c r="B7" s="3" t="str">
        <f t="shared" si="1"/>
        <v>2Y79GE6WR4877</v>
      </c>
      <c r="C7" s="3" t="s">
        <v>259</v>
      </c>
      <c r="D7" s="3" t="s">
        <v>260</v>
      </c>
      <c r="E7" s="3" t="str">
        <f t="shared" si="2"/>
        <v>#N/A</v>
      </c>
      <c r="F7" s="3" t="s">
        <v>42</v>
      </c>
      <c r="G7" s="4">
        <v>46082.0</v>
      </c>
      <c r="H7" s="4">
        <v>46082.0</v>
      </c>
      <c r="I7" s="3">
        <v>1.7301495E7</v>
      </c>
      <c r="J7" s="3" t="s">
        <v>91</v>
      </c>
      <c r="K7" s="3" t="s">
        <v>34</v>
      </c>
      <c r="L7" s="3">
        <v>844.0</v>
      </c>
      <c r="M7" s="3">
        <v>694.0</v>
      </c>
      <c r="N7" s="3" t="s">
        <v>248</v>
      </c>
      <c r="O7" s="3" t="s">
        <v>249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4.25" customHeight="1">
      <c r="A8" s="3" t="s">
        <v>98</v>
      </c>
      <c r="B8" s="3" t="str">
        <f t="shared" si="1"/>
        <v>3DM6WH5JH5477</v>
      </c>
      <c r="C8" s="3" t="s">
        <v>261</v>
      </c>
      <c r="D8" s="3" t="s">
        <v>262</v>
      </c>
      <c r="E8" s="3" t="str">
        <f t="shared" si="2"/>
        <v>#N/A</v>
      </c>
      <c r="F8" s="3" t="s">
        <v>42</v>
      </c>
      <c r="G8" s="4">
        <v>46113.0</v>
      </c>
      <c r="H8" s="4">
        <v>46113.0</v>
      </c>
      <c r="I8" s="3">
        <v>9213293.0</v>
      </c>
      <c r="J8" s="3" t="s">
        <v>102</v>
      </c>
      <c r="K8" s="3" t="s">
        <v>34</v>
      </c>
      <c r="L8" s="3">
        <v>844.0</v>
      </c>
      <c r="M8" s="3">
        <v>694.0</v>
      </c>
      <c r="N8" s="3" t="s">
        <v>248</v>
      </c>
      <c r="O8" s="3" t="s">
        <v>249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4.25" customHeight="1">
      <c r="A9" s="3" t="s">
        <v>235</v>
      </c>
      <c r="B9" s="3" t="str">
        <f t="shared" si="1"/>
        <v>3R32H92GU8777</v>
      </c>
      <c r="C9" s="3" t="s">
        <v>263</v>
      </c>
      <c r="D9" s="3" t="s">
        <v>264</v>
      </c>
      <c r="E9" s="3" t="str">
        <f t="shared" si="2"/>
        <v>#N/A</v>
      </c>
      <c r="F9" s="3" t="s">
        <v>42</v>
      </c>
      <c r="G9" s="4">
        <v>46174.0</v>
      </c>
      <c r="H9" s="4">
        <v>46174.0</v>
      </c>
      <c r="I9" s="3">
        <v>1.9645587E7</v>
      </c>
      <c r="J9" s="3" t="s">
        <v>238</v>
      </c>
      <c r="K9" s="3" t="s">
        <v>34</v>
      </c>
      <c r="L9" s="3">
        <v>844.0</v>
      </c>
      <c r="M9" s="3">
        <v>694.0</v>
      </c>
      <c r="N9" s="3" t="s">
        <v>248</v>
      </c>
      <c r="O9" s="3" t="s">
        <v>249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4.25" customHeight="1">
      <c r="A10" s="3" t="s">
        <v>229</v>
      </c>
      <c r="B10" s="3" t="str">
        <f t="shared" si="1"/>
        <v>7FG7W32AU5977</v>
      </c>
      <c r="C10" s="3" t="s">
        <v>265</v>
      </c>
      <c r="D10" s="3" t="s">
        <v>266</v>
      </c>
      <c r="E10" s="3" t="str">
        <f t="shared" si="2"/>
        <v>#N/A</v>
      </c>
      <c r="F10" s="3" t="s">
        <v>232</v>
      </c>
      <c r="G10" s="4">
        <v>46113.0</v>
      </c>
      <c r="H10" s="4">
        <v>46113.0</v>
      </c>
      <c r="I10" s="3">
        <v>1.9200754E7</v>
      </c>
      <c r="J10" s="3" t="s">
        <v>234</v>
      </c>
      <c r="K10" s="3" t="s">
        <v>34</v>
      </c>
      <c r="L10" s="3">
        <v>844.0</v>
      </c>
      <c r="M10" s="3">
        <v>694.0</v>
      </c>
      <c r="N10" s="3" t="s">
        <v>248</v>
      </c>
      <c r="O10" s="3" t="s">
        <v>249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4.25" customHeight="1">
      <c r="A11" s="3" t="s">
        <v>118</v>
      </c>
      <c r="B11" s="3" t="str">
        <f t="shared" si="1"/>
        <v>9HP6TA8PR5377</v>
      </c>
      <c r="C11" s="3" t="s">
        <v>267</v>
      </c>
      <c r="D11" s="3" t="s">
        <v>268</v>
      </c>
      <c r="E11" s="3" t="str">
        <f t="shared" si="2"/>
        <v>#N/A</v>
      </c>
      <c r="F11" s="3" t="s">
        <v>78</v>
      </c>
      <c r="G11" s="4">
        <v>46113.0</v>
      </c>
      <c r="H11" s="4">
        <v>46113.0</v>
      </c>
      <c r="I11" s="3">
        <v>1.6170994E7</v>
      </c>
      <c r="J11" s="3" t="s">
        <v>81</v>
      </c>
      <c r="K11" s="3" t="s">
        <v>34</v>
      </c>
      <c r="L11" s="3">
        <v>844.0</v>
      </c>
      <c r="M11" s="3">
        <v>694.0</v>
      </c>
      <c r="N11" s="3" t="s">
        <v>248</v>
      </c>
      <c r="O11" s="3" t="s">
        <v>249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4.25" customHeight="1">
      <c r="A12" s="3" t="s">
        <v>165</v>
      </c>
      <c r="B12" s="3" t="str">
        <f t="shared" si="1"/>
        <v>4AV7U25PM3477</v>
      </c>
      <c r="C12" s="3" t="s">
        <v>269</v>
      </c>
      <c r="D12" s="3" t="s">
        <v>270</v>
      </c>
      <c r="E12" s="3" t="str">
        <f t="shared" si="2"/>
        <v>#N/A</v>
      </c>
      <c r="F12" s="3" t="s">
        <v>78</v>
      </c>
      <c r="G12" s="4">
        <v>46113.0</v>
      </c>
      <c r="H12" s="4">
        <v>46113.0</v>
      </c>
      <c r="I12" s="3">
        <v>1.6170994E7</v>
      </c>
      <c r="J12" s="3" t="s">
        <v>81</v>
      </c>
      <c r="K12" s="3" t="s">
        <v>34</v>
      </c>
      <c r="L12" s="3">
        <v>844.0</v>
      </c>
      <c r="M12" s="3">
        <v>694.0</v>
      </c>
      <c r="N12" s="3" t="s">
        <v>248</v>
      </c>
      <c r="O12" s="3" t="s">
        <v>249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4.25" customHeight="1">
      <c r="A13" s="3" t="s">
        <v>185</v>
      </c>
      <c r="B13" s="3" t="str">
        <f t="shared" si="1"/>
        <v>1H57NH3KW4177</v>
      </c>
      <c r="C13" s="3" t="s">
        <v>271</v>
      </c>
      <c r="D13" s="3" t="s">
        <v>272</v>
      </c>
      <c r="E13" s="3" t="str">
        <f t="shared" si="2"/>
        <v>#N/A</v>
      </c>
      <c r="F13" s="3" t="s">
        <v>78</v>
      </c>
      <c r="G13" s="4">
        <v>46113.0</v>
      </c>
      <c r="H13" s="4">
        <v>46113.0</v>
      </c>
      <c r="I13" s="3">
        <v>1.6170994E7</v>
      </c>
      <c r="J13" s="3" t="s">
        <v>81</v>
      </c>
      <c r="K13" s="3" t="s">
        <v>34</v>
      </c>
      <c r="L13" s="3">
        <v>844.0</v>
      </c>
      <c r="M13" s="3">
        <v>694.0</v>
      </c>
      <c r="N13" s="3" t="s">
        <v>248</v>
      </c>
      <c r="O13" s="3" t="s">
        <v>249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4.25" customHeight="1">
      <c r="A14" s="3" t="s">
        <v>196</v>
      </c>
      <c r="B14" s="3" t="str">
        <f t="shared" si="1"/>
        <v>3V68T51TW2277</v>
      </c>
      <c r="C14" s="3" t="s">
        <v>273</v>
      </c>
      <c r="D14" s="3" t="s">
        <v>274</v>
      </c>
      <c r="E14" s="3" t="str">
        <f t="shared" si="2"/>
        <v>#N/A</v>
      </c>
      <c r="F14" s="3" t="s">
        <v>78</v>
      </c>
      <c r="G14" s="4">
        <v>46113.0</v>
      </c>
      <c r="H14" s="4">
        <v>46113.0</v>
      </c>
      <c r="I14" s="3">
        <v>1.8142208E7</v>
      </c>
      <c r="J14" s="3" t="s">
        <v>199</v>
      </c>
      <c r="K14" s="3" t="s">
        <v>34</v>
      </c>
      <c r="L14" s="3">
        <v>844.0</v>
      </c>
      <c r="M14" s="3">
        <v>694.0</v>
      </c>
      <c r="N14" s="3" t="s">
        <v>248</v>
      </c>
      <c r="O14" s="3" t="s">
        <v>249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4.25" customHeight="1">
      <c r="A15" s="3" t="s">
        <v>200</v>
      </c>
      <c r="B15" s="3" t="str">
        <f t="shared" si="1"/>
        <v>4KU2PG6JM1277</v>
      </c>
      <c r="C15" s="3" t="s">
        <v>275</v>
      </c>
      <c r="D15" s="3" t="s">
        <v>276</v>
      </c>
      <c r="E15" s="3" t="str">
        <f t="shared" si="2"/>
        <v>#N/A</v>
      </c>
      <c r="F15" s="3" t="s">
        <v>78</v>
      </c>
      <c r="G15" s="4">
        <v>46113.0</v>
      </c>
      <c r="H15" s="4">
        <v>46113.0</v>
      </c>
      <c r="I15" s="3">
        <v>1.8142208E7</v>
      </c>
      <c r="J15" s="3" t="s">
        <v>199</v>
      </c>
      <c r="K15" s="3" t="s">
        <v>34</v>
      </c>
      <c r="L15" s="3">
        <v>844.0</v>
      </c>
      <c r="M15" s="3">
        <v>694.0</v>
      </c>
      <c r="N15" s="3" t="s">
        <v>248</v>
      </c>
      <c r="O15" s="3" t="s">
        <v>249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4.25" customHeight="1">
      <c r="A16" s="3" t="s">
        <v>212</v>
      </c>
      <c r="B16" s="3" t="str">
        <f t="shared" si="1"/>
        <v>1A98UT2WR3177</v>
      </c>
      <c r="C16" s="3" t="s">
        <v>277</v>
      </c>
      <c r="D16" s="3" t="s">
        <v>251</v>
      </c>
      <c r="E16" s="3" t="str">
        <f t="shared" si="2"/>
        <v>#N/A</v>
      </c>
      <c r="F16" s="3" t="s">
        <v>78</v>
      </c>
      <c r="G16" s="4">
        <v>46143.0</v>
      </c>
      <c r="H16" s="4">
        <v>46143.0</v>
      </c>
      <c r="I16" s="3">
        <v>1.8142208E7</v>
      </c>
      <c r="J16" s="3" t="s">
        <v>199</v>
      </c>
      <c r="K16" s="3" t="s">
        <v>34</v>
      </c>
      <c r="L16" s="3">
        <v>844.0</v>
      </c>
      <c r="M16" s="3">
        <v>694.0</v>
      </c>
      <c r="N16" s="3" t="s">
        <v>248</v>
      </c>
      <c r="O16" s="3" t="s">
        <v>249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4.25" customHeight="1">
      <c r="A17" s="3" t="s">
        <v>239</v>
      </c>
      <c r="B17" s="3" t="str">
        <f t="shared" si="1"/>
        <v>6Y12J28VK2877</v>
      </c>
      <c r="C17" s="3" t="s">
        <v>278</v>
      </c>
      <c r="D17" s="3" t="s">
        <v>279</v>
      </c>
      <c r="E17" s="3" t="str">
        <f t="shared" si="2"/>
        <v>#N/A</v>
      </c>
      <c r="F17" s="3" t="s">
        <v>78</v>
      </c>
      <c r="G17" s="4">
        <v>46113.0</v>
      </c>
      <c r="H17" s="4">
        <v>46113.0</v>
      </c>
      <c r="I17" s="3">
        <v>1.8142208E7</v>
      </c>
      <c r="J17" s="3" t="s">
        <v>199</v>
      </c>
      <c r="K17" s="3" t="s">
        <v>34</v>
      </c>
      <c r="L17" s="3">
        <v>844.0</v>
      </c>
      <c r="M17" s="3">
        <v>694.0</v>
      </c>
      <c r="N17" s="3" t="s">
        <v>248</v>
      </c>
      <c r="O17" s="3" t="s">
        <v>249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4.25" customHeight="1">
      <c r="A18" s="3" t="s">
        <v>113</v>
      </c>
      <c r="B18" s="3" t="str">
        <f t="shared" si="1"/>
        <v>1RH4QG1NE7077</v>
      </c>
      <c r="C18" s="3" t="s">
        <v>280</v>
      </c>
      <c r="D18" s="3" t="s">
        <v>281</v>
      </c>
      <c r="E18" s="3" t="str">
        <f t="shared" si="2"/>
        <v>#N/A</v>
      </c>
      <c r="F18" s="3" t="s">
        <v>42</v>
      </c>
      <c r="G18" s="4">
        <v>46113.0</v>
      </c>
      <c r="H18" s="4">
        <v>46113.0</v>
      </c>
      <c r="I18" s="3">
        <v>8812322.0</v>
      </c>
      <c r="J18" s="3" t="s">
        <v>117</v>
      </c>
      <c r="K18" s="3" t="s">
        <v>34</v>
      </c>
      <c r="L18" s="3">
        <v>844.0</v>
      </c>
      <c r="M18" s="3">
        <v>694.0</v>
      </c>
      <c r="N18" s="3" t="s">
        <v>248</v>
      </c>
      <c r="O18" s="3" t="s">
        <v>249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4.25" customHeight="1">
      <c r="A19" s="3" t="s">
        <v>220</v>
      </c>
      <c r="B19" s="3" t="str">
        <f t="shared" si="1"/>
        <v>6JX1JF9TP1877</v>
      </c>
      <c r="C19" s="3" t="s">
        <v>282</v>
      </c>
      <c r="D19" s="3" t="s">
        <v>279</v>
      </c>
      <c r="E19" s="3" t="str">
        <f t="shared" si="2"/>
        <v>#N/A</v>
      </c>
      <c r="F19" s="3" t="s">
        <v>72</v>
      </c>
      <c r="G19" s="4">
        <v>46113.0</v>
      </c>
      <c r="H19" s="4">
        <v>46113.0</v>
      </c>
      <c r="I19" s="3">
        <v>1.8201929E7</v>
      </c>
      <c r="J19" s="3" t="s">
        <v>224</v>
      </c>
      <c r="K19" s="3" t="s">
        <v>34</v>
      </c>
      <c r="L19" s="3">
        <v>633.0</v>
      </c>
      <c r="M19" s="3">
        <v>520.5</v>
      </c>
      <c r="N19" s="3" t="s">
        <v>248</v>
      </c>
      <c r="O19" s="3" t="s">
        <v>283</v>
      </c>
      <c r="P19" s="3">
        <f>694/12*9</f>
        <v>520.5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4.25" customHeight="1">
      <c r="A20" s="3" t="s">
        <v>56</v>
      </c>
      <c r="B20" s="3" t="str">
        <f t="shared" si="1"/>
        <v>5K67VU3MY3477</v>
      </c>
      <c r="C20" s="3" t="s">
        <v>284</v>
      </c>
      <c r="D20" s="3" t="s">
        <v>285</v>
      </c>
      <c r="E20" s="3" t="str">
        <f t="shared" si="2"/>
        <v>#N/A</v>
      </c>
      <c r="F20" s="3" t="s">
        <v>59</v>
      </c>
      <c r="G20" s="4">
        <v>46113.0</v>
      </c>
      <c r="H20" s="4">
        <v>46113.0</v>
      </c>
      <c r="I20" s="3">
        <v>8307933.0</v>
      </c>
      <c r="J20" s="3" t="s">
        <v>62</v>
      </c>
      <c r="K20" s="3" t="s">
        <v>34</v>
      </c>
      <c r="L20" s="3">
        <v>844.0</v>
      </c>
      <c r="M20" s="3">
        <v>694.0</v>
      </c>
      <c r="N20" s="3" t="s">
        <v>248</v>
      </c>
      <c r="O20" s="3" t="s">
        <v>249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4.25" customHeight="1">
      <c r="A21" s="3" t="s">
        <v>69</v>
      </c>
      <c r="B21" s="3" t="str">
        <f t="shared" si="1"/>
        <v>6U08KP1HM5077</v>
      </c>
      <c r="C21" s="3" t="s">
        <v>286</v>
      </c>
      <c r="D21" s="3" t="s">
        <v>287</v>
      </c>
      <c r="E21" s="3" t="str">
        <f t="shared" si="2"/>
        <v>#N/A</v>
      </c>
      <c r="F21" s="3" t="s">
        <v>72</v>
      </c>
      <c r="G21" s="4">
        <v>46113.0</v>
      </c>
      <c r="H21" s="4">
        <v>46113.0</v>
      </c>
      <c r="I21" s="3">
        <v>8307933.0</v>
      </c>
      <c r="J21" s="3" t="s">
        <v>62</v>
      </c>
      <c r="K21" s="3" t="s">
        <v>34</v>
      </c>
      <c r="L21" s="3">
        <v>844.0</v>
      </c>
      <c r="M21" s="3">
        <v>694.0</v>
      </c>
      <c r="N21" s="3" t="s">
        <v>248</v>
      </c>
      <c r="O21" s="3" t="s">
        <v>249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4.25" customHeight="1">
      <c r="A22" s="3" t="s">
        <v>126</v>
      </c>
      <c r="B22" s="3" t="str">
        <f t="shared" si="1"/>
        <v>3QP4DC9AP8177</v>
      </c>
      <c r="C22" s="3" t="s">
        <v>288</v>
      </c>
      <c r="D22" s="3" t="s">
        <v>289</v>
      </c>
      <c r="E22" s="3" t="str">
        <f t="shared" si="2"/>
        <v>#N/A</v>
      </c>
      <c r="F22" s="3" t="s">
        <v>42</v>
      </c>
      <c r="G22" s="4">
        <v>46113.0</v>
      </c>
      <c r="H22" s="4">
        <v>46113.0</v>
      </c>
      <c r="I22" s="3">
        <v>8307933.0</v>
      </c>
      <c r="J22" s="3" t="s">
        <v>62</v>
      </c>
      <c r="K22" s="3" t="s">
        <v>34</v>
      </c>
      <c r="L22" s="3">
        <v>844.0</v>
      </c>
      <c r="M22" s="3">
        <v>694.0</v>
      </c>
      <c r="N22" s="3" t="s">
        <v>248</v>
      </c>
      <c r="O22" s="3" t="s">
        <v>249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4.25" customHeight="1">
      <c r="A23" s="3" t="s">
        <v>145</v>
      </c>
      <c r="B23" s="3" t="str">
        <f t="shared" si="1"/>
        <v>3AX5P77DK5577</v>
      </c>
      <c r="C23" s="3" t="s">
        <v>290</v>
      </c>
      <c r="D23" s="3" t="s">
        <v>291</v>
      </c>
      <c r="E23" s="3" t="str">
        <f t="shared" si="2"/>
        <v>#N/A</v>
      </c>
      <c r="F23" s="3" t="s">
        <v>42</v>
      </c>
      <c r="G23" s="4">
        <v>46113.0</v>
      </c>
      <c r="H23" s="4">
        <v>46113.0</v>
      </c>
      <c r="I23" s="3">
        <v>8307933.0</v>
      </c>
      <c r="J23" s="3" t="s">
        <v>62</v>
      </c>
      <c r="K23" s="3" t="s">
        <v>34</v>
      </c>
      <c r="L23" s="3">
        <v>844.0</v>
      </c>
      <c r="M23" s="3">
        <v>694.0</v>
      </c>
      <c r="N23" s="3" t="s">
        <v>248</v>
      </c>
      <c r="O23" s="3" t="s">
        <v>249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4.25" customHeight="1">
      <c r="A24" s="3" t="s">
        <v>176</v>
      </c>
      <c r="B24" s="3" t="str">
        <f t="shared" si="1"/>
        <v>3CW2AT8NX0477</v>
      </c>
      <c r="C24" s="3" t="s">
        <v>292</v>
      </c>
      <c r="D24" s="3" t="s">
        <v>293</v>
      </c>
      <c r="E24" s="3" t="str">
        <f t="shared" si="2"/>
        <v>#N/A</v>
      </c>
      <c r="F24" s="3" t="s">
        <v>179</v>
      </c>
      <c r="G24" s="4">
        <v>46113.0</v>
      </c>
      <c r="H24" s="4">
        <v>46113.0</v>
      </c>
      <c r="I24" s="3">
        <v>8307933.0</v>
      </c>
      <c r="J24" s="3" t="s">
        <v>62</v>
      </c>
      <c r="K24" s="3" t="s">
        <v>34</v>
      </c>
      <c r="L24" s="3">
        <v>844.0</v>
      </c>
      <c r="M24" s="3">
        <v>694.0</v>
      </c>
      <c r="N24" s="3" t="s">
        <v>248</v>
      </c>
      <c r="O24" s="3" t="s">
        <v>249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4.25" customHeight="1">
      <c r="A25" s="3" t="s">
        <v>130</v>
      </c>
      <c r="B25" s="3" t="str">
        <f t="shared" si="1"/>
        <v>4Q52K22QY9377</v>
      </c>
      <c r="C25" s="3" t="s">
        <v>294</v>
      </c>
      <c r="D25" s="3" t="s">
        <v>295</v>
      </c>
      <c r="E25" s="3" t="str">
        <f t="shared" si="2"/>
        <v>#N/A</v>
      </c>
      <c r="F25" s="3" t="s">
        <v>133</v>
      </c>
      <c r="G25" s="4">
        <v>46113.0</v>
      </c>
      <c r="H25" s="4">
        <v>46113.0</v>
      </c>
      <c r="I25" s="3">
        <v>1.7425766E7</v>
      </c>
      <c r="J25" s="3" t="s">
        <v>136</v>
      </c>
      <c r="K25" s="3" t="s">
        <v>34</v>
      </c>
      <c r="L25" s="3">
        <v>1039.0</v>
      </c>
      <c r="M25" s="3">
        <v>864.0</v>
      </c>
      <c r="N25" s="3" t="s">
        <v>296</v>
      </c>
      <c r="O25" s="3" t="s">
        <v>297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4.25" customHeight="1">
      <c r="A26" s="5" t="s">
        <v>130</v>
      </c>
      <c r="B26" s="5" t="str">
        <f>CONCAT(A26,89)</f>
        <v>4Q52K22QY9389</v>
      </c>
      <c r="C26" s="5" t="s">
        <v>294</v>
      </c>
      <c r="D26" s="5" t="s">
        <v>295</v>
      </c>
      <c r="E26" s="5" t="str">
        <f t="shared" si="2"/>
        <v>#N/A</v>
      </c>
      <c r="F26" s="5" t="s">
        <v>133</v>
      </c>
      <c r="G26" s="6">
        <v>46113.0</v>
      </c>
      <c r="H26" s="6">
        <v>46113.0</v>
      </c>
      <c r="I26" s="5">
        <v>1.7425766E7</v>
      </c>
      <c r="J26" s="5" t="s">
        <v>136</v>
      </c>
      <c r="K26" s="5" t="s">
        <v>34</v>
      </c>
      <c r="L26" s="5">
        <v>-455.25</v>
      </c>
      <c r="M26" s="5">
        <v>-324.0</v>
      </c>
      <c r="N26" s="5" t="s">
        <v>298</v>
      </c>
      <c r="O26" s="5" t="s">
        <v>299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4.25" customHeight="1">
      <c r="A27" s="3" t="s">
        <v>208</v>
      </c>
      <c r="B27" s="3" t="str">
        <f t="shared" ref="B27:B36" si="3">CONCAT(A27,77)</f>
        <v>2CX0GD3DY2677</v>
      </c>
      <c r="C27" s="3" t="s">
        <v>300</v>
      </c>
      <c r="D27" s="3" t="s">
        <v>301</v>
      </c>
      <c r="E27" s="3" t="str">
        <f t="shared" si="2"/>
        <v>#N/A</v>
      </c>
      <c r="F27" s="3" t="s">
        <v>27</v>
      </c>
      <c r="G27" s="4">
        <v>46082.0</v>
      </c>
      <c r="H27" s="4">
        <v>46082.0</v>
      </c>
      <c r="I27" s="3" t="s">
        <v>302</v>
      </c>
      <c r="J27" s="3" t="s">
        <v>211</v>
      </c>
      <c r="K27" s="3" t="s">
        <v>34</v>
      </c>
      <c r="L27" s="3">
        <v>931.0</v>
      </c>
      <c r="M27" s="3">
        <v>781.0</v>
      </c>
      <c r="N27" s="3" t="s">
        <v>303</v>
      </c>
      <c r="O27" s="3" t="s">
        <v>304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4.25" customHeight="1">
      <c r="A28" s="3" t="s">
        <v>46</v>
      </c>
      <c r="B28" s="3" t="str">
        <f t="shared" si="3"/>
        <v>3PX5U97JY8677</v>
      </c>
      <c r="C28" s="3" t="s">
        <v>305</v>
      </c>
      <c r="D28" s="3" t="s">
        <v>295</v>
      </c>
      <c r="E28" s="3" t="str">
        <f t="shared" si="2"/>
        <v>#N/A</v>
      </c>
      <c r="F28" s="3" t="s">
        <v>27</v>
      </c>
      <c r="G28" s="4">
        <v>46143.0</v>
      </c>
      <c r="H28" s="4">
        <v>46143.0</v>
      </c>
      <c r="I28" s="3">
        <v>1.8598357E7</v>
      </c>
      <c r="J28" s="3" t="s">
        <v>50</v>
      </c>
      <c r="K28" s="3" t="s">
        <v>34</v>
      </c>
      <c r="L28" s="3">
        <v>931.0</v>
      </c>
      <c r="M28" s="3">
        <v>781.0</v>
      </c>
      <c r="N28" s="3" t="s">
        <v>303</v>
      </c>
      <c r="O28" s="3" t="s">
        <v>304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4.25" customHeight="1">
      <c r="A29" s="3" t="s">
        <v>152</v>
      </c>
      <c r="B29" s="3" t="str">
        <f t="shared" si="3"/>
        <v>6UD9A75JD5377</v>
      </c>
      <c r="C29" s="3" t="s">
        <v>306</v>
      </c>
      <c r="D29" s="3" t="s">
        <v>307</v>
      </c>
      <c r="E29" s="3" t="str">
        <f t="shared" si="2"/>
        <v>#N/A</v>
      </c>
      <c r="F29" s="3" t="s">
        <v>27</v>
      </c>
      <c r="G29" s="4">
        <v>46113.0</v>
      </c>
      <c r="H29" s="4">
        <v>46113.0</v>
      </c>
      <c r="I29" s="3">
        <v>1.8598357E7</v>
      </c>
      <c r="J29" s="3" t="s">
        <v>50</v>
      </c>
      <c r="K29" s="3" t="s">
        <v>34</v>
      </c>
      <c r="L29" s="3">
        <v>931.0</v>
      </c>
      <c r="M29" s="3">
        <v>781.0</v>
      </c>
      <c r="N29" s="3" t="s">
        <v>303</v>
      </c>
      <c r="O29" s="3" t="s">
        <v>304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4.25" customHeight="1">
      <c r="A30" s="3" t="s">
        <v>24</v>
      </c>
      <c r="B30" s="3" t="str">
        <f t="shared" si="3"/>
        <v>4EM0UJ8VG3377</v>
      </c>
      <c r="C30" s="3" t="s">
        <v>308</v>
      </c>
      <c r="D30" s="3" t="s">
        <v>309</v>
      </c>
      <c r="E30" s="3" t="str">
        <f t="shared" si="2"/>
        <v>#N/A</v>
      </c>
      <c r="F30" s="3" t="s">
        <v>27</v>
      </c>
      <c r="G30" s="4">
        <v>46113.0</v>
      </c>
      <c r="H30" s="4">
        <v>46113.0</v>
      </c>
      <c r="I30" s="3" t="s">
        <v>310</v>
      </c>
      <c r="J30" s="3" t="s">
        <v>33</v>
      </c>
      <c r="K30" s="3" t="s">
        <v>34</v>
      </c>
      <c r="L30" s="3">
        <v>931.0</v>
      </c>
      <c r="M30" s="3">
        <v>781.0</v>
      </c>
      <c r="N30" s="3" t="s">
        <v>303</v>
      </c>
      <c r="O30" s="3" t="s">
        <v>304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4.25" customHeight="1">
      <c r="A31" s="3" t="s">
        <v>82</v>
      </c>
      <c r="B31" s="3" t="str">
        <f t="shared" si="3"/>
        <v>4AX3E96UD0977</v>
      </c>
      <c r="C31" s="3" t="s">
        <v>311</v>
      </c>
      <c r="D31" s="3" t="s">
        <v>312</v>
      </c>
      <c r="E31" s="3" t="str">
        <f t="shared" si="2"/>
        <v>#N/A</v>
      </c>
      <c r="F31" s="3" t="s">
        <v>27</v>
      </c>
      <c r="G31" s="4">
        <v>46174.0</v>
      </c>
      <c r="H31" s="4">
        <v>46174.0</v>
      </c>
      <c r="I31" s="3" t="s">
        <v>310</v>
      </c>
      <c r="J31" s="3" t="s">
        <v>33</v>
      </c>
      <c r="K31" s="3" t="s">
        <v>34</v>
      </c>
      <c r="L31" s="3">
        <v>931.0</v>
      </c>
      <c r="M31" s="3">
        <v>781.0</v>
      </c>
      <c r="N31" s="3" t="s">
        <v>303</v>
      </c>
      <c r="O31" s="3" t="s">
        <v>304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4.25" customHeight="1">
      <c r="A32" s="3" t="s">
        <v>103</v>
      </c>
      <c r="B32" s="3" t="str">
        <f t="shared" si="3"/>
        <v>9JX0CX3JT0177</v>
      </c>
      <c r="C32" s="3" t="s">
        <v>313</v>
      </c>
      <c r="D32" s="3" t="s">
        <v>314</v>
      </c>
      <c r="E32" s="3" t="str">
        <f t="shared" si="2"/>
        <v>#N/A</v>
      </c>
      <c r="F32" s="3" t="s">
        <v>27</v>
      </c>
      <c r="G32" s="4">
        <v>46082.0</v>
      </c>
      <c r="H32" s="4">
        <v>46082.0</v>
      </c>
      <c r="I32" s="3" t="s">
        <v>310</v>
      </c>
      <c r="J32" s="3" t="s">
        <v>33</v>
      </c>
      <c r="K32" s="3" t="s">
        <v>34</v>
      </c>
      <c r="L32" s="3">
        <v>931.0</v>
      </c>
      <c r="M32" s="3">
        <v>781.0</v>
      </c>
      <c r="N32" s="3" t="s">
        <v>303</v>
      </c>
      <c r="O32" s="3" t="s">
        <v>304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4.25" customHeight="1">
      <c r="A33" s="3" t="s">
        <v>142</v>
      </c>
      <c r="B33" s="3" t="str">
        <f t="shared" si="3"/>
        <v>4UY7J83RP4977</v>
      </c>
      <c r="C33" s="3" t="s">
        <v>315</v>
      </c>
      <c r="D33" s="3" t="s">
        <v>316</v>
      </c>
      <c r="E33" s="3" t="str">
        <f t="shared" si="2"/>
        <v>#N/A</v>
      </c>
      <c r="F33" s="3" t="s">
        <v>27</v>
      </c>
      <c r="G33" s="4">
        <v>46082.0</v>
      </c>
      <c r="H33" s="4">
        <v>46082.0</v>
      </c>
      <c r="I33" s="3" t="s">
        <v>310</v>
      </c>
      <c r="J33" s="3" t="s">
        <v>33</v>
      </c>
      <c r="K33" s="3" t="s">
        <v>34</v>
      </c>
      <c r="L33" s="3">
        <v>931.0</v>
      </c>
      <c r="M33" s="3">
        <v>781.0</v>
      </c>
      <c r="N33" s="3" t="s">
        <v>303</v>
      </c>
      <c r="O33" s="3" t="s">
        <v>304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4.25" customHeight="1">
      <c r="A34" s="3" t="s">
        <v>149</v>
      </c>
      <c r="B34" s="3" t="str">
        <f t="shared" si="3"/>
        <v>8HW5VR6UD9877</v>
      </c>
      <c r="C34" s="3" t="s">
        <v>317</v>
      </c>
      <c r="D34" s="3" t="s">
        <v>318</v>
      </c>
      <c r="E34" s="3" t="str">
        <f t="shared" si="2"/>
        <v>#N/A</v>
      </c>
      <c r="F34" s="3" t="s">
        <v>27</v>
      </c>
      <c r="G34" s="4">
        <v>46113.0</v>
      </c>
      <c r="H34" s="4">
        <v>46113.0</v>
      </c>
      <c r="I34" s="3" t="s">
        <v>310</v>
      </c>
      <c r="J34" s="3" t="s">
        <v>33</v>
      </c>
      <c r="K34" s="3" t="s">
        <v>34</v>
      </c>
      <c r="L34" s="3">
        <v>931.0</v>
      </c>
      <c r="M34" s="3">
        <v>781.0</v>
      </c>
      <c r="N34" s="3" t="s">
        <v>303</v>
      </c>
      <c r="O34" s="3" t="s">
        <v>304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4.25" customHeight="1">
      <c r="A35" s="3" t="s">
        <v>162</v>
      </c>
      <c r="B35" s="3" t="str">
        <f t="shared" si="3"/>
        <v>9VH1N08JN9577</v>
      </c>
      <c r="C35" s="3" t="s">
        <v>319</v>
      </c>
      <c r="D35" s="3" t="s">
        <v>274</v>
      </c>
      <c r="E35" s="3" t="str">
        <f t="shared" si="2"/>
        <v>#N/A</v>
      </c>
      <c r="F35" s="3" t="s">
        <v>27</v>
      </c>
      <c r="G35" s="4">
        <v>46113.0</v>
      </c>
      <c r="H35" s="4">
        <v>46113.0</v>
      </c>
      <c r="I35" s="3" t="s">
        <v>310</v>
      </c>
      <c r="J35" s="3" t="s">
        <v>33</v>
      </c>
      <c r="K35" s="3" t="s">
        <v>34</v>
      </c>
      <c r="L35" s="3">
        <v>931.0</v>
      </c>
      <c r="M35" s="3">
        <v>781.0</v>
      </c>
      <c r="N35" s="3" t="s">
        <v>303</v>
      </c>
      <c r="O35" s="3" t="s">
        <v>304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4.25" customHeight="1">
      <c r="A36" s="3" t="s">
        <v>193</v>
      </c>
      <c r="B36" s="3" t="str">
        <f t="shared" si="3"/>
        <v>1E81PD5NN9777</v>
      </c>
      <c r="C36" s="3" t="s">
        <v>320</v>
      </c>
      <c r="D36" s="3" t="s">
        <v>321</v>
      </c>
      <c r="E36" s="3" t="str">
        <f t="shared" si="2"/>
        <v>#N/A</v>
      </c>
      <c r="F36" s="3" t="s">
        <v>27</v>
      </c>
      <c r="G36" s="4">
        <v>46082.0</v>
      </c>
      <c r="H36" s="4">
        <v>46082.0</v>
      </c>
      <c r="I36" s="3" t="s">
        <v>310</v>
      </c>
      <c r="J36" s="3" t="s">
        <v>33</v>
      </c>
      <c r="K36" s="3" t="s">
        <v>34</v>
      </c>
      <c r="L36" s="3">
        <v>931.0</v>
      </c>
      <c r="M36" s="3">
        <v>781.0</v>
      </c>
      <c r="N36" s="3" t="s">
        <v>303</v>
      </c>
      <c r="O36" s="3" t="s">
        <v>304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4.25" customHeight="1">
      <c r="A37" s="5" t="s">
        <v>208</v>
      </c>
      <c r="B37" s="5" t="str">
        <f t="shared" ref="B37:B80" si="4">CONCAT(A37,89)</f>
        <v>2CX0GD3DY2689</v>
      </c>
      <c r="C37" s="5" t="s">
        <v>300</v>
      </c>
      <c r="D37" s="5" t="s">
        <v>301</v>
      </c>
      <c r="E37" s="5" t="str">
        <f t="shared" si="2"/>
        <v>#N/A</v>
      </c>
      <c r="F37" s="5" t="s">
        <v>27</v>
      </c>
      <c r="G37" s="6">
        <v>46082.0</v>
      </c>
      <c r="H37" s="6">
        <v>46082.0</v>
      </c>
      <c r="I37" s="5" t="s">
        <v>302</v>
      </c>
      <c r="J37" s="5" t="s">
        <v>211</v>
      </c>
      <c r="K37" s="5" t="s">
        <v>34</v>
      </c>
      <c r="L37" s="5">
        <v>-450.83</v>
      </c>
      <c r="M37" s="5">
        <v>-325.83</v>
      </c>
      <c r="N37" s="5" t="s">
        <v>322</v>
      </c>
      <c r="O37" s="5" t="s">
        <v>323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4.25" customHeight="1">
      <c r="A38" s="5" t="s">
        <v>152</v>
      </c>
      <c r="B38" s="5" t="str">
        <f t="shared" si="4"/>
        <v>6UD9A75JD5389</v>
      </c>
      <c r="C38" s="5" t="s">
        <v>306</v>
      </c>
      <c r="D38" s="5" t="s">
        <v>307</v>
      </c>
      <c r="E38" s="5" t="str">
        <f t="shared" si="2"/>
        <v>#N/A</v>
      </c>
      <c r="F38" s="5" t="s">
        <v>27</v>
      </c>
      <c r="G38" s="6">
        <v>46113.0</v>
      </c>
      <c r="H38" s="6">
        <v>46113.0</v>
      </c>
      <c r="I38" s="5">
        <v>1.8598357E7</v>
      </c>
      <c r="J38" s="5" t="s">
        <v>50</v>
      </c>
      <c r="K38" s="5" t="s">
        <v>34</v>
      </c>
      <c r="L38" s="5">
        <v>-405.75</v>
      </c>
      <c r="M38" s="5">
        <v>-293.25</v>
      </c>
      <c r="N38" s="5" t="s">
        <v>322</v>
      </c>
      <c r="O38" s="5" t="s">
        <v>324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4.25" customHeight="1">
      <c r="A39" s="5" t="s">
        <v>46</v>
      </c>
      <c r="B39" s="5" t="str">
        <f t="shared" si="4"/>
        <v>3PX5U97JY8689</v>
      </c>
      <c r="C39" s="5" t="s">
        <v>305</v>
      </c>
      <c r="D39" s="5" t="s">
        <v>295</v>
      </c>
      <c r="E39" s="5" t="str">
        <f t="shared" si="2"/>
        <v>#N/A</v>
      </c>
      <c r="F39" s="5" t="s">
        <v>27</v>
      </c>
      <c r="G39" s="6">
        <v>46143.0</v>
      </c>
      <c r="H39" s="6">
        <v>46143.0</v>
      </c>
      <c r="I39" s="5">
        <v>1.8598357E7</v>
      </c>
      <c r="J39" s="5" t="s">
        <v>50</v>
      </c>
      <c r="K39" s="5" t="s">
        <v>34</v>
      </c>
      <c r="L39" s="5">
        <v>-360.67</v>
      </c>
      <c r="M39" s="5">
        <v>-260.67</v>
      </c>
      <c r="N39" s="5" t="s">
        <v>322</v>
      </c>
      <c r="O39" s="5" t="s">
        <v>325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4.25" customHeight="1">
      <c r="A40" s="5" t="s">
        <v>169</v>
      </c>
      <c r="B40" s="5" t="str">
        <f t="shared" si="4"/>
        <v>9J73VE0JH1189</v>
      </c>
      <c r="C40" s="5" t="s">
        <v>326</v>
      </c>
      <c r="D40" s="5" t="s">
        <v>289</v>
      </c>
      <c r="E40" s="5" t="str">
        <f t="shared" si="2"/>
        <v>#N/A</v>
      </c>
      <c r="F40" s="5" t="s">
        <v>27</v>
      </c>
      <c r="G40" s="6">
        <v>46113.0</v>
      </c>
      <c r="H40" s="6">
        <v>46113.0</v>
      </c>
      <c r="I40" s="5">
        <v>1.7425766E7</v>
      </c>
      <c r="J40" s="5" t="s">
        <v>136</v>
      </c>
      <c r="K40" s="5" t="s">
        <v>34</v>
      </c>
      <c r="L40" s="5">
        <v>405.75</v>
      </c>
      <c r="M40" s="5">
        <v>293.25</v>
      </c>
      <c r="N40" s="5" t="s">
        <v>322</v>
      </c>
      <c r="O40" s="5" t="s">
        <v>324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4.25" customHeight="1">
      <c r="A41" s="5" t="s">
        <v>103</v>
      </c>
      <c r="B41" s="5" t="str">
        <f t="shared" si="4"/>
        <v>9JX0CX3JT0189</v>
      </c>
      <c r="C41" s="5" t="s">
        <v>313</v>
      </c>
      <c r="D41" s="5" t="s">
        <v>314</v>
      </c>
      <c r="E41" s="5" t="str">
        <f t="shared" si="2"/>
        <v>#N/A</v>
      </c>
      <c r="F41" s="5" t="s">
        <v>27</v>
      </c>
      <c r="G41" s="6">
        <v>46082.0</v>
      </c>
      <c r="H41" s="6">
        <v>46082.0</v>
      </c>
      <c r="I41" s="5" t="s">
        <v>310</v>
      </c>
      <c r="J41" s="5" t="s">
        <v>33</v>
      </c>
      <c r="K41" s="5" t="s">
        <v>34</v>
      </c>
      <c r="L41" s="5">
        <v>-450.83</v>
      </c>
      <c r="M41" s="5">
        <v>-325.83</v>
      </c>
      <c r="N41" s="5" t="s">
        <v>322</v>
      </c>
      <c r="O41" s="5" t="s">
        <v>323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4.25" customHeight="1">
      <c r="A42" s="5" t="s">
        <v>142</v>
      </c>
      <c r="B42" s="5" t="str">
        <f t="shared" si="4"/>
        <v>4UY7J83RP4989</v>
      </c>
      <c r="C42" s="5" t="s">
        <v>315</v>
      </c>
      <c r="D42" s="5" t="s">
        <v>316</v>
      </c>
      <c r="E42" s="5" t="str">
        <f t="shared" si="2"/>
        <v>#N/A</v>
      </c>
      <c r="F42" s="5" t="s">
        <v>27</v>
      </c>
      <c r="G42" s="6">
        <v>46082.0</v>
      </c>
      <c r="H42" s="6">
        <v>46082.0</v>
      </c>
      <c r="I42" s="5" t="s">
        <v>310</v>
      </c>
      <c r="J42" s="5" t="s">
        <v>33</v>
      </c>
      <c r="K42" s="5" t="s">
        <v>34</v>
      </c>
      <c r="L42" s="5">
        <v>-450.83</v>
      </c>
      <c r="M42" s="5">
        <v>-325.83</v>
      </c>
      <c r="N42" s="5" t="s">
        <v>322</v>
      </c>
      <c r="O42" s="5" t="s">
        <v>323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4.25" customHeight="1">
      <c r="A43" s="5" t="s">
        <v>193</v>
      </c>
      <c r="B43" s="5" t="str">
        <f t="shared" si="4"/>
        <v>1E81PD5NN9789</v>
      </c>
      <c r="C43" s="5" t="s">
        <v>320</v>
      </c>
      <c r="D43" s="5" t="s">
        <v>321</v>
      </c>
      <c r="E43" s="5" t="str">
        <f t="shared" si="2"/>
        <v>#N/A</v>
      </c>
      <c r="F43" s="5" t="s">
        <v>27</v>
      </c>
      <c r="G43" s="6">
        <v>46082.0</v>
      </c>
      <c r="H43" s="6">
        <v>46082.0</v>
      </c>
      <c r="I43" s="5" t="s">
        <v>310</v>
      </c>
      <c r="J43" s="5" t="s">
        <v>33</v>
      </c>
      <c r="K43" s="5" t="s">
        <v>34</v>
      </c>
      <c r="L43" s="5">
        <v>-450.83</v>
      </c>
      <c r="M43" s="5">
        <v>-325.83</v>
      </c>
      <c r="N43" s="5" t="s">
        <v>322</v>
      </c>
      <c r="O43" s="5" t="s">
        <v>323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4.25" customHeight="1">
      <c r="A44" s="5" t="s">
        <v>24</v>
      </c>
      <c r="B44" s="5" t="str">
        <f t="shared" si="4"/>
        <v>4EM0UJ8VG3389</v>
      </c>
      <c r="C44" s="5" t="s">
        <v>308</v>
      </c>
      <c r="D44" s="5" t="s">
        <v>309</v>
      </c>
      <c r="E44" s="5" t="str">
        <f t="shared" si="2"/>
        <v>#N/A</v>
      </c>
      <c r="F44" s="5" t="s">
        <v>27</v>
      </c>
      <c r="G44" s="6">
        <v>46113.0</v>
      </c>
      <c r="H44" s="6">
        <v>46113.0</v>
      </c>
      <c r="I44" s="5" t="s">
        <v>310</v>
      </c>
      <c r="J44" s="5" t="s">
        <v>33</v>
      </c>
      <c r="K44" s="5" t="s">
        <v>34</v>
      </c>
      <c r="L44" s="5">
        <v>-405.75</v>
      </c>
      <c r="M44" s="5">
        <v>-293.25</v>
      </c>
      <c r="N44" s="5" t="s">
        <v>322</v>
      </c>
      <c r="O44" s="5" t="s">
        <v>324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4.25" customHeight="1">
      <c r="A45" s="5" t="s">
        <v>149</v>
      </c>
      <c r="B45" s="5" t="str">
        <f t="shared" si="4"/>
        <v>8HW5VR6UD9889</v>
      </c>
      <c r="C45" s="5" t="s">
        <v>317</v>
      </c>
      <c r="D45" s="5" t="s">
        <v>318</v>
      </c>
      <c r="E45" s="5" t="str">
        <f t="shared" si="2"/>
        <v>#N/A</v>
      </c>
      <c r="F45" s="5" t="s">
        <v>27</v>
      </c>
      <c r="G45" s="6">
        <v>46113.0</v>
      </c>
      <c r="H45" s="6">
        <v>46113.0</v>
      </c>
      <c r="I45" s="5" t="s">
        <v>310</v>
      </c>
      <c r="J45" s="5" t="s">
        <v>33</v>
      </c>
      <c r="K45" s="5" t="s">
        <v>34</v>
      </c>
      <c r="L45" s="5">
        <v>-405.75</v>
      </c>
      <c r="M45" s="5">
        <v>-293.25</v>
      </c>
      <c r="N45" s="5" t="s">
        <v>322</v>
      </c>
      <c r="O45" s="5" t="s">
        <v>324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4.25" customHeight="1">
      <c r="A46" s="5" t="s">
        <v>162</v>
      </c>
      <c r="B46" s="5" t="str">
        <f t="shared" si="4"/>
        <v>9VH1N08JN9589</v>
      </c>
      <c r="C46" s="5" t="s">
        <v>319</v>
      </c>
      <c r="D46" s="5" t="s">
        <v>274</v>
      </c>
      <c r="E46" s="5" t="str">
        <f t="shared" si="2"/>
        <v>#N/A</v>
      </c>
      <c r="F46" s="5" t="s">
        <v>27</v>
      </c>
      <c r="G46" s="6">
        <v>46113.0</v>
      </c>
      <c r="H46" s="6">
        <v>46113.0</v>
      </c>
      <c r="I46" s="5" t="s">
        <v>310</v>
      </c>
      <c r="J46" s="5" t="s">
        <v>33</v>
      </c>
      <c r="K46" s="5" t="s">
        <v>34</v>
      </c>
      <c r="L46" s="5">
        <v>-405.75</v>
      </c>
      <c r="M46" s="5">
        <v>-293.25</v>
      </c>
      <c r="N46" s="5" t="s">
        <v>322</v>
      </c>
      <c r="O46" s="5" t="s">
        <v>324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4.25" customHeight="1">
      <c r="A47" s="5" t="s">
        <v>82</v>
      </c>
      <c r="B47" s="5" t="str">
        <f t="shared" si="4"/>
        <v>4AX3E96UD0989</v>
      </c>
      <c r="C47" s="5" t="s">
        <v>311</v>
      </c>
      <c r="D47" s="5" t="s">
        <v>312</v>
      </c>
      <c r="E47" s="5" t="str">
        <f t="shared" si="2"/>
        <v>#N/A</v>
      </c>
      <c r="F47" s="5" t="s">
        <v>27</v>
      </c>
      <c r="G47" s="6">
        <v>46174.0</v>
      </c>
      <c r="H47" s="6">
        <v>46174.0</v>
      </c>
      <c r="I47" s="5" t="s">
        <v>310</v>
      </c>
      <c r="J47" s="5" t="s">
        <v>33</v>
      </c>
      <c r="K47" s="5" t="s">
        <v>34</v>
      </c>
      <c r="L47" s="5">
        <v>-315.58</v>
      </c>
      <c r="M47" s="5">
        <v>-228.08</v>
      </c>
      <c r="N47" s="5" t="s">
        <v>322</v>
      </c>
      <c r="O47" s="5" t="s">
        <v>327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4.25" customHeight="1">
      <c r="A48" s="5" t="s">
        <v>173</v>
      </c>
      <c r="B48" s="5" t="str">
        <f t="shared" si="4"/>
        <v>8HA2GJ7EV0589</v>
      </c>
      <c r="C48" s="5" t="s">
        <v>328</v>
      </c>
      <c r="D48" s="5" t="s">
        <v>268</v>
      </c>
      <c r="E48" s="5" t="str">
        <f t="shared" si="2"/>
        <v>#N/A</v>
      </c>
      <c r="F48" s="5" t="s">
        <v>27</v>
      </c>
      <c r="G48" s="6">
        <v>46143.0</v>
      </c>
      <c r="H48" s="6">
        <v>46143.0</v>
      </c>
      <c r="I48" s="5" t="s">
        <v>310</v>
      </c>
      <c r="J48" s="5" t="s">
        <v>33</v>
      </c>
      <c r="K48" s="5" t="s">
        <v>34</v>
      </c>
      <c r="L48" s="5">
        <v>360.67</v>
      </c>
      <c r="M48" s="5">
        <v>260.67</v>
      </c>
      <c r="N48" s="5" t="s">
        <v>322</v>
      </c>
      <c r="O48" s="5" t="s">
        <v>325</v>
      </c>
      <c r="P48" s="5">
        <f>391/12*8</f>
        <v>260.6666667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4.25" customHeight="1">
      <c r="A49" s="5" t="s">
        <v>51</v>
      </c>
      <c r="B49" s="5" t="str">
        <f t="shared" si="4"/>
        <v>6HP6N86VK4889</v>
      </c>
      <c r="C49" s="5" t="s">
        <v>329</v>
      </c>
      <c r="D49" s="5" t="s">
        <v>330</v>
      </c>
      <c r="E49" s="5" t="str">
        <f t="shared" si="2"/>
        <v>#N/A</v>
      </c>
      <c r="F49" s="5" t="s">
        <v>27</v>
      </c>
      <c r="G49" s="6">
        <v>46113.0</v>
      </c>
      <c r="H49" s="6">
        <v>46113.0</v>
      </c>
      <c r="I49" s="5" t="s">
        <v>310</v>
      </c>
      <c r="J49" s="5" t="s">
        <v>33</v>
      </c>
      <c r="K49" s="5" t="s">
        <v>34</v>
      </c>
      <c r="L49" s="5">
        <v>405.75</v>
      </c>
      <c r="M49" s="5">
        <v>293.25</v>
      </c>
      <c r="N49" s="5" t="s">
        <v>322</v>
      </c>
      <c r="O49" s="5" t="s">
        <v>324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4.25" customHeight="1">
      <c r="A50" s="5" t="s">
        <v>137</v>
      </c>
      <c r="B50" s="5" t="str">
        <f t="shared" si="4"/>
        <v>6ND7NH6JT4589</v>
      </c>
      <c r="C50" s="5" t="s">
        <v>246</v>
      </c>
      <c r="D50" s="5" t="s">
        <v>247</v>
      </c>
      <c r="E50" s="5" t="str">
        <f t="shared" si="2"/>
        <v>#N/A</v>
      </c>
      <c r="F50" s="5" t="s">
        <v>78</v>
      </c>
      <c r="G50" s="6">
        <v>46113.0</v>
      </c>
      <c r="H50" s="6">
        <v>46113.0</v>
      </c>
      <c r="I50" s="5">
        <v>1.9491313E7</v>
      </c>
      <c r="J50" s="5" t="s">
        <v>141</v>
      </c>
      <c r="K50" s="5" t="s">
        <v>34</v>
      </c>
      <c r="L50" s="5">
        <v>-372.75</v>
      </c>
      <c r="M50" s="5">
        <v>-260.25</v>
      </c>
      <c r="N50" s="5" t="s">
        <v>331</v>
      </c>
      <c r="O50" s="5" t="s">
        <v>332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4.25" customHeight="1">
      <c r="A51" s="5" t="s">
        <v>106</v>
      </c>
      <c r="B51" s="5" t="str">
        <f t="shared" si="4"/>
        <v>5A87VN5UC7889</v>
      </c>
      <c r="C51" s="5" t="s">
        <v>250</v>
      </c>
      <c r="D51" s="5" t="s">
        <v>251</v>
      </c>
      <c r="E51" s="5" t="str">
        <f t="shared" si="2"/>
        <v>#N/A</v>
      </c>
      <c r="F51" s="5" t="s">
        <v>109</v>
      </c>
      <c r="G51" s="6">
        <v>46113.0</v>
      </c>
      <c r="H51" s="6">
        <v>46113.0</v>
      </c>
      <c r="I51" s="5">
        <v>7470776.0</v>
      </c>
      <c r="J51" s="5" t="s">
        <v>112</v>
      </c>
      <c r="K51" s="5" t="s">
        <v>34</v>
      </c>
      <c r="L51" s="5">
        <v>-372.75</v>
      </c>
      <c r="M51" s="5">
        <v>-260.25</v>
      </c>
      <c r="N51" s="5" t="s">
        <v>331</v>
      </c>
      <c r="O51" s="5" t="s">
        <v>332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4.25" customHeight="1">
      <c r="A52" s="5" t="s">
        <v>63</v>
      </c>
      <c r="B52" s="5" t="str">
        <f t="shared" si="4"/>
        <v>1N39C85JE2589</v>
      </c>
      <c r="C52" s="5" t="s">
        <v>333</v>
      </c>
      <c r="D52" s="5" t="s">
        <v>334</v>
      </c>
      <c r="E52" s="5" t="str">
        <f t="shared" si="2"/>
        <v>#N/A</v>
      </c>
      <c r="F52" s="5" t="s">
        <v>42</v>
      </c>
      <c r="G52" s="6">
        <v>46023.0</v>
      </c>
      <c r="H52" s="6">
        <v>46023.0</v>
      </c>
      <c r="I52" s="5">
        <v>8244481.0</v>
      </c>
      <c r="J52" s="5" t="s">
        <v>67</v>
      </c>
      <c r="K52" s="5" t="s">
        <v>34</v>
      </c>
      <c r="L52" s="5">
        <v>-482.0</v>
      </c>
      <c r="M52" s="5">
        <v>-347.0</v>
      </c>
      <c r="N52" s="5" t="s">
        <v>331</v>
      </c>
      <c r="O52" s="5" t="s">
        <v>335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4.25" customHeight="1">
      <c r="A53" s="5" t="s">
        <v>189</v>
      </c>
      <c r="B53" s="5" t="str">
        <f t="shared" si="4"/>
        <v>3NC4DC1VU8489</v>
      </c>
      <c r="C53" s="5" t="s">
        <v>252</v>
      </c>
      <c r="D53" s="5" t="s">
        <v>253</v>
      </c>
      <c r="E53" s="5" t="str">
        <f t="shared" si="2"/>
        <v>#N/A</v>
      </c>
      <c r="F53" s="5" t="s">
        <v>42</v>
      </c>
      <c r="G53" s="6">
        <v>46082.0</v>
      </c>
      <c r="H53" s="6">
        <v>46082.0</v>
      </c>
      <c r="I53" s="5">
        <v>8244481.0</v>
      </c>
      <c r="J53" s="5" t="s">
        <v>67</v>
      </c>
      <c r="K53" s="5" t="s">
        <v>34</v>
      </c>
      <c r="L53" s="5">
        <v>-414.17</v>
      </c>
      <c r="M53" s="5">
        <v>-289.17</v>
      </c>
      <c r="N53" s="5" t="s">
        <v>331</v>
      </c>
      <c r="O53" s="5" t="s">
        <v>336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4.25" customHeight="1">
      <c r="A54" s="5" t="s">
        <v>242</v>
      </c>
      <c r="B54" s="5" t="str">
        <f t="shared" si="4"/>
        <v>5U51TC0KN1489</v>
      </c>
      <c r="C54" s="5" t="s">
        <v>255</v>
      </c>
      <c r="D54" s="5" t="s">
        <v>256</v>
      </c>
      <c r="E54" s="5" t="str">
        <f t="shared" si="2"/>
        <v>#N/A</v>
      </c>
      <c r="F54" s="5" t="s">
        <v>42</v>
      </c>
      <c r="G54" s="6">
        <v>46113.0</v>
      </c>
      <c r="H54" s="6">
        <v>46113.0</v>
      </c>
      <c r="I54" s="5">
        <v>8244481.0</v>
      </c>
      <c r="J54" s="5" t="s">
        <v>67</v>
      </c>
      <c r="K54" s="5" t="s">
        <v>34</v>
      </c>
      <c r="L54" s="5">
        <v>-372.75</v>
      </c>
      <c r="M54" s="5">
        <v>-260.25</v>
      </c>
      <c r="N54" s="5" t="s">
        <v>331</v>
      </c>
      <c r="O54" s="5" t="s">
        <v>332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4.25" customHeight="1">
      <c r="A55" s="5" t="s">
        <v>63</v>
      </c>
      <c r="B55" s="5" t="str">
        <f t="shared" si="4"/>
        <v>1N39C85JE2589</v>
      </c>
      <c r="C55" s="5" t="s">
        <v>333</v>
      </c>
      <c r="D55" s="5" t="s">
        <v>334</v>
      </c>
      <c r="E55" s="5" t="str">
        <f t="shared" si="2"/>
        <v>#N/A</v>
      </c>
      <c r="F55" s="5" t="s">
        <v>42</v>
      </c>
      <c r="G55" s="6">
        <v>46023.0</v>
      </c>
      <c r="H55" s="6">
        <v>46023.0</v>
      </c>
      <c r="I55" s="5">
        <v>8244481.0</v>
      </c>
      <c r="J55" s="5" t="s">
        <v>67</v>
      </c>
      <c r="K55" s="5" t="s">
        <v>34</v>
      </c>
      <c r="L55" s="5">
        <v>160.67</v>
      </c>
      <c r="M55" s="5">
        <v>115.67</v>
      </c>
      <c r="N55" s="5" t="s">
        <v>331</v>
      </c>
      <c r="O55" s="5" t="s">
        <v>337</v>
      </c>
      <c r="P55" s="5">
        <f>347/12*4</f>
        <v>115.6666667</v>
      </c>
      <c r="Q55" s="5">
        <f>135/12*4</f>
        <v>45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4.25" customHeight="1">
      <c r="A56" s="5" t="s">
        <v>39</v>
      </c>
      <c r="B56" s="5" t="str">
        <f t="shared" si="4"/>
        <v>8GH7PJ6HE4789</v>
      </c>
      <c r="C56" s="5" t="s">
        <v>257</v>
      </c>
      <c r="D56" s="5" t="s">
        <v>258</v>
      </c>
      <c r="E56" s="5" t="str">
        <f t="shared" si="2"/>
        <v>#N/A</v>
      </c>
      <c r="F56" s="5" t="s">
        <v>42</v>
      </c>
      <c r="G56" s="6">
        <v>46143.0</v>
      </c>
      <c r="H56" s="6">
        <v>46143.0</v>
      </c>
      <c r="I56" s="5">
        <v>1.8828278E7</v>
      </c>
      <c r="J56" s="5" t="s">
        <v>45</v>
      </c>
      <c r="K56" s="5" t="s">
        <v>34</v>
      </c>
      <c r="L56" s="5">
        <v>-331.33</v>
      </c>
      <c r="M56" s="5">
        <v>-231.33</v>
      </c>
      <c r="N56" s="5" t="s">
        <v>331</v>
      </c>
      <c r="O56" s="5" t="s">
        <v>338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4.25" customHeight="1">
      <c r="A57" s="5" t="s">
        <v>86</v>
      </c>
      <c r="B57" s="5" t="str">
        <f t="shared" si="4"/>
        <v>2Y79GE6WR4889</v>
      </c>
      <c r="C57" s="5" t="s">
        <v>259</v>
      </c>
      <c r="D57" s="5" t="s">
        <v>260</v>
      </c>
      <c r="E57" s="5" t="str">
        <f t="shared" si="2"/>
        <v>#N/A</v>
      </c>
      <c r="F57" s="5" t="s">
        <v>42</v>
      </c>
      <c r="G57" s="6">
        <v>46082.0</v>
      </c>
      <c r="H57" s="6">
        <v>46082.0</v>
      </c>
      <c r="I57" s="5">
        <v>1.7301495E7</v>
      </c>
      <c r="J57" s="5" t="s">
        <v>91</v>
      </c>
      <c r="K57" s="5" t="s">
        <v>34</v>
      </c>
      <c r="L57" s="5">
        <v>-414.17</v>
      </c>
      <c r="M57" s="5">
        <v>-289.17</v>
      </c>
      <c r="N57" s="5" t="s">
        <v>331</v>
      </c>
      <c r="O57" s="5" t="s">
        <v>336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4.25" customHeight="1">
      <c r="A58" s="5" t="s">
        <v>203</v>
      </c>
      <c r="B58" s="5" t="str">
        <f t="shared" si="4"/>
        <v>4FW5GE4EH7289</v>
      </c>
      <c r="C58" s="5" t="s">
        <v>339</v>
      </c>
      <c r="D58" s="5" t="s">
        <v>340</v>
      </c>
      <c r="E58" s="5" t="str">
        <f t="shared" si="2"/>
        <v>#N/A</v>
      </c>
      <c r="F58" s="5" t="s">
        <v>109</v>
      </c>
      <c r="G58" s="6">
        <v>46113.0</v>
      </c>
      <c r="H58" s="6">
        <v>46113.0</v>
      </c>
      <c r="I58" s="5">
        <v>8814784.0</v>
      </c>
      <c r="J58" s="5" t="s">
        <v>207</v>
      </c>
      <c r="K58" s="5" t="s">
        <v>34</v>
      </c>
      <c r="L58" s="5">
        <v>372.75</v>
      </c>
      <c r="M58" s="5">
        <v>260.25</v>
      </c>
      <c r="N58" s="5" t="s">
        <v>331</v>
      </c>
      <c r="O58" s="5" t="s">
        <v>332</v>
      </c>
      <c r="P58" s="5">
        <f>347/12*9</f>
        <v>260.25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4.25" customHeight="1">
      <c r="A59" s="5" t="s">
        <v>98</v>
      </c>
      <c r="B59" s="5" t="str">
        <f t="shared" si="4"/>
        <v>3DM6WH5JH5489</v>
      </c>
      <c r="C59" s="5" t="s">
        <v>261</v>
      </c>
      <c r="D59" s="5" t="s">
        <v>262</v>
      </c>
      <c r="E59" s="5" t="str">
        <f t="shared" si="2"/>
        <v>#N/A</v>
      </c>
      <c r="F59" s="5" t="s">
        <v>42</v>
      </c>
      <c r="G59" s="6">
        <v>46113.0</v>
      </c>
      <c r="H59" s="6">
        <v>46113.0</v>
      </c>
      <c r="I59" s="5">
        <v>9213293.0</v>
      </c>
      <c r="J59" s="5" t="s">
        <v>102</v>
      </c>
      <c r="K59" s="5" t="s">
        <v>34</v>
      </c>
      <c r="L59" s="5">
        <v>-372.75</v>
      </c>
      <c r="M59" s="5">
        <v>-260.25</v>
      </c>
      <c r="N59" s="5" t="s">
        <v>331</v>
      </c>
      <c r="O59" s="5" t="s">
        <v>332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4.25" customHeight="1">
      <c r="A60" s="5" t="s">
        <v>235</v>
      </c>
      <c r="B60" s="5" t="str">
        <f t="shared" si="4"/>
        <v>3R32H92GU8789</v>
      </c>
      <c r="C60" s="5" t="s">
        <v>263</v>
      </c>
      <c r="D60" s="5" t="s">
        <v>264</v>
      </c>
      <c r="E60" s="5" t="str">
        <f t="shared" si="2"/>
        <v>#N/A</v>
      </c>
      <c r="F60" s="5" t="s">
        <v>42</v>
      </c>
      <c r="G60" s="6">
        <v>46174.0</v>
      </c>
      <c r="H60" s="6">
        <v>46174.0</v>
      </c>
      <c r="I60" s="5">
        <v>1.9645587E7</v>
      </c>
      <c r="J60" s="5" t="s">
        <v>238</v>
      </c>
      <c r="K60" s="5" t="s">
        <v>34</v>
      </c>
      <c r="L60" s="5">
        <v>-289.92</v>
      </c>
      <c r="M60" s="5">
        <v>-202.42</v>
      </c>
      <c r="N60" s="5" t="s">
        <v>331</v>
      </c>
      <c r="O60" s="5" t="s">
        <v>341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4.25" customHeight="1">
      <c r="A61" s="5" t="s">
        <v>229</v>
      </c>
      <c r="B61" s="5" t="str">
        <f t="shared" si="4"/>
        <v>7FG7W32AU5989</v>
      </c>
      <c r="C61" s="5" t="s">
        <v>265</v>
      </c>
      <c r="D61" s="5" t="s">
        <v>266</v>
      </c>
      <c r="E61" s="5" t="str">
        <f t="shared" si="2"/>
        <v>#N/A</v>
      </c>
      <c r="F61" s="5" t="s">
        <v>232</v>
      </c>
      <c r="G61" s="6">
        <v>46113.0</v>
      </c>
      <c r="H61" s="6">
        <v>46113.0</v>
      </c>
      <c r="I61" s="5">
        <v>1.9200754E7</v>
      </c>
      <c r="J61" s="5" t="s">
        <v>234</v>
      </c>
      <c r="K61" s="5" t="s">
        <v>34</v>
      </c>
      <c r="L61" s="5">
        <v>-372.75</v>
      </c>
      <c r="M61" s="5">
        <v>-260.25</v>
      </c>
      <c r="N61" s="5" t="s">
        <v>331</v>
      </c>
      <c r="O61" s="5" t="s">
        <v>332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4.25" customHeight="1">
      <c r="A62" s="5" t="s">
        <v>118</v>
      </c>
      <c r="B62" s="5" t="str">
        <f t="shared" si="4"/>
        <v>9HP6TA8PR5389</v>
      </c>
      <c r="C62" s="5" t="s">
        <v>267</v>
      </c>
      <c r="D62" s="5" t="s">
        <v>268</v>
      </c>
      <c r="E62" s="5" t="str">
        <f t="shared" si="2"/>
        <v>#N/A</v>
      </c>
      <c r="F62" s="5" t="s">
        <v>78</v>
      </c>
      <c r="G62" s="6">
        <v>46113.0</v>
      </c>
      <c r="H62" s="6">
        <v>46113.0</v>
      </c>
      <c r="I62" s="5">
        <v>1.6170994E7</v>
      </c>
      <c r="J62" s="5" t="s">
        <v>81</v>
      </c>
      <c r="K62" s="5" t="s">
        <v>34</v>
      </c>
      <c r="L62" s="5">
        <v>-372.75</v>
      </c>
      <c r="M62" s="5">
        <v>-260.25</v>
      </c>
      <c r="N62" s="5" t="s">
        <v>331</v>
      </c>
      <c r="O62" s="5" t="s">
        <v>332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4.25" customHeight="1">
      <c r="A63" s="5" t="s">
        <v>165</v>
      </c>
      <c r="B63" s="5" t="str">
        <f t="shared" si="4"/>
        <v>4AV7U25PM3489</v>
      </c>
      <c r="C63" s="5" t="s">
        <v>269</v>
      </c>
      <c r="D63" s="5" t="s">
        <v>270</v>
      </c>
      <c r="E63" s="5" t="str">
        <f t="shared" si="2"/>
        <v>#N/A</v>
      </c>
      <c r="F63" s="5" t="s">
        <v>78</v>
      </c>
      <c r="G63" s="6">
        <v>46113.0</v>
      </c>
      <c r="H63" s="6">
        <v>46113.0</v>
      </c>
      <c r="I63" s="5">
        <v>1.6170994E7</v>
      </c>
      <c r="J63" s="5" t="s">
        <v>81</v>
      </c>
      <c r="K63" s="5" t="s">
        <v>34</v>
      </c>
      <c r="L63" s="5">
        <v>-372.75</v>
      </c>
      <c r="M63" s="5">
        <v>-260.25</v>
      </c>
      <c r="N63" s="5" t="s">
        <v>331</v>
      </c>
      <c r="O63" s="5" t="s">
        <v>332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4.25" customHeight="1">
      <c r="A64" s="5" t="s">
        <v>185</v>
      </c>
      <c r="B64" s="5" t="str">
        <f t="shared" si="4"/>
        <v>1H57NH3KW4189</v>
      </c>
      <c r="C64" s="5" t="s">
        <v>271</v>
      </c>
      <c r="D64" s="5" t="s">
        <v>272</v>
      </c>
      <c r="E64" s="5" t="str">
        <f t="shared" si="2"/>
        <v>#N/A</v>
      </c>
      <c r="F64" s="5" t="s">
        <v>78</v>
      </c>
      <c r="G64" s="6">
        <v>46113.0</v>
      </c>
      <c r="H64" s="6">
        <v>46113.0</v>
      </c>
      <c r="I64" s="5">
        <v>1.6170994E7</v>
      </c>
      <c r="J64" s="5" t="s">
        <v>81</v>
      </c>
      <c r="K64" s="5" t="s">
        <v>34</v>
      </c>
      <c r="L64" s="5">
        <v>-372.75</v>
      </c>
      <c r="M64" s="5">
        <v>-260.25</v>
      </c>
      <c r="N64" s="5" t="s">
        <v>331</v>
      </c>
      <c r="O64" s="5" t="s">
        <v>332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4.25" customHeight="1">
      <c r="A65" s="5" t="s">
        <v>75</v>
      </c>
      <c r="B65" s="5" t="str">
        <f t="shared" si="4"/>
        <v>9KM4UA0WN8089</v>
      </c>
      <c r="C65" s="5" t="s">
        <v>342</v>
      </c>
      <c r="D65" s="5" t="s">
        <v>343</v>
      </c>
      <c r="E65" s="5" t="str">
        <f t="shared" si="2"/>
        <v>#N/A</v>
      </c>
      <c r="F65" s="5" t="s">
        <v>78</v>
      </c>
      <c r="G65" s="6">
        <v>46143.0</v>
      </c>
      <c r="H65" s="6">
        <v>46143.0</v>
      </c>
      <c r="I65" s="5">
        <v>1.6170994E7</v>
      </c>
      <c r="J65" s="5" t="s">
        <v>81</v>
      </c>
      <c r="K65" s="5" t="s">
        <v>34</v>
      </c>
      <c r="L65" s="5">
        <v>331.33</v>
      </c>
      <c r="M65" s="5">
        <v>231.33</v>
      </c>
      <c r="N65" s="5" t="s">
        <v>331</v>
      </c>
      <c r="O65" s="5" t="s">
        <v>338</v>
      </c>
      <c r="P65" s="5">
        <f>347/12*8</f>
        <v>231.3333333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4.25" customHeight="1">
      <c r="A66" s="5" t="s">
        <v>159</v>
      </c>
      <c r="B66" s="5" t="str">
        <f t="shared" si="4"/>
        <v>8FW1VC0WC0789</v>
      </c>
      <c r="C66" s="5" t="s">
        <v>344</v>
      </c>
      <c r="D66" s="5" t="s">
        <v>251</v>
      </c>
      <c r="E66" s="5" t="str">
        <f t="shared" si="2"/>
        <v>#N/A</v>
      </c>
      <c r="F66" s="5" t="s">
        <v>78</v>
      </c>
      <c r="G66" s="6">
        <v>46143.0</v>
      </c>
      <c r="H66" s="6">
        <v>46143.0</v>
      </c>
      <c r="I66" s="5">
        <v>1.6170994E7</v>
      </c>
      <c r="J66" s="5" t="s">
        <v>81</v>
      </c>
      <c r="K66" s="5" t="s">
        <v>34</v>
      </c>
      <c r="L66" s="5">
        <v>331.33</v>
      </c>
      <c r="M66" s="5">
        <v>231.33</v>
      </c>
      <c r="N66" s="5" t="s">
        <v>331</v>
      </c>
      <c r="O66" s="5" t="s">
        <v>338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4.25" customHeight="1">
      <c r="A67" s="5" t="s">
        <v>182</v>
      </c>
      <c r="B67" s="5" t="str">
        <f t="shared" si="4"/>
        <v>2YU8H05NT3089</v>
      </c>
      <c r="C67" s="5" t="s">
        <v>345</v>
      </c>
      <c r="D67" s="5" t="s">
        <v>346</v>
      </c>
      <c r="E67" s="5" t="str">
        <f t="shared" si="2"/>
        <v>#N/A</v>
      </c>
      <c r="F67" s="5" t="s">
        <v>78</v>
      </c>
      <c r="G67" s="6">
        <v>46143.0</v>
      </c>
      <c r="H67" s="6">
        <v>46143.0</v>
      </c>
      <c r="I67" s="5">
        <v>1.6170994E7</v>
      </c>
      <c r="J67" s="5" t="s">
        <v>81</v>
      </c>
      <c r="K67" s="5" t="s">
        <v>34</v>
      </c>
      <c r="L67" s="5">
        <v>331.33</v>
      </c>
      <c r="M67" s="5">
        <v>231.33</v>
      </c>
      <c r="N67" s="5" t="s">
        <v>331</v>
      </c>
      <c r="O67" s="5" t="s">
        <v>338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4.25" customHeight="1">
      <c r="A68" s="5" t="s">
        <v>196</v>
      </c>
      <c r="B68" s="5" t="str">
        <f t="shared" si="4"/>
        <v>3V68T51TW2289</v>
      </c>
      <c r="C68" s="5" t="s">
        <v>273</v>
      </c>
      <c r="D68" s="5" t="s">
        <v>274</v>
      </c>
      <c r="E68" s="5" t="str">
        <f t="shared" si="2"/>
        <v>#N/A</v>
      </c>
      <c r="F68" s="5" t="s">
        <v>78</v>
      </c>
      <c r="G68" s="6">
        <v>46113.0</v>
      </c>
      <c r="H68" s="6">
        <v>46113.0</v>
      </c>
      <c r="I68" s="5">
        <v>1.8142208E7</v>
      </c>
      <c r="J68" s="5" t="s">
        <v>199</v>
      </c>
      <c r="K68" s="5" t="s">
        <v>34</v>
      </c>
      <c r="L68" s="5">
        <v>-372.75</v>
      </c>
      <c r="M68" s="5">
        <v>-260.25</v>
      </c>
      <c r="N68" s="5" t="s">
        <v>331</v>
      </c>
      <c r="O68" s="5" t="s">
        <v>332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4.25" customHeight="1">
      <c r="A69" s="5" t="s">
        <v>200</v>
      </c>
      <c r="B69" s="5" t="str">
        <f t="shared" si="4"/>
        <v>4KU2PG6JM1289</v>
      </c>
      <c r="C69" s="5" t="s">
        <v>275</v>
      </c>
      <c r="D69" s="5" t="s">
        <v>276</v>
      </c>
      <c r="E69" s="5" t="str">
        <f t="shared" si="2"/>
        <v>#N/A</v>
      </c>
      <c r="F69" s="5" t="s">
        <v>78</v>
      </c>
      <c r="G69" s="6">
        <v>46113.0</v>
      </c>
      <c r="H69" s="6">
        <v>46113.0</v>
      </c>
      <c r="I69" s="5">
        <v>1.8142208E7</v>
      </c>
      <c r="J69" s="5" t="s">
        <v>199</v>
      </c>
      <c r="K69" s="5" t="s">
        <v>34</v>
      </c>
      <c r="L69" s="5">
        <v>-372.75</v>
      </c>
      <c r="M69" s="5">
        <v>-260.25</v>
      </c>
      <c r="N69" s="5" t="s">
        <v>331</v>
      </c>
      <c r="O69" s="5" t="s">
        <v>332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4.25" customHeight="1">
      <c r="A70" s="5" t="s">
        <v>239</v>
      </c>
      <c r="B70" s="5" t="str">
        <f t="shared" si="4"/>
        <v>6Y12J28VK2889</v>
      </c>
      <c r="C70" s="5" t="s">
        <v>278</v>
      </c>
      <c r="D70" s="5" t="s">
        <v>279</v>
      </c>
      <c r="E70" s="5" t="str">
        <f t="shared" si="2"/>
        <v>#N/A</v>
      </c>
      <c r="F70" s="5" t="s">
        <v>78</v>
      </c>
      <c r="G70" s="6">
        <v>46113.0</v>
      </c>
      <c r="H70" s="6">
        <v>46113.0</v>
      </c>
      <c r="I70" s="5">
        <v>1.8142208E7</v>
      </c>
      <c r="J70" s="5" t="s">
        <v>199</v>
      </c>
      <c r="K70" s="5" t="s">
        <v>34</v>
      </c>
      <c r="L70" s="5">
        <v>-372.75</v>
      </c>
      <c r="M70" s="5">
        <v>-260.25</v>
      </c>
      <c r="N70" s="5" t="s">
        <v>331</v>
      </c>
      <c r="O70" s="5" t="s">
        <v>332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4.25" customHeight="1">
      <c r="A71" s="5" t="s">
        <v>212</v>
      </c>
      <c r="B71" s="5" t="str">
        <f t="shared" si="4"/>
        <v>1A98UT2WR3189</v>
      </c>
      <c r="C71" s="5" t="s">
        <v>277</v>
      </c>
      <c r="D71" s="5" t="s">
        <v>251</v>
      </c>
      <c r="E71" s="5" t="str">
        <f t="shared" si="2"/>
        <v>#N/A</v>
      </c>
      <c r="F71" s="5" t="s">
        <v>78</v>
      </c>
      <c r="G71" s="6">
        <v>46143.0</v>
      </c>
      <c r="H71" s="6">
        <v>46143.0</v>
      </c>
      <c r="I71" s="5">
        <v>1.8142208E7</v>
      </c>
      <c r="J71" s="5" t="s">
        <v>199</v>
      </c>
      <c r="K71" s="5" t="s">
        <v>34</v>
      </c>
      <c r="L71" s="5">
        <v>-331.33</v>
      </c>
      <c r="M71" s="5">
        <v>-231.33</v>
      </c>
      <c r="N71" s="5" t="s">
        <v>331</v>
      </c>
      <c r="O71" s="5" t="s">
        <v>338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4.25" customHeight="1">
      <c r="A72" s="5" t="s">
        <v>113</v>
      </c>
      <c r="B72" s="5" t="str">
        <f t="shared" si="4"/>
        <v>1RH4QG1NE7089</v>
      </c>
      <c r="C72" s="5" t="s">
        <v>280</v>
      </c>
      <c r="D72" s="5" t="s">
        <v>281</v>
      </c>
      <c r="E72" s="5" t="str">
        <f t="shared" si="2"/>
        <v>#N/A</v>
      </c>
      <c r="F72" s="5" t="s">
        <v>42</v>
      </c>
      <c r="G72" s="6">
        <v>46113.0</v>
      </c>
      <c r="H72" s="6">
        <v>46113.0</v>
      </c>
      <c r="I72" s="5">
        <v>8812322.0</v>
      </c>
      <c r="J72" s="5" t="s">
        <v>117</v>
      </c>
      <c r="K72" s="5" t="s">
        <v>34</v>
      </c>
      <c r="L72" s="5">
        <v>-372.75</v>
      </c>
      <c r="M72" s="5">
        <v>-260.25</v>
      </c>
      <c r="N72" s="5" t="s">
        <v>331</v>
      </c>
      <c r="O72" s="5" t="s">
        <v>332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4.25" customHeight="1">
      <c r="A73" s="5" t="s">
        <v>220</v>
      </c>
      <c r="B73" s="5" t="str">
        <f t="shared" si="4"/>
        <v>6JX1JF9TP1889</v>
      </c>
      <c r="C73" s="5" t="s">
        <v>282</v>
      </c>
      <c r="D73" s="5" t="s">
        <v>279</v>
      </c>
      <c r="E73" s="5" t="str">
        <f t="shared" si="2"/>
        <v>#N/A</v>
      </c>
      <c r="F73" s="5" t="s">
        <v>72</v>
      </c>
      <c r="G73" s="6">
        <v>46113.0</v>
      </c>
      <c r="H73" s="6">
        <v>46113.0</v>
      </c>
      <c r="I73" s="5">
        <v>1.8201929E7</v>
      </c>
      <c r="J73" s="5" t="s">
        <v>224</v>
      </c>
      <c r="K73" s="5" t="s">
        <v>34</v>
      </c>
      <c r="L73" s="5">
        <v>-372.75</v>
      </c>
      <c r="M73" s="5">
        <v>-260.25</v>
      </c>
      <c r="N73" s="5" t="s">
        <v>331</v>
      </c>
      <c r="O73" s="5" t="s">
        <v>332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4.25" customHeight="1">
      <c r="A74" s="5" t="s">
        <v>56</v>
      </c>
      <c r="B74" s="5" t="str">
        <f t="shared" si="4"/>
        <v>5K67VU3MY3489</v>
      </c>
      <c r="C74" s="5" t="s">
        <v>284</v>
      </c>
      <c r="D74" s="5" t="s">
        <v>285</v>
      </c>
      <c r="E74" s="5" t="str">
        <f t="shared" si="2"/>
        <v>#N/A</v>
      </c>
      <c r="F74" s="5" t="s">
        <v>59</v>
      </c>
      <c r="G74" s="6">
        <v>46113.0</v>
      </c>
      <c r="H74" s="6">
        <v>46113.0</v>
      </c>
      <c r="I74" s="5">
        <v>8307933.0</v>
      </c>
      <c r="J74" s="5" t="s">
        <v>62</v>
      </c>
      <c r="K74" s="5" t="s">
        <v>34</v>
      </c>
      <c r="L74" s="5">
        <v>-372.75</v>
      </c>
      <c r="M74" s="5">
        <v>-260.25</v>
      </c>
      <c r="N74" s="5" t="s">
        <v>331</v>
      </c>
      <c r="O74" s="5" t="s">
        <v>332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4.25" customHeight="1">
      <c r="A75" s="5" t="s">
        <v>69</v>
      </c>
      <c r="B75" s="5" t="str">
        <f t="shared" si="4"/>
        <v>6U08KP1HM5089</v>
      </c>
      <c r="C75" s="5" t="s">
        <v>286</v>
      </c>
      <c r="D75" s="5" t="s">
        <v>287</v>
      </c>
      <c r="E75" s="5" t="str">
        <f t="shared" si="2"/>
        <v>#N/A</v>
      </c>
      <c r="F75" s="5" t="s">
        <v>72</v>
      </c>
      <c r="G75" s="6">
        <v>46113.0</v>
      </c>
      <c r="H75" s="6">
        <v>46113.0</v>
      </c>
      <c r="I75" s="5">
        <v>8307933.0</v>
      </c>
      <c r="J75" s="5" t="s">
        <v>62</v>
      </c>
      <c r="K75" s="5" t="s">
        <v>34</v>
      </c>
      <c r="L75" s="5">
        <v>-372.75</v>
      </c>
      <c r="M75" s="5">
        <v>-260.25</v>
      </c>
      <c r="N75" s="5" t="s">
        <v>331</v>
      </c>
      <c r="O75" s="5" t="s">
        <v>332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4.25" customHeight="1">
      <c r="A76" s="5" t="s">
        <v>126</v>
      </c>
      <c r="B76" s="5" t="str">
        <f t="shared" si="4"/>
        <v>3QP4DC9AP8189</v>
      </c>
      <c r="C76" s="5" t="s">
        <v>288</v>
      </c>
      <c r="D76" s="5" t="s">
        <v>289</v>
      </c>
      <c r="E76" s="5" t="str">
        <f t="shared" si="2"/>
        <v>#N/A</v>
      </c>
      <c r="F76" s="5" t="s">
        <v>42</v>
      </c>
      <c r="G76" s="6">
        <v>46113.0</v>
      </c>
      <c r="H76" s="6">
        <v>46113.0</v>
      </c>
      <c r="I76" s="5">
        <v>8307933.0</v>
      </c>
      <c r="J76" s="5" t="s">
        <v>62</v>
      </c>
      <c r="K76" s="5" t="s">
        <v>34</v>
      </c>
      <c r="L76" s="5">
        <v>-372.75</v>
      </c>
      <c r="M76" s="5">
        <v>-260.25</v>
      </c>
      <c r="N76" s="5" t="s">
        <v>331</v>
      </c>
      <c r="O76" s="5" t="s">
        <v>332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4.25" customHeight="1">
      <c r="A77" s="5" t="s">
        <v>145</v>
      </c>
      <c r="B77" s="5" t="str">
        <f t="shared" si="4"/>
        <v>3AX5P77DK5589</v>
      </c>
      <c r="C77" s="5" t="s">
        <v>290</v>
      </c>
      <c r="D77" s="5" t="s">
        <v>291</v>
      </c>
      <c r="E77" s="5" t="str">
        <f t="shared" si="2"/>
        <v>#N/A</v>
      </c>
      <c r="F77" s="5" t="s">
        <v>42</v>
      </c>
      <c r="G77" s="6">
        <v>46113.0</v>
      </c>
      <c r="H77" s="6">
        <v>46113.0</v>
      </c>
      <c r="I77" s="5">
        <v>8307933.0</v>
      </c>
      <c r="J77" s="5" t="s">
        <v>62</v>
      </c>
      <c r="K77" s="5" t="s">
        <v>34</v>
      </c>
      <c r="L77" s="5">
        <v>-372.75</v>
      </c>
      <c r="M77" s="5">
        <v>-260.25</v>
      </c>
      <c r="N77" s="5" t="s">
        <v>331</v>
      </c>
      <c r="O77" s="5" t="s">
        <v>332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4.25" customHeight="1">
      <c r="A78" s="5" t="s">
        <v>176</v>
      </c>
      <c r="B78" s="5" t="str">
        <f t="shared" si="4"/>
        <v>3CW2AT8NX0489</v>
      </c>
      <c r="C78" s="5" t="s">
        <v>292</v>
      </c>
      <c r="D78" s="5" t="s">
        <v>293</v>
      </c>
      <c r="E78" s="5" t="str">
        <f t="shared" si="2"/>
        <v>#N/A</v>
      </c>
      <c r="F78" s="5" t="s">
        <v>179</v>
      </c>
      <c r="G78" s="6">
        <v>46113.0</v>
      </c>
      <c r="H78" s="6">
        <v>46113.0</v>
      </c>
      <c r="I78" s="5">
        <v>8307933.0</v>
      </c>
      <c r="J78" s="5" t="s">
        <v>62</v>
      </c>
      <c r="K78" s="5" t="s">
        <v>34</v>
      </c>
      <c r="L78" s="5">
        <v>-372.75</v>
      </c>
      <c r="M78" s="5">
        <v>-260.25</v>
      </c>
      <c r="N78" s="5" t="s">
        <v>331</v>
      </c>
      <c r="O78" s="5" t="s">
        <v>332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4.25" customHeight="1">
      <c r="A79" s="5" t="s">
        <v>92</v>
      </c>
      <c r="B79" s="5" t="str">
        <f t="shared" si="4"/>
        <v>4JQ0U76XX2089</v>
      </c>
      <c r="C79" s="5" t="s">
        <v>347</v>
      </c>
      <c r="D79" s="5" t="s">
        <v>348</v>
      </c>
      <c r="E79" s="5" t="str">
        <f t="shared" si="2"/>
        <v>#N/A</v>
      </c>
      <c r="F79" s="5" t="s">
        <v>95</v>
      </c>
      <c r="G79" s="6">
        <v>46143.0</v>
      </c>
      <c r="H79" s="6">
        <v>46143.0</v>
      </c>
      <c r="I79" s="5">
        <v>8307933.0</v>
      </c>
      <c r="J79" s="5" t="s">
        <v>62</v>
      </c>
      <c r="K79" s="5" t="s">
        <v>34</v>
      </c>
      <c r="L79" s="5">
        <v>331.33</v>
      </c>
      <c r="M79" s="5">
        <v>231.33</v>
      </c>
      <c r="N79" s="5" t="s">
        <v>331</v>
      </c>
      <c r="O79" s="5" t="s">
        <v>338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4.25" customHeight="1">
      <c r="A80" s="5" t="s">
        <v>215</v>
      </c>
      <c r="B80" s="5" t="str">
        <f t="shared" si="4"/>
        <v>1Y54KT1AK8289</v>
      </c>
      <c r="C80" s="5" t="s">
        <v>349</v>
      </c>
      <c r="D80" s="5" t="s">
        <v>350</v>
      </c>
      <c r="E80" s="5" t="str">
        <f t="shared" si="2"/>
        <v>#N/A</v>
      </c>
      <c r="F80" s="5" t="s">
        <v>42</v>
      </c>
      <c r="G80" s="6">
        <v>46143.0</v>
      </c>
      <c r="H80" s="6">
        <v>46143.0</v>
      </c>
      <c r="I80" s="5">
        <v>8405446.0</v>
      </c>
      <c r="J80" s="5" t="s">
        <v>219</v>
      </c>
      <c r="K80" s="5" t="s">
        <v>34</v>
      </c>
      <c r="L80" s="5">
        <v>331.33</v>
      </c>
      <c r="M80" s="5">
        <v>231.33</v>
      </c>
      <c r="N80" s="5" t="s">
        <v>331</v>
      </c>
      <c r="O80" s="5" t="s">
        <v>338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4.25" customHeight="1">
      <c r="A81" s="7" t="s">
        <v>63</v>
      </c>
      <c r="B81" s="7" t="str">
        <f t="shared" ref="B81:B163" si="5">CONCAT(A81,"OVR")</f>
        <v>1N39C85JE25OVR</v>
      </c>
      <c r="C81" s="7" t="s">
        <v>333</v>
      </c>
      <c r="D81" s="7" t="s">
        <v>334</v>
      </c>
      <c r="E81" s="7" t="str">
        <f t="shared" si="2"/>
        <v>#N/A</v>
      </c>
      <c r="F81" s="7" t="s">
        <v>42</v>
      </c>
      <c r="G81" s="8">
        <v>46023.0</v>
      </c>
      <c r="H81" s="8">
        <v>46023.0</v>
      </c>
      <c r="I81" s="7">
        <v>2.0411454E7</v>
      </c>
      <c r="J81" s="7" t="s">
        <v>351</v>
      </c>
      <c r="K81" s="7" t="s">
        <v>34</v>
      </c>
      <c r="L81" s="7">
        <v>-482.0</v>
      </c>
      <c r="M81" s="7">
        <v>-135.0</v>
      </c>
      <c r="N81" s="7" t="s">
        <v>352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4.25" customHeight="1">
      <c r="A82" s="7" t="s">
        <v>130</v>
      </c>
      <c r="B82" s="7" t="str">
        <f t="shared" si="5"/>
        <v>4Q52K22QY93OVR</v>
      </c>
      <c r="C82" s="7" t="s">
        <v>294</v>
      </c>
      <c r="D82" s="7" t="s">
        <v>295</v>
      </c>
      <c r="E82" s="7" t="str">
        <f t="shared" si="2"/>
        <v>#N/A</v>
      </c>
      <c r="F82" s="7" t="s">
        <v>133</v>
      </c>
      <c r="G82" s="8">
        <v>46113.0</v>
      </c>
      <c r="H82" s="8">
        <v>46113.0</v>
      </c>
      <c r="I82" s="7">
        <v>2.0411454E7</v>
      </c>
      <c r="J82" s="7" t="s">
        <v>351</v>
      </c>
      <c r="K82" s="7" t="s">
        <v>34</v>
      </c>
      <c r="L82" s="7">
        <v>-455.25</v>
      </c>
      <c r="M82" s="7">
        <v>-131.25</v>
      </c>
      <c r="N82" s="7" t="s">
        <v>352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4.25" customHeight="1">
      <c r="A83" s="7" t="s">
        <v>103</v>
      </c>
      <c r="B83" s="7" t="str">
        <f t="shared" si="5"/>
        <v>9JX0CX3JT01OVR</v>
      </c>
      <c r="C83" s="7" t="s">
        <v>313</v>
      </c>
      <c r="D83" s="7" t="s">
        <v>314</v>
      </c>
      <c r="E83" s="7" t="str">
        <f t="shared" si="2"/>
        <v>#N/A</v>
      </c>
      <c r="F83" s="7" t="s">
        <v>27</v>
      </c>
      <c r="G83" s="8">
        <v>46082.0</v>
      </c>
      <c r="H83" s="8">
        <v>46082.0</v>
      </c>
      <c r="I83" s="7">
        <v>2.0411454E7</v>
      </c>
      <c r="J83" s="7" t="s">
        <v>351</v>
      </c>
      <c r="K83" s="7" t="s">
        <v>34</v>
      </c>
      <c r="L83" s="7">
        <v>-450.83</v>
      </c>
      <c r="M83" s="7">
        <v>-125.0</v>
      </c>
      <c r="N83" s="7" t="s">
        <v>352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4.25" customHeight="1">
      <c r="A84" s="7" t="s">
        <v>142</v>
      </c>
      <c r="B84" s="7" t="str">
        <f t="shared" si="5"/>
        <v>4UY7J83RP49OVR</v>
      </c>
      <c r="C84" s="7" t="s">
        <v>315</v>
      </c>
      <c r="D84" s="7" t="s">
        <v>316</v>
      </c>
      <c r="E84" s="7" t="str">
        <f t="shared" si="2"/>
        <v>#N/A</v>
      </c>
      <c r="F84" s="7" t="s">
        <v>27</v>
      </c>
      <c r="G84" s="8">
        <v>46082.0</v>
      </c>
      <c r="H84" s="8">
        <v>46082.0</v>
      </c>
      <c r="I84" s="7">
        <v>2.0411454E7</v>
      </c>
      <c r="J84" s="7" t="s">
        <v>351</v>
      </c>
      <c r="K84" s="7" t="s">
        <v>34</v>
      </c>
      <c r="L84" s="7">
        <v>-450.83</v>
      </c>
      <c r="M84" s="7">
        <v>-125.0</v>
      </c>
      <c r="N84" s="7" t="s">
        <v>352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4.25" customHeight="1">
      <c r="A85" s="7" t="s">
        <v>193</v>
      </c>
      <c r="B85" s="7" t="str">
        <f t="shared" si="5"/>
        <v>1E81PD5NN97OVR</v>
      </c>
      <c r="C85" s="7" t="s">
        <v>320</v>
      </c>
      <c r="D85" s="7" t="s">
        <v>321</v>
      </c>
      <c r="E85" s="7" t="str">
        <f t="shared" si="2"/>
        <v>#N/A</v>
      </c>
      <c r="F85" s="7" t="s">
        <v>27</v>
      </c>
      <c r="G85" s="8">
        <v>46082.0</v>
      </c>
      <c r="H85" s="8">
        <v>46082.0</v>
      </c>
      <c r="I85" s="7">
        <v>2.0411454E7</v>
      </c>
      <c r="J85" s="7" t="s">
        <v>351</v>
      </c>
      <c r="K85" s="7" t="s">
        <v>34</v>
      </c>
      <c r="L85" s="7">
        <v>-450.83</v>
      </c>
      <c r="M85" s="7">
        <v>-125.0</v>
      </c>
      <c r="N85" s="7" t="s">
        <v>352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4.25" customHeight="1">
      <c r="A86" s="7" t="s">
        <v>208</v>
      </c>
      <c r="B86" s="7" t="str">
        <f t="shared" si="5"/>
        <v>2CX0GD3DY26OVR</v>
      </c>
      <c r="C86" s="7" t="s">
        <v>300</v>
      </c>
      <c r="D86" s="7" t="s">
        <v>301</v>
      </c>
      <c r="E86" s="7" t="str">
        <f t="shared" si="2"/>
        <v>#N/A</v>
      </c>
      <c r="F86" s="7" t="s">
        <v>27</v>
      </c>
      <c r="G86" s="8">
        <v>46082.0</v>
      </c>
      <c r="H86" s="8">
        <v>46082.0</v>
      </c>
      <c r="I86" s="7">
        <v>2.0411454E7</v>
      </c>
      <c r="J86" s="7" t="s">
        <v>351</v>
      </c>
      <c r="K86" s="7" t="s">
        <v>34</v>
      </c>
      <c r="L86" s="7">
        <v>-450.83</v>
      </c>
      <c r="M86" s="7">
        <v>-125.0</v>
      </c>
      <c r="N86" s="7" t="s">
        <v>352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4.25" customHeight="1">
      <c r="A87" s="7" t="s">
        <v>86</v>
      </c>
      <c r="B87" s="7" t="str">
        <f t="shared" si="5"/>
        <v>2Y79GE6WR48OVR</v>
      </c>
      <c r="C87" s="7" t="s">
        <v>259</v>
      </c>
      <c r="D87" s="7" t="s">
        <v>260</v>
      </c>
      <c r="E87" s="7" t="str">
        <f t="shared" si="2"/>
        <v>#N/A</v>
      </c>
      <c r="F87" s="7" t="s">
        <v>42</v>
      </c>
      <c r="G87" s="8">
        <v>46082.0</v>
      </c>
      <c r="H87" s="8">
        <v>46082.0</v>
      </c>
      <c r="I87" s="7">
        <v>2.0411454E7</v>
      </c>
      <c r="J87" s="7" t="s">
        <v>351</v>
      </c>
      <c r="K87" s="7" t="s">
        <v>34</v>
      </c>
      <c r="L87" s="7">
        <v>-414.17</v>
      </c>
      <c r="M87" s="7">
        <v>-125.0</v>
      </c>
      <c r="N87" s="7" t="s">
        <v>352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4.25" customHeight="1">
      <c r="A88" s="7" t="s">
        <v>189</v>
      </c>
      <c r="B88" s="7" t="str">
        <f t="shared" si="5"/>
        <v>3NC4DC1VU84OVR</v>
      </c>
      <c r="C88" s="7" t="s">
        <v>252</v>
      </c>
      <c r="D88" s="7" t="s">
        <v>253</v>
      </c>
      <c r="E88" s="7" t="str">
        <f t="shared" si="2"/>
        <v>#N/A</v>
      </c>
      <c r="F88" s="7" t="s">
        <v>42</v>
      </c>
      <c r="G88" s="8">
        <v>46082.0</v>
      </c>
      <c r="H88" s="8">
        <v>46082.0</v>
      </c>
      <c r="I88" s="7">
        <v>2.0411454E7</v>
      </c>
      <c r="J88" s="7" t="s">
        <v>351</v>
      </c>
      <c r="K88" s="7" t="s">
        <v>34</v>
      </c>
      <c r="L88" s="7">
        <v>-414.17</v>
      </c>
      <c r="M88" s="7">
        <v>-125.0</v>
      </c>
      <c r="N88" s="7" t="s">
        <v>352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4.25" customHeight="1">
      <c r="A89" s="7" t="s">
        <v>24</v>
      </c>
      <c r="B89" s="7" t="str">
        <f t="shared" si="5"/>
        <v>4EM0UJ8VG33OVR</v>
      </c>
      <c r="C89" s="7" t="s">
        <v>308</v>
      </c>
      <c r="D89" s="7" t="s">
        <v>309</v>
      </c>
      <c r="E89" s="7" t="str">
        <f t="shared" si="2"/>
        <v>#N/A</v>
      </c>
      <c r="F89" s="7" t="s">
        <v>27</v>
      </c>
      <c r="G89" s="8">
        <v>46113.0</v>
      </c>
      <c r="H89" s="8">
        <v>46113.0</v>
      </c>
      <c r="I89" s="7">
        <v>2.0411454E7</v>
      </c>
      <c r="J89" s="7" t="s">
        <v>351</v>
      </c>
      <c r="K89" s="7" t="s">
        <v>34</v>
      </c>
      <c r="L89" s="7">
        <v>-405.75</v>
      </c>
      <c r="M89" s="7">
        <v>-112.5</v>
      </c>
      <c r="N89" s="7" t="s">
        <v>352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4.25" customHeight="1">
      <c r="A90" s="7" t="s">
        <v>149</v>
      </c>
      <c r="B90" s="7" t="str">
        <f t="shared" si="5"/>
        <v>8HW5VR6UD98OVR</v>
      </c>
      <c r="C90" s="7" t="s">
        <v>317</v>
      </c>
      <c r="D90" s="7" t="s">
        <v>318</v>
      </c>
      <c r="E90" s="7" t="str">
        <f t="shared" si="2"/>
        <v>#N/A</v>
      </c>
      <c r="F90" s="7" t="s">
        <v>27</v>
      </c>
      <c r="G90" s="8">
        <v>46113.0</v>
      </c>
      <c r="H90" s="8">
        <v>46113.0</v>
      </c>
      <c r="I90" s="7">
        <v>2.0411454E7</v>
      </c>
      <c r="J90" s="7" t="s">
        <v>351</v>
      </c>
      <c r="K90" s="7" t="s">
        <v>34</v>
      </c>
      <c r="L90" s="7">
        <v>-405.75</v>
      </c>
      <c r="M90" s="7">
        <v>-112.5</v>
      </c>
      <c r="N90" s="7" t="s">
        <v>352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4.25" customHeight="1">
      <c r="A91" s="7" t="s">
        <v>152</v>
      </c>
      <c r="B91" s="7" t="str">
        <f t="shared" si="5"/>
        <v>6UD9A75JD53OVR</v>
      </c>
      <c r="C91" s="7" t="s">
        <v>306</v>
      </c>
      <c r="D91" s="7" t="s">
        <v>307</v>
      </c>
      <c r="E91" s="7" t="str">
        <f t="shared" si="2"/>
        <v>#N/A</v>
      </c>
      <c r="F91" s="7" t="s">
        <v>27</v>
      </c>
      <c r="G91" s="8">
        <v>46113.0</v>
      </c>
      <c r="H91" s="8">
        <v>46113.0</v>
      </c>
      <c r="I91" s="7">
        <v>2.0411454E7</v>
      </c>
      <c r="J91" s="7" t="s">
        <v>351</v>
      </c>
      <c r="K91" s="7" t="s">
        <v>34</v>
      </c>
      <c r="L91" s="7">
        <v>-405.75</v>
      </c>
      <c r="M91" s="7">
        <v>-112.5</v>
      </c>
      <c r="N91" s="7" t="s">
        <v>352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4.25" customHeight="1">
      <c r="A92" s="7" t="s">
        <v>162</v>
      </c>
      <c r="B92" s="7" t="str">
        <f t="shared" si="5"/>
        <v>9VH1N08JN95OVR</v>
      </c>
      <c r="C92" s="7" t="s">
        <v>319</v>
      </c>
      <c r="D92" s="7" t="s">
        <v>274</v>
      </c>
      <c r="E92" s="7" t="str">
        <f t="shared" si="2"/>
        <v>#N/A</v>
      </c>
      <c r="F92" s="7" t="s">
        <v>27</v>
      </c>
      <c r="G92" s="8">
        <v>46113.0</v>
      </c>
      <c r="H92" s="8">
        <v>46113.0</v>
      </c>
      <c r="I92" s="7">
        <v>2.0411454E7</v>
      </c>
      <c r="J92" s="7" t="s">
        <v>351</v>
      </c>
      <c r="K92" s="7" t="s">
        <v>34</v>
      </c>
      <c r="L92" s="7">
        <v>-405.75</v>
      </c>
      <c r="M92" s="7">
        <v>-112.5</v>
      </c>
      <c r="N92" s="7" t="s">
        <v>352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4.25" customHeight="1">
      <c r="A93" s="7" t="s">
        <v>56</v>
      </c>
      <c r="B93" s="7" t="str">
        <f t="shared" si="5"/>
        <v>5K67VU3MY34OVR</v>
      </c>
      <c r="C93" s="7" t="s">
        <v>284</v>
      </c>
      <c r="D93" s="7" t="s">
        <v>285</v>
      </c>
      <c r="E93" s="7" t="str">
        <f t="shared" si="2"/>
        <v>#N/A</v>
      </c>
      <c r="F93" s="7" t="s">
        <v>59</v>
      </c>
      <c r="G93" s="8">
        <v>46113.0</v>
      </c>
      <c r="H93" s="8">
        <v>46113.0</v>
      </c>
      <c r="I93" s="7">
        <v>2.0411454E7</v>
      </c>
      <c r="J93" s="7" t="s">
        <v>351</v>
      </c>
      <c r="K93" s="7" t="s">
        <v>34</v>
      </c>
      <c r="L93" s="7">
        <v>-372.75</v>
      </c>
      <c r="M93" s="7">
        <v>-112.5</v>
      </c>
      <c r="N93" s="7" t="s">
        <v>352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4.25" customHeight="1">
      <c r="A94" s="7" t="s">
        <v>69</v>
      </c>
      <c r="B94" s="7" t="str">
        <f t="shared" si="5"/>
        <v>6U08KP1HM50OVR</v>
      </c>
      <c r="C94" s="7" t="s">
        <v>286</v>
      </c>
      <c r="D94" s="7" t="s">
        <v>287</v>
      </c>
      <c r="E94" s="7" t="str">
        <f t="shared" si="2"/>
        <v>#N/A</v>
      </c>
      <c r="F94" s="7" t="s">
        <v>72</v>
      </c>
      <c r="G94" s="8">
        <v>46113.0</v>
      </c>
      <c r="H94" s="8">
        <v>46113.0</v>
      </c>
      <c r="I94" s="7">
        <v>2.0411454E7</v>
      </c>
      <c r="J94" s="7" t="s">
        <v>351</v>
      </c>
      <c r="K94" s="7" t="s">
        <v>34</v>
      </c>
      <c r="L94" s="7">
        <v>-372.75</v>
      </c>
      <c r="M94" s="7">
        <v>-112.5</v>
      </c>
      <c r="N94" s="7" t="s">
        <v>352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4.25" customHeight="1">
      <c r="A95" s="7" t="s">
        <v>98</v>
      </c>
      <c r="B95" s="7" t="str">
        <f t="shared" si="5"/>
        <v>3DM6WH5JH54OVR</v>
      </c>
      <c r="C95" s="7" t="s">
        <v>261</v>
      </c>
      <c r="D95" s="7" t="s">
        <v>262</v>
      </c>
      <c r="E95" s="7" t="str">
        <f t="shared" si="2"/>
        <v>#N/A</v>
      </c>
      <c r="F95" s="7" t="s">
        <v>42</v>
      </c>
      <c r="G95" s="8">
        <v>46113.0</v>
      </c>
      <c r="H95" s="8">
        <v>46113.0</v>
      </c>
      <c r="I95" s="7">
        <v>2.0411454E7</v>
      </c>
      <c r="J95" s="7" t="s">
        <v>351</v>
      </c>
      <c r="K95" s="7" t="s">
        <v>34</v>
      </c>
      <c r="L95" s="7">
        <v>-372.75</v>
      </c>
      <c r="M95" s="7">
        <v>-112.5</v>
      </c>
      <c r="N95" s="7" t="s">
        <v>352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4.25" customHeight="1">
      <c r="A96" s="7" t="s">
        <v>106</v>
      </c>
      <c r="B96" s="7" t="str">
        <f t="shared" si="5"/>
        <v>5A87VN5UC78OVR</v>
      </c>
      <c r="C96" s="7" t="s">
        <v>250</v>
      </c>
      <c r="D96" s="7" t="s">
        <v>251</v>
      </c>
      <c r="E96" s="7" t="str">
        <f t="shared" si="2"/>
        <v>#N/A</v>
      </c>
      <c r="F96" s="7" t="s">
        <v>109</v>
      </c>
      <c r="G96" s="8">
        <v>46113.0</v>
      </c>
      <c r="H96" s="8">
        <v>46113.0</v>
      </c>
      <c r="I96" s="7">
        <v>2.0411454E7</v>
      </c>
      <c r="J96" s="7" t="s">
        <v>351</v>
      </c>
      <c r="K96" s="7" t="s">
        <v>34</v>
      </c>
      <c r="L96" s="7">
        <v>-372.75</v>
      </c>
      <c r="M96" s="7">
        <v>-112.5</v>
      </c>
      <c r="N96" s="7" t="s">
        <v>352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4.25" customHeight="1">
      <c r="A97" s="7" t="s">
        <v>113</v>
      </c>
      <c r="B97" s="7" t="str">
        <f t="shared" si="5"/>
        <v>1RH4QG1NE70OVR</v>
      </c>
      <c r="C97" s="7" t="s">
        <v>280</v>
      </c>
      <c r="D97" s="7" t="s">
        <v>281</v>
      </c>
      <c r="E97" s="7" t="str">
        <f t="shared" si="2"/>
        <v>#N/A</v>
      </c>
      <c r="F97" s="7" t="s">
        <v>42</v>
      </c>
      <c r="G97" s="8">
        <v>46113.0</v>
      </c>
      <c r="H97" s="8">
        <v>46113.0</v>
      </c>
      <c r="I97" s="7">
        <v>2.0411454E7</v>
      </c>
      <c r="J97" s="7" t="s">
        <v>351</v>
      </c>
      <c r="K97" s="7" t="s">
        <v>34</v>
      </c>
      <c r="L97" s="7">
        <v>-372.75</v>
      </c>
      <c r="M97" s="7">
        <v>-112.5</v>
      </c>
      <c r="N97" s="7" t="s">
        <v>352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4.25" customHeight="1">
      <c r="A98" s="7" t="s">
        <v>118</v>
      </c>
      <c r="B98" s="7" t="str">
        <f t="shared" si="5"/>
        <v>9HP6TA8PR53OVR</v>
      </c>
      <c r="C98" s="7" t="s">
        <v>267</v>
      </c>
      <c r="D98" s="7" t="s">
        <v>268</v>
      </c>
      <c r="E98" s="7" t="str">
        <f t="shared" si="2"/>
        <v>#N/A</v>
      </c>
      <c r="F98" s="7" t="s">
        <v>78</v>
      </c>
      <c r="G98" s="8">
        <v>46113.0</v>
      </c>
      <c r="H98" s="8">
        <v>46113.0</v>
      </c>
      <c r="I98" s="7">
        <v>2.0411454E7</v>
      </c>
      <c r="J98" s="7" t="s">
        <v>351</v>
      </c>
      <c r="K98" s="7" t="s">
        <v>34</v>
      </c>
      <c r="L98" s="7">
        <v>-372.75</v>
      </c>
      <c r="M98" s="7">
        <v>-112.5</v>
      </c>
      <c r="N98" s="7" t="s">
        <v>352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4.25" customHeight="1">
      <c r="A99" s="7" t="s">
        <v>126</v>
      </c>
      <c r="B99" s="7" t="str">
        <f t="shared" si="5"/>
        <v>3QP4DC9AP81OVR</v>
      </c>
      <c r="C99" s="7" t="s">
        <v>288</v>
      </c>
      <c r="D99" s="7" t="s">
        <v>289</v>
      </c>
      <c r="E99" s="7" t="str">
        <f t="shared" si="2"/>
        <v>#N/A</v>
      </c>
      <c r="F99" s="7" t="s">
        <v>42</v>
      </c>
      <c r="G99" s="8">
        <v>46113.0</v>
      </c>
      <c r="H99" s="8">
        <v>46113.0</v>
      </c>
      <c r="I99" s="7">
        <v>2.0411454E7</v>
      </c>
      <c r="J99" s="7" t="s">
        <v>351</v>
      </c>
      <c r="K99" s="7" t="s">
        <v>34</v>
      </c>
      <c r="L99" s="7">
        <v>-372.75</v>
      </c>
      <c r="M99" s="7">
        <v>-112.5</v>
      </c>
      <c r="N99" s="7" t="s">
        <v>352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4.25" customHeight="1">
      <c r="A100" s="7" t="s">
        <v>137</v>
      </c>
      <c r="B100" s="7" t="str">
        <f t="shared" si="5"/>
        <v>6ND7NH6JT45OVR</v>
      </c>
      <c r="C100" s="7" t="s">
        <v>246</v>
      </c>
      <c r="D100" s="7" t="s">
        <v>247</v>
      </c>
      <c r="E100" s="7" t="str">
        <f t="shared" si="2"/>
        <v>#N/A</v>
      </c>
      <c r="F100" s="7" t="s">
        <v>78</v>
      </c>
      <c r="G100" s="8">
        <v>46113.0</v>
      </c>
      <c r="H100" s="8">
        <v>46113.0</v>
      </c>
      <c r="I100" s="7">
        <v>2.0411454E7</v>
      </c>
      <c r="J100" s="7" t="s">
        <v>351</v>
      </c>
      <c r="K100" s="7" t="s">
        <v>34</v>
      </c>
      <c r="L100" s="7">
        <v>-372.75</v>
      </c>
      <c r="M100" s="7">
        <v>-112.5</v>
      </c>
      <c r="N100" s="7" t="s">
        <v>352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4.25" customHeight="1">
      <c r="A101" s="7" t="s">
        <v>145</v>
      </c>
      <c r="B101" s="7" t="str">
        <f t="shared" si="5"/>
        <v>3AX5P77DK55OVR</v>
      </c>
      <c r="C101" s="7" t="s">
        <v>290</v>
      </c>
      <c r="D101" s="7" t="s">
        <v>291</v>
      </c>
      <c r="E101" s="7" t="str">
        <f t="shared" si="2"/>
        <v>#N/A</v>
      </c>
      <c r="F101" s="7" t="s">
        <v>42</v>
      </c>
      <c r="G101" s="8">
        <v>46113.0</v>
      </c>
      <c r="H101" s="8">
        <v>46113.0</v>
      </c>
      <c r="I101" s="7">
        <v>2.0411454E7</v>
      </c>
      <c r="J101" s="7" t="s">
        <v>351</v>
      </c>
      <c r="K101" s="7" t="s">
        <v>34</v>
      </c>
      <c r="L101" s="7">
        <v>-372.75</v>
      </c>
      <c r="M101" s="7">
        <v>-112.5</v>
      </c>
      <c r="N101" s="7" t="s">
        <v>352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4.25" customHeight="1">
      <c r="A102" s="7" t="s">
        <v>165</v>
      </c>
      <c r="B102" s="7" t="str">
        <f t="shared" si="5"/>
        <v>4AV7U25PM34OVR</v>
      </c>
      <c r="C102" s="7" t="s">
        <v>269</v>
      </c>
      <c r="D102" s="7" t="s">
        <v>270</v>
      </c>
      <c r="E102" s="7" t="str">
        <f t="shared" si="2"/>
        <v>#N/A</v>
      </c>
      <c r="F102" s="7" t="s">
        <v>78</v>
      </c>
      <c r="G102" s="8">
        <v>46113.0</v>
      </c>
      <c r="H102" s="8">
        <v>46113.0</v>
      </c>
      <c r="I102" s="7">
        <v>2.0411454E7</v>
      </c>
      <c r="J102" s="7" t="s">
        <v>351</v>
      </c>
      <c r="K102" s="7" t="s">
        <v>34</v>
      </c>
      <c r="L102" s="7">
        <v>-372.75</v>
      </c>
      <c r="M102" s="7">
        <v>-112.5</v>
      </c>
      <c r="N102" s="7" t="s">
        <v>352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4.25" customHeight="1">
      <c r="A103" s="7" t="s">
        <v>176</v>
      </c>
      <c r="B103" s="7" t="str">
        <f t="shared" si="5"/>
        <v>3CW2AT8NX04OVR</v>
      </c>
      <c r="C103" s="7" t="s">
        <v>292</v>
      </c>
      <c r="D103" s="7" t="s">
        <v>293</v>
      </c>
      <c r="E103" s="7" t="str">
        <f t="shared" si="2"/>
        <v>#N/A</v>
      </c>
      <c r="F103" s="7" t="s">
        <v>179</v>
      </c>
      <c r="G103" s="8">
        <v>46113.0</v>
      </c>
      <c r="H103" s="8">
        <v>46113.0</v>
      </c>
      <c r="I103" s="7">
        <v>2.0411454E7</v>
      </c>
      <c r="J103" s="7" t="s">
        <v>351</v>
      </c>
      <c r="K103" s="7" t="s">
        <v>34</v>
      </c>
      <c r="L103" s="7">
        <v>-372.75</v>
      </c>
      <c r="M103" s="7">
        <v>-112.5</v>
      </c>
      <c r="N103" s="7" t="s">
        <v>352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4.25" customHeight="1">
      <c r="A104" s="7" t="s">
        <v>185</v>
      </c>
      <c r="B104" s="7" t="str">
        <f t="shared" si="5"/>
        <v>1H57NH3KW41OVR</v>
      </c>
      <c r="C104" s="7" t="s">
        <v>271</v>
      </c>
      <c r="D104" s="7" t="s">
        <v>272</v>
      </c>
      <c r="E104" s="7" t="str">
        <f t="shared" si="2"/>
        <v>#N/A</v>
      </c>
      <c r="F104" s="7" t="s">
        <v>78</v>
      </c>
      <c r="G104" s="8">
        <v>46113.0</v>
      </c>
      <c r="H104" s="8">
        <v>46113.0</v>
      </c>
      <c r="I104" s="7">
        <v>2.0411454E7</v>
      </c>
      <c r="J104" s="7" t="s">
        <v>351</v>
      </c>
      <c r="K104" s="7" t="s">
        <v>34</v>
      </c>
      <c r="L104" s="7">
        <v>-372.75</v>
      </c>
      <c r="M104" s="7">
        <v>-112.5</v>
      </c>
      <c r="N104" s="7" t="s">
        <v>352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4.25" customHeight="1">
      <c r="A105" s="7" t="s">
        <v>196</v>
      </c>
      <c r="B105" s="7" t="str">
        <f t="shared" si="5"/>
        <v>3V68T51TW22OVR</v>
      </c>
      <c r="C105" s="7" t="s">
        <v>273</v>
      </c>
      <c r="D105" s="7" t="s">
        <v>274</v>
      </c>
      <c r="E105" s="7" t="str">
        <f t="shared" si="2"/>
        <v>#N/A</v>
      </c>
      <c r="F105" s="7" t="s">
        <v>78</v>
      </c>
      <c r="G105" s="8">
        <v>46113.0</v>
      </c>
      <c r="H105" s="8">
        <v>46113.0</v>
      </c>
      <c r="I105" s="7">
        <v>2.0411454E7</v>
      </c>
      <c r="J105" s="7" t="s">
        <v>351</v>
      </c>
      <c r="K105" s="7" t="s">
        <v>34</v>
      </c>
      <c r="L105" s="7">
        <v>-372.75</v>
      </c>
      <c r="M105" s="7">
        <v>-112.5</v>
      </c>
      <c r="N105" s="7" t="s">
        <v>352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4.25" customHeight="1">
      <c r="A106" s="7" t="s">
        <v>200</v>
      </c>
      <c r="B106" s="7" t="str">
        <f t="shared" si="5"/>
        <v>4KU2PG6JM12OVR</v>
      </c>
      <c r="C106" s="7" t="s">
        <v>275</v>
      </c>
      <c r="D106" s="7" t="s">
        <v>276</v>
      </c>
      <c r="E106" s="7" t="str">
        <f t="shared" si="2"/>
        <v>#N/A</v>
      </c>
      <c r="F106" s="7" t="s">
        <v>78</v>
      </c>
      <c r="G106" s="8">
        <v>46113.0</v>
      </c>
      <c r="H106" s="8">
        <v>46113.0</v>
      </c>
      <c r="I106" s="7">
        <v>2.0411454E7</v>
      </c>
      <c r="J106" s="7" t="s">
        <v>351</v>
      </c>
      <c r="K106" s="7" t="s">
        <v>34</v>
      </c>
      <c r="L106" s="7">
        <v>-372.75</v>
      </c>
      <c r="M106" s="7">
        <v>-112.5</v>
      </c>
      <c r="N106" s="7" t="s">
        <v>352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4.25" customHeight="1">
      <c r="A107" s="7" t="s">
        <v>220</v>
      </c>
      <c r="B107" s="7" t="str">
        <f t="shared" si="5"/>
        <v>6JX1JF9TP18OVR</v>
      </c>
      <c r="C107" s="7" t="s">
        <v>282</v>
      </c>
      <c r="D107" s="7" t="s">
        <v>279</v>
      </c>
      <c r="E107" s="7" t="str">
        <f t="shared" si="2"/>
        <v>#N/A</v>
      </c>
      <c r="F107" s="7" t="s">
        <v>72</v>
      </c>
      <c r="G107" s="8">
        <v>46113.0</v>
      </c>
      <c r="H107" s="8">
        <v>46113.0</v>
      </c>
      <c r="I107" s="7">
        <v>2.0411454E7</v>
      </c>
      <c r="J107" s="7" t="s">
        <v>351</v>
      </c>
      <c r="K107" s="7" t="s">
        <v>34</v>
      </c>
      <c r="L107" s="7">
        <v>-372.75</v>
      </c>
      <c r="M107" s="7">
        <v>-112.5</v>
      </c>
      <c r="N107" s="7" t="s">
        <v>352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4.25" customHeight="1">
      <c r="A108" s="7" t="s">
        <v>229</v>
      </c>
      <c r="B108" s="7" t="str">
        <f t="shared" si="5"/>
        <v>7FG7W32AU59OVR</v>
      </c>
      <c r="C108" s="7" t="s">
        <v>265</v>
      </c>
      <c r="D108" s="7" t="s">
        <v>266</v>
      </c>
      <c r="E108" s="7" t="str">
        <f t="shared" si="2"/>
        <v>#N/A</v>
      </c>
      <c r="F108" s="7" t="s">
        <v>232</v>
      </c>
      <c r="G108" s="8">
        <v>46113.0</v>
      </c>
      <c r="H108" s="8">
        <v>46113.0</v>
      </c>
      <c r="I108" s="7">
        <v>2.0411454E7</v>
      </c>
      <c r="J108" s="7" t="s">
        <v>351</v>
      </c>
      <c r="K108" s="7" t="s">
        <v>34</v>
      </c>
      <c r="L108" s="7">
        <v>-372.75</v>
      </c>
      <c r="M108" s="7">
        <v>-112.5</v>
      </c>
      <c r="N108" s="7" t="s">
        <v>352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4.25" customHeight="1">
      <c r="A109" s="7" t="s">
        <v>239</v>
      </c>
      <c r="B109" s="7" t="str">
        <f t="shared" si="5"/>
        <v>6Y12J28VK28OVR</v>
      </c>
      <c r="C109" s="7" t="s">
        <v>278</v>
      </c>
      <c r="D109" s="7" t="s">
        <v>279</v>
      </c>
      <c r="E109" s="7" t="str">
        <f t="shared" si="2"/>
        <v>#N/A</v>
      </c>
      <c r="F109" s="7" t="s">
        <v>78</v>
      </c>
      <c r="G109" s="8">
        <v>46113.0</v>
      </c>
      <c r="H109" s="8">
        <v>46113.0</v>
      </c>
      <c r="I109" s="7">
        <v>2.0411454E7</v>
      </c>
      <c r="J109" s="7" t="s">
        <v>351</v>
      </c>
      <c r="K109" s="7" t="s">
        <v>34</v>
      </c>
      <c r="L109" s="7">
        <v>-372.75</v>
      </c>
      <c r="M109" s="7">
        <v>-112.5</v>
      </c>
      <c r="N109" s="7" t="s">
        <v>352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4.25" customHeight="1">
      <c r="A110" s="7" t="s">
        <v>242</v>
      </c>
      <c r="B110" s="7" t="str">
        <f t="shared" si="5"/>
        <v>5U51TC0KN14OVR</v>
      </c>
      <c r="C110" s="7" t="s">
        <v>255</v>
      </c>
      <c r="D110" s="7" t="s">
        <v>256</v>
      </c>
      <c r="E110" s="7" t="str">
        <f t="shared" si="2"/>
        <v>#N/A</v>
      </c>
      <c r="F110" s="7" t="s">
        <v>42</v>
      </c>
      <c r="G110" s="8">
        <v>46113.0</v>
      </c>
      <c r="H110" s="8">
        <v>46113.0</v>
      </c>
      <c r="I110" s="7">
        <v>2.0411454E7</v>
      </c>
      <c r="J110" s="7" t="s">
        <v>351</v>
      </c>
      <c r="K110" s="7" t="s">
        <v>34</v>
      </c>
      <c r="L110" s="7">
        <v>-372.75</v>
      </c>
      <c r="M110" s="7">
        <v>-112.5</v>
      </c>
      <c r="N110" s="7" t="s">
        <v>352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4.25" customHeight="1">
      <c r="A111" s="7" t="s">
        <v>46</v>
      </c>
      <c r="B111" s="7" t="str">
        <f t="shared" si="5"/>
        <v>3PX5U97JY86OVR</v>
      </c>
      <c r="C111" s="7" t="s">
        <v>305</v>
      </c>
      <c r="D111" s="7" t="s">
        <v>295</v>
      </c>
      <c r="E111" s="7" t="str">
        <f t="shared" si="2"/>
        <v>#N/A</v>
      </c>
      <c r="F111" s="7" t="s">
        <v>27</v>
      </c>
      <c r="G111" s="8">
        <v>46143.0</v>
      </c>
      <c r="H111" s="8">
        <v>46143.0</v>
      </c>
      <c r="I111" s="7">
        <v>2.0411454E7</v>
      </c>
      <c r="J111" s="7" t="s">
        <v>351</v>
      </c>
      <c r="K111" s="7" t="s">
        <v>34</v>
      </c>
      <c r="L111" s="7">
        <v>-360.67</v>
      </c>
      <c r="M111" s="7">
        <v>-100.0</v>
      </c>
      <c r="N111" s="7" t="s">
        <v>352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4.25" customHeight="1">
      <c r="A112" s="7" t="s">
        <v>39</v>
      </c>
      <c r="B112" s="7" t="str">
        <f t="shared" si="5"/>
        <v>8GH7PJ6HE47OVR</v>
      </c>
      <c r="C112" s="7" t="s">
        <v>257</v>
      </c>
      <c r="D112" s="7" t="s">
        <v>258</v>
      </c>
      <c r="E112" s="7" t="str">
        <f t="shared" si="2"/>
        <v>#N/A</v>
      </c>
      <c r="F112" s="7" t="s">
        <v>42</v>
      </c>
      <c r="G112" s="8">
        <v>46143.0</v>
      </c>
      <c r="H112" s="8">
        <v>46143.0</v>
      </c>
      <c r="I112" s="7">
        <v>2.0411454E7</v>
      </c>
      <c r="J112" s="7" t="s">
        <v>351</v>
      </c>
      <c r="K112" s="7" t="s">
        <v>34</v>
      </c>
      <c r="L112" s="7">
        <v>-331.33</v>
      </c>
      <c r="M112" s="7">
        <v>-100.0</v>
      </c>
      <c r="N112" s="7" t="s">
        <v>352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4.25" customHeight="1">
      <c r="A113" s="7" t="s">
        <v>212</v>
      </c>
      <c r="B113" s="7" t="str">
        <f t="shared" si="5"/>
        <v>1A98UT2WR31OVR</v>
      </c>
      <c r="C113" s="7" t="s">
        <v>277</v>
      </c>
      <c r="D113" s="7" t="s">
        <v>251</v>
      </c>
      <c r="E113" s="7" t="str">
        <f t="shared" si="2"/>
        <v>#N/A</v>
      </c>
      <c r="F113" s="7" t="s">
        <v>78</v>
      </c>
      <c r="G113" s="8">
        <v>46143.0</v>
      </c>
      <c r="H113" s="8">
        <v>46143.0</v>
      </c>
      <c r="I113" s="7">
        <v>2.0411454E7</v>
      </c>
      <c r="J113" s="7" t="s">
        <v>351</v>
      </c>
      <c r="K113" s="7" t="s">
        <v>34</v>
      </c>
      <c r="L113" s="7">
        <v>-331.33</v>
      </c>
      <c r="M113" s="7">
        <v>-100.0</v>
      </c>
      <c r="N113" s="7" t="s">
        <v>352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4.25" customHeight="1">
      <c r="A114" s="7" t="s">
        <v>82</v>
      </c>
      <c r="B114" s="7" t="str">
        <f t="shared" si="5"/>
        <v>4AX3E96UD09OVR</v>
      </c>
      <c r="C114" s="7" t="s">
        <v>311</v>
      </c>
      <c r="D114" s="7" t="s">
        <v>312</v>
      </c>
      <c r="E114" s="7" t="str">
        <f t="shared" si="2"/>
        <v>#N/A</v>
      </c>
      <c r="F114" s="7" t="s">
        <v>27</v>
      </c>
      <c r="G114" s="8">
        <v>46174.0</v>
      </c>
      <c r="H114" s="8">
        <v>46174.0</v>
      </c>
      <c r="I114" s="7">
        <v>2.0411454E7</v>
      </c>
      <c r="J114" s="7" t="s">
        <v>351</v>
      </c>
      <c r="K114" s="7" t="s">
        <v>34</v>
      </c>
      <c r="L114" s="7">
        <v>-315.58</v>
      </c>
      <c r="M114" s="7">
        <v>-87.5</v>
      </c>
      <c r="N114" s="7" t="s">
        <v>352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4.25" customHeight="1">
      <c r="A115" s="7" t="s">
        <v>235</v>
      </c>
      <c r="B115" s="7" t="str">
        <f t="shared" si="5"/>
        <v>3R32H92GU87OVR</v>
      </c>
      <c r="C115" s="7" t="s">
        <v>263</v>
      </c>
      <c r="D115" s="7" t="s">
        <v>264</v>
      </c>
      <c r="E115" s="7" t="str">
        <f t="shared" si="2"/>
        <v>#N/A</v>
      </c>
      <c r="F115" s="7" t="s">
        <v>42</v>
      </c>
      <c r="G115" s="8">
        <v>46174.0</v>
      </c>
      <c r="H115" s="8">
        <v>46174.0</v>
      </c>
      <c r="I115" s="7">
        <v>2.0411454E7</v>
      </c>
      <c r="J115" s="7" t="s">
        <v>351</v>
      </c>
      <c r="K115" s="7" t="s">
        <v>34</v>
      </c>
      <c r="L115" s="7">
        <v>-289.92</v>
      </c>
      <c r="M115" s="7">
        <v>-87.5</v>
      </c>
      <c r="N115" s="7" t="s">
        <v>352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4.25" customHeight="1">
      <c r="A116" s="7" t="s">
        <v>121</v>
      </c>
      <c r="B116" s="7" t="str">
        <f t="shared" si="5"/>
        <v>7XF6N06PX71OVR</v>
      </c>
      <c r="C116" s="7" t="s">
        <v>353</v>
      </c>
      <c r="D116" s="7" t="s">
        <v>354</v>
      </c>
      <c r="E116" s="7" t="str">
        <f t="shared" si="2"/>
        <v>#N/A</v>
      </c>
      <c r="F116" s="7" t="s">
        <v>27</v>
      </c>
      <c r="G116" s="8">
        <v>46113.0</v>
      </c>
      <c r="H116" s="8">
        <v>46113.0</v>
      </c>
      <c r="I116" s="7">
        <v>2.0411454E7</v>
      </c>
      <c r="J116" s="7" t="s">
        <v>351</v>
      </c>
      <c r="K116" s="7" t="s">
        <v>34</v>
      </c>
      <c r="L116" s="7">
        <v>-48.75</v>
      </c>
      <c r="M116" s="7">
        <v>-48.75</v>
      </c>
      <c r="N116" s="7" t="s">
        <v>352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4.25" customHeight="1">
      <c r="A117" s="7" t="s">
        <v>225</v>
      </c>
      <c r="B117" s="7" t="str">
        <f t="shared" si="5"/>
        <v>7DQ0D66DK38OVR</v>
      </c>
      <c r="C117" s="7" t="s">
        <v>355</v>
      </c>
      <c r="D117" s="7" t="s">
        <v>356</v>
      </c>
      <c r="E117" s="7" t="str">
        <f t="shared" si="2"/>
        <v>#N/A</v>
      </c>
      <c r="F117" s="7" t="s">
        <v>27</v>
      </c>
      <c r="G117" s="8">
        <v>46143.0</v>
      </c>
      <c r="H117" s="8">
        <v>46143.0</v>
      </c>
      <c r="I117" s="7">
        <v>2.0411454E7</v>
      </c>
      <c r="J117" s="7" t="s">
        <v>351</v>
      </c>
      <c r="K117" s="7" t="s">
        <v>34</v>
      </c>
      <c r="L117" s="7">
        <v>43.34</v>
      </c>
      <c r="M117" s="7">
        <v>43.34</v>
      </c>
      <c r="N117" s="7" t="s">
        <v>352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4.25" customHeight="1">
      <c r="A118" s="7" t="s">
        <v>155</v>
      </c>
      <c r="B118" s="7" t="str">
        <f t="shared" si="5"/>
        <v>3DD5F06WR64OVR</v>
      </c>
      <c r="C118" s="7" t="s">
        <v>357</v>
      </c>
      <c r="D118" s="7" t="s">
        <v>358</v>
      </c>
      <c r="E118" s="7" t="str">
        <f t="shared" si="2"/>
        <v>#N/A</v>
      </c>
      <c r="F118" s="7" t="s">
        <v>27</v>
      </c>
      <c r="G118" s="8">
        <v>46113.0</v>
      </c>
      <c r="H118" s="8">
        <v>46113.0</v>
      </c>
      <c r="I118" s="7">
        <v>2.0411454E7</v>
      </c>
      <c r="J118" s="7" t="s">
        <v>351</v>
      </c>
      <c r="K118" s="7" t="s">
        <v>34</v>
      </c>
      <c r="L118" s="7">
        <v>48.75</v>
      </c>
      <c r="M118" s="7">
        <v>48.75</v>
      </c>
      <c r="N118" s="7" t="s">
        <v>352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4.25" customHeight="1">
      <c r="A119" s="7" t="s">
        <v>121</v>
      </c>
      <c r="B119" s="7" t="str">
        <f t="shared" si="5"/>
        <v>7XF6N06PX71OVR</v>
      </c>
      <c r="C119" s="7" t="s">
        <v>353</v>
      </c>
      <c r="D119" s="7" t="s">
        <v>354</v>
      </c>
      <c r="E119" s="7" t="str">
        <f t="shared" si="2"/>
        <v>#N/A</v>
      </c>
      <c r="F119" s="7" t="s">
        <v>27</v>
      </c>
      <c r="G119" s="8">
        <v>46113.0</v>
      </c>
      <c r="H119" s="8">
        <v>46113.0</v>
      </c>
      <c r="I119" s="7">
        <v>2.0411454E7</v>
      </c>
      <c r="J119" s="7" t="s">
        <v>351</v>
      </c>
      <c r="K119" s="7" t="s">
        <v>34</v>
      </c>
      <c r="L119" s="7">
        <v>65.0</v>
      </c>
      <c r="M119" s="7">
        <v>65.0</v>
      </c>
      <c r="N119" s="7" t="s">
        <v>352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4.25" customHeight="1">
      <c r="A120" s="7" t="s">
        <v>63</v>
      </c>
      <c r="B120" s="7" t="str">
        <f t="shared" si="5"/>
        <v>1N39C85JE25OVR</v>
      </c>
      <c r="C120" s="7" t="s">
        <v>333</v>
      </c>
      <c r="D120" s="7" t="s">
        <v>334</v>
      </c>
      <c r="E120" s="7" t="str">
        <f t="shared" si="2"/>
        <v>#N/A</v>
      </c>
      <c r="F120" s="7" t="s">
        <v>42</v>
      </c>
      <c r="G120" s="8">
        <v>46023.0</v>
      </c>
      <c r="H120" s="8">
        <v>46023.0</v>
      </c>
      <c r="I120" s="7">
        <v>2.0411454E7</v>
      </c>
      <c r="J120" s="7" t="s">
        <v>351</v>
      </c>
      <c r="K120" s="7" t="s">
        <v>34</v>
      </c>
      <c r="L120" s="7">
        <v>160.67</v>
      </c>
      <c r="M120" s="7">
        <v>45.0</v>
      </c>
      <c r="N120" s="7" t="s">
        <v>352</v>
      </c>
      <c r="O120" s="7">
        <v>-482.0</v>
      </c>
      <c r="P120" s="7">
        <f>347/12*4</f>
        <v>115.6666667</v>
      </c>
      <c r="Q120" s="7">
        <f>135/12*4</f>
        <v>45</v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4.25" customHeight="1">
      <c r="A121" s="7" t="s">
        <v>75</v>
      </c>
      <c r="B121" s="7" t="str">
        <f t="shared" si="5"/>
        <v>9KM4UA0WN80OVR</v>
      </c>
      <c r="C121" s="7" t="s">
        <v>342</v>
      </c>
      <c r="D121" s="7" t="s">
        <v>343</v>
      </c>
      <c r="E121" s="7" t="str">
        <f t="shared" si="2"/>
        <v>#N/A</v>
      </c>
      <c r="F121" s="7" t="s">
        <v>78</v>
      </c>
      <c r="G121" s="8">
        <v>46143.0</v>
      </c>
      <c r="H121" s="8">
        <v>46143.0</v>
      </c>
      <c r="I121" s="7">
        <v>2.0411454E7</v>
      </c>
      <c r="J121" s="7" t="s">
        <v>351</v>
      </c>
      <c r="K121" s="7" t="s">
        <v>34</v>
      </c>
      <c r="L121" s="7">
        <v>331.33</v>
      </c>
      <c r="M121" s="7">
        <v>100.0</v>
      </c>
      <c r="N121" s="7" t="s">
        <v>352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4.25" customHeight="1">
      <c r="A122" s="7" t="s">
        <v>92</v>
      </c>
      <c r="B122" s="7" t="str">
        <f t="shared" si="5"/>
        <v>4JQ0U76XX20OVR</v>
      </c>
      <c r="C122" s="7" t="s">
        <v>347</v>
      </c>
      <c r="D122" s="7" t="s">
        <v>348</v>
      </c>
      <c r="E122" s="7" t="str">
        <f t="shared" si="2"/>
        <v>#N/A</v>
      </c>
      <c r="F122" s="7" t="s">
        <v>95</v>
      </c>
      <c r="G122" s="8">
        <v>46143.0</v>
      </c>
      <c r="H122" s="8">
        <v>46143.0</v>
      </c>
      <c r="I122" s="7">
        <v>2.0411454E7</v>
      </c>
      <c r="J122" s="7" t="s">
        <v>351</v>
      </c>
      <c r="K122" s="7" t="s">
        <v>34</v>
      </c>
      <c r="L122" s="7">
        <v>331.33</v>
      </c>
      <c r="M122" s="7">
        <v>100.0</v>
      </c>
      <c r="N122" s="7" t="s">
        <v>352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4.25" customHeight="1">
      <c r="A123" s="7" t="s">
        <v>159</v>
      </c>
      <c r="B123" s="7" t="str">
        <f t="shared" si="5"/>
        <v>8FW1VC0WC07OVR</v>
      </c>
      <c r="C123" s="7" t="s">
        <v>344</v>
      </c>
      <c r="D123" s="7" t="s">
        <v>251</v>
      </c>
      <c r="E123" s="7" t="str">
        <f t="shared" si="2"/>
        <v>#N/A</v>
      </c>
      <c r="F123" s="7" t="s">
        <v>78</v>
      </c>
      <c r="G123" s="8">
        <v>46143.0</v>
      </c>
      <c r="H123" s="8">
        <v>46143.0</v>
      </c>
      <c r="I123" s="7">
        <v>2.0411454E7</v>
      </c>
      <c r="J123" s="7" t="s">
        <v>351</v>
      </c>
      <c r="K123" s="7" t="s">
        <v>34</v>
      </c>
      <c r="L123" s="7">
        <v>331.33</v>
      </c>
      <c r="M123" s="7">
        <v>100.0</v>
      </c>
      <c r="N123" s="7" t="s">
        <v>352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4.25" customHeight="1">
      <c r="A124" s="7" t="s">
        <v>182</v>
      </c>
      <c r="B124" s="7" t="str">
        <f t="shared" si="5"/>
        <v>2YU8H05NT30OVR</v>
      </c>
      <c r="C124" s="7" t="s">
        <v>345</v>
      </c>
      <c r="D124" s="7" t="s">
        <v>346</v>
      </c>
      <c r="E124" s="7" t="str">
        <f t="shared" si="2"/>
        <v>#N/A</v>
      </c>
      <c r="F124" s="7" t="s">
        <v>78</v>
      </c>
      <c r="G124" s="8">
        <v>46143.0</v>
      </c>
      <c r="H124" s="8">
        <v>46143.0</v>
      </c>
      <c r="I124" s="7">
        <v>2.0411454E7</v>
      </c>
      <c r="J124" s="7" t="s">
        <v>351</v>
      </c>
      <c r="K124" s="7" t="s">
        <v>34</v>
      </c>
      <c r="L124" s="7">
        <v>331.33</v>
      </c>
      <c r="M124" s="7">
        <v>100.0</v>
      </c>
      <c r="N124" s="7" t="s">
        <v>352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4.25" customHeight="1">
      <c r="A125" s="7" t="s">
        <v>215</v>
      </c>
      <c r="B125" s="7" t="str">
        <f t="shared" si="5"/>
        <v>1Y54KT1AK82OVR</v>
      </c>
      <c r="C125" s="7" t="s">
        <v>349</v>
      </c>
      <c r="D125" s="7" t="s">
        <v>350</v>
      </c>
      <c r="E125" s="7" t="str">
        <f t="shared" si="2"/>
        <v>#N/A</v>
      </c>
      <c r="F125" s="7" t="s">
        <v>42</v>
      </c>
      <c r="G125" s="8">
        <v>46143.0</v>
      </c>
      <c r="H125" s="8">
        <v>46143.0</v>
      </c>
      <c r="I125" s="7">
        <v>2.0411454E7</v>
      </c>
      <c r="J125" s="7" t="s">
        <v>351</v>
      </c>
      <c r="K125" s="7" t="s">
        <v>34</v>
      </c>
      <c r="L125" s="7">
        <v>331.33</v>
      </c>
      <c r="M125" s="7">
        <v>100.0</v>
      </c>
      <c r="N125" s="7" t="s">
        <v>352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4.25" customHeight="1">
      <c r="A126" s="7" t="s">
        <v>173</v>
      </c>
      <c r="B126" s="7" t="str">
        <f t="shared" si="5"/>
        <v>8HA2GJ7EV05OVR</v>
      </c>
      <c r="C126" s="7" t="s">
        <v>328</v>
      </c>
      <c r="D126" s="7" t="s">
        <v>268</v>
      </c>
      <c r="E126" s="7" t="str">
        <f t="shared" si="2"/>
        <v>#N/A</v>
      </c>
      <c r="F126" s="7" t="s">
        <v>27</v>
      </c>
      <c r="G126" s="8">
        <v>46143.0</v>
      </c>
      <c r="H126" s="8">
        <v>46143.0</v>
      </c>
      <c r="I126" s="7">
        <v>2.0411454E7</v>
      </c>
      <c r="J126" s="7" t="s">
        <v>351</v>
      </c>
      <c r="K126" s="7" t="s">
        <v>34</v>
      </c>
      <c r="L126" s="7">
        <v>360.67</v>
      </c>
      <c r="M126" s="7">
        <v>100.0</v>
      </c>
      <c r="N126" s="7" t="s">
        <v>352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4.25" customHeight="1">
      <c r="A127" s="7" t="s">
        <v>203</v>
      </c>
      <c r="B127" s="7" t="str">
        <f t="shared" si="5"/>
        <v>4FW5GE4EH72OVR</v>
      </c>
      <c r="C127" s="7" t="s">
        <v>339</v>
      </c>
      <c r="D127" s="7" t="s">
        <v>340</v>
      </c>
      <c r="E127" s="7" t="str">
        <f t="shared" si="2"/>
        <v>#N/A</v>
      </c>
      <c r="F127" s="7" t="s">
        <v>109</v>
      </c>
      <c r="G127" s="8">
        <v>46113.0</v>
      </c>
      <c r="H127" s="8">
        <v>46113.0</v>
      </c>
      <c r="I127" s="7">
        <v>2.0411454E7</v>
      </c>
      <c r="J127" s="7" t="s">
        <v>351</v>
      </c>
      <c r="K127" s="7" t="s">
        <v>34</v>
      </c>
      <c r="L127" s="7">
        <v>372.75</v>
      </c>
      <c r="M127" s="7">
        <v>112.5</v>
      </c>
      <c r="N127" s="7" t="s">
        <v>352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4.25" customHeight="1">
      <c r="A128" s="7" t="s">
        <v>51</v>
      </c>
      <c r="B128" s="7" t="str">
        <f t="shared" si="5"/>
        <v>6HP6N86VK48OVR</v>
      </c>
      <c r="C128" s="7" t="s">
        <v>329</v>
      </c>
      <c r="D128" s="7" t="s">
        <v>330</v>
      </c>
      <c r="E128" s="7" t="str">
        <f t="shared" si="2"/>
        <v>#N/A</v>
      </c>
      <c r="F128" s="7" t="s">
        <v>27</v>
      </c>
      <c r="G128" s="8">
        <v>46113.0</v>
      </c>
      <c r="H128" s="8">
        <v>46113.0</v>
      </c>
      <c r="I128" s="7">
        <v>2.0411454E7</v>
      </c>
      <c r="J128" s="7" t="s">
        <v>351</v>
      </c>
      <c r="K128" s="7" t="s">
        <v>34</v>
      </c>
      <c r="L128" s="7">
        <v>405.75</v>
      </c>
      <c r="M128" s="7">
        <v>112.5</v>
      </c>
      <c r="N128" s="7" t="s">
        <v>352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4.25" customHeight="1">
      <c r="A129" s="7" t="s">
        <v>169</v>
      </c>
      <c r="B129" s="7" t="str">
        <f t="shared" si="5"/>
        <v>9J73VE0JH11OVR</v>
      </c>
      <c r="C129" s="7" t="s">
        <v>326</v>
      </c>
      <c r="D129" s="7" t="s">
        <v>289</v>
      </c>
      <c r="E129" s="7" t="str">
        <f t="shared" si="2"/>
        <v>#N/A</v>
      </c>
      <c r="F129" s="7" t="s">
        <v>27</v>
      </c>
      <c r="G129" s="8">
        <v>46113.0</v>
      </c>
      <c r="H129" s="8">
        <v>46113.0</v>
      </c>
      <c r="I129" s="7">
        <v>2.0411454E7</v>
      </c>
      <c r="J129" s="7" t="s">
        <v>351</v>
      </c>
      <c r="K129" s="7" t="s">
        <v>34</v>
      </c>
      <c r="L129" s="7">
        <v>405.75</v>
      </c>
      <c r="M129" s="7">
        <v>112.5</v>
      </c>
      <c r="N129" s="7" t="s">
        <v>352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4.25" customHeight="1">
      <c r="A130" s="7" t="s">
        <v>220</v>
      </c>
      <c r="B130" s="7" t="str">
        <f t="shared" si="5"/>
        <v>6JX1JF9TP18OVR</v>
      </c>
      <c r="C130" s="7" t="s">
        <v>282</v>
      </c>
      <c r="D130" s="7" t="s">
        <v>279</v>
      </c>
      <c r="E130" s="7" t="str">
        <f t="shared" si="2"/>
        <v>#N/A</v>
      </c>
      <c r="F130" s="7" t="s">
        <v>72</v>
      </c>
      <c r="G130" s="8">
        <v>46113.0</v>
      </c>
      <c r="H130" s="8">
        <v>46113.0</v>
      </c>
      <c r="I130" s="7">
        <v>2.0411454E7</v>
      </c>
      <c r="J130" s="7" t="s">
        <v>351</v>
      </c>
      <c r="K130" s="7" t="s">
        <v>34</v>
      </c>
      <c r="L130" s="7">
        <v>633.0</v>
      </c>
      <c r="M130" s="7">
        <f>150/12*9</f>
        <v>112.5</v>
      </c>
      <c r="N130" s="7" t="s">
        <v>352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4.25" customHeight="1">
      <c r="A131" s="7" t="s">
        <v>189</v>
      </c>
      <c r="B131" s="7" t="str">
        <f t="shared" si="5"/>
        <v>3NC4DC1VU84OVR</v>
      </c>
      <c r="C131" s="7" t="s">
        <v>252</v>
      </c>
      <c r="D131" s="7" t="s">
        <v>253</v>
      </c>
      <c r="E131" s="7" t="str">
        <f t="shared" si="2"/>
        <v>#N/A</v>
      </c>
      <c r="F131" s="7" t="s">
        <v>42</v>
      </c>
      <c r="G131" s="8">
        <v>46082.0</v>
      </c>
      <c r="H131" s="8">
        <v>46082.0</v>
      </c>
      <c r="I131" s="7">
        <v>2.0411454E7</v>
      </c>
      <c r="J131" s="7" t="s">
        <v>351</v>
      </c>
      <c r="K131" s="7" t="s">
        <v>34</v>
      </c>
      <c r="L131" s="7">
        <v>703.33</v>
      </c>
      <c r="M131" s="7">
        <v>125.0</v>
      </c>
      <c r="N131" s="7" t="s">
        <v>352</v>
      </c>
      <c r="O131" s="7"/>
      <c r="P131" s="7">
        <f>150/12*10</f>
        <v>125</v>
      </c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4.25" customHeight="1">
      <c r="A132" s="7" t="s">
        <v>39</v>
      </c>
      <c r="B132" s="7" t="str">
        <f t="shared" si="5"/>
        <v>8GH7PJ6HE47OVR</v>
      </c>
      <c r="C132" s="7" t="s">
        <v>257</v>
      </c>
      <c r="D132" s="7" t="s">
        <v>258</v>
      </c>
      <c r="E132" s="7" t="str">
        <f t="shared" si="2"/>
        <v>#N/A</v>
      </c>
      <c r="F132" s="7" t="s">
        <v>42</v>
      </c>
      <c r="G132" s="8">
        <v>46143.0</v>
      </c>
      <c r="H132" s="8">
        <v>46143.0</v>
      </c>
      <c r="I132" s="7">
        <v>2.0411454E7</v>
      </c>
      <c r="J132" s="7" t="s">
        <v>351</v>
      </c>
      <c r="K132" s="7" t="s">
        <v>34</v>
      </c>
      <c r="L132" s="7">
        <v>844.0</v>
      </c>
      <c r="M132" s="7">
        <v>150.0</v>
      </c>
      <c r="N132" s="7" t="s">
        <v>352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4.25" customHeight="1">
      <c r="A133" s="7" t="s">
        <v>56</v>
      </c>
      <c r="B133" s="7" t="str">
        <f t="shared" si="5"/>
        <v>5K67VU3MY34OVR</v>
      </c>
      <c r="C133" s="7" t="s">
        <v>284</v>
      </c>
      <c r="D133" s="7" t="s">
        <v>285</v>
      </c>
      <c r="E133" s="7" t="str">
        <f t="shared" si="2"/>
        <v>#N/A</v>
      </c>
      <c r="F133" s="7" t="s">
        <v>59</v>
      </c>
      <c r="G133" s="8">
        <v>46113.0</v>
      </c>
      <c r="H133" s="8">
        <v>46113.0</v>
      </c>
      <c r="I133" s="7">
        <v>2.0411454E7</v>
      </c>
      <c r="J133" s="7" t="s">
        <v>351</v>
      </c>
      <c r="K133" s="7" t="s">
        <v>34</v>
      </c>
      <c r="L133" s="7">
        <v>844.0</v>
      </c>
      <c r="M133" s="7">
        <v>150.0</v>
      </c>
      <c r="N133" s="7" t="s">
        <v>352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4.25" customHeight="1">
      <c r="A134" s="7" t="s">
        <v>69</v>
      </c>
      <c r="B134" s="7" t="str">
        <f t="shared" si="5"/>
        <v>6U08KP1HM50OVR</v>
      </c>
      <c r="C134" s="7" t="s">
        <v>286</v>
      </c>
      <c r="D134" s="7" t="s">
        <v>287</v>
      </c>
      <c r="E134" s="7" t="str">
        <f t="shared" si="2"/>
        <v>#N/A</v>
      </c>
      <c r="F134" s="7" t="s">
        <v>72</v>
      </c>
      <c r="G134" s="8">
        <v>46113.0</v>
      </c>
      <c r="H134" s="8">
        <v>46113.0</v>
      </c>
      <c r="I134" s="7">
        <v>2.0411454E7</v>
      </c>
      <c r="J134" s="7" t="s">
        <v>351</v>
      </c>
      <c r="K134" s="7" t="s">
        <v>34</v>
      </c>
      <c r="L134" s="7">
        <v>844.0</v>
      </c>
      <c r="M134" s="7">
        <v>150.0</v>
      </c>
      <c r="N134" s="7" t="s">
        <v>352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4.25" customHeight="1">
      <c r="A135" s="7" t="s">
        <v>86</v>
      </c>
      <c r="B135" s="7" t="str">
        <f t="shared" si="5"/>
        <v>2Y79GE6WR48OVR</v>
      </c>
      <c r="C135" s="7" t="s">
        <v>259</v>
      </c>
      <c r="D135" s="7" t="s">
        <v>260</v>
      </c>
      <c r="E135" s="7" t="str">
        <f t="shared" si="2"/>
        <v>#N/A</v>
      </c>
      <c r="F135" s="7" t="s">
        <v>42</v>
      </c>
      <c r="G135" s="8">
        <v>46082.0</v>
      </c>
      <c r="H135" s="8">
        <v>46082.0</v>
      </c>
      <c r="I135" s="7">
        <v>2.0411454E7</v>
      </c>
      <c r="J135" s="7" t="s">
        <v>351</v>
      </c>
      <c r="K135" s="7" t="s">
        <v>34</v>
      </c>
      <c r="L135" s="7">
        <v>844.0</v>
      </c>
      <c r="M135" s="7">
        <v>150.0</v>
      </c>
      <c r="N135" s="7" t="s">
        <v>352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4.25" customHeight="1">
      <c r="A136" s="7" t="s">
        <v>98</v>
      </c>
      <c r="B136" s="7" t="str">
        <f t="shared" si="5"/>
        <v>3DM6WH5JH54OVR</v>
      </c>
      <c r="C136" s="7" t="s">
        <v>261</v>
      </c>
      <c r="D136" s="7" t="s">
        <v>262</v>
      </c>
      <c r="E136" s="7" t="str">
        <f t="shared" si="2"/>
        <v>#N/A</v>
      </c>
      <c r="F136" s="7" t="s">
        <v>42</v>
      </c>
      <c r="G136" s="8">
        <v>46113.0</v>
      </c>
      <c r="H136" s="8">
        <v>46113.0</v>
      </c>
      <c r="I136" s="7">
        <v>2.0411454E7</v>
      </c>
      <c r="J136" s="7" t="s">
        <v>351</v>
      </c>
      <c r="K136" s="7" t="s">
        <v>34</v>
      </c>
      <c r="L136" s="7">
        <v>844.0</v>
      </c>
      <c r="M136" s="7">
        <v>150.0</v>
      </c>
      <c r="N136" s="7" t="s">
        <v>352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4.25" customHeight="1">
      <c r="A137" s="7" t="s">
        <v>106</v>
      </c>
      <c r="B137" s="7" t="str">
        <f t="shared" si="5"/>
        <v>5A87VN5UC78OVR</v>
      </c>
      <c r="C137" s="7" t="s">
        <v>250</v>
      </c>
      <c r="D137" s="7" t="s">
        <v>251</v>
      </c>
      <c r="E137" s="7" t="str">
        <f t="shared" si="2"/>
        <v>#N/A</v>
      </c>
      <c r="F137" s="7" t="s">
        <v>109</v>
      </c>
      <c r="G137" s="8">
        <v>46113.0</v>
      </c>
      <c r="H137" s="8">
        <v>46113.0</v>
      </c>
      <c r="I137" s="7">
        <v>2.0411454E7</v>
      </c>
      <c r="J137" s="7" t="s">
        <v>351</v>
      </c>
      <c r="K137" s="7" t="s">
        <v>34</v>
      </c>
      <c r="L137" s="7">
        <v>844.0</v>
      </c>
      <c r="M137" s="7">
        <v>150.0</v>
      </c>
      <c r="N137" s="7" t="s">
        <v>352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4.25" customHeight="1">
      <c r="A138" s="7" t="s">
        <v>113</v>
      </c>
      <c r="B138" s="7" t="str">
        <f t="shared" si="5"/>
        <v>1RH4QG1NE70OVR</v>
      </c>
      <c r="C138" s="7" t="s">
        <v>280</v>
      </c>
      <c r="D138" s="7" t="s">
        <v>281</v>
      </c>
      <c r="E138" s="7" t="str">
        <f t="shared" si="2"/>
        <v>#N/A</v>
      </c>
      <c r="F138" s="7" t="s">
        <v>42</v>
      </c>
      <c r="G138" s="8">
        <v>46113.0</v>
      </c>
      <c r="H138" s="8">
        <v>46113.0</v>
      </c>
      <c r="I138" s="7">
        <v>2.0411454E7</v>
      </c>
      <c r="J138" s="7" t="s">
        <v>351</v>
      </c>
      <c r="K138" s="7" t="s">
        <v>34</v>
      </c>
      <c r="L138" s="7">
        <v>844.0</v>
      </c>
      <c r="M138" s="7">
        <v>150.0</v>
      </c>
      <c r="N138" s="7" t="s">
        <v>352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4.25" customHeight="1">
      <c r="A139" s="7" t="s">
        <v>118</v>
      </c>
      <c r="B139" s="7" t="str">
        <f t="shared" si="5"/>
        <v>9HP6TA8PR53OVR</v>
      </c>
      <c r="C139" s="7" t="s">
        <v>267</v>
      </c>
      <c r="D139" s="7" t="s">
        <v>268</v>
      </c>
      <c r="E139" s="7" t="str">
        <f t="shared" si="2"/>
        <v>#N/A</v>
      </c>
      <c r="F139" s="7" t="s">
        <v>78</v>
      </c>
      <c r="G139" s="8">
        <v>46113.0</v>
      </c>
      <c r="H139" s="8">
        <v>46113.0</v>
      </c>
      <c r="I139" s="7">
        <v>2.0411454E7</v>
      </c>
      <c r="J139" s="7" t="s">
        <v>351</v>
      </c>
      <c r="K139" s="7" t="s">
        <v>34</v>
      </c>
      <c r="L139" s="7">
        <v>844.0</v>
      </c>
      <c r="M139" s="7">
        <v>150.0</v>
      </c>
      <c r="N139" s="7" t="s">
        <v>352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4.25" customHeight="1">
      <c r="A140" s="7" t="s">
        <v>126</v>
      </c>
      <c r="B140" s="7" t="str">
        <f t="shared" si="5"/>
        <v>3QP4DC9AP81OVR</v>
      </c>
      <c r="C140" s="7" t="s">
        <v>288</v>
      </c>
      <c r="D140" s="7" t="s">
        <v>289</v>
      </c>
      <c r="E140" s="7" t="str">
        <f t="shared" si="2"/>
        <v>#N/A</v>
      </c>
      <c r="F140" s="7" t="s">
        <v>42</v>
      </c>
      <c r="G140" s="8">
        <v>46113.0</v>
      </c>
      <c r="H140" s="8">
        <v>46113.0</v>
      </c>
      <c r="I140" s="7">
        <v>2.0411454E7</v>
      </c>
      <c r="J140" s="7" t="s">
        <v>351</v>
      </c>
      <c r="K140" s="7" t="s">
        <v>34</v>
      </c>
      <c r="L140" s="7">
        <v>844.0</v>
      </c>
      <c r="M140" s="7">
        <v>150.0</v>
      </c>
      <c r="N140" s="7" t="s">
        <v>352</v>
      </c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4.25" customHeight="1">
      <c r="A141" s="7" t="s">
        <v>137</v>
      </c>
      <c r="B141" s="7" t="str">
        <f t="shared" si="5"/>
        <v>6ND7NH6JT45OVR</v>
      </c>
      <c r="C141" s="7" t="s">
        <v>246</v>
      </c>
      <c r="D141" s="7" t="s">
        <v>247</v>
      </c>
      <c r="E141" s="7" t="str">
        <f t="shared" si="2"/>
        <v>#N/A</v>
      </c>
      <c r="F141" s="7" t="s">
        <v>78</v>
      </c>
      <c r="G141" s="8">
        <v>46113.0</v>
      </c>
      <c r="H141" s="8">
        <v>46113.0</v>
      </c>
      <c r="I141" s="7">
        <v>2.0411454E7</v>
      </c>
      <c r="J141" s="7" t="s">
        <v>351</v>
      </c>
      <c r="K141" s="7" t="s">
        <v>34</v>
      </c>
      <c r="L141" s="7">
        <v>844.0</v>
      </c>
      <c r="M141" s="7">
        <v>150.0</v>
      </c>
      <c r="N141" s="7" t="s">
        <v>352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4.25" customHeight="1">
      <c r="A142" s="7" t="s">
        <v>145</v>
      </c>
      <c r="B142" s="7" t="str">
        <f t="shared" si="5"/>
        <v>3AX5P77DK55OVR</v>
      </c>
      <c r="C142" s="7" t="s">
        <v>290</v>
      </c>
      <c r="D142" s="7" t="s">
        <v>291</v>
      </c>
      <c r="E142" s="7" t="str">
        <f t="shared" si="2"/>
        <v>#N/A</v>
      </c>
      <c r="F142" s="7" t="s">
        <v>42</v>
      </c>
      <c r="G142" s="8">
        <v>46113.0</v>
      </c>
      <c r="H142" s="8">
        <v>46113.0</v>
      </c>
      <c r="I142" s="7">
        <v>2.0411454E7</v>
      </c>
      <c r="J142" s="7" t="s">
        <v>351</v>
      </c>
      <c r="K142" s="7" t="s">
        <v>34</v>
      </c>
      <c r="L142" s="7">
        <v>844.0</v>
      </c>
      <c r="M142" s="7">
        <v>150.0</v>
      </c>
      <c r="N142" s="7" t="s">
        <v>352</v>
      </c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4.25" customHeight="1">
      <c r="A143" s="7" t="s">
        <v>165</v>
      </c>
      <c r="B143" s="7" t="str">
        <f t="shared" si="5"/>
        <v>4AV7U25PM34OVR</v>
      </c>
      <c r="C143" s="7" t="s">
        <v>269</v>
      </c>
      <c r="D143" s="7" t="s">
        <v>270</v>
      </c>
      <c r="E143" s="7" t="str">
        <f t="shared" si="2"/>
        <v>#N/A</v>
      </c>
      <c r="F143" s="7" t="s">
        <v>78</v>
      </c>
      <c r="G143" s="8">
        <v>46113.0</v>
      </c>
      <c r="H143" s="8">
        <v>46113.0</v>
      </c>
      <c r="I143" s="7">
        <v>2.0411454E7</v>
      </c>
      <c r="J143" s="7" t="s">
        <v>351</v>
      </c>
      <c r="K143" s="7" t="s">
        <v>34</v>
      </c>
      <c r="L143" s="7">
        <v>844.0</v>
      </c>
      <c r="M143" s="7">
        <v>150.0</v>
      </c>
      <c r="N143" s="7" t="s">
        <v>352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4.25" customHeight="1">
      <c r="A144" s="7" t="s">
        <v>176</v>
      </c>
      <c r="B144" s="7" t="str">
        <f t="shared" si="5"/>
        <v>3CW2AT8NX04OVR</v>
      </c>
      <c r="C144" s="7" t="s">
        <v>292</v>
      </c>
      <c r="D144" s="7" t="s">
        <v>293</v>
      </c>
      <c r="E144" s="7" t="str">
        <f t="shared" si="2"/>
        <v>#N/A</v>
      </c>
      <c r="F144" s="7" t="s">
        <v>179</v>
      </c>
      <c r="G144" s="8">
        <v>46113.0</v>
      </c>
      <c r="H144" s="8">
        <v>46113.0</v>
      </c>
      <c r="I144" s="7">
        <v>2.0411454E7</v>
      </c>
      <c r="J144" s="7" t="s">
        <v>351</v>
      </c>
      <c r="K144" s="7" t="s">
        <v>34</v>
      </c>
      <c r="L144" s="7">
        <v>844.0</v>
      </c>
      <c r="M144" s="7">
        <v>150.0</v>
      </c>
      <c r="N144" s="7" t="s">
        <v>352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4.25" customHeight="1">
      <c r="A145" s="7" t="s">
        <v>185</v>
      </c>
      <c r="B145" s="7" t="str">
        <f t="shared" si="5"/>
        <v>1H57NH3KW41OVR</v>
      </c>
      <c r="C145" s="7" t="s">
        <v>271</v>
      </c>
      <c r="D145" s="7" t="s">
        <v>272</v>
      </c>
      <c r="E145" s="7" t="str">
        <f t="shared" si="2"/>
        <v>#N/A</v>
      </c>
      <c r="F145" s="7" t="s">
        <v>78</v>
      </c>
      <c r="G145" s="8">
        <v>46113.0</v>
      </c>
      <c r="H145" s="8">
        <v>46113.0</v>
      </c>
      <c r="I145" s="7">
        <v>2.0411454E7</v>
      </c>
      <c r="J145" s="7" t="s">
        <v>351</v>
      </c>
      <c r="K145" s="7" t="s">
        <v>34</v>
      </c>
      <c r="L145" s="7">
        <v>844.0</v>
      </c>
      <c r="M145" s="7">
        <v>150.0</v>
      </c>
      <c r="N145" s="7" t="s">
        <v>352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4.25" customHeight="1">
      <c r="A146" s="7" t="s">
        <v>196</v>
      </c>
      <c r="B146" s="7" t="str">
        <f t="shared" si="5"/>
        <v>3V68T51TW22OVR</v>
      </c>
      <c r="C146" s="7" t="s">
        <v>273</v>
      </c>
      <c r="D146" s="7" t="s">
        <v>274</v>
      </c>
      <c r="E146" s="7" t="str">
        <f t="shared" si="2"/>
        <v>#N/A</v>
      </c>
      <c r="F146" s="7" t="s">
        <v>78</v>
      </c>
      <c r="G146" s="8">
        <v>46113.0</v>
      </c>
      <c r="H146" s="8">
        <v>46113.0</v>
      </c>
      <c r="I146" s="7">
        <v>2.0411454E7</v>
      </c>
      <c r="J146" s="7" t="s">
        <v>351</v>
      </c>
      <c r="K146" s="7" t="s">
        <v>34</v>
      </c>
      <c r="L146" s="7">
        <v>844.0</v>
      </c>
      <c r="M146" s="7">
        <v>150.0</v>
      </c>
      <c r="N146" s="7" t="s">
        <v>352</v>
      </c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4.25" customHeight="1">
      <c r="A147" s="7" t="s">
        <v>200</v>
      </c>
      <c r="B147" s="7" t="str">
        <f t="shared" si="5"/>
        <v>4KU2PG6JM12OVR</v>
      </c>
      <c r="C147" s="7" t="s">
        <v>275</v>
      </c>
      <c r="D147" s="7" t="s">
        <v>276</v>
      </c>
      <c r="E147" s="7" t="str">
        <f t="shared" si="2"/>
        <v>#N/A</v>
      </c>
      <c r="F147" s="7" t="s">
        <v>78</v>
      </c>
      <c r="G147" s="8">
        <v>46113.0</v>
      </c>
      <c r="H147" s="8">
        <v>46113.0</v>
      </c>
      <c r="I147" s="7">
        <v>2.0411454E7</v>
      </c>
      <c r="J147" s="7" t="s">
        <v>351</v>
      </c>
      <c r="K147" s="7" t="s">
        <v>34</v>
      </c>
      <c r="L147" s="7">
        <v>844.0</v>
      </c>
      <c r="M147" s="7">
        <v>150.0</v>
      </c>
      <c r="N147" s="7" t="s">
        <v>352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4.25" customHeight="1">
      <c r="A148" s="7" t="s">
        <v>212</v>
      </c>
      <c r="B148" s="7" t="str">
        <f t="shared" si="5"/>
        <v>1A98UT2WR31OVR</v>
      </c>
      <c r="C148" s="7" t="s">
        <v>277</v>
      </c>
      <c r="D148" s="7" t="s">
        <v>251</v>
      </c>
      <c r="E148" s="7" t="str">
        <f t="shared" si="2"/>
        <v>#N/A</v>
      </c>
      <c r="F148" s="7" t="s">
        <v>78</v>
      </c>
      <c r="G148" s="8">
        <v>46143.0</v>
      </c>
      <c r="H148" s="8">
        <v>46143.0</v>
      </c>
      <c r="I148" s="7">
        <v>2.0411454E7</v>
      </c>
      <c r="J148" s="7" t="s">
        <v>351</v>
      </c>
      <c r="K148" s="7" t="s">
        <v>34</v>
      </c>
      <c r="L148" s="7">
        <v>844.0</v>
      </c>
      <c r="M148" s="7">
        <v>150.0</v>
      </c>
      <c r="N148" s="7" t="s">
        <v>352</v>
      </c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4.25" customHeight="1">
      <c r="A149" s="7" t="s">
        <v>229</v>
      </c>
      <c r="B149" s="7" t="str">
        <f t="shared" si="5"/>
        <v>7FG7W32AU59OVR</v>
      </c>
      <c r="C149" s="7" t="s">
        <v>265</v>
      </c>
      <c r="D149" s="7" t="s">
        <v>266</v>
      </c>
      <c r="E149" s="7" t="str">
        <f t="shared" si="2"/>
        <v>#N/A</v>
      </c>
      <c r="F149" s="7" t="s">
        <v>232</v>
      </c>
      <c r="G149" s="8">
        <v>46113.0</v>
      </c>
      <c r="H149" s="8">
        <v>46113.0</v>
      </c>
      <c r="I149" s="7">
        <v>2.0411454E7</v>
      </c>
      <c r="J149" s="7" t="s">
        <v>351</v>
      </c>
      <c r="K149" s="7" t="s">
        <v>34</v>
      </c>
      <c r="L149" s="7">
        <v>844.0</v>
      </c>
      <c r="M149" s="7">
        <v>150.0</v>
      </c>
      <c r="N149" s="7" t="s">
        <v>352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4.25" customHeight="1">
      <c r="A150" s="7" t="s">
        <v>235</v>
      </c>
      <c r="B150" s="7" t="str">
        <f t="shared" si="5"/>
        <v>3R32H92GU87OVR</v>
      </c>
      <c r="C150" s="7" t="s">
        <v>263</v>
      </c>
      <c r="D150" s="7" t="s">
        <v>264</v>
      </c>
      <c r="E150" s="7" t="str">
        <f t="shared" si="2"/>
        <v>#N/A</v>
      </c>
      <c r="F150" s="7" t="s">
        <v>42</v>
      </c>
      <c r="G150" s="8">
        <v>46174.0</v>
      </c>
      <c r="H150" s="8">
        <v>46174.0</v>
      </c>
      <c r="I150" s="7">
        <v>2.0411454E7</v>
      </c>
      <c r="J150" s="7" t="s">
        <v>351</v>
      </c>
      <c r="K150" s="7" t="s">
        <v>34</v>
      </c>
      <c r="L150" s="7">
        <v>844.0</v>
      </c>
      <c r="M150" s="7">
        <v>150.0</v>
      </c>
      <c r="N150" s="7" t="s">
        <v>352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4.25" customHeight="1">
      <c r="A151" s="7" t="s">
        <v>239</v>
      </c>
      <c r="B151" s="7" t="str">
        <f t="shared" si="5"/>
        <v>6Y12J28VK28OVR</v>
      </c>
      <c r="C151" s="7" t="s">
        <v>278</v>
      </c>
      <c r="D151" s="7" t="s">
        <v>279</v>
      </c>
      <c r="E151" s="7" t="str">
        <f t="shared" si="2"/>
        <v>#N/A</v>
      </c>
      <c r="F151" s="7" t="s">
        <v>78</v>
      </c>
      <c r="G151" s="8">
        <v>46113.0</v>
      </c>
      <c r="H151" s="8">
        <v>46113.0</v>
      </c>
      <c r="I151" s="7">
        <v>2.0411454E7</v>
      </c>
      <c r="J151" s="7" t="s">
        <v>351</v>
      </c>
      <c r="K151" s="7" t="s">
        <v>34</v>
      </c>
      <c r="L151" s="7">
        <v>844.0</v>
      </c>
      <c r="M151" s="7">
        <v>150.0</v>
      </c>
      <c r="N151" s="7" t="s">
        <v>352</v>
      </c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4.25" customHeight="1">
      <c r="A152" s="7" t="s">
        <v>242</v>
      </c>
      <c r="B152" s="7" t="str">
        <f t="shared" si="5"/>
        <v>5U51TC0KN14OVR</v>
      </c>
      <c r="C152" s="7" t="s">
        <v>255</v>
      </c>
      <c r="D152" s="7" t="s">
        <v>256</v>
      </c>
      <c r="E152" s="7" t="str">
        <f t="shared" si="2"/>
        <v>#N/A</v>
      </c>
      <c r="F152" s="7" t="s">
        <v>42</v>
      </c>
      <c r="G152" s="8">
        <v>46113.0</v>
      </c>
      <c r="H152" s="8">
        <v>46113.0</v>
      </c>
      <c r="I152" s="7">
        <v>2.0411454E7</v>
      </c>
      <c r="J152" s="7" t="s">
        <v>351</v>
      </c>
      <c r="K152" s="7" t="s">
        <v>34</v>
      </c>
      <c r="L152" s="7">
        <v>844.0</v>
      </c>
      <c r="M152" s="7">
        <v>150.0</v>
      </c>
      <c r="N152" s="7" t="s">
        <v>352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4.25" customHeight="1">
      <c r="A153" s="7" t="s">
        <v>24</v>
      </c>
      <c r="B153" s="7" t="str">
        <f t="shared" si="5"/>
        <v>4EM0UJ8VG33OVR</v>
      </c>
      <c r="C153" s="7" t="s">
        <v>308</v>
      </c>
      <c r="D153" s="7" t="s">
        <v>309</v>
      </c>
      <c r="E153" s="7" t="str">
        <f t="shared" si="2"/>
        <v>#N/A</v>
      </c>
      <c r="F153" s="7" t="s">
        <v>27</v>
      </c>
      <c r="G153" s="8">
        <v>46113.0</v>
      </c>
      <c r="H153" s="8">
        <v>46113.0</v>
      </c>
      <c r="I153" s="7">
        <v>2.0411454E7</v>
      </c>
      <c r="J153" s="7" t="s">
        <v>351</v>
      </c>
      <c r="K153" s="7" t="s">
        <v>34</v>
      </c>
      <c r="L153" s="7">
        <v>931.0</v>
      </c>
      <c r="M153" s="7">
        <v>150.0</v>
      </c>
      <c r="N153" s="7" t="s">
        <v>352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4.25" customHeight="1">
      <c r="A154" s="7" t="s">
        <v>46</v>
      </c>
      <c r="B154" s="7" t="str">
        <f t="shared" si="5"/>
        <v>3PX5U97JY86OVR</v>
      </c>
      <c r="C154" s="7" t="s">
        <v>305</v>
      </c>
      <c r="D154" s="7" t="s">
        <v>295</v>
      </c>
      <c r="E154" s="7" t="str">
        <f t="shared" si="2"/>
        <v>#N/A</v>
      </c>
      <c r="F154" s="7" t="s">
        <v>27</v>
      </c>
      <c r="G154" s="8">
        <v>46143.0</v>
      </c>
      <c r="H154" s="8">
        <v>46143.0</v>
      </c>
      <c r="I154" s="7">
        <v>2.0411454E7</v>
      </c>
      <c r="J154" s="7" t="s">
        <v>351</v>
      </c>
      <c r="K154" s="7" t="s">
        <v>34</v>
      </c>
      <c r="L154" s="7">
        <v>931.0</v>
      </c>
      <c r="M154" s="7">
        <v>150.0</v>
      </c>
      <c r="N154" s="7" t="s">
        <v>352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4.25" customHeight="1">
      <c r="A155" s="7" t="s">
        <v>82</v>
      </c>
      <c r="B155" s="7" t="str">
        <f t="shared" si="5"/>
        <v>4AX3E96UD09OVR</v>
      </c>
      <c r="C155" s="7" t="s">
        <v>311</v>
      </c>
      <c r="D155" s="7" t="s">
        <v>312</v>
      </c>
      <c r="E155" s="7" t="str">
        <f t="shared" si="2"/>
        <v>#N/A</v>
      </c>
      <c r="F155" s="7" t="s">
        <v>27</v>
      </c>
      <c r="G155" s="8">
        <v>46174.0</v>
      </c>
      <c r="H155" s="8">
        <v>46174.0</v>
      </c>
      <c r="I155" s="7">
        <v>2.0411454E7</v>
      </c>
      <c r="J155" s="7" t="s">
        <v>351</v>
      </c>
      <c r="K155" s="7" t="s">
        <v>34</v>
      </c>
      <c r="L155" s="7">
        <v>931.0</v>
      </c>
      <c r="M155" s="7">
        <v>150.0</v>
      </c>
      <c r="N155" s="7" t="s">
        <v>352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4.25" customHeight="1">
      <c r="A156" s="7" t="s">
        <v>103</v>
      </c>
      <c r="B156" s="7" t="str">
        <f t="shared" si="5"/>
        <v>9JX0CX3JT01OVR</v>
      </c>
      <c r="C156" s="7" t="s">
        <v>313</v>
      </c>
      <c r="D156" s="7" t="s">
        <v>314</v>
      </c>
      <c r="E156" s="7" t="str">
        <f t="shared" si="2"/>
        <v>#N/A</v>
      </c>
      <c r="F156" s="7" t="s">
        <v>27</v>
      </c>
      <c r="G156" s="8">
        <v>46082.0</v>
      </c>
      <c r="H156" s="8">
        <v>46082.0</v>
      </c>
      <c r="I156" s="7">
        <v>2.0411454E7</v>
      </c>
      <c r="J156" s="7" t="s">
        <v>351</v>
      </c>
      <c r="K156" s="7" t="s">
        <v>34</v>
      </c>
      <c r="L156" s="7">
        <v>931.0</v>
      </c>
      <c r="M156" s="7">
        <v>150.0</v>
      </c>
      <c r="N156" s="7" t="s">
        <v>352</v>
      </c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4.25" customHeight="1">
      <c r="A157" s="7" t="s">
        <v>142</v>
      </c>
      <c r="B157" s="7" t="str">
        <f t="shared" si="5"/>
        <v>4UY7J83RP49OVR</v>
      </c>
      <c r="C157" s="7" t="s">
        <v>315</v>
      </c>
      <c r="D157" s="7" t="s">
        <v>316</v>
      </c>
      <c r="E157" s="7" t="str">
        <f t="shared" si="2"/>
        <v>#N/A</v>
      </c>
      <c r="F157" s="7" t="s">
        <v>27</v>
      </c>
      <c r="G157" s="8">
        <v>46082.0</v>
      </c>
      <c r="H157" s="8">
        <v>46082.0</v>
      </c>
      <c r="I157" s="7">
        <v>2.0411454E7</v>
      </c>
      <c r="J157" s="7" t="s">
        <v>351</v>
      </c>
      <c r="K157" s="7" t="s">
        <v>34</v>
      </c>
      <c r="L157" s="7">
        <v>931.0</v>
      </c>
      <c r="M157" s="7">
        <v>150.0</v>
      </c>
      <c r="N157" s="7" t="s">
        <v>352</v>
      </c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4.25" customHeight="1">
      <c r="A158" s="7" t="s">
        <v>149</v>
      </c>
      <c r="B158" s="7" t="str">
        <f t="shared" si="5"/>
        <v>8HW5VR6UD98OVR</v>
      </c>
      <c r="C158" s="7" t="s">
        <v>317</v>
      </c>
      <c r="D158" s="7" t="s">
        <v>318</v>
      </c>
      <c r="E158" s="7" t="str">
        <f t="shared" si="2"/>
        <v>#N/A</v>
      </c>
      <c r="F158" s="7" t="s">
        <v>27</v>
      </c>
      <c r="G158" s="8">
        <v>46113.0</v>
      </c>
      <c r="H158" s="8">
        <v>46113.0</v>
      </c>
      <c r="I158" s="7">
        <v>2.0411454E7</v>
      </c>
      <c r="J158" s="7" t="s">
        <v>351</v>
      </c>
      <c r="K158" s="7" t="s">
        <v>34</v>
      </c>
      <c r="L158" s="7">
        <v>931.0</v>
      </c>
      <c r="M158" s="7">
        <v>150.0</v>
      </c>
      <c r="N158" s="7" t="s">
        <v>352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4.25" customHeight="1">
      <c r="A159" s="7" t="s">
        <v>152</v>
      </c>
      <c r="B159" s="7" t="str">
        <f t="shared" si="5"/>
        <v>6UD9A75JD53OVR</v>
      </c>
      <c r="C159" s="7" t="s">
        <v>306</v>
      </c>
      <c r="D159" s="7" t="s">
        <v>307</v>
      </c>
      <c r="E159" s="7" t="str">
        <f t="shared" si="2"/>
        <v>#N/A</v>
      </c>
      <c r="F159" s="7" t="s">
        <v>27</v>
      </c>
      <c r="G159" s="8">
        <v>46113.0</v>
      </c>
      <c r="H159" s="8">
        <v>46113.0</v>
      </c>
      <c r="I159" s="7">
        <v>2.0411454E7</v>
      </c>
      <c r="J159" s="7" t="s">
        <v>351</v>
      </c>
      <c r="K159" s="7" t="s">
        <v>34</v>
      </c>
      <c r="L159" s="7">
        <v>931.0</v>
      </c>
      <c r="M159" s="7">
        <v>150.0</v>
      </c>
      <c r="N159" s="7" t="s">
        <v>352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4.25" customHeight="1">
      <c r="A160" s="7" t="s">
        <v>162</v>
      </c>
      <c r="B160" s="7" t="str">
        <f t="shared" si="5"/>
        <v>9VH1N08JN95OVR</v>
      </c>
      <c r="C160" s="7" t="s">
        <v>319</v>
      </c>
      <c r="D160" s="7" t="s">
        <v>274</v>
      </c>
      <c r="E160" s="7" t="str">
        <f t="shared" si="2"/>
        <v>#N/A</v>
      </c>
      <c r="F160" s="7" t="s">
        <v>27</v>
      </c>
      <c r="G160" s="8">
        <v>46113.0</v>
      </c>
      <c r="H160" s="8">
        <v>46113.0</v>
      </c>
      <c r="I160" s="7">
        <v>2.0411454E7</v>
      </c>
      <c r="J160" s="7" t="s">
        <v>351</v>
      </c>
      <c r="K160" s="7" t="s">
        <v>34</v>
      </c>
      <c r="L160" s="7">
        <v>931.0</v>
      </c>
      <c r="M160" s="7">
        <v>150.0</v>
      </c>
      <c r="N160" s="7" t="s">
        <v>352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4.25" customHeight="1">
      <c r="A161" s="7" t="s">
        <v>193</v>
      </c>
      <c r="B161" s="7" t="str">
        <f t="shared" si="5"/>
        <v>1E81PD5NN97OVR</v>
      </c>
      <c r="C161" s="7" t="s">
        <v>320</v>
      </c>
      <c r="D161" s="7" t="s">
        <v>321</v>
      </c>
      <c r="E161" s="7" t="str">
        <f t="shared" si="2"/>
        <v>#N/A</v>
      </c>
      <c r="F161" s="7" t="s">
        <v>27</v>
      </c>
      <c r="G161" s="8">
        <v>46082.0</v>
      </c>
      <c r="H161" s="8">
        <v>46082.0</v>
      </c>
      <c r="I161" s="7">
        <v>2.0411454E7</v>
      </c>
      <c r="J161" s="7" t="s">
        <v>351</v>
      </c>
      <c r="K161" s="7" t="s">
        <v>34</v>
      </c>
      <c r="L161" s="7">
        <v>931.0</v>
      </c>
      <c r="M161" s="7">
        <v>150.0</v>
      </c>
      <c r="N161" s="7" t="s">
        <v>352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4.25" customHeight="1">
      <c r="A162" s="7" t="s">
        <v>208</v>
      </c>
      <c r="B162" s="7" t="str">
        <f t="shared" si="5"/>
        <v>2CX0GD3DY26OVR</v>
      </c>
      <c r="C162" s="7" t="s">
        <v>300</v>
      </c>
      <c r="D162" s="7" t="s">
        <v>301</v>
      </c>
      <c r="E162" s="7" t="str">
        <f t="shared" si="2"/>
        <v>#N/A</v>
      </c>
      <c r="F162" s="7" t="s">
        <v>27</v>
      </c>
      <c r="G162" s="8">
        <v>46082.0</v>
      </c>
      <c r="H162" s="8">
        <v>46082.0</v>
      </c>
      <c r="I162" s="7">
        <v>2.0411454E7</v>
      </c>
      <c r="J162" s="7" t="s">
        <v>351</v>
      </c>
      <c r="K162" s="7" t="s">
        <v>34</v>
      </c>
      <c r="L162" s="7">
        <v>931.0</v>
      </c>
      <c r="M162" s="7">
        <v>150.0</v>
      </c>
      <c r="N162" s="7" t="s">
        <v>352</v>
      </c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4.25" customHeight="1">
      <c r="A163" s="7" t="s">
        <v>130</v>
      </c>
      <c r="B163" s="7" t="str">
        <f t="shared" si="5"/>
        <v>4Q52K22QY93OVR</v>
      </c>
      <c r="C163" s="7" t="s">
        <v>294</v>
      </c>
      <c r="D163" s="7" t="s">
        <v>295</v>
      </c>
      <c r="E163" s="7" t="str">
        <f t="shared" si="2"/>
        <v>#N/A</v>
      </c>
      <c r="F163" s="7" t="s">
        <v>133</v>
      </c>
      <c r="G163" s="8">
        <v>46113.0</v>
      </c>
      <c r="H163" s="8">
        <v>46113.0</v>
      </c>
      <c r="I163" s="7">
        <v>2.0411454E7</v>
      </c>
      <c r="J163" s="7" t="s">
        <v>351</v>
      </c>
      <c r="K163" s="7" t="s">
        <v>34</v>
      </c>
      <c r="L163" s="7">
        <v>1039.0</v>
      </c>
      <c r="M163" s="7">
        <v>175.0</v>
      </c>
      <c r="N163" s="7" t="s">
        <v>352</v>
      </c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4.25" customHeight="1">
      <c r="G164" s="2"/>
      <c r="H164" s="2"/>
    </row>
    <row r="165" ht="14.25" customHeight="1">
      <c r="G165" s="2"/>
      <c r="H165" s="2"/>
    </row>
    <row r="166" ht="14.25" customHeight="1">
      <c r="G166" s="2"/>
      <c r="H166" s="2"/>
    </row>
    <row r="167" ht="14.25" customHeight="1">
      <c r="G167" s="2"/>
      <c r="H167" s="2"/>
    </row>
    <row r="168" ht="14.25" customHeight="1">
      <c r="G168" s="2"/>
      <c r="H168" s="2"/>
    </row>
    <row r="169" ht="14.25" customHeight="1">
      <c r="G169" s="2"/>
      <c r="H169" s="2"/>
    </row>
    <row r="170" ht="14.25" customHeight="1">
      <c r="G170" s="2"/>
      <c r="H170" s="2"/>
    </row>
    <row r="171" ht="14.25" customHeight="1">
      <c r="G171" s="2"/>
      <c r="H171" s="2"/>
    </row>
    <row r="172" ht="14.25" customHeight="1">
      <c r="G172" s="2"/>
      <c r="H172" s="2"/>
    </row>
    <row r="173" ht="14.25" customHeight="1">
      <c r="G173" s="2"/>
      <c r="H173" s="2"/>
    </row>
    <row r="174" ht="14.25" customHeight="1">
      <c r="G174" s="2"/>
      <c r="H174" s="2"/>
    </row>
    <row r="175" ht="14.25" customHeight="1">
      <c r="G175" s="2"/>
      <c r="H175" s="2"/>
    </row>
    <row r="176" ht="14.25" customHeight="1">
      <c r="G176" s="2"/>
      <c r="H176" s="2"/>
    </row>
    <row r="177" ht="14.25" customHeight="1">
      <c r="G177" s="2"/>
      <c r="H177" s="2"/>
    </row>
    <row r="178" ht="14.25" customHeight="1">
      <c r="G178" s="2"/>
      <c r="H178" s="2"/>
    </row>
    <row r="179" ht="14.25" customHeight="1">
      <c r="G179" s="2"/>
      <c r="H179" s="2"/>
    </row>
    <row r="180" ht="14.25" customHeight="1">
      <c r="G180" s="2"/>
      <c r="H180" s="2"/>
    </row>
    <row r="181" ht="14.25" customHeight="1">
      <c r="G181" s="2"/>
      <c r="H181" s="2"/>
    </row>
    <row r="182" ht="14.25" customHeight="1">
      <c r="G182" s="2"/>
      <c r="H182" s="2"/>
    </row>
    <row r="183" ht="14.25" customHeight="1">
      <c r="G183" s="2"/>
      <c r="H183" s="2"/>
    </row>
    <row r="184" ht="14.25" customHeight="1">
      <c r="G184" s="2"/>
      <c r="H184" s="2"/>
    </row>
    <row r="185" ht="14.25" customHeight="1">
      <c r="G185" s="2"/>
      <c r="H185" s="2"/>
    </row>
    <row r="186" ht="14.25" customHeight="1">
      <c r="G186" s="2"/>
      <c r="H186" s="2"/>
    </row>
    <row r="187" ht="14.25" customHeight="1">
      <c r="G187" s="2"/>
      <c r="H187" s="2"/>
    </row>
    <row r="188" ht="14.25" customHeight="1">
      <c r="G188" s="2"/>
      <c r="H188" s="2"/>
    </row>
    <row r="189" ht="14.25" customHeight="1">
      <c r="G189" s="2"/>
      <c r="H189" s="2"/>
    </row>
    <row r="190" ht="14.25" customHeight="1">
      <c r="G190" s="2"/>
      <c r="H190" s="2"/>
    </row>
    <row r="191" ht="14.25" customHeight="1">
      <c r="G191" s="2"/>
      <c r="H191" s="2"/>
    </row>
    <row r="192" ht="14.25" customHeight="1">
      <c r="G192" s="2"/>
      <c r="H192" s="2"/>
    </row>
    <row r="193" ht="14.25" customHeight="1">
      <c r="G193" s="2"/>
      <c r="H193" s="2"/>
    </row>
    <row r="194" ht="14.25" customHeight="1">
      <c r="G194" s="2"/>
      <c r="H194" s="2"/>
    </row>
    <row r="195" ht="14.25" customHeight="1">
      <c r="G195" s="2"/>
      <c r="H195" s="2"/>
    </row>
    <row r="196" ht="14.25" customHeight="1">
      <c r="G196" s="2"/>
      <c r="H196" s="2"/>
    </row>
    <row r="197" ht="14.25" customHeight="1">
      <c r="G197" s="2"/>
      <c r="H197" s="2"/>
    </row>
    <row r="198" ht="14.25" customHeight="1">
      <c r="G198" s="2"/>
      <c r="H198" s="2"/>
    </row>
    <row r="199" ht="14.25" customHeight="1">
      <c r="G199" s="2"/>
      <c r="H199" s="2"/>
    </row>
    <row r="200" ht="14.25" customHeight="1">
      <c r="G200" s="2"/>
      <c r="H200" s="2"/>
    </row>
    <row r="201" ht="14.25" customHeight="1">
      <c r="G201" s="2"/>
      <c r="H201" s="2"/>
    </row>
    <row r="202" ht="14.25" customHeight="1">
      <c r="G202" s="2"/>
      <c r="H202" s="2"/>
    </row>
    <row r="203" ht="14.25" customHeight="1">
      <c r="G203" s="2"/>
      <c r="H203" s="2"/>
    </row>
    <row r="204" ht="14.25" customHeight="1">
      <c r="G204" s="2"/>
      <c r="H204" s="2"/>
    </row>
    <row r="205" ht="14.25" customHeight="1">
      <c r="G205" s="2"/>
      <c r="H205" s="2"/>
    </row>
    <row r="206" ht="14.25" customHeight="1">
      <c r="G206" s="2"/>
      <c r="H206" s="2"/>
    </row>
    <row r="207" ht="14.25" customHeight="1">
      <c r="G207" s="2"/>
      <c r="H207" s="2"/>
    </row>
    <row r="208" ht="14.25" customHeight="1">
      <c r="G208" s="2"/>
      <c r="H208" s="2"/>
    </row>
    <row r="209" ht="14.25" customHeight="1">
      <c r="G209" s="2"/>
      <c r="H209" s="2"/>
    </row>
    <row r="210" ht="14.25" customHeight="1">
      <c r="G210" s="2"/>
      <c r="H210" s="2"/>
    </row>
    <row r="211" ht="14.25" customHeight="1">
      <c r="G211" s="2"/>
      <c r="H211" s="2"/>
    </row>
    <row r="212" ht="14.25" customHeight="1">
      <c r="G212" s="2"/>
      <c r="H212" s="2"/>
    </row>
    <row r="213" ht="14.25" customHeight="1">
      <c r="G213" s="2"/>
      <c r="H213" s="2"/>
    </row>
    <row r="214" ht="14.25" customHeight="1">
      <c r="G214" s="2"/>
      <c r="H214" s="2"/>
    </row>
    <row r="215" ht="14.25" customHeight="1">
      <c r="G215" s="2"/>
      <c r="H215" s="2"/>
    </row>
    <row r="216" ht="14.25" customHeight="1">
      <c r="G216" s="2"/>
      <c r="H216" s="2"/>
    </row>
    <row r="217" ht="14.25" customHeight="1">
      <c r="G217" s="2"/>
      <c r="H217" s="2"/>
    </row>
    <row r="218" ht="14.25" customHeight="1">
      <c r="G218" s="2"/>
      <c r="H218" s="2"/>
    </row>
    <row r="219" ht="14.25" customHeight="1">
      <c r="G219" s="2"/>
      <c r="H219" s="2"/>
    </row>
    <row r="220" ht="14.25" customHeight="1">
      <c r="G220" s="2"/>
      <c r="H220" s="2"/>
    </row>
    <row r="221" ht="14.25" customHeight="1">
      <c r="G221" s="2"/>
      <c r="H221" s="2"/>
    </row>
    <row r="222" ht="14.25" customHeight="1">
      <c r="G222" s="2"/>
      <c r="H222" s="2"/>
    </row>
    <row r="223" ht="14.25" customHeight="1">
      <c r="G223" s="2"/>
      <c r="H223" s="2"/>
    </row>
    <row r="224" ht="14.25" customHeight="1">
      <c r="G224" s="2"/>
      <c r="H224" s="2"/>
    </row>
    <row r="225" ht="14.25" customHeight="1">
      <c r="G225" s="2"/>
      <c r="H225" s="2"/>
    </row>
    <row r="226" ht="14.25" customHeight="1">
      <c r="G226" s="2"/>
      <c r="H226" s="2"/>
    </row>
    <row r="227" ht="14.25" customHeight="1">
      <c r="G227" s="2"/>
      <c r="H227" s="2"/>
    </row>
    <row r="228" ht="14.25" customHeight="1">
      <c r="G228" s="2"/>
      <c r="H228" s="2"/>
    </row>
    <row r="229" ht="14.25" customHeight="1">
      <c r="G229" s="2"/>
      <c r="H229" s="2"/>
    </row>
    <row r="230" ht="14.25" customHeight="1">
      <c r="G230" s="2"/>
      <c r="H230" s="2"/>
    </row>
    <row r="231" ht="14.25" customHeight="1">
      <c r="G231" s="2"/>
      <c r="H231" s="2"/>
    </row>
    <row r="232" ht="14.25" customHeight="1">
      <c r="G232" s="2"/>
      <c r="H232" s="2"/>
    </row>
    <row r="233" ht="14.25" customHeight="1">
      <c r="G233" s="2"/>
      <c r="H233" s="2"/>
    </row>
    <row r="234" ht="14.25" customHeight="1">
      <c r="G234" s="2"/>
      <c r="H234" s="2"/>
    </row>
    <row r="235" ht="14.25" customHeight="1">
      <c r="G235" s="2"/>
      <c r="H235" s="2"/>
    </row>
    <row r="236" ht="14.25" customHeight="1">
      <c r="G236" s="2"/>
      <c r="H236" s="2"/>
    </row>
    <row r="237" ht="14.25" customHeight="1">
      <c r="G237" s="2"/>
      <c r="H237" s="2"/>
    </row>
    <row r="238" ht="14.25" customHeight="1">
      <c r="G238" s="2"/>
      <c r="H238" s="2"/>
    </row>
    <row r="239" ht="14.25" customHeight="1">
      <c r="G239" s="2"/>
      <c r="H239" s="2"/>
    </row>
    <row r="240" ht="14.25" customHeight="1">
      <c r="G240" s="2"/>
      <c r="H240" s="2"/>
    </row>
    <row r="241" ht="14.25" customHeight="1">
      <c r="G241" s="2"/>
      <c r="H241" s="2"/>
    </row>
    <row r="242" ht="14.25" customHeight="1">
      <c r="G242" s="2"/>
      <c r="H242" s="2"/>
    </row>
    <row r="243" ht="14.25" customHeight="1">
      <c r="G243" s="2"/>
      <c r="H243" s="2"/>
    </row>
    <row r="244" ht="14.25" customHeight="1">
      <c r="G244" s="2"/>
      <c r="H244" s="2"/>
    </row>
    <row r="245" ht="14.25" customHeight="1">
      <c r="G245" s="2"/>
      <c r="H245" s="2"/>
    </row>
    <row r="246" ht="14.25" customHeight="1">
      <c r="G246" s="2"/>
      <c r="H246" s="2"/>
    </row>
    <row r="247" ht="14.25" customHeight="1">
      <c r="G247" s="2"/>
      <c r="H247" s="2"/>
    </row>
    <row r="248" ht="14.25" customHeight="1">
      <c r="G248" s="2"/>
      <c r="H248" s="2"/>
    </row>
    <row r="249" ht="14.25" customHeight="1">
      <c r="G249" s="2"/>
      <c r="H249" s="2"/>
    </row>
    <row r="250" ht="14.25" customHeight="1">
      <c r="G250" s="2"/>
      <c r="H250" s="2"/>
    </row>
    <row r="251" ht="14.25" customHeight="1">
      <c r="G251" s="2"/>
      <c r="H251" s="2"/>
    </row>
    <row r="252" ht="14.25" customHeight="1">
      <c r="G252" s="2"/>
      <c r="H252" s="2"/>
    </row>
    <row r="253" ht="14.25" customHeight="1">
      <c r="G253" s="2"/>
      <c r="H253" s="2"/>
    </row>
    <row r="254" ht="14.25" customHeight="1">
      <c r="G254" s="2"/>
      <c r="H254" s="2"/>
    </row>
    <row r="255" ht="14.25" customHeight="1">
      <c r="G255" s="2"/>
      <c r="H255" s="2"/>
    </row>
    <row r="256" ht="14.25" customHeight="1">
      <c r="G256" s="2"/>
      <c r="H256" s="2"/>
    </row>
    <row r="257" ht="14.25" customHeight="1">
      <c r="G257" s="2"/>
      <c r="H257" s="2"/>
    </row>
    <row r="258" ht="14.25" customHeight="1">
      <c r="G258" s="2"/>
      <c r="H258" s="2"/>
    </row>
    <row r="259" ht="14.25" customHeight="1">
      <c r="G259" s="2"/>
      <c r="H259" s="2"/>
    </row>
    <row r="260" ht="14.25" customHeight="1">
      <c r="G260" s="2"/>
      <c r="H260" s="2"/>
    </row>
    <row r="261" ht="14.25" customHeight="1">
      <c r="G261" s="2"/>
      <c r="H261" s="2"/>
    </row>
    <row r="262" ht="14.25" customHeight="1">
      <c r="G262" s="2"/>
      <c r="H262" s="2"/>
    </row>
    <row r="263" ht="14.25" customHeight="1">
      <c r="G263" s="2"/>
      <c r="H263" s="2"/>
    </row>
    <row r="264" ht="14.25" customHeight="1">
      <c r="G264" s="2"/>
      <c r="H264" s="2"/>
    </row>
    <row r="265" ht="14.25" customHeight="1">
      <c r="G265" s="2"/>
      <c r="H265" s="2"/>
    </row>
    <row r="266" ht="14.25" customHeight="1">
      <c r="G266" s="2"/>
      <c r="H266" s="2"/>
    </row>
    <row r="267" ht="14.25" customHeight="1">
      <c r="G267" s="2"/>
      <c r="H267" s="2"/>
    </row>
    <row r="268" ht="14.25" customHeight="1">
      <c r="G268" s="2"/>
      <c r="H268" s="2"/>
    </row>
    <row r="269" ht="14.25" customHeight="1">
      <c r="G269" s="2"/>
      <c r="H269" s="2"/>
    </row>
    <row r="270" ht="14.25" customHeight="1">
      <c r="G270" s="2"/>
      <c r="H270" s="2"/>
    </row>
    <row r="271" ht="14.25" customHeight="1">
      <c r="G271" s="2"/>
      <c r="H271" s="2"/>
    </row>
    <row r="272" ht="14.25" customHeight="1">
      <c r="G272" s="2"/>
      <c r="H272" s="2"/>
    </row>
    <row r="273" ht="14.25" customHeight="1">
      <c r="G273" s="2"/>
      <c r="H273" s="2"/>
    </row>
    <row r="274" ht="14.25" customHeight="1">
      <c r="G274" s="2"/>
      <c r="H274" s="2"/>
    </row>
    <row r="275" ht="14.25" customHeight="1">
      <c r="G275" s="2"/>
      <c r="H275" s="2"/>
    </row>
    <row r="276" ht="14.25" customHeight="1">
      <c r="G276" s="2"/>
      <c r="H276" s="2"/>
    </row>
    <row r="277" ht="14.25" customHeight="1">
      <c r="G277" s="2"/>
      <c r="H277" s="2"/>
    </row>
    <row r="278" ht="14.25" customHeight="1">
      <c r="G278" s="2"/>
      <c r="H278" s="2"/>
    </row>
    <row r="279" ht="14.25" customHeight="1">
      <c r="G279" s="2"/>
      <c r="H279" s="2"/>
    </row>
    <row r="280" ht="14.25" customHeight="1">
      <c r="G280" s="2"/>
      <c r="H280" s="2"/>
    </row>
    <row r="281" ht="14.25" customHeight="1">
      <c r="G281" s="2"/>
      <c r="H281" s="2"/>
    </row>
    <row r="282" ht="14.25" customHeight="1">
      <c r="G282" s="2"/>
      <c r="H282" s="2"/>
    </row>
    <row r="283" ht="14.25" customHeight="1">
      <c r="G283" s="2"/>
      <c r="H283" s="2"/>
    </row>
    <row r="284" ht="14.25" customHeight="1">
      <c r="G284" s="2"/>
      <c r="H284" s="2"/>
    </row>
    <row r="285" ht="14.25" customHeight="1">
      <c r="G285" s="2"/>
      <c r="H285" s="2"/>
    </row>
    <row r="286" ht="14.25" customHeight="1">
      <c r="G286" s="2"/>
      <c r="H286" s="2"/>
    </row>
    <row r="287" ht="14.25" customHeight="1">
      <c r="G287" s="2"/>
      <c r="H287" s="2"/>
    </row>
    <row r="288" ht="14.25" customHeight="1">
      <c r="G288" s="2"/>
      <c r="H288" s="2"/>
    </row>
    <row r="289" ht="14.25" customHeight="1">
      <c r="G289" s="2"/>
      <c r="H289" s="2"/>
    </row>
    <row r="290" ht="14.25" customHeight="1">
      <c r="G290" s="2"/>
      <c r="H290" s="2"/>
    </row>
    <row r="291" ht="14.25" customHeight="1">
      <c r="G291" s="2"/>
      <c r="H291" s="2"/>
    </row>
    <row r="292" ht="14.25" customHeight="1">
      <c r="G292" s="2"/>
      <c r="H292" s="2"/>
    </row>
    <row r="293" ht="14.25" customHeight="1">
      <c r="G293" s="2"/>
      <c r="H293" s="2"/>
    </row>
    <row r="294" ht="14.25" customHeight="1">
      <c r="G294" s="2"/>
      <c r="H294" s="2"/>
    </row>
    <row r="295" ht="14.25" customHeight="1">
      <c r="G295" s="2"/>
      <c r="H295" s="2"/>
    </row>
    <row r="296" ht="14.25" customHeight="1">
      <c r="G296" s="2"/>
      <c r="H296" s="2"/>
    </row>
    <row r="297" ht="14.25" customHeight="1">
      <c r="G297" s="2"/>
      <c r="H297" s="2"/>
    </row>
    <row r="298" ht="14.25" customHeight="1">
      <c r="G298" s="2"/>
      <c r="H298" s="2"/>
    </row>
    <row r="299" ht="14.25" customHeight="1">
      <c r="G299" s="2"/>
      <c r="H299" s="2"/>
    </row>
    <row r="300" ht="14.25" customHeight="1">
      <c r="G300" s="2"/>
      <c r="H300" s="2"/>
    </row>
    <row r="301" ht="14.25" customHeight="1">
      <c r="G301" s="2"/>
      <c r="H301" s="2"/>
    </row>
    <row r="302" ht="14.25" customHeight="1">
      <c r="G302" s="2"/>
      <c r="H302" s="2"/>
    </row>
    <row r="303" ht="14.25" customHeight="1">
      <c r="G303" s="2"/>
      <c r="H303" s="2"/>
    </row>
    <row r="304" ht="14.25" customHeight="1">
      <c r="G304" s="2"/>
      <c r="H304" s="2"/>
    </row>
    <row r="305" ht="14.25" customHeight="1">
      <c r="G305" s="2"/>
      <c r="H305" s="2"/>
    </row>
    <row r="306" ht="14.25" customHeight="1">
      <c r="G306" s="2"/>
      <c r="H306" s="2"/>
    </row>
    <row r="307" ht="14.25" customHeight="1">
      <c r="G307" s="2"/>
      <c r="H307" s="2"/>
    </row>
    <row r="308" ht="14.25" customHeight="1">
      <c r="G308" s="2"/>
      <c r="H308" s="2"/>
    </row>
    <row r="309" ht="14.25" customHeight="1">
      <c r="G309" s="2"/>
      <c r="H309" s="2"/>
    </row>
    <row r="310" ht="14.25" customHeight="1">
      <c r="G310" s="2"/>
      <c r="H310" s="2"/>
    </row>
    <row r="311" ht="14.25" customHeight="1">
      <c r="G311" s="2"/>
      <c r="H311" s="2"/>
    </row>
    <row r="312" ht="14.25" customHeight="1">
      <c r="G312" s="2"/>
      <c r="H312" s="2"/>
    </row>
    <row r="313" ht="14.25" customHeight="1">
      <c r="G313" s="2"/>
      <c r="H313" s="2"/>
    </row>
    <row r="314" ht="14.25" customHeight="1">
      <c r="G314" s="2"/>
      <c r="H314" s="2"/>
    </row>
    <row r="315" ht="14.25" customHeight="1">
      <c r="G315" s="2"/>
      <c r="H315" s="2"/>
    </row>
    <row r="316" ht="14.25" customHeight="1">
      <c r="G316" s="2"/>
      <c r="H316" s="2"/>
    </row>
    <row r="317" ht="14.25" customHeight="1">
      <c r="G317" s="2"/>
      <c r="H317" s="2"/>
    </row>
    <row r="318" ht="14.25" customHeight="1">
      <c r="G318" s="2"/>
      <c r="H318" s="2"/>
    </row>
    <row r="319" ht="14.25" customHeight="1">
      <c r="G319" s="2"/>
      <c r="H319" s="2"/>
    </row>
    <row r="320" ht="14.25" customHeight="1">
      <c r="G320" s="2"/>
      <c r="H320" s="2"/>
    </row>
    <row r="321" ht="14.25" customHeight="1">
      <c r="G321" s="2"/>
      <c r="H321" s="2"/>
    </row>
    <row r="322" ht="14.25" customHeight="1">
      <c r="G322" s="2"/>
      <c r="H322" s="2"/>
    </row>
    <row r="323" ht="14.25" customHeight="1">
      <c r="G323" s="2"/>
      <c r="H323" s="2"/>
    </row>
    <row r="324" ht="14.25" customHeight="1">
      <c r="G324" s="2"/>
      <c r="H324" s="2"/>
    </row>
    <row r="325" ht="14.25" customHeight="1">
      <c r="G325" s="2"/>
      <c r="H325" s="2"/>
    </row>
    <row r="326" ht="14.25" customHeight="1">
      <c r="G326" s="2"/>
      <c r="H326" s="2"/>
    </row>
    <row r="327" ht="14.25" customHeight="1">
      <c r="G327" s="2"/>
      <c r="H327" s="2"/>
    </row>
    <row r="328" ht="14.25" customHeight="1">
      <c r="G328" s="2"/>
      <c r="H328" s="2"/>
    </row>
    <row r="329" ht="14.25" customHeight="1">
      <c r="G329" s="2"/>
      <c r="H329" s="2"/>
    </row>
    <row r="330" ht="14.25" customHeight="1">
      <c r="G330" s="2"/>
      <c r="H330" s="2"/>
    </row>
    <row r="331" ht="14.25" customHeight="1">
      <c r="G331" s="2"/>
      <c r="H331" s="2"/>
    </row>
    <row r="332" ht="14.25" customHeight="1">
      <c r="G332" s="2"/>
      <c r="H332" s="2"/>
    </row>
    <row r="333" ht="14.25" customHeight="1">
      <c r="G333" s="2"/>
      <c r="H333" s="2"/>
    </row>
    <row r="334" ht="14.25" customHeight="1">
      <c r="G334" s="2"/>
      <c r="H334" s="2"/>
    </row>
    <row r="335" ht="14.25" customHeight="1">
      <c r="G335" s="2"/>
      <c r="H335" s="2"/>
    </row>
    <row r="336" ht="14.25" customHeight="1">
      <c r="G336" s="2"/>
      <c r="H336" s="2"/>
    </row>
    <row r="337" ht="14.25" customHeight="1">
      <c r="G337" s="2"/>
      <c r="H337" s="2"/>
    </row>
    <row r="338" ht="14.25" customHeight="1">
      <c r="G338" s="2"/>
      <c r="H338" s="2"/>
    </row>
    <row r="339" ht="14.25" customHeight="1">
      <c r="G339" s="2"/>
      <c r="H339" s="2"/>
    </row>
    <row r="340" ht="14.25" customHeight="1">
      <c r="G340" s="2"/>
      <c r="H340" s="2"/>
    </row>
    <row r="341" ht="14.25" customHeight="1">
      <c r="G341" s="2"/>
      <c r="H341" s="2"/>
    </row>
    <row r="342" ht="14.25" customHeight="1">
      <c r="G342" s="2"/>
      <c r="H342" s="2"/>
    </row>
    <row r="343" ht="14.25" customHeight="1">
      <c r="G343" s="2"/>
      <c r="H343" s="2"/>
    </row>
    <row r="344" ht="14.25" customHeight="1">
      <c r="G344" s="2"/>
      <c r="H344" s="2"/>
    </row>
    <row r="345" ht="14.25" customHeight="1">
      <c r="G345" s="2"/>
      <c r="H345" s="2"/>
    </row>
    <row r="346" ht="14.25" customHeight="1">
      <c r="G346" s="2"/>
      <c r="H346" s="2"/>
    </row>
    <row r="347" ht="14.25" customHeight="1">
      <c r="G347" s="2"/>
      <c r="H347" s="2"/>
    </row>
    <row r="348" ht="14.25" customHeight="1">
      <c r="G348" s="2"/>
      <c r="H348" s="2"/>
    </row>
    <row r="349" ht="14.25" customHeight="1">
      <c r="G349" s="2"/>
      <c r="H349" s="2"/>
    </row>
    <row r="350" ht="14.25" customHeight="1">
      <c r="G350" s="2"/>
      <c r="H350" s="2"/>
    </row>
    <row r="351" ht="14.25" customHeight="1">
      <c r="G351" s="2"/>
      <c r="H351" s="2"/>
    </row>
    <row r="352" ht="14.25" customHeight="1">
      <c r="G352" s="2"/>
      <c r="H352" s="2"/>
    </row>
    <row r="353" ht="14.25" customHeight="1">
      <c r="G353" s="2"/>
      <c r="H353" s="2"/>
    </row>
    <row r="354" ht="14.25" customHeight="1">
      <c r="G354" s="2"/>
      <c r="H354" s="2"/>
    </row>
    <row r="355" ht="14.25" customHeight="1">
      <c r="G355" s="2"/>
      <c r="H355" s="2"/>
    </row>
    <row r="356" ht="14.25" customHeight="1">
      <c r="G356" s="2"/>
      <c r="H356" s="2"/>
    </row>
    <row r="357" ht="14.25" customHeight="1">
      <c r="G357" s="2"/>
      <c r="H357" s="2"/>
    </row>
    <row r="358" ht="14.25" customHeight="1">
      <c r="G358" s="2"/>
      <c r="H358" s="2"/>
    </row>
    <row r="359" ht="14.25" customHeight="1">
      <c r="G359" s="2"/>
      <c r="H359" s="2"/>
    </row>
    <row r="360" ht="14.25" customHeight="1">
      <c r="G360" s="2"/>
      <c r="H360" s="2"/>
    </row>
    <row r="361" ht="14.25" customHeight="1">
      <c r="G361" s="2"/>
      <c r="H361" s="2"/>
    </row>
    <row r="362" ht="14.25" customHeight="1">
      <c r="G362" s="2"/>
      <c r="H362" s="2"/>
    </row>
    <row r="363" ht="14.25" customHeight="1">
      <c r="G363" s="2"/>
      <c r="H363" s="2"/>
    </row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2026-04-23T13:23:10Z</dcterms:created>
  <dc:creator>Admin</dc:creator>
</cp:coreProperties>
</file>