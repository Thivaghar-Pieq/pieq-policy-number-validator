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etna Mapd\2026 Statements\2026-05-05\"/>
    </mc:Choice>
  </mc:AlternateContent>
  <xr:revisionPtr revIDLastSave="0" documentId="13_ncr:1_{60B8067F-8F3D-4BBF-AE5D-14DCACA36209}" xr6:coauthVersionLast="47" xr6:coauthVersionMax="47" xr10:uidLastSave="{00000000-0000-0000-0000-000000000000}"/>
  <bookViews>
    <workbookView xWindow="28680" yWindow="-30" windowWidth="29040" windowHeight="16440" activeTab="1" xr2:uid="{5B378381-27F3-4E2A-9B5A-1F5FB3BC9A8A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M25" i="2"/>
  <c r="M24" i="2"/>
  <c r="M23" i="2"/>
  <c r="M22" i="2"/>
  <c r="M21" i="2"/>
  <c r="M20" i="2"/>
  <c r="B14" i="2"/>
  <c r="B15" i="2"/>
  <c r="B16" i="2"/>
  <c r="B17" i="2"/>
  <c r="B18" i="2"/>
  <c r="B19" i="2"/>
  <c r="B20" i="2"/>
  <c r="B21" i="2"/>
  <c r="B22" i="2"/>
  <c r="B23" i="2"/>
  <c r="B24" i="2"/>
  <c r="B25" i="2"/>
  <c r="B13" i="2"/>
  <c r="B12" i="2"/>
  <c r="B11" i="2"/>
  <c r="B10" i="2"/>
  <c r="B9" i="2"/>
  <c r="B8" i="2"/>
  <c r="B7" i="2"/>
  <c r="B6" i="2"/>
  <c r="B5" i="2"/>
  <c r="B4" i="2"/>
  <c r="B3" i="2"/>
  <c r="B2" i="2"/>
  <c r="N25" i="2"/>
  <c r="N24" i="2"/>
  <c r="N23" i="2"/>
  <c r="N8" i="2"/>
  <c r="N7" i="2"/>
  <c r="N6" i="2"/>
  <c r="N22" i="2"/>
  <c r="N5" i="2"/>
  <c r="N21" i="2"/>
  <c r="N12" i="2"/>
  <c r="N20" i="2"/>
  <c r="N11" i="2"/>
  <c r="Q18" i="2"/>
  <c r="P18" i="2"/>
  <c r="Q10" i="2"/>
</calcChain>
</file>

<file path=xl/sharedStrings.xml><?xml version="1.0" encoding="utf-8"?>
<sst xmlns="http://schemas.openxmlformats.org/spreadsheetml/2006/main" count="383" uniqueCount="131">
  <si>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</si>
  <si>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</si>
  <si>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</si>
  <si>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</si>
  <si>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</si>
  <si>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</si>
  <si>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</si>
  <si>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</si>
  <si>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</si>
  <si>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</si>
  <si>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</si>
  <si>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</si>
  <si>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</si>
  <si>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</si>
  <si>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</si>
  <si>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</si>
  <si>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</si>
  <si>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</si>
  <si>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</si>
  <si>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</si>
  <si>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</si>
  <si>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</si>
  <si>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</si>
  <si>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</si>
  <si>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1QF3J12QP74</t>
  </si>
  <si>
    <t>NG102277051000</t>
  </si>
  <si>
    <t>BANE,LESLIE</t>
  </si>
  <si>
    <t>PA</t>
  </si>
  <si>
    <t>New Business</t>
  </si>
  <si>
    <t>MAPD</t>
  </si>
  <si>
    <t>IMM608</t>
  </si>
  <si>
    <t>H5522-001</t>
  </si>
  <si>
    <t>LOA</t>
  </si>
  <si>
    <t>Inskipt, Deborah</t>
  </si>
  <si>
    <t>MMO</t>
  </si>
  <si>
    <t>Main Line Benefits LLC</t>
  </si>
  <si>
    <t xml:space="preserve">N  </t>
  </si>
  <si>
    <t>7F17V97KX38</t>
  </si>
  <si>
    <t>NG102277107500</t>
  </si>
  <si>
    <t>CASCIATO,JANET</t>
  </si>
  <si>
    <t>H3959-002</t>
  </si>
  <si>
    <t>Cousar, Alan</t>
  </si>
  <si>
    <t>2YX6K46VP68</t>
  </si>
  <si>
    <t>NG102074151600</t>
  </si>
  <si>
    <t>CHRISTIAN I,SHEILA</t>
  </si>
  <si>
    <t>WI</t>
  </si>
  <si>
    <t>IMM606</t>
  </si>
  <si>
    <t>H5521-403</t>
  </si>
  <si>
    <t>Hodgman, Timothy</t>
  </si>
  <si>
    <t>5Q05TV9EG54</t>
  </si>
  <si>
    <t>NG102276693000</t>
  </si>
  <si>
    <t>CORNELL G,DEAN</t>
  </si>
  <si>
    <t>H3959-011</t>
  </si>
  <si>
    <t>KOZACHECK, ANNE MARIE</t>
  </si>
  <si>
    <t>8QK6QR9DK74</t>
  </si>
  <si>
    <t>NG101500691700</t>
  </si>
  <si>
    <t>GUSTAFSON B,JOSEPH</t>
  </si>
  <si>
    <t>MN</t>
  </si>
  <si>
    <t>Pro-Rata Payment</t>
  </si>
  <si>
    <t>IMM611</t>
  </si>
  <si>
    <t>H3219-001</t>
  </si>
  <si>
    <t>Portugal, Gary</t>
  </si>
  <si>
    <t>Pro-Rata Disenroll</t>
  </si>
  <si>
    <t>5XY7E09VM66</t>
  </si>
  <si>
    <t>NG102276738400</t>
  </si>
  <si>
    <t>HALLEY A,KAREN</t>
  </si>
  <si>
    <t>OH</t>
  </si>
  <si>
    <t>IMM617</t>
  </si>
  <si>
    <t>H0628-036</t>
  </si>
  <si>
    <t>SHEPARD RYAN</t>
  </si>
  <si>
    <t>1XR2WJ4YJ99</t>
  </si>
  <si>
    <t>NG102251351600</t>
  </si>
  <si>
    <t>MALONE P,JANICE</t>
  </si>
  <si>
    <t>IL</t>
  </si>
  <si>
    <t>IMM619</t>
  </si>
  <si>
    <t>H7301-007</t>
  </si>
  <si>
    <t>Brousseau, Christopher</t>
  </si>
  <si>
    <t xml:space="preserve">Y  </t>
  </si>
  <si>
    <t>1TW6FG7CN85</t>
  </si>
  <si>
    <t>NG102262915000</t>
  </si>
  <si>
    <t>MASTRONI M,JOSEPH</t>
  </si>
  <si>
    <t>Voluntarily Rapid Disenroll</t>
  </si>
  <si>
    <t>H5522-028</t>
  </si>
  <si>
    <t>Teipel, Gregory</t>
  </si>
  <si>
    <t>7T26TH7WW50</t>
  </si>
  <si>
    <t>NG101795177200</t>
  </si>
  <si>
    <t>MAXWELL S,LINDA</t>
  </si>
  <si>
    <t>Powers, Timothy</t>
  </si>
  <si>
    <t>3MX4P89WW03</t>
  </si>
  <si>
    <t>NG102276901900</t>
  </si>
  <si>
    <t>MCCLOSKEY L,SUSAN</t>
  </si>
  <si>
    <t>1G57PT9WT57</t>
  </si>
  <si>
    <t>NG102277112400</t>
  </si>
  <si>
    <t>SABULSKY S,STEVEN</t>
  </si>
  <si>
    <t>STERNER MURRAY</t>
  </si>
  <si>
    <t>Total Payee Amount: $356.18</t>
  </si>
  <si>
    <t>BANE</t>
  </si>
  <si>
    <t>LESLIE</t>
  </si>
  <si>
    <t>CASCIATO</t>
  </si>
  <si>
    <t>JANET</t>
  </si>
  <si>
    <t>CHRISTIAN</t>
  </si>
  <si>
    <t>SHEILA</t>
  </si>
  <si>
    <t>CORNELL</t>
  </si>
  <si>
    <t>DEAN</t>
  </si>
  <si>
    <t>GUSTAFSON</t>
  </si>
  <si>
    <t>JOSEPH</t>
  </si>
  <si>
    <t>HALLEY</t>
  </si>
  <si>
    <t>KAREN</t>
  </si>
  <si>
    <t>MALONE</t>
  </si>
  <si>
    <t>JANICE</t>
  </si>
  <si>
    <t>MASTRONI</t>
  </si>
  <si>
    <t>MAXWELL</t>
  </si>
  <si>
    <t>LINDA</t>
  </si>
  <si>
    <t>MCCLOSKEY</t>
  </si>
  <si>
    <t>SUSAN</t>
  </si>
  <si>
    <t>SABULSKY</t>
  </si>
  <si>
    <t>STEVEN</t>
  </si>
  <si>
    <t>[%/$=347][prorate=12/12]</t>
  </si>
  <si>
    <t>Aetna MAPD 2026*</t>
  </si>
  <si>
    <t>Aetna MAPD OVR 2026</t>
  </si>
  <si>
    <t>Aetna 2026 CT, PA, DC</t>
  </si>
  <si>
    <t>[%/$=781]</t>
  </si>
  <si>
    <t>Aetna 2026</t>
  </si>
  <si>
    <t>[%/$=694]</t>
  </si>
  <si>
    <t>[%/$=347][prorate=4/12]</t>
  </si>
  <si>
    <t>[%/$=694][prorate=4/12]</t>
  </si>
  <si>
    <t>[%/$=347][prorate=8/12]</t>
  </si>
  <si>
    <t>Aetna 2026 CT, PA, DC *</t>
  </si>
  <si>
    <t>[%/$=391][prorate=8/12]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</si>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</sst>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33" borderId="0" xfId="0" applyNumberFormat="1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C20F-E4F5-49FB-8A90-D3D53DE201BF}">
  <dimension ref="A1:X17"/>
  <sheetViews>
    <sheetView workbookViewId="0">
      <selection sqref="A1:XFD1048576"/>
    </sheetView>
  </sheetViews>
  <sheetFormatPr defaultRowHeight="14.4" x14ac:dyDescent="0.3"/>
  <cols>
    <col min="1" max="1" width="27" bestFit="1" customWidth="1"/>
    <col min="2" max="2" width="17.33203125" bestFit="1" customWidth="1"/>
    <col min="3" max="3" width="15.88671875" bestFit="1" customWidth="1"/>
    <col min="4" max="4" width="17.44140625" bestFit="1" customWidth="1"/>
    <col min="5" max="5" width="20.6640625" bestFit="1" customWidth="1"/>
    <col min="6" max="6" width="13.6640625" bestFit="1" customWidth="1"/>
    <col min="7" max="7" width="25.109375" bestFit="1" customWidth="1"/>
    <col min="8" max="8" width="7.88671875" bestFit="1" customWidth="1"/>
    <col min="9" max="9" width="8" bestFit="1" customWidth="1"/>
    <col min="10" max="10" width="10" bestFit="1" customWidth="1"/>
    <col min="11" max="11" width="24.6640625" bestFit="1" customWidth="1"/>
    <col min="12" max="12" width="15.6640625" bestFit="1" customWidth="1"/>
    <col min="13" max="13" width="13.5546875" bestFit="1" customWidth="1"/>
    <col min="14" max="14" width="10.109375" bestFit="1" customWidth="1"/>
    <col min="15" max="15" width="18" bestFit="1" customWidth="1"/>
    <col min="16" max="16" width="18.6640625" bestFit="1" customWidth="1"/>
    <col min="17" max="17" width="24.33203125" bestFit="1" customWidth="1"/>
    <col min="18" max="18" width="8.6640625" bestFit="1" customWidth="1"/>
    <col min="19" max="19" width="11.5546875" bestFit="1" customWidth="1"/>
    <col min="20" max="20" width="21" bestFit="1" customWidth="1"/>
    <col min="21" max="21" width="14.109375" bestFit="1" customWidth="1"/>
    <col min="22" max="22" width="9.44140625" bestFit="1" customWidth="1"/>
    <col min="23" max="23" width="14.109375" bestFit="1" customWidth="1"/>
    <col min="24" max="24" width="9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46147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46143</v>
      </c>
      <c r="M2" s="1">
        <v>46143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360.67</v>
      </c>
      <c r="V2" t="s">
        <v>36</v>
      </c>
      <c r="W2" s="1">
        <v>46132</v>
      </c>
      <c r="X2">
        <v>2026</v>
      </c>
    </row>
    <row r="3" spans="1:24" x14ac:dyDescent="0.3">
      <c r="A3" s="1">
        <v>46147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46143</v>
      </c>
      <c r="M3" s="1">
        <v>46143</v>
      </c>
      <c r="O3">
        <v>9544903</v>
      </c>
      <c r="P3" t="s">
        <v>32</v>
      </c>
      <c r="Q3" t="s">
        <v>41</v>
      </c>
      <c r="R3">
        <v>8192</v>
      </c>
      <c r="S3" t="s">
        <v>34</v>
      </c>
      <c r="T3" t="s">
        <v>35</v>
      </c>
      <c r="U3">
        <v>360.67</v>
      </c>
      <c r="V3" t="s">
        <v>36</v>
      </c>
      <c r="W3" s="1">
        <v>46132</v>
      </c>
      <c r="X3">
        <v>2026</v>
      </c>
    </row>
    <row r="4" spans="1:24" x14ac:dyDescent="0.3">
      <c r="A4" s="1">
        <v>46147</v>
      </c>
      <c r="B4" t="s">
        <v>42</v>
      </c>
      <c r="C4" t="s">
        <v>43</v>
      </c>
      <c r="E4" t="s">
        <v>44</v>
      </c>
      <c r="F4" t="s">
        <v>45</v>
      </c>
      <c r="G4" t="s">
        <v>28</v>
      </c>
      <c r="H4" t="s">
        <v>29</v>
      </c>
      <c r="I4" t="s">
        <v>46</v>
      </c>
      <c r="J4" t="s">
        <v>47</v>
      </c>
      <c r="L4" s="1">
        <v>46143</v>
      </c>
      <c r="M4" s="1">
        <v>46143</v>
      </c>
      <c r="O4">
        <v>18581063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331.33</v>
      </c>
      <c r="V4" t="s">
        <v>36</v>
      </c>
      <c r="W4" s="1">
        <v>46122</v>
      </c>
      <c r="X4">
        <v>2026</v>
      </c>
    </row>
    <row r="5" spans="1:24" x14ac:dyDescent="0.3">
      <c r="A5" s="1">
        <v>46147</v>
      </c>
      <c r="B5" t="s">
        <v>49</v>
      </c>
      <c r="C5" t="s">
        <v>50</v>
      </c>
      <c r="E5" t="s">
        <v>51</v>
      </c>
      <c r="F5" t="s">
        <v>27</v>
      </c>
      <c r="G5" t="s">
        <v>28</v>
      </c>
      <c r="H5" t="s">
        <v>29</v>
      </c>
      <c r="I5" t="s">
        <v>30</v>
      </c>
      <c r="J5" t="s">
        <v>52</v>
      </c>
      <c r="L5" s="1">
        <v>46143</v>
      </c>
      <c r="M5" s="1">
        <v>46143</v>
      </c>
      <c r="O5">
        <v>19278370</v>
      </c>
      <c r="P5" t="s">
        <v>32</v>
      </c>
      <c r="Q5" t="s">
        <v>53</v>
      </c>
      <c r="R5">
        <v>8192</v>
      </c>
      <c r="S5" t="s">
        <v>34</v>
      </c>
      <c r="T5" t="s">
        <v>35</v>
      </c>
      <c r="U5">
        <v>360.67</v>
      </c>
      <c r="V5" t="s">
        <v>36</v>
      </c>
      <c r="W5" s="1">
        <v>46128</v>
      </c>
      <c r="X5">
        <v>2026</v>
      </c>
    </row>
    <row r="6" spans="1:24" x14ac:dyDescent="0.3">
      <c r="A6" s="1">
        <v>46147</v>
      </c>
      <c r="B6" t="s">
        <v>54</v>
      </c>
      <c r="C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L6" s="1">
        <v>46023</v>
      </c>
      <c r="M6" s="1">
        <v>46023</v>
      </c>
      <c r="N6" s="1">
        <v>46142</v>
      </c>
      <c r="O6">
        <v>9213293</v>
      </c>
      <c r="P6" t="s">
        <v>32</v>
      </c>
      <c r="Q6" t="s">
        <v>61</v>
      </c>
      <c r="R6">
        <v>8192</v>
      </c>
      <c r="S6" t="s">
        <v>34</v>
      </c>
      <c r="T6" t="s">
        <v>35</v>
      </c>
      <c r="U6">
        <v>165.67</v>
      </c>
      <c r="V6" t="s">
        <v>36</v>
      </c>
      <c r="W6" s="1">
        <v>45990</v>
      </c>
      <c r="X6">
        <v>2026</v>
      </c>
    </row>
    <row r="7" spans="1:24" x14ac:dyDescent="0.3">
      <c r="A7" s="1">
        <v>46147</v>
      </c>
      <c r="B7" t="s">
        <v>54</v>
      </c>
      <c r="C7" t="s">
        <v>55</v>
      </c>
      <c r="E7" t="s">
        <v>56</v>
      </c>
      <c r="F7" t="s">
        <v>57</v>
      </c>
      <c r="G7" t="s">
        <v>62</v>
      </c>
      <c r="H7" t="s">
        <v>29</v>
      </c>
      <c r="I7" t="s">
        <v>59</v>
      </c>
      <c r="J7" t="s">
        <v>60</v>
      </c>
      <c r="L7" s="1">
        <v>46023</v>
      </c>
      <c r="M7" s="1">
        <v>46023</v>
      </c>
      <c r="N7" s="1">
        <v>46142</v>
      </c>
      <c r="O7">
        <v>9213293</v>
      </c>
      <c r="P7" t="s">
        <v>32</v>
      </c>
      <c r="Q7" t="s">
        <v>61</v>
      </c>
      <c r="R7">
        <v>8192</v>
      </c>
      <c r="S7" t="s">
        <v>34</v>
      </c>
      <c r="T7" t="s">
        <v>35</v>
      </c>
      <c r="U7">
        <v>-497</v>
      </c>
      <c r="V7" t="s">
        <v>36</v>
      </c>
      <c r="W7" s="1">
        <v>45990</v>
      </c>
      <c r="X7">
        <v>2026</v>
      </c>
    </row>
    <row r="8" spans="1:24" x14ac:dyDescent="0.3">
      <c r="A8" s="1">
        <v>46147</v>
      </c>
      <c r="B8" t="s">
        <v>63</v>
      </c>
      <c r="C8" t="s">
        <v>64</v>
      </c>
      <c r="E8" t="s">
        <v>65</v>
      </c>
      <c r="F8" t="s">
        <v>66</v>
      </c>
      <c r="G8" t="s">
        <v>28</v>
      </c>
      <c r="H8" t="s">
        <v>29</v>
      </c>
      <c r="I8" t="s">
        <v>67</v>
      </c>
      <c r="J8" t="s">
        <v>68</v>
      </c>
      <c r="L8" s="1">
        <v>46143</v>
      </c>
      <c r="M8" s="1">
        <v>46143</v>
      </c>
      <c r="O8">
        <v>16170994</v>
      </c>
      <c r="P8" t="s">
        <v>32</v>
      </c>
      <c r="Q8" t="s">
        <v>69</v>
      </c>
      <c r="R8">
        <v>8192</v>
      </c>
      <c r="S8" t="s">
        <v>34</v>
      </c>
      <c r="T8" t="s">
        <v>35</v>
      </c>
      <c r="U8">
        <v>331.33</v>
      </c>
      <c r="V8" t="s">
        <v>36</v>
      </c>
      <c r="W8" s="1">
        <v>46128</v>
      </c>
      <c r="X8">
        <v>2026</v>
      </c>
    </row>
    <row r="9" spans="1:24" x14ac:dyDescent="0.3">
      <c r="A9" s="1">
        <v>46147</v>
      </c>
      <c r="B9" t="s">
        <v>70</v>
      </c>
      <c r="C9" t="s">
        <v>71</v>
      </c>
      <c r="E9" t="s">
        <v>72</v>
      </c>
      <c r="F9" t="s">
        <v>73</v>
      </c>
      <c r="G9" t="s">
        <v>58</v>
      </c>
      <c r="H9" t="s">
        <v>29</v>
      </c>
      <c r="I9" t="s">
        <v>74</v>
      </c>
      <c r="J9" t="s">
        <v>75</v>
      </c>
      <c r="L9" s="1">
        <v>46023</v>
      </c>
      <c r="M9" s="1">
        <v>46023</v>
      </c>
      <c r="N9" s="1">
        <v>46142</v>
      </c>
      <c r="O9">
        <v>21435997</v>
      </c>
      <c r="P9" t="s">
        <v>32</v>
      </c>
      <c r="Q9" t="s">
        <v>76</v>
      </c>
      <c r="R9">
        <v>8192</v>
      </c>
      <c r="S9" t="s">
        <v>34</v>
      </c>
      <c r="T9" t="s">
        <v>35</v>
      </c>
      <c r="U9">
        <v>281.33</v>
      </c>
      <c r="V9" t="s">
        <v>77</v>
      </c>
      <c r="W9" s="1">
        <v>45997</v>
      </c>
      <c r="X9">
        <v>2026</v>
      </c>
    </row>
    <row r="10" spans="1:24" x14ac:dyDescent="0.3">
      <c r="A10" s="1">
        <v>46147</v>
      </c>
      <c r="B10" t="s">
        <v>70</v>
      </c>
      <c r="C10" t="s">
        <v>71</v>
      </c>
      <c r="E10" t="s">
        <v>72</v>
      </c>
      <c r="F10" t="s">
        <v>73</v>
      </c>
      <c r="G10" t="s">
        <v>62</v>
      </c>
      <c r="H10" t="s">
        <v>29</v>
      </c>
      <c r="I10" t="s">
        <v>74</v>
      </c>
      <c r="J10" t="s">
        <v>75</v>
      </c>
      <c r="L10" s="1">
        <v>46023</v>
      </c>
      <c r="M10" s="1">
        <v>46023</v>
      </c>
      <c r="N10" s="1">
        <v>46142</v>
      </c>
      <c r="O10">
        <v>21435997</v>
      </c>
      <c r="P10" t="s">
        <v>32</v>
      </c>
      <c r="Q10" t="s">
        <v>76</v>
      </c>
      <c r="R10">
        <v>8192</v>
      </c>
      <c r="S10" t="s">
        <v>34</v>
      </c>
      <c r="T10" t="s">
        <v>35</v>
      </c>
      <c r="U10">
        <v>-844</v>
      </c>
      <c r="V10" t="s">
        <v>77</v>
      </c>
      <c r="W10" s="1">
        <v>45997</v>
      </c>
      <c r="X10">
        <v>2026</v>
      </c>
    </row>
    <row r="11" spans="1:24" x14ac:dyDescent="0.3">
      <c r="A11" s="1">
        <v>46147</v>
      </c>
      <c r="B11" t="s">
        <v>78</v>
      </c>
      <c r="C11" t="s">
        <v>79</v>
      </c>
      <c r="E11" t="s">
        <v>80</v>
      </c>
      <c r="F11" t="s">
        <v>27</v>
      </c>
      <c r="G11" t="s">
        <v>81</v>
      </c>
      <c r="H11" t="s">
        <v>29</v>
      </c>
      <c r="I11" t="s">
        <v>30</v>
      </c>
      <c r="J11" t="s">
        <v>82</v>
      </c>
      <c r="L11" s="1">
        <v>46054</v>
      </c>
      <c r="M11" s="1">
        <v>46054</v>
      </c>
      <c r="N11" s="1">
        <v>46142</v>
      </c>
      <c r="O11">
        <v>8307933</v>
      </c>
      <c r="P11" t="s">
        <v>32</v>
      </c>
      <c r="Q11" t="s">
        <v>83</v>
      </c>
      <c r="R11">
        <v>8192</v>
      </c>
      <c r="S11" t="s">
        <v>34</v>
      </c>
      <c r="T11" t="s">
        <v>35</v>
      </c>
      <c r="U11">
        <v>-931</v>
      </c>
      <c r="V11" t="s">
        <v>77</v>
      </c>
      <c r="W11" s="1">
        <v>46051</v>
      </c>
      <c r="X11">
        <v>2026</v>
      </c>
    </row>
    <row r="12" spans="1:24" x14ac:dyDescent="0.3">
      <c r="A12" s="1">
        <v>46147</v>
      </c>
      <c r="B12" t="s">
        <v>84</v>
      </c>
      <c r="C12" t="s">
        <v>85</v>
      </c>
      <c r="E12" t="s">
        <v>86</v>
      </c>
      <c r="F12" t="s">
        <v>27</v>
      </c>
      <c r="G12" t="s">
        <v>28</v>
      </c>
      <c r="H12" t="s">
        <v>29</v>
      </c>
      <c r="I12" t="s">
        <v>30</v>
      </c>
      <c r="J12" t="s">
        <v>52</v>
      </c>
      <c r="L12" s="1">
        <v>46143</v>
      </c>
      <c r="M12" s="1">
        <v>46143</v>
      </c>
      <c r="O12">
        <v>17886092</v>
      </c>
      <c r="P12" t="s">
        <v>32</v>
      </c>
      <c r="Q12" t="s">
        <v>87</v>
      </c>
      <c r="R12">
        <v>8192</v>
      </c>
      <c r="S12" t="s">
        <v>34</v>
      </c>
      <c r="T12" t="s">
        <v>35</v>
      </c>
      <c r="U12">
        <v>43.34</v>
      </c>
      <c r="V12" t="s">
        <v>36</v>
      </c>
      <c r="W12" s="1">
        <v>46132</v>
      </c>
      <c r="X12">
        <v>2026</v>
      </c>
    </row>
    <row r="13" spans="1:24" x14ac:dyDescent="0.3">
      <c r="A13" s="1">
        <v>46147</v>
      </c>
      <c r="B13" t="s">
        <v>88</v>
      </c>
      <c r="C13" t="s">
        <v>89</v>
      </c>
      <c r="E13" t="s">
        <v>90</v>
      </c>
      <c r="F13" t="s">
        <v>27</v>
      </c>
      <c r="G13" t="s">
        <v>28</v>
      </c>
      <c r="H13" t="s">
        <v>29</v>
      </c>
      <c r="I13" t="s">
        <v>30</v>
      </c>
      <c r="J13" t="s">
        <v>40</v>
      </c>
      <c r="L13" s="1">
        <v>46204</v>
      </c>
      <c r="M13" s="1">
        <v>46204</v>
      </c>
      <c r="O13">
        <v>17886092</v>
      </c>
      <c r="P13" t="s">
        <v>32</v>
      </c>
      <c r="Q13" t="s">
        <v>87</v>
      </c>
      <c r="R13">
        <v>8192</v>
      </c>
      <c r="S13" t="s">
        <v>34</v>
      </c>
      <c r="T13" t="s">
        <v>35</v>
      </c>
      <c r="U13">
        <v>32.5</v>
      </c>
      <c r="V13" t="s">
        <v>36</v>
      </c>
      <c r="W13" s="1">
        <v>46129</v>
      </c>
      <c r="X13">
        <v>2026</v>
      </c>
    </row>
    <row r="14" spans="1:24" x14ac:dyDescent="0.3">
      <c r="A14" s="1">
        <v>46147</v>
      </c>
      <c r="B14" t="s">
        <v>91</v>
      </c>
      <c r="C14" t="s">
        <v>92</v>
      </c>
      <c r="E14" t="s">
        <v>93</v>
      </c>
      <c r="F14" t="s">
        <v>27</v>
      </c>
      <c r="G14" t="s">
        <v>28</v>
      </c>
      <c r="H14" t="s">
        <v>29</v>
      </c>
      <c r="I14" t="s">
        <v>30</v>
      </c>
      <c r="J14" t="s">
        <v>82</v>
      </c>
      <c r="L14" s="1">
        <v>46143</v>
      </c>
      <c r="M14" s="1">
        <v>46143</v>
      </c>
      <c r="O14">
        <v>16212649</v>
      </c>
      <c r="P14" t="s">
        <v>32</v>
      </c>
      <c r="Q14" t="s">
        <v>94</v>
      </c>
      <c r="R14">
        <v>8192</v>
      </c>
      <c r="S14" t="s">
        <v>34</v>
      </c>
      <c r="T14" t="s">
        <v>35</v>
      </c>
      <c r="U14">
        <v>360.67</v>
      </c>
      <c r="V14" t="s">
        <v>36</v>
      </c>
      <c r="W14" s="1">
        <v>46127</v>
      </c>
      <c r="X14">
        <v>2026</v>
      </c>
    </row>
    <row r="17" spans="1:1" x14ac:dyDescent="0.3">
      <c r="A17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826E-F9DF-4F47-8563-8603A56027CF}">
  <dimension ref="A1:AC25"/>
  <sheetViews>
    <sheetView tabSelected="1" topLeftCell="C1" workbookViewId="0">
      <selection activeCell="P2" sqref="P2:P12"/>
    </sheetView>
  </sheetViews>
  <sheetFormatPr defaultRowHeight="14.4" x14ac:dyDescent="0.3"/>
  <cols>
    <col min="1" max="1" width="17.33203125" bestFit="1" customWidth="1"/>
    <col min="2" max="2" width="17.33203125" customWidth="1"/>
    <col min="3" max="3" width="12" customWidth="1"/>
    <col min="4" max="4" width="9.109375" customWidth="1"/>
    <col min="5" max="5" width="20.6640625" customWidth="1"/>
    <col min="6" max="6" width="13.6640625" bestFit="1" customWidth="1"/>
    <col min="7" max="7" width="25.109375" bestFit="1" customWidth="1"/>
    <col min="8" max="8" width="15.6640625" bestFit="1" customWidth="1"/>
    <col min="9" max="9" width="13.5546875" bestFit="1" customWidth="1"/>
    <col min="10" max="10" width="18" bestFit="1" customWidth="1"/>
    <col min="11" max="11" width="24.33203125" bestFit="1" customWidth="1"/>
    <col min="12" max="12" width="14.109375" bestFit="1" customWidth="1"/>
    <col min="13" max="13" width="14.109375" customWidth="1"/>
    <col min="14" max="14" width="9.5546875" bestFit="1" customWidth="1"/>
    <col min="15" max="15" width="20.5546875" bestFit="1" customWidth="1"/>
    <col min="16" max="16" width="23.44140625" bestFit="1" customWidth="1"/>
  </cols>
  <sheetData>
    <row r="1" spans="1:29" x14ac:dyDescent="0.3">
      <c r="A1" t="s">
        <v>1</v>
      </c>
      <c r="C1" t="s">
        <v>4</v>
      </c>
      <c r="F1" t="s">
        <v>5</v>
      </c>
      <c r="G1" t="s">
        <v>6</v>
      </c>
      <c r="H1" t="s">
        <v>11</v>
      </c>
      <c r="I1" t="s">
        <v>12</v>
      </c>
      <c r="J1" t="s">
        <v>14</v>
      </c>
      <c r="K1" t="s">
        <v>16</v>
      </c>
      <c r="L1" t="s">
        <v>20</v>
      </c>
    </row>
    <row r="2" spans="1:29" s="2" customFormat="1" x14ac:dyDescent="0.3">
      <c r="A2" s="2" t="s">
        <v>70</v>
      </c>
      <c r="B2" s="2" t="str">
        <f>CONCATENATE(A2,77)</f>
        <v>1XR2WJ4YJ9977</v>
      </c>
      <c r="C2" s="2" t="s">
        <v>108</v>
      </c>
      <c r="D2" s="2" t="s">
        <v>109</v>
      </c>
      <c r="E2" s="2" t="str">
        <f>CONCATENATE(D2," ",C2)</f>
        <v>JANICE MALONE</v>
      </c>
      <c r="F2" s="2" t="s">
        <v>73</v>
      </c>
      <c r="G2" s="2" t="s">
        <v>62</v>
      </c>
      <c r="H2" s="3">
        <v>46023</v>
      </c>
      <c r="I2" s="3">
        <v>46023</v>
      </c>
      <c r="J2" s="2">
        <v>21435997</v>
      </c>
      <c r="K2" s="2" t="s">
        <v>76</v>
      </c>
      <c r="L2" s="2">
        <v>-844</v>
      </c>
      <c r="M2" s="2">
        <v>-1</v>
      </c>
      <c r="N2" s="2">
        <v>-694</v>
      </c>
      <c r="O2" s="2" t="s">
        <v>122</v>
      </c>
      <c r="P2" s="2" t="s">
        <v>123</v>
      </c>
    </row>
    <row r="3" spans="1:29" s="4" customFormat="1" x14ac:dyDescent="0.3">
      <c r="A3" s="2" t="s">
        <v>70</v>
      </c>
      <c r="B3" s="2" t="str">
        <f>CONCATENATE(A3,77)</f>
        <v>1XR2WJ4YJ9977</v>
      </c>
      <c r="C3" s="2" t="s">
        <v>108</v>
      </c>
      <c r="D3" s="2" t="s">
        <v>109</v>
      </c>
      <c r="E3" s="2" t="str">
        <f>CONCATENATE(D3," ",C3)</f>
        <v>JANICE MALONE</v>
      </c>
      <c r="F3" s="2" t="s">
        <v>73</v>
      </c>
      <c r="G3" s="2" t="s">
        <v>58</v>
      </c>
      <c r="H3" s="3">
        <v>46023</v>
      </c>
      <c r="I3" s="3">
        <v>46023</v>
      </c>
      <c r="J3" s="2">
        <v>21435997</v>
      </c>
      <c r="K3" s="2" t="s">
        <v>76</v>
      </c>
      <c r="L3" s="2">
        <v>281.33</v>
      </c>
      <c r="M3" s="2">
        <v>1</v>
      </c>
      <c r="N3" s="6">
        <v>231.33</v>
      </c>
      <c r="O3" s="2" t="s">
        <v>122</v>
      </c>
      <c r="P3" s="2" t="s">
        <v>125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s="2" customFormat="1" x14ac:dyDescent="0.3">
      <c r="A4" s="2" t="s">
        <v>78</v>
      </c>
      <c r="B4" s="2" t="str">
        <f>CONCATENATE(A4,77)</f>
        <v>1TW6FG7CN8577</v>
      </c>
      <c r="C4" s="2" t="s">
        <v>110</v>
      </c>
      <c r="D4" s="2" t="s">
        <v>105</v>
      </c>
      <c r="E4" s="2" t="str">
        <f>CONCATENATE(D4," ",C4)</f>
        <v>JOSEPH MASTRONI</v>
      </c>
      <c r="F4" s="2" t="s">
        <v>27</v>
      </c>
      <c r="G4" s="2" t="s">
        <v>81</v>
      </c>
      <c r="H4" s="3">
        <v>46054</v>
      </c>
      <c r="I4" s="3">
        <v>46054</v>
      </c>
      <c r="J4" s="2">
        <v>8307933</v>
      </c>
      <c r="K4" s="2" t="s">
        <v>83</v>
      </c>
      <c r="L4" s="2">
        <v>-931</v>
      </c>
      <c r="M4" s="2">
        <v>-1</v>
      </c>
      <c r="N4" s="2">
        <v>-781</v>
      </c>
      <c r="O4" s="2" t="s">
        <v>120</v>
      </c>
      <c r="P4" s="2" t="s">
        <v>121</v>
      </c>
    </row>
    <row r="5" spans="1:29" s="4" customFormat="1" x14ac:dyDescent="0.3">
      <c r="A5" s="2" t="s">
        <v>24</v>
      </c>
      <c r="B5" s="2" t="str">
        <f>CONCATENATE(A5,89)</f>
        <v>1QF3J12QP7489</v>
      </c>
      <c r="C5" s="2" t="s">
        <v>96</v>
      </c>
      <c r="D5" s="2" t="s">
        <v>97</v>
      </c>
      <c r="E5" s="2" t="str">
        <f>CONCATENATE(D5," ",C5)</f>
        <v>LESLIE BANE</v>
      </c>
      <c r="F5" s="2" t="s">
        <v>27</v>
      </c>
      <c r="G5" s="2" t="s">
        <v>28</v>
      </c>
      <c r="H5" s="3">
        <v>46143</v>
      </c>
      <c r="I5" s="3">
        <v>46143</v>
      </c>
      <c r="J5" s="2" t="s">
        <v>130</v>
      </c>
      <c r="K5" s="2" t="s">
        <v>33</v>
      </c>
      <c r="L5" s="2">
        <v>360.67</v>
      </c>
      <c r="M5" s="2">
        <v>1</v>
      </c>
      <c r="N5" s="6">
        <f>391/12*8</f>
        <v>260.66666666666669</v>
      </c>
      <c r="O5" s="2" t="s">
        <v>127</v>
      </c>
      <c r="P5" s="2" t="s">
        <v>128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">
      <c r="A6" s="2" t="s">
        <v>37</v>
      </c>
      <c r="B6" s="2" t="str">
        <f t="shared" ref="B6:B12" si="0">CONCATENATE(A6,89)</f>
        <v>7F17V97KX3889</v>
      </c>
      <c r="C6" s="2" t="s">
        <v>98</v>
      </c>
      <c r="D6" s="2" t="s">
        <v>99</v>
      </c>
      <c r="E6" s="2" t="str">
        <f>CONCATENATE(D6," ",C6)</f>
        <v>JANET CASCIATO</v>
      </c>
      <c r="F6" s="2" t="s">
        <v>27</v>
      </c>
      <c r="G6" s="2" t="s">
        <v>28</v>
      </c>
      <c r="H6" s="3">
        <v>46143</v>
      </c>
      <c r="I6" s="3">
        <v>46143</v>
      </c>
      <c r="J6" s="2">
        <v>9544903</v>
      </c>
      <c r="K6" s="2" t="s">
        <v>41</v>
      </c>
      <c r="L6" s="2">
        <v>360.67</v>
      </c>
      <c r="M6" s="2">
        <v>1</v>
      </c>
      <c r="N6" s="6">
        <f>391/12*8</f>
        <v>260.66666666666669</v>
      </c>
      <c r="O6" s="2" t="s">
        <v>127</v>
      </c>
      <c r="P6" s="2" t="s">
        <v>128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3">
      <c r="A7" s="2" t="s">
        <v>49</v>
      </c>
      <c r="B7" s="2" t="str">
        <f t="shared" si="0"/>
        <v>5Q05TV9EG5489</v>
      </c>
      <c r="C7" s="2" t="s">
        <v>102</v>
      </c>
      <c r="D7" s="2" t="s">
        <v>103</v>
      </c>
      <c r="E7" s="2" t="str">
        <f>CONCATENATE(D7," ",C7)</f>
        <v>DEAN CORNELL</v>
      </c>
      <c r="F7" s="2" t="s">
        <v>27</v>
      </c>
      <c r="G7" s="2" t="s">
        <v>28</v>
      </c>
      <c r="H7" s="3">
        <v>46143</v>
      </c>
      <c r="I7" s="3">
        <v>46143</v>
      </c>
      <c r="J7" s="2">
        <v>19278370</v>
      </c>
      <c r="K7" s="2" t="s">
        <v>53</v>
      </c>
      <c r="L7" s="2">
        <v>360.67</v>
      </c>
      <c r="M7" s="2">
        <v>1</v>
      </c>
      <c r="N7" s="6">
        <f>391/12*8</f>
        <v>260.66666666666669</v>
      </c>
      <c r="O7" s="2" t="s">
        <v>127</v>
      </c>
      <c r="P7" s="2" t="s">
        <v>128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s="4" customFormat="1" x14ac:dyDescent="0.3">
      <c r="A8" s="2" t="s">
        <v>91</v>
      </c>
      <c r="B8" s="2" t="str">
        <f t="shared" si="0"/>
        <v>1G57PT9WT5789</v>
      </c>
      <c r="C8" s="2" t="s">
        <v>115</v>
      </c>
      <c r="D8" s="2" t="s">
        <v>116</v>
      </c>
      <c r="E8" s="2" t="str">
        <f>CONCATENATE(D8," ",C8)</f>
        <v>STEVEN SABULSKY</v>
      </c>
      <c r="F8" s="2" t="s">
        <v>27</v>
      </c>
      <c r="G8" s="2" t="s">
        <v>28</v>
      </c>
      <c r="H8" s="3">
        <v>46143</v>
      </c>
      <c r="I8" s="3">
        <v>46143</v>
      </c>
      <c r="J8" s="2">
        <v>16212649</v>
      </c>
      <c r="K8" s="2" t="s">
        <v>94</v>
      </c>
      <c r="L8" s="2">
        <v>360.67</v>
      </c>
      <c r="M8" s="2">
        <v>1</v>
      </c>
      <c r="N8" s="6">
        <f>391/12*8</f>
        <v>260.66666666666669</v>
      </c>
      <c r="O8" s="2" t="s">
        <v>127</v>
      </c>
      <c r="P8" s="2" t="s">
        <v>128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4" customFormat="1" x14ac:dyDescent="0.3">
      <c r="A9" s="2" t="s">
        <v>54</v>
      </c>
      <c r="B9" s="2" t="str">
        <f t="shared" si="0"/>
        <v>8QK6QR9DK7489</v>
      </c>
      <c r="C9" s="2" t="s">
        <v>104</v>
      </c>
      <c r="D9" s="2" t="s">
        <v>105</v>
      </c>
      <c r="E9" s="2" t="str">
        <f>CONCATENATE(D9," ",C9)</f>
        <v>JOSEPH GUSTAFSON</v>
      </c>
      <c r="F9" s="2" t="s">
        <v>57</v>
      </c>
      <c r="G9" s="2" t="s">
        <v>62</v>
      </c>
      <c r="H9" s="3">
        <v>46023</v>
      </c>
      <c r="I9" s="3">
        <v>46023</v>
      </c>
      <c r="J9" s="2">
        <v>9213293</v>
      </c>
      <c r="K9" s="2" t="s">
        <v>61</v>
      </c>
      <c r="L9" s="2">
        <v>-497</v>
      </c>
      <c r="M9" s="2">
        <v>-1</v>
      </c>
      <c r="N9" s="2">
        <v>-347</v>
      </c>
      <c r="O9" s="2" t="s">
        <v>118</v>
      </c>
      <c r="P9" s="2" t="s">
        <v>117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s="2" customFormat="1" x14ac:dyDescent="0.3">
      <c r="A10" s="2" t="s">
        <v>54</v>
      </c>
      <c r="B10" s="2" t="str">
        <f t="shared" si="0"/>
        <v>8QK6QR9DK7489</v>
      </c>
      <c r="C10" s="2" t="s">
        <v>104</v>
      </c>
      <c r="D10" s="2" t="s">
        <v>105</v>
      </c>
      <c r="E10" s="2" t="str">
        <f>CONCATENATE(D10," ",C10)</f>
        <v>JOSEPH GUSTAFSON</v>
      </c>
      <c r="F10" s="2" t="s">
        <v>57</v>
      </c>
      <c r="G10" s="2" t="s">
        <v>58</v>
      </c>
      <c r="H10" s="3">
        <v>46023</v>
      </c>
      <c r="I10" s="3">
        <v>46023</v>
      </c>
      <c r="J10" s="2">
        <v>9213293</v>
      </c>
      <c r="K10" s="2" t="s">
        <v>61</v>
      </c>
      <c r="L10" s="2">
        <v>165.67</v>
      </c>
      <c r="M10" s="2">
        <v>1</v>
      </c>
      <c r="N10" s="2">
        <v>115.67</v>
      </c>
      <c r="O10" s="2" t="s">
        <v>118</v>
      </c>
      <c r="P10" s="2" t="s">
        <v>124</v>
      </c>
      <c r="Q10" s="2">
        <f>150/12*4</f>
        <v>50</v>
      </c>
    </row>
    <row r="11" spans="1:29" s="4" customFormat="1" x14ac:dyDescent="0.3">
      <c r="A11" s="2" t="s">
        <v>42</v>
      </c>
      <c r="B11" s="2" t="str">
        <f t="shared" si="0"/>
        <v>2YX6K46VP6889</v>
      </c>
      <c r="C11" s="2" t="s">
        <v>100</v>
      </c>
      <c r="D11" s="2" t="s">
        <v>101</v>
      </c>
      <c r="E11" s="2" t="str">
        <f>CONCATENATE(D11," ",C11)</f>
        <v>SHEILA CHRISTIAN</v>
      </c>
      <c r="F11" s="2" t="s">
        <v>45</v>
      </c>
      <c r="G11" s="2" t="s">
        <v>28</v>
      </c>
      <c r="H11" s="3">
        <v>46143</v>
      </c>
      <c r="I11" s="3">
        <v>46143</v>
      </c>
      <c r="J11" s="2">
        <v>18581063</v>
      </c>
      <c r="K11" s="2" t="s">
        <v>48</v>
      </c>
      <c r="L11" s="2">
        <v>331.33</v>
      </c>
      <c r="M11" s="2">
        <v>1</v>
      </c>
      <c r="N11" s="6">
        <f>347/12*8</f>
        <v>231.33333333333334</v>
      </c>
      <c r="O11" s="2" t="s">
        <v>118</v>
      </c>
      <c r="P11" s="2" t="s">
        <v>126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s="2" customFormat="1" x14ac:dyDescent="0.3">
      <c r="A12" s="2" t="s">
        <v>63</v>
      </c>
      <c r="B12" s="2" t="str">
        <f t="shared" si="0"/>
        <v>5XY7E09VM6689</v>
      </c>
      <c r="C12" s="2" t="s">
        <v>106</v>
      </c>
      <c r="D12" s="2" t="s">
        <v>107</v>
      </c>
      <c r="E12" s="2" t="str">
        <f>CONCATENATE(D12," ",C12)</f>
        <v>KAREN HALLEY</v>
      </c>
      <c r="F12" s="2" t="s">
        <v>66</v>
      </c>
      <c r="G12" s="2" t="s">
        <v>28</v>
      </c>
      <c r="H12" s="3">
        <v>46143</v>
      </c>
      <c r="I12" s="3">
        <v>46143</v>
      </c>
      <c r="J12" s="2">
        <v>16170994</v>
      </c>
      <c r="K12" s="2" t="s">
        <v>69</v>
      </c>
      <c r="L12" s="2">
        <v>331.33</v>
      </c>
      <c r="M12" s="2">
        <v>1</v>
      </c>
      <c r="N12" s="6">
        <f>347/12*8</f>
        <v>231.33333333333334</v>
      </c>
      <c r="O12" s="2" t="s">
        <v>118</v>
      </c>
      <c r="P12" s="2" t="s">
        <v>126</v>
      </c>
    </row>
    <row r="13" spans="1:29" s="4" customFormat="1" x14ac:dyDescent="0.3">
      <c r="A13" s="4" t="s">
        <v>78</v>
      </c>
      <c r="B13" s="4" t="str">
        <f>CONCATENATE(A13,"OVR")</f>
        <v>1TW6FG7CN85OVR</v>
      </c>
      <c r="C13" s="4" t="s">
        <v>110</v>
      </c>
      <c r="D13" s="4" t="s">
        <v>105</v>
      </c>
      <c r="E13" s="4" t="str">
        <f>CONCATENATE(D13," ",C13)</f>
        <v>JOSEPH MASTRONI</v>
      </c>
      <c r="F13" s="4" t="s">
        <v>27</v>
      </c>
      <c r="G13" s="4" t="s">
        <v>81</v>
      </c>
      <c r="H13" s="5">
        <v>46054</v>
      </c>
      <c r="I13" s="5">
        <v>46054</v>
      </c>
      <c r="J13" s="4">
        <v>20411454</v>
      </c>
      <c r="K13" s="4" t="s">
        <v>129</v>
      </c>
      <c r="L13" s="4">
        <v>-931</v>
      </c>
      <c r="M13" s="4">
        <v>-150</v>
      </c>
      <c r="N13" s="4">
        <v>-150</v>
      </c>
      <c r="O13" s="4" t="s">
        <v>119</v>
      </c>
    </row>
    <row r="14" spans="1:29" s="2" customFormat="1" x14ac:dyDescent="0.3">
      <c r="A14" s="4" t="s">
        <v>70</v>
      </c>
      <c r="B14" s="4" t="str">
        <f t="shared" ref="B14:B25" si="1">CONCATENATE(A14,"OVR")</f>
        <v>1XR2WJ4YJ99OVR</v>
      </c>
      <c r="C14" s="4" t="s">
        <v>108</v>
      </c>
      <c r="D14" s="4" t="s">
        <v>109</v>
      </c>
      <c r="E14" s="4" t="str">
        <f>CONCATENATE(D14," ",C14)</f>
        <v>JANICE MALONE</v>
      </c>
      <c r="F14" s="4" t="s">
        <v>73</v>
      </c>
      <c r="G14" s="4" t="s">
        <v>62</v>
      </c>
      <c r="H14" s="5">
        <v>46023</v>
      </c>
      <c r="I14" s="5">
        <v>46023</v>
      </c>
      <c r="J14" s="4">
        <v>20411454</v>
      </c>
      <c r="K14" s="4" t="s">
        <v>129</v>
      </c>
      <c r="L14" s="4">
        <v>-844</v>
      </c>
      <c r="M14" s="4">
        <v>-150</v>
      </c>
      <c r="N14" s="4">
        <v>-150</v>
      </c>
      <c r="O14" s="4" t="s">
        <v>119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s="2" customFormat="1" x14ac:dyDescent="0.3">
      <c r="A15" s="4" t="s">
        <v>54</v>
      </c>
      <c r="B15" s="4" t="str">
        <f t="shared" si="1"/>
        <v>8QK6QR9DK74OVR</v>
      </c>
      <c r="C15" s="4" t="s">
        <v>104</v>
      </c>
      <c r="D15" s="4" t="s">
        <v>105</v>
      </c>
      <c r="E15" s="4" t="str">
        <f>CONCATENATE(D15," ",C15)</f>
        <v>JOSEPH GUSTAFSON</v>
      </c>
      <c r="F15" s="4" t="s">
        <v>57</v>
      </c>
      <c r="G15" s="4" t="s">
        <v>62</v>
      </c>
      <c r="H15" s="5">
        <v>46023</v>
      </c>
      <c r="I15" s="5">
        <v>46023</v>
      </c>
      <c r="J15" s="4">
        <v>20411454</v>
      </c>
      <c r="K15" s="4" t="s">
        <v>129</v>
      </c>
      <c r="L15" s="4">
        <v>-497</v>
      </c>
      <c r="M15" s="4">
        <v>-150</v>
      </c>
      <c r="N15" s="4">
        <v>-150</v>
      </c>
      <c r="O15" s="4" t="s">
        <v>119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s="4" customFormat="1" x14ac:dyDescent="0.3">
      <c r="A16" s="4" t="s">
        <v>88</v>
      </c>
      <c r="B16" s="4" t="str">
        <f t="shared" si="1"/>
        <v>3MX4P89WW03OVR</v>
      </c>
      <c r="C16" s="4" t="s">
        <v>113</v>
      </c>
      <c r="D16" s="4" t="s">
        <v>114</v>
      </c>
      <c r="E16" s="4" t="str">
        <f>CONCATENATE(D16," ",C16)</f>
        <v>SUSAN MCCLOSKEY</v>
      </c>
      <c r="F16" s="4" t="s">
        <v>27</v>
      </c>
      <c r="G16" s="4" t="s">
        <v>28</v>
      </c>
      <c r="H16" s="5">
        <v>46204</v>
      </c>
      <c r="I16" s="5">
        <v>46204</v>
      </c>
      <c r="J16" s="4">
        <v>20411454</v>
      </c>
      <c r="K16" s="4" t="s">
        <v>129</v>
      </c>
      <c r="L16" s="4">
        <v>32.5</v>
      </c>
      <c r="M16" s="4">
        <v>32.5</v>
      </c>
      <c r="N16" s="4">
        <v>32.5</v>
      </c>
      <c r="O16" s="4" t="s">
        <v>119</v>
      </c>
    </row>
    <row r="17" spans="1:29" s="4" customFormat="1" x14ac:dyDescent="0.3">
      <c r="A17" s="4" t="s">
        <v>84</v>
      </c>
      <c r="B17" s="4" t="str">
        <f t="shared" si="1"/>
        <v>7T26TH7WW50OVR</v>
      </c>
      <c r="C17" s="4" t="s">
        <v>111</v>
      </c>
      <c r="D17" s="4" t="s">
        <v>112</v>
      </c>
      <c r="E17" s="4" t="str">
        <f>CONCATENATE(D17," ",C17)</f>
        <v>LINDA MAXWELL</v>
      </c>
      <c r="F17" s="4" t="s">
        <v>27</v>
      </c>
      <c r="G17" s="4" t="s">
        <v>28</v>
      </c>
      <c r="H17" s="5">
        <v>46143</v>
      </c>
      <c r="I17" s="5">
        <v>46143</v>
      </c>
      <c r="J17" s="4">
        <v>20411454</v>
      </c>
      <c r="K17" s="4" t="s">
        <v>129</v>
      </c>
      <c r="L17" s="4">
        <v>43.34</v>
      </c>
      <c r="M17" s="4">
        <v>43.34</v>
      </c>
      <c r="N17" s="4">
        <v>43.34</v>
      </c>
      <c r="O17" s="4" t="s">
        <v>119</v>
      </c>
    </row>
    <row r="18" spans="1:29" s="2" customFormat="1" x14ac:dyDescent="0.3">
      <c r="A18" s="4" t="s">
        <v>54</v>
      </c>
      <c r="B18" s="4" t="str">
        <f t="shared" si="1"/>
        <v>8QK6QR9DK74OVR</v>
      </c>
      <c r="C18" s="4" t="s">
        <v>104</v>
      </c>
      <c r="D18" s="4" t="s">
        <v>105</v>
      </c>
      <c r="E18" s="4" t="str">
        <f>CONCATENATE(D18," ",C18)</f>
        <v>JOSEPH GUSTAFSON</v>
      </c>
      <c r="F18" s="4" t="s">
        <v>57</v>
      </c>
      <c r="G18" s="4" t="s">
        <v>58</v>
      </c>
      <c r="H18" s="5">
        <v>46023</v>
      </c>
      <c r="I18" s="5">
        <v>46023</v>
      </c>
      <c r="J18" s="4">
        <v>20411454</v>
      </c>
      <c r="K18" s="4" t="s">
        <v>129</v>
      </c>
      <c r="L18" s="4">
        <v>165.67</v>
      </c>
      <c r="M18" s="4">
        <v>50</v>
      </c>
      <c r="N18" s="4">
        <v>50</v>
      </c>
      <c r="O18" s="4" t="s">
        <v>119</v>
      </c>
      <c r="P18" s="4">
        <f>347/12*4</f>
        <v>115.66666666666667</v>
      </c>
      <c r="Q18" s="4">
        <f>150/12*4</f>
        <v>50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s="2" customFormat="1" x14ac:dyDescent="0.3">
      <c r="A19" s="4" t="s">
        <v>70</v>
      </c>
      <c r="B19" s="4" t="str">
        <f t="shared" si="1"/>
        <v>1XR2WJ4YJ99OVR</v>
      </c>
      <c r="C19" s="4" t="s">
        <v>108</v>
      </c>
      <c r="D19" s="4" t="s">
        <v>109</v>
      </c>
      <c r="E19" s="4" t="str">
        <f>CONCATENATE(D19," ",C19)</f>
        <v>JANICE MALONE</v>
      </c>
      <c r="F19" s="4" t="s">
        <v>73</v>
      </c>
      <c r="G19" s="4" t="s">
        <v>58</v>
      </c>
      <c r="H19" s="5">
        <v>46023</v>
      </c>
      <c r="I19" s="5">
        <v>46023</v>
      </c>
      <c r="J19" s="4">
        <v>20411454</v>
      </c>
      <c r="K19" s="4" t="s">
        <v>129</v>
      </c>
      <c r="L19" s="4">
        <v>281.33</v>
      </c>
      <c r="M19" s="7">
        <v>50</v>
      </c>
      <c r="N19" s="7">
        <v>50</v>
      </c>
      <c r="O19" s="4" t="s">
        <v>119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s="2" customFormat="1" x14ac:dyDescent="0.3">
      <c r="A20" s="4" t="s">
        <v>42</v>
      </c>
      <c r="B20" s="4" t="str">
        <f t="shared" si="1"/>
        <v>2YX6K46VP68OVR</v>
      </c>
      <c r="C20" s="4" t="s">
        <v>100</v>
      </c>
      <c r="D20" s="4" t="s">
        <v>101</v>
      </c>
      <c r="E20" s="4" t="str">
        <f>CONCATENATE(D20," ",C20)</f>
        <v>SHEILA CHRISTIAN</v>
      </c>
      <c r="F20" s="4" t="s">
        <v>45</v>
      </c>
      <c r="G20" s="4" t="s">
        <v>28</v>
      </c>
      <c r="H20" s="5">
        <v>46143</v>
      </c>
      <c r="I20" s="5">
        <v>46143</v>
      </c>
      <c r="J20" s="4">
        <v>20411454</v>
      </c>
      <c r="K20" s="4" t="s">
        <v>129</v>
      </c>
      <c r="L20" s="4">
        <v>331.33</v>
      </c>
      <c r="M20" s="4">
        <f>150/12*8</f>
        <v>100</v>
      </c>
      <c r="N20" s="4">
        <f>150/12*8</f>
        <v>100</v>
      </c>
      <c r="O20" s="4" t="s">
        <v>119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s="2" customFormat="1" x14ac:dyDescent="0.3">
      <c r="A21" s="4" t="s">
        <v>63</v>
      </c>
      <c r="B21" s="4" t="str">
        <f t="shared" si="1"/>
        <v>5XY7E09VM66OVR</v>
      </c>
      <c r="C21" s="4" t="s">
        <v>106</v>
      </c>
      <c r="D21" s="4" t="s">
        <v>107</v>
      </c>
      <c r="E21" s="4" t="str">
        <f>CONCATENATE(D21," ",C21)</f>
        <v>KAREN HALLEY</v>
      </c>
      <c r="F21" s="4" t="s">
        <v>66</v>
      </c>
      <c r="G21" s="4" t="s">
        <v>28</v>
      </c>
      <c r="H21" s="5">
        <v>46143</v>
      </c>
      <c r="I21" s="5">
        <v>46143</v>
      </c>
      <c r="J21" s="4">
        <v>20411454</v>
      </c>
      <c r="K21" s="4" t="s">
        <v>129</v>
      </c>
      <c r="L21" s="4">
        <v>331.33</v>
      </c>
      <c r="M21" s="4">
        <f>150/12*8</f>
        <v>100</v>
      </c>
      <c r="N21" s="4">
        <f>150/12*8</f>
        <v>100</v>
      </c>
      <c r="O21" s="4" t="s">
        <v>119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s="4" customFormat="1" x14ac:dyDescent="0.3">
      <c r="A22" s="4" t="s">
        <v>24</v>
      </c>
      <c r="B22" s="4" t="str">
        <f t="shared" si="1"/>
        <v>1QF3J12QP74OVR</v>
      </c>
      <c r="C22" s="4" t="s">
        <v>96</v>
      </c>
      <c r="D22" s="4" t="s">
        <v>97</v>
      </c>
      <c r="E22" s="4" t="str">
        <f>CONCATENATE(D22," ",C22)</f>
        <v>LESLIE BANE</v>
      </c>
      <c r="F22" s="4" t="s">
        <v>27</v>
      </c>
      <c r="G22" s="4" t="s">
        <v>28</v>
      </c>
      <c r="H22" s="5">
        <v>46143</v>
      </c>
      <c r="I22" s="5">
        <v>46143</v>
      </c>
      <c r="J22" s="4">
        <v>20411454</v>
      </c>
      <c r="K22" s="4" t="s">
        <v>129</v>
      </c>
      <c r="L22" s="4">
        <v>360.67</v>
      </c>
      <c r="M22" s="4">
        <f>150/12*8</f>
        <v>100</v>
      </c>
      <c r="N22" s="4">
        <f>150/12*8</f>
        <v>100</v>
      </c>
      <c r="O22" s="4" t="s">
        <v>119</v>
      </c>
    </row>
    <row r="23" spans="1:29" s="4" customFormat="1" x14ac:dyDescent="0.3">
      <c r="A23" s="4" t="s">
        <v>37</v>
      </c>
      <c r="B23" s="4" t="str">
        <f t="shared" si="1"/>
        <v>7F17V97KX38OVR</v>
      </c>
      <c r="C23" s="4" t="s">
        <v>98</v>
      </c>
      <c r="D23" s="4" t="s">
        <v>99</v>
      </c>
      <c r="E23" s="4" t="str">
        <f>CONCATENATE(D23," ",C23)</f>
        <v>JANET CASCIATO</v>
      </c>
      <c r="F23" s="4" t="s">
        <v>27</v>
      </c>
      <c r="G23" s="4" t="s">
        <v>28</v>
      </c>
      <c r="H23" s="5">
        <v>46143</v>
      </c>
      <c r="I23" s="5">
        <v>46143</v>
      </c>
      <c r="J23" s="4">
        <v>20411454</v>
      </c>
      <c r="K23" s="4" t="s">
        <v>129</v>
      </c>
      <c r="L23" s="4">
        <v>360.67</v>
      </c>
      <c r="M23" s="4">
        <f>150/12*8</f>
        <v>100</v>
      </c>
      <c r="N23" s="4">
        <f>150/12*8</f>
        <v>100</v>
      </c>
      <c r="O23" s="4" t="s">
        <v>119</v>
      </c>
    </row>
    <row r="24" spans="1:29" s="4" customFormat="1" x14ac:dyDescent="0.3">
      <c r="A24" s="4" t="s">
        <v>49</v>
      </c>
      <c r="B24" s="4" t="str">
        <f t="shared" si="1"/>
        <v>5Q05TV9EG54OVR</v>
      </c>
      <c r="C24" s="4" t="s">
        <v>102</v>
      </c>
      <c r="D24" s="4" t="s">
        <v>103</v>
      </c>
      <c r="E24" s="4" t="str">
        <f>CONCATENATE(D24," ",C24)</f>
        <v>DEAN CORNELL</v>
      </c>
      <c r="F24" s="4" t="s">
        <v>27</v>
      </c>
      <c r="G24" s="4" t="s">
        <v>28</v>
      </c>
      <c r="H24" s="5">
        <v>46143</v>
      </c>
      <c r="I24" s="5">
        <v>46143</v>
      </c>
      <c r="J24" s="4">
        <v>20411454</v>
      </c>
      <c r="K24" s="4" t="s">
        <v>129</v>
      </c>
      <c r="L24" s="4">
        <v>360.67</v>
      </c>
      <c r="M24" s="4">
        <f>150/12*8</f>
        <v>100</v>
      </c>
      <c r="N24" s="4">
        <f>150/12*8</f>
        <v>100</v>
      </c>
      <c r="O24" s="4" t="s">
        <v>119</v>
      </c>
    </row>
    <row r="25" spans="1:29" s="4" customFormat="1" x14ac:dyDescent="0.3">
      <c r="A25" s="4" t="s">
        <v>91</v>
      </c>
      <c r="B25" s="4" t="str">
        <f t="shared" si="1"/>
        <v>1G57PT9WT57OVR</v>
      </c>
      <c r="C25" s="4" t="s">
        <v>115</v>
      </c>
      <c r="D25" s="4" t="s">
        <v>116</v>
      </c>
      <c r="E25" s="4" t="str">
        <f>CONCATENATE(D25," ",C25)</f>
        <v>STEVEN SABULSKY</v>
      </c>
      <c r="F25" s="4" t="s">
        <v>27</v>
      </c>
      <c r="G25" s="4" t="s">
        <v>28</v>
      </c>
      <c r="H25" s="5">
        <v>46143</v>
      </c>
      <c r="I25" s="5">
        <v>46143</v>
      </c>
      <c r="J25" s="4">
        <v>20411454</v>
      </c>
      <c r="K25" s="4" t="s">
        <v>129</v>
      </c>
      <c r="L25" s="4">
        <v>360.67</v>
      </c>
      <c r="M25" s="4">
        <f>150/12*8</f>
        <v>100</v>
      </c>
      <c r="N25" s="4">
        <f>150/12*8</f>
        <v>100</v>
      </c>
      <c r="O25" s="4" t="s">
        <v>119</v>
      </c>
    </row>
  </sheetData>
  <sortState xmlns:xlrd2="http://schemas.microsoft.com/office/spreadsheetml/2017/richdata2" ref="A2:AC25">
    <sortCondition ref="O2:O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2026-05-08T07:19:39Z</dcterms:created>
  <dcterms:modified xsi:type="dcterms:W3CDTF">2026-05-08T16:08:58Z</dcterms:modified>
</cp:coreProperties>
</file>