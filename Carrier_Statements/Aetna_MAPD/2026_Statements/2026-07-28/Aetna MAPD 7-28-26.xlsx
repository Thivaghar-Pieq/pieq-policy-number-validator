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7-28\"/>
    </mc:Choice>
  </mc:AlternateContent>
  <xr:revisionPtr revIDLastSave="0" documentId="13_ncr:1_{BAF43336-63A7-41B4-94EE-F12E7360F90B}" xr6:coauthVersionLast="47" xr6:coauthVersionMax="47" xr10:uidLastSave="{00000000-0000-0000-0000-000000000000}"/>
  <bookViews>
    <workbookView xWindow="-120" yWindow="-120" windowWidth="29040" windowHeight="15720" activeTab="1" xr2:uid="{B5E2CD2D-91BF-499D-9E13-8375341FD6BD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2" l="1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T33" i="2"/>
  <c r="T5" i="2"/>
  <c r="E34" i="2"/>
  <c r="E33" i="2"/>
  <c r="T24" i="2"/>
  <c r="T9" i="2"/>
  <c r="E32" i="2"/>
  <c r="E31" i="2"/>
  <c r="E30" i="2"/>
  <c r="E29" i="2"/>
  <c r="E28" i="2"/>
  <c r="E27" i="2"/>
  <c r="E26" i="2"/>
  <c r="E25" i="2"/>
  <c r="E24" i="2"/>
  <c r="T23" i="2"/>
  <c r="T4" i="2"/>
  <c r="E23" i="2"/>
  <c r="T22" i="2"/>
  <c r="T3" i="2"/>
  <c r="E22" i="2"/>
  <c r="T20" i="2"/>
  <c r="T7" i="2"/>
  <c r="E21" i="2"/>
  <c r="E20" i="2"/>
  <c r="E18" i="2"/>
  <c r="E10" i="2"/>
  <c r="E11" i="2"/>
  <c r="E12" i="2"/>
  <c r="E5" i="2"/>
  <c r="E6" i="2"/>
  <c r="E7" i="2"/>
  <c r="E19" i="2"/>
  <c r="E2" i="2"/>
  <c r="E13" i="2"/>
  <c r="E14" i="2"/>
  <c r="E15" i="2"/>
  <c r="E8" i="2"/>
  <c r="E4" i="2"/>
  <c r="E16" i="2"/>
  <c r="E3" i="2"/>
  <c r="E17" i="2"/>
  <c r="E9" i="2"/>
</calcChain>
</file>

<file path=xl/sharedStrings.xml><?xml version="1.0" encoding="utf-8"?>
<sst xmlns="http://schemas.openxmlformats.org/spreadsheetml/2006/main" count="623" uniqueCount="179">
  <si>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</si>
  <si>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</si>
  <si>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</si>
  <si>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</si>
  <si>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</si>
  <si>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</si>
  <si>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</si>
  <si>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</si>
  <si>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</si>
  <si>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</si>
  <si>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</si>
  <si>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</si>
  <si>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</si>
  <si>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</si>
  <si>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</si>
  <si>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</si>
  <si>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</si>
  <si>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</si>
  <si>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</si>
  <si>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</si>
  <si>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</si>
  <si>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</si>
  <si>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</si>
  <si>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</si>
  <si>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8FA8CM2NA29</t>
  </si>
  <si>
    <t>NG102288207000</t>
  </si>
  <si>
    <t>BABAT J,LINDA</t>
  </si>
  <si>
    <t>IL</t>
  </si>
  <si>
    <t>New Business</t>
  </si>
  <si>
    <t>MAPD</t>
  </si>
  <si>
    <t>IMM606</t>
  </si>
  <si>
    <t>H5521-086</t>
  </si>
  <si>
    <t>LOA</t>
  </si>
  <si>
    <t>Yale, Richard</t>
  </si>
  <si>
    <t>MMO</t>
  </si>
  <si>
    <t>Main Line Benefits LLC</t>
  </si>
  <si>
    <t xml:space="preserve">N  </t>
  </si>
  <si>
    <t>2V13K73AX08</t>
  </si>
  <si>
    <t>NG102288173100</t>
  </si>
  <si>
    <t>BROOKS S,NANCY</t>
  </si>
  <si>
    <t>H7301-013</t>
  </si>
  <si>
    <t>SCHUMANN, BARRY</t>
  </si>
  <si>
    <t>2P58J96UP25</t>
  </si>
  <si>
    <t>NG102288238100</t>
  </si>
  <si>
    <t>CAMPANELLA A,CARLA</t>
  </si>
  <si>
    <t>OH</t>
  </si>
  <si>
    <t>IMM617</t>
  </si>
  <si>
    <t>H1608-029</t>
  </si>
  <si>
    <t>SHEPARD RYAN</t>
  </si>
  <si>
    <t>1MV4EF8QT79</t>
  </si>
  <si>
    <t>NG102287798700</t>
  </si>
  <si>
    <t>CLINE L,KAREN</t>
  </si>
  <si>
    <t>IMM619</t>
  </si>
  <si>
    <t>H7301-027</t>
  </si>
  <si>
    <t>Allen, James</t>
  </si>
  <si>
    <t>7PF9QH0FC24</t>
  </si>
  <si>
    <t>NG102288032000</t>
  </si>
  <si>
    <t>DEMARINO L,ALISA</t>
  </si>
  <si>
    <t>PA</t>
  </si>
  <si>
    <t>IMM608</t>
  </si>
  <si>
    <t>H3959-002</t>
  </si>
  <si>
    <t>Inskipt, Deborah</t>
  </si>
  <si>
    <t>5T51ND5FF18</t>
  </si>
  <si>
    <t>NG102286814500</t>
  </si>
  <si>
    <t>ESPINOZA LEON,M</t>
  </si>
  <si>
    <t>H5522-017</t>
  </si>
  <si>
    <t>Luse, Alison</t>
  </si>
  <si>
    <t>4Q08PQ3PE32</t>
  </si>
  <si>
    <t>NG102288057400</t>
  </si>
  <si>
    <t>FREY P,STEPHEN</t>
  </si>
  <si>
    <t>Teipel, Gregory</t>
  </si>
  <si>
    <t>1VY0KY9YY07</t>
  </si>
  <si>
    <t>NG102287507200</t>
  </si>
  <si>
    <t>HOCKENBERRY R,LEONARD</t>
  </si>
  <si>
    <t>H5521-261</t>
  </si>
  <si>
    <t>Smith, Margaret</t>
  </si>
  <si>
    <t>6T15XQ1WX80</t>
  </si>
  <si>
    <t>NG102280149200</t>
  </si>
  <si>
    <t>KERN L,IVAN</t>
  </si>
  <si>
    <t>MI</t>
  </si>
  <si>
    <t>Voluntarily Rapid Disenroll</t>
  </si>
  <si>
    <t>H5521-407</t>
  </si>
  <si>
    <t>Portugal, Gary</t>
  </si>
  <si>
    <t xml:space="preserve">Y  </t>
  </si>
  <si>
    <t>3XT2RU4RN93</t>
  </si>
  <si>
    <t>NG102288191100</t>
  </si>
  <si>
    <t>MATHENY J,MELISSA</t>
  </si>
  <si>
    <t>H7301-009</t>
  </si>
  <si>
    <t>Deaton, Pamela</t>
  </si>
  <si>
    <t>2N85V89DT81</t>
  </si>
  <si>
    <t>NG102288029500</t>
  </si>
  <si>
    <t>MEULBROEK A,NAYDA</t>
  </si>
  <si>
    <t>WI</t>
  </si>
  <si>
    <t>H5521-403</t>
  </si>
  <si>
    <t>Nevarez, Antonia</t>
  </si>
  <si>
    <t>OH9999999</t>
  </si>
  <si>
    <t>ME0000OH</t>
  </si>
  <si>
    <t>OHIO, JANE</t>
  </si>
  <si>
    <t>HRA</t>
  </si>
  <si>
    <t>PPO</t>
  </si>
  <si>
    <t>H5521-087</t>
  </si>
  <si>
    <t>HRA/DRXU757K5865W/17094718/FRAZIER_MERPHIE</t>
  </si>
  <si>
    <t>MAIN LINE BENEFITS LLC</t>
  </si>
  <si>
    <t>N/A</t>
  </si>
  <si>
    <t>2WC6AG4KJ67</t>
  </si>
  <si>
    <t>NG102287844900</t>
  </si>
  <si>
    <t>SAINTENOY L,DAVID</t>
  </si>
  <si>
    <t>H0628-005</t>
  </si>
  <si>
    <t>9XW5VJ0CG51</t>
  </si>
  <si>
    <t>NG102287438600</t>
  </si>
  <si>
    <t>STANLEY,ANITA</t>
  </si>
  <si>
    <t>MA</t>
  </si>
  <si>
    <t>H5521-286</t>
  </si>
  <si>
    <t>TAUGNER, CHRISTIAN</t>
  </si>
  <si>
    <t>8FP7E35AM49</t>
  </si>
  <si>
    <t>NG102287987400</t>
  </si>
  <si>
    <t>SUTTER A,ELIZABETH</t>
  </si>
  <si>
    <t>H5522-001</t>
  </si>
  <si>
    <t>9CD6MW3FJ58</t>
  </si>
  <si>
    <t>NG101862675300</t>
  </si>
  <si>
    <t>TIEMAN KILPATRICK A,MARY</t>
  </si>
  <si>
    <t>IA</t>
  </si>
  <si>
    <t>IMM610</t>
  </si>
  <si>
    <t>H1608-001</t>
  </si>
  <si>
    <t>Hoffmann Jason</t>
  </si>
  <si>
    <t>9QQ8J81CP42</t>
  </si>
  <si>
    <t>NG102287423400</t>
  </si>
  <si>
    <t>WUNDERLICH D,JAMES</t>
  </si>
  <si>
    <t>1KA0F45QX17</t>
  </si>
  <si>
    <t>NG102287831700</t>
  </si>
  <si>
    <t>ZUMPELLA A,DENISE</t>
  </si>
  <si>
    <t>H5521-088</t>
  </si>
  <si>
    <t>Total Payee Amount: $52304.24</t>
  </si>
  <si>
    <t>BABAT</t>
  </si>
  <si>
    <t>LINDA</t>
  </si>
  <si>
    <t>BROOKS</t>
  </si>
  <si>
    <t>NANCY</t>
  </si>
  <si>
    <t>CAMPANELLA</t>
  </si>
  <si>
    <t>CARLA</t>
  </si>
  <si>
    <t>CLINE</t>
  </si>
  <si>
    <t>KAREN</t>
  </si>
  <si>
    <t>DEMARINO</t>
  </si>
  <si>
    <t>ALISA</t>
  </si>
  <si>
    <t>ESPINOZA</t>
  </si>
  <si>
    <t>M</t>
  </si>
  <si>
    <t>FREY</t>
  </si>
  <si>
    <t>STEPHEN</t>
  </si>
  <si>
    <t>HOCKENBERRY</t>
  </si>
  <si>
    <t>LEONARD</t>
  </si>
  <si>
    <t>KERN</t>
  </si>
  <si>
    <t>IVAN</t>
  </si>
  <si>
    <t>MATHENY</t>
  </si>
  <si>
    <t>MELISSA</t>
  </si>
  <si>
    <t>MEULBROEK</t>
  </si>
  <si>
    <t>NAYDA</t>
  </si>
  <si>
    <t>SAINTENOY</t>
  </si>
  <si>
    <t>DAVID</t>
  </si>
  <si>
    <t>STANLEY</t>
  </si>
  <si>
    <t>ANITA</t>
  </si>
  <si>
    <t>SUTTER</t>
  </si>
  <si>
    <t>ELIZABETH</t>
  </si>
  <si>
    <t>TIEMAN</t>
  </si>
  <si>
    <t>MARY</t>
  </si>
  <si>
    <t>WUNDERLICH</t>
  </si>
  <si>
    <t>JAMES</t>
  </si>
  <si>
    <t>ZUMPELLA</t>
  </si>
  <si>
    <t>DENISE</t>
  </si>
  <si>
    <t>[%/$=694]</t>
  </si>
  <si>
    <t>Aetna 2026</t>
  </si>
  <si>
    <t>Aetna MAPD OVR</t>
  </si>
  <si>
    <t>Aetna MAPD 2026*</t>
  </si>
  <si>
    <t>[%/$=347][prorate=3/12]</t>
  </si>
  <si>
    <t>Aetna 2026 CT, PA, DC *</t>
  </si>
  <si>
    <t>[%/$=391][prorate=3/12]</t>
  </si>
  <si>
    <t>[%/$=391][prorate=4/12]</t>
  </si>
  <si>
    <t>[%/$=391][prorate=5/12]</t>
  </si>
  <si>
    <t>[%/$=347][prorate=5/12]</t>
  </si>
  <si>
    <t>17528908N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</si>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</sst>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6FA9-9C04-437E-BD8F-C64A20851626}">
  <dimension ref="A1:X1330"/>
  <sheetViews>
    <sheetView workbookViewId="0">
      <selection activeCell="H1" sqref="A1:XFD1048576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55.57031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47.425781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46231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46235</v>
      </c>
      <c r="M2" s="1">
        <v>46235</v>
      </c>
      <c r="O2">
        <v>16633294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207.08</v>
      </c>
      <c r="V2" t="s">
        <v>36</v>
      </c>
      <c r="W2" s="1">
        <v>46218</v>
      </c>
      <c r="X2">
        <v>2026</v>
      </c>
    </row>
    <row r="3" spans="1:24" x14ac:dyDescent="0.25">
      <c r="A3" s="1">
        <v>46231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46235</v>
      </c>
      <c r="M3" s="1">
        <v>46235</v>
      </c>
      <c r="O3">
        <v>19586992</v>
      </c>
      <c r="P3" t="s">
        <v>32</v>
      </c>
      <c r="Q3" t="s">
        <v>41</v>
      </c>
      <c r="R3">
        <v>8192</v>
      </c>
      <c r="S3" t="s">
        <v>34</v>
      </c>
      <c r="T3" t="s">
        <v>35</v>
      </c>
      <c r="U3">
        <v>207.08</v>
      </c>
      <c r="V3" t="s">
        <v>36</v>
      </c>
      <c r="W3" s="1">
        <v>46218</v>
      </c>
      <c r="X3">
        <v>2026</v>
      </c>
    </row>
    <row r="4" spans="1:24" x14ac:dyDescent="0.25">
      <c r="A4" s="1">
        <v>46231</v>
      </c>
      <c r="B4" t="s">
        <v>42</v>
      </c>
      <c r="C4" t="s">
        <v>43</v>
      </c>
      <c r="E4" t="s">
        <v>44</v>
      </c>
      <c r="F4" t="s">
        <v>45</v>
      </c>
      <c r="G4" t="s">
        <v>28</v>
      </c>
      <c r="H4" t="s">
        <v>29</v>
      </c>
      <c r="I4" t="s">
        <v>46</v>
      </c>
      <c r="J4" t="s">
        <v>47</v>
      </c>
      <c r="L4" s="1">
        <v>46235</v>
      </c>
      <c r="M4" s="1">
        <v>46235</v>
      </c>
      <c r="O4">
        <v>16170994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207.08</v>
      </c>
      <c r="V4" t="s">
        <v>36</v>
      </c>
      <c r="W4" s="1">
        <v>46218</v>
      </c>
      <c r="X4">
        <v>2026</v>
      </c>
    </row>
    <row r="5" spans="1:24" x14ac:dyDescent="0.25">
      <c r="A5" s="1">
        <v>46231</v>
      </c>
      <c r="B5" t="s">
        <v>49</v>
      </c>
      <c r="C5" t="s">
        <v>50</v>
      </c>
      <c r="E5" t="s">
        <v>51</v>
      </c>
      <c r="F5" t="s">
        <v>27</v>
      </c>
      <c r="G5" t="s">
        <v>28</v>
      </c>
      <c r="H5" t="s">
        <v>29</v>
      </c>
      <c r="I5" t="s">
        <v>52</v>
      </c>
      <c r="J5" t="s">
        <v>53</v>
      </c>
      <c r="L5" s="1">
        <v>46235</v>
      </c>
      <c r="M5" s="1">
        <v>46235</v>
      </c>
      <c r="O5">
        <v>17143996</v>
      </c>
      <c r="P5" t="s">
        <v>32</v>
      </c>
      <c r="Q5" t="s">
        <v>54</v>
      </c>
      <c r="R5">
        <v>8192</v>
      </c>
      <c r="S5" t="s">
        <v>34</v>
      </c>
      <c r="T5" t="s">
        <v>35</v>
      </c>
      <c r="U5">
        <v>207.08</v>
      </c>
      <c r="V5" t="s">
        <v>36</v>
      </c>
      <c r="W5" s="1">
        <v>46216</v>
      </c>
      <c r="X5">
        <v>2026</v>
      </c>
    </row>
    <row r="6" spans="1:24" x14ac:dyDescent="0.25">
      <c r="A6" s="1">
        <v>46231</v>
      </c>
      <c r="B6" t="s">
        <v>55</v>
      </c>
      <c r="C6" t="s">
        <v>56</v>
      </c>
      <c r="E6" t="s">
        <v>57</v>
      </c>
      <c r="F6" t="s">
        <v>58</v>
      </c>
      <c r="G6" t="s">
        <v>28</v>
      </c>
      <c r="H6" t="s">
        <v>29</v>
      </c>
      <c r="I6" t="s">
        <v>59</v>
      </c>
      <c r="J6" t="s">
        <v>60</v>
      </c>
      <c r="L6" s="1">
        <v>46235</v>
      </c>
      <c r="M6" s="1">
        <v>46235</v>
      </c>
      <c r="O6">
        <v>17528908</v>
      </c>
      <c r="P6" t="s">
        <v>32</v>
      </c>
      <c r="Q6" t="s">
        <v>61</v>
      </c>
      <c r="R6">
        <v>8192</v>
      </c>
      <c r="S6" t="s">
        <v>34</v>
      </c>
      <c r="T6" t="s">
        <v>35</v>
      </c>
      <c r="U6">
        <v>225.42</v>
      </c>
      <c r="V6" t="s">
        <v>36</v>
      </c>
      <c r="W6" s="1">
        <v>46217</v>
      </c>
      <c r="X6">
        <v>2026</v>
      </c>
    </row>
    <row r="7" spans="1:24" x14ac:dyDescent="0.25">
      <c r="A7" s="1">
        <v>46231</v>
      </c>
      <c r="B7" t="s">
        <v>62</v>
      </c>
      <c r="C7" t="s">
        <v>63</v>
      </c>
      <c r="E7" t="s">
        <v>64</v>
      </c>
      <c r="F7" t="s">
        <v>58</v>
      </c>
      <c r="G7" t="s">
        <v>28</v>
      </c>
      <c r="H7" t="s">
        <v>29</v>
      </c>
      <c r="I7" t="s">
        <v>59</v>
      </c>
      <c r="J7" t="s">
        <v>65</v>
      </c>
      <c r="L7" s="1">
        <v>46235</v>
      </c>
      <c r="M7" s="1">
        <v>46235</v>
      </c>
      <c r="O7">
        <v>9254978</v>
      </c>
      <c r="P7" t="s">
        <v>32</v>
      </c>
      <c r="Q7" t="s">
        <v>66</v>
      </c>
      <c r="R7">
        <v>8192</v>
      </c>
      <c r="S7" t="s">
        <v>34</v>
      </c>
      <c r="T7" t="s">
        <v>35</v>
      </c>
      <c r="U7">
        <v>225.42</v>
      </c>
      <c r="V7" t="s">
        <v>36</v>
      </c>
      <c r="W7" s="1">
        <v>46206</v>
      </c>
      <c r="X7">
        <v>2026</v>
      </c>
    </row>
    <row r="8" spans="1:24" x14ac:dyDescent="0.25">
      <c r="A8" s="1">
        <v>46231</v>
      </c>
      <c r="B8" t="s">
        <v>67</v>
      </c>
      <c r="C8" t="s">
        <v>68</v>
      </c>
      <c r="E8" t="s">
        <v>69</v>
      </c>
      <c r="F8" t="s">
        <v>27</v>
      </c>
      <c r="G8" t="s">
        <v>28</v>
      </c>
      <c r="H8" t="s">
        <v>29</v>
      </c>
      <c r="I8" t="s">
        <v>30</v>
      </c>
      <c r="J8" t="s">
        <v>40</v>
      </c>
      <c r="L8" s="1">
        <v>46296</v>
      </c>
      <c r="M8" s="1">
        <v>46296</v>
      </c>
      <c r="O8">
        <v>8307933</v>
      </c>
      <c r="P8" t="s">
        <v>32</v>
      </c>
      <c r="Q8" t="s">
        <v>70</v>
      </c>
      <c r="R8">
        <v>8192</v>
      </c>
      <c r="S8" t="s">
        <v>34</v>
      </c>
      <c r="T8" t="s">
        <v>35</v>
      </c>
      <c r="U8">
        <v>124.25</v>
      </c>
      <c r="V8" t="s">
        <v>36</v>
      </c>
      <c r="W8" s="1">
        <v>46217</v>
      </c>
      <c r="X8">
        <v>2026</v>
      </c>
    </row>
    <row r="9" spans="1:24" x14ac:dyDescent="0.25">
      <c r="A9" s="1">
        <v>46231</v>
      </c>
      <c r="B9" t="s">
        <v>71</v>
      </c>
      <c r="C9" t="s">
        <v>72</v>
      </c>
      <c r="E9" t="s">
        <v>73</v>
      </c>
      <c r="F9" t="s">
        <v>58</v>
      </c>
      <c r="G9" t="s">
        <v>28</v>
      </c>
      <c r="H9" t="s">
        <v>29</v>
      </c>
      <c r="I9" t="s">
        <v>59</v>
      </c>
      <c r="J9" t="s">
        <v>74</v>
      </c>
      <c r="L9" s="1">
        <v>46235</v>
      </c>
      <c r="M9" s="1">
        <v>46235</v>
      </c>
      <c r="O9">
        <v>20253958</v>
      </c>
      <c r="P9" t="s">
        <v>32</v>
      </c>
      <c r="Q9" t="s">
        <v>75</v>
      </c>
      <c r="R9">
        <v>8192</v>
      </c>
      <c r="S9" t="s">
        <v>34</v>
      </c>
      <c r="T9" t="s">
        <v>35</v>
      </c>
      <c r="U9">
        <v>27.09</v>
      </c>
      <c r="V9" t="s">
        <v>36</v>
      </c>
      <c r="W9" s="1">
        <v>46212</v>
      </c>
      <c r="X9">
        <v>2026</v>
      </c>
    </row>
    <row r="10" spans="1:24" x14ac:dyDescent="0.25">
      <c r="A10" s="1">
        <v>46231</v>
      </c>
      <c r="B10" t="s">
        <v>76</v>
      </c>
      <c r="C10" t="s">
        <v>77</v>
      </c>
      <c r="E10" t="s">
        <v>78</v>
      </c>
      <c r="F10" t="s">
        <v>79</v>
      </c>
      <c r="G10" t="s">
        <v>80</v>
      </c>
      <c r="H10" t="s">
        <v>29</v>
      </c>
      <c r="I10" t="s">
        <v>30</v>
      </c>
      <c r="J10" t="s">
        <v>81</v>
      </c>
      <c r="L10" s="1">
        <v>46174</v>
      </c>
      <c r="M10" s="1">
        <v>46174</v>
      </c>
      <c r="N10" s="1">
        <v>46234</v>
      </c>
      <c r="O10">
        <v>9213293</v>
      </c>
      <c r="P10" t="s">
        <v>32</v>
      </c>
      <c r="Q10" t="s">
        <v>82</v>
      </c>
      <c r="R10">
        <v>8192</v>
      </c>
      <c r="S10" t="s">
        <v>34</v>
      </c>
      <c r="T10" t="s">
        <v>35</v>
      </c>
      <c r="U10">
        <v>-844</v>
      </c>
      <c r="V10" t="s">
        <v>83</v>
      </c>
      <c r="W10" s="1">
        <v>46156</v>
      </c>
      <c r="X10">
        <v>2026</v>
      </c>
    </row>
    <row r="11" spans="1:24" x14ac:dyDescent="0.25">
      <c r="A11" s="1">
        <v>46231</v>
      </c>
      <c r="B11" t="s">
        <v>84</v>
      </c>
      <c r="C11" t="s">
        <v>85</v>
      </c>
      <c r="E11" t="s">
        <v>86</v>
      </c>
      <c r="F11" t="s">
        <v>27</v>
      </c>
      <c r="G11" t="s">
        <v>28</v>
      </c>
      <c r="H11" t="s">
        <v>29</v>
      </c>
      <c r="I11" t="s">
        <v>52</v>
      </c>
      <c r="J11" t="s">
        <v>87</v>
      </c>
      <c r="L11" s="1">
        <v>46235</v>
      </c>
      <c r="M11" s="1">
        <v>46235</v>
      </c>
      <c r="O11">
        <v>8244481</v>
      </c>
      <c r="P11" t="s">
        <v>32</v>
      </c>
      <c r="Q11" t="s">
        <v>88</v>
      </c>
      <c r="R11">
        <v>8192</v>
      </c>
      <c r="S11" t="s">
        <v>34</v>
      </c>
      <c r="T11" t="s">
        <v>35</v>
      </c>
      <c r="U11">
        <v>207.08</v>
      </c>
      <c r="V11" t="s">
        <v>36</v>
      </c>
      <c r="W11" s="1">
        <v>46218</v>
      </c>
      <c r="X11">
        <v>2026</v>
      </c>
    </row>
    <row r="12" spans="1:24" x14ac:dyDescent="0.25">
      <c r="A12" s="1">
        <v>46231</v>
      </c>
      <c r="B12" t="s">
        <v>89</v>
      </c>
      <c r="C12" t="s">
        <v>90</v>
      </c>
      <c r="E12" t="s">
        <v>91</v>
      </c>
      <c r="F12" t="s">
        <v>92</v>
      </c>
      <c r="G12" t="s">
        <v>28</v>
      </c>
      <c r="H12" t="s">
        <v>29</v>
      </c>
      <c r="I12" t="s">
        <v>30</v>
      </c>
      <c r="J12" t="s">
        <v>93</v>
      </c>
      <c r="L12" s="1">
        <v>46235</v>
      </c>
      <c r="M12" s="1">
        <v>46235</v>
      </c>
      <c r="O12">
        <v>21646325</v>
      </c>
      <c r="P12" t="s">
        <v>32</v>
      </c>
      <c r="Q12" t="s">
        <v>94</v>
      </c>
      <c r="R12">
        <v>8192</v>
      </c>
      <c r="S12" t="s">
        <v>34</v>
      </c>
      <c r="T12" t="s">
        <v>35</v>
      </c>
      <c r="U12">
        <v>207.08</v>
      </c>
      <c r="V12" t="s">
        <v>36</v>
      </c>
      <c r="W12" s="1">
        <v>46217</v>
      </c>
      <c r="X12">
        <v>2026</v>
      </c>
    </row>
    <row r="13" spans="1:24" x14ac:dyDescent="0.25">
      <c r="A13" s="1">
        <v>46231</v>
      </c>
      <c r="B13" t="s">
        <v>95</v>
      </c>
      <c r="C13" t="s">
        <v>96</v>
      </c>
      <c r="E13" t="s">
        <v>97</v>
      </c>
      <c r="F13" t="s">
        <v>45</v>
      </c>
      <c r="G13" t="s">
        <v>98</v>
      </c>
      <c r="H13" t="s">
        <v>99</v>
      </c>
      <c r="I13" t="s">
        <v>46</v>
      </c>
      <c r="J13" t="s">
        <v>100</v>
      </c>
      <c r="K13" t="s">
        <v>101</v>
      </c>
      <c r="L13" s="1">
        <v>46204</v>
      </c>
      <c r="M13" s="1">
        <v>44562</v>
      </c>
      <c r="R13">
        <v>8192</v>
      </c>
      <c r="T13" t="s">
        <v>102</v>
      </c>
      <c r="U13">
        <v>55</v>
      </c>
      <c r="V13" t="s">
        <v>103</v>
      </c>
      <c r="W13" s="1">
        <v>44501</v>
      </c>
      <c r="X13">
        <v>2026</v>
      </c>
    </row>
    <row r="14" spans="1:24" x14ac:dyDescent="0.25">
      <c r="A14" s="1">
        <v>46231</v>
      </c>
      <c r="B14" t="s">
        <v>104</v>
      </c>
      <c r="C14" t="s">
        <v>105</v>
      </c>
      <c r="E14" t="s">
        <v>106</v>
      </c>
      <c r="F14" t="s">
        <v>45</v>
      </c>
      <c r="G14" t="s">
        <v>28</v>
      </c>
      <c r="H14" t="s">
        <v>29</v>
      </c>
      <c r="I14" t="s">
        <v>46</v>
      </c>
      <c r="J14" t="s">
        <v>107</v>
      </c>
      <c r="L14" s="1">
        <v>46235</v>
      </c>
      <c r="M14" s="1">
        <v>46235</v>
      </c>
      <c r="O14">
        <v>16170994</v>
      </c>
      <c r="P14" t="s">
        <v>32</v>
      </c>
      <c r="Q14" t="s">
        <v>48</v>
      </c>
      <c r="R14">
        <v>8192</v>
      </c>
      <c r="S14" t="s">
        <v>34</v>
      </c>
      <c r="T14" t="s">
        <v>35</v>
      </c>
      <c r="U14">
        <v>207.08</v>
      </c>
      <c r="V14" t="s">
        <v>36</v>
      </c>
      <c r="W14" s="1">
        <v>46216</v>
      </c>
      <c r="X14">
        <v>2026</v>
      </c>
    </row>
    <row r="15" spans="1:24" x14ac:dyDescent="0.25">
      <c r="A15" s="1">
        <v>46231</v>
      </c>
      <c r="B15" t="s">
        <v>108</v>
      </c>
      <c r="C15" t="s">
        <v>109</v>
      </c>
      <c r="E15" t="s">
        <v>110</v>
      </c>
      <c r="F15" t="s">
        <v>92</v>
      </c>
      <c r="G15" t="s">
        <v>28</v>
      </c>
      <c r="H15" t="s">
        <v>111</v>
      </c>
      <c r="I15" t="s">
        <v>30</v>
      </c>
      <c r="J15" t="s">
        <v>112</v>
      </c>
      <c r="L15" s="1">
        <v>46296</v>
      </c>
      <c r="M15" s="1">
        <v>46296</v>
      </c>
      <c r="O15">
        <v>19681796</v>
      </c>
      <c r="P15" t="s">
        <v>32</v>
      </c>
      <c r="Q15" t="s">
        <v>113</v>
      </c>
      <c r="R15">
        <v>8192</v>
      </c>
      <c r="S15" t="s">
        <v>34</v>
      </c>
      <c r="T15" t="s">
        <v>35</v>
      </c>
      <c r="U15">
        <v>124.25</v>
      </c>
      <c r="V15" t="s">
        <v>36</v>
      </c>
      <c r="W15" s="1">
        <v>46212</v>
      </c>
      <c r="X15">
        <v>2026</v>
      </c>
    </row>
    <row r="16" spans="1:24" x14ac:dyDescent="0.25">
      <c r="A16" s="1">
        <v>46231</v>
      </c>
      <c r="B16" t="s">
        <v>114</v>
      </c>
      <c r="C16" t="s">
        <v>115</v>
      </c>
      <c r="E16" t="s">
        <v>116</v>
      </c>
      <c r="F16" t="s">
        <v>58</v>
      </c>
      <c r="G16" t="s">
        <v>28</v>
      </c>
      <c r="H16" t="s">
        <v>29</v>
      </c>
      <c r="I16" t="s">
        <v>59</v>
      </c>
      <c r="J16" t="s">
        <v>117</v>
      </c>
      <c r="L16" s="1">
        <v>46266</v>
      </c>
      <c r="M16" s="1">
        <v>46266</v>
      </c>
      <c r="O16">
        <v>17528908</v>
      </c>
      <c r="P16" t="s">
        <v>32</v>
      </c>
      <c r="Q16" t="s">
        <v>61</v>
      </c>
      <c r="R16">
        <v>8192</v>
      </c>
      <c r="S16" t="s">
        <v>34</v>
      </c>
      <c r="T16" t="s">
        <v>35</v>
      </c>
      <c r="U16">
        <v>180.33</v>
      </c>
      <c r="V16" t="s">
        <v>36</v>
      </c>
      <c r="W16" s="1">
        <v>46217</v>
      </c>
      <c r="X16">
        <v>2026</v>
      </c>
    </row>
    <row r="17" spans="1:24" x14ac:dyDescent="0.25">
      <c r="A17" s="1">
        <v>46231</v>
      </c>
      <c r="B17" t="s">
        <v>118</v>
      </c>
      <c r="C17" t="s">
        <v>119</v>
      </c>
      <c r="E17" t="s">
        <v>120</v>
      </c>
      <c r="F17" t="s">
        <v>121</v>
      </c>
      <c r="G17" t="s">
        <v>28</v>
      </c>
      <c r="H17" t="s">
        <v>29</v>
      </c>
      <c r="I17" t="s">
        <v>122</v>
      </c>
      <c r="J17" t="s">
        <v>123</v>
      </c>
      <c r="L17" s="1">
        <v>46235</v>
      </c>
      <c r="M17" s="1">
        <v>46235</v>
      </c>
      <c r="O17">
        <v>15278437</v>
      </c>
      <c r="P17" t="s">
        <v>32</v>
      </c>
      <c r="Q17" t="s">
        <v>124</v>
      </c>
      <c r="R17">
        <v>8192</v>
      </c>
      <c r="S17" t="s">
        <v>34</v>
      </c>
      <c r="T17" t="s">
        <v>35</v>
      </c>
      <c r="U17">
        <v>207.08</v>
      </c>
      <c r="V17" t="s">
        <v>36</v>
      </c>
      <c r="W17" s="1">
        <v>46209</v>
      </c>
      <c r="X17">
        <v>2026</v>
      </c>
    </row>
    <row r="18" spans="1:24" x14ac:dyDescent="0.25">
      <c r="A18" s="1">
        <v>46231</v>
      </c>
      <c r="B18" t="s">
        <v>125</v>
      </c>
      <c r="C18" t="s">
        <v>126</v>
      </c>
      <c r="E18" t="s">
        <v>127</v>
      </c>
      <c r="F18" t="s">
        <v>58</v>
      </c>
      <c r="G18" t="s">
        <v>28</v>
      </c>
      <c r="H18" t="s">
        <v>29</v>
      </c>
      <c r="I18" t="s">
        <v>59</v>
      </c>
      <c r="J18" t="s">
        <v>117</v>
      </c>
      <c r="L18" s="1">
        <v>46296</v>
      </c>
      <c r="M18" s="1">
        <v>46296</v>
      </c>
      <c r="O18">
        <v>17528908</v>
      </c>
      <c r="P18" t="s">
        <v>32</v>
      </c>
      <c r="Q18" t="s">
        <v>61</v>
      </c>
      <c r="R18">
        <v>8192</v>
      </c>
      <c r="S18" t="s">
        <v>34</v>
      </c>
      <c r="T18" t="s">
        <v>35</v>
      </c>
      <c r="U18">
        <v>135.25</v>
      </c>
      <c r="V18" t="s">
        <v>36</v>
      </c>
      <c r="W18" s="1">
        <v>46212</v>
      </c>
      <c r="X18">
        <v>2026</v>
      </c>
    </row>
    <row r="19" spans="1:24" x14ac:dyDescent="0.25">
      <c r="A19" s="1">
        <v>46231</v>
      </c>
      <c r="B19" t="s">
        <v>128</v>
      </c>
      <c r="C19" t="s">
        <v>129</v>
      </c>
      <c r="E19" t="s">
        <v>130</v>
      </c>
      <c r="F19" t="s">
        <v>45</v>
      </c>
      <c r="G19" t="s">
        <v>28</v>
      </c>
      <c r="H19" t="s">
        <v>29</v>
      </c>
      <c r="I19" t="s">
        <v>46</v>
      </c>
      <c r="J19" t="s">
        <v>131</v>
      </c>
      <c r="L19" s="1">
        <v>46235</v>
      </c>
      <c r="M19" s="1">
        <v>46235</v>
      </c>
      <c r="O19">
        <v>8307933</v>
      </c>
      <c r="P19" t="s">
        <v>32</v>
      </c>
      <c r="Q19" t="s">
        <v>70</v>
      </c>
      <c r="R19">
        <v>8192</v>
      </c>
      <c r="S19" t="s">
        <v>34</v>
      </c>
      <c r="T19" t="s">
        <v>35</v>
      </c>
      <c r="U19">
        <v>207.08</v>
      </c>
      <c r="V19" t="s">
        <v>36</v>
      </c>
      <c r="W19" s="1">
        <v>46216</v>
      </c>
      <c r="X19">
        <v>2026</v>
      </c>
    </row>
    <row r="20" spans="1:24" x14ac:dyDescent="0.25">
      <c r="A20" s="1"/>
      <c r="L20" s="1"/>
      <c r="M20" s="1"/>
      <c r="W20" s="1"/>
    </row>
    <row r="21" spans="1:24" x14ac:dyDescent="0.25">
      <c r="A21" s="1"/>
      <c r="L21" s="1"/>
      <c r="M21" s="1"/>
      <c r="W21" s="1"/>
    </row>
    <row r="22" spans="1:24" x14ac:dyDescent="0.25">
      <c r="A22" s="1"/>
      <c r="L22" s="1"/>
      <c r="M22" s="1"/>
      <c r="W22" s="1"/>
    </row>
    <row r="23" spans="1:24" x14ac:dyDescent="0.25">
      <c r="A23" s="1"/>
      <c r="L23" s="1"/>
      <c r="M23" s="1"/>
      <c r="W23" s="1"/>
    </row>
    <row r="24" spans="1:24" x14ac:dyDescent="0.25">
      <c r="A24" s="1"/>
      <c r="L24" s="1"/>
      <c r="M24" s="1"/>
      <c r="W24" s="1"/>
    </row>
    <row r="25" spans="1:24" x14ac:dyDescent="0.25">
      <c r="A25" s="1"/>
      <c r="L25" s="1"/>
      <c r="M25" s="1"/>
      <c r="W25" s="1"/>
    </row>
    <row r="26" spans="1:24" x14ac:dyDescent="0.25">
      <c r="A26" s="1"/>
      <c r="L26" s="1"/>
      <c r="M26" s="1"/>
      <c r="W26" s="1"/>
    </row>
    <row r="27" spans="1:24" x14ac:dyDescent="0.25">
      <c r="A27" s="1"/>
      <c r="L27" s="1"/>
      <c r="M27" s="1"/>
      <c r="W27" s="1"/>
    </row>
    <row r="28" spans="1:24" x14ac:dyDescent="0.25">
      <c r="A28" s="1"/>
      <c r="L28" s="1"/>
      <c r="M28" s="1"/>
      <c r="W28" s="1"/>
    </row>
    <row r="29" spans="1:24" x14ac:dyDescent="0.25">
      <c r="A29" s="1"/>
      <c r="L29" s="1"/>
      <c r="M29" s="1"/>
      <c r="W29" s="1"/>
    </row>
    <row r="30" spans="1:24" x14ac:dyDescent="0.25">
      <c r="A30" s="1"/>
      <c r="L30" s="1"/>
      <c r="M30" s="1"/>
      <c r="W30" s="1"/>
    </row>
    <row r="31" spans="1:24" x14ac:dyDescent="0.25">
      <c r="A31" s="1"/>
      <c r="L31" s="1"/>
      <c r="M31" s="1"/>
      <c r="W31" s="1"/>
    </row>
    <row r="32" spans="1:24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W34" s="1"/>
    </row>
    <row r="35" spans="1:23" x14ac:dyDescent="0.25">
      <c r="A35" s="1"/>
      <c r="L35" s="1"/>
      <c r="M35" s="1"/>
      <c r="W35" s="1"/>
    </row>
    <row r="36" spans="1:23" x14ac:dyDescent="0.25">
      <c r="A36" s="1"/>
      <c r="L36" s="1"/>
      <c r="M36" s="1"/>
      <c r="W36" s="1"/>
    </row>
    <row r="37" spans="1:23" x14ac:dyDescent="0.25">
      <c r="A37" s="1"/>
      <c r="L37" s="1"/>
      <c r="M37" s="1"/>
      <c r="W37" s="1"/>
    </row>
    <row r="38" spans="1:23" x14ac:dyDescent="0.25">
      <c r="A38" s="1"/>
      <c r="L38" s="1"/>
      <c r="M38" s="1"/>
      <c r="W38" s="1"/>
    </row>
    <row r="39" spans="1:23" x14ac:dyDescent="0.25">
      <c r="A39" s="1"/>
      <c r="L39" s="1"/>
      <c r="M39" s="1"/>
      <c r="W39" s="1"/>
    </row>
    <row r="40" spans="1:23" x14ac:dyDescent="0.25">
      <c r="A40" s="1"/>
      <c r="L40" s="1"/>
      <c r="M40" s="1"/>
      <c r="W40" s="1"/>
    </row>
    <row r="41" spans="1:23" x14ac:dyDescent="0.25">
      <c r="A41" s="1"/>
      <c r="L41" s="1"/>
      <c r="M41" s="1"/>
      <c r="W41" s="1"/>
    </row>
    <row r="42" spans="1:23" x14ac:dyDescent="0.25">
      <c r="A42" s="1"/>
      <c r="L42" s="1"/>
      <c r="M42" s="1"/>
      <c r="W42" s="1"/>
    </row>
    <row r="43" spans="1:23" x14ac:dyDescent="0.25">
      <c r="A43" s="1"/>
      <c r="L43" s="1"/>
      <c r="M43" s="1"/>
      <c r="W43" s="1"/>
    </row>
    <row r="44" spans="1:23" x14ac:dyDescent="0.25">
      <c r="A44" s="1"/>
      <c r="L44" s="1"/>
      <c r="M44" s="1"/>
      <c r="W44" s="1"/>
    </row>
    <row r="45" spans="1:23" x14ac:dyDescent="0.25">
      <c r="A45" s="1"/>
      <c r="L45" s="1"/>
      <c r="M45" s="1"/>
      <c r="W45" s="1"/>
    </row>
    <row r="46" spans="1:23" x14ac:dyDescent="0.25">
      <c r="A46" s="1"/>
      <c r="L46" s="1"/>
      <c r="M46" s="1"/>
      <c r="W46" s="1"/>
    </row>
    <row r="47" spans="1:23" x14ac:dyDescent="0.25">
      <c r="A47" s="1"/>
      <c r="L47" s="1"/>
      <c r="M47" s="1"/>
      <c r="W47" s="1"/>
    </row>
    <row r="48" spans="1:23" x14ac:dyDescent="0.25">
      <c r="A48" s="1"/>
      <c r="L48" s="1"/>
      <c r="M48" s="1"/>
      <c r="W48" s="1"/>
    </row>
    <row r="49" spans="1:23" x14ac:dyDescent="0.25">
      <c r="A49" s="1"/>
      <c r="L49" s="1"/>
      <c r="M49" s="1"/>
      <c r="W49" s="1"/>
    </row>
    <row r="50" spans="1:23" x14ac:dyDescent="0.25">
      <c r="A50" s="1"/>
      <c r="L50" s="1"/>
      <c r="M50" s="1"/>
      <c r="W50" s="1"/>
    </row>
    <row r="51" spans="1:23" x14ac:dyDescent="0.25">
      <c r="A51" s="1"/>
      <c r="L51" s="1"/>
      <c r="M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7" spans="1:23" x14ac:dyDescent="0.25">
      <c r="A57" s="1"/>
      <c r="L57" s="1"/>
      <c r="M57" s="1"/>
      <c r="W57" s="1"/>
    </row>
    <row r="58" spans="1:23" x14ac:dyDescent="0.25">
      <c r="A58" s="1"/>
      <c r="L58" s="1"/>
      <c r="M58" s="1"/>
      <c r="W58" s="1"/>
    </row>
    <row r="59" spans="1:23" x14ac:dyDescent="0.25">
      <c r="A59" s="1"/>
      <c r="L59" s="1"/>
      <c r="M59" s="1"/>
      <c r="W59" s="1"/>
    </row>
    <row r="60" spans="1:23" x14ac:dyDescent="0.25">
      <c r="A60" s="1"/>
      <c r="L60" s="1"/>
      <c r="M60" s="1"/>
      <c r="W60" s="1"/>
    </row>
    <row r="61" spans="1:23" x14ac:dyDescent="0.25">
      <c r="A61" s="1"/>
      <c r="L61" s="1"/>
      <c r="M61" s="1"/>
      <c r="W61" s="1"/>
    </row>
    <row r="62" spans="1:23" x14ac:dyDescent="0.25">
      <c r="A62" s="1"/>
      <c r="L62" s="1"/>
      <c r="M62" s="1"/>
      <c r="W62" s="1"/>
    </row>
    <row r="63" spans="1:23" x14ac:dyDescent="0.25">
      <c r="A63" s="1"/>
      <c r="L63" s="1"/>
      <c r="M63" s="1"/>
      <c r="W63" s="1"/>
    </row>
    <row r="64" spans="1:23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W69" s="1"/>
    </row>
    <row r="70" spans="1:23" x14ac:dyDescent="0.25">
      <c r="A70" s="1"/>
      <c r="L70" s="1"/>
      <c r="M70" s="1"/>
      <c r="W70" s="1"/>
    </row>
    <row r="71" spans="1:23" x14ac:dyDescent="0.25">
      <c r="A71" s="1"/>
      <c r="L71" s="1"/>
      <c r="M71" s="1"/>
      <c r="W71" s="1"/>
    </row>
    <row r="72" spans="1:23" x14ac:dyDescent="0.25">
      <c r="A72" s="1"/>
      <c r="L72" s="1"/>
      <c r="M72" s="1"/>
      <c r="W72" s="1"/>
    </row>
    <row r="73" spans="1:23" x14ac:dyDescent="0.25">
      <c r="A73" s="1"/>
      <c r="L73" s="1"/>
      <c r="M73" s="1"/>
      <c r="W73" s="1"/>
    </row>
    <row r="74" spans="1:23" x14ac:dyDescent="0.25">
      <c r="A74" s="1"/>
      <c r="L74" s="1"/>
      <c r="M74" s="1"/>
      <c r="W74" s="1"/>
    </row>
    <row r="75" spans="1:23" x14ac:dyDescent="0.25">
      <c r="A75" s="1"/>
      <c r="L75" s="1"/>
      <c r="M75" s="1"/>
      <c r="W75" s="1"/>
    </row>
    <row r="76" spans="1:23" x14ac:dyDescent="0.25">
      <c r="A76" s="1"/>
      <c r="L76" s="1"/>
      <c r="M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N93" s="1"/>
      <c r="W93" s="1"/>
    </row>
    <row r="94" spans="1:23" x14ac:dyDescent="0.25">
      <c r="A94" s="1"/>
      <c r="L94" s="1"/>
      <c r="M94" s="1"/>
      <c r="N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N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N538" s="1"/>
      <c r="W538" s="1"/>
    </row>
    <row r="539" spans="1:23" x14ac:dyDescent="0.25">
      <c r="A539" s="1"/>
      <c r="L539" s="1"/>
      <c r="M539" s="1"/>
      <c r="N539" s="1"/>
      <c r="W539" s="1"/>
    </row>
    <row r="540" spans="1:23" x14ac:dyDescent="0.25">
      <c r="A540" s="1"/>
      <c r="L540" s="1"/>
      <c r="M540" s="1"/>
      <c r="N540" s="1"/>
      <c r="W540" s="1"/>
    </row>
    <row r="541" spans="1:23" x14ac:dyDescent="0.25">
      <c r="A541" s="1"/>
      <c r="L541" s="1"/>
      <c r="M541" s="1"/>
      <c r="N541" s="1"/>
      <c r="W541" s="1"/>
    </row>
    <row r="542" spans="1:23" x14ac:dyDescent="0.25">
      <c r="A542" s="1"/>
      <c r="L542" s="1"/>
      <c r="M542" s="1"/>
      <c r="N542" s="1"/>
      <c r="W542" s="1"/>
    </row>
    <row r="543" spans="1:23" x14ac:dyDescent="0.25">
      <c r="A543" s="1"/>
      <c r="L543" s="1"/>
      <c r="M543" s="1"/>
      <c r="N543" s="1"/>
      <c r="W543" s="1"/>
    </row>
    <row r="544" spans="1:23" x14ac:dyDescent="0.25">
      <c r="A544" s="1"/>
      <c r="L544" s="1"/>
      <c r="M544" s="1"/>
      <c r="N544" s="1"/>
      <c r="W544" s="1"/>
    </row>
    <row r="545" spans="1:23" x14ac:dyDescent="0.25">
      <c r="A545" s="1"/>
      <c r="L545" s="1"/>
      <c r="M545" s="1"/>
      <c r="N545" s="1"/>
      <c r="W545" s="1"/>
    </row>
    <row r="546" spans="1:23" x14ac:dyDescent="0.25">
      <c r="A546" s="1"/>
      <c r="L546" s="1"/>
      <c r="M546" s="1"/>
      <c r="N546" s="1"/>
      <c r="W546" s="1"/>
    </row>
    <row r="547" spans="1:23" x14ac:dyDescent="0.25">
      <c r="A547" s="1"/>
      <c r="L547" s="1"/>
      <c r="M547" s="1"/>
      <c r="N547" s="1"/>
      <c r="W547" s="1"/>
    </row>
    <row r="548" spans="1:23" x14ac:dyDescent="0.25">
      <c r="A548" s="1"/>
      <c r="L548" s="1"/>
      <c r="M548" s="1"/>
      <c r="N548" s="1"/>
      <c r="W548" s="1"/>
    </row>
    <row r="549" spans="1:23" x14ac:dyDescent="0.25">
      <c r="A549" s="1"/>
      <c r="L549" s="1"/>
      <c r="M549" s="1"/>
      <c r="N549" s="1"/>
      <c r="W549" s="1"/>
    </row>
    <row r="550" spans="1:23" x14ac:dyDescent="0.25">
      <c r="A550" s="1"/>
      <c r="L550" s="1"/>
      <c r="M550" s="1"/>
      <c r="N550" s="1"/>
      <c r="W550" s="1"/>
    </row>
    <row r="551" spans="1:23" x14ac:dyDescent="0.25">
      <c r="A551" s="1"/>
      <c r="L551" s="1"/>
      <c r="M551" s="1"/>
      <c r="N551" s="1"/>
      <c r="W551" s="1"/>
    </row>
    <row r="552" spans="1:23" x14ac:dyDescent="0.25">
      <c r="A552" s="1"/>
      <c r="L552" s="1"/>
      <c r="M552" s="1"/>
      <c r="N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N557" s="1"/>
      <c r="W557" s="1"/>
    </row>
    <row r="558" spans="1:23" x14ac:dyDescent="0.25">
      <c r="A558" s="1"/>
      <c r="L558" s="1"/>
      <c r="M558" s="1"/>
      <c r="N558" s="1"/>
      <c r="W558" s="1"/>
    </row>
    <row r="559" spans="1:23" x14ac:dyDescent="0.25">
      <c r="A559" s="1"/>
      <c r="L559" s="1"/>
      <c r="M559" s="1"/>
      <c r="N559" s="1"/>
      <c r="W559" s="1"/>
    </row>
    <row r="560" spans="1:23" x14ac:dyDescent="0.25">
      <c r="A560" s="1"/>
      <c r="L560" s="1"/>
      <c r="M560" s="1"/>
      <c r="N560" s="1"/>
      <c r="W560" s="1"/>
    </row>
    <row r="561" spans="1:23" x14ac:dyDescent="0.25">
      <c r="A561" s="1"/>
      <c r="L561" s="1"/>
      <c r="M561" s="1"/>
      <c r="N561" s="1"/>
      <c r="W561" s="1"/>
    </row>
    <row r="562" spans="1:23" x14ac:dyDescent="0.25">
      <c r="A562" s="1"/>
      <c r="L562" s="1"/>
      <c r="M562" s="1"/>
      <c r="N562" s="1"/>
      <c r="W562" s="1"/>
    </row>
    <row r="563" spans="1:23" x14ac:dyDescent="0.25">
      <c r="A563" s="1"/>
      <c r="L563" s="1"/>
      <c r="M563" s="1"/>
      <c r="N563" s="1"/>
      <c r="W563" s="1"/>
    </row>
    <row r="564" spans="1:23" x14ac:dyDescent="0.25">
      <c r="A564" s="1"/>
      <c r="L564" s="1"/>
      <c r="M564" s="1"/>
      <c r="N564" s="1"/>
      <c r="W564" s="1"/>
    </row>
    <row r="565" spans="1:23" x14ac:dyDescent="0.25">
      <c r="A565" s="1"/>
      <c r="L565" s="1"/>
      <c r="M565" s="1"/>
      <c r="N565" s="1"/>
      <c r="W565" s="1"/>
    </row>
    <row r="566" spans="1:23" x14ac:dyDescent="0.25">
      <c r="A566" s="1"/>
      <c r="L566" s="1"/>
      <c r="M566" s="1"/>
      <c r="N566" s="1"/>
      <c r="W566" s="1"/>
    </row>
    <row r="567" spans="1:23" x14ac:dyDescent="0.25">
      <c r="A567" s="1"/>
      <c r="L567" s="1"/>
      <c r="M567" s="1"/>
      <c r="N567" s="1"/>
      <c r="W567" s="1"/>
    </row>
    <row r="568" spans="1:23" x14ac:dyDescent="0.25">
      <c r="A568" s="1"/>
      <c r="L568" s="1"/>
      <c r="M568" s="1"/>
      <c r="N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N719" s="1"/>
      <c r="W719" s="1"/>
    </row>
    <row r="720" spans="1:23" x14ac:dyDescent="0.25">
      <c r="A720" s="1"/>
      <c r="L720" s="1"/>
      <c r="M720" s="1"/>
      <c r="N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N969" s="1"/>
      <c r="W969" s="1"/>
    </row>
    <row r="970" spans="1:23" x14ac:dyDescent="0.25">
      <c r="A970" s="1"/>
      <c r="L970" s="1"/>
      <c r="M970" s="1"/>
      <c r="N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N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30" spans="1:1" x14ac:dyDescent="0.25">
      <c r="A1330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5672-B396-48BB-9ABC-215AD260B8E0}">
  <dimension ref="A1:AC1341"/>
  <sheetViews>
    <sheetView tabSelected="1" workbookViewId="0">
      <selection activeCell="A19" sqref="A19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3" customWidth="1"/>
    <col min="4" max="4" width="9.5703125" customWidth="1"/>
    <col min="5" max="5" width="23.28515625" customWidth="1"/>
    <col min="6" max="6" width="8.42578125" customWidth="1"/>
    <col min="7" max="7" width="17.140625" customWidth="1"/>
    <col min="8" max="8" width="7.85546875" bestFit="1" customWidth="1"/>
    <col min="9" max="9" width="8" bestFit="1" customWidth="1"/>
    <col min="10" max="10" width="10" bestFit="1" customWidth="1"/>
    <col min="11" max="11" width="13.5703125" bestFit="1" customWidth="1"/>
    <col min="12" max="12" width="10.7109375" bestFit="1" customWidth="1"/>
    <col min="13" max="14" width="11.85546875" customWidth="1"/>
    <col min="15" max="15" width="27.85546875" bestFit="1" customWidth="1"/>
    <col min="16" max="16" width="14.140625" bestFit="1" customWidth="1"/>
    <col min="18" max="18" width="22" bestFit="1" customWidth="1"/>
    <col min="19" max="19" width="23.140625" bestFit="1" customWidth="1"/>
  </cols>
  <sheetData>
    <row r="1" spans="1:29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13</v>
      </c>
      <c r="M1" t="s">
        <v>14</v>
      </c>
      <c r="O1" t="s">
        <v>16</v>
      </c>
      <c r="P1" t="s">
        <v>20</v>
      </c>
    </row>
    <row r="2" spans="1:29" s="2" customFormat="1" x14ac:dyDescent="0.25">
      <c r="A2" s="2" t="s">
        <v>76</v>
      </c>
      <c r="B2" s="2" t="str">
        <f>CONCATENATE(A2,77)</f>
        <v>6T15XQ1WX8077</v>
      </c>
      <c r="C2" s="2" t="s">
        <v>149</v>
      </c>
      <c r="D2" s="2" t="s">
        <v>150</v>
      </c>
      <c r="E2" s="2" t="str">
        <f>CONCATENATE(D2," ",C2)</f>
        <v>IVAN KERN</v>
      </c>
      <c r="F2" s="2" t="s">
        <v>79</v>
      </c>
      <c r="G2" s="2" t="s">
        <v>80</v>
      </c>
      <c r="H2" s="2" t="s">
        <v>29</v>
      </c>
      <c r="I2" s="2" t="s">
        <v>30</v>
      </c>
      <c r="J2" s="2" t="s">
        <v>81</v>
      </c>
      <c r="K2" s="3">
        <v>46174</v>
      </c>
      <c r="L2" s="3">
        <v>46387</v>
      </c>
      <c r="M2" s="2">
        <v>9213293</v>
      </c>
      <c r="N2" s="2">
        <v>9213293</v>
      </c>
      <c r="O2" s="2" t="s">
        <v>82</v>
      </c>
      <c r="P2" s="2">
        <v>-844</v>
      </c>
      <c r="Q2" s="2">
        <v>-694</v>
      </c>
      <c r="R2" s="2" t="s">
        <v>168</v>
      </c>
      <c r="S2" s="2" t="s">
        <v>167</v>
      </c>
    </row>
    <row r="3" spans="1:29" s="4" customFormat="1" x14ac:dyDescent="0.25">
      <c r="A3" s="2" t="s">
        <v>125</v>
      </c>
      <c r="B3" s="2" t="str">
        <f>CONCATENATE(A3,89)</f>
        <v>9QQ8J81CP4289</v>
      </c>
      <c r="C3" s="2" t="s">
        <v>163</v>
      </c>
      <c r="D3" s="2" t="s">
        <v>164</v>
      </c>
      <c r="E3" s="2" t="str">
        <f>CONCATENATE(D3," ",C3)</f>
        <v>JAMES WUNDERLICH</v>
      </c>
      <c r="F3" s="2" t="s">
        <v>58</v>
      </c>
      <c r="G3" s="2" t="s">
        <v>28</v>
      </c>
      <c r="H3" s="2" t="s">
        <v>29</v>
      </c>
      <c r="I3" s="2" t="s">
        <v>59</v>
      </c>
      <c r="J3" s="2" t="s">
        <v>117</v>
      </c>
      <c r="K3" s="3">
        <v>46296</v>
      </c>
      <c r="L3" s="3">
        <v>46387</v>
      </c>
      <c r="M3" s="2" t="s">
        <v>177</v>
      </c>
      <c r="N3" s="2" t="s">
        <v>177</v>
      </c>
      <c r="O3" s="2" t="s">
        <v>61</v>
      </c>
      <c r="P3" s="2">
        <v>135.25</v>
      </c>
      <c r="Q3" s="2">
        <v>97.75</v>
      </c>
      <c r="R3" s="2" t="s">
        <v>172</v>
      </c>
      <c r="S3" s="2" t="s">
        <v>173</v>
      </c>
      <c r="T3" s="2">
        <f>391/12*3</f>
        <v>97.75</v>
      </c>
      <c r="U3" s="2"/>
      <c r="V3" s="2"/>
      <c r="W3" s="2"/>
      <c r="X3" s="2"/>
      <c r="Y3" s="2"/>
      <c r="Z3" s="2"/>
      <c r="AA3" s="2"/>
      <c r="AB3" s="2"/>
      <c r="AC3" s="2"/>
    </row>
    <row r="4" spans="1:29" s="4" customFormat="1" x14ac:dyDescent="0.25">
      <c r="A4" s="2" t="s">
        <v>114</v>
      </c>
      <c r="B4" s="2" t="str">
        <f t="shared" ref="B4:B17" si="0">CONCATENATE(A4,89)</f>
        <v>8FP7E35AM4989</v>
      </c>
      <c r="C4" s="2" t="s">
        <v>159</v>
      </c>
      <c r="D4" s="2" t="s">
        <v>160</v>
      </c>
      <c r="E4" s="2" t="str">
        <f>CONCATENATE(D4," ",C4)</f>
        <v>ELIZABETH SUTTER</v>
      </c>
      <c r="F4" s="2" t="s">
        <v>58</v>
      </c>
      <c r="G4" s="2" t="s">
        <v>28</v>
      </c>
      <c r="H4" s="2" t="s">
        <v>29</v>
      </c>
      <c r="I4" s="2" t="s">
        <v>59</v>
      </c>
      <c r="J4" s="2" t="s">
        <v>117</v>
      </c>
      <c r="K4" s="3">
        <v>46266</v>
      </c>
      <c r="L4" s="3">
        <v>46387</v>
      </c>
      <c r="M4" s="2" t="s">
        <v>177</v>
      </c>
      <c r="N4" s="2" t="s">
        <v>177</v>
      </c>
      <c r="O4" s="2" t="s">
        <v>61</v>
      </c>
      <c r="P4" s="2">
        <v>180.33</v>
      </c>
      <c r="Q4" s="2">
        <v>130.33000000000001</v>
      </c>
      <c r="R4" s="2" t="s">
        <v>172</v>
      </c>
      <c r="S4" s="2" t="s">
        <v>174</v>
      </c>
      <c r="T4" s="2">
        <f>391/12*4</f>
        <v>130.33333333333334</v>
      </c>
      <c r="U4" s="2"/>
      <c r="V4" s="2"/>
      <c r="W4" s="2"/>
      <c r="X4" s="2"/>
      <c r="Y4" s="2"/>
      <c r="Z4" s="2"/>
      <c r="AA4" s="2"/>
      <c r="AB4" s="2"/>
      <c r="AC4" s="2"/>
    </row>
    <row r="5" spans="1:29" s="2" customFormat="1" x14ac:dyDescent="0.25">
      <c r="A5" s="2" t="s">
        <v>55</v>
      </c>
      <c r="B5" s="2" t="str">
        <f t="shared" si="0"/>
        <v>7PF9QH0FC2489</v>
      </c>
      <c r="C5" s="2" t="s">
        <v>141</v>
      </c>
      <c r="D5" s="2" t="s">
        <v>142</v>
      </c>
      <c r="E5" s="2" t="str">
        <f>CONCATENATE(D5," ",C5)</f>
        <v>ALISA DEMARINO</v>
      </c>
      <c r="F5" s="2" t="s">
        <v>58</v>
      </c>
      <c r="G5" s="2" t="s">
        <v>28</v>
      </c>
      <c r="H5" s="2" t="s">
        <v>29</v>
      </c>
      <c r="I5" s="2" t="s">
        <v>59</v>
      </c>
      <c r="J5" s="2" t="s">
        <v>60</v>
      </c>
      <c r="K5" s="3">
        <v>46235</v>
      </c>
      <c r="L5" s="3">
        <v>46387</v>
      </c>
      <c r="M5" s="2" t="s">
        <v>177</v>
      </c>
      <c r="N5" s="2" t="s">
        <v>177</v>
      </c>
      <c r="O5" s="2" t="s">
        <v>61</v>
      </c>
      <c r="P5" s="2">
        <v>225.42</v>
      </c>
      <c r="Q5" s="2">
        <v>162.91999999999999</v>
      </c>
      <c r="R5" s="2" t="s">
        <v>172</v>
      </c>
      <c r="S5" s="2" t="s">
        <v>175</v>
      </c>
      <c r="T5" s="2">
        <f>391/12*5</f>
        <v>162.91666666666669</v>
      </c>
    </row>
    <row r="6" spans="1:29" s="2" customFormat="1" x14ac:dyDescent="0.25">
      <c r="A6" s="2" t="s">
        <v>62</v>
      </c>
      <c r="B6" s="2" t="str">
        <f t="shared" si="0"/>
        <v>5T51ND5FF1889</v>
      </c>
      <c r="C6" s="2" t="s">
        <v>143</v>
      </c>
      <c r="D6" s="2" t="s">
        <v>144</v>
      </c>
      <c r="E6" s="2" t="str">
        <f>CONCATENATE(D6," ",C6)</f>
        <v>M ESPINOZA</v>
      </c>
      <c r="F6" s="2" t="s">
        <v>58</v>
      </c>
      <c r="G6" s="2" t="s">
        <v>28</v>
      </c>
      <c r="H6" s="2" t="s">
        <v>29</v>
      </c>
      <c r="I6" s="2" t="s">
        <v>59</v>
      </c>
      <c r="J6" s="2" t="s">
        <v>65</v>
      </c>
      <c r="K6" s="3">
        <v>46235</v>
      </c>
      <c r="L6" s="3">
        <v>46387</v>
      </c>
      <c r="M6" s="2" t="s">
        <v>178</v>
      </c>
      <c r="N6" s="2" t="s">
        <v>178</v>
      </c>
      <c r="O6" s="2" t="s">
        <v>66</v>
      </c>
      <c r="P6" s="2">
        <v>225.42</v>
      </c>
      <c r="Q6" s="2">
        <v>162.91999999999999</v>
      </c>
      <c r="R6" s="2" t="s">
        <v>172</v>
      </c>
      <c r="S6" s="2" t="s">
        <v>175</v>
      </c>
    </row>
    <row r="7" spans="1:29" s="4" customFormat="1" x14ac:dyDescent="0.25">
      <c r="A7" s="2" t="s">
        <v>67</v>
      </c>
      <c r="B7" s="2" t="str">
        <f t="shared" si="0"/>
        <v>4Q08PQ3PE3289</v>
      </c>
      <c r="C7" s="2" t="s">
        <v>145</v>
      </c>
      <c r="D7" s="2" t="s">
        <v>146</v>
      </c>
      <c r="E7" s="2" t="str">
        <f>CONCATENATE(D7," ",C7)</f>
        <v>STEPHEN FREY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40</v>
      </c>
      <c r="K7" s="3">
        <v>46296</v>
      </c>
      <c r="L7" s="3">
        <v>46387</v>
      </c>
      <c r="M7" s="2">
        <v>8307933</v>
      </c>
      <c r="N7" s="2">
        <v>8307933</v>
      </c>
      <c r="O7" s="2" t="s">
        <v>70</v>
      </c>
      <c r="P7" s="2">
        <v>124.25</v>
      </c>
      <c r="Q7" s="2">
        <v>86.75</v>
      </c>
      <c r="R7" s="2" t="s">
        <v>170</v>
      </c>
      <c r="S7" s="2" t="s">
        <v>171</v>
      </c>
      <c r="T7" s="2">
        <f>347/12*3</f>
        <v>86.75</v>
      </c>
      <c r="U7" s="2"/>
      <c r="V7" s="2"/>
      <c r="W7" s="2"/>
      <c r="X7" s="2"/>
      <c r="Y7" s="2"/>
      <c r="Z7" s="2"/>
      <c r="AA7" s="2"/>
      <c r="AB7" s="2"/>
      <c r="AC7" s="2"/>
    </row>
    <row r="8" spans="1:29" s="4" customFormat="1" x14ac:dyDescent="0.25">
      <c r="A8" s="2" t="s">
        <v>108</v>
      </c>
      <c r="B8" s="2" t="str">
        <f t="shared" si="0"/>
        <v>9XW5VJ0CG5189</v>
      </c>
      <c r="C8" s="2" t="s">
        <v>157</v>
      </c>
      <c r="D8" s="2" t="s">
        <v>158</v>
      </c>
      <c r="E8" s="2" t="str">
        <f>CONCATENATE(D8," ",C8)</f>
        <v>ANITA STANLEY</v>
      </c>
      <c r="F8" s="2" t="s">
        <v>92</v>
      </c>
      <c r="G8" s="2" t="s">
        <v>28</v>
      </c>
      <c r="H8" s="2" t="s">
        <v>111</v>
      </c>
      <c r="I8" s="2" t="s">
        <v>30</v>
      </c>
      <c r="J8" s="2" t="s">
        <v>112</v>
      </c>
      <c r="K8" s="3">
        <v>46296</v>
      </c>
      <c r="L8" s="3">
        <v>46387</v>
      </c>
      <c r="M8" s="2">
        <v>19681796</v>
      </c>
      <c r="N8" s="2">
        <v>19681796</v>
      </c>
      <c r="O8" s="2" t="s">
        <v>113</v>
      </c>
      <c r="P8" s="2">
        <v>124.25</v>
      </c>
      <c r="Q8" s="2">
        <v>86.75</v>
      </c>
      <c r="R8" s="2" t="s">
        <v>170</v>
      </c>
      <c r="S8" s="2" t="s">
        <v>171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2" customFormat="1" x14ac:dyDescent="0.25">
      <c r="A9" s="2" t="s">
        <v>24</v>
      </c>
      <c r="B9" s="2" t="str">
        <f t="shared" si="0"/>
        <v>8FA8CM2NA2989</v>
      </c>
      <c r="C9" s="2" t="s">
        <v>133</v>
      </c>
      <c r="D9" s="2" t="s">
        <v>134</v>
      </c>
      <c r="E9" s="2" t="str">
        <f>CONCATENATE(D9," ",C9)</f>
        <v>LINDA BABAT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3">
        <v>46235</v>
      </c>
      <c r="L9" s="3">
        <v>46387</v>
      </c>
      <c r="M9" s="2">
        <v>16633294</v>
      </c>
      <c r="N9" s="2">
        <v>16633294</v>
      </c>
      <c r="O9" s="2" t="s">
        <v>33</v>
      </c>
      <c r="P9" s="2">
        <v>207.08</v>
      </c>
      <c r="Q9" s="2">
        <v>144.58000000000001</v>
      </c>
      <c r="R9" s="2" t="s">
        <v>170</v>
      </c>
      <c r="S9" s="2" t="s">
        <v>176</v>
      </c>
      <c r="T9" s="2">
        <f>347/12*5</f>
        <v>144.58333333333334</v>
      </c>
    </row>
    <row r="10" spans="1:29" s="4" customFormat="1" x14ac:dyDescent="0.25">
      <c r="A10" s="2" t="s">
        <v>37</v>
      </c>
      <c r="B10" s="2" t="str">
        <f t="shared" si="0"/>
        <v>2V13K73AX0889</v>
      </c>
      <c r="C10" s="2" t="s">
        <v>135</v>
      </c>
      <c r="D10" s="2" t="s">
        <v>136</v>
      </c>
      <c r="E10" s="2" t="str">
        <f>CONCATENATE(D10," ",C10)</f>
        <v>NANCY BROOKS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40</v>
      </c>
      <c r="K10" s="3">
        <v>46235</v>
      </c>
      <c r="L10" s="3">
        <v>46387</v>
      </c>
      <c r="M10" s="2">
        <v>19586992</v>
      </c>
      <c r="N10" s="2">
        <v>19586992</v>
      </c>
      <c r="O10" s="2" t="s">
        <v>41</v>
      </c>
      <c r="P10" s="2">
        <v>207.08</v>
      </c>
      <c r="Q10" s="2">
        <v>144.58000000000001</v>
      </c>
      <c r="R10" s="2" t="s">
        <v>170</v>
      </c>
      <c r="S10" s="2" t="s">
        <v>176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s="2" customFormat="1" x14ac:dyDescent="0.25">
      <c r="A11" s="2" t="s">
        <v>42</v>
      </c>
      <c r="B11" s="2" t="str">
        <f t="shared" si="0"/>
        <v>2P58J96UP2589</v>
      </c>
      <c r="C11" s="2" t="s">
        <v>137</v>
      </c>
      <c r="D11" s="2" t="s">
        <v>138</v>
      </c>
      <c r="E11" s="2" t="str">
        <f>CONCATENATE(D11," ",C11)</f>
        <v>CARLA CAMPANELLA</v>
      </c>
      <c r="F11" s="2" t="s">
        <v>45</v>
      </c>
      <c r="G11" s="2" t="s">
        <v>28</v>
      </c>
      <c r="H11" s="2" t="s">
        <v>29</v>
      </c>
      <c r="I11" s="2" t="s">
        <v>46</v>
      </c>
      <c r="J11" s="2" t="s">
        <v>47</v>
      </c>
      <c r="K11" s="3">
        <v>46235</v>
      </c>
      <c r="L11" s="3">
        <v>46387</v>
      </c>
      <c r="M11" s="2">
        <v>16170994</v>
      </c>
      <c r="N11" s="2">
        <v>16170994</v>
      </c>
      <c r="O11" s="2" t="s">
        <v>48</v>
      </c>
      <c r="P11" s="2">
        <v>207.08</v>
      </c>
      <c r="Q11" s="2">
        <v>144.58000000000001</v>
      </c>
      <c r="R11" s="2" t="s">
        <v>170</v>
      </c>
      <c r="S11" s="2" t="s">
        <v>176</v>
      </c>
    </row>
    <row r="12" spans="1:29" s="4" customFormat="1" x14ac:dyDescent="0.25">
      <c r="A12" s="2" t="s">
        <v>49</v>
      </c>
      <c r="B12" s="2" t="str">
        <f t="shared" si="0"/>
        <v>1MV4EF8QT7989</v>
      </c>
      <c r="C12" s="2" t="s">
        <v>139</v>
      </c>
      <c r="D12" s="2" t="s">
        <v>140</v>
      </c>
      <c r="E12" s="2" t="str">
        <f>CONCATENATE(D12," ",C12)</f>
        <v>KAREN CLINE</v>
      </c>
      <c r="F12" s="2" t="s">
        <v>27</v>
      </c>
      <c r="G12" s="2" t="s">
        <v>28</v>
      </c>
      <c r="H12" s="2" t="s">
        <v>29</v>
      </c>
      <c r="I12" s="2" t="s">
        <v>52</v>
      </c>
      <c r="J12" s="2" t="s">
        <v>53</v>
      </c>
      <c r="K12" s="3">
        <v>46235</v>
      </c>
      <c r="L12" s="3">
        <v>46387</v>
      </c>
      <c r="M12" s="2">
        <v>17143996</v>
      </c>
      <c r="N12" s="2">
        <v>17143996</v>
      </c>
      <c r="O12" s="2" t="s">
        <v>54</v>
      </c>
      <c r="P12" s="2">
        <v>207.08</v>
      </c>
      <c r="Q12" s="2">
        <v>144.58000000000001</v>
      </c>
      <c r="R12" s="2" t="s">
        <v>170</v>
      </c>
      <c r="S12" s="2" t="s">
        <v>176</v>
      </c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s="2" customFormat="1" x14ac:dyDescent="0.25">
      <c r="A13" s="2" t="s">
        <v>84</v>
      </c>
      <c r="B13" s="2" t="str">
        <f t="shared" si="0"/>
        <v>3XT2RU4RN9389</v>
      </c>
      <c r="C13" s="2" t="s">
        <v>151</v>
      </c>
      <c r="D13" s="2" t="s">
        <v>152</v>
      </c>
      <c r="E13" s="2" t="str">
        <f>CONCATENATE(D13," ",C13)</f>
        <v>MELISSA MATHENY</v>
      </c>
      <c r="F13" s="2" t="s">
        <v>27</v>
      </c>
      <c r="G13" s="2" t="s">
        <v>28</v>
      </c>
      <c r="H13" s="2" t="s">
        <v>29</v>
      </c>
      <c r="I13" s="2" t="s">
        <v>52</v>
      </c>
      <c r="J13" s="2" t="s">
        <v>87</v>
      </c>
      <c r="K13" s="3">
        <v>46235</v>
      </c>
      <c r="L13" s="3">
        <v>46387</v>
      </c>
      <c r="M13" s="2">
        <v>8244481</v>
      </c>
      <c r="N13" s="2">
        <v>8244481</v>
      </c>
      <c r="O13" s="2" t="s">
        <v>88</v>
      </c>
      <c r="P13" s="2">
        <v>207.08</v>
      </c>
      <c r="Q13" s="2">
        <v>144.58000000000001</v>
      </c>
      <c r="R13" s="2" t="s">
        <v>170</v>
      </c>
      <c r="S13" s="2" t="s">
        <v>176</v>
      </c>
    </row>
    <row r="14" spans="1:29" s="2" customFormat="1" x14ac:dyDescent="0.25">
      <c r="A14" s="2" t="s">
        <v>89</v>
      </c>
      <c r="B14" s="2" t="str">
        <f t="shared" si="0"/>
        <v>2N85V89DT8189</v>
      </c>
      <c r="C14" s="2" t="s">
        <v>153</v>
      </c>
      <c r="D14" s="2" t="s">
        <v>154</v>
      </c>
      <c r="E14" s="2" t="str">
        <f>CONCATENATE(D14," ",C14)</f>
        <v>NAYDA MEULBROEK</v>
      </c>
      <c r="F14" s="2" t="s">
        <v>92</v>
      </c>
      <c r="G14" s="2" t="s">
        <v>28</v>
      </c>
      <c r="H14" s="2" t="s">
        <v>29</v>
      </c>
      <c r="I14" s="2" t="s">
        <v>30</v>
      </c>
      <c r="J14" s="2" t="s">
        <v>93</v>
      </c>
      <c r="K14" s="3">
        <v>46235</v>
      </c>
      <c r="L14" s="3">
        <v>46387</v>
      </c>
      <c r="M14" s="2">
        <v>21646325</v>
      </c>
      <c r="N14" s="2">
        <v>21646325</v>
      </c>
      <c r="O14" s="2" t="s">
        <v>94</v>
      </c>
      <c r="P14" s="2">
        <v>207.08</v>
      </c>
      <c r="Q14" s="2">
        <v>144.58000000000001</v>
      </c>
      <c r="R14" s="2" t="s">
        <v>170</v>
      </c>
      <c r="S14" s="2" t="s">
        <v>176</v>
      </c>
    </row>
    <row r="15" spans="1:29" s="2" customFormat="1" x14ac:dyDescent="0.25">
      <c r="A15" s="2" t="s">
        <v>104</v>
      </c>
      <c r="B15" s="2" t="str">
        <f t="shared" si="0"/>
        <v>2WC6AG4KJ6789</v>
      </c>
      <c r="C15" s="2" t="s">
        <v>155</v>
      </c>
      <c r="D15" s="2" t="s">
        <v>156</v>
      </c>
      <c r="E15" s="2" t="str">
        <f>CONCATENATE(D15," ",C15)</f>
        <v>DAVID SAINTENOY</v>
      </c>
      <c r="F15" s="2" t="s">
        <v>45</v>
      </c>
      <c r="G15" s="2" t="s">
        <v>28</v>
      </c>
      <c r="H15" s="2" t="s">
        <v>29</v>
      </c>
      <c r="I15" s="2" t="s">
        <v>46</v>
      </c>
      <c r="J15" s="2" t="s">
        <v>107</v>
      </c>
      <c r="K15" s="3">
        <v>46235</v>
      </c>
      <c r="L15" s="3">
        <v>46387</v>
      </c>
      <c r="M15" s="2">
        <v>16170994</v>
      </c>
      <c r="N15" s="2">
        <v>16170994</v>
      </c>
      <c r="O15" s="2" t="s">
        <v>48</v>
      </c>
      <c r="P15" s="2">
        <v>207.08</v>
      </c>
      <c r="Q15" s="2">
        <v>144.58000000000001</v>
      </c>
      <c r="R15" s="2" t="s">
        <v>170</v>
      </c>
      <c r="S15" s="2" t="s">
        <v>176</v>
      </c>
    </row>
    <row r="16" spans="1:29" s="2" customFormat="1" x14ac:dyDescent="0.25">
      <c r="A16" s="2" t="s">
        <v>118</v>
      </c>
      <c r="B16" s="2" t="str">
        <f t="shared" si="0"/>
        <v>9CD6MW3FJ5889</v>
      </c>
      <c r="C16" s="2" t="s">
        <v>161</v>
      </c>
      <c r="D16" s="2" t="s">
        <v>162</v>
      </c>
      <c r="E16" s="2" t="str">
        <f>CONCATENATE(D16," ",C16)</f>
        <v>MARY TIEMAN</v>
      </c>
      <c r="F16" s="2" t="s">
        <v>121</v>
      </c>
      <c r="G16" s="2" t="s">
        <v>28</v>
      </c>
      <c r="H16" s="2" t="s">
        <v>29</v>
      </c>
      <c r="I16" s="2" t="s">
        <v>122</v>
      </c>
      <c r="J16" s="2" t="s">
        <v>123</v>
      </c>
      <c r="K16" s="3">
        <v>46235</v>
      </c>
      <c r="L16" s="3">
        <v>46387</v>
      </c>
      <c r="M16" s="2">
        <v>15278437</v>
      </c>
      <c r="N16" s="2">
        <v>15278437</v>
      </c>
      <c r="O16" s="2" t="s">
        <v>124</v>
      </c>
      <c r="P16" s="2">
        <v>207.08</v>
      </c>
      <c r="Q16" s="2">
        <v>144.58000000000001</v>
      </c>
      <c r="R16" s="2" t="s">
        <v>170</v>
      </c>
      <c r="S16" s="2" t="s">
        <v>176</v>
      </c>
    </row>
    <row r="17" spans="1:29" s="2" customFormat="1" x14ac:dyDescent="0.25">
      <c r="A17" s="2" t="s">
        <v>128</v>
      </c>
      <c r="B17" s="2" t="str">
        <f t="shared" si="0"/>
        <v>1KA0F45QX1789</v>
      </c>
      <c r="C17" s="2" t="s">
        <v>165</v>
      </c>
      <c r="D17" s="2" t="s">
        <v>166</v>
      </c>
      <c r="E17" s="2" t="str">
        <f>CONCATENATE(D17," ",C17)</f>
        <v>DENISE ZUMPELLA</v>
      </c>
      <c r="F17" s="2" t="s">
        <v>45</v>
      </c>
      <c r="G17" s="2" t="s">
        <v>28</v>
      </c>
      <c r="H17" s="2" t="s">
        <v>29</v>
      </c>
      <c r="I17" s="2" t="s">
        <v>46</v>
      </c>
      <c r="J17" s="2" t="s">
        <v>131</v>
      </c>
      <c r="K17" s="3">
        <v>46235</v>
      </c>
      <c r="L17" s="3">
        <v>46387</v>
      </c>
      <c r="M17" s="2">
        <v>8307933</v>
      </c>
      <c r="N17" s="2">
        <v>8307933</v>
      </c>
      <c r="O17" s="2" t="s">
        <v>70</v>
      </c>
      <c r="P17" s="2">
        <v>207.08</v>
      </c>
      <c r="Q17" s="2">
        <v>144.58000000000001</v>
      </c>
      <c r="R17" s="2" t="s">
        <v>170</v>
      </c>
      <c r="S17" s="2" t="s">
        <v>176</v>
      </c>
    </row>
    <row r="18" spans="1:29" s="2" customFormat="1" x14ac:dyDescent="0.25">
      <c r="A18" s="4" t="s">
        <v>76</v>
      </c>
      <c r="B18" s="4" t="str">
        <f>CONCATENATE(A18,"OVR")</f>
        <v>6T15XQ1WX80OVR</v>
      </c>
      <c r="C18" s="4" t="s">
        <v>149</v>
      </c>
      <c r="D18" s="4" t="s">
        <v>150</v>
      </c>
      <c r="E18" s="4" t="str">
        <f>CONCATENATE(D18," ",C18)</f>
        <v>IVAN KERN</v>
      </c>
      <c r="F18" s="4" t="s">
        <v>79</v>
      </c>
      <c r="G18" s="4" t="s">
        <v>80</v>
      </c>
      <c r="H18" s="4" t="s">
        <v>29</v>
      </c>
      <c r="I18" s="4" t="s">
        <v>30</v>
      </c>
      <c r="J18" s="4" t="s">
        <v>81</v>
      </c>
      <c r="K18" s="5">
        <v>46174</v>
      </c>
      <c r="L18" s="5">
        <v>46387</v>
      </c>
      <c r="M18" s="4">
        <v>9213293</v>
      </c>
      <c r="N18" s="4" t="str">
        <f>CONCATENATE(M18,"OVR")</f>
        <v>9213293OVR</v>
      </c>
      <c r="O18" s="4" t="s">
        <v>82</v>
      </c>
      <c r="P18" s="4">
        <v>-844</v>
      </c>
      <c r="Q18" s="4">
        <v>-150</v>
      </c>
      <c r="R18" s="4" t="s">
        <v>169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2" customFormat="1" x14ac:dyDescent="0.25">
      <c r="A19" s="4" t="s">
        <v>71</v>
      </c>
      <c r="B19" s="4" t="str">
        <f t="shared" ref="B19:B34" si="1">CONCATENATE(A19,"OVR")</f>
        <v>1VY0KY9YY07OVR</v>
      </c>
      <c r="C19" s="4" t="s">
        <v>147</v>
      </c>
      <c r="D19" s="4" t="s">
        <v>148</v>
      </c>
      <c r="E19" s="4" t="str">
        <f>CONCATENATE(D19," ",C19)</f>
        <v>LEONARD HOCKENBERRY</v>
      </c>
      <c r="F19" s="4" t="s">
        <v>58</v>
      </c>
      <c r="G19" s="4" t="s">
        <v>28</v>
      </c>
      <c r="H19" s="4" t="s">
        <v>29</v>
      </c>
      <c r="I19" s="4" t="s">
        <v>59</v>
      </c>
      <c r="J19" s="4" t="s">
        <v>74</v>
      </c>
      <c r="K19" s="5">
        <v>46235</v>
      </c>
      <c r="L19" s="5">
        <v>46387</v>
      </c>
      <c r="M19" s="4">
        <v>20253958</v>
      </c>
      <c r="N19" s="4" t="str">
        <f t="shared" ref="N19:N34" si="2">CONCATENATE(M19,"OVR")</f>
        <v>20253958OVR</v>
      </c>
      <c r="O19" s="4" t="s">
        <v>75</v>
      </c>
      <c r="P19" s="4">
        <v>27.09</v>
      </c>
      <c r="Q19" s="4">
        <v>27.09</v>
      </c>
      <c r="R19" s="4" t="s">
        <v>169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2" customFormat="1" x14ac:dyDescent="0.25">
      <c r="A20" s="4" t="s">
        <v>67</v>
      </c>
      <c r="B20" s="4" t="str">
        <f t="shared" si="1"/>
        <v>4Q08PQ3PE32OVR</v>
      </c>
      <c r="C20" s="4" t="s">
        <v>145</v>
      </c>
      <c r="D20" s="4" t="s">
        <v>146</v>
      </c>
      <c r="E20" s="4" t="str">
        <f>CONCATENATE(D20," ",C20)</f>
        <v>STEPHEN FREY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40</v>
      </c>
      <c r="K20" s="5">
        <v>46296</v>
      </c>
      <c r="L20" s="5">
        <v>46387</v>
      </c>
      <c r="M20" s="4">
        <v>8307933</v>
      </c>
      <c r="N20" s="4" t="str">
        <f t="shared" si="2"/>
        <v>8307933OVR</v>
      </c>
      <c r="O20" s="4" t="s">
        <v>70</v>
      </c>
      <c r="P20" s="4">
        <v>124.25</v>
      </c>
      <c r="Q20" s="4">
        <v>37.5</v>
      </c>
      <c r="R20" s="4" t="s">
        <v>169</v>
      </c>
      <c r="S20" s="4"/>
      <c r="T20" s="4">
        <f>150/12*3</f>
        <v>37.5</v>
      </c>
      <c r="U20" s="4"/>
      <c r="V20" s="4"/>
      <c r="W20" s="4"/>
      <c r="X20" s="4"/>
      <c r="Y20" s="4"/>
      <c r="Z20" s="4"/>
      <c r="AA20" s="4"/>
      <c r="AB20" s="4"/>
      <c r="AC20" s="4"/>
    </row>
    <row r="21" spans="1:29" s="2" customFormat="1" x14ac:dyDescent="0.25">
      <c r="A21" s="4" t="s">
        <v>108</v>
      </c>
      <c r="B21" s="4" t="str">
        <f t="shared" si="1"/>
        <v>9XW5VJ0CG51OVR</v>
      </c>
      <c r="C21" s="4" t="s">
        <v>157</v>
      </c>
      <c r="D21" s="4" t="s">
        <v>158</v>
      </c>
      <c r="E21" s="4" t="str">
        <f>CONCATENATE(D21," ",C21)</f>
        <v>ANITA STANLEY</v>
      </c>
      <c r="F21" s="4" t="s">
        <v>92</v>
      </c>
      <c r="G21" s="4" t="s">
        <v>28</v>
      </c>
      <c r="H21" s="4" t="s">
        <v>111</v>
      </c>
      <c r="I21" s="4" t="s">
        <v>30</v>
      </c>
      <c r="J21" s="4" t="s">
        <v>112</v>
      </c>
      <c r="K21" s="5">
        <v>46296</v>
      </c>
      <c r="L21" s="5">
        <v>46387</v>
      </c>
      <c r="M21" s="4">
        <v>19681796</v>
      </c>
      <c r="N21" s="4" t="str">
        <f t="shared" si="2"/>
        <v>19681796OVR</v>
      </c>
      <c r="O21" s="4" t="s">
        <v>113</v>
      </c>
      <c r="P21" s="4">
        <v>124.25</v>
      </c>
      <c r="Q21" s="4">
        <v>37.5</v>
      </c>
      <c r="R21" s="4" t="s">
        <v>169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s="4" customFormat="1" x14ac:dyDescent="0.25">
      <c r="A22" s="4" t="s">
        <v>125</v>
      </c>
      <c r="B22" s="4" t="str">
        <f t="shared" si="1"/>
        <v>9QQ8J81CP42OVR</v>
      </c>
      <c r="C22" s="4" t="s">
        <v>163</v>
      </c>
      <c r="D22" s="4" t="s">
        <v>164</v>
      </c>
      <c r="E22" s="4" t="str">
        <f>CONCATENATE(D22," ",C22)</f>
        <v>JAMES WUNDERLICH</v>
      </c>
      <c r="F22" s="4" t="s">
        <v>58</v>
      </c>
      <c r="G22" s="4" t="s">
        <v>28</v>
      </c>
      <c r="H22" s="4" t="s">
        <v>29</v>
      </c>
      <c r="I22" s="4" t="s">
        <v>59</v>
      </c>
      <c r="J22" s="4" t="s">
        <v>117</v>
      </c>
      <c r="K22" s="5">
        <v>46296</v>
      </c>
      <c r="L22" s="5">
        <v>46387</v>
      </c>
      <c r="M22" s="4">
        <v>17528908</v>
      </c>
      <c r="N22" s="4" t="str">
        <f t="shared" si="2"/>
        <v>17528908OVR</v>
      </c>
      <c r="O22" s="4" t="s">
        <v>61</v>
      </c>
      <c r="P22" s="4">
        <v>135.25</v>
      </c>
      <c r="Q22" s="4">
        <v>37.5</v>
      </c>
      <c r="R22" s="4" t="s">
        <v>169</v>
      </c>
      <c r="T22" s="4">
        <f>150/12*3</f>
        <v>37.5</v>
      </c>
    </row>
    <row r="23" spans="1:29" s="4" customFormat="1" x14ac:dyDescent="0.25">
      <c r="A23" s="4" t="s">
        <v>114</v>
      </c>
      <c r="B23" s="4" t="str">
        <f t="shared" si="1"/>
        <v>8FP7E35AM49OVR</v>
      </c>
      <c r="C23" s="4" t="s">
        <v>159</v>
      </c>
      <c r="D23" s="4" t="s">
        <v>160</v>
      </c>
      <c r="E23" s="4" t="str">
        <f>CONCATENATE(D23," ",C23)</f>
        <v>ELIZABETH SUTTER</v>
      </c>
      <c r="F23" s="4" t="s">
        <v>58</v>
      </c>
      <c r="G23" s="4" t="s">
        <v>28</v>
      </c>
      <c r="H23" s="4" t="s">
        <v>29</v>
      </c>
      <c r="I23" s="4" t="s">
        <v>59</v>
      </c>
      <c r="J23" s="4" t="s">
        <v>117</v>
      </c>
      <c r="K23" s="5">
        <v>46266</v>
      </c>
      <c r="L23" s="5">
        <v>46387</v>
      </c>
      <c r="M23" s="4">
        <v>17528908</v>
      </c>
      <c r="N23" s="4" t="str">
        <f t="shared" si="2"/>
        <v>17528908OVR</v>
      </c>
      <c r="O23" s="4" t="s">
        <v>61</v>
      </c>
      <c r="P23" s="4">
        <v>180.33</v>
      </c>
      <c r="Q23" s="4">
        <v>50</v>
      </c>
      <c r="R23" s="4" t="s">
        <v>169</v>
      </c>
      <c r="T23" s="4">
        <f>150/12*4</f>
        <v>50</v>
      </c>
    </row>
    <row r="24" spans="1:29" s="4" customFormat="1" x14ac:dyDescent="0.25">
      <c r="A24" s="4" t="s">
        <v>24</v>
      </c>
      <c r="B24" s="4" t="str">
        <f t="shared" si="1"/>
        <v>8FA8CM2NA29OVR</v>
      </c>
      <c r="C24" s="4" t="s">
        <v>133</v>
      </c>
      <c r="D24" s="4" t="s">
        <v>134</v>
      </c>
      <c r="E24" s="4" t="str">
        <f>CONCATENATE(D24," ",C24)</f>
        <v>LINDA BABAT</v>
      </c>
      <c r="F24" s="4" t="s">
        <v>27</v>
      </c>
      <c r="G24" s="4" t="s">
        <v>28</v>
      </c>
      <c r="H24" s="4" t="s">
        <v>29</v>
      </c>
      <c r="I24" s="4" t="s">
        <v>30</v>
      </c>
      <c r="J24" s="4" t="s">
        <v>31</v>
      </c>
      <c r="K24" s="5">
        <v>46235</v>
      </c>
      <c r="L24" s="5">
        <v>46387</v>
      </c>
      <c r="M24" s="4">
        <v>16633294</v>
      </c>
      <c r="N24" s="4" t="str">
        <f t="shared" si="2"/>
        <v>16633294OVR</v>
      </c>
      <c r="O24" s="4" t="s">
        <v>33</v>
      </c>
      <c r="P24" s="4">
        <v>207.08</v>
      </c>
      <c r="Q24" s="4">
        <v>62.5</v>
      </c>
      <c r="R24" s="4" t="s">
        <v>169</v>
      </c>
      <c r="T24" s="4">
        <f>150/12*5</f>
        <v>62.5</v>
      </c>
    </row>
    <row r="25" spans="1:29" s="4" customFormat="1" x14ac:dyDescent="0.25">
      <c r="A25" s="4" t="s">
        <v>37</v>
      </c>
      <c r="B25" s="4" t="str">
        <f t="shared" si="1"/>
        <v>2V13K73AX08OVR</v>
      </c>
      <c r="C25" s="4" t="s">
        <v>135</v>
      </c>
      <c r="D25" s="4" t="s">
        <v>136</v>
      </c>
      <c r="E25" s="4" t="str">
        <f>CONCATENATE(D25," ",C25)</f>
        <v>NANCY BROOKS</v>
      </c>
      <c r="F25" s="4" t="s">
        <v>27</v>
      </c>
      <c r="G25" s="4" t="s">
        <v>28</v>
      </c>
      <c r="H25" s="4" t="s">
        <v>29</v>
      </c>
      <c r="I25" s="4" t="s">
        <v>30</v>
      </c>
      <c r="J25" s="4" t="s">
        <v>40</v>
      </c>
      <c r="K25" s="5">
        <v>46235</v>
      </c>
      <c r="L25" s="5">
        <v>46387</v>
      </c>
      <c r="M25" s="4">
        <v>19586992</v>
      </c>
      <c r="N25" s="4" t="str">
        <f t="shared" si="2"/>
        <v>19586992OVR</v>
      </c>
      <c r="O25" s="4" t="s">
        <v>41</v>
      </c>
      <c r="P25" s="4">
        <v>207.08</v>
      </c>
      <c r="Q25" s="4">
        <v>62.5</v>
      </c>
      <c r="R25" s="4" t="s">
        <v>169</v>
      </c>
    </row>
    <row r="26" spans="1:29" s="4" customFormat="1" x14ac:dyDescent="0.25">
      <c r="A26" s="4" t="s">
        <v>42</v>
      </c>
      <c r="B26" s="4" t="str">
        <f t="shared" si="1"/>
        <v>2P58J96UP25OVR</v>
      </c>
      <c r="C26" s="4" t="s">
        <v>137</v>
      </c>
      <c r="D26" s="4" t="s">
        <v>138</v>
      </c>
      <c r="E26" s="4" t="str">
        <f>CONCATENATE(D26," ",C26)</f>
        <v>CARLA CAMPANELLA</v>
      </c>
      <c r="F26" s="4" t="s">
        <v>45</v>
      </c>
      <c r="G26" s="4" t="s">
        <v>28</v>
      </c>
      <c r="H26" s="4" t="s">
        <v>29</v>
      </c>
      <c r="I26" s="4" t="s">
        <v>46</v>
      </c>
      <c r="J26" s="4" t="s">
        <v>47</v>
      </c>
      <c r="K26" s="5">
        <v>46235</v>
      </c>
      <c r="L26" s="5">
        <v>46387</v>
      </c>
      <c r="M26" s="4">
        <v>16170994</v>
      </c>
      <c r="N26" s="4" t="str">
        <f t="shared" si="2"/>
        <v>16170994OVR</v>
      </c>
      <c r="O26" s="4" t="s">
        <v>48</v>
      </c>
      <c r="P26" s="4">
        <v>207.08</v>
      </c>
      <c r="Q26" s="4">
        <v>62.5</v>
      </c>
      <c r="R26" s="4" t="s">
        <v>169</v>
      </c>
    </row>
    <row r="27" spans="1:29" s="4" customFormat="1" x14ac:dyDescent="0.25">
      <c r="A27" s="4" t="s">
        <v>49</v>
      </c>
      <c r="B27" s="4" t="str">
        <f t="shared" si="1"/>
        <v>1MV4EF8QT79OVR</v>
      </c>
      <c r="C27" s="4" t="s">
        <v>139</v>
      </c>
      <c r="D27" s="4" t="s">
        <v>140</v>
      </c>
      <c r="E27" s="4" t="str">
        <f>CONCATENATE(D27," ",C27)</f>
        <v>KAREN CLINE</v>
      </c>
      <c r="F27" s="4" t="s">
        <v>27</v>
      </c>
      <c r="G27" s="4" t="s">
        <v>28</v>
      </c>
      <c r="H27" s="4" t="s">
        <v>29</v>
      </c>
      <c r="I27" s="4" t="s">
        <v>52</v>
      </c>
      <c r="J27" s="4" t="s">
        <v>53</v>
      </c>
      <c r="K27" s="5">
        <v>46235</v>
      </c>
      <c r="L27" s="5">
        <v>46387</v>
      </c>
      <c r="M27" s="4">
        <v>17143996</v>
      </c>
      <c r="N27" s="4" t="str">
        <f t="shared" si="2"/>
        <v>17143996OVR</v>
      </c>
      <c r="O27" s="4" t="s">
        <v>54</v>
      </c>
      <c r="P27" s="4">
        <v>207.08</v>
      </c>
      <c r="Q27" s="4">
        <v>62.5</v>
      </c>
      <c r="R27" s="4" t="s">
        <v>169</v>
      </c>
    </row>
    <row r="28" spans="1:29" s="4" customFormat="1" x14ac:dyDescent="0.25">
      <c r="A28" s="4" t="s">
        <v>84</v>
      </c>
      <c r="B28" s="4" t="str">
        <f t="shared" si="1"/>
        <v>3XT2RU4RN93OVR</v>
      </c>
      <c r="C28" s="4" t="s">
        <v>151</v>
      </c>
      <c r="D28" s="4" t="s">
        <v>152</v>
      </c>
      <c r="E28" s="4" t="str">
        <f>CONCATENATE(D28," ",C28)</f>
        <v>MELISSA MATHENY</v>
      </c>
      <c r="F28" s="4" t="s">
        <v>27</v>
      </c>
      <c r="G28" s="4" t="s">
        <v>28</v>
      </c>
      <c r="H28" s="4" t="s">
        <v>29</v>
      </c>
      <c r="I28" s="4" t="s">
        <v>52</v>
      </c>
      <c r="J28" s="4" t="s">
        <v>87</v>
      </c>
      <c r="K28" s="5">
        <v>46235</v>
      </c>
      <c r="L28" s="5">
        <v>46387</v>
      </c>
      <c r="M28" s="4">
        <v>8244481</v>
      </c>
      <c r="N28" s="4" t="str">
        <f t="shared" si="2"/>
        <v>8244481OVR</v>
      </c>
      <c r="O28" s="4" t="s">
        <v>88</v>
      </c>
      <c r="P28" s="4">
        <v>207.08</v>
      </c>
      <c r="Q28" s="4">
        <v>62.5</v>
      </c>
      <c r="R28" s="4" t="s">
        <v>169</v>
      </c>
    </row>
    <row r="29" spans="1:29" s="4" customFormat="1" x14ac:dyDescent="0.25">
      <c r="A29" s="4" t="s">
        <v>89</v>
      </c>
      <c r="B29" s="4" t="str">
        <f t="shared" si="1"/>
        <v>2N85V89DT81OVR</v>
      </c>
      <c r="C29" s="4" t="s">
        <v>153</v>
      </c>
      <c r="D29" s="4" t="s">
        <v>154</v>
      </c>
      <c r="E29" s="4" t="str">
        <f>CONCATENATE(D29," ",C29)</f>
        <v>NAYDA MEULBROEK</v>
      </c>
      <c r="F29" s="4" t="s">
        <v>92</v>
      </c>
      <c r="G29" s="4" t="s">
        <v>28</v>
      </c>
      <c r="H29" s="4" t="s">
        <v>29</v>
      </c>
      <c r="I29" s="4" t="s">
        <v>30</v>
      </c>
      <c r="J29" s="4" t="s">
        <v>93</v>
      </c>
      <c r="K29" s="5">
        <v>46235</v>
      </c>
      <c r="L29" s="5">
        <v>46387</v>
      </c>
      <c r="M29" s="4">
        <v>21646325</v>
      </c>
      <c r="N29" s="4" t="str">
        <f t="shared" si="2"/>
        <v>21646325OVR</v>
      </c>
      <c r="O29" s="4" t="s">
        <v>94</v>
      </c>
      <c r="P29" s="4">
        <v>207.08</v>
      </c>
      <c r="Q29" s="4">
        <v>62.5</v>
      </c>
      <c r="R29" s="4" t="s">
        <v>169</v>
      </c>
    </row>
    <row r="30" spans="1:29" s="4" customFormat="1" x14ac:dyDescent="0.25">
      <c r="A30" s="4" t="s">
        <v>104</v>
      </c>
      <c r="B30" s="4" t="str">
        <f t="shared" si="1"/>
        <v>2WC6AG4KJ67OVR</v>
      </c>
      <c r="C30" s="4" t="s">
        <v>155</v>
      </c>
      <c r="D30" s="4" t="s">
        <v>156</v>
      </c>
      <c r="E30" s="4" t="str">
        <f>CONCATENATE(D30," ",C30)</f>
        <v>DAVID SAINTENOY</v>
      </c>
      <c r="F30" s="4" t="s">
        <v>45</v>
      </c>
      <c r="G30" s="4" t="s">
        <v>28</v>
      </c>
      <c r="H30" s="4" t="s">
        <v>29</v>
      </c>
      <c r="I30" s="4" t="s">
        <v>46</v>
      </c>
      <c r="J30" s="4" t="s">
        <v>107</v>
      </c>
      <c r="K30" s="5">
        <v>46235</v>
      </c>
      <c r="L30" s="5">
        <v>46387</v>
      </c>
      <c r="M30" s="4">
        <v>16170994</v>
      </c>
      <c r="N30" s="4" t="str">
        <f t="shared" si="2"/>
        <v>16170994OVR</v>
      </c>
      <c r="O30" s="4" t="s">
        <v>48</v>
      </c>
      <c r="P30" s="4">
        <v>207.08</v>
      </c>
      <c r="Q30" s="4">
        <v>62.5</v>
      </c>
      <c r="R30" s="4" t="s">
        <v>169</v>
      </c>
    </row>
    <row r="31" spans="1:29" s="2" customFormat="1" x14ac:dyDescent="0.25">
      <c r="A31" s="4" t="s">
        <v>118</v>
      </c>
      <c r="B31" s="4" t="str">
        <f t="shared" si="1"/>
        <v>9CD6MW3FJ58OVR</v>
      </c>
      <c r="C31" s="4" t="s">
        <v>161</v>
      </c>
      <c r="D31" s="4" t="s">
        <v>162</v>
      </c>
      <c r="E31" s="4" t="str">
        <f>CONCATENATE(D31," ",C31)</f>
        <v>MARY TIEMAN</v>
      </c>
      <c r="F31" s="4" t="s">
        <v>121</v>
      </c>
      <c r="G31" s="4" t="s">
        <v>28</v>
      </c>
      <c r="H31" s="4" t="s">
        <v>29</v>
      </c>
      <c r="I31" s="4" t="s">
        <v>122</v>
      </c>
      <c r="J31" s="4" t="s">
        <v>123</v>
      </c>
      <c r="K31" s="5">
        <v>46235</v>
      </c>
      <c r="L31" s="5">
        <v>46387</v>
      </c>
      <c r="M31" s="4">
        <v>15278437</v>
      </c>
      <c r="N31" s="4" t="str">
        <f t="shared" si="2"/>
        <v>15278437OVR</v>
      </c>
      <c r="O31" s="4" t="s">
        <v>124</v>
      </c>
      <c r="P31" s="4">
        <v>207.08</v>
      </c>
      <c r="Q31" s="4">
        <v>62.5</v>
      </c>
      <c r="R31" s="4" t="s">
        <v>169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s="2" customFormat="1" x14ac:dyDescent="0.25">
      <c r="A32" s="4" t="s">
        <v>128</v>
      </c>
      <c r="B32" s="4" t="str">
        <f t="shared" si="1"/>
        <v>1KA0F45QX17OVR</v>
      </c>
      <c r="C32" s="4" t="s">
        <v>165</v>
      </c>
      <c r="D32" s="4" t="s">
        <v>166</v>
      </c>
      <c r="E32" s="4" t="str">
        <f>CONCATENATE(D32," ",C32)</f>
        <v>DENISE ZUMPELLA</v>
      </c>
      <c r="F32" s="4" t="s">
        <v>45</v>
      </c>
      <c r="G32" s="4" t="s">
        <v>28</v>
      </c>
      <c r="H32" s="4" t="s">
        <v>29</v>
      </c>
      <c r="I32" s="4" t="s">
        <v>46</v>
      </c>
      <c r="J32" s="4" t="s">
        <v>131</v>
      </c>
      <c r="K32" s="5">
        <v>46235</v>
      </c>
      <c r="L32" s="5">
        <v>46387</v>
      </c>
      <c r="M32" s="4">
        <v>8307933</v>
      </c>
      <c r="N32" s="4" t="str">
        <f t="shared" si="2"/>
        <v>8307933OVR</v>
      </c>
      <c r="O32" s="4" t="s">
        <v>70</v>
      </c>
      <c r="P32" s="4">
        <v>207.08</v>
      </c>
      <c r="Q32" s="4">
        <v>62.5</v>
      </c>
      <c r="R32" s="4" t="s">
        <v>169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0" s="4" customFormat="1" x14ac:dyDescent="0.25">
      <c r="A33" s="4" t="s">
        <v>55</v>
      </c>
      <c r="B33" s="4" t="str">
        <f t="shared" si="1"/>
        <v>7PF9QH0FC24OVR</v>
      </c>
      <c r="C33" s="4" t="s">
        <v>141</v>
      </c>
      <c r="D33" s="4" t="s">
        <v>142</v>
      </c>
      <c r="E33" s="4" t="str">
        <f>CONCATENATE(D33," ",C33)</f>
        <v>ALISA DEMARINO</v>
      </c>
      <c r="F33" s="4" t="s">
        <v>58</v>
      </c>
      <c r="G33" s="4" t="s">
        <v>28</v>
      </c>
      <c r="H33" s="4" t="s">
        <v>29</v>
      </c>
      <c r="I33" s="4" t="s">
        <v>59</v>
      </c>
      <c r="J33" s="4" t="s">
        <v>60</v>
      </c>
      <c r="K33" s="5">
        <v>46235</v>
      </c>
      <c r="L33" s="5">
        <v>46387</v>
      </c>
      <c r="M33" s="4">
        <v>17528908</v>
      </c>
      <c r="N33" s="4" t="str">
        <f t="shared" si="2"/>
        <v>17528908OVR</v>
      </c>
      <c r="O33" s="4" t="s">
        <v>61</v>
      </c>
      <c r="P33" s="4">
        <v>225.42</v>
      </c>
      <c r="Q33" s="4">
        <v>62.5</v>
      </c>
      <c r="R33" s="4" t="s">
        <v>169</v>
      </c>
      <c r="T33" s="4">
        <f>150/12*5</f>
        <v>62.5</v>
      </c>
    </row>
    <row r="34" spans="1:20" s="4" customFormat="1" x14ac:dyDescent="0.25">
      <c r="A34" s="4" t="s">
        <v>62</v>
      </c>
      <c r="B34" s="4" t="str">
        <f t="shared" si="1"/>
        <v>5T51ND5FF18OVR</v>
      </c>
      <c r="C34" s="4" t="s">
        <v>143</v>
      </c>
      <c r="D34" s="4" t="s">
        <v>144</v>
      </c>
      <c r="E34" s="4" t="str">
        <f>CONCATENATE(D34," ",C34)</f>
        <v>M ESPINOZA</v>
      </c>
      <c r="F34" s="4" t="s">
        <v>58</v>
      </c>
      <c r="G34" s="4" t="s">
        <v>28</v>
      </c>
      <c r="H34" s="4" t="s">
        <v>29</v>
      </c>
      <c r="I34" s="4" t="s">
        <v>59</v>
      </c>
      <c r="J34" s="4" t="s">
        <v>65</v>
      </c>
      <c r="K34" s="5">
        <v>46235</v>
      </c>
      <c r="L34" s="5">
        <v>46387</v>
      </c>
      <c r="M34" s="4">
        <v>9254978</v>
      </c>
      <c r="N34" s="4" t="str">
        <f t="shared" si="2"/>
        <v>9254978OVR</v>
      </c>
      <c r="O34" s="4" t="s">
        <v>66</v>
      </c>
      <c r="P34" s="4">
        <v>225.42</v>
      </c>
      <c r="Q34" s="4">
        <v>62.5</v>
      </c>
      <c r="R34" s="4" t="s">
        <v>169</v>
      </c>
    </row>
    <row r="35" spans="1:20" x14ac:dyDescent="0.25">
      <c r="K35" s="1"/>
    </row>
    <row r="36" spans="1:20" x14ac:dyDescent="0.25">
      <c r="K36" s="1"/>
    </row>
    <row r="37" spans="1:20" x14ac:dyDescent="0.25">
      <c r="K37" s="1"/>
    </row>
    <row r="38" spans="1:20" x14ac:dyDescent="0.25">
      <c r="K38" s="1"/>
    </row>
    <row r="39" spans="1:20" x14ac:dyDescent="0.25">
      <c r="K39" s="1"/>
    </row>
    <row r="40" spans="1:20" x14ac:dyDescent="0.25">
      <c r="K40" s="1"/>
    </row>
    <row r="41" spans="1:20" x14ac:dyDescent="0.25">
      <c r="K41" s="1"/>
    </row>
    <row r="42" spans="1:20" x14ac:dyDescent="0.25">
      <c r="K42" s="1"/>
    </row>
    <row r="43" spans="1:20" x14ac:dyDescent="0.25">
      <c r="K43" s="1"/>
    </row>
    <row r="44" spans="1:20" x14ac:dyDescent="0.25">
      <c r="K44" s="1"/>
    </row>
    <row r="45" spans="1:20" x14ac:dyDescent="0.25">
      <c r="K45" s="1"/>
    </row>
    <row r="46" spans="1:20" x14ac:dyDescent="0.25">
      <c r="K46" s="1"/>
    </row>
    <row r="47" spans="1:20" x14ac:dyDescent="0.25">
      <c r="K47" s="1"/>
    </row>
    <row r="48" spans="1:20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  <row r="63" spans="11:11" x14ac:dyDescent="0.25">
      <c r="K63" s="1"/>
    </row>
    <row r="64" spans="11:11" x14ac:dyDescent="0.25">
      <c r="K64" s="1"/>
    </row>
    <row r="65" spans="11:11" x14ac:dyDescent="0.25">
      <c r="K65" s="1"/>
    </row>
    <row r="66" spans="11:11" x14ac:dyDescent="0.25">
      <c r="K66" s="1"/>
    </row>
    <row r="67" spans="11:11" x14ac:dyDescent="0.25">
      <c r="K67" s="1"/>
    </row>
    <row r="68" spans="11:11" x14ac:dyDescent="0.25">
      <c r="K68" s="1"/>
    </row>
    <row r="69" spans="11:11" x14ac:dyDescent="0.25">
      <c r="K69" s="1"/>
    </row>
    <row r="70" spans="11:11" x14ac:dyDescent="0.25">
      <c r="K70" s="1"/>
    </row>
    <row r="71" spans="11:11" x14ac:dyDescent="0.25">
      <c r="K71" s="1"/>
    </row>
    <row r="72" spans="11:11" x14ac:dyDescent="0.25">
      <c r="K72" s="1"/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78" spans="11:11" x14ac:dyDescent="0.25">
      <c r="K78" s="1"/>
    </row>
    <row r="79" spans="11:11" x14ac:dyDescent="0.25">
      <c r="K79" s="1"/>
    </row>
    <row r="80" spans="11:11" x14ac:dyDescent="0.25">
      <c r="K80" s="1"/>
    </row>
    <row r="81" spans="11:11" x14ac:dyDescent="0.25">
      <c r="K81" s="1"/>
    </row>
    <row r="82" spans="11:11" x14ac:dyDescent="0.25">
      <c r="K82" s="1"/>
    </row>
    <row r="83" spans="11:11" x14ac:dyDescent="0.25">
      <c r="K83" s="1"/>
    </row>
    <row r="84" spans="11:11" x14ac:dyDescent="0.25">
      <c r="K84" s="1"/>
    </row>
    <row r="85" spans="11:11" x14ac:dyDescent="0.25">
      <c r="K85" s="1"/>
    </row>
    <row r="86" spans="11:11" x14ac:dyDescent="0.25">
      <c r="K86" s="1"/>
    </row>
    <row r="87" spans="11:11" x14ac:dyDescent="0.25">
      <c r="K87" s="1"/>
    </row>
    <row r="88" spans="11:11" x14ac:dyDescent="0.25">
      <c r="K88" s="1"/>
    </row>
    <row r="89" spans="11:11" x14ac:dyDescent="0.25">
      <c r="K89" s="1"/>
    </row>
    <row r="90" spans="11:11" x14ac:dyDescent="0.25">
      <c r="K90" s="1"/>
    </row>
    <row r="91" spans="11:11" x14ac:dyDescent="0.25">
      <c r="K91" s="1"/>
    </row>
    <row r="92" spans="11:11" x14ac:dyDescent="0.25">
      <c r="K92" s="1"/>
    </row>
    <row r="93" spans="11:11" x14ac:dyDescent="0.25">
      <c r="K93" s="1"/>
    </row>
    <row r="94" spans="11:11" x14ac:dyDescent="0.25">
      <c r="K94" s="1"/>
    </row>
    <row r="95" spans="11:11" x14ac:dyDescent="0.25">
      <c r="K95" s="1"/>
    </row>
    <row r="96" spans="11:11" x14ac:dyDescent="0.25">
      <c r="K96" s="1"/>
    </row>
    <row r="97" spans="11:12" x14ac:dyDescent="0.25">
      <c r="K97" s="1"/>
    </row>
    <row r="98" spans="11:12" x14ac:dyDescent="0.25">
      <c r="K98" s="1"/>
    </row>
    <row r="99" spans="11:12" x14ac:dyDescent="0.25">
      <c r="K99" s="1"/>
    </row>
    <row r="100" spans="11:12" x14ac:dyDescent="0.25">
      <c r="K100" s="1"/>
    </row>
    <row r="101" spans="11:12" x14ac:dyDescent="0.25">
      <c r="K101" s="1"/>
    </row>
    <row r="102" spans="11:12" x14ac:dyDescent="0.25">
      <c r="K102" s="1"/>
    </row>
    <row r="103" spans="11:12" x14ac:dyDescent="0.25">
      <c r="K103" s="1"/>
    </row>
    <row r="104" spans="11:12" x14ac:dyDescent="0.25">
      <c r="K104" s="1"/>
    </row>
    <row r="105" spans="11:12" x14ac:dyDescent="0.25">
      <c r="K105" s="1"/>
    </row>
    <row r="106" spans="11:12" x14ac:dyDescent="0.25">
      <c r="K106" s="1"/>
    </row>
    <row r="107" spans="11:12" x14ac:dyDescent="0.25">
      <c r="K107" s="1"/>
      <c r="L107" s="1"/>
    </row>
    <row r="108" spans="11:12" x14ac:dyDescent="0.25">
      <c r="K108" s="1"/>
      <c r="L108" s="1"/>
    </row>
    <row r="109" spans="11:12" x14ac:dyDescent="0.25">
      <c r="K109" s="1"/>
    </row>
    <row r="110" spans="11:12" x14ac:dyDescent="0.25">
      <c r="K110" s="1"/>
    </row>
    <row r="111" spans="11:12" x14ac:dyDescent="0.25">
      <c r="K111" s="1"/>
    </row>
    <row r="112" spans="11:12" x14ac:dyDescent="0.25">
      <c r="K112" s="1"/>
    </row>
    <row r="113" spans="11:11" x14ac:dyDescent="0.25">
      <c r="K113" s="1"/>
    </row>
    <row r="114" spans="11:11" x14ac:dyDescent="0.25">
      <c r="K114" s="1"/>
    </row>
    <row r="115" spans="11:11" x14ac:dyDescent="0.25">
      <c r="K115" s="1"/>
    </row>
    <row r="116" spans="11:11" x14ac:dyDescent="0.25">
      <c r="K116" s="1"/>
    </row>
    <row r="117" spans="11:11" x14ac:dyDescent="0.25">
      <c r="K117" s="1"/>
    </row>
    <row r="118" spans="11:11" x14ac:dyDescent="0.25">
      <c r="K118" s="1"/>
    </row>
    <row r="119" spans="11:11" x14ac:dyDescent="0.25">
      <c r="K119" s="1"/>
    </row>
    <row r="120" spans="11:11" x14ac:dyDescent="0.25">
      <c r="K120" s="1"/>
    </row>
    <row r="121" spans="11:11" x14ac:dyDescent="0.25">
      <c r="K121" s="1"/>
    </row>
    <row r="122" spans="11:11" x14ac:dyDescent="0.25">
      <c r="K122" s="1"/>
    </row>
    <row r="123" spans="11:11" x14ac:dyDescent="0.25">
      <c r="K123" s="1"/>
    </row>
    <row r="124" spans="11:11" x14ac:dyDescent="0.25">
      <c r="K124" s="1"/>
    </row>
    <row r="125" spans="11:11" x14ac:dyDescent="0.25">
      <c r="K125" s="1"/>
    </row>
    <row r="126" spans="11:11" x14ac:dyDescent="0.25">
      <c r="K126" s="1"/>
    </row>
    <row r="127" spans="11:11" x14ac:dyDescent="0.25">
      <c r="K127" s="1"/>
    </row>
    <row r="128" spans="11:11" x14ac:dyDescent="0.25">
      <c r="K128" s="1"/>
    </row>
    <row r="129" spans="11:11" x14ac:dyDescent="0.25">
      <c r="K129" s="1"/>
    </row>
    <row r="130" spans="11:11" x14ac:dyDescent="0.25">
      <c r="K130" s="1"/>
    </row>
    <row r="131" spans="11:11" x14ac:dyDescent="0.25">
      <c r="K131" s="1"/>
    </row>
    <row r="132" spans="11:11" x14ac:dyDescent="0.25">
      <c r="K132" s="1"/>
    </row>
    <row r="133" spans="11:11" x14ac:dyDescent="0.25">
      <c r="K133" s="1"/>
    </row>
    <row r="134" spans="11:11" x14ac:dyDescent="0.25">
      <c r="K134" s="1"/>
    </row>
    <row r="135" spans="11:11" x14ac:dyDescent="0.25">
      <c r="K135" s="1"/>
    </row>
    <row r="136" spans="11:11" x14ac:dyDescent="0.25">
      <c r="K136" s="1"/>
    </row>
    <row r="137" spans="11:11" x14ac:dyDescent="0.25">
      <c r="K137" s="1"/>
    </row>
    <row r="138" spans="11:11" x14ac:dyDescent="0.25">
      <c r="K138" s="1"/>
    </row>
    <row r="139" spans="11:11" x14ac:dyDescent="0.25">
      <c r="K139" s="1"/>
    </row>
    <row r="140" spans="11:11" x14ac:dyDescent="0.25">
      <c r="K140" s="1"/>
    </row>
    <row r="141" spans="11:11" x14ac:dyDescent="0.25">
      <c r="K141" s="1"/>
    </row>
    <row r="142" spans="11:11" x14ac:dyDescent="0.25">
      <c r="K142" s="1"/>
    </row>
    <row r="143" spans="11:11" x14ac:dyDescent="0.25">
      <c r="K143" s="1"/>
    </row>
    <row r="144" spans="11:11" x14ac:dyDescent="0.25">
      <c r="K144" s="1"/>
    </row>
    <row r="145" spans="11:11" x14ac:dyDescent="0.25">
      <c r="K145" s="1"/>
    </row>
    <row r="146" spans="11:11" x14ac:dyDescent="0.25">
      <c r="K146" s="1"/>
    </row>
    <row r="147" spans="11:11" x14ac:dyDescent="0.25">
      <c r="K147" s="1"/>
    </row>
    <row r="148" spans="11:11" x14ac:dyDescent="0.25">
      <c r="K148" s="1"/>
    </row>
    <row r="149" spans="11:11" x14ac:dyDescent="0.25">
      <c r="K149" s="1"/>
    </row>
    <row r="150" spans="11:11" x14ac:dyDescent="0.25">
      <c r="K150" s="1"/>
    </row>
    <row r="151" spans="11:11" x14ac:dyDescent="0.25">
      <c r="K151" s="1"/>
    </row>
    <row r="152" spans="11:11" x14ac:dyDescent="0.25">
      <c r="K152" s="1"/>
    </row>
    <row r="153" spans="11:11" x14ac:dyDescent="0.25">
      <c r="K153" s="1"/>
    </row>
    <row r="154" spans="11:11" x14ac:dyDescent="0.25">
      <c r="K154" s="1"/>
    </row>
    <row r="155" spans="11:11" x14ac:dyDescent="0.25">
      <c r="K155" s="1"/>
    </row>
    <row r="156" spans="11:11" x14ac:dyDescent="0.25">
      <c r="K156" s="1"/>
    </row>
    <row r="157" spans="11:11" x14ac:dyDescent="0.25">
      <c r="K157" s="1"/>
    </row>
    <row r="158" spans="11:11" x14ac:dyDescent="0.25">
      <c r="K158" s="1"/>
    </row>
    <row r="159" spans="11:11" x14ac:dyDescent="0.25">
      <c r="K159" s="1"/>
    </row>
    <row r="160" spans="11:11" x14ac:dyDescent="0.25">
      <c r="K160" s="1"/>
    </row>
    <row r="161" spans="11:11" x14ac:dyDescent="0.25">
      <c r="K161" s="1"/>
    </row>
    <row r="162" spans="11:11" x14ac:dyDescent="0.25">
      <c r="K162" s="1"/>
    </row>
    <row r="163" spans="11:11" x14ac:dyDescent="0.25">
      <c r="K163" s="1"/>
    </row>
    <row r="164" spans="11:11" x14ac:dyDescent="0.25">
      <c r="K164" s="1"/>
    </row>
    <row r="165" spans="11:11" x14ac:dyDescent="0.25">
      <c r="K165" s="1"/>
    </row>
    <row r="166" spans="11:11" x14ac:dyDescent="0.25">
      <c r="K166" s="1"/>
    </row>
    <row r="167" spans="11:11" x14ac:dyDescent="0.25">
      <c r="K167" s="1"/>
    </row>
    <row r="168" spans="11:11" x14ac:dyDescent="0.25">
      <c r="K168" s="1"/>
    </row>
    <row r="169" spans="11:11" x14ac:dyDescent="0.25">
      <c r="K169" s="1"/>
    </row>
    <row r="170" spans="11:11" x14ac:dyDescent="0.25">
      <c r="K170" s="1"/>
    </row>
    <row r="171" spans="11:11" x14ac:dyDescent="0.25">
      <c r="K171" s="1"/>
    </row>
    <row r="172" spans="11:11" x14ac:dyDescent="0.25">
      <c r="K172" s="1"/>
    </row>
    <row r="173" spans="11:11" x14ac:dyDescent="0.25">
      <c r="K173" s="1"/>
    </row>
    <row r="174" spans="11:11" x14ac:dyDescent="0.25">
      <c r="K174" s="1"/>
    </row>
    <row r="175" spans="11:11" x14ac:dyDescent="0.25">
      <c r="K175" s="1"/>
    </row>
    <row r="176" spans="11:11" x14ac:dyDescent="0.25">
      <c r="K176" s="1"/>
    </row>
    <row r="177" spans="11:11" x14ac:dyDescent="0.25">
      <c r="K177" s="1"/>
    </row>
    <row r="178" spans="11:11" x14ac:dyDescent="0.25">
      <c r="K178" s="1"/>
    </row>
    <row r="179" spans="11:11" x14ac:dyDescent="0.25">
      <c r="K179" s="1"/>
    </row>
    <row r="180" spans="11:11" x14ac:dyDescent="0.25">
      <c r="K180" s="1"/>
    </row>
    <row r="181" spans="11:11" x14ac:dyDescent="0.25">
      <c r="K181" s="1"/>
    </row>
    <row r="182" spans="11:11" x14ac:dyDescent="0.25">
      <c r="K182" s="1"/>
    </row>
    <row r="183" spans="11:11" x14ac:dyDescent="0.25">
      <c r="K183" s="1"/>
    </row>
    <row r="184" spans="11:11" x14ac:dyDescent="0.25">
      <c r="K184" s="1"/>
    </row>
    <row r="185" spans="11:11" x14ac:dyDescent="0.25">
      <c r="K185" s="1"/>
    </row>
    <row r="186" spans="11:11" x14ac:dyDescent="0.25">
      <c r="K186" s="1"/>
    </row>
    <row r="187" spans="11:11" x14ac:dyDescent="0.25">
      <c r="K187" s="1"/>
    </row>
    <row r="188" spans="11:11" x14ac:dyDescent="0.25">
      <c r="K188" s="1"/>
    </row>
    <row r="189" spans="11:11" x14ac:dyDescent="0.25">
      <c r="K189" s="1"/>
    </row>
    <row r="190" spans="11:11" x14ac:dyDescent="0.25">
      <c r="K190" s="1"/>
    </row>
    <row r="191" spans="11:11" x14ac:dyDescent="0.25">
      <c r="K191" s="1"/>
    </row>
    <row r="192" spans="11:11" x14ac:dyDescent="0.25">
      <c r="K192" s="1"/>
    </row>
    <row r="193" spans="11:11" x14ac:dyDescent="0.25">
      <c r="K193" s="1"/>
    </row>
    <row r="194" spans="11:11" x14ac:dyDescent="0.25">
      <c r="K194" s="1"/>
    </row>
    <row r="195" spans="11:11" x14ac:dyDescent="0.25">
      <c r="K195" s="1"/>
    </row>
    <row r="196" spans="11:11" x14ac:dyDescent="0.25">
      <c r="K196" s="1"/>
    </row>
    <row r="197" spans="11:11" x14ac:dyDescent="0.25">
      <c r="K197" s="1"/>
    </row>
    <row r="198" spans="11:11" x14ac:dyDescent="0.25">
      <c r="K198" s="1"/>
    </row>
    <row r="199" spans="11:11" x14ac:dyDescent="0.25">
      <c r="K199" s="1"/>
    </row>
    <row r="200" spans="11:11" x14ac:dyDescent="0.25">
      <c r="K200" s="1"/>
    </row>
    <row r="201" spans="11:11" x14ac:dyDescent="0.25">
      <c r="K201" s="1"/>
    </row>
    <row r="202" spans="11:11" x14ac:dyDescent="0.25">
      <c r="K202" s="1"/>
    </row>
    <row r="203" spans="11:11" x14ac:dyDescent="0.25">
      <c r="K203" s="1"/>
    </row>
    <row r="204" spans="11:11" x14ac:dyDescent="0.25">
      <c r="K204" s="1"/>
    </row>
    <row r="205" spans="11:11" x14ac:dyDescent="0.25">
      <c r="K205" s="1"/>
    </row>
    <row r="206" spans="11:11" x14ac:dyDescent="0.25">
      <c r="K206" s="1"/>
    </row>
    <row r="207" spans="11:11" x14ac:dyDescent="0.25">
      <c r="K207" s="1"/>
    </row>
    <row r="208" spans="11:11" x14ac:dyDescent="0.25">
      <c r="K208" s="1"/>
    </row>
    <row r="209" spans="11:11" x14ac:dyDescent="0.25">
      <c r="K209" s="1"/>
    </row>
    <row r="210" spans="11:11" x14ac:dyDescent="0.25">
      <c r="K210" s="1"/>
    </row>
    <row r="211" spans="11:11" x14ac:dyDescent="0.25">
      <c r="K211" s="1"/>
    </row>
    <row r="212" spans="11:11" x14ac:dyDescent="0.25">
      <c r="K212" s="1"/>
    </row>
    <row r="213" spans="11:11" x14ac:dyDescent="0.25">
      <c r="K213" s="1"/>
    </row>
    <row r="214" spans="11:11" x14ac:dyDescent="0.25">
      <c r="K214" s="1"/>
    </row>
    <row r="215" spans="11:11" x14ac:dyDescent="0.25">
      <c r="K215" s="1"/>
    </row>
    <row r="216" spans="11:11" x14ac:dyDescent="0.25">
      <c r="K216" s="1"/>
    </row>
    <row r="217" spans="11:11" x14ac:dyDescent="0.25">
      <c r="K217" s="1"/>
    </row>
    <row r="218" spans="11:11" x14ac:dyDescent="0.25">
      <c r="K218" s="1"/>
    </row>
    <row r="219" spans="11:11" x14ac:dyDescent="0.25">
      <c r="K219" s="1"/>
    </row>
    <row r="220" spans="11:11" x14ac:dyDescent="0.25">
      <c r="K220" s="1"/>
    </row>
    <row r="221" spans="11:11" x14ac:dyDescent="0.25">
      <c r="K221" s="1"/>
    </row>
    <row r="222" spans="11:11" x14ac:dyDescent="0.25">
      <c r="K222" s="1"/>
    </row>
    <row r="223" spans="11:11" x14ac:dyDescent="0.25">
      <c r="K223" s="1"/>
    </row>
    <row r="224" spans="11:11" x14ac:dyDescent="0.25">
      <c r="K224" s="1"/>
    </row>
    <row r="225" spans="11:11" x14ac:dyDescent="0.25">
      <c r="K225" s="1"/>
    </row>
    <row r="226" spans="11:11" x14ac:dyDescent="0.25">
      <c r="K226" s="1"/>
    </row>
    <row r="227" spans="11:11" x14ac:dyDescent="0.25">
      <c r="K227" s="1"/>
    </row>
    <row r="228" spans="11:11" x14ac:dyDescent="0.25">
      <c r="K228" s="1"/>
    </row>
    <row r="229" spans="11:11" x14ac:dyDescent="0.25">
      <c r="K229" s="1"/>
    </row>
    <row r="230" spans="11:11" x14ac:dyDescent="0.25">
      <c r="K230" s="1"/>
    </row>
    <row r="231" spans="11:11" x14ac:dyDescent="0.25">
      <c r="K231" s="1"/>
    </row>
    <row r="232" spans="11:11" x14ac:dyDescent="0.25">
      <c r="K232" s="1"/>
    </row>
    <row r="233" spans="11:11" x14ac:dyDescent="0.25">
      <c r="K233" s="1"/>
    </row>
    <row r="234" spans="11:11" x14ac:dyDescent="0.25">
      <c r="K234" s="1"/>
    </row>
    <row r="235" spans="11:11" x14ac:dyDescent="0.25">
      <c r="K235" s="1"/>
    </row>
    <row r="236" spans="11:11" x14ac:dyDescent="0.25">
      <c r="K236" s="1"/>
    </row>
    <row r="237" spans="11:11" x14ac:dyDescent="0.25">
      <c r="K237" s="1"/>
    </row>
    <row r="238" spans="11:11" x14ac:dyDescent="0.25">
      <c r="K238" s="1"/>
    </row>
    <row r="239" spans="11:11" x14ac:dyDescent="0.25">
      <c r="K239" s="1"/>
    </row>
    <row r="240" spans="11:11" x14ac:dyDescent="0.25">
      <c r="K240" s="1"/>
    </row>
    <row r="241" spans="11:11" x14ac:dyDescent="0.25">
      <c r="K241" s="1"/>
    </row>
    <row r="242" spans="11:11" x14ac:dyDescent="0.25">
      <c r="K242" s="1"/>
    </row>
    <row r="243" spans="11:11" x14ac:dyDescent="0.25">
      <c r="K243" s="1"/>
    </row>
    <row r="244" spans="11:11" x14ac:dyDescent="0.25">
      <c r="K244" s="1"/>
    </row>
    <row r="245" spans="11:11" x14ac:dyDescent="0.25">
      <c r="K245" s="1"/>
    </row>
    <row r="246" spans="11:11" x14ac:dyDescent="0.25">
      <c r="K246" s="1"/>
    </row>
    <row r="247" spans="11:11" x14ac:dyDescent="0.25">
      <c r="K247" s="1"/>
    </row>
    <row r="248" spans="11:11" x14ac:dyDescent="0.25">
      <c r="K248" s="1"/>
    </row>
    <row r="249" spans="11:11" x14ac:dyDescent="0.25">
      <c r="K249" s="1"/>
    </row>
    <row r="250" spans="11:11" x14ac:dyDescent="0.25">
      <c r="K250" s="1"/>
    </row>
    <row r="251" spans="11:11" x14ac:dyDescent="0.25">
      <c r="K251" s="1"/>
    </row>
    <row r="252" spans="11:11" x14ac:dyDescent="0.25">
      <c r="K252" s="1"/>
    </row>
    <row r="253" spans="11:11" x14ac:dyDescent="0.25">
      <c r="K253" s="1"/>
    </row>
    <row r="254" spans="11:11" x14ac:dyDescent="0.25">
      <c r="K254" s="1"/>
    </row>
    <row r="255" spans="11:11" x14ac:dyDescent="0.25">
      <c r="K255" s="1"/>
    </row>
    <row r="256" spans="11:11" x14ac:dyDescent="0.25">
      <c r="K256" s="1"/>
    </row>
    <row r="257" spans="11:11" x14ac:dyDescent="0.25">
      <c r="K257" s="1"/>
    </row>
    <row r="258" spans="11:11" x14ac:dyDescent="0.25">
      <c r="K258" s="1"/>
    </row>
    <row r="259" spans="11:11" x14ac:dyDescent="0.25">
      <c r="K259" s="1"/>
    </row>
    <row r="260" spans="11:11" x14ac:dyDescent="0.25">
      <c r="K260" s="1"/>
    </row>
    <row r="261" spans="11:11" x14ac:dyDescent="0.25">
      <c r="K261" s="1"/>
    </row>
    <row r="262" spans="11:11" x14ac:dyDescent="0.25">
      <c r="K262" s="1"/>
    </row>
    <row r="263" spans="11:11" x14ac:dyDescent="0.25">
      <c r="K263" s="1"/>
    </row>
    <row r="264" spans="11:11" x14ac:dyDescent="0.25">
      <c r="K264" s="1"/>
    </row>
    <row r="265" spans="11:11" x14ac:dyDescent="0.25">
      <c r="K265" s="1"/>
    </row>
    <row r="266" spans="11:11" x14ac:dyDescent="0.25">
      <c r="K266" s="1"/>
    </row>
    <row r="267" spans="11:11" x14ac:dyDescent="0.25">
      <c r="K267" s="1"/>
    </row>
    <row r="268" spans="11:11" x14ac:dyDescent="0.25">
      <c r="K268" s="1"/>
    </row>
    <row r="269" spans="11:11" x14ac:dyDescent="0.25">
      <c r="K269" s="1"/>
    </row>
    <row r="270" spans="11:11" x14ac:dyDescent="0.25">
      <c r="K270" s="1"/>
    </row>
    <row r="271" spans="11:11" x14ac:dyDescent="0.25">
      <c r="K271" s="1"/>
    </row>
    <row r="272" spans="11:11" x14ac:dyDescent="0.25">
      <c r="K272" s="1"/>
    </row>
    <row r="273" spans="11:11" x14ac:dyDescent="0.25">
      <c r="K273" s="1"/>
    </row>
    <row r="274" spans="11:11" x14ac:dyDescent="0.25">
      <c r="K274" s="1"/>
    </row>
    <row r="275" spans="11:11" x14ac:dyDescent="0.25">
      <c r="K275" s="1"/>
    </row>
    <row r="276" spans="11:11" x14ac:dyDescent="0.25">
      <c r="K276" s="1"/>
    </row>
    <row r="277" spans="11:11" x14ac:dyDescent="0.25">
      <c r="K277" s="1"/>
    </row>
    <row r="278" spans="11:11" x14ac:dyDescent="0.25">
      <c r="K278" s="1"/>
    </row>
    <row r="279" spans="11:11" x14ac:dyDescent="0.25">
      <c r="K279" s="1"/>
    </row>
    <row r="280" spans="11:11" x14ac:dyDescent="0.25">
      <c r="K280" s="1"/>
    </row>
    <row r="281" spans="11:11" x14ac:dyDescent="0.25">
      <c r="K281" s="1"/>
    </row>
    <row r="282" spans="11:11" x14ac:dyDescent="0.25">
      <c r="K282" s="1"/>
    </row>
    <row r="283" spans="11:11" x14ac:dyDescent="0.25">
      <c r="K283" s="1"/>
    </row>
    <row r="284" spans="11:11" x14ac:dyDescent="0.25">
      <c r="K284" s="1"/>
    </row>
    <row r="285" spans="11:11" x14ac:dyDescent="0.25">
      <c r="K285" s="1"/>
    </row>
    <row r="286" spans="11:11" x14ac:dyDescent="0.25">
      <c r="K286" s="1"/>
    </row>
    <row r="287" spans="11:11" x14ac:dyDescent="0.25">
      <c r="K287" s="1"/>
    </row>
    <row r="288" spans="11:11" x14ac:dyDescent="0.25">
      <c r="K288" s="1"/>
    </row>
    <row r="289" spans="11:11" x14ac:dyDescent="0.25">
      <c r="K289" s="1"/>
    </row>
    <row r="290" spans="11:11" x14ac:dyDescent="0.25">
      <c r="K290" s="1"/>
    </row>
    <row r="291" spans="11:11" x14ac:dyDescent="0.25">
      <c r="K291" s="1"/>
    </row>
    <row r="292" spans="11:11" x14ac:dyDescent="0.25">
      <c r="K292" s="1"/>
    </row>
    <row r="293" spans="11:11" x14ac:dyDescent="0.25">
      <c r="K293" s="1"/>
    </row>
    <row r="294" spans="11:11" x14ac:dyDescent="0.25">
      <c r="K294" s="1"/>
    </row>
    <row r="295" spans="11:11" x14ac:dyDescent="0.25">
      <c r="K295" s="1"/>
    </row>
    <row r="296" spans="11:11" x14ac:dyDescent="0.25">
      <c r="K296" s="1"/>
    </row>
    <row r="297" spans="11:11" x14ac:dyDescent="0.25">
      <c r="K297" s="1"/>
    </row>
    <row r="298" spans="11:11" x14ac:dyDescent="0.25">
      <c r="K298" s="1"/>
    </row>
    <row r="299" spans="11:11" x14ac:dyDescent="0.25">
      <c r="K299" s="1"/>
    </row>
    <row r="300" spans="11:11" x14ac:dyDescent="0.25">
      <c r="K300" s="1"/>
    </row>
    <row r="301" spans="11:11" x14ac:dyDescent="0.25">
      <c r="K301" s="1"/>
    </row>
    <row r="302" spans="11:11" x14ac:dyDescent="0.25">
      <c r="K302" s="1"/>
    </row>
    <row r="303" spans="11:11" x14ac:dyDescent="0.25">
      <c r="K303" s="1"/>
    </row>
    <row r="304" spans="11:11" x14ac:dyDescent="0.25">
      <c r="K304" s="1"/>
    </row>
    <row r="305" spans="11:11" x14ac:dyDescent="0.25">
      <c r="K305" s="1"/>
    </row>
    <row r="306" spans="11:11" x14ac:dyDescent="0.25">
      <c r="K306" s="1"/>
    </row>
    <row r="307" spans="11:11" x14ac:dyDescent="0.25">
      <c r="K307" s="1"/>
    </row>
    <row r="308" spans="11:11" x14ac:dyDescent="0.25">
      <c r="K308" s="1"/>
    </row>
    <row r="309" spans="11:11" x14ac:dyDescent="0.25">
      <c r="K309" s="1"/>
    </row>
    <row r="310" spans="11:11" x14ac:dyDescent="0.25">
      <c r="K310" s="1"/>
    </row>
    <row r="311" spans="11:11" x14ac:dyDescent="0.25">
      <c r="K311" s="1"/>
    </row>
    <row r="312" spans="11:11" x14ac:dyDescent="0.25">
      <c r="K312" s="1"/>
    </row>
    <row r="313" spans="11:11" x14ac:dyDescent="0.25">
      <c r="K313" s="1"/>
    </row>
    <row r="314" spans="11:11" x14ac:dyDescent="0.25">
      <c r="K314" s="1"/>
    </row>
    <row r="315" spans="11:11" x14ac:dyDescent="0.25">
      <c r="K315" s="1"/>
    </row>
    <row r="316" spans="11:11" x14ac:dyDescent="0.25">
      <c r="K316" s="1"/>
    </row>
    <row r="317" spans="11:11" x14ac:dyDescent="0.25">
      <c r="K317" s="1"/>
    </row>
    <row r="318" spans="11:11" x14ac:dyDescent="0.25">
      <c r="K318" s="1"/>
    </row>
    <row r="319" spans="11:11" x14ac:dyDescent="0.25">
      <c r="K319" s="1"/>
    </row>
    <row r="320" spans="11:11" x14ac:dyDescent="0.25">
      <c r="K320" s="1"/>
    </row>
    <row r="321" spans="11:11" x14ac:dyDescent="0.25">
      <c r="K321" s="1"/>
    </row>
    <row r="322" spans="11:11" x14ac:dyDescent="0.25">
      <c r="K322" s="1"/>
    </row>
    <row r="323" spans="11:11" x14ac:dyDescent="0.25">
      <c r="K323" s="1"/>
    </row>
    <row r="324" spans="11:11" x14ac:dyDescent="0.25">
      <c r="K324" s="1"/>
    </row>
    <row r="325" spans="11:11" x14ac:dyDescent="0.25">
      <c r="K325" s="1"/>
    </row>
    <row r="326" spans="11:11" x14ac:dyDescent="0.25">
      <c r="K326" s="1"/>
    </row>
    <row r="327" spans="11:11" x14ac:dyDescent="0.25">
      <c r="K327" s="1"/>
    </row>
    <row r="328" spans="11:11" x14ac:dyDescent="0.25">
      <c r="K328" s="1"/>
    </row>
    <row r="329" spans="11:11" x14ac:dyDescent="0.25">
      <c r="K329" s="1"/>
    </row>
    <row r="330" spans="11:11" x14ac:dyDescent="0.25">
      <c r="K330" s="1"/>
    </row>
    <row r="331" spans="11:11" x14ac:dyDescent="0.25">
      <c r="K331" s="1"/>
    </row>
    <row r="332" spans="11:11" x14ac:dyDescent="0.25">
      <c r="K332" s="1"/>
    </row>
    <row r="333" spans="11:11" x14ac:dyDescent="0.25">
      <c r="K333" s="1"/>
    </row>
    <row r="334" spans="11:11" x14ac:dyDescent="0.25">
      <c r="K334" s="1"/>
    </row>
    <row r="335" spans="11:11" x14ac:dyDescent="0.25">
      <c r="K335" s="1"/>
    </row>
    <row r="336" spans="11:11" x14ac:dyDescent="0.25">
      <c r="K336" s="1"/>
    </row>
    <row r="337" spans="11:11" x14ac:dyDescent="0.25">
      <c r="K337" s="1"/>
    </row>
    <row r="338" spans="11:11" x14ac:dyDescent="0.25">
      <c r="K338" s="1"/>
    </row>
    <row r="339" spans="11:11" x14ac:dyDescent="0.25">
      <c r="K339" s="1"/>
    </row>
    <row r="340" spans="11:11" x14ac:dyDescent="0.25">
      <c r="K340" s="1"/>
    </row>
    <row r="341" spans="11:11" x14ac:dyDescent="0.25">
      <c r="K341" s="1"/>
    </row>
    <row r="342" spans="11:11" x14ac:dyDescent="0.25">
      <c r="K342" s="1"/>
    </row>
    <row r="343" spans="11:11" x14ac:dyDescent="0.25">
      <c r="K343" s="1"/>
    </row>
    <row r="344" spans="11:11" x14ac:dyDescent="0.25">
      <c r="K344" s="1"/>
    </row>
    <row r="345" spans="11:11" x14ac:dyDescent="0.25">
      <c r="K345" s="1"/>
    </row>
    <row r="346" spans="11:11" x14ac:dyDescent="0.25">
      <c r="K346" s="1"/>
    </row>
    <row r="347" spans="11:11" x14ac:dyDescent="0.25">
      <c r="K347" s="1"/>
    </row>
    <row r="348" spans="11:11" x14ac:dyDescent="0.25">
      <c r="K348" s="1"/>
    </row>
    <row r="349" spans="11:11" x14ac:dyDescent="0.25">
      <c r="K349" s="1"/>
    </row>
    <row r="350" spans="11:11" x14ac:dyDescent="0.25">
      <c r="K350" s="1"/>
    </row>
    <row r="351" spans="11:11" x14ac:dyDescent="0.25">
      <c r="K351" s="1"/>
    </row>
    <row r="352" spans="11:11" x14ac:dyDescent="0.25">
      <c r="K352" s="1"/>
    </row>
    <row r="353" spans="11:11" x14ac:dyDescent="0.25">
      <c r="K353" s="1"/>
    </row>
    <row r="354" spans="11:11" x14ac:dyDescent="0.25">
      <c r="K354" s="1"/>
    </row>
    <row r="355" spans="11:11" x14ac:dyDescent="0.25">
      <c r="K355" s="1"/>
    </row>
    <row r="356" spans="11:11" x14ac:dyDescent="0.25">
      <c r="K356" s="1"/>
    </row>
    <row r="357" spans="11:11" x14ac:dyDescent="0.25">
      <c r="K357" s="1"/>
    </row>
    <row r="358" spans="11:11" x14ac:dyDescent="0.25">
      <c r="K358" s="1"/>
    </row>
    <row r="359" spans="11:11" x14ac:dyDescent="0.25">
      <c r="K359" s="1"/>
    </row>
    <row r="360" spans="11:11" x14ac:dyDescent="0.25">
      <c r="K360" s="1"/>
    </row>
    <row r="361" spans="11:11" x14ac:dyDescent="0.25">
      <c r="K361" s="1"/>
    </row>
    <row r="362" spans="11:11" x14ac:dyDescent="0.25">
      <c r="K362" s="1"/>
    </row>
    <row r="363" spans="11:11" x14ac:dyDescent="0.25">
      <c r="K363" s="1"/>
    </row>
    <row r="364" spans="11:11" x14ac:dyDescent="0.25">
      <c r="K364" s="1"/>
    </row>
    <row r="365" spans="11:11" x14ac:dyDescent="0.25">
      <c r="K365" s="1"/>
    </row>
    <row r="366" spans="11:11" x14ac:dyDescent="0.25">
      <c r="K366" s="1"/>
    </row>
    <row r="367" spans="11:11" x14ac:dyDescent="0.25">
      <c r="K367" s="1"/>
    </row>
    <row r="368" spans="11:11" x14ac:dyDescent="0.25">
      <c r="K368" s="1"/>
    </row>
    <row r="369" spans="11:11" x14ac:dyDescent="0.25">
      <c r="K369" s="1"/>
    </row>
    <row r="370" spans="11:11" x14ac:dyDescent="0.25">
      <c r="K370" s="1"/>
    </row>
    <row r="371" spans="11:11" x14ac:dyDescent="0.25">
      <c r="K371" s="1"/>
    </row>
    <row r="372" spans="11:11" x14ac:dyDescent="0.25">
      <c r="K372" s="1"/>
    </row>
    <row r="373" spans="11:11" x14ac:dyDescent="0.25">
      <c r="K373" s="1"/>
    </row>
    <row r="374" spans="11:11" x14ac:dyDescent="0.25">
      <c r="K374" s="1"/>
    </row>
    <row r="375" spans="11:11" x14ac:dyDescent="0.25">
      <c r="K375" s="1"/>
    </row>
    <row r="376" spans="11:11" x14ac:dyDescent="0.25">
      <c r="K376" s="1"/>
    </row>
    <row r="377" spans="11:11" x14ac:dyDescent="0.25">
      <c r="K377" s="1"/>
    </row>
    <row r="378" spans="11:11" x14ac:dyDescent="0.25">
      <c r="K378" s="1"/>
    </row>
    <row r="379" spans="11:11" x14ac:dyDescent="0.25">
      <c r="K379" s="1"/>
    </row>
    <row r="380" spans="11:11" x14ac:dyDescent="0.25">
      <c r="K380" s="1"/>
    </row>
    <row r="381" spans="11:11" x14ac:dyDescent="0.25">
      <c r="K381" s="1"/>
    </row>
    <row r="382" spans="11:11" x14ac:dyDescent="0.25">
      <c r="K382" s="1"/>
    </row>
    <row r="383" spans="11:11" x14ac:dyDescent="0.25">
      <c r="K383" s="1"/>
    </row>
    <row r="384" spans="11:11" x14ac:dyDescent="0.25">
      <c r="K384" s="1"/>
    </row>
    <row r="385" spans="11:11" x14ac:dyDescent="0.25">
      <c r="K385" s="1"/>
    </row>
    <row r="386" spans="11:11" x14ac:dyDescent="0.25">
      <c r="K386" s="1"/>
    </row>
    <row r="387" spans="11:11" x14ac:dyDescent="0.25">
      <c r="K387" s="1"/>
    </row>
    <row r="388" spans="11:11" x14ac:dyDescent="0.25">
      <c r="K388" s="1"/>
    </row>
    <row r="389" spans="11:11" x14ac:dyDescent="0.25">
      <c r="K389" s="1"/>
    </row>
    <row r="390" spans="11:11" x14ac:dyDescent="0.25">
      <c r="K390" s="1"/>
    </row>
    <row r="391" spans="11:11" x14ac:dyDescent="0.25">
      <c r="K391" s="1"/>
    </row>
    <row r="392" spans="11:11" x14ac:dyDescent="0.25">
      <c r="K392" s="1"/>
    </row>
    <row r="393" spans="11:11" x14ac:dyDescent="0.25">
      <c r="K393" s="1"/>
    </row>
    <row r="394" spans="11:11" x14ac:dyDescent="0.25">
      <c r="K394" s="1"/>
    </row>
    <row r="395" spans="11:11" x14ac:dyDescent="0.25">
      <c r="K395" s="1"/>
    </row>
    <row r="396" spans="11:11" x14ac:dyDescent="0.25">
      <c r="K396" s="1"/>
    </row>
    <row r="397" spans="11:11" x14ac:dyDescent="0.25">
      <c r="K397" s="1"/>
    </row>
    <row r="398" spans="11:11" x14ac:dyDescent="0.25">
      <c r="K398" s="1"/>
    </row>
    <row r="399" spans="11:11" x14ac:dyDescent="0.25">
      <c r="K399" s="1"/>
    </row>
    <row r="400" spans="11:11" x14ac:dyDescent="0.25">
      <c r="K400" s="1"/>
    </row>
    <row r="401" spans="11:11" x14ac:dyDescent="0.25">
      <c r="K401" s="1"/>
    </row>
    <row r="402" spans="11:11" x14ac:dyDescent="0.25">
      <c r="K402" s="1"/>
    </row>
    <row r="403" spans="11:11" x14ac:dyDescent="0.25">
      <c r="K403" s="1"/>
    </row>
    <row r="404" spans="11:11" x14ac:dyDescent="0.25">
      <c r="K404" s="1"/>
    </row>
    <row r="405" spans="11:11" x14ac:dyDescent="0.25">
      <c r="K405" s="1"/>
    </row>
    <row r="406" spans="11:11" x14ac:dyDescent="0.25">
      <c r="K406" s="1"/>
    </row>
    <row r="407" spans="11:11" x14ac:dyDescent="0.25">
      <c r="K407" s="1"/>
    </row>
    <row r="408" spans="11:11" x14ac:dyDescent="0.25">
      <c r="K408" s="1"/>
    </row>
    <row r="409" spans="11:11" x14ac:dyDescent="0.25">
      <c r="K409" s="1"/>
    </row>
    <row r="410" spans="11:11" x14ac:dyDescent="0.25">
      <c r="K410" s="1"/>
    </row>
    <row r="411" spans="11:11" x14ac:dyDescent="0.25">
      <c r="K411" s="1"/>
    </row>
    <row r="412" spans="11:11" x14ac:dyDescent="0.25">
      <c r="K412" s="1"/>
    </row>
    <row r="413" spans="11:11" x14ac:dyDescent="0.25">
      <c r="K413" s="1"/>
    </row>
    <row r="414" spans="11:11" x14ac:dyDescent="0.25">
      <c r="K414" s="1"/>
    </row>
    <row r="415" spans="11:11" x14ac:dyDescent="0.25">
      <c r="K415" s="1"/>
    </row>
    <row r="416" spans="11:11" x14ac:dyDescent="0.25">
      <c r="K416" s="1"/>
    </row>
    <row r="417" spans="11:11" x14ac:dyDescent="0.25">
      <c r="K417" s="1"/>
    </row>
    <row r="418" spans="11:11" x14ac:dyDescent="0.25">
      <c r="K418" s="1"/>
    </row>
    <row r="419" spans="11:11" x14ac:dyDescent="0.25">
      <c r="K419" s="1"/>
    </row>
    <row r="420" spans="11:11" x14ac:dyDescent="0.25">
      <c r="K420" s="1"/>
    </row>
    <row r="421" spans="11:11" x14ac:dyDescent="0.25">
      <c r="K421" s="1"/>
    </row>
    <row r="422" spans="11:11" x14ac:dyDescent="0.25">
      <c r="K422" s="1"/>
    </row>
    <row r="423" spans="11:11" x14ac:dyDescent="0.25">
      <c r="K423" s="1"/>
    </row>
    <row r="424" spans="11:11" x14ac:dyDescent="0.25">
      <c r="K424" s="1"/>
    </row>
    <row r="425" spans="11:11" x14ac:dyDescent="0.25">
      <c r="K425" s="1"/>
    </row>
    <row r="426" spans="11:11" x14ac:dyDescent="0.25">
      <c r="K426" s="1"/>
    </row>
    <row r="427" spans="11:11" x14ac:dyDescent="0.25">
      <c r="K427" s="1"/>
    </row>
    <row r="428" spans="11:11" x14ac:dyDescent="0.25">
      <c r="K428" s="1"/>
    </row>
    <row r="429" spans="11:11" x14ac:dyDescent="0.25">
      <c r="K429" s="1"/>
    </row>
    <row r="430" spans="11:11" x14ac:dyDescent="0.25">
      <c r="K430" s="1"/>
    </row>
    <row r="431" spans="11:11" x14ac:dyDescent="0.25">
      <c r="K431" s="1"/>
    </row>
    <row r="432" spans="11:11" x14ac:dyDescent="0.25">
      <c r="K432" s="1"/>
    </row>
    <row r="433" spans="11:11" x14ac:dyDescent="0.25">
      <c r="K433" s="1"/>
    </row>
    <row r="434" spans="11:11" x14ac:dyDescent="0.25">
      <c r="K434" s="1"/>
    </row>
    <row r="435" spans="11:11" x14ac:dyDescent="0.25">
      <c r="K435" s="1"/>
    </row>
    <row r="436" spans="11:11" x14ac:dyDescent="0.25">
      <c r="K436" s="1"/>
    </row>
    <row r="437" spans="11:11" x14ac:dyDescent="0.25">
      <c r="K437" s="1"/>
    </row>
    <row r="438" spans="11:11" x14ac:dyDescent="0.25">
      <c r="K438" s="1"/>
    </row>
    <row r="439" spans="11:11" x14ac:dyDescent="0.25">
      <c r="K439" s="1"/>
    </row>
    <row r="440" spans="11:11" x14ac:dyDescent="0.25">
      <c r="K440" s="1"/>
    </row>
    <row r="441" spans="11:11" x14ac:dyDescent="0.25">
      <c r="K441" s="1"/>
    </row>
    <row r="442" spans="11:11" x14ac:dyDescent="0.25">
      <c r="K442" s="1"/>
    </row>
    <row r="443" spans="11:11" x14ac:dyDescent="0.25">
      <c r="K443" s="1"/>
    </row>
    <row r="444" spans="11:11" x14ac:dyDescent="0.25">
      <c r="K444" s="1"/>
    </row>
    <row r="445" spans="11:11" x14ac:dyDescent="0.25">
      <c r="K445" s="1"/>
    </row>
    <row r="446" spans="11:11" x14ac:dyDescent="0.25">
      <c r="K446" s="1"/>
    </row>
    <row r="447" spans="11:11" x14ac:dyDescent="0.25">
      <c r="K447" s="1"/>
    </row>
    <row r="448" spans="11:11" x14ac:dyDescent="0.25">
      <c r="K448" s="1"/>
    </row>
    <row r="449" spans="11:11" x14ac:dyDescent="0.25">
      <c r="K449" s="1"/>
    </row>
    <row r="450" spans="11:11" x14ac:dyDescent="0.25">
      <c r="K450" s="1"/>
    </row>
    <row r="451" spans="11:11" x14ac:dyDescent="0.25">
      <c r="K451" s="1"/>
    </row>
    <row r="452" spans="11:11" x14ac:dyDescent="0.25">
      <c r="K452" s="1"/>
    </row>
    <row r="453" spans="11:11" x14ac:dyDescent="0.25">
      <c r="K453" s="1"/>
    </row>
    <row r="454" spans="11:11" x14ac:dyDescent="0.25">
      <c r="K454" s="1"/>
    </row>
    <row r="455" spans="11:11" x14ac:dyDescent="0.25">
      <c r="K455" s="1"/>
    </row>
    <row r="456" spans="11:11" x14ac:dyDescent="0.25">
      <c r="K456" s="1"/>
    </row>
    <row r="457" spans="11:11" x14ac:dyDescent="0.25">
      <c r="K457" s="1"/>
    </row>
    <row r="458" spans="11:11" x14ac:dyDescent="0.25">
      <c r="K458" s="1"/>
    </row>
    <row r="459" spans="11:11" x14ac:dyDescent="0.25">
      <c r="K459" s="1"/>
    </row>
    <row r="460" spans="11:11" x14ac:dyDescent="0.25">
      <c r="K460" s="1"/>
    </row>
    <row r="461" spans="11:11" x14ac:dyDescent="0.25">
      <c r="K461" s="1"/>
    </row>
    <row r="462" spans="11:11" x14ac:dyDescent="0.25">
      <c r="K462" s="1"/>
    </row>
    <row r="463" spans="11:11" x14ac:dyDescent="0.25">
      <c r="K463" s="1"/>
    </row>
    <row r="464" spans="11:11" x14ac:dyDescent="0.25">
      <c r="K464" s="1"/>
    </row>
    <row r="465" spans="11:11" x14ac:dyDescent="0.25">
      <c r="K465" s="1"/>
    </row>
    <row r="466" spans="11:11" x14ac:dyDescent="0.25">
      <c r="K466" s="1"/>
    </row>
    <row r="467" spans="11:11" x14ac:dyDescent="0.25">
      <c r="K467" s="1"/>
    </row>
    <row r="468" spans="11:11" x14ac:dyDescent="0.25">
      <c r="K468" s="1"/>
    </row>
    <row r="469" spans="11:11" x14ac:dyDescent="0.25">
      <c r="K469" s="1"/>
    </row>
    <row r="470" spans="11:11" x14ac:dyDescent="0.25">
      <c r="K470" s="1"/>
    </row>
    <row r="471" spans="11:11" x14ac:dyDescent="0.25">
      <c r="K471" s="1"/>
    </row>
    <row r="472" spans="11:11" x14ac:dyDescent="0.25">
      <c r="K472" s="1"/>
    </row>
    <row r="473" spans="11:11" x14ac:dyDescent="0.25">
      <c r="K473" s="1"/>
    </row>
    <row r="474" spans="11:11" x14ac:dyDescent="0.25">
      <c r="K474" s="1"/>
    </row>
    <row r="475" spans="11:11" x14ac:dyDescent="0.25">
      <c r="K475" s="1"/>
    </row>
    <row r="476" spans="11:11" x14ac:dyDescent="0.25">
      <c r="K476" s="1"/>
    </row>
    <row r="477" spans="11:11" x14ac:dyDescent="0.25">
      <c r="K477" s="1"/>
    </row>
    <row r="478" spans="11:11" x14ac:dyDescent="0.25">
      <c r="K478" s="1"/>
    </row>
    <row r="479" spans="11:11" x14ac:dyDescent="0.25">
      <c r="K479" s="1"/>
    </row>
    <row r="480" spans="11:11" x14ac:dyDescent="0.25">
      <c r="K480" s="1"/>
    </row>
    <row r="481" spans="11:11" x14ac:dyDescent="0.25">
      <c r="K481" s="1"/>
    </row>
    <row r="482" spans="11:11" x14ac:dyDescent="0.25">
      <c r="K482" s="1"/>
    </row>
    <row r="483" spans="11:11" x14ac:dyDescent="0.25">
      <c r="K483" s="1"/>
    </row>
    <row r="484" spans="11:11" x14ac:dyDescent="0.25">
      <c r="K484" s="1"/>
    </row>
    <row r="485" spans="11:11" x14ac:dyDescent="0.25">
      <c r="K485" s="1"/>
    </row>
    <row r="486" spans="11:11" x14ac:dyDescent="0.25">
      <c r="K486" s="1"/>
    </row>
    <row r="487" spans="11:11" x14ac:dyDescent="0.25">
      <c r="K487" s="1"/>
    </row>
    <row r="488" spans="11:11" x14ac:dyDescent="0.25">
      <c r="K488" s="1"/>
    </row>
    <row r="489" spans="11:11" x14ac:dyDescent="0.25">
      <c r="K489" s="1"/>
    </row>
    <row r="490" spans="11:11" x14ac:dyDescent="0.25">
      <c r="K490" s="1"/>
    </row>
    <row r="491" spans="11:11" x14ac:dyDescent="0.25">
      <c r="K491" s="1"/>
    </row>
    <row r="492" spans="11:11" x14ac:dyDescent="0.25">
      <c r="K492" s="1"/>
    </row>
    <row r="493" spans="11:11" x14ac:dyDescent="0.25">
      <c r="K493" s="1"/>
    </row>
    <row r="494" spans="11:11" x14ac:dyDescent="0.25">
      <c r="K494" s="1"/>
    </row>
    <row r="495" spans="11:11" x14ac:dyDescent="0.25">
      <c r="K495" s="1"/>
    </row>
    <row r="496" spans="11:11" x14ac:dyDescent="0.25">
      <c r="K496" s="1"/>
    </row>
    <row r="497" spans="11:11" x14ac:dyDescent="0.25">
      <c r="K497" s="1"/>
    </row>
    <row r="498" spans="11:11" x14ac:dyDescent="0.25">
      <c r="K498" s="1"/>
    </row>
    <row r="499" spans="11:11" x14ac:dyDescent="0.25">
      <c r="K499" s="1"/>
    </row>
    <row r="500" spans="11:11" x14ac:dyDescent="0.25">
      <c r="K500" s="1"/>
    </row>
    <row r="501" spans="11:11" x14ac:dyDescent="0.25">
      <c r="K501" s="1"/>
    </row>
    <row r="502" spans="11:11" x14ac:dyDescent="0.25">
      <c r="K502" s="1"/>
    </row>
    <row r="503" spans="11:11" x14ac:dyDescent="0.25">
      <c r="K503" s="1"/>
    </row>
    <row r="504" spans="11:11" x14ac:dyDescent="0.25">
      <c r="K504" s="1"/>
    </row>
    <row r="505" spans="11:11" x14ac:dyDescent="0.25">
      <c r="K505" s="1"/>
    </row>
    <row r="506" spans="11:11" x14ac:dyDescent="0.25">
      <c r="K506" s="1"/>
    </row>
    <row r="507" spans="11:11" x14ac:dyDescent="0.25">
      <c r="K507" s="1"/>
    </row>
    <row r="508" spans="11:11" x14ac:dyDescent="0.25">
      <c r="K508" s="1"/>
    </row>
    <row r="509" spans="11:11" x14ac:dyDescent="0.25">
      <c r="K509" s="1"/>
    </row>
    <row r="510" spans="11:11" x14ac:dyDescent="0.25">
      <c r="K510" s="1"/>
    </row>
    <row r="511" spans="11:11" x14ac:dyDescent="0.25">
      <c r="K511" s="1"/>
    </row>
    <row r="512" spans="11:11" x14ac:dyDescent="0.25">
      <c r="K512" s="1"/>
    </row>
    <row r="513" spans="11:12" x14ac:dyDescent="0.25">
      <c r="K513" s="1"/>
    </row>
    <row r="514" spans="11:12" x14ac:dyDescent="0.25">
      <c r="K514" s="1"/>
    </row>
    <row r="515" spans="11:12" x14ac:dyDescent="0.25">
      <c r="K515" s="1"/>
    </row>
    <row r="516" spans="11:12" x14ac:dyDescent="0.25">
      <c r="K516" s="1"/>
    </row>
    <row r="517" spans="11:12" x14ac:dyDescent="0.25">
      <c r="K517" s="1"/>
      <c r="L517" s="1"/>
    </row>
    <row r="518" spans="11:12" x14ac:dyDescent="0.25">
      <c r="K518" s="1"/>
    </row>
    <row r="519" spans="11:12" x14ac:dyDescent="0.25">
      <c r="K519" s="1"/>
    </row>
    <row r="520" spans="11:12" x14ac:dyDescent="0.25">
      <c r="K520" s="1"/>
    </row>
    <row r="521" spans="11:12" x14ac:dyDescent="0.25">
      <c r="K521" s="1"/>
    </row>
    <row r="522" spans="11:12" x14ac:dyDescent="0.25">
      <c r="K522" s="1"/>
    </row>
    <row r="523" spans="11:12" x14ac:dyDescent="0.25">
      <c r="K523" s="1"/>
    </row>
    <row r="524" spans="11:12" x14ac:dyDescent="0.25">
      <c r="K524" s="1"/>
    </row>
    <row r="525" spans="11:12" x14ac:dyDescent="0.25">
      <c r="K525" s="1"/>
    </row>
    <row r="526" spans="11:12" x14ac:dyDescent="0.25">
      <c r="K526" s="1"/>
    </row>
    <row r="527" spans="11:12" x14ac:dyDescent="0.25">
      <c r="K527" s="1"/>
    </row>
    <row r="528" spans="11:12" x14ac:dyDescent="0.25">
      <c r="K528" s="1"/>
    </row>
    <row r="529" spans="11:11" x14ac:dyDescent="0.25">
      <c r="K529" s="1"/>
    </row>
    <row r="530" spans="11:11" x14ac:dyDescent="0.25">
      <c r="K530" s="1"/>
    </row>
    <row r="531" spans="11:11" x14ac:dyDescent="0.25">
      <c r="K531" s="1"/>
    </row>
    <row r="532" spans="11:11" x14ac:dyDescent="0.25">
      <c r="K532" s="1"/>
    </row>
    <row r="533" spans="11:11" x14ac:dyDescent="0.25">
      <c r="K533" s="1"/>
    </row>
    <row r="534" spans="11:11" x14ac:dyDescent="0.25">
      <c r="K534" s="1"/>
    </row>
    <row r="535" spans="11:11" x14ac:dyDescent="0.25">
      <c r="K535" s="1"/>
    </row>
    <row r="536" spans="11:11" x14ac:dyDescent="0.25">
      <c r="K536" s="1"/>
    </row>
    <row r="537" spans="11:11" x14ac:dyDescent="0.25">
      <c r="K537" s="1"/>
    </row>
    <row r="538" spans="11:11" x14ac:dyDescent="0.25">
      <c r="K538" s="1"/>
    </row>
    <row r="539" spans="11:11" x14ac:dyDescent="0.25">
      <c r="K539" s="1"/>
    </row>
    <row r="540" spans="11:11" x14ac:dyDescent="0.25">
      <c r="K540" s="1"/>
    </row>
    <row r="541" spans="11:11" x14ac:dyDescent="0.25">
      <c r="K541" s="1"/>
    </row>
    <row r="542" spans="11:11" x14ac:dyDescent="0.25">
      <c r="K542" s="1"/>
    </row>
    <row r="543" spans="11:11" x14ac:dyDescent="0.25">
      <c r="K543" s="1"/>
    </row>
    <row r="544" spans="11:11" x14ac:dyDescent="0.25">
      <c r="K544" s="1"/>
    </row>
    <row r="545" spans="11:12" x14ac:dyDescent="0.25">
      <c r="K545" s="1"/>
    </row>
    <row r="546" spans="11:12" x14ac:dyDescent="0.25">
      <c r="K546" s="1"/>
    </row>
    <row r="547" spans="11:12" x14ac:dyDescent="0.25">
      <c r="K547" s="1"/>
    </row>
    <row r="548" spans="11:12" x14ac:dyDescent="0.25">
      <c r="K548" s="1"/>
    </row>
    <row r="549" spans="11:12" x14ac:dyDescent="0.25">
      <c r="K549" s="1"/>
    </row>
    <row r="550" spans="11:12" x14ac:dyDescent="0.25">
      <c r="K550" s="1"/>
    </row>
    <row r="551" spans="11:12" x14ac:dyDescent="0.25">
      <c r="K551" s="1"/>
    </row>
    <row r="552" spans="11:12" x14ac:dyDescent="0.25">
      <c r="K552" s="1"/>
      <c r="L552" s="1"/>
    </row>
    <row r="553" spans="11:12" x14ac:dyDescent="0.25">
      <c r="K553" s="1"/>
      <c r="L553" s="1"/>
    </row>
    <row r="554" spans="11:12" x14ac:dyDescent="0.25">
      <c r="K554" s="1"/>
      <c r="L554" s="1"/>
    </row>
    <row r="555" spans="11:12" x14ac:dyDescent="0.25">
      <c r="K555" s="1"/>
      <c r="L555" s="1"/>
    </row>
    <row r="556" spans="11:12" x14ac:dyDescent="0.25">
      <c r="K556" s="1"/>
      <c r="L556" s="1"/>
    </row>
    <row r="557" spans="11:12" x14ac:dyDescent="0.25">
      <c r="K557" s="1"/>
      <c r="L557" s="1"/>
    </row>
    <row r="558" spans="11:12" x14ac:dyDescent="0.25">
      <c r="K558" s="1"/>
      <c r="L558" s="1"/>
    </row>
    <row r="559" spans="11:12" x14ac:dyDescent="0.25">
      <c r="K559" s="1"/>
      <c r="L559" s="1"/>
    </row>
    <row r="560" spans="11:12" x14ac:dyDescent="0.25">
      <c r="K560" s="1"/>
      <c r="L560" s="1"/>
    </row>
    <row r="561" spans="11:12" x14ac:dyDescent="0.25">
      <c r="K561" s="1"/>
      <c r="L561" s="1"/>
    </row>
    <row r="562" spans="11:12" x14ac:dyDescent="0.25">
      <c r="K562" s="1"/>
      <c r="L562" s="1"/>
    </row>
    <row r="563" spans="11:12" x14ac:dyDescent="0.25">
      <c r="K563" s="1"/>
      <c r="L563" s="1"/>
    </row>
    <row r="564" spans="11:12" x14ac:dyDescent="0.25">
      <c r="K564" s="1"/>
      <c r="L564" s="1"/>
    </row>
    <row r="565" spans="11:12" x14ac:dyDescent="0.25">
      <c r="K565" s="1"/>
      <c r="L565" s="1"/>
    </row>
    <row r="566" spans="11:12" x14ac:dyDescent="0.25">
      <c r="K566" s="1"/>
      <c r="L566" s="1"/>
    </row>
    <row r="567" spans="11:12" x14ac:dyDescent="0.25">
      <c r="K567" s="1"/>
    </row>
    <row r="568" spans="11:12" x14ac:dyDescent="0.25">
      <c r="K568" s="1"/>
    </row>
    <row r="569" spans="11:12" x14ac:dyDescent="0.25">
      <c r="K569" s="1"/>
    </row>
    <row r="570" spans="11:12" x14ac:dyDescent="0.25">
      <c r="K570" s="1"/>
    </row>
    <row r="571" spans="11:12" x14ac:dyDescent="0.25">
      <c r="K571" s="1"/>
      <c r="L571" s="1"/>
    </row>
    <row r="572" spans="11:12" x14ac:dyDescent="0.25">
      <c r="K572" s="1"/>
      <c r="L572" s="1"/>
    </row>
    <row r="573" spans="11:12" x14ac:dyDescent="0.25">
      <c r="K573" s="1"/>
      <c r="L573" s="1"/>
    </row>
    <row r="574" spans="11:12" x14ac:dyDescent="0.25">
      <c r="K574" s="1"/>
      <c r="L574" s="1"/>
    </row>
    <row r="575" spans="11:12" x14ac:dyDescent="0.25">
      <c r="K575" s="1"/>
      <c r="L575" s="1"/>
    </row>
    <row r="576" spans="11:12" x14ac:dyDescent="0.25">
      <c r="K576" s="1"/>
      <c r="L576" s="1"/>
    </row>
    <row r="577" spans="11:12" x14ac:dyDescent="0.25">
      <c r="K577" s="1"/>
      <c r="L577" s="1"/>
    </row>
    <row r="578" spans="11:12" x14ac:dyDescent="0.25">
      <c r="K578" s="1"/>
      <c r="L578" s="1"/>
    </row>
    <row r="579" spans="11:12" x14ac:dyDescent="0.25">
      <c r="K579" s="1"/>
      <c r="L579" s="1"/>
    </row>
    <row r="580" spans="11:12" x14ac:dyDescent="0.25">
      <c r="K580" s="1"/>
      <c r="L580" s="1"/>
    </row>
    <row r="581" spans="11:12" x14ac:dyDescent="0.25">
      <c r="K581" s="1"/>
      <c r="L581" s="1"/>
    </row>
    <row r="582" spans="11:12" x14ac:dyDescent="0.25">
      <c r="K582" s="1"/>
      <c r="L582" s="1"/>
    </row>
    <row r="583" spans="11:12" x14ac:dyDescent="0.25">
      <c r="K583" s="1"/>
    </row>
    <row r="584" spans="11:12" x14ac:dyDescent="0.25">
      <c r="K584" s="1"/>
    </row>
    <row r="585" spans="11:12" x14ac:dyDescent="0.25">
      <c r="K585" s="1"/>
    </row>
    <row r="586" spans="11:12" x14ac:dyDescent="0.25">
      <c r="K586" s="1"/>
    </row>
    <row r="587" spans="11:12" x14ac:dyDescent="0.25">
      <c r="K587" s="1"/>
    </row>
    <row r="588" spans="11:12" x14ac:dyDescent="0.25">
      <c r="K588" s="1"/>
    </row>
    <row r="589" spans="11:12" x14ac:dyDescent="0.25">
      <c r="K589" s="1"/>
    </row>
    <row r="590" spans="11:12" x14ac:dyDescent="0.25">
      <c r="K590" s="1"/>
    </row>
    <row r="591" spans="11:12" x14ac:dyDescent="0.25">
      <c r="K591" s="1"/>
    </row>
    <row r="592" spans="11:12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2" x14ac:dyDescent="0.25">
      <c r="K721" s="1"/>
    </row>
    <row r="722" spans="11:12" x14ac:dyDescent="0.25">
      <c r="K722" s="1"/>
    </row>
    <row r="723" spans="11:12" x14ac:dyDescent="0.25">
      <c r="K723" s="1"/>
    </row>
    <row r="724" spans="11:12" x14ac:dyDescent="0.25">
      <c r="K724" s="1"/>
    </row>
    <row r="725" spans="11:12" x14ac:dyDescent="0.25">
      <c r="K725" s="1"/>
    </row>
    <row r="726" spans="11:12" x14ac:dyDescent="0.25">
      <c r="K726" s="1"/>
    </row>
    <row r="727" spans="11:12" x14ac:dyDescent="0.25">
      <c r="K727" s="1"/>
    </row>
    <row r="728" spans="11:12" x14ac:dyDescent="0.25">
      <c r="K728" s="1"/>
    </row>
    <row r="729" spans="11:12" x14ac:dyDescent="0.25">
      <c r="K729" s="1"/>
    </row>
    <row r="730" spans="11:12" x14ac:dyDescent="0.25">
      <c r="K730" s="1"/>
    </row>
    <row r="731" spans="11:12" x14ac:dyDescent="0.25">
      <c r="K731" s="1"/>
    </row>
    <row r="732" spans="11:12" x14ac:dyDescent="0.25">
      <c r="K732" s="1"/>
    </row>
    <row r="733" spans="11:12" x14ac:dyDescent="0.25">
      <c r="K733" s="1"/>
      <c r="L733" s="1"/>
    </row>
    <row r="734" spans="11:12" x14ac:dyDescent="0.25">
      <c r="K734" s="1"/>
      <c r="L734" s="1"/>
    </row>
    <row r="735" spans="11:12" x14ac:dyDescent="0.25">
      <c r="K735" s="1"/>
    </row>
    <row r="736" spans="11:12" x14ac:dyDescent="0.25">
      <c r="K736" s="1"/>
    </row>
    <row r="737" spans="11:11" x14ac:dyDescent="0.25">
      <c r="K737" s="1"/>
    </row>
    <row r="738" spans="11:11" x14ac:dyDescent="0.25">
      <c r="K738" s="1"/>
    </row>
    <row r="739" spans="11:11" x14ac:dyDescent="0.25">
      <c r="K739" s="1"/>
    </row>
    <row r="740" spans="11:11" x14ac:dyDescent="0.25">
      <c r="K740" s="1"/>
    </row>
    <row r="741" spans="11:11" x14ac:dyDescent="0.25">
      <c r="K741" s="1"/>
    </row>
    <row r="742" spans="11:11" x14ac:dyDescent="0.25">
      <c r="K742" s="1"/>
    </row>
    <row r="743" spans="11:11" x14ac:dyDescent="0.25">
      <c r="K743" s="1"/>
    </row>
    <row r="744" spans="11:11" x14ac:dyDescent="0.25">
      <c r="K744" s="1"/>
    </row>
    <row r="745" spans="11:11" x14ac:dyDescent="0.25">
      <c r="K745" s="1"/>
    </row>
    <row r="746" spans="11:11" x14ac:dyDescent="0.25">
      <c r="K746" s="1"/>
    </row>
    <row r="747" spans="11:11" x14ac:dyDescent="0.25">
      <c r="K747" s="1"/>
    </row>
    <row r="748" spans="11:11" x14ac:dyDescent="0.25">
      <c r="K748" s="1"/>
    </row>
    <row r="749" spans="11:11" x14ac:dyDescent="0.25">
      <c r="K749" s="1"/>
    </row>
    <row r="750" spans="11:11" x14ac:dyDescent="0.25">
      <c r="K750" s="1"/>
    </row>
    <row r="751" spans="11:11" x14ac:dyDescent="0.25">
      <c r="K751" s="1"/>
    </row>
    <row r="752" spans="11:11" x14ac:dyDescent="0.25">
      <c r="K752" s="1"/>
    </row>
    <row r="753" spans="11:11" x14ac:dyDescent="0.25">
      <c r="K753" s="1"/>
    </row>
    <row r="754" spans="11:11" x14ac:dyDescent="0.25">
      <c r="K754" s="1"/>
    </row>
    <row r="755" spans="11:11" x14ac:dyDescent="0.25">
      <c r="K755" s="1"/>
    </row>
    <row r="756" spans="11:11" x14ac:dyDescent="0.25">
      <c r="K756" s="1"/>
    </row>
    <row r="757" spans="11:11" x14ac:dyDescent="0.25">
      <c r="K757" s="1"/>
    </row>
    <row r="758" spans="11:11" x14ac:dyDescent="0.25">
      <c r="K758" s="1"/>
    </row>
    <row r="759" spans="11:11" x14ac:dyDescent="0.25">
      <c r="K759" s="1"/>
    </row>
    <row r="760" spans="11:11" x14ac:dyDescent="0.25">
      <c r="K760" s="1"/>
    </row>
    <row r="761" spans="11:11" x14ac:dyDescent="0.25">
      <c r="K761" s="1"/>
    </row>
    <row r="762" spans="11:11" x14ac:dyDescent="0.25">
      <c r="K762" s="1"/>
    </row>
    <row r="763" spans="11:11" x14ac:dyDescent="0.25">
      <c r="K763" s="1"/>
    </row>
    <row r="764" spans="11:11" x14ac:dyDescent="0.25">
      <c r="K764" s="1"/>
    </row>
    <row r="765" spans="11:11" x14ac:dyDescent="0.25">
      <c r="K765" s="1"/>
    </row>
    <row r="766" spans="11:11" x14ac:dyDescent="0.25">
      <c r="K766" s="1"/>
    </row>
    <row r="767" spans="11:11" x14ac:dyDescent="0.25">
      <c r="K767" s="1"/>
    </row>
    <row r="768" spans="11:11" x14ac:dyDescent="0.25">
      <c r="K768" s="1"/>
    </row>
    <row r="769" spans="11:11" x14ac:dyDescent="0.25">
      <c r="K769" s="1"/>
    </row>
    <row r="770" spans="11:11" x14ac:dyDescent="0.25">
      <c r="K770" s="1"/>
    </row>
    <row r="771" spans="11:11" x14ac:dyDescent="0.25">
      <c r="K771" s="1"/>
    </row>
    <row r="772" spans="11:11" x14ac:dyDescent="0.25">
      <c r="K772" s="1"/>
    </row>
    <row r="773" spans="11:11" x14ac:dyDescent="0.25">
      <c r="K773" s="1"/>
    </row>
    <row r="774" spans="11:11" x14ac:dyDescent="0.25">
      <c r="K774" s="1"/>
    </row>
    <row r="775" spans="11:11" x14ac:dyDescent="0.25">
      <c r="K775" s="1"/>
    </row>
    <row r="776" spans="11:11" x14ac:dyDescent="0.25">
      <c r="K776" s="1"/>
    </row>
    <row r="777" spans="11:11" x14ac:dyDescent="0.25">
      <c r="K777" s="1"/>
    </row>
    <row r="778" spans="11:11" x14ac:dyDescent="0.25">
      <c r="K778" s="1"/>
    </row>
    <row r="779" spans="11:11" x14ac:dyDescent="0.25">
      <c r="K779" s="1"/>
    </row>
    <row r="780" spans="11:11" x14ac:dyDescent="0.25">
      <c r="K780" s="1"/>
    </row>
    <row r="781" spans="11:11" x14ac:dyDescent="0.25">
      <c r="K781" s="1"/>
    </row>
    <row r="782" spans="11:11" x14ac:dyDescent="0.25">
      <c r="K782" s="1"/>
    </row>
    <row r="783" spans="11:11" x14ac:dyDescent="0.25">
      <c r="K783" s="1"/>
    </row>
    <row r="784" spans="11:11" x14ac:dyDescent="0.25">
      <c r="K784" s="1"/>
    </row>
    <row r="785" spans="11:11" x14ac:dyDescent="0.25">
      <c r="K785" s="1"/>
    </row>
    <row r="786" spans="11:11" x14ac:dyDescent="0.25">
      <c r="K786" s="1"/>
    </row>
    <row r="787" spans="11:11" x14ac:dyDescent="0.25">
      <c r="K787" s="1"/>
    </row>
    <row r="788" spans="11:11" x14ac:dyDescent="0.25">
      <c r="K788" s="1"/>
    </row>
    <row r="789" spans="11:11" x14ac:dyDescent="0.25">
      <c r="K789" s="1"/>
    </row>
    <row r="790" spans="11:11" x14ac:dyDescent="0.25">
      <c r="K790" s="1"/>
    </row>
    <row r="791" spans="11:11" x14ac:dyDescent="0.25">
      <c r="K791" s="1"/>
    </row>
    <row r="792" spans="11:11" x14ac:dyDescent="0.25">
      <c r="K792" s="1"/>
    </row>
    <row r="793" spans="11:11" x14ac:dyDescent="0.25">
      <c r="K793" s="1"/>
    </row>
    <row r="794" spans="11:11" x14ac:dyDescent="0.25">
      <c r="K794" s="1"/>
    </row>
    <row r="795" spans="11:11" x14ac:dyDescent="0.25">
      <c r="K795" s="1"/>
    </row>
    <row r="796" spans="11:11" x14ac:dyDescent="0.25">
      <c r="K796" s="1"/>
    </row>
    <row r="797" spans="11:11" x14ac:dyDescent="0.25">
      <c r="K797" s="1"/>
    </row>
    <row r="798" spans="11:11" x14ac:dyDescent="0.25">
      <c r="K798" s="1"/>
    </row>
    <row r="799" spans="11:11" x14ac:dyDescent="0.25">
      <c r="K799" s="1"/>
    </row>
    <row r="800" spans="11:11" x14ac:dyDescent="0.25">
      <c r="K800" s="1"/>
    </row>
    <row r="801" spans="11:11" x14ac:dyDescent="0.25">
      <c r="K801" s="1"/>
    </row>
    <row r="802" spans="11:11" x14ac:dyDescent="0.25">
      <c r="K802" s="1"/>
    </row>
    <row r="803" spans="11:11" x14ac:dyDescent="0.25">
      <c r="K803" s="1"/>
    </row>
    <row r="804" spans="11:11" x14ac:dyDescent="0.25">
      <c r="K804" s="1"/>
    </row>
    <row r="805" spans="11:11" x14ac:dyDescent="0.25">
      <c r="K805" s="1"/>
    </row>
    <row r="806" spans="11:11" x14ac:dyDescent="0.25">
      <c r="K806" s="1"/>
    </row>
    <row r="807" spans="11:11" x14ac:dyDescent="0.25">
      <c r="K807" s="1"/>
    </row>
    <row r="808" spans="11:11" x14ac:dyDescent="0.25">
      <c r="K808" s="1"/>
    </row>
    <row r="809" spans="11:11" x14ac:dyDescent="0.25">
      <c r="K809" s="1"/>
    </row>
    <row r="810" spans="11:11" x14ac:dyDescent="0.25">
      <c r="K810" s="1"/>
    </row>
    <row r="811" spans="11:11" x14ac:dyDescent="0.25">
      <c r="K811" s="1"/>
    </row>
    <row r="812" spans="11:11" x14ac:dyDescent="0.25">
      <c r="K812" s="1"/>
    </row>
    <row r="813" spans="11:11" x14ac:dyDescent="0.25">
      <c r="K813" s="1"/>
    </row>
    <row r="814" spans="11:11" x14ac:dyDescent="0.25">
      <c r="K814" s="1"/>
    </row>
    <row r="815" spans="11:11" x14ac:dyDescent="0.25">
      <c r="K815" s="1"/>
    </row>
    <row r="816" spans="11:11" x14ac:dyDescent="0.25">
      <c r="K816" s="1"/>
    </row>
    <row r="817" spans="11:11" x14ac:dyDescent="0.25">
      <c r="K817" s="1"/>
    </row>
    <row r="818" spans="11:11" x14ac:dyDescent="0.25">
      <c r="K818" s="1"/>
    </row>
    <row r="819" spans="11:11" x14ac:dyDescent="0.25">
      <c r="K819" s="1"/>
    </row>
    <row r="820" spans="11:11" x14ac:dyDescent="0.25">
      <c r="K820" s="1"/>
    </row>
    <row r="821" spans="11:11" x14ac:dyDescent="0.25">
      <c r="K821" s="1"/>
    </row>
    <row r="822" spans="11:11" x14ac:dyDescent="0.25">
      <c r="K822" s="1"/>
    </row>
    <row r="823" spans="11:11" x14ac:dyDescent="0.25">
      <c r="K823" s="1"/>
    </row>
    <row r="824" spans="11:11" x14ac:dyDescent="0.25">
      <c r="K824" s="1"/>
    </row>
    <row r="825" spans="11:11" x14ac:dyDescent="0.25">
      <c r="K825" s="1"/>
    </row>
    <row r="826" spans="11:11" x14ac:dyDescent="0.25">
      <c r="K826" s="1"/>
    </row>
    <row r="827" spans="11:11" x14ac:dyDescent="0.25">
      <c r="K827" s="1"/>
    </row>
    <row r="828" spans="11:11" x14ac:dyDescent="0.25">
      <c r="K828" s="1"/>
    </row>
    <row r="829" spans="11:11" x14ac:dyDescent="0.25">
      <c r="K829" s="1"/>
    </row>
    <row r="830" spans="11:11" x14ac:dyDescent="0.25">
      <c r="K830" s="1"/>
    </row>
    <row r="831" spans="11:11" x14ac:dyDescent="0.25">
      <c r="K831" s="1"/>
    </row>
    <row r="832" spans="11:11" x14ac:dyDescent="0.25">
      <c r="K832" s="1"/>
    </row>
    <row r="833" spans="11:11" x14ac:dyDescent="0.25">
      <c r="K833" s="1"/>
    </row>
    <row r="834" spans="11:11" x14ac:dyDescent="0.25">
      <c r="K834" s="1"/>
    </row>
    <row r="835" spans="11:11" x14ac:dyDescent="0.25">
      <c r="K835" s="1"/>
    </row>
    <row r="836" spans="11:11" x14ac:dyDescent="0.25">
      <c r="K836" s="1"/>
    </row>
    <row r="837" spans="11:11" x14ac:dyDescent="0.25">
      <c r="K837" s="1"/>
    </row>
    <row r="838" spans="11:11" x14ac:dyDescent="0.25">
      <c r="K838" s="1"/>
    </row>
    <row r="839" spans="11:11" x14ac:dyDescent="0.25">
      <c r="K839" s="1"/>
    </row>
    <row r="840" spans="11:11" x14ac:dyDescent="0.25">
      <c r="K840" s="1"/>
    </row>
    <row r="841" spans="11:11" x14ac:dyDescent="0.25">
      <c r="K841" s="1"/>
    </row>
    <row r="842" spans="11:11" x14ac:dyDescent="0.25">
      <c r="K842" s="1"/>
    </row>
    <row r="843" spans="11:11" x14ac:dyDescent="0.25">
      <c r="K843" s="1"/>
    </row>
    <row r="844" spans="11:11" x14ac:dyDescent="0.25">
      <c r="K844" s="1"/>
    </row>
    <row r="845" spans="11:11" x14ac:dyDescent="0.25">
      <c r="K845" s="1"/>
    </row>
    <row r="846" spans="11:11" x14ac:dyDescent="0.25">
      <c r="K846" s="1"/>
    </row>
    <row r="847" spans="11:11" x14ac:dyDescent="0.25">
      <c r="K847" s="1"/>
    </row>
    <row r="848" spans="11:11" x14ac:dyDescent="0.25">
      <c r="K848" s="1"/>
    </row>
    <row r="849" spans="11:11" x14ac:dyDescent="0.25">
      <c r="K849" s="1"/>
    </row>
    <row r="850" spans="11:11" x14ac:dyDescent="0.25">
      <c r="K850" s="1"/>
    </row>
    <row r="851" spans="11:11" x14ac:dyDescent="0.25">
      <c r="K851" s="1"/>
    </row>
    <row r="852" spans="11:11" x14ac:dyDescent="0.25">
      <c r="K852" s="1"/>
    </row>
    <row r="853" spans="11:11" x14ac:dyDescent="0.25">
      <c r="K853" s="1"/>
    </row>
    <row r="854" spans="11:11" x14ac:dyDescent="0.25">
      <c r="K854" s="1"/>
    </row>
    <row r="855" spans="11:11" x14ac:dyDescent="0.25">
      <c r="K855" s="1"/>
    </row>
    <row r="856" spans="11:11" x14ac:dyDescent="0.25">
      <c r="K856" s="1"/>
    </row>
    <row r="857" spans="11:11" x14ac:dyDescent="0.25">
      <c r="K857" s="1"/>
    </row>
    <row r="858" spans="11:11" x14ac:dyDescent="0.25">
      <c r="K858" s="1"/>
    </row>
    <row r="859" spans="11:11" x14ac:dyDescent="0.25">
      <c r="K859" s="1"/>
    </row>
    <row r="860" spans="11:11" x14ac:dyDescent="0.25">
      <c r="K860" s="1"/>
    </row>
    <row r="861" spans="11:11" x14ac:dyDescent="0.25">
      <c r="K861" s="1"/>
    </row>
    <row r="862" spans="11:11" x14ac:dyDescent="0.25">
      <c r="K862" s="1"/>
    </row>
    <row r="863" spans="11:11" x14ac:dyDescent="0.25">
      <c r="K863" s="1"/>
    </row>
    <row r="864" spans="11:11" x14ac:dyDescent="0.25">
      <c r="K864" s="1"/>
    </row>
    <row r="865" spans="11:11" x14ac:dyDescent="0.25">
      <c r="K865" s="1"/>
    </row>
    <row r="866" spans="11:11" x14ac:dyDescent="0.25">
      <c r="K866" s="1"/>
    </row>
    <row r="867" spans="11:11" x14ac:dyDescent="0.25">
      <c r="K867" s="1"/>
    </row>
    <row r="868" spans="11:11" x14ac:dyDescent="0.25">
      <c r="K868" s="1"/>
    </row>
    <row r="869" spans="11:11" x14ac:dyDescent="0.25">
      <c r="K869" s="1"/>
    </row>
    <row r="870" spans="11:11" x14ac:dyDescent="0.25">
      <c r="K870" s="1"/>
    </row>
    <row r="871" spans="11:11" x14ac:dyDescent="0.25">
      <c r="K871" s="1"/>
    </row>
    <row r="872" spans="11:11" x14ac:dyDescent="0.25">
      <c r="K872" s="1"/>
    </row>
    <row r="873" spans="11:11" x14ac:dyDescent="0.25">
      <c r="K873" s="1"/>
    </row>
    <row r="874" spans="11:11" x14ac:dyDescent="0.25">
      <c r="K874" s="1"/>
    </row>
    <row r="875" spans="11:11" x14ac:dyDescent="0.25">
      <c r="K875" s="1"/>
    </row>
    <row r="876" spans="11:11" x14ac:dyDescent="0.25">
      <c r="K876" s="1"/>
    </row>
    <row r="877" spans="11:11" x14ac:dyDescent="0.25">
      <c r="K877" s="1"/>
    </row>
    <row r="878" spans="11:11" x14ac:dyDescent="0.25">
      <c r="K878" s="1"/>
    </row>
    <row r="879" spans="11:11" x14ac:dyDescent="0.25">
      <c r="K879" s="1"/>
    </row>
    <row r="880" spans="11:11" x14ac:dyDescent="0.25">
      <c r="K880" s="1"/>
    </row>
    <row r="881" spans="11:11" x14ac:dyDescent="0.25">
      <c r="K881" s="1"/>
    </row>
    <row r="882" spans="11:11" x14ac:dyDescent="0.25">
      <c r="K882" s="1"/>
    </row>
    <row r="883" spans="11:11" x14ac:dyDescent="0.25">
      <c r="K883" s="1"/>
    </row>
    <row r="884" spans="11:11" x14ac:dyDescent="0.25">
      <c r="K884" s="1"/>
    </row>
    <row r="885" spans="11:11" x14ac:dyDescent="0.25">
      <c r="K885" s="1"/>
    </row>
    <row r="886" spans="11:11" x14ac:dyDescent="0.25">
      <c r="K886" s="1"/>
    </row>
    <row r="887" spans="11:11" x14ac:dyDescent="0.25">
      <c r="K887" s="1"/>
    </row>
    <row r="888" spans="11:11" x14ac:dyDescent="0.25">
      <c r="K888" s="1"/>
    </row>
    <row r="889" spans="11:11" x14ac:dyDescent="0.25">
      <c r="K889" s="1"/>
    </row>
    <row r="890" spans="11:11" x14ac:dyDescent="0.25">
      <c r="K890" s="1"/>
    </row>
    <row r="891" spans="11:11" x14ac:dyDescent="0.25">
      <c r="K891" s="1"/>
    </row>
    <row r="892" spans="11:11" x14ac:dyDescent="0.25">
      <c r="K892" s="1"/>
    </row>
    <row r="893" spans="11:11" x14ac:dyDescent="0.25">
      <c r="K893" s="1"/>
    </row>
    <row r="894" spans="11:11" x14ac:dyDescent="0.25">
      <c r="K894" s="1"/>
    </row>
    <row r="895" spans="11:11" x14ac:dyDescent="0.25">
      <c r="K895" s="1"/>
    </row>
    <row r="896" spans="11:11" x14ac:dyDescent="0.25">
      <c r="K896" s="1"/>
    </row>
    <row r="897" spans="11:11" x14ac:dyDescent="0.25">
      <c r="K897" s="1"/>
    </row>
    <row r="898" spans="11:11" x14ac:dyDescent="0.25">
      <c r="K898" s="1"/>
    </row>
    <row r="899" spans="11:11" x14ac:dyDescent="0.25">
      <c r="K899" s="1"/>
    </row>
    <row r="900" spans="11:11" x14ac:dyDescent="0.25">
      <c r="K900" s="1"/>
    </row>
    <row r="901" spans="11:11" x14ac:dyDescent="0.25">
      <c r="K901" s="1"/>
    </row>
    <row r="902" spans="11:11" x14ac:dyDescent="0.25">
      <c r="K902" s="1"/>
    </row>
    <row r="903" spans="11:11" x14ac:dyDescent="0.25">
      <c r="K903" s="1"/>
    </row>
    <row r="904" spans="11:11" x14ac:dyDescent="0.25">
      <c r="K904" s="1"/>
    </row>
    <row r="905" spans="11:11" x14ac:dyDescent="0.25">
      <c r="K905" s="1"/>
    </row>
    <row r="906" spans="11:11" x14ac:dyDescent="0.25">
      <c r="K906" s="1"/>
    </row>
    <row r="907" spans="11:11" x14ac:dyDescent="0.25">
      <c r="K907" s="1"/>
    </row>
    <row r="908" spans="11:11" x14ac:dyDescent="0.25">
      <c r="K908" s="1"/>
    </row>
    <row r="909" spans="11:11" x14ac:dyDescent="0.25">
      <c r="K909" s="1"/>
    </row>
    <row r="910" spans="11:11" x14ac:dyDescent="0.25">
      <c r="K910" s="1"/>
    </row>
    <row r="911" spans="11:11" x14ac:dyDescent="0.25">
      <c r="K911" s="1"/>
    </row>
    <row r="912" spans="11:11" x14ac:dyDescent="0.25">
      <c r="K912" s="1"/>
    </row>
    <row r="913" spans="11:11" x14ac:dyDescent="0.25">
      <c r="K913" s="1"/>
    </row>
    <row r="914" spans="11:11" x14ac:dyDescent="0.25">
      <c r="K914" s="1"/>
    </row>
    <row r="915" spans="11:11" x14ac:dyDescent="0.25">
      <c r="K915" s="1"/>
    </row>
    <row r="916" spans="11:11" x14ac:dyDescent="0.25">
      <c r="K916" s="1"/>
    </row>
    <row r="917" spans="11:11" x14ac:dyDescent="0.25">
      <c r="K917" s="1"/>
    </row>
    <row r="918" spans="11:11" x14ac:dyDescent="0.25">
      <c r="K918" s="1"/>
    </row>
    <row r="919" spans="11:11" x14ac:dyDescent="0.25">
      <c r="K919" s="1"/>
    </row>
    <row r="920" spans="11:11" x14ac:dyDescent="0.25">
      <c r="K920" s="1"/>
    </row>
    <row r="921" spans="11:11" x14ac:dyDescent="0.25">
      <c r="K921" s="1"/>
    </row>
    <row r="922" spans="11:11" x14ac:dyDescent="0.25">
      <c r="K922" s="1"/>
    </row>
    <row r="923" spans="11:11" x14ac:dyDescent="0.25">
      <c r="K923" s="1"/>
    </row>
    <row r="924" spans="11:11" x14ac:dyDescent="0.25">
      <c r="K924" s="1"/>
    </row>
    <row r="925" spans="11:11" x14ac:dyDescent="0.25">
      <c r="K925" s="1"/>
    </row>
    <row r="926" spans="11:11" x14ac:dyDescent="0.25">
      <c r="K926" s="1"/>
    </row>
    <row r="927" spans="11:11" x14ac:dyDescent="0.25">
      <c r="K927" s="1"/>
    </row>
    <row r="928" spans="11:11" x14ac:dyDescent="0.25">
      <c r="K928" s="1"/>
    </row>
    <row r="929" spans="11:11" x14ac:dyDescent="0.25">
      <c r="K929" s="1"/>
    </row>
    <row r="930" spans="11:11" x14ac:dyDescent="0.25">
      <c r="K930" s="1"/>
    </row>
    <row r="931" spans="11:11" x14ac:dyDescent="0.25">
      <c r="K931" s="1"/>
    </row>
    <row r="932" spans="11:11" x14ac:dyDescent="0.25">
      <c r="K932" s="1"/>
    </row>
    <row r="933" spans="11:11" x14ac:dyDescent="0.25">
      <c r="K933" s="1"/>
    </row>
    <row r="934" spans="11:11" x14ac:dyDescent="0.25">
      <c r="K934" s="1"/>
    </row>
    <row r="935" spans="11:11" x14ac:dyDescent="0.25">
      <c r="K935" s="1"/>
    </row>
    <row r="936" spans="11:11" x14ac:dyDescent="0.25">
      <c r="K936" s="1"/>
    </row>
    <row r="937" spans="11:11" x14ac:dyDescent="0.25">
      <c r="K937" s="1"/>
    </row>
    <row r="938" spans="11:11" x14ac:dyDescent="0.25">
      <c r="K938" s="1"/>
    </row>
    <row r="939" spans="11:11" x14ac:dyDescent="0.25">
      <c r="K939" s="1"/>
    </row>
    <row r="940" spans="11:11" x14ac:dyDescent="0.25">
      <c r="K940" s="1"/>
    </row>
    <row r="941" spans="11:11" x14ac:dyDescent="0.25">
      <c r="K941" s="1"/>
    </row>
    <row r="942" spans="11:11" x14ac:dyDescent="0.25">
      <c r="K942" s="1"/>
    </row>
    <row r="943" spans="11:11" x14ac:dyDescent="0.25">
      <c r="K943" s="1"/>
    </row>
    <row r="944" spans="11:11" x14ac:dyDescent="0.25">
      <c r="K944" s="1"/>
    </row>
    <row r="945" spans="11:11" x14ac:dyDescent="0.25">
      <c r="K945" s="1"/>
    </row>
    <row r="946" spans="11:11" x14ac:dyDescent="0.25">
      <c r="K946" s="1"/>
    </row>
    <row r="947" spans="11:11" x14ac:dyDescent="0.25">
      <c r="K947" s="1"/>
    </row>
    <row r="948" spans="11:11" x14ac:dyDescent="0.25">
      <c r="K948" s="1"/>
    </row>
    <row r="949" spans="11:11" x14ac:dyDescent="0.25">
      <c r="K949" s="1"/>
    </row>
    <row r="950" spans="11:11" x14ac:dyDescent="0.25">
      <c r="K950" s="1"/>
    </row>
    <row r="951" spans="11:11" x14ac:dyDescent="0.25">
      <c r="K951" s="1"/>
    </row>
    <row r="952" spans="11:11" x14ac:dyDescent="0.25">
      <c r="K952" s="1"/>
    </row>
    <row r="953" spans="11:11" x14ac:dyDescent="0.25">
      <c r="K953" s="1"/>
    </row>
    <row r="954" spans="11:11" x14ac:dyDescent="0.25">
      <c r="K954" s="1"/>
    </row>
    <row r="955" spans="11:11" x14ac:dyDescent="0.25">
      <c r="K955" s="1"/>
    </row>
    <row r="956" spans="11:11" x14ac:dyDescent="0.25">
      <c r="K956" s="1"/>
    </row>
    <row r="957" spans="11:11" x14ac:dyDescent="0.25">
      <c r="K957" s="1"/>
    </row>
    <row r="958" spans="11:11" x14ac:dyDescent="0.25">
      <c r="K958" s="1"/>
    </row>
    <row r="959" spans="11:11" x14ac:dyDescent="0.25">
      <c r="K959" s="1"/>
    </row>
    <row r="960" spans="11:11" x14ac:dyDescent="0.25">
      <c r="K960" s="1"/>
    </row>
    <row r="961" spans="11:11" x14ac:dyDescent="0.25">
      <c r="K961" s="1"/>
    </row>
    <row r="962" spans="11:11" x14ac:dyDescent="0.25">
      <c r="K962" s="1"/>
    </row>
    <row r="963" spans="11:11" x14ac:dyDescent="0.25">
      <c r="K963" s="1"/>
    </row>
    <row r="964" spans="11:11" x14ac:dyDescent="0.25">
      <c r="K964" s="1"/>
    </row>
    <row r="965" spans="11:11" x14ac:dyDescent="0.25">
      <c r="K965" s="1"/>
    </row>
    <row r="966" spans="11:11" x14ac:dyDescent="0.25">
      <c r="K966" s="1"/>
    </row>
    <row r="967" spans="11:11" x14ac:dyDescent="0.25">
      <c r="K967" s="1"/>
    </row>
    <row r="968" spans="11:11" x14ac:dyDescent="0.25">
      <c r="K968" s="1"/>
    </row>
    <row r="969" spans="11:11" x14ac:dyDescent="0.25">
      <c r="K969" s="1"/>
    </row>
    <row r="970" spans="11:11" x14ac:dyDescent="0.25">
      <c r="K970" s="1"/>
    </row>
    <row r="971" spans="11:11" x14ac:dyDescent="0.25">
      <c r="K971" s="1"/>
    </row>
    <row r="972" spans="11:11" x14ac:dyDescent="0.25">
      <c r="K972" s="1"/>
    </row>
    <row r="973" spans="11:11" x14ac:dyDescent="0.25">
      <c r="K973" s="1"/>
    </row>
    <row r="974" spans="11:11" x14ac:dyDescent="0.25">
      <c r="K974" s="1"/>
    </row>
    <row r="975" spans="11:11" x14ac:dyDescent="0.25">
      <c r="K975" s="1"/>
    </row>
    <row r="976" spans="11:11" x14ac:dyDescent="0.25">
      <c r="K976" s="1"/>
    </row>
    <row r="977" spans="11:12" x14ac:dyDescent="0.25">
      <c r="K977" s="1"/>
    </row>
    <row r="978" spans="11:12" x14ac:dyDescent="0.25">
      <c r="K978" s="1"/>
    </row>
    <row r="979" spans="11:12" x14ac:dyDescent="0.25">
      <c r="K979" s="1"/>
    </row>
    <row r="980" spans="11:12" x14ac:dyDescent="0.25">
      <c r="K980" s="1"/>
    </row>
    <row r="981" spans="11:12" x14ac:dyDescent="0.25">
      <c r="K981" s="1"/>
    </row>
    <row r="982" spans="11:12" x14ac:dyDescent="0.25">
      <c r="K982" s="1"/>
    </row>
    <row r="983" spans="11:12" x14ac:dyDescent="0.25">
      <c r="K983" s="1"/>
      <c r="L983" s="1"/>
    </row>
    <row r="984" spans="11:12" x14ac:dyDescent="0.25">
      <c r="K984" s="1"/>
      <c r="L984" s="1"/>
    </row>
    <row r="985" spans="11:12" x14ac:dyDescent="0.25">
      <c r="K985" s="1"/>
    </row>
    <row r="986" spans="11:12" x14ac:dyDescent="0.25">
      <c r="K986" s="1"/>
    </row>
    <row r="987" spans="11:12" x14ac:dyDescent="0.25">
      <c r="K987" s="1"/>
    </row>
    <row r="988" spans="11:12" x14ac:dyDescent="0.25">
      <c r="K988" s="1"/>
    </row>
    <row r="989" spans="11:12" x14ac:dyDescent="0.25">
      <c r="K989" s="1"/>
    </row>
    <row r="990" spans="11:12" x14ac:dyDescent="0.25">
      <c r="K990" s="1"/>
    </row>
    <row r="991" spans="11:12" x14ac:dyDescent="0.25">
      <c r="K991" s="1"/>
    </row>
    <row r="992" spans="11:12" x14ac:dyDescent="0.25">
      <c r="K992" s="1"/>
    </row>
    <row r="993" spans="11:11" x14ac:dyDescent="0.25">
      <c r="K993" s="1"/>
    </row>
    <row r="994" spans="11:11" x14ac:dyDescent="0.25">
      <c r="K994" s="1"/>
    </row>
    <row r="995" spans="11:11" x14ac:dyDescent="0.25">
      <c r="K995" s="1"/>
    </row>
    <row r="996" spans="11:11" x14ac:dyDescent="0.25">
      <c r="K996" s="1"/>
    </row>
    <row r="997" spans="11:11" x14ac:dyDescent="0.25">
      <c r="K997" s="1"/>
    </row>
    <row r="998" spans="11:11" x14ac:dyDescent="0.25">
      <c r="K998" s="1"/>
    </row>
    <row r="999" spans="11:11" x14ac:dyDescent="0.25">
      <c r="K999" s="1"/>
    </row>
    <row r="1000" spans="11:11" x14ac:dyDescent="0.25">
      <c r="K1000" s="1"/>
    </row>
    <row r="1001" spans="11:11" x14ac:dyDescent="0.25">
      <c r="K1001" s="1"/>
    </row>
    <row r="1002" spans="11:11" x14ac:dyDescent="0.25">
      <c r="K1002" s="1"/>
    </row>
    <row r="1003" spans="11:11" x14ac:dyDescent="0.25">
      <c r="K1003" s="1"/>
    </row>
    <row r="1004" spans="11:11" x14ac:dyDescent="0.25">
      <c r="K1004" s="1"/>
    </row>
    <row r="1005" spans="11:11" x14ac:dyDescent="0.25">
      <c r="K1005" s="1"/>
    </row>
    <row r="1006" spans="11:11" x14ac:dyDescent="0.25">
      <c r="K1006" s="1"/>
    </row>
    <row r="1007" spans="11:11" x14ac:dyDescent="0.25">
      <c r="K1007" s="1"/>
    </row>
    <row r="1008" spans="11:11" x14ac:dyDescent="0.25">
      <c r="K1008" s="1"/>
    </row>
    <row r="1009" spans="11:11" x14ac:dyDescent="0.25">
      <c r="K1009" s="1"/>
    </row>
    <row r="1010" spans="11:11" x14ac:dyDescent="0.25">
      <c r="K1010" s="1"/>
    </row>
    <row r="1011" spans="11:11" x14ac:dyDescent="0.25">
      <c r="K1011" s="1"/>
    </row>
    <row r="1012" spans="11:11" x14ac:dyDescent="0.25">
      <c r="K1012" s="1"/>
    </row>
    <row r="1013" spans="11:11" x14ac:dyDescent="0.25">
      <c r="K1013" s="1"/>
    </row>
    <row r="1014" spans="11:11" x14ac:dyDescent="0.25">
      <c r="K1014" s="1"/>
    </row>
    <row r="1015" spans="11:11" x14ac:dyDescent="0.25">
      <c r="K1015" s="1"/>
    </row>
    <row r="1016" spans="11:11" x14ac:dyDescent="0.25">
      <c r="K1016" s="1"/>
    </row>
    <row r="1017" spans="11:11" x14ac:dyDescent="0.25">
      <c r="K1017" s="1"/>
    </row>
    <row r="1018" spans="11:11" x14ac:dyDescent="0.25">
      <c r="K1018" s="1"/>
    </row>
    <row r="1019" spans="11:11" x14ac:dyDescent="0.25">
      <c r="K1019" s="1"/>
    </row>
    <row r="1020" spans="11:11" x14ac:dyDescent="0.25">
      <c r="K1020" s="1"/>
    </row>
    <row r="1021" spans="11:11" x14ac:dyDescent="0.25">
      <c r="K1021" s="1"/>
    </row>
    <row r="1022" spans="11:11" x14ac:dyDescent="0.25">
      <c r="K1022" s="1"/>
    </row>
    <row r="1023" spans="11:11" x14ac:dyDescent="0.25">
      <c r="K1023" s="1"/>
    </row>
    <row r="1024" spans="11:11" x14ac:dyDescent="0.25">
      <c r="K1024" s="1"/>
    </row>
    <row r="1025" spans="11:11" x14ac:dyDescent="0.25">
      <c r="K1025" s="1"/>
    </row>
    <row r="1026" spans="11:11" x14ac:dyDescent="0.25">
      <c r="K1026" s="1"/>
    </row>
    <row r="1027" spans="11:11" x14ac:dyDescent="0.25">
      <c r="K1027" s="1"/>
    </row>
    <row r="1028" spans="11:11" x14ac:dyDescent="0.25">
      <c r="K1028" s="1"/>
    </row>
    <row r="1029" spans="11:11" x14ac:dyDescent="0.25">
      <c r="K1029" s="1"/>
    </row>
    <row r="1030" spans="11:11" x14ac:dyDescent="0.25">
      <c r="K1030" s="1"/>
    </row>
    <row r="1031" spans="11:11" x14ac:dyDescent="0.25">
      <c r="K1031" s="1"/>
    </row>
    <row r="1032" spans="11:11" x14ac:dyDescent="0.25">
      <c r="K1032" s="1"/>
    </row>
    <row r="1033" spans="11:11" x14ac:dyDescent="0.25">
      <c r="K1033" s="1"/>
    </row>
    <row r="1034" spans="11:11" x14ac:dyDescent="0.25">
      <c r="K1034" s="1"/>
    </row>
    <row r="1035" spans="11:11" x14ac:dyDescent="0.25">
      <c r="K1035" s="1"/>
    </row>
    <row r="1036" spans="11:11" x14ac:dyDescent="0.25">
      <c r="K1036" s="1"/>
    </row>
    <row r="1037" spans="11:11" x14ac:dyDescent="0.25">
      <c r="K1037" s="1"/>
    </row>
    <row r="1038" spans="11:11" x14ac:dyDescent="0.25">
      <c r="K1038" s="1"/>
    </row>
    <row r="1039" spans="11:11" x14ac:dyDescent="0.25">
      <c r="K1039" s="1"/>
    </row>
    <row r="1040" spans="11:11" x14ac:dyDescent="0.25">
      <c r="K1040" s="1"/>
    </row>
    <row r="1041" spans="11:11" x14ac:dyDescent="0.25">
      <c r="K1041" s="1"/>
    </row>
    <row r="1042" spans="11:11" x14ac:dyDescent="0.25">
      <c r="K1042" s="1"/>
    </row>
    <row r="1043" spans="11:11" x14ac:dyDescent="0.25">
      <c r="K1043" s="1"/>
    </row>
    <row r="1044" spans="11:11" x14ac:dyDescent="0.25">
      <c r="K1044" s="1"/>
    </row>
    <row r="1045" spans="11:11" x14ac:dyDescent="0.25">
      <c r="K1045" s="1"/>
    </row>
    <row r="1046" spans="11:11" x14ac:dyDescent="0.25">
      <c r="K1046" s="1"/>
    </row>
    <row r="1047" spans="11:11" x14ac:dyDescent="0.25">
      <c r="K1047" s="1"/>
    </row>
    <row r="1048" spans="11:11" x14ac:dyDescent="0.25">
      <c r="K1048" s="1"/>
    </row>
    <row r="1049" spans="11:11" x14ac:dyDescent="0.25">
      <c r="K1049" s="1"/>
    </row>
    <row r="1050" spans="11:11" x14ac:dyDescent="0.25">
      <c r="K1050" s="1"/>
    </row>
    <row r="1051" spans="11:11" x14ac:dyDescent="0.25">
      <c r="K1051" s="1"/>
    </row>
    <row r="1052" spans="11:11" x14ac:dyDescent="0.25">
      <c r="K1052" s="1"/>
    </row>
    <row r="1053" spans="11:11" x14ac:dyDescent="0.25">
      <c r="K1053" s="1"/>
    </row>
    <row r="1054" spans="11:11" x14ac:dyDescent="0.25">
      <c r="K1054" s="1"/>
    </row>
    <row r="1055" spans="11:11" x14ac:dyDescent="0.25">
      <c r="K1055" s="1"/>
    </row>
    <row r="1056" spans="11:11" x14ac:dyDescent="0.25">
      <c r="K1056" s="1"/>
    </row>
    <row r="1057" spans="11:11" x14ac:dyDescent="0.25">
      <c r="K1057" s="1"/>
    </row>
    <row r="1058" spans="11:11" x14ac:dyDescent="0.25">
      <c r="K1058" s="1"/>
    </row>
    <row r="1059" spans="11:11" x14ac:dyDescent="0.25">
      <c r="K1059" s="1"/>
    </row>
    <row r="1060" spans="11:11" x14ac:dyDescent="0.25">
      <c r="K1060" s="1"/>
    </row>
    <row r="1061" spans="11:11" x14ac:dyDescent="0.25">
      <c r="K1061" s="1"/>
    </row>
    <row r="1062" spans="11:11" x14ac:dyDescent="0.25">
      <c r="K1062" s="1"/>
    </row>
    <row r="1063" spans="11:11" x14ac:dyDescent="0.25">
      <c r="K1063" s="1"/>
    </row>
    <row r="1064" spans="11:11" x14ac:dyDescent="0.25">
      <c r="K1064" s="1"/>
    </row>
    <row r="1065" spans="11:11" x14ac:dyDescent="0.25">
      <c r="K1065" s="1"/>
    </row>
    <row r="1066" spans="11:11" x14ac:dyDescent="0.25">
      <c r="K1066" s="1"/>
    </row>
    <row r="1067" spans="11:11" x14ac:dyDescent="0.25">
      <c r="K1067" s="1"/>
    </row>
    <row r="1068" spans="11:11" x14ac:dyDescent="0.25">
      <c r="K1068" s="1"/>
    </row>
    <row r="1069" spans="11:11" x14ac:dyDescent="0.25">
      <c r="K1069" s="1"/>
    </row>
    <row r="1070" spans="11:11" x14ac:dyDescent="0.25">
      <c r="K1070" s="1"/>
    </row>
    <row r="1071" spans="11:11" x14ac:dyDescent="0.25">
      <c r="K1071" s="1"/>
    </row>
    <row r="1072" spans="11:11" x14ac:dyDescent="0.25">
      <c r="K1072" s="1"/>
    </row>
    <row r="1073" spans="11:11" x14ac:dyDescent="0.25">
      <c r="K1073" s="1"/>
    </row>
    <row r="1074" spans="11:11" x14ac:dyDescent="0.25">
      <c r="K1074" s="1"/>
    </row>
    <row r="1075" spans="11:11" x14ac:dyDescent="0.25">
      <c r="K1075" s="1"/>
    </row>
    <row r="1076" spans="11:11" x14ac:dyDescent="0.25">
      <c r="K1076" s="1"/>
    </row>
    <row r="1077" spans="11:11" x14ac:dyDescent="0.25">
      <c r="K1077" s="1"/>
    </row>
    <row r="1078" spans="11:11" x14ac:dyDescent="0.25">
      <c r="K1078" s="1"/>
    </row>
    <row r="1079" spans="11:11" x14ac:dyDescent="0.25">
      <c r="K1079" s="1"/>
    </row>
    <row r="1080" spans="11:11" x14ac:dyDescent="0.25">
      <c r="K1080" s="1"/>
    </row>
    <row r="1081" spans="11:11" x14ac:dyDescent="0.25">
      <c r="K1081" s="1"/>
    </row>
    <row r="1082" spans="11:11" x14ac:dyDescent="0.25">
      <c r="K1082" s="1"/>
    </row>
    <row r="1083" spans="11:11" x14ac:dyDescent="0.25">
      <c r="K1083" s="1"/>
    </row>
    <row r="1084" spans="11:11" x14ac:dyDescent="0.25">
      <c r="K1084" s="1"/>
    </row>
    <row r="1085" spans="11:11" x14ac:dyDescent="0.25">
      <c r="K1085" s="1"/>
    </row>
    <row r="1086" spans="11:11" x14ac:dyDescent="0.25">
      <c r="K1086" s="1"/>
    </row>
    <row r="1087" spans="11:11" x14ac:dyDescent="0.25">
      <c r="K1087" s="1"/>
    </row>
    <row r="1088" spans="11:11" x14ac:dyDescent="0.25">
      <c r="K1088" s="1"/>
    </row>
    <row r="1089" spans="11:11" x14ac:dyDescent="0.25">
      <c r="K1089" s="1"/>
    </row>
    <row r="1090" spans="11:11" x14ac:dyDescent="0.25">
      <c r="K1090" s="1"/>
    </row>
    <row r="1091" spans="11:11" x14ac:dyDescent="0.25">
      <c r="K1091" s="1"/>
    </row>
    <row r="1092" spans="11:11" x14ac:dyDescent="0.25">
      <c r="K1092" s="1"/>
    </row>
    <row r="1093" spans="11:11" x14ac:dyDescent="0.25">
      <c r="K1093" s="1"/>
    </row>
    <row r="1094" spans="11:11" x14ac:dyDescent="0.25">
      <c r="K1094" s="1"/>
    </row>
    <row r="1095" spans="11:11" x14ac:dyDescent="0.25">
      <c r="K1095" s="1"/>
    </row>
    <row r="1096" spans="11:11" x14ac:dyDescent="0.25">
      <c r="K1096" s="1"/>
    </row>
    <row r="1097" spans="11:11" x14ac:dyDescent="0.25">
      <c r="K1097" s="1"/>
    </row>
    <row r="1098" spans="11:11" x14ac:dyDescent="0.25">
      <c r="K1098" s="1"/>
    </row>
    <row r="1099" spans="11:11" x14ac:dyDescent="0.25">
      <c r="K1099" s="1"/>
    </row>
    <row r="1100" spans="11:11" x14ac:dyDescent="0.25">
      <c r="K1100" s="1"/>
    </row>
    <row r="1101" spans="11:11" x14ac:dyDescent="0.25">
      <c r="K1101" s="1"/>
    </row>
    <row r="1102" spans="11:11" x14ac:dyDescent="0.25">
      <c r="K1102" s="1"/>
    </row>
    <row r="1103" spans="11:11" x14ac:dyDescent="0.25">
      <c r="K1103" s="1"/>
    </row>
    <row r="1104" spans="11:11" x14ac:dyDescent="0.25">
      <c r="K1104" s="1"/>
    </row>
    <row r="1105" spans="11:11" x14ac:dyDescent="0.25">
      <c r="K1105" s="1"/>
    </row>
    <row r="1106" spans="11:11" x14ac:dyDescent="0.25">
      <c r="K1106" s="1"/>
    </row>
    <row r="1107" spans="11:11" x14ac:dyDescent="0.25">
      <c r="K1107" s="1"/>
    </row>
    <row r="1108" spans="11:11" x14ac:dyDescent="0.25">
      <c r="K1108" s="1"/>
    </row>
    <row r="1109" spans="11:11" x14ac:dyDescent="0.25">
      <c r="K1109" s="1"/>
    </row>
    <row r="1110" spans="11:11" x14ac:dyDescent="0.25">
      <c r="K1110" s="1"/>
    </row>
    <row r="1111" spans="11:11" x14ac:dyDescent="0.25">
      <c r="K1111" s="1"/>
    </row>
    <row r="1112" spans="11:11" x14ac:dyDescent="0.25">
      <c r="K1112" s="1"/>
    </row>
    <row r="1113" spans="11:11" x14ac:dyDescent="0.25">
      <c r="K1113" s="1"/>
    </row>
    <row r="1114" spans="11:11" x14ac:dyDescent="0.25">
      <c r="K1114" s="1"/>
    </row>
    <row r="1115" spans="11:11" x14ac:dyDescent="0.25">
      <c r="K1115" s="1"/>
    </row>
    <row r="1116" spans="11:11" x14ac:dyDescent="0.25">
      <c r="K1116" s="1"/>
    </row>
    <row r="1117" spans="11:11" x14ac:dyDescent="0.25">
      <c r="K1117" s="1"/>
    </row>
    <row r="1118" spans="11:11" x14ac:dyDescent="0.25">
      <c r="K1118" s="1"/>
    </row>
    <row r="1119" spans="11:11" x14ac:dyDescent="0.25">
      <c r="K1119" s="1"/>
    </row>
    <row r="1120" spans="11:11" x14ac:dyDescent="0.25">
      <c r="K1120" s="1"/>
    </row>
    <row r="1121" spans="11:11" x14ac:dyDescent="0.25">
      <c r="K1121" s="1"/>
    </row>
    <row r="1122" spans="11:11" x14ac:dyDescent="0.25">
      <c r="K1122" s="1"/>
    </row>
    <row r="1123" spans="11:11" x14ac:dyDescent="0.25">
      <c r="K1123" s="1"/>
    </row>
    <row r="1124" spans="11:11" x14ac:dyDescent="0.25">
      <c r="K1124" s="1"/>
    </row>
    <row r="1125" spans="11:11" x14ac:dyDescent="0.25">
      <c r="K1125" s="1"/>
    </row>
    <row r="1126" spans="11:11" x14ac:dyDescent="0.25">
      <c r="K1126" s="1"/>
    </row>
    <row r="1127" spans="11:11" x14ac:dyDescent="0.25">
      <c r="K1127" s="1"/>
    </row>
    <row r="1128" spans="11:11" x14ac:dyDescent="0.25">
      <c r="K1128" s="1"/>
    </row>
    <row r="1129" spans="11:11" x14ac:dyDescent="0.25">
      <c r="K1129" s="1"/>
    </row>
    <row r="1130" spans="11:11" x14ac:dyDescent="0.25">
      <c r="K1130" s="1"/>
    </row>
    <row r="1131" spans="11:11" x14ac:dyDescent="0.25">
      <c r="K1131" s="1"/>
    </row>
    <row r="1132" spans="11:11" x14ac:dyDescent="0.25">
      <c r="K1132" s="1"/>
    </row>
    <row r="1133" spans="11:11" x14ac:dyDescent="0.25">
      <c r="K1133" s="1"/>
    </row>
    <row r="1134" spans="11:11" x14ac:dyDescent="0.25">
      <c r="K1134" s="1"/>
    </row>
    <row r="1135" spans="11:11" x14ac:dyDescent="0.25">
      <c r="K1135" s="1"/>
    </row>
    <row r="1136" spans="11:11" x14ac:dyDescent="0.25">
      <c r="K1136" s="1"/>
    </row>
    <row r="1137" spans="11:11" x14ac:dyDescent="0.25">
      <c r="K1137" s="1"/>
    </row>
    <row r="1138" spans="11:11" x14ac:dyDescent="0.25">
      <c r="K1138" s="1"/>
    </row>
    <row r="1139" spans="11:11" x14ac:dyDescent="0.25">
      <c r="K1139" s="1"/>
    </row>
    <row r="1140" spans="11:11" x14ac:dyDescent="0.25">
      <c r="K1140" s="1"/>
    </row>
    <row r="1141" spans="11:11" x14ac:dyDescent="0.25">
      <c r="K1141" s="1"/>
    </row>
    <row r="1142" spans="11:11" x14ac:dyDescent="0.25">
      <c r="K1142" s="1"/>
    </row>
    <row r="1143" spans="11:11" x14ac:dyDescent="0.25">
      <c r="K1143" s="1"/>
    </row>
    <row r="1144" spans="11:11" x14ac:dyDescent="0.25">
      <c r="K1144" s="1"/>
    </row>
    <row r="1145" spans="11:11" x14ac:dyDescent="0.25">
      <c r="K1145" s="1"/>
    </row>
    <row r="1146" spans="11:11" x14ac:dyDescent="0.25">
      <c r="K1146" s="1"/>
    </row>
    <row r="1147" spans="11:11" x14ac:dyDescent="0.25">
      <c r="K1147" s="1"/>
    </row>
    <row r="1148" spans="11:11" x14ac:dyDescent="0.25">
      <c r="K1148" s="1"/>
    </row>
    <row r="1149" spans="11:11" x14ac:dyDescent="0.25">
      <c r="K1149" s="1"/>
    </row>
    <row r="1150" spans="11:11" x14ac:dyDescent="0.25">
      <c r="K1150" s="1"/>
    </row>
    <row r="1151" spans="11:11" x14ac:dyDescent="0.25">
      <c r="K1151" s="1"/>
    </row>
    <row r="1152" spans="11:11" x14ac:dyDescent="0.25">
      <c r="K1152" s="1"/>
    </row>
    <row r="1153" spans="11:11" x14ac:dyDescent="0.25">
      <c r="K1153" s="1"/>
    </row>
    <row r="1154" spans="11:11" x14ac:dyDescent="0.25">
      <c r="K1154" s="1"/>
    </row>
    <row r="1155" spans="11:11" x14ac:dyDescent="0.25">
      <c r="K1155" s="1"/>
    </row>
    <row r="1156" spans="11:11" x14ac:dyDescent="0.25">
      <c r="K1156" s="1"/>
    </row>
    <row r="1157" spans="11:11" x14ac:dyDescent="0.25">
      <c r="K1157" s="1"/>
    </row>
    <row r="1158" spans="11:11" x14ac:dyDescent="0.25">
      <c r="K1158" s="1"/>
    </row>
    <row r="1159" spans="11:11" x14ac:dyDescent="0.25">
      <c r="K1159" s="1"/>
    </row>
    <row r="1160" spans="11:11" x14ac:dyDescent="0.25">
      <c r="K1160" s="1"/>
    </row>
    <row r="1161" spans="11:11" x14ac:dyDescent="0.25">
      <c r="K1161" s="1"/>
    </row>
    <row r="1162" spans="11:11" x14ac:dyDescent="0.25">
      <c r="K1162" s="1"/>
    </row>
    <row r="1163" spans="11:11" x14ac:dyDescent="0.25">
      <c r="K1163" s="1"/>
    </row>
    <row r="1164" spans="11:11" x14ac:dyDescent="0.25">
      <c r="K1164" s="1"/>
    </row>
    <row r="1165" spans="11:11" x14ac:dyDescent="0.25">
      <c r="K1165" s="1"/>
    </row>
    <row r="1166" spans="11:11" x14ac:dyDescent="0.25">
      <c r="K1166" s="1"/>
    </row>
    <row r="1167" spans="11:11" x14ac:dyDescent="0.25">
      <c r="K1167" s="1"/>
    </row>
    <row r="1168" spans="11:11" x14ac:dyDescent="0.25">
      <c r="K1168" s="1"/>
    </row>
    <row r="1169" spans="11:11" x14ac:dyDescent="0.25">
      <c r="K1169" s="1"/>
    </row>
    <row r="1170" spans="11:11" x14ac:dyDescent="0.25">
      <c r="K1170" s="1"/>
    </row>
    <row r="1171" spans="11:11" x14ac:dyDescent="0.25">
      <c r="K1171" s="1"/>
    </row>
    <row r="1172" spans="11:11" x14ac:dyDescent="0.25">
      <c r="K1172" s="1"/>
    </row>
    <row r="1173" spans="11:11" x14ac:dyDescent="0.25">
      <c r="K1173" s="1"/>
    </row>
    <row r="1174" spans="11:11" x14ac:dyDescent="0.25">
      <c r="K1174" s="1"/>
    </row>
    <row r="1175" spans="11:11" x14ac:dyDescent="0.25">
      <c r="K1175" s="1"/>
    </row>
    <row r="1176" spans="11:11" x14ac:dyDescent="0.25">
      <c r="K1176" s="1"/>
    </row>
    <row r="1177" spans="11:11" x14ac:dyDescent="0.25">
      <c r="K1177" s="1"/>
    </row>
    <row r="1178" spans="11:11" x14ac:dyDescent="0.25">
      <c r="K1178" s="1"/>
    </row>
    <row r="1179" spans="11:11" x14ac:dyDescent="0.25">
      <c r="K1179" s="1"/>
    </row>
    <row r="1180" spans="11:11" x14ac:dyDescent="0.25">
      <c r="K1180" s="1"/>
    </row>
    <row r="1181" spans="11:11" x14ac:dyDescent="0.25">
      <c r="K1181" s="1"/>
    </row>
    <row r="1182" spans="11:11" x14ac:dyDescent="0.25">
      <c r="K1182" s="1"/>
    </row>
    <row r="1183" spans="11:11" x14ac:dyDescent="0.25">
      <c r="K1183" s="1"/>
    </row>
    <row r="1184" spans="11:11" x14ac:dyDescent="0.25">
      <c r="K1184" s="1"/>
    </row>
    <row r="1185" spans="11:11" x14ac:dyDescent="0.25">
      <c r="K1185" s="1"/>
    </row>
    <row r="1186" spans="11:11" x14ac:dyDescent="0.25">
      <c r="K1186" s="1"/>
    </row>
    <row r="1187" spans="11:11" x14ac:dyDescent="0.25">
      <c r="K1187" s="1"/>
    </row>
    <row r="1188" spans="11:11" x14ac:dyDescent="0.25">
      <c r="K1188" s="1"/>
    </row>
    <row r="1189" spans="11:11" x14ac:dyDescent="0.25">
      <c r="K1189" s="1"/>
    </row>
    <row r="1190" spans="11:11" x14ac:dyDescent="0.25">
      <c r="K1190" s="1"/>
    </row>
    <row r="1191" spans="11:11" x14ac:dyDescent="0.25">
      <c r="K1191" s="1"/>
    </row>
    <row r="1192" spans="11:11" x14ac:dyDescent="0.25">
      <c r="K1192" s="1"/>
    </row>
    <row r="1193" spans="11:11" x14ac:dyDescent="0.25">
      <c r="K1193" s="1"/>
    </row>
    <row r="1194" spans="11:11" x14ac:dyDescent="0.25">
      <c r="K1194" s="1"/>
    </row>
    <row r="1195" spans="11:11" x14ac:dyDescent="0.25">
      <c r="K1195" s="1"/>
    </row>
    <row r="1196" spans="11:11" x14ac:dyDescent="0.25">
      <c r="K1196" s="1"/>
    </row>
    <row r="1197" spans="11:11" x14ac:dyDescent="0.25">
      <c r="K1197" s="1"/>
    </row>
    <row r="1198" spans="11:11" x14ac:dyDescent="0.25">
      <c r="K1198" s="1"/>
    </row>
    <row r="1199" spans="11:11" x14ac:dyDescent="0.25">
      <c r="K1199" s="1"/>
    </row>
    <row r="1200" spans="11:11" x14ac:dyDescent="0.25">
      <c r="K1200" s="1"/>
    </row>
    <row r="1201" spans="11:11" x14ac:dyDescent="0.25">
      <c r="K1201" s="1"/>
    </row>
    <row r="1202" spans="11:11" x14ac:dyDescent="0.25">
      <c r="K1202" s="1"/>
    </row>
    <row r="1203" spans="11:11" x14ac:dyDescent="0.25">
      <c r="K1203" s="1"/>
    </row>
    <row r="1204" spans="11:11" x14ac:dyDescent="0.25">
      <c r="K1204" s="1"/>
    </row>
    <row r="1205" spans="11:11" x14ac:dyDescent="0.25">
      <c r="K1205" s="1"/>
    </row>
    <row r="1206" spans="11:11" x14ac:dyDescent="0.25">
      <c r="K1206" s="1"/>
    </row>
    <row r="1207" spans="11:11" x14ac:dyDescent="0.25">
      <c r="K1207" s="1"/>
    </row>
    <row r="1208" spans="11:11" x14ac:dyDescent="0.25">
      <c r="K1208" s="1"/>
    </row>
    <row r="1209" spans="11:11" x14ac:dyDescent="0.25">
      <c r="K1209" s="1"/>
    </row>
    <row r="1210" spans="11:11" x14ac:dyDescent="0.25">
      <c r="K1210" s="1"/>
    </row>
    <row r="1211" spans="11:11" x14ac:dyDescent="0.25">
      <c r="K1211" s="1"/>
    </row>
    <row r="1212" spans="11:11" x14ac:dyDescent="0.25">
      <c r="K1212" s="1"/>
    </row>
    <row r="1213" spans="11:11" x14ac:dyDescent="0.25">
      <c r="K1213" s="1"/>
    </row>
    <row r="1214" spans="11:11" x14ac:dyDescent="0.25">
      <c r="K1214" s="1"/>
    </row>
    <row r="1215" spans="11:11" x14ac:dyDescent="0.25">
      <c r="K1215" s="1"/>
    </row>
    <row r="1216" spans="11:11" x14ac:dyDescent="0.25">
      <c r="K1216" s="1"/>
    </row>
    <row r="1217" spans="11:11" x14ac:dyDescent="0.25">
      <c r="K1217" s="1"/>
    </row>
    <row r="1218" spans="11:11" x14ac:dyDescent="0.25">
      <c r="K1218" s="1"/>
    </row>
    <row r="1219" spans="11:11" x14ac:dyDescent="0.25">
      <c r="K1219" s="1"/>
    </row>
    <row r="1220" spans="11:11" x14ac:dyDescent="0.25">
      <c r="K1220" s="1"/>
    </row>
    <row r="1221" spans="11:11" x14ac:dyDescent="0.25">
      <c r="K1221" s="1"/>
    </row>
    <row r="1222" spans="11:11" x14ac:dyDescent="0.25">
      <c r="K1222" s="1"/>
    </row>
    <row r="1223" spans="11:11" x14ac:dyDescent="0.25">
      <c r="K1223" s="1"/>
    </row>
    <row r="1224" spans="11:11" x14ac:dyDescent="0.25">
      <c r="K1224" s="1"/>
    </row>
    <row r="1225" spans="11:11" x14ac:dyDescent="0.25">
      <c r="K1225" s="1"/>
    </row>
    <row r="1226" spans="11:11" x14ac:dyDescent="0.25">
      <c r="K1226" s="1"/>
    </row>
    <row r="1227" spans="11:11" x14ac:dyDescent="0.25">
      <c r="K1227" s="1"/>
    </row>
    <row r="1228" spans="11:11" x14ac:dyDescent="0.25">
      <c r="K1228" s="1"/>
    </row>
    <row r="1229" spans="11:11" x14ac:dyDescent="0.25">
      <c r="K1229" s="1"/>
    </row>
    <row r="1230" spans="11:11" x14ac:dyDescent="0.25">
      <c r="K1230" s="1"/>
    </row>
    <row r="1231" spans="11:11" x14ac:dyDescent="0.25">
      <c r="K1231" s="1"/>
    </row>
    <row r="1232" spans="11:11" x14ac:dyDescent="0.25">
      <c r="K1232" s="1"/>
    </row>
    <row r="1233" spans="11:12" x14ac:dyDescent="0.25">
      <c r="K1233" s="1"/>
    </row>
    <row r="1234" spans="11:12" x14ac:dyDescent="0.25">
      <c r="K1234" s="1"/>
    </row>
    <row r="1235" spans="11:12" x14ac:dyDescent="0.25">
      <c r="K1235" s="1"/>
    </row>
    <row r="1236" spans="11:12" x14ac:dyDescent="0.25">
      <c r="K1236" s="1"/>
    </row>
    <row r="1237" spans="11:12" x14ac:dyDescent="0.25">
      <c r="K1237" s="1"/>
    </row>
    <row r="1238" spans="11:12" x14ac:dyDescent="0.25">
      <c r="K1238" s="1"/>
    </row>
    <row r="1239" spans="11:12" x14ac:dyDescent="0.25">
      <c r="K1239" s="1"/>
    </row>
    <row r="1240" spans="11:12" x14ac:dyDescent="0.25">
      <c r="K1240" s="1"/>
    </row>
    <row r="1241" spans="11:12" x14ac:dyDescent="0.25">
      <c r="K1241" s="1"/>
    </row>
    <row r="1242" spans="11:12" x14ac:dyDescent="0.25">
      <c r="K1242" s="1"/>
      <c r="L1242" s="1"/>
    </row>
    <row r="1243" spans="11:12" x14ac:dyDescent="0.25">
      <c r="K1243" s="1"/>
    </row>
    <row r="1244" spans="11:12" x14ac:dyDescent="0.25">
      <c r="K1244" s="1"/>
    </row>
    <row r="1245" spans="11:12" x14ac:dyDescent="0.25">
      <c r="K1245" s="1"/>
    </row>
    <row r="1246" spans="11:12" x14ac:dyDescent="0.25">
      <c r="K1246" s="1"/>
    </row>
    <row r="1247" spans="11:12" x14ac:dyDescent="0.25">
      <c r="K1247" s="1"/>
    </row>
    <row r="1248" spans="11:12" x14ac:dyDescent="0.25">
      <c r="K1248" s="1"/>
    </row>
    <row r="1249" spans="11:11" x14ac:dyDescent="0.25">
      <c r="K1249" s="1"/>
    </row>
    <row r="1250" spans="11:11" x14ac:dyDescent="0.25">
      <c r="K1250" s="1"/>
    </row>
    <row r="1251" spans="11:11" x14ac:dyDescent="0.25">
      <c r="K1251" s="1"/>
    </row>
    <row r="1252" spans="11:11" x14ac:dyDescent="0.25">
      <c r="K1252" s="1"/>
    </row>
    <row r="1253" spans="11:11" x14ac:dyDescent="0.25">
      <c r="K1253" s="1"/>
    </row>
    <row r="1254" spans="11:11" x14ac:dyDescent="0.25">
      <c r="K1254" s="1"/>
    </row>
    <row r="1255" spans="11:11" x14ac:dyDescent="0.25">
      <c r="K1255" s="1"/>
    </row>
    <row r="1256" spans="11:11" x14ac:dyDescent="0.25">
      <c r="K1256" s="1"/>
    </row>
    <row r="1257" spans="11:11" x14ac:dyDescent="0.25">
      <c r="K1257" s="1"/>
    </row>
    <row r="1258" spans="11:11" x14ac:dyDescent="0.25">
      <c r="K1258" s="1"/>
    </row>
    <row r="1259" spans="11:11" x14ac:dyDescent="0.25">
      <c r="K1259" s="1"/>
    </row>
    <row r="1260" spans="11:11" x14ac:dyDescent="0.25">
      <c r="K1260" s="1"/>
    </row>
    <row r="1261" spans="11:11" x14ac:dyDescent="0.25">
      <c r="K1261" s="1"/>
    </row>
    <row r="1262" spans="11:11" x14ac:dyDescent="0.25">
      <c r="K1262" s="1"/>
    </row>
    <row r="1263" spans="11:11" x14ac:dyDescent="0.25">
      <c r="K1263" s="1"/>
    </row>
    <row r="1264" spans="11:11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</sheetData>
  <sortState xmlns:xlrd2="http://schemas.microsoft.com/office/spreadsheetml/2017/richdata2" ref="A2:AC34">
    <sortCondition ref="R2:R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2026-07-31T11:54:30Z</dcterms:created>
  <dcterms:modified xsi:type="dcterms:W3CDTF">2026-07-31T13:32:53Z</dcterms:modified>
</cp:coreProperties>
</file>