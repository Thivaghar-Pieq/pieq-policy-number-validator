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1-21-26\"/>
    </mc:Choice>
  </mc:AlternateContent>
  <xr:revisionPtr revIDLastSave="0" documentId="13_ncr:1_{415A7726-B14C-42DB-8C31-560DA9DA40F9}" xr6:coauthVersionLast="47" xr6:coauthVersionMax="47" xr10:uidLastSave="{00000000-0000-0000-0000-000000000000}"/>
  <bookViews>
    <workbookView xWindow="28680" yWindow="-120" windowWidth="29040" windowHeight="16440" activeTab="1" xr2:uid="{26714990-CBC2-4BCB-9D16-568D3CAECEA4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2" i="2"/>
  <c r="B145" i="2" l="1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144" i="2"/>
  <c r="B91" i="2"/>
  <c r="B505" i="2"/>
  <c r="B143" i="2"/>
  <c r="B494" i="2"/>
  <c r="B596" i="2"/>
  <c r="B99" i="2"/>
  <c r="B98" i="2"/>
  <c r="B52" i="2"/>
  <c r="B591" i="2"/>
  <c r="B590" i="2"/>
  <c r="B507" i="2"/>
  <c r="B79" i="2"/>
  <c r="B22" i="2"/>
  <c r="B595" i="2"/>
  <c r="B506" i="2"/>
  <c r="B93" i="2"/>
  <c r="B610" i="2"/>
  <c r="B16" i="2"/>
  <c r="B69" i="2"/>
  <c r="B559" i="2"/>
  <c r="B558" i="2"/>
  <c r="B92" i="2"/>
  <c r="B579" i="2"/>
  <c r="B509" i="2"/>
  <c r="B97" i="2"/>
  <c r="B493" i="2"/>
  <c r="B51" i="2"/>
  <c r="B89" i="2"/>
  <c r="B557" i="2"/>
  <c r="B68" i="2"/>
  <c r="B50" i="2"/>
  <c r="B67" i="2"/>
  <c r="B594" i="2"/>
  <c r="B612" i="2"/>
  <c r="B49" i="2"/>
  <c r="B48" i="2"/>
  <c r="B88" i="2"/>
  <c r="B87" i="2"/>
  <c r="B593" i="2"/>
  <c r="B5" i="2"/>
  <c r="B4" i="2"/>
  <c r="B517" i="2"/>
  <c r="B15" i="2"/>
  <c r="B66" i="2"/>
  <c r="B65" i="2"/>
  <c r="B609" i="2"/>
  <c r="B515" i="2"/>
  <c r="B21" i="2"/>
  <c r="B64" i="2"/>
  <c r="B63" i="2"/>
  <c r="B47" i="2"/>
  <c r="B578" i="2"/>
  <c r="B577" i="2"/>
  <c r="B556" i="2"/>
  <c r="B28" i="2"/>
  <c r="B502" i="2"/>
  <c r="B83" i="2"/>
  <c r="B142" i="2"/>
  <c r="B82" i="2"/>
  <c r="B46" i="2"/>
  <c r="B62" i="2"/>
  <c r="B76" i="2"/>
  <c r="B14" i="2"/>
  <c r="B589" i="2"/>
  <c r="B587" i="2"/>
  <c r="B604" i="2"/>
  <c r="B96" i="2"/>
  <c r="B576" i="2"/>
  <c r="B555" i="2"/>
  <c r="B554" i="2"/>
  <c r="B513" i="2"/>
  <c r="B535" i="2"/>
  <c r="B592" i="2"/>
  <c r="B501" i="2"/>
  <c r="B20" i="2"/>
  <c r="B45" i="2"/>
  <c r="B585" i="2"/>
  <c r="B27" i="2"/>
  <c r="B26" i="2"/>
  <c r="B534" i="2"/>
  <c r="B584" i="2"/>
  <c r="B603" i="2"/>
  <c r="B533" i="2"/>
  <c r="B19" i="2"/>
  <c r="B44" i="2"/>
  <c r="B553" i="2"/>
  <c r="B552" i="2"/>
  <c r="B551" i="2"/>
  <c r="B561" i="2"/>
  <c r="B43" i="2"/>
  <c r="B492" i="2"/>
  <c r="B532" i="2"/>
  <c r="B531" i="2"/>
  <c r="B530" i="2"/>
  <c r="B61" i="2"/>
  <c r="B42" i="2"/>
  <c r="B41" i="2"/>
  <c r="B491" i="2"/>
  <c r="B40" i="2"/>
  <c r="B141" i="2"/>
  <c r="B529" i="2"/>
  <c r="B602" i="2"/>
  <c r="B601" i="2"/>
  <c r="B528" i="2"/>
  <c r="B608" i="2"/>
  <c r="B78" i="2"/>
  <c r="B527" i="2"/>
  <c r="B583" i="2"/>
  <c r="B490" i="2"/>
  <c r="B550" i="2"/>
  <c r="B549" i="2"/>
  <c r="B8" i="2"/>
  <c r="B548" i="2"/>
  <c r="B575" i="2"/>
  <c r="B13" i="2"/>
  <c r="B511" i="2"/>
  <c r="B139" i="2"/>
  <c r="B138" i="2"/>
  <c r="B137" i="2"/>
  <c r="B136" i="2"/>
  <c r="B135" i="2"/>
  <c r="B134" i="2"/>
  <c r="B485" i="2"/>
  <c r="B6" i="2"/>
  <c r="B75" i="2"/>
  <c r="B504" i="2"/>
  <c r="B133" i="2"/>
  <c r="B132" i="2"/>
  <c r="B574" i="2"/>
  <c r="B573" i="2"/>
  <c r="B131" i="2"/>
  <c r="B130" i="2"/>
  <c r="B484" i="2"/>
  <c r="B483" i="2"/>
  <c r="B129" i="2"/>
  <c r="B128" i="2"/>
  <c r="B127" i="2"/>
  <c r="B74" i="2"/>
  <c r="B126" i="2"/>
  <c r="B563" i="2"/>
  <c r="B482" i="2"/>
  <c r="B125" i="2"/>
  <c r="B124" i="2"/>
  <c r="B123" i="2"/>
  <c r="B122" i="2"/>
  <c r="B121" i="2"/>
  <c r="B120" i="2"/>
  <c r="B119" i="2"/>
  <c r="B73" i="2"/>
  <c r="B572" i="2"/>
  <c r="B118" i="2"/>
  <c r="B117" i="2"/>
  <c r="B72" i="2"/>
  <c r="B116" i="2"/>
  <c r="B562" i="2"/>
  <c r="B115" i="2"/>
  <c r="B481" i="2"/>
  <c r="B114" i="2"/>
  <c r="B113" i="2"/>
  <c r="B112" i="2"/>
  <c r="B111" i="2"/>
  <c r="B110" i="2"/>
  <c r="B109" i="2"/>
  <c r="B108" i="2"/>
  <c r="B571" i="2"/>
  <c r="B570" i="2"/>
  <c r="B71" i="2"/>
  <c r="B569" i="2"/>
  <c r="B107" i="2"/>
  <c r="B106" i="2"/>
  <c r="B105" i="2"/>
  <c r="B480" i="2"/>
  <c r="B479" i="2"/>
  <c r="B104" i="2"/>
  <c r="B103" i="2"/>
  <c r="B102" i="2"/>
  <c r="B101" i="2"/>
  <c r="B100" i="2"/>
  <c r="B500" i="2"/>
  <c r="B499" i="2"/>
  <c r="B498" i="2"/>
  <c r="B497" i="2"/>
  <c r="B568" i="2"/>
  <c r="B567" i="2"/>
  <c r="B547" i="2"/>
  <c r="B25" i="2"/>
  <c r="B496" i="2"/>
  <c r="B81" i="2"/>
  <c r="B140" i="2"/>
  <c r="B80" i="2"/>
  <c r="B60" i="2"/>
  <c r="B70" i="2"/>
  <c r="B12" i="2"/>
  <c r="B588" i="2"/>
  <c r="B586" i="2"/>
  <c r="B600" i="2"/>
  <c r="B95" i="2"/>
  <c r="B566" i="2"/>
  <c r="B546" i="2"/>
  <c r="B545" i="2"/>
  <c r="B512" i="2"/>
  <c r="B526" i="2"/>
  <c r="B495" i="2"/>
  <c r="B11" i="2"/>
  <c r="B18" i="2"/>
  <c r="B39" i="2"/>
  <c r="B582" i="2"/>
  <c r="B24" i="2"/>
  <c r="B23" i="2"/>
  <c r="B525" i="2"/>
  <c r="B581" i="2"/>
  <c r="B599" i="2"/>
  <c r="B59" i="2"/>
  <c r="B544" i="2"/>
  <c r="B524" i="2"/>
  <c r="B38" i="2"/>
  <c r="B543" i="2"/>
  <c r="B542" i="2"/>
  <c r="B541" i="2"/>
  <c r="B560" i="2"/>
  <c r="B37" i="2"/>
  <c r="B489" i="2"/>
  <c r="B540" i="2"/>
  <c r="B523" i="2"/>
  <c r="B522" i="2"/>
  <c r="B521" i="2"/>
  <c r="B58" i="2"/>
  <c r="B565" i="2"/>
  <c r="B36" i="2"/>
  <c r="B35" i="2"/>
  <c r="B488" i="2"/>
  <c r="B34" i="2"/>
  <c r="B520" i="2"/>
  <c r="B598" i="2"/>
  <c r="B597" i="2"/>
  <c r="B519" i="2"/>
  <c r="B508" i="2"/>
  <c r="B607" i="2"/>
  <c r="B77" i="2"/>
  <c r="B518" i="2"/>
  <c r="B580" i="2"/>
  <c r="B94" i="2"/>
  <c r="B487" i="2"/>
  <c r="B539" i="2"/>
  <c r="B538" i="2"/>
  <c r="B7" i="2"/>
  <c r="B537" i="2"/>
  <c r="B486" i="2"/>
  <c r="B564" i="2"/>
  <c r="B10" i="2"/>
  <c r="B510" i="2"/>
  <c r="B33" i="2"/>
  <c r="B86" i="2"/>
  <c r="B536" i="2"/>
  <c r="B32" i="2"/>
  <c r="B57" i="2"/>
  <c r="B611" i="2"/>
  <c r="B31" i="2"/>
  <c r="B30" i="2"/>
  <c r="B606" i="2"/>
  <c r="B85" i="2"/>
  <c r="B84" i="2"/>
  <c r="B3" i="2"/>
  <c r="B2" i="2"/>
  <c r="B516" i="2"/>
  <c r="B9" i="2"/>
  <c r="B56" i="2"/>
  <c r="B55" i="2"/>
  <c r="B605" i="2"/>
  <c r="B514" i="2"/>
  <c r="B17" i="2"/>
  <c r="B54" i="2"/>
  <c r="B53" i="2"/>
  <c r="B29" i="2"/>
  <c r="B90" i="2"/>
  <c r="B503" i="2"/>
  <c r="T272" i="2"/>
  <c r="T610" i="2"/>
  <c r="S272" i="2"/>
  <c r="S610" i="2"/>
  <c r="S493" i="2"/>
  <c r="S236" i="2"/>
  <c r="T130" i="2"/>
  <c r="S130" i="2"/>
  <c r="R105" i="2"/>
  <c r="R101" i="2"/>
  <c r="S503" i="2"/>
  <c r="R22" i="2"/>
  <c r="R595" i="2"/>
  <c r="R75" i="2"/>
  <c r="R306" i="2"/>
  <c r="R305" i="2"/>
  <c r="R303" i="2"/>
  <c r="R297" i="2"/>
  <c r="R296" i="2"/>
  <c r="O478" i="2"/>
  <c r="O477" i="2"/>
  <c r="R458" i="2"/>
  <c r="R72" i="2"/>
  <c r="R503" i="2"/>
  <c r="O450" i="2"/>
  <c r="R100" i="2"/>
  <c r="R356" i="2"/>
  <c r="R90" i="2"/>
  <c r="R341" i="2"/>
  <c r="R485" i="2"/>
  <c r="R340" i="2"/>
  <c r="R507" i="2"/>
</calcChain>
</file>

<file path=xl/sharedStrings.xml><?xml version="1.0" encoding="utf-8"?>
<sst xmlns="http://schemas.openxmlformats.org/spreadsheetml/2006/main" count="10251" uniqueCount="1061">
  <si>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</si>
  <si>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</si>
  <si>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</si>
  <si>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</si>
  <si>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</si>
  <si>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</si>
  <si>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</si>
  <si>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</si>
  <si>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</si>
  <si>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</si>
  <si>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</si>
  <si>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</si>
  <si>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</si>
  <si>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</si>
  <si>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</si>
  <si>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</si>
  <si>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</si>
  <si>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</si>
  <si>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</si>
  <si>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</si>
  <si>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</si>
  <si>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</si>
  <si>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</si>
  <si>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</si>
  <si>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4JH2DG8TE08</t>
  </si>
  <si>
    <t>NG102240164700</t>
  </si>
  <si>
    <t>ADAMS A,SCOTT</t>
  </si>
  <si>
    <t>PA</t>
  </si>
  <si>
    <t>CMS Trueup</t>
  </si>
  <si>
    <t>MAPD</t>
  </si>
  <si>
    <t>IMM608</t>
  </si>
  <si>
    <t>H5521-261</t>
  </si>
  <si>
    <t>LOA</t>
  </si>
  <si>
    <t>Inskipt, Deborah</t>
  </si>
  <si>
    <t>MMO</t>
  </si>
  <si>
    <t>Main Line Benefits LLC</t>
  </si>
  <si>
    <t xml:space="preserve">Y  </t>
  </si>
  <si>
    <t>CMS Trueup reversal</t>
  </si>
  <si>
    <t xml:space="preserve">N  </t>
  </si>
  <si>
    <t>8MY6NH0FR61</t>
  </si>
  <si>
    <t>NG102223721400</t>
  </si>
  <si>
    <t>ALVIS P,JEFFERY</t>
  </si>
  <si>
    <t>IL</t>
  </si>
  <si>
    <t>IMM619</t>
  </si>
  <si>
    <t>H7301-007</t>
  </si>
  <si>
    <t>Deaton, Pamela</t>
  </si>
  <si>
    <t>8KG9CR3YP55</t>
  </si>
  <si>
    <t>NG102205695900</t>
  </si>
  <si>
    <t>ARRASMITH A,JOHN</t>
  </si>
  <si>
    <t>PRONEW</t>
  </si>
  <si>
    <t>H7301-009</t>
  </si>
  <si>
    <t>DUNAVANT, MICHAEL</t>
  </si>
  <si>
    <t>9A76TQ1GD48</t>
  </si>
  <si>
    <t>NG102248472400</t>
  </si>
  <si>
    <t>ARROJO G,LERMA</t>
  </si>
  <si>
    <t>IMM606</t>
  </si>
  <si>
    <t>H5521-086</t>
  </si>
  <si>
    <t>SANTOS, RICARDO</t>
  </si>
  <si>
    <t>1M82KU5GH12</t>
  </si>
  <si>
    <t>NG102201672800</t>
  </si>
  <si>
    <t>ATKINS L,TERRY</t>
  </si>
  <si>
    <t>7XQ8WE4QP32</t>
  </si>
  <si>
    <t>NG102216488700</t>
  </si>
  <si>
    <t>BALDWIN M,ANNETTE</t>
  </si>
  <si>
    <t>H5522-001</t>
  </si>
  <si>
    <t>9KU1CT4CE97</t>
  </si>
  <si>
    <t>NG101159374000</t>
  </si>
  <si>
    <t>BATOG,WALTER</t>
  </si>
  <si>
    <t>Renewal</t>
  </si>
  <si>
    <t>IMM507</t>
  </si>
  <si>
    <t>H5522-014</t>
  </si>
  <si>
    <t>Foley, Carol</t>
  </si>
  <si>
    <t>7U91M31HF32</t>
  </si>
  <si>
    <t>NG102205321400</t>
  </si>
  <si>
    <t>BECK H,VERLON</t>
  </si>
  <si>
    <t>AL</t>
  </si>
  <si>
    <t>IMM605</t>
  </si>
  <si>
    <t>H5521-227</t>
  </si>
  <si>
    <t>Brousseau, Christopher</t>
  </si>
  <si>
    <t>1XT4DX2GE06</t>
  </si>
  <si>
    <t>NG102253501500</t>
  </si>
  <si>
    <t>BELLAIRE T,HOWARD</t>
  </si>
  <si>
    <t>H3959-002</t>
  </si>
  <si>
    <t>9RY7NQ8UN78</t>
  </si>
  <si>
    <t>NG102230808100</t>
  </si>
  <si>
    <t>BENTLEY J,BEVERLY</t>
  </si>
  <si>
    <t>MA</t>
  </si>
  <si>
    <t>H3959-041</t>
  </si>
  <si>
    <t>Powers, Timothy</t>
  </si>
  <si>
    <t>2FE0Y28RP43</t>
  </si>
  <si>
    <t>NG102248239900</t>
  </si>
  <si>
    <t>BOULAVINOV,DMITRI</t>
  </si>
  <si>
    <t>H5522-017</t>
  </si>
  <si>
    <t>AG4</t>
  </si>
  <si>
    <t>HERCHENRODER KLAUS</t>
  </si>
  <si>
    <t>1VR2CY4HP13</t>
  </si>
  <si>
    <t>NG102233190600</t>
  </si>
  <si>
    <t>BOWEN K,GAYLE</t>
  </si>
  <si>
    <t>OH</t>
  </si>
  <si>
    <t>IMM617</t>
  </si>
  <si>
    <t>H0628-037</t>
  </si>
  <si>
    <t>BRANDT, STEVEN</t>
  </si>
  <si>
    <t>7G70U63AG31</t>
  </si>
  <si>
    <t>NG102255068300</t>
  </si>
  <si>
    <t>BOYD K,BARBARA</t>
  </si>
  <si>
    <t>7D56H19KA54</t>
  </si>
  <si>
    <t>NG102235515700</t>
  </si>
  <si>
    <t>BOYD S,JANE</t>
  </si>
  <si>
    <t>AZ</t>
  </si>
  <si>
    <t>IMM601</t>
  </si>
  <si>
    <t>H5521-554</t>
  </si>
  <si>
    <t>Teipel, Gregory</t>
  </si>
  <si>
    <t>9TW8AN8CM45</t>
  </si>
  <si>
    <t>NG102257432800</t>
  </si>
  <si>
    <t>BRANNON J,WILLIAM</t>
  </si>
  <si>
    <t>New Business</t>
  </si>
  <si>
    <t>4M88AH9RQ39</t>
  </si>
  <si>
    <t>NG102235813800</t>
  </si>
  <si>
    <t>BRINK,ANNMARIE</t>
  </si>
  <si>
    <t>MN</t>
  </si>
  <si>
    <t>IMM611</t>
  </si>
  <si>
    <t>H3219-002</t>
  </si>
  <si>
    <t>Portugal, Gary</t>
  </si>
  <si>
    <t>8RA4GW6QH05</t>
  </si>
  <si>
    <t>NG102256083100</t>
  </si>
  <si>
    <t>BRYAN A,GLORIA</t>
  </si>
  <si>
    <t>5XJ0EM1EK14</t>
  </si>
  <si>
    <t>NG102257499500</t>
  </si>
  <si>
    <t>BURTNER L,SANDRA</t>
  </si>
  <si>
    <t>5U48M65KP64</t>
  </si>
  <si>
    <t>NG102231089300</t>
  </si>
  <si>
    <t>BYERS H,FRANKLIN</t>
  </si>
  <si>
    <t>Sherman, Matthew</t>
  </si>
  <si>
    <t>7TF0D84KN13</t>
  </si>
  <si>
    <t>NG102243360500</t>
  </si>
  <si>
    <t>CADDY,DAVID</t>
  </si>
  <si>
    <t>FL</t>
  </si>
  <si>
    <t>IMM604</t>
  </si>
  <si>
    <t>H5521-433</t>
  </si>
  <si>
    <t>Berg, Ines</t>
  </si>
  <si>
    <t>7U82DU1AM96</t>
  </si>
  <si>
    <t>NG102243613300</t>
  </si>
  <si>
    <t>CALHOUN,CINDY</t>
  </si>
  <si>
    <t>H2663-017</t>
  </si>
  <si>
    <t>3K46CA4AD55</t>
  </si>
  <si>
    <t>NG102243697700</t>
  </si>
  <si>
    <t>CALHOUN,LARRY</t>
  </si>
  <si>
    <t>9MN9UG1QA19</t>
  </si>
  <si>
    <t>NG102208441000</t>
  </si>
  <si>
    <t>CANCILLA M,CONNIE</t>
  </si>
  <si>
    <t>8UN2DV5VE11</t>
  </si>
  <si>
    <t>NG102250519900</t>
  </si>
  <si>
    <t>CASILLAS,HELEN</t>
  </si>
  <si>
    <t>H5521-016</t>
  </si>
  <si>
    <t>4DG4X27VT50</t>
  </si>
  <si>
    <t>NG102215997500</t>
  </si>
  <si>
    <t>CASTRO ROSARIO,MANUEL</t>
  </si>
  <si>
    <t>H1206-003</t>
  </si>
  <si>
    <t>Hunsberger, Anthony</t>
  </si>
  <si>
    <t>7QM2PE3TK06</t>
  </si>
  <si>
    <t>NG102233313600</t>
  </si>
  <si>
    <t>CHANTHANALAY M,PHETSAMONE</t>
  </si>
  <si>
    <t>THANADABOUTH, PATSAMON</t>
  </si>
  <si>
    <t>3Y90H93CG13</t>
  </si>
  <si>
    <t>NG102254763000</t>
  </si>
  <si>
    <t>CHARLEY L,RANDY</t>
  </si>
  <si>
    <t>H0628-036</t>
  </si>
  <si>
    <t>Shepard, Jill</t>
  </si>
  <si>
    <t>4A95U63XN60</t>
  </si>
  <si>
    <t>NG102231428800</t>
  </si>
  <si>
    <t>CHAVEZ FARIAS,CENOVIO</t>
  </si>
  <si>
    <t>Fuentes, Victor</t>
  </si>
  <si>
    <t>2V41V51XD95</t>
  </si>
  <si>
    <t>NG102254985900</t>
  </si>
  <si>
    <t>CHEEKS D,KARL</t>
  </si>
  <si>
    <t>9R76NU0MD40</t>
  </si>
  <si>
    <t>NG102239812100</t>
  </si>
  <si>
    <t>CLARK M,GREGORY</t>
  </si>
  <si>
    <t>Yale, Jacob</t>
  </si>
  <si>
    <t>3W28U89YV37</t>
  </si>
  <si>
    <t>NG102244928700</t>
  </si>
  <si>
    <t>COLLINS M,ANGELA</t>
  </si>
  <si>
    <t>DE</t>
  </si>
  <si>
    <t>H3959-055</t>
  </si>
  <si>
    <t>Roccia, Mark</t>
  </si>
  <si>
    <t>5QA4VR6EV94</t>
  </si>
  <si>
    <t>NG102247514600</t>
  </si>
  <si>
    <t>COONEY M,JOSEPH</t>
  </si>
  <si>
    <t>H1608-029</t>
  </si>
  <si>
    <t>2PN5HJ1DY40</t>
  </si>
  <si>
    <t>NG102243729600</t>
  </si>
  <si>
    <t>CORZATT F,MARY</t>
  </si>
  <si>
    <t>H7301-006</t>
  </si>
  <si>
    <t>Yale, Chad</t>
  </si>
  <si>
    <t>5VH0XT7GT30</t>
  </si>
  <si>
    <t>NG102243721100</t>
  </si>
  <si>
    <t>CORZATT R,JAMES</t>
  </si>
  <si>
    <t>2K61QQ6GW31</t>
  </si>
  <si>
    <t>NG102253480600</t>
  </si>
  <si>
    <t>CULBERTSON M,CONSTANCE</t>
  </si>
  <si>
    <t>4GU4HF9WT78</t>
  </si>
  <si>
    <t>NG102079343200</t>
  </si>
  <si>
    <t>DELLETT D,STEPHEN</t>
  </si>
  <si>
    <t>Serio, Tom</t>
  </si>
  <si>
    <t>3U31K63UN11</t>
  </si>
  <si>
    <t>NG102240682000</t>
  </si>
  <si>
    <t>DEMATTEO A,RAYMOND</t>
  </si>
  <si>
    <t>WI</t>
  </si>
  <si>
    <t>H5521-150</t>
  </si>
  <si>
    <t>Herrera-Larsen, Esther</t>
  </si>
  <si>
    <t>7MW5M47WX83</t>
  </si>
  <si>
    <t>NG102230720100</t>
  </si>
  <si>
    <t>DEVOS,TERRY</t>
  </si>
  <si>
    <t>H0628-005</t>
  </si>
  <si>
    <t>2U94W66KJ84</t>
  </si>
  <si>
    <t>NG102248827600</t>
  </si>
  <si>
    <t>DICK H,ROBERT</t>
  </si>
  <si>
    <t>Voluntarily Rapid Disenroll</t>
  </si>
  <si>
    <t>Liskovec, Frank</t>
  </si>
  <si>
    <t>2FD1PJ5WU96</t>
  </si>
  <si>
    <t>NG102245342600</t>
  </si>
  <si>
    <t>DIPIETRANTONIO S,RICHARD</t>
  </si>
  <si>
    <t>2DC6WT0VR43</t>
  </si>
  <si>
    <t>NG102244134600</t>
  </si>
  <si>
    <t>DOBROWSKI E,JANE</t>
  </si>
  <si>
    <t>H5521-195</t>
  </si>
  <si>
    <t>4HH1EJ2AK03</t>
  </si>
  <si>
    <t>NG102200769600</t>
  </si>
  <si>
    <t>DOCTORIAN A,MELANIA</t>
  </si>
  <si>
    <t>3NE6UK1TP73</t>
  </si>
  <si>
    <t>NG102205327000</t>
  </si>
  <si>
    <t>DODGE J,SALLY</t>
  </si>
  <si>
    <t>IN</t>
  </si>
  <si>
    <t>H3192-005</t>
  </si>
  <si>
    <t>3P46G02EN73</t>
  </si>
  <si>
    <t>NG102223298500</t>
  </si>
  <si>
    <t>DOLAN A,KERI</t>
  </si>
  <si>
    <t>7CJ4UY7TE79</t>
  </si>
  <si>
    <t>NG102212025300</t>
  </si>
  <si>
    <t>DONATH A,MARGARET</t>
  </si>
  <si>
    <t>2A91QA8CV24</t>
  </si>
  <si>
    <t>NG102211850400</t>
  </si>
  <si>
    <t>DONATH L,RICHARD</t>
  </si>
  <si>
    <t>6P18FG0XX47</t>
  </si>
  <si>
    <t>NG102255688500</t>
  </si>
  <si>
    <t>ERCOLE M,CAROLYN</t>
  </si>
  <si>
    <t>H5522-028</t>
  </si>
  <si>
    <t>2NE5MH4FP73</t>
  </si>
  <si>
    <t>NG102253578300</t>
  </si>
  <si>
    <t>FERGUSON R,JOHN</t>
  </si>
  <si>
    <t>Smith, Margaret</t>
  </si>
  <si>
    <t>8D84NT9UP50</t>
  </si>
  <si>
    <t>NG102201974900</t>
  </si>
  <si>
    <t>FIEBER M,GARY</t>
  </si>
  <si>
    <t>8UY1XE2PM17</t>
  </si>
  <si>
    <t>NG102233195900</t>
  </si>
  <si>
    <t>FINNEY A,KATHLEEN</t>
  </si>
  <si>
    <t>6WP0E65JV06</t>
  </si>
  <si>
    <t>NG102202947200</t>
  </si>
  <si>
    <t>FLEISCHER C,HOLLY</t>
  </si>
  <si>
    <t>4WQ7CX3YW78</t>
  </si>
  <si>
    <t>NG102252128600</t>
  </si>
  <si>
    <t>FRIEDOWITZ L,RHONDA</t>
  </si>
  <si>
    <t>CA</t>
  </si>
  <si>
    <t>IMM602</t>
  </si>
  <si>
    <t>H5521-419</t>
  </si>
  <si>
    <t>Portugal, Stacey</t>
  </si>
  <si>
    <t>4DP9RX5RM19</t>
  </si>
  <si>
    <t>NG102242332100</t>
  </si>
  <si>
    <t>FRY E,MARY</t>
  </si>
  <si>
    <t>MO</t>
  </si>
  <si>
    <t>IMM607</t>
  </si>
  <si>
    <t>H2663-042</t>
  </si>
  <si>
    <t>6Y85V40VN97</t>
  </si>
  <si>
    <t>NG102137272900</t>
  </si>
  <si>
    <t>GALIOTO W,JOHN</t>
  </si>
  <si>
    <t>Pro-Rata Disenroll</t>
  </si>
  <si>
    <t>H7301-013</t>
  </si>
  <si>
    <t>Robinson, Paul</t>
  </si>
  <si>
    <t>GMO</t>
  </si>
  <si>
    <t>Renewal Termination</t>
  </si>
  <si>
    <t>4N22FY0WF05</t>
  </si>
  <si>
    <t>NG102205885100</t>
  </si>
  <si>
    <t>GIACOMANTONIO C,JODY</t>
  </si>
  <si>
    <t>5F30U68VE05</t>
  </si>
  <si>
    <t>NG102245244300</t>
  </si>
  <si>
    <t>GILLES S,GREGORY</t>
  </si>
  <si>
    <t>3WU3Y90QW81</t>
  </si>
  <si>
    <t>NG102241448400</t>
  </si>
  <si>
    <t>GOMEZ DE SEGOVIANO,MARIA</t>
  </si>
  <si>
    <t>2G11NX6NQ11</t>
  </si>
  <si>
    <t>NG101079424500</t>
  </si>
  <si>
    <t>GOODKNIGHT H,JEANNE</t>
  </si>
  <si>
    <t>H3959-036</t>
  </si>
  <si>
    <t>8PQ6FG5YX59</t>
  </si>
  <si>
    <t>NG102235583800</t>
  </si>
  <si>
    <t>GORDON A,LYNN</t>
  </si>
  <si>
    <t>1V81VD7XX25</t>
  </si>
  <si>
    <t>NG102254394100</t>
  </si>
  <si>
    <t>GRONOWSKI A,LYNN</t>
  </si>
  <si>
    <t>7T32D81CE15</t>
  </si>
  <si>
    <t>NG102254388600</t>
  </si>
  <si>
    <t>GRONOWSKI J,GERARD</t>
  </si>
  <si>
    <t>5VG9M06GM43</t>
  </si>
  <si>
    <t>NG102241978000</t>
  </si>
  <si>
    <t>HARRISON K,RAMONA</t>
  </si>
  <si>
    <t>5ET2R81VA13</t>
  </si>
  <si>
    <t>NG102241430500</t>
  </si>
  <si>
    <t>HARSTON ALFRED A,MABLE</t>
  </si>
  <si>
    <t>5TJ6A91WU71</t>
  </si>
  <si>
    <t>NG102088624600</t>
  </si>
  <si>
    <t>HARTER G,JAMES</t>
  </si>
  <si>
    <t>H5521-286</t>
  </si>
  <si>
    <t>Walenga, Dale</t>
  </si>
  <si>
    <t>5MK9AR1AA27</t>
  </si>
  <si>
    <t>NG102257034100</t>
  </si>
  <si>
    <t>HARTER S,LUCINDA</t>
  </si>
  <si>
    <t>H5521-289</t>
  </si>
  <si>
    <t>9F85UM5QP80</t>
  </si>
  <si>
    <t>NG102255421500</t>
  </si>
  <si>
    <t>HARVEY B,JAMES</t>
  </si>
  <si>
    <t>4F06HE4DY40</t>
  </si>
  <si>
    <t>NG101040206500</t>
  </si>
  <si>
    <t>HAUSER J,PATRICIA</t>
  </si>
  <si>
    <t>9GC8K20RF44</t>
  </si>
  <si>
    <t>NG101040415500</t>
  </si>
  <si>
    <t>HAUSER L,RICHARD</t>
  </si>
  <si>
    <t>6X08M09JY28</t>
  </si>
  <si>
    <t>NG101052495000</t>
  </si>
  <si>
    <t>HAWK B,MARSHALL</t>
  </si>
  <si>
    <t>5U07J79UQ31</t>
  </si>
  <si>
    <t>NG102241910200</t>
  </si>
  <si>
    <t>HENSON A,GREGORY</t>
  </si>
  <si>
    <t>H7301-034</t>
  </si>
  <si>
    <t>1KP8X12CJ27</t>
  </si>
  <si>
    <t>NG102250531700</t>
  </si>
  <si>
    <t>HERNANDEZ,KRISTIN</t>
  </si>
  <si>
    <t>TX</t>
  </si>
  <si>
    <t>IMM618</t>
  </si>
  <si>
    <t>H2293-016</t>
  </si>
  <si>
    <t>Shulman, Jake</t>
  </si>
  <si>
    <t>8AF7VG9AP64</t>
  </si>
  <si>
    <t>NG102248663600</t>
  </si>
  <si>
    <t>HIERMEIER L,BEVERLY</t>
  </si>
  <si>
    <t>9G48E16DN63</t>
  </si>
  <si>
    <t>NG102230373800</t>
  </si>
  <si>
    <t>HILL J,BARBARA</t>
  </si>
  <si>
    <t>8QG2AG6WT88</t>
  </si>
  <si>
    <t>NG102230090800</t>
  </si>
  <si>
    <t>HILL L,WILLIAM</t>
  </si>
  <si>
    <t>4YR1M28DC33</t>
  </si>
  <si>
    <t>NG102230703000</t>
  </si>
  <si>
    <t>HINCHBERGER L,LINDA</t>
  </si>
  <si>
    <t>H5522-005</t>
  </si>
  <si>
    <t>3R00V07MR02</t>
  </si>
  <si>
    <t>NG102214629900</t>
  </si>
  <si>
    <t>HINDS D,DONALD</t>
  </si>
  <si>
    <t>7X46CA1RA63</t>
  </si>
  <si>
    <t>NG102243111900</t>
  </si>
  <si>
    <t>HIRSCH A,KATHERINE</t>
  </si>
  <si>
    <t>4G93PV9NF01</t>
  </si>
  <si>
    <t>NG102254527700</t>
  </si>
  <si>
    <t>HOLIDAY C,RICHARD</t>
  </si>
  <si>
    <t>NY</t>
  </si>
  <si>
    <t>Involuntary Pro-Rata Payment</t>
  </si>
  <si>
    <t>IMM615</t>
  </si>
  <si>
    <t>H5521-120</t>
  </si>
  <si>
    <t>Involuntarily Rapid Disenroll</t>
  </si>
  <si>
    <t>6U15EP6CV76</t>
  </si>
  <si>
    <t>NG102253394300</t>
  </si>
  <si>
    <t>HOLLEY J,LISA</t>
  </si>
  <si>
    <t>H0628-013</t>
  </si>
  <si>
    <t>8EP4UE8GD82</t>
  </si>
  <si>
    <t>NG102229878600</t>
  </si>
  <si>
    <t>HOWE M,EULA</t>
  </si>
  <si>
    <t>6MU3M82YQ76</t>
  </si>
  <si>
    <t>NG102250766000</t>
  </si>
  <si>
    <t>JACKSON H,CATHERINE</t>
  </si>
  <si>
    <t>H3959-052</t>
  </si>
  <si>
    <t>9G87Q80MQ49</t>
  </si>
  <si>
    <t>NG102255132900</t>
  </si>
  <si>
    <t>JOHNSTON L,SANDRA</t>
  </si>
  <si>
    <t>2RM9EQ2PG33</t>
  </si>
  <si>
    <t>NG102256266800</t>
  </si>
  <si>
    <t>JONES D,BRYCE</t>
  </si>
  <si>
    <t>8G77VX2MR59</t>
  </si>
  <si>
    <t>NG102222211400</t>
  </si>
  <si>
    <t>JONES J,VALERIE</t>
  </si>
  <si>
    <t>7D76WK0WX83</t>
  </si>
  <si>
    <t>NG102242109600</t>
  </si>
  <si>
    <t>KANE K,MICHAEL</t>
  </si>
  <si>
    <t>MI</t>
  </si>
  <si>
    <t>8Y45PH1JU78</t>
  </si>
  <si>
    <t>NG101942229700</t>
  </si>
  <si>
    <t>KENT D,JUDY</t>
  </si>
  <si>
    <t>WUENSCH, RICHARD</t>
  </si>
  <si>
    <t>2VQ7WU0YJ77</t>
  </si>
  <si>
    <t>NG102250709700</t>
  </si>
  <si>
    <t>KHAM,OUN</t>
  </si>
  <si>
    <t>7W63N60FK73</t>
  </si>
  <si>
    <t>NG102230820400</t>
  </si>
  <si>
    <t>KINSEY R,MICHELE</t>
  </si>
  <si>
    <t>9Y42CK3JU08</t>
  </si>
  <si>
    <t>NG102228552100</t>
  </si>
  <si>
    <t>KIRSCH D,GAYLE</t>
  </si>
  <si>
    <t>4R32HC9YH90</t>
  </si>
  <si>
    <t>NG101052135000</t>
  </si>
  <si>
    <t>KOCHMAR J,GERALD</t>
  </si>
  <si>
    <t>8X93P99AR91</t>
  </si>
  <si>
    <t>NG101083195000</t>
  </si>
  <si>
    <t>KOCHMAR L,DOMINICA</t>
  </si>
  <si>
    <t xml:space="preserve">6534814HPA       </t>
  </si>
  <si>
    <t>KOCHMAR,DOMINICA L</t>
  </si>
  <si>
    <t>IMM001</t>
  </si>
  <si>
    <t xml:space="preserve">6534826HPA       </t>
  </si>
  <si>
    <t>KOCHMAR,GERALD J</t>
  </si>
  <si>
    <t>4G06MU3UV55</t>
  </si>
  <si>
    <t>NG102231637700</t>
  </si>
  <si>
    <t>KRAWIEC E,NANCY</t>
  </si>
  <si>
    <t>Choi, Andrew</t>
  </si>
  <si>
    <t>5GM3D01GX76</t>
  </si>
  <si>
    <t>NG102231593500</t>
  </si>
  <si>
    <t>KRAWIEC P,KENNETH</t>
  </si>
  <si>
    <t>2Y45FK3JU88</t>
  </si>
  <si>
    <t>NG102227121800</t>
  </si>
  <si>
    <t>LAPE D,DIANA</t>
  </si>
  <si>
    <t>H0628-038</t>
  </si>
  <si>
    <t>2NJ5N45UK54</t>
  </si>
  <si>
    <t>NG102256074200</t>
  </si>
  <si>
    <t>LEFEVER J,SANDRA</t>
  </si>
  <si>
    <t>5X34WJ4UE95</t>
  </si>
  <si>
    <t>NG102226592800</t>
  </si>
  <si>
    <t>LESHER J,TIMOTHY</t>
  </si>
  <si>
    <t>H5521-263</t>
  </si>
  <si>
    <t>8DR7J09RJ79</t>
  </si>
  <si>
    <t>NG102248185200</t>
  </si>
  <si>
    <t>LESTER R,CIERRA</t>
  </si>
  <si>
    <t>3R76Y49MD50</t>
  </si>
  <si>
    <t>NG102219478400</t>
  </si>
  <si>
    <t>LOPEZ,CELIA</t>
  </si>
  <si>
    <t>Shapiro, Robert</t>
  </si>
  <si>
    <t>5R39T40MH00</t>
  </si>
  <si>
    <t>NG102225774900</t>
  </si>
  <si>
    <t>LUTZ L,TAMMY</t>
  </si>
  <si>
    <t>6UJ9JM2PC17</t>
  </si>
  <si>
    <t>NG102245909400</t>
  </si>
  <si>
    <t>MAGEE S,RICHARD</t>
  </si>
  <si>
    <t>H3959-011</t>
  </si>
  <si>
    <t>2V79E63RU51</t>
  </si>
  <si>
    <t>NG102246566400</t>
  </si>
  <si>
    <t>MALAYTHONG,NANG</t>
  </si>
  <si>
    <t>7ED2DK0XG06</t>
  </si>
  <si>
    <t>NG102241559400</t>
  </si>
  <si>
    <t>MALINOWSKI A,JEFFREY</t>
  </si>
  <si>
    <t>1XR2WJ4YJ99</t>
  </si>
  <si>
    <t>NG102251351600</t>
  </si>
  <si>
    <t>MALONE P,JANICE</t>
  </si>
  <si>
    <t>7ME6GV0UA82</t>
  </si>
  <si>
    <t>NG102236010900</t>
  </si>
  <si>
    <t>MALONI M,MATTHEW</t>
  </si>
  <si>
    <t>2E62VN2GK83</t>
  </si>
  <si>
    <t>NG102216313600</t>
  </si>
  <si>
    <t>MALUCHNIK A,KAREN</t>
  </si>
  <si>
    <t>Allen, James</t>
  </si>
  <si>
    <t>7U62FR8HF10</t>
  </si>
  <si>
    <t>NG102216411000</t>
  </si>
  <si>
    <t>MALUCHNIK E,RANDY</t>
  </si>
  <si>
    <t>7RX8MM3MU22</t>
  </si>
  <si>
    <t>NG102257274900</t>
  </si>
  <si>
    <t>MANKO W,DAVID</t>
  </si>
  <si>
    <t>McCorkle, Michelle</t>
  </si>
  <si>
    <t>3QC0DJ1CY20</t>
  </si>
  <si>
    <t>NG102255161600</t>
  </si>
  <si>
    <t>MANSOUR M,MONICA</t>
  </si>
  <si>
    <t>6FH3A44EW82</t>
  </si>
  <si>
    <t>NG102228477200</t>
  </si>
  <si>
    <t>MARI E,HELGA</t>
  </si>
  <si>
    <t>Weller, Nathan</t>
  </si>
  <si>
    <t>7CJ5VK9XD50</t>
  </si>
  <si>
    <t>NG102226985300</t>
  </si>
  <si>
    <t>MASON D,LYNETTE</t>
  </si>
  <si>
    <t>HANSFORD, GREGORY</t>
  </si>
  <si>
    <t>6J10A22YR33</t>
  </si>
  <si>
    <t>NG102224835300</t>
  </si>
  <si>
    <t>MASON H,MORRIS</t>
  </si>
  <si>
    <t>3H75FM8XU71</t>
  </si>
  <si>
    <t>NG101074629800</t>
  </si>
  <si>
    <t>MCDOWELL D,ROBERT</t>
  </si>
  <si>
    <t>5HV6M99EP75</t>
  </si>
  <si>
    <t>NG101061204400</t>
  </si>
  <si>
    <t>MCFARLAND A,REGINA</t>
  </si>
  <si>
    <t>2V02NQ8KH85</t>
  </si>
  <si>
    <t>NG102253822400</t>
  </si>
  <si>
    <t>MELCHIORRE A,LORI</t>
  </si>
  <si>
    <t>H3959-001</t>
  </si>
  <si>
    <t>1XP0N77FG05</t>
  </si>
  <si>
    <t>NG102232576500</t>
  </si>
  <si>
    <t>MERCER D,STEVE</t>
  </si>
  <si>
    <t>H0628-017</t>
  </si>
  <si>
    <t>6VJ3UT7GV82</t>
  </si>
  <si>
    <t>NG102257592400</t>
  </si>
  <si>
    <t>MERKEL S,ELAINE</t>
  </si>
  <si>
    <t>1PC7C26FG74</t>
  </si>
  <si>
    <t>NG102254077200</t>
  </si>
  <si>
    <t>MICKELSON K,DAVID</t>
  </si>
  <si>
    <t>IMM603</t>
  </si>
  <si>
    <t>H3931-146</t>
  </si>
  <si>
    <t>6HC9K52KP51</t>
  </si>
  <si>
    <t>NG102241742900</t>
  </si>
  <si>
    <t>MILLER A,MARYTHERESA</t>
  </si>
  <si>
    <t>1YM5UF8FX56</t>
  </si>
  <si>
    <t>NG102241826800</t>
  </si>
  <si>
    <t>MILLER D,BENJAMIN</t>
  </si>
  <si>
    <t>8MK2C27DD09</t>
  </si>
  <si>
    <t>NG102245700500</t>
  </si>
  <si>
    <t>MILLER L,JEFFREY</t>
  </si>
  <si>
    <t>4EC7JW7UE53</t>
  </si>
  <si>
    <t>NG102224747400</t>
  </si>
  <si>
    <t>MILLER S,JANET</t>
  </si>
  <si>
    <t>IA</t>
  </si>
  <si>
    <t>IMM610</t>
  </si>
  <si>
    <t>H1609-001</t>
  </si>
  <si>
    <t>7R79PU4WT29</t>
  </si>
  <si>
    <t>NG101496289100</t>
  </si>
  <si>
    <t>MONKS B,KEITH</t>
  </si>
  <si>
    <t>5FY5PF7RA70</t>
  </si>
  <si>
    <t>NG101085313800</t>
  </si>
  <si>
    <t>MONTELEONE G,DIANE</t>
  </si>
  <si>
    <t>Exception</t>
  </si>
  <si>
    <t>5P64QW8RM93</t>
  </si>
  <si>
    <t>NG101059707300</t>
  </si>
  <si>
    <t>MOZUCH P,THOMAS</t>
  </si>
  <si>
    <t>6TN6WU7FM68</t>
  </si>
  <si>
    <t>NG102208803900</t>
  </si>
  <si>
    <t>MYERS S,CARL</t>
  </si>
  <si>
    <t>5KU8QE6HJ61</t>
  </si>
  <si>
    <t>NG102254238500</t>
  </si>
  <si>
    <t>NIEDZIOLKA,BARBARA</t>
  </si>
  <si>
    <t>2JW2YH2KW02</t>
  </si>
  <si>
    <t>NG102209455600</t>
  </si>
  <si>
    <t>NORBY M,MARGARET</t>
  </si>
  <si>
    <t>2KR3HN5MQ04</t>
  </si>
  <si>
    <t>NG102200263800</t>
  </si>
  <si>
    <t>NORRIS A,JERRY</t>
  </si>
  <si>
    <t>1J93CG7XA80</t>
  </si>
  <si>
    <t>NG102250857100</t>
  </si>
  <si>
    <t>NOVY A,CAROL</t>
  </si>
  <si>
    <t>OH9999999</t>
  </si>
  <si>
    <t>ME0000OH</t>
  </si>
  <si>
    <t>OHIO, JANE</t>
  </si>
  <si>
    <t>HRA</t>
  </si>
  <si>
    <t>PPO</t>
  </si>
  <si>
    <t>H5521-087</t>
  </si>
  <si>
    <t>HRA/T1260008138097A/18142208/ROSE_MICHAEL</t>
  </si>
  <si>
    <t>MAIN LINE BENEFITS LLC</t>
  </si>
  <si>
    <t>N/A</t>
  </si>
  <si>
    <t>HRA/H849U2923B/19491313/SINGLETON_CYNTHIA</t>
  </si>
  <si>
    <t>6QA2PP6CY90</t>
  </si>
  <si>
    <t>NG101324402000</t>
  </si>
  <si>
    <t>OLSON H,RICHARD</t>
  </si>
  <si>
    <t>TN</t>
  </si>
  <si>
    <t>IMM609</t>
  </si>
  <si>
    <t>H3146-012</t>
  </si>
  <si>
    <t>7E98DA6TF42</t>
  </si>
  <si>
    <t>NG102207894600</t>
  </si>
  <si>
    <t>PATTERSON J,BRUCE</t>
  </si>
  <si>
    <t>8T68R39PC65</t>
  </si>
  <si>
    <t>NG102204681700</t>
  </si>
  <si>
    <t>PENDRED E,MARK</t>
  </si>
  <si>
    <t>4HX0NF1YF01</t>
  </si>
  <si>
    <t>NG102254954300</t>
  </si>
  <si>
    <t>POLCYN J,MICHAEL</t>
  </si>
  <si>
    <t>SCHUMANN, BARRY</t>
  </si>
  <si>
    <t>3XR8RY1HG37</t>
  </si>
  <si>
    <t>NG102248651000</t>
  </si>
  <si>
    <t>POPA R,KATHY</t>
  </si>
  <si>
    <t>9EP9M27VT34</t>
  </si>
  <si>
    <t>NG102231667500</t>
  </si>
  <si>
    <t>PRITTS E,MELVIN</t>
  </si>
  <si>
    <t>2WU4V02WQ06</t>
  </si>
  <si>
    <t>NG101099652800</t>
  </si>
  <si>
    <t>RAPP C,A</t>
  </si>
  <si>
    <t>7NM7E43YN47</t>
  </si>
  <si>
    <t>NG101181584700</t>
  </si>
  <si>
    <t>RAPP S,MARK</t>
  </si>
  <si>
    <t>9KK2GC4QN87</t>
  </si>
  <si>
    <t>NG102244762600</t>
  </si>
  <si>
    <t>RASOR L,JEFFREY</t>
  </si>
  <si>
    <t>H7301-027</t>
  </si>
  <si>
    <t>8KX0KH6PM26</t>
  </si>
  <si>
    <t>NG102244921900</t>
  </si>
  <si>
    <t>RASOR S,KATHY</t>
  </si>
  <si>
    <t>3N38RF3WF65</t>
  </si>
  <si>
    <t>NG102239697200</t>
  </si>
  <si>
    <t>REID A,KAREN</t>
  </si>
  <si>
    <t>5C92GT6WA80</t>
  </si>
  <si>
    <t>NG102218928100</t>
  </si>
  <si>
    <t>REISCHL R,LESTER</t>
  </si>
  <si>
    <t>SD</t>
  </si>
  <si>
    <t>H1608-120</t>
  </si>
  <si>
    <t>1TT3K31WK91</t>
  </si>
  <si>
    <t>NG102228492100</t>
  </si>
  <si>
    <t>RICHARDSON E,DOUGLAS</t>
  </si>
  <si>
    <t>7RY2YT4HP99</t>
  </si>
  <si>
    <t>NG102254727000</t>
  </si>
  <si>
    <t>ROSUS,CATHY</t>
  </si>
  <si>
    <t>9QK8H47TM36</t>
  </si>
  <si>
    <t>NG101643264700</t>
  </si>
  <si>
    <t>RUSK M,EDITH</t>
  </si>
  <si>
    <t>Yale, Richard</t>
  </si>
  <si>
    <t>7NM4CE7TU02</t>
  </si>
  <si>
    <t>NG102207957400</t>
  </si>
  <si>
    <t>SACKETT M,SHARON</t>
  </si>
  <si>
    <t>H5521-088</t>
  </si>
  <si>
    <t>9VU5FM9HM53</t>
  </si>
  <si>
    <t>NG102241294500</t>
  </si>
  <si>
    <t>SANTANIELLO,DOMINIQUE</t>
  </si>
  <si>
    <t>H3959-035</t>
  </si>
  <si>
    <t>Richter Peter</t>
  </si>
  <si>
    <t>3H97HK4RW55</t>
  </si>
  <si>
    <t>NG101990343500</t>
  </si>
  <si>
    <t>SCALISE L,CINDY</t>
  </si>
  <si>
    <t>BENDER, CHAD</t>
  </si>
  <si>
    <t>8PR1DD1MW09</t>
  </si>
  <si>
    <t>NG102239176200</t>
  </si>
  <si>
    <t>SCHRAMM P,ERWIN</t>
  </si>
  <si>
    <t>5H15KK8UX68</t>
  </si>
  <si>
    <t>NG101298337900</t>
  </si>
  <si>
    <t>SCHUSTER K,ELLEN</t>
  </si>
  <si>
    <t>H5521-688</t>
  </si>
  <si>
    <t>6CV3EJ1PA15</t>
  </si>
  <si>
    <t>NG101109436500</t>
  </si>
  <si>
    <t>SHEETZ K,SUSAN</t>
  </si>
  <si>
    <t>1YA7Q72CF33</t>
  </si>
  <si>
    <t>NG102228026900</t>
  </si>
  <si>
    <t>SKAGGS J,KIM</t>
  </si>
  <si>
    <t>7U28GX9HJ10</t>
  </si>
  <si>
    <t>NG102214022500</t>
  </si>
  <si>
    <t>SLEEPER M,NICHOLE</t>
  </si>
  <si>
    <t>9Y90D92DH44</t>
  </si>
  <si>
    <t>NG102248629500</t>
  </si>
  <si>
    <t>SUNDSTROM V,RODNEY</t>
  </si>
  <si>
    <t>NC</t>
  </si>
  <si>
    <t>H5521-348</t>
  </si>
  <si>
    <t>GONZALEZ, LENSIE</t>
  </si>
  <si>
    <t>4DJ7CT4HJ53</t>
  </si>
  <si>
    <t>NG102213306000</t>
  </si>
  <si>
    <t>SYLVESTER L,SHARON</t>
  </si>
  <si>
    <t>4UA2VN4AJ96</t>
  </si>
  <si>
    <t>NG102248541400</t>
  </si>
  <si>
    <t>TERLESKI E,MARGARET</t>
  </si>
  <si>
    <t>H5522-022</t>
  </si>
  <si>
    <t>Stocker, Ryan</t>
  </si>
  <si>
    <t>1Q21ND4EE94</t>
  </si>
  <si>
    <t>NG102241376400</t>
  </si>
  <si>
    <t>TERRA M,CHRISTINE</t>
  </si>
  <si>
    <t>1X54JK2RA93</t>
  </si>
  <si>
    <t>NG102243749700</t>
  </si>
  <si>
    <t>TERRY A,KEEGAN</t>
  </si>
  <si>
    <t>3MD5A94KG85</t>
  </si>
  <si>
    <t>NG102213342900</t>
  </si>
  <si>
    <t>THROWER M,KAREN</t>
  </si>
  <si>
    <t>8QR1RC0WJ38</t>
  </si>
  <si>
    <t>NG101718422000</t>
  </si>
  <si>
    <t>TORRES Y,ELVIA</t>
  </si>
  <si>
    <t>Torres, Jose</t>
  </si>
  <si>
    <t>8J30P63WM11</t>
  </si>
  <si>
    <t>NG102234670000</t>
  </si>
  <si>
    <t>TRACY K,JOHN</t>
  </si>
  <si>
    <t>7KA7YD1WT53</t>
  </si>
  <si>
    <t>NG102211743600</t>
  </si>
  <si>
    <t>TRIMBLE A,JUDITH</t>
  </si>
  <si>
    <t>3GY2G03VX96</t>
  </si>
  <si>
    <t>NG102239327900</t>
  </si>
  <si>
    <t>TURNER J,SAM</t>
  </si>
  <si>
    <t>8E38A74FH20</t>
  </si>
  <si>
    <t>NG102241906300</t>
  </si>
  <si>
    <t>TYMOSZCZUK W,MICHAEL</t>
  </si>
  <si>
    <t>9XF6PW0XU78</t>
  </si>
  <si>
    <t>NG102254726600</t>
  </si>
  <si>
    <t>VARI R,JOANGELA</t>
  </si>
  <si>
    <t>6UK7NV9RD49</t>
  </si>
  <si>
    <t>NG102256472800</t>
  </si>
  <si>
    <t>VEGA,EVELYN</t>
  </si>
  <si>
    <t>3JW7RE0JU31</t>
  </si>
  <si>
    <t>NG102239674100</t>
  </si>
  <si>
    <t>VINCENTI D,LEWIS</t>
  </si>
  <si>
    <t>4E88WN7EF21</t>
  </si>
  <si>
    <t>NG102255620200</t>
  </si>
  <si>
    <t>WALSH B,JANICE</t>
  </si>
  <si>
    <t>SC</t>
  </si>
  <si>
    <t>H5521-140</t>
  </si>
  <si>
    <t>H5521-279</t>
  </si>
  <si>
    <t>2PH3MW0NF19</t>
  </si>
  <si>
    <t>NG102202980500</t>
  </si>
  <si>
    <t>WARRENBURG R,DEIRDRE</t>
  </si>
  <si>
    <t>H5521-231</t>
  </si>
  <si>
    <t>Green, Danna</t>
  </si>
  <si>
    <t>9YJ1WQ3PW13</t>
  </si>
  <si>
    <t>NG102248570800</t>
  </si>
  <si>
    <t>WELDON M,ANGELA</t>
  </si>
  <si>
    <t>1TE8UE0EV57</t>
  </si>
  <si>
    <t>NG102224942800</t>
  </si>
  <si>
    <t>WHITLEY K,LINDA</t>
  </si>
  <si>
    <t>7Q77MW7NQ40</t>
  </si>
  <si>
    <t>NG102208227400</t>
  </si>
  <si>
    <t>WHITNEY R,ROBERT</t>
  </si>
  <si>
    <t>7A76Y46QA65</t>
  </si>
  <si>
    <t>NG102206448600</t>
  </si>
  <si>
    <t>WILHELM A,JOYCE</t>
  </si>
  <si>
    <t>8XW2U82DD80</t>
  </si>
  <si>
    <t>NG102250452900</t>
  </si>
  <si>
    <t>WILKINSON J,SALLY</t>
  </si>
  <si>
    <t>H0523-065</t>
  </si>
  <si>
    <t>8R11P62KQ21</t>
  </si>
  <si>
    <t>NG102233509800</t>
  </si>
  <si>
    <t>WILLIAMS E,BARRY</t>
  </si>
  <si>
    <t>2K06KA5YG64</t>
  </si>
  <si>
    <t>NG102251761000</t>
  </si>
  <si>
    <t>WILLIAMS R,MICHAEL</t>
  </si>
  <si>
    <t>7E50KK4WP45</t>
  </si>
  <si>
    <t>NG102254768700</t>
  </si>
  <si>
    <t>WILSON H,ELIZABETH</t>
  </si>
  <si>
    <t>9HJ9NN2HR38</t>
  </si>
  <si>
    <t>NG102228592300</t>
  </si>
  <si>
    <t>WINN N,LARRY</t>
  </si>
  <si>
    <t>H4523-024</t>
  </si>
  <si>
    <t>8V34QX8KE65</t>
  </si>
  <si>
    <t>NG101109336900</t>
  </si>
  <si>
    <t>WUNDERLE L,DIANNE</t>
  </si>
  <si>
    <t>1ME5YG2HC63</t>
  </si>
  <si>
    <t>NG102243147300</t>
  </si>
  <si>
    <t>YEAKEL W,MATTHEW</t>
  </si>
  <si>
    <t>3QD8RR9NP42</t>
  </si>
  <si>
    <t>NG102244065300</t>
  </si>
  <si>
    <t>ZIPP D,RODNEY</t>
  </si>
  <si>
    <t>H3288-006</t>
  </si>
  <si>
    <t>7JR5GF8MA82</t>
  </si>
  <si>
    <t>NG102244049900</t>
  </si>
  <si>
    <t>ZIPP L,DONNA</t>
  </si>
  <si>
    <t>Total Payee Amount: $374485.90</t>
  </si>
  <si>
    <t>Aetna MAPD 2025</t>
  </si>
  <si>
    <t>Aetna MAPD OVR 2025</t>
  </si>
  <si>
    <t>Aetna 2026 CA, NJ*</t>
  </si>
  <si>
    <t>[%/$=432][prorate=12/12]</t>
  </si>
  <si>
    <t>[%/$=626]</t>
  </si>
  <si>
    <t>[%/$=391][prorate=12/12]</t>
  </si>
  <si>
    <t>Aetna 2026 CT, PA, DC *</t>
  </si>
  <si>
    <t>Aetna MAPD 2026*</t>
  </si>
  <si>
    <t>[%/$=347][prorate=12/12]</t>
  </si>
  <si>
    <t>[%/$=391][prorate=11/12]</t>
  </si>
  <si>
    <t>[%/$=347][prorate=11/12]</t>
  </si>
  <si>
    <t>[%/$=391][prorate=10/12]</t>
  </si>
  <si>
    <t>Aetna 2026</t>
  </si>
  <si>
    <t>[%/$=694][prorate=11/12]</t>
  </si>
  <si>
    <t>Aetna 2026 CT, PA, DC</t>
  </si>
  <si>
    <t>[%/$=694]</t>
  </si>
  <si>
    <t>[%/$=781][prorate=11/12]</t>
  </si>
  <si>
    <t>[%/$=781]</t>
  </si>
  <si>
    <t>Aetna 2025 CT, PA, DC</t>
  </si>
  <si>
    <t>[%/$=705]</t>
  </si>
  <si>
    <t>Aetna 2026 CA, NJ</t>
  </si>
  <si>
    <t>[%/$=864]</t>
  </si>
  <si>
    <t>[%/$=391][prorate=1/12]</t>
  </si>
  <si>
    <t>[%/$=347][prorate=1/12]</t>
  </si>
  <si>
    <t>Main Line Benefits</t>
  </si>
  <si>
    <t>17528908N</t>
  </si>
  <si>
    <t>18710070N</t>
  </si>
  <si>
    <t>MALUCHNIK</t>
  </si>
  <si>
    <t>A</t>
  </si>
  <si>
    <t>KAREN</t>
  </si>
  <si>
    <t>RANDY</t>
  </si>
  <si>
    <t>SCALISE</t>
  </si>
  <si>
    <t>CINDY</t>
  </si>
  <si>
    <t>CADDY</t>
  </si>
  <si>
    <t>DAVID</t>
  </si>
  <si>
    <t>LAPE</t>
  </si>
  <si>
    <t>DIANA</t>
  </si>
  <si>
    <t>BOWEN</t>
  </si>
  <si>
    <t>GAYLE</t>
  </si>
  <si>
    <t>MERCER</t>
  </si>
  <si>
    <t>STEVE</t>
  </si>
  <si>
    <t>TYMOSZCZUK</t>
  </si>
  <si>
    <t>MICHAEL</t>
  </si>
  <si>
    <t>BECK</t>
  </si>
  <si>
    <t>VERLON</t>
  </si>
  <si>
    <t>MALONE</t>
  </si>
  <si>
    <t>JANICE</t>
  </si>
  <si>
    <t>HOLIDAY</t>
  </si>
  <si>
    <t>C</t>
  </si>
  <si>
    <t>RICHARD</t>
  </si>
  <si>
    <t>KRAWIEC</t>
  </si>
  <si>
    <t>NANCY</t>
  </si>
  <si>
    <t>KENNETH</t>
  </si>
  <si>
    <t>WILSON</t>
  </si>
  <si>
    <t>ELIZABETH</t>
  </si>
  <si>
    <t>ALVIS</t>
  </si>
  <si>
    <t>JEFFERY</t>
  </si>
  <si>
    <t>NORBY</t>
  </si>
  <si>
    <t>MARGARET</t>
  </si>
  <si>
    <t>PATTERSON</t>
  </si>
  <si>
    <t>BRUCE</t>
  </si>
  <si>
    <t>SYLVESTER</t>
  </si>
  <si>
    <t>SHARON</t>
  </si>
  <si>
    <t>WUNDERLE</t>
  </si>
  <si>
    <t>DIANNE</t>
  </si>
  <si>
    <t>DIPIETRANTONIO</t>
  </si>
  <si>
    <t>DOCTORIAN</t>
  </si>
  <si>
    <t>MELANIA</t>
  </si>
  <si>
    <t>FINNEY</t>
  </si>
  <si>
    <t>KATHLEEN</t>
  </si>
  <si>
    <t>HENSON</t>
  </si>
  <si>
    <t>GREGORY</t>
  </si>
  <si>
    <t>HIRSCH</t>
  </si>
  <si>
    <t>KATHERINE</t>
  </si>
  <si>
    <t>MALINOWSKI</t>
  </si>
  <si>
    <t>JEFFREY</t>
  </si>
  <si>
    <t>WALSH</t>
  </si>
  <si>
    <t>ARRASMITH</t>
  </si>
  <si>
    <t>JOHN</t>
  </si>
  <si>
    <t>ATKINS</t>
  </si>
  <si>
    <t>TERRY</t>
  </si>
  <si>
    <t>DONATH</t>
  </si>
  <si>
    <t>SLEEPER</t>
  </si>
  <si>
    <t>NICHOLE</t>
  </si>
  <si>
    <t>GILLES</t>
  </si>
  <si>
    <t>JONES</t>
  </si>
  <si>
    <t>BRYCE</t>
  </si>
  <si>
    <t>VEGA</t>
  </si>
  <si>
    <t>EVELYN</t>
  </si>
  <si>
    <t>TRIMBLE</t>
  </si>
  <si>
    <t>JUDITH</t>
  </si>
  <si>
    <t>VARI</t>
  </si>
  <si>
    <t>JOANGELA</t>
  </si>
  <si>
    <t>JACKSON</t>
  </si>
  <si>
    <t>CATHERINE</t>
  </si>
  <si>
    <t>WILLIAMS</t>
  </si>
  <si>
    <t>BARRY</t>
  </si>
  <si>
    <t>BATOG</t>
  </si>
  <si>
    <t>WALTER</t>
  </si>
  <si>
    <t>CHAVEZ</t>
  </si>
  <si>
    <t>FARIAS</t>
  </si>
  <si>
    <t>SUNDSTROM</t>
  </si>
  <si>
    <t>RODNEY</t>
  </si>
  <si>
    <t>WARRENBURG</t>
  </si>
  <si>
    <t>DEIRDRE</t>
  </si>
  <si>
    <t>WHITNEY</t>
  </si>
  <si>
    <t>ROBERT</t>
  </si>
  <si>
    <t>MASON</t>
  </si>
  <si>
    <t>LYNETTE</t>
  </si>
  <si>
    <t>MORRIS</t>
  </si>
  <si>
    <t>WINN</t>
  </si>
  <si>
    <t>LARRY</t>
  </si>
  <si>
    <t>GOMEZ</t>
  </si>
  <si>
    <t>MARIA</t>
  </si>
  <si>
    <t>DEMATTEO</t>
  </si>
  <si>
    <t>RAYMOND</t>
  </si>
  <si>
    <t>CASTRO</t>
  </si>
  <si>
    <t>ROSARIO</t>
  </si>
  <si>
    <t>SKAGGS</t>
  </si>
  <si>
    <t>KIM</t>
  </si>
  <si>
    <t>HAUSER</t>
  </si>
  <si>
    <t>PATRICIA</t>
  </si>
  <si>
    <t>BOYD</t>
  </si>
  <si>
    <t>BARBARA</t>
  </si>
  <si>
    <t>BALDWIN</t>
  </si>
  <si>
    <t>ANNETTE</t>
  </si>
  <si>
    <t>HOWE</t>
  </si>
  <si>
    <t>EULA</t>
  </si>
  <si>
    <t>KIRSCH</t>
  </si>
  <si>
    <t>RICHARDSON</t>
  </si>
  <si>
    <t>DOUGLAS</t>
  </si>
  <si>
    <t>ADAMS</t>
  </si>
  <si>
    <t>SCOTT</t>
  </si>
  <si>
    <t>BELLAIRE</t>
  </si>
  <si>
    <t>HOWARD</t>
  </si>
  <si>
    <t>CULBERTSON</t>
  </si>
  <si>
    <t>CONSTANCE</t>
  </si>
  <si>
    <t>LESTER</t>
  </si>
  <si>
    <t>CIERRA</t>
  </si>
  <si>
    <t>MANSOUR</t>
  </si>
  <si>
    <t>MONICA</t>
  </si>
  <si>
    <t>MELCHIORRE</t>
  </si>
  <si>
    <t>LORI</t>
  </si>
  <si>
    <t>MILLER</t>
  </si>
  <si>
    <t>MARYTHERESA</t>
  </si>
  <si>
    <t>BENJAMIN</t>
  </si>
  <si>
    <t>PENDRED</t>
  </si>
  <si>
    <t>MARK</t>
  </si>
  <si>
    <t>POPA</t>
  </si>
  <si>
    <t>KATHY</t>
  </si>
  <si>
    <t>ROSUS</t>
  </si>
  <si>
    <t>CATHY</t>
  </si>
  <si>
    <t>VINCENTI</t>
  </si>
  <si>
    <t>LEWIS</t>
  </si>
  <si>
    <t>MERKEL</t>
  </si>
  <si>
    <t>ELAINE</t>
  </si>
  <si>
    <t>MCDOWELL</t>
  </si>
  <si>
    <t>MOZUCH</t>
  </si>
  <si>
    <t>THOMAS</t>
  </si>
  <si>
    <t>RAPP</t>
  </si>
  <si>
    <t>SHEETZ</t>
  </si>
  <si>
    <t>SUSAN</t>
  </si>
  <si>
    <t>WELDON</t>
  </si>
  <si>
    <t>ANGELA</t>
  </si>
  <si>
    <t>DICK</t>
  </si>
  <si>
    <t>SCHUSTER</t>
  </si>
  <si>
    <t>ELLEN</t>
  </si>
  <si>
    <t>GALIOTO</t>
  </si>
  <si>
    <t>FRIEDOWITZ</t>
  </si>
  <si>
    <t>RHONDA</t>
  </si>
  <si>
    <t>WILKINSON</t>
  </si>
  <si>
    <t>SALLY</t>
  </si>
  <si>
    <t>FIEBER</t>
  </si>
  <si>
    <t>GARY</t>
  </si>
  <si>
    <t>REID</t>
  </si>
  <si>
    <t>TERLESKI</t>
  </si>
  <si>
    <t>THROWER</t>
  </si>
  <si>
    <t>WILHELM</t>
  </si>
  <si>
    <t>JOYCE</t>
  </si>
  <si>
    <t>ARROJO</t>
  </si>
  <si>
    <t>LERMA</t>
  </si>
  <si>
    <t>JANE</t>
  </si>
  <si>
    <t>BYERS</t>
  </si>
  <si>
    <t>FRANKLIN</t>
  </si>
  <si>
    <t>CALHOUN</t>
  </si>
  <si>
    <t>CASILLAS</t>
  </si>
  <si>
    <t>HELEN</t>
  </si>
  <si>
    <t>CHANTHANALAY</t>
  </si>
  <si>
    <t>PHETSAMONE</t>
  </si>
  <si>
    <t>CHARLEY</t>
  </si>
  <si>
    <t>CLARK</t>
  </si>
  <si>
    <t>COONEY</t>
  </si>
  <si>
    <t>JOSEPH</t>
  </si>
  <si>
    <t>CORZATT</t>
  </si>
  <si>
    <t>MARY</t>
  </si>
  <si>
    <t>JAMES</t>
  </si>
  <si>
    <t>DEVOS</t>
  </si>
  <si>
    <t>DOBROWSKI</t>
  </si>
  <si>
    <t>GORDON</t>
  </si>
  <si>
    <t>LYNN</t>
  </si>
  <si>
    <t>GRONOWSKI</t>
  </si>
  <si>
    <t>GERARD</t>
  </si>
  <si>
    <t>HARSTON</t>
  </si>
  <si>
    <t>ALFRED</t>
  </si>
  <si>
    <t>HERNANDEZ</t>
  </si>
  <si>
    <t>KRISTIN</t>
  </si>
  <si>
    <t>HIERMEIER</t>
  </si>
  <si>
    <t>BEVERLY</t>
  </si>
  <si>
    <t>HILL</t>
  </si>
  <si>
    <t>WILLIAM</t>
  </si>
  <si>
    <t>HOLLEY</t>
  </si>
  <si>
    <t>LISA</t>
  </si>
  <si>
    <t>KANE</t>
  </si>
  <si>
    <t>KHAM</t>
  </si>
  <si>
    <t>OUN</t>
  </si>
  <si>
    <t>KINSEY</t>
  </si>
  <si>
    <t>MICHELE</t>
  </si>
  <si>
    <t>MALAYTHONG</t>
  </si>
  <si>
    <t>NANG</t>
  </si>
  <si>
    <t>MICKELSON</t>
  </si>
  <si>
    <t>MYERS</t>
  </si>
  <si>
    <t>CARL</t>
  </si>
  <si>
    <t>NORRIS</t>
  </si>
  <si>
    <t>JERRY</t>
  </si>
  <si>
    <t>POLCYN</t>
  </si>
  <si>
    <t>RASOR</t>
  </si>
  <si>
    <t>REISCHL</t>
  </si>
  <si>
    <t>KEEGAN</t>
  </si>
  <si>
    <t>TORRES</t>
  </si>
  <si>
    <t>ELVIA</t>
  </si>
  <si>
    <t>TRACY</t>
  </si>
  <si>
    <t>YEAKEL</t>
  </si>
  <si>
    <t>MATTHEW</t>
  </si>
  <si>
    <t>ZIPP</t>
  </si>
  <si>
    <t>DONNA</t>
  </si>
  <si>
    <t>VALERIE</t>
  </si>
  <si>
    <t>LESHER</t>
  </si>
  <si>
    <t>TIMOTHY</t>
  </si>
  <si>
    <t>DELLETT</t>
  </si>
  <si>
    <t>STEPHEN</t>
  </si>
  <si>
    <t>DODGE</t>
  </si>
  <si>
    <t>LOPEZ</t>
  </si>
  <si>
    <t>CELIA</t>
  </si>
  <si>
    <t>MARI</t>
  </si>
  <si>
    <t>HELGA</t>
  </si>
  <si>
    <t>RUSK</t>
  </si>
  <si>
    <t>EDITH</t>
  </si>
  <si>
    <t>SACKETT</t>
  </si>
  <si>
    <t>WHITLEY</t>
  </si>
  <si>
    <t>LINDA</t>
  </si>
  <si>
    <t>BRINK</t>
  </si>
  <si>
    <t>ANNMARIE</t>
  </si>
  <si>
    <t>COLLINS</t>
  </si>
  <si>
    <t>FRY</t>
  </si>
  <si>
    <t>HARRISON</t>
  </si>
  <si>
    <t>RAMONA</t>
  </si>
  <si>
    <t>JOHNSTON</t>
  </si>
  <si>
    <t>SANDRA</t>
  </si>
  <si>
    <t>JANET</t>
  </si>
  <si>
    <t>BOULAVINOV</t>
  </si>
  <si>
    <t>DMITRI</t>
  </si>
  <si>
    <t>ERCOLE</t>
  </si>
  <si>
    <t>CAROLYN</t>
  </si>
  <si>
    <t>NIEDZIOLKA</t>
  </si>
  <si>
    <t>BENTLEY</t>
  </si>
  <si>
    <t>CANCILLA</t>
  </si>
  <si>
    <t>CONNIE</t>
  </si>
  <si>
    <t>CHEEKS</t>
  </si>
  <si>
    <t>KARL</t>
  </si>
  <si>
    <t>DOLAN</t>
  </si>
  <si>
    <t>KERI</t>
  </si>
  <si>
    <t>FERGUSON</t>
  </si>
  <si>
    <t>FLEISCHER</t>
  </si>
  <si>
    <t>HOLLY</t>
  </si>
  <si>
    <t>GIACOMANTONIO</t>
  </si>
  <si>
    <t>JODY</t>
  </si>
  <si>
    <t>HARVEY</t>
  </si>
  <si>
    <t>HINCHBERGER</t>
  </si>
  <si>
    <t>HINDS</t>
  </si>
  <si>
    <t>DONALD</t>
  </si>
  <si>
    <t>LEFEVER</t>
  </si>
  <si>
    <t>LUTZ</t>
  </si>
  <si>
    <t>TAMMY</t>
  </si>
  <si>
    <t>MALONI</t>
  </si>
  <si>
    <t>NOVY</t>
  </si>
  <si>
    <t>CAROL</t>
  </si>
  <si>
    <t>PRITTS</t>
  </si>
  <si>
    <t>MELVIN</t>
  </si>
  <si>
    <t>SCHRAMM</t>
  </si>
  <si>
    <t>ERWIN</t>
  </si>
  <si>
    <t>TURNER</t>
  </si>
  <si>
    <t>SAM</t>
  </si>
  <si>
    <t>BRYAN</t>
  </si>
  <si>
    <t>GLORIA</t>
  </si>
  <si>
    <t>MAGEE</t>
  </si>
  <si>
    <t>SANTANIELLO</t>
  </si>
  <si>
    <t>DOMINIQUE</t>
  </si>
  <si>
    <t>MONTELEONE</t>
  </si>
  <si>
    <t>DIANE</t>
  </si>
  <si>
    <t>TERRA</t>
  </si>
  <si>
    <t>CHRISTINE</t>
  </si>
  <si>
    <t>KOCHMAR</t>
  </si>
  <si>
    <t>DOMINICA</t>
  </si>
  <si>
    <t>GERALD</t>
  </si>
  <si>
    <t>BURTNER</t>
  </si>
  <si>
    <t>BRANNON</t>
  </si>
  <si>
    <t>GOODKNIGHT</t>
  </si>
  <si>
    <t>JEANNE</t>
  </si>
  <si>
    <t>HAWK</t>
  </si>
  <si>
    <t>MARSHALL</t>
  </si>
  <si>
    <t>MCFARLAND</t>
  </si>
  <si>
    <t>REGINA</t>
  </si>
  <si>
    <t>MONKS</t>
  </si>
  <si>
    <t>KEITH</t>
  </si>
  <si>
    <t>MANKO</t>
  </si>
  <si>
    <t>HARTER</t>
  </si>
  <si>
    <t>LUCINDA</t>
  </si>
  <si>
    <t>KENT</t>
  </si>
  <si>
    <t>JUDY</t>
  </si>
  <si>
    <t>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</si>
</sst>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4750-3140-4A7B-8EE6-6B0468EBE659}">
  <dimension ref="A1:X2416"/>
  <sheetViews>
    <sheetView topLeftCell="H313" workbookViewId="0">
      <selection activeCell="U242" sqref="U242:U243"/>
    </sheetView>
  </sheetViews>
  <sheetFormatPr defaultRowHeight="15" x14ac:dyDescent="0.25"/>
  <cols>
    <col min="1" max="1" width="27.5703125" bestFit="1" customWidth="1"/>
    <col min="2" max="2" width="15.5703125" bestFit="1" customWidth="1"/>
    <col min="3" max="3" width="22.5703125" bestFit="1" customWidth="1"/>
    <col min="4" max="4" width="15.7109375" bestFit="1" customWidth="1"/>
    <col min="5" max="5" width="46.42578125" bestFit="1" customWidth="1"/>
    <col min="6" max="6" width="12.140625" bestFit="1" customWidth="1"/>
    <col min="7" max="7" width="24.7109375" bestFit="1" customWidth="1"/>
    <col min="8" max="9" width="7.28515625" bestFit="1" customWidth="1"/>
    <col min="10" max="10" width="10" bestFit="1" customWidth="1"/>
    <col min="11" max="11" width="43.7109375" bestFit="1" customWidth="1"/>
    <col min="12" max="12" width="14.28515625" bestFit="1" customWidth="1"/>
    <col min="13" max="13" width="12" bestFit="1" customWidth="1"/>
    <col min="14" max="14" width="10.28515625" bestFit="1" customWidth="1"/>
    <col min="15" max="15" width="15.7109375" bestFit="1" customWidth="1"/>
    <col min="16" max="16" width="16.140625" bestFit="1" customWidth="1"/>
    <col min="17" max="17" width="25.7109375" bestFit="1" customWidth="1"/>
    <col min="18" max="18" width="7.85546875" bestFit="1" customWidth="1"/>
    <col min="19" max="19" width="10.28515625" bestFit="1" customWidth="1"/>
    <col min="20" max="20" width="21" bestFit="1" customWidth="1"/>
    <col min="21" max="21" width="12.42578125" bestFit="1" customWidth="1"/>
    <col min="22" max="22" width="8.7109375" bestFit="1" customWidth="1"/>
    <col min="23" max="23" width="12.42578125" bestFit="1" customWidth="1"/>
    <col min="24" max="24" width="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46043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931</v>
      </c>
      <c r="V2" t="s">
        <v>36</v>
      </c>
      <c r="W2" s="1">
        <v>45989</v>
      </c>
      <c r="X2">
        <v>2026</v>
      </c>
    </row>
    <row r="3" spans="1:24" x14ac:dyDescent="0.25">
      <c r="A3" s="1">
        <v>46043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46023</v>
      </c>
      <c r="M3" s="1">
        <v>46023</v>
      </c>
      <c r="O3">
        <v>17528908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-541</v>
      </c>
      <c r="V3" t="s">
        <v>38</v>
      </c>
      <c r="W3" s="1">
        <v>45989</v>
      </c>
      <c r="X3">
        <v>2026</v>
      </c>
    </row>
    <row r="4" spans="1:24" x14ac:dyDescent="0.25">
      <c r="A4" s="1">
        <v>46043</v>
      </c>
      <c r="B4" t="s">
        <v>39</v>
      </c>
      <c r="C4" t="s">
        <v>40</v>
      </c>
      <c r="E4" t="s">
        <v>41</v>
      </c>
      <c r="F4" t="s">
        <v>42</v>
      </c>
      <c r="G4" t="s">
        <v>28</v>
      </c>
      <c r="H4" t="s">
        <v>29</v>
      </c>
      <c r="I4" t="s">
        <v>43</v>
      </c>
      <c r="J4" t="s">
        <v>44</v>
      </c>
      <c r="L4" s="1">
        <v>46023</v>
      </c>
      <c r="M4" s="1">
        <v>46023</v>
      </c>
      <c r="O4">
        <v>8244481</v>
      </c>
      <c r="P4" t="s">
        <v>32</v>
      </c>
      <c r="Q4" t="s">
        <v>45</v>
      </c>
      <c r="R4">
        <v>8192</v>
      </c>
      <c r="S4" t="s">
        <v>34</v>
      </c>
      <c r="T4" t="s">
        <v>35</v>
      </c>
      <c r="U4">
        <v>829</v>
      </c>
      <c r="V4" t="s">
        <v>36</v>
      </c>
      <c r="W4" s="1">
        <v>45972</v>
      </c>
      <c r="X4">
        <v>2026</v>
      </c>
    </row>
    <row r="5" spans="1:24" x14ac:dyDescent="0.25">
      <c r="A5" s="1">
        <v>46043</v>
      </c>
      <c r="B5" t="s">
        <v>39</v>
      </c>
      <c r="C5" t="s">
        <v>40</v>
      </c>
      <c r="E5" t="s">
        <v>41</v>
      </c>
      <c r="F5" t="s">
        <v>42</v>
      </c>
      <c r="G5" t="s">
        <v>37</v>
      </c>
      <c r="H5" t="s">
        <v>29</v>
      </c>
      <c r="I5" t="s">
        <v>43</v>
      </c>
      <c r="J5" t="s">
        <v>44</v>
      </c>
      <c r="L5" s="1">
        <v>46023</v>
      </c>
      <c r="M5" s="1">
        <v>46023</v>
      </c>
      <c r="O5">
        <v>8244481</v>
      </c>
      <c r="P5" t="s">
        <v>32</v>
      </c>
      <c r="Q5" t="s">
        <v>45</v>
      </c>
      <c r="R5">
        <v>8192</v>
      </c>
      <c r="S5" t="s">
        <v>34</v>
      </c>
      <c r="T5" t="s">
        <v>35</v>
      </c>
      <c r="U5">
        <v>-482</v>
      </c>
      <c r="V5" t="s">
        <v>38</v>
      </c>
      <c r="W5" s="1">
        <v>45972</v>
      </c>
      <c r="X5">
        <v>2026</v>
      </c>
    </row>
    <row r="6" spans="1:24" x14ac:dyDescent="0.25">
      <c r="A6" s="1">
        <v>46043</v>
      </c>
      <c r="B6" t="s">
        <v>46</v>
      </c>
      <c r="C6" t="s">
        <v>47</v>
      </c>
      <c r="E6" t="s">
        <v>48</v>
      </c>
      <c r="F6" t="s">
        <v>42</v>
      </c>
      <c r="G6" t="s">
        <v>49</v>
      </c>
      <c r="H6" t="s">
        <v>29</v>
      </c>
      <c r="I6" t="s">
        <v>43</v>
      </c>
      <c r="J6" t="s">
        <v>50</v>
      </c>
      <c r="L6" s="1">
        <v>46023</v>
      </c>
      <c r="M6" s="1">
        <v>46023</v>
      </c>
      <c r="O6">
        <v>18828278</v>
      </c>
      <c r="P6" t="s">
        <v>32</v>
      </c>
      <c r="Q6" t="s">
        <v>51</v>
      </c>
      <c r="R6">
        <v>8192</v>
      </c>
      <c r="S6" t="s">
        <v>34</v>
      </c>
      <c r="T6" t="s">
        <v>35</v>
      </c>
      <c r="U6">
        <v>829</v>
      </c>
      <c r="V6" t="s">
        <v>36</v>
      </c>
      <c r="W6" s="1">
        <v>45951</v>
      </c>
      <c r="X6">
        <v>2026</v>
      </c>
    </row>
    <row r="7" spans="1:24" x14ac:dyDescent="0.25">
      <c r="A7" s="1">
        <v>46043</v>
      </c>
      <c r="B7" t="s">
        <v>46</v>
      </c>
      <c r="C7" t="s">
        <v>47</v>
      </c>
      <c r="E7" t="s">
        <v>48</v>
      </c>
      <c r="F7" t="s">
        <v>42</v>
      </c>
      <c r="G7" t="s">
        <v>37</v>
      </c>
      <c r="H7" t="s">
        <v>29</v>
      </c>
      <c r="I7" t="s">
        <v>43</v>
      </c>
      <c r="J7" t="s">
        <v>50</v>
      </c>
      <c r="L7" s="1">
        <v>46023</v>
      </c>
      <c r="M7" s="1">
        <v>46023</v>
      </c>
      <c r="O7">
        <v>18828278</v>
      </c>
      <c r="P7" t="s">
        <v>32</v>
      </c>
      <c r="Q7" t="s">
        <v>51</v>
      </c>
      <c r="R7">
        <v>8192</v>
      </c>
      <c r="S7" t="s">
        <v>34</v>
      </c>
      <c r="T7" t="s">
        <v>35</v>
      </c>
      <c r="U7">
        <v>-482</v>
      </c>
      <c r="V7" t="s">
        <v>38</v>
      </c>
      <c r="W7" s="1">
        <v>45951</v>
      </c>
      <c r="X7">
        <v>2026</v>
      </c>
    </row>
    <row r="8" spans="1:24" x14ac:dyDescent="0.25">
      <c r="A8" s="1">
        <v>46043</v>
      </c>
      <c r="B8" t="s">
        <v>52</v>
      </c>
      <c r="C8" t="s">
        <v>53</v>
      </c>
      <c r="E8" t="s">
        <v>54</v>
      </c>
      <c r="F8" t="s">
        <v>42</v>
      </c>
      <c r="G8" t="s">
        <v>28</v>
      </c>
      <c r="H8" t="s">
        <v>29</v>
      </c>
      <c r="I8" t="s">
        <v>55</v>
      </c>
      <c r="J8" t="s">
        <v>56</v>
      </c>
      <c r="L8" s="1">
        <v>46023</v>
      </c>
      <c r="M8" s="1">
        <v>46023</v>
      </c>
      <c r="O8">
        <v>19200754</v>
      </c>
      <c r="P8" t="s">
        <v>32</v>
      </c>
      <c r="Q8" t="s">
        <v>57</v>
      </c>
      <c r="R8">
        <v>8192</v>
      </c>
      <c r="S8" t="s">
        <v>34</v>
      </c>
      <c r="T8" t="s">
        <v>35</v>
      </c>
      <c r="U8">
        <v>844</v>
      </c>
      <c r="V8" t="s">
        <v>36</v>
      </c>
      <c r="W8" s="1">
        <v>45996</v>
      </c>
      <c r="X8">
        <v>2026</v>
      </c>
    </row>
    <row r="9" spans="1:24" x14ac:dyDescent="0.25">
      <c r="A9" s="1">
        <v>46043</v>
      </c>
      <c r="B9" t="s">
        <v>52</v>
      </c>
      <c r="C9" t="s">
        <v>53</v>
      </c>
      <c r="E9" t="s">
        <v>54</v>
      </c>
      <c r="F9" t="s">
        <v>42</v>
      </c>
      <c r="G9" t="s">
        <v>37</v>
      </c>
      <c r="H9" t="s">
        <v>29</v>
      </c>
      <c r="I9" t="s">
        <v>55</v>
      </c>
      <c r="J9" t="s">
        <v>56</v>
      </c>
      <c r="L9" s="1">
        <v>46023</v>
      </c>
      <c r="M9" s="1">
        <v>46023</v>
      </c>
      <c r="O9">
        <v>19200754</v>
      </c>
      <c r="P9" t="s">
        <v>32</v>
      </c>
      <c r="Q9" t="s">
        <v>57</v>
      </c>
      <c r="R9">
        <v>8192</v>
      </c>
      <c r="S9" t="s">
        <v>34</v>
      </c>
      <c r="T9" t="s">
        <v>35</v>
      </c>
      <c r="U9">
        <v>-497</v>
      </c>
      <c r="V9" t="s">
        <v>38</v>
      </c>
      <c r="W9" s="1">
        <v>45996</v>
      </c>
      <c r="X9">
        <v>2026</v>
      </c>
    </row>
    <row r="10" spans="1:24" x14ac:dyDescent="0.25">
      <c r="A10" s="1">
        <v>46043</v>
      </c>
      <c r="B10" t="s">
        <v>58</v>
      </c>
      <c r="C10" t="s">
        <v>59</v>
      </c>
      <c r="E10" t="s">
        <v>60</v>
      </c>
      <c r="F10" t="s">
        <v>42</v>
      </c>
      <c r="G10" t="s">
        <v>49</v>
      </c>
      <c r="H10" t="s">
        <v>29</v>
      </c>
      <c r="I10" t="s">
        <v>43</v>
      </c>
      <c r="J10" t="s">
        <v>50</v>
      </c>
      <c r="L10" s="1">
        <v>46023</v>
      </c>
      <c r="M10" s="1">
        <v>46023</v>
      </c>
      <c r="O10">
        <v>18828278</v>
      </c>
      <c r="P10" t="s">
        <v>32</v>
      </c>
      <c r="Q10" t="s">
        <v>51</v>
      </c>
      <c r="R10">
        <v>8192</v>
      </c>
      <c r="S10" t="s">
        <v>34</v>
      </c>
      <c r="T10" t="s">
        <v>35</v>
      </c>
      <c r="U10">
        <v>829</v>
      </c>
      <c r="V10" t="s">
        <v>36</v>
      </c>
      <c r="W10" s="1">
        <v>45946</v>
      </c>
      <c r="X10">
        <v>2026</v>
      </c>
    </row>
    <row r="11" spans="1:24" x14ac:dyDescent="0.25">
      <c r="A11" s="1">
        <v>46043</v>
      </c>
      <c r="B11" t="s">
        <v>58</v>
      </c>
      <c r="C11" t="s">
        <v>59</v>
      </c>
      <c r="E11" t="s">
        <v>60</v>
      </c>
      <c r="F11" t="s">
        <v>42</v>
      </c>
      <c r="G11" t="s">
        <v>37</v>
      </c>
      <c r="H11" t="s">
        <v>29</v>
      </c>
      <c r="I11" t="s">
        <v>43</v>
      </c>
      <c r="J11" t="s">
        <v>50</v>
      </c>
      <c r="L11" s="1">
        <v>46023</v>
      </c>
      <c r="M11" s="1">
        <v>46023</v>
      </c>
      <c r="O11">
        <v>18828278</v>
      </c>
      <c r="P11" t="s">
        <v>32</v>
      </c>
      <c r="Q11" t="s">
        <v>51</v>
      </c>
      <c r="R11">
        <v>8192</v>
      </c>
      <c r="S11" t="s">
        <v>34</v>
      </c>
      <c r="T11" t="s">
        <v>35</v>
      </c>
      <c r="U11">
        <v>-482</v>
      </c>
      <c r="V11" t="s">
        <v>38</v>
      </c>
      <c r="W11" s="1">
        <v>45946</v>
      </c>
      <c r="X11">
        <v>2026</v>
      </c>
    </row>
    <row r="12" spans="1:24" x14ac:dyDescent="0.25">
      <c r="A12" s="1">
        <v>46043</v>
      </c>
      <c r="B12" t="s">
        <v>61</v>
      </c>
      <c r="C12" t="s">
        <v>62</v>
      </c>
      <c r="E12" t="s">
        <v>63</v>
      </c>
      <c r="F12" t="s">
        <v>27</v>
      </c>
      <c r="G12" t="s">
        <v>28</v>
      </c>
      <c r="H12" t="s">
        <v>29</v>
      </c>
      <c r="I12" t="s">
        <v>30</v>
      </c>
      <c r="J12" t="s">
        <v>64</v>
      </c>
      <c r="L12" s="1">
        <v>46054</v>
      </c>
      <c r="M12" s="1">
        <v>46054</v>
      </c>
      <c r="O12">
        <v>17528908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916</v>
      </c>
      <c r="V12" t="s">
        <v>36</v>
      </c>
      <c r="W12" s="1">
        <v>45964</v>
      </c>
      <c r="X12">
        <v>2026</v>
      </c>
    </row>
    <row r="13" spans="1:24" x14ac:dyDescent="0.25">
      <c r="A13" s="1">
        <v>46043</v>
      </c>
      <c r="B13" t="s">
        <v>61</v>
      </c>
      <c r="C13" t="s">
        <v>62</v>
      </c>
      <c r="E13" t="s">
        <v>63</v>
      </c>
      <c r="F13" t="s">
        <v>27</v>
      </c>
      <c r="G13" t="s">
        <v>37</v>
      </c>
      <c r="H13" t="s">
        <v>29</v>
      </c>
      <c r="I13" t="s">
        <v>30</v>
      </c>
      <c r="J13" t="s">
        <v>64</v>
      </c>
      <c r="L13" s="1">
        <v>46054</v>
      </c>
      <c r="M13" s="1">
        <v>46054</v>
      </c>
      <c r="O13">
        <v>17528908</v>
      </c>
      <c r="P13" t="s">
        <v>32</v>
      </c>
      <c r="Q13" t="s">
        <v>33</v>
      </c>
      <c r="R13">
        <v>8192</v>
      </c>
      <c r="S13" t="s">
        <v>34</v>
      </c>
      <c r="T13" t="s">
        <v>35</v>
      </c>
      <c r="U13">
        <v>-482.17</v>
      </c>
      <c r="V13" t="s">
        <v>38</v>
      </c>
      <c r="W13" s="1">
        <v>45964</v>
      </c>
      <c r="X13">
        <v>2026</v>
      </c>
    </row>
    <row r="14" spans="1:24" x14ac:dyDescent="0.25">
      <c r="A14" s="1">
        <v>46043</v>
      </c>
      <c r="B14" t="s">
        <v>65</v>
      </c>
      <c r="C14" t="s">
        <v>66</v>
      </c>
      <c r="E14" t="s">
        <v>67</v>
      </c>
      <c r="F14" t="s">
        <v>27</v>
      </c>
      <c r="G14" t="s">
        <v>68</v>
      </c>
      <c r="H14" t="s">
        <v>29</v>
      </c>
      <c r="I14" t="s">
        <v>69</v>
      </c>
      <c r="J14" t="s">
        <v>70</v>
      </c>
      <c r="L14" s="1">
        <v>46023</v>
      </c>
      <c r="M14" s="1">
        <v>44197</v>
      </c>
      <c r="O14">
        <v>17425766</v>
      </c>
      <c r="P14" t="s">
        <v>32</v>
      </c>
      <c r="Q14" t="s">
        <v>71</v>
      </c>
      <c r="R14">
        <v>8192</v>
      </c>
      <c r="S14" t="s">
        <v>34</v>
      </c>
      <c r="T14" t="s">
        <v>35</v>
      </c>
      <c r="U14">
        <v>37.17</v>
      </c>
      <c r="V14" t="s">
        <v>38</v>
      </c>
      <c r="W14" s="1">
        <v>46023</v>
      </c>
      <c r="X14">
        <v>2026</v>
      </c>
    </row>
    <row r="15" spans="1:24" x14ac:dyDescent="0.25">
      <c r="A15" s="1">
        <v>46043</v>
      </c>
      <c r="B15" t="s">
        <v>72</v>
      </c>
      <c r="C15" t="s">
        <v>73</v>
      </c>
      <c r="E15" t="s">
        <v>74</v>
      </c>
      <c r="F15" t="s">
        <v>75</v>
      </c>
      <c r="G15" t="s">
        <v>28</v>
      </c>
      <c r="H15" t="s">
        <v>29</v>
      </c>
      <c r="I15" t="s">
        <v>76</v>
      </c>
      <c r="J15" t="s">
        <v>77</v>
      </c>
      <c r="L15" s="1">
        <v>46023</v>
      </c>
      <c r="M15" s="1">
        <v>46023</v>
      </c>
      <c r="O15">
        <v>21435997</v>
      </c>
      <c r="P15" t="s">
        <v>32</v>
      </c>
      <c r="Q15" t="s">
        <v>78</v>
      </c>
      <c r="R15">
        <v>8192</v>
      </c>
      <c r="S15" t="s">
        <v>34</v>
      </c>
      <c r="T15" t="s">
        <v>35</v>
      </c>
      <c r="U15">
        <v>829</v>
      </c>
      <c r="V15" t="s">
        <v>36</v>
      </c>
      <c r="W15" s="1">
        <v>45951</v>
      </c>
      <c r="X15">
        <v>2026</v>
      </c>
    </row>
    <row r="16" spans="1:24" x14ac:dyDescent="0.25">
      <c r="A16" s="1">
        <v>46043</v>
      </c>
      <c r="B16" t="s">
        <v>72</v>
      </c>
      <c r="C16" t="s">
        <v>73</v>
      </c>
      <c r="E16" t="s">
        <v>74</v>
      </c>
      <c r="F16" t="s">
        <v>75</v>
      </c>
      <c r="G16" t="s">
        <v>37</v>
      </c>
      <c r="H16" t="s">
        <v>29</v>
      </c>
      <c r="I16" t="s">
        <v>76</v>
      </c>
      <c r="J16" t="s">
        <v>77</v>
      </c>
      <c r="L16" s="1">
        <v>46023</v>
      </c>
      <c r="M16" s="1">
        <v>46023</v>
      </c>
      <c r="O16">
        <v>21435997</v>
      </c>
      <c r="P16" t="s">
        <v>32</v>
      </c>
      <c r="Q16" t="s">
        <v>78</v>
      </c>
      <c r="R16">
        <v>8192</v>
      </c>
      <c r="S16" t="s">
        <v>34</v>
      </c>
      <c r="T16" t="s">
        <v>35</v>
      </c>
      <c r="U16">
        <v>-482</v>
      </c>
      <c r="V16" t="s">
        <v>38</v>
      </c>
      <c r="W16" s="1">
        <v>45951</v>
      </c>
      <c r="X16">
        <v>2026</v>
      </c>
    </row>
    <row r="17" spans="1:24" x14ac:dyDescent="0.25">
      <c r="A17" s="1">
        <v>46043</v>
      </c>
      <c r="B17" t="s">
        <v>79</v>
      </c>
      <c r="C17" t="s">
        <v>80</v>
      </c>
      <c r="E17" t="s">
        <v>81</v>
      </c>
      <c r="F17" t="s">
        <v>27</v>
      </c>
      <c r="G17" t="s">
        <v>28</v>
      </c>
      <c r="H17" t="s">
        <v>29</v>
      </c>
      <c r="I17" t="s">
        <v>30</v>
      </c>
      <c r="J17" t="s">
        <v>82</v>
      </c>
      <c r="L17" s="1">
        <v>46054</v>
      </c>
      <c r="M17" s="1">
        <v>46054</v>
      </c>
      <c r="O17">
        <v>17528908</v>
      </c>
      <c r="P17" t="s">
        <v>32</v>
      </c>
      <c r="Q17" t="s">
        <v>33</v>
      </c>
      <c r="R17">
        <v>8192</v>
      </c>
      <c r="S17" t="s">
        <v>34</v>
      </c>
      <c r="T17" t="s">
        <v>35</v>
      </c>
      <c r="U17">
        <v>931</v>
      </c>
      <c r="V17" t="s">
        <v>36</v>
      </c>
      <c r="W17" s="1">
        <v>46000</v>
      </c>
      <c r="X17">
        <v>2026</v>
      </c>
    </row>
    <row r="18" spans="1:24" x14ac:dyDescent="0.25">
      <c r="A18" s="1">
        <v>46043</v>
      </c>
      <c r="B18" t="s">
        <v>79</v>
      </c>
      <c r="C18" t="s">
        <v>80</v>
      </c>
      <c r="E18" t="s">
        <v>81</v>
      </c>
      <c r="F18" t="s">
        <v>27</v>
      </c>
      <c r="G18" t="s">
        <v>37</v>
      </c>
      <c r="H18" t="s">
        <v>29</v>
      </c>
      <c r="I18" t="s">
        <v>30</v>
      </c>
      <c r="J18" t="s">
        <v>82</v>
      </c>
      <c r="L18" s="1">
        <v>46054</v>
      </c>
      <c r="M18" s="1">
        <v>46054</v>
      </c>
      <c r="O18">
        <v>17528908</v>
      </c>
      <c r="P18" t="s">
        <v>32</v>
      </c>
      <c r="Q18" t="s">
        <v>33</v>
      </c>
      <c r="R18">
        <v>8192</v>
      </c>
      <c r="S18" t="s">
        <v>34</v>
      </c>
      <c r="T18" t="s">
        <v>35</v>
      </c>
      <c r="U18">
        <v>-495.92</v>
      </c>
      <c r="V18" t="s">
        <v>38</v>
      </c>
      <c r="W18" s="1">
        <v>46000</v>
      </c>
      <c r="X18">
        <v>2026</v>
      </c>
    </row>
    <row r="19" spans="1:24" x14ac:dyDescent="0.25">
      <c r="A19" s="1">
        <v>46043</v>
      </c>
      <c r="B19" t="s">
        <v>83</v>
      </c>
      <c r="C19" t="s">
        <v>84</v>
      </c>
      <c r="E19" t="s">
        <v>85</v>
      </c>
      <c r="F19" t="s">
        <v>27</v>
      </c>
      <c r="G19" t="s">
        <v>28</v>
      </c>
      <c r="H19" t="s">
        <v>86</v>
      </c>
      <c r="I19" t="s">
        <v>30</v>
      </c>
      <c r="J19" t="s">
        <v>87</v>
      </c>
      <c r="L19" s="1">
        <v>46023</v>
      </c>
      <c r="M19" s="1">
        <v>46023</v>
      </c>
      <c r="O19">
        <v>17886092</v>
      </c>
      <c r="P19" t="s">
        <v>32</v>
      </c>
      <c r="Q19" t="s">
        <v>88</v>
      </c>
      <c r="R19">
        <v>8192</v>
      </c>
      <c r="S19" t="s">
        <v>34</v>
      </c>
      <c r="T19" t="s">
        <v>35</v>
      </c>
      <c r="U19">
        <v>65</v>
      </c>
      <c r="V19" t="s">
        <v>36</v>
      </c>
      <c r="W19" s="1">
        <v>45980</v>
      </c>
      <c r="X19">
        <v>2026</v>
      </c>
    </row>
    <row r="20" spans="1:24" x14ac:dyDescent="0.25">
      <c r="A20" s="1">
        <v>46043</v>
      </c>
      <c r="B20" t="s">
        <v>83</v>
      </c>
      <c r="C20" t="s">
        <v>84</v>
      </c>
      <c r="E20" t="s">
        <v>85</v>
      </c>
      <c r="F20" t="s">
        <v>27</v>
      </c>
      <c r="G20" t="s">
        <v>37</v>
      </c>
      <c r="H20" t="s">
        <v>86</v>
      </c>
      <c r="I20" t="s">
        <v>30</v>
      </c>
      <c r="J20" t="s">
        <v>87</v>
      </c>
      <c r="L20" s="1">
        <v>46023</v>
      </c>
      <c r="M20" s="1">
        <v>46023</v>
      </c>
      <c r="O20">
        <v>17886092</v>
      </c>
      <c r="P20" t="s">
        <v>32</v>
      </c>
      <c r="Q20" t="s">
        <v>88</v>
      </c>
      <c r="R20">
        <v>8192</v>
      </c>
      <c r="S20" t="s">
        <v>34</v>
      </c>
      <c r="T20" t="s">
        <v>35</v>
      </c>
      <c r="U20">
        <v>-65</v>
      </c>
      <c r="V20" t="s">
        <v>38</v>
      </c>
      <c r="W20" s="1">
        <v>45980</v>
      </c>
      <c r="X20">
        <v>2026</v>
      </c>
    </row>
    <row r="21" spans="1:24" x14ac:dyDescent="0.25">
      <c r="A21" s="1">
        <v>46043</v>
      </c>
      <c r="B21" t="s">
        <v>89</v>
      </c>
      <c r="C21" t="s">
        <v>90</v>
      </c>
      <c r="E21" t="s">
        <v>91</v>
      </c>
      <c r="F21" t="s">
        <v>27</v>
      </c>
      <c r="G21" t="s">
        <v>28</v>
      </c>
      <c r="H21" t="s">
        <v>29</v>
      </c>
      <c r="I21" t="s">
        <v>30</v>
      </c>
      <c r="J21" t="s">
        <v>92</v>
      </c>
      <c r="L21" s="1">
        <v>46023</v>
      </c>
      <c r="M21" s="1">
        <v>46023</v>
      </c>
      <c r="O21">
        <v>14936854</v>
      </c>
      <c r="P21" t="s">
        <v>93</v>
      </c>
      <c r="Q21" t="s">
        <v>94</v>
      </c>
      <c r="R21">
        <v>8192</v>
      </c>
      <c r="S21" t="s">
        <v>34</v>
      </c>
      <c r="T21" t="s">
        <v>35</v>
      </c>
      <c r="U21">
        <v>135</v>
      </c>
      <c r="V21" t="s">
        <v>36</v>
      </c>
      <c r="W21" s="1">
        <v>45995</v>
      </c>
      <c r="X21">
        <v>2026</v>
      </c>
    </row>
    <row r="22" spans="1:24" x14ac:dyDescent="0.25">
      <c r="A22" s="1">
        <v>46043</v>
      </c>
      <c r="B22" t="s">
        <v>89</v>
      </c>
      <c r="C22" t="s">
        <v>90</v>
      </c>
      <c r="E22" t="s">
        <v>91</v>
      </c>
      <c r="F22" t="s">
        <v>27</v>
      </c>
      <c r="G22" t="s">
        <v>37</v>
      </c>
      <c r="H22" t="s">
        <v>29</v>
      </c>
      <c r="I22" t="s">
        <v>30</v>
      </c>
      <c r="J22" t="s">
        <v>92</v>
      </c>
      <c r="L22" s="1">
        <v>46023</v>
      </c>
      <c r="M22" s="1">
        <v>46023</v>
      </c>
      <c r="O22">
        <v>14936854</v>
      </c>
      <c r="P22" t="s">
        <v>93</v>
      </c>
      <c r="Q22" t="s">
        <v>94</v>
      </c>
      <c r="R22">
        <v>8192</v>
      </c>
      <c r="S22" t="s">
        <v>34</v>
      </c>
      <c r="T22" t="s">
        <v>35</v>
      </c>
      <c r="U22">
        <v>-135</v>
      </c>
      <c r="V22" t="s">
        <v>38</v>
      </c>
      <c r="W22" s="1">
        <v>45995</v>
      </c>
      <c r="X22">
        <v>2026</v>
      </c>
    </row>
    <row r="23" spans="1:24" x14ac:dyDescent="0.25">
      <c r="A23" s="1">
        <v>46043</v>
      </c>
      <c r="B23" t="s">
        <v>95</v>
      </c>
      <c r="C23" t="s">
        <v>96</v>
      </c>
      <c r="E23" t="s">
        <v>97</v>
      </c>
      <c r="F23" t="s">
        <v>98</v>
      </c>
      <c r="G23" t="s">
        <v>28</v>
      </c>
      <c r="H23" t="s">
        <v>29</v>
      </c>
      <c r="I23" t="s">
        <v>99</v>
      </c>
      <c r="J23" t="s">
        <v>100</v>
      </c>
      <c r="L23" s="1">
        <v>46023</v>
      </c>
      <c r="M23" s="1">
        <v>46023</v>
      </c>
      <c r="O23">
        <v>19491313</v>
      </c>
      <c r="P23" t="s">
        <v>32</v>
      </c>
      <c r="Q23" t="s">
        <v>101</v>
      </c>
      <c r="R23">
        <v>8192</v>
      </c>
      <c r="S23" t="s">
        <v>34</v>
      </c>
      <c r="T23" t="s">
        <v>35</v>
      </c>
      <c r="U23">
        <v>844</v>
      </c>
      <c r="V23" t="s">
        <v>36</v>
      </c>
      <c r="W23" s="1">
        <v>45983</v>
      </c>
      <c r="X23">
        <v>2026</v>
      </c>
    </row>
    <row r="24" spans="1:24" x14ac:dyDescent="0.25">
      <c r="A24" s="1">
        <v>46043</v>
      </c>
      <c r="B24" t="s">
        <v>95</v>
      </c>
      <c r="C24" t="s">
        <v>96</v>
      </c>
      <c r="E24" t="s">
        <v>97</v>
      </c>
      <c r="F24" t="s">
        <v>98</v>
      </c>
      <c r="G24" t="s">
        <v>37</v>
      </c>
      <c r="H24" t="s">
        <v>29</v>
      </c>
      <c r="I24" t="s">
        <v>99</v>
      </c>
      <c r="J24" t="s">
        <v>100</v>
      </c>
      <c r="L24" s="1">
        <v>46023</v>
      </c>
      <c r="M24" s="1">
        <v>46023</v>
      </c>
      <c r="O24">
        <v>19491313</v>
      </c>
      <c r="P24" t="s">
        <v>32</v>
      </c>
      <c r="Q24" t="s">
        <v>101</v>
      </c>
      <c r="R24">
        <v>8192</v>
      </c>
      <c r="S24" t="s">
        <v>34</v>
      </c>
      <c r="T24" t="s">
        <v>35</v>
      </c>
      <c r="U24">
        <v>-497</v>
      </c>
      <c r="V24" t="s">
        <v>38</v>
      </c>
      <c r="W24" s="1">
        <v>45983</v>
      </c>
      <c r="X24">
        <v>2026</v>
      </c>
    </row>
    <row r="25" spans="1:24" x14ac:dyDescent="0.25">
      <c r="A25" s="1">
        <v>46043</v>
      </c>
      <c r="B25" t="s">
        <v>102</v>
      </c>
      <c r="C25" t="s">
        <v>103</v>
      </c>
      <c r="E25" t="s">
        <v>104</v>
      </c>
      <c r="F25" t="s">
        <v>27</v>
      </c>
      <c r="G25" t="s">
        <v>49</v>
      </c>
      <c r="H25" t="s">
        <v>29</v>
      </c>
      <c r="I25" t="s">
        <v>30</v>
      </c>
      <c r="J25" t="s">
        <v>82</v>
      </c>
      <c r="L25" s="1">
        <v>46054</v>
      </c>
      <c r="M25" s="1">
        <v>46054</v>
      </c>
      <c r="O25">
        <v>17528908</v>
      </c>
      <c r="P25" t="s">
        <v>32</v>
      </c>
      <c r="Q25" t="s">
        <v>33</v>
      </c>
      <c r="R25">
        <v>8192</v>
      </c>
      <c r="S25" t="s">
        <v>34</v>
      </c>
      <c r="T25" t="s">
        <v>35</v>
      </c>
      <c r="U25">
        <v>853.42</v>
      </c>
      <c r="V25" t="s">
        <v>36</v>
      </c>
      <c r="W25" s="1">
        <v>46007</v>
      </c>
      <c r="X25">
        <v>2026</v>
      </c>
    </row>
    <row r="26" spans="1:24" x14ac:dyDescent="0.25">
      <c r="A26" s="1">
        <v>46043</v>
      </c>
      <c r="B26" t="s">
        <v>102</v>
      </c>
      <c r="C26" t="s">
        <v>103</v>
      </c>
      <c r="E26" t="s">
        <v>104</v>
      </c>
      <c r="F26" t="s">
        <v>27</v>
      </c>
      <c r="G26" t="s">
        <v>37</v>
      </c>
      <c r="H26" t="s">
        <v>29</v>
      </c>
      <c r="I26" t="s">
        <v>30</v>
      </c>
      <c r="J26" t="s">
        <v>82</v>
      </c>
      <c r="L26" s="1">
        <v>46054</v>
      </c>
      <c r="M26" s="1">
        <v>46054</v>
      </c>
      <c r="O26">
        <v>17528908</v>
      </c>
      <c r="P26" t="s">
        <v>32</v>
      </c>
      <c r="Q26" t="s">
        <v>33</v>
      </c>
      <c r="R26">
        <v>8192</v>
      </c>
      <c r="S26" t="s">
        <v>34</v>
      </c>
      <c r="T26" t="s">
        <v>35</v>
      </c>
      <c r="U26">
        <v>-495.92</v>
      </c>
      <c r="V26" t="s">
        <v>38</v>
      </c>
      <c r="W26" s="1">
        <v>46007</v>
      </c>
      <c r="X26">
        <v>2026</v>
      </c>
    </row>
    <row r="27" spans="1:24" x14ac:dyDescent="0.25">
      <c r="A27" s="1">
        <v>46043</v>
      </c>
      <c r="B27" t="s">
        <v>105</v>
      </c>
      <c r="C27" t="s">
        <v>106</v>
      </c>
      <c r="E27" t="s">
        <v>107</v>
      </c>
      <c r="F27" t="s">
        <v>108</v>
      </c>
      <c r="G27" t="s">
        <v>28</v>
      </c>
      <c r="H27" t="s">
        <v>29</v>
      </c>
      <c r="I27" t="s">
        <v>109</v>
      </c>
      <c r="J27" t="s">
        <v>110</v>
      </c>
      <c r="L27" s="1">
        <v>46023</v>
      </c>
      <c r="M27" s="1">
        <v>46023</v>
      </c>
      <c r="O27">
        <v>8307933</v>
      </c>
      <c r="P27" t="s">
        <v>32</v>
      </c>
      <c r="Q27" t="s">
        <v>111</v>
      </c>
      <c r="R27">
        <v>8192</v>
      </c>
      <c r="S27" t="s">
        <v>34</v>
      </c>
      <c r="T27" t="s">
        <v>35</v>
      </c>
      <c r="U27">
        <v>844</v>
      </c>
      <c r="V27" t="s">
        <v>36</v>
      </c>
      <c r="W27" s="1">
        <v>45986</v>
      </c>
      <c r="X27">
        <v>2026</v>
      </c>
    </row>
    <row r="28" spans="1:24" x14ac:dyDescent="0.25">
      <c r="A28" s="1">
        <v>46043</v>
      </c>
      <c r="B28" t="s">
        <v>105</v>
      </c>
      <c r="C28" t="s">
        <v>106</v>
      </c>
      <c r="E28" t="s">
        <v>107</v>
      </c>
      <c r="F28" t="s">
        <v>108</v>
      </c>
      <c r="G28" t="s">
        <v>37</v>
      </c>
      <c r="H28" t="s">
        <v>29</v>
      </c>
      <c r="I28" t="s">
        <v>109</v>
      </c>
      <c r="J28" t="s">
        <v>110</v>
      </c>
      <c r="L28" s="1">
        <v>46023</v>
      </c>
      <c r="M28" s="1">
        <v>46023</v>
      </c>
      <c r="O28">
        <v>8307933</v>
      </c>
      <c r="P28" t="s">
        <v>32</v>
      </c>
      <c r="Q28" t="s">
        <v>111</v>
      </c>
      <c r="R28">
        <v>8192</v>
      </c>
      <c r="S28" t="s">
        <v>34</v>
      </c>
      <c r="T28" t="s">
        <v>35</v>
      </c>
      <c r="U28">
        <v>-497</v>
      </c>
      <c r="V28" t="s">
        <v>38</v>
      </c>
      <c r="W28" s="1">
        <v>45986</v>
      </c>
      <c r="X28">
        <v>2026</v>
      </c>
    </row>
    <row r="29" spans="1:24" x14ac:dyDescent="0.25">
      <c r="A29" s="1">
        <v>46043</v>
      </c>
      <c r="B29" t="s">
        <v>112</v>
      </c>
      <c r="C29" t="s">
        <v>113</v>
      </c>
      <c r="E29" t="s">
        <v>114</v>
      </c>
      <c r="F29" t="s">
        <v>27</v>
      </c>
      <c r="G29" t="s">
        <v>115</v>
      </c>
      <c r="H29" t="s">
        <v>29</v>
      </c>
      <c r="I29" t="s">
        <v>30</v>
      </c>
      <c r="J29" t="s">
        <v>82</v>
      </c>
      <c r="L29" s="1">
        <v>46054</v>
      </c>
      <c r="M29" s="1">
        <v>46054</v>
      </c>
      <c r="O29">
        <v>17886092</v>
      </c>
      <c r="P29" t="s">
        <v>32</v>
      </c>
      <c r="Q29" t="s">
        <v>88</v>
      </c>
      <c r="R29">
        <v>8192</v>
      </c>
      <c r="S29" t="s">
        <v>34</v>
      </c>
      <c r="T29" t="s">
        <v>35</v>
      </c>
      <c r="U29">
        <v>59.59</v>
      </c>
      <c r="V29" t="s">
        <v>38</v>
      </c>
      <c r="W29" s="1">
        <v>46027</v>
      </c>
      <c r="X29">
        <v>2026</v>
      </c>
    </row>
    <row r="30" spans="1:24" x14ac:dyDescent="0.25">
      <c r="A30" s="1">
        <v>46043</v>
      </c>
      <c r="B30" t="s">
        <v>116</v>
      </c>
      <c r="C30" t="s">
        <v>117</v>
      </c>
      <c r="E30" t="s">
        <v>118</v>
      </c>
      <c r="F30" t="s">
        <v>119</v>
      </c>
      <c r="G30" t="s">
        <v>28</v>
      </c>
      <c r="H30" t="s">
        <v>29</v>
      </c>
      <c r="I30" t="s">
        <v>120</v>
      </c>
      <c r="J30" t="s">
        <v>121</v>
      </c>
      <c r="L30" s="1">
        <v>46054</v>
      </c>
      <c r="M30" s="1">
        <v>46054</v>
      </c>
      <c r="O30">
        <v>9213293</v>
      </c>
      <c r="P30" t="s">
        <v>32</v>
      </c>
      <c r="Q30" t="s">
        <v>122</v>
      </c>
      <c r="R30">
        <v>8192</v>
      </c>
      <c r="S30" t="s">
        <v>34</v>
      </c>
      <c r="T30" t="s">
        <v>35</v>
      </c>
      <c r="U30">
        <v>844</v>
      </c>
      <c r="V30" t="s">
        <v>36</v>
      </c>
      <c r="W30" s="1">
        <v>45986</v>
      </c>
      <c r="X30">
        <v>2026</v>
      </c>
    </row>
    <row r="31" spans="1:24" x14ac:dyDescent="0.25">
      <c r="A31" s="1">
        <v>46043</v>
      </c>
      <c r="B31" t="s">
        <v>116</v>
      </c>
      <c r="C31" t="s">
        <v>117</v>
      </c>
      <c r="E31" t="s">
        <v>118</v>
      </c>
      <c r="F31" t="s">
        <v>119</v>
      </c>
      <c r="G31" t="s">
        <v>37</v>
      </c>
      <c r="H31" t="s">
        <v>29</v>
      </c>
      <c r="I31" t="s">
        <v>120</v>
      </c>
      <c r="J31" t="s">
        <v>121</v>
      </c>
      <c r="L31" s="1">
        <v>46054</v>
      </c>
      <c r="M31" s="1">
        <v>46054</v>
      </c>
      <c r="O31">
        <v>9213293</v>
      </c>
      <c r="P31" t="s">
        <v>32</v>
      </c>
      <c r="Q31" t="s">
        <v>122</v>
      </c>
      <c r="R31">
        <v>8192</v>
      </c>
      <c r="S31" t="s">
        <v>34</v>
      </c>
      <c r="T31" t="s">
        <v>35</v>
      </c>
      <c r="U31">
        <v>-455.58</v>
      </c>
      <c r="V31" t="s">
        <v>38</v>
      </c>
      <c r="W31" s="1">
        <v>45986</v>
      </c>
      <c r="X31">
        <v>2026</v>
      </c>
    </row>
    <row r="32" spans="1:24" x14ac:dyDescent="0.25">
      <c r="A32" s="1">
        <v>46043</v>
      </c>
      <c r="B32" t="s">
        <v>123</v>
      </c>
      <c r="C32" t="s">
        <v>124</v>
      </c>
      <c r="E32" t="s">
        <v>125</v>
      </c>
      <c r="F32" t="s">
        <v>27</v>
      </c>
      <c r="G32" t="s">
        <v>28</v>
      </c>
      <c r="H32" t="s">
        <v>29</v>
      </c>
      <c r="I32" t="s">
        <v>30</v>
      </c>
      <c r="J32" t="s">
        <v>82</v>
      </c>
      <c r="L32" s="1">
        <v>46054</v>
      </c>
      <c r="M32" s="1">
        <v>46054</v>
      </c>
      <c r="O32">
        <v>17886092</v>
      </c>
      <c r="P32" t="s">
        <v>32</v>
      </c>
      <c r="Q32" t="s">
        <v>88</v>
      </c>
      <c r="R32">
        <v>8192</v>
      </c>
      <c r="S32" t="s">
        <v>34</v>
      </c>
      <c r="T32" t="s">
        <v>35</v>
      </c>
      <c r="U32">
        <v>65</v>
      </c>
      <c r="V32" t="s">
        <v>36</v>
      </c>
      <c r="W32" s="1">
        <v>46014</v>
      </c>
      <c r="X32">
        <v>2026</v>
      </c>
    </row>
    <row r="33" spans="1:24" x14ac:dyDescent="0.25">
      <c r="A33" s="1">
        <v>46043</v>
      </c>
      <c r="B33" t="s">
        <v>123</v>
      </c>
      <c r="C33" t="s">
        <v>124</v>
      </c>
      <c r="E33" t="s">
        <v>125</v>
      </c>
      <c r="F33" t="s">
        <v>27</v>
      </c>
      <c r="G33" t="s">
        <v>37</v>
      </c>
      <c r="H33" t="s">
        <v>29</v>
      </c>
      <c r="I33" t="s">
        <v>30</v>
      </c>
      <c r="J33" t="s">
        <v>82</v>
      </c>
      <c r="L33" s="1">
        <v>46054</v>
      </c>
      <c r="M33" s="1">
        <v>46054</v>
      </c>
      <c r="O33">
        <v>17886092</v>
      </c>
      <c r="P33" t="s">
        <v>32</v>
      </c>
      <c r="Q33" t="s">
        <v>88</v>
      </c>
      <c r="R33">
        <v>8192</v>
      </c>
      <c r="S33" t="s">
        <v>34</v>
      </c>
      <c r="T33" t="s">
        <v>35</v>
      </c>
      <c r="U33">
        <v>-59.59</v>
      </c>
      <c r="V33" t="s">
        <v>38</v>
      </c>
      <c r="W33" s="1">
        <v>46014</v>
      </c>
      <c r="X33">
        <v>2026</v>
      </c>
    </row>
    <row r="34" spans="1:24" x14ac:dyDescent="0.25">
      <c r="A34" s="1">
        <v>46043</v>
      </c>
      <c r="B34" t="s">
        <v>126</v>
      </c>
      <c r="C34" t="s">
        <v>127</v>
      </c>
      <c r="E34" t="s">
        <v>128</v>
      </c>
      <c r="F34" t="s">
        <v>27</v>
      </c>
      <c r="G34" t="s">
        <v>115</v>
      </c>
      <c r="H34" t="s">
        <v>29</v>
      </c>
      <c r="I34" t="s">
        <v>30</v>
      </c>
      <c r="J34" t="s">
        <v>82</v>
      </c>
      <c r="L34" s="1">
        <v>46082</v>
      </c>
      <c r="M34" s="1">
        <v>46082</v>
      </c>
      <c r="O34">
        <v>17886092</v>
      </c>
      <c r="P34" t="s">
        <v>32</v>
      </c>
      <c r="Q34" t="s">
        <v>88</v>
      </c>
      <c r="R34">
        <v>8192</v>
      </c>
      <c r="S34" t="s">
        <v>34</v>
      </c>
      <c r="T34" t="s">
        <v>35</v>
      </c>
      <c r="U34">
        <v>54.16</v>
      </c>
      <c r="V34" t="s">
        <v>38</v>
      </c>
      <c r="W34" s="1">
        <v>46027</v>
      </c>
      <c r="X34">
        <v>2026</v>
      </c>
    </row>
    <row r="35" spans="1:24" x14ac:dyDescent="0.25">
      <c r="A35" s="1">
        <v>46043</v>
      </c>
      <c r="B35" t="s">
        <v>129</v>
      </c>
      <c r="C35" t="s">
        <v>130</v>
      </c>
      <c r="E35" t="s">
        <v>131</v>
      </c>
      <c r="F35" t="s">
        <v>42</v>
      </c>
      <c r="G35" t="s">
        <v>28</v>
      </c>
      <c r="H35" t="s">
        <v>29</v>
      </c>
      <c r="I35" t="s">
        <v>43</v>
      </c>
      <c r="J35" t="s">
        <v>44</v>
      </c>
      <c r="L35" s="1">
        <v>46023</v>
      </c>
      <c r="M35" s="1">
        <v>46023</v>
      </c>
      <c r="O35">
        <v>8812322</v>
      </c>
      <c r="P35" t="s">
        <v>32</v>
      </c>
      <c r="Q35" t="s">
        <v>132</v>
      </c>
      <c r="R35">
        <v>8192</v>
      </c>
      <c r="S35" t="s">
        <v>34</v>
      </c>
      <c r="T35" t="s">
        <v>35</v>
      </c>
      <c r="U35">
        <v>844</v>
      </c>
      <c r="V35" t="s">
        <v>36</v>
      </c>
      <c r="W35" s="1">
        <v>45981</v>
      </c>
      <c r="X35">
        <v>2026</v>
      </c>
    </row>
    <row r="36" spans="1:24" x14ac:dyDescent="0.25">
      <c r="A36" s="1">
        <v>46043</v>
      </c>
      <c r="B36" t="s">
        <v>129</v>
      </c>
      <c r="C36" t="s">
        <v>130</v>
      </c>
      <c r="E36" t="s">
        <v>131</v>
      </c>
      <c r="F36" t="s">
        <v>42</v>
      </c>
      <c r="G36" t="s">
        <v>37</v>
      </c>
      <c r="H36" t="s">
        <v>29</v>
      </c>
      <c r="I36" t="s">
        <v>43</v>
      </c>
      <c r="J36" t="s">
        <v>44</v>
      </c>
      <c r="L36" s="1">
        <v>46023</v>
      </c>
      <c r="M36" s="1">
        <v>46023</v>
      </c>
      <c r="O36">
        <v>8812322</v>
      </c>
      <c r="P36" t="s">
        <v>32</v>
      </c>
      <c r="Q36" t="s">
        <v>132</v>
      </c>
      <c r="R36">
        <v>8192</v>
      </c>
      <c r="S36" t="s">
        <v>34</v>
      </c>
      <c r="T36" t="s">
        <v>35</v>
      </c>
      <c r="U36">
        <v>-497</v>
      </c>
      <c r="V36" t="s">
        <v>38</v>
      </c>
      <c r="W36" s="1">
        <v>45981</v>
      </c>
      <c r="X36">
        <v>2026</v>
      </c>
    </row>
    <row r="37" spans="1:24" x14ac:dyDescent="0.25">
      <c r="A37" s="1">
        <v>46043</v>
      </c>
      <c r="B37" t="s">
        <v>133</v>
      </c>
      <c r="C37" t="s">
        <v>134</v>
      </c>
      <c r="E37" t="s">
        <v>135</v>
      </c>
      <c r="F37" t="s">
        <v>136</v>
      </c>
      <c r="G37" t="s">
        <v>28</v>
      </c>
      <c r="H37" t="s">
        <v>29</v>
      </c>
      <c r="I37" t="s">
        <v>137</v>
      </c>
      <c r="J37" t="s">
        <v>138</v>
      </c>
      <c r="L37" s="1">
        <v>46023</v>
      </c>
      <c r="M37" s="1">
        <v>46023</v>
      </c>
      <c r="O37">
        <v>17117649</v>
      </c>
      <c r="P37" t="s">
        <v>32</v>
      </c>
      <c r="Q37" t="s">
        <v>139</v>
      </c>
      <c r="R37">
        <v>8192</v>
      </c>
      <c r="S37" t="s">
        <v>34</v>
      </c>
      <c r="T37" t="s">
        <v>35</v>
      </c>
      <c r="U37">
        <v>844</v>
      </c>
      <c r="V37" t="s">
        <v>36</v>
      </c>
      <c r="W37" s="1">
        <v>45993</v>
      </c>
      <c r="X37">
        <v>2026</v>
      </c>
    </row>
    <row r="38" spans="1:24" x14ac:dyDescent="0.25">
      <c r="A38" s="1">
        <v>46043</v>
      </c>
      <c r="B38" t="s">
        <v>133</v>
      </c>
      <c r="C38" t="s">
        <v>134</v>
      </c>
      <c r="E38" t="s">
        <v>135</v>
      </c>
      <c r="F38" t="s">
        <v>136</v>
      </c>
      <c r="G38" t="s">
        <v>37</v>
      </c>
      <c r="H38" t="s">
        <v>29</v>
      </c>
      <c r="I38" t="s">
        <v>137</v>
      </c>
      <c r="J38" t="s">
        <v>138</v>
      </c>
      <c r="L38" s="1">
        <v>46023</v>
      </c>
      <c r="M38" s="1">
        <v>46023</v>
      </c>
      <c r="O38">
        <v>17117649</v>
      </c>
      <c r="P38" t="s">
        <v>32</v>
      </c>
      <c r="Q38" t="s">
        <v>139</v>
      </c>
      <c r="R38">
        <v>8192</v>
      </c>
      <c r="S38" t="s">
        <v>34</v>
      </c>
      <c r="T38" t="s">
        <v>35</v>
      </c>
      <c r="U38">
        <v>-497</v>
      </c>
      <c r="V38" t="s">
        <v>38</v>
      </c>
      <c r="W38" s="1">
        <v>45993</v>
      </c>
      <c r="X38">
        <v>2026</v>
      </c>
    </row>
    <row r="39" spans="1:24" x14ac:dyDescent="0.25">
      <c r="A39" s="1">
        <v>46043</v>
      </c>
      <c r="B39" t="s">
        <v>140</v>
      </c>
      <c r="C39" t="s">
        <v>141</v>
      </c>
      <c r="E39" t="s">
        <v>142</v>
      </c>
      <c r="F39" t="s">
        <v>42</v>
      </c>
      <c r="G39" t="s">
        <v>49</v>
      </c>
      <c r="H39" t="s">
        <v>29</v>
      </c>
      <c r="I39" t="s">
        <v>43</v>
      </c>
      <c r="J39" t="s">
        <v>143</v>
      </c>
      <c r="L39" s="1">
        <v>46023</v>
      </c>
      <c r="M39" s="1">
        <v>46023</v>
      </c>
      <c r="O39">
        <v>8812322</v>
      </c>
      <c r="P39" t="s">
        <v>32</v>
      </c>
      <c r="Q39" t="s">
        <v>132</v>
      </c>
      <c r="R39">
        <v>8192</v>
      </c>
      <c r="S39" t="s">
        <v>34</v>
      </c>
      <c r="T39" t="s">
        <v>35</v>
      </c>
      <c r="U39">
        <v>844</v>
      </c>
      <c r="V39" t="s">
        <v>36</v>
      </c>
      <c r="W39" s="1">
        <v>45993</v>
      </c>
      <c r="X39">
        <v>2026</v>
      </c>
    </row>
    <row r="40" spans="1:24" x14ac:dyDescent="0.25">
      <c r="A40" s="1">
        <v>46043</v>
      </c>
      <c r="B40" t="s">
        <v>140</v>
      </c>
      <c r="C40" t="s">
        <v>141</v>
      </c>
      <c r="E40" t="s">
        <v>142</v>
      </c>
      <c r="F40" t="s">
        <v>42</v>
      </c>
      <c r="G40" t="s">
        <v>37</v>
      </c>
      <c r="H40" t="s">
        <v>29</v>
      </c>
      <c r="I40" t="s">
        <v>43</v>
      </c>
      <c r="J40" t="s">
        <v>143</v>
      </c>
      <c r="L40" s="1">
        <v>46023</v>
      </c>
      <c r="M40" s="1">
        <v>46023</v>
      </c>
      <c r="O40">
        <v>8812322</v>
      </c>
      <c r="P40" t="s">
        <v>32</v>
      </c>
      <c r="Q40" t="s">
        <v>132</v>
      </c>
      <c r="R40">
        <v>8192</v>
      </c>
      <c r="S40" t="s">
        <v>34</v>
      </c>
      <c r="T40" t="s">
        <v>35</v>
      </c>
      <c r="U40">
        <v>-497</v>
      </c>
      <c r="V40" t="s">
        <v>38</v>
      </c>
      <c r="W40" s="1">
        <v>45993</v>
      </c>
      <c r="X40">
        <v>2026</v>
      </c>
    </row>
    <row r="41" spans="1:24" x14ac:dyDescent="0.25">
      <c r="A41" s="1">
        <v>46043</v>
      </c>
      <c r="B41" t="s">
        <v>144</v>
      </c>
      <c r="C41" t="s">
        <v>145</v>
      </c>
      <c r="E41" t="s">
        <v>146</v>
      </c>
      <c r="F41" t="s">
        <v>42</v>
      </c>
      <c r="G41" t="s">
        <v>49</v>
      </c>
      <c r="H41" t="s">
        <v>29</v>
      </c>
      <c r="I41" t="s">
        <v>43</v>
      </c>
      <c r="J41" t="s">
        <v>143</v>
      </c>
      <c r="L41" s="1">
        <v>46023</v>
      </c>
      <c r="M41" s="1">
        <v>46023</v>
      </c>
      <c r="O41">
        <v>8812322</v>
      </c>
      <c r="P41" t="s">
        <v>32</v>
      </c>
      <c r="Q41" t="s">
        <v>132</v>
      </c>
      <c r="R41">
        <v>8192</v>
      </c>
      <c r="S41" t="s">
        <v>34</v>
      </c>
      <c r="T41" t="s">
        <v>35</v>
      </c>
      <c r="U41">
        <v>844</v>
      </c>
      <c r="V41" t="s">
        <v>36</v>
      </c>
      <c r="W41" s="1">
        <v>45993</v>
      </c>
      <c r="X41">
        <v>2026</v>
      </c>
    </row>
    <row r="42" spans="1:24" x14ac:dyDescent="0.25">
      <c r="A42" s="1">
        <v>46043</v>
      </c>
      <c r="B42" t="s">
        <v>144</v>
      </c>
      <c r="C42" t="s">
        <v>145</v>
      </c>
      <c r="E42" t="s">
        <v>146</v>
      </c>
      <c r="F42" t="s">
        <v>42</v>
      </c>
      <c r="G42" t="s">
        <v>37</v>
      </c>
      <c r="H42" t="s">
        <v>29</v>
      </c>
      <c r="I42" t="s">
        <v>43</v>
      </c>
      <c r="J42" t="s">
        <v>143</v>
      </c>
      <c r="L42" s="1">
        <v>46023</v>
      </c>
      <c r="M42" s="1">
        <v>46023</v>
      </c>
      <c r="O42">
        <v>8812322</v>
      </c>
      <c r="P42" t="s">
        <v>32</v>
      </c>
      <c r="Q42" t="s">
        <v>132</v>
      </c>
      <c r="R42">
        <v>8192</v>
      </c>
      <c r="S42" t="s">
        <v>34</v>
      </c>
      <c r="T42" t="s">
        <v>35</v>
      </c>
      <c r="U42">
        <v>-497</v>
      </c>
      <c r="V42" t="s">
        <v>38</v>
      </c>
      <c r="W42" s="1">
        <v>45993</v>
      </c>
      <c r="X42">
        <v>2026</v>
      </c>
    </row>
    <row r="43" spans="1:24" x14ac:dyDescent="0.25">
      <c r="A43" s="1">
        <v>46043</v>
      </c>
      <c r="B43" t="s">
        <v>147</v>
      </c>
      <c r="C43" t="s">
        <v>148</v>
      </c>
      <c r="E43" t="s">
        <v>149</v>
      </c>
      <c r="F43" t="s">
        <v>27</v>
      </c>
      <c r="G43" t="s">
        <v>49</v>
      </c>
      <c r="H43" t="s">
        <v>29</v>
      </c>
      <c r="I43" t="s">
        <v>30</v>
      </c>
      <c r="J43" t="s">
        <v>82</v>
      </c>
      <c r="L43" s="1">
        <v>46023</v>
      </c>
      <c r="M43" s="1">
        <v>46023</v>
      </c>
      <c r="O43">
        <v>17886092</v>
      </c>
      <c r="P43" t="s">
        <v>32</v>
      </c>
      <c r="Q43" t="s">
        <v>88</v>
      </c>
      <c r="R43">
        <v>8192</v>
      </c>
      <c r="S43" t="s">
        <v>34</v>
      </c>
      <c r="T43" t="s">
        <v>35</v>
      </c>
      <c r="U43">
        <v>65</v>
      </c>
      <c r="V43" t="s">
        <v>36</v>
      </c>
      <c r="W43" s="1">
        <v>45951</v>
      </c>
      <c r="X43">
        <v>2026</v>
      </c>
    </row>
    <row r="44" spans="1:24" x14ac:dyDescent="0.25">
      <c r="A44" s="1">
        <v>46043</v>
      </c>
      <c r="B44" t="s">
        <v>147</v>
      </c>
      <c r="C44" t="s">
        <v>148</v>
      </c>
      <c r="E44" t="s">
        <v>149</v>
      </c>
      <c r="F44" t="s">
        <v>27</v>
      </c>
      <c r="G44" t="s">
        <v>37</v>
      </c>
      <c r="H44" t="s">
        <v>29</v>
      </c>
      <c r="I44" t="s">
        <v>30</v>
      </c>
      <c r="J44" t="s">
        <v>82</v>
      </c>
      <c r="L44" s="1">
        <v>46023</v>
      </c>
      <c r="M44" s="1">
        <v>46023</v>
      </c>
      <c r="O44">
        <v>17886092</v>
      </c>
      <c r="P44" t="s">
        <v>32</v>
      </c>
      <c r="Q44" t="s">
        <v>88</v>
      </c>
      <c r="R44">
        <v>8192</v>
      </c>
      <c r="S44" t="s">
        <v>34</v>
      </c>
      <c r="T44" t="s">
        <v>35</v>
      </c>
      <c r="U44">
        <v>-65</v>
      </c>
      <c r="V44" t="s">
        <v>38</v>
      </c>
      <c r="W44" s="1">
        <v>45951</v>
      </c>
      <c r="X44">
        <v>2026</v>
      </c>
    </row>
    <row r="45" spans="1:24" x14ac:dyDescent="0.25">
      <c r="A45" s="1">
        <v>46043</v>
      </c>
      <c r="B45" t="s">
        <v>150</v>
      </c>
      <c r="C45" t="s">
        <v>151</v>
      </c>
      <c r="E45" t="s">
        <v>152</v>
      </c>
      <c r="F45" t="s">
        <v>42</v>
      </c>
      <c r="G45" t="s">
        <v>49</v>
      </c>
      <c r="H45" t="s">
        <v>29</v>
      </c>
      <c r="I45" t="s">
        <v>55</v>
      </c>
      <c r="J45" t="s">
        <v>153</v>
      </c>
      <c r="L45" s="1">
        <v>46023</v>
      </c>
      <c r="M45" s="1">
        <v>46023</v>
      </c>
      <c r="O45">
        <v>9213293</v>
      </c>
      <c r="P45" t="s">
        <v>32</v>
      </c>
      <c r="Q45" t="s">
        <v>122</v>
      </c>
      <c r="R45">
        <v>8192</v>
      </c>
      <c r="S45" t="s">
        <v>34</v>
      </c>
      <c r="T45" t="s">
        <v>35</v>
      </c>
      <c r="U45">
        <v>844</v>
      </c>
      <c r="V45" t="s">
        <v>36</v>
      </c>
      <c r="W45" s="1">
        <v>45997</v>
      </c>
      <c r="X45">
        <v>2026</v>
      </c>
    </row>
    <row r="46" spans="1:24" x14ac:dyDescent="0.25">
      <c r="A46" s="1">
        <v>46043</v>
      </c>
      <c r="B46" t="s">
        <v>150</v>
      </c>
      <c r="C46" t="s">
        <v>151</v>
      </c>
      <c r="E46" t="s">
        <v>152</v>
      </c>
      <c r="F46" t="s">
        <v>42</v>
      </c>
      <c r="G46" t="s">
        <v>37</v>
      </c>
      <c r="H46" t="s">
        <v>29</v>
      </c>
      <c r="I46" t="s">
        <v>55</v>
      </c>
      <c r="J46" t="s">
        <v>153</v>
      </c>
      <c r="L46" s="1">
        <v>46023</v>
      </c>
      <c r="M46" s="1">
        <v>46023</v>
      </c>
      <c r="O46">
        <v>9213293</v>
      </c>
      <c r="P46" t="s">
        <v>32</v>
      </c>
      <c r="Q46" t="s">
        <v>122</v>
      </c>
      <c r="R46">
        <v>8192</v>
      </c>
      <c r="S46" t="s">
        <v>34</v>
      </c>
      <c r="T46" t="s">
        <v>35</v>
      </c>
      <c r="U46">
        <v>-497</v>
      </c>
      <c r="V46" t="s">
        <v>38</v>
      </c>
      <c r="W46" s="1">
        <v>45997</v>
      </c>
      <c r="X46">
        <v>2026</v>
      </c>
    </row>
    <row r="47" spans="1:24" x14ac:dyDescent="0.25">
      <c r="A47" s="1">
        <v>46043</v>
      </c>
      <c r="B47" t="s">
        <v>154</v>
      </c>
      <c r="C47" t="s">
        <v>155</v>
      </c>
      <c r="E47" t="s">
        <v>156</v>
      </c>
      <c r="F47" t="s">
        <v>42</v>
      </c>
      <c r="G47" t="s">
        <v>28</v>
      </c>
      <c r="H47" t="s">
        <v>29</v>
      </c>
      <c r="I47" t="s">
        <v>55</v>
      </c>
      <c r="J47" t="s">
        <v>157</v>
      </c>
      <c r="L47" s="1">
        <v>46054</v>
      </c>
      <c r="M47" s="1">
        <v>46054</v>
      </c>
      <c r="O47">
        <v>7146581</v>
      </c>
      <c r="P47" t="s">
        <v>32</v>
      </c>
      <c r="Q47" t="s">
        <v>158</v>
      </c>
      <c r="R47">
        <v>8192</v>
      </c>
      <c r="S47" t="s">
        <v>34</v>
      </c>
      <c r="T47" t="s">
        <v>35</v>
      </c>
      <c r="U47">
        <v>844</v>
      </c>
      <c r="V47" t="s">
        <v>36</v>
      </c>
      <c r="W47" s="1">
        <v>45963</v>
      </c>
      <c r="X47">
        <v>2026</v>
      </c>
    </row>
    <row r="48" spans="1:24" x14ac:dyDescent="0.25">
      <c r="A48" s="1">
        <v>46043</v>
      </c>
      <c r="B48" t="s">
        <v>154</v>
      </c>
      <c r="C48" t="s">
        <v>155</v>
      </c>
      <c r="E48" t="s">
        <v>156</v>
      </c>
      <c r="F48" t="s">
        <v>42</v>
      </c>
      <c r="G48" t="s">
        <v>37</v>
      </c>
      <c r="H48" t="s">
        <v>29</v>
      </c>
      <c r="I48" t="s">
        <v>55</v>
      </c>
      <c r="J48" t="s">
        <v>157</v>
      </c>
      <c r="L48" s="1">
        <v>46054</v>
      </c>
      <c r="M48" s="1">
        <v>46054</v>
      </c>
      <c r="O48">
        <v>7146581</v>
      </c>
      <c r="P48" t="s">
        <v>32</v>
      </c>
      <c r="Q48" t="s">
        <v>158</v>
      </c>
      <c r="R48">
        <v>8192</v>
      </c>
      <c r="S48" t="s">
        <v>34</v>
      </c>
      <c r="T48" t="s">
        <v>35</v>
      </c>
      <c r="U48">
        <v>-455.58</v>
      </c>
      <c r="V48" t="s">
        <v>38</v>
      </c>
      <c r="W48" s="1">
        <v>45963</v>
      </c>
      <c r="X48">
        <v>2026</v>
      </c>
    </row>
    <row r="49" spans="1:24" x14ac:dyDescent="0.25">
      <c r="A49" s="1">
        <v>46043</v>
      </c>
      <c r="B49" t="s">
        <v>159</v>
      </c>
      <c r="C49" t="s">
        <v>160</v>
      </c>
      <c r="E49" t="s">
        <v>161</v>
      </c>
      <c r="F49" t="s">
        <v>42</v>
      </c>
      <c r="G49" t="s">
        <v>49</v>
      </c>
      <c r="H49" t="s">
        <v>29</v>
      </c>
      <c r="I49" t="s">
        <v>55</v>
      </c>
      <c r="J49" t="s">
        <v>56</v>
      </c>
      <c r="L49" s="1">
        <v>46023</v>
      </c>
      <c r="M49" s="1">
        <v>46023</v>
      </c>
      <c r="O49">
        <v>8405446</v>
      </c>
      <c r="P49" t="s">
        <v>32</v>
      </c>
      <c r="Q49" t="s">
        <v>162</v>
      </c>
      <c r="R49">
        <v>8192</v>
      </c>
      <c r="S49" t="s">
        <v>34</v>
      </c>
      <c r="T49" t="s">
        <v>35</v>
      </c>
      <c r="U49">
        <v>844</v>
      </c>
      <c r="V49" t="s">
        <v>36</v>
      </c>
      <c r="W49" s="1">
        <v>45983</v>
      </c>
      <c r="X49">
        <v>2026</v>
      </c>
    </row>
    <row r="50" spans="1:24" x14ac:dyDescent="0.25">
      <c r="A50" s="1">
        <v>46043</v>
      </c>
      <c r="B50" t="s">
        <v>159</v>
      </c>
      <c r="C50" t="s">
        <v>160</v>
      </c>
      <c r="E50" t="s">
        <v>161</v>
      </c>
      <c r="F50" t="s">
        <v>42</v>
      </c>
      <c r="G50" t="s">
        <v>37</v>
      </c>
      <c r="H50" t="s">
        <v>29</v>
      </c>
      <c r="I50" t="s">
        <v>55</v>
      </c>
      <c r="J50" t="s">
        <v>56</v>
      </c>
      <c r="L50" s="1">
        <v>46023</v>
      </c>
      <c r="M50" s="1">
        <v>46023</v>
      </c>
      <c r="O50">
        <v>8405446</v>
      </c>
      <c r="P50" t="s">
        <v>32</v>
      </c>
      <c r="Q50" t="s">
        <v>162</v>
      </c>
      <c r="R50">
        <v>8192</v>
      </c>
      <c r="S50" t="s">
        <v>34</v>
      </c>
      <c r="T50" t="s">
        <v>35</v>
      </c>
      <c r="U50">
        <v>-497</v>
      </c>
      <c r="V50" t="s">
        <v>38</v>
      </c>
      <c r="W50" s="1">
        <v>45983</v>
      </c>
      <c r="X50">
        <v>2026</v>
      </c>
    </row>
    <row r="51" spans="1:24" x14ac:dyDescent="0.25">
      <c r="A51" s="1">
        <v>46043</v>
      </c>
      <c r="B51" t="s">
        <v>163</v>
      </c>
      <c r="C51" t="s">
        <v>164</v>
      </c>
      <c r="E51" t="s">
        <v>165</v>
      </c>
      <c r="F51" t="s">
        <v>98</v>
      </c>
      <c r="G51" t="s">
        <v>28</v>
      </c>
      <c r="H51" t="s">
        <v>29</v>
      </c>
      <c r="I51" t="s">
        <v>99</v>
      </c>
      <c r="J51" t="s">
        <v>166</v>
      </c>
      <c r="L51" s="1">
        <v>46023</v>
      </c>
      <c r="M51" s="1">
        <v>46023</v>
      </c>
      <c r="O51">
        <v>18142208</v>
      </c>
      <c r="P51" t="s">
        <v>32</v>
      </c>
      <c r="Q51" t="s">
        <v>167</v>
      </c>
      <c r="R51">
        <v>8192</v>
      </c>
      <c r="S51" t="s">
        <v>34</v>
      </c>
      <c r="T51" t="s">
        <v>35</v>
      </c>
      <c r="U51">
        <v>844</v>
      </c>
      <c r="V51" t="s">
        <v>36</v>
      </c>
      <c r="W51" s="1">
        <v>46006</v>
      </c>
      <c r="X51">
        <v>2026</v>
      </c>
    </row>
    <row r="52" spans="1:24" x14ac:dyDescent="0.25">
      <c r="A52" s="1">
        <v>46043</v>
      </c>
      <c r="B52" t="s">
        <v>163</v>
      </c>
      <c r="C52" t="s">
        <v>164</v>
      </c>
      <c r="E52" t="s">
        <v>165</v>
      </c>
      <c r="F52" t="s">
        <v>98</v>
      </c>
      <c r="G52" t="s">
        <v>37</v>
      </c>
      <c r="H52" t="s">
        <v>29</v>
      </c>
      <c r="I52" t="s">
        <v>99</v>
      </c>
      <c r="J52" t="s">
        <v>166</v>
      </c>
      <c r="L52" s="1">
        <v>46023</v>
      </c>
      <c r="M52" s="1">
        <v>46023</v>
      </c>
      <c r="O52">
        <v>18142208</v>
      </c>
      <c r="P52" t="s">
        <v>32</v>
      </c>
      <c r="Q52" t="s">
        <v>167</v>
      </c>
      <c r="R52">
        <v>8192</v>
      </c>
      <c r="S52" t="s">
        <v>34</v>
      </c>
      <c r="T52" t="s">
        <v>35</v>
      </c>
      <c r="U52">
        <v>-497</v>
      </c>
      <c r="V52" t="s">
        <v>38</v>
      </c>
      <c r="W52" s="1">
        <v>46006</v>
      </c>
      <c r="X52">
        <v>2026</v>
      </c>
    </row>
    <row r="53" spans="1:24" x14ac:dyDescent="0.25">
      <c r="A53" s="1">
        <v>46043</v>
      </c>
      <c r="B53" t="s">
        <v>168</v>
      </c>
      <c r="C53" t="s">
        <v>169</v>
      </c>
      <c r="E53" t="s">
        <v>170</v>
      </c>
      <c r="F53" t="s">
        <v>42</v>
      </c>
      <c r="G53" t="s">
        <v>49</v>
      </c>
      <c r="H53" t="s">
        <v>29</v>
      </c>
      <c r="I53" t="s">
        <v>55</v>
      </c>
      <c r="J53" t="s">
        <v>56</v>
      </c>
      <c r="L53" s="1">
        <v>46023</v>
      </c>
      <c r="M53" s="1">
        <v>46023</v>
      </c>
      <c r="O53">
        <v>21283956</v>
      </c>
      <c r="P53" t="s">
        <v>32</v>
      </c>
      <c r="Q53" t="s">
        <v>171</v>
      </c>
      <c r="R53">
        <v>8192</v>
      </c>
      <c r="S53" t="s">
        <v>34</v>
      </c>
      <c r="T53" t="s">
        <v>35</v>
      </c>
      <c r="U53">
        <v>844</v>
      </c>
      <c r="V53" t="s">
        <v>36</v>
      </c>
      <c r="W53" s="1">
        <v>45981</v>
      </c>
      <c r="X53">
        <v>2026</v>
      </c>
    </row>
    <row r="54" spans="1:24" x14ac:dyDescent="0.25">
      <c r="A54" s="1">
        <v>46043</v>
      </c>
      <c r="B54" t="s">
        <v>168</v>
      </c>
      <c r="C54" t="s">
        <v>169</v>
      </c>
      <c r="E54" t="s">
        <v>170</v>
      </c>
      <c r="F54" t="s">
        <v>42</v>
      </c>
      <c r="G54" t="s">
        <v>37</v>
      </c>
      <c r="H54" t="s">
        <v>29</v>
      </c>
      <c r="I54" t="s">
        <v>55</v>
      </c>
      <c r="J54" t="s">
        <v>56</v>
      </c>
      <c r="L54" s="1">
        <v>46023</v>
      </c>
      <c r="M54" s="1">
        <v>46023</v>
      </c>
      <c r="O54">
        <v>21283956</v>
      </c>
      <c r="P54" t="s">
        <v>32</v>
      </c>
      <c r="Q54" t="s">
        <v>171</v>
      </c>
      <c r="R54">
        <v>8192</v>
      </c>
      <c r="S54" t="s">
        <v>34</v>
      </c>
      <c r="T54" t="s">
        <v>35</v>
      </c>
      <c r="U54">
        <v>-497</v>
      </c>
      <c r="V54" t="s">
        <v>38</v>
      </c>
      <c r="W54" s="1">
        <v>45981</v>
      </c>
      <c r="X54">
        <v>2026</v>
      </c>
    </row>
    <row r="55" spans="1:24" x14ac:dyDescent="0.25">
      <c r="A55" s="1">
        <v>46043</v>
      </c>
      <c r="B55" t="s">
        <v>172</v>
      </c>
      <c r="C55" t="s">
        <v>173</v>
      </c>
      <c r="E55" t="s">
        <v>174</v>
      </c>
      <c r="F55" t="s">
        <v>27</v>
      </c>
      <c r="G55" t="s">
        <v>28</v>
      </c>
      <c r="H55" t="s">
        <v>29</v>
      </c>
      <c r="I55" t="s">
        <v>30</v>
      </c>
      <c r="J55" t="s">
        <v>82</v>
      </c>
      <c r="L55" s="1">
        <v>46023</v>
      </c>
      <c r="M55" s="1">
        <v>46023</v>
      </c>
      <c r="O55">
        <v>17886092</v>
      </c>
      <c r="P55" t="s">
        <v>32</v>
      </c>
      <c r="Q55" t="s">
        <v>88</v>
      </c>
      <c r="R55">
        <v>8192</v>
      </c>
      <c r="S55" t="s">
        <v>34</v>
      </c>
      <c r="T55" t="s">
        <v>35</v>
      </c>
      <c r="U55">
        <v>65</v>
      </c>
      <c r="V55" t="s">
        <v>36</v>
      </c>
      <c r="W55" s="1">
        <v>46007</v>
      </c>
      <c r="X55">
        <v>2026</v>
      </c>
    </row>
    <row r="56" spans="1:24" x14ac:dyDescent="0.25">
      <c r="A56" s="1">
        <v>46043</v>
      </c>
      <c r="B56" t="s">
        <v>172</v>
      </c>
      <c r="C56" t="s">
        <v>173</v>
      </c>
      <c r="E56" t="s">
        <v>174</v>
      </c>
      <c r="F56" t="s">
        <v>27</v>
      </c>
      <c r="G56" t="s">
        <v>37</v>
      </c>
      <c r="H56" t="s">
        <v>29</v>
      </c>
      <c r="I56" t="s">
        <v>30</v>
      </c>
      <c r="J56" t="s">
        <v>82</v>
      </c>
      <c r="L56" s="1">
        <v>46023</v>
      </c>
      <c r="M56" s="1">
        <v>46023</v>
      </c>
      <c r="O56">
        <v>17886092</v>
      </c>
      <c r="P56" t="s">
        <v>32</v>
      </c>
      <c r="Q56" t="s">
        <v>88</v>
      </c>
      <c r="R56">
        <v>8192</v>
      </c>
      <c r="S56" t="s">
        <v>34</v>
      </c>
      <c r="T56" t="s">
        <v>35</v>
      </c>
      <c r="U56">
        <v>-65</v>
      </c>
      <c r="V56" t="s">
        <v>38</v>
      </c>
      <c r="W56" s="1">
        <v>46007</v>
      </c>
      <c r="X56">
        <v>2026</v>
      </c>
    </row>
    <row r="57" spans="1:24" x14ac:dyDescent="0.25">
      <c r="A57" s="1">
        <v>46043</v>
      </c>
      <c r="B57" t="s">
        <v>175</v>
      </c>
      <c r="C57" t="s">
        <v>176</v>
      </c>
      <c r="E57" t="s">
        <v>177</v>
      </c>
      <c r="F57" t="s">
        <v>42</v>
      </c>
      <c r="G57" t="s">
        <v>28</v>
      </c>
      <c r="H57" t="s">
        <v>29</v>
      </c>
      <c r="I57" t="s">
        <v>55</v>
      </c>
      <c r="J57" t="s">
        <v>56</v>
      </c>
      <c r="L57" s="1">
        <v>46023</v>
      </c>
      <c r="M57" s="1">
        <v>46023</v>
      </c>
      <c r="O57">
        <v>18754354</v>
      </c>
      <c r="P57" t="s">
        <v>32</v>
      </c>
      <c r="Q57" t="s">
        <v>178</v>
      </c>
      <c r="R57">
        <v>8192</v>
      </c>
      <c r="S57" t="s">
        <v>34</v>
      </c>
      <c r="T57" t="s">
        <v>35</v>
      </c>
      <c r="U57">
        <v>844</v>
      </c>
      <c r="V57" t="s">
        <v>36</v>
      </c>
      <c r="W57" s="1">
        <v>45986</v>
      </c>
      <c r="X57">
        <v>2026</v>
      </c>
    </row>
    <row r="58" spans="1:24" x14ac:dyDescent="0.25">
      <c r="A58" s="1">
        <v>46043</v>
      </c>
      <c r="B58" t="s">
        <v>175</v>
      </c>
      <c r="C58" t="s">
        <v>176</v>
      </c>
      <c r="E58" t="s">
        <v>177</v>
      </c>
      <c r="F58" t="s">
        <v>42</v>
      </c>
      <c r="G58" t="s">
        <v>37</v>
      </c>
      <c r="H58" t="s">
        <v>29</v>
      </c>
      <c r="I58" t="s">
        <v>55</v>
      </c>
      <c r="J58" t="s">
        <v>56</v>
      </c>
      <c r="L58" s="1">
        <v>46023</v>
      </c>
      <c r="M58" s="1">
        <v>46023</v>
      </c>
      <c r="O58">
        <v>18754354</v>
      </c>
      <c r="P58" t="s">
        <v>32</v>
      </c>
      <c r="Q58" t="s">
        <v>178</v>
      </c>
      <c r="R58">
        <v>8192</v>
      </c>
      <c r="S58" t="s">
        <v>34</v>
      </c>
      <c r="T58" t="s">
        <v>35</v>
      </c>
      <c r="U58">
        <v>-497</v>
      </c>
      <c r="V58" t="s">
        <v>38</v>
      </c>
      <c r="W58" s="1">
        <v>45986</v>
      </c>
      <c r="X58">
        <v>2026</v>
      </c>
    </row>
    <row r="59" spans="1:24" x14ac:dyDescent="0.25">
      <c r="A59" s="1">
        <v>46043</v>
      </c>
      <c r="B59" t="s">
        <v>179</v>
      </c>
      <c r="C59" t="s">
        <v>180</v>
      </c>
      <c r="E59" t="s">
        <v>181</v>
      </c>
      <c r="F59" t="s">
        <v>182</v>
      </c>
      <c r="G59" t="s">
        <v>28</v>
      </c>
      <c r="H59" t="s">
        <v>29</v>
      </c>
      <c r="I59" t="s">
        <v>30</v>
      </c>
      <c r="J59" t="s">
        <v>183</v>
      </c>
      <c r="L59" s="1">
        <v>46054</v>
      </c>
      <c r="M59" s="1">
        <v>46054</v>
      </c>
      <c r="O59">
        <v>21618313</v>
      </c>
      <c r="P59" t="s">
        <v>32</v>
      </c>
      <c r="Q59" t="s">
        <v>184</v>
      </c>
      <c r="R59">
        <v>8192</v>
      </c>
      <c r="S59" t="s">
        <v>34</v>
      </c>
      <c r="T59" t="s">
        <v>35</v>
      </c>
      <c r="U59">
        <v>844</v>
      </c>
      <c r="V59" t="s">
        <v>36</v>
      </c>
      <c r="W59" s="1">
        <v>45994</v>
      </c>
      <c r="X59">
        <v>2026</v>
      </c>
    </row>
    <row r="60" spans="1:24" x14ac:dyDescent="0.25">
      <c r="A60" s="1">
        <v>46043</v>
      </c>
      <c r="B60" t="s">
        <v>179</v>
      </c>
      <c r="C60" t="s">
        <v>180</v>
      </c>
      <c r="E60" t="s">
        <v>181</v>
      </c>
      <c r="F60" t="s">
        <v>182</v>
      </c>
      <c r="G60" t="s">
        <v>37</v>
      </c>
      <c r="H60" t="s">
        <v>29</v>
      </c>
      <c r="I60" t="s">
        <v>30</v>
      </c>
      <c r="J60" t="s">
        <v>183</v>
      </c>
      <c r="L60" s="1">
        <v>46054</v>
      </c>
      <c r="M60" s="1">
        <v>46054</v>
      </c>
      <c r="O60">
        <v>21618313</v>
      </c>
      <c r="P60" t="s">
        <v>32</v>
      </c>
      <c r="Q60" t="s">
        <v>184</v>
      </c>
      <c r="R60">
        <v>8192</v>
      </c>
      <c r="S60" t="s">
        <v>34</v>
      </c>
      <c r="T60" t="s">
        <v>35</v>
      </c>
      <c r="U60">
        <v>-455.58</v>
      </c>
      <c r="V60" t="s">
        <v>38</v>
      </c>
      <c r="W60" s="1">
        <v>45994</v>
      </c>
      <c r="X60">
        <v>2026</v>
      </c>
    </row>
    <row r="61" spans="1:24" x14ac:dyDescent="0.25">
      <c r="A61" s="1">
        <v>46043</v>
      </c>
      <c r="B61" t="s">
        <v>185</v>
      </c>
      <c r="C61" t="s">
        <v>186</v>
      </c>
      <c r="E61" t="s">
        <v>187</v>
      </c>
      <c r="F61" t="s">
        <v>98</v>
      </c>
      <c r="G61" t="s">
        <v>49</v>
      </c>
      <c r="H61" t="s">
        <v>29</v>
      </c>
      <c r="I61" t="s">
        <v>99</v>
      </c>
      <c r="J61" t="s">
        <v>188</v>
      </c>
      <c r="L61" s="1">
        <v>46023</v>
      </c>
      <c r="M61" s="1">
        <v>46023</v>
      </c>
      <c r="O61">
        <v>18142208</v>
      </c>
      <c r="P61" t="s">
        <v>32</v>
      </c>
      <c r="Q61" t="s">
        <v>167</v>
      </c>
      <c r="R61">
        <v>8192</v>
      </c>
      <c r="S61" t="s">
        <v>34</v>
      </c>
      <c r="T61" t="s">
        <v>35</v>
      </c>
      <c r="U61">
        <v>844</v>
      </c>
      <c r="V61" t="s">
        <v>36</v>
      </c>
      <c r="W61" s="1">
        <v>45995</v>
      </c>
      <c r="X61">
        <v>2026</v>
      </c>
    </row>
    <row r="62" spans="1:24" x14ac:dyDescent="0.25">
      <c r="A62" s="1">
        <v>46043</v>
      </c>
      <c r="B62" t="s">
        <v>185</v>
      </c>
      <c r="C62" t="s">
        <v>186</v>
      </c>
      <c r="E62" t="s">
        <v>187</v>
      </c>
      <c r="F62" t="s">
        <v>98</v>
      </c>
      <c r="G62" t="s">
        <v>37</v>
      </c>
      <c r="H62" t="s">
        <v>29</v>
      </c>
      <c r="I62" t="s">
        <v>99</v>
      </c>
      <c r="J62" t="s">
        <v>188</v>
      </c>
      <c r="L62" s="1">
        <v>46023</v>
      </c>
      <c r="M62" s="1">
        <v>46023</v>
      </c>
      <c r="O62">
        <v>18142208</v>
      </c>
      <c r="P62" t="s">
        <v>32</v>
      </c>
      <c r="Q62" t="s">
        <v>167</v>
      </c>
      <c r="R62">
        <v>8192</v>
      </c>
      <c r="S62" t="s">
        <v>34</v>
      </c>
      <c r="T62" t="s">
        <v>35</v>
      </c>
      <c r="U62">
        <v>-497</v>
      </c>
      <c r="V62" t="s">
        <v>38</v>
      </c>
      <c r="W62" s="1">
        <v>45995</v>
      </c>
      <c r="X62">
        <v>2026</v>
      </c>
    </row>
    <row r="63" spans="1:24" x14ac:dyDescent="0.25">
      <c r="A63" s="1">
        <v>46043</v>
      </c>
      <c r="B63" t="s">
        <v>189</v>
      </c>
      <c r="C63" t="s">
        <v>190</v>
      </c>
      <c r="E63" t="s">
        <v>191</v>
      </c>
      <c r="F63" t="s">
        <v>42</v>
      </c>
      <c r="G63" t="s">
        <v>49</v>
      </c>
      <c r="H63" t="s">
        <v>29</v>
      </c>
      <c r="I63" t="s">
        <v>55</v>
      </c>
      <c r="J63" t="s">
        <v>192</v>
      </c>
      <c r="L63" s="1">
        <v>46023</v>
      </c>
      <c r="M63" s="1">
        <v>46023</v>
      </c>
      <c r="O63">
        <v>20003537</v>
      </c>
      <c r="P63" t="s">
        <v>32</v>
      </c>
      <c r="Q63" t="s">
        <v>193</v>
      </c>
      <c r="R63">
        <v>8192</v>
      </c>
      <c r="S63" t="s">
        <v>34</v>
      </c>
      <c r="T63" t="s">
        <v>35</v>
      </c>
      <c r="U63">
        <v>844</v>
      </c>
      <c r="V63" t="s">
        <v>36</v>
      </c>
      <c r="W63" s="1">
        <v>45993</v>
      </c>
      <c r="X63">
        <v>2026</v>
      </c>
    </row>
    <row r="64" spans="1:24" x14ac:dyDescent="0.25">
      <c r="A64" s="1">
        <v>46043</v>
      </c>
      <c r="B64" t="s">
        <v>189</v>
      </c>
      <c r="C64" t="s">
        <v>190</v>
      </c>
      <c r="E64" t="s">
        <v>191</v>
      </c>
      <c r="F64" t="s">
        <v>42</v>
      </c>
      <c r="G64" t="s">
        <v>37</v>
      </c>
      <c r="H64" t="s">
        <v>29</v>
      </c>
      <c r="I64" t="s">
        <v>55</v>
      </c>
      <c r="J64" t="s">
        <v>192</v>
      </c>
      <c r="L64" s="1">
        <v>46023</v>
      </c>
      <c r="M64" s="1">
        <v>46023</v>
      </c>
      <c r="O64">
        <v>20003537</v>
      </c>
      <c r="P64" t="s">
        <v>32</v>
      </c>
      <c r="Q64" t="s">
        <v>193</v>
      </c>
      <c r="R64">
        <v>8192</v>
      </c>
      <c r="S64" t="s">
        <v>34</v>
      </c>
      <c r="T64" t="s">
        <v>35</v>
      </c>
      <c r="U64">
        <v>-497</v>
      </c>
      <c r="V64" t="s">
        <v>38</v>
      </c>
      <c r="W64" s="1">
        <v>45993</v>
      </c>
      <c r="X64">
        <v>2026</v>
      </c>
    </row>
    <row r="65" spans="1:24" x14ac:dyDescent="0.25">
      <c r="A65" s="1">
        <v>46043</v>
      </c>
      <c r="B65" t="s">
        <v>194</v>
      </c>
      <c r="C65" t="s">
        <v>195</v>
      </c>
      <c r="E65" t="s">
        <v>196</v>
      </c>
      <c r="F65" t="s">
        <v>42</v>
      </c>
      <c r="G65" t="s">
        <v>49</v>
      </c>
      <c r="H65" t="s">
        <v>29</v>
      </c>
      <c r="I65" t="s">
        <v>55</v>
      </c>
      <c r="J65" t="s">
        <v>192</v>
      </c>
      <c r="L65" s="1">
        <v>46023</v>
      </c>
      <c r="M65" s="1">
        <v>46023</v>
      </c>
      <c r="O65">
        <v>20003537</v>
      </c>
      <c r="P65" t="s">
        <v>32</v>
      </c>
      <c r="Q65" t="s">
        <v>193</v>
      </c>
      <c r="R65">
        <v>8192</v>
      </c>
      <c r="S65" t="s">
        <v>34</v>
      </c>
      <c r="T65" t="s">
        <v>35</v>
      </c>
      <c r="U65">
        <v>844</v>
      </c>
      <c r="V65" t="s">
        <v>36</v>
      </c>
      <c r="W65" s="1">
        <v>45993</v>
      </c>
      <c r="X65">
        <v>2026</v>
      </c>
    </row>
    <row r="66" spans="1:24" x14ac:dyDescent="0.25">
      <c r="A66" s="1">
        <v>46043</v>
      </c>
      <c r="B66" t="s">
        <v>194</v>
      </c>
      <c r="C66" t="s">
        <v>195</v>
      </c>
      <c r="E66" t="s">
        <v>196</v>
      </c>
      <c r="F66" t="s">
        <v>42</v>
      </c>
      <c r="G66" t="s">
        <v>37</v>
      </c>
      <c r="H66" t="s">
        <v>29</v>
      </c>
      <c r="I66" t="s">
        <v>55</v>
      </c>
      <c r="J66" t="s">
        <v>192</v>
      </c>
      <c r="L66" s="1">
        <v>46023</v>
      </c>
      <c r="M66" s="1">
        <v>46023</v>
      </c>
      <c r="O66">
        <v>20003537</v>
      </c>
      <c r="P66" t="s">
        <v>32</v>
      </c>
      <c r="Q66" t="s">
        <v>193</v>
      </c>
      <c r="R66">
        <v>8192</v>
      </c>
      <c r="S66" t="s">
        <v>34</v>
      </c>
      <c r="T66" t="s">
        <v>35</v>
      </c>
      <c r="U66">
        <v>-497</v>
      </c>
      <c r="V66" t="s">
        <v>38</v>
      </c>
      <c r="W66" s="1">
        <v>45993</v>
      </c>
      <c r="X66">
        <v>2026</v>
      </c>
    </row>
    <row r="67" spans="1:24" x14ac:dyDescent="0.25">
      <c r="A67" s="1">
        <v>46043</v>
      </c>
      <c r="B67" t="s">
        <v>197</v>
      </c>
      <c r="C67" t="s">
        <v>198</v>
      </c>
      <c r="E67" t="s">
        <v>199</v>
      </c>
      <c r="F67" t="s">
        <v>27</v>
      </c>
      <c r="G67" t="s">
        <v>28</v>
      </c>
      <c r="H67" t="s">
        <v>29</v>
      </c>
      <c r="I67" t="s">
        <v>30</v>
      </c>
      <c r="J67" t="s">
        <v>64</v>
      </c>
      <c r="L67" s="1">
        <v>46023</v>
      </c>
      <c r="M67" s="1">
        <v>46023</v>
      </c>
      <c r="O67">
        <v>17528908</v>
      </c>
      <c r="P67" t="s">
        <v>32</v>
      </c>
      <c r="Q67" t="s">
        <v>33</v>
      </c>
      <c r="R67">
        <v>8192</v>
      </c>
      <c r="S67" t="s">
        <v>34</v>
      </c>
      <c r="T67" t="s">
        <v>35</v>
      </c>
      <c r="U67">
        <v>931</v>
      </c>
      <c r="V67" t="s">
        <v>36</v>
      </c>
      <c r="W67" s="1">
        <v>46000</v>
      </c>
      <c r="X67">
        <v>2026</v>
      </c>
    </row>
    <row r="68" spans="1:24" x14ac:dyDescent="0.25">
      <c r="A68" s="1">
        <v>46043</v>
      </c>
      <c r="B68" t="s">
        <v>197</v>
      </c>
      <c r="C68" t="s">
        <v>198</v>
      </c>
      <c r="E68" t="s">
        <v>199</v>
      </c>
      <c r="F68" t="s">
        <v>27</v>
      </c>
      <c r="G68" t="s">
        <v>37</v>
      </c>
      <c r="H68" t="s">
        <v>29</v>
      </c>
      <c r="I68" t="s">
        <v>30</v>
      </c>
      <c r="J68" t="s">
        <v>64</v>
      </c>
      <c r="L68" s="1">
        <v>46023</v>
      </c>
      <c r="M68" s="1">
        <v>46023</v>
      </c>
      <c r="O68">
        <v>17528908</v>
      </c>
      <c r="P68" t="s">
        <v>32</v>
      </c>
      <c r="Q68" t="s">
        <v>33</v>
      </c>
      <c r="R68">
        <v>8192</v>
      </c>
      <c r="S68" t="s">
        <v>34</v>
      </c>
      <c r="T68" t="s">
        <v>35</v>
      </c>
      <c r="U68">
        <v>-541</v>
      </c>
      <c r="V68" t="s">
        <v>38</v>
      </c>
      <c r="W68" s="1">
        <v>46000</v>
      </c>
      <c r="X68">
        <v>2026</v>
      </c>
    </row>
    <row r="69" spans="1:24" x14ac:dyDescent="0.25">
      <c r="A69" s="1">
        <v>46043</v>
      </c>
      <c r="B69" t="s">
        <v>200</v>
      </c>
      <c r="C69" t="s">
        <v>201</v>
      </c>
      <c r="E69" t="s">
        <v>202</v>
      </c>
      <c r="F69" t="s">
        <v>42</v>
      </c>
      <c r="G69" t="s">
        <v>28</v>
      </c>
      <c r="H69" t="s">
        <v>29</v>
      </c>
      <c r="I69" t="s">
        <v>55</v>
      </c>
      <c r="J69" t="s">
        <v>192</v>
      </c>
      <c r="L69" s="1">
        <v>46023</v>
      </c>
      <c r="M69" s="1">
        <v>46023</v>
      </c>
      <c r="O69">
        <v>20490188</v>
      </c>
      <c r="P69" t="s">
        <v>32</v>
      </c>
      <c r="Q69" t="s">
        <v>203</v>
      </c>
      <c r="R69">
        <v>8192</v>
      </c>
      <c r="S69" t="s">
        <v>34</v>
      </c>
      <c r="T69" t="s">
        <v>35</v>
      </c>
      <c r="U69">
        <v>829</v>
      </c>
      <c r="V69" t="s">
        <v>36</v>
      </c>
      <c r="W69" s="1">
        <v>45967</v>
      </c>
      <c r="X69">
        <v>2026</v>
      </c>
    </row>
    <row r="70" spans="1:24" x14ac:dyDescent="0.25">
      <c r="A70" s="1">
        <v>46043</v>
      </c>
      <c r="B70" t="s">
        <v>200</v>
      </c>
      <c r="C70" t="s">
        <v>201</v>
      </c>
      <c r="E70" t="s">
        <v>202</v>
      </c>
      <c r="F70" t="s">
        <v>42</v>
      </c>
      <c r="G70" t="s">
        <v>37</v>
      </c>
      <c r="H70" t="s">
        <v>29</v>
      </c>
      <c r="I70" t="s">
        <v>55</v>
      </c>
      <c r="J70" t="s">
        <v>192</v>
      </c>
      <c r="L70" s="1">
        <v>46023</v>
      </c>
      <c r="M70" s="1">
        <v>46023</v>
      </c>
      <c r="O70">
        <v>20490188</v>
      </c>
      <c r="P70" t="s">
        <v>32</v>
      </c>
      <c r="Q70" t="s">
        <v>203</v>
      </c>
      <c r="R70">
        <v>8192</v>
      </c>
      <c r="S70" t="s">
        <v>34</v>
      </c>
      <c r="T70" t="s">
        <v>35</v>
      </c>
      <c r="U70">
        <v>-482</v>
      </c>
      <c r="V70" t="s">
        <v>38</v>
      </c>
      <c r="W70" s="1">
        <v>45967</v>
      </c>
      <c r="X70">
        <v>2026</v>
      </c>
    </row>
    <row r="71" spans="1:24" x14ac:dyDescent="0.25">
      <c r="A71" s="1">
        <v>46043</v>
      </c>
      <c r="B71" t="s">
        <v>204</v>
      </c>
      <c r="C71" t="s">
        <v>205</v>
      </c>
      <c r="E71" t="s">
        <v>206</v>
      </c>
      <c r="F71" t="s">
        <v>207</v>
      </c>
      <c r="G71" t="s">
        <v>28</v>
      </c>
      <c r="H71" t="s">
        <v>29</v>
      </c>
      <c r="I71" t="s">
        <v>55</v>
      </c>
      <c r="J71" t="s">
        <v>208</v>
      </c>
      <c r="L71" s="1">
        <v>45992</v>
      </c>
      <c r="M71" s="1">
        <v>45992</v>
      </c>
      <c r="O71">
        <v>17301495</v>
      </c>
      <c r="P71" t="s">
        <v>32</v>
      </c>
      <c r="Q71" t="s">
        <v>209</v>
      </c>
      <c r="R71">
        <v>8192</v>
      </c>
      <c r="S71" t="s">
        <v>34</v>
      </c>
      <c r="T71" t="s">
        <v>35</v>
      </c>
      <c r="U71">
        <v>776</v>
      </c>
      <c r="V71" t="s">
        <v>36</v>
      </c>
      <c r="W71" s="1">
        <v>45990</v>
      </c>
      <c r="X71">
        <v>2026</v>
      </c>
    </row>
    <row r="72" spans="1:24" x14ac:dyDescent="0.25">
      <c r="A72" s="1">
        <v>46043</v>
      </c>
      <c r="B72" t="s">
        <v>204</v>
      </c>
      <c r="C72" t="s">
        <v>205</v>
      </c>
      <c r="E72" t="s">
        <v>206</v>
      </c>
      <c r="F72" t="s">
        <v>207</v>
      </c>
      <c r="G72" t="s">
        <v>37</v>
      </c>
      <c r="H72" t="s">
        <v>29</v>
      </c>
      <c r="I72" t="s">
        <v>55</v>
      </c>
      <c r="J72" t="s">
        <v>208</v>
      </c>
      <c r="L72" s="1">
        <v>45992</v>
      </c>
      <c r="M72" s="1">
        <v>45992</v>
      </c>
      <c r="O72">
        <v>17301495</v>
      </c>
      <c r="P72" t="s">
        <v>32</v>
      </c>
      <c r="Q72" t="s">
        <v>209</v>
      </c>
      <c r="R72">
        <v>8192</v>
      </c>
      <c r="S72" t="s">
        <v>34</v>
      </c>
      <c r="T72" t="s">
        <v>35</v>
      </c>
      <c r="U72">
        <v>-38.58</v>
      </c>
      <c r="V72" t="s">
        <v>38</v>
      </c>
      <c r="W72" s="1">
        <v>45990</v>
      </c>
      <c r="X72">
        <v>2026</v>
      </c>
    </row>
    <row r="73" spans="1:24" x14ac:dyDescent="0.25">
      <c r="A73" s="1">
        <v>46043</v>
      </c>
      <c r="B73" t="s">
        <v>210</v>
      </c>
      <c r="C73" t="s">
        <v>211</v>
      </c>
      <c r="E73" t="s">
        <v>212</v>
      </c>
      <c r="F73" t="s">
        <v>98</v>
      </c>
      <c r="G73" t="s">
        <v>28</v>
      </c>
      <c r="H73" t="s">
        <v>29</v>
      </c>
      <c r="I73" t="s">
        <v>99</v>
      </c>
      <c r="J73" t="s">
        <v>213</v>
      </c>
      <c r="L73" s="1">
        <v>46023</v>
      </c>
      <c r="M73" s="1">
        <v>46023</v>
      </c>
      <c r="O73">
        <v>18142208</v>
      </c>
      <c r="P73" t="s">
        <v>32</v>
      </c>
      <c r="Q73" t="s">
        <v>167</v>
      </c>
      <c r="R73">
        <v>8192</v>
      </c>
      <c r="S73" t="s">
        <v>34</v>
      </c>
      <c r="T73" t="s">
        <v>35</v>
      </c>
      <c r="U73">
        <v>844</v>
      </c>
      <c r="V73" t="s">
        <v>36</v>
      </c>
      <c r="W73" s="1">
        <v>45980</v>
      </c>
      <c r="X73">
        <v>2026</v>
      </c>
    </row>
    <row r="74" spans="1:24" x14ac:dyDescent="0.25">
      <c r="A74" s="1">
        <v>46043</v>
      </c>
      <c r="B74" t="s">
        <v>210</v>
      </c>
      <c r="C74" t="s">
        <v>211</v>
      </c>
      <c r="E74" t="s">
        <v>212</v>
      </c>
      <c r="F74" t="s">
        <v>98</v>
      </c>
      <c r="G74" t="s">
        <v>37</v>
      </c>
      <c r="H74" t="s">
        <v>29</v>
      </c>
      <c r="I74" t="s">
        <v>99</v>
      </c>
      <c r="J74" t="s">
        <v>213</v>
      </c>
      <c r="L74" s="1">
        <v>46023</v>
      </c>
      <c r="M74" s="1">
        <v>46023</v>
      </c>
      <c r="O74">
        <v>18142208</v>
      </c>
      <c r="P74" t="s">
        <v>32</v>
      </c>
      <c r="Q74" t="s">
        <v>167</v>
      </c>
      <c r="R74">
        <v>8192</v>
      </c>
      <c r="S74" t="s">
        <v>34</v>
      </c>
      <c r="T74" t="s">
        <v>35</v>
      </c>
      <c r="U74">
        <v>-497</v>
      </c>
      <c r="V74" t="s">
        <v>38</v>
      </c>
      <c r="W74" s="1">
        <v>45980</v>
      </c>
      <c r="X74">
        <v>2026</v>
      </c>
    </row>
    <row r="75" spans="1:24" x14ac:dyDescent="0.25">
      <c r="A75" s="1">
        <v>46043</v>
      </c>
      <c r="B75" t="s">
        <v>214</v>
      </c>
      <c r="C75" t="s">
        <v>215</v>
      </c>
      <c r="E75" t="s">
        <v>216</v>
      </c>
      <c r="F75" t="s">
        <v>42</v>
      </c>
      <c r="G75" t="s">
        <v>217</v>
      </c>
      <c r="H75" t="s">
        <v>29</v>
      </c>
      <c r="I75" t="s">
        <v>55</v>
      </c>
      <c r="J75" t="s">
        <v>56</v>
      </c>
      <c r="L75" s="1">
        <v>46023</v>
      </c>
      <c r="M75" s="1">
        <v>46023</v>
      </c>
      <c r="N75" s="1">
        <v>46053</v>
      </c>
      <c r="O75">
        <v>8814784</v>
      </c>
      <c r="P75" t="s">
        <v>32</v>
      </c>
      <c r="Q75" t="s">
        <v>218</v>
      </c>
      <c r="R75">
        <v>8192</v>
      </c>
      <c r="S75" t="s">
        <v>34</v>
      </c>
      <c r="T75" t="s">
        <v>35</v>
      </c>
      <c r="U75">
        <v>-497</v>
      </c>
      <c r="V75" t="s">
        <v>38</v>
      </c>
      <c r="W75" s="1">
        <v>45996</v>
      </c>
      <c r="X75">
        <v>2026</v>
      </c>
    </row>
    <row r="76" spans="1:24" x14ac:dyDescent="0.25">
      <c r="A76" s="1">
        <v>46043</v>
      </c>
      <c r="B76" t="s">
        <v>219</v>
      </c>
      <c r="C76" t="s">
        <v>220</v>
      </c>
      <c r="E76" t="s">
        <v>221</v>
      </c>
      <c r="F76" t="s">
        <v>42</v>
      </c>
      <c r="G76" t="s">
        <v>49</v>
      </c>
      <c r="H76" t="s">
        <v>29</v>
      </c>
      <c r="I76" t="s">
        <v>43</v>
      </c>
      <c r="J76" t="s">
        <v>50</v>
      </c>
      <c r="L76" s="1">
        <v>46023</v>
      </c>
      <c r="M76" s="1">
        <v>46023</v>
      </c>
      <c r="O76">
        <v>8244481</v>
      </c>
      <c r="P76" t="s">
        <v>32</v>
      </c>
      <c r="Q76" t="s">
        <v>45</v>
      </c>
      <c r="R76">
        <v>8192</v>
      </c>
      <c r="S76" t="s">
        <v>34</v>
      </c>
      <c r="T76" t="s">
        <v>35</v>
      </c>
      <c r="U76">
        <v>844</v>
      </c>
      <c r="V76" t="s">
        <v>36</v>
      </c>
      <c r="W76" s="1">
        <v>45994</v>
      </c>
      <c r="X76">
        <v>2026</v>
      </c>
    </row>
    <row r="77" spans="1:24" x14ac:dyDescent="0.25">
      <c r="A77" s="1">
        <v>46043</v>
      </c>
      <c r="B77" t="s">
        <v>219</v>
      </c>
      <c r="C77" t="s">
        <v>220</v>
      </c>
      <c r="E77" t="s">
        <v>221</v>
      </c>
      <c r="F77" t="s">
        <v>42</v>
      </c>
      <c r="G77" t="s">
        <v>37</v>
      </c>
      <c r="H77" t="s">
        <v>29</v>
      </c>
      <c r="I77" t="s">
        <v>43</v>
      </c>
      <c r="J77" t="s">
        <v>50</v>
      </c>
      <c r="L77" s="1">
        <v>46023</v>
      </c>
      <c r="M77" s="1">
        <v>46023</v>
      </c>
      <c r="O77">
        <v>8244481</v>
      </c>
      <c r="P77" t="s">
        <v>32</v>
      </c>
      <c r="Q77" t="s">
        <v>45</v>
      </c>
      <c r="R77">
        <v>8192</v>
      </c>
      <c r="S77" t="s">
        <v>34</v>
      </c>
      <c r="T77" t="s">
        <v>35</v>
      </c>
      <c r="U77">
        <v>-497</v>
      </c>
      <c r="V77" t="s">
        <v>38</v>
      </c>
      <c r="W77" s="1">
        <v>45994</v>
      </c>
      <c r="X77">
        <v>2026</v>
      </c>
    </row>
    <row r="78" spans="1:24" x14ac:dyDescent="0.25">
      <c r="A78" s="1">
        <v>46043</v>
      </c>
      <c r="B78" t="s">
        <v>222</v>
      </c>
      <c r="C78" t="s">
        <v>223</v>
      </c>
      <c r="E78" t="s">
        <v>224</v>
      </c>
      <c r="F78" t="s">
        <v>207</v>
      </c>
      <c r="G78" t="s">
        <v>49</v>
      </c>
      <c r="H78" t="s">
        <v>29</v>
      </c>
      <c r="I78" t="s">
        <v>55</v>
      </c>
      <c r="J78" t="s">
        <v>225</v>
      </c>
      <c r="L78" s="1">
        <v>46023</v>
      </c>
      <c r="M78" s="1">
        <v>46023</v>
      </c>
      <c r="O78">
        <v>9213293</v>
      </c>
      <c r="P78" t="s">
        <v>32</v>
      </c>
      <c r="Q78" t="s">
        <v>122</v>
      </c>
      <c r="R78">
        <v>8192</v>
      </c>
      <c r="S78" t="s">
        <v>34</v>
      </c>
      <c r="T78" t="s">
        <v>35</v>
      </c>
      <c r="U78">
        <v>844</v>
      </c>
      <c r="V78" t="s">
        <v>36</v>
      </c>
      <c r="W78" s="1">
        <v>45993</v>
      </c>
      <c r="X78">
        <v>2026</v>
      </c>
    </row>
    <row r="79" spans="1:24" x14ac:dyDescent="0.25">
      <c r="A79" s="1">
        <v>46043</v>
      </c>
      <c r="B79" t="s">
        <v>222</v>
      </c>
      <c r="C79" t="s">
        <v>223</v>
      </c>
      <c r="E79" t="s">
        <v>224</v>
      </c>
      <c r="F79" t="s">
        <v>207</v>
      </c>
      <c r="G79" t="s">
        <v>37</v>
      </c>
      <c r="H79" t="s">
        <v>29</v>
      </c>
      <c r="I79" t="s">
        <v>55</v>
      </c>
      <c r="J79" t="s">
        <v>225</v>
      </c>
      <c r="L79" s="1">
        <v>46023</v>
      </c>
      <c r="M79" s="1">
        <v>46023</v>
      </c>
      <c r="O79">
        <v>9213293</v>
      </c>
      <c r="P79" t="s">
        <v>32</v>
      </c>
      <c r="Q79" t="s">
        <v>122</v>
      </c>
      <c r="R79">
        <v>8192</v>
      </c>
      <c r="S79" t="s">
        <v>34</v>
      </c>
      <c r="T79" t="s">
        <v>35</v>
      </c>
      <c r="U79">
        <v>-497</v>
      </c>
      <c r="V79" t="s">
        <v>38</v>
      </c>
      <c r="W79" s="1">
        <v>45993</v>
      </c>
      <c r="X79">
        <v>2026</v>
      </c>
    </row>
    <row r="80" spans="1:24" x14ac:dyDescent="0.25">
      <c r="A80" s="1">
        <v>46043</v>
      </c>
      <c r="B80" t="s">
        <v>226</v>
      </c>
      <c r="C80" t="s">
        <v>227</v>
      </c>
      <c r="E80" t="s">
        <v>228</v>
      </c>
      <c r="F80" t="s">
        <v>42</v>
      </c>
      <c r="G80" t="s">
        <v>28</v>
      </c>
      <c r="H80" t="s">
        <v>29</v>
      </c>
      <c r="I80" t="s">
        <v>43</v>
      </c>
      <c r="J80" t="s">
        <v>50</v>
      </c>
      <c r="L80" s="1">
        <v>46023</v>
      </c>
      <c r="M80" s="1">
        <v>46023</v>
      </c>
      <c r="O80">
        <v>8244481</v>
      </c>
      <c r="P80" t="s">
        <v>32</v>
      </c>
      <c r="Q80" t="s">
        <v>45</v>
      </c>
      <c r="R80">
        <v>8192</v>
      </c>
      <c r="S80" t="s">
        <v>34</v>
      </c>
      <c r="T80" t="s">
        <v>35</v>
      </c>
      <c r="U80">
        <v>844</v>
      </c>
      <c r="V80" t="s">
        <v>36</v>
      </c>
      <c r="W80" s="1">
        <v>45945</v>
      </c>
      <c r="X80">
        <v>2026</v>
      </c>
    </row>
    <row r="81" spans="1:24" x14ac:dyDescent="0.25">
      <c r="A81" s="1">
        <v>46043</v>
      </c>
      <c r="B81" t="s">
        <v>226</v>
      </c>
      <c r="C81" t="s">
        <v>227</v>
      </c>
      <c r="E81" t="s">
        <v>228</v>
      </c>
      <c r="F81" t="s">
        <v>42</v>
      </c>
      <c r="G81" t="s">
        <v>37</v>
      </c>
      <c r="H81" t="s">
        <v>29</v>
      </c>
      <c r="I81" t="s">
        <v>43</v>
      </c>
      <c r="J81" t="s">
        <v>50</v>
      </c>
      <c r="L81" s="1">
        <v>46023</v>
      </c>
      <c r="M81" s="1">
        <v>46023</v>
      </c>
      <c r="O81">
        <v>8244481</v>
      </c>
      <c r="P81" t="s">
        <v>32</v>
      </c>
      <c r="Q81" t="s">
        <v>45</v>
      </c>
      <c r="R81">
        <v>8192</v>
      </c>
      <c r="S81" t="s">
        <v>34</v>
      </c>
      <c r="T81" t="s">
        <v>35</v>
      </c>
      <c r="U81">
        <v>-497</v>
      </c>
      <c r="V81" t="s">
        <v>38</v>
      </c>
      <c r="W81" s="1">
        <v>45945</v>
      </c>
      <c r="X81">
        <v>2026</v>
      </c>
    </row>
    <row r="82" spans="1:24" x14ac:dyDescent="0.25">
      <c r="A82" s="1">
        <v>46043</v>
      </c>
      <c r="B82" t="s">
        <v>229</v>
      </c>
      <c r="C82" t="s">
        <v>230</v>
      </c>
      <c r="E82" t="s">
        <v>231</v>
      </c>
      <c r="F82" t="s">
        <v>232</v>
      </c>
      <c r="G82" t="s">
        <v>49</v>
      </c>
      <c r="H82" t="s">
        <v>29</v>
      </c>
      <c r="I82" t="s">
        <v>55</v>
      </c>
      <c r="J82" t="s">
        <v>233</v>
      </c>
      <c r="L82" s="1">
        <v>46023</v>
      </c>
      <c r="M82" s="1">
        <v>46023</v>
      </c>
      <c r="O82">
        <v>18754354</v>
      </c>
      <c r="P82" t="s">
        <v>32</v>
      </c>
      <c r="Q82" t="s">
        <v>178</v>
      </c>
      <c r="R82">
        <v>8192</v>
      </c>
      <c r="S82" t="s">
        <v>34</v>
      </c>
      <c r="T82" t="s">
        <v>35</v>
      </c>
      <c r="U82">
        <v>829</v>
      </c>
      <c r="V82" t="s">
        <v>36</v>
      </c>
      <c r="W82" s="1">
        <v>45951</v>
      </c>
      <c r="X82">
        <v>2026</v>
      </c>
    </row>
    <row r="83" spans="1:24" x14ac:dyDescent="0.25">
      <c r="A83" s="1">
        <v>46043</v>
      </c>
      <c r="B83" t="s">
        <v>229</v>
      </c>
      <c r="C83" t="s">
        <v>230</v>
      </c>
      <c r="E83" t="s">
        <v>231</v>
      </c>
      <c r="F83" t="s">
        <v>232</v>
      </c>
      <c r="G83" t="s">
        <v>37</v>
      </c>
      <c r="H83" t="s">
        <v>29</v>
      </c>
      <c r="I83" t="s">
        <v>55</v>
      </c>
      <c r="J83" t="s">
        <v>233</v>
      </c>
      <c r="L83" s="1">
        <v>46023</v>
      </c>
      <c r="M83" s="1">
        <v>46023</v>
      </c>
      <c r="O83">
        <v>18754354</v>
      </c>
      <c r="P83" t="s">
        <v>32</v>
      </c>
      <c r="Q83" t="s">
        <v>178</v>
      </c>
      <c r="R83">
        <v>8192</v>
      </c>
      <c r="S83" t="s">
        <v>34</v>
      </c>
      <c r="T83" t="s">
        <v>35</v>
      </c>
      <c r="U83">
        <v>-482</v>
      </c>
      <c r="V83" t="s">
        <v>38</v>
      </c>
      <c r="W83" s="1">
        <v>45951</v>
      </c>
      <c r="X83">
        <v>2026</v>
      </c>
    </row>
    <row r="84" spans="1:24" x14ac:dyDescent="0.25">
      <c r="A84" s="1">
        <v>46043</v>
      </c>
      <c r="B84" t="s">
        <v>234</v>
      </c>
      <c r="C84" t="s">
        <v>235</v>
      </c>
      <c r="E84" t="s">
        <v>236</v>
      </c>
      <c r="F84" t="s">
        <v>27</v>
      </c>
      <c r="G84" t="s">
        <v>28</v>
      </c>
      <c r="H84" t="s">
        <v>29</v>
      </c>
      <c r="I84" t="s">
        <v>30</v>
      </c>
      <c r="J84" t="s">
        <v>82</v>
      </c>
      <c r="L84" s="1">
        <v>46023</v>
      </c>
      <c r="M84" s="1">
        <v>46023</v>
      </c>
      <c r="O84">
        <v>17886092</v>
      </c>
      <c r="P84" t="s">
        <v>32</v>
      </c>
      <c r="Q84" t="s">
        <v>88</v>
      </c>
      <c r="R84">
        <v>8192</v>
      </c>
      <c r="S84" t="s">
        <v>34</v>
      </c>
      <c r="T84" t="s">
        <v>35</v>
      </c>
      <c r="U84">
        <v>65</v>
      </c>
      <c r="V84" t="s">
        <v>36</v>
      </c>
      <c r="W84" s="1">
        <v>45972</v>
      </c>
      <c r="X84">
        <v>2026</v>
      </c>
    </row>
    <row r="85" spans="1:24" x14ac:dyDescent="0.25">
      <c r="A85" s="1">
        <v>46043</v>
      </c>
      <c r="B85" t="s">
        <v>234</v>
      </c>
      <c r="C85" t="s">
        <v>235</v>
      </c>
      <c r="E85" t="s">
        <v>236</v>
      </c>
      <c r="F85" t="s">
        <v>27</v>
      </c>
      <c r="G85" t="s">
        <v>37</v>
      </c>
      <c r="H85" t="s">
        <v>29</v>
      </c>
      <c r="I85" t="s">
        <v>30</v>
      </c>
      <c r="J85" t="s">
        <v>82</v>
      </c>
      <c r="L85" s="1">
        <v>46023</v>
      </c>
      <c r="M85" s="1">
        <v>46023</v>
      </c>
      <c r="O85">
        <v>17886092</v>
      </c>
      <c r="P85" t="s">
        <v>32</v>
      </c>
      <c r="Q85" t="s">
        <v>88</v>
      </c>
      <c r="R85">
        <v>8192</v>
      </c>
      <c r="S85" t="s">
        <v>34</v>
      </c>
      <c r="T85" t="s">
        <v>35</v>
      </c>
      <c r="U85">
        <v>-65</v>
      </c>
      <c r="V85" t="s">
        <v>38</v>
      </c>
      <c r="W85" s="1">
        <v>45972</v>
      </c>
      <c r="X85">
        <v>2026</v>
      </c>
    </row>
    <row r="86" spans="1:24" x14ac:dyDescent="0.25">
      <c r="A86" s="1">
        <v>46043</v>
      </c>
      <c r="B86" t="s">
        <v>237</v>
      </c>
      <c r="C86" t="s">
        <v>238</v>
      </c>
      <c r="E86" t="s">
        <v>239</v>
      </c>
      <c r="F86" t="s">
        <v>42</v>
      </c>
      <c r="G86" t="s">
        <v>49</v>
      </c>
      <c r="H86" t="s">
        <v>29</v>
      </c>
      <c r="I86" t="s">
        <v>43</v>
      </c>
      <c r="J86" t="s">
        <v>44</v>
      </c>
      <c r="L86" s="1">
        <v>46023</v>
      </c>
      <c r="M86" s="1">
        <v>46023</v>
      </c>
      <c r="O86">
        <v>18828278</v>
      </c>
      <c r="P86" t="s">
        <v>32</v>
      </c>
      <c r="Q86" t="s">
        <v>51</v>
      </c>
      <c r="R86">
        <v>8192</v>
      </c>
      <c r="S86" t="s">
        <v>34</v>
      </c>
      <c r="T86" t="s">
        <v>35</v>
      </c>
      <c r="U86">
        <v>829</v>
      </c>
      <c r="V86" t="s">
        <v>36</v>
      </c>
      <c r="W86" s="1">
        <v>45957</v>
      </c>
      <c r="X86">
        <v>2026</v>
      </c>
    </row>
    <row r="87" spans="1:24" x14ac:dyDescent="0.25">
      <c r="A87" s="1">
        <v>46043</v>
      </c>
      <c r="B87" t="s">
        <v>237</v>
      </c>
      <c r="C87" t="s">
        <v>238</v>
      </c>
      <c r="E87" t="s">
        <v>239</v>
      </c>
      <c r="F87" t="s">
        <v>42</v>
      </c>
      <c r="G87" t="s">
        <v>37</v>
      </c>
      <c r="H87" t="s">
        <v>29</v>
      </c>
      <c r="I87" t="s">
        <v>43</v>
      </c>
      <c r="J87" t="s">
        <v>44</v>
      </c>
      <c r="L87" s="1">
        <v>46023</v>
      </c>
      <c r="M87" s="1">
        <v>46023</v>
      </c>
      <c r="O87">
        <v>18828278</v>
      </c>
      <c r="P87" t="s">
        <v>32</v>
      </c>
      <c r="Q87" t="s">
        <v>51</v>
      </c>
      <c r="R87">
        <v>8192</v>
      </c>
      <c r="S87" t="s">
        <v>34</v>
      </c>
      <c r="T87" t="s">
        <v>35</v>
      </c>
      <c r="U87">
        <v>-482</v>
      </c>
      <c r="V87" t="s">
        <v>38</v>
      </c>
      <c r="W87" s="1">
        <v>45957</v>
      </c>
      <c r="X87">
        <v>2026</v>
      </c>
    </row>
    <row r="88" spans="1:24" x14ac:dyDescent="0.25">
      <c r="A88" s="1">
        <v>46043</v>
      </c>
      <c r="B88" t="s">
        <v>240</v>
      </c>
      <c r="C88" t="s">
        <v>241</v>
      </c>
      <c r="E88" t="s">
        <v>242</v>
      </c>
      <c r="F88" t="s">
        <v>42</v>
      </c>
      <c r="G88" t="s">
        <v>49</v>
      </c>
      <c r="H88" t="s">
        <v>29</v>
      </c>
      <c r="I88" t="s">
        <v>43</v>
      </c>
      <c r="J88" t="s">
        <v>44</v>
      </c>
      <c r="L88" s="1">
        <v>46023</v>
      </c>
      <c r="M88" s="1">
        <v>46023</v>
      </c>
      <c r="O88">
        <v>18828278</v>
      </c>
      <c r="P88" t="s">
        <v>32</v>
      </c>
      <c r="Q88" t="s">
        <v>51</v>
      </c>
      <c r="R88">
        <v>8192</v>
      </c>
      <c r="S88" t="s">
        <v>34</v>
      </c>
      <c r="T88" t="s">
        <v>35</v>
      </c>
      <c r="U88">
        <v>829</v>
      </c>
      <c r="V88" t="s">
        <v>36</v>
      </c>
      <c r="W88" s="1">
        <v>45957</v>
      </c>
      <c r="X88">
        <v>2026</v>
      </c>
    </row>
    <row r="89" spans="1:24" x14ac:dyDescent="0.25">
      <c r="A89" s="1">
        <v>46043</v>
      </c>
      <c r="B89" t="s">
        <v>240</v>
      </c>
      <c r="C89" t="s">
        <v>241</v>
      </c>
      <c r="E89" t="s">
        <v>242</v>
      </c>
      <c r="F89" t="s">
        <v>42</v>
      </c>
      <c r="G89" t="s">
        <v>37</v>
      </c>
      <c r="H89" t="s">
        <v>29</v>
      </c>
      <c r="I89" t="s">
        <v>43</v>
      </c>
      <c r="J89" t="s">
        <v>44</v>
      </c>
      <c r="L89" s="1">
        <v>46023</v>
      </c>
      <c r="M89" s="1">
        <v>46023</v>
      </c>
      <c r="O89">
        <v>18828278</v>
      </c>
      <c r="P89" t="s">
        <v>32</v>
      </c>
      <c r="Q89" t="s">
        <v>51</v>
      </c>
      <c r="R89">
        <v>8192</v>
      </c>
      <c r="S89" t="s">
        <v>34</v>
      </c>
      <c r="T89" t="s">
        <v>35</v>
      </c>
      <c r="U89">
        <v>-482</v>
      </c>
      <c r="V89" t="s">
        <v>38</v>
      </c>
      <c r="W89" s="1">
        <v>45957</v>
      </c>
      <c r="X89">
        <v>2026</v>
      </c>
    </row>
    <row r="90" spans="1:24" x14ac:dyDescent="0.25">
      <c r="A90" s="1">
        <v>46043</v>
      </c>
      <c r="B90" t="s">
        <v>243</v>
      </c>
      <c r="C90" t="s">
        <v>244</v>
      </c>
      <c r="E90" t="s">
        <v>245</v>
      </c>
      <c r="F90" t="s">
        <v>27</v>
      </c>
      <c r="G90" t="s">
        <v>28</v>
      </c>
      <c r="H90" t="s">
        <v>29</v>
      </c>
      <c r="I90" t="s">
        <v>30</v>
      </c>
      <c r="J90" t="s">
        <v>246</v>
      </c>
      <c r="L90" s="1">
        <v>46023</v>
      </c>
      <c r="M90" s="1">
        <v>46023</v>
      </c>
      <c r="O90">
        <v>14936854</v>
      </c>
      <c r="P90" t="s">
        <v>93</v>
      </c>
      <c r="Q90" t="s">
        <v>94</v>
      </c>
      <c r="R90">
        <v>8192</v>
      </c>
      <c r="S90" t="s">
        <v>34</v>
      </c>
      <c r="T90" t="s">
        <v>35</v>
      </c>
      <c r="U90">
        <v>135</v>
      </c>
      <c r="V90" t="s">
        <v>36</v>
      </c>
      <c r="W90" s="1">
        <v>46010</v>
      </c>
      <c r="X90">
        <v>2026</v>
      </c>
    </row>
    <row r="91" spans="1:24" x14ac:dyDescent="0.25">
      <c r="A91" s="1">
        <v>46043</v>
      </c>
      <c r="B91" t="s">
        <v>243</v>
      </c>
      <c r="C91" t="s">
        <v>244</v>
      </c>
      <c r="E91" t="s">
        <v>245</v>
      </c>
      <c r="F91" t="s">
        <v>27</v>
      </c>
      <c r="G91" t="s">
        <v>37</v>
      </c>
      <c r="H91" t="s">
        <v>29</v>
      </c>
      <c r="I91" t="s">
        <v>30</v>
      </c>
      <c r="J91" t="s">
        <v>246</v>
      </c>
      <c r="L91" s="1">
        <v>46023</v>
      </c>
      <c r="M91" s="1">
        <v>46023</v>
      </c>
      <c r="O91">
        <v>14936854</v>
      </c>
      <c r="P91" t="s">
        <v>93</v>
      </c>
      <c r="Q91" t="s">
        <v>94</v>
      </c>
      <c r="R91">
        <v>8192</v>
      </c>
      <c r="S91" t="s">
        <v>34</v>
      </c>
      <c r="T91" t="s">
        <v>35</v>
      </c>
      <c r="U91">
        <v>-135</v>
      </c>
      <c r="V91" t="s">
        <v>38</v>
      </c>
      <c r="W91" s="1">
        <v>46010</v>
      </c>
      <c r="X91">
        <v>2026</v>
      </c>
    </row>
    <row r="92" spans="1:24" x14ac:dyDescent="0.25">
      <c r="A92" s="1">
        <v>46043</v>
      </c>
      <c r="B92" t="s">
        <v>247</v>
      </c>
      <c r="C92" t="s">
        <v>248</v>
      </c>
      <c r="E92" t="s">
        <v>249</v>
      </c>
      <c r="F92" t="s">
        <v>27</v>
      </c>
      <c r="G92" t="s">
        <v>28</v>
      </c>
      <c r="H92" t="s">
        <v>29</v>
      </c>
      <c r="I92" t="s">
        <v>30</v>
      </c>
      <c r="J92" t="s">
        <v>82</v>
      </c>
      <c r="L92" s="1">
        <v>46023</v>
      </c>
      <c r="M92" s="1">
        <v>46023</v>
      </c>
      <c r="O92">
        <v>20253958</v>
      </c>
      <c r="P92" t="s">
        <v>32</v>
      </c>
      <c r="Q92" t="s">
        <v>250</v>
      </c>
      <c r="R92">
        <v>8192</v>
      </c>
      <c r="S92" t="s">
        <v>34</v>
      </c>
      <c r="T92" t="s">
        <v>35</v>
      </c>
      <c r="U92">
        <v>65</v>
      </c>
      <c r="V92" t="s">
        <v>36</v>
      </c>
      <c r="W92" s="1">
        <v>46000</v>
      </c>
      <c r="X92">
        <v>2026</v>
      </c>
    </row>
    <row r="93" spans="1:24" x14ac:dyDescent="0.25">
      <c r="A93" s="1">
        <v>46043</v>
      </c>
      <c r="B93" t="s">
        <v>247</v>
      </c>
      <c r="C93" t="s">
        <v>248</v>
      </c>
      <c r="E93" t="s">
        <v>249</v>
      </c>
      <c r="F93" t="s">
        <v>27</v>
      </c>
      <c r="G93" t="s">
        <v>37</v>
      </c>
      <c r="H93" t="s">
        <v>29</v>
      </c>
      <c r="I93" t="s">
        <v>30</v>
      </c>
      <c r="J93" t="s">
        <v>82</v>
      </c>
      <c r="L93" s="1">
        <v>46023</v>
      </c>
      <c r="M93" s="1">
        <v>46023</v>
      </c>
      <c r="O93">
        <v>20253958</v>
      </c>
      <c r="P93" t="s">
        <v>32</v>
      </c>
      <c r="Q93" t="s">
        <v>250</v>
      </c>
      <c r="R93">
        <v>8192</v>
      </c>
      <c r="S93" t="s">
        <v>34</v>
      </c>
      <c r="T93" t="s">
        <v>35</v>
      </c>
      <c r="U93">
        <v>-65</v>
      </c>
      <c r="V93" t="s">
        <v>38</v>
      </c>
      <c r="W93" s="1">
        <v>46000</v>
      </c>
      <c r="X93">
        <v>2026</v>
      </c>
    </row>
    <row r="94" spans="1:24" x14ac:dyDescent="0.25">
      <c r="A94" s="1">
        <v>46043</v>
      </c>
      <c r="B94" t="s">
        <v>251</v>
      </c>
      <c r="C94" t="s">
        <v>252</v>
      </c>
      <c r="E94" t="s">
        <v>253</v>
      </c>
      <c r="F94" t="s">
        <v>27</v>
      </c>
      <c r="G94" t="s">
        <v>49</v>
      </c>
      <c r="H94" t="s">
        <v>29</v>
      </c>
      <c r="I94" t="s">
        <v>30</v>
      </c>
      <c r="J94" t="s">
        <v>31</v>
      </c>
      <c r="L94" s="1">
        <v>46023</v>
      </c>
      <c r="M94" s="1">
        <v>46023</v>
      </c>
      <c r="O94">
        <v>8307933</v>
      </c>
      <c r="P94" t="s">
        <v>32</v>
      </c>
      <c r="Q94" t="s">
        <v>111</v>
      </c>
      <c r="R94">
        <v>8192</v>
      </c>
      <c r="S94" t="s">
        <v>34</v>
      </c>
      <c r="T94" t="s">
        <v>35</v>
      </c>
      <c r="U94">
        <v>931</v>
      </c>
      <c r="V94" t="s">
        <v>36</v>
      </c>
      <c r="W94" s="1">
        <v>45946</v>
      </c>
      <c r="X94">
        <v>2026</v>
      </c>
    </row>
    <row r="95" spans="1:24" x14ac:dyDescent="0.25">
      <c r="A95" s="1">
        <v>46043</v>
      </c>
      <c r="B95" t="s">
        <v>251</v>
      </c>
      <c r="C95" t="s">
        <v>252</v>
      </c>
      <c r="E95" t="s">
        <v>253</v>
      </c>
      <c r="F95" t="s">
        <v>27</v>
      </c>
      <c r="G95" t="s">
        <v>37</v>
      </c>
      <c r="H95" t="s">
        <v>29</v>
      </c>
      <c r="I95" t="s">
        <v>30</v>
      </c>
      <c r="J95" t="s">
        <v>31</v>
      </c>
      <c r="L95" s="1">
        <v>46023</v>
      </c>
      <c r="M95" s="1">
        <v>46023</v>
      </c>
      <c r="O95">
        <v>8307933</v>
      </c>
      <c r="P95" t="s">
        <v>32</v>
      </c>
      <c r="Q95" t="s">
        <v>111</v>
      </c>
      <c r="R95">
        <v>8192</v>
      </c>
      <c r="S95" t="s">
        <v>34</v>
      </c>
      <c r="T95" t="s">
        <v>35</v>
      </c>
      <c r="U95">
        <v>-541</v>
      </c>
      <c r="V95" t="s">
        <v>38</v>
      </c>
      <c r="W95" s="1">
        <v>45946</v>
      </c>
      <c r="X95">
        <v>2026</v>
      </c>
    </row>
    <row r="96" spans="1:24" x14ac:dyDescent="0.25">
      <c r="A96" s="1">
        <v>46043</v>
      </c>
      <c r="B96" t="s">
        <v>254</v>
      </c>
      <c r="C96" t="s">
        <v>255</v>
      </c>
      <c r="E96" t="s">
        <v>256</v>
      </c>
      <c r="F96" t="s">
        <v>42</v>
      </c>
      <c r="G96" t="s">
        <v>49</v>
      </c>
      <c r="H96" t="s">
        <v>29</v>
      </c>
      <c r="I96" t="s">
        <v>43</v>
      </c>
      <c r="J96" t="s">
        <v>50</v>
      </c>
      <c r="L96" s="1">
        <v>46023</v>
      </c>
      <c r="M96" s="1">
        <v>46023</v>
      </c>
      <c r="O96">
        <v>8244481</v>
      </c>
      <c r="P96" t="s">
        <v>32</v>
      </c>
      <c r="Q96" t="s">
        <v>45</v>
      </c>
      <c r="R96">
        <v>8192</v>
      </c>
      <c r="S96" t="s">
        <v>34</v>
      </c>
      <c r="T96" t="s">
        <v>35</v>
      </c>
      <c r="U96">
        <v>844</v>
      </c>
      <c r="V96" t="s">
        <v>36</v>
      </c>
      <c r="W96" s="1">
        <v>45983</v>
      </c>
      <c r="X96">
        <v>2026</v>
      </c>
    </row>
    <row r="97" spans="1:24" x14ac:dyDescent="0.25">
      <c r="A97" s="1">
        <v>46043</v>
      </c>
      <c r="B97" t="s">
        <v>254</v>
      </c>
      <c r="C97" t="s">
        <v>255</v>
      </c>
      <c r="E97" t="s">
        <v>256</v>
      </c>
      <c r="F97" t="s">
        <v>42</v>
      </c>
      <c r="G97" t="s">
        <v>37</v>
      </c>
      <c r="H97" t="s">
        <v>29</v>
      </c>
      <c r="I97" t="s">
        <v>43</v>
      </c>
      <c r="J97" t="s">
        <v>50</v>
      </c>
      <c r="L97" s="1">
        <v>46023</v>
      </c>
      <c r="M97" s="1">
        <v>46023</v>
      </c>
      <c r="O97">
        <v>8244481</v>
      </c>
      <c r="P97" t="s">
        <v>32</v>
      </c>
      <c r="Q97" t="s">
        <v>45</v>
      </c>
      <c r="R97">
        <v>8192</v>
      </c>
      <c r="S97" t="s">
        <v>34</v>
      </c>
      <c r="T97" t="s">
        <v>35</v>
      </c>
      <c r="U97">
        <v>-497</v>
      </c>
      <c r="V97" t="s">
        <v>38</v>
      </c>
      <c r="W97" s="1">
        <v>45983</v>
      </c>
      <c r="X97">
        <v>2026</v>
      </c>
    </row>
    <row r="98" spans="1:24" x14ac:dyDescent="0.25">
      <c r="A98" s="1">
        <v>46043</v>
      </c>
      <c r="B98" t="s">
        <v>257</v>
      </c>
      <c r="C98" t="s">
        <v>258</v>
      </c>
      <c r="E98" t="s">
        <v>259</v>
      </c>
      <c r="F98" t="s">
        <v>27</v>
      </c>
      <c r="G98" t="s">
        <v>49</v>
      </c>
      <c r="H98" t="s">
        <v>29</v>
      </c>
      <c r="I98" t="s">
        <v>30</v>
      </c>
      <c r="J98" t="s">
        <v>82</v>
      </c>
      <c r="L98" s="1">
        <v>46023</v>
      </c>
      <c r="M98" s="1">
        <v>46023</v>
      </c>
      <c r="O98">
        <v>17886092</v>
      </c>
      <c r="P98" t="s">
        <v>32</v>
      </c>
      <c r="Q98" t="s">
        <v>88</v>
      </c>
      <c r="R98">
        <v>8192</v>
      </c>
      <c r="S98" t="s">
        <v>34</v>
      </c>
      <c r="T98" t="s">
        <v>35</v>
      </c>
      <c r="U98">
        <v>65</v>
      </c>
      <c r="V98" t="s">
        <v>36</v>
      </c>
      <c r="W98" s="1">
        <v>45947</v>
      </c>
      <c r="X98">
        <v>2026</v>
      </c>
    </row>
    <row r="99" spans="1:24" x14ac:dyDescent="0.25">
      <c r="A99" s="1">
        <v>46043</v>
      </c>
      <c r="B99" t="s">
        <v>257</v>
      </c>
      <c r="C99" t="s">
        <v>258</v>
      </c>
      <c r="E99" t="s">
        <v>259</v>
      </c>
      <c r="F99" t="s">
        <v>27</v>
      </c>
      <c r="G99" t="s">
        <v>37</v>
      </c>
      <c r="H99" t="s">
        <v>29</v>
      </c>
      <c r="I99" t="s">
        <v>30</v>
      </c>
      <c r="J99" t="s">
        <v>82</v>
      </c>
      <c r="L99" s="1">
        <v>46023</v>
      </c>
      <c r="M99" s="1">
        <v>46023</v>
      </c>
      <c r="O99">
        <v>17886092</v>
      </c>
      <c r="P99" t="s">
        <v>32</v>
      </c>
      <c r="Q99" t="s">
        <v>88</v>
      </c>
      <c r="R99">
        <v>8192</v>
      </c>
      <c r="S99" t="s">
        <v>34</v>
      </c>
      <c r="T99" t="s">
        <v>35</v>
      </c>
      <c r="U99">
        <v>-65</v>
      </c>
      <c r="V99" t="s">
        <v>38</v>
      </c>
      <c r="W99" s="1">
        <v>45947</v>
      </c>
      <c r="X99">
        <v>2026</v>
      </c>
    </row>
    <row r="100" spans="1:24" x14ac:dyDescent="0.25">
      <c r="A100" s="1">
        <v>46043</v>
      </c>
      <c r="B100" t="s">
        <v>260</v>
      </c>
      <c r="C100" t="s">
        <v>261</v>
      </c>
      <c r="E100" t="s">
        <v>262</v>
      </c>
      <c r="F100" t="s">
        <v>263</v>
      </c>
      <c r="G100" t="s">
        <v>49</v>
      </c>
      <c r="H100" t="s">
        <v>29</v>
      </c>
      <c r="I100" t="s">
        <v>264</v>
      </c>
      <c r="J100" t="s">
        <v>265</v>
      </c>
      <c r="L100" s="1">
        <v>46023</v>
      </c>
      <c r="M100" s="1">
        <v>46023</v>
      </c>
      <c r="O100">
        <v>19645587</v>
      </c>
      <c r="P100" t="s">
        <v>32</v>
      </c>
      <c r="Q100" t="s">
        <v>266</v>
      </c>
      <c r="R100">
        <v>8192</v>
      </c>
      <c r="S100" t="s">
        <v>34</v>
      </c>
      <c r="T100" t="s">
        <v>35</v>
      </c>
      <c r="U100">
        <v>1039</v>
      </c>
      <c r="V100" t="s">
        <v>36</v>
      </c>
      <c r="W100" s="1">
        <v>45998</v>
      </c>
      <c r="X100">
        <v>2026</v>
      </c>
    </row>
    <row r="101" spans="1:24" x14ac:dyDescent="0.25">
      <c r="A101" s="1">
        <v>46043</v>
      </c>
      <c r="B101" t="s">
        <v>260</v>
      </c>
      <c r="C101" t="s">
        <v>261</v>
      </c>
      <c r="E101" t="s">
        <v>262</v>
      </c>
      <c r="F101" t="s">
        <v>263</v>
      </c>
      <c r="G101" t="s">
        <v>37</v>
      </c>
      <c r="H101" t="s">
        <v>29</v>
      </c>
      <c r="I101" t="s">
        <v>264</v>
      </c>
      <c r="J101" t="s">
        <v>265</v>
      </c>
      <c r="L101" s="1">
        <v>46023</v>
      </c>
      <c r="M101" s="1">
        <v>46023</v>
      </c>
      <c r="O101">
        <v>19645587</v>
      </c>
      <c r="P101" t="s">
        <v>32</v>
      </c>
      <c r="Q101" t="s">
        <v>266</v>
      </c>
      <c r="R101">
        <v>8192</v>
      </c>
      <c r="S101" t="s">
        <v>34</v>
      </c>
      <c r="T101" t="s">
        <v>35</v>
      </c>
      <c r="U101">
        <v>-607</v>
      </c>
      <c r="V101" t="s">
        <v>38</v>
      </c>
      <c r="W101" s="1">
        <v>45998</v>
      </c>
      <c r="X101">
        <v>2026</v>
      </c>
    </row>
    <row r="102" spans="1:24" x14ac:dyDescent="0.25">
      <c r="A102" s="1">
        <v>46043</v>
      </c>
      <c r="B102" t="s">
        <v>267</v>
      </c>
      <c r="C102" t="s">
        <v>268</v>
      </c>
      <c r="E102" t="s">
        <v>269</v>
      </c>
      <c r="F102" t="s">
        <v>270</v>
      </c>
      <c r="G102" t="s">
        <v>28</v>
      </c>
      <c r="H102" t="s">
        <v>29</v>
      </c>
      <c r="I102" t="s">
        <v>271</v>
      </c>
      <c r="J102" t="s">
        <v>272</v>
      </c>
      <c r="L102" s="1">
        <v>46054</v>
      </c>
      <c r="M102" s="1">
        <v>46054</v>
      </c>
      <c r="O102">
        <v>8307933</v>
      </c>
      <c r="P102" t="s">
        <v>32</v>
      </c>
      <c r="Q102" t="s">
        <v>111</v>
      </c>
      <c r="R102">
        <v>8192</v>
      </c>
      <c r="S102" t="s">
        <v>34</v>
      </c>
      <c r="T102" t="s">
        <v>35</v>
      </c>
      <c r="U102">
        <v>844</v>
      </c>
      <c r="V102" t="s">
        <v>36</v>
      </c>
      <c r="W102" s="1">
        <v>45992</v>
      </c>
      <c r="X102">
        <v>2026</v>
      </c>
    </row>
    <row r="103" spans="1:24" x14ac:dyDescent="0.25">
      <c r="A103" s="1">
        <v>46043</v>
      </c>
      <c r="B103" t="s">
        <v>267</v>
      </c>
      <c r="C103" t="s">
        <v>268</v>
      </c>
      <c r="E103" t="s">
        <v>269</v>
      </c>
      <c r="F103" t="s">
        <v>270</v>
      </c>
      <c r="G103" t="s">
        <v>37</v>
      </c>
      <c r="H103" t="s">
        <v>29</v>
      </c>
      <c r="I103" t="s">
        <v>271</v>
      </c>
      <c r="J103" t="s">
        <v>272</v>
      </c>
      <c r="L103" s="1">
        <v>46054</v>
      </c>
      <c r="M103" s="1">
        <v>46054</v>
      </c>
      <c r="O103">
        <v>8307933</v>
      </c>
      <c r="P103" t="s">
        <v>32</v>
      </c>
      <c r="Q103" t="s">
        <v>111</v>
      </c>
      <c r="R103">
        <v>8192</v>
      </c>
      <c r="S103" t="s">
        <v>34</v>
      </c>
      <c r="T103" t="s">
        <v>35</v>
      </c>
      <c r="U103">
        <v>-455.58</v>
      </c>
      <c r="V103" t="s">
        <v>38</v>
      </c>
      <c r="W103" s="1">
        <v>45992</v>
      </c>
      <c r="X103">
        <v>2026</v>
      </c>
    </row>
    <row r="104" spans="1:24" x14ac:dyDescent="0.25">
      <c r="A104" s="1">
        <v>46043</v>
      </c>
      <c r="B104" t="s">
        <v>273</v>
      </c>
      <c r="C104" t="s">
        <v>274</v>
      </c>
      <c r="E104" t="s">
        <v>275</v>
      </c>
      <c r="F104" t="s">
        <v>42</v>
      </c>
      <c r="G104" t="s">
        <v>276</v>
      </c>
      <c r="H104" t="s">
        <v>29</v>
      </c>
      <c r="I104" t="s">
        <v>55</v>
      </c>
      <c r="J104" t="s">
        <v>277</v>
      </c>
      <c r="L104" s="1">
        <v>45689</v>
      </c>
      <c r="M104" s="1">
        <v>45689</v>
      </c>
      <c r="N104" s="1">
        <v>45869</v>
      </c>
      <c r="O104">
        <v>16983460</v>
      </c>
      <c r="P104" t="s">
        <v>32</v>
      </c>
      <c r="Q104" t="s">
        <v>278</v>
      </c>
      <c r="R104">
        <v>8192</v>
      </c>
      <c r="S104" t="s">
        <v>279</v>
      </c>
      <c r="T104" t="s">
        <v>35</v>
      </c>
      <c r="U104">
        <v>-751</v>
      </c>
      <c r="V104" t="s">
        <v>36</v>
      </c>
      <c r="W104" s="1">
        <v>45665</v>
      </c>
      <c r="X104">
        <v>2026</v>
      </c>
    </row>
    <row r="105" spans="1:24" x14ac:dyDescent="0.25">
      <c r="A105" s="1">
        <v>46043</v>
      </c>
      <c r="B105" t="s">
        <v>273</v>
      </c>
      <c r="C105" t="s">
        <v>274</v>
      </c>
      <c r="E105" t="s">
        <v>275</v>
      </c>
      <c r="F105" t="s">
        <v>42</v>
      </c>
      <c r="G105" t="s">
        <v>276</v>
      </c>
      <c r="H105" t="s">
        <v>29</v>
      </c>
      <c r="I105" t="s">
        <v>55</v>
      </c>
      <c r="J105" t="s">
        <v>277</v>
      </c>
      <c r="L105" s="1">
        <v>45689</v>
      </c>
      <c r="M105" s="1">
        <v>45689</v>
      </c>
      <c r="N105" s="1">
        <v>45869</v>
      </c>
      <c r="O105">
        <v>16983460</v>
      </c>
      <c r="P105" t="s">
        <v>32</v>
      </c>
      <c r="Q105" t="s">
        <v>278</v>
      </c>
      <c r="R105">
        <v>8192</v>
      </c>
      <c r="S105" t="s">
        <v>279</v>
      </c>
      <c r="T105" t="s">
        <v>35</v>
      </c>
      <c r="U105">
        <v>375.5</v>
      </c>
      <c r="V105" t="s">
        <v>36</v>
      </c>
      <c r="W105" s="1">
        <v>45665</v>
      </c>
      <c r="X105">
        <v>2026</v>
      </c>
    </row>
    <row r="106" spans="1:24" x14ac:dyDescent="0.25">
      <c r="A106" s="1">
        <v>46043</v>
      </c>
      <c r="B106" t="s">
        <v>273</v>
      </c>
      <c r="C106" t="s">
        <v>274</v>
      </c>
      <c r="E106" t="s">
        <v>275</v>
      </c>
      <c r="F106" t="s">
        <v>42</v>
      </c>
      <c r="G106" t="s">
        <v>280</v>
      </c>
      <c r="H106" t="s">
        <v>29</v>
      </c>
      <c r="I106" t="s">
        <v>55</v>
      </c>
      <c r="J106" t="s">
        <v>277</v>
      </c>
      <c r="L106" s="1">
        <v>46023</v>
      </c>
      <c r="M106" s="1">
        <v>45689</v>
      </c>
      <c r="N106" s="1">
        <v>45869</v>
      </c>
      <c r="O106">
        <v>16983460</v>
      </c>
      <c r="P106" t="s">
        <v>32</v>
      </c>
      <c r="Q106" t="s">
        <v>278</v>
      </c>
      <c r="R106">
        <v>8192</v>
      </c>
      <c r="S106" t="s">
        <v>279</v>
      </c>
      <c r="T106" t="s">
        <v>35</v>
      </c>
      <c r="U106">
        <v>-32.67</v>
      </c>
      <c r="V106" t="s">
        <v>38</v>
      </c>
      <c r="W106" s="1">
        <v>45665</v>
      </c>
      <c r="X106">
        <v>2026</v>
      </c>
    </row>
    <row r="107" spans="1:24" x14ac:dyDescent="0.25">
      <c r="A107" s="1">
        <v>46043</v>
      </c>
      <c r="B107" t="s">
        <v>281</v>
      </c>
      <c r="C107" t="s">
        <v>282</v>
      </c>
      <c r="E107" t="s">
        <v>283</v>
      </c>
      <c r="F107" t="s">
        <v>27</v>
      </c>
      <c r="G107" t="s">
        <v>49</v>
      </c>
      <c r="H107" t="s">
        <v>29</v>
      </c>
      <c r="I107" t="s">
        <v>30</v>
      </c>
      <c r="J107" t="s">
        <v>82</v>
      </c>
      <c r="L107" s="1">
        <v>46023</v>
      </c>
      <c r="M107" s="1">
        <v>46023</v>
      </c>
      <c r="O107">
        <v>17886092</v>
      </c>
      <c r="P107" t="s">
        <v>32</v>
      </c>
      <c r="Q107" t="s">
        <v>88</v>
      </c>
      <c r="R107">
        <v>8192</v>
      </c>
      <c r="S107" t="s">
        <v>34</v>
      </c>
      <c r="T107" t="s">
        <v>35</v>
      </c>
      <c r="U107">
        <v>65</v>
      </c>
      <c r="V107" t="s">
        <v>36</v>
      </c>
      <c r="W107" s="1">
        <v>45951</v>
      </c>
      <c r="X107">
        <v>2026</v>
      </c>
    </row>
    <row r="108" spans="1:24" x14ac:dyDescent="0.25">
      <c r="A108" s="1">
        <v>46043</v>
      </c>
      <c r="B108" t="s">
        <v>281</v>
      </c>
      <c r="C108" t="s">
        <v>282</v>
      </c>
      <c r="E108" t="s">
        <v>283</v>
      </c>
      <c r="F108" t="s">
        <v>27</v>
      </c>
      <c r="G108" t="s">
        <v>37</v>
      </c>
      <c r="H108" t="s">
        <v>29</v>
      </c>
      <c r="I108" t="s">
        <v>30</v>
      </c>
      <c r="J108" t="s">
        <v>82</v>
      </c>
      <c r="L108" s="1">
        <v>46023</v>
      </c>
      <c r="M108" s="1">
        <v>46023</v>
      </c>
      <c r="O108">
        <v>17886092</v>
      </c>
      <c r="P108" t="s">
        <v>32</v>
      </c>
      <c r="Q108" t="s">
        <v>88</v>
      </c>
      <c r="R108">
        <v>8192</v>
      </c>
      <c r="S108" t="s">
        <v>34</v>
      </c>
      <c r="T108" t="s">
        <v>35</v>
      </c>
      <c r="U108">
        <v>-65</v>
      </c>
      <c r="V108" t="s">
        <v>38</v>
      </c>
      <c r="W108" s="1">
        <v>45951</v>
      </c>
      <c r="X108">
        <v>2026</v>
      </c>
    </row>
    <row r="109" spans="1:24" x14ac:dyDescent="0.25">
      <c r="A109" s="1">
        <v>46043</v>
      </c>
      <c r="B109" t="s">
        <v>284</v>
      </c>
      <c r="C109" t="s">
        <v>285</v>
      </c>
      <c r="E109" t="s">
        <v>286</v>
      </c>
      <c r="F109" t="s">
        <v>42</v>
      </c>
      <c r="G109" t="s">
        <v>28</v>
      </c>
      <c r="H109" t="s">
        <v>29</v>
      </c>
      <c r="I109" t="s">
        <v>43</v>
      </c>
      <c r="J109" t="s">
        <v>50</v>
      </c>
      <c r="L109" s="1">
        <v>46023</v>
      </c>
      <c r="M109" s="1">
        <v>46023</v>
      </c>
      <c r="O109">
        <v>18828278</v>
      </c>
      <c r="P109" t="s">
        <v>32</v>
      </c>
      <c r="Q109" t="s">
        <v>51</v>
      </c>
      <c r="R109">
        <v>8192</v>
      </c>
      <c r="S109" t="s">
        <v>34</v>
      </c>
      <c r="T109" t="s">
        <v>35</v>
      </c>
      <c r="U109">
        <v>844</v>
      </c>
      <c r="V109" t="s">
        <v>36</v>
      </c>
      <c r="W109" s="1">
        <v>45994</v>
      </c>
      <c r="X109">
        <v>2026</v>
      </c>
    </row>
    <row r="110" spans="1:24" x14ac:dyDescent="0.25">
      <c r="A110" s="1">
        <v>46043</v>
      </c>
      <c r="B110" t="s">
        <v>284</v>
      </c>
      <c r="C110" t="s">
        <v>285</v>
      </c>
      <c r="E110" t="s">
        <v>286</v>
      </c>
      <c r="F110" t="s">
        <v>42</v>
      </c>
      <c r="G110" t="s">
        <v>37</v>
      </c>
      <c r="H110" t="s">
        <v>29</v>
      </c>
      <c r="I110" t="s">
        <v>43</v>
      </c>
      <c r="J110" t="s">
        <v>50</v>
      </c>
      <c r="L110" s="1">
        <v>46023</v>
      </c>
      <c r="M110" s="1">
        <v>46023</v>
      </c>
      <c r="O110">
        <v>18828278</v>
      </c>
      <c r="P110" t="s">
        <v>32</v>
      </c>
      <c r="Q110" t="s">
        <v>51</v>
      </c>
      <c r="R110">
        <v>8192</v>
      </c>
      <c r="S110" t="s">
        <v>34</v>
      </c>
      <c r="T110" t="s">
        <v>35</v>
      </c>
      <c r="U110">
        <v>-497</v>
      </c>
      <c r="V110" t="s">
        <v>38</v>
      </c>
      <c r="W110" s="1">
        <v>45994</v>
      </c>
      <c r="X110">
        <v>2026</v>
      </c>
    </row>
    <row r="111" spans="1:24" x14ac:dyDescent="0.25">
      <c r="A111" s="1">
        <v>46043</v>
      </c>
      <c r="B111" t="s">
        <v>287</v>
      </c>
      <c r="C111" t="s">
        <v>288</v>
      </c>
      <c r="E111" t="s">
        <v>289</v>
      </c>
      <c r="F111" t="s">
        <v>42</v>
      </c>
      <c r="G111" t="s">
        <v>49</v>
      </c>
      <c r="H111" t="s">
        <v>29</v>
      </c>
      <c r="I111" t="s">
        <v>55</v>
      </c>
      <c r="J111" t="s">
        <v>56</v>
      </c>
      <c r="L111" s="1">
        <v>46054</v>
      </c>
      <c r="M111" s="1">
        <v>46054</v>
      </c>
      <c r="O111">
        <v>17301495</v>
      </c>
      <c r="P111" t="s">
        <v>32</v>
      </c>
      <c r="Q111" t="s">
        <v>209</v>
      </c>
      <c r="R111">
        <v>8192</v>
      </c>
      <c r="S111" t="s">
        <v>34</v>
      </c>
      <c r="T111" t="s">
        <v>35</v>
      </c>
      <c r="U111">
        <v>773.67</v>
      </c>
      <c r="V111" t="s">
        <v>36</v>
      </c>
      <c r="W111" s="1">
        <v>45992</v>
      </c>
      <c r="X111">
        <v>2026</v>
      </c>
    </row>
    <row r="112" spans="1:24" x14ac:dyDescent="0.25">
      <c r="A112" s="1">
        <v>46043</v>
      </c>
      <c r="B112" t="s">
        <v>287</v>
      </c>
      <c r="C112" t="s">
        <v>288</v>
      </c>
      <c r="E112" t="s">
        <v>289</v>
      </c>
      <c r="F112" t="s">
        <v>42</v>
      </c>
      <c r="G112" t="s">
        <v>37</v>
      </c>
      <c r="H112" t="s">
        <v>29</v>
      </c>
      <c r="I112" t="s">
        <v>55</v>
      </c>
      <c r="J112" t="s">
        <v>56</v>
      </c>
      <c r="L112" s="1">
        <v>46054</v>
      </c>
      <c r="M112" s="1">
        <v>46054</v>
      </c>
      <c r="O112">
        <v>17301495</v>
      </c>
      <c r="P112" t="s">
        <v>32</v>
      </c>
      <c r="Q112" t="s">
        <v>209</v>
      </c>
      <c r="R112">
        <v>8192</v>
      </c>
      <c r="S112" t="s">
        <v>34</v>
      </c>
      <c r="T112" t="s">
        <v>35</v>
      </c>
      <c r="U112">
        <v>-455.58</v>
      </c>
      <c r="V112" t="s">
        <v>38</v>
      </c>
      <c r="W112" s="1">
        <v>45992</v>
      </c>
      <c r="X112">
        <v>2026</v>
      </c>
    </row>
    <row r="113" spans="1:24" x14ac:dyDescent="0.25">
      <c r="A113" s="1">
        <v>46043</v>
      </c>
      <c r="B113" t="s">
        <v>290</v>
      </c>
      <c r="C113" t="s">
        <v>291</v>
      </c>
      <c r="E113" t="s">
        <v>292</v>
      </c>
      <c r="F113" t="s">
        <v>27</v>
      </c>
      <c r="G113" t="s">
        <v>115</v>
      </c>
      <c r="H113" t="s">
        <v>29</v>
      </c>
      <c r="I113" t="s">
        <v>30</v>
      </c>
      <c r="J113" t="s">
        <v>293</v>
      </c>
      <c r="L113" s="1">
        <v>46023</v>
      </c>
      <c r="M113" s="1">
        <v>46023</v>
      </c>
      <c r="O113">
        <v>17886092</v>
      </c>
      <c r="P113" t="s">
        <v>32</v>
      </c>
      <c r="Q113" t="s">
        <v>88</v>
      </c>
      <c r="R113">
        <v>8192</v>
      </c>
      <c r="S113" t="s">
        <v>34</v>
      </c>
      <c r="T113" t="s">
        <v>35</v>
      </c>
      <c r="U113">
        <v>65</v>
      </c>
      <c r="V113" t="s">
        <v>38</v>
      </c>
      <c r="W113" s="1">
        <v>45981</v>
      </c>
      <c r="X113">
        <v>2026</v>
      </c>
    </row>
    <row r="114" spans="1:24" x14ac:dyDescent="0.25">
      <c r="A114" s="1">
        <v>46043</v>
      </c>
      <c r="B114" t="s">
        <v>294</v>
      </c>
      <c r="C114" t="s">
        <v>295</v>
      </c>
      <c r="E114" t="s">
        <v>296</v>
      </c>
      <c r="F114" t="s">
        <v>98</v>
      </c>
      <c r="G114" t="s">
        <v>49</v>
      </c>
      <c r="H114" t="s">
        <v>29</v>
      </c>
      <c r="I114" t="s">
        <v>99</v>
      </c>
      <c r="J114" t="s">
        <v>188</v>
      </c>
      <c r="L114" s="1">
        <v>46023</v>
      </c>
      <c r="M114" s="1">
        <v>46023</v>
      </c>
      <c r="O114">
        <v>18142208</v>
      </c>
      <c r="P114" t="s">
        <v>32</v>
      </c>
      <c r="Q114" t="s">
        <v>167</v>
      </c>
      <c r="R114">
        <v>8192</v>
      </c>
      <c r="S114" t="s">
        <v>34</v>
      </c>
      <c r="T114" t="s">
        <v>35</v>
      </c>
      <c r="U114">
        <v>844</v>
      </c>
      <c r="V114" t="s">
        <v>36</v>
      </c>
      <c r="W114" s="1">
        <v>45986</v>
      </c>
      <c r="X114">
        <v>2026</v>
      </c>
    </row>
    <row r="115" spans="1:24" x14ac:dyDescent="0.25">
      <c r="A115" s="1">
        <v>46043</v>
      </c>
      <c r="B115" t="s">
        <v>294</v>
      </c>
      <c r="C115" t="s">
        <v>295</v>
      </c>
      <c r="E115" t="s">
        <v>296</v>
      </c>
      <c r="F115" t="s">
        <v>98</v>
      </c>
      <c r="G115" t="s">
        <v>37</v>
      </c>
      <c r="H115" t="s">
        <v>29</v>
      </c>
      <c r="I115" t="s">
        <v>99</v>
      </c>
      <c r="J115" t="s">
        <v>188</v>
      </c>
      <c r="L115" s="1">
        <v>46023</v>
      </c>
      <c r="M115" s="1">
        <v>46023</v>
      </c>
      <c r="O115">
        <v>18142208</v>
      </c>
      <c r="P115" t="s">
        <v>32</v>
      </c>
      <c r="Q115" t="s">
        <v>167</v>
      </c>
      <c r="R115">
        <v>8192</v>
      </c>
      <c r="S115" t="s">
        <v>34</v>
      </c>
      <c r="T115" t="s">
        <v>35</v>
      </c>
      <c r="U115">
        <v>-497</v>
      </c>
      <c r="V115" t="s">
        <v>38</v>
      </c>
      <c r="W115" s="1">
        <v>45986</v>
      </c>
      <c r="X115">
        <v>2026</v>
      </c>
    </row>
    <row r="116" spans="1:24" x14ac:dyDescent="0.25">
      <c r="A116" s="1">
        <v>46043</v>
      </c>
      <c r="B116" t="s">
        <v>297</v>
      </c>
      <c r="C116" t="s">
        <v>298</v>
      </c>
      <c r="E116" t="s">
        <v>299</v>
      </c>
      <c r="F116" t="s">
        <v>98</v>
      </c>
      <c r="G116" t="s">
        <v>28</v>
      </c>
      <c r="H116" t="s">
        <v>29</v>
      </c>
      <c r="I116" t="s">
        <v>99</v>
      </c>
      <c r="J116" t="s">
        <v>166</v>
      </c>
      <c r="L116" s="1">
        <v>46023</v>
      </c>
      <c r="M116" s="1">
        <v>46023</v>
      </c>
      <c r="O116">
        <v>18142208</v>
      </c>
      <c r="P116" t="s">
        <v>32</v>
      </c>
      <c r="Q116" t="s">
        <v>167</v>
      </c>
      <c r="R116">
        <v>8192</v>
      </c>
      <c r="S116" t="s">
        <v>34</v>
      </c>
      <c r="T116" t="s">
        <v>35</v>
      </c>
      <c r="U116">
        <v>844</v>
      </c>
      <c r="V116" t="s">
        <v>36</v>
      </c>
      <c r="W116" s="1">
        <v>46003</v>
      </c>
      <c r="X116">
        <v>2026</v>
      </c>
    </row>
    <row r="117" spans="1:24" x14ac:dyDescent="0.25">
      <c r="A117" s="1">
        <v>46043</v>
      </c>
      <c r="B117" t="s">
        <v>297</v>
      </c>
      <c r="C117" t="s">
        <v>298</v>
      </c>
      <c r="E117" t="s">
        <v>299</v>
      </c>
      <c r="F117" t="s">
        <v>98</v>
      </c>
      <c r="G117" t="s">
        <v>37</v>
      </c>
      <c r="H117" t="s">
        <v>29</v>
      </c>
      <c r="I117" t="s">
        <v>99</v>
      </c>
      <c r="J117" t="s">
        <v>166</v>
      </c>
      <c r="L117" s="1">
        <v>46023</v>
      </c>
      <c r="M117" s="1">
        <v>46023</v>
      </c>
      <c r="O117">
        <v>18142208</v>
      </c>
      <c r="P117" t="s">
        <v>32</v>
      </c>
      <c r="Q117" t="s">
        <v>167</v>
      </c>
      <c r="R117">
        <v>8192</v>
      </c>
      <c r="S117" t="s">
        <v>34</v>
      </c>
      <c r="T117" t="s">
        <v>35</v>
      </c>
      <c r="U117">
        <v>-497</v>
      </c>
      <c r="V117" t="s">
        <v>38</v>
      </c>
      <c r="W117" s="1">
        <v>46003</v>
      </c>
      <c r="X117">
        <v>2026</v>
      </c>
    </row>
    <row r="118" spans="1:24" x14ac:dyDescent="0.25">
      <c r="A118" s="1">
        <v>46043</v>
      </c>
      <c r="B118" t="s">
        <v>300</v>
      </c>
      <c r="C118" t="s">
        <v>301</v>
      </c>
      <c r="E118" t="s">
        <v>302</v>
      </c>
      <c r="F118" t="s">
        <v>98</v>
      </c>
      <c r="G118" t="s">
        <v>28</v>
      </c>
      <c r="H118" t="s">
        <v>29</v>
      </c>
      <c r="I118" t="s">
        <v>99</v>
      </c>
      <c r="J118" t="s">
        <v>188</v>
      </c>
      <c r="L118" s="1">
        <v>46023</v>
      </c>
      <c r="M118" s="1">
        <v>46023</v>
      </c>
      <c r="O118">
        <v>18142208</v>
      </c>
      <c r="P118" t="s">
        <v>32</v>
      </c>
      <c r="Q118" t="s">
        <v>167</v>
      </c>
      <c r="R118">
        <v>8192</v>
      </c>
      <c r="S118" t="s">
        <v>34</v>
      </c>
      <c r="T118" t="s">
        <v>35</v>
      </c>
      <c r="U118">
        <v>844</v>
      </c>
      <c r="V118" t="s">
        <v>36</v>
      </c>
      <c r="W118" s="1">
        <v>46003</v>
      </c>
      <c r="X118">
        <v>2026</v>
      </c>
    </row>
    <row r="119" spans="1:24" x14ac:dyDescent="0.25">
      <c r="A119" s="1">
        <v>46043</v>
      </c>
      <c r="B119" t="s">
        <v>300</v>
      </c>
      <c r="C119" t="s">
        <v>301</v>
      </c>
      <c r="E119" t="s">
        <v>302</v>
      </c>
      <c r="F119" t="s">
        <v>98</v>
      </c>
      <c r="G119" t="s">
        <v>37</v>
      </c>
      <c r="H119" t="s">
        <v>29</v>
      </c>
      <c r="I119" t="s">
        <v>99</v>
      </c>
      <c r="J119" t="s">
        <v>188</v>
      </c>
      <c r="L119" s="1">
        <v>46023</v>
      </c>
      <c r="M119" s="1">
        <v>46023</v>
      </c>
      <c r="O119">
        <v>18142208</v>
      </c>
      <c r="P119" t="s">
        <v>32</v>
      </c>
      <c r="Q119" t="s">
        <v>167</v>
      </c>
      <c r="R119">
        <v>8192</v>
      </c>
      <c r="S119" t="s">
        <v>34</v>
      </c>
      <c r="T119" t="s">
        <v>35</v>
      </c>
      <c r="U119">
        <v>-497</v>
      </c>
      <c r="V119" t="s">
        <v>38</v>
      </c>
      <c r="W119" s="1">
        <v>46003</v>
      </c>
      <c r="X119">
        <v>2026</v>
      </c>
    </row>
    <row r="120" spans="1:24" x14ac:dyDescent="0.25">
      <c r="A120" s="1">
        <v>46043</v>
      </c>
      <c r="B120" t="s">
        <v>303</v>
      </c>
      <c r="C120" t="s">
        <v>304</v>
      </c>
      <c r="E120" t="s">
        <v>305</v>
      </c>
      <c r="F120" t="s">
        <v>42</v>
      </c>
      <c r="G120" t="s">
        <v>28</v>
      </c>
      <c r="H120" t="s">
        <v>29</v>
      </c>
      <c r="I120" t="s">
        <v>43</v>
      </c>
      <c r="J120" t="s">
        <v>44</v>
      </c>
      <c r="L120" s="1">
        <v>46054</v>
      </c>
      <c r="M120" s="1">
        <v>46054</v>
      </c>
      <c r="O120">
        <v>8812322</v>
      </c>
      <c r="P120" t="s">
        <v>32</v>
      </c>
      <c r="Q120" t="s">
        <v>132</v>
      </c>
      <c r="R120">
        <v>8192</v>
      </c>
      <c r="S120" t="s">
        <v>34</v>
      </c>
      <c r="T120" t="s">
        <v>35</v>
      </c>
      <c r="U120">
        <v>844</v>
      </c>
      <c r="V120" t="s">
        <v>36</v>
      </c>
      <c r="W120" s="1">
        <v>45992</v>
      </c>
      <c r="X120">
        <v>2026</v>
      </c>
    </row>
    <row r="121" spans="1:24" x14ac:dyDescent="0.25">
      <c r="A121" s="1">
        <v>46043</v>
      </c>
      <c r="B121" t="s">
        <v>303</v>
      </c>
      <c r="C121" t="s">
        <v>304</v>
      </c>
      <c r="E121" t="s">
        <v>305</v>
      </c>
      <c r="F121" t="s">
        <v>42</v>
      </c>
      <c r="G121" t="s">
        <v>37</v>
      </c>
      <c r="H121" t="s">
        <v>29</v>
      </c>
      <c r="I121" t="s">
        <v>43</v>
      </c>
      <c r="J121" t="s">
        <v>44</v>
      </c>
      <c r="L121" s="1">
        <v>46054</v>
      </c>
      <c r="M121" s="1">
        <v>46054</v>
      </c>
      <c r="O121">
        <v>8812322</v>
      </c>
      <c r="P121" t="s">
        <v>32</v>
      </c>
      <c r="Q121" t="s">
        <v>132</v>
      </c>
      <c r="R121">
        <v>8192</v>
      </c>
      <c r="S121" t="s">
        <v>34</v>
      </c>
      <c r="T121" t="s">
        <v>35</v>
      </c>
      <c r="U121">
        <v>-455.58</v>
      </c>
      <c r="V121" t="s">
        <v>38</v>
      </c>
      <c r="W121" s="1">
        <v>45992</v>
      </c>
      <c r="X121">
        <v>2026</v>
      </c>
    </row>
    <row r="122" spans="1:24" x14ac:dyDescent="0.25">
      <c r="A122" s="1">
        <v>46043</v>
      </c>
      <c r="B122" t="s">
        <v>306</v>
      </c>
      <c r="C122" t="s">
        <v>307</v>
      </c>
      <c r="E122" t="s">
        <v>308</v>
      </c>
      <c r="F122" t="s">
        <v>42</v>
      </c>
      <c r="G122" t="s">
        <v>28</v>
      </c>
      <c r="H122" t="s">
        <v>29</v>
      </c>
      <c r="I122" t="s">
        <v>55</v>
      </c>
      <c r="J122" t="s">
        <v>56</v>
      </c>
      <c r="L122" s="1">
        <v>46023</v>
      </c>
      <c r="M122" s="1">
        <v>46023</v>
      </c>
      <c r="O122">
        <v>9213293</v>
      </c>
      <c r="P122" t="s">
        <v>32</v>
      </c>
      <c r="Q122" t="s">
        <v>122</v>
      </c>
      <c r="R122">
        <v>8192</v>
      </c>
      <c r="S122" t="s">
        <v>34</v>
      </c>
      <c r="T122" t="s">
        <v>35</v>
      </c>
      <c r="U122">
        <v>844</v>
      </c>
      <c r="V122" t="s">
        <v>36</v>
      </c>
      <c r="W122" s="1">
        <v>45992</v>
      </c>
      <c r="X122">
        <v>2026</v>
      </c>
    </row>
    <row r="123" spans="1:24" x14ac:dyDescent="0.25">
      <c r="A123" s="1">
        <v>46043</v>
      </c>
      <c r="B123" t="s">
        <v>306</v>
      </c>
      <c r="C123" t="s">
        <v>307</v>
      </c>
      <c r="E123" t="s">
        <v>308</v>
      </c>
      <c r="F123" t="s">
        <v>42</v>
      </c>
      <c r="G123" t="s">
        <v>37</v>
      </c>
      <c r="H123" t="s">
        <v>29</v>
      </c>
      <c r="I123" t="s">
        <v>55</v>
      </c>
      <c r="J123" t="s">
        <v>56</v>
      </c>
      <c r="L123" s="1">
        <v>46023</v>
      </c>
      <c r="M123" s="1">
        <v>46023</v>
      </c>
      <c r="O123">
        <v>9213293</v>
      </c>
      <c r="P123" t="s">
        <v>32</v>
      </c>
      <c r="Q123" t="s">
        <v>122</v>
      </c>
      <c r="R123">
        <v>8192</v>
      </c>
      <c r="S123" t="s">
        <v>34</v>
      </c>
      <c r="T123" t="s">
        <v>35</v>
      </c>
      <c r="U123">
        <v>-497</v>
      </c>
      <c r="V123" t="s">
        <v>38</v>
      </c>
      <c r="W123" s="1">
        <v>45992</v>
      </c>
      <c r="X123">
        <v>2026</v>
      </c>
    </row>
    <row r="124" spans="1:24" x14ac:dyDescent="0.25">
      <c r="A124" s="1">
        <v>46043</v>
      </c>
      <c r="B124" t="s">
        <v>309</v>
      </c>
      <c r="C124" t="s">
        <v>310</v>
      </c>
      <c r="E124" t="s">
        <v>311</v>
      </c>
      <c r="F124" t="s">
        <v>207</v>
      </c>
      <c r="G124" t="s">
        <v>115</v>
      </c>
      <c r="H124" t="s">
        <v>86</v>
      </c>
      <c r="I124" t="s">
        <v>55</v>
      </c>
      <c r="J124" t="s">
        <v>312</v>
      </c>
      <c r="L124" s="1">
        <v>46054</v>
      </c>
      <c r="M124" s="1">
        <v>46054</v>
      </c>
      <c r="O124">
        <v>8325282</v>
      </c>
      <c r="P124" t="s">
        <v>32</v>
      </c>
      <c r="Q124" t="s">
        <v>313</v>
      </c>
      <c r="R124">
        <v>8192</v>
      </c>
      <c r="S124" t="s">
        <v>34</v>
      </c>
      <c r="T124" t="s">
        <v>35</v>
      </c>
      <c r="U124">
        <v>455.58</v>
      </c>
      <c r="V124" t="s">
        <v>38</v>
      </c>
      <c r="W124" s="1">
        <v>46024</v>
      </c>
      <c r="X124">
        <v>2026</v>
      </c>
    </row>
    <row r="125" spans="1:24" x14ac:dyDescent="0.25">
      <c r="A125" s="1">
        <v>46043</v>
      </c>
      <c r="B125" t="s">
        <v>314</v>
      </c>
      <c r="C125" t="s">
        <v>315</v>
      </c>
      <c r="E125" t="s">
        <v>316</v>
      </c>
      <c r="F125" t="s">
        <v>207</v>
      </c>
      <c r="G125" t="s">
        <v>115</v>
      </c>
      <c r="H125" t="s">
        <v>29</v>
      </c>
      <c r="I125" t="s">
        <v>55</v>
      </c>
      <c r="J125" t="s">
        <v>317</v>
      </c>
      <c r="L125" s="1">
        <v>46054</v>
      </c>
      <c r="M125" s="1">
        <v>46054</v>
      </c>
      <c r="O125">
        <v>8325282</v>
      </c>
      <c r="P125" t="s">
        <v>32</v>
      </c>
      <c r="Q125" t="s">
        <v>313</v>
      </c>
      <c r="R125">
        <v>8192</v>
      </c>
      <c r="S125" t="s">
        <v>34</v>
      </c>
      <c r="T125" t="s">
        <v>35</v>
      </c>
      <c r="U125">
        <v>455.58</v>
      </c>
      <c r="V125" t="s">
        <v>38</v>
      </c>
      <c r="W125" s="1">
        <v>46024</v>
      </c>
      <c r="X125">
        <v>2026</v>
      </c>
    </row>
    <row r="126" spans="1:24" x14ac:dyDescent="0.25">
      <c r="A126" s="1">
        <v>46043</v>
      </c>
      <c r="B126" t="s">
        <v>318</v>
      </c>
      <c r="C126" t="s">
        <v>319</v>
      </c>
      <c r="E126" t="s">
        <v>320</v>
      </c>
      <c r="F126" t="s">
        <v>27</v>
      </c>
      <c r="G126" t="s">
        <v>28</v>
      </c>
      <c r="H126" t="s">
        <v>29</v>
      </c>
      <c r="I126" t="s">
        <v>30</v>
      </c>
      <c r="J126" t="s">
        <v>82</v>
      </c>
      <c r="L126" s="1">
        <v>46023</v>
      </c>
      <c r="M126" s="1">
        <v>46023</v>
      </c>
      <c r="O126">
        <v>17886092</v>
      </c>
      <c r="P126" t="s">
        <v>32</v>
      </c>
      <c r="Q126" t="s">
        <v>88</v>
      </c>
      <c r="R126">
        <v>8192</v>
      </c>
      <c r="S126" t="s">
        <v>34</v>
      </c>
      <c r="T126" t="s">
        <v>35</v>
      </c>
      <c r="U126">
        <v>65</v>
      </c>
      <c r="V126" t="s">
        <v>36</v>
      </c>
      <c r="W126" s="1">
        <v>46009</v>
      </c>
      <c r="X126">
        <v>2026</v>
      </c>
    </row>
    <row r="127" spans="1:24" x14ac:dyDescent="0.25">
      <c r="A127" s="1">
        <v>46043</v>
      </c>
      <c r="B127" t="s">
        <v>318</v>
      </c>
      <c r="C127" t="s">
        <v>319</v>
      </c>
      <c r="E127" t="s">
        <v>320</v>
      </c>
      <c r="F127" t="s">
        <v>27</v>
      </c>
      <c r="G127" t="s">
        <v>37</v>
      </c>
      <c r="H127" t="s">
        <v>29</v>
      </c>
      <c r="I127" t="s">
        <v>30</v>
      </c>
      <c r="J127" t="s">
        <v>82</v>
      </c>
      <c r="L127" s="1">
        <v>46023</v>
      </c>
      <c r="M127" s="1">
        <v>46023</v>
      </c>
      <c r="O127">
        <v>17886092</v>
      </c>
      <c r="P127" t="s">
        <v>32</v>
      </c>
      <c r="Q127" t="s">
        <v>88</v>
      </c>
      <c r="R127">
        <v>8192</v>
      </c>
      <c r="S127" t="s">
        <v>34</v>
      </c>
      <c r="T127" t="s">
        <v>35</v>
      </c>
      <c r="U127">
        <v>-65</v>
      </c>
      <c r="V127" t="s">
        <v>38</v>
      </c>
      <c r="W127" s="1">
        <v>46009</v>
      </c>
      <c r="X127">
        <v>2026</v>
      </c>
    </row>
    <row r="128" spans="1:24" x14ac:dyDescent="0.25">
      <c r="A128" s="1">
        <v>46043</v>
      </c>
      <c r="B128" t="s">
        <v>321</v>
      </c>
      <c r="C128" t="s">
        <v>322</v>
      </c>
      <c r="E128" t="s">
        <v>323</v>
      </c>
      <c r="F128" t="s">
        <v>42</v>
      </c>
      <c r="G128" t="s">
        <v>115</v>
      </c>
      <c r="H128" t="s">
        <v>29</v>
      </c>
      <c r="I128" t="s">
        <v>55</v>
      </c>
      <c r="J128" t="s">
        <v>192</v>
      </c>
      <c r="L128" s="1">
        <v>46023</v>
      </c>
      <c r="M128" s="1">
        <v>46023</v>
      </c>
      <c r="O128">
        <v>7146581</v>
      </c>
      <c r="P128" t="s">
        <v>32</v>
      </c>
      <c r="Q128" t="s">
        <v>158</v>
      </c>
      <c r="R128">
        <v>8192</v>
      </c>
      <c r="S128" t="s">
        <v>34</v>
      </c>
      <c r="T128" t="s">
        <v>35</v>
      </c>
      <c r="U128">
        <v>497</v>
      </c>
      <c r="V128" t="s">
        <v>38</v>
      </c>
      <c r="W128" s="1">
        <v>45978</v>
      </c>
      <c r="X128">
        <v>2026</v>
      </c>
    </row>
    <row r="129" spans="1:24" x14ac:dyDescent="0.25">
      <c r="A129" s="1">
        <v>46043</v>
      </c>
      <c r="B129" t="s">
        <v>324</v>
      </c>
      <c r="C129" t="s">
        <v>325</v>
      </c>
      <c r="E129" t="s">
        <v>326</v>
      </c>
      <c r="F129" t="s">
        <v>42</v>
      </c>
      <c r="G129" t="s">
        <v>115</v>
      </c>
      <c r="H129" t="s">
        <v>29</v>
      </c>
      <c r="I129" t="s">
        <v>55</v>
      </c>
      <c r="J129" t="s">
        <v>192</v>
      </c>
      <c r="L129" s="1">
        <v>46023</v>
      </c>
      <c r="M129" s="1">
        <v>46023</v>
      </c>
      <c r="O129">
        <v>7146581</v>
      </c>
      <c r="P129" t="s">
        <v>32</v>
      </c>
      <c r="Q129" t="s">
        <v>158</v>
      </c>
      <c r="R129">
        <v>8192</v>
      </c>
      <c r="S129" t="s">
        <v>34</v>
      </c>
      <c r="T129" t="s">
        <v>35</v>
      </c>
      <c r="U129">
        <v>497</v>
      </c>
      <c r="V129" t="s">
        <v>38</v>
      </c>
      <c r="W129" s="1">
        <v>45978</v>
      </c>
      <c r="X129">
        <v>2026</v>
      </c>
    </row>
    <row r="130" spans="1:24" x14ac:dyDescent="0.25">
      <c r="A130" s="1">
        <v>46043</v>
      </c>
      <c r="B130" t="s">
        <v>327</v>
      </c>
      <c r="C130" t="s">
        <v>328</v>
      </c>
      <c r="E130" t="s">
        <v>329</v>
      </c>
      <c r="F130" t="s">
        <v>27</v>
      </c>
      <c r="G130" t="s">
        <v>115</v>
      </c>
      <c r="H130" t="s">
        <v>29</v>
      </c>
      <c r="I130" t="s">
        <v>30</v>
      </c>
      <c r="J130" t="s">
        <v>82</v>
      </c>
      <c r="L130" s="1">
        <v>46023</v>
      </c>
      <c r="M130" s="1">
        <v>46023</v>
      </c>
      <c r="O130">
        <v>20253958</v>
      </c>
      <c r="P130" t="s">
        <v>32</v>
      </c>
      <c r="Q130" t="s">
        <v>250</v>
      </c>
      <c r="R130">
        <v>8192</v>
      </c>
      <c r="S130" t="s">
        <v>34</v>
      </c>
      <c r="T130" t="s">
        <v>35</v>
      </c>
      <c r="U130">
        <v>65</v>
      </c>
      <c r="V130" t="s">
        <v>38</v>
      </c>
      <c r="W130" s="1">
        <v>45994</v>
      </c>
      <c r="X130">
        <v>2026</v>
      </c>
    </row>
    <row r="131" spans="1:24" x14ac:dyDescent="0.25">
      <c r="A131" s="1">
        <v>46043</v>
      </c>
      <c r="B131" t="s">
        <v>330</v>
      </c>
      <c r="C131" t="s">
        <v>331</v>
      </c>
      <c r="E131" t="s">
        <v>332</v>
      </c>
      <c r="F131" t="s">
        <v>42</v>
      </c>
      <c r="G131" t="s">
        <v>28</v>
      </c>
      <c r="H131" t="s">
        <v>29</v>
      </c>
      <c r="I131" t="s">
        <v>43</v>
      </c>
      <c r="J131" t="s">
        <v>333</v>
      </c>
      <c r="L131" s="1">
        <v>46023</v>
      </c>
      <c r="M131" s="1">
        <v>46023</v>
      </c>
      <c r="O131">
        <v>8244481</v>
      </c>
      <c r="P131" t="s">
        <v>32</v>
      </c>
      <c r="Q131" t="s">
        <v>45</v>
      </c>
      <c r="R131">
        <v>8192</v>
      </c>
      <c r="S131" t="s">
        <v>34</v>
      </c>
      <c r="T131" t="s">
        <v>35</v>
      </c>
      <c r="U131">
        <v>844</v>
      </c>
      <c r="V131" t="s">
        <v>36</v>
      </c>
      <c r="W131" s="1">
        <v>45992</v>
      </c>
      <c r="X131">
        <v>2026</v>
      </c>
    </row>
    <row r="132" spans="1:24" x14ac:dyDescent="0.25">
      <c r="A132" s="1">
        <v>46043</v>
      </c>
      <c r="B132" t="s">
        <v>330</v>
      </c>
      <c r="C132" t="s">
        <v>331</v>
      </c>
      <c r="E132" t="s">
        <v>332</v>
      </c>
      <c r="F132" t="s">
        <v>42</v>
      </c>
      <c r="G132" t="s">
        <v>37</v>
      </c>
      <c r="H132" t="s">
        <v>29</v>
      </c>
      <c r="I132" t="s">
        <v>43</v>
      </c>
      <c r="J132" t="s">
        <v>333</v>
      </c>
      <c r="L132" s="1">
        <v>46023</v>
      </c>
      <c r="M132" s="1">
        <v>46023</v>
      </c>
      <c r="O132">
        <v>8244481</v>
      </c>
      <c r="P132" t="s">
        <v>32</v>
      </c>
      <c r="Q132" t="s">
        <v>45</v>
      </c>
      <c r="R132">
        <v>8192</v>
      </c>
      <c r="S132" t="s">
        <v>34</v>
      </c>
      <c r="T132" t="s">
        <v>35</v>
      </c>
      <c r="U132">
        <v>-497</v>
      </c>
      <c r="V132" t="s">
        <v>38</v>
      </c>
      <c r="W132" s="1">
        <v>45992</v>
      </c>
      <c r="X132">
        <v>2026</v>
      </c>
    </row>
    <row r="133" spans="1:24" x14ac:dyDescent="0.25">
      <c r="A133" s="1">
        <v>46043</v>
      </c>
      <c r="B133" t="s">
        <v>334</v>
      </c>
      <c r="C133" t="s">
        <v>335</v>
      </c>
      <c r="E133" t="s">
        <v>336</v>
      </c>
      <c r="F133" t="s">
        <v>337</v>
      </c>
      <c r="G133" t="s">
        <v>28</v>
      </c>
      <c r="H133" t="s">
        <v>29</v>
      </c>
      <c r="I133" t="s">
        <v>338</v>
      </c>
      <c r="J133" t="s">
        <v>339</v>
      </c>
      <c r="L133" s="1">
        <v>46023</v>
      </c>
      <c r="M133" s="1">
        <v>46023</v>
      </c>
      <c r="O133">
        <v>18201929</v>
      </c>
      <c r="P133" t="s">
        <v>32</v>
      </c>
      <c r="Q133" t="s">
        <v>340</v>
      </c>
      <c r="R133">
        <v>8192</v>
      </c>
      <c r="S133" t="s">
        <v>34</v>
      </c>
      <c r="T133" t="s">
        <v>35</v>
      </c>
      <c r="U133">
        <v>844</v>
      </c>
      <c r="V133" t="s">
        <v>36</v>
      </c>
      <c r="W133" s="1">
        <v>45997</v>
      </c>
      <c r="X133">
        <v>2026</v>
      </c>
    </row>
    <row r="134" spans="1:24" x14ac:dyDescent="0.25">
      <c r="A134" s="1">
        <v>46043</v>
      </c>
      <c r="B134" t="s">
        <v>334</v>
      </c>
      <c r="C134" t="s">
        <v>335</v>
      </c>
      <c r="E134" t="s">
        <v>336</v>
      </c>
      <c r="F134" t="s">
        <v>337</v>
      </c>
      <c r="G134" t="s">
        <v>37</v>
      </c>
      <c r="H134" t="s">
        <v>29</v>
      </c>
      <c r="I134" t="s">
        <v>338</v>
      </c>
      <c r="J134" t="s">
        <v>339</v>
      </c>
      <c r="L134" s="1">
        <v>46023</v>
      </c>
      <c r="M134" s="1">
        <v>46023</v>
      </c>
      <c r="O134">
        <v>18201929</v>
      </c>
      <c r="P134" t="s">
        <v>32</v>
      </c>
      <c r="Q134" t="s">
        <v>340</v>
      </c>
      <c r="R134">
        <v>8192</v>
      </c>
      <c r="S134" t="s">
        <v>34</v>
      </c>
      <c r="T134" t="s">
        <v>35</v>
      </c>
      <c r="U134">
        <v>-497</v>
      </c>
      <c r="V134" t="s">
        <v>38</v>
      </c>
      <c r="W134" s="1">
        <v>45997</v>
      </c>
      <c r="X134">
        <v>2026</v>
      </c>
    </row>
    <row r="135" spans="1:24" x14ac:dyDescent="0.25">
      <c r="A135" s="1">
        <v>46043</v>
      </c>
      <c r="B135" t="s">
        <v>341</v>
      </c>
      <c r="C135" t="s">
        <v>342</v>
      </c>
      <c r="E135" t="s">
        <v>343</v>
      </c>
      <c r="F135" t="s">
        <v>42</v>
      </c>
      <c r="G135" t="s">
        <v>49</v>
      </c>
      <c r="H135" t="s">
        <v>29</v>
      </c>
      <c r="I135" t="s">
        <v>43</v>
      </c>
      <c r="J135" t="s">
        <v>143</v>
      </c>
      <c r="L135" s="1">
        <v>46023</v>
      </c>
      <c r="M135" s="1">
        <v>46023</v>
      </c>
      <c r="O135">
        <v>8812322</v>
      </c>
      <c r="P135" t="s">
        <v>32</v>
      </c>
      <c r="Q135" t="s">
        <v>132</v>
      </c>
      <c r="R135">
        <v>8192</v>
      </c>
      <c r="S135" t="s">
        <v>34</v>
      </c>
      <c r="T135" t="s">
        <v>35</v>
      </c>
      <c r="U135">
        <v>844</v>
      </c>
      <c r="V135" t="s">
        <v>36</v>
      </c>
      <c r="W135" s="1">
        <v>45996</v>
      </c>
      <c r="X135">
        <v>2026</v>
      </c>
    </row>
    <row r="136" spans="1:24" x14ac:dyDescent="0.25">
      <c r="A136" s="1">
        <v>46043</v>
      </c>
      <c r="B136" t="s">
        <v>341</v>
      </c>
      <c r="C136" t="s">
        <v>342</v>
      </c>
      <c r="E136" t="s">
        <v>343</v>
      </c>
      <c r="F136" t="s">
        <v>42</v>
      </c>
      <c r="G136" t="s">
        <v>37</v>
      </c>
      <c r="H136" t="s">
        <v>29</v>
      </c>
      <c r="I136" t="s">
        <v>43</v>
      </c>
      <c r="J136" t="s">
        <v>143</v>
      </c>
      <c r="L136" s="1">
        <v>46023</v>
      </c>
      <c r="M136" s="1">
        <v>46023</v>
      </c>
      <c r="O136">
        <v>8812322</v>
      </c>
      <c r="P136" t="s">
        <v>32</v>
      </c>
      <c r="Q136" t="s">
        <v>132</v>
      </c>
      <c r="R136">
        <v>8192</v>
      </c>
      <c r="S136" t="s">
        <v>34</v>
      </c>
      <c r="T136" t="s">
        <v>35</v>
      </c>
      <c r="U136">
        <v>-497</v>
      </c>
      <c r="V136" t="s">
        <v>38</v>
      </c>
      <c r="W136" s="1">
        <v>45996</v>
      </c>
      <c r="X136">
        <v>2026</v>
      </c>
    </row>
    <row r="137" spans="1:24" x14ac:dyDescent="0.25">
      <c r="A137" s="1">
        <v>46043</v>
      </c>
      <c r="B137" t="s">
        <v>344</v>
      </c>
      <c r="C137" t="s">
        <v>345</v>
      </c>
      <c r="E137" t="s">
        <v>346</v>
      </c>
      <c r="F137" t="s">
        <v>42</v>
      </c>
      <c r="G137" t="s">
        <v>49</v>
      </c>
      <c r="H137" t="s">
        <v>29</v>
      </c>
      <c r="I137" t="s">
        <v>43</v>
      </c>
      <c r="J137" t="s">
        <v>44</v>
      </c>
      <c r="L137" s="1">
        <v>46023</v>
      </c>
      <c r="M137" s="1">
        <v>46023</v>
      </c>
      <c r="O137">
        <v>8812322</v>
      </c>
      <c r="P137" t="s">
        <v>32</v>
      </c>
      <c r="Q137" t="s">
        <v>132</v>
      </c>
      <c r="R137">
        <v>8192</v>
      </c>
      <c r="S137" t="s">
        <v>34</v>
      </c>
      <c r="T137" t="s">
        <v>35</v>
      </c>
      <c r="U137">
        <v>844</v>
      </c>
      <c r="V137" t="s">
        <v>36</v>
      </c>
      <c r="W137" s="1">
        <v>45980</v>
      </c>
      <c r="X137">
        <v>2026</v>
      </c>
    </row>
    <row r="138" spans="1:24" x14ac:dyDescent="0.25">
      <c r="A138" s="1">
        <v>46043</v>
      </c>
      <c r="B138" t="s">
        <v>344</v>
      </c>
      <c r="C138" t="s">
        <v>345</v>
      </c>
      <c r="E138" t="s">
        <v>346</v>
      </c>
      <c r="F138" t="s">
        <v>42</v>
      </c>
      <c r="G138" t="s">
        <v>37</v>
      </c>
      <c r="H138" t="s">
        <v>29</v>
      </c>
      <c r="I138" t="s">
        <v>43</v>
      </c>
      <c r="J138" t="s">
        <v>44</v>
      </c>
      <c r="L138" s="1">
        <v>46023</v>
      </c>
      <c r="M138" s="1">
        <v>46023</v>
      </c>
      <c r="O138">
        <v>8812322</v>
      </c>
      <c r="P138" t="s">
        <v>32</v>
      </c>
      <c r="Q138" t="s">
        <v>132</v>
      </c>
      <c r="R138">
        <v>8192</v>
      </c>
      <c r="S138" t="s">
        <v>34</v>
      </c>
      <c r="T138" t="s">
        <v>35</v>
      </c>
      <c r="U138">
        <v>-497</v>
      </c>
      <c r="V138" t="s">
        <v>38</v>
      </c>
      <c r="W138" s="1">
        <v>45980</v>
      </c>
      <c r="X138">
        <v>2026</v>
      </c>
    </row>
    <row r="139" spans="1:24" x14ac:dyDescent="0.25">
      <c r="A139" s="1">
        <v>46043</v>
      </c>
      <c r="B139" t="s">
        <v>347</v>
      </c>
      <c r="C139" t="s">
        <v>348</v>
      </c>
      <c r="E139" t="s">
        <v>349</v>
      </c>
      <c r="F139" t="s">
        <v>42</v>
      </c>
      <c r="G139" t="s">
        <v>49</v>
      </c>
      <c r="H139" t="s">
        <v>29</v>
      </c>
      <c r="I139" t="s">
        <v>43</v>
      </c>
      <c r="J139" t="s">
        <v>44</v>
      </c>
      <c r="L139" s="1">
        <v>46023</v>
      </c>
      <c r="M139" s="1">
        <v>46023</v>
      </c>
      <c r="O139">
        <v>8812322</v>
      </c>
      <c r="P139" t="s">
        <v>32</v>
      </c>
      <c r="Q139" t="s">
        <v>132</v>
      </c>
      <c r="R139">
        <v>8192</v>
      </c>
      <c r="S139" t="s">
        <v>34</v>
      </c>
      <c r="T139" t="s">
        <v>35</v>
      </c>
      <c r="U139">
        <v>844</v>
      </c>
      <c r="V139" t="s">
        <v>36</v>
      </c>
      <c r="W139" s="1">
        <v>45980</v>
      </c>
      <c r="X139">
        <v>2026</v>
      </c>
    </row>
    <row r="140" spans="1:24" x14ac:dyDescent="0.25">
      <c r="A140" s="1">
        <v>46043</v>
      </c>
      <c r="B140" t="s">
        <v>347</v>
      </c>
      <c r="C140" t="s">
        <v>348</v>
      </c>
      <c r="E140" t="s">
        <v>349</v>
      </c>
      <c r="F140" t="s">
        <v>42</v>
      </c>
      <c r="G140" t="s">
        <v>37</v>
      </c>
      <c r="H140" t="s">
        <v>29</v>
      </c>
      <c r="I140" t="s">
        <v>43</v>
      </c>
      <c r="J140" t="s">
        <v>44</v>
      </c>
      <c r="L140" s="1">
        <v>46023</v>
      </c>
      <c r="M140" s="1">
        <v>46023</v>
      </c>
      <c r="O140">
        <v>8812322</v>
      </c>
      <c r="P140" t="s">
        <v>32</v>
      </c>
      <c r="Q140" t="s">
        <v>132</v>
      </c>
      <c r="R140">
        <v>8192</v>
      </c>
      <c r="S140" t="s">
        <v>34</v>
      </c>
      <c r="T140" t="s">
        <v>35</v>
      </c>
      <c r="U140">
        <v>-497</v>
      </c>
      <c r="V140" t="s">
        <v>38</v>
      </c>
      <c r="W140" s="1">
        <v>45980</v>
      </c>
      <c r="X140">
        <v>2026</v>
      </c>
    </row>
    <row r="141" spans="1:24" x14ac:dyDescent="0.25">
      <c r="A141" s="1">
        <v>46043</v>
      </c>
      <c r="B141" t="s">
        <v>350</v>
      </c>
      <c r="C141" t="s">
        <v>351</v>
      </c>
      <c r="E141" t="s">
        <v>352</v>
      </c>
      <c r="F141" t="s">
        <v>27</v>
      </c>
      <c r="G141" t="s">
        <v>28</v>
      </c>
      <c r="H141" t="s">
        <v>29</v>
      </c>
      <c r="I141" t="s">
        <v>30</v>
      </c>
      <c r="J141" t="s">
        <v>353</v>
      </c>
      <c r="L141" s="1">
        <v>46023</v>
      </c>
      <c r="M141" s="1">
        <v>46023</v>
      </c>
      <c r="O141">
        <v>17886092</v>
      </c>
      <c r="P141" t="s">
        <v>32</v>
      </c>
      <c r="Q141" t="s">
        <v>88</v>
      </c>
      <c r="R141">
        <v>8192</v>
      </c>
      <c r="S141" t="s">
        <v>34</v>
      </c>
      <c r="T141" t="s">
        <v>35</v>
      </c>
      <c r="U141">
        <v>65</v>
      </c>
      <c r="V141" t="s">
        <v>36</v>
      </c>
      <c r="W141" s="1">
        <v>45980</v>
      </c>
      <c r="X141">
        <v>2026</v>
      </c>
    </row>
    <row r="142" spans="1:24" x14ac:dyDescent="0.25">
      <c r="A142" s="1">
        <v>46043</v>
      </c>
      <c r="B142" t="s">
        <v>350</v>
      </c>
      <c r="C142" t="s">
        <v>351</v>
      </c>
      <c r="E142" t="s">
        <v>352</v>
      </c>
      <c r="F142" t="s">
        <v>27</v>
      </c>
      <c r="G142" t="s">
        <v>37</v>
      </c>
      <c r="H142" t="s">
        <v>29</v>
      </c>
      <c r="I142" t="s">
        <v>30</v>
      </c>
      <c r="J142" t="s">
        <v>353</v>
      </c>
      <c r="L142" s="1">
        <v>46023</v>
      </c>
      <c r="M142" s="1">
        <v>46023</v>
      </c>
      <c r="O142">
        <v>17886092</v>
      </c>
      <c r="P142" t="s">
        <v>32</v>
      </c>
      <c r="Q142" t="s">
        <v>88</v>
      </c>
      <c r="R142">
        <v>8192</v>
      </c>
      <c r="S142" t="s">
        <v>34</v>
      </c>
      <c r="T142" t="s">
        <v>35</v>
      </c>
      <c r="U142">
        <v>-65</v>
      </c>
      <c r="V142" t="s">
        <v>38</v>
      </c>
      <c r="W142" s="1">
        <v>45980</v>
      </c>
      <c r="X142">
        <v>2026</v>
      </c>
    </row>
    <row r="143" spans="1:24" x14ac:dyDescent="0.25">
      <c r="A143" s="1">
        <v>46043</v>
      </c>
      <c r="B143" t="s">
        <v>354</v>
      </c>
      <c r="C143" t="s">
        <v>355</v>
      </c>
      <c r="E143" t="s">
        <v>356</v>
      </c>
      <c r="F143" t="s">
        <v>27</v>
      </c>
      <c r="G143" t="s">
        <v>49</v>
      </c>
      <c r="H143" t="s">
        <v>29</v>
      </c>
      <c r="I143" t="s">
        <v>30</v>
      </c>
      <c r="J143" t="s">
        <v>293</v>
      </c>
      <c r="L143" s="1">
        <v>46023</v>
      </c>
      <c r="M143" s="1">
        <v>46023</v>
      </c>
      <c r="O143">
        <v>20253958</v>
      </c>
      <c r="P143" t="s">
        <v>32</v>
      </c>
      <c r="Q143" t="s">
        <v>250</v>
      </c>
      <c r="R143">
        <v>8192</v>
      </c>
      <c r="S143" t="s">
        <v>34</v>
      </c>
      <c r="T143" t="s">
        <v>35</v>
      </c>
      <c r="U143">
        <v>65</v>
      </c>
      <c r="V143" t="s">
        <v>36</v>
      </c>
      <c r="W143" s="1">
        <v>45960</v>
      </c>
      <c r="X143">
        <v>2026</v>
      </c>
    </row>
    <row r="144" spans="1:24" x14ac:dyDescent="0.25">
      <c r="A144" s="1">
        <v>46043</v>
      </c>
      <c r="B144" t="s">
        <v>354</v>
      </c>
      <c r="C144" t="s">
        <v>355</v>
      </c>
      <c r="E144" t="s">
        <v>356</v>
      </c>
      <c r="F144" t="s">
        <v>27</v>
      </c>
      <c r="G144" t="s">
        <v>37</v>
      </c>
      <c r="H144" t="s">
        <v>29</v>
      </c>
      <c r="I144" t="s">
        <v>30</v>
      </c>
      <c r="J144" t="s">
        <v>293</v>
      </c>
      <c r="L144" s="1">
        <v>46023</v>
      </c>
      <c r="M144" s="1">
        <v>46023</v>
      </c>
      <c r="O144">
        <v>20253958</v>
      </c>
      <c r="P144" t="s">
        <v>32</v>
      </c>
      <c r="Q144" t="s">
        <v>250</v>
      </c>
      <c r="R144">
        <v>8192</v>
      </c>
      <c r="S144" t="s">
        <v>34</v>
      </c>
      <c r="T144" t="s">
        <v>35</v>
      </c>
      <c r="U144">
        <v>-65</v>
      </c>
      <c r="V144" t="s">
        <v>38</v>
      </c>
      <c r="W144" s="1">
        <v>45960</v>
      </c>
      <c r="X144">
        <v>2026</v>
      </c>
    </row>
    <row r="145" spans="1:24" x14ac:dyDescent="0.25">
      <c r="A145" s="1">
        <v>46043</v>
      </c>
      <c r="B145" t="s">
        <v>357</v>
      </c>
      <c r="C145" t="s">
        <v>358</v>
      </c>
      <c r="E145" t="s">
        <v>359</v>
      </c>
      <c r="F145" t="s">
        <v>42</v>
      </c>
      <c r="G145" t="s">
        <v>49</v>
      </c>
      <c r="H145" t="s">
        <v>29</v>
      </c>
      <c r="I145" t="s">
        <v>43</v>
      </c>
      <c r="J145" t="s">
        <v>50</v>
      </c>
      <c r="L145" s="1">
        <v>46023</v>
      </c>
      <c r="M145" s="1">
        <v>46023</v>
      </c>
      <c r="O145">
        <v>8244481</v>
      </c>
      <c r="P145" t="s">
        <v>32</v>
      </c>
      <c r="Q145" t="s">
        <v>45</v>
      </c>
      <c r="R145">
        <v>8192</v>
      </c>
      <c r="S145" t="s">
        <v>34</v>
      </c>
      <c r="T145" t="s">
        <v>35</v>
      </c>
      <c r="U145">
        <v>844</v>
      </c>
      <c r="V145" t="s">
        <v>36</v>
      </c>
      <c r="W145" s="1">
        <v>45993</v>
      </c>
      <c r="X145">
        <v>2026</v>
      </c>
    </row>
    <row r="146" spans="1:24" x14ac:dyDescent="0.25">
      <c r="A146" s="1">
        <v>46043</v>
      </c>
      <c r="B146" t="s">
        <v>357</v>
      </c>
      <c r="C146" t="s">
        <v>358</v>
      </c>
      <c r="E146" t="s">
        <v>359</v>
      </c>
      <c r="F146" t="s">
        <v>42</v>
      </c>
      <c r="G146" t="s">
        <v>37</v>
      </c>
      <c r="H146" t="s">
        <v>29</v>
      </c>
      <c r="I146" t="s">
        <v>43</v>
      </c>
      <c r="J146" t="s">
        <v>50</v>
      </c>
      <c r="L146" s="1">
        <v>46023</v>
      </c>
      <c r="M146" s="1">
        <v>46023</v>
      </c>
      <c r="O146">
        <v>8244481</v>
      </c>
      <c r="P146" t="s">
        <v>32</v>
      </c>
      <c r="Q146" t="s">
        <v>45</v>
      </c>
      <c r="R146">
        <v>8192</v>
      </c>
      <c r="S146" t="s">
        <v>34</v>
      </c>
      <c r="T146" t="s">
        <v>35</v>
      </c>
      <c r="U146">
        <v>-497</v>
      </c>
      <c r="V146" t="s">
        <v>38</v>
      </c>
      <c r="W146" s="1">
        <v>45993</v>
      </c>
      <c r="X146">
        <v>2026</v>
      </c>
    </row>
    <row r="147" spans="1:24" x14ac:dyDescent="0.25">
      <c r="A147" s="1">
        <v>46043</v>
      </c>
      <c r="B147" t="s">
        <v>360</v>
      </c>
      <c r="C147" t="s">
        <v>361</v>
      </c>
      <c r="E147" t="s">
        <v>362</v>
      </c>
      <c r="F147" t="s">
        <v>363</v>
      </c>
      <c r="G147" t="s">
        <v>364</v>
      </c>
      <c r="H147" t="s">
        <v>29</v>
      </c>
      <c r="I147" t="s">
        <v>365</v>
      </c>
      <c r="J147" t="s">
        <v>366</v>
      </c>
      <c r="L147" s="1">
        <v>46023</v>
      </c>
      <c r="M147" s="1">
        <v>46023</v>
      </c>
      <c r="N147" s="1">
        <v>46053</v>
      </c>
      <c r="O147">
        <v>21435997</v>
      </c>
      <c r="P147" t="s">
        <v>32</v>
      </c>
      <c r="Q147" t="s">
        <v>78</v>
      </c>
      <c r="R147">
        <v>8192</v>
      </c>
      <c r="S147" t="s">
        <v>34</v>
      </c>
      <c r="T147" t="s">
        <v>35</v>
      </c>
      <c r="U147">
        <v>41.42</v>
      </c>
      <c r="V147" t="s">
        <v>38</v>
      </c>
      <c r="W147" s="1">
        <v>45994</v>
      </c>
      <c r="X147">
        <v>2026</v>
      </c>
    </row>
    <row r="148" spans="1:24" x14ac:dyDescent="0.25">
      <c r="A148" s="1">
        <v>46043</v>
      </c>
      <c r="B148" t="s">
        <v>360</v>
      </c>
      <c r="C148" t="s">
        <v>361</v>
      </c>
      <c r="E148" t="s">
        <v>362</v>
      </c>
      <c r="F148" t="s">
        <v>363</v>
      </c>
      <c r="G148" t="s">
        <v>367</v>
      </c>
      <c r="H148" t="s">
        <v>29</v>
      </c>
      <c r="I148" t="s">
        <v>365</v>
      </c>
      <c r="J148" t="s">
        <v>366</v>
      </c>
      <c r="L148" s="1">
        <v>46023</v>
      </c>
      <c r="M148" s="1">
        <v>46023</v>
      </c>
      <c r="N148" s="1">
        <v>46053</v>
      </c>
      <c r="O148">
        <v>21435997</v>
      </c>
      <c r="P148" t="s">
        <v>32</v>
      </c>
      <c r="Q148" t="s">
        <v>78</v>
      </c>
      <c r="R148">
        <v>8192</v>
      </c>
      <c r="S148" t="s">
        <v>34</v>
      </c>
      <c r="T148" t="s">
        <v>35</v>
      </c>
      <c r="U148">
        <v>-497</v>
      </c>
      <c r="V148" t="s">
        <v>38</v>
      </c>
      <c r="W148" s="1">
        <v>45994</v>
      </c>
      <c r="X148">
        <v>2026</v>
      </c>
    </row>
    <row r="149" spans="1:24" x14ac:dyDescent="0.25">
      <c r="A149" s="1">
        <v>46043</v>
      </c>
      <c r="B149" t="s">
        <v>368</v>
      </c>
      <c r="C149" t="s">
        <v>369</v>
      </c>
      <c r="E149" t="s">
        <v>370</v>
      </c>
      <c r="F149" t="s">
        <v>98</v>
      </c>
      <c r="G149" t="s">
        <v>28</v>
      </c>
      <c r="H149" t="s">
        <v>29</v>
      </c>
      <c r="I149" t="s">
        <v>99</v>
      </c>
      <c r="J149" t="s">
        <v>371</v>
      </c>
      <c r="L149" s="1">
        <v>46023</v>
      </c>
      <c r="M149" s="1">
        <v>46023</v>
      </c>
      <c r="O149">
        <v>18142208</v>
      </c>
      <c r="P149" t="s">
        <v>32</v>
      </c>
      <c r="Q149" t="s">
        <v>167</v>
      </c>
      <c r="R149">
        <v>8192</v>
      </c>
      <c r="S149" t="s">
        <v>34</v>
      </c>
      <c r="T149" t="s">
        <v>35</v>
      </c>
      <c r="U149">
        <v>844</v>
      </c>
      <c r="V149" t="s">
        <v>36</v>
      </c>
      <c r="W149" s="1">
        <v>45999</v>
      </c>
      <c r="X149">
        <v>2026</v>
      </c>
    </row>
    <row r="150" spans="1:24" x14ac:dyDescent="0.25">
      <c r="A150" s="1">
        <v>46043</v>
      </c>
      <c r="B150" t="s">
        <v>368</v>
      </c>
      <c r="C150" t="s">
        <v>369</v>
      </c>
      <c r="E150" t="s">
        <v>370</v>
      </c>
      <c r="F150" t="s">
        <v>98</v>
      </c>
      <c r="G150" t="s">
        <v>37</v>
      </c>
      <c r="H150" t="s">
        <v>29</v>
      </c>
      <c r="I150" t="s">
        <v>99</v>
      </c>
      <c r="J150" t="s">
        <v>371</v>
      </c>
      <c r="L150" s="1">
        <v>46023</v>
      </c>
      <c r="M150" s="1">
        <v>46023</v>
      </c>
      <c r="O150">
        <v>18142208</v>
      </c>
      <c r="P150" t="s">
        <v>32</v>
      </c>
      <c r="Q150" t="s">
        <v>167</v>
      </c>
      <c r="R150">
        <v>8192</v>
      </c>
      <c r="S150" t="s">
        <v>34</v>
      </c>
      <c r="T150" t="s">
        <v>35</v>
      </c>
      <c r="U150">
        <v>-497</v>
      </c>
      <c r="V150" t="s">
        <v>38</v>
      </c>
      <c r="W150" s="1">
        <v>45999</v>
      </c>
      <c r="X150">
        <v>2026</v>
      </c>
    </row>
    <row r="151" spans="1:24" x14ac:dyDescent="0.25">
      <c r="A151" s="1">
        <v>46043</v>
      </c>
      <c r="B151" t="s">
        <v>372</v>
      </c>
      <c r="C151" t="s">
        <v>373</v>
      </c>
      <c r="E151" t="s">
        <v>374</v>
      </c>
      <c r="F151" t="s">
        <v>27</v>
      </c>
      <c r="G151" t="s">
        <v>28</v>
      </c>
      <c r="H151" t="s">
        <v>29</v>
      </c>
      <c r="I151" t="s">
        <v>30</v>
      </c>
      <c r="J151" t="s">
        <v>64</v>
      </c>
      <c r="L151" s="1">
        <v>46023</v>
      </c>
      <c r="M151" s="1">
        <v>46023</v>
      </c>
      <c r="O151">
        <v>17528908</v>
      </c>
      <c r="P151" t="s">
        <v>32</v>
      </c>
      <c r="Q151" t="s">
        <v>33</v>
      </c>
      <c r="R151">
        <v>8192</v>
      </c>
      <c r="S151" t="s">
        <v>34</v>
      </c>
      <c r="T151" t="s">
        <v>35</v>
      </c>
      <c r="U151">
        <v>916</v>
      </c>
      <c r="V151" t="s">
        <v>36</v>
      </c>
      <c r="W151" s="1">
        <v>45976</v>
      </c>
      <c r="X151">
        <v>2026</v>
      </c>
    </row>
    <row r="152" spans="1:24" x14ac:dyDescent="0.25">
      <c r="A152" s="1">
        <v>46043</v>
      </c>
      <c r="B152" t="s">
        <v>372</v>
      </c>
      <c r="C152" t="s">
        <v>373</v>
      </c>
      <c r="E152" t="s">
        <v>374</v>
      </c>
      <c r="F152" t="s">
        <v>27</v>
      </c>
      <c r="G152" t="s">
        <v>37</v>
      </c>
      <c r="H152" t="s">
        <v>29</v>
      </c>
      <c r="I152" t="s">
        <v>30</v>
      </c>
      <c r="J152" t="s">
        <v>64</v>
      </c>
      <c r="L152" s="1">
        <v>46023</v>
      </c>
      <c r="M152" s="1">
        <v>46023</v>
      </c>
      <c r="O152">
        <v>17528908</v>
      </c>
      <c r="P152" t="s">
        <v>32</v>
      </c>
      <c r="Q152" t="s">
        <v>33</v>
      </c>
      <c r="R152">
        <v>8192</v>
      </c>
      <c r="S152" t="s">
        <v>34</v>
      </c>
      <c r="T152" t="s">
        <v>35</v>
      </c>
      <c r="U152">
        <v>-526</v>
      </c>
      <c r="V152" t="s">
        <v>38</v>
      </c>
      <c r="W152" s="1">
        <v>45976</v>
      </c>
      <c r="X152">
        <v>2026</v>
      </c>
    </row>
    <row r="153" spans="1:24" x14ac:dyDescent="0.25">
      <c r="A153" s="1">
        <v>46043</v>
      </c>
      <c r="B153" t="s">
        <v>375</v>
      </c>
      <c r="C153" t="s">
        <v>376</v>
      </c>
      <c r="E153" t="s">
        <v>377</v>
      </c>
      <c r="F153" t="s">
        <v>27</v>
      </c>
      <c r="G153" t="s">
        <v>28</v>
      </c>
      <c r="H153" t="s">
        <v>29</v>
      </c>
      <c r="I153" t="s">
        <v>30</v>
      </c>
      <c r="J153" t="s">
        <v>378</v>
      </c>
      <c r="L153" s="1">
        <v>46023</v>
      </c>
      <c r="M153" s="1">
        <v>46023</v>
      </c>
      <c r="O153">
        <v>17425766</v>
      </c>
      <c r="P153" t="s">
        <v>32</v>
      </c>
      <c r="Q153" t="s">
        <v>71</v>
      </c>
      <c r="R153">
        <v>8192</v>
      </c>
      <c r="S153" t="s">
        <v>34</v>
      </c>
      <c r="T153" t="s">
        <v>35</v>
      </c>
      <c r="U153">
        <v>931</v>
      </c>
      <c r="V153" t="s">
        <v>36</v>
      </c>
      <c r="W153" s="1">
        <v>45997</v>
      </c>
      <c r="X153">
        <v>2026</v>
      </c>
    </row>
    <row r="154" spans="1:24" x14ac:dyDescent="0.25">
      <c r="A154" s="1">
        <v>46043</v>
      </c>
      <c r="B154" t="s">
        <v>375</v>
      </c>
      <c r="C154" t="s">
        <v>376</v>
      </c>
      <c r="E154" t="s">
        <v>377</v>
      </c>
      <c r="F154" t="s">
        <v>27</v>
      </c>
      <c r="G154" t="s">
        <v>37</v>
      </c>
      <c r="H154" t="s">
        <v>29</v>
      </c>
      <c r="I154" t="s">
        <v>30</v>
      </c>
      <c r="J154" t="s">
        <v>378</v>
      </c>
      <c r="L154" s="1">
        <v>46023</v>
      </c>
      <c r="M154" s="1">
        <v>46023</v>
      </c>
      <c r="O154">
        <v>17425766</v>
      </c>
      <c r="P154" t="s">
        <v>32</v>
      </c>
      <c r="Q154" t="s">
        <v>71</v>
      </c>
      <c r="R154">
        <v>8192</v>
      </c>
      <c r="S154" t="s">
        <v>34</v>
      </c>
      <c r="T154" t="s">
        <v>35</v>
      </c>
      <c r="U154">
        <v>-541</v>
      </c>
      <c r="V154" t="s">
        <v>38</v>
      </c>
      <c r="W154" s="1">
        <v>45997</v>
      </c>
      <c r="X154">
        <v>2026</v>
      </c>
    </row>
    <row r="155" spans="1:24" x14ac:dyDescent="0.25">
      <c r="A155" s="1">
        <v>46043</v>
      </c>
      <c r="B155" t="s">
        <v>379</v>
      </c>
      <c r="C155" t="s">
        <v>380</v>
      </c>
      <c r="E155" t="s">
        <v>381</v>
      </c>
      <c r="F155" t="s">
        <v>42</v>
      </c>
      <c r="G155" t="s">
        <v>28</v>
      </c>
      <c r="H155" t="s">
        <v>29</v>
      </c>
      <c r="I155" t="s">
        <v>43</v>
      </c>
      <c r="J155" t="s">
        <v>143</v>
      </c>
      <c r="L155" s="1">
        <v>46054</v>
      </c>
      <c r="M155" s="1">
        <v>46054</v>
      </c>
      <c r="O155">
        <v>8812322</v>
      </c>
      <c r="P155" t="s">
        <v>32</v>
      </c>
      <c r="Q155" t="s">
        <v>132</v>
      </c>
      <c r="R155">
        <v>8192</v>
      </c>
      <c r="S155" t="s">
        <v>34</v>
      </c>
      <c r="T155" t="s">
        <v>35</v>
      </c>
      <c r="U155">
        <v>844</v>
      </c>
      <c r="V155" t="s">
        <v>36</v>
      </c>
      <c r="W155" s="1">
        <v>46008</v>
      </c>
      <c r="X155">
        <v>2026</v>
      </c>
    </row>
    <row r="156" spans="1:24" x14ac:dyDescent="0.25">
      <c r="A156" s="1">
        <v>46043</v>
      </c>
      <c r="B156" t="s">
        <v>379</v>
      </c>
      <c r="C156" t="s">
        <v>380</v>
      </c>
      <c r="E156" t="s">
        <v>381</v>
      </c>
      <c r="F156" t="s">
        <v>42</v>
      </c>
      <c r="G156" t="s">
        <v>37</v>
      </c>
      <c r="H156" t="s">
        <v>29</v>
      </c>
      <c r="I156" t="s">
        <v>43</v>
      </c>
      <c r="J156" t="s">
        <v>143</v>
      </c>
      <c r="L156" s="1">
        <v>46054</v>
      </c>
      <c r="M156" s="1">
        <v>46054</v>
      </c>
      <c r="O156">
        <v>8812322</v>
      </c>
      <c r="P156" t="s">
        <v>32</v>
      </c>
      <c r="Q156" t="s">
        <v>132</v>
      </c>
      <c r="R156">
        <v>8192</v>
      </c>
      <c r="S156" t="s">
        <v>34</v>
      </c>
      <c r="T156" t="s">
        <v>35</v>
      </c>
      <c r="U156">
        <v>-455.58</v>
      </c>
      <c r="V156" t="s">
        <v>38</v>
      </c>
      <c r="W156" s="1">
        <v>46008</v>
      </c>
      <c r="X156">
        <v>2026</v>
      </c>
    </row>
    <row r="157" spans="1:24" x14ac:dyDescent="0.25">
      <c r="A157" s="1">
        <v>46043</v>
      </c>
      <c r="B157" t="s">
        <v>382</v>
      </c>
      <c r="C157" t="s">
        <v>383</v>
      </c>
      <c r="E157" t="s">
        <v>384</v>
      </c>
      <c r="F157" t="s">
        <v>42</v>
      </c>
      <c r="G157" t="s">
        <v>28</v>
      </c>
      <c r="H157" t="s">
        <v>29</v>
      </c>
      <c r="I157" t="s">
        <v>43</v>
      </c>
      <c r="J157" t="s">
        <v>50</v>
      </c>
      <c r="L157" s="1">
        <v>46054</v>
      </c>
      <c r="M157" s="1">
        <v>46054</v>
      </c>
      <c r="O157">
        <v>18828278</v>
      </c>
      <c r="P157" t="s">
        <v>32</v>
      </c>
      <c r="Q157" t="s">
        <v>51</v>
      </c>
      <c r="R157">
        <v>8192</v>
      </c>
      <c r="S157" t="s">
        <v>34</v>
      </c>
      <c r="T157" t="s">
        <v>35</v>
      </c>
      <c r="U157">
        <v>844</v>
      </c>
      <c r="V157" t="s">
        <v>36</v>
      </c>
      <c r="W157" s="1">
        <v>46017</v>
      </c>
      <c r="X157">
        <v>2026</v>
      </c>
    </row>
    <row r="158" spans="1:24" x14ac:dyDescent="0.25">
      <c r="A158" s="1">
        <v>46043</v>
      </c>
      <c r="B158" t="s">
        <v>382</v>
      </c>
      <c r="C158" t="s">
        <v>383</v>
      </c>
      <c r="E158" t="s">
        <v>384</v>
      </c>
      <c r="F158" t="s">
        <v>42</v>
      </c>
      <c r="G158" t="s">
        <v>37</v>
      </c>
      <c r="H158" t="s">
        <v>29</v>
      </c>
      <c r="I158" t="s">
        <v>43</v>
      </c>
      <c r="J158" t="s">
        <v>50</v>
      </c>
      <c r="L158" s="1">
        <v>46054</v>
      </c>
      <c r="M158" s="1">
        <v>46054</v>
      </c>
      <c r="O158">
        <v>18828278</v>
      </c>
      <c r="P158" t="s">
        <v>32</v>
      </c>
      <c r="Q158" t="s">
        <v>51</v>
      </c>
      <c r="R158">
        <v>8192</v>
      </c>
      <c r="S158" t="s">
        <v>34</v>
      </c>
      <c r="T158" t="s">
        <v>35</v>
      </c>
      <c r="U158">
        <v>-455.58</v>
      </c>
      <c r="V158" t="s">
        <v>38</v>
      </c>
      <c r="W158" s="1">
        <v>46017</v>
      </c>
      <c r="X158">
        <v>2026</v>
      </c>
    </row>
    <row r="159" spans="1:24" x14ac:dyDescent="0.25">
      <c r="A159" s="1">
        <v>46043</v>
      </c>
      <c r="B159" t="s">
        <v>385</v>
      </c>
      <c r="C159" t="s">
        <v>386</v>
      </c>
      <c r="E159" t="s">
        <v>387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L159" s="1">
        <v>46054</v>
      </c>
      <c r="M159" s="1">
        <v>46054</v>
      </c>
      <c r="O159">
        <v>8307933</v>
      </c>
      <c r="P159" t="s">
        <v>32</v>
      </c>
      <c r="Q159" t="s">
        <v>111</v>
      </c>
      <c r="R159">
        <v>8192</v>
      </c>
      <c r="S159" t="s">
        <v>34</v>
      </c>
      <c r="T159" t="s">
        <v>35</v>
      </c>
      <c r="U159">
        <v>931</v>
      </c>
      <c r="V159" t="s">
        <v>36</v>
      </c>
      <c r="W159" s="1">
        <v>45971</v>
      </c>
      <c r="X159">
        <v>2026</v>
      </c>
    </row>
    <row r="160" spans="1:24" x14ac:dyDescent="0.25">
      <c r="A160" s="1">
        <v>46043</v>
      </c>
      <c r="B160" t="s">
        <v>385</v>
      </c>
      <c r="C160" t="s">
        <v>386</v>
      </c>
      <c r="E160" t="s">
        <v>387</v>
      </c>
      <c r="F160" t="s">
        <v>27</v>
      </c>
      <c r="G160" t="s">
        <v>37</v>
      </c>
      <c r="H160" t="s">
        <v>29</v>
      </c>
      <c r="I160" t="s">
        <v>30</v>
      </c>
      <c r="J160" t="s">
        <v>31</v>
      </c>
      <c r="L160" s="1">
        <v>46054</v>
      </c>
      <c r="M160" s="1">
        <v>46054</v>
      </c>
      <c r="O160">
        <v>8307933</v>
      </c>
      <c r="P160" t="s">
        <v>32</v>
      </c>
      <c r="Q160" t="s">
        <v>111</v>
      </c>
      <c r="R160">
        <v>8192</v>
      </c>
      <c r="S160" t="s">
        <v>34</v>
      </c>
      <c r="T160" t="s">
        <v>35</v>
      </c>
      <c r="U160">
        <v>-495.92</v>
      </c>
      <c r="V160" t="s">
        <v>38</v>
      </c>
      <c r="W160" s="1">
        <v>45971</v>
      </c>
      <c r="X160">
        <v>2026</v>
      </c>
    </row>
    <row r="161" spans="1:24" x14ac:dyDescent="0.25">
      <c r="A161" s="1">
        <v>46043</v>
      </c>
      <c r="B161" t="s">
        <v>388</v>
      </c>
      <c r="C161" t="s">
        <v>389</v>
      </c>
      <c r="E161" t="s">
        <v>390</v>
      </c>
      <c r="F161" t="s">
        <v>391</v>
      </c>
      <c r="G161" t="s">
        <v>28</v>
      </c>
      <c r="H161" t="s">
        <v>86</v>
      </c>
      <c r="I161" t="s">
        <v>55</v>
      </c>
      <c r="J161" t="s">
        <v>312</v>
      </c>
      <c r="L161" s="1">
        <v>46023</v>
      </c>
      <c r="M161" s="1">
        <v>46023</v>
      </c>
      <c r="O161">
        <v>20003537</v>
      </c>
      <c r="P161" t="s">
        <v>32</v>
      </c>
      <c r="Q161" t="s">
        <v>193</v>
      </c>
      <c r="R161">
        <v>8192</v>
      </c>
      <c r="S161" t="s">
        <v>34</v>
      </c>
      <c r="T161" t="s">
        <v>35</v>
      </c>
      <c r="U161">
        <v>844</v>
      </c>
      <c r="V161" t="s">
        <v>36</v>
      </c>
      <c r="W161" s="1">
        <v>45992</v>
      </c>
      <c r="X161">
        <v>2026</v>
      </c>
    </row>
    <row r="162" spans="1:24" x14ac:dyDescent="0.25">
      <c r="A162" s="1">
        <v>46043</v>
      </c>
      <c r="B162" t="s">
        <v>388</v>
      </c>
      <c r="C162" t="s">
        <v>389</v>
      </c>
      <c r="E162" t="s">
        <v>390</v>
      </c>
      <c r="F162" t="s">
        <v>391</v>
      </c>
      <c r="G162" t="s">
        <v>37</v>
      </c>
      <c r="H162" t="s">
        <v>86</v>
      </c>
      <c r="I162" t="s">
        <v>55</v>
      </c>
      <c r="J162" t="s">
        <v>312</v>
      </c>
      <c r="L162" s="1">
        <v>46023</v>
      </c>
      <c r="M162" s="1">
        <v>46023</v>
      </c>
      <c r="O162">
        <v>20003537</v>
      </c>
      <c r="P162" t="s">
        <v>32</v>
      </c>
      <c r="Q162" t="s">
        <v>193</v>
      </c>
      <c r="R162">
        <v>8192</v>
      </c>
      <c r="S162" t="s">
        <v>34</v>
      </c>
      <c r="T162" t="s">
        <v>35</v>
      </c>
      <c r="U162">
        <v>-497</v>
      </c>
      <c r="V162" t="s">
        <v>38</v>
      </c>
      <c r="W162" s="1">
        <v>45992</v>
      </c>
      <c r="X162">
        <v>2026</v>
      </c>
    </row>
    <row r="163" spans="1:24" x14ac:dyDescent="0.25">
      <c r="A163" s="1">
        <v>46043</v>
      </c>
      <c r="B163" t="s">
        <v>392</v>
      </c>
      <c r="C163" t="s">
        <v>393</v>
      </c>
      <c r="E163" t="s">
        <v>394</v>
      </c>
      <c r="F163" t="s">
        <v>42</v>
      </c>
      <c r="G163" t="s">
        <v>115</v>
      </c>
      <c r="H163" t="s">
        <v>29</v>
      </c>
      <c r="I163" t="s">
        <v>43</v>
      </c>
      <c r="J163" t="s">
        <v>44</v>
      </c>
      <c r="L163" s="1">
        <v>46023</v>
      </c>
      <c r="M163" s="1">
        <v>46023</v>
      </c>
      <c r="O163">
        <v>19615078</v>
      </c>
      <c r="P163" t="s">
        <v>32</v>
      </c>
      <c r="Q163" t="s">
        <v>395</v>
      </c>
      <c r="R163">
        <v>8192</v>
      </c>
      <c r="S163" t="s">
        <v>34</v>
      </c>
      <c r="T163" t="s">
        <v>35</v>
      </c>
      <c r="U163">
        <v>497</v>
      </c>
      <c r="V163" t="s">
        <v>38</v>
      </c>
      <c r="W163" s="1">
        <v>45997</v>
      </c>
      <c r="X163">
        <v>2026</v>
      </c>
    </row>
    <row r="164" spans="1:24" x14ac:dyDescent="0.25">
      <c r="A164" s="1">
        <v>46043</v>
      </c>
      <c r="B164" t="s">
        <v>396</v>
      </c>
      <c r="C164" t="s">
        <v>397</v>
      </c>
      <c r="E164" t="s">
        <v>398</v>
      </c>
      <c r="F164" t="s">
        <v>42</v>
      </c>
      <c r="G164" t="s">
        <v>49</v>
      </c>
      <c r="H164" t="s">
        <v>29</v>
      </c>
      <c r="I164" t="s">
        <v>55</v>
      </c>
      <c r="J164" t="s">
        <v>192</v>
      </c>
      <c r="L164" s="1">
        <v>46023</v>
      </c>
      <c r="M164" s="1">
        <v>46023</v>
      </c>
      <c r="O164">
        <v>8405446</v>
      </c>
      <c r="P164" t="s">
        <v>32</v>
      </c>
      <c r="Q164" t="s">
        <v>162</v>
      </c>
      <c r="R164">
        <v>8192</v>
      </c>
      <c r="S164" t="s">
        <v>34</v>
      </c>
      <c r="T164" t="s">
        <v>35</v>
      </c>
      <c r="U164">
        <v>844</v>
      </c>
      <c r="V164" t="s">
        <v>36</v>
      </c>
      <c r="W164" s="1">
        <v>45997</v>
      </c>
      <c r="X164">
        <v>2026</v>
      </c>
    </row>
    <row r="165" spans="1:24" x14ac:dyDescent="0.25">
      <c r="A165" s="1">
        <v>46043</v>
      </c>
      <c r="B165" t="s">
        <v>396</v>
      </c>
      <c r="C165" t="s">
        <v>397</v>
      </c>
      <c r="E165" t="s">
        <v>398</v>
      </c>
      <c r="F165" t="s">
        <v>42</v>
      </c>
      <c r="G165" t="s">
        <v>37</v>
      </c>
      <c r="H165" t="s">
        <v>29</v>
      </c>
      <c r="I165" t="s">
        <v>55</v>
      </c>
      <c r="J165" t="s">
        <v>192</v>
      </c>
      <c r="L165" s="1">
        <v>46023</v>
      </c>
      <c r="M165" s="1">
        <v>46023</v>
      </c>
      <c r="O165">
        <v>8405446</v>
      </c>
      <c r="P165" t="s">
        <v>32</v>
      </c>
      <c r="Q165" t="s">
        <v>162</v>
      </c>
      <c r="R165">
        <v>8192</v>
      </c>
      <c r="S165" t="s">
        <v>34</v>
      </c>
      <c r="T165" t="s">
        <v>35</v>
      </c>
      <c r="U165">
        <v>-497</v>
      </c>
      <c r="V165" t="s">
        <v>38</v>
      </c>
      <c r="W165" s="1">
        <v>45997</v>
      </c>
      <c r="X165">
        <v>2026</v>
      </c>
    </row>
    <row r="166" spans="1:24" x14ac:dyDescent="0.25">
      <c r="A166" s="1">
        <v>46043</v>
      </c>
      <c r="B166" t="s">
        <v>399</v>
      </c>
      <c r="C166" t="s">
        <v>400</v>
      </c>
      <c r="E166" t="s">
        <v>401</v>
      </c>
      <c r="F166" t="s">
        <v>98</v>
      </c>
      <c r="G166" t="s">
        <v>28</v>
      </c>
      <c r="H166" t="s">
        <v>29</v>
      </c>
      <c r="I166" t="s">
        <v>99</v>
      </c>
      <c r="J166" t="s">
        <v>213</v>
      </c>
      <c r="L166" s="1">
        <v>46023</v>
      </c>
      <c r="M166" s="1">
        <v>46023</v>
      </c>
      <c r="O166">
        <v>18142208</v>
      </c>
      <c r="P166" t="s">
        <v>32</v>
      </c>
      <c r="Q166" t="s">
        <v>167</v>
      </c>
      <c r="R166">
        <v>8192</v>
      </c>
      <c r="S166" t="s">
        <v>34</v>
      </c>
      <c r="T166" t="s">
        <v>35</v>
      </c>
      <c r="U166">
        <v>844</v>
      </c>
      <c r="V166" t="s">
        <v>36</v>
      </c>
      <c r="W166" s="1">
        <v>45980</v>
      </c>
      <c r="X166">
        <v>2026</v>
      </c>
    </row>
    <row r="167" spans="1:24" x14ac:dyDescent="0.25">
      <c r="A167" s="1">
        <v>46043</v>
      </c>
      <c r="B167" t="s">
        <v>399</v>
      </c>
      <c r="C167" t="s">
        <v>400</v>
      </c>
      <c r="E167" t="s">
        <v>401</v>
      </c>
      <c r="F167" t="s">
        <v>98</v>
      </c>
      <c r="G167" t="s">
        <v>37</v>
      </c>
      <c r="H167" t="s">
        <v>29</v>
      </c>
      <c r="I167" t="s">
        <v>99</v>
      </c>
      <c r="J167" t="s">
        <v>213</v>
      </c>
      <c r="L167" s="1">
        <v>46023</v>
      </c>
      <c r="M167" s="1">
        <v>46023</v>
      </c>
      <c r="O167">
        <v>18142208</v>
      </c>
      <c r="P167" t="s">
        <v>32</v>
      </c>
      <c r="Q167" t="s">
        <v>167</v>
      </c>
      <c r="R167">
        <v>8192</v>
      </c>
      <c r="S167" t="s">
        <v>34</v>
      </c>
      <c r="T167" t="s">
        <v>35</v>
      </c>
      <c r="U167">
        <v>-497</v>
      </c>
      <c r="V167" t="s">
        <v>38</v>
      </c>
      <c r="W167" s="1">
        <v>45980</v>
      </c>
      <c r="X167">
        <v>2026</v>
      </c>
    </row>
    <row r="168" spans="1:24" x14ac:dyDescent="0.25">
      <c r="A168" s="1">
        <v>46043</v>
      </c>
      <c r="B168" t="s">
        <v>402</v>
      </c>
      <c r="C168" t="s">
        <v>403</v>
      </c>
      <c r="E168" t="s">
        <v>404</v>
      </c>
      <c r="F168" t="s">
        <v>27</v>
      </c>
      <c r="G168" t="s">
        <v>28</v>
      </c>
      <c r="H168" t="s">
        <v>29</v>
      </c>
      <c r="I168" t="s">
        <v>30</v>
      </c>
      <c r="J168" t="s">
        <v>82</v>
      </c>
      <c r="L168" s="1">
        <v>46023</v>
      </c>
      <c r="M168" s="1">
        <v>46023</v>
      </c>
      <c r="O168">
        <v>17528908</v>
      </c>
      <c r="P168" t="s">
        <v>32</v>
      </c>
      <c r="Q168" t="s">
        <v>33</v>
      </c>
      <c r="R168">
        <v>8192</v>
      </c>
      <c r="S168" t="s">
        <v>34</v>
      </c>
      <c r="T168" t="s">
        <v>35</v>
      </c>
      <c r="U168">
        <v>916</v>
      </c>
      <c r="V168" t="s">
        <v>36</v>
      </c>
      <c r="W168" s="1">
        <v>45978</v>
      </c>
      <c r="X168">
        <v>2026</v>
      </c>
    </row>
    <row r="169" spans="1:24" x14ac:dyDescent="0.25">
      <c r="A169" s="1">
        <v>46043</v>
      </c>
      <c r="B169" t="s">
        <v>402</v>
      </c>
      <c r="C169" t="s">
        <v>403</v>
      </c>
      <c r="E169" t="s">
        <v>404</v>
      </c>
      <c r="F169" t="s">
        <v>27</v>
      </c>
      <c r="G169" t="s">
        <v>37</v>
      </c>
      <c r="H169" t="s">
        <v>29</v>
      </c>
      <c r="I169" t="s">
        <v>30</v>
      </c>
      <c r="J169" t="s">
        <v>82</v>
      </c>
      <c r="L169" s="1">
        <v>46023</v>
      </c>
      <c r="M169" s="1">
        <v>46023</v>
      </c>
      <c r="O169">
        <v>17528908</v>
      </c>
      <c r="P169" t="s">
        <v>32</v>
      </c>
      <c r="Q169" t="s">
        <v>33</v>
      </c>
      <c r="R169">
        <v>8192</v>
      </c>
      <c r="S169" t="s">
        <v>34</v>
      </c>
      <c r="T169" t="s">
        <v>35</v>
      </c>
      <c r="U169">
        <v>-526</v>
      </c>
      <c r="V169" t="s">
        <v>38</v>
      </c>
      <c r="W169" s="1">
        <v>45978</v>
      </c>
      <c r="X169">
        <v>2026</v>
      </c>
    </row>
    <row r="170" spans="1:24" x14ac:dyDescent="0.25">
      <c r="A170" s="1">
        <v>46043</v>
      </c>
      <c r="B170" t="s">
        <v>405</v>
      </c>
      <c r="C170" t="s">
        <v>406</v>
      </c>
      <c r="E170" t="s">
        <v>407</v>
      </c>
      <c r="F170" t="s">
        <v>27</v>
      </c>
      <c r="G170" t="s">
        <v>115</v>
      </c>
      <c r="H170" t="s">
        <v>29</v>
      </c>
      <c r="I170" t="s">
        <v>30</v>
      </c>
      <c r="J170" t="s">
        <v>82</v>
      </c>
      <c r="L170" s="1">
        <v>46023</v>
      </c>
      <c r="M170" s="1">
        <v>46023</v>
      </c>
      <c r="O170">
        <v>17886092</v>
      </c>
      <c r="P170" t="s">
        <v>32</v>
      </c>
      <c r="Q170" t="s">
        <v>88</v>
      </c>
      <c r="R170">
        <v>8192</v>
      </c>
      <c r="S170" t="s">
        <v>34</v>
      </c>
      <c r="T170" t="s">
        <v>35</v>
      </c>
      <c r="U170">
        <v>65</v>
      </c>
      <c r="V170" t="s">
        <v>38</v>
      </c>
      <c r="W170" s="1">
        <v>45980</v>
      </c>
      <c r="X170">
        <v>2026</v>
      </c>
    </row>
    <row r="171" spans="1:24" x14ac:dyDescent="0.25">
      <c r="A171" s="1">
        <v>46043</v>
      </c>
      <c r="B171" t="s">
        <v>408</v>
      </c>
      <c r="C171" t="s">
        <v>409</v>
      </c>
      <c r="E171" t="s">
        <v>410</v>
      </c>
      <c r="F171" t="s">
        <v>27</v>
      </c>
      <c r="G171" t="s">
        <v>115</v>
      </c>
      <c r="H171" t="s">
        <v>29</v>
      </c>
      <c r="I171" t="s">
        <v>30</v>
      </c>
      <c r="J171" t="s">
        <v>82</v>
      </c>
      <c r="L171" s="1">
        <v>46023</v>
      </c>
      <c r="M171" s="1">
        <v>46023</v>
      </c>
      <c r="O171">
        <v>17886092</v>
      </c>
      <c r="P171" t="s">
        <v>32</v>
      </c>
      <c r="Q171" t="s">
        <v>88</v>
      </c>
      <c r="R171">
        <v>8192</v>
      </c>
      <c r="S171" t="s">
        <v>34</v>
      </c>
      <c r="T171" t="s">
        <v>35</v>
      </c>
      <c r="U171">
        <v>65</v>
      </c>
      <c r="V171" t="s">
        <v>38</v>
      </c>
      <c r="W171" s="1">
        <v>45980</v>
      </c>
      <c r="X171">
        <v>2026</v>
      </c>
    </row>
    <row r="172" spans="1:24" x14ac:dyDescent="0.25">
      <c r="A172" s="1">
        <v>46043</v>
      </c>
      <c r="B172" t="s">
        <v>408</v>
      </c>
      <c r="C172" t="s">
        <v>409</v>
      </c>
      <c r="D172" t="s">
        <v>411</v>
      </c>
      <c r="E172" t="s">
        <v>412</v>
      </c>
      <c r="F172" t="s">
        <v>27</v>
      </c>
      <c r="G172" t="s">
        <v>280</v>
      </c>
      <c r="H172" t="s">
        <v>29</v>
      </c>
      <c r="I172" t="s">
        <v>413</v>
      </c>
      <c r="J172" t="s">
        <v>353</v>
      </c>
      <c r="L172" s="1">
        <v>46023</v>
      </c>
      <c r="M172" s="1">
        <v>40909</v>
      </c>
      <c r="N172" s="1">
        <v>46022</v>
      </c>
      <c r="O172">
        <v>17886092</v>
      </c>
      <c r="P172" t="s">
        <v>32</v>
      </c>
      <c r="Q172" t="s">
        <v>88</v>
      </c>
      <c r="R172">
        <v>8192</v>
      </c>
      <c r="S172" t="s">
        <v>279</v>
      </c>
      <c r="T172" t="s">
        <v>35</v>
      </c>
      <c r="U172">
        <v>-1.25</v>
      </c>
      <c r="V172" t="s">
        <v>38</v>
      </c>
      <c r="W172" s="1">
        <v>45689</v>
      </c>
      <c r="X172">
        <v>2026</v>
      </c>
    </row>
    <row r="173" spans="1:24" x14ac:dyDescent="0.25">
      <c r="A173" s="1">
        <v>46043</v>
      </c>
      <c r="B173" t="s">
        <v>405</v>
      </c>
      <c r="C173" t="s">
        <v>406</v>
      </c>
      <c r="D173" t="s">
        <v>414</v>
      </c>
      <c r="E173" t="s">
        <v>415</v>
      </c>
      <c r="F173" t="s">
        <v>27</v>
      </c>
      <c r="G173" t="s">
        <v>280</v>
      </c>
      <c r="H173" t="s">
        <v>29</v>
      </c>
      <c r="I173" t="s">
        <v>413</v>
      </c>
      <c r="J173" t="s">
        <v>353</v>
      </c>
      <c r="L173" s="1">
        <v>46023</v>
      </c>
      <c r="M173" s="1">
        <v>40909</v>
      </c>
      <c r="N173" s="1">
        <v>46022</v>
      </c>
      <c r="O173">
        <v>17886092</v>
      </c>
      <c r="P173" t="s">
        <v>32</v>
      </c>
      <c r="Q173" t="s">
        <v>88</v>
      </c>
      <c r="R173">
        <v>8192</v>
      </c>
      <c r="S173" t="s">
        <v>279</v>
      </c>
      <c r="T173" t="s">
        <v>35</v>
      </c>
      <c r="U173">
        <v>-1.25</v>
      </c>
      <c r="V173" t="s">
        <v>38</v>
      </c>
      <c r="W173" s="1">
        <v>45689</v>
      </c>
      <c r="X173">
        <v>2026</v>
      </c>
    </row>
    <row r="174" spans="1:24" x14ac:dyDescent="0.25">
      <c r="A174" s="1">
        <v>46043</v>
      </c>
      <c r="B174" t="s">
        <v>416</v>
      </c>
      <c r="C174" t="s">
        <v>417</v>
      </c>
      <c r="E174" t="s">
        <v>418</v>
      </c>
      <c r="F174" t="s">
        <v>42</v>
      </c>
      <c r="G174" t="s">
        <v>28</v>
      </c>
      <c r="H174" t="s">
        <v>29</v>
      </c>
      <c r="I174" t="s">
        <v>55</v>
      </c>
      <c r="J174" t="s">
        <v>56</v>
      </c>
      <c r="L174" s="1">
        <v>46023</v>
      </c>
      <c r="M174" s="1">
        <v>46023</v>
      </c>
      <c r="O174">
        <v>7470776</v>
      </c>
      <c r="P174" t="s">
        <v>32</v>
      </c>
      <c r="Q174" t="s">
        <v>419</v>
      </c>
      <c r="R174">
        <v>8192</v>
      </c>
      <c r="S174" t="s">
        <v>34</v>
      </c>
      <c r="T174" t="s">
        <v>35</v>
      </c>
      <c r="U174">
        <v>844</v>
      </c>
      <c r="V174" t="s">
        <v>36</v>
      </c>
      <c r="W174" s="1">
        <v>45981</v>
      </c>
      <c r="X174">
        <v>2026</v>
      </c>
    </row>
    <row r="175" spans="1:24" x14ac:dyDescent="0.25">
      <c r="A175" s="1">
        <v>46043</v>
      </c>
      <c r="B175" t="s">
        <v>416</v>
      </c>
      <c r="C175" t="s">
        <v>417</v>
      </c>
      <c r="E175" t="s">
        <v>418</v>
      </c>
      <c r="F175" t="s">
        <v>42</v>
      </c>
      <c r="G175" t="s">
        <v>37</v>
      </c>
      <c r="H175" t="s">
        <v>29</v>
      </c>
      <c r="I175" t="s">
        <v>55</v>
      </c>
      <c r="J175" t="s">
        <v>56</v>
      </c>
      <c r="L175" s="1">
        <v>46023</v>
      </c>
      <c r="M175" s="1">
        <v>46023</v>
      </c>
      <c r="O175">
        <v>7470776</v>
      </c>
      <c r="P175" t="s">
        <v>32</v>
      </c>
      <c r="Q175" t="s">
        <v>419</v>
      </c>
      <c r="R175">
        <v>8192</v>
      </c>
      <c r="S175" t="s">
        <v>34</v>
      </c>
      <c r="T175" t="s">
        <v>35</v>
      </c>
      <c r="U175">
        <v>-497</v>
      </c>
      <c r="V175" t="s">
        <v>38</v>
      </c>
      <c r="W175" s="1">
        <v>45981</v>
      </c>
      <c r="X175">
        <v>2026</v>
      </c>
    </row>
    <row r="176" spans="1:24" x14ac:dyDescent="0.25">
      <c r="A176" s="1">
        <v>46043</v>
      </c>
      <c r="B176" t="s">
        <v>420</v>
      </c>
      <c r="C176" t="s">
        <v>421</v>
      </c>
      <c r="E176" t="s">
        <v>422</v>
      </c>
      <c r="F176" t="s">
        <v>42</v>
      </c>
      <c r="G176" t="s">
        <v>28</v>
      </c>
      <c r="H176" t="s">
        <v>29</v>
      </c>
      <c r="I176" t="s">
        <v>55</v>
      </c>
      <c r="J176" t="s">
        <v>56</v>
      </c>
      <c r="L176" s="1">
        <v>46023</v>
      </c>
      <c r="M176" s="1">
        <v>46023</v>
      </c>
      <c r="O176">
        <v>7470776</v>
      </c>
      <c r="P176" t="s">
        <v>32</v>
      </c>
      <c r="Q176" t="s">
        <v>419</v>
      </c>
      <c r="R176">
        <v>8192</v>
      </c>
      <c r="S176" t="s">
        <v>34</v>
      </c>
      <c r="T176" t="s">
        <v>35</v>
      </c>
      <c r="U176">
        <v>844</v>
      </c>
      <c r="V176" t="s">
        <v>36</v>
      </c>
      <c r="W176" s="1">
        <v>45981</v>
      </c>
      <c r="X176">
        <v>2026</v>
      </c>
    </row>
    <row r="177" spans="1:24" x14ac:dyDescent="0.25">
      <c r="A177" s="1">
        <v>46043</v>
      </c>
      <c r="B177" t="s">
        <v>420</v>
      </c>
      <c r="C177" t="s">
        <v>421</v>
      </c>
      <c r="E177" t="s">
        <v>422</v>
      </c>
      <c r="F177" t="s">
        <v>42</v>
      </c>
      <c r="G177" t="s">
        <v>37</v>
      </c>
      <c r="H177" t="s">
        <v>29</v>
      </c>
      <c r="I177" t="s">
        <v>55</v>
      </c>
      <c r="J177" t="s">
        <v>56</v>
      </c>
      <c r="L177" s="1">
        <v>46023</v>
      </c>
      <c r="M177" s="1">
        <v>46023</v>
      </c>
      <c r="O177">
        <v>7470776</v>
      </c>
      <c r="P177" t="s">
        <v>32</v>
      </c>
      <c r="Q177" t="s">
        <v>419</v>
      </c>
      <c r="R177">
        <v>8192</v>
      </c>
      <c r="S177" t="s">
        <v>34</v>
      </c>
      <c r="T177" t="s">
        <v>35</v>
      </c>
      <c r="U177">
        <v>-497</v>
      </c>
      <c r="V177" t="s">
        <v>38</v>
      </c>
      <c r="W177" s="1">
        <v>45981</v>
      </c>
      <c r="X177">
        <v>2026</v>
      </c>
    </row>
    <row r="178" spans="1:24" x14ac:dyDescent="0.25">
      <c r="A178" s="1">
        <v>46043</v>
      </c>
      <c r="B178" t="s">
        <v>423</v>
      </c>
      <c r="C178" t="s">
        <v>424</v>
      </c>
      <c r="E178" t="s">
        <v>425</v>
      </c>
      <c r="F178" t="s">
        <v>98</v>
      </c>
      <c r="G178" t="s">
        <v>28</v>
      </c>
      <c r="H178" t="s">
        <v>29</v>
      </c>
      <c r="I178" t="s">
        <v>99</v>
      </c>
      <c r="J178" t="s">
        <v>426</v>
      </c>
      <c r="L178" s="1">
        <v>46023</v>
      </c>
      <c r="M178" s="1">
        <v>46023</v>
      </c>
      <c r="O178">
        <v>19491313</v>
      </c>
      <c r="P178" t="s">
        <v>32</v>
      </c>
      <c r="Q178" t="s">
        <v>101</v>
      </c>
      <c r="R178">
        <v>8192</v>
      </c>
      <c r="S178" t="s">
        <v>34</v>
      </c>
      <c r="T178" t="s">
        <v>35</v>
      </c>
      <c r="U178">
        <v>829</v>
      </c>
      <c r="V178" t="s">
        <v>36</v>
      </c>
      <c r="W178" s="1">
        <v>45976</v>
      </c>
      <c r="X178">
        <v>2026</v>
      </c>
    </row>
    <row r="179" spans="1:24" x14ac:dyDescent="0.25">
      <c r="A179" s="1">
        <v>46043</v>
      </c>
      <c r="B179" t="s">
        <v>423</v>
      </c>
      <c r="C179" t="s">
        <v>424</v>
      </c>
      <c r="E179" t="s">
        <v>425</v>
      </c>
      <c r="F179" t="s">
        <v>98</v>
      </c>
      <c r="G179" t="s">
        <v>37</v>
      </c>
      <c r="H179" t="s">
        <v>29</v>
      </c>
      <c r="I179" t="s">
        <v>99</v>
      </c>
      <c r="J179" t="s">
        <v>426</v>
      </c>
      <c r="L179" s="1">
        <v>46023</v>
      </c>
      <c r="M179" s="1">
        <v>46023</v>
      </c>
      <c r="O179">
        <v>19491313</v>
      </c>
      <c r="P179" t="s">
        <v>32</v>
      </c>
      <c r="Q179" t="s">
        <v>101</v>
      </c>
      <c r="R179">
        <v>8192</v>
      </c>
      <c r="S179" t="s">
        <v>34</v>
      </c>
      <c r="T179" t="s">
        <v>35</v>
      </c>
      <c r="U179">
        <v>-482</v>
      </c>
      <c r="V179" t="s">
        <v>38</v>
      </c>
      <c r="W179" s="1">
        <v>45976</v>
      </c>
      <c r="X179">
        <v>2026</v>
      </c>
    </row>
    <row r="180" spans="1:24" x14ac:dyDescent="0.25">
      <c r="A180" s="1">
        <v>46043</v>
      </c>
      <c r="B180" t="s">
        <v>427</v>
      </c>
      <c r="C180" t="s">
        <v>428</v>
      </c>
      <c r="E180" t="s">
        <v>429</v>
      </c>
      <c r="F180" t="s">
        <v>27</v>
      </c>
      <c r="G180" t="s">
        <v>28</v>
      </c>
      <c r="H180" t="s">
        <v>29</v>
      </c>
      <c r="I180" t="s">
        <v>30</v>
      </c>
      <c r="J180" t="s">
        <v>82</v>
      </c>
      <c r="L180" s="1">
        <v>46023</v>
      </c>
      <c r="M180" s="1">
        <v>46023</v>
      </c>
      <c r="O180">
        <v>17886092</v>
      </c>
      <c r="P180" t="s">
        <v>32</v>
      </c>
      <c r="Q180" t="s">
        <v>88</v>
      </c>
      <c r="R180">
        <v>8192</v>
      </c>
      <c r="S180" t="s">
        <v>34</v>
      </c>
      <c r="T180" t="s">
        <v>35</v>
      </c>
      <c r="U180">
        <v>65</v>
      </c>
      <c r="V180" t="s">
        <v>36</v>
      </c>
      <c r="W180" s="1">
        <v>46014</v>
      </c>
      <c r="X180">
        <v>2026</v>
      </c>
    </row>
    <row r="181" spans="1:24" x14ac:dyDescent="0.25">
      <c r="A181" s="1">
        <v>46043</v>
      </c>
      <c r="B181" t="s">
        <v>427</v>
      </c>
      <c r="C181" t="s">
        <v>428</v>
      </c>
      <c r="E181" t="s">
        <v>429</v>
      </c>
      <c r="F181" t="s">
        <v>27</v>
      </c>
      <c r="G181" t="s">
        <v>37</v>
      </c>
      <c r="H181" t="s">
        <v>29</v>
      </c>
      <c r="I181" t="s">
        <v>30</v>
      </c>
      <c r="J181" t="s">
        <v>82</v>
      </c>
      <c r="L181" s="1">
        <v>46023</v>
      </c>
      <c r="M181" s="1">
        <v>46023</v>
      </c>
      <c r="O181">
        <v>17886092</v>
      </c>
      <c r="P181" t="s">
        <v>32</v>
      </c>
      <c r="Q181" t="s">
        <v>88</v>
      </c>
      <c r="R181">
        <v>8192</v>
      </c>
      <c r="S181" t="s">
        <v>34</v>
      </c>
      <c r="T181" t="s">
        <v>35</v>
      </c>
      <c r="U181">
        <v>-65</v>
      </c>
      <c r="V181" t="s">
        <v>38</v>
      </c>
      <c r="W181" s="1">
        <v>46014</v>
      </c>
      <c r="X181">
        <v>2026</v>
      </c>
    </row>
    <row r="182" spans="1:24" x14ac:dyDescent="0.25">
      <c r="A182" s="1">
        <v>46043</v>
      </c>
      <c r="B182" t="s">
        <v>430</v>
      </c>
      <c r="C182" t="s">
        <v>431</v>
      </c>
      <c r="E182" t="s">
        <v>432</v>
      </c>
      <c r="F182" t="s">
        <v>27</v>
      </c>
      <c r="G182" t="s">
        <v>28</v>
      </c>
      <c r="H182" t="s">
        <v>29</v>
      </c>
      <c r="I182" t="s">
        <v>30</v>
      </c>
      <c r="J182" t="s">
        <v>433</v>
      </c>
      <c r="L182" s="1">
        <v>46054</v>
      </c>
      <c r="M182" s="1">
        <v>46054</v>
      </c>
      <c r="O182">
        <v>8307933</v>
      </c>
      <c r="P182" t="s">
        <v>32</v>
      </c>
      <c r="Q182" t="s">
        <v>111</v>
      </c>
      <c r="R182">
        <v>8192</v>
      </c>
      <c r="S182" t="s">
        <v>34</v>
      </c>
      <c r="T182" t="s">
        <v>35</v>
      </c>
      <c r="U182">
        <v>931</v>
      </c>
      <c r="V182" t="s">
        <v>36</v>
      </c>
      <c r="W182" s="1">
        <v>45975</v>
      </c>
      <c r="X182">
        <v>2026</v>
      </c>
    </row>
    <row r="183" spans="1:24" x14ac:dyDescent="0.25">
      <c r="A183" s="1">
        <v>46043</v>
      </c>
      <c r="B183" t="s">
        <v>430</v>
      </c>
      <c r="C183" t="s">
        <v>431</v>
      </c>
      <c r="E183" t="s">
        <v>432</v>
      </c>
      <c r="F183" t="s">
        <v>27</v>
      </c>
      <c r="G183" t="s">
        <v>37</v>
      </c>
      <c r="H183" t="s">
        <v>29</v>
      </c>
      <c r="I183" t="s">
        <v>30</v>
      </c>
      <c r="J183" t="s">
        <v>433</v>
      </c>
      <c r="L183" s="1">
        <v>46054</v>
      </c>
      <c r="M183" s="1">
        <v>46054</v>
      </c>
      <c r="O183">
        <v>8307933</v>
      </c>
      <c r="P183" t="s">
        <v>32</v>
      </c>
      <c r="Q183" t="s">
        <v>111</v>
      </c>
      <c r="R183">
        <v>8192</v>
      </c>
      <c r="S183" t="s">
        <v>34</v>
      </c>
      <c r="T183" t="s">
        <v>35</v>
      </c>
      <c r="U183">
        <v>-495.92</v>
      </c>
      <c r="V183" t="s">
        <v>38</v>
      </c>
      <c r="W183" s="1">
        <v>45975</v>
      </c>
      <c r="X183">
        <v>2026</v>
      </c>
    </row>
    <row r="184" spans="1:24" x14ac:dyDescent="0.25">
      <c r="A184" s="1">
        <v>46043</v>
      </c>
      <c r="B184" t="s">
        <v>434</v>
      </c>
      <c r="C184" t="s">
        <v>435</v>
      </c>
      <c r="E184" t="s">
        <v>436</v>
      </c>
      <c r="F184" t="s">
        <v>27</v>
      </c>
      <c r="G184" t="s">
        <v>49</v>
      </c>
      <c r="H184" t="s">
        <v>29</v>
      </c>
      <c r="I184" t="s">
        <v>30</v>
      </c>
      <c r="J184" t="s">
        <v>293</v>
      </c>
      <c r="L184" s="1">
        <v>46023</v>
      </c>
      <c r="M184" s="1">
        <v>46023</v>
      </c>
      <c r="O184">
        <v>17528908</v>
      </c>
      <c r="P184" t="s">
        <v>32</v>
      </c>
      <c r="Q184" t="s">
        <v>33</v>
      </c>
      <c r="R184">
        <v>8192</v>
      </c>
      <c r="S184" t="s">
        <v>34</v>
      </c>
      <c r="T184" t="s">
        <v>35</v>
      </c>
      <c r="U184">
        <v>931</v>
      </c>
      <c r="V184" t="s">
        <v>36</v>
      </c>
      <c r="W184" s="1">
        <v>45995</v>
      </c>
      <c r="X184">
        <v>2026</v>
      </c>
    </row>
    <row r="185" spans="1:24" x14ac:dyDescent="0.25">
      <c r="A185" s="1">
        <v>46043</v>
      </c>
      <c r="B185" t="s">
        <v>434</v>
      </c>
      <c r="C185" t="s">
        <v>435</v>
      </c>
      <c r="E185" t="s">
        <v>436</v>
      </c>
      <c r="F185" t="s">
        <v>27</v>
      </c>
      <c r="G185" t="s">
        <v>37</v>
      </c>
      <c r="H185" t="s">
        <v>29</v>
      </c>
      <c r="I185" t="s">
        <v>30</v>
      </c>
      <c r="J185" t="s">
        <v>293</v>
      </c>
      <c r="L185" s="1">
        <v>46023</v>
      </c>
      <c r="M185" s="1">
        <v>46023</v>
      </c>
      <c r="O185">
        <v>17528908</v>
      </c>
      <c r="P185" t="s">
        <v>32</v>
      </c>
      <c r="Q185" t="s">
        <v>33</v>
      </c>
      <c r="R185">
        <v>8192</v>
      </c>
      <c r="S185" t="s">
        <v>34</v>
      </c>
      <c r="T185" t="s">
        <v>35</v>
      </c>
      <c r="U185">
        <v>-541</v>
      </c>
      <c r="V185" t="s">
        <v>38</v>
      </c>
      <c r="W185" s="1">
        <v>45995</v>
      </c>
      <c r="X185">
        <v>2026</v>
      </c>
    </row>
    <row r="186" spans="1:24" x14ac:dyDescent="0.25">
      <c r="A186" s="1">
        <v>46043</v>
      </c>
      <c r="B186" t="s">
        <v>437</v>
      </c>
      <c r="C186" t="s">
        <v>438</v>
      </c>
      <c r="E186" t="s">
        <v>439</v>
      </c>
      <c r="F186" t="s">
        <v>42</v>
      </c>
      <c r="G186" t="s">
        <v>49</v>
      </c>
      <c r="H186" t="s">
        <v>29</v>
      </c>
      <c r="I186" t="s">
        <v>55</v>
      </c>
      <c r="J186" t="s">
        <v>56</v>
      </c>
      <c r="L186" s="1">
        <v>46023</v>
      </c>
      <c r="M186" s="1">
        <v>46023</v>
      </c>
      <c r="O186">
        <v>7565575</v>
      </c>
      <c r="P186" t="s">
        <v>32</v>
      </c>
      <c r="Q186" t="s">
        <v>440</v>
      </c>
      <c r="R186">
        <v>8192</v>
      </c>
      <c r="S186" t="s">
        <v>34</v>
      </c>
      <c r="T186" t="s">
        <v>35</v>
      </c>
      <c r="U186">
        <v>829</v>
      </c>
      <c r="V186" t="s">
        <v>36</v>
      </c>
      <c r="W186" s="1">
        <v>45967</v>
      </c>
      <c r="X186">
        <v>2026</v>
      </c>
    </row>
    <row r="187" spans="1:24" x14ac:dyDescent="0.25">
      <c r="A187" s="1">
        <v>46043</v>
      </c>
      <c r="B187" t="s">
        <v>437</v>
      </c>
      <c r="C187" t="s">
        <v>438</v>
      </c>
      <c r="E187" t="s">
        <v>439</v>
      </c>
      <c r="F187" t="s">
        <v>42</v>
      </c>
      <c r="G187" t="s">
        <v>37</v>
      </c>
      <c r="H187" t="s">
        <v>29</v>
      </c>
      <c r="I187" t="s">
        <v>55</v>
      </c>
      <c r="J187" t="s">
        <v>56</v>
      </c>
      <c r="L187" s="1">
        <v>46023</v>
      </c>
      <c r="M187" s="1">
        <v>46023</v>
      </c>
      <c r="O187">
        <v>7565575</v>
      </c>
      <c r="P187" t="s">
        <v>32</v>
      </c>
      <c r="Q187" t="s">
        <v>440</v>
      </c>
      <c r="R187">
        <v>8192</v>
      </c>
      <c r="S187" t="s">
        <v>34</v>
      </c>
      <c r="T187" t="s">
        <v>35</v>
      </c>
      <c r="U187">
        <v>-482</v>
      </c>
      <c r="V187" t="s">
        <v>38</v>
      </c>
      <c r="W187" s="1">
        <v>45967</v>
      </c>
      <c r="X187">
        <v>2026</v>
      </c>
    </row>
    <row r="188" spans="1:24" x14ac:dyDescent="0.25">
      <c r="A188" s="1">
        <v>46043</v>
      </c>
      <c r="B188" t="s">
        <v>441</v>
      </c>
      <c r="C188" t="s">
        <v>442</v>
      </c>
      <c r="E188" t="s">
        <v>443</v>
      </c>
      <c r="F188" t="s">
        <v>27</v>
      </c>
      <c r="G188" t="s">
        <v>49</v>
      </c>
      <c r="H188" t="s">
        <v>29</v>
      </c>
      <c r="I188" t="s">
        <v>30</v>
      </c>
      <c r="J188" t="s">
        <v>353</v>
      </c>
      <c r="L188" s="1">
        <v>46023</v>
      </c>
      <c r="M188" s="1">
        <v>46023</v>
      </c>
      <c r="O188">
        <v>17886092</v>
      </c>
      <c r="P188" t="s">
        <v>32</v>
      </c>
      <c r="Q188" t="s">
        <v>88</v>
      </c>
      <c r="R188">
        <v>8192</v>
      </c>
      <c r="S188" t="s">
        <v>34</v>
      </c>
      <c r="T188" t="s">
        <v>35</v>
      </c>
      <c r="U188">
        <v>65</v>
      </c>
      <c r="V188" t="s">
        <v>36</v>
      </c>
      <c r="W188" s="1">
        <v>45974</v>
      </c>
      <c r="X188">
        <v>2026</v>
      </c>
    </row>
    <row r="189" spans="1:24" x14ac:dyDescent="0.25">
      <c r="A189" s="1">
        <v>46043</v>
      </c>
      <c r="B189" t="s">
        <v>441</v>
      </c>
      <c r="C189" t="s">
        <v>442</v>
      </c>
      <c r="E189" t="s">
        <v>443</v>
      </c>
      <c r="F189" t="s">
        <v>27</v>
      </c>
      <c r="G189" t="s">
        <v>37</v>
      </c>
      <c r="H189" t="s">
        <v>29</v>
      </c>
      <c r="I189" t="s">
        <v>30</v>
      </c>
      <c r="J189" t="s">
        <v>353</v>
      </c>
      <c r="L189" s="1">
        <v>46023</v>
      </c>
      <c r="M189" s="1">
        <v>46023</v>
      </c>
      <c r="O189">
        <v>17886092</v>
      </c>
      <c r="P189" t="s">
        <v>32</v>
      </c>
      <c r="Q189" t="s">
        <v>88</v>
      </c>
      <c r="R189">
        <v>8192</v>
      </c>
      <c r="S189" t="s">
        <v>34</v>
      </c>
      <c r="T189" t="s">
        <v>35</v>
      </c>
      <c r="U189">
        <v>-65</v>
      </c>
      <c r="V189" t="s">
        <v>38</v>
      </c>
      <c r="W189" s="1">
        <v>45974</v>
      </c>
      <c r="X189">
        <v>2026</v>
      </c>
    </row>
    <row r="190" spans="1:24" x14ac:dyDescent="0.25">
      <c r="A190" s="1">
        <v>46043</v>
      </c>
      <c r="B190" t="s">
        <v>444</v>
      </c>
      <c r="C190" t="s">
        <v>445</v>
      </c>
      <c r="E190" t="s">
        <v>446</v>
      </c>
      <c r="F190" t="s">
        <v>27</v>
      </c>
      <c r="G190" t="s">
        <v>28</v>
      </c>
      <c r="H190" t="s">
        <v>29</v>
      </c>
      <c r="I190" t="s">
        <v>30</v>
      </c>
      <c r="J190" t="s">
        <v>447</v>
      </c>
      <c r="L190" s="1">
        <v>46054</v>
      </c>
      <c r="M190" s="1">
        <v>46054</v>
      </c>
      <c r="O190">
        <v>17886092</v>
      </c>
      <c r="P190" t="s">
        <v>32</v>
      </c>
      <c r="Q190" t="s">
        <v>88</v>
      </c>
      <c r="R190">
        <v>8192</v>
      </c>
      <c r="S190" t="s">
        <v>34</v>
      </c>
      <c r="T190" t="s">
        <v>35</v>
      </c>
      <c r="U190">
        <v>65</v>
      </c>
      <c r="V190" t="s">
        <v>36</v>
      </c>
      <c r="W190" s="1">
        <v>45994</v>
      </c>
      <c r="X190">
        <v>2026</v>
      </c>
    </row>
    <row r="191" spans="1:24" x14ac:dyDescent="0.25">
      <c r="A191" s="1">
        <v>46043</v>
      </c>
      <c r="B191" t="s">
        <v>444</v>
      </c>
      <c r="C191" t="s">
        <v>445</v>
      </c>
      <c r="E191" t="s">
        <v>446</v>
      </c>
      <c r="F191" t="s">
        <v>27</v>
      </c>
      <c r="G191" t="s">
        <v>37</v>
      </c>
      <c r="H191" t="s">
        <v>29</v>
      </c>
      <c r="I191" t="s">
        <v>30</v>
      </c>
      <c r="J191" t="s">
        <v>447</v>
      </c>
      <c r="L191" s="1">
        <v>46054</v>
      </c>
      <c r="M191" s="1">
        <v>46054</v>
      </c>
      <c r="O191">
        <v>17886092</v>
      </c>
      <c r="P191" t="s">
        <v>32</v>
      </c>
      <c r="Q191" t="s">
        <v>88</v>
      </c>
      <c r="R191">
        <v>8192</v>
      </c>
      <c r="S191" t="s">
        <v>34</v>
      </c>
      <c r="T191" t="s">
        <v>35</v>
      </c>
      <c r="U191">
        <v>-59.59</v>
      </c>
      <c r="V191" t="s">
        <v>38</v>
      </c>
      <c r="W191" s="1">
        <v>45994</v>
      </c>
      <c r="X191">
        <v>2026</v>
      </c>
    </row>
    <row r="192" spans="1:24" x14ac:dyDescent="0.25">
      <c r="A192" s="1">
        <v>46043</v>
      </c>
      <c r="B192" t="s">
        <v>448</v>
      </c>
      <c r="C192" t="s">
        <v>449</v>
      </c>
      <c r="E192" t="s">
        <v>450</v>
      </c>
      <c r="F192" t="s">
        <v>42</v>
      </c>
      <c r="G192" t="s">
        <v>28</v>
      </c>
      <c r="H192" t="s">
        <v>29</v>
      </c>
      <c r="I192" t="s">
        <v>55</v>
      </c>
      <c r="J192" t="s">
        <v>192</v>
      </c>
      <c r="L192" s="1">
        <v>46023</v>
      </c>
      <c r="M192" s="1">
        <v>46023</v>
      </c>
      <c r="O192">
        <v>8405446</v>
      </c>
      <c r="P192" t="s">
        <v>32</v>
      </c>
      <c r="Q192" t="s">
        <v>162</v>
      </c>
      <c r="R192">
        <v>8192</v>
      </c>
      <c r="S192" t="s">
        <v>34</v>
      </c>
      <c r="T192" t="s">
        <v>35</v>
      </c>
      <c r="U192">
        <v>844</v>
      </c>
      <c r="V192" t="s">
        <v>36</v>
      </c>
      <c r="W192" s="1">
        <v>45995</v>
      </c>
      <c r="X192">
        <v>2026</v>
      </c>
    </row>
    <row r="193" spans="1:24" x14ac:dyDescent="0.25">
      <c r="A193" s="1">
        <v>46043</v>
      </c>
      <c r="B193" t="s">
        <v>448</v>
      </c>
      <c r="C193" t="s">
        <v>449</v>
      </c>
      <c r="E193" t="s">
        <v>450</v>
      </c>
      <c r="F193" t="s">
        <v>42</v>
      </c>
      <c r="G193" t="s">
        <v>37</v>
      </c>
      <c r="H193" t="s">
        <v>29</v>
      </c>
      <c r="I193" t="s">
        <v>55</v>
      </c>
      <c r="J193" t="s">
        <v>192</v>
      </c>
      <c r="L193" s="1">
        <v>46023</v>
      </c>
      <c r="M193" s="1">
        <v>46023</v>
      </c>
      <c r="O193">
        <v>8405446</v>
      </c>
      <c r="P193" t="s">
        <v>32</v>
      </c>
      <c r="Q193" t="s">
        <v>162</v>
      </c>
      <c r="R193">
        <v>8192</v>
      </c>
      <c r="S193" t="s">
        <v>34</v>
      </c>
      <c r="T193" t="s">
        <v>35</v>
      </c>
      <c r="U193">
        <v>-497</v>
      </c>
      <c r="V193" t="s">
        <v>38</v>
      </c>
      <c r="W193" s="1">
        <v>45995</v>
      </c>
      <c r="X193">
        <v>2026</v>
      </c>
    </row>
    <row r="194" spans="1:24" x14ac:dyDescent="0.25">
      <c r="A194" s="1">
        <v>46043</v>
      </c>
      <c r="B194" t="s">
        <v>451</v>
      </c>
      <c r="C194" t="s">
        <v>452</v>
      </c>
      <c r="E194" t="s">
        <v>453</v>
      </c>
      <c r="F194" t="s">
        <v>42</v>
      </c>
      <c r="G194" t="s">
        <v>49</v>
      </c>
      <c r="H194" t="s">
        <v>29</v>
      </c>
      <c r="I194" t="s">
        <v>43</v>
      </c>
      <c r="J194" t="s">
        <v>50</v>
      </c>
      <c r="L194" s="1">
        <v>46023</v>
      </c>
      <c r="M194" s="1">
        <v>46023</v>
      </c>
      <c r="O194">
        <v>8244481</v>
      </c>
      <c r="P194" t="s">
        <v>32</v>
      </c>
      <c r="Q194" t="s">
        <v>45</v>
      </c>
      <c r="R194">
        <v>8192</v>
      </c>
      <c r="S194" t="s">
        <v>34</v>
      </c>
      <c r="T194" t="s">
        <v>35</v>
      </c>
      <c r="U194">
        <v>844</v>
      </c>
      <c r="V194" t="s">
        <v>36</v>
      </c>
      <c r="W194" s="1">
        <v>45992</v>
      </c>
      <c r="X194">
        <v>2026</v>
      </c>
    </row>
    <row r="195" spans="1:24" x14ac:dyDescent="0.25">
      <c r="A195" s="1">
        <v>46043</v>
      </c>
      <c r="B195" t="s">
        <v>451</v>
      </c>
      <c r="C195" t="s">
        <v>452</v>
      </c>
      <c r="E195" t="s">
        <v>453</v>
      </c>
      <c r="F195" t="s">
        <v>42</v>
      </c>
      <c r="G195" t="s">
        <v>37</v>
      </c>
      <c r="H195" t="s">
        <v>29</v>
      </c>
      <c r="I195" t="s">
        <v>43</v>
      </c>
      <c r="J195" t="s">
        <v>50</v>
      </c>
      <c r="L195" s="1">
        <v>46023</v>
      </c>
      <c r="M195" s="1">
        <v>46023</v>
      </c>
      <c r="O195">
        <v>8244481</v>
      </c>
      <c r="P195" t="s">
        <v>32</v>
      </c>
      <c r="Q195" t="s">
        <v>45</v>
      </c>
      <c r="R195">
        <v>8192</v>
      </c>
      <c r="S195" t="s">
        <v>34</v>
      </c>
      <c r="T195" t="s">
        <v>35</v>
      </c>
      <c r="U195">
        <v>-497</v>
      </c>
      <c r="V195" t="s">
        <v>38</v>
      </c>
      <c r="W195" s="1">
        <v>45992</v>
      </c>
      <c r="X195">
        <v>2026</v>
      </c>
    </row>
    <row r="196" spans="1:24" x14ac:dyDescent="0.25">
      <c r="A196" s="1">
        <v>46043</v>
      </c>
      <c r="B196" t="s">
        <v>454</v>
      </c>
      <c r="C196" t="s">
        <v>455</v>
      </c>
      <c r="E196" t="s">
        <v>456</v>
      </c>
      <c r="F196" t="s">
        <v>42</v>
      </c>
      <c r="G196" t="s">
        <v>28</v>
      </c>
      <c r="H196" t="s">
        <v>29</v>
      </c>
      <c r="I196" t="s">
        <v>43</v>
      </c>
      <c r="J196" t="s">
        <v>44</v>
      </c>
      <c r="L196" s="1">
        <v>46023</v>
      </c>
      <c r="M196" s="1">
        <v>46023</v>
      </c>
      <c r="O196">
        <v>21435997</v>
      </c>
      <c r="P196" t="s">
        <v>32</v>
      </c>
      <c r="Q196" t="s">
        <v>78</v>
      </c>
      <c r="R196">
        <v>8192</v>
      </c>
      <c r="S196" t="s">
        <v>34</v>
      </c>
      <c r="T196" t="s">
        <v>35</v>
      </c>
      <c r="U196">
        <v>844</v>
      </c>
      <c r="V196" t="s">
        <v>36</v>
      </c>
      <c r="W196" s="1">
        <v>45997</v>
      </c>
      <c r="X196">
        <v>2026</v>
      </c>
    </row>
    <row r="197" spans="1:24" x14ac:dyDescent="0.25">
      <c r="A197" s="1">
        <v>46043</v>
      </c>
      <c r="B197" t="s">
        <v>454</v>
      </c>
      <c r="C197" t="s">
        <v>455</v>
      </c>
      <c r="E197" t="s">
        <v>456</v>
      </c>
      <c r="F197" t="s">
        <v>42</v>
      </c>
      <c r="G197" t="s">
        <v>37</v>
      </c>
      <c r="H197" t="s">
        <v>29</v>
      </c>
      <c r="I197" t="s">
        <v>43</v>
      </c>
      <c r="J197" t="s">
        <v>44</v>
      </c>
      <c r="L197" s="1">
        <v>46023</v>
      </c>
      <c r="M197" s="1">
        <v>46023</v>
      </c>
      <c r="O197">
        <v>21435997</v>
      </c>
      <c r="P197" t="s">
        <v>32</v>
      </c>
      <c r="Q197" t="s">
        <v>78</v>
      </c>
      <c r="R197">
        <v>8192</v>
      </c>
      <c r="S197" t="s">
        <v>34</v>
      </c>
      <c r="T197" t="s">
        <v>35</v>
      </c>
      <c r="U197">
        <v>-497</v>
      </c>
      <c r="V197" t="s">
        <v>38</v>
      </c>
      <c r="W197" s="1">
        <v>45997</v>
      </c>
      <c r="X197">
        <v>2026</v>
      </c>
    </row>
    <row r="198" spans="1:24" x14ac:dyDescent="0.25">
      <c r="A198" s="1">
        <v>46043</v>
      </c>
      <c r="B198" t="s">
        <v>457</v>
      </c>
      <c r="C198" t="s">
        <v>458</v>
      </c>
      <c r="E198" t="s">
        <v>459</v>
      </c>
      <c r="F198" t="s">
        <v>27</v>
      </c>
      <c r="G198" t="s">
        <v>49</v>
      </c>
      <c r="H198" t="s">
        <v>29</v>
      </c>
      <c r="I198" t="s">
        <v>30</v>
      </c>
      <c r="J198" t="s">
        <v>293</v>
      </c>
      <c r="L198" s="1">
        <v>46023</v>
      </c>
      <c r="M198" s="1">
        <v>46023</v>
      </c>
      <c r="O198">
        <v>17886092</v>
      </c>
      <c r="P198" t="s">
        <v>32</v>
      </c>
      <c r="Q198" t="s">
        <v>88</v>
      </c>
      <c r="R198">
        <v>8192</v>
      </c>
      <c r="S198" t="s">
        <v>34</v>
      </c>
      <c r="T198" t="s">
        <v>35</v>
      </c>
      <c r="U198">
        <v>65</v>
      </c>
      <c r="V198" t="s">
        <v>36</v>
      </c>
      <c r="W198" s="1">
        <v>45985</v>
      </c>
      <c r="X198">
        <v>2026</v>
      </c>
    </row>
    <row r="199" spans="1:24" x14ac:dyDescent="0.25">
      <c r="A199" s="1">
        <v>46043</v>
      </c>
      <c r="B199" t="s">
        <v>457</v>
      </c>
      <c r="C199" t="s">
        <v>458</v>
      </c>
      <c r="E199" t="s">
        <v>459</v>
      </c>
      <c r="F199" t="s">
        <v>27</v>
      </c>
      <c r="G199" t="s">
        <v>37</v>
      </c>
      <c r="H199" t="s">
        <v>29</v>
      </c>
      <c r="I199" t="s">
        <v>30</v>
      </c>
      <c r="J199" t="s">
        <v>293</v>
      </c>
      <c r="L199" s="1">
        <v>46023</v>
      </c>
      <c r="M199" s="1">
        <v>46023</v>
      </c>
      <c r="O199">
        <v>17886092</v>
      </c>
      <c r="P199" t="s">
        <v>32</v>
      </c>
      <c r="Q199" t="s">
        <v>88</v>
      </c>
      <c r="R199">
        <v>8192</v>
      </c>
      <c r="S199" t="s">
        <v>34</v>
      </c>
      <c r="T199" t="s">
        <v>35</v>
      </c>
      <c r="U199">
        <v>-65</v>
      </c>
      <c r="V199" t="s">
        <v>38</v>
      </c>
      <c r="W199" s="1">
        <v>45985</v>
      </c>
      <c r="X199">
        <v>2026</v>
      </c>
    </row>
    <row r="200" spans="1:24" x14ac:dyDescent="0.25">
      <c r="A200" s="1">
        <v>46043</v>
      </c>
      <c r="B200" t="s">
        <v>460</v>
      </c>
      <c r="C200" t="s">
        <v>461</v>
      </c>
      <c r="E200" t="s">
        <v>462</v>
      </c>
      <c r="F200" t="s">
        <v>42</v>
      </c>
      <c r="G200" t="s">
        <v>49</v>
      </c>
      <c r="H200" t="s">
        <v>29</v>
      </c>
      <c r="I200" t="s">
        <v>55</v>
      </c>
      <c r="J200" t="s">
        <v>56</v>
      </c>
      <c r="L200" s="1">
        <v>46023</v>
      </c>
      <c r="M200" s="1">
        <v>46023</v>
      </c>
      <c r="O200">
        <v>17143996</v>
      </c>
      <c r="P200" t="s">
        <v>32</v>
      </c>
      <c r="Q200" t="s">
        <v>463</v>
      </c>
      <c r="R200">
        <v>8192</v>
      </c>
      <c r="S200" t="s">
        <v>34</v>
      </c>
      <c r="T200" t="s">
        <v>35</v>
      </c>
      <c r="U200">
        <v>829</v>
      </c>
      <c r="V200" t="s">
        <v>36</v>
      </c>
      <c r="W200" s="1">
        <v>45964</v>
      </c>
      <c r="X200">
        <v>2026</v>
      </c>
    </row>
    <row r="201" spans="1:24" x14ac:dyDescent="0.25">
      <c r="A201" s="1">
        <v>46043</v>
      </c>
      <c r="B201" t="s">
        <v>460</v>
      </c>
      <c r="C201" t="s">
        <v>461</v>
      </c>
      <c r="E201" t="s">
        <v>462</v>
      </c>
      <c r="F201" t="s">
        <v>42</v>
      </c>
      <c r="G201" t="s">
        <v>37</v>
      </c>
      <c r="H201" t="s">
        <v>29</v>
      </c>
      <c r="I201" t="s">
        <v>55</v>
      </c>
      <c r="J201" t="s">
        <v>56</v>
      </c>
      <c r="L201" s="1">
        <v>46023</v>
      </c>
      <c r="M201" s="1">
        <v>46023</v>
      </c>
      <c r="O201">
        <v>17143996</v>
      </c>
      <c r="P201" t="s">
        <v>32</v>
      </c>
      <c r="Q201" t="s">
        <v>463</v>
      </c>
      <c r="R201">
        <v>8192</v>
      </c>
      <c r="S201" t="s">
        <v>34</v>
      </c>
      <c r="T201" t="s">
        <v>35</v>
      </c>
      <c r="U201">
        <v>-482</v>
      </c>
      <c r="V201" t="s">
        <v>38</v>
      </c>
      <c r="W201" s="1">
        <v>45964</v>
      </c>
      <c r="X201">
        <v>2026</v>
      </c>
    </row>
    <row r="202" spans="1:24" x14ac:dyDescent="0.25">
      <c r="A202" s="1">
        <v>46043</v>
      </c>
      <c r="B202" t="s">
        <v>464</v>
      </c>
      <c r="C202" t="s">
        <v>465</v>
      </c>
      <c r="E202" t="s">
        <v>466</v>
      </c>
      <c r="F202" t="s">
        <v>42</v>
      </c>
      <c r="G202" t="s">
        <v>49</v>
      </c>
      <c r="H202" t="s">
        <v>29</v>
      </c>
      <c r="I202" t="s">
        <v>55</v>
      </c>
      <c r="J202" t="s">
        <v>56</v>
      </c>
      <c r="L202" s="1">
        <v>46023</v>
      </c>
      <c r="M202" s="1">
        <v>46023</v>
      </c>
      <c r="O202">
        <v>17143996</v>
      </c>
      <c r="P202" t="s">
        <v>32</v>
      </c>
      <c r="Q202" t="s">
        <v>463</v>
      </c>
      <c r="R202">
        <v>8192</v>
      </c>
      <c r="S202" t="s">
        <v>34</v>
      </c>
      <c r="T202" t="s">
        <v>35</v>
      </c>
      <c r="U202">
        <v>829</v>
      </c>
      <c r="V202" t="s">
        <v>36</v>
      </c>
      <c r="W202" s="1">
        <v>45964</v>
      </c>
      <c r="X202">
        <v>2026</v>
      </c>
    </row>
    <row r="203" spans="1:24" x14ac:dyDescent="0.25">
      <c r="A203" s="1">
        <v>46043</v>
      </c>
      <c r="B203" t="s">
        <v>464</v>
      </c>
      <c r="C203" t="s">
        <v>465</v>
      </c>
      <c r="E203" t="s">
        <v>466</v>
      </c>
      <c r="F203" t="s">
        <v>42</v>
      </c>
      <c r="G203" t="s">
        <v>37</v>
      </c>
      <c r="H203" t="s">
        <v>29</v>
      </c>
      <c r="I203" t="s">
        <v>55</v>
      </c>
      <c r="J203" t="s">
        <v>56</v>
      </c>
      <c r="L203" s="1">
        <v>46023</v>
      </c>
      <c r="M203" s="1">
        <v>46023</v>
      </c>
      <c r="O203">
        <v>17143996</v>
      </c>
      <c r="P203" t="s">
        <v>32</v>
      </c>
      <c r="Q203" t="s">
        <v>463</v>
      </c>
      <c r="R203">
        <v>8192</v>
      </c>
      <c r="S203" t="s">
        <v>34</v>
      </c>
      <c r="T203" t="s">
        <v>35</v>
      </c>
      <c r="U203">
        <v>-482</v>
      </c>
      <c r="V203" t="s">
        <v>38</v>
      </c>
      <c r="W203" s="1">
        <v>45964</v>
      </c>
      <c r="X203">
        <v>2026</v>
      </c>
    </row>
    <row r="204" spans="1:24" x14ac:dyDescent="0.25">
      <c r="A204" s="1">
        <v>46043</v>
      </c>
      <c r="B204" t="s">
        <v>467</v>
      </c>
      <c r="C204" t="s">
        <v>468</v>
      </c>
      <c r="E204" t="s">
        <v>469</v>
      </c>
      <c r="F204" t="s">
        <v>27</v>
      </c>
      <c r="G204" t="s">
        <v>115</v>
      </c>
      <c r="H204" t="s">
        <v>29</v>
      </c>
      <c r="I204" t="s">
        <v>30</v>
      </c>
      <c r="J204" t="s">
        <v>64</v>
      </c>
      <c r="L204" s="1">
        <v>46082</v>
      </c>
      <c r="M204" s="1">
        <v>46082</v>
      </c>
      <c r="O204">
        <v>18710070</v>
      </c>
      <c r="P204" t="s">
        <v>32</v>
      </c>
      <c r="Q204" t="s">
        <v>470</v>
      </c>
      <c r="R204">
        <v>8192</v>
      </c>
      <c r="S204" t="s">
        <v>34</v>
      </c>
      <c r="T204" t="s">
        <v>35</v>
      </c>
      <c r="U204">
        <v>450.83</v>
      </c>
      <c r="V204" t="s">
        <v>38</v>
      </c>
      <c r="W204" s="1">
        <v>46027</v>
      </c>
      <c r="X204">
        <v>2026</v>
      </c>
    </row>
    <row r="205" spans="1:24" x14ac:dyDescent="0.25">
      <c r="A205" s="1">
        <v>46043</v>
      </c>
      <c r="B205" t="s">
        <v>471</v>
      </c>
      <c r="C205" t="s">
        <v>472</v>
      </c>
      <c r="E205" t="s">
        <v>473</v>
      </c>
      <c r="F205" t="s">
        <v>27</v>
      </c>
      <c r="G205" t="s">
        <v>28</v>
      </c>
      <c r="H205" t="s">
        <v>29</v>
      </c>
      <c r="I205" t="s">
        <v>30</v>
      </c>
      <c r="J205" t="s">
        <v>64</v>
      </c>
      <c r="L205" s="1">
        <v>46023</v>
      </c>
      <c r="M205" s="1">
        <v>46023</v>
      </c>
      <c r="O205">
        <v>17528908</v>
      </c>
      <c r="P205" t="s">
        <v>32</v>
      </c>
      <c r="Q205" t="s">
        <v>33</v>
      </c>
      <c r="R205">
        <v>8192</v>
      </c>
      <c r="S205" t="s">
        <v>34</v>
      </c>
      <c r="T205" t="s">
        <v>35</v>
      </c>
      <c r="U205">
        <v>931</v>
      </c>
      <c r="V205" t="s">
        <v>36</v>
      </c>
      <c r="W205" s="1">
        <v>46008</v>
      </c>
      <c r="X205">
        <v>2026</v>
      </c>
    </row>
    <row r="206" spans="1:24" x14ac:dyDescent="0.25">
      <c r="A206" s="1">
        <v>46043</v>
      </c>
      <c r="B206" t="s">
        <v>471</v>
      </c>
      <c r="C206" t="s">
        <v>472</v>
      </c>
      <c r="E206" t="s">
        <v>473</v>
      </c>
      <c r="F206" t="s">
        <v>27</v>
      </c>
      <c r="G206" t="s">
        <v>37</v>
      </c>
      <c r="H206" t="s">
        <v>29</v>
      </c>
      <c r="I206" t="s">
        <v>30</v>
      </c>
      <c r="J206" t="s">
        <v>64</v>
      </c>
      <c r="L206" s="1">
        <v>46023</v>
      </c>
      <c r="M206" s="1">
        <v>46023</v>
      </c>
      <c r="O206">
        <v>17528908</v>
      </c>
      <c r="P206" t="s">
        <v>32</v>
      </c>
      <c r="Q206" t="s">
        <v>33</v>
      </c>
      <c r="R206">
        <v>8192</v>
      </c>
      <c r="S206" t="s">
        <v>34</v>
      </c>
      <c r="T206" t="s">
        <v>35</v>
      </c>
      <c r="U206">
        <v>-541</v>
      </c>
      <c r="V206" t="s">
        <v>38</v>
      </c>
      <c r="W206" s="1">
        <v>46008</v>
      </c>
      <c r="X206">
        <v>2026</v>
      </c>
    </row>
    <row r="207" spans="1:24" x14ac:dyDescent="0.25">
      <c r="A207" s="1">
        <v>46043</v>
      </c>
      <c r="B207" t="s">
        <v>474</v>
      </c>
      <c r="C207" t="s">
        <v>475</v>
      </c>
      <c r="E207" t="s">
        <v>476</v>
      </c>
      <c r="F207" t="s">
        <v>391</v>
      </c>
      <c r="G207" t="s">
        <v>364</v>
      </c>
      <c r="H207" t="s">
        <v>86</v>
      </c>
      <c r="I207" t="s">
        <v>55</v>
      </c>
      <c r="J207" t="s">
        <v>312</v>
      </c>
      <c r="L207" s="1">
        <v>46023</v>
      </c>
      <c r="M207" s="1">
        <v>46023</v>
      </c>
      <c r="N207" s="1">
        <v>46053</v>
      </c>
      <c r="O207">
        <v>19219478</v>
      </c>
      <c r="P207" t="s">
        <v>32</v>
      </c>
      <c r="Q207" t="s">
        <v>477</v>
      </c>
      <c r="R207">
        <v>8192</v>
      </c>
      <c r="S207" t="s">
        <v>34</v>
      </c>
      <c r="T207" t="s">
        <v>35</v>
      </c>
      <c r="U207">
        <v>40.17</v>
      </c>
      <c r="V207" t="s">
        <v>38</v>
      </c>
      <c r="W207" s="1">
        <v>45978</v>
      </c>
      <c r="X207">
        <v>2026</v>
      </c>
    </row>
    <row r="208" spans="1:24" x14ac:dyDescent="0.25">
      <c r="A208" s="1">
        <v>46043</v>
      </c>
      <c r="B208" t="s">
        <v>474</v>
      </c>
      <c r="C208" t="s">
        <v>475</v>
      </c>
      <c r="E208" t="s">
        <v>476</v>
      </c>
      <c r="F208" t="s">
        <v>391</v>
      </c>
      <c r="G208" t="s">
        <v>367</v>
      </c>
      <c r="H208" t="s">
        <v>86</v>
      </c>
      <c r="I208" t="s">
        <v>55</v>
      </c>
      <c r="J208" t="s">
        <v>312</v>
      </c>
      <c r="L208" s="1">
        <v>46023</v>
      </c>
      <c r="M208" s="1">
        <v>46023</v>
      </c>
      <c r="N208" s="1">
        <v>46053</v>
      </c>
      <c r="O208">
        <v>19219478</v>
      </c>
      <c r="P208" t="s">
        <v>32</v>
      </c>
      <c r="Q208" t="s">
        <v>477</v>
      </c>
      <c r="R208">
        <v>8192</v>
      </c>
      <c r="S208" t="s">
        <v>34</v>
      </c>
      <c r="T208" t="s">
        <v>35</v>
      </c>
      <c r="U208">
        <v>-482</v>
      </c>
      <c r="V208" t="s">
        <v>38</v>
      </c>
      <c r="W208" s="1">
        <v>45978</v>
      </c>
      <c r="X208">
        <v>2026</v>
      </c>
    </row>
    <row r="209" spans="1:24" x14ac:dyDescent="0.25">
      <c r="A209" s="1">
        <v>46043</v>
      </c>
      <c r="B209" t="s">
        <v>478</v>
      </c>
      <c r="C209" t="s">
        <v>479</v>
      </c>
      <c r="E209" t="s">
        <v>480</v>
      </c>
      <c r="F209" t="s">
        <v>337</v>
      </c>
      <c r="G209" t="s">
        <v>28</v>
      </c>
      <c r="H209" t="s">
        <v>29</v>
      </c>
      <c r="I209" t="s">
        <v>338</v>
      </c>
      <c r="J209" t="s">
        <v>339</v>
      </c>
      <c r="L209" s="1">
        <v>46023</v>
      </c>
      <c r="M209" s="1">
        <v>46023</v>
      </c>
      <c r="O209">
        <v>17094718</v>
      </c>
      <c r="P209" t="s">
        <v>32</v>
      </c>
      <c r="Q209" t="s">
        <v>481</v>
      </c>
      <c r="R209">
        <v>8192</v>
      </c>
      <c r="S209" t="s">
        <v>34</v>
      </c>
      <c r="T209" t="s">
        <v>35</v>
      </c>
      <c r="U209">
        <v>829</v>
      </c>
      <c r="V209" t="s">
        <v>36</v>
      </c>
      <c r="W209" s="1">
        <v>45973</v>
      </c>
      <c r="X209">
        <v>2026</v>
      </c>
    </row>
    <row r="210" spans="1:24" x14ac:dyDescent="0.25">
      <c r="A210" s="1">
        <v>46043</v>
      </c>
      <c r="B210" t="s">
        <v>478</v>
      </c>
      <c r="C210" t="s">
        <v>479</v>
      </c>
      <c r="E210" t="s">
        <v>480</v>
      </c>
      <c r="F210" t="s">
        <v>337</v>
      </c>
      <c r="G210" t="s">
        <v>37</v>
      </c>
      <c r="H210" t="s">
        <v>29</v>
      </c>
      <c r="I210" t="s">
        <v>338</v>
      </c>
      <c r="J210" t="s">
        <v>339</v>
      </c>
      <c r="L210" s="1">
        <v>46023</v>
      </c>
      <c r="M210" s="1">
        <v>46023</v>
      </c>
      <c r="O210">
        <v>17094718</v>
      </c>
      <c r="P210" t="s">
        <v>32</v>
      </c>
      <c r="Q210" t="s">
        <v>481</v>
      </c>
      <c r="R210">
        <v>8192</v>
      </c>
      <c r="S210" t="s">
        <v>34</v>
      </c>
      <c r="T210" t="s">
        <v>35</v>
      </c>
      <c r="U210">
        <v>-482</v>
      </c>
      <c r="V210" t="s">
        <v>38</v>
      </c>
      <c r="W210" s="1">
        <v>45973</v>
      </c>
      <c r="X210">
        <v>2026</v>
      </c>
    </row>
    <row r="211" spans="1:24" x14ac:dyDescent="0.25">
      <c r="A211" s="1">
        <v>46043</v>
      </c>
      <c r="B211" t="s">
        <v>482</v>
      </c>
      <c r="C211" t="s">
        <v>483</v>
      </c>
      <c r="E211" t="s">
        <v>484</v>
      </c>
      <c r="F211" t="s">
        <v>337</v>
      </c>
      <c r="G211" t="s">
        <v>28</v>
      </c>
      <c r="H211" t="s">
        <v>29</v>
      </c>
      <c r="I211" t="s">
        <v>338</v>
      </c>
      <c r="J211" t="s">
        <v>339</v>
      </c>
      <c r="L211" s="1">
        <v>46023</v>
      </c>
      <c r="M211" s="1">
        <v>46023</v>
      </c>
      <c r="O211">
        <v>17094718</v>
      </c>
      <c r="P211" t="s">
        <v>32</v>
      </c>
      <c r="Q211" t="s">
        <v>481</v>
      </c>
      <c r="R211">
        <v>8192</v>
      </c>
      <c r="S211" t="s">
        <v>34</v>
      </c>
      <c r="T211" t="s">
        <v>35</v>
      </c>
      <c r="U211">
        <v>829</v>
      </c>
      <c r="V211" t="s">
        <v>36</v>
      </c>
      <c r="W211" s="1">
        <v>45973</v>
      </c>
      <c r="X211">
        <v>2026</v>
      </c>
    </row>
    <row r="212" spans="1:24" x14ac:dyDescent="0.25">
      <c r="A212" s="1">
        <v>46043</v>
      </c>
      <c r="B212" t="s">
        <v>482</v>
      </c>
      <c r="C212" t="s">
        <v>483</v>
      </c>
      <c r="E212" t="s">
        <v>484</v>
      </c>
      <c r="F212" t="s">
        <v>337</v>
      </c>
      <c r="G212" t="s">
        <v>37</v>
      </c>
      <c r="H212" t="s">
        <v>29</v>
      </c>
      <c r="I212" t="s">
        <v>338</v>
      </c>
      <c r="J212" t="s">
        <v>339</v>
      </c>
      <c r="L212" s="1">
        <v>46023</v>
      </c>
      <c r="M212" s="1">
        <v>46023</v>
      </c>
      <c r="O212">
        <v>17094718</v>
      </c>
      <c r="P212" t="s">
        <v>32</v>
      </c>
      <c r="Q212" t="s">
        <v>481</v>
      </c>
      <c r="R212">
        <v>8192</v>
      </c>
      <c r="S212" t="s">
        <v>34</v>
      </c>
      <c r="T212" t="s">
        <v>35</v>
      </c>
      <c r="U212">
        <v>-482</v>
      </c>
      <c r="V212" t="s">
        <v>38</v>
      </c>
      <c r="W212" s="1">
        <v>45973</v>
      </c>
      <c r="X212">
        <v>2026</v>
      </c>
    </row>
    <row r="213" spans="1:24" x14ac:dyDescent="0.25">
      <c r="A213" s="1">
        <v>46043</v>
      </c>
      <c r="B213" t="s">
        <v>485</v>
      </c>
      <c r="C213" t="s">
        <v>486</v>
      </c>
      <c r="E213" t="s">
        <v>487</v>
      </c>
      <c r="F213" t="s">
        <v>27</v>
      </c>
      <c r="G213" t="s">
        <v>115</v>
      </c>
      <c r="H213" t="s">
        <v>29</v>
      </c>
      <c r="I213" t="s">
        <v>30</v>
      </c>
      <c r="J213" t="s">
        <v>31</v>
      </c>
      <c r="L213" s="1">
        <v>46023</v>
      </c>
      <c r="M213" s="1">
        <v>46023</v>
      </c>
      <c r="O213">
        <v>17528908</v>
      </c>
      <c r="P213" t="s">
        <v>32</v>
      </c>
      <c r="Q213" t="s">
        <v>33</v>
      </c>
      <c r="R213">
        <v>8192</v>
      </c>
      <c r="S213" t="s">
        <v>34</v>
      </c>
      <c r="T213" t="s">
        <v>35</v>
      </c>
      <c r="U213">
        <v>541</v>
      </c>
      <c r="V213" t="s">
        <v>38</v>
      </c>
      <c r="W213" s="1">
        <v>45985</v>
      </c>
      <c r="X213">
        <v>2026</v>
      </c>
    </row>
    <row r="214" spans="1:24" x14ac:dyDescent="0.25">
      <c r="A214" s="1">
        <v>46043</v>
      </c>
      <c r="B214" t="s">
        <v>488</v>
      </c>
      <c r="C214" t="s">
        <v>489</v>
      </c>
      <c r="E214" t="s">
        <v>490</v>
      </c>
      <c r="F214" t="s">
        <v>27</v>
      </c>
      <c r="G214" t="s">
        <v>115</v>
      </c>
      <c r="H214" t="s">
        <v>86</v>
      </c>
      <c r="I214" t="s">
        <v>30</v>
      </c>
      <c r="J214" t="s">
        <v>87</v>
      </c>
      <c r="L214" s="1">
        <v>46023</v>
      </c>
      <c r="M214" s="1">
        <v>46023</v>
      </c>
      <c r="O214">
        <v>17886092</v>
      </c>
      <c r="P214" t="s">
        <v>32</v>
      </c>
      <c r="Q214" t="s">
        <v>88</v>
      </c>
      <c r="R214">
        <v>8192</v>
      </c>
      <c r="S214" t="s">
        <v>34</v>
      </c>
      <c r="T214" t="s">
        <v>35</v>
      </c>
      <c r="U214">
        <v>65</v>
      </c>
      <c r="V214" t="s">
        <v>38</v>
      </c>
      <c r="W214" s="1">
        <v>45995</v>
      </c>
      <c r="X214">
        <v>2026</v>
      </c>
    </row>
    <row r="215" spans="1:24" x14ac:dyDescent="0.25">
      <c r="A215" s="1">
        <v>46043</v>
      </c>
      <c r="B215" t="s">
        <v>491</v>
      </c>
      <c r="C215" t="s">
        <v>492</v>
      </c>
      <c r="E215" t="s">
        <v>493</v>
      </c>
      <c r="F215" t="s">
        <v>27</v>
      </c>
      <c r="G215" t="s">
        <v>28</v>
      </c>
      <c r="H215" t="s">
        <v>29</v>
      </c>
      <c r="I215" t="s">
        <v>30</v>
      </c>
      <c r="J215" t="s">
        <v>494</v>
      </c>
      <c r="L215" s="1">
        <v>46023</v>
      </c>
      <c r="M215" s="1">
        <v>46023</v>
      </c>
      <c r="O215">
        <v>17528908</v>
      </c>
      <c r="P215" t="s">
        <v>32</v>
      </c>
      <c r="Q215" t="s">
        <v>33</v>
      </c>
      <c r="R215">
        <v>8192</v>
      </c>
      <c r="S215" t="s">
        <v>34</v>
      </c>
      <c r="T215" t="s">
        <v>35</v>
      </c>
      <c r="U215">
        <v>931</v>
      </c>
      <c r="V215" t="s">
        <v>36</v>
      </c>
      <c r="W215" s="1">
        <v>46001</v>
      </c>
      <c r="X215">
        <v>2026</v>
      </c>
    </row>
    <row r="216" spans="1:24" x14ac:dyDescent="0.25">
      <c r="A216" s="1">
        <v>46043</v>
      </c>
      <c r="B216" t="s">
        <v>491</v>
      </c>
      <c r="C216" t="s">
        <v>492</v>
      </c>
      <c r="E216" t="s">
        <v>493</v>
      </c>
      <c r="F216" t="s">
        <v>27</v>
      </c>
      <c r="G216" t="s">
        <v>37</v>
      </c>
      <c r="H216" t="s">
        <v>29</v>
      </c>
      <c r="I216" t="s">
        <v>30</v>
      </c>
      <c r="J216" t="s">
        <v>494</v>
      </c>
      <c r="L216" s="1">
        <v>46023</v>
      </c>
      <c r="M216" s="1">
        <v>46023</v>
      </c>
      <c r="O216">
        <v>17528908</v>
      </c>
      <c r="P216" t="s">
        <v>32</v>
      </c>
      <c r="Q216" t="s">
        <v>33</v>
      </c>
      <c r="R216">
        <v>8192</v>
      </c>
      <c r="S216" t="s">
        <v>34</v>
      </c>
      <c r="T216" t="s">
        <v>35</v>
      </c>
      <c r="U216">
        <v>-541</v>
      </c>
      <c r="V216" t="s">
        <v>38</v>
      </c>
      <c r="W216" s="1">
        <v>46001</v>
      </c>
      <c r="X216">
        <v>2026</v>
      </c>
    </row>
    <row r="217" spans="1:24" x14ac:dyDescent="0.25">
      <c r="A217" s="1">
        <v>46043</v>
      </c>
      <c r="B217" t="s">
        <v>495</v>
      </c>
      <c r="C217" t="s">
        <v>496</v>
      </c>
      <c r="E217" t="s">
        <v>497</v>
      </c>
      <c r="F217" t="s">
        <v>98</v>
      </c>
      <c r="G217" t="s">
        <v>28</v>
      </c>
      <c r="H217" t="s">
        <v>29</v>
      </c>
      <c r="I217" t="s">
        <v>99</v>
      </c>
      <c r="J217" t="s">
        <v>498</v>
      </c>
      <c r="L217" s="1">
        <v>46054</v>
      </c>
      <c r="M217" s="1">
        <v>46054</v>
      </c>
      <c r="O217">
        <v>19491313</v>
      </c>
      <c r="P217" t="s">
        <v>32</v>
      </c>
      <c r="Q217" t="s">
        <v>101</v>
      </c>
      <c r="R217">
        <v>8192</v>
      </c>
      <c r="S217" t="s">
        <v>34</v>
      </c>
      <c r="T217" t="s">
        <v>35</v>
      </c>
      <c r="U217">
        <v>844</v>
      </c>
      <c r="V217" t="s">
        <v>36</v>
      </c>
      <c r="W217" s="1">
        <v>45982</v>
      </c>
      <c r="X217">
        <v>2026</v>
      </c>
    </row>
    <row r="218" spans="1:24" x14ac:dyDescent="0.25">
      <c r="A218" s="1">
        <v>46043</v>
      </c>
      <c r="B218" t="s">
        <v>495</v>
      </c>
      <c r="C218" t="s">
        <v>496</v>
      </c>
      <c r="E218" t="s">
        <v>497</v>
      </c>
      <c r="F218" t="s">
        <v>98</v>
      </c>
      <c r="G218" t="s">
        <v>37</v>
      </c>
      <c r="H218" t="s">
        <v>29</v>
      </c>
      <c r="I218" t="s">
        <v>99</v>
      </c>
      <c r="J218" t="s">
        <v>498</v>
      </c>
      <c r="L218" s="1">
        <v>46054</v>
      </c>
      <c r="M218" s="1">
        <v>46054</v>
      </c>
      <c r="O218">
        <v>19491313</v>
      </c>
      <c r="P218" t="s">
        <v>32</v>
      </c>
      <c r="Q218" t="s">
        <v>101</v>
      </c>
      <c r="R218">
        <v>8192</v>
      </c>
      <c r="S218" t="s">
        <v>34</v>
      </c>
      <c r="T218" t="s">
        <v>35</v>
      </c>
      <c r="U218">
        <v>-455.58</v>
      </c>
      <c r="V218" t="s">
        <v>38</v>
      </c>
      <c r="W218" s="1">
        <v>45982</v>
      </c>
      <c r="X218">
        <v>2026</v>
      </c>
    </row>
    <row r="219" spans="1:24" x14ac:dyDescent="0.25">
      <c r="A219" s="1">
        <v>46043</v>
      </c>
      <c r="B219" t="s">
        <v>499</v>
      </c>
      <c r="C219" t="s">
        <v>500</v>
      </c>
      <c r="E219" t="s">
        <v>501</v>
      </c>
      <c r="F219" t="s">
        <v>27</v>
      </c>
      <c r="G219" t="s">
        <v>115</v>
      </c>
      <c r="H219" t="s">
        <v>29</v>
      </c>
      <c r="I219" t="s">
        <v>30</v>
      </c>
      <c r="J219" t="s">
        <v>64</v>
      </c>
      <c r="L219" s="1">
        <v>46054</v>
      </c>
      <c r="M219" s="1">
        <v>46054</v>
      </c>
      <c r="O219">
        <v>17528908</v>
      </c>
      <c r="P219" t="s">
        <v>32</v>
      </c>
      <c r="Q219" t="s">
        <v>33</v>
      </c>
      <c r="R219">
        <v>8192</v>
      </c>
      <c r="S219" t="s">
        <v>34</v>
      </c>
      <c r="T219" t="s">
        <v>35</v>
      </c>
      <c r="U219">
        <v>495.92</v>
      </c>
      <c r="V219" t="s">
        <v>38</v>
      </c>
      <c r="W219" s="1">
        <v>46028</v>
      </c>
      <c r="X219">
        <v>2026</v>
      </c>
    </row>
    <row r="220" spans="1:24" x14ac:dyDescent="0.25">
      <c r="A220" s="1">
        <v>46043</v>
      </c>
      <c r="B220" t="s">
        <v>502</v>
      </c>
      <c r="C220" t="s">
        <v>503</v>
      </c>
      <c r="E220" t="s">
        <v>504</v>
      </c>
      <c r="F220" t="s">
        <v>108</v>
      </c>
      <c r="G220" t="s">
        <v>28</v>
      </c>
      <c r="H220" t="s">
        <v>29</v>
      </c>
      <c r="I220" t="s">
        <v>505</v>
      </c>
      <c r="J220" t="s">
        <v>506</v>
      </c>
      <c r="L220" s="1">
        <v>46023</v>
      </c>
      <c r="M220" s="1">
        <v>46023</v>
      </c>
      <c r="O220">
        <v>19645587</v>
      </c>
      <c r="P220" t="s">
        <v>32</v>
      </c>
      <c r="Q220" t="s">
        <v>266</v>
      </c>
      <c r="R220">
        <v>8192</v>
      </c>
      <c r="S220" t="s">
        <v>34</v>
      </c>
      <c r="T220" t="s">
        <v>35</v>
      </c>
      <c r="U220">
        <v>844</v>
      </c>
      <c r="V220" t="s">
        <v>36</v>
      </c>
      <c r="W220" s="1">
        <v>46002</v>
      </c>
      <c r="X220">
        <v>2026</v>
      </c>
    </row>
    <row r="221" spans="1:24" x14ac:dyDescent="0.25">
      <c r="A221" s="1">
        <v>46043</v>
      </c>
      <c r="B221" t="s">
        <v>502</v>
      </c>
      <c r="C221" t="s">
        <v>503</v>
      </c>
      <c r="E221" t="s">
        <v>504</v>
      </c>
      <c r="F221" t="s">
        <v>108</v>
      </c>
      <c r="G221" t="s">
        <v>37</v>
      </c>
      <c r="H221" t="s">
        <v>29</v>
      </c>
      <c r="I221" t="s">
        <v>505</v>
      </c>
      <c r="J221" t="s">
        <v>506</v>
      </c>
      <c r="L221" s="1">
        <v>46023</v>
      </c>
      <c r="M221" s="1">
        <v>46023</v>
      </c>
      <c r="O221">
        <v>19645587</v>
      </c>
      <c r="P221" t="s">
        <v>32</v>
      </c>
      <c r="Q221" t="s">
        <v>266</v>
      </c>
      <c r="R221">
        <v>8192</v>
      </c>
      <c r="S221" t="s">
        <v>34</v>
      </c>
      <c r="T221" t="s">
        <v>35</v>
      </c>
      <c r="U221">
        <v>-497</v>
      </c>
      <c r="V221" t="s">
        <v>38</v>
      </c>
      <c r="W221" s="1">
        <v>46002</v>
      </c>
      <c r="X221">
        <v>2026</v>
      </c>
    </row>
    <row r="222" spans="1:24" x14ac:dyDescent="0.25">
      <c r="A222" s="1">
        <v>46043</v>
      </c>
      <c r="B222" t="s">
        <v>507</v>
      </c>
      <c r="C222" t="s">
        <v>508</v>
      </c>
      <c r="E222" t="s">
        <v>509</v>
      </c>
      <c r="F222" t="s">
        <v>27</v>
      </c>
      <c r="G222" t="s">
        <v>28</v>
      </c>
      <c r="H222" t="s">
        <v>29</v>
      </c>
      <c r="I222" t="s">
        <v>30</v>
      </c>
      <c r="J222" t="s">
        <v>64</v>
      </c>
      <c r="L222" s="1">
        <v>46023</v>
      </c>
      <c r="M222" s="1">
        <v>46023</v>
      </c>
      <c r="O222">
        <v>17528908</v>
      </c>
      <c r="P222" t="s">
        <v>32</v>
      </c>
      <c r="Q222" t="s">
        <v>33</v>
      </c>
      <c r="R222">
        <v>8192</v>
      </c>
      <c r="S222" t="s">
        <v>34</v>
      </c>
      <c r="T222" t="s">
        <v>35</v>
      </c>
      <c r="U222">
        <v>931</v>
      </c>
      <c r="V222" t="s">
        <v>36</v>
      </c>
      <c r="W222" s="1">
        <v>45992</v>
      </c>
      <c r="X222">
        <v>2026</v>
      </c>
    </row>
    <row r="223" spans="1:24" x14ac:dyDescent="0.25">
      <c r="A223" s="1">
        <v>46043</v>
      </c>
      <c r="B223" t="s">
        <v>507</v>
      </c>
      <c r="C223" t="s">
        <v>508</v>
      </c>
      <c r="E223" t="s">
        <v>509</v>
      </c>
      <c r="F223" t="s">
        <v>27</v>
      </c>
      <c r="G223" t="s">
        <v>37</v>
      </c>
      <c r="H223" t="s">
        <v>29</v>
      </c>
      <c r="I223" t="s">
        <v>30</v>
      </c>
      <c r="J223" t="s">
        <v>64</v>
      </c>
      <c r="L223" s="1">
        <v>46023</v>
      </c>
      <c r="M223" s="1">
        <v>46023</v>
      </c>
      <c r="O223">
        <v>17528908</v>
      </c>
      <c r="P223" t="s">
        <v>32</v>
      </c>
      <c r="Q223" t="s">
        <v>33</v>
      </c>
      <c r="R223">
        <v>8192</v>
      </c>
      <c r="S223" t="s">
        <v>34</v>
      </c>
      <c r="T223" t="s">
        <v>35</v>
      </c>
      <c r="U223">
        <v>-541</v>
      </c>
      <c r="V223" t="s">
        <v>38</v>
      </c>
      <c r="W223" s="1">
        <v>45992</v>
      </c>
      <c r="X223">
        <v>2026</v>
      </c>
    </row>
    <row r="224" spans="1:24" x14ac:dyDescent="0.25">
      <c r="A224" s="1">
        <v>46043</v>
      </c>
      <c r="B224" t="s">
        <v>510</v>
      </c>
      <c r="C224" t="s">
        <v>511</v>
      </c>
      <c r="E224" t="s">
        <v>512</v>
      </c>
      <c r="F224" t="s">
        <v>27</v>
      </c>
      <c r="G224" t="s">
        <v>28</v>
      </c>
      <c r="H224" t="s">
        <v>29</v>
      </c>
      <c r="I224" t="s">
        <v>30</v>
      </c>
      <c r="J224" t="s">
        <v>64</v>
      </c>
      <c r="L224" s="1">
        <v>46023</v>
      </c>
      <c r="M224" s="1">
        <v>46023</v>
      </c>
      <c r="O224">
        <v>17528908</v>
      </c>
      <c r="P224" t="s">
        <v>32</v>
      </c>
      <c r="Q224" t="s">
        <v>33</v>
      </c>
      <c r="R224">
        <v>8192</v>
      </c>
      <c r="S224" t="s">
        <v>34</v>
      </c>
      <c r="T224" t="s">
        <v>35</v>
      </c>
      <c r="U224">
        <v>931</v>
      </c>
      <c r="V224" t="s">
        <v>36</v>
      </c>
      <c r="W224" s="1">
        <v>45992</v>
      </c>
      <c r="X224">
        <v>2026</v>
      </c>
    </row>
    <row r="225" spans="1:24" x14ac:dyDescent="0.25">
      <c r="A225" s="1">
        <v>46043</v>
      </c>
      <c r="B225" t="s">
        <v>510</v>
      </c>
      <c r="C225" t="s">
        <v>511</v>
      </c>
      <c r="E225" t="s">
        <v>512</v>
      </c>
      <c r="F225" t="s">
        <v>27</v>
      </c>
      <c r="G225" t="s">
        <v>37</v>
      </c>
      <c r="H225" t="s">
        <v>29</v>
      </c>
      <c r="I225" t="s">
        <v>30</v>
      </c>
      <c r="J225" t="s">
        <v>64</v>
      </c>
      <c r="L225" s="1">
        <v>46023</v>
      </c>
      <c r="M225" s="1">
        <v>46023</v>
      </c>
      <c r="O225">
        <v>17528908</v>
      </c>
      <c r="P225" t="s">
        <v>32</v>
      </c>
      <c r="Q225" t="s">
        <v>33</v>
      </c>
      <c r="R225">
        <v>8192</v>
      </c>
      <c r="S225" t="s">
        <v>34</v>
      </c>
      <c r="T225" t="s">
        <v>35</v>
      </c>
      <c r="U225">
        <v>-541</v>
      </c>
      <c r="V225" t="s">
        <v>38</v>
      </c>
      <c r="W225" s="1">
        <v>45992</v>
      </c>
      <c r="X225">
        <v>2026</v>
      </c>
    </row>
    <row r="226" spans="1:24" x14ac:dyDescent="0.25">
      <c r="A226" s="1">
        <v>46043</v>
      </c>
      <c r="B226" t="s">
        <v>513</v>
      </c>
      <c r="C226" t="s">
        <v>514</v>
      </c>
      <c r="E226" t="s">
        <v>515</v>
      </c>
      <c r="F226" t="s">
        <v>27</v>
      </c>
      <c r="G226" t="s">
        <v>28</v>
      </c>
      <c r="H226" t="s">
        <v>86</v>
      </c>
      <c r="I226" t="s">
        <v>30</v>
      </c>
      <c r="J226" t="s">
        <v>87</v>
      </c>
      <c r="L226" s="1">
        <v>46023</v>
      </c>
      <c r="M226" s="1">
        <v>46023</v>
      </c>
      <c r="O226">
        <v>20253958</v>
      </c>
      <c r="P226" t="s">
        <v>32</v>
      </c>
      <c r="Q226" t="s">
        <v>250</v>
      </c>
      <c r="R226">
        <v>8192</v>
      </c>
      <c r="S226" t="s">
        <v>34</v>
      </c>
      <c r="T226" t="s">
        <v>35</v>
      </c>
      <c r="U226">
        <v>65</v>
      </c>
      <c r="V226" t="s">
        <v>36</v>
      </c>
      <c r="W226" s="1">
        <v>45994</v>
      </c>
      <c r="X226">
        <v>2026</v>
      </c>
    </row>
    <row r="227" spans="1:24" x14ac:dyDescent="0.25">
      <c r="A227" s="1">
        <v>46043</v>
      </c>
      <c r="B227" t="s">
        <v>513</v>
      </c>
      <c r="C227" t="s">
        <v>514</v>
      </c>
      <c r="E227" t="s">
        <v>515</v>
      </c>
      <c r="F227" t="s">
        <v>27</v>
      </c>
      <c r="G227" t="s">
        <v>37</v>
      </c>
      <c r="H227" t="s">
        <v>86</v>
      </c>
      <c r="I227" t="s">
        <v>30</v>
      </c>
      <c r="J227" t="s">
        <v>87</v>
      </c>
      <c r="L227" s="1">
        <v>46023</v>
      </c>
      <c r="M227" s="1">
        <v>46023</v>
      </c>
      <c r="O227">
        <v>20253958</v>
      </c>
      <c r="P227" t="s">
        <v>32</v>
      </c>
      <c r="Q227" t="s">
        <v>250</v>
      </c>
      <c r="R227">
        <v>8192</v>
      </c>
      <c r="S227" t="s">
        <v>34</v>
      </c>
      <c r="T227" t="s">
        <v>35</v>
      </c>
      <c r="U227">
        <v>-65</v>
      </c>
      <c r="V227" t="s">
        <v>38</v>
      </c>
      <c r="W227" s="1">
        <v>45994</v>
      </c>
      <c r="X227">
        <v>2026</v>
      </c>
    </row>
    <row r="228" spans="1:24" x14ac:dyDescent="0.25">
      <c r="A228" s="1">
        <v>46043</v>
      </c>
      <c r="B228" t="s">
        <v>516</v>
      </c>
      <c r="C228" t="s">
        <v>517</v>
      </c>
      <c r="E228" t="s">
        <v>518</v>
      </c>
      <c r="F228" t="s">
        <v>519</v>
      </c>
      <c r="G228" t="s">
        <v>28</v>
      </c>
      <c r="H228" t="s">
        <v>29</v>
      </c>
      <c r="I228" t="s">
        <v>520</v>
      </c>
      <c r="J228" t="s">
        <v>521</v>
      </c>
      <c r="L228" s="1">
        <v>46054</v>
      </c>
      <c r="M228" s="1">
        <v>46054</v>
      </c>
      <c r="O228">
        <v>18754354</v>
      </c>
      <c r="P228" t="s">
        <v>32</v>
      </c>
      <c r="Q228" t="s">
        <v>178</v>
      </c>
      <c r="R228">
        <v>8192</v>
      </c>
      <c r="S228" t="s">
        <v>34</v>
      </c>
      <c r="T228" t="s">
        <v>35</v>
      </c>
      <c r="U228">
        <v>829</v>
      </c>
      <c r="V228" t="s">
        <v>36</v>
      </c>
      <c r="W228" s="1">
        <v>45973</v>
      </c>
      <c r="X228">
        <v>2026</v>
      </c>
    </row>
    <row r="229" spans="1:24" x14ac:dyDescent="0.25">
      <c r="A229" s="1">
        <v>46043</v>
      </c>
      <c r="B229" t="s">
        <v>516</v>
      </c>
      <c r="C229" t="s">
        <v>517</v>
      </c>
      <c r="E229" t="s">
        <v>518</v>
      </c>
      <c r="F229" t="s">
        <v>519</v>
      </c>
      <c r="G229" t="s">
        <v>37</v>
      </c>
      <c r="H229" t="s">
        <v>29</v>
      </c>
      <c r="I229" t="s">
        <v>520</v>
      </c>
      <c r="J229" t="s">
        <v>521</v>
      </c>
      <c r="L229" s="1">
        <v>46054</v>
      </c>
      <c r="M229" s="1">
        <v>46054</v>
      </c>
      <c r="O229">
        <v>18754354</v>
      </c>
      <c r="P229" t="s">
        <v>32</v>
      </c>
      <c r="Q229" t="s">
        <v>178</v>
      </c>
      <c r="R229">
        <v>8192</v>
      </c>
      <c r="S229" t="s">
        <v>34</v>
      </c>
      <c r="T229" t="s">
        <v>35</v>
      </c>
      <c r="U229">
        <v>-441.83</v>
      </c>
      <c r="V229" t="s">
        <v>38</v>
      </c>
      <c r="W229" s="1">
        <v>45973</v>
      </c>
      <c r="X229">
        <v>2026</v>
      </c>
    </row>
    <row r="230" spans="1:24" x14ac:dyDescent="0.25">
      <c r="A230" s="1">
        <v>46043</v>
      </c>
      <c r="B230" t="s">
        <v>522</v>
      </c>
      <c r="C230" t="s">
        <v>523</v>
      </c>
      <c r="E230" t="s">
        <v>524</v>
      </c>
      <c r="F230" t="s">
        <v>27</v>
      </c>
      <c r="G230" t="s">
        <v>115</v>
      </c>
      <c r="H230" t="s">
        <v>29</v>
      </c>
      <c r="I230" t="s">
        <v>30</v>
      </c>
      <c r="J230" t="s">
        <v>353</v>
      </c>
      <c r="L230" s="1">
        <v>46023</v>
      </c>
      <c r="M230" s="1">
        <v>46023</v>
      </c>
      <c r="O230">
        <v>17886092</v>
      </c>
      <c r="P230" t="s">
        <v>32</v>
      </c>
      <c r="Q230" t="s">
        <v>88</v>
      </c>
      <c r="R230">
        <v>8192</v>
      </c>
      <c r="S230" t="s">
        <v>34</v>
      </c>
      <c r="T230" t="s">
        <v>35</v>
      </c>
      <c r="U230">
        <v>65</v>
      </c>
      <c r="V230" t="s">
        <v>38</v>
      </c>
      <c r="W230" s="1">
        <v>45995</v>
      </c>
      <c r="X230">
        <v>2026</v>
      </c>
    </row>
    <row r="231" spans="1:24" x14ac:dyDescent="0.25">
      <c r="A231" s="1">
        <v>46043</v>
      </c>
      <c r="B231" t="s">
        <v>525</v>
      </c>
      <c r="C231" t="s">
        <v>526</v>
      </c>
      <c r="E231" t="s">
        <v>527</v>
      </c>
      <c r="F231" t="s">
        <v>27</v>
      </c>
      <c r="G231" t="s">
        <v>528</v>
      </c>
      <c r="H231" t="s">
        <v>29</v>
      </c>
      <c r="I231" t="s">
        <v>30</v>
      </c>
      <c r="J231" t="s">
        <v>447</v>
      </c>
      <c r="L231" s="1">
        <v>45658</v>
      </c>
      <c r="M231" s="1">
        <v>45658</v>
      </c>
      <c r="O231">
        <v>17886092</v>
      </c>
      <c r="P231" t="s">
        <v>32</v>
      </c>
      <c r="Q231" t="s">
        <v>88</v>
      </c>
      <c r="R231">
        <v>8192</v>
      </c>
      <c r="S231" t="s">
        <v>279</v>
      </c>
      <c r="T231" t="s">
        <v>35</v>
      </c>
      <c r="U231">
        <v>-35</v>
      </c>
      <c r="V231" t="s">
        <v>38</v>
      </c>
      <c r="W231" s="1">
        <v>45580</v>
      </c>
      <c r="X231">
        <v>2026</v>
      </c>
    </row>
    <row r="232" spans="1:24" x14ac:dyDescent="0.25">
      <c r="A232" s="1">
        <v>46043</v>
      </c>
      <c r="B232" t="s">
        <v>529</v>
      </c>
      <c r="C232" t="s">
        <v>530</v>
      </c>
      <c r="E232" t="s">
        <v>531</v>
      </c>
      <c r="F232" t="s">
        <v>27</v>
      </c>
      <c r="G232" t="s">
        <v>115</v>
      </c>
      <c r="H232" t="s">
        <v>29</v>
      </c>
      <c r="I232" t="s">
        <v>30</v>
      </c>
      <c r="J232" t="s">
        <v>64</v>
      </c>
      <c r="L232" s="1">
        <v>46023</v>
      </c>
      <c r="M232" s="1">
        <v>46023</v>
      </c>
      <c r="O232">
        <v>17528908</v>
      </c>
      <c r="P232" t="s">
        <v>32</v>
      </c>
      <c r="Q232" t="s">
        <v>33</v>
      </c>
      <c r="R232">
        <v>8192</v>
      </c>
      <c r="S232" t="s">
        <v>34</v>
      </c>
      <c r="T232" t="s">
        <v>35</v>
      </c>
      <c r="U232">
        <v>541</v>
      </c>
      <c r="V232" t="s">
        <v>38</v>
      </c>
      <c r="W232" s="1">
        <v>45980</v>
      </c>
      <c r="X232">
        <v>2026</v>
      </c>
    </row>
    <row r="233" spans="1:24" x14ac:dyDescent="0.25">
      <c r="A233" s="1">
        <v>46043</v>
      </c>
      <c r="B233" t="s">
        <v>532</v>
      </c>
      <c r="C233" t="s">
        <v>533</v>
      </c>
      <c r="E233" t="s">
        <v>534</v>
      </c>
      <c r="F233" t="s">
        <v>98</v>
      </c>
      <c r="G233" t="s">
        <v>217</v>
      </c>
      <c r="H233" t="s">
        <v>29</v>
      </c>
      <c r="I233" t="s">
        <v>99</v>
      </c>
      <c r="J233" t="s">
        <v>166</v>
      </c>
      <c r="L233" s="1">
        <v>46023</v>
      </c>
      <c r="M233" s="1">
        <v>46023</v>
      </c>
      <c r="N233" s="1">
        <v>46053</v>
      </c>
      <c r="O233">
        <v>19219478</v>
      </c>
      <c r="P233" t="s">
        <v>32</v>
      </c>
      <c r="Q233" t="s">
        <v>477</v>
      </c>
      <c r="R233">
        <v>8192</v>
      </c>
      <c r="S233" t="s">
        <v>34</v>
      </c>
      <c r="T233" t="s">
        <v>35</v>
      </c>
      <c r="U233">
        <v>-497</v>
      </c>
      <c r="V233" t="s">
        <v>38</v>
      </c>
      <c r="W233" s="1">
        <v>45954</v>
      </c>
      <c r="X233">
        <v>2026</v>
      </c>
    </row>
    <row r="234" spans="1:24" x14ac:dyDescent="0.25">
      <c r="A234" s="1">
        <v>46043</v>
      </c>
      <c r="B234" t="s">
        <v>535</v>
      </c>
      <c r="C234" t="s">
        <v>536</v>
      </c>
      <c r="E234" t="s">
        <v>537</v>
      </c>
      <c r="F234" t="s">
        <v>27</v>
      </c>
      <c r="G234" t="s">
        <v>49</v>
      </c>
      <c r="H234" t="s">
        <v>29</v>
      </c>
      <c r="I234" t="s">
        <v>30</v>
      </c>
      <c r="J234" t="s">
        <v>246</v>
      </c>
      <c r="L234" s="1">
        <v>46023</v>
      </c>
      <c r="M234" s="1">
        <v>46023</v>
      </c>
      <c r="O234">
        <v>14936854</v>
      </c>
      <c r="P234" t="s">
        <v>93</v>
      </c>
      <c r="Q234" t="s">
        <v>94</v>
      </c>
      <c r="R234">
        <v>8192</v>
      </c>
      <c r="S234" t="s">
        <v>34</v>
      </c>
      <c r="T234" t="s">
        <v>35</v>
      </c>
      <c r="U234">
        <v>135</v>
      </c>
      <c r="V234" t="s">
        <v>36</v>
      </c>
      <c r="W234" s="1">
        <v>45998</v>
      </c>
      <c r="X234">
        <v>2026</v>
      </c>
    </row>
    <row r="235" spans="1:24" x14ac:dyDescent="0.25">
      <c r="A235" s="1">
        <v>46043</v>
      </c>
      <c r="B235" t="s">
        <v>535</v>
      </c>
      <c r="C235" t="s">
        <v>536</v>
      </c>
      <c r="E235" t="s">
        <v>537</v>
      </c>
      <c r="F235" t="s">
        <v>27</v>
      </c>
      <c r="G235" t="s">
        <v>37</v>
      </c>
      <c r="H235" t="s">
        <v>29</v>
      </c>
      <c r="I235" t="s">
        <v>30</v>
      </c>
      <c r="J235" t="s">
        <v>246</v>
      </c>
      <c r="L235" s="1">
        <v>46023</v>
      </c>
      <c r="M235" s="1">
        <v>46023</v>
      </c>
      <c r="O235">
        <v>14936854</v>
      </c>
      <c r="P235" t="s">
        <v>93</v>
      </c>
      <c r="Q235" t="s">
        <v>94</v>
      </c>
      <c r="R235">
        <v>8192</v>
      </c>
      <c r="S235" t="s">
        <v>34</v>
      </c>
      <c r="T235" t="s">
        <v>35</v>
      </c>
      <c r="U235">
        <v>-135</v>
      </c>
      <c r="V235" t="s">
        <v>38</v>
      </c>
      <c r="W235" s="1">
        <v>45998</v>
      </c>
      <c r="X235">
        <v>2026</v>
      </c>
    </row>
    <row r="236" spans="1:24" x14ac:dyDescent="0.25">
      <c r="A236" s="1">
        <v>46043</v>
      </c>
      <c r="B236" t="s">
        <v>538</v>
      </c>
      <c r="C236" t="s">
        <v>539</v>
      </c>
      <c r="E236" t="s">
        <v>540</v>
      </c>
      <c r="F236" t="s">
        <v>42</v>
      </c>
      <c r="G236" t="s">
        <v>49</v>
      </c>
      <c r="H236" t="s">
        <v>29</v>
      </c>
      <c r="I236" t="s">
        <v>43</v>
      </c>
      <c r="J236" t="s">
        <v>50</v>
      </c>
      <c r="L236" s="1">
        <v>46023</v>
      </c>
      <c r="M236" s="1">
        <v>46023</v>
      </c>
      <c r="O236">
        <v>8244481</v>
      </c>
      <c r="P236" t="s">
        <v>32</v>
      </c>
      <c r="Q236" t="s">
        <v>45</v>
      </c>
      <c r="R236">
        <v>8192</v>
      </c>
      <c r="S236" t="s">
        <v>34</v>
      </c>
      <c r="T236" t="s">
        <v>35</v>
      </c>
      <c r="U236">
        <v>829</v>
      </c>
      <c r="V236" t="s">
        <v>36</v>
      </c>
      <c r="W236" s="1">
        <v>45952</v>
      </c>
      <c r="X236">
        <v>2026</v>
      </c>
    </row>
    <row r="237" spans="1:24" x14ac:dyDescent="0.25">
      <c r="A237" s="1">
        <v>46043</v>
      </c>
      <c r="B237" t="s">
        <v>538</v>
      </c>
      <c r="C237" t="s">
        <v>539</v>
      </c>
      <c r="E237" t="s">
        <v>540</v>
      </c>
      <c r="F237" t="s">
        <v>42</v>
      </c>
      <c r="G237" t="s">
        <v>37</v>
      </c>
      <c r="H237" t="s">
        <v>29</v>
      </c>
      <c r="I237" t="s">
        <v>43</v>
      </c>
      <c r="J237" t="s">
        <v>50</v>
      </c>
      <c r="L237" s="1">
        <v>46023</v>
      </c>
      <c r="M237" s="1">
        <v>46023</v>
      </c>
      <c r="O237">
        <v>8244481</v>
      </c>
      <c r="P237" t="s">
        <v>32</v>
      </c>
      <c r="Q237" t="s">
        <v>45</v>
      </c>
      <c r="R237">
        <v>8192</v>
      </c>
      <c r="S237" t="s">
        <v>34</v>
      </c>
      <c r="T237" t="s">
        <v>35</v>
      </c>
      <c r="U237">
        <v>-482</v>
      </c>
      <c r="V237" t="s">
        <v>38</v>
      </c>
      <c r="W237" s="1">
        <v>45952</v>
      </c>
      <c r="X237">
        <v>2026</v>
      </c>
    </row>
    <row r="238" spans="1:24" x14ac:dyDescent="0.25">
      <c r="A238" s="1">
        <v>46043</v>
      </c>
      <c r="B238" t="s">
        <v>541</v>
      </c>
      <c r="C238" t="s">
        <v>542</v>
      </c>
      <c r="E238" t="s">
        <v>543</v>
      </c>
      <c r="F238" t="s">
        <v>98</v>
      </c>
      <c r="G238" t="s">
        <v>28</v>
      </c>
      <c r="H238" t="s">
        <v>29</v>
      </c>
      <c r="I238" t="s">
        <v>99</v>
      </c>
      <c r="J238" t="s">
        <v>213</v>
      </c>
      <c r="L238" s="1">
        <v>46023</v>
      </c>
      <c r="M238" s="1">
        <v>46023</v>
      </c>
      <c r="O238">
        <v>18142208</v>
      </c>
      <c r="P238" t="s">
        <v>32</v>
      </c>
      <c r="Q238" t="s">
        <v>167</v>
      </c>
      <c r="R238">
        <v>8192</v>
      </c>
      <c r="S238" t="s">
        <v>34</v>
      </c>
      <c r="T238" t="s">
        <v>35</v>
      </c>
      <c r="U238">
        <v>844</v>
      </c>
      <c r="V238" t="s">
        <v>36</v>
      </c>
      <c r="W238" s="1">
        <v>45945</v>
      </c>
      <c r="X238">
        <v>2026</v>
      </c>
    </row>
    <row r="239" spans="1:24" x14ac:dyDescent="0.25">
      <c r="A239" s="1">
        <v>46043</v>
      </c>
      <c r="B239" t="s">
        <v>541</v>
      </c>
      <c r="C239" t="s">
        <v>542</v>
      </c>
      <c r="E239" t="s">
        <v>543</v>
      </c>
      <c r="F239" t="s">
        <v>98</v>
      </c>
      <c r="G239" t="s">
        <v>37</v>
      </c>
      <c r="H239" t="s">
        <v>29</v>
      </c>
      <c r="I239" t="s">
        <v>99</v>
      </c>
      <c r="J239" t="s">
        <v>213</v>
      </c>
      <c r="L239" s="1">
        <v>46023</v>
      </c>
      <c r="M239" s="1">
        <v>46023</v>
      </c>
      <c r="O239">
        <v>18142208</v>
      </c>
      <c r="P239" t="s">
        <v>32</v>
      </c>
      <c r="Q239" t="s">
        <v>167</v>
      </c>
      <c r="R239">
        <v>8192</v>
      </c>
      <c r="S239" t="s">
        <v>34</v>
      </c>
      <c r="T239" t="s">
        <v>35</v>
      </c>
      <c r="U239">
        <v>-497</v>
      </c>
      <c r="V239" t="s">
        <v>38</v>
      </c>
      <c r="W239" s="1">
        <v>45945</v>
      </c>
      <c r="X239">
        <v>2026</v>
      </c>
    </row>
    <row r="240" spans="1:24" x14ac:dyDescent="0.25">
      <c r="A240" s="1">
        <v>46043</v>
      </c>
      <c r="B240" t="s">
        <v>544</v>
      </c>
      <c r="C240" t="s">
        <v>545</v>
      </c>
      <c r="E240" t="s">
        <v>546</v>
      </c>
      <c r="F240" t="s">
        <v>27</v>
      </c>
      <c r="G240" t="s">
        <v>28</v>
      </c>
      <c r="H240" t="s">
        <v>29</v>
      </c>
      <c r="I240" t="s">
        <v>30</v>
      </c>
      <c r="J240" t="s">
        <v>82</v>
      </c>
      <c r="L240" s="1">
        <v>46023</v>
      </c>
      <c r="M240" s="1">
        <v>46023</v>
      </c>
      <c r="O240">
        <v>17886092</v>
      </c>
      <c r="P240" t="s">
        <v>32</v>
      </c>
      <c r="Q240" t="s">
        <v>88</v>
      </c>
      <c r="R240">
        <v>8192</v>
      </c>
      <c r="S240" t="s">
        <v>34</v>
      </c>
      <c r="T240" t="s">
        <v>35</v>
      </c>
      <c r="U240">
        <v>65</v>
      </c>
      <c r="V240" t="s">
        <v>36</v>
      </c>
      <c r="W240" s="1">
        <v>45997</v>
      </c>
      <c r="X240">
        <v>2026</v>
      </c>
    </row>
    <row r="241" spans="1:24" x14ac:dyDescent="0.25">
      <c r="A241" s="1">
        <v>46043</v>
      </c>
      <c r="B241" t="s">
        <v>544</v>
      </c>
      <c r="C241" t="s">
        <v>545</v>
      </c>
      <c r="E241" t="s">
        <v>546</v>
      </c>
      <c r="F241" t="s">
        <v>27</v>
      </c>
      <c r="G241" t="s">
        <v>37</v>
      </c>
      <c r="H241" t="s">
        <v>29</v>
      </c>
      <c r="I241" t="s">
        <v>30</v>
      </c>
      <c r="J241" t="s">
        <v>82</v>
      </c>
      <c r="L241" s="1">
        <v>46023</v>
      </c>
      <c r="M241" s="1">
        <v>46023</v>
      </c>
      <c r="O241">
        <v>17886092</v>
      </c>
      <c r="P241" t="s">
        <v>32</v>
      </c>
      <c r="Q241" t="s">
        <v>88</v>
      </c>
      <c r="R241">
        <v>8192</v>
      </c>
      <c r="S241" t="s">
        <v>34</v>
      </c>
      <c r="T241" t="s">
        <v>35</v>
      </c>
      <c r="U241">
        <v>-65</v>
      </c>
      <c r="V241" t="s">
        <v>38</v>
      </c>
      <c r="W241" s="1">
        <v>45997</v>
      </c>
      <c r="X241">
        <v>2026</v>
      </c>
    </row>
    <row r="242" spans="1:24" x14ac:dyDescent="0.25">
      <c r="A242" s="1">
        <v>46043</v>
      </c>
      <c r="B242" t="s">
        <v>547</v>
      </c>
      <c r="C242" t="s">
        <v>548</v>
      </c>
      <c r="E242" t="s">
        <v>549</v>
      </c>
      <c r="F242" t="s">
        <v>98</v>
      </c>
      <c r="G242" t="s">
        <v>550</v>
      </c>
      <c r="H242" t="s">
        <v>551</v>
      </c>
      <c r="I242" t="s">
        <v>99</v>
      </c>
      <c r="J242" t="s">
        <v>552</v>
      </c>
      <c r="K242" t="s">
        <v>553</v>
      </c>
      <c r="L242" s="1">
        <v>46023</v>
      </c>
      <c r="M242" s="1">
        <v>44562</v>
      </c>
      <c r="R242">
        <v>8192</v>
      </c>
      <c r="T242" t="s">
        <v>554</v>
      </c>
      <c r="U242">
        <v>55</v>
      </c>
      <c r="V242" t="s">
        <v>555</v>
      </c>
      <c r="W242" s="1">
        <v>44501</v>
      </c>
      <c r="X242">
        <v>2026</v>
      </c>
    </row>
    <row r="243" spans="1:24" x14ac:dyDescent="0.25">
      <c r="A243" s="1">
        <v>46043</v>
      </c>
      <c r="B243" t="s">
        <v>547</v>
      </c>
      <c r="C243" t="s">
        <v>548</v>
      </c>
      <c r="E243" t="s">
        <v>549</v>
      </c>
      <c r="F243" t="s">
        <v>98</v>
      </c>
      <c r="G243" t="s">
        <v>550</v>
      </c>
      <c r="H243" t="s">
        <v>551</v>
      </c>
      <c r="I243" t="s">
        <v>99</v>
      </c>
      <c r="J243" t="s">
        <v>552</v>
      </c>
      <c r="K243" t="s">
        <v>556</v>
      </c>
      <c r="L243" s="1">
        <v>46023</v>
      </c>
      <c r="M243" s="1">
        <v>44562</v>
      </c>
      <c r="R243">
        <v>8192</v>
      </c>
      <c r="T243" t="s">
        <v>554</v>
      </c>
      <c r="U243">
        <v>55</v>
      </c>
      <c r="V243" t="s">
        <v>555</v>
      </c>
      <c r="W243" s="1">
        <v>44501</v>
      </c>
      <c r="X243">
        <v>2026</v>
      </c>
    </row>
    <row r="244" spans="1:24" x14ac:dyDescent="0.25">
      <c r="A244" s="1">
        <v>46043</v>
      </c>
      <c r="B244" t="s">
        <v>557</v>
      </c>
      <c r="C244" t="s">
        <v>558</v>
      </c>
      <c r="E244" t="s">
        <v>559</v>
      </c>
      <c r="F244" t="s">
        <v>560</v>
      </c>
      <c r="G244" t="s">
        <v>115</v>
      </c>
      <c r="H244" t="s">
        <v>29</v>
      </c>
      <c r="I244" t="s">
        <v>561</v>
      </c>
      <c r="J244" t="s">
        <v>562</v>
      </c>
      <c r="L244" s="1">
        <v>46023</v>
      </c>
      <c r="M244" s="1">
        <v>46023</v>
      </c>
      <c r="O244">
        <v>9213293</v>
      </c>
      <c r="P244" t="s">
        <v>32</v>
      </c>
      <c r="Q244" t="s">
        <v>122</v>
      </c>
      <c r="R244">
        <v>8192</v>
      </c>
      <c r="S244" t="s">
        <v>34</v>
      </c>
      <c r="T244" t="s">
        <v>35</v>
      </c>
      <c r="U244">
        <v>497</v>
      </c>
      <c r="V244" t="s">
        <v>38</v>
      </c>
      <c r="W244" s="1">
        <v>46022</v>
      </c>
      <c r="X244">
        <v>2026</v>
      </c>
    </row>
    <row r="245" spans="1:24" x14ac:dyDescent="0.25">
      <c r="A245" s="1">
        <v>46043</v>
      </c>
      <c r="B245" t="s">
        <v>563</v>
      </c>
      <c r="C245" t="s">
        <v>564</v>
      </c>
      <c r="E245" t="s">
        <v>565</v>
      </c>
      <c r="F245" t="s">
        <v>42</v>
      </c>
      <c r="G245" t="s">
        <v>28</v>
      </c>
      <c r="H245" t="s">
        <v>29</v>
      </c>
      <c r="I245" t="s">
        <v>43</v>
      </c>
      <c r="J245" t="s">
        <v>50</v>
      </c>
      <c r="L245" s="1">
        <v>46023</v>
      </c>
      <c r="M245" s="1">
        <v>46023</v>
      </c>
      <c r="O245">
        <v>8244481</v>
      </c>
      <c r="P245" t="s">
        <v>32</v>
      </c>
      <c r="Q245" t="s">
        <v>45</v>
      </c>
      <c r="R245">
        <v>8192</v>
      </c>
      <c r="S245" t="s">
        <v>34</v>
      </c>
      <c r="T245" t="s">
        <v>35</v>
      </c>
      <c r="U245">
        <v>829</v>
      </c>
      <c r="V245" t="s">
        <v>36</v>
      </c>
      <c r="W245" s="1">
        <v>45953</v>
      </c>
      <c r="X245">
        <v>2026</v>
      </c>
    </row>
    <row r="246" spans="1:24" x14ac:dyDescent="0.25">
      <c r="A246" s="1">
        <v>46043</v>
      </c>
      <c r="B246" t="s">
        <v>563</v>
      </c>
      <c r="C246" t="s">
        <v>564</v>
      </c>
      <c r="E246" t="s">
        <v>565</v>
      </c>
      <c r="F246" t="s">
        <v>42</v>
      </c>
      <c r="G246" t="s">
        <v>37</v>
      </c>
      <c r="H246" t="s">
        <v>29</v>
      </c>
      <c r="I246" t="s">
        <v>43</v>
      </c>
      <c r="J246" t="s">
        <v>50</v>
      </c>
      <c r="L246" s="1">
        <v>46023</v>
      </c>
      <c r="M246" s="1">
        <v>46023</v>
      </c>
      <c r="O246">
        <v>8244481</v>
      </c>
      <c r="P246" t="s">
        <v>32</v>
      </c>
      <c r="Q246" t="s">
        <v>45</v>
      </c>
      <c r="R246">
        <v>8192</v>
      </c>
      <c r="S246" t="s">
        <v>34</v>
      </c>
      <c r="T246" t="s">
        <v>35</v>
      </c>
      <c r="U246">
        <v>-482</v>
      </c>
      <c r="V246" t="s">
        <v>38</v>
      </c>
      <c r="W246" s="1">
        <v>45953</v>
      </c>
      <c r="X246">
        <v>2026</v>
      </c>
    </row>
    <row r="247" spans="1:24" x14ac:dyDescent="0.25">
      <c r="A247" s="1">
        <v>46043</v>
      </c>
      <c r="B247" t="s">
        <v>566</v>
      </c>
      <c r="C247" t="s">
        <v>567</v>
      </c>
      <c r="E247" t="s">
        <v>568</v>
      </c>
      <c r="F247" t="s">
        <v>27</v>
      </c>
      <c r="G247" t="s">
        <v>49</v>
      </c>
      <c r="H247" t="s">
        <v>29</v>
      </c>
      <c r="I247" t="s">
        <v>30</v>
      </c>
      <c r="J247" t="s">
        <v>82</v>
      </c>
      <c r="L247" s="1">
        <v>46023</v>
      </c>
      <c r="M247" s="1">
        <v>46023</v>
      </c>
      <c r="O247">
        <v>17528908</v>
      </c>
      <c r="P247" t="s">
        <v>32</v>
      </c>
      <c r="Q247" t="s">
        <v>33</v>
      </c>
      <c r="R247">
        <v>8192</v>
      </c>
      <c r="S247" t="s">
        <v>34</v>
      </c>
      <c r="T247" t="s">
        <v>35</v>
      </c>
      <c r="U247">
        <v>931</v>
      </c>
      <c r="V247" t="s">
        <v>36</v>
      </c>
      <c r="W247" s="1">
        <v>45950</v>
      </c>
      <c r="X247">
        <v>2026</v>
      </c>
    </row>
    <row r="248" spans="1:24" x14ac:dyDescent="0.25">
      <c r="A248" s="1">
        <v>46043</v>
      </c>
      <c r="B248" t="s">
        <v>566</v>
      </c>
      <c r="C248" t="s">
        <v>567</v>
      </c>
      <c r="E248" t="s">
        <v>568</v>
      </c>
      <c r="F248" t="s">
        <v>27</v>
      </c>
      <c r="G248" t="s">
        <v>37</v>
      </c>
      <c r="H248" t="s">
        <v>29</v>
      </c>
      <c r="I248" t="s">
        <v>30</v>
      </c>
      <c r="J248" t="s">
        <v>82</v>
      </c>
      <c r="L248" s="1">
        <v>46023</v>
      </c>
      <c r="M248" s="1">
        <v>46023</v>
      </c>
      <c r="O248">
        <v>17528908</v>
      </c>
      <c r="P248" t="s">
        <v>32</v>
      </c>
      <c r="Q248" t="s">
        <v>33</v>
      </c>
      <c r="R248">
        <v>8192</v>
      </c>
      <c r="S248" t="s">
        <v>34</v>
      </c>
      <c r="T248" t="s">
        <v>35</v>
      </c>
      <c r="U248">
        <v>-541</v>
      </c>
      <c r="V248" t="s">
        <v>38</v>
      </c>
      <c r="W248" s="1">
        <v>45950</v>
      </c>
      <c r="X248">
        <v>2026</v>
      </c>
    </row>
    <row r="249" spans="1:24" x14ac:dyDescent="0.25">
      <c r="A249" s="1">
        <v>46043</v>
      </c>
      <c r="B249" t="s">
        <v>569</v>
      </c>
      <c r="C249" t="s">
        <v>570</v>
      </c>
      <c r="E249" t="s">
        <v>571</v>
      </c>
      <c r="F249" t="s">
        <v>42</v>
      </c>
      <c r="G249" t="s">
        <v>28</v>
      </c>
      <c r="H249" t="s">
        <v>29</v>
      </c>
      <c r="I249" t="s">
        <v>55</v>
      </c>
      <c r="J249" t="s">
        <v>56</v>
      </c>
      <c r="L249" s="1">
        <v>46023</v>
      </c>
      <c r="M249" s="1">
        <v>46023</v>
      </c>
      <c r="O249">
        <v>19586992</v>
      </c>
      <c r="P249" t="s">
        <v>32</v>
      </c>
      <c r="Q249" t="s">
        <v>572</v>
      </c>
      <c r="R249">
        <v>8192</v>
      </c>
      <c r="S249" t="s">
        <v>34</v>
      </c>
      <c r="T249" t="s">
        <v>35</v>
      </c>
      <c r="U249">
        <v>844</v>
      </c>
      <c r="V249" t="s">
        <v>36</v>
      </c>
      <c r="W249" s="1">
        <v>46007</v>
      </c>
      <c r="X249">
        <v>2026</v>
      </c>
    </row>
    <row r="250" spans="1:24" x14ac:dyDescent="0.25">
      <c r="A250" s="1">
        <v>46043</v>
      </c>
      <c r="B250" t="s">
        <v>569</v>
      </c>
      <c r="C250" t="s">
        <v>570</v>
      </c>
      <c r="E250" t="s">
        <v>571</v>
      </c>
      <c r="F250" t="s">
        <v>42</v>
      </c>
      <c r="G250" t="s">
        <v>37</v>
      </c>
      <c r="H250" t="s">
        <v>29</v>
      </c>
      <c r="I250" t="s">
        <v>55</v>
      </c>
      <c r="J250" t="s">
        <v>56</v>
      </c>
      <c r="L250" s="1">
        <v>46023</v>
      </c>
      <c r="M250" s="1">
        <v>46023</v>
      </c>
      <c r="O250">
        <v>19586992</v>
      </c>
      <c r="P250" t="s">
        <v>32</v>
      </c>
      <c r="Q250" t="s">
        <v>572</v>
      </c>
      <c r="R250">
        <v>8192</v>
      </c>
      <c r="S250" t="s">
        <v>34</v>
      </c>
      <c r="T250" t="s">
        <v>35</v>
      </c>
      <c r="U250">
        <v>-497</v>
      </c>
      <c r="V250" t="s">
        <v>38</v>
      </c>
      <c r="W250" s="1">
        <v>46007</v>
      </c>
      <c r="X250">
        <v>2026</v>
      </c>
    </row>
    <row r="251" spans="1:24" x14ac:dyDescent="0.25">
      <c r="A251" s="1">
        <v>46043</v>
      </c>
      <c r="B251" t="s">
        <v>573</v>
      </c>
      <c r="C251" t="s">
        <v>574</v>
      </c>
      <c r="E251" t="s">
        <v>575</v>
      </c>
      <c r="F251" t="s">
        <v>27</v>
      </c>
      <c r="G251" t="s">
        <v>28</v>
      </c>
      <c r="H251" t="s">
        <v>29</v>
      </c>
      <c r="I251" t="s">
        <v>30</v>
      </c>
      <c r="J251" t="s">
        <v>82</v>
      </c>
      <c r="L251" s="1">
        <v>46023</v>
      </c>
      <c r="M251" s="1">
        <v>46023</v>
      </c>
      <c r="O251">
        <v>17528908</v>
      </c>
      <c r="P251" t="s">
        <v>32</v>
      </c>
      <c r="Q251" t="s">
        <v>33</v>
      </c>
      <c r="R251">
        <v>8192</v>
      </c>
      <c r="S251" t="s">
        <v>34</v>
      </c>
      <c r="T251" t="s">
        <v>35</v>
      </c>
      <c r="U251">
        <v>931</v>
      </c>
      <c r="V251" t="s">
        <v>36</v>
      </c>
      <c r="W251" s="1">
        <v>45996</v>
      </c>
      <c r="X251">
        <v>2026</v>
      </c>
    </row>
    <row r="252" spans="1:24" x14ac:dyDescent="0.25">
      <c r="A252" s="1">
        <v>46043</v>
      </c>
      <c r="B252" t="s">
        <v>573</v>
      </c>
      <c r="C252" t="s">
        <v>574</v>
      </c>
      <c r="E252" t="s">
        <v>575</v>
      </c>
      <c r="F252" t="s">
        <v>27</v>
      </c>
      <c r="G252" t="s">
        <v>37</v>
      </c>
      <c r="H252" t="s">
        <v>29</v>
      </c>
      <c r="I252" t="s">
        <v>30</v>
      </c>
      <c r="J252" t="s">
        <v>82</v>
      </c>
      <c r="L252" s="1">
        <v>46023</v>
      </c>
      <c r="M252" s="1">
        <v>46023</v>
      </c>
      <c r="O252">
        <v>17528908</v>
      </c>
      <c r="P252" t="s">
        <v>32</v>
      </c>
      <c r="Q252" t="s">
        <v>33</v>
      </c>
      <c r="R252">
        <v>8192</v>
      </c>
      <c r="S252" t="s">
        <v>34</v>
      </c>
      <c r="T252" t="s">
        <v>35</v>
      </c>
      <c r="U252">
        <v>-541</v>
      </c>
      <c r="V252" t="s">
        <v>38</v>
      </c>
      <c r="W252" s="1">
        <v>45996</v>
      </c>
      <c r="X252">
        <v>2026</v>
      </c>
    </row>
    <row r="253" spans="1:24" x14ac:dyDescent="0.25">
      <c r="A253" s="1">
        <v>46043</v>
      </c>
      <c r="B253" t="s">
        <v>576</v>
      </c>
      <c r="C253" t="s">
        <v>577</v>
      </c>
      <c r="E253" t="s">
        <v>578</v>
      </c>
      <c r="F253" t="s">
        <v>27</v>
      </c>
      <c r="G253" t="s">
        <v>28</v>
      </c>
      <c r="H253" t="s">
        <v>86</v>
      </c>
      <c r="I253" t="s">
        <v>30</v>
      </c>
      <c r="J253" t="s">
        <v>87</v>
      </c>
      <c r="L253" s="1">
        <v>46023</v>
      </c>
      <c r="M253" s="1">
        <v>46023</v>
      </c>
      <c r="O253">
        <v>17886092</v>
      </c>
      <c r="P253" t="s">
        <v>32</v>
      </c>
      <c r="Q253" t="s">
        <v>88</v>
      </c>
      <c r="R253">
        <v>8192</v>
      </c>
      <c r="S253" t="s">
        <v>34</v>
      </c>
      <c r="T253" t="s">
        <v>35</v>
      </c>
      <c r="U253">
        <v>65</v>
      </c>
      <c r="V253" t="s">
        <v>36</v>
      </c>
      <c r="W253" s="1">
        <v>45981</v>
      </c>
      <c r="X253">
        <v>2026</v>
      </c>
    </row>
    <row r="254" spans="1:24" x14ac:dyDescent="0.25">
      <c r="A254" s="1">
        <v>46043</v>
      </c>
      <c r="B254" t="s">
        <v>576</v>
      </c>
      <c r="C254" t="s">
        <v>577</v>
      </c>
      <c r="E254" t="s">
        <v>578</v>
      </c>
      <c r="F254" t="s">
        <v>27</v>
      </c>
      <c r="G254" t="s">
        <v>37</v>
      </c>
      <c r="H254" t="s">
        <v>86</v>
      </c>
      <c r="I254" t="s">
        <v>30</v>
      </c>
      <c r="J254" t="s">
        <v>87</v>
      </c>
      <c r="L254" s="1">
        <v>46023</v>
      </c>
      <c r="M254" s="1">
        <v>46023</v>
      </c>
      <c r="O254">
        <v>17886092</v>
      </c>
      <c r="P254" t="s">
        <v>32</v>
      </c>
      <c r="Q254" t="s">
        <v>88</v>
      </c>
      <c r="R254">
        <v>8192</v>
      </c>
      <c r="S254" t="s">
        <v>34</v>
      </c>
      <c r="T254" t="s">
        <v>35</v>
      </c>
      <c r="U254">
        <v>-65</v>
      </c>
      <c r="V254" t="s">
        <v>38</v>
      </c>
      <c r="W254" s="1">
        <v>45981</v>
      </c>
      <c r="X254">
        <v>2026</v>
      </c>
    </row>
    <row r="255" spans="1:24" x14ac:dyDescent="0.25">
      <c r="A255" s="1">
        <v>46043</v>
      </c>
      <c r="B255" t="s">
        <v>579</v>
      </c>
      <c r="C255" t="s">
        <v>580</v>
      </c>
      <c r="E255" t="s">
        <v>581</v>
      </c>
      <c r="F255" t="s">
        <v>27</v>
      </c>
      <c r="G255" t="s">
        <v>115</v>
      </c>
      <c r="H255" t="s">
        <v>29</v>
      </c>
      <c r="I255" t="s">
        <v>30</v>
      </c>
      <c r="J255" t="s">
        <v>64</v>
      </c>
      <c r="L255" s="1">
        <v>46023</v>
      </c>
      <c r="M255" s="1">
        <v>46023</v>
      </c>
      <c r="O255">
        <v>17528908</v>
      </c>
      <c r="P255" t="s">
        <v>32</v>
      </c>
      <c r="Q255" t="s">
        <v>33</v>
      </c>
      <c r="R255">
        <v>8192</v>
      </c>
      <c r="S255" t="s">
        <v>34</v>
      </c>
      <c r="T255" t="s">
        <v>35</v>
      </c>
      <c r="U255">
        <v>541</v>
      </c>
      <c r="V255" t="s">
        <v>38</v>
      </c>
      <c r="W255" s="1">
        <v>45982</v>
      </c>
      <c r="X255">
        <v>2026</v>
      </c>
    </row>
    <row r="256" spans="1:24" x14ac:dyDescent="0.25">
      <c r="A256" s="1">
        <v>46043</v>
      </c>
      <c r="B256" t="s">
        <v>582</v>
      </c>
      <c r="C256" t="s">
        <v>583</v>
      </c>
      <c r="E256" t="s">
        <v>584</v>
      </c>
      <c r="F256" t="s">
        <v>27</v>
      </c>
      <c r="G256" t="s">
        <v>115</v>
      </c>
      <c r="H256" t="s">
        <v>29</v>
      </c>
      <c r="I256" t="s">
        <v>30</v>
      </c>
      <c r="J256" t="s">
        <v>64</v>
      </c>
      <c r="L256" s="1">
        <v>46023</v>
      </c>
      <c r="M256" s="1">
        <v>46023</v>
      </c>
      <c r="O256">
        <v>17528908</v>
      </c>
      <c r="P256" t="s">
        <v>32</v>
      </c>
      <c r="Q256" t="s">
        <v>33</v>
      </c>
      <c r="R256">
        <v>8192</v>
      </c>
      <c r="S256" t="s">
        <v>34</v>
      </c>
      <c r="T256" t="s">
        <v>35</v>
      </c>
      <c r="U256">
        <v>541</v>
      </c>
      <c r="V256" t="s">
        <v>38</v>
      </c>
      <c r="W256" s="1">
        <v>45982</v>
      </c>
      <c r="X256">
        <v>2026</v>
      </c>
    </row>
    <row r="257" spans="1:24" x14ac:dyDescent="0.25">
      <c r="A257" s="1">
        <v>46043</v>
      </c>
      <c r="B257" t="s">
        <v>585</v>
      </c>
      <c r="C257" t="s">
        <v>586</v>
      </c>
      <c r="E257" t="s">
        <v>587</v>
      </c>
      <c r="F257" t="s">
        <v>42</v>
      </c>
      <c r="G257" t="s">
        <v>49</v>
      </c>
      <c r="H257" t="s">
        <v>29</v>
      </c>
      <c r="I257" t="s">
        <v>43</v>
      </c>
      <c r="J257" t="s">
        <v>588</v>
      </c>
      <c r="L257" s="1">
        <v>46023</v>
      </c>
      <c r="M257" s="1">
        <v>46023</v>
      </c>
      <c r="O257">
        <v>8812322</v>
      </c>
      <c r="P257" t="s">
        <v>32</v>
      </c>
      <c r="Q257" t="s">
        <v>132</v>
      </c>
      <c r="R257">
        <v>8192</v>
      </c>
      <c r="S257" t="s">
        <v>34</v>
      </c>
      <c r="T257" t="s">
        <v>35</v>
      </c>
      <c r="U257">
        <v>844</v>
      </c>
      <c r="V257" t="s">
        <v>36</v>
      </c>
      <c r="W257" s="1">
        <v>45994</v>
      </c>
      <c r="X257">
        <v>2026</v>
      </c>
    </row>
    <row r="258" spans="1:24" x14ac:dyDescent="0.25">
      <c r="A258" s="1">
        <v>46043</v>
      </c>
      <c r="B258" t="s">
        <v>585</v>
      </c>
      <c r="C258" t="s">
        <v>586</v>
      </c>
      <c r="E258" t="s">
        <v>587</v>
      </c>
      <c r="F258" t="s">
        <v>42</v>
      </c>
      <c r="G258" t="s">
        <v>37</v>
      </c>
      <c r="H258" t="s">
        <v>29</v>
      </c>
      <c r="I258" t="s">
        <v>43</v>
      </c>
      <c r="J258" t="s">
        <v>588</v>
      </c>
      <c r="L258" s="1">
        <v>46023</v>
      </c>
      <c r="M258" s="1">
        <v>46023</v>
      </c>
      <c r="O258">
        <v>8812322</v>
      </c>
      <c r="P258" t="s">
        <v>32</v>
      </c>
      <c r="Q258" t="s">
        <v>132</v>
      </c>
      <c r="R258">
        <v>8192</v>
      </c>
      <c r="S258" t="s">
        <v>34</v>
      </c>
      <c r="T258" t="s">
        <v>35</v>
      </c>
      <c r="U258">
        <v>-497</v>
      </c>
      <c r="V258" t="s">
        <v>38</v>
      </c>
      <c r="W258" s="1">
        <v>45994</v>
      </c>
      <c r="X258">
        <v>2026</v>
      </c>
    </row>
    <row r="259" spans="1:24" x14ac:dyDescent="0.25">
      <c r="A259" s="1">
        <v>46043</v>
      </c>
      <c r="B259" t="s">
        <v>589</v>
      </c>
      <c r="C259" t="s">
        <v>590</v>
      </c>
      <c r="E259" t="s">
        <v>591</v>
      </c>
      <c r="F259" t="s">
        <v>42</v>
      </c>
      <c r="G259" t="s">
        <v>49</v>
      </c>
      <c r="H259" t="s">
        <v>29</v>
      </c>
      <c r="I259" t="s">
        <v>43</v>
      </c>
      <c r="J259" t="s">
        <v>588</v>
      </c>
      <c r="L259" s="1">
        <v>46023</v>
      </c>
      <c r="M259" s="1">
        <v>46023</v>
      </c>
      <c r="O259">
        <v>8812322</v>
      </c>
      <c r="P259" t="s">
        <v>32</v>
      </c>
      <c r="Q259" t="s">
        <v>132</v>
      </c>
      <c r="R259">
        <v>8192</v>
      </c>
      <c r="S259" t="s">
        <v>34</v>
      </c>
      <c r="T259" t="s">
        <v>35</v>
      </c>
      <c r="U259">
        <v>844</v>
      </c>
      <c r="V259" t="s">
        <v>36</v>
      </c>
      <c r="W259" s="1">
        <v>45994</v>
      </c>
      <c r="X259">
        <v>2026</v>
      </c>
    </row>
    <row r="260" spans="1:24" x14ac:dyDescent="0.25">
      <c r="A260" s="1">
        <v>46043</v>
      </c>
      <c r="B260" t="s">
        <v>589</v>
      </c>
      <c r="C260" t="s">
        <v>590</v>
      </c>
      <c r="E260" t="s">
        <v>591</v>
      </c>
      <c r="F260" t="s">
        <v>42</v>
      </c>
      <c r="G260" t="s">
        <v>37</v>
      </c>
      <c r="H260" t="s">
        <v>29</v>
      </c>
      <c r="I260" t="s">
        <v>43</v>
      </c>
      <c r="J260" t="s">
        <v>588</v>
      </c>
      <c r="L260" s="1">
        <v>46023</v>
      </c>
      <c r="M260" s="1">
        <v>46023</v>
      </c>
      <c r="O260">
        <v>8812322</v>
      </c>
      <c r="P260" t="s">
        <v>32</v>
      </c>
      <c r="Q260" t="s">
        <v>132</v>
      </c>
      <c r="R260">
        <v>8192</v>
      </c>
      <c r="S260" t="s">
        <v>34</v>
      </c>
      <c r="T260" t="s">
        <v>35</v>
      </c>
      <c r="U260">
        <v>-497</v>
      </c>
      <c r="V260" t="s">
        <v>38</v>
      </c>
      <c r="W260" s="1">
        <v>45994</v>
      </c>
      <c r="X260">
        <v>2026</v>
      </c>
    </row>
    <row r="261" spans="1:24" x14ac:dyDescent="0.25">
      <c r="A261" s="1">
        <v>46043</v>
      </c>
      <c r="B261" t="s">
        <v>592</v>
      </c>
      <c r="C261" t="s">
        <v>593</v>
      </c>
      <c r="E261" t="s">
        <v>594</v>
      </c>
      <c r="F261" t="s">
        <v>27</v>
      </c>
      <c r="G261" t="s">
        <v>28</v>
      </c>
      <c r="H261" t="s">
        <v>29</v>
      </c>
      <c r="I261" t="s">
        <v>30</v>
      </c>
      <c r="J261" t="s">
        <v>64</v>
      </c>
      <c r="L261" s="1">
        <v>46023</v>
      </c>
      <c r="M261" s="1">
        <v>46023</v>
      </c>
      <c r="O261">
        <v>18710070</v>
      </c>
      <c r="P261" t="s">
        <v>32</v>
      </c>
      <c r="Q261" t="s">
        <v>470</v>
      </c>
      <c r="R261">
        <v>8192</v>
      </c>
      <c r="S261" t="s">
        <v>34</v>
      </c>
      <c r="T261" t="s">
        <v>35</v>
      </c>
      <c r="U261">
        <v>931</v>
      </c>
      <c r="V261" t="s">
        <v>36</v>
      </c>
      <c r="W261" s="1">
        <v>45987</v>
      </c>
      <c r="X261">
        <v>2026</v>
      </c>
    </row>
    <row r="262" spans="1:24" x14ac:dyDescent="0.25">
      <c r="A262" s="1">
        <v>46043</v>
      </c>
      <c r="B262" t="s">
        <v>592</v>
      </c>
      <c r="C262" t="s">
        <v>593</v>
      </c>
      <c r="E262" t="s">
        <v>594</v>
      </c>
      <c r="F262" t="s">
        <v>27</v>
      </c>
      <c r="G262" t="s">
        <v>37</v>
      </c>
      <c r="H262" t="s">
        <v>29</v>
      </c>
      <c r="I262" t="s">
        <v>30</v>
      </c>
      <c r="J262" t="s">
        <v>64</v>
      </c>
      <c r="L262" s="1">
        <v>46023</v>
      </c>
      <c r="M262" s="1">
        <v>46023</v>
      </c>
      <c r="O262">
        <v>18710070</v>
      </c>
      <c r="P262" t="s">
        <v>32</v>
      </c>
      <c r="Q262" t="s">
        <v>470</v>
      </c>
      <c r="R262">
        <v>8192</v>
      </c>
      <c r="S262" t="s">
        <v>34</v>
      </c>
      <c r="T262" t="s">
        <v>35</v>
      </c>
      <c r="U262">
        <v>-541</v>
      </c>
      <c r="V262" t="s">
        <v>38</v>
      </c>
      <c r="W262" s="1">
        <v>45987</v>
      </c>
      <c r="X262">
        <v>2026</v>
      </c>
    </row>
    <row r="263" spans="1:24" x14ac:dyDescent="0.25">
      <c r="A263" s="1">
        <v>46043</v>
      </c>
      <c r="B263" t="s">
        <v>595</v>
      </c>
      <c r="C263" t="s">
        <v>596</v>
      </c>
      <c r="E263" t="s">
        <v>597</v>
      </c>
      <c r="F263" t="s">
        <v>598</v>
      </c>
      <c r="G263" t="s">
        <v>28</v>
      </c>
      <c r="H263" t="s">
        <v>29</v>
      </c>
      <c r="I263" t="s">
        <v>520</v>
      </c>
      <c r="J263" t="s">
        <v>599</v>
      </c>
      <c r="L263" s="1">
        <v>46023</v>
      </c>
      <c r="M263" s="1">
        <v>46023</v>
      </c>
      <c r="O263">
        <v>8307933</v>
      </c>
      <c r="P263" t="s">
        <v>32</v>
      </c>
      <c r="Q263" t="s">
        <v>111</v>
      </c>
      <c r="R263">
        <v>8192</v>
      </c>
      <c r="S263" t="s">
        <v>34</v>
      </c>
      <c r="T263" t="s">
        <v>35</v>
      </c>
      <c r="U263">
        <v>844</v>
      </c>
      <c r="V263" t="s">
        <v>36</v>
      </c>
      <c r="W263" s="1">
        <v>45966</v>
      </c>
      <c r="X263">
        <v>2026</v>
      </c>
    </row>
    <row r="264" spans="1:24" x14ac:dyDescent="0.25">
      <c r="A264" s="1">
        <v>46043</v>
      </c>
      <c r="B264" t="s">
        <v>595</v>
      </c>
      <c r="C264" t="s">
        <v>596</v>
      </c>
      <c r="E264" t="s">
        <v>597</v>
      </c>
      <c r="F264" t="s">
        <v>598</v>
      </c>
      <c r="G264" t="s">
        <v>37</v>
      </c>
      <c r="H264" t="s">
        <v>29</v>
      </c>
      <c r="I264" t="s">
        <v>520</v>
      </c>
      <c r="J264" t="s">
        <v>599</v>
      </c>
      <c r="L264" s="1">
        <v>46023</v>
      </c>
      <c r="M264" s="1">
        <v>46023</v>
      </c>
      <c r="O264">
        <v>8307933</v>
      </c>
      <c r="P264" t="s">
        <v>32</v>
      </c>
      <c r="Q264" t="s">
        <v>111</v>
      </c>
      <c r="R264">
        <v>8192</v>
      </c>
      <c r="S264" t="s">
        <v>34</v>
      </c>
      <c r="T264" t="s">
        <v>35</v>
      </c>
      <c r="U264">
        <v>-497</v>
      </c>
      <c r="V264" t="s">
        <v>38</v>
      </c>
      <c r="W264" s="1">
        <v>45966</v>
      </c>
      <c r="X264">
        <v>2026</v>
      </c>
    </row>
    <row r="265" spans="1:24" x14ac:dyDescent="0.25">
      <c r="A265" s="1">
        <v>46043</v>
      </c>
      <c r="B265" t="s">
        <v>600</v>
      </c>
      <c r="C265" t="s">
        <v>601</v>
      </c>
      <c r="E265" t="s">
        <v>602</v>
      </c>
      <c r="F265" t="s">
        <v>27</v>
      </c>
      <c r="G265" t="s">
        <v>28</v>
      </c>
      <c r="H265" t="s">
        <v>86</v>
      </c>
      <c r="I265" t="s">
        <v>30</v>
      </c>
      <c r="J265" t="s">
        <v>87</v>
      </c>
      <c r="L265" s="1">
        <v>46023</v>
      </c>
      <c r="M265" s="1">
        <v>46023</v>
      </c>
      <c r="O265">
        <v>17528908</v>
      </c>
      <c r="P265" t="s">
        <v>32</v>
      </c>
      <c r="Q265" t="s">
        <v>33</v>
      </c>
      <c r="R265">
        <v>8192</v>
      </c>
      <c r="S265" t="s">
        <v>34</v>
      </c>
      <c r="T265" t="s">
        <v>35</v>
      </c>
      <c r="U265">
        <v>916</v>
      </c>
      <c r="V265" t="s">
        <v>36</v>
      </c>
      <c r="W265" s="1">
        <v>45978</v>
      </c>
      <c r="X265">
        <v>2026</v>
      </c>
    </row>
    <row r="266" spans="1:24" x14ac:dyDescent="0.25">
      <c r="A266" s="1">
        <v>46043</v>
      </c>
      <c r="B266" t="s">
        <v>600</v>
      </c>
      <c r="C266" t="s">
        <v>601</v>
      </c>
      <c r="E266" t="s">
        <v>602</v>
      </c>
      <c r="F266" t="s">
        <v>27</v>
      </c>
      <c r="G266" t="s">
        <v>37</v>
      </c>
      <c r="H266" t="s">
        <v>86</v>
      </c>
      <c r="I266" t="s">
        <v>30</v>
      </c>
      <c r="J266" t="s">
        <v>87</v>
      </c>
      <c r="L266" s="1">
        <v>46023</v>
      </c>
      <c r="M266" s="1">
        <v>46023</v>
      </c>
      <c r="O266">
        <v>17528908</v>
      </c>
      <c r="P266" t="s">
        <v>32</v>
      </c>
      <c r="Q266" t="s">
        <v>33</v>
      </c>
      <c r="R266">
        <v>8192</v>
      </c>
      <c r="S266" t="s">
        <v>34</v>
      </c>
      <c r="T266" t="s">
        <v>35</v>
      </c>
      <c r="U266">
        <v>-526</v>
      </c>
      <c r="V266" t="s">
        <v>38</v>
      </c>
      <c r="W266" s="1">
        <v>45978</v>
      </c>
      <c r="X266">
        <v>2026</v>
      </c>
    </row>
    <row r="267" spans="1:24" x14ac:dyDescent="0.25">
      <c r="A267" s="1">
        <v>46043</v>
      </c>
      <c r="B267" t="s">
        <v>603</v>
      </c>
      <c r="C267" t="s">
        <v>604</v>
      </c>
      <c r="E267" t="s">
        <v>605</v>
      </c>
      <c r="F267" t="s">
        <v>27</v>
      </c>
      <c r="G267" t="s">
        <v>28</v>
      </c>
      <c r="H267" t="s">
        <v>29</v>
      </c>
      <c r="I267" t="s">
        <v>30</v>
      </c>
      <c r="J267" t="s">
        <v>64</v>
      </c>
      <c r="L267" s="1">
        <v>46054</v>
      </c>
      <c r="M267" s="1">
        <v>46054</v>
      </c>
      <c r="O267">
        <v>17528908</v>
      </c>
      <c r="P267" t="s">
        <v>32</v>
      </c>
      <c r="Q267" t="s">
        <v>33</v>
      </c>
      <c r="R267">
        <v>8192</v>
      </c>
      <c r="S267" t="s">
        <v>34</v>
      </c>
      <c r="T267" t="s">
        <v>35</v>
      </c>
      <c r="U267">
        <v>931</v>
      </c>
      <c r="V267" t="s">
        <v>36</v>
      </c>
      <c r="W267" s="1">
        <v>46006</v>
      </c>
      <c r="X267">
        <v>2026</v>
      </c>
    </row>
    <row r="268" spans="1:24" x14ac:dyDescent="0.25">
      <c r="A268" s="1">
        <v>46043</v>
      </c>
      <c r="B268" t="s">
        <v>603</v>
      </c>
      <c r="C268" t="s">
        <v>604</v>
      </c>
      <c r="E268" t="s">
        <v>605</v>
      </c>
      <c r="F268" t="s">
        <v>27</v>
      </c>
      <c r="G268" t="s">
        <v>37</v>
      </c>
      <c r="H268" t="s">
        <v>29</v>
      </c>
      <c r="I268" t="s">
        <v>30</v>
      </c>
      <c r="J268" t="s">
        <v>64</v>
      </c>
      <c r="L268" s="1">
        <v>46054</v>
      </c>
      <c r="M268" s="1">
        <v>46054</v>
      </c>
      <c r="O268">
        <v>17528908</v>
      </c>
      <c r="P268" t="s">
        <v>32</v>
      </c>
      <c r="Q268" t="s">
        <v>33</v>
      </c>
      <c r="R268">
        <v>8192</v>
      </c>
      <c r="S268" t="s">
        <v>34</v>
      </c>
      <c r="T268" t="s">
        <v>35</v>
      </c>
      <c r="U268">
        <v>-495.92</v>
      </c>
      <c r="V268" t="s">
        <v>38</v>
      </c>
      <c r="W268" s="1">
        <v>46006</v>
      </c>
      <c r="X268">
        <v>2026</v>
      </c>
    </row>
    <row r="269" spans="1:24" x14ac:dyDescent="0.25">
      <c r="A269" s="1">
        <v>46043</v>
      </c>
      <c r="B269" t="s">
        <v>606</v>
      </c>
      <c r="C269" t="s">
        <v>607</v>
      </c>
      <c r="E269" t="s">
        <v>608</v>
      </c>
      <c r="F269" t="s">
        <v>42</v>
      </c>
      <c r="G269" t="s">
        <v>28</v>
      </c>
      <c r="H269" t="s">
        <v>29</v>
      </c>
      <c r="I269" t="s">
        <v>43</v>
      </c>
      <c r="J269" t="s">
        <v>44</v>
      </c>
      <c r="L269" s="1">
        <v>46023</v>
      </c>
      <c r="M269" s="1">
        <v>46023</v>
      </c>
      <c r="O269">
        <v>16633294</v>
      </c>
      <c r="P269" t="s">
        <v>32</v>
      </c>
      <c r="Q269" t="s">
        <v>609</v>
      </c>
      <c r="R269">
        <v>8192</v>
      </c>
      <c r="S269" t="s">
        <v>34</v>
      </c>
      <c r="T269" t="s">
        <v>35</v>
      </c>
      <c r="U269">
        <v>829</v>
      </c>
      <c r="V269" t="s">
        <v>36</v>
      </c>
      <c r="W269" s="1">
        <v>45963</v>
      </c>
      <c r="X269">
        <v>2026</v>
      </c>
    </row>
    <row r="270" spans="1:24" x14ac:dyDescent="0.25">
      <c r="A270" s="1">
        <v>46043</v>
      </c>
      <c r="B270" t="s">
        <v>606</v>
      </c>
      <c r="C270" t="s">
        <v>607</v>
      </c>
      <c r="E270" t="s">
        <v>608</v>
      </c>
      <c r="F270" t="s">
        <v>42</v>
      </c>
      <c r="G270" t="s">
        <v>37</v>
      </c>
      <c r="H270" t="s">
        <v>29</v>
      </c>
      <c r="I270" t="s">
        <v>43</v>
      </c>
      <c r="J270" t="s">
        <v>44</v>
      </c>
      <c r="L270" s="1">
        <v>46023</v>
      </c>
      <c r="M270" s="1">
        <v>46023</v>
      </c>
      <c r="O270">
        <v>16633294</v>
      </c>
      <c r="P270" t="s">
        <v>32</v>
      </c>
      <c r="Q270" t="s">
        <v>609</v>
      </c>
      <c r="R270">
        <v>8192</v>
      </c>
      <c r="S270" t="s">
        <v>34</v>
      </c>
      <c r="T270" t="s">
        <v>35</v>
      </c>
      <c r="U270">
        <v>-482</v>
      </c>
      <c r="V270" t="s">
        <v>38</v>
      </c>
      <c r="W270" s="1">
        <v>45963</v>
      </c>
      <c r="X270">
        <v>2026</v>
      </c>
    </row>
    <row r="271" spans="1:24" x14ac:dyDescent="0.25">
      <c r="A271" s="1">
        <v>46043</v>
      </c>
      <c r="B271" t="s">
        <v>610</v>
      </c>
      <c r="C271" t="s">
        <v>611</v>
      </c>
      <c r="E271" t="s">
        <v>612</v>
      </c>
      <c r="F271" t="s">
        <v>98</v>
      </c>
      <c r="G271" t="s">
        <v>217</v>
      </c>
      <c r="H271" t="s">
        <v>29</v>
      </c>
      <c r="I271" t="s">
        <v>99</v>
      </c>
      <c r="J271" t="s">
        <v>613</v>
      </c>
      <c r="L271" s="1">
        <v>46023</v>
      </c>
      <c r="M271" s="1">
        <v>46023</v>
      </c>
      <c r="N271" s="1">
        <v>46053</v>
      </c>
      <c r="O271">
        <v>19219478</v>
      </c>
      <c r="P271" t="s">
        <v>32</v>
      </c>
      <c r="Q271" t="s">
        <v>477</v>
      </c>
      <c r="R271">
        <v>8192</v>
      </c>
      <c r="S271" t="s">
        <v>34</v>
      </c>
      <c r="T271" t="s">
        <v>35</v>
      </c>
      <c r="U271">
        <v>-482</v>
      </c>
      <c r="V271" t="s">
        <v>38</v>
      </c>
      <c r="W271" s="1">
        <v>45953</v>
      </c>
      <c r="X271">
        <v>2026</v>
      </c>
    </row>
    <row r="272" spans="1:24" x14ac:dyDescent="0.25">
      <c r="A272" s="1">
        <v>46043</v>
      </c>
      <c r="B272" t="s">
        <v>614</v>
      </c>
      <c r="C272" t="s">
        <v>615</v>
      </c>
      <c r="E272" t="s">
        <v>616</v>
      </c>
      <c r="F272" t="s">
        <v>27</v>
      </c>
      <c r="G272" t="s">
        <v>28</v>
      </c>
      <c r="H272" t="s">
        <v>29</v>
      </c>
      <c r="I272" t="s">
        <v>30</v>
      </c>
      <c r="J272" t="s">
        <v>617</v>
      </c>
      <c r="L272" s="1">
        <v>45992</v>
      </c>
      <c r="M272" s="1">
        <v>45992</v>
      </c>
      <c r="O272">
        <v>16509456</v>
      </c>
      <c r="P272" t="s">
        <v>32</v>
      </c>
      <c r="Q272" t="s">
        <v>618</v>
      </c>
      <c r="R272">
        <v>8192</v>
      </c>
      <c r="S272" t="s">
        <v>34</v>
      </c>
      <c r="T272" t="s">
        <v>35</v>
      </c>
      <c r="U272">
        <v>855</v>
      </c>
      <c r="V272" t="s">
        <v>36</v>
      </c>
      <c r="W272" s="1">
        <v>45991</v>
      </c>
      <c r="X272">
        <v>2026</v>
      </c>
    </row>
    <row r="273" spans="1:24" x14ac:dyDescent="0.25">
      <c r="A273" s="1">
        <v>46043</v>
      </c>
      <c r="B273" t="s">
        <v>614</v>
      </c>
      <c r="C273" t="s">
        <v>615</v>
      </c>
      <c r="E273" t="s">
        <v>616</v>
      </c>
      <c r="F273" t="s">
        <v>27</v>
      </c>
      <c r="G273" t="s">
        <v>37</v>
      </c>
      <c r="H273" t="s">
        <v>29</v>
      </c>
      <c r="I273" t="s">
        <v>30</v>
      </c>
      <c r="J273" t="s">
        <v>617</v>
      </c>
      <c r="L273" s="1">
        <v>45992</v>
      </c>
      <c r="M273" s="1">
        <v>45992</v>
      </c>
      <c r="O273">
        <v>16509456</v>
      </c>
      <c r="P273" t="s">
        <v>32</v>
      </c>
      <c r="Q273" t="s">
        <v>618</v>
      </c>
      <c r="R273">
        <v>8192</v>
      </c>
      <c r="S273" t="s">
        <v>34</v>
      </c>
      <c r="T273" t="s">
        <v>35</v>
      </c>
      <c r="U273">
        <v>-41.92</v>
      </c>
      <c r="V273" t="s">
        <v>38</v>
      </c>
      <c r="W273" s="1">
        <v>45991</v>
      </c>
      <c r="X273">
        <v>2026</v>
      </c>
    </row>
    <row r="274" spans="1:24" x14ac:dyDescent="0.25">
      <c r="A274" s="1">
        <v>46043</v>
      </c>
      <c r="B274" t="s">
        <v>619</v>
      </c>
      <c r="C274" t="s">
        <v>620</v>
      </c>
      <c r="E274" t="s">
        <v>621</v>
      </c>
      <c r="F274" t="s">
        <v>27</v>
      </c>
      <c r="G274" t="s">
        <v>528</v>
      </c>
      <c r="H274" t="s">
        <v>29</v>
      </c>
      <c r="I274" t="s">
        <v>30</v>
      </c>
      <c r="J274" t="s">
        <v>447</v>
      </c>
      <c r="L274" s="1">
        <v>46023</v>
      </c>
      <c r="M274" s="1">
        <v>45809</v>
      </c>
      <c r="O274">
        <v>18598357</v>
      </c>
      <c r="P274" t="s">
        <v>32</v>
      </c>
      <c r="Q274" t="s">
        <v>622</v>
      </c>
      <c r="R274">
        <v>8192</v>
      </c>
      <c r="S274" t="s">
        <v>34</v>
      </c>
      <c r="T274" t="s">
        <v>35</v>
      </c>
      <c r="U274">
        <v>37.17</v>
      </c>
      <c r="V274" t="s">
        <v>38</v>
      </c>
      <c r="W274" s="1">
        <v>46023</v>
      </c>
      <c r="X274">
        <v>2026</v>
      </c>
    </row>
    <row r="275" spans="1:24" x14ac:dyDescent="0.25">
      <c r="A275" s="1">
        <v>46043</v>
      </c>
      <c r="B275" t="s">
        <v>623</v>
      </c>
      <c r="C275" t="s">
        <v>624</v>
      </c>
      <c r="E275" t="s">
        <v>625</v>
      </c>
      <c r="F275" t="s">
        <v>27</v>
      </c>
      <c r="G275" t="s">
        <v>28</v>
      </c>
      <c r="H275" t="s">
        <v>29</v>
      </c>
      <c r="I275" t="s">
        <v>30</v>
      </c>
      <c r="J275" t="s">
        <v>447</v>
      </c>
      <c r="L275" s="1">
        <v>46023</v>
      </c>
      <c r="M275" s="1">
        <v>46023</v>
      </c>
      <c r="O275">
        <v>17886092</v>
      </c>
      <c r="P275" t="s">
        <v>32</v>
      </c>
      <c r="Q275" t="s">
        <v>88</v>
      </c>
      <c r="R275">
        <v>8192</v>
      </c>
      <c r="S275" t="s">
        <v>34</v>
      </c>
      <c r="T275" t="s">
        <v>35</v>
      </c>
      <c r="U275">
        <v>65</v>
      </c>
      <c r="V275" t="s">
        <v>36</v>
      </c>
      <c r="W275" s="1">
        <v>45987</v>
      </c>
      <c r="X275">
        <v>2026</v>
      </c>
    </row>
    <row r="276" spans="1:24" x14ac:dyDescent="0.25">
      <c r="A276" s="1">
        <v>46043</v>
      </c>
      <c r="B276" t="s">
        <v>623</v>
      </c>
      <c r="C276" t="s">
        <v>624</v>
      </c>
      <c r="E276" t="s">
        <v>625</v>
      </c>
      <c r="F276" t="s">
        <v>27</v>
      </c>
      <c r="G276" t="s">
        <v>37</v>
      </c>
      <c r="H276" t="s">
        <v>29</v>
      </c>
      <c r="I276" t="s">
        <v>30</v>
      </c>
      <c r="J276" t="s">
        <v>447</v>
      </c>
      <c r="L276" s="1">
        <v>46023</v>
      </c>
      <c r="M276" s="1">
        <v>46023</v>
      </c>
      <c r="O276">
        <v>17886092</v>
      </c>
      <c r="P276" t="s">
        <v>32</v>
      </c>
      <c r="Q276" t="s">
        <v>88</v>
      </c>
      <c r="R276">
        <v>8192</v>
      </c>
      <c r="S276" t="s">
        <v>34</v>
      </c>
      <c r="T276" t="s">
        <v>35</v>
      </c>
      <c r="U276">
        <v>-65</v>
      </c>
      <c r="V276" t="s">
        <v>38</v>
      </c>
      <c r="W276" s="1">
        <v>45987</v>
      </c>
      <c r="X276">
        <v>2026</v>
      </c>
    </row>
    <row r="277" spans="1:24" x14ac:dyDescent="0.25">
      <c r="A277" s="1">
        <v>46043</v>
      </c>
      <c r="B277" t="s">
        <v>626</v>
      </c>
      <c r="C277" t="s">
        <v>627</v>
      </c>
      <c r="E277" t="s">
        <v>628</v>
      </c>
      <c r="F277" t="s">
        <v>136</v>
      </c>
      <c r="G277" t="s">
        <v>115</v>
      </c>
      <c r="H277" t="s">
        <v>29</v>
      </c>
      <c r="I277" t="s">
        <v>137</v>
      </c>
      <c r="J277" t="s">
        <v>629</v>
      </c>
      <c r="L277" s="1">
        <v>46023</v>
      </c>
      <c r="M277" s="1">
        <v>46023</v>
      </c>
      <c r="O277">
        <v>8814784</v>
      </c>
      <c r="P277" t="s">
        <v>32</v>
      </c>
      <c r="Q277" t="s">
        <v>218</v>
      </c>
      <c r="R277">
        <v>8192</v>
      </c>
      <c r="S277" t="s">
        <v>34</v>
      </c>
      <c r="T277" t="s">
        <v>35</v>
      </c>
      <c r="U277">
        <v>497</v>
      </c>
      <c r="V277" t="s">
        <v>38</v>
      </c>
      <c r="W277" s="1">
        <v>45987</v>
      </c>
      <c r="X277">
        <v>2026</v>
      </c>
    </row>
    <row r="278" spans="1:24" x14ac:dyDescent="0.25">
      <c r="A278" s="1">
        <v>46043</v>
      </c>
      <c r="B278" t="s">
        <v>630</v>
      </c>
      <c r="C278" t="s">
        <v>631</v>
      </c>
      <c r="E278" t="s">
        <v>632</v>
      </c>
      <c r="F278" t="s">
        <v>27</v>
      </c>
      <c r="G278" t="s">
        <v>115</v>
      </c>
      <c r="H278" t="s">
        <v>29</v>
      </c>
      <c r="I278" t="s">
        <v>30</v>
      </c>
      <c r="J278" t="s">
        <v>31</v>
      </c>
      <c r="L278" s="1">
        <v>46023</v>
      </c>
      <c r="M278" s="1">
        <v>46023</v>
      </c>
      <c r="O278">
        <v>17528908</v>
      </c>
      <c r="P278" t="s">
        <v>32</v>
      </c>
      <c r="Q278" t="s">
        <v>33</v>
      </c>
      <c r="R278">
        <v>8192</v>
      </c>
      <c r="S278" t="s">
        <v>34</v>
      </c>
      <c r="T278" t="s">
        <v>35</v>
      </c>
      <c r="U278">
        <v>541</v>
      </c>
      <c r="V278" t="s">
        <v>38</v>
      </c>
      <c r="W278" s="1">
        <v>45982</v>
      </c>
      <c r="X278">
        <v>2026</v>
      </c>
    </row>
    <row r="279" spans="1:24" x14ac:dyDescent="0.25">
      <c r="A279" s="1">
        <v>46043</v>
      </c>
      <c r="B279" t="s">
        <v>633</v>
      </c>
      <c r="C279" t="s">
        <v>634</v>
      </c>
      <c r="E279" t="s">
        <v>635</v>
      </c>
      <c r="F279" t="s">
        <v>42</v>
      </c>
      <c r="G279" t="s">
        <v>49</v>
      </c>
      <c r="H279" t="s">
        <v>29</v>
      </c>
      <c r="I279" t="s">
        <v>43</v>
      </c>
      <c r="J279" t="s">
        <v>50</v>
      </c>
      <c r="L279" s="1">
        <v>46023</v>
      </c>
      <c r="M279" s="1">
        <v>46023</v>
      </c>
      <c r="O279">
        <v>7146581</v>
      </c>
      <c r="P279" t="s">
        <v>32</v>
      </c>
      <c r="Q279" t="s">
        <v>158</v>
      </c>
      <c r="R279">
        <v>8192</v>
      </c>
      <c r="S279" t="s">
        <v>34</v>
      </c>
      <c r="T279" t="s">
        <v>35</v>
      </c>
      <c r="U279">
        <v>844</v>
      </c>
      <c r="V279" t="s">
        <v>36</v>
      </c>
      <c r="W279" s="1">
        <v>45978</v>
      </c>
      <c r="X279">
        <v>2026</v>
      </c>
    </row>
    <row r="280" spans="1:24" x14ac:dyDescent="0.25">
      <c r="A280" s="1">
        <v>46043</v>
      </c>
      <c r="B280" t="s">
        <v>633</v>
      </c>
      <c r="C280" t="s">
        <v>634</v>
      </c>
      <c r="E280" t="s">
        <v>635</v>
      </c>
      <c r="F280" t="s">
        <v>42</v>
      </c>
      <c r="G280" t="s">
        <v>37</v>
      </c>
      <c r="H280" t="s">
        <v>29</v>
      </c>
      <c r="I280" t="s">
        <v>43</v>
      </c>
      <c r="J280" t="s">
        <v>50</v>
      </c>
      <c r="L280" s="1">
        <v>46023</v>
      </c>
      <c r="M280" s="1">
        <v>46023</v>
      </c>
      <c r="O280">
        <v>7146581</v>
      </c>
      <c r="P280" t="s">
        <v>32</v>
      </c>
      <c r="Q280" t="s">
        <v>158</v>
      </c>
      <c r="R280">
        <v>8192</v>
      </c>
      <c r="S280" t="s">
        <v>34</v>
      </c>
      <c r="T280" t="s">
        <v>35</v>
      </c>
      <c r="U280">
        <v>-497</v>
      </c>
      <c r="V280" t="s">
        <v>38</v>
      </c>
      <c r="W280" s="1">
        <v>45978</v>
      </c>
      <c r="X280">
        <v>2026</v>
      </c>
    </row>
    <row r="281" spans="1:24" x14ac:dyDescent="0.25">
      <c r="A281" s="1">
        <v>46043</v>
      </c>
      <c r="B281" t="s">
        <v>636</v>
      </c>
      <c r="C281" t="s">
        <v>637</v>
      </c>
      <c r="E281" t="s">
        <v>638</v>
      </c>
      <c r="F281" t="s">
        <v>42</v>
      </c>
      <c r="G281" t="s">
        <v>49</v>
      </c>
      <c r="H281" t="s">
        <v>29</v>
      </c>
      <c r="I281" t="s">
        <v>43</v>
      </c>
      <c r="J281" t="s">
        <v>50</v>
      </c>
      <c r="L281" s="1">
        <v>46023</v>
      </c>
      <c r="M281" s="1">
        <v>46023</v>
      </c>
      <c r="O281">
        <v>18828278</v>
      </c>
      <c r="P281" t="s">
        <v>32</v>
      </c>
      <c r="Q281" t="s">
        <v>51</v>
      </c>
      <c r="R281">
        <v>8192</v>
      </c>
      <c r="S281" t="s">
        <v>34</v>
      </c>
      <c r="T281" t="s">
        <v>35</v>
      </c>
      <c r="U281">
        <v>829</v>
      </c>
      <c r="V281" t="s">
        <v>36</v>
      </c>
      <c r="W281" s="1">
        <v>45960</v>
      </c>
      <c r="X281">
        <v>2026</v>
      </c>
    </row>
    <row r="282" spans="1:24" x14ac:dyDescent="0.25">
      <c r="A282" s="1">
        <v>46043</v>
      </c>
      <c r="B282" t="s">
        <v>636</v>
      </c>
      <c r="C282" t="s">
        <v>637</v>
      </c>
      <c r="E282" t="s">
        <v>638</v>
      </c>
      <c r="F282" t="s">
        <v>42</v>
      </c>
      <c r="G282" t="s">
        <v>37</v>
      </c>
      <c r="H282" t="s">
        <v>29</v>
      </c>
      <c r="I282" t="s">
        <v>43</v>
      </c>
      <c r="J282" t="s">
        <v>50</v>
      </c>
      <c r="L282" s="1">
        <v>46023</v>
      </c>
      <c r="M282" s="1">
        <v>46023</v>
      </c>
      <c r="O282">
        <v>18828278</v>
      </c>
      <c r="P282" t="s">
        <v>32</v>
      </c>
      <c r="Q282" t="s">
        <v>51</v>
      </c>
      <c r="R282">
        <v>8192</v>
      </c>
      <c r="S282" t="s">
        <v>34</v>
      </c>
      <c r="T282" t="s">
        <v>35</v>
      </c>
      <c r="U282">
        <v>-482</v>
      </c>
      <c r="V282" t="s">
        <v>38</v>
      </c>
      <c r="W282" s="1">
        <v>45960</v>
      </c>
      <c r="X282">
        <v>2026</v>
      </c>
    </row>
    <row r="283" spans="1:24" x14ac:dyDescent="0.25">
      <c r="A283" s="1">
        <v>46043</v>
      </c>
      <c r="B283" t="s">
        <v>639</v>
      </c>
      <c r="C283" t="s">
        <v>640</v>
      </c>
      <c r="E283" t="s">
        <v>641</v>
      </c>
      <c r="F283" t="s">
        <v>642</v>
      </c>
      <c r="G283" t="s">
        <v>115</v>
      </c>
      <c r="H283" t="s">
        <v>29</v>
      </c>
      <c r="I283" t="s">
        <v>561</v>
      </c>
      <c r="J283" t="s">
        <v>643</v>
      </c>
      <c r="L283" s="1">
        <v>46023</v>
      </c>
      <c r="M283" s="1">
        <v>46023</v>
      </c>
      <c r="O283">
        <v>17859093</v>
      </c>
      <c r="P283" t="s">
        <v>32</v>
      </c>
      <c r="Q283" t="s">
        <v>644</v>
      </c>
      <c r="R283">
        <v>8192</v>
      </c>
      <c r="S283" t="s">
        <v>34</v>
      </c>
      <c r="T283" t="s">
        <v>35</v>
      </c>
      <c r="U283">
        <v>150</v>
      </c>
      <c r="V283" t="s">
        <v>38</v>
      </c>
      <c r="W283" s="1">
        <v>45996</v>
      </c>
      <c r="X283">
        <v>2026</v>
      </c>
    </row>
    <row r="284" spans="1:24" x14ac:dyDescent="0.25">
      <c r="A284" s="1">
        <v>46043</v>
      </c>
      <c r="B284" t="s">
        <v>639</v>
      </c>
      <c r="C284" t="s">
        <v>640</v>
      </c>
      <c r="E284" t="s">
        <v>641</v>
      </c>
      <c r="F284" t="s">
        <v>642</v>
      </c>
      <c r="G284" t="s">
        <v>115</v>
      </c>
      <c r="H284" t="s">
        <v>29</v>
      </c>
      <c r="I284" t="s">
        <v>561</v>
      </c>
      <c r="J284" t="s">
        <v>643</v>
      </c>
      <c r="L284" s="1">
        <v>46023</v>
      </c>
      <c r="M284" s="1">
        <v>46023</v>
      </c>
      <c r="O284">
        <v>17859093</v>
      </c>
      <c r="P284" t="s">
        <v>32</v>
      </c>
      <c r="Q284" t="s">
        <v>644</v>
      </c>
      <c r="R284">
        <v>8192</v>
      </c>
      <c r="S284" t="s">
        <v>34</v>
      </c>
      <c r="T284" t="s">
        <v>35</v>
      </c>
      <c r="U284">
        <v>347</v>
      </c>
      <c r="V284" t="s">
        <v>38</v>
      </c>
      <c r="W284" s="1">
        <v>45996</v>
      </c>
      <c r="X284">
        <v>2026</v>
      </c>
    </row>
    <row r="285" spans="1:24" x14ac:dyDescent="0.25">
      <c r="A285" s="1">
        <v>46043</v>
      </c>
      <c r="B285" t="s">
        <v>645</v>
      </c>
      <c r="C285" t="s">
        <v>646</v>
      </c>
      <c r="E285" t="s">
        <v>647</v>
      </c>
      <c r="F285" t="s">
        <v>42</v>
      </c>
      <c r="G285" t="s">
        <v>49</v>
      </c>
      <c r="H285" t="s">
        <v>29</v>
      </c>
      <c r="I285" t="s">
        <v>43</v>
      </c>
      <c r="J285" t="s">
        <v>50</v>
      </c>
      <c r="L285" s="1">
        <v>46023</v>
      </c>
      <c r="M285" s="1">
        <v>46023</v>
      </c>
      <c r="O285">
        <v>8244481</v>
      </c>
      <c r="P285" t="s">
        <v>32</v>
      </c>
      <c r="Q285" t="s">
        <v>45</v>
      </c>
      <c r="R285">
        <v>8192</v>
      </c>
      <c r="S285" t="s">
        <v>34</v>
      </c>
      <c r="T285" t="s">
        <v>35</v>
      </c>
      <c r="U285">
        <v>829</v>
      </c>
      <c r="V285" t="s">
        <v>36</v>
      </c>
      <c r="W285" s="1">
        <v>45958</v>
      </c>
      <c r="X285">
        <v>2026</v>
      </c>
    </row>
    <row r="286" spans="1:24" x14ac:dyDescent="0.25">
      <c r="A286" s="1">
        <v>46043</v>
      </c>
      <c r="B286" t="s">
        <v>645</v>
      </c>
      <c r="C286" t="s">
        <v>646</v>
      </c>
      <c r="E286" t="s">
        <v>647</v>
      </c>
      <c r="F286" t="s">
        <v>42</v>
      </c>
      <c r="G286" t="s">
        <v>37</v>
      </c>
      <c r="H286" t="s">
        <v>29</v>
      </c>
      <c r="I286" t="s">
        <v>43</v>
      </c>
      <c r="J286" t="s">
        <v>50</v>
      </c>
      <c r="L286" s="1">
        <v>46023</v>
      </c>
      <c r="M286" s="1">
        <v>46023</v>
      </c>
      <c r="O286">
        <v>8244481</v>
      </c>
      <c r="P286" t="s">
        <v>32</v>
      </c>
      <c r="Q286" t="s">
        <v>45</v>
      </c>
      <c r="R286">
        <v>8192</v>
      </c>
      <c r="S286" t="s">
        <v>34</v>
      </c>
      <c r="T286" t="s">
        <v>35</v>
      </c>
      <c r="U286">
        <v>-482</v>
      </c>
      <c r="V286" t="s">
        <v>38</v>
      </c>
      <c r="W286" s="1">
        <v>45958</v>
      </c>
      <c r="X286">
        <v>2026</v>
      </c>
    </row>
    <row r="287" spans="1:24" x14ac:dyDescent="0.25">
      <c r="A287" s="1">
        <v>46043</v>
      </c>
      <c r="B287" t="s">
        <v>648</v>
      </c>
      <c r="C287" t="s">
        <v>649</v>
      </c>
      <c r="E287" t="s">
        <v>650</v>
      </c>
      <c r="F287" t="s">
        <v>27</v>
      </c>
      <c r="G287" t="s">
        <v>28</v>
      </c>
      <c r="H287" t="s">
        <v>29</v>
      </c>
      <c r="I287" t="s">
        <v>30</v>
      </c>
      <c r="J287" t="s">
        <v>651</v>
      </c>
      <c r="L287" s="1">
        <v>46023</v>
      </c>
      <c r="M287" s="1">
        <v>46023</v>
      </c>
      <c r="O287">
        <v>15950276</v>
      </c>
      <c r="P287" t="s">
        <v>32</v>
      </c>
      <c r="Q287" t="s">
        <v>652</v>
      </c>
      <c r="R287">
        <v>8192</v>
      </c>
      <c r="S287" t="s">
        <v>34</v>
      </c>
      <c r="T287" t="s">
        <v>35</v>
      </c>
      <c r="U287">
        <v>931</v>
      </c>
      <c r="V287" t="s">
        <v>36</v>
      </c>
      <c r="W287" s="1">
        <v>45996</v>
      </c>
      <c r="X287">
        <v>2026</v>
      </c>
    </row>
    <row r="288" spans="1:24" x14ac:dyDescent="0.25">
      <c r="A288" s="1">
        <v>46043</v>
      </c>
      <c r="B288" t="s">
        <v>648</v>
      </c>
      <c r="C288" t="s">
        <v>649</v>
      </c>
      <c r="E288" t="s">
        <v>650</v>
      </c>
      <c r="F288" t="s">
        <v>27</v>
      </c>
      <c r="G288" t="s">
        <v>37</v>
      </c>
      <c r="H288" t="s">
        <v>29</v>
      </c>
      <c r="I288" t="s">
        <v>30</v>
      </c>
      <c r="J288" t="s">
        <v>651</v>
      </c>
      <c r="L288" s="1">
        <v>46023</v>
      </c>
      <c r="M288" s="1">
        <v>46023</v>
      </c>
      <c r="O288">
        <v>15950276</v>
      </c>
      <c r="P288" t="s">
        <v>32</v>
      </c>
      <c r="Q288" t="s">
        <v>652</v>
      </c>
      <c r="R288">
        <v>8192</v>
      </c>
      <c r="S288" t="s">
        <v>34</v>
      </c>
      <c r="T288" t="s">
        <v>35</v>
      </c>
      <c r="U288">
        <v>-541</v>
      </c>
      <c r="V288" t="s">
        <v>38</v>
      </c>
      <c r="W288" s="1">
        <v>45996</v>
      </c>
      <c r="X288">
        <v>2026</v>
      </c>
    </row>
    <row r="289" spans="1:24" x14ac:dyDescent="0.25">
      <c r="A289" s="1">
        <v>46043</v>
      </c>
      <c r="B289" t="s">
        <v>653</v>
      </c>
      <c r="C289" t="s">
        <v>654</v>
      </c>
      <c r="E289" t="s">
        <v>655</v>
      </c>
      <c r="F289" t="s">
        <v>27</v>
      </c>
      <c r="G289" t="s">
        <v>28</v>
      </c>
      <c r="H289" t="s">
        <v>29</v>
      </c>
      <c r="I289" t="s">
        <v>30</v>
      </c>
      <c r="J289" t="s">
        <v>246</v>
      </c>
      <c r="L289" s="1">
        <v>45992</v>
      </c>
      <c r="M289" s="1">
        <v>45992</v>
      </c>
      <c r="O289">
        <v>14936854</v>
      </c>
      <c r="P289" t="s">
        <v>93</v>
      </c>
      <c r="Q289" t="s">
        <v>94</v>
      </c>
      <c r="R289">
        <v>8192</v>
      </c>
      <c r="S289" t="s">
        <v>34</v>
      </c>
      <c r="T289" t="s">
        <v>35</v>
      </c>
      <c r="U289">
        <v>135</v>
      </c>
      <c r="V289" t="s">
        <v>36</v>
      </c>
      <c r="W289" s="1">
        <v>45989</v>
      </c>
      <c r="X289">
        <v>2026</v>
      </c>
    </row>
    <row r="290" spans="1:24" x14ac:dyDescent="0.25">
      <c r="A290" s="1">
        <v>46043</v>
      </c>
      <c r="B290" t="s">
        <v>653</v>
      </c>
      <c r="C290" t="s">
        <v>654</v>
      </c>
      <c r="E290" t="s">
        <v>655</v>
      </c>
      <c r="F290" t="s">
        <v>27</v>
      </c>
      <c r="G290" t="s">
        <v>37</v>
      </c>
      <c r="H290" t="s">
        <v>29</v>
      </c>
      <c r="I290" t="s">
        <v>30</v>
      </c>
      <c r="J290" t="s">
        <v>246</v>
      </c>
      <c r="L290" s="1">
        <v>45992</v>
      </c>
      <c r="M290" s="1">
        <v>45992</v>
      </c>
      <c r="O290">
        <v>14936854</v>
      </c>
      <c r="P290" t="s">
        <v>93</v>
      </c>
      <c r="Q290" t="s">
        <v>94</v>
      </c>
      <c r="R290">
        <v>8192</v>
      </c>
      <c r="S290" t="s">
        <v>34</v>
      </c>
      <c r="T290" t="s">
        <v>35</v>
      </c>
      <c r="U290">
        <v>-11.25</v>
      </c>
      <c r="V290" t="s">
        <v>38</v>
      </c>
      <c r="W290" s="1">
        <v>45989</v>
      </c>
      <c r="X290">
        <v>2026</v>
      </c>
    </row>
    <row r="291" spans="1:24" x14ac:dyDescent="0.25">
      <c r="A291" s="1">
        <v>46043</v>
      </c>
      <c r="B291" t="s">
        <v>656</v>
      </c>
      <c r="C291" t="s">
        <v>657</v>
      </c>
      <c r="E291" t="s">
        <v>658</v>
      </c>
      <c r="F291" t="s">
        <v>42</v>
      </c>
      <c r="G291" t="s">
        <v>28</v>
      </c>
      <c r="H291" t="s">
        <v>29</v>
      </c>
      <c r="I291" t="s">
        <v>43</v>
      </c>
      <c r="J291" t="s">
        <v>50</v>
      </c>
      <c r="L291" s="1">
        <v>46023</v>
      </c>
      <c r="M291" s="1">
        <v>46023</v>
      </c>
      <c r="O291">
        <v>20003537</v>
      </c>
      <c r="P291" t="s">
        <v>32</v>
      </c>
      <c r="Q291" t="s">
        <v>193</v>
      </c>
      <c r="R291">
        <v>8192</v>
      </c>
      <c r="S291" t="s">
        <v>34</v>
      </c>
      <c r="T291" t="s">
        <v>35</v>
      </c>
      <c r="U291">
        <v>844</v>
      </c>
      <c r="V291" t="s">
        <v>36</v>
      </c>
      <c r="W291" s="1">
        <v>45993</v>
      </c>
      <c r="X291">
        <v>2026</v>
      </c>
    </row>
    <row r="292" spans="1:24" x14ac:dyDescent="0.25">
      <c r="A292" s="1">
        <v>46043</v>
      </c>
      <c r="B292" t="s">
        <v>656</v>
      </c>
      <c r="C292" t="s">
        <v>657</v>
      </c>
      <c r="E292" t="s">
        <v>658</v>
      </c>
      <c r="F292" t="s">
        <v>42</v>
      </c>
      <c r="G292" t="s">
        <v>37</v>
      </c>
      <c r="H292" t="s">
        <v>29</v>
      </c>
      <c r="I292" t="s">
        <v>43</v>
      </c>
      <c r="J292" t="s">
        <v>50</v>
      </c>
      <c r="L292" s="1">
        <v>46023</v>
      </c>
      <c r="M292" s="1">
        <v>46023</v>
      </c>
      <c r="O292">
        <v>20003537</v>
      </c>
      <c r="P292" t="s">
        <v>32</v>
      </c>
      <c r="Q292" t="s">
        <v>193</v>
      </c>
      <c r="R292">
        <v>8192</v>
      </c>
      <c r="S292" t="s">
        <v>34</v>
      </c>
      <c r="T292" t="s">
        <v>35</v>
      </c>
      <c r="U292">
        <v>-497</v>
      </c>
      <c r="V292" t="s">
        <v>38</v>
      </c>
      <c r="W292" s="1">
        <v>45993</v>
      </c>
      <c r="X292">
        <v>2026</v>
      </c>
    </row>
    <row r="293" spans="1:24" x14ac:dyDescent="0.25">
      <c r="A293" s="1">
        <v>46043</v>
      </c>
      <c r="B293" t="s">
        <v>659</v>
      </c>
      <c r="C293" t="s">
        <v>660</v>
      </c>
      <c r="E293" t="s">
        <v>661</v>
      </c>
      <c r="F293" t="s">
        <v>27</v>
      </c>
      <c r="G293" t="s">
        <v>28</v>
      </c>
      <c r="H293" t="s">
        <v>86</v>
      </c>
      <c r="I293" t="s">
        <v>30</v>
      </c>
      <c r="J293" t="s">
        <v>87</v>
      </c>
      <c r="L293" s="1">
        <v>46023</v>
      </c>
      <c r="M293" s="1">
        <v>46023</v>
      </c>
      <c r="O293">
        <v>18710070</v>
      </c>
      <c r="P293" t="s">
        <v>32</v>
      </c>
      <c r="Q293" t="s">
        <v>470</v>
      </c>
      <c r="R293">
        <v>8192</v>
      </c>
      <c r="S293" t="s">
        <v>34</v>
      </c>
      <c r="T293" t="s">
        <v>35</v>
      </c>
      <c r="U293">
        <v>916</v>
      </c>
      <c r="V293" t="s">
        <v>36</v>
      </c>
      <c r="W293" s="1">
        <v>45958</v>
      </c>
      <c r="X293">
        <v>2026</v>
      </c>
    </row>
    <row r="294" spans="1:24" x14ac:dyDescent="0.25">
      <c r="A294" s="1">
        <v>46043</v>
      </c>
      <c r="B294" t="s">
        <v>659</v>
      </c>
      <c r="C294" t="s">
        <v>660</v>
      </c>
      <c r="E294" t="s">
        <v>661</v>
      </c>
      <c r="F294" t="s">
        <v>27</v>
      </c>
      <c r="G294" t="s">
        <v>37</v>
      </c>
      <c r="H294" t="s">
        <v>86</v>
      </c>
      <c r="I294" t="s">
        <v>30</v>
      </c>
      <c r="J294" t="s">
        <v>87</v>
      </c>
      <c r="L294" s="1">
        <v>46023</v>
      </c>
      <c r="M294" s="1">
        <v>46023</v>
      </c>
      <c r="O294">
        <v>18710070</v>
      </c>
      <c r="P294" t="s">
        <v>32</v>
      </c>
      <c r="Q294" t="s">
        <v>470</v>
      </c>
      <c r="R294">
        <v>8192</v>
      </c>
      <c r="S294" t="s">
        <v>34</v>
      </c>
      <c r="T294" t="s">
        <v>35</v>
      </c>
      <c r="U294">
        <v>-526</v>
      </c>
      <c r="V294" t="s">
        <v>38</v>
      </c>
      <c r="W294" s="1">
        <v>45958</v>
      </c>
      <c r="X294">
        <v>2026</v>
      </c>
    </row>
    <row r="295" spans="1:24" x14ac:dyDescent="0.25">
      <c r="A295" s="1">
        <v>46043</v>
      </c>
      <c r="B295" t="s">
        <v>662</v>
      </c>
      <c r="C295" t="s">
        <v>663</v>
      </c>
      <c r="E295" t="s">
        <v>664</v>
      </c>
      <c r="F295" t="s">
        <v>42</v>
      </c>
      <c r="G295" t="s">
        <v>28</v>
      </c>
      <c r="H295" t="s">
        <v>29</v>
      </c>
      <c r="I295" t="s">
        <v>55</v>
      </c>
      <c r="J295" t="s">
        <v>277</v>
      </c>
      <c r="L295" s="1">
        <v>46023</v>
      </c>
      <c r="M295" s="1">
        <v>46023</v>
      </c>
      <c r="O295">
        <v>20212926</v>
      </c>
      <c r="P295" t="s">
        <v>32</v>
      </c>
      <c r="Q295" t="s">
        <v>665</v>
      </c>
      <c r="R295">
        <v>8192</v>
      </c>
      <c r="S295" t="s">
        <v>34</v>
      </c>
      <c r="T295" t="s">
        <v>35</v>
      </c>
      <c r="U295">
        <v>844</v>
      </c>
      <c r="V295" t="s">
        <v>36</v>
      </c>
      <c r="W295" s="1">
        <v>45989</v>
      </c>
      <c r="X295">
        <v>2026</v>
      </c>
    </row>
    <row r="296" spans="1:24" x14ac:dyDescent="0.25">
      <c r="A296" s="1">
        <v>46043</v>
      </c>
      <c r="B296" t="s">
        <v>662</v>
      </c>
      <c r="C296" t="s">
        <v>663</v>
      </c>
      <c r="E296" t="s">
        <v>664</v>
      </c>
      <c r="F296" t="s">
        <v>42</v>
      </c>
      <c r="G296" t="s">
        <v>37</v>
      </c>
      <c r="H296" t="s">
        <v>29</v>
      </c>
      <c r="I296" t="s">
        <v>55</v>
      </c>
      <c r="J296" t="s">
        <v>277</v>
      </c>
      <c r="L296" s="1">
        <v>46023</v>
      </c>
      <c r="M296" s="1">
        <v>46023</v>
      </c>
      <c r="O296">
        <v>20212926</v>
      </c>
      <c r="P296" t="s">
        <v>32</v>
      </c>
      <c r="Q296" t="s">
        <v>665</v>
      </c>
      <c r="R296">
        <v>8192</v>
      </c>
      <c r="S296" t="s">
        <v>34</v>
      </c>
      <c r="T296" t="s">
        <v>35</v>
      </c>
      <c r="U296">
        <v>-497</v>
      </c>
      <c r="V296" t="s">
        <v>38</v>
      </c>
      <c r="W296" s="1">
        <v>45989</v>
      </c>
      <c r="X296">
        <v>2026</v>
      </c>
    </row>
    <row r="297" spans="1:24" x14ac:dyDescent="0.25">
      <c r="A297" s="1">
        <v>46043</v>
      </c>
      <c r="B297" t="s">
        <v>666</v>
      </c>
      <c r="C297" t="s">
        <v>667</v>
      </c>
      <c r="E297" t="s">
        <v>668</v>
      </c>
      <c r="F297" t="s">
        <v>42</v>
      </c>
      <c r="G297" t="s">
        <v>49</v>
      </c>
      <c r="H297" t="s">
        <v>29</v>
      </c>
      <c r="I297" t="s">
        <v>43</v>
      </c>
      <c r="J297" t="s">
        <v>44</v>
      </c>
      <c r="L297" s="1">
        <v>46023</v>
      </c>
      <c r="M297" s="1">
        <v>46023</v>
      </c>
      <c r="O297">
        <v>8325282</v>
      </c>
      <c r="P297" t="s">
        <v>32</v>
      </c>
      <c r="Q297" t="s">
        <v>313</v>
      </c>
      <c r="R297">
        <v>8192</v>
      </c>
      <c r="S297" t="s">
        <v>34</v>
      </c>
      <c r="T297" t="s">
        <v>35</v>
      </c>
      <c r="U297">
        <v>844</v>
      </c>
      <c r="V297" t="s">
        <v>36</v>
      </c>
      <c r="W297" s="1">
        <v>45982</v>
      </c>
      <c r="X297">
        <v>2026</v>
      </c>
    </row>
    <row r="298" spans="1:24" x14ac:dyDescent="0.25">
      <c r="A298" s="1">
        <v>46043</v>
      </c>
      <c r="B298" t="s">
        <v>666</v>
      </c>
      <c r="C298" t="s">
        <v>667</v>
      </c>
      <c r="E298" t="s">
        <v>668</v>
      </c>
      <c r="F298" t="s">
        <v>42</v>
      </c>
      <c r="G298" t="s">
        <v>37</v>
      </c>
      <c r="H298" t="s">
        <v>29</v>
      </c>
      <c r="I298" t="s">
        <v>43</v>
      </c>
      <c r="J298" t="s">
        <v>44</v>
      </c>
      <c r="L298" s="1">
        <v>46023</v>
      </c>
      <c r="M298" s="1">
        <v>46023</v>
      </c>
      <c r="O298">
        <v>8325282</v>
      </c>
      <c r="P298" t="s">
        <v>32</v>
      </c>
      <c r="Q298" t="s">
        <v>313</v>
      </c>
      <c r="R298">
        <v>8192</v>
      </c>
      <c r="S298" t="s">
        <v>34</v>
      </c>
      <c r="T298" t="s">
        <v>35</v>
      </c>
      <c r="U298">
        <v>-497</v>
      </c>
      <c r="V298" t="s">
        <v>38</v>
      </c>
      <c r="W298" s="1">
        <v>45982</v>
      </c>
      <c r="X298">
        <v>2026</v>
      </c>
    </row>
    <row r="299" spans="1:24" x14ac:dyDescent="0.25">
      <c r="A299" s="1">
        <v>46043</v>
      </c>
      <c r="B299" t="s">
        <v>669</v>
      </c>
      <c r="C299" t="s">
        <v>670</v>
      </c>
      <c r="E299" t="s">
        <v>671</v>
      </c>
      <c r="F299" t="s">
        <v>42</v>
      </c>
      <c r="G299" t="s">
        <v>217</v>
      </c>
      <c r="H299" t="s">
        <v>29</v>
      </c>
      <c r="I299" t="s">
        <v>43</v>
      </c>
      <c r="J299" t="s">
        <v>333</v>
      </c>
      <c r="L299" s="1">
        <v>46023</v>
      </c>
      <c r="M299" s="1">
        <v>46023</v>
      </c>
      <c r="N299" s="1">
        <v>46053</v>
      </c>
      <c r="O299">
        <v>18828278</v>
      </c>
      <c r="P299" t="s">
        <v>32</v>
      </c>
      <c r="Q299" t="s">
        <v>51</v>
      </c>
      <c r="R299">
        <v>8192</v>
      </c>
      <c r="S299" t="s">
        <v>34</v>
      </c>
      <c r="T299" t="s">
        <v>35</v>
      </c>
      <c r="U299">
        <v>-482</v>
      </c>
      <c r="V299" t="s">
        <v>38</v>
      </c>
      <c r="W299" s="1">
        <v>45957</v>
      </c>
      <c r="X299">
        <v>2026</v>
      </c>
    </row>
    <row r="300" spans="1:24" x14ac:dyDescent="0.25">
      <c r="A300" s="1">
        <v>46043</v>
      </c>
      <c r="B300" t="s">
        <v>672</v>
      </c>
      <c r="C300" t="s">
        <v>673</v>
      </c>
      <c r="E300" t="s">
        <v>674</v>
      </c>
      <c r="F300" t="s">
        <v>27</v>
      </c>
      <c r="G300" t="s">
        <v>49</v>
      </c>
      <c r="H300" t="s">
        <v>29</v>
      </c>
      <c r="I300" t="s">
        <v>30</v>
      </c>
      <c r="J300" t="s">
        <v>82</v>
      </c>
      <c r="L300" s="1">
        <v>46023</v>
      </c>
      <c r="M300" s="1">
        <v>46023</v>
      </c>
      <c r="O300">
        <v>17886092</v>
      </c>
      <c r="P300" t="s">
        <v>32</v>
      </c>
      <c r="Q300" t="s">
        <v>88</v>
      </c>
      <c r="R300">
        <v>8192</v>
      </c>
      <c r="S300" t="s">
        <v>34</v>
      </c>
      <c r="T300" t="s">
        <v>35</v>
      </c>
      <c r="U300">
        <v>65</v>
      </c>
      <c r="V300" t="s">
        <v>36</v>
      </c>
      <c r="W300" s="1">
        <v>45987</v>
      </c>
      <c r="X300">
        <v>2026</v>
      </c>
    </row>
    <row r="301" spans="1:24" x14ac:dyDescent="0.25">
      <c r="A301" s="1">
        <v>46043</v>
      </c>
      <c r="B301" t="s">
        <v>672</v>
      </c>
      <c r="C301" t="s">
        <v>673</v>
      </c>
      <c r="E301" t="s">
        <v>674</v>
      </c>
      <c r="F301" t="s">
        <v>27</v>
      </c>
      <c r="G301" t="s">
        <v>37</v>
      </c>
      <c r="H301" t="s">
        <v>29</v>
      </c>
      <c r="I301" t="s">
        <v>30</v>
      </c>
      <c r="J301" t="s">
        <v>82</v>
      </c>
      <c r="L301" s="1">
        <v>46023</v>
      </c>
      <c r="M301" s="1">
        <v>46023</v>
      </c>
      <c r="O301">
        <v>17886092</v>
      </c>
      <c r="P301" t="s">
        <v>32</v>
      </c>
      <c r="Q301" t="s">
        <v>88</v>
      </c>
      <c r="R301">
        <v>8192</v>
      </c>
      <c r="S301" t="s">
        <v>34</v>
      </c>
      <c r="T301" t="s">
        <v>35</v>
      </c>
      <c r="U301">
        <v>-65</v>
      </c>
      <c r="V301" t="s">
        <v>38</v>
      </c>
      <c r="W301" s="1">
        <v>45987</v>
      </c>
      <c r="X301">
        <v>2026</v>
      </c>
    </row>
    <row r="302" spans="1:24" x14ac:dyDescent="0.25">
      <c r="A302" s="1">
        <v>46043</v>
      </c>
      <c r="B302" t="s">
        <v>675</v>
      </c>
      <c r="C302" t="s">
        <v>676</v>
      </c>
      <c r="E302" t="s">
        <v>677</v>
      </c>
      <c r="F302" t="s">
        <v>98</v>
      </c>
      <c r="G302" t="s">
        <v>49</v>
      </c>
      <c r="H302" t="s">
        <v>29</v>
      </c>
      <c r="I302" t="s">
        <v>99</v>
      </c>
      <c r="J302" t="s">
        <v>426</v>
      </c>
      <c r="L302" s="1">
        <v>46023</v>
      </c>
      <c r="M302" s="1">
        <v>46023</v>
      </c>
      <c r="O302">
        <v>19491313</v>
      </c>
      <c r="P302" t="s">
        <v>32</v>
      </c>
      <c r="Q302" t="s">
        <v>101</v>
      </c>
      <c r="R302">
        <v>8192</v>
      </c>
      <c r="S302" t="s">
        <v>34</v>
      </c>
      <c r="T302" t="s">
        <v>35</v>
      </c>
      <c r="U302">
        <v>844</v>
      </c>
      <c r="V302" t="s">
        <v>36</v>
      </c>
      <c r="W302" s="1">
        <v>45992</v>
      </c>
      <c r="X302">
        <v>2026</v>
      </c>
    </row>
    <row r="303" spans="1:24" x14ac:dyDescent="0.25">
      <c r="A303" s="1">
        <v>46043</v>
      </c>
      <c r="B303" t="s">
        <v>675</v>
      </c>
      <c r="C303" t="s">
        <v>676</v>
      </c>
      <c r="E303" t="s">
        <v>677</v>
      </c>
      <c r="F303" t="s">
        <v>98</v>
      </c>
      <c r="G303" t="s">
        <v>37</v>
      </c>
      <c r="H303" t="s">
        <v>29</v>
      </c>
      <c r="I303" t="s">
        <v>99</v>
      </c>
      <c r="J303" t="s">
        <v>426</v>
      </c>
      <c r="L303" s="1">
        <v>46023</v>
      </c>
      <c r="M303" s="1">
        <v>46023</v>
      </c>
      <c r="O303">
        <v>19491313</v>
      </c>
      <c r="P303" t="s">
        <v>32</v>
      </c>
      <c r="Q303" t="s">
        <v>101</v>
      </c>
      <c r="R303">
        <v>8192</v>
      </c>
      <c r="S303" t="s">
        <v>34</v>
      </c>
      <c r="T303" t="s">
        <v>35</v>
      </c>
      <c r="U303">
        <v>-497</v>
      </c>
      <c r="V303" t="s">
        <v>38</v>
      </c>
      <c r="W303" s="1">
        <v>45992</v>
      </c>
      <c r="X303">
        <v>2026</v>
      </c>
    </row>
    <row r="304" spans="1:24" x14ac:dyDescent="0.25">
      <c r="A304" s="1">
        <v>46043</v>
      </c>
      <c r="B304" t="s">
        <v>678</v>
      </c>
      <c r="C304" t="s">
        <v>679</v>
      </c>
      <c r="E304" t="s">
        <v>680</v>
      </c>
      <c r="F304" t="s">
        <v>182</v>
      </c>
      <c r="G304" t="s">
        <v>28</v>
      </c>
      <c r="H304" t="s">
        <v>29</v>
      </c>
      <c r="I304" t="s">
        <v>30</v>
      </c>
      <c r="J304" t="s">
        <v>183</v>
      </c>
      <c r="L304" s="1">
        <v>46023</v>
      </c>
      <c r="M304" s="1">
        <v>46023</v>
      </c>
      <c r="O304">
        <v>17425766</v>
      </c>
      <c r="P304" t="s">
        <v>32</v>
      </c>
      <c r="Q304" t="s">
        <v>71</v>
      </c>
      <c r="R304">
        <v>8192</v>
      </c>
      <c r="S304" t="s">
        <v>34</v>
      </c>
      <c r="T304" t="s">
        <v>35</v>
      </c>
      <c r="U304">
        <v>844</v>
      </c>
      <c r="V304" t="s">
        <v>36</v>
      </c>
      <c r="W304" s="1">
        <v>46006</v>
      </c>
      <c r="X304">
        <v>2026</v>
      </c>
    </row>
    <row r="305" spans="1:24" x14ac:dyDescent="0.25">
      <c r="A305" s="1">
        <v>46043</v>
      </c>
      <c r="B305" t="s">
        <v>678</v>
      </c>
      <c r="C305" t="s">
        <v>679</v>
      </c>
      <c r="E305" t="s">
        <v>680</v>
      </c>
      <c r="F305" t="s">
        <v>182</v>
      </c>
      <c r="G305" t="s">
        <v>37</v>
      </c>
      <c r="H305" t="s">
        <v>29</v>
      </c>
      <c r="I305" t="s">
        <v>30</v>
      </c>
      <c r="J305" t="s">
        <v>183</v>
      </c>
      <c r="L305" s="1">
        <v>46023</v>
      </c>
      <c r="M305" s="1">
        <v>46023</v>
      </c>
      <c r="O305">
        <v>17425766</v>
      </c>
      <c r="P305" t="s">
        <v>32</v>
      </c>
      <c r="Q305" t="s">
        <v>71</v>
      </c>
      <c r="R305">
        <v>8192</v>
      </c>
      <c r="S305" t="s">
        <v>34</v>
      </c>
      <c r="T305" t="s">
        <v>35</v>
      </c>
      <c r="U305">
        <v>-497</v>
      </c>
      <c r="V305" t="s">
        <v>38</v>
      </c>
      <c r="W305" s="1">
        <v>46006</v>
      </c>
      <c r="X305">
        <v>2026</v>
      </c>
    </row>
    <row r="306" spans="1:24" x14ac:dyDescent="0.25">
      <c r="A306" s="1">
        <v>46043</v>
      </c>
      <c r="B306" t="s">
        <v>681</v>
      </c>
      <c r="C306" t="s">
        <v>682</v>
      </c>
      <c r="E306" t="s">
        <v>683</v>
      </c>
      <c r="F306" t="s">
        <v>42</v>
      </c>
      <c r="G306" t="s">
        <v>28</v>
      </c>
      <c r="H306" t="s">
        <v>29</v>
      </c>
      <c r="I306" t="s">
        <v>43</v>
      </c>
      <c r="J306" t="s">
        <v>50</v>
      </c>
      <c r="L306" s="1">
        <v>46023</v>
      </c>
      <c r="M306" s="1">
        <v>46023</v>
      </c>
      <c r="O306">
        <v>18828278</v>
      </c>
      <c r="P306" t="s">
        <v>32</v>
      </c>
      <c r="Q306" t="s">
        <v>51</v>
      </c>
      <c r="R306">
        <v>8192</v>
      </c>
      <c r="S306" t="s">
        <v>34</v>
      </c>
      <c r="T306" t="s">
        <v>35</v>
      </c>
      <c r="U306">
        <v>844</v>
      </c>
      <c r="V306" t="s">
        <v>36</v>
      </c>
      <c r="W306" s="1">
        <v>46020</v>
      </c>
      <c r="X306">
        <v>2026</v>
      </c>
    </row>
    <row r="307" spans="1:24" x14ac:dyDescent="0.25">
      <c r="A307" s="1">
        <v>46043</v>
      </c>
      <c r="B307" t="s">
        <v>681</v>
      </c>
      <c r="C307" t="s">
        <v>682</v>
      </c>
      <c r="E307" t="s">
        <v>683</v>
      </c>
      <c r="F307" t="s">
        <v>42</v>
      </c>
      <c r="G307" t="s">
        <v>37</v>
      </c>
      <c r="H307" t="s">
        <v>29</v>
      </c>
      <c r="I307" t="s">
        <v>43</v>
      </c>
      <c r="J307" t="s">
        <v>50</v>
      </c>
      <c r="L307" s="1">
        <v>46023</v>
      </c>
      <c r="M307" s="1">
        <v>46023</v>
      </c>
      <c r="O307">
        <v>18828278</v>
      </c>
      <c r="P307" t="s">
        <v>32</v>
      </c>
      <c r="Q307" t="s">
        <v>51</v>
      </c>
      <c r="R307">
        <v>8192</v>
      </c>
      <c r="S307" t="s">
        <v>34</v>
      </c>
      <c r="T307" t="s">
        <v>35</v>
      </c>
      <c r="U307">
        <v>-497</v>
      </c>
      <c r="V307" t="s">
        <v>38</v>
      </c>
      <c r="W307" s="1">
        <v>46020</v>
      </c>
      <c r="X307">
        <v>2026</v>
      </c>
    </row>
    <row r="308" spans="1:24" x14ac:dyDescent="0.25">
      <c r="A308" s="1">
        <v>46043</v>
      </c>
      <c r="B308" t="s">
        <v>684</v>
      </c>
      <c r="C308" t="s">
        <v>685</v>
      </c>
      <c r="E308" t="s">
        <v>686</v>
      </c>
      <c r="F308" t="s">
        <v>27</v>
      </c>
      <c r="G308" t="s">
        <v>49</v>
      </c>
      <c r="H308" t="s">
        <v>29</v>
      </c>
      <c r="I308" t="s">
        <v>30</v>
      </c>
      <c r="J308" t="s">
        <v>64</v>
      </c>
      <c r="L308" s="1">
        <v>46023</v>
      </c>
      <c r="M308" s="1">
        <v>46023</v>
      </c>
      <c r="O308">
        <v>17528908</v>
      </c>
      <c r="P308" t="s">
        <v>32</v>
      </c>
      <c r="Q308" t="s">
        <v>33</v>
      </c>
      <c r="R308">
        <v>8192</v>
      </c>
      <c r="S308" t="s">
        <v>34</v>
      </c>
      <c r="T308" t="s">
        <v>35</v>
      </c>
      <c r="U308">
        <v>931</v>
      </c>
      <c r="V308" t="s">
        <v>36</v>
      </c>
      <c r="W308" s="1">
        <v>45987</v>
      </c>
      <c r="X308">
        <v>2026</v>
      </c>
    </row>
    <row r="309" spans="1:24" x14ac:dyDescent="0.25">
      <c r="A309" s="1">
        <v>46043</v>
      </c>
      <c r="B309" t="s">
        <v>684</v>
      </c>
      <c r="C309" t="s">
        <v>685</v>
      </c>
      <c r="E309" t="s">
        <v>686</v>
      </c>
      <c r="F309" t="s">
        <v>27</v>
      </c>
      <c r="G309" t="s">
        <v>37</v>
      </c>
      <c r="H309" t="s">
        <v>29</v>
      </c>
      <c r="I309" t="s">
        <v>30</v>
      </c>
      <c r="J309" t="s">
        <v>64</v>
      </c>
      <c r="L309" s="1">
        <v>46023</v>
      </c>
      <c r="M309" s="1">
        <v>46023</v>
      </c>
      <c r="O309">
        <v>17528908</v>
      </c>
      <c r="P309" t="s">
        <v>32</v>
      </c>
      <c r="Q309" t="s">
        <v>33</v>
      </c>
      <c r="R309">
        <v>8192</v>
      </c>
      <c r="S309" t="s">
        <v>34</v>
      </c>
      <c r="T309" t="s">
        <v>35</v>
      </c>
      <c r="U309">
        <v>-541</v>
      </c>
      <c r="V309" t="s">
        <v>38</v>
      </c>
      <c r="W309" s="1">
        <v>45987</v>
      </c>
      <c r="X309">
        <v>2026</v>
      </c>
    </row>
    <row r="310" spans="1:24" x14ac:dyDescent="0.25">
      <c r="A310" s="1">
        <v>46043</v>
      </c>
      <c r="B310" t="s">
        <v>687</v>
      </c>
      <c r="C310" t="s">
        <v>688</v>
      </c>
      <c r="E310" t="s">
        <v>689</v>
      </c>
      <c r="F310" t="s">
        <v>690</v>
      </c>
      <c r="G310" t="s">
        <v>217</v>
      </c>
      <c r="H310" t="s">
        <v>29</v>
      </c>
      <c r="I310" t="s">
        <v>561</v>
      </c>
      <c r="J310" t="s">
        <v>691</v>
      </c>
      <c r="L310" s="1">
        <v>46023</v>
      </c>
      <c r="M310" s="1">
        <v>46023</v>
      </c>
      <c r="N310" s="1">
        <v>46053</v>
      </c>
      <c r="O310">
        <v>8244481</v>
      </c>
      <c r="P310" t="s">
        <v>32</v>
      </c>
      <c r="Q310" t="s">
        <v>45</v>
      </c>
      <c r="R310">
        <v>8192</v>
      </c>
      <c r="S310" t="s">
        <v>34</v>
      </c>
      <c r="T310" t="s">
        <v>35</v>
      </c>
      <c r="U310">
        <v>-497</v>
      </c>
      <c r="V310" t="s">
        <v>38</v>
      </c>
      <c r="W310" s="1">
        <v>46010</v>
      </c>
      <c r="X310">
        <v>2026</v>
      </c>
    </row>
    <row r="311" spans="1:24" x14ac:dyDescent="0.25">
      <c r="A311" s="1">
        <v>46043</v>
      </c>
      <c r="B311" t="s">
        <v>687</v>
      </c>
      <c r="C311" t="s">
        <v>688</v>
      </c>
      <c r="E311" t="s">
        <v>689</v>
      </c>
      <c r="F311" t="s">
        <v>690</v>
      </c>
      <c r="G311" t="s">
        <v>115</v>
      </c>
      <c r="H311" t="s">
        <v>86</v>
      </c>
      <c r="I311" t="s">
        <v>561</v>
      </c>
      <c r="J311" t="s">
        <v>692</v>
      </c>
      <c r="L311" s="1">
        <v>46054</v>
      </c>
      <c r="M311" s="1">
        <v>46054</v>
      </c>
      <c r="O311">
        <v>8244481</v>
      </c>
      <c r="P311" t="s">
        <v>32</v>
      </c>
      <c r="Q311" t="s">
        <v>45</v>
      </c>
      <c r="R311">
        <v>8192</v>
      </c>
      <c r="S311" t="s">
        <v>34</v>
      </c>
      <c r="T311" t="s">
        <v>35</v>
      </c>
      <c r="U311">
        <v>455.58</v>
      </c>
      <c r="V311" t="s">
        <v>38</v>
      </c>
      <c r="W311" s="1">
        <v>46029</v>
      </c>
      <c r="X311">
        <v>2026</v>
      </c>
    </row>
    <row r="312" spans="1:24" x14ac:dyDescent="0.25">
      <c r="A312" s="1">
        <v>46043</v>
      </c>
      <c r="B312" t="s">
        <v>693</v>
      </c>
      <c r="C312" t="s">
        <v>694</v>
      </c>
      <c r="E312" t="s">
        <v>695</v>
      </c>
      <c r="F312" t="s">
        <v>232</v>
      </c>
      <c r="G312" t="s">
        <v>49</v>
      </c>
      <c r="H312" t="s">
        <v>29</v>
      </c>
      <c r="I312" t="s">
        <v>55</v>
      </c>
      <c r="J312" t="s">
        <v>696</v>
      </c>
      <c r="L312" s="1">
        <v>46023</v>
      </c>
      <c r="M312" s="1">
        <v>46023</v>
      </c>
      <c r="O312">
        <v>16849453</v>
      </c>
      <c r="P312" t="s">
        <v>32</v>
      </c>
      <c r="Q312" t="s">
        <v>697</v>
      </c>
      <c r="R312">
        <v>8192</v>
      </c>
      <c r="S312" t="s">
        <v>34</v>
      </c>
      <c r="T312" t="s">
        <v>35</v>
      </c>
      <c r="U312">
        <v>844</v>
      </c>
      <c r="V312" t="s">
        <v>36</v>
      </c>
      <c r="W312" s="1">
        <v>45947</v>
      </c>
      <c r="X312">
        <v>2026</v>
      </c>
    </row>
    <row r="313" spans="1:24" x14ac:dyDescent="0.25">
      <c r="A313" s="1">
        <v>46043</v>
      </c>
      <c r="B313" t="s">
        <v>693</v>
      </c>
      <c r="C313" t="s">
        <v>694</v>
      </c>
      <c r="E313" t="s">
        <v>695</v>
      </c>
      <c r="F313" t="s">
        <v>232</v>
      </c>
      <c r="G313" t="s">
        <v>37</v>
      </c>
      <c r="H313" t="s">
        <v>29</v>
      </c>
      <c r="I313" t="s">
        <v>55</v>
      </c>
      <c r="J313" t="s">
        <v>696</v>
      </c>
      <c r="L313" s="1">
        <v>46023</v>
      </c>
      <c r="M313" s="1">
        <v>46023</v>
      </c>
      <c r="O313">
        <v>16849453</v>
      </c>
      <c r="P313" t="s">
        <v>32</v>
      </c>
      <c r="Q313" t="s">
        <v>697</v>
      </c>
      <c r="R313">
        <v>8192</v>
      </c>
      <c r="S313" t="s">
        <v>34</v>
      </c>
      <c r="T313" t="s">
        <v>35</v>
      </c>
      <c r="U313">
        <v>-497</v>
      </c>
      <c r="V313" t="s">
        <v>38</v>
      </c>
      <c r="W313" s="1">
        <v>45947</v>
      </c>
      <c r="X313">
        <v>2026</v>
      </c>
    </row>
    <row r="314" spans="1:24" x14ac:dyDescent="0.25">
      <c r="A314" s="1">
        <v>46043</v>
      </c>
      <c r="B314" t="s">
        <v>698</v>
      </c>
      <c r="C314" t="s">
        <v>699</v>
      </c>
      <c r="E314" t="s">
        <v>700</v>
      </c>
      <c r="F314" t="s">
        <v>42</v>
      </c>
      <c r="G314" t="s">
        <v>49</v>
      </c>
      <c r="H314" t="s">
        <v>29</v>
      </c>
      <c r="I314" t="s">
        <v>55</v>
      </c>
      <c r="J314" t="s">
        <v>56</v>
      </c>
      <c r="L314" s="1">
        <v>46023</v>
      </c>
      <c r="M314" s="1">
        <v>46023</v>
      </c>
      <c r="O314">
        <v>8814784</v>
      </c>
      <c r="P314" t="s">
        <v>32</v>
      </c>
      <c r="Q314" t="s">
        <v>218</v>
      </c>
      <c r="R314">
        <v>8192</v>
      </c>
      <c r="S314" t="s">
        <v>34</v>
      </c>
      <c r="T314" t="s">
        <v>35</v>
      </c>
      <c r="U314">
        <v>844</v>
      </c>
      <c r="V314" t="s">
        <v>36</v>
      </c>
      <c r="W314" s="1">
        <v>45996</v>
      </c>
      <c r="X314">
        <v>2026</v>
      </c>
    </row>
    <row r="315" spans="1:24" x14ac:dyDescent="0.25">
      <c r="A315" s="1">
        <v>46043</v>
      </c>
      <c r="B315" t="s">
        <v>698</v>
      </c>
      <c r="C315" t="s">
        <v>699</v>
      </c>
      <c r="E315" t="s">
        <v>700</v>
      </c>
      <c r="F315" t="s">
        <v>42</v>
      </c>
      <c r="G315" t="s">
        <v>37</v>
      </c>
      <c r="H315" t="s">
        <v>29</v>
      </c>
      <c r="I315" t="s">
        <v>55</v>
      </c>
      <c r="J315" t="s">
        <v>56</v>
      </c>
      <c r="L315" s="1">
        <v>46023</v>
      </c>
      <c r="M315" s="1">
        <v>46023</v>
      </c>
      <c r="O315">
        <v>8814784</v>
      </c>
      <c r="P315" t="s">
        <v>32</v>
      </c>
      <c r="Q315" t="s">
        <v>218</v>
      </c>
      <c r="R315">
        <v>8192</v>
      </c>
      <c r="S315" t="s">
        <v>34</v>
      </c>
      <c r="T315" t="s">
        <v>35</v>
      </c>
      <c r="U315">
        <v>-497</v>
      </c>
      <c r="V315" t="s">
        <v>38</v>
      </c>
      <c r="W315" s="1">
        <v>45996</v>
      </c>
      <c r="X315">
        <v>2026</v>
      </c>
    </row>
    <row r="316" spans="1:24" x14ac:dyDescent="0.25">
      <c r="A316" s="1">
        <v>46043</v>
      </c>
      <c r="B316" t="s">
        <v>701</v>
      </c>
      <c r="C316" t="s">
        <v>702</v>
      </c>
      <c r="E316" t="s">
        <v>703</v>
      </c>
      <c r="F316" t="s">
        <v>42</v>
      </c>
      <c r="G316" t="s">
        <v>49</v>
      </c>
      <c r="H316" t="s">
        <v>29</v>
      </c>
      <c r="I316" t="s">
        <v>43</v>
      </c>
      <c r="J316" t="s">
        <v>44</v>
      </c>
      <c r="L316" s="1">
        <v>46023</v>
      </c>
      <c r="M316" s="1">
        <v>46023</v>
      </c>
      <c r="O316">
        <v>8812322</v>
      </c>
      <c r="P316" t="s">
        <v>32</v>
      </c>
      <c r="Q316" t="s">
        <v>132</v>
      </c>
      <c r="R316">
        <v>8192</v>
      </c>
      <c r="S316" t="s">
        <v>34</v>
      </c>
      <c r="T316" t="s">
        <v>35</v>
      </c>
      <c r="U316">
        <v>829</v>
      </c>
      <c r="V316" t="s">
        <v>36</v>
      </c>
      <c r="W316" s="1">
        <v>45972</v>
      </c>
      <c r="X316">
        <v>2026</v>
      </c>
    </row>
    <row r="317" spans="1:24" x14ac:dyDescent="0.25">
      <c r="A317" s="1">
        <v>46043</v>
      </c>
      <c r="B317" t="s">
        <v>701</v>
      </c>
      <c r="C317" t="s">
        <v>702</v>
      </c>
      <c r="E317" t="s">
        <v>703</v>
      </c>
      <c r="F317" t="s">
        <v>42</v>
      </c>
      <c r="G317" t="s">
        <v>37</v>
      </c>
      <c r="H317" t="s">
        <v>29</v>
      </c>
      <c r="I317" t="s">
        <v>43</v>
      </c>
      <c r="J317" t="s">
        <v>44</v>
      </c>
      <c r="L317" s="1">
        <v>46023</v>
      </c>
      <c r="M317" s="1">
        <v>46023</v>
      </c>
      <c r="O317">
        <v>8812322</v>
      </c>
      <c r="P317" t="s">
        <v>32</v>
      </c>
      <c r="Q317" t="s">
        <v>132</v>
      </c>
      <c r="R317">
        <v>8192</v>
      </c>
      <c r="S317" t="s">
        <v>34</v>
      </c>
      <c r="T317" t="s">
        <v>35</v>
      </c>
      <c r="U317">
        <v>-482</v>
      </c>
      <c r="V317" t="s">
        <v>38</v>
      </c>
      <c r="W317" s="1">
        <v>45972</v>
      </c>
      <c r="X317">
        <v>2026</v>
      </c>
    </row>
    <row r="318" spans="1:24" x14ac:dyDescent="0.25">
      <c r="A318" s="1">
        <v>46043</v>
      </c>
      <c r="B318" t="s">
        <v>704</v>
      </c>
      <c r="C318" t="s">
        <v>705</v>
      </c>
      <c r="E318" t="s">
        <v>706</v>
      </c>
      <c r="F318" t="s">
        <v>232</v>
      </c>
      <c r="G318" t="s">
        <v>28</v>
      </c>
      <c r="H318" t="s">
        <v>86</v>
      </c>
      <c r="I318" t="s">
        <v>55</v>
      </c>
      <c r="J318" t="s">
        <v>312</v>
      </c>
      <c r="L318" s="1">
        <v>46023</v>
      </c>
      <c r="M318" s="1">
        <v>46023</v>
      </c>
      <c r="O318">
        <v>16849453</v>
      </c>
      <c r="P318" t="s">
        <v>32</v>
      </c>
      <c r="Q318" t="s">
        <v>697</v>
      </c>
      <c r="R318">
        <v>8192</v>
      </c>
      <c r="S318" t="s">
        <v>34</v>
      </c>
      <c r="T318" t="s">
        <v>35</v>
      </c>
      <c r="U318">
        <v>844</v>
      </c>
      <c r="V318" t="s">
        <v>36</v>
      </c>
      <c r="W318" s="1">
        <v>45953</v>
      </c>
      <c r="X318">
        <v>2026</v>
      </c>
    </row>
    <row r="319" spans="1:24" x14ac:dyDescent="0.25">
      <c r="A319" s="1">
        <v>46043</v>
      </c>
      <c r="B319" t="s">
        <v>704</v>
      </c>
      <c r="C319" t="s">
        <v>705</v>
      </c>
      <c r="E319" t="s">
        <v>706</v>
      </c>
      <c r="F319" t="s">
        <v>232</v>
      </c>
      <c r="G319" t="s">
        <v>37</v>
      </c>
      <c r="H319" t="s">
        <v>86</v>
      </c>
      <c r="I319" t="s">
        <v>55</v>
      </c>
      <c r="J319" t="s">
        <v>312</v>
      </c>
      <c r="L319" s="1">
        <v>46023</v>
      </c>
      <c r="M319" s="1">
        <v>46023</v>
      </c>
      <c r="O319">
        <v>16849453</v>
      </c>
      <c r="P319" t="s">
        <v>32</v>
      </c>
      <c r="Q319" t="s">
        <v>697</v>
      </c>
      <c r="R319">
        <v>8192</v>
      </c>
      <c r="S319" t="s">
        <v>34</v>
      </c>
      <c r="T319" t="s">
        <v>35</v>
      </c>
      <c r="U319">
        <v>-497</v>
      </c>
      <c r="V319" t="s">
        <v>38</v>
      </c>
      <c r="W319" s="1">
        <v>45953</v>
      </c>
      <c r="X319">
        <v>2026</v>
      </c>
    </row>
    <row r="320" spans="1:24" x14ac:dyDescent="0.25">
      <c r="A320" s="1">
        <v>46043</v>
      </c>
      <c r="B320" t="s">
        <v>707</v>
      </c>
      <c r="C320" t="s">
        <v>708</v>
      </c>
      <c r="E320" t="s">
        <v>709</v>
      </c>
      <c r="F320" t="s">
        <v>27</v>
      </c>
      <c r="G320" t="s">
        <v>28</v>
      </c>
      <c r="H320" t="s">
        <v>86</v>
      </c>
      <c r="I320" t="s">
        <v>30</v>
      </c>
      <c r="J320" t="s">
        <v>87</v>
      </c>
      <c r="L320" s="1">
        <v>46023</v>
      </c>
      <c r="M320" s="1">
        <v>46023</v>
      </c>
      <c r="O320">
        <v>18710070</v>
      </c>
      <c r="P320" t="s">
        <v>32</v>
      </c>
      <c r="Q320" t="s">
        <v>470</v>
      </c>
      <c r="R320">
        <v>8192</v>
      </c>
      <c r="S320" t="s">
        <v>34</v>
      </c>
      <c r="T320" t="s">
        <v>35</v>
      </c>
      <c r="U320">
        <v>916</v>
      </c>
      <c r="V320" t="s">
        <v>36</v>
      </c>
      <c r="W320" s="1">
        <v>45952</v>
      </c>
      <c r="X320">
        <v>2026</v>
      </c>
    </row>
    <row r="321" spans="1:24" x14ac:dyDescent="0.25">
      <c r="A321" s="1">
        <v>46043</v>
      </c>
      <c r="B321" t="s">
        <v>707</v>
      </c>
      <c r="C321" t="s">
        <v>708</v>
      </c>
      <c r="E321" t="s">
        <v>709</v>
      </c>
      <c r="F321" t="s">
        <v>27</v>
      </c>
      <c r="G321" t="s">
        <v>37</v>
      </c>
      <c r="H321" t="s">
        <v>86</v>
      </c>
      <c r="I321" t="s">
        <v>30</v>
      </c>
      <c r="J321" t="s">
        <v>87</v>
      </c>
      <c r="L321" s="1">
        <v>46023</v>
      </c>
      <c r="M321" s="1">
        <v>46023</v>
      </c>
      <c r="O321">
        <v>18710070</v>
      </c>
      <c r="P321" t="s">
        <v>32</v>
      </c>
      <c r="Q321" t="s">
        <v>470</v>
      </c>
      <c r="R321">
        <v>8192</v>
      </c>
      <c r="S321" t="s">
        <v>34</v>
      </c>
      <c r="T321" t="s">
        <v>35</v>
      </c>
      <c r="U321">
        <v>-526</v>
      </c>
      <c r="V321" t="s">
        <v>38</v>
      </c>
      <c r="W321" s="1">
        <v>45952</v>
      </c>
      <c r="X321">
        <v>2026</v>
      </c>
    </row>
    <row r="322" spans="1:24" x14ac:dyDescent="0.25">
      <c r="A322" s="1">
        <v>46043</v>
      </c>
      <c r="B322" t="s">
        <v>710</v>
      </c>
      <c r="C322" t="s">
        <v>711</v>
      </c>
      <c r="E322" t="s">
        <v>712</v>
      </c>
      <c r="F322" t="s">
        <v>263</v>
      </c>
      <c r="G322" t="s">
        <v>49</v>
      </c>
      <c r="H322" t="s">
        <v>29</v>
      </c>
      <c r="I322" t="s">
        <v>264</v>
      </c>
      <c r="J322" t="s">
        <v>713</v>
      </c>
      <c r="L322" s="1">
        <v>46023</v>
      </c>
      <c r="M322" s="1">
        <v>46023</v>
      </c>
      <c r="O322">
        <v>19645587</v>
      </c>
      <c r="P322" t="s">
        <v>32</v>
      </c>
      <c r="Q322" t="s">
        <v>266</v>
      </c>
      <c r="R322">
        <v>8192</v>
      </c>
      <c r="S322" t="s">
        <v>34</v>
      </c>
      <c r="T322" t="s">
        <v>35</v>
      </c>
      <c r="U322">
        <v>1039</v>
      </c>
      <c r="V322" t="s">
        <v>36</v>
      </c>
      <c r="W322" s="1">
        <v>45997</v>
      </c>
      <c r="X322">
        <v>2026</v>
      </c>
    </row>
    <row r="323" spans="1:24" x14ac:dyDescent="0.25">
      <c r="A323" s="1">
        <v>46043</v>
      </c>
      <c r="B323" t="s">
        <v>710</v>
      </c>
      <c r="C323" t="s">
        <v>711</v>
      </c>
      <c r="E323" t="s">
        <v>712</v>
      </c>
      <c r="F323" t="s">
        <v>263</v>
      </c>
      <c r="G323" t="s">
        <v>37</v>
      </c>
      <c r="H323" t="s">
        <v>29</v>
      </c>
      <c r="I323" t="s">
        <v>264</v>
      </c>
      <c r="J323" t="s">
        <v>713</v>
      </c>
      <c r="L323" s="1">
        <v>46023</v>
      </c>
      <c r="M323" s="1">
        <v>46023</v>
      </c>
      <c r="O323">
        <v>19645587</v>
      </c>
      <c r="P323" t="s">
        <v>32</v>
      </c>
      <c r="Q323" t="s">
        <v>266</v>
      </c>
      <c r="R323">
        <v>8192</v>
      </c>
      <c r="S323" t="s">
        <v>34</v>
      </c>
      <c r="T323" t="s">
        <v>35</v>
      </c>
      <c r="U323">
        <v>-607</v>
      </c>
      <c r="V323" t="s">
        <v>38</v>
      </c>
      <c r="W323" s="1">
        <v>45997</v>
      </c>
      <c r="X323">
        <v>2026</v>
      </c>
    </row>
    <row r="324" spans="1:24" x14ac:dyDescent="0.25">
      <c r="A324" s="1">
        <v>46043</v>
      </c>
      <c r="B324" t="s">
        <v>714</v>
      </c>
      <c r="C324" t="s">
        <v>715</v>
      </c>
      <c r="E324" t="s">
        <v>716</v>
      </c>
      <c r="F324" t="s">
        <v>27</v>
      </c>
      <c r="G324" t="s">
        <v>49</v>
      </c>
      <c r="H324" t="s">
        <v>29</v>
      </c>
      <c r="I324" t="s">
        <v>30</v>
      </c>
      <c r="J324" t="s">
        <v>378</v>
      </c>
      <c r="L324" s="1">
        <v>46023</v>
      </c>
      <c r="M324" s="1">
        <v>46023</v>
      </c>
      <c r="O324">
        <v>17425766</v>
      </c>
      <c r="P324" t="s">
        <v>32</v>
      </c>
      <c r="Q324" t="s">
        <v>71</v>
      </c>
      <c r="R324">
        <v>8192</v>
      </c>
      <c r="S324" t="s">
        <v>34</v>
      </c>
      <c r="T324" t="s">
        <v>35</v>
      </c>
      <c r="U324">
        <v>931</v>
      </c>
      <c r="V324" t="s">
        <v>36</v>
      </c>
      <c r="W324" s="1">
        <v>45984</v>
      </c>
      <c r="X324">
        <v>2026</v>
      </c>
    </row>
    <row r="325" spans="1:24" x14ac:dyDescent="0.25">
      <c r="A325" s="1">
        <v>46043</v>
      </c>
      <c r="B325" t="s">
        <v>714</v>
      </c>
      <c r="C325" t="s">
        <v>715</v>
      </c>
      <c r="E325" t="s">
        <v>716</v>
      </c>
      <c r="F325" t="s">
        <v>27</v>
      </c>
      <c r="G325" t="s">
        <v>37</v>
      </c>
      <c r="H325" t="s">
        <v>29</v>
      </c>
      <c r="I325" t="s">
        <v>30</v>
      </c>
      <c r="J325" t="s">
        <v>378</v>
      </c>
      <c r="L325" s="1">
        <v>46023</v>
      </c>
      <c r="M325" s="1">
        <v>46023</v>
      </c>
      <c r="O325">
        <v>17425766</v>
      </c>
      <c r="P325" t="s">
        <v>32</v>
      </c>
      <c r="Q325" t="s">
        <v>71</v>
      </c>
      <c r="R325">
        <v>8192</v>
      </c>
      <c r="S325" t="s">
        <v>34</v>
      </c>
      <c r="T325" t="s">
        <v>35</v>
      </c>
      <c r="U325">
        <v>-541</v>
      </c>
      <c r="V325" t="s">
        <v>38</v>
      </c>
      <c r="W325" s="1">
        <v>45984</v>
      </c>
      <c r="X325">
        <v>2026</v>
      </c>
    </row>
    <row r="326" spans="1:24" x14ac:dyDescent="0.25">
      <c r="A326" s="1">
        <v>46043</v>
      </c>
      <c r="B326" t="s">
        <v>717</v>
      </c>
      <c r="C326" t="s">
        <v>718</v>
      </c>
      <c r="E326" t="s">
        <v>719</v>
      </c>
      <c r="F326" t="s">
        <v>337</v>
      </c>
      <c r="G326" t="s">
        <v>28</v>
      </c>
      <c r="H326" t="s">
        <v>29</v>
      </c>
      <c r="I326" t="s">
        <v>338</v>
      </c>
      <c r="J326" t="s">
        <v>339</v>
      </c>
      <c r="L326" s="1">
        <v>46023</v>
      </c>
      <c r="M326" s="1">
        <v>46023</v>
      </c>
      <c r="O326">
        <v>19645587</v>
      </c>
      <c r="P326" t="s">
        <v>32</v>
      </c>
      <c r="Q326" t="s">
        <v>266</v>
      </c>
      <c r="R326">
        <v>8192</v>
      </c>
      <c r="S326" t="s">
        <v>34</v>
      </c>
      <c r="T326" t="s">
        <v>35</v>
      </c>
      <c r="U326">
        <v>844</v>
      </c>
      <c r="V326" t="s">
        <v>36</v>
      </c>
      <c r="W326" s="1">
        <v>45998</v>
      </c>
      <c r="X326">
        <v>2026</v>
      </c>
    </row>
    <row r="327" spans="1:24" x14ac:dyDescent="0.25">
      <c r="A327" s="1">
        <v>46043</v>
      </c>
      <c r="B327" t="s">
        <v>717</v>
      </c>
      <c r="C327" t="s">
        <v>718</v>
      </c>
      <c r="E327" t="s">
        <v>719</v>
      </c>
      <c r="F327" t="s">
        <v>337</v>
      </c>
      <c r="G327" t="s">
        <v>37</v>
      </c>
      <c r="H327" t="s">
        <v>29</v>
      </c>
      <c r="I327" t="s">
        <v>338</v>
      </c>
      <c r="J327" t="s">
        <v>339</v>
      </c>
      <c r="L327" s="1">
        <v>46023</v>
      </c>
      <c r="M327" s="1">
        <v>46023</v>
      </c>
      <c r="O327">
        <v>19645587</v>
      </c>
      <c r="P327" t="s">
        <v>32</v>
      </c>
      <c r="Q327" t="s">
        <v>266</v>
      </c>
      <c r="R327">
        <v>8192</v>
      </c>
      <c r="S327" t="s">
        <v>34</v>
      </c>
      <c r="T327" t="s">
        <v>35</v>
      </c>
      <c r="U327">
        <v>-497</v>
      </c>
      <c r="V327" t="s">
        <v>38</v>
      </c>
      <c r="W327" s="1">
        <v>45998</v>
      </c>
      <c r="X327">
        <v>2026</v>
      </c>
    </row>
    <row r="328" spans="1:24" x14ac:dyDescent="0.25">
      <c r="A328" s="1">
        <v>46043</v>
      </c>
      <c r="B328" t="s">
        <v>720</v>
      </c>
      <c r="C328" t="s">
        <v>721</v>
      </c>
      <c r="E328" t="s">
        <v>722</v>
      </c>
      <c r="F328" t="s">
        <v>108</v>
      </c>
      <c r="G328" t="s">
        <v>28</v>
      </c>
      <c r="H328" t="s">
        <v>29</v>
      </c>
      <c r="I328" t="s">
        <v>109</v>
      </c>
      <c r="J328" t="s">
        <v>110</v>
      </c>
      <c r="L328" s="1">
        <v>46023</v>
      </c>
      <c r="M328" s="1">
        <v>46023</v>
      </c>
      <c r="O328">
        <v>7470776</v>
      </c>
      <c r="P328" t="s">
        <v>32</v>
      </c>
      <c r="Q328" t="s">
        <v>419</v>
      </c>
      <c r="R328">
        <v>8192</v>
      </c>
      <c r="S328" t="s">
        <v>34</v>
      </c>
      <c r="T328" t="s">
        <v>35</v>
      </c>
      <c r="U328">
        <v>844</v>
      </c>
      <c r="V328" t="s">
        <v>36</v>
      </c>
      <c r="W328" s="1">
        <v>46006</v>
      </c>
      <c r="X328">
        <v>2026</v>
      </c>
    </row>
    <row r="329" spans="1:24" x14ac:dyDescent="0.25">
      <c r="A329" s="1">
        <v>46043</v>
      </c>
      <c r="B329" t="s">
        <v>720</v>
      </c>
      <c r="C329" t="s">
        <v>721</v>
      </c>
      <c r="E329" t="s">
        <v>722</v>
      </c>
      <c r="F329" t="s">
        <v>108</v>
      </c>
      <c r="G329" t="s">
        <v>37</v>
      </c>
      <c r="H329" t="s">
        <v>29</v>
      </c>
      <c r="I329" t="s">
        <v>109</v>
      </c>
      <c r="J329" t="s">
        <v>110</v>
      </c>
      <c r="L329" s="1">
        <v>46023</v>
      </c>
      <c r="M329" s="1">
        <v>46023</v>
      </c>
      <c r="O329">
        <v>7470776</v>
      </c>
      <c r="P329" t="s">
        <v>32</v>
      </c>
      <c r="Q329" t="s">
        <v>419</v>
      </c>
      <c r="R329">
        <v>8192</v>
      </c>
      <c r="S329" t="s">
        <v>34</v>
      </c>
      <c r="T329" t="s">
        <v>35</v>
      </c>
      <c r="U329">
        <v>-497</v>
      </c>
      <c r="V329" t="s">
        <v>38</v>
      </c>
      <c r="W329" s="1">
        <v>46006</v>
      </c>
      <c r="X329">
        <v>2026</v>
      </c>
    </row>
    <row r="330" spans="1:24" x14ac:dyDescent="0.25">
      <c r="A330" s="1">
        <v>46043</v>
      </c>
      <c r="B330" t="s">
        <v>723</v>
      </c>
      <c r="C330" t="s">
        <v>724</v>
      </c>
      <c r="E330" t="s">
        <v>725</v>
      </c>
      <c r="F330" t="s">
        <v>337</v>
      </c>
      <c r="G330" t="s">
        <v>49</v>
      </c>
      <c r="H330" t="s">
        <v>29</v>
      </c>
      <c r="I330" t="s">
        <v>338</v>
      </c>
      <c r="J330" t="s">
        <v>726</v>
      </c>
      <c r="L330" s="1">
        <v>46023</v>
      </c>
      <c r="M330" s="1">
        <v>46023</v>
      </c>
      <c r="O330">
        <v>17094718</v>
      </c>
      <c r="P330" t="s">
        <v>32</v>
      </c>
      <c r="Q330" t="s">
        <v>481</v>
      </c>
      <c r="R330">
        <v>8192</v>
      </c>
      <c r="S330" t="s">
        <v>34</v>
      </c>
      <c r="T330" t="s">
        <v>35</v>
      </c>
      <c r="U330">
        <v>829</v>
      </c>
      <c r="V330" t="s">
        <v>36</v>
      </c>
      <c r="W330" s="1">
        <v>45978</v>
      </c>
      <c r="X330">
        <v>2026</v>
      </c>
    </row>
    <row r="331" spans="1:24" x14ac:dyDescent="0.25">
      <c r="A331" s="1">
        <v>46043</v>
      </c>
      <c r="B331" t="s">
        <v>723</v>
      </c>
      <c r="C331" t="s">
        <v>724</v>
      </c>
      <c r="E331" t="s">
        <v>725</v>
      </c>
      <c r="F331" t="s">
        <v>337</v>
      </c>
      <c r="G331" t="s">
        <v>37</v>
      </c>
      <c r="H331" t="s">
        <v>29</v>
      </c>
      <c r="I331" t="s">
        <v>338</v>
      </c>
      <c r="J331" t="s">
        <v>726</v>
      </c>
      <c r="L331" s="1">
        <v>46023</v>
      </c>
      <c r="M331" s="1">
        <v>46023</v>
      </c>
      <c r="O331">
        <v>17094718</v>
      </c>
      <c r="P331" t="s">
        <v>32</v>
      </c>
      <c r="Q331" t="s">
        <v>481</v>
      </c>
      <c r="R331">
        <v>8192</v>
      </c>
      <c r="S331" t="s">
        <v>34</v>
      </c>
      <c r="T331" t="s">
        <v>35</v>
      </c>
      <c r="U331">
        <v>-482</v>
      </c>
      <c r="V331" t="s">
        <v>38</v>
      </c>
      <c r="W331" s="1">
        <v>45978</v>
      </c>
      <c r="X331">
        <v>2026</v>
      </c>
    </row>
    <row r="332" spans="1:24" x14ac:dyDescent="0.25">
      <c r="A332" s="1">
        <v>46043</v>
      </c>
      <c r="B332" t="s">
        <v>727</v>
      </c>
      <c r="C332" t="s">
        <v>728</v>
      </c>
      <c r="E332" t="s">
        <v>729</v>
      </c>
      <c r="F332" t="s">
        <v>42</v>
      </c>
      <c r="G332" t="s">
        <v>49</v>
      </c>
      <c r="H332" t="s">
        <v>29</v>
      </c>
      <c r="I332" t="s">
        <v>43</v>
      </c>
      <c r="J332" t="s">
        <v>50</v>
      </c>
      <c r="L332" s="1">
        <v>46023</v>
      </c>
      <c r="M332" s="1">
        <v>46023</v>
      </c>
      <c r="O332">
        <v>8244481</v>
      </c>
      <c r="P332" t="s">
        <v>32</v>
      </c>
      <c r="Q332" t="s">
        <v>45</v>
      </c>
      <c r="R332">
        <v>8192</v>
      </c>
      <c r="S332" t="s">
        <v>34</v>
      </c>
      <c r="T332" t="s">
        <v>35</v>
      </c>
      <c r="U332">
        <v>829</v>
      </c>
      <c r="V332" t="s">
        <v>36</v>
      </c>
      <c r="W332" s="1">
        <v>45951</v>
      </c>
      <c r="X332">
        <v>2026</v>
      </c>
    </row>
    <row r="333" spans="1:24" x14ac:dyDescent="0.25">
      <c r="A333" s="1">
        <v>46043</v>
      </c>
      <c r="B333" t="s">
        <v>727</v>
      </c>
      <c r="C333" t="s">
        <v>728</v>
      </c>
      <c r="E333" t="s">
        <v>729</v>
      </c>
      <c r="F333" t="s">
        <v>42</v>
      </c>
      <c r="G333" t="s">
        <v>37</v>
      </c>
      <c r="H333" t="s">
        <v>29</v>
      </c>
      <c r="I333" t="s">
        <v>43</v>
      </c>
      <c r="J333" t="s">
        <v>50</v>
      </c>
      <c r="L333" s="1">
        <v>46023</v>
      </c>
      <c r="M333" s="1">
        <v>46023</v>
      </c>
      <c r="O333">
        <v>8244481</v>
      </c>
      <c r="P333" t="s">
        <v>32</v>
      </c>
      <c r="Q333" t="s">
        <v>45</v>
      </c>
      <c r="R333">
        <v>8192</v>
      </c>
      <c r="S333" t="s">
        <v>34</v>
      </c>
      <c r="T333" t="s">
        <v>35</v>
      </c>
      <c r="U333">
        <v>-482</v>
      </c>
      <c r="V333" t="s">
        <v>38</v>
      </c>
      <c r="W333" s="1">
        <v>45951</v>
      </c>
      <c r="X333">
        <v>2026</v>
      </c>
    </row>
    <row r="334" spans="1:24" x14ac:dyDescent="0.25">
      <c r="A334" s="1">
        <v>46043</v>
      </c>
      <c r="B334" t="s">
        <v>730</v>
      </c>
      <c r="C334" t="s">
        <v>731</v>
      </c>
      <c r="E334" t="s">
        <v>732</v>
      </c>
      <c r="F334" t="s">
        <v>42</v>
      </c>
      <c r="G334" t="s">
        <v>28</v>
      </c>
      <c r="H334" t="s">
        <v>29</v>
      </c>
      <c r="I334" t="s">
        <v>43</v>
      </c>
      <c r="J334" t="s">
        <v>588</v>
      </c>
      <c r="L334" s="1">
        <v>46023</v>
      </c>
      <c r="M334" s="1">
        <v>46023</v>
      </c>
      <c r="O334">
        <v>8812322</v>
      </c>
      <c r="P334" t="s">
        <v>32</v>
      </c>
      <c r="Q334" t="s">
        <v>132</v>
      </c>
      <c r="R334">
        <v>8192</v>
      </c>
      <c r="S334" t="s">
        <v>34</v>
      </c>
      <c r="T334" t="s">
        <v>35</v>
      </c>
      <c r="U334">
        <v>844</v>
      </c>
      <c r="V334" t="s">
        <v>36</v>
      </c>
      <c r="W334" s="1">
        <v>45993</v>
      </c>
      <c r="X334">
        <v>2026</v>
      </c>
    </row>
    <row r="335" spans="1:24" x14ac:dyDescent="0.25">
      <c r="A335" s="1">
        <v>46043</v>
      </c>
      <c r="B335" t="s">
        <v>730</v>
      </c>
      <c r="C335" t="s">
        <v>731</v>
      </c>
      <c r="E335" t="s">
        <v>732</v>
      </c>
      <c r="F335" t="s">
        <v>42</v>
      </c>
      <c r="G335" t="s">
        <v>37</v>
      </c>
      <c r="H335" t="s">
        <v>29</v>
      </c>
      <c r="I335" t="s">
        <v>43</v>
      </c>
      <c r="J335" t="s">
        <v>588</v>
      </c>
      <c r="L335" s="1">
        <v>46023</v>
      </c>
      <c r="M335" s="1">
        <v>46023</v>
      </c>
      <c r="O335">
        <v>8812322</v>
      </c>
      <c r="P335" t="s">
        <v>32</v>
      </c>
      <c r="Q335" t="s">
        <v>132</v>
      </c>
      <c r="R335">
        <v>8192</v>
      </c>
      <c r="S335" t="s">
        <v>34</v>
      </c>
      <c r="T335" t="s">
        <v>35</v>
      </c>
      <c r="U335">
        <v>-497</v>
      </c>
      <c r="V335" t="s">
        <v>38</v>
      </c>
      <c r="W335" s="1">
        <v>45993</v>
      </c>
      <c r="X335">
        <v>2026</v>
      </c>
    </row>
    <row r="336" spans="1:24" x14ac:dyDescent="0.25">
      <c r="A336" s="1">
        <v>46043</v>
      </c>
      <c r="B336" t="s">
        <v>733</v>
      </c>
      <c r="C336" t="s">
        <v>734</v>
      </c>
      <c r="E336" t="s">
        <v>735</v>
      </c>
      <c r="F336" t="s">
        <v>337</v>
      </c>
      <c r="G336" t="s">
        <v>49</v>
      </c>
      <c r="H336" t="s">
        <v>29</v>
      </c>
      <c r="I336" t="s">
        <v>338</v>
      </c>
      <c r="J336" t="s">
        <v>736</v>
      </c>
      <c r="L336" s="1">
        <v>46023</v>
      </c>
      <c r="M336" s="1">
        <v>46023</v>
      </c>
      <c r="O336">
        <v>8307933</v>
      </c>
      <c r="P336" t="s">
        <v>32</v>
      </c>
      <c r="Q336" t="s">
        <v>111</v>
      </c>
      <c r="R336">
        <v>8192</v>
      </c>
      <c r="S336" t="s">
        <v>34</v>
      </c>
      <c r="T336" t="s">
        <v>35</v>
      </c>
      <c r="U336">
        <v>844</v>
      </c>
      <c r="V336" t="s">
        <v>36</v>
      </c>
      <c r="W336" s="1">
        <v>45993</v>
      </c>
      <c r="X336">
        <v>2026</v>
      </c>
    </row>
    <row r="337" spans="1:24" x14ac:dyDescent="0.25">
      <c r="A337" s="1">
        <v>46043</v>
      </c>
      <c r="B337" t="s">
        <v>733</v>
      </c>
      <c r="C337" t="s">
        <v>734</v>
      </c>
      <c r="E337" t="s">
        <v>735</v>
      </c>
      <c r="F337" t="s">
        <v>337</v>
      </c>
      <c r="G337" t="s">
        <v>37</v>
      </c>
      <c r="H337" t="s">
        <v>29</v>
      </c>
      <c r="I337" t="s">
        <v>338</v>
      </c>
      <c r="J337" t="s">
        <v>736</v>
      </c>
      <c r="L337" s="1">
        <v>46023</v>
      </c>
      <c r="M337" s="1">
        <v>46023</v>
      </c>
      <c r="O337">
        <v>8307933</v>
      </c>
      <c r="P337" t="s">
        <v>32</v>
      </c>
      <c r="Q337" t="s">
        <v>111</v>
      </c>
      <c r="R337">
        <v>8192</v>
      </c>
      <c r="S337" t="s">
        <v>34</v>
      </c>
      <c r="T337" t="s">
        <v>35</v>
      </c>
      <c r="U337">
        <v>-497</v>
      </c>
      <c r="V337" t="s">
        <v>38</v>
      </c>
      <c r="W337" s="1">
        <v>45993</v>
      </c>
      <c r="X337">
        <v>2026</v>
      </c>
    </row>
    <row r="338" spans="1:24" x14ac:dyDescent="0.25">
      <c r="A338" s="1">
        <v>46043</v>
      </c>
      <c r="B338" t="s">
        <v>737</v>
      </c>
      <c r="C338" t="s">
        <v>738</v>
      </c>
      <c r="E338" t="s">
        <v>739</v>
      </c>
      <c r="F338" t="s">
        <v>337</v>
      </c>
      <c r="G338" t="s">
        <v>49</v>
      </c>
      <c r="H338" t="s">
        <v>29</v>
      </c>
      <c r="I338" t="s">
        <v>338</v>
      </c>
      <c r="J338" t="s">
        <v>736</v>
      </c>
      <c r="L338" s="1">
        <v>46023</v>
      </c>
      <c r="M338" s="1">
        <v>46023</v>
      </c>
      <c r="O338">
        <v>8307933</v>
      </c>
      <c r="P338" t="s">
        <v>32</v>
      </c>
      <c r="Q338" t="s">
        <v>111</v>
      </c>
      <c r="R338">
        <v>8192</v>
      </c>
      <c r="S338" t="s">
        <v>34</v>
      </c>
      <c r="T338" t="s">
        <v>35</v>
      </c>
      <c r="U338">
        <v>844</v>
      </c>
      <c r="V338" t="s">
        <v>36</v>
      </c>
      <c r="W338" s="1">
        <v>45993</v>
      </c>
      <c r="X338">
        <v>2026</v>
      </c>
    </row>
    <row r="339" spans="1:24" x14ac:dyDescent="0.25">
      <c r="A339" s="1">
        <v>46043</v>
      </c>
      <c r="B339" t="s">
        <v>737</v>
      </c>
      <c r="C339" t="s">
        <v>738</v>
      </c>
      <c r="E339" t="s">
        <v>739</v>
      </c>
      <c r="F339" t="s">
        <v>337</v>
      </c>
      <c r="G339" t="s">
        <v>37</v>
      </c>
      <c r="H339" t="s">
        <v>29</v>
      </c>
      <c r="I339" t="s">
        <v>338</v>
      </c>
      <c r="J339" t="s">
        <v>736</v>
      </c>
      <c r="L339" s="1">
        <v>46023</v>
      </c>
      <c r="M339" s="1">
        <v>46023</v>
      </c>
      <c r="O339">
        <v>8307933</v>
      </c>
      <c r="P339" t="s">
        <v>32</v>
      </c>
      <c r="Q339" t="s">
        <v>111</v>
      </c>
      <c r="R339">
        <v>8192</v>
      </c>
      <c r="S339" t="s">
        <v>34</v>
      </c>
      <c r="T339" t="s">
        <v>35</v>
      </c>
      <c r="U339">
        <v>-497</v>
      </c>
      <c r="V339" t="s">
        <v>38</v>
      </c>
      <c r="W339" s="1">
        <v>45993</v>
      </c>
      <c r="X339">
        <v>2026</v>
      </c>
    </row>
    <row r="340" spans="1:24" x14ac:dyDescent="0.25">
      <c r="A340" s="1"/>
      <c r="L340" s="1"/>
      <c r="M340" s="1"/>
      <c r="W340" s="1"/>
    </row>
    <row r="341" spans="1:24" x14ac:dyDescent="0.25">
      <c r="A341" s="1"/>
      <c r="L341" s="1"/>
      <c r="M341" s="1"/>
      <c r="W341" s="1"/>
    </row>
    <row r="342" spans="1:24" x14ac:dyDescent="0.25">
      <c r="A342" s="1"/>
      <c r="L342" s="1"/>
      <c r="M342" s="1"/>
      <c r="W342" s="1"/>
    </row>
    <row r="343" spans="1:24" x14ac:dyDescent="0.25">
      <c r="A343" s="1"/>
      <c r="L343" s="1"/>
      <c r="M343" s="1"/>
      <c r="W343" s="1"/>
    </row>
    <row r="344" spans="1:24" x14ac:dyDescent="0.25">
      <c r="A344" s="1"/>
      <c r="L344" s="1"/>
      <c r="M344" s="1"/>
      <c r="W344" s="1"/>
    </row>
    <row r="345" spans="1:24" x14ac:dyDescent="0.25">
      <c r="A345" s="1"/>
      <c r="L345" s="1"/>
      <c r="M345" s="1"/>
      <c r="W345" s="1"/>
    </row>
    <row r="346" spans="1:24" x14ac:dyDescent="0.25">
      <c r="A346" s="1"/>
      <c r="L346" s="1"/>
      <c r="M346" s="1"/>
      <c r="W346" s="1"/>
    </row>
    <row r="347" spans="1:24" x14ac:dyDescent="0.25">
      <c r="A347" s="1"/>
      <c r="L347" s="1"/>
      <c r="M347" s="1"/>
      <c r="W347" s="1"/>
    </row>
    <row r="348" spans="1:24" x14ac:dyDescent="0.25">
      <c r="A348" s="1"/>
      <c r="L348" s="1"/>
      <c r="M348" s="1"/>
      <c r="W348" s="1"/>
    </row>
    <row r="349" spans="1:24" x14ac:dyDescent="0.25">
      <c r="A349" s="1"/>
      <c r="L349" s="1"/>
      <c r="M349" s="1"/>
      <c r="W349" s="1"/>
    </row>
    <row r="350" spans="1:24" x14ac:dyDescent="0.25">
      <c r="A350" s="1"/>
      <c r="L350" s="1"/>
      <c r="M350" s="1"/>
      <c r="W350" s="1"/>
    </row>
    <row r="351" spans="1:24" x14ac:dyDescent="0.25">
      <c r="A351" s="1"/>
      <c r="L351" s="1"/>
      <c r="M351" s="1"/>
      <c r="W351" s="1"/>
    </row>
    <row r="352" spans="1:24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W1352" s="1"/>
    </row>
    <row r="1353" spans="1:23" x14ac:dyDescent="0.25">
      <c r="A1353" s="1"/>
      <c r="L1353" s="1"/>
      <c r="M1353" s="1"/>
      <c r="W1353" s="1"/>
    </row>
    <row r="1354" spans="1:23" x14ac:dyDescent="0.25">
      <c r="A1354" s="1"/>
      <c r="L1354" s="1"/>
      <c r="M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08" spans="1:23" x14ac:dyDescent="0.25">
      <c r="A1408" s="1"/>
      <c r="L1408" s="1"/>
      <c r="M1408" s="1"/>
      <c r="W1408" s="1"/>
    </row>
    <row r="1409" spans="1:23" x14ac:dyDescent="0.25">
      <c r="A1409" s="1"/>
      <c r="L1409" s="1"/>
      <c r="M1409" s="1"/>
      <c r="W1409" s="1"/>
    </row>
    <row r="1410" spans="1:23" x14ac:dyDescent="0.25">
      <c r="A1410" s="1"/>
      <c r="L1410" s="1"/>
      <c r="M1410" s="1"/>
      <c r="W1410" s="1"/>
    </row>
    <row r="1411" spans="1:23" x14ac:dyDescent="0.25">
      <c r="A1411" s="1"/>
      <c r="L1411" s="1"/>
      <c r="M1411" s="1"/>
      <c r="W1411" s="1"/>
    </row>
    <row r="1412" spans="1:23" x14ac:dyDescent="0.25">
      <c r="A1412" s="1"/>
      <c r="L1412" s="1"/>
      <c r="M1412" s="1"/>
      <c r="W1412" s="1"/>
    </row>
    <row r="1413" spans="1:23" x14ac:dyDescent="0.25">
      <c r="A1413" s="1"/>
      <c r="L1413" s="1"/>
      <c r="M1413" s="1"/>
      <c r="W1413" s="1"/>
    </row>
    <row r="1414" spans="1:23" x14ac:dyDescent="0.25">
      <c r="A1414" s="1"/>
      <c r="L1414" s="1"/>
      <c r="M1414" s="1"/>
      <c r="W1414" s="1"/>
    </row>
    <row r="1415" spans="1:23" x14ac:dyDescent="0.25">
      <c r="A1415" s="1"/>
      <c r="L1415" s="1"/>
      <c r="M1415" s="1"/>
      <c r="W1415" s="1"/>
    </row>
    <row r="1416" spans="1:23" x14ac:dyDescent="0.25">
      <c r="A1416" s="1"/>
      <c r="L1416" s="1"/>
      <c r="M1416" s="1"/>
      <c r="W1416" s="1"/>
    </row>
    <row r="1417" spans="1:23" x14ac:dyDescent="0.25">
      <c r="A1417" s="1"/>
      <c r="L1417" s="1"/>
      <c r="M1417" s="1"/>
      <c r="W1417" s="1"/>
    </row>
    <row r="1418" spans="1:23" x14ac:dyDescent="0.25">
      <c r="A1418" s="1"/>
      <c r="L1418" s="1"/>
      <c r="M1418" s="1"/>
      <c r="W1418" s="1"/>
    </row>
    <row r="1419" spans="1:23" x14ac:dyDescent="0.25">
      <c r="A1419" s="1"/>
      <c r="L1419" s="1"/>
      <c r="M1419" s="1"/>
      <c r="W1419" s="1"/>
    </row>
    <row r="1420" spans="1:23" x14ac:dyDescent="0.25">
      <c r="A1420" s="1"/>
      <c r="L1420" s="1"/>
      <c r="M1420" s="1"/>
      <c r="W1420" s="1"/>
    </row>
    <row r="1421" spans="1:23" x14ac:dyDescent="0.25">
      <c r="A1421" s="1"/>
      <c r="L1421" s="1"/>
      <c r="M1421" s="1"/>
      <c r="W1421" s="1"/>
    </row>
    <row r="1422" spans="1:23" x14ac:dyDescent="0.25">
      <c r="A1422" s="1"/>
      <c r="L1422" s="1"/>
      <c r="M1422" s="1"/>
      <c r="W1422" s="1"/>
    </row>
    <row r="1423" spans="1:23" x14ac:dyDescent="0.25">
      <c r="A1423" s="1"/>
      <c r="L1423" s="1"/>
      <c r="M1423" s="1"/>
      <c r="W1423" s="1"/>
    </row>
    <row r="1424" spans="1:23" x14ac:dyDescent="0.25">
      <c r="A1424" s="1"/>
      <c r="L1424" s="1"/>
      <c r="M1424" s="1"/>
      <c r="W1424" s="1"/>
    </row>
    <row r="1425" spans="1:23" x14ac:dyDescent="0.25">
      <c r="A1425" s="1"/>
      <c r="L1425" s="1"/>
      <c r="M1425" s="1"/>
      <c r="W1425" s="1"/>
    </row>
    <row r="1426" spans="1:23" x14ac:dyDescent="0.25">
      <c r="A1426" s="1"/>
      <c r="L1426" s="1"/>
      <c r="M1426" s="1"/>
      <c r="W1426" s="1"/>
    </row>
    <row r="1427" spans="1:23" x14ac:dyDescent="0.25">
      <c r="A1427" s="1"/>
      <c r="L1427" s="1"/>
      <c r="M1427" s="1"/>
      <c r="W1427" s="1"/>
    </row>
    <row r="1428" spans="1:23" x14ac:dyDescent="0.25">
      <c r="A1428" s="1"/>
      <c r="L1428" s="1"/>
      <c r="M1428" s="1"/>
      <c r="W1428" s="1"/>
    </row>
    <row r="1429" spans="1:23" x14ac:dyDescent="0.25">
      <c r="A1429" s="1"/>
      <c r="L1429" s="1"/>
      <c r="M1429" s="1"/>
      <c r="W1429" s="1"/>
    </row>
    <row r="1430" spans="1:23" x14ac:dyDescent="0.25">
      <c r="A1430" s="1"/>
      <c r="L1430" s="1"/>
      <c r="M1430" s="1"/>
      <c r="W1430" s="1"/>
    </row>
    <row r="1431" spans="1:23" x14ac:dyDescent="0.25">
      <c r="A1431" s="1"/>
      <c r="L1431" s="1"/>
      <c r="M1431" s="1"/>
      <c r="W1431" s="1"/>
    </row>
    <row r="1432" spans="1:23" x14ac:dyDescent="0.25">
      <c r="A1432" s="1"/>
      <c r="L1432" s="1"/>
      <c r="M1432" s="1"/>
      <c r="W1432" s="1"/>
    </row>
    <row r="1433" spans="1:23" x14ac:dyDescent="0.25">
      <c r="A1433" s="1"/>
      <c r="L1433" s="1"/>
      <c r="M1433" s="1"/>
      <c r="W1433" s="1"/>
    </row>
    <row r="1434" spans="1:23" x14ac:dyDescent="0.25">
      <c r="A1434" s="1"/>
      <c r="L1434" s="1"/>
      <c r="M1434" s="1"/>
      <c r="W1434" s="1"/>
    </row>
    <row r="1435" spans="1:23" x14ac:dyDescent="0.25">
      <c r="A1435" s="1"/>
      <c r="L1435" s="1"/>
      <c r="M1435" s="1"/>
      <c r="W1435" s="1"/>
    </row>
    <row r="1436" spans="1:23" x14ac:dyDescent="0.25">
      <c r="A1436" s="1"/>
      <c r="L1436" s="1"/>
      <c r="M1436" s="1"/>
      <c r="W1436" s="1"/>
    </row>
    <row r="1437" spans="1:23" x14ac:dyDescent="0.25">
      <c r="A1437" s="1"/>
      <c r="L1437" s="1"/>
      <c r="M1437" s="1"/>
      <c r="W1437" s="1"/>
    </row>
    <row r="1438" spans="1:23" x14ac:dyDescent="0.25">
      <c r="A1438" s="1"/>
      <c r="L1438" s="1"/>
      <c r="M1438" s="1"/>
      <c r="W1438" s="1"/>
    </row>
    <row r="1439" spans="1:23" x14ac:dyDescent="0.25">
      <c r="A1439" s="1"/>
      <c r="L1439" s="1"/>
      <c r="M1439" s="1"/>
      <c r="W1439" s="1"/>
    </row>
    <row r="1440" spans="1:23" x14ac:dyDescent="0.25">
      <c r="A1440" s="1"/>
      <c r="L1440" s="1"/>
      <c r="M1440" s="1"/>
      <c r="W1440" s="1"/>
    </row>
    <row r="1441" spans="1:23" x14ac:dyDescent="0.25">
      <c r="A1441" s="1"/>
      <c r="L1441" s="1"/>
      <c r="M1441" s="1"/>
      <c r="W1441" s="1"/>
    </row>
    <row r="1442" spans="1:23" x14ac:dyDescent="0.25">
      <c r="A1442" s="1"/>
      <c r="L1442" s="1"/>
      <c r="M1442" s="1"/>
      <c r="W1442" s="1"/>
    </row>
    <row r="1443" spans="1:23" x14ac:dyDescent="0.25">
      <c r="A1443" s="1"/>
      <c r="L1443" s="1"/>
      <c r="M1443" s="1"/>
      <c r="W1443" s="1"/>
    </row>
    <row r="1444" spans="1:23" x14ac:dyDescent="0.25">
      <c r="A1444" s="1"/>
      <c r="L1444" s="1"/>
      <c r="M1444" s="1"/>
      <c r="W1444" s="1"/>
    </row>
    <row r="1445" spans="1:23" x14ac:dyDescent="0.25">
      <c r="A1445" s="1"/>
      <c r="L1445" s="1"/>
      <c r="M1445" s="1"/>
      <c r="W1445" s="1"/>
    </row>
    <row r="1446" spans="1:23" x14ac:dyDescent="0.25">
      <c r="A1446" s="1"/>
      <c r="L1446" s="1"/>
      <c r="M1446" s="1"/>
      <c r="W1446" s="1"/>
    </row>
    <row r="1447" spans="1:23" x14ac:dyDescent="0.25">
      <c r="A1447" s="1"/>
      <c r="L1447" s="1"/>
      <c r="M1447" s="1"/>
      <c r="W1447" s="1"/>
    </row>
    <row r="1448" spans="1:23" x14ac:dyDescent="0.25">
      <c r="A1448" s="1"/>
      <c r="L1448" s="1"/>
      <c r="M1448" s="1"/>
      <c r="W1448" s="1"/>
    </row>
    <row r="1449" spans="1:23" x14ac:dyDescent="0.25">
      <c r="A1449" s="1"/>
      <c r="L1449" s="1"/>
      <c r="M1449" s="1"/>
      <c r="W1449" s="1"/>
    </row>
    <row r="1450" spans="1:23" x14ac:dyDescent="0.25">
      <c r="A1450" s="1"/>
      <c r="L1450" s="1"/>
      <c r="M1450" s="1"/>
      <c r="W1450" s="1"/>
    </row>
    <row r="1451" spans="1:23" x14ac:dyDescent="0.25">
      <c r="A1451" s="1"/>
      <c r="L1451" s="1"/>
      <c r="M1451" s="1"/>
      <c r="W1451" s="1"/>
    </row>
    <row r="1452" spans="1:23" x14ac:dyDescent="0.25">
      <c r="A1452" s="1"/>
      <c r="L1452" s="1"/>
      <c r="M1452" s="1"/>
      <c r="W1452" s="1"/>
    </row>
    <row r="1453" spans="1:23" x14ac:dyDescent="0.25">
      <c r="A1453" s="1"/>
      <c r="L1453" s="1"/>
      <c r="M1453" s="1"/>
      <c r="W1453" s="1"/>
    </row>
    <row r="1454" spans="1:23" x14ac:dyDescent="0.25">
      <c r="A1454" s="1"/>
      <c r="L1454" s="1"/>
      <c r="M1454" s="1"/>
      <c r="W1454" s="1"/>
    </row>
    <row r="1455" spans="1:23" x14ac:dyDescent="0.25">
      <c r="A1455" s="1"/>
      <c r="L1455" s="1"/>
      <c r="M1455" s="1"/>
      <c r="W1455" s="1"/>
    </row>
    <row r="1456" spans="1:23" x14ac:dyDescent="0.25">
      <c r="A1456" s="1"/>
      <c r="L1456" s="1"/>
      <c r="M1456" s="1"/>
      <c r="W1456" s="1"/>
    </row>
    <row r="1457" spans="1:23" x14ac:dyDescent="0.25">
      <c r="A1457" s="1"/>
      <c r="L1457" s="1"/>
      <c r="M1457" s="1"/>
      <c r="W1457" s="1"/>
    </row>
    <row r="1458" spans="1:23" x14ac:dyDescent="0.25">
      <c r="A1458" s="1"/>
      <c r="L1458" s="1"/>
      <c r="M1458" s="1"/>
      <c r="W1458" s="1"/>
    </row>
    <row r="1459" spans="1:23" x14ac:dyDescent="0.25">
      <c r="A1459" s="1"/>
      <c r="L1459" s="1"/>
      <c r="M1459" s="1"/>
      <c r="W1459" s="1"/>
    </row>
    <row r="1460" spans="1:23" x14ac:dyDescent="0.25">
      <c r="A1460" s="1"/>
      <c r="L1460" s="1"/>
      <c r="M1460" s="1"/>
      <c r="W1460" s="1"/>
    </row>
    <row r="1461" spans="1:23" x14ac:dyDescent="0.25">
      <c r="A1461" s="1"/>
      <c r="L1461" s="1"/>
      <c r="M1461" s="1"/>
      <c r="W1461" s="1"/>
    </row>
    <row r="1462" spans="1:23" x14ac:dyDescent="0.25">
      <c r="A1462" s="1"/>
      <c r="L1462" s="1"/>
      <c r="M1462" s="1"/>
      <c r="W1462" s="1"/>
    </row>
    <row r="1463" spans="1:23" x14ac:dyDescent="0.25">
      <c r="A1463" s="1"/>
      <c r="L1463" s="1"/>
      <c r="M1463" s="1"/>
      <c r="W1463" s="1"/>
    </row>
    <row r="1464" spans="1:23" x14ac:dyDescent="0.25">
      <c r="A1464" s="1"/>
      <c r="L1464" s="1"/>
      <c r="M1464" s="1"/>
      <c r="W1464" s="1"/>
    </row>
    <row r="1465" spans="1:23" x14ac:dyDescent="0.25">
      <c r="A1465" s="1"/>
      <c r="L1465" s="1"/>
      <c r="M1465" s="1"/>
      <c r="W1465" s="1"/>
    </row>
    <row r="1466" spans="1:23" x14ac:dyDescent="0.25">
      <c r="A1466" s="1"/>
      <c r="L1466" s="1"/>
      <c r="M1466" s="1"/>
      <c r="W1466" s="1"/>
    </row>
    <row r="1467" spans="1:23" x14ac:dyDescent="0.25">
      <c r="A1467" s="1"/>
      <c r="L1467" s="1"/>
      <c r="M1467" s="1"/>
      <c r="W1467" s="1"/>
    </row>
    <row r="1468" spans="1:23" x14ac:dyDescent="0.25">
      <c r="A1468" s="1"/>
      <c r="L1468" s="1"/>
      <c r="M1468" s="1"/>
      <c r="W1468" s="1"/>
    </row>
    <row r="1469" spans="1:23" x14ac:dyDescent="0.25">
      <c r="A1469" s="1"/>
      <c r="L1469" s="1"/>
      <c r="M1469" s="1"/>
      <c r="W1469" s="1"/>
    </row>
    <row r="1470" spans="1:23" x14ac:dyDescent="0.25">
      <c r="A1470" s="1"/>
      <c r="L1470" s="1"/>
      <c r="M1470" s="1"/>
      <c r="W1470" s="1"/>
    </row>
    <row r="1471" spans="1:23" x14ac:dyDescent="0.25">
      <c r="A1471" s="1"/>
      <c r="L1471" s="1"/>
      <c r="M1471" s="1"/>
      <c r="W1471" s="1"/>
    </row>
    <row r="1472" spans="1:23" x14ac:dyDescent="0.25">
      <c r="A1472" s="1"/>
      <c r="L1472" s="1"/>
      <c r="M1472" s="1"/>
      <c r="W1472" s="1"/>
    </row>
    <row r="1473" spans="1:23" x14ac:dyDescent="0.25">
      <c r="A1473" s="1"/>
      <c r="L1473" s="1"/>
      <c r="M1473" s="1"/>
      <c r="W1473" s="1"/>
    </row>
    <row r="1474" spans="1:23" x14ac:dyDescent="0.25">
      <c r="A1474" s="1"/>
      <c r="L1474" s="1"/>
      <c r="M1474" s="1"/>
      <c r="W1474" s="1"/>
    </row>
    <row r="1475" spans="1:23" x14ac:dyDescent="0.25">
      <c r="A1475" s="1"/>
      <c r="L1475" s="1"/>
      <c r="M1475" s="1"/>
      <c r="W1475" s="1"/>
    </row>
    <row r="1476" spans="1:23" x14ac:dyDescent="0.25">
      <c r="A1476" s="1"/>
      <c r="L1476" s="1"/>
      <c r="M1476" s="1"/>
      <c r="W1476" s="1"/>
    </row>
    <row r="1477" spans="1:23" x14ac:dyDescent="0.25">
      <c r="A1477" s="1"/>
      <c r="L1477" s="1"/>
      <c r="M1477" s="1"/>
      <c r="W1477" s="1"/>
    </row>
    <row r="1478" spans="1:23" x14ac:dyDescent="0.25">
      <c r="A1478" s="1"/>
      <c r="L1478" s="1"/>
      <c r="M1478" s="1"/>
      <c r="W1478" s="1"/>
    </row>
    <row r="1479" spans="1:23" x14ac:dyDescent="0.25">
      <c r="A1479" s="1"/>
      <c r="L1479" s="1"/>
      <c r="M1479" s="1"/>
      <c r="W1479" s="1"/>
    </row>
    <row r="1480" spans="1:23" x14ac:dyDescent="0.25">
      <c r="A1480" s="1"/>
      <c r="L1480" s="1"/>
      <c r="M1480" s="1"/>
      <c r="W1480" s="1"/>
    </row>
    <row r="1481" spans="1:23" x14ac:dyDescent="0.25">
      <c r="A1481" s="1"/>
      <c r="L1481" s="1"/>
      <c r="M1481" s="1"/>
      <c r="W1481" s="1"/>
    </row>
    <row r="1482" spans="1:23" x14ac:dyDescent="0.25">
      <c r="A1482" s="1"/>
      <c r="L1482" s="1"/>
      <c r="M1482" s="1"/>
      <c r="W1482" s="1"/>
    </row>
    <row r="1483" spans="1:23" x14ac:dyDescent="0.25">
      <c r="A1483" s="1"/>
      <c r="L1483" s="1"/>
      <c r="M1483" s="1"/>
      <c r="W1483" s="1"/>
    </row>
    <row r="1484" spans="1:23" x14ac:dyDescent="0.25">
      <c r="A1484" s="1"/>
      <c r="L1484" s="1"/>
      <c r="M1484" s="1"/>
      <c r="W1484" s="1"/>
    </row>
    <row r="1485" spans="1:23" x14ac:dyDescent="0.25">
      <c r="A1485" s="1"/>
      <c r="L1485" s="1"/>
      <c r="M1485" s="1"/>
      <c r="W1485" s="1"/>
    </row>
    <row r="1486" spans="1:23" x14ac:dyDescent="0.25">
      <c r="A1486" s="1"/>
      <c r="L1486" s="1"/>
      <c r="M1486" s="1"/>
      <c r="W1486" s="1"/>
    </row>
    <row r="1487" spans="1:23" x14ac:dyDescent="0.25">
      <c r="A1487" s="1"/>
      <c r="L1487" s="1"/>
      <c r="M1487" s="1"/>
      <c r="W1487" s="1"/>
    </row>
    <row r="1488" spans="1:23" x14ac:dyDescent="0.25">
      <c r="A1488" s="1"/>
      <c r="L1488" s="1"/>
      <c r="M1488" s="1"/>
      <c r="W1488" s="1"/>
    </row>
    <row r="1489" spans="1:23" x14ac:dyDescent="0.25">
      <c r="A1489" s="1"/>
      <c r="L1489" s="1"/>
      <c r="M1489" s="1"/>
      <c r="W1489" s="1"/>
    </row>
    <row r="1490" spans="1:23" x14ac:dyDescent="0.25">
      <c r="A1490" s="1"/>
      <c r="L1490" s="1"/>
      <c r="M1490" s="1"/>
      <c r="W1490" s="1"/>
    </row>
    <row r="1491" spans="1:23" x14ac:dyDescent="0.25">
      <c r="A1491" s="1"/>
      <c r="L1491" s="1"/>
      <c r="M1491" s="1"/>
      <c r="W1491" s="1"/>
    </row>
    <row r="1492" spans="1:23" x14ac:dyDescent="0.25">
      <c r="A1492" s="1"/>
      <c r="L1492" s="1"/>
      <c r="M1492" s="1"/>
      <c r="W1492" s="1"/>
    </row>
    <row r="1493" spans="1:23" x14ac:dyDescent="0.25">
      <c r="A1493" s="1"/>
      <c r="L1493" s="1"/>
      <c r="M1493" s="1"/>
      <c r="W1493" s="1"/>
    </row>
    <row r="1494" spans="1:23" x14ac:dyDescent="0.25">
      <c r="A1494" s="1"/>
      <c r="L1494" s="1"/>
      <c r="M1494" s="1"/>
      <c r="W1494" s="1"/>
    </row>
    <row r="1495" spans="1:23" x14ac:dyDescent="0.25">
      <c r="A1495" s="1"/>
      <c r="L1495" s="1"/>
      <c r="M1495" s="1"/>
      <c r="W1495" s="1"/>
    </row>
    <row r="1496" spans="1:23" x14ac:dyDescent="0.25">
      <c r="A1496" s="1"/>
      <c r="L1496" s="1"/>
      <c r="M1496" s="1"/>
      <c r="W1496" s="1"/>
    </row>
    <row r="1497" spans="1:23" x14ac:dyDescent="0.25">
      <c r="A1497" s="1"/>
      <c r="L1497" s="1"/>
      <c r="M1497" s="1"/>
      <c r="W1497" s="1"/>
    </row>
    <row r="1498" spans="1:23" x14ac:dyDescent="0.25">
      <c r="A1498" s="1"/>
      <c r="L1498" s="1"/>
      <c r="M1498" s="1"/>
      <c r="W1498" s="1"/>
    </row>
    <row r="1499" spans="1:23" x14ac:dyDescent="0.25">
      <c r="A1499" s="1"/>
      <c r="L1499" s="1"/>
      <c r="M1499" s="1"/>
      <c r="W1499" s="1"/>
    </row>
    <row r="1500" spans="1:23" x14ac:dyDescent="0.25">
      <c r="A1500" s="1"/>
      <c r="L1500" s="1"/>
      <c r="M1500" s="1"/>
      <c r="W1500" s="1"/>
    </row>
    <row r="1501" spans="1:23" x14ac:dyDescent="0.25">
      <c r="A1501" s="1"/>
      <c r="L1501" s="1"/>
      <c r="M1501" s="1"/>
      <c r="W1501" s="1"/>
    </row>
    <row r="1502" spans="1:23" x14ac:dyDescent="0.25">
      <c r="A1502" s="1"/>
      <c r="L1502" s="1"/>
      <c r="M1502" s="1"/>
      <c r="W1502" s="1"/>
    </row>
    <row r="1503" spans="1:23" x14ac:dyDescent="0.25">
      <c r="A1503" s="1"/>
      <c r="L1503" s="1"/>
      <c r="M1503" s="1"/>
      <c r="W1503" s="1"/>
    </row>
    <row r="1504" spans="1:23" x14ac:dyDescent="0.25">
      <c r="A1504" s="1"/>
      <c r="L1504" s="1"/>
      <c r="M1504" s="1"/>
      <c r="W1504" s="1"/>
    </row>
    <row r="1505" spans="1:23" x14ac:dyDescent="0.25">
      <c r="A1505" s="1"/>
      <c r="L1505" s="1"/>
      <c r="M1505" s="1"/>
      <c r="W1505" s="1"/>
    </row>
    <row r="1506" spans="1:23" x14ac:dyDescent="0.25">
      <c r="A1506" s="1"/>
      <c r="L1506" s="1"/>
      <c r="M1506" s="1"/>
      <c r="W1506" s="1"/>
    </row>
    <row r="1507" spans="1:23" x14ac:dyDescent="0.25">
      <c r="A1507" s="1"/>
      <c r="L1507" s="1"/>
      <c r="M1507" s="1"/>
      <c r="W1507" s="1"/>
    </row>
    <row r="1508" spans="1:23" x14ac:dyDescent="0.25">
      <c r="A1508" s="1"/>
      <c r="L1508" s="1"/>
      <c r="M1508" s="1"/>
      <c r="W1508" s="1"/>
    </row>
    <row r="1509" spans="1:23" x14ac:dyDescent="0.25">
      <c r="A1509" s="1"/>
      <c r="L1509" s="1"/>
      <c r="M1509" s="1"/>
      <c r="W1509" s="1"/>
    </row>
    <row r="1510" spans="1:23" x14ac:dyDescent="0.25">
      <c r="A1510" s="1"/>
      <c r="L1510" s="1"/>
      <c r="M1510" s="1"/>
      <c r="W1510" s="1"/>
    </row>
    <row r="1511" spans="1:23" x14ac:dyDescent="0.25">
      <c r="A1511" s="1"/>
      <c r="L1511" s="1"/>
      <c r="M1511" s="1"/>
      <c r="W1511" s="1"/>
    </row>
    <row r="1512" spans="1:23" x14ac:dyDescent="0.25">
      <c r="A1512" s="1"/>
      <c r="L1512" s="1"/>
      <c r="M1512" s="1"/>
      <c r="W1512" s="1"/>
    </row>
    <row r="1513" spans="1:23" x14ac:dyDescent="0.25">
      <c r="A1513" s="1"/>
      <c r="L1513" s="1"/>
      <c r="M1513" s="1"/>
      <c r="W1513" s="1"/>
    </row>
    <row r="1514" spans="1:23" x14ac:dyDescent="0.25">
      <c r="A1514" s="1"/>
      <c r="L1514" s="1"/>
      <c r="M1514" s="1"/>
      <c r="W1514" s="1"/>
    </row>
    <row r="1515" spans="1:23" x14ac:dyDescent="0.25">
      <c r="A1515" s="1"/>
      <c r="L1515" s="1"/>
      <c r="M1515" s="1"/>
      <c r="W1515" s="1"/>
    </row>
    <row r="1516" spans="1:23" x14ac:dyDescent="0.25">
      <c r="A1516" s="1"/>
      <c r="L1516" s="1"/>
      <c r="M1516" s="1"/>
      <c r="W1516" s="1"/>
    </row>
    <row r="1517" spans="1:23" x14ac:dyDescent="0.25">
      <c r="A1517" s="1"/>
      <c r="L1517" s="1"/>
      <c r="M1517" s="1"/>
      <c r="W1517" s="1"/>
    </row>
    <row r="1518" spans="1:23" x14ac:dyDescent="0.25">
      <c r="A1518" s="1"/>
      <c r="L1518" s="1"/>
      <c r="M1518" s="1"/>
      <c r="W1518" s="1"/>
    </row>
    <row r="1519" spans="1:23" x14ac:dyDescent="0.25">
      <c r="A1519" s="1"/>
      <c r="L1519" s="1"/>
      <c r="M1519" s="1"/>
      <c r="W1519" s="1"/>
    </row>
    <row r="1520" spans="1:23" x14ac:dyDescent="0.25">
      <c r="A1520" s="1"/>
      <c r="L1520" s="1"/>
      <c r="M1520" s="1"/>
      <c r="W1520" s="1"/>
    </row>
    <row r="1521" spans="1:23" x14ac:dyDescent="0.25">
      <c r="A1521" s="1"/>
      <c r="L1521" s="1"/>
      <c r="M1521" s="1"/>
      <c r="W1521" s="1"/>
    </row>
    <row r="1522" spans="1:23" x14ac:dyDescent="0.25">
      <c r="A1522" s="1"/>
      <c r="L1522" s="1"/>
      <c r="M1522" s="1"/>
      <c r="W1522" s="1"/>
    </row>
    <row r="1523" spans="1:23" x14ac:dyDescent="0.25">
      <c r="A1523" s="1"/>
      <c r="L1523" s="1"/>
      <c r="M1523" s="1"/>
      <c r="W1523" s="1"/>
    </row>
    <row r="1524" spans="1:23" x14ac:dyDescent="0.25">
      <c r="A1524" s="1"/>
      <c r="L1524" s="1"/>
      <c r="M1524" s="1"/>
      <c r="W1524" s="1"/>
    </row>
    <row r="1525" spans="1:23" x14ac:dyDescent="0.25">
      <c r="A1525" s="1"/>
      <c r="L1525" s="1"/>
      <c r="M1525" s="1"/>
      <c r="W1525" s="1"/>
    </row>
    <row r="1526" spans="1:23" x14ac:dyDescent="0.25">
      <c r="A1526" s="1"/>
      <c r="L1526" s="1"/>
      <c r="M1526" s="1"/>
      <c r="W1526" s="1"/>
    </row>
    <row r="1527" spans="1:23" x14ac:dyDescent="0.25">
      <c r="A1527" s="1"/>
      <c r="L1527" s="1"/>
      <c r="M1527" s="1"/>
      <c r="W1527" s="1"/>
    </row>
    <row r="1528" spans="1:23" x14ac:dyDescent="0.25">
      <c r="A1528" s="1"/>
      <c r="L1528" s="1"/>
      <c r="M1528" s="1"/>
      <c r="W1528" s="1"/>
    </row>
    <row r="1529" spans="1:23" x14ac:dyDescent="0.25">
      <c r="A1529" s="1"/>
      <c r="L1529" s="1"/>
      <c r="M1529" s="1"/>
      <c r="W1529" s="1"/>
    </row>
    <row r="1530" spans="1:23" x14ac:dyDescent="0.25">
      <c r="A1530" s="1"/>
      <c r="L1530" s="1"/>
      <c r="M1530" s="1"/>
      <c r="W1530" s="1"/>
    </row>
    <row r="1531" spans="1:23" x14ac:dyDescent="0.25">
      <c r="A1531" s="1"/>
      <c r="L1531" s="1"/>
      <c r="M1531" s="1"/>
      <c r="W1531" s="1"/>
    </row>
    <row r="1532" spans="1:23" x14ac:dyDescent="0.25">
      <c r="A1532" s="1"/>
      <c r="L1532" s="1"/>
      <c r="M1532" s="1"/>
      <c r="W1532" s="1"/>
    </row>
    <row r="1533" spans="1:23" x14ac:dyDescent="0.25">
      <c r="A1533" s="1"/>
      <c r="L1533" s="1"/>
      <c r="M1533" s="1"/>
      <c r="W1533" s="1"/>
    </row>
    <row r="1534" spans="1:23" x14ac:dyDescent="0.25">
      <c r="A1534" s="1"/>
      <c r="L1534" s="1"/>
      <c r="M1534" s="1"/>
      <c r="W1534" s="1"/>
    </row>
    <row r="1535" spans="1:23" x14ac:dyDescent="0.25">
      <c r="A1535" s="1"/>
      <c r="L1535" s="1"/>
      <c r="M1535" s="1"/>
      <c r="W1535" s="1"/>
    </row>
    <row r="1536" spans="1:23" x14ac:dyDescent="0.25">
      <c r="A1536" s="1"/>
      <c r="L1536" s="1"/>
      <c r="M1536" s="1"/>
      <c r="W1536" s="1"/>
    </row>
    <row r="1537" spans="1:23" x14ac:dyDescent="0.25">
      <c r="A1537" s="1"/>
      <c r="L1537" s="1"/>
      <c r="M1537" s="1"/>
      <c r="W1537" s="1"/>
    </row>
    <row r="1538" spans="1:23" x14ac:dyDescent="0.25">
      <c r="A1538" s="1"/>
      <c r="L1538" s="1"/>
      <c r="M1538" s="1"/>
      <c r="W1538" s="1"/>
    </row>
    <row r="1539" spans="1:23" x14ac:dyDescent="0.25">
      <c r="A1539" s="1"/>
      <c r="L1539" s="1"/>
      <c r="M1539" s="1"/>
      <c r="W1539" s="1"/>
    </row>
    <row r="1540" spans="1:23" x14ac:dyDescent="0.25">
      <c r="A1540" s="1"/>
      <c r="L1540" s="1"/>
      <c r="M1540" s="1"/>
      <c r="W1540" s="1"/>
    </row>
    <row r="1541" spans="1:23" x14ac:dyDescent="0.25">
      <c r="A1541" s="1"/>
      <c r="L1541" s="1"/>
      <c r="M1541" s="1"/>
      <c r="W1541" s="1"/>
    </row>
    <row r="1542" spans="1:23" x14ac:dyDescent="0.25">
      <c r="A1542" s="1"/>
      <c r="L1542" s="1"/>
      <c r="M1542" s="1"/>
      <c r="W1542" s="1"/>
    </row>
    <row r="1543" spans="1:23" x14ac:dyDescent="0.25">
      <c r="A1543" s="1"/>
      <c r="L1543" s="1"/>
      <c r="M1543" s="1"/>
      <c r="W1543" s="1"/>
    </row>
    <row r="1544" spans="1:23" x14ac:dyDescent="0.25">
      <c r="A1544" s="1"/>
      <c r="L1544" s="1"/>
      <c r="M1544" s="1"/>
      <c r="W1544" s="1"/>
    </row>
    <row r="1545" spans="1:23" x14ac:dyDescent="0.25">
      <c r="A1545" s="1"/>
      <c r="L1545" s="1"/>
      <c r="M1545" s="1"/>
      <c r="W1545" s="1"/>
    </row>
    <row r="1546" spans="1:23" x14ac:dyDescent="0.25">
      <c r="A1546" s="1"/>
      <c r="L1546" s="1"/>
      <c r="M1546" s="1"/>
      <c r="W1546" s="1"/>
    </row>
    <row r="1547" spans="1:23" x14ac:dyDescent="0.25">
      <c r="A1547" s="1"/>
      <c r="L1547" s="1"/>
      <c r="M1547" s="1"/>
      <c r="W1547" s="1"/>
    </row>
    <row r="1548" spans="1:23" x14ac:dyDescent="0.25">
      <c r="A1548" s="1"/>
      <c r="L1548" s="1"/>
      <c r="M1548" s="1"/>
      <c r="W1548" s="1"/>
    </row>
    <row r="1549" spans="1:23" x14ac:dyDescent="0.25">
      <c r="A1549" s="1"/>
      <c r="L1549" s="1"/>
      <c r="M1549" s="1"/>
      <c r="W1549" s="1"/>
    </row>
    <row r="1550" spans="1:23" x14ac:dyDescent="0.25">
      <c r="A1550" s="1"/>
      <c r="L1550" s="1"/>
      <c r="M1550" s="1"/>
      <c r="W1550" s="1"/>
    </row>
    <row r="1551" spans="1:23" x14ac:dyDescent="0.25">
      <c r="A1551" s="1"/>
      <c r="L1551" s="1"/>
      <c r="M1551" s="1"/>
      <c r="W1551" s="1"/>
    </row>
    <row r="1552" spans="1:23" x14ac:dyDescent="0.25">
      <c r="A1552" s="1"/>
      <c r="L1552" s="1"/>
      <c r="M1552" s="1"/>
      <c r="W1552" s="1"/>
    </row>
    <row r="1553" spans="1:23" x14ac:dyDescent="0.25">
      <c r="A1553" s="1"/>
      <c r="L1553" s="1"/>
      <c r="M1553" s="1"/>
      <c r="W1553" s="1"/>
    </row>
    <row r="1554" spans="1:23" x14ac:dyDescent="0.25">
      <c r="A1554" s="1"/>
      <c r="L1554" s="1"/>
      <c r="M1554" s="1"/>
      <c r="W1554" s="1"/>
    </row>
    <row r="1555" spans="1:23" x14ac:dyDescent="0.25">
      <c r="A1555" s="1"/>
      <c r="L1555" s="1"/>
      <c r="M1555" s="1"/>
      <c r="W1555" s="1"/>
    </row>
    <row r="1556" spans="1:23" x14ac:dyDescent="0.25">
      <c r="A1556" s="1"/>
      <c r="L1556" s="1"/>
      <c r="M1556" s="1"/>
      <c r="W1556" s="1"/>
    </row>
    <row r="1557" spans="1:23" x14ac:dyDescent="0.25">
      <c r="A1557" s="1"/>
      <c r="L1557" s="1"/>
      <c r="M1557" s="1"/>
      <c r="W1557" s="1"/>
    </row>
    <row r="1558" spans="1:23" x14ac:dyDescent="0.25">
      <c r="A1558" s="1"/>
      <c r="L1558" s="1"/>
      <c r="M1558" s="1"/>
      <c r="W1558" s="1"/>
    </row>
    <row r="1559" spans="1:23" x14ac:dyDescent="0.25">
      <c r="A1559" s="1"/>
      <c r="L1559" s="1"/>
      <c r="M1559" s="1"/>
      <c r="W1559" s="1"/>
    </row>
    <row r="1560" spans="1:23" x14ac:dyDescent="0.25">
      <c r="A1560" s="1"/>
      <c r="L1560" s="1"/>
      <c r="M1560" s="1"/>
      <c r="W1560" s="1"/>
    </row>
    <row r="1561" spans="1:23" x14ac:dyDescent="0.25">
      <c r="A1561" s="1"/>
      <c r="L1561" s="1"/>
      <c r="M1561" s="1"/>
      <c r="W1561" s="1"/>
    </row>
    <row r="1562" spans="1:23" x14ac:dyDescent="0.25">
      <c r="A1562" s="1"/>
      <c r="L1562" s="1"/>
      <c r="M1562" s="1"/>
      <c r="W1562" s="1"/>
    </row>
    <row r="1563" spans="1:23" x14ac:dyDescent="0.25">
      <c r="A1563" s="1"/>
      <c r="L1563" s="1"/>
      <c r="M1563" s="1"/>
      <c r="W1563" s="1"/>
    </row>
    <row r="1564" spans="1:23" x14ac:dyDescent="0.25">
      <c r="A1564" s="1"/>
      <c r="L1564" s="1"/>
      <c r="M1564" s="1"/>
      <c r="W1564" s="1"/>
    </row>
    <row r="1565" spans="1:23" x14ac:dyDescent="0.25">
      <c r="A1565" s="1"/>
      <c r="L1565" s="1"/>
      <c r="M1565" s="1"/>
      <c r="W1565" s="1"/>
    </row>
    <row r="1566" spans="1:23" x14ac:dyDescent="0.25">
      <c r="A1566" s="1"/>
      <c r="L1566" s="1"/>
      <c r="M1566" s="1"/>
      <c r="W1566" s="1"/>
    </row>
    <row r="1567" spans="1:23" x14ac:dyDescent="0.25">
      <c r="A1567" s="1"/>
      <c r="L1567" s="1"/>
      <c r="M1567" s="1"/>
      <c r="W1567" s="1"/>
    </row>
    <row r="1568" spans="1:23" x14ac:dyDescent="0.25">
      <c r="A1568" s="1"/>
      <c r="L1568" s="1"/>
      <c r="M1568" s="1"/>
      <c r="W1568" s="1"/>
    </row>
    <row r="1569" spans="1:23" x14ac:dyDescent="0.25">
      <c r="A1569" s="1"/>
      <c r="L1569" s="1"/>
      <c r="M1569" s="1"/>
      <c r="W1569" s="1"/>
    </row>
    <row r="1570" spans="1:23" x14ac:dyDescent="0.25">
      <c r="A1570" s="1"/>
      <c r="L1570" s="1"/>
      <c r="M1570" s="1"/>
      <c r="W1570" s="1"/>
    </row>
    <row r="1571" spans="1:23" x14ac:dyDescent="0.25">
      <c r="A1571" s="1"/>
      <c r="L1571" s="1"/>
      <c r="M1571" s="1"/>
      <c r="W1571" s="1"/>
    </row>
    <row r="1572" spans="1:23" x14ac:dyDescent="0.25">
      <c r="A1572" s="1"/>
      <c r="L1572" s="1"/>
      <c r="M1572" s="1"/>
      <c r="W1572" s="1"/>
    </row>
    <row r="1573" spans="1:23" x14ac:dyDescent="0.25">
      <c r="A1573" s="1"/>
      <c r="L1573" s="1"/>
      <c r="M1573" s="1"/>
      <c r="W1573" s="1"/>
    </row>
    <row r="1574" spans="1:23" x14ac:dyDescent="0.25">
      <c r="A1574" s="1"/>
      <c r="L1574" s="1"/>
      <c r="M1574" s="1"/>
      <c r="W1574" s="1"/>
    </row>
    <row r="1575" spans="1:23" x14ac:dyDescent="0.25">
      <c r="A1575" s="1"/>
      <c r="L1575" s="1"/>
      <c r="M1575" s="1"/>
      <c r="W1575" s="1"/>
    </row>
    <row r="1576" spans="1:23" x14ac:dyDescent="0.25">
      <c r="A1576" s="1"/>
      <c r="L1576" s="1"/>
      <c r="M1576" s="1"/>
      <c r="W1576" s="1"/>
    </row>
    <row r="1577" spans="1:23" x14ac:dyDescent="0.25">
      <c r="A1577" s="1"/>
      <c r="L1577" s="1"/>
      <c r="M1577" s="1"/>
      <c r="W1577" s="1"/>
    </row>
    <row r="1578" spans="1:23" x14ac:dyDescent="0.25">
      <c r="A1578" s="1"/>
      <c r="L1578" s="1"/>
      <c r="M1578" s="1"/>
      <c r="W1578" s="1"/>
    </row>
    <row r="1579" spans="1:23" x14ac:dyDescent="0.25">
      <c r="A1579" s="1"/>
      <c r="L1579" s="1"/>
      <c r="M1579" s="1"/>
      <c r="W1579" s="1"/>
    </row>
    <row r="1580" spans="1:23" x14ac:dyDescent="0.25">
      <c r="A1580" s="1"/>
      <c r="L1580" s="1"/>
      <c r="M1580" s="1"/>
      <c r="W1580" s="1"/>
    </row>
    <row r="1581" spans="1:23" x14ac:dyDescent="0.25">
      <c r="A1581" s="1"/>
      <c r="L1581" s="1"/>
      <c r="M1581" s="1"/>
      <c r="W1581" s="1"/>
    </row>
    <row r="1582" spans="1:23" x14ac:dyDescent="0.25">
      <c r="A1582" s="1"/>
      <c r="L1582" s="1"/>
      <c r="M1582" s="1"/>
      <c r="W1582" s="1"/>
    </row>
    <row r="1583" spans="1:23" x14ac:dyDescent="0.25">
      <c r="A1583" s="1"/>
      <c r="L1583" s="1"/>
      <c r="M1583" s="1"/>
      <c r="W1583" s="1"/>
    </row>
    <row r="1584" spans="1:23" x14ac:dyDescent="0.25">
      <c r="A1584" s="1"/>
      <c r="L1584" s="1"/>
      <c r="M1584" s="1"/>
      <c r="W1584" s="1"/>
    </row>
    <row r="1585" spans="1:23" x14ac:dyDescent="0.25">
      <c r="A1585" s="1"/>
      <c r="L1585" s="1"/>
      <c r="M1585" s="1"/>
      <c r="W1585" s="1"/>
    </row>
    <row r="1586" spans="1:23" x14ac:dyDescent="0.25">
      <c r="A1586" s="1"/>
      <c r="L1586" s="1"/>
      <c r="M1586" s="1"/>
      <c r="W1586" s="1"/>
    </row>
    <row r="1587" spans="1:23" x14ac:dyDescent="0.25">
      <c r="A1587" s="1"/>
      <c r="L1587" s="1"/>
      <c r="M1587" s="1"/>
      <c r="W1587" s="1"/>
    </row>
    <row r="1588" spans="1:23" x14ac:dyDescent="0.25">
      <c r="A1588" s="1"/>
      <c r="L1588" s="1"/>
      <c r="M1588" s="1"/>
      <c r="W1588" s="1"/>
    </row>
    <row r="1589" spans="1:23" x14ac:dyDescent="0.25">
      <c r="A1589" s="1"/>
      <c r="L1589" s="1"/>
      <c r="M1589" s="1"/>
      <c r="W1589" s="1"/>
    </row>
    <row r="1590" spans="1:23" x14ac:dyDescent="0.25">
      <c r="A1590" s="1"/>
      <c r="L1590" s="1"/>
      <c r="M1590" s="1"/>
      <c r="W1590" s="1"/>
    </row>
    <row r="1591" spans="1:23" x14ac:dyDescent="0.25">
      <c r="A1591" s="1"/>
      <c r="L1591" s="1"/>
      <c r="M1591" s="1"/>
      <c r="W1591" s="1"/>
    </row>
    <row r="1592" spans="1:23" x14ac:dyDescent="0.25">
      <c r="A1592" s="1"/>
      <c r="L1592" s="1"/>
      <c r="M1592" s="1"/>
      <c r="W1592" s="1"/>
    </row>
    <row r="1593" spans="1:23" x14ac:dyDescent="0.25">
      <c r="A1593" s="1"/>
      <c r="L1593" s="1"/>
      <c r="M1593" s="1"/>
      <c r="W1593" s="1"/>
    </row>
    <row r="1594" spans="1:23" x14ac:dyDescent="0.25">
      <c r="A1594" s="1"/>
      <c r="L1594" s="1"/>
      <c r="M1594" s="1"/>
      <c r="W1594" s="1"/>
    </row>
    <row r="1595" spans="1:23" x14ac:dyDescent="0.25">
      <c r="A1595" s="1"/>
      <c r="L1595" s="1"/>
      <c r="M1595" s="1"/>
      <c r="W1595" s="1"/>
    </row>
    <row r="1596" spans="1:23" x14ac:dyDescent="0.25">
      <c r="A1596" s="1"/>
      <c r="L1596" s="1"/>
      <c r="M1596" s="1"/>
      <c r="W1596" s="1"/>
    </row>
    <row r="1597" spans="1:23" x14ac:dyDescent="0.25">
      <c r="A1597" s="1"/>
      <c r="L1597" s="1"/>
      <c r="M1597" s="1"/>
      <c r="W1597" s="1"/>
    </row>
    <row r="1598" spans="1:23" x14ac:dyDescent="0.25">
      <c r="A1598" s="1"/>
      <c r="L1598" s="1"/>
      <c r="M1598" s="1"/>
      <c r="W1598" s="1"/>
    </row>
    <row r="1599" spans="1:23" x14ac:dyDescent="0.25">
      <c r="A1599" s="1"/>
      <c r="L1599" s="1"/>
      <c r="M1599" s="1"/>
      <c r="W1599" s="1"/>
    </row>
    <row r="1600" spans="1:23" x14ac:dyDescent="0.25">
      <c r="A1600" s="1"/>
      <c r="L1600" s="1"/>
      <c r="M1600" s="1"/>
      <c r="W1600" s="1"/>
    </row>
    <row r="1601" spans="1:23" x14ac:dyDescent="0.25">
      <c r="A1601" s="1"/>
      <c r="L1601" s="1"/>
      <c r="M1601" s="1"/>
      <c r="W1601" s="1"/>
    </row>
    <row r="1602" spans="1:23" x14ac:dyDescent="0.25">
      <c r="A1602" s="1"/>
      <c r="L1602" s="1"/>
      <c r="M1602" s="1"/>
      <c r="W1602" s="1"/>
    </row>
    <row r="1603" spans="1:23" x14ac:dyDescent="0.25">
      <c r="A1603" s="1"/>
      <c r="L1603" s="1"/>
      <c r="M1603" s="1"/>
      <c r="W1603" s="1"/>
    </row>
    <row r="1604" spans="1:23" x14ac:dyDescent="0.25">
      <c r="A1604" s="1"/>
      <c r="L1604" s="1"/>
      <c r="M1604" s="1"/>
      <c r="W1604" s="1"/>
    </row>
    <row r="1605" spans="1:23" x14ac:dyDescent="0.25">
      <c r="A1605" s="1"/>
      <c r="L1605" s="1"/>
      <c r="M1605" s="1"/>
      <c r="W1605" s="1"/>
    </row>
    <row r="1606" spans="1:23" x14ac:dyDescent="0.25">
      <c r="A1606" s="1"/>
      <c r="L1606" s="1"/>
      <c r="M1606" s="1"/>
      <c r="W1606" s="1"/>
    </row>
    <row r="1607" spans="1:23" x14ac:dyDescent="0.25">
      <c r="A1607" s="1"/>
      <c r="L1607" s="1"/>
      <c r="M1607" s="1"/>
      <c r="W1607" s="1"/>
    </row>
    <row r="1608" spans="1:23" x14ac:dyDescent="0.25">
      <c r="A1608" s="1"/>
      <c r="L1608" s="1"/>
      <c r="M1608" s="1"/>
      <c r="W1608" s="1"/>
    </row>
    <row r="1609" spans="1:23" x14ac:dyDescent="0.25">
      <c r="A1609" s="1"/>
      <c r="L1609" s="1"/>
      <c r="M1609" s="1"/>
      <c r="W1609" s="1"/>
    </row>
    <row r="1610" spans="1:23" x14ac:dyDescent="0.25">
      <c r="A1610" s="1"/>
      <c r="L1610" s="1"/>
      <c r="M1610" s="1"/>
      <c r="W1610" s="1"/>
    </row>
    <row r="1611" spans="1:23" x14ac:dyDescent="0.25">
      <c r="A1611" s="1"/>
      <c r="L1611" s="1"/>
      <c r="M1611" s="1"/>
      <c r="W1611" s="1"/>
    </row>
    <row r="1612" spans="1:23" x14ac:dyDescent="0.25">
      <c r="A1612" s="1"/>
      <c r="L1612" s="1"/>
      <c r="M1612" s="1"/>
      <c r="W1612" s="1"/>
    </row>
    <row r="1613" spans="1:23" x14ac:dyDescent="0.25">
      <c r="A1613" s="1"/>
      <c r="L1613" s="1"/>
      <c r="M1613" s="1"/>
      <c r="W1613" s="1"/>
    </row>
    <row r="1614" spans="1:23" x14ac:dyDescent="0.25">
      <c r="A1614" s="1"/>
      <c r="L1614" s="1"/>
      <c r="M1614" s="1"/>
      <c r="W1614" s="1"/>
    </row>
    <row r="1615" spans="1:23" x14ac:dyDescent="0.25">
      <c r="A1615" s="1"/>
      <c r="L1615" s="1"/>
      <c r="M1615" s="1"/>
      <c r="W1615" s="1"/>
    </row>
    <row r="1616" spans="1:23" x14ac:dyDescent="0.25">
      <c r="A1616" s="1"/>
      <c r="L1616" s="1"/>
      <c r="M1616" s="1"/>
      <c r="W1616" s="1"/>
    </row>
    <row r="1617" spans="1:23" x14ac:dyDescent="0.25">
      <c r="A1617" s="1"/>
      <c r="L1617" s="1"/>
      <c r="M1617" s="1"/>
      <c r="W1617" s="1"/>
    </row>
    <row r="1618" spans="1:23" x14ac:dyDescent="0.25">
      <c r="A1618" s="1"/>
      <c r="L1618" s="1"/>
      <c r="M1618" s="1"/>
      <c r="W1618" s="1"/>
    </row>
    <row r="1619" spans="1:23" x14ac:dyDescent="0.25">
      <c r="A1619" s="1"/>
      <c r="L1619" s="1"/>
      <c r="M1619" s="1"/>
      <c r="W1619" s="1"/>
    </row>
    <row r="1620" spans="1:23" x14ac:dyDescent="0.25">
      <c r="A1620" s="1"/>
      <c r="L1620" s="1"/>
      <c r="M1620" s="1"/>
      <c r="W1620" s="1"/>
    </row>
    <row r="1621" spans="1:23" x14ac:dyDescent="0.25">
      <c r="A1621" s="1"/>
      <c r="L1621" s="1"/>
      <c r="M1621" s="1"/>
      <c r="W1621" s="1"/>
    </row>
    <row r="1622" spans="1:23" x14ac:dyDescent="0.25">
      <c r="A1622" s="1"/>
      <c r="L1622" s="1"/>
      <c r="M1622" s="1"/>
      <c r="W1622" s="1"/>
    </row>
    <row r="1623" spans="1:23" x14ac:dyDescent="0.25">
      <c r="A1623" s="1"/>
      <c r="L1623" s="1"/>
      <c r="M1623" s="1"/>
      <c r="W1623" s="1"/>
    </row>
    <row r="1624" spans="1:23" x14ac:dyDescent="0.25">
      <c r="A1624" s="1"/>
      <c r="L1624" s="1"/>
      <c r="M1624" s="1"/>
      <c r="W1624" s="1"/>
    </row>
    <row r="1625" spans="1:23" x14ac:dyDescent="0.25">
      <c r="A1625" s="1"/>
      <c r="L1625" s="1"/>
      <c r="M1625" s="1"/>
      <c r="W1625" s="1"/>
    </row>
    <row r="1626" spans="1:23" x14ac:dyDescent="0.25">
      <c r="A1626" s="1"/>
      <c r="L1626" s="1"/>
      <c r="M1626" s="1"/>
      <c r="W1626" s="1"/>
    </row>
    <row r="1627" spans="1:23" x14ac:dyDescent="0.25">
      <c r="A1627" s="1"/>
      <c r="L1627" s="1"/>
      <c r="M1627" s="1"/>
      <c r="W1627" s="1"/>
    </row>
    <row r="1628" spans="1:23" x14ac:dyDescent="0.25">
      <c r="A1628" s="1"/>
      <c r="L1628" s="1"/>
      <c r="M1628" s="1"/>
      <c r="W1628" s="1"/>
    </row>
    <row r="1629" spans="1:23" x14ac:dyDescent="0.25">
      <c r="A1629" s="1"/>
      <c r="L1629" s="1"/>
      <c r="M1629" s="1"/>
      <c r="W1629" s="1"/>
    </row>
    <row r="1630" spans="1:23" x14ac:dyDescent="0.25">
      <c r="A1630" s="1"/>
      <c r="L1630" s="1"/>
      <c r="M1630" s="1"/>
      <c r="W1630" s="1"/>
    </row>
    <row r="1631" spans="1:23" x14ac:dyDescent="0.25">
      <c r="A1631" s="1"/>
      <c r="L1631" s="1"/>
      <c r="M1631" s="1"/>
      <c r="W1631" s="1"/>
    </row>
    <row r="1632" spans="1:23" x14ac:dyDescent="0.25">
      <c r="A1632" s="1"/>
      <c r="L1632" s="1"/>
      <c r="M1632" s="1"/>
      <c r="W1632" s="1"/>
    </row>
    <row r="1633" spans="1:23" x14ac:dyDescent="0.25">
      <c r="A1633" s="1"/>
      <c r="L1633" s="1"/>
      <c r="M1633" s="1"/>
      <c r="W1633" s="1"/>
    </row>
    <row r="1634" spans="1:23" x14ac:dyDescent="0.25">
      <c r="A1634" s="1"/>
      <c r="L1634" s="1"/>
      <c r="M1634" s="1"/>
      <c r="W1634" s="1"/>
    </row>
    <row r="1635" spans="1:23" x14ac:dyDescent="0.25">
      <c r="A1635" s="1"/>
      <c r="L1635" s="1"/>
      <c r="M1635" s="1"/>
      <c r="W1635" s="1"/>
    </row>
    <row r="1636" spans="1:23" x14ac:dyDescent="0.25">
      <c r="A1636" s="1"/>
      <c r="L1636" s="1"/>
      <c r="M1636" s="1"/>
      <c r="W1636" s="1"/>
    </row>
    <row r="1637" spans="1:23" x14ac:dyDescent="0.25">
      <c r="A1637" s="1"/>
      <c r="L1637" s="1"/>
      <c r="M1637" s="1"/>
      <c r="W1637" s="1"/>
    </row>
    <row r="1638" spans="1:23" x14ac:dyDescent="0.25">
      <c r="A1638" s="1"/>
      <c r="L1638" s="1"/>
      <c r="M1638" s="1"/>
      <c r="W1638" s="1"/>
    </row>
    <row r="1639" spans="1:23" x14ac:dyDescent="0.25">
      <c r="A1639" s="1"/>
      <c r="L1639" s="1"/>
      <c r="M1639" s="1"/>
      <c r="W1639" s="1"/>
    </row>
    <row r="1640" spans="1:23" x14ac:dyDescent="0.25">
      <c r="A1640" s="1"/>
      <c r="L1640" s="1"/>
      <c r="M1640" s="1"/>
      <c r="W1640" s="1"/>
    </row>
    <row r="1641" spans="1:23" x14ac:dyDescent="0.25">
      <c r="A1641" s="1"/>
      <c r="L1641" s="1"/>
      <c r="M1641" s="1"/>
      <c r="W1641" s="1"/>
    </row>
    <row r="1642" spans="1:23" x14ac:dyDescent="0.25">
      <c r="A1642" s="1"/>
      <c r="L1642" s="1"/>
      <c r="M1642" s="1"/>
      <c r="W1642" s="1"/>
    </row>
    <row r="1643" spans="1:23" x14ac:dyDescent="0.25">
      <c r="A1643" s="1"/>
      <c r="L1643" s="1"/>
      <c r="M1643" s="1"/>
      <c r="W1643" s="1"/>
    </row>
    <row r="1644" spans="1:23" x14ac:dyDescent="0.25">
      <c r="A1644" s="1"/>
      <c r="L1644" s="1"/>
      <c r="M1644" s="1"/>
      <c r="W1644" s="1"/>
    </row>
    <row r="1645" spans="1:23" x14ac:dyDescent="0.25">
      <c r="A1645" s="1"/>
      <c r="L1645" s="1"/>
      <c r="M1645" s="1"/>
      <c r="W1645" s="1"/>
    </row>
    <row r="1646" spans="1:23" x14ac:dyDescent="0.25">
      <c r="A1646" s="1"/>
      <c r="L1646" s="1"/>
      <c r="M1646" s="1"/>
      <c r="W1646" s="1"/>
    </row>
    <row r="1647" spans="1:23" x14ac:dyDescent="0.25">
      <c r="A1647" s="1"/>
      <c r="L1647" s="1"/>
      <c r="M1647" s="1"/>
      <c r="W1647" s="1"/>
    </row>
    <row r="1648" spans="1:23" x14ac:dyDescent="0.25">
      <c r="A1648" s="1"/>
      <c r="L1648" s="1"/>
      <c r="M1648" s="1"/>
      <c r="W1648" s="1"/>
    </row>
    <row r="1649" spans="1:23" x14ac:dyDescent="0.25">
      <c r="A1649" s="1"/>
      <c r="L1649" s="1"/>
      <c r="M1649" s="1"/>
      <c r="W1649" s="1"/>
    </row>
    <row r="1650" spans="1:23" x14ac:dyDescent="0.25">
      <c r="A1650" s="1"/>
      <c r="L1650" s="1"/>
      <c r="M1650" s="1"/>
      <c r="W1650" s="1"/>
    </row>
    <row r="1651" spans="1:23" x14ac:dyDescent="0.25">
      <c r="A1651" s="1"/>
      <c r="L1651" s="1"/>
      <c r="M1651" s="1"/>
      <c r="W1651" s="1"/>
    </row>
    <row r="1652" spans="1:23" x14ac:dyDescent="0.25">
      <c r="A1652" s="1"/>
      <c r="L1652" s="1"/>
      <c r="M1652" s="1"/>
      <c r="W1652" s="1"/>
    </row>
    <row r="1653" spans="1:23" x14ac:dyDescent="0.25">
      <c r="A1653" s="1"/>
      <c r="L1653" s="1"/>
      <c r="M1653" s="1"/>
      <c r="W1653" s="1"/>
    </row>
    <row r="1654" spans="1:23" x14ac:dyDescent="0.25">
      <c r="A1654" s="1"/>
      <c r="L1654" s="1"/>
      <c r="M1654" s="1"/>
      <c r="W1654" s="1"/>
    </row>
    <row r="1655" spans="1:23" x14ac:dyDescent="0.25">
      <c r="A1655" s="1"/>
      <c r="L1655" s="1"/>
      <c r="M1655" s="1"/>
      <c r="W1655" s="1"/>
    </row>
    <row r="1656" spans="1:23" x14ac:dyDescent="0.25">
      <c r="A1656" s="1"/>
      <c r="L1656" s="1"/>
      <c r="M1656" s="1"/>
      <c r="W1656" s="1"/>
    </row>
    <row r="1657" spans="1:23" x14ac:dyDescent="0.25">
      <c r="A1657" s="1"/>
      <c r="L1657" s="1"/>
      <c r="M1657" s="1"/>
      <c r="W1657" s="1"/>
    </row>
    <row r="1658" spans="1:23" x14ac:dyDescent="0.25">
      <c r="A1658" s="1"/>
      <c r="L1658" s="1"/>
      <c r="M1658" s="1"/>
      <c r="W1658" s="1"/>
    </row>
    <row r="1659" spans="1:23" x14ac:dyDescent="0.25">
      <c r="A1659" s="1"/>
      <c r="L1659" s="1"/>
      <c r="M1659" s="1"/>
      <c r="W1659" s="1"/>
    </row>
    <row r="1660" spans="1:23" x14ac:dyDescent="0.25">
      <c r="A1660" s="1"/>
      <c r="L1660" s="1"/>
      <c r="M1660" s="1"/>
      <c r="W1660" s="1"/>
    </row>
    <row r="1661" spans="1:23" x14ac:dyDescent="0.25">
      <c r="A1661" s="1"/>
      <c r="L1661" s="1"/>
      <c r="M1661" s="1"/>
      <c r="W1661" s="1"/>
    </row>
    <row r="1662" spans="1:23" x14ac:dyDescent="0.25">
      <c r="A1662" s="1"/>
      <c r="L1662" s="1"/>
      <c r="M1662" s="1"/>
      <c r="W1662" s="1"/>
    </row>
    <row r="1663" spans="1:23" x14ac:dyDescent="0.25">
      <c r="A1663" s="1"/>
      <c r="L1663" s="1"/>
      <c r="M1663" s="1"/>
      <c r="W1663" s="1"/>
    </row>
    <row r="1664" spans="1:23" x14ac:dyDescent="0.25">
      <c r="A1664" s="1"/>
      <c r="L1664" s="1"/>
      <c r="M1664" s="1"/>
      <c r="W1664" s="1"/>
    </row>
    <row r="1665" spans="1:23" x14ac:dyDescent="0.25">
      <c r="A1665" s="1"/>
      <c r="L1665" s="1"/>
      <c r="M1665" s="1"/>
      <c r="W1665" s="1"/>
    </row>
    <row r="1666" spans="1:23" x14ac:dyDescent="0.25">
      <c r="A1666" s="1"/>
      <c r="L1666" s="1"/>
      <c r="M1666" s="1"/>
      <c r="W1666" s="1"/>
    </row>
    <row r="1667" spans="1:23" x14ac:dyDescent="0.25">
      <c r="A1667" s="1"/>
      <c r="L1667" s="1"/>
      <c r="M1667" s="1"/>
      <c r="W1667" s="1"/>
    </row>
    <row r="1668" spans="1:23" x14ac:dyDescent="0.25">
      <c r="A1668" s="1"/>
      <c r="L1668" s="1"/>
      <c r="M1668" s="1"/>
      <c r="W1668" s="1"/>
    </row>
    <row r="1669" spans="1:23" x14ac:dyDescent="0.25">
      <c r="A1669" s="1"/>
      <c r="L1669" s="1"/>
      <c r="M1669" s="1"/>
      <c r="W1669" s="1"/>
    </row>
    <row r="1670" spans="1:23" x14ac:dyDescent="0.25">
      <c r="A1670" s="1"/>
      <c r="L1670" s="1"/>
      <c r="M1670" s="1"/>
      <c r="W1670" s="1"/>
    </row>
    <row r="1671" spans="1:23" x14ac:dyDescent="0.25">
      <c r="A1671" s="1"/>
      <c r="L1671" s="1"/>
      <c r="M1671" s="1"/>
      <c r="W1671" s="1"/>
    </row>
    <row r="1672" spans="1:23" x14ac:dyDescent="0.25">
      <c r="A1672" s="1"/>
      <c r="L1672" s="1"/>
      <c r="M1672" s="1"/>
      <c r="W1672" s="1"/>
    </row>
    <row r="1673" spans="1:23" x14ac:dyDescent="0.25">
      <c r="A1673" s="1"/>
      <c r="L1673" s="1"/>
      <c r="M1673" s="1"/>
      <c r="W1673" s="1"/>
    </row>
    <row r="1674" spans="1:23" x14ac:dyDescent="0.25">
      <c r="A1674" s="1"/>
      <c r="L1674" s="1"/>
      <c r="M1674" s="1"/>
      <c r="W1674" s="1"/>
    </row>
    <row r="1675" spans="1:23" x14ac:dyDescent="0.25">
      <c r="A1675" s="1"/>
      <c r="L1675" s="1"/>
      <c r="M1675" s="1"/>
      <c r="W1675" s="1"/>
    </row>
    <row r="1676" spans="1:23" x14ac:dyDescent="0.25">
      <c r="A1676" s="1"/>
      <c r="L1676" s="1"/>
      <c r="M1676" s="1"/>
      <c r="W1676" s="1"/>
    </row>
    <row r="1677" spans="1:23" x14ac:dyDescent="0.25">
      <c r="A1677" s="1"/>
      <c r="L1677" s="1"/>
      <c r="M1677" s="1"/>
      <c r="W1677" s="1"/>
    </row>
    <row r="1678" spans="1:23" x14ac:dyDescent="0.25">
      <c r="A1678" s="1"/>
      <c r="L1678" s="1"/>
      <c r="M1678" s="1"/>
      <c r="W1678" s="1"/>
    </row>
    <row r="1679" spans="1:23" x14ac:dyDescent="0.25">
      <c r="A1679" s="1"/>
      <c r="L1679" s="1"/>
      <c r="M1679" s="1"/>
      <c r="W1679" s="1"/>
    </row>
    <row r="1680" spans="1:23" x14ac:dyDescent="0.25">
      <c r="A1680" s="1"/>
      <c r="L1680" s="1"/>
      <c r="M1680" s="1"/>
      <c r="W1680" s="1"/>
    </row>
    <row r="1681" spans="1:23" x14ac:dyDescent="0.25">
      <c r="A1681" s="1"/>
      <c r="L1681" s="1"/>
      <c r="M1681" s="1"/>
      <c r="W1681" s="1"/>
    </row>
    <row r="1682" spans="1:23" x14ac:dyDescent="0.25">
      <c r="A1682" s="1"/>
      <c r="L1682" s="1"/>
      <c r="M1682" s="1"/>
      <c r="W1682" s="1"/>
    </row>
    <row r="1683" spans="1:23" x14ac:dyDescent="0.25">
      <c r="A1683" s="1"/>
      <c r="L1683" s="1"/>
      <c r="M1683" s="1"/>
      <c r="W1683" s="1"/>
    </row>
    <row r="1684" spans="1:23" x14ac:dyDescent="0.25">
      <c r="A1684" s="1"/>
      <c r="L1684" s="1"/>
      <c r="M1684" s="1"/>
      <c r="W1684" s="1"/>
    </row>
    <row r="1685" spans="1:23" x14ac:dyDescent="0.25">
      <c r="A1685" s="1"/>
      <c r="L1685" s="1"/>
      <c r="M1685" s="1"/>
      <c r="W1685" s="1"/>
    </row>
    <row r="1686" spans="1:23" x14ac:dyDescent="0.25">
      <c r="A1686" s="1"/>
      <c r="L1686" s="1"/>
      <c r="M1686" s="1"/>
      <c r="W1686" s="1"/>
    </row>
    <row r="1687" spans="1:23" x14ac:dyDescent="0.25">
      <c r="A1687" s="1"/>
      <c r="L1687" s="1"/>
      <c r="M1687" s="1"/>
      <c r="W1687" s="1"/>
    </row>
    <row r="1688" spans="1:23" x14ac:dyDescent="0.25">
      <c r="A1688" s="1"/>
      <c r="L1688" s="1"/>
      <c r="M1688" s="1"/>
      <c r="W1688" s="1"/>
    </row>
    <row r="1689" spans="1:23" x14ac:dyDescent="0.25">
      <c r="A1689" s="1"/>
      <c r="L1689" s="1"/>
      <c r="M1689" s="1"/>
      <c r="W1689" s="1"/>
    </row>
    <row r="1690" spans="1:23" x14ac:dyDescent="0.25">
      <c r="A1690" s="1"/>
      <c r="L1690" s="1"/>
      <c r="M1690" s="1"/>
      <c r="W1690" s="1"/>
    </row>
    <row r="1691" spans="1:23" x14ac:dyDescent="0.25">
      <c r="A1691" s="1"/>
      <c r="L1691" s="1"/>
      <c r="M1691" s="1"/>
      <c r="W1691" s="1"/>
    </row>
    <row r="1692" spans="1:23" x14ac:dyDescent="0.25">
      <c r="A1692" s="1"/>
      <c r="L1692" s="1"/>
      <c r="M1692" s="1"/>
      <c r="W1692" s="1"/>
    </row>
    <row r="1693" spans="1:23" x14ac:dyDescent="0.25">
      <c r="A1693" s="1"/>
      <c r="L1693" s="1"/>
      <c r="M1693" s="1"/>
      <c r="W1693" s="1"/>
    </row>
    <row r="1694" spans="1:23" x14ac:dyDescent="0.25">
      <c r="A1694" s="1"/>
      <c r="L1694" s="1"/>
      <c r="M1694" s="1"/>
      <c r="W1694" s="1"/>
    </row>
    <row r="1695" spans="1:23" x14ac:dyDescent="0.25">
      <c r="A1695" s="1"/>
      <c r="L1695" s="1"/>
      <c r="M1695" s="1"/>
      <c r="W1695" s="1"/>
    </row>
    <row r="1696" spans="1:23" x14ac:dyDescent="0.25">
      <c r="A1696" s="1"/>
      <c r="L1696" s="1"/>
      <c r="M1696" s="1"/>
      <c r="W1696" s="1"/>
    </row>
    <row r="1697" spans="1:23" x14ac:dyDescent="0.25">
      <c r="A1697" s="1"/>
      <c r="L1697" s="1"/>
      <c r="M1697" s="1"/>
      <c r="W1697" s="1"/>
    </row>
    <row r="1698" spans="1:23" x14ac:dyDescent="0.25">
      <c r="A1698" s="1"/>
      <c r="L1698" s="1"/>
      <c r="M1698" s="1"/>
      <c r="W1698" s="1"/>
    </row>
    <row r="1699" spans="1:23" x14ac:dyDescent="0.25">
      <c r="A1699" s="1"/>
      <c r="L1699" s="1"/>
      <c r="M1699" s="1"/>
      <c r="W1699" s="1"/>
    </row>
    <row r="1700" spans="1:23" x14ac:dyDescent="0.25">
      <c r="A1700" s="1"/>
      <c r="L1700" s="1"/>
      <c r="M1700" s="1"/>
      <c r="W1700" s="1"/>
    </row>
    <row r="1701" spans="1:23" x14ac:dyDescent="0.25">
      <c r="A1701" s="1"/>
      <c r="L1701" s="1"/>
      <c r="M1701" s="1"/>
      <c r="W1701" s="1"/>
    </row>
    <row r="1702" spans="1:23" x14ac:dyDescent="0.25">
      <c r="A1702" s="1"/>
      <c r="L1702" s="1"/>
      <c r="M1702" s="1"/>
      <c r="W1702" s="1"/>
    </row>
    <row r="1703" spans="1:23" x14ac:dyDescent="0.25">
      <c r="A1703" s="1"/>
      <c r="L1703" s="1"/>
      <c r="M1703" s="1"/>
      <c r="W1703" s="1"/>
    </row>
    <row r="1704" spans="1:23" x14ac:dyDescent="0.25">
      <c r="A1704" s="1"/>
      <c r="L1704" s="1"/>
      <c r="M1704" s="1"/>
      <c r="W1704" s="1"/>
    </row>
    <row r="1705" spans="1:23" x14ac:dyDescent="0.25">
      <c r="A1705" s="1"/>
      <c r="L1705" s="1"/>
      <c r="M1705" s="1"/>
      <c r="W1705" s="1"/>
    </row>
    <row r="1706" spans="1:23" x14ac:dyDescent="0.25">
      <c r="A1706" s="1"/>
      <c r="L1706" s="1"/>
      <c r="M1706" s="1"/>
      <c r="W1706" s="1"/>
    </row>
    <row r="1707" spans="1:23" x14ac:dyDescent="0.25">
      <c r="A1707" s="1"/>
      <c r="L1707" s="1"/>
      <c r="M1707" s="1"/>
      <c r="W1707" s="1"/>
    </row>
    <row r="1708" spans="1:23" x14ac:dyDescent="0.25">
      <c r="A1708" s="1"/>
      <c r="L1708" s="1"/>
      <c r="M1708" s="1"/>
      <c r="W1708" s="1"/>
    </row>
    <row r="1709" spans="1:23" x14ac:dyDescent="0.25">
      <c r="A1709" s="1"/>
      <c r="L1709" s="1"/>
      <c r="M1709" s="1"/>
      <c r="W1709" s="1"/>
    </row>
    <row r="1710" spans="1:23" x14ac:dyDescent="0.25">
      <c r="A1710" s="1"/>
      <c r="L1710" s="1"/>
      <c r="M1710" s="1"/>
      <c r="W1710" s="1"/>
    </row>
    <row r="1711" spans="1:23" x14ac:dyDescent="0.25">
      <c r="A1711" s="1"/>
      <c r="L1711" s="1"/>
      <c r="M1711" s="1"/>
      <c r="W1711" s="1"/>
    </row>
    <row r="1712" spans="1:23" x14ac:dyDescent="0.25">
      <c r="A1712" s="1"/>
      <c r="L1712" s="1"/>
      <c r="M1712" s="1"/>
      <c r="W1712" s="1"/>
    </row>
    <row r="1713" spans="1:23" x14ac:dyDescent="0.25">
      <c r="A1713" s="1"/>
      <c r="L1713" s="1"/>
      <c r="M1713" s="1"/>
      <c r="W1713" s="1"/>
    </row>
    <row r="1714" spans="1:23" x14ac:dyDescent="0.25">
      <c r="A1714" s="1"/>
      <c r="L1714" s="1"/>
      <c r="M1714" s="1"/>
      <c r="W1714" s="1"/>
    </row>
    <row r="1715" spans="1:23" x14ac:dyDescent="0.25">
      <c r="A1715" s="1"/>
      <c r="L1715" s="1"/>
      <c r="M1715" s="1"/>
      <c r="W1715" s="1"/>
    </row>
    <row r="1716" spans="1:23" x14ac:dyDescent="0.25">
      <c r="A1716" s="1"/>
      <c r="L1716" s="1"/>
      <c r="M1716" s="1"/>
      <c r="W1716" s="1"/>
    </row>
    <row r="1717" spans="1:23" x14ac:dyDescent="0.25">
      <c r="A1717" s="1"/>
      <c r="L1717" s="1"/>
      <c r="M1717" s="1"/>
      <c r="W1717" s="1"/>
    </row>
    <row r="1718" spans="1:23" x14ac:dyDescent="0.25">
      <c r="A1718" s="1"/>
      <c r="L1718" s="1"/>
      <c r="M1718" s="1"/>
      <c r="W1718" s="1"/>
    </row>
    <row r="1719" spans="1:23" x14ac:dyDescent="0.25">
      <c r="A1719" s="1"/>
      <c r="L1719" s="1"/>
      <c r="M1719" s="1"/>
      <c r="W1719" s="1"/>
    </row>
    <row r="1720" spans="1:23" x14ac:dyDescent="0.25">
      <c r="A1720" s="1"/>
      <c r="L1720" s="1"/>
      <c r="M1720" s="1"/>
      <c r="W1720" s="1"/>
    </row>
    <row r="1721" spans="1:23" x14ac:dyDescent="0.25">
      <c r="A1721" s="1"/>
      <c r="L1721" s="1"/>
      <c r="M1721" s="1"/>
      <c r="W1721" s="1"/>
    </row>
    <row r="1722" spans="1:23" x14ac:dyDescent="0.25">
      <c r="A1722" s="1"/>
      <c r="L1722" s="1"/>
      <c r="M1722" s="1"/>
      <c r="W1722" s="1"/>
    </row>
    <row r="1723" spans="1:23" x14ac:dyDescent="0.25">
      <c r="A1723" s="1"/>
      <c r="L1723" s="1"/>
      <c r="M1723" s="1"/>
      <c r="W1723" s="1"/>
    </row>
    <row r="1724" spans="1:23" x14ac:dyDescent="0.25">
      <c r="A1724" s="1"/>
      <c r="L1724" s="1"/>
      <c r="M1724" s="1"/>
      <c r="W1724" s="1"/>
    </row>
    <row r="1725" spans="1:23" x14ac:dyDescent="0.25">
      <c r="A1725" s="1"/>
      <c r="L1725" s="1"/>
      <c r="M1725" s="1"/>
      <c r="W1725" s="1"/>
    </row>
    <row r="1726" spans="1:23" x14ac:dyDescent="0.25">
      <c r="A1726" s="1"/>
      <c r="L1726" s="1"/>
      <c r="M1726" s="1"/>
      <c r="W1726" s="1"/>
    </row>
    <row r="1727" spans="1:23" x14ac:dyDescent="0.25">
      <c r="A1727" s="1"/>
      <c r="L1727" s="1"/>
      <c r="M1727" s="1"/>
      <c r="W1727" s="1"/>
    </row>
    <row r="1728" spans="1:23" x14ac:dyDescent="0.25">
      <c r="A1728" s="1"/>
      <c r="L1728" s="1"/>
      <c r="M1728" s="1"/>
      <c r="W1728" s="1"/>
    </row>
    <row r="1729" spans="1:23" x14ac:dyDescent="0.25">
      <c r="A1729" s="1"/>
      <c r="L1729" s="1"/>
      <c r="M1729" s="1"/>
      <c r="W1729" s="1"/>
    </row>
    <row r="1730" spans="1:23" x14ac:dyDescent="0.25">
      <c r="A1730" s="1"/>
      <c r="L1730" s="1"/>
      <c r="M1730" s="1"/>
      <c r="W1730" s="1"/>
    </row>
    <row r="1731" spans="1:23" x14ac:dyDescent="0.25">
      <c r="A1731" s="1"/>
      <c r="L1731" s="1"/>
      <c r="M1731" s="1"/>
      <c r="W1731" s="1"/>
    </row>
    <row r="1732" spans="1:23" x14ac:dyDescent="0.25">
      <c r="A1732" s="1"/>
      <c r="L1732" s="1"/>
      <c r="M1732" s="1"/>
      <c r="W1732" s="1"/>
    </row>
    <row r="1733" spans="1:23" x14ac:dyDescent="0.25">
      <c r="A1733" s="1"/>
      <c r="L1733" s="1"/>
      <c r="M1733" s="1"/>
      <c r="W1733" s="1"/>
    </row>
    <row r="1734" spans="1:23" x14ac:dyDescent="0.25">
      <c r="A1734" s="1"/>
      <c r="L1734" s="1"/>
      <c r="M1734" s="1"/>
      <c r="W1734" s="1"/>
    </row>
    <row r="1735" spans="1:23" x14ac:dyDescent="0.25">
      <c r="A1735" s="1"/>
      <c r="L1735" s="1"/>
      <c r="M1735" s="1"/>
      <c r="W1735" s="1"/>
    </row>
    <row r="1736" spans="1:23" x14ac:dyDescent="0.25">
      <c r="A1736" s="1"/>
      <c r="L1736" s="1"/>
      <c r="M1736" s="1"/>
      <c r="W1736" s="1"/>
    </row>
    <row r="1737" spans="1:23" x14ac:dyDescent="0.25">
      <c r="A1737" s="1"/>
      <c r="L1737" s="1"/>
      <c r="M1737" s="1"/>
      <c r="W1737" s="1"/>
    </row>
    <row r="1738" spans="1:23" x14ac:dyDescent="0.25">
      <c r="A1738" s="1"/>
      <c r="L1738" s="1"/>
      <c r="M1738" s="1"/>
      <c r="W1738" s="1"/>
    </row>
    <row r="1739" spans="1:23" x14ac:dyDescent="0.25">
      <c r="A1739" s="1"/>
      <c r="L1739" s="1"/>
      <c r="M1739" s="1"/>
      <c r="W1739" s="1"/>
    </row>
    <row r="1740" spans="1:23" x14ac:dyDescent="0.25">
      <c r="A1740" s="1"/>
      <c r="L1740" s="1"/>
      <c r="M1740" s="1"/>
      <c r="W1740" s="1"/>
    </row>
    <row r="1741" spans="1:23" x14ac:dyDescent="0.25">
      <c r="A1741" s="1"/>
      <c r="L1741" s="1"/>
      <c r="M1741" s="1"/>
      <c r="W1741" s="1"/>
    </row>
    <row r="1742" spans="1:23" x14ac:dyDescent="0.25">
      <c r="A1742" s="1"/>
      <c r="L1742" s="1"/>
      <c r="M1742" s="1"/>
      <c r="W1742" s="1"/>
    </row>
    <row r="1743" spans="1:23" x14ac:dyDescent="0.25">
      <c r="A1743" s="1"/>
      <c r="L1743" s="1"/>
      <c r="M1743" s="1"/>
      <c r="W1743" s="1"/>
    </row>
    <row r="1744" spans="1:23" x14ac:dyDescent="0.25">
      <c r="A1744" s="1"/>
      <c r="L1744" s="1"/>
      <c r="M1744" s="1"/>
      <c r="W1744" s="1"/>
    </row>
    <row r="1745" spans="1:23" x14ac:dyDescent="0.25">
      <c r="A1745" s="1"/>
      <c r="L1745" s="1"/>
      <c r="M1745" s="1"/>
      <c r="W1745" s="1"/>
    </row>
    <row r="1746" spans="1:23" x14ac:dyDescent="0.25">
      <c r="A1746" s="1"/>
      <c r="L1746" s="1"/>
      <c r="M1746" s="1"/>
      <c r="W1746" s="1"/>
    </row>
    <row r="1747" spans="1:23" x14ac:dyDescent="0.25">
      <c r="A1747" s="1"/>
      <c r="L1747" s="1"/>
      <c r="M1747" s="1"/>
      <c r="W1747" s="1"/>
    </row>
    <row r="1748" spans="1:23" x14ac:dyDescent="0.25">
      <c r="A1748" s="1"/>
      <c r="L1748" s="1"/>
      <c r="M1748" s="1"/>
      <c r="W1748" s="1"/>
    </row>
    <row r="1749" spans="1:23" x14ac:dyDescent="0.25">
      <c r="A1749" s="1"/>
      <c r="L1749" s="1"/>
      <c r="M1749" s="1"/>
      <c r="W1749" s="1"/>
    </row>
    <row r="1750" spans="1:23" x14ac:dyDescent="0.25">
      <c r="A1750" s="1"/>
      <c r="L1750" s="1"/>
      <c r="M1750" s="1"/>
      <c r="W1750" s="1"/>
    </row>
    <row r="1751" spans="1:23" x14ac:dyDescent="0.25">
      <c r="A1751" s="1"/>
      <c r="L1751" s="1"/>
      <c r="M1751" s="1"/>
      <c r="W1751" s="1"/>
    </row>
    <row r="1752" spans="1:23" x14ac:dyDescent="0.25">
      <c r="A1752" s="1"/>
      <c r="L1752" s="1"/>
      <c r="M1752" s="1"/>
      <c r="W1752" s="1"/>
    </row>
    <row r="1753" spans="1:23" x14ac:dyDescent="0.25">
      <c r="A1753" s="1"/>
      <c r="L1753" s="1"/>
      <c r="M1753" s="1"/>
      <c r="W1753" s="1"/>
    </row>
    <row r="1754" spans="1:23" x14ac:dyDescent="0.25">
      <c r="A1754" s="1"/>
      <c r="L1754" s="1"/>
      <c r="M1754" s="1"/>
      <c r="W1754" s="1"/>
    </row>
    <row r="1755" spans="1:23" x14ac:dyDescent="0.25">
      <c r="A1755" s="1"/>
      <c r="L1755" s="1"/>
      <c r="M1755" s="1"/>
      <c r="W1755" s="1"/>
    </row>
    <row r="1756" spans="1:23" x14ac:dyDescent="0.25">
      <c r="A1756" s="1"/>
      <c r="L1756" s="1"/>
      <c r="M1756" s="1"/>
      <c r="W1756" s="1"/>
    </row>
    <row r="1757" spans="1:23" x14ac:dyDescent="0.25">
      <c r="A1757" s="1"/>
      <c r="L1757" s="1"/>
      <c r="M1757" s="1"/>
      <c r="W1757" s="1"/>
    </row>
    <row r="1758" spans="1:23" x14ac:dyDescent="0.25">
      <c r="A1758" s="1"/>
      <c r="L1758" s="1"/>
      <c r="M1758" s="1"/>
      <c r="W1758" s="1"/>
    </row>
    <row r="1759" spans="1:23" x14ac:dyDescent="0.25">
      <c r="A1759" s="1"/>
      <c r="L1759" s="1"/>
      <c r="M1759" s="1"/>
      <c r="W1759" s="1"/>
    </row>
    <row r="1760" spans="1:23" x14ac:dyDescent="0.25">
      <c r="A1760" s="1"/>
      <c r="L1760" s="1"/>
      <c r="M1760" s="1"/>
      <c r="W1760" s="1"/>
    </row>
    <row r="1761" spans="1:23" x14ac:dyDescent="0.25">
      <c r="A1761" s="1"/>
      <c r="L1761" s="1"/>
      <c r="M1761" s="1"/>
      <c r="W1761" s="1"/>
    </row>
    <row r="1762" spans="1:23" x14ac:dyDescent="0.25">
      <c r="A1762" s="1"/>
      <c r="L1762" s="1"/>
      <c r="M1762" s="1"/>
      <c r="W1762" s="1"/>
    </row>
    <row r="1763" spans="1:23" x14ac:dyDescent="0.25">
      <c r="A1763" s="1"/>
      <c r="L1763" s="1"/>
      <c r="M1763" s="1"/>
      <c r="W1763" s="1"/>
    </row>
    <row r="1764" spans="1:23" x14ac:dyDescent="0.25">
      <c r="A1764" s="1"/>
      <c r="L1764" s="1"/>
      <c r="M1764" s="1"/>
      <c r="W1764" s="1"/>
    </row>
    <row r="1765" spans="1:23" x14ac:dyDescent="0.25">
      <c r="A1765" s="1"/>
      <c r="L1765" s="1"/>
      <c r="M1765" s="1"/>
      <c r="W1765" s="1"/>
    </row>
    <row r="1766" spans="1:23" x14ac:dyDescent="0.25">
      <c r="A1766" s="1"/>
      <c r="L1766" s="1"/>
      <c r="M1766" s="1"/>
      <c r="W1766" s="1"/>
    </row>
    <row r="1767" spans="1:23" x14ac:dyDescent="0.25">
      <c r="A1767" s="1"/>
      <c r="L1767" s="1"/>
      <c r="M1767" s="1"/>
      <c r="W1767" s="1"/>
    </row>
    <row r="1768" spans="1:23" x14ac:dyDescent="0.25">
      <c r="A1768" s="1"/>
      <c r="L1768" s="1"/>
      <c r="M1768" s="1"/>
      <c r="W1768" s="1"/>
    </row>
    <row r="1769" spans="1:23" x14ac:dyDescent="0.25">
      <c r="A1769" s="1"/>
      <c r="L1769" s="1"/>
      <c r="M1769" s="1"/>
      <c r="W1769" s="1"/>
    </row>
    <row r="1770" spans="1:23" x14ac:dyDescent="0.25">
      <c r="A1770" s="1"/>
      <c r="L1770" s="1"/>
      <c r="M1770" s="1"/>
      <c r="W1770" s="1"/>
    </row>
    <row r="1771" spans="1:23" x14ac:dyDescent="0.25">
      <c r="A1771" s="1"/>
      <c r="L1771" s="1"/>
      <c r="M1771" s="1"/>
      <c r="W1771" s="1"/>
    </row>
    <row r="1772" spans="1:23" x14ac:dyDescent="0.25">
      <c r="A1772" s="1"/>
      <c r="L1772" s="1"/>
      <c r="M1772" s="1"/>
      <c r="W1772" s="1"/>
    </row>
    <row r="1773" spans="1:23" x14ac:dyDescent="0.25">
      <c r="A1773" s="1"/>
      <c r="L1773" s="1"/>
      <c r="M1773" s="1"/>
      <c r="W1773" s="1"/>
    </row>
    <row r="1774" spans="1:23" x14ac:dyDescent="0.25">
      <c r="A1774" s="1"/>
      <c r="L1774" s="1"/>
      <c r="M1774" s="1"/>
      <c r="W1774" s="1"/>
    </row>
    <row r="1775" spans="1:23" x14ac:dyDescent="0.25">
      <c r="A1775" s="1"/>
      <c r="L1775" s="1"/>
      <c r="M1775" s="1"/>
      <c r="W1775" s="1"/>
    </row>
    <row r="1776" spans="1:23" x14ac:dyDescent="0.25">
      <c r="A1776" s="1"/>
      <c r="L1776" s="1"/>
      <c r="M1776" s="1"/>
      <c r="W1776" s="1"/>
    </row>
    <row r="1777" spans="1:23" x14ac:dyDescent="0.25">
      <c r="A1777" s="1"/>
      <c r="L1777" s="1"/>
      <c r="M1777" s="1"/>
      <c r="W1777" s="1"/>
    </row>
    <row r="1778" spans="1:23" x14ac:dyDescent="0.25">
      <c r="A1778" s="1"/>
      <c r="L1778" s="1"/>
      <c r="M1778" s="1"/>
      <c r="W1778" s="1"/>
    </row>
    <row r="1779" spans="1:23" x14ac:dyDescent="0.25">
      <c r="A1779" s="1"/>
      <c r="L1779" s="1"/>
      <c r="M1779" s="1"/>
      <c r="W1779" s="1"/>
    </row>
    <row r="1780" spans="1:23" x14ac:dyDescent="0.25">
      <c r="A1780" s="1"/>
      <c r="L1780" s="1"/>
      <c r="M1780" s="1"/>
      <c r="W1780" s="1"/>
    </row>
    <row r="1781" spans="1:23" x14ac:dyDescent="0.25">
      <c r="A1781" s="1"/>
      <c r="L1781" s="1"/>
      <c r="M1781" s="1"/>
      <c r="W1781" s="1"/>
    </row>
    <row r="1782" spans="1:23" x14ac:dyDescent="0.25">
      <c r="A1782" s="1"/>
      <c r="L1782" s="1"/>
      <c r="M1782" s="1"/>
      <c r="W1782" s="1"/>
    </row>
    <row r="1783" spans="1:23" x14ac:dyDescent="0.25">
      <c r="A1783" s="1"/>
      <c r="L1783" s="1"/>
      <c r="M1783" s="1"/>
      <c r="W1783" s="1"/>
    </row>
    <row r="1784" spans="1:23" x14ac:dyDescent="0.25">
      <c r="A1784" s="1"/>
      <c r="L1784" s="1"/>
      <c r="M1784" s="1"/>
      <c r="W1784" s="1"/>
    </row>
    <row r="1785" spans="1:23" x14ac:dyDescent="0.25">
      <c r="A1785" s="1"/>
      <c r="L1785" s="1"/>
      <c r="M1785" s="1"/>
      <c r="W1785" s="1"/>
    </row>
    <row r="1786" spans="1:23" x14ac:dyDescent="0.25">
      <c r="A1786" s="1"/>
      <c r="L1786" s="1"/>
      <c r="M1786" s="1"/>
      <c r="W1786" s="1"/>
    </row>
    <row r="1787" spans="1:23" x14ac:dyDescent="0.25">
      <c r="A1787" s="1"/>
      <c r="L1787" s="1"/>
      <c r="M1787" s="1"/>
      <c r="W1787" s="1"/>
    </row>
    <row r="1788" spans="1:23" x14ac:dyDescent="0.25">
      <c r="A1788" s="1"/>
      <c r="L1788" s="1"/>
      <c r="M1788" s="1"/>
      <c r="W1788" s="1"/>
    </row>
    <row r="1789" spans="1:23" x14ac:dyDescent="0.25">
      <c r="A1789" s="1"/>
      <c r="L1789" s="1"/>
      <c r="M1789" s="1"/>
      <c r="W1789" s="1"/>
    </row>
    <row r="1790" spans="1:23" x14ac:dyDescent="0.25">
      <c r="A1790" s="1"/>
      <c r="L1790" s="1"/>
      <c r="M1790" s="1"/>
      <c r="W1790" s="1"/>
    </row>
    <row r="1791" spans="1:23" x14ac:dyDescent="0.25">
      <c r="A1791" s="1"/>
      <c r="L1791" s="1"/>
      <c r="M1791" s="1"/>
      <c r="W1791" s="1"/>
    </row>
    <row r="1792" spans="1:23" x14ac:dyDescent="0.25">
      <c r="A1792" s="1"/>
      <c r="L1792" s="1"/>
      <c r="M1792" s="1"/>
      <c r="W1792" s="1"/>
    </row>
    <row r="1793" spans="1:23" x14ac:dyDescent="0.25">
      <c r="A1793" s="1"/>
      <c r="L1793" s="1"/>
      <c r="M1793" s="1"/>
      <c r="W1793" s="1"/>
    </row>
    <row r="1794" spans="1:23" x14ac:dyDescent="0.25">
      <c r="A1794" s="1"/>
      <c r="L1794" s="1"/>
      <c r="M1794" s="1"/>
      <c r="W1794" s="1"/>
    </row>
    <row r="1795" spans="1:23" x14ac:dyDescent="0.25">
      <c r="A1795" s="1"/>
      <c r="L1795" s="1"/>
      <c r="M1795" s="1"/>
      <c r="W1795" s="1"/>
    </row>
    <row r="1796" spans="1:23" x14ac:dyDescent="0.25">
      <c r="A1796" s="1"/>
      <c r="L1796" s="1"/>
      <c r="M1796" s="1"/>
      <c r="W1796" s="1"/>
    </row>
    <row r="1797" spans="1:23" x14ac:dyDescent="0.25">
      <c r="A1797" s="1"/>
      <c r="L1797" s="1"/>
      <c r="M1797" s="1"/>
      <c r="W1797" s="1"/>
    </row>
    <row r="1798" spans="1:23" x14ac:dyDescent="0.25">
      <c r="A1798" s="1"/>
      <c r="L1798" s="1"/>
      <c r="M1798" s="1"/>
      <c r="W1798" s="1"/>
    </row>
    <row r="1799" spans="1:23" x14ac:dyDescent="0.25">
      <c r="A1799" s="1"/>
      <c r="L1799" s="1"/>
      <c r="M1799" s="1"/>
      <c r="W1799" s="1"/>
    </row>
    <row r="1800" spans="1:23" x14ac:dyDescent="0.25">
      <c r="A1800" s="1"/>
      <c r="L1800" s="1"/>
      <c r="M1800" s="1"/>
      <c r="W1800" s="1"/>
    </row>
    <row r="1801" spans="1:23" x14ac:dyDescent="0.25">
      <c r="A1801" s="1"/>
      <c r="L1801" s="1"/>
      <c r="M1801" s="1"/>
      <c r="W1801" s="1"/>
    </row>
    <row r="1802" spans="1:23" x14ac:dyDescent="0.25">
      <c r="A1802" s="1"/>
      <c r="L1802" s="1"/>
      <c r="M1802" s="1"/>
      <c r="W1802" s="1"/>
    </row>
    <row r="1803" spans="1:23" x14ac:dyDescent="0.25">
      <c r="A1803" s="1"/>
      <c r="L1803" s="1"/>
      <c r="M1803" s="1"/>
      <c r="W1803" s="1"/>
    </row>
    <row r="1804" spans="1:23" x14ac:dyDescent="0.25">
      <c r="A1804" s="1"/>
      <c r="L1804" s="1"/>
      <c r="M1804" s="1"/>
      <c r="W1804" s="1"/>
    </row>
    <row r="1805" spans="1:23" x14ac:dyDescent="0.25">
      <c r="A1805" s="1"/>
      <c r="L1805" s="1"/>
      <c r="M1805" s="1"/>
      <c r="W1805" s="1"/>
    </row>
    <row r="1806" spans="1:23" x14ac:dyDescent="0.25">
      <c r="A1806" s="1"/>
      <c r="L1806" s="1"/>
      <c r="M1806" s="1"/>
      <c r="W1806" s="1"/>
    </row>
    <row r="1807" spans="1:23" x14ac:dyDescent="0.25">
      <c r="A1807" s="1"/>
      <c r="L1807" s="1"/>
      <c r="M1807" s="1"/>
      <c r="W1807" s="1"/>
    </row>
    <row r="1808" spans="1:23" x14ac:dyDescent="0.25">
      <c r="A1808" s="1"/>
      <c r="L1808" s="1"/>
      <c r="M1808" s="1"/>
      <c r="W1808" s="1"/>
    </row>
    <row r="1809" spans="1:23" x14ac:dyDescent="0.25">
      <c r="A1809" s="1"/>
      <c r="L1809" s="1"/>
      <c r="M1809" s="1"/>
      <c r="W1809" s="1"/>
    </row>
    <row r="1810" spans="1:23" x14ac:dyDescent="0.25">
      <c r="A1810" s="1"/>
      <c r="L1810" s="1"/>
      <c r="M1810" s="1"/>
      <c r="W1810" s="1"/>
    </row>
    <row r="1811" spans="1:23" x14ac:dyDescent="0.25">
      <c r="A1811" s="1"/>
      <c r="L1811" s="1"/>
      <c r="M1811" s="1"/>
      <c r="W1811" s="1"/>
    </row>
    <row r="1812" spans="1:23" x14ac:dyDescent="0.25">
      <c r="A1812" s="1"/>
      <c r="L1812" s="1"/>
      <c r="M1812" s="1"/>
      <c r="W1812" s="1"/>
    </row>
    <row r="1813" spans="1:23" x14ac:dyDescent="0.25">
      <c r="A1813" s="1"/>
      <c r="L1813" s="1"/>
      <c r="M1813" s="1"/>
      <c r="W1813" s="1"/>
    </row>
    <row r="1814" spans="1:23" x14ac:dyDescent="0.25">
      <c r="A1814" s="1"/>
      <c r="L1814" s="1"/>
      <c r="M1814" s="1"/>
      <c r="W1814" s="1"/>
    </row>
    <row r="1815" spans="1:23" x14ac:dyDescent="0.25">
      <c r="A1815" s="1"/>
      <c r="L1815" s="1"/>
      <c r="M1815" s="1"/>
      <c r="W1815" s="1"/>
    </row>
    <row r="1816" spans="1:23" x14ac:dyDescent="0.25">
      <c r="A1816" s="1"/>
      <c r="L1816" s="1"/>
      <c r="M1816" s="1"/>
      <c r="W1816" s="1"/>
    </row>
    <row r="1817" spans="1:23" x14ac:dyDescent="0.25">
      <c r="A1817" s="1"/>
      <c r="L1817" s="1"/>
      <c r="M1817" s="1"/>
      <c r="W1817" s="1"/>
    </row>
    <row r="1818" spans="1:23" x14ac:dyDescent="0.25">
      <c r="A1818" s="1"/>
      <c r="L1818" s="1"/>
      <c r="M1818" s="1"/>
      <c r="W1818" s="1"/>
    </row>
    <row r="1819" spans="1:23" x14ac:dyDescent="0.25">
      <c r="A1819" s="1"/>
      <c r="L1819" s="1"/>
      <c r="M1819" s="1"/>
      <c r="W1819" s="1"/>
    </row>
    <row r="1820" spans="1:23" x14ac:dyDescent="0.25">
      <c r="A1820" s="1"/>
      <c r="L1820" s="1"/>
      <c r="M1820" s="1"/>
      <c r="W1820" s="1"/>
    </row>
    <row r="1821" spans="1:23" x14ac:dyDescent="0.25">
      <c r="A1821" s="1"/>
      <c r="L1821" s="1"/>
      <c r="M1821" s="1"/>
      <c r="W1821" s="1"/>
    </row>
    <row r="1822" spans="1:23" x14ac:dyDescent="0.25">
      <c r="A1822" s="1"/>
      <c r="L1822" s="1"/>
      <c r="M1822" s="1"/>
      <c r="W1822" s="1"/>
    </row>
    <row r="1823" spans="1:23" x14ac:dyDescent="0.25">
      <c r="A1823" s="1"/>
      <c r="L1823" s="1"/>
      <c r="M1823" s="1"/>
      <c r="W1823" s="1"/>
    </row>
    <row r="1824" spans="1:23" x14ac:dyDescent="0.25">
      <c r="A1824" s="1"/>
      <c r="L1824" s="1"/>
      <c r="M1824" s="1"/>
      <c r="W1824" s="1"/>
    </row>
    <row r="1825" spans="1:23" x14ac:dyDescent="0.25">
      <c r="A1825" s="1"/>
      <c r="L1825" s="1"/>
      <c r="M1825" s="1"/>
      <c r="W1825" s="1"/>
    </row>
    <row r="1826" spans="1:23" x14ac:dyDescent="0.25">
      <c r="A1826" s="1"/>
      <c r="L1826" s="1"/>
      <c r="M1826" s="1"/>
      <c r="W1826" s="1"/>
    </row>
    <row r="1827" spans="1:23" x14ac:dyDescent="0.25">
      <c r="A1827" s="1"/>
      <c r="L1827" s="1"/>
      <c r="M1827" s="1"/>
      <c r="W1827" s="1"/>
    </row>
    <row r="1828" spans="1:23" x14ac:dyDescent="0.25">
      <c r="A1828" s="1"/>
      <c r="L1828" s="1"/>
      <c r="M1828" s="1"/>
      <c r="W1828" s="1"/>
    </row>
    <row r="1829" spans="1:23" x14ac:dyDescent="0.25">
      <c r="A1829" s="1"/>
      <c r="L1829" s="1"/>
      <c r="M1829" s="1"/>
      <c r="W1829" s="1"/>
    </row>
    <row r="1830" spans="1:23" x14ac:dyDescent="0.25">
      <c r="A1830" s="1"/>
      <c r="L1830" s="1"/>
      <c r="M1830" s="1"/>
      <c r="W1830" s="1"/>
    </row>
    <row r="1831" spans="1:23" x14ac:dyDescent="0.25">
      <c r="A1831" s="1"/>
      <c r="L1831" s="1"/>
      <c r="M1831" s="1"/>
      <c r="W1831" s="1"/>
    </row>
    <row r="1832" spans="1:23" x14ac:dyDescent="0.25">
      <c r="A1832" s="1"/>
      <c r="L1832" s="1"/>
      <c r="M1832" s="1"/>
      <c r="W1832" s="1"/>
    </row>
    <row r="1833" spans="1:23" x14ac:dyDescent="0.25">
      <c r="A1833" s="1"/>
      <c r="L1833" s="1"/>
      <c r="M1833" s="1"/>
      <c r="W1833" s="1"/>
    </row>
    <row r="1834" spans="1:23" x14ac:dyDescent="0.25">
      <c r="A1834" s="1"/>
      <c r="L1834" s="1"/>
      <c r="M1834" s="1"/>
      <c r="W1834" s="1"/>
    </row>
    <row r="1835" spans="1:23" x14ac:dyDescent="0.25">
      <c r="A1835" s="1"/>
      <c r="L1835" s="1"/>
      <c r="M1835" s="1"/>
      <c r="W1835" s="1"/>
    </row>
    <row r="1836" spans="1:23" x14ac:dyDescent="0.25">
      <c r="A1836" s="1"/>
      <c r="L1836" s="1"/>
      <c r="M1836" s="1"/>
      <c r="W1836" s="1"/>
    </row>
    <row r="1837" spans="1:23" x14ac:dyDescent="0.25">
      <c r="A1837" s="1"/>
      <c r="L1837" s="1"/>
      <c r="M1837" s="1"/>
      <c r="W1837" s="1"/>
    </row>
    <row r="1838" spans="1:23" x14ac:dyDescent="0.25">
      <c r="A1838" s="1"/>
      <c r="L1838" s="1"/>
      <c r="M1838" s="1"/>
      <c r="W1838" s="1"/>
    </row>
    <row r="1839" spans="1:23" x14ac:dyDescent="0.25">
      <c r="A1839" s="1"/>
      <c r="L1839" s="1"/>
      <c r="M1839" s="1"/>
      <c r="W1839" s="1"/>
    </row>
    <row r="1840" spans="1:23" x14ac:dyDescent="0.25">
      <c r="A1840" s="1"/>
      <c r="L1840" s="1"/>
      <c r="M1840" s="1"/>
      <c r="W1840" s="1"/>
    </row>
    <row r="1841" spans="1:23" x14ac:dyDescent="0.25">
      <c r="A1841" s="1"/>
      <c r="L1841" s="1"/>
      <c r="M1841" s="1"/>
      <c r="W1841" s="1"/>
    </row>
    <row r="1842" spans="1:23" x14ac:dyDescent="0.25">
      <c r="A1842" s="1"/>
      <c r="L1842" s="1"/>
      <c r="M1842" s="1"/>
      <c r="W1842" s="1"/>
    </row>
    <row r="1843" spans="1:23" x14ac:dyDescent="0.25">
      <c r="A1843" s="1"/>
      <c r="L1843" s="1"/>
      <c r="M1843" s="1"/>
      <c r="W1843" s="1"/>
    </row>
    <row r="1844" spans="1:23" x14ac:dyDescent="0.25">
      <c r="A1844" s="1"/>
      <c r="L1844" s="1"/>
      <c r="M1844" s="1"/>
      <c r="W1844" s="1"/>
    </row>
    <row r="1845" spans="1:23" x14ac:dyDescent="0.25">
      <c r="A1845" s="1"/>
      <c r="L1845" s="1"/>
      <c r="M1845" s="1"/>
      <c r="W1845" s="1"/>
    </row>
    <row r="1846" spans="1:23" x14ac:dyDescent="0.25">
      <c r="A1846" s="1"/>
      <c r="L1846" s="1"/>
      <c r="M1846" s="1"/>
      <c r="W1846" s="1"/>
    </row>
    <row r="1847" spans="1:23" x14ac:dyDescent="0.25">
      <c r="A1847" s="1"/>
      <c r="L1847" s="1"/>
      <c r="M1847" s="1"/>
      <c r="W1847" s="1"/>
    </row>
    <row r="1848" spans="1:23" x14ac:dyDescent="0.25">
      <c r="A1848" s="1"/>
      <c r="L1848" s="1"/>
      <c r="M1848" s="1"/>
      <c r="W1848" s="1"/>
    </row>
    <row r="1849" spans="1:23" x14ac:dyDescent="0.25">
      <c r="A1849" s="1"/>
      <c r="L1849" s="1"/>
      <c r="M1849" s="1"/>
      <c r="W1849" s="1"/>
    </row>
    <row r="1850" spans="1:23" x14ac:dyDescent="0.25">
      <c r="A1850" s="1"/>
      <c r="L1850" s="1"/>
      <c r="M1850" s="1"/>
      <c r="W1850" s="1"/>
    </row>
    <row r="1851" spans="1:23" x14ac:dyDescent="0.25">
      <c r="A1851" s="1"/>
      <c r="L1851" s="1"/>
      <c r="M1851" s="1"/>
      <c r="W1851" s="1"/>
    </row>
    <row r="1852" spans="1:23" x14ac:dyDescent="0.25">
      <c r="A1852" s="1"/>
      <c r="L1852" s="1"/>
      <c r="M1852" s="1"/>
      <c r="W1852" s="1"/>
    </row>
    <row r="1853" spans="1:23" x14ac:dyDescent="0.25">
      <c r="A1853" s="1"/>
      <c r="L1853" s="1"/>
      <c r="M1853" s="1"/>
      <c r="W1853" s="1"/>
    </row>
    <row r="1854" spans="1:23" x14ac:dyDescent="0.25">
      <c r="A1854" s="1"/>
      <c r="L1854" s="1"/>
      <c r="M1854" s="1"/>
      <c r="W1854" s="1"/>
    </row>
    <row r="1855" spans="1:23" x14ac:dyDescent="0.25">
      <c r="A1855" s="1"/>
      <c r="L1855" s="1"/>
      <c r="M1855" s="1"/>
      <c r="W1855" s="1"/>
    </row>
    <row r="1856" spans="1:23" x14ac:dyDescent="0.25">
      <c r="A1856" s="1"/>
      <c r="L1856" s="1"/>
      <c r="M1856" s="1"/>
      <c r="W1856" s="1"/>
    </row>
    <row r="1857" spans="1:23" x14ac:dyDescent="0.25">
      <c r="A1857" s="1"/>
      <c r="L1857" s="1"/>
      <c r="M1857" s="1"/>
      <c r="W1857" s="1"/>
    </row>
    <row r="1858" spans="1:23" x14ac:dyDescent="0.25">
      <c r="A1858" s="1"/>
      <c r="L1858" s="1"/>
      <c r="M1858" s="1"/>
      <c r="W1858" s="1"/>
    </row>
    <row r="1859" spans="1:23" x14ac:dyDescent="0.25">
      <c r="A1859" s="1"/>
      <c r="L1859" s="1"/>
      <c r="M1859" s="1"/>
      <c r="W1859" s="1"/>
    </row>
    <row r="1860" spans="1:23" x14ac:dyDescent="0.25">
      <c r="A1860" s="1"/>
      <c r="L1860" s="1"/>
      <c r="M1860" s="1"/>
      <c r="W1860" s="1"/>
    </row>
    <row r="1861" spans="1:23" x14ac:dyDescent="0.25">
      <c r="A1861" s="1"/>
      <c r="L1861" s="1"/>
      <c r="M1861" s="1"/>
      <c r="W1861" s="1"/>
    </row>
    <row r="1862" spans="1:23" x14ac:dyDescent="0.25">
      <c r="A1862" s="1"/>
      <c r="L1862" s="1"/>
      <c r="M1862" s="1"/>
      <c r="W1862" s="1"/>
    </row>
    <row r="1863" spans="1:23" x14ac:dyDescent="0.25">
      <c r="A1863" s="1"/>
      <c r="L1863" s="1"/>
      <c r="M1863" s="1"/>
      <c r="W1863" s="1"/>
    </row>
    <row r="1864" spans="1:23" x14ac:dyDescent="0.25">
      <c r="A1864" s="1"/>
      <c r="L1864" s="1"/>
      <c r="M1864" s="1"/>
      <c r="W1864" s="1"/>
    </row>
    <row r="1865" spans="1:23" x14ac:dyDescent="0.25">
      <c r="A1865" s="1"/>
      <c r="L1865" s="1"/>
      <c r="M1865" s="1"/>
      <c r="W1865" s="1"/>
    </row>
    <row r="1866" spans="1:23" x14ac:dyDescent="0.25">
      <c r="A1866" s="1"/>
      <c r="L1866" s="1"/>
      <c r="M1866" s="1"/>
      <c r="W1866" s="1"/>
    </row>
    <row r="1867" spans="1:23" x14ac:dyDescent="0.25">
      <c r="A1867" s="1"/>
      <c r="L1867" s="1"/>
      <c r="M1867" s="1"/>
      <c r="W1867" s="1"/>
    </row>
    <row r="1868" spans="1:23" x14ac:dyDescent="0.25">
      <c r="A1868" s="1"/>
      <c r="L1868" s="1"/>
      <c r="M1868" s="1"/>
      <c r="W1868" s="1"/>
    </row>
    <row r="1869" spans="1:23" x14ac:dyDescent="0.25">
      <c r="A1869" s="1"/>
      <c r="L1869" s="1"/>
      <c r="M1869" s="1"/>
      <c r="W1869" s="1"/>
    </row>
    <row r="1870" spans="1:23" x14ac:dyDescent="0.25">
      <c r="A1870" s="1"/>
      <c r="L1870" s="1"/>
      <c r="M1870" s="1"/>
      <c r="W1870" s="1"/>
    </row>
    <row r="1871" spans="1:23" x14ac:dyDescent="0.25">
      <c r="A1871" s="1"/>
      <c r="L1871" s="1"/>
      <c r="M1871" s="1"/>
      <c r="W1871" s="1"/>
    </row>
    <row r="1872" spans="1:23" x14ac:dyDescent="0.25">
      <c r="A1872" s="1"/>
      <c r="L1872" s="1"/>
      <c r="M1872" s="1"/>
      <c r="W1872" s="1"/>
    </row>
    <row r="1873" spans="1:23" x14ac:dyDescent="0.25">
      <c r="A1873" s="1"/>
      <c r="L1873" s="1"/>
      <c r="M1873" s="1"/>
      <c r="W1873" s="1"/>
    </row>
    <row r="1874" spans="1:23" x14ac:dyDescent="0.25">
      <c r="A1874" s="1"/>
      <c r="L1874" s="1"/>
      <c r="M1874" s="1"/>
      <c r="W1874" s="1"/>
    </row>
    <row r="1875" spans="1:23" x14ac:dyDescent="0.25">
      <c r="A1875" s="1"/>
      <c r="L1875" s="1"/>
      <c r="M1875" s="1"/>
      <c r="W1875" s="1"/>
    </row>
    <row r="1876" spans="1:23" x14ac:dyDescent="0.25">
      <c r="A1876" s="1"/>
      <c r="L1876" s="1"/>
      <c r="M1876" s="1"/>
      <c r="W1876" s="1"/>
    </row>
    <row r="1877" spans="1:23" x14ac:dyDescent="0.25">
      <c r="A1877" s="1"/>
      <c r="L1877" s="1"/>
      <c r="M1877" s="1"/>
      <c r="W1877" s="1"/>
    </row>
    <row r="1878" spans="1:23" x14ac:dyDescent="0.25">
      <c r="A1878" s="1"/>
      <c r="L1878" s="1"/>
      <c r="M1878" s="1"/>
      <c r="W1878" s="1"/>
    </row>
    <row r="1879" spans="1:23" x14ac:dyDescent="0.25">
      <c r="A1879" s="1"/>
      <c r="L1879" s="1"/>
      <c r="M1879" s="1"/>
      <c r="W1879" s="1"/>
    </row>
    <row r="1880" spans="1:23" x14ac:dyDescent="0.25">
      <c r="A1880" s="1"/>
      <c r="L1880" s="1"/>
      <c r="M1880" s="1"/>
      <c r="W1880" s="1"/>
    </row>
    <row r="1881" spans="1:23" x14ac:dyDescent="0.25">
      <c r="A1881" s="1"/>
      <c r="L1881" s="1"/>
      <c r="M1881" s="1"/>
      <c r="W1881" s="1"/>
    </row>
    <row r="1882" spans="1:23" x14ac:dyDescent="0.25">
      <c r="A1882" s="1"/>
      <c r="L1882" s="1"/>
      <c r="M1882" s="1"/>
      <c r="W1882" s="1"/>
    </row>
    <row r="1883" spans="1:23" x14ac:dyDescent="0.25">
      <c r="A1883" s="1"/>
      <c r="L1883" s="1"/>
      <c r="M1883" s="1"/>
      <c r="W1883" s="1"/>
    </row>
    <row r="1884" spans="1:23" x14ac:dyDescent="0.25">
      <c r="A1884" s="1"/>
      <c r="L1884" s="1"/>
      <c r="M1884" s="1"/>
      <c r="W1884" s="1"/>
    </row>
    <row r="1885" spans="1:23" x14ac:dyDescent="0.25">
      <c r="A1885" s="1"/>
      <c r="L1885" s="1"/>
      <c r="M1885" s="1"/>
      <c r="W1885" s="1"/>
    </row>
    <row r="1886" spans="1:23" x14ac:dyDescent="0.25">
      <c r="A1886" s="1"/>
      <c r="L1886" s="1"/>
      <c r="M1886" s="1"/>
      <c r="W1886" s="1"/>
    </row>
    <row r="1887" spans="1:23" x14ac:dyDescent="0.25">
      <c r="A1887" s="1"/>
      <c r="L1887" s="1"/>
      <c r="M1887" s="1"/>
      <c r="W1887" s="1"/>
    </row>
    <row r="1888" spans="1:23" x14ac:dyDescent="0.25">
      <c r="A1888" s="1"/>
      <c r="L1888" s="1"/>
      <c r="M1888" s="1"/>
      <c r="W1888" s="1"/>
    </row>
    <row r="1889" spans="1:23" x14ac:dyDescent="0.25">
      <c r="A1889" s="1"/>
      <c r="L1889" s="1"/>
      <c r="M1889" s="1"/>
      <c r="W1889" s="1"/>
    </row>
    <row r="1890" spans="1:23" x14ac:dyDescent="0.25">
      <c r="A1890" s="1"/>
      <c r="L1890" s="1"/>
      <c r="M1890" s="1"/>
      <c r="W1890" s="1"/>
    </row>
    <row r="1891" spans="1:23" x14ac:dyDescent="0.25">
      <c r="A1891" s="1"/>
      <c r="L1891" s="1"/>
      <c r="M1891" s="1"/>
      <c r="W1891" s="1"/>
    </row>
    <row r="1892" spans="1:23" x14ac:dyDescent="0.25">
      <c r="A1892" s="1"/>
      <c r="L1892" s="1"/>
      <c r="M1892" s="1"/>
      <c r="W1892" s="1"/>
    </row>
    <row r="1893" spans="1:23" x14ac:dyDescent="0.25">
      <c r="A1893" s="1"/>
      <c r="L1893" s="1"/>
      <c r="M1893" s="1"/>
      <c r="W1893" s="1"/>
    </row>
    <row r="1894" spans="1:23" x14ac:dyDescent="0.25">
      <c r="A1894" s="1"/>
      <c r="L1894" s="1"/>
      <c r="M1894" s="1"/>
      <c r="W1894" s="1"/>
    </row>
    <row r="1895" spans="1:23" x14ac:dyDescent="0.25">
      <c r="A1895" s="1"/>
      <c r="L1895" s="1"/>
      <c r="M1895" s="1"/>
      <c r="W1895" s="1"/>
    </row>
    <row r="1896" spans="1:23" x14ac:dyDescent="0.25">
      <c r="A1896" s="1"/>
      <c r="L1896" s="1"/>
      <c r="M1896" s="1"/>
      <c r="W1896" s="1"/>
    </row>
    <row r="1897" spans="1:23" x14ac:dyDescent="0.25">
      <c r="A1897" s="1"/>
      <c r="L1897" s="1"/>
      <c r="M1897" s="1"/>
      <c r="W1897" s="1"/>
    </row>
    <row r="1898" spans="1:23" x14ac:dyDescent="0.25">
      <c r="A1898" s="1"/>
      <c r="L1898" s="1"/>
      <c r="M1898" s="1"/>
      <c r="W1898" s="1"/>
    </row>
    <row r="1899" spans="1:23" x14ac:dyDescent="0.25">
      <c r="A1899" s="1"/>
      <c r="L1899" s="1"/>
      <c r="M1899" s="1"/>
      <c r="W1899" s="1"/>
    </row>
    <row r="1900" spans="1:23" x14ac:dyDescent="0.25">
      <c r="A1900" s="1"/>
      <c r="L1900" s="1"/>
      <c r="M1900" s="1"/>
      <c r="W1900" s="1"/>
    </row>
    <row r="1901" spans="1:23" x14ac:dyDescent="0.25">
      <c r="A1901" s="1"/>
      <c r="L1901" s="1"/>
      <c r="M1901" s="1"/>
      <c r="W1901" s="1"/>
    </row>
    <row r="1902" spans="1:23" x14ac:dyDescent="0.25">
      <c r="A1902" s="1"/>
      <c r="L1902" s="1"/>
      <c r="M1902" s="1"/>
      <c r="W1902" s="1"/>
    </row>
    <row r="1903" spans="1:23" x14ac:dyDescent="0.25">
      <c r="A1903" s="1"/>
      <c r="L1903" s="1"/>
      <c r="M1903" s="1"/>
      <c r="W1903" s="1"/>
    </row>
    <row r="1904" spans="1:23" x14ac:dyDescent="0.25">
      <c r="A1904" s="1"/>
      <c r="L1904" s="1"/>
      <c r="M1904" s="1"/>
      <c r="W1904" s="1"/>
    </row>
    <row r="1905" spans="1:23" x14ac:dyDescent="0.25">
      <c r="A1905" s="1"/>
      <c r="L1905" s="1"/>
      <c r="M1905" s="1"/>
      <c r="W1905" s="1"/>
    </row>
    <row r="1906" spans="1:23" x14ac:dyDescent="0.25">
      <c r="A1906" s="1"/>
      <c r="L1906" s="1"/>
      <c r="M1906" s="1"/>
      <c r="W1906" s="1"/>
    </row>
    <row r="1907" spans="1:23" x14ac:dyDescent="0.25">
      <c r="A1907" s="1"/>
      <c r="L1907" s="1"/>
      <c r="M1907" s="1"/>
      <c r="W1907" s="1"/>
    </row>
    <row r="1908" spans="1:23" x14ac:dyDescent="0.25">
      <c r="A1908" s="1"/>
      <c r="L1908" s="1"/>
      <c r="M1908" s="1"/>
      <c r="W1908" s="1"/>
    </row>
    <row r="1909" spans="1:23" x14ac:dyDescent="0.25">
      <c r="A1909" s="1"/>
      <c r="L1909" s="1"/>
      <c r="M1909" s="1"/>
      <c r="W1909" s="1"/>
    </row>
    <row r="1910" spans="1:23" x14ac:dyDescent="0.25">
      <c r="A1910" s="1"/>
      <c r="L1910" s="1"/>
      <c r="M1910" s="1"/>
      <c r="W1910" s="1"/>
    </row>
    <row r="1911" spans="1:23" x14ac:dyDescent="0.25">
      <c r="A1911" s="1"/>
      <c r="L1911" s="1"/>
      <c r="M1911" s="1"/>
      <c r="W1911" s="1"/>
    </row>
    <row r="1912" spans="1:23" x14ac:dyDescent="0.25">
      <c r="A1912" s="1"/>
      <c r="L1912" s="1"/>
      <c r="M1912" s="1"/>
      <c r="W1912" s="1"/>
    </row>
    <row r="1913" spans="1:23" x14ac:dyDescent="0.25">
      <c r="A1913" s="1"/>
      <c r="L1913" s="1"/>
      <c r="M1913" s="1"/>
      <c r="W1913" s="1"/>
    </row>
    <row r="1914" spans="1:23" x14ac:dyDescent="0.25">
      <c r="A1914" s="1"/>
      <c r="L1914" s="1"/>
      <c r="M1914" s="1"/>
      <c r="W1914" s="1"/>
    </row>
    <row r="1915" spans="1:23" x14ac:dyDescent="0.25">
      <c r="A1915" s="1"/>
      <c r="L1915" s="1"/>
      <c r="M1915" s="1"/>
      <c r="W1915" s="1"/>
    </row>
    <row r="1916" spans="1:23" x14ac:dyDescent="0.25">
      <c r="A1916" s="1"/>
      <c r="L1916" s="1"/>
      <c r="M1916" s="1"/>
      <c r="W1916" s="1"/>
    </row>
    <row r="1917" spans="1:23" x14ac:dyDescent="0.25">
      <c r="A1917" s="1"/>
      <c r="L1917" s="1"/>
      <c r="M1917" s="1"/>
      <c r="W1917" s="1"/>
    </row>
    <row r="1918" spans="1:23" x14ac:dyDescent="0.25">
      <c r="A1918" s="1"/>
      <c r="L1918" s="1"/>
      <c r="M1918" s="1"/>
      <c r="W1918" s="1"/>
    </row>
    <row r="1919" spans="1:23" x14ac:dyDescent="0.25">
      <c r="A1919" s="1"/>
      <c r="L1919" s="1"/>
      <c r="M1919" s="1"/>
      <c r="W1919" s="1"/>
    </row>
    <row r="1920" spans="1:23" x14ac:dyDescent="0.25">
      <c r="A1920" s="1"/>
      <c r="L1920" s="1"/>
      <c r="M1920" s="1"/>
      <c r="W1920" s="1"/>
    </row>
    <row r="1921" spans="1:23" x14ac:dyDescent="0.25">
      <c r="A1921" s="1"/>
      <c r="L1921" s="1"/>
      <c r="M1921" s="1"/>
      <c r="W1921" s="1"/>
    </row>
    <row r="1922" spans="1:23" x14ac:dyDescent="0.25">
      <c r="A1922" s="1"/>
      <c r="L1922" s="1"/>
      <c r="M1922" s="1"/>
      <c r="W1922" s="1"/>
    </row>
    <row r="1923" spans="1:23" x14ac:dyDescent="0.25">
      <c r="A1923" s="1"/>
      <c r="L1923" s="1"/>
      <c r="M1923" s="1"/>
      <c r="W1923" s="1"/>
    </row>
    <row r="1924" spans="1:23" x14ac:dyDescent="0.25">
      <c r="A1924" s="1"/>
      <c r="L1924" s="1"/>
      <c r="M1924" s="1"/>
      <c r="W1924" s="1"/>
    </row>
    <row r="1925" spans="1:23" x14ac:dyDescent="0.25">
      <c r="A1925" s="1"/>
      <c r="L1925" s="1"/>
      <c r="M1925" s="1"/>
      <c r="W1925" s="1"/>
    </row>
    <row r="1926" spans="1:23" x14ac:dyDescent="0.25">
      <c r="A1926" s="1"/>
      <c r="L1926" s="1"/>
      <c r="M1926" s="1"/>
      <c r="W1926" s="1"/>
    </row>
    <row r="1927" spans="1:23" x14ac:dyDescent="0.25">
      <c r="A1927" s="1"/>
      <c r="L1927" s="1"/>
      <c r="M1927" s="1"/>
      <c r="W1927" s="1"/>
    </row>
    <row r="1928" spans="1:23" x14ac:dyDescent="0.25">
      <c r="A1928" s="1"/>
      <c r="L1928" s="1"/>
      <c r="M1928" s="1"/>
      <c r="W1928" s="1"/>
    </row>
    <row r="1929" spans="1:23" x14ac:dyDescent="0.25">
      <c r="A1929" s="1"/>
      <c r="L1929" s="1"/>
      <c r="M1929" s="1"/>
      <c r="W1929" s="1"/>
    </row>
    <row r="1930" spans="1:23" x14ac:dyDescent="0.25">
      <c r="A1930" s="1"/>
      <c r="L1930" s="1"/>
      <c r="M1930" s="1"/>
      <c r="W1930" s="1"/>
    </row>
    <row r="1931" spans="1:23" x14ac:dyDescent="0.25">
      <c r="A1931" s="1"/>
      <c r="L1931" s="1"/>
      <c r="M1931" s="1"/>
      <c r="W1931" s="1"/>
    </row>
    <row r="1932" spans="1:23" x14ac:dyDescent="0.25">
      <c r="A1932" s="1"/>
      <c r="L1932" s="1"/>
      <c r="M1932" s="1"/>
      <c r="W1932" s="1"/>
    </row>
    <row r="1933" spans="1:23" x14ac:dyDescent="0.25">
      <c r="A1933" s="1"/>
      <c r="L1933" s="1"/>
      <c r="M1933" s="1"/>
      <c r="W1933" s="1"/>
    </row>
    <row r="1934" spans="1:23" x14ac:dyDescent="0.25">
      <c r="A1934" s="1"/>
      <c r="L1934" s="1"/>
      <c r="M1934" s="1"/>
      <c r="W1934" s="1"/>
    </row>
    <row r="1935" spans="1:23" x14ac:dyDescent="0.25">
      <c r="A1935" s="1"/>
      <c r="L1935" s="1"/>
      <c r="M1935" s="1"/>
      <c r="W1935" s="1"/>
    </row>
    <row r="1936" spans="1:23" x14ac:dyDescent="0.25">
      <c r="A1936" s="1"/>
      <c r="L1936" s="1"/>
      <c r="M1936" s="1"/>
      <c r="W1936" s="1"/>
    </row>
    <row r="1937" spans="1:23" x14ac:dyDescent="0.25">
      <c r="A1937" s="1"/>
      <c r="L1937" s="1"/>
      <c r="M1937" s="1"/>
      <c r="W1937" s="1"/>
    </row>
    <row r="1938" spans="1:23" x14ac:dyDescent="0.25">
      <c r="A1938" s="1"/>
      <c r="L1938" s="1"/>
      <c r="M1938" s="1"/>
      <c r="W1938" s="1"/>
    </row>
    <row r="1939" spans="1:23" x14ac:dyDescent="0.25">
      <c r="A1939" s="1"/>
      <c r="L1939" s="1"/>
      <c r="M1939" s="1"/>
      <c r="W1939" s="1"/>
    </row>
    <row r="1940" spans="1:23" x14ac:dyDescent="0.25">
      <c r="A1940" s="1"/>
      <c r="L1940" s="1"/>
      <c r="M1940" s="1"/>
      <c r="W1940" s="1"/>
    </row>
    <row r="1941" spans="1:23" x14ac:dyDescent="0.25">
      <c r="A1941" s="1"/>
      <c r="L1941" s="1"/>
      <c r="M1941" s="1"/>
      <c r="W1941" s="1"/>
    </row>
    <row r="1942" spans="1:23" x14ac:dyDescent="0.25">
      <c r="A1942" s="1"/>
      <c r="L1942" s="1"/>
      <c r="M1942" s="1"/>
      <c r="W1942" s="1"/>
    </row>
    <row r="1943" spans="1:23" x14ac:dyDescent="0.25">
      <c r="A1943" s="1"/>
      <c r="L1943" s="1"/>
      <c r="M1943" s="1"/>
      <c r="W1943" s="1"/>
    </row>
    <row r="1944" spans="1:23" x14ac:dyDescent="0.25">
      <c r="A1944" s="1"/>
      <c r="L1944" s="1"/>
      <c r="M1944" s="1"/>
      <c r="W1944" s="1"/>
    </row>
    <row r="1945" spans="1:23" x14ac:dyDescent="0.25">
      <c r="A1945" s="1"/>
      <c r="L1945" s="1"/>
      <c r="M1945" s="1"/>
      <c r="W1945" s="1"/>
    </row>
    <row r="1946" spans="1:23" x14ac:dyDescent="0.25">
      <c r="A1946" s="1"/>
      <c r="L1946" s="1"/>
      <c r="M1946" s="1"/>
      <c r="W1946" s="1"/>
    </row>
    <row r="1947" spans="1:23" x14ac:dyDescent="0.25">
      <c r="A1947" s="1"/>
      <c r="L1947" s="1"/>
      <c r="M1947" s="1"/>
      <c r="W1947" s="1"/>
    </row>
    <row r="1948" spans="1:23" x14ac:dyDescent="0.25">
      <c r="A1948" s="1"/>
      <c r="L1948" s="1"/>
      <c r="M1948" s="1"/>
      <c r="W1948" s="1"/>
    </row>
    <row r="1949" spans="1:23" x14ac:dyDescent="0.25">
      <c r="A1949" s="1"/>
      <c r="L1949" s="1"/>
      <c r="M1949" s="1"/>
      <c r="W1949" s="1"/>
    </row>
    <row r="1950" spans="1:23" x14ac:dyDescent="0.25">
      <c r="A1950" s="1"/>
      <c r="L1950" s="1"/>
      <c r="M1950" s="1"/>
      <c r="W1950" s="1"/>
    </row>
    <row r="1951" spans="1:23" x14ac:dyDescent="0.25">
      <c r="A1951" s="1"/>
      <c r="L1951" s="1"/>
      <c r="M1951" s="1"/>
      <c r="W1951" s="1"/>
    </row>
    <row r="1952" spans="1:23" x14ac:dyDescent="0.25">
      <c r="A1952" s="1"/>
      <c r="L1952" s="1"/>
      <c r="M1952" s="1"/>
      <c r="W1952" s="1"/>
    </row>
    <row r="1953" spans="1:23" x14ac:dyDescent="0.25">
      <c r="A1953" s="1"/>
      <c r="L1953" s="1"/>
      <c r="M1953" s="1"/>
      <c r="W1953" s="1"/>
    </row>
    <row r="1954" spans="1:23" x14ac:dyDescent="0.25">
      <c r="A1954" s="1"/>
      <c r="L1954" s="1"/>
      <c r="M1954" s="1"/>
      <c r="W1954" s="1"/>
    </row>
    <row r="1955" spans="1:23" x14ac:dyDescent="0.25">
      <c r="A1955" s="1"/>
      <c r="L1955" s="1"/>
      <c r="M1955" s="1"/>
      <c r="W1955" s="1"/>
    </row>
    <row r="1956" spans="1:23" x14ac:dyDescent="0.25">
      <c r="A1956" s="1"/>
      <c r="L1956" s="1"/>
      <c r="M1956" s="1"/>
      <c r="W1956" s="1"/>
    </row>
    <row r="1957" spans="1:23" x14ac:dyDescent="0.25">
      <c r="A1957" s="1"/>
      <c r="L1957" s="1"/>
      <c r="M1957" s="1"/>
      <c r="W1957" s="1"/>
    </row>
    <row r="1958" spans="1:23" x14ac:dyDescent="0.25">
      <c r="A1958" s="1"/>
      <c r="L1958" s="1"/>
      <c r="M1958" s="1"/>
      <c r="W1958" s="1"/>
    </row>
    <row r="1959" spans="1:23" x14ac:dyDescent="0.25">
      <c r="A1959" s="1"/>
      <c r="L1959" s="1"/>
      <c r="M1959" s="1"/>
      <c r="W1959" s="1"/>
    </row>
    <row r="1960" spans="1:23" x14ac:dyDescent="0.25">
      <c r="A1960" s="1"/>
      <c r="L1960" s="1"/>
      <c r="M1960" s="1"/>
      <c r="W1960" s="1"/>
    </row>
    <row r="1961" spans="1:23" x14ac:dyDescent="0.25">
      <c r="A1961" s="1"/>
      <c r="L1961" s="1"/>
      <c r="M1961" s="1"/>
      <c r="W1961" s="1"/>
    </row>
    <row r="1962" spans="1:23" x14ac:dyDescent="0.25">
      <c r="A1962" s="1"/>
      <c r="L1962" s="1"/>
      <c r="M1962" s="1"/>
      <c r="W1962" s="1"/>
    </row>
    <row r="1963" spans="1:23" x14ac:dyDescent="0.25">
      <c r="A1963" s="1"/>
      <c r="L1963" s="1"/>
      <c r="M1963" s="1"/>
      <c r="W1963" s="1"/>
    </row>
    <row r="1964" spans="1:23" x14ac:dyDescent="0.25">
      <c r="A1964" s="1"/>
      <c r="L1964" s="1"/>
      <c r="M1964" s="1"/>
      <c r="W1964" s="1"/>
    </row>
    <row r="1965" spans="1:23" x14ac:dyDescent="0.25">
      <c r="A1965" s="1"/>
      <c r="L1965" s="1"/>
      <c r="M1965" s="1"/>
      <c r="W1965" s="1"/>
    </row>
    <row r="1966" spans="1:23" x14ac:dyDescent="0.25">
      <c r="A1966" s="1"/>
      <c r="L1966" s="1"/>
      <c r="M1966" s="1"/>
      <c r="W1966" s="1"/>
    </row>
    <row r="1967" spans="1:23" x14ac:dyDescent="0.25">
      <c r="A1967" s="1"/>
      <c r="L1967" s="1"/>
      <c r="M1967" s="1"/>
      <c r="W1967" s="1"/>
    </row>
    <row r="1968" spans="1:23" x14ac:dyDescent="0.25">
      <c r="A1968" s="1"/>
      <c r="L1968" s="1"/>
      <c r="M1968" s="1"/>
      <c r="W1968" s="1"/>
    </row>
    <row r="1969" spans="1:23" x14ac:dyDescent="0.25">
      <c r="A1969" s="1"/>
      <c r="L1969" s="1"/>
      <c r="M1969" s="1"/>
      <c r="W1969" s="1"/>
    </row>
    <row r="1970" spans="1:23" x14ac:dyDescent="0.25">
      <c r="A1970" s="1"/>
      <c r="L1970" s="1"/>
      <c r="M1970" s="1"/>
      <c r="W1970" s="1"/>
    </row>
    <row r="1971" spans="1:23" x14ac:dyDescent="0.25">
      <c r="A1971" s="1"/>
      <c r="L1971" s="1"/>
      <c r="M1971" s="1"/>
      <c r="W1971" s="1"/>
    </row>
    <row r="1972" spans="1:23" x14ac:dyDescent="0.25">
      <c r="A1972" s="1"/>
      <c r="L1972" s="1"/>
      <c r="M1972" s="1"/>
      <c r="W1972" s="1"/>
    </row>
    <row r="1973" spans="1:23" x14ac:dyDescent="0.25">
      <c r="A1973" s="1"/>
      <c r="L1973" s="1"/>
      <c r="M1973" s="1"/>
      <c r="W1973" s="1"/>
    </row>
    <row r="1974" spans="1:23" x14ac:dyDescent="0.25">
      <c r="A1974" s="1"/>
      <c r="L1974" s="1"/>
      <c r="M1974" s="1"/>
      <c r="W1974" s="1"/>
    </row>
    <row r="1975" spans="1:23" x14ac:dyDescent="0.25">
      <c r="A1975" s="1"/>
      <c r="L1975" s="1"/>
      <c r="M1975" s="1"/>
      <c r="W1975" s="1"/>
    </row>
    <row r="1976" spans="1:23" x14ac:dyDescent="0.25">
      <c r="A1976" s="1"/>
      <c r="L1976" s="1"/>
      <c r="M1976" s="1"/>
      <c r="W1976" s="1"/>
    </row>
    <row r="1977" spans="1:23" x14ac:dyDescent="0.25">
      <c r="A1977" s="1"/>
      <c r="L1977" s="1"/>
      <c r="M1977" s="1"/>
      <c r="W1977" s="1"/>
    </row>
    <row r="1978" spans="1:23" x14ac:dyDescent="0.25">
      <c r="A1978" s="1"/>
      <c r="L1978" s="1"/>
      <c r="M1978" s="1"/>
      <c r="W1978" s="1"/>
    </row>
    <row r="1979" spans="1:23" x14ac:dyDescent="0.25">
      <c r="A1979" s="1"/>
      <c r="L1979" s="1"/>
      <c r="M1979" s="1"/>
      <c r="W1979" s="1"/>
    </row>
    <row r="1980" spans="1:23" x14ac:dyDescent="0.25">
      <c r="A1980" s="1"/>
      <c r="L1980" s="1"/>
      <c r="M1980" s="1"/>
      <c r="W1980" s="1"/>
    </row>
    <row r="1981" spans="1:23" x14ac:dyDescent="0.25">
      <c r="A1981" s="1"/>
      <c r="L1981" s="1"/>
      <c r="M1981" s="1"/>
      <c r="W1981" s="1"/>
    </row>
    <row r="1982" spans="1:23" x14ac:dyDescent="0.25">
      <c r="A1982" s="1"/>
      <c r="L1982" s="1"/>
      <c r="M1982" s="1"/>
      <c r="W1982" s="1"/>
    </row>
    <row r="1983" spans="1:23" x14ac:dyDescent="0.25">
      <c r="A1983" s="1"/>
      <c r="L1983" s="1"/>
      <c r="M1983" s="1"/>
      <c r="W1983" s="1"/>
    </row>
    <row r="1984" spans="1:23" x14ac:dyDescent="0.25">
      <c r="A1984" s="1"/>
      <c r="L1984" s="1"/>
      <c r="M1984" s="1"/>
      <c r="W1984" s="1"/>
    </row>
    <row r="1985" spans="1:23" x14ac:dyDescent="0.25">
      <c r="A1985" s="1"/>
      <c r="L1985" s="1"/>
      <c r="M1985" s="1"/>
      <c r="W1985" s="1"/>
    </row>
    <row r="1986" spans="1:23" x14ac:dyDescent="0.25">
      <c r="A1986" s="1"/>
      <c r="L1986" s="1"/>
      <c r="M1986" s="1"/>
      <c r="W1986" s="1"/>
    </row>
    <row r="1987" spans="1:23" x14ac:dyDescent="0.25">
      <c r="A1987" s="1"/>
      <c r="L1987" s="1"/>
      <c r="M1987" s="1"/>
      <c r="W1987" s="1"/>
    </row>
    <row r="1988" spans="1:23" x14ac:dyDescent="0.25">
      <c r="A1988" s="1"/>
      <c r="L1988" s="1"/>
      <c r="M1988" s="1"/>
      <c r="W1988" s="1"/>
    </row>
    <row r="1989" spans="1:23" x14ac:dyDescent="0.25">
      <c r="A1989" s="1"/>
      <c r="L1989" s="1"/>
      <c r="M1989" s="1"/>
      <c r="W1989" s="1"/>
    </row>
    <row r="1990" spans="1:23" x14ac:dyDescent="0.25">
      <c r="A1990" s="1"/>
      <c r="L1990" s="1"/>
      <c r="M1990" s="1"/>
      <c r="W1990" s="1"/>
    </row>
    <row r="1991" spans="1:23" x14ac:dyDescent="0.25">
      <c r="A1991" s="1"/>
      <c r="L1991" s="1"/>
      <c r="M1991" s="1"/>
      <c r="W1991" s="1"/>
    </row>
    <row r="1992" spans="1:23" x14ac:dyDescent="0.25">
      <c r="A1992" s="1"/>
      <c r="L1992" s="1"/>
      <c r="M1992" s="1"/>
      <c r="W1992" s="1"/>
    </row>
    <row r="1993" spans="1:23" x14ac:dyDescent="0.25">
      <c r="A1993" s="1"/>
      <c r="L1993" s="1"/>
      <c r="M1993" s="1"/>
      <c r="W1993" s="1"/>
    </row>
    <row r="1994" spans="1:23" x14ac:dyDescent="0.25">
      <c r="A1994" s="1"/>
      <c r="L1994" s="1"/>
      <c r="M1994" s="1"/>
      <c r="W1994" s="1"/>
    </row>
    <row r="1995" spans="1:23" x14ac:dyDescent="0.25">
      <c r="A1995" s="1"/>
      <c r="L1995" s="1"/>
      <c r="M1995" s="1"/>
      <c r="W1995" s="1"/>
    </row>
    <row r="1996" spans="1:23" x14ac:dyDescent="0.25">
      <c r="A1996" s="1"/>
      <c r="L1996" s="1"/>
      <c r="M1996" s="1"/>
      <c r="W1996" s="1"/>
    </row>
    <row r="1997" spans="1:23" x14ac:dyDescent="0.25">
      <c r="A1997" s="1"/>
      <c r="L1997" s="1"/>
      <c r="M1997" s="1"/>
      <c r="W1997" s="1"/>
    </row>
    <row r="1998" spans="1:23" x14ac:dyDescent="0.25">
      <c r="A1998" s="1"/>
      <c r="L1998" s="1"/>
      <c r="M1998" s="1"/>
      <c r="W1998" s="1"/>
    </row>
    <row r="1999" spans="1:23" x14ac:dyDescent="0.25">
      <c r="A1999" s="1"/>
      <c r="L1999" s="1"/>
      <c r="M1999" s="1"/>
      <c r="W1999" s="1"/>
    </row>
    <row r="2000" spans="1:23" x14ac:dyDescent="0.25">
      <c r="A2000" s="1"/>
      <c r="L2000" s="1"/>
      <c r="M2000" s="1"/>
      <c r="W2000" s="1"/>
    </row>
    <row r="2001" spans="1:23" x14ac:dyDescent="0.25">
      <c r="A2001" s="1"/>
      <c r="L2001" s="1"/>
      <c r="M2001" s="1"/>
      <c r="W2001" s="1"/>
    </row>
    <row r="2002" spans="1:23" x14ac:dyDescent="0.25">
      <c r="A2002" s="1"/>
      <c r="L2002" s="1"/>
      <c r="M2002" s="1"/>
      <c r="W2002" s="1"/>
    </row>
    <row r="2003" spans="1:23" x14ac:dyDescent="0.25">
      <c r="A2003" s="1"/>
      <c r="L2003" s="1"/>
      <c r="M2003" s="1"/>
      <c r="W2003" s="1"/>
    </row>
    <row r="2004" spans="1:23" x14ac:dyDescent="0.25">
      <c r="A2004" s="1"/>
      <c r="L2004" s="1"/>
      <c r="M2004" s="1"/>
      <c r="W2004" s="1"/>
    </row>
    <row r="2005" spans="1:23" x14ac:dyDescent="0.25">
      <c r="A2005" s="1"/>
      <c r="L2005" s="1"/>
      <c r="M2005" s="1"/>
      <c r="W2005" s="1"/>
    </row>
    <row r="2006" spans="1:23" x14ac:dyDescent="0.25">
      <c r="A2006" s="1"/>
      <c r="L2006" s="1"/>
      <c r="M2006" s="1"/>
      <c r="W2006" s="1"/>
    </row>
    <row r="2007" spans="1:23" x14ac:dyDescent="0.25">
      <c r="A2007" s="1"/>
      <c r="L2007" s="1"/>
      <c r="M2007" s="1"/>
      <c r="W2007" s="1"/>
    </row>
    <row r="2008" spans="1:23" x14ac:dyDescent="0.25">
      <c r="A2008" s="1"/>
      <c r="L2008" s="1"/>
      <c r="M2008" s="1"/>
      <c r="W2008" s="1"/>
    </row>
    <row r="2009" spans="1:23" x14ac:dyDescent="0.25">
      <c r="A2009" s="1"/>
      <c r="L2009" s="1"/>
      <c r="M2009" s="1"/>
      <c r="W2009" s="1"/>
    </row>
    <row r="2010" spans="1:23" x14ac:dyDescent="0.25">
      <c r="A2010" s="1"/>
      <c r="L2010" s="1"/>
      <c r="M2010" s="1"/>
      <c r="W2010" s="1"/>
    </row>
    <row r="2011" spans="1:23" x14ac:dyDescent="0.25">
      <c r="A2011" s="1"/>
      <c r="L2011" s="1"/>
      <c r="M2011" s="1"/>
      <c r="W2011" s="1"/>
    </row>
    <row r="2012" spans="1:23" x14ac:dyDescent="0.25">
      <c r="A2012" s="1"/>
      <c r="L2012" s="1"/>
      <c r="M2012" s="1"/>
      <c r="W2012" s="1"/>
    </row>
    <row r="2013" spans="1:23" x14ac:dyDescent="0.25">
      <c r="A2013" s="1"/>
      <c r="L2013" s="1"/>
      <c r="M2013" s="1"/>
      <c r="W2013" s="1"/>
    </row>
    <row r="2014" spans="1:23" x14ac:dyDescent="0.25">
      <c r="A2014" s="1"/>
      <c r="L2014" s="1"/>
      <c r="M2014" s="1"/>
      <c r="W2014" s="1"/>
    </row>
    <row r="2015" spans="1:23" x14ac:dyDescent="0.25">
      <c r="A2015" s="1"/>
      <c r="L2015" s="1"/>
      <c r="M2015" s="1"/>
      <c r="W2015" s="1"/>
    </row>
    <row r="2016" spans="1:23" x14ac:dyDescent="0.25">
      <c r="A2016" s="1"/>
      <c r="L2016" s="1"/>
      <c r="M2016" s="1"/>
      <c r="W2016" s="1"/>
    </row>
    <row r="2017" spans="1:23" x14ac:dyDescent="0.25">
      <c r="A2017" s="1"/>
      <c r="L2017" s="1"/>
      <c r="M2017" s="1"/>
      <c r="W2017" s="1"/>
    </row>
    <row r="2018" spans="1:23" x14ac:dyDescent="0.25">
      <c r="A2018" s="1"/>
      <c r="L2018" s="1"/>
      <c r="M2018" s="1"/>
      <c r="W2018" s="1"/>
    </row>
    <row r="2019" spans="1:23" x14ac:dyDescent="0.25">
      <c r="A2019" s="1"/>
      <c r="L2019" s="1"/>
      <c r="M2019" s="1"/>
      <c r="W2019" s="1"/>
    </row>
    <row r="2020" spans="1:23" x14ac:dyDescent="0.25">
      <c r="A2020" s="1"/>
      <c r="L2020" s="1"/>
      <c r="M2020" s="1"/>
      <c r="W2020" s="1"/>
    </row>
    <row r="2021" spans="1:23" x14ac:dyDescent="0.25">
      <c r="A2021" s="1"/>
      <c r="L2021" s="1"/>
      <c r="M2021" s="1"/>
      <c r="W2021" s="1"/>
    </row>
    <row r="2022" spans="1:23" x14ac:dyDescent="0.25">
      <c r="A2022" s="1"/>
      <c r="L2022" s="1"/>
      <c r="M2022" s="1"/>
      <c r="W2022" s="1"/>
    </row>
    <row r="2023" spans="1:23" x14ac:dyDescent="0.25">
      <c r="A2023" s="1"/>
      <c r="L2023" s="1"/>
      <c r="M2023" s="1"/>
      <c r="W2023" s="1"/>
    </row>
    <row r="2024" spans="1:23" x14ac:dyDescent="0.25">
      <c r="A2024" s="1"/>
      <c r="L2024" s="1"/>
      <c r="M2024" s="1"/>
      <c r="W2024" s="1"/>
    </row>
    <row r="2025" spans="1:23" x14ac:dyDescent="0.25">
      <c r="A2025" s="1"/>
      <c r="L2025" s="1"/>
      <c r="M2025" s="1"/>
      <c r="W2025" s="1"/>
    </row>
    <row r="2026" spans="1:23" x14ac:dyDescent="0.25">
      <c r="A2026" s="1"/>
      <c r="L2026" s="1"/>
      <c r="M2026" s="1"/>
      <c r="W2026" s="1"/>
    </row>
    <row r="2027" spans="1:23" x14ac:dyDescent="0.25">
      <c r="A2027" s="1"/>
      <c r="L2027" s="1"/>
      <c r="M2027" s="1"/>
      <c r="W2027" s="1"/>
    </row>
    <row r="2028" spans="1:23" x14ac:dyDescent="0.25">
      <c r="A2028" s="1"/>
      <c r="L2028" s="1"/>
      <c r="M2028" s="1"/>
      <c r="W2028" s="1"/>
    </row>
    <row r="2029" spans="1:23" x14ac:dyDescent="0.25">
      <c r="A2029" s="1"/>
      <c r="L2029" s="1"/>
      <c r="M2029" s="1"/>
      <c r="W2029" s="1"/>
    </row>
    <row r="2030" spans="1:23" x14ac:dyDescent="0.25">
      <c r="A2030" s="1"/>
      <c r="L2030" s="1"/>
      <c r="M2030" s="1"/>
      <c r="W2030" s="1"/>
    </row>
    <row r="2031" spans="1:23" x14ac:dyDescent="0.25">
      <c r="A2031" s="1"/>
      <c r="L2031" s="1"/>
      <c r="M2031" s="1"/>
      <c r="W2031" s="1"/>
    </row>
    <row r="2032" spans="1:23" x14ac:dyDescent="0.25">
      <c r="A2032" s="1"/>
      <c r="L2032" s="1"/>
      <c r="M2032" s="1"/>
      <c r="W2032" s="1"/>
    </row>
    <row r="2033" spans="1:23" x14ac:dyDescent="0.25">
      <c r="A2033" s="1"/>
      <c r="L2033" s="1"/>
      <c r="M2033" s="1"/>
      <c r="W2033" s="1"/>
    </row>
    <row r="2034" spans="1:23" x14ac:dyDescent="0.25">
      <c r="A2034" s="1"/>
      <c r="L2034" s="1"/>
      <c r="M2034" s="1"/>
      <c r="W2034" s="1"/>
    </row>
    <row r="2035" spans="1:23" x14ac:dyDescent="0.25">
      <c r="A2035" s="1"/>
      <c r="L2035" s="1"/>
      <c r="M2035" s="1"/>
      <c r="W2035" s="1"/>
    </row>
    <row r="2036" spans="1:23" x14ac:dyDescent="0.25">
      <c r="A2036" s="1"/>
      <c r="L2036" s="1"/>
      <c r="M2036" s="1"/>
      <c r="W2036" s="1"/>
    </row>
    <row r="2037" spans="1:23" x14ac:dyDescent="0.25">
      <c r="A2037" s="1"/>
      <c r="L2037" s="1"/>
      <c r="M2037" s="1"/>
      <c r="W2037" s="1"/>
    </row>
    <row r="2038" spans="1:23" x14ac:dyDescent="0.25">
      <c r="A2038" s="1"/>
      <c r="L2038" s="1"/>
      <c r="M2038" s="1"/>
      <c r="W2038" s="1"/>
    </row>
    <row r="2039" spans="1:23" x14ac:dyDescent="0.25">
      <c r="A2039" s="1"/>
      <c r="L2039" s="1"/>
      <c r="M2039" s="1"/>
      <c r="W2039" s="1"/>
    </row>
    <row r="2040" spans="1:23" x14ac:dyDescent="0.25">
      <c r="A2040" s="1"/>
      <c r="L2040" s="1"/>
      <c r="M2040" s="1"/>
      <c r="W2040" s="1"/>
    </row>
    <row r="2041" spans="1:23" x14ac:dyDescent="0.25">
      <c r="A2041" s="1"/>
      <c r="L2041" s="1"/>
      <c r="M2041" s="1"/>
      <c r="W2041" s="1"/>
    </row>
    <row r="2042" spans="1:23" x14ac:dyDescent="0.25">
      <c r="A2042" s="1"/>
      <c r="L2042" s="1"/>
      <c r="M2042" s="1"/>
      <c r="W2042" s="1"/>
    </row>
    <row r="2043" spans="1:23" x14ac:dyDescent="0.25">
      <c r="A2043" s="1"/>
      <c r="L2043" s="1"/>
      <c r="M2043" s="1"/>
      <c r="W2043" s="1"/>
    </row>
    <row r="2044" spans="1:23" x14ac:dyDescent="0.25">
      <c r="A2044" s="1"/>
      <c r="L2044" s="1"/>
      <c r="M2044" s="1"/>
      <c r="W2044" s="1"/>
    </row>
    <row r="2045" spans="1:23" x14ac:dyDescent="0.25">
      <c r="A2045" s="1"/>
      <c r="L2045" s="1"/>
      <c r="M2045" s="1"/>
      <c r="W2045" s="1"/>
    </row>
    <row r="2046" spans="1:23" x14ac:dyDescent="0.25">
      <c r="A2046" s="1"/>
      <c r="L2046" s="1"/>
      <c r="M2046" s="1"/>
      <c r="W2046" s="1"/>
    </row>
    <row r="2047" spans="1:23" x14ac:dyDescent="0.25">
      <c r="A2047" s="1"/>
      <c r="L2047" s="1"/>
      <c r="M2047" s="1"/>
      <c r="W2047" s="1"/>
    </row>
    <row r="2048" spans="1:23" x14ac:dyDescent="0.25">
      <c r="A2048" s="1"/>
      <c r="L2048" s="1"/>
      <c r="M2048" s="1"/>
      <c r="W2048" s="1"/>
    </row>
    <row r="2049" spans="1:23" x14ac:dyDescent="0.25">
      <c r="A2049" s="1"/>
      <c r="L2049" s="1"/>
      <c r="M2049" s="1"/>
      <c r="W2049" s="1"/>
    </row>
    <row r="2050" spans="1:23" x14ac:dyDescent="0.25">
      <c r="A2050" s="1"/>
      <c r="L2050" s="1"/>
      <c r="M2050" s="1"/>
      <c r="W2050" s="1"/>
    </row>
    <row r="2051" spans="1:23" x14ac:dyDescent="0.25">
      <c r="A2051" s="1"/>
      <c r="L2051" s="1"/>
      <c r="M2051" s="1"/>
      <c r="W2051" s="1"/>
    </row>
    <row r="2052" spans="1:23" x14ac:dyDescent="0.25">
      <c r="A2052" s="1"/>
      <c r="L2052" s="1"/>
      <c r="M2052" s="1"/>
      <c r="W2052" s="1"/>
    </row>
    <row r="2053" spans="1:23" x14ac:dyDescent="0.25">
      <c r="A2053" s="1"/>
      <c r="L2053" s="1"/>
      <c r="M2053" s="1"/>
      <c r="W2053" s="1"/>
    </row>
    <row r="2054" spans="1:23" x14ac:dyDescent="0.25">
      <c r="A2054" s="1"/>
      <c r="L2054" s="1"/>
      <c r="M2054" s="1"/>
      <c r="W2054" s="1"/>
    </row>
    <row r="2055" spans="1:23" x14ac:dyDescent="0.25">
      <c r="A2055" s="1"/>
      <c r="L2055" s="1"/>
      <c r="M2055" s="1"/>
      <c r="W2055" s="1"/>
    </row>
    <row r="2056" spans="1:23" x14ac:dyDescent="0.25">
      <c r="A2056" s="1"/>
      <c r="L2056" s="1"/>
      <c r="M2056" s="1"/>
      <c r="W2056" s="1"/>
    </row>
    <row r="2057" spans="1:23" x14ac:dyDescent="0.25">
      <c r="A2057" s="1"/>
      <c r="L2057" s="1"/>
      <c r="M2057" s="1"/>
      <c r="W2057" s="1"/>
    </row>
    <row r="2058" spans="1:23" x14ac:dyDescent="0.25">
      <c r="A2058" s="1"/>
      <c r="L2058" s="1"/>
      <c r="M2058" s="1"/>
      <c r="W2058" s="1"/>
    </row>
    <row r="2059" spans="1:23" x14ac:dyDescent="0.25">
      <c r="A2059" s="1"/>
      <c r="L2059" s="1"/>
      <c r="M2059" s="1"/>
      <c r="W2059" s="1"/>
    </row>
    <row r="2060" spans="1:23" x14ac:dyDescent="0.25">
      <c r="A2060" s="1"/>
      <c r="L2060" s="1"/>
      <c r="M2060" s="1"/>
      <c r="W2060" s="1"/>
    </row>
    <row r="2061" spans="1:23" x14ac:dyDescent="0.25">
      <c r="A2061" s="1"/>
      <c r="L2061" s="1"/>
      <c r="M2061" s="1"/>
      <c r="W2061" s="1"/>
    </row>
    <row r="2062" spans="1:23" x14ac:dyDescent="0.25">
      <c r="A2062" s="1"/>
      <c r="L2062" s="1"/>
      <c r="M2062" s="1"/>
      <c r="W2062" s="1"/>
    </row>
    <row r="2063" spans="1:23" x14ac:dyDescent="0.25">
      <c r="A2063" s="1"/>
      <c r="L2063" s="1"/>
      <c r="M2063" s="1"/>
      <c r="W2063" s="1"/>
    </row>
    <row r="2064" spans="1:23" x14ac:dyDescent="0.25">
      <c r="A2064" s="1"/>
      <c r="L2064" s="1"/>
      <c r="M2064" s="1"/>
      <c r="W2064" s="1"/>
    </row>
    <row r="2065" spans="1:23" x14ac:dyDescent="0.25">
      <c r="A2065" s="1"/>
      <c r="L2065" s="1"/>
      <c r="M2065" s="1"/>
      <c r="W2065" s="1"/>
    </row>
    <row r="2066" spans="1:23" x14ac:dyDescent="0.25">
      <c r="A2066" s="1"/>
      <c r="L2066" s="1"/>
      <c r="M2066" s="1"/>
      <c r="W2066" s="1"/>
    </row>
    <row r="2067" spans="1:23" x14ac:dyDescent="0.25">
      <c r="A2067" s="1"/>
      <c r="L2067" s="1"/>
      <c r="M2067" s="1"/>
      <c r="W2067" s="1"/>
    </row>
    <row r="2068" spans="1:23" x14ac:dyDescent="0.25">
      <c r="A2068" s="1"/>
      <c r="L2068" s="1"/>
      <c r="M2068" s="1"/>
      <c r="W2068" s="1"/>
    </row>
    <row r="2069" spans="1:23" x14ac:dyDescent="0.25">
      <c r="A2069" s="1"/>
      <c r="L2069" s="1"/>
      <c r="M2069" s="1"/>
      <c r="W2069" s="1"/>
    </row>
    <row r="2070" spans="1:23" x14ac:dyDescent="0.25">
      <c r="A2070" s="1"/>
      <c r="L2070" s="1"/>
      <c r="M2070" s="1"/>
      <c r="W2070" s="1"/>
    </row>
    <row r="2071" spans="1:23" x14ac:dyDescent="0.25">
      <c r="A2071" s="1"/>
      <c r="L2071" s="1"/>
      <c r="M2071" s="1"/>
      <c r="W2071" s="1"/>
    </row>
    <row r="2072" spans="1:23" x14ac:dyDescent="0.25">
      <c r="A2072" s="1"/>
      <c r="L2072" s="1"/>
      <c r="M2072" s="1"/>
      <c r="W2072" s="1"/>
    </row>
    <row r="2073" spans="1:23" x14ac:dyDescent="0.25">
      <c r="A2073" s="1"/>
      <c r="L2073" s="1"/>
      <c r="M2073" s="1"/>
      <c r="W2073" s="1"/>
    </row>
    <row r="2074" spans="1:23" x14ac:dyDescent="0.25">
      <c r="A2074" s="1"/>
      <c r="L2074" s="1"/>
      <c r="M2074" s="1"/>
      <c r="W2074" s="1"/>
    </row>
    <row r="2075" spans="1:23" x14ac:dyDescent="0.25">
      <c r="A2075" s="1"/>
      <c r="L2075" s="1"/>
      <c r="M2075" s="1"/>
      <c r="W2075" s="1"/>
    </row>
    <row r="2076" spans="1:23" x14ac:dyDescent="0.25">
      <c r="A2076" s="1"/>
      <c r="L2076" s="1"/>
      <c r="M2076" s="1"/>
      <c r="W2076" s="1"/>
    </row>
    <row r="2077" spans="1:23" x14ac:dyDescent="0.25">
      <c r="A2077" s="1"/>
      <c r="L2077" s="1"/>
      <c r="M2077" s="1"/>
      <c r="W2077" s="1"/>
    </row>
    <row r="2078" spans="1:23" x14ac:dyDescent="0.25">
      <c r="A2078" s="1"/>
      <c r="L2078" s="1"/>
      <c r="M2078" s="1"/>
      <c r="W2078" s="1"/>
    </row>
    <row r="2079" spans="1:23" x14ac:dyDescent="0.25">
      <c r="A2079" s="1"/>
      <c r="L2079" s="1"/>
      <c r="M2079" s="1"/>
      <c r="W2079" s="1"/>
    </row>
    <row r="2080" spans="1:23" x14ac:dyDescent="0.25">
      <c r="A2080" s="1"/>
      <c r="L2080" s="1"/>
      <c r="M2080" s="1"/>
      <c r="W2080" s="1"/>
    </row>
    <row r="2081" spans="1:23" x14ac:dyDescent="0.25">
      <c r="A2081" s="1"/>
      <c r="L2081" s="1"/>
      <c r="M2081" s="1"/>
      <c r="W2081" s="1"/>
    </row>
    <row r="2082" spans="1:23" x14ac:dyDescent="0.25">
      <c r="A2082" s="1"/>
      <c r="L2082" s="1"/>
      <c r="M2082" s="1"/>
      <c r="W2082" s="1"/>
    </row>
    <row r="2083" spans="1:23" x14ac:dyDescent="0.25">
      <c r="A2083" s="1"/>
      <c r="L2083" s="1"/>
      <c r="M2083" s="1"/>
      <c r="W2083" s="1"/>
    </row>
    <row r="2084" spans="1:23" x14ac:dyDescent="0.25">
      <c r="A2084" s="1"/>
      <c r="L2084" s="1"/>
      <c r="M2084" s="1"/>
      <c r="W2084" s="1"/>
    </row>
    <row r="2085" spans="1:23" x14ac:dyDescent="0.25">
      <c r="A2085" s="1"/>
      <c r="L2085" s="1"/>
      <c r="M2085" s="1"/>
      <c r="W2085" s="1"/>
    </row>
    <row r="2086" spans="1:23" x14ac:dyDescent="0.25">
      <c r="A2086" s="1"/>
      <c r="L2086" s="1"/>
      <c r="M2086" s="1"/>
      <c r="W2086" s="1"/>
    </row>
    <row r="2087" spans="1:23" x14ac:dyDescent="0.25">
      <c r="A2087" s="1"/>
      <c r="L2087" s="1"/>
      <c r="M2087" s="1"/>
      <c r="W2087" s="1"/>
    </row>
    <row r="2088" spans="1:23" x14ac:dyDescent="0.25">
      <c r="A2088" s="1"/>
      <c r="L2088" s="1"/>
      <c r="M2088" s="1"/>
      <c r="W2088" s="1"/>
    </row>
    <row r="2089" spans="1:23" x14ac:dyDescent="0.25">
      <c r="A2089" s="1"/>
      <c r="L2089" s="1"/>
      <c r="M2089" s="1"/>
      <c r="W2089" s="1"/>
    </row>
    <row r="2090" spans="1:23" x14ac:dyDescent="0.25">
      <c r="A2090" s="1"/>
      <c r="L2090" s="1"/>
      <c r="M2090" s="1"/>
      <c r="W2090" s="1"/>
    </row>
    <row r="2091" spans="1:23" x14ac:dyDescent="0.25">
      <c r="A2091" s="1"/>
      <c r="L2091" s="1"/>
      <c r="M2091" s="1"/>
      <c r="W2091" s="1"/>
    </row>
    <row r="2092" spans="1:23" x14ac:dyDescent="0.25">
      <c r="A2092" s="1"/>
      <c r="L2092" s="1"/>
      <c r="M2092" s="1"/>
      <c r="W2092" s="1"/>
    </row>
    <row r="2093" spans="1:23" x14ac:dyDescent="0.25">
      <c r="A2093" s="1"/>
      <c r="L2093" s="1"/>
      <c r="M2093" s="1"/>
      <c r="W2093" s="1"/>
    </row>
    <row r="2094" spans="1:23" x14ac:dyDescent="0.25">
      <c r="A2094" s="1"/>
      <c r="L2094" s="1"/>
      <c r="M2094" s="1"/>
      <c r="W2094" s="1"/>
    </row>
    <row r="2095" spans="1:23" x14ac:dyDescent="0.25">
      <c r="A2095" s="1"/>
      <c r="L2095" s="1"/>
      <c r="M2095" s="1"/>
      <c r="W2095" s="1"/>
    </row>
    <row r="2096" spans="1:23" x14ac:dyDescent="0.25">
      <c r="A2096" s="1"/>
      <c r="L2096" s="1"/>
      <c r="M2096" s="1"/>
      <c r="W2096" s="1"/>
    </row>
    <row r="2097" spans="1:23" x14ac:dyDescent="0.25">
      <c r="A2097" s="1"/>
      <c r="L2097" s="1"/>
      <c r="M2097" s="1"/>
      <c r="W2097" s="1"/>
    </row>
    <row r="2098" spans="1:23" x14ac:dyDescent="0.25">
      <c r="A2098" s="1"/>
      <c r="L2098" s="1"/>
      <c r="M2098" s="1"/>
      <c r="W2098" s="1"/>
    </row>
    <row r="2099" spans="1:23" x14ac:dyDescent="0.25">
      <c r="A2099" s="1"/>
      <c r="L2099" s="1"/>
      <c r="M2099" s="1"/>
      <c r="W2099" s="1"/>
    </row>
    <row r="2100" spans="1:23" x14ac:dyDescent="0.25">
      <c r="A2100" s="1"/>
      <c r="L2100" s="1"/>
      <c r="M2100" s="1"/>
      <c r="W2100" s="1"/>
    </row>
    <row r="2101" spans="1:23" x14ac:dyDescent="0.25">
      <c r="A2101" s="1"/>
      <c r="L2101" s="1"/>
      <c r="M2101" s="1"/>
      <c r="W2101" s="1"/>
    </row>
    <row r="2102" spans="1:23" x14ac:dyDescent="0.25">
      <c r="A2102" s="1"/>
      <c r="L2102" s="1"/>
      <c r="M2102" s="1"/>
      <c r="W2102" s="1"/>
    </row>
    <row r="2103" spans="1:23" x14ac:dyDescent="0.25">
      <c r="A2103" s="1"/>
      <c r="L2103" s="1"/>
      <c r="M2103" s="1"/>
      <c r="W2103" s="1"/>
    </row>
    <row r="2104" spans="1:23" x14ac:dyDescent="0.25">
      <c r="A2104" s="1"/>
      <c r="L2104" s="1"/>
      <c r="M2104" s="1"/>
      <c r="W2104" s="1"/>
    </row>
    <row r="2105" spans="1:23" x14ac:dyDescent="0.25">
      <c r="A2105" s="1"/>
      <c r="L2105" s="1"/>
      <c r="M2105" s="1"/>
      <c r="W2105" s="1"/>
    </row>
    <row r="2106" spans="1:23" x14ac:dyDescent="0.25">
      <c r="A2106" s="1"/>
      <c r="L2106" s="1"/>
      <c r="M2106" s="1"/>
      <c r="W2106" s="1"/>
    </row>
    <row r="2107" spans="1:23" x14ac:dyDescent="0.25">
      <c r="A2107" s="1"/>
      <c r="L2107" s="1"/>
      <c r="M2107" s="1"/>
      <c r="W2107" s="1"/>
    </row>
    <row r="2108" spans="1:23" x14ac:dyDescent="0.25">
      <c r="A2108" s="1"/>
      <c r="L2108" s="1"/>
      <c r="M2108" s="1"/>
      <c r="W2108" s="1"/>
    </row>
    <row r="2109" spans="1:23" x14ac:dyDescent="0.25">
      <c r="A2109" s="1"/>
      <c r="L2109" s="1"/>
      <c r="M2109" s="1"/>
      <c r="W2109" s="1"/>
    </row>
    <row r="2110" spans="1:23" x14ac:dyDescent="0.25">
      <c r="A2110" s="1"/>
      <c r="L2110" s="1"/>
      <c r="M2110" s="1"/>
      <c r="W2110" s="1"/>
    </row>
    <row r="2111" spans="1:23" x14ac:dyDescent="0.25">
      <c r="A2111" s="1"/>
      <c r="L2111" s="1"/>
      <c r="M2111" s="1"/>
      <c r="W2111" s="1"/>
    </row>
    <row r="2112" spans="1:23" x14ac:dyDescent="0.25">
      <c r="A2112" s="1"/>
      <c r="L2112" s="1"/>
      <c r="M2112" s="1"/>
      <c r="W2112" s="1"/>
    </row>
    <row r="2113" spans="1:23" x14ac:dyDescent="0.25">
      <c r="A2113" s="1"/>
      <c r="L2113" s="1"/>
      <c r="M2113" s="1"/>
      <c r="W2113" s="1"/>
    </row>
    <row r="2114" spans="1:23" x14ac:dyDescent="0.25">
      <c r="A2114" s="1"/>
      <c r="L2114" s="1"/>
      <c r="M2114" s="1"/>
      <c r="W2114" s="1"/>
    </row>
    <row r="2115" spans="1:23" x14ac:dyDescent="0.25">
      <c r="A2115" s="1"/>
      <c r="L2115" s="1"/>
      <c r="M2115" s="1"/>
      <c r="W2115" s="1"/>
    </row>
    <row r="2116" spans="1:23" x14ac:dyDescent="0.25">
      <c r="A2116" s="1"/>
      <c r="L2116" s="1"/>
      <c r="M2116" s="1"/>
      <c r="W2116" s="1"/>
    </row>
    <row r="2117" spans="1:23" x14ac:dyDescent="0.25">
      <c r="A2117" s="1"/>
      <c r="L2117" s="1"/>
      <c r="M2117" s="1"/>
      <c r="W2117" s="1"/>
    </row>
    <row r="2118" spans="1:23" x14ac:dyDescent="0.25">
      <c r="A2118" s="1"/>
      <c r="L2118" s="1"/>
      <c r="M2118" s="1"/>
      <c r="W2118" s="1"/>
    </row>
    <row r="2119" spans="1:23" x14ac:dyDescent="0.25">
      <c r="A2119" s="1"/>
      <c r="L2119" s="1"/>
      <c r="M2119" s="1"/>
      <c r="W2119" s="1"/>
    </row>
    <row r="2120" spans="1:23" x14ac:dyDescent="0.25">
      <c r="A2120" s="1"/>
      <c r="L2120" s="1"/>
      <c r="M2120" s="1"/>
      <c r="W2120" s="1"/>
    </row>
    <row r="2121" spans="1:23" x14ac:dyDescent="0.25">
      <c r="A2121" s="1"/>
      <c r="L2121" s="1"/>
      <c r="M2121" s="1"/>
      <c r="W2121" s="1"/>
    </row>
    <row r="2122" spans="1:23" x14ac:dyDescent="0.25">
      <c r="A2122" s="1"/>
      <c r="L2122" s="1"/>
      <c r="M2122" s="1"/>
      <c r="W2122" s="1"/>
    </row>
    <row r="2123" spans="1:23" x14ac:dyDescent="0.25">
      <c r="A2123" s="1"/>
      <c r="L2123" s="1"/>
      <c r="M2123" s="1"/>
      <c r="W2123" s="1"/>
    </row>
    <row r="2124" spans="1:23" x14ac:dyDescent="0.25">
      <c r="A2124" s="1"/>
      <c r="L2124" s="1"/>
      <c r="M2124" s="1"/>
      <c r="W2124" s="1"/>
    </row>
    <row r="2125" spans="1:23" x14ac:dyDescent="0.25">
      <c r="A2125" s="1"/>
      <c r="L2125" s="1"/>
      <c r="M2125" s="1"/>
      <c r="W2125" s="1"/>
    </row>
    <row r="2126" spans="1:23" x14ac:dyDescent="0.25">
      <c r="A2126" s="1"/>
      <c r="L2126" s="1"/>
      <c r="M2126" s="1"/>
      <c r="W2126" s="1"/>
    </row>
    <row r="2127" spans="1:23" x14ac:dyDescent="0.25">
      <c r="A2127" s="1"/>
      <c r="L2127" s="1"/>
      <c r="M2127" s="1"/>
      <c r="W2127" s="1"/>
    </row>
    <row r="2128" spans="1:23" x14ac:dyDescent="0.25">
      <c r="A2128" s="1"/>
      <c r="L2128" s="1"/>
      <c r="M2128" s="1"/>
      <c r="W2128" s="1"/>
    </row>
    <row r="2129" spans="1:23" x14ac:dyDescent="0.25">
      <c r="A2129" s="1"/>
      <c r="L2129" s="1"/>
      <c r="M2129" s="1"/>
      <c r="W2129" s="1"/>
    </row>
    <row r="2130" spans="1:23" x14ac:dyDescent="0.25">
      <c r="A2130" s="1"/>
      <c r="L2130" s="1"/>
      <c r="M2130" s="1"/>
      <c r="W2130" s="1"/>
    </row>
    <row r="2131" spans="1:23" x14ac:dyDescent="0.25">
      <c r="A2131" s="1"/>
      <c r="L2131" s="1"/>
      <c r="M2131" s="1"/>
      <c r="W2131" s="1"/>
    </row>
    <row r="2132" spans="1:23" x14ac:dyDescent="0.25">
      <c r="A2132" s="1"/>
      <c r="L2132" s="1"/>
      <c r="M2132" s="1"/>
      <c r="W2132" s="1"/>
    </row>
    <row r="2133" spans="1:23" x14ac:dyDescent="0.25">
      <c r="A2133" s="1"/>
      <c r="L2133" s="1"/>
      <c r="M2133" s="1"/>
      <c r="W2133" s="1"/>
    </row>
    <row r="2134" spans="1:23" x14ac:dyDescent="0.25">
      <c r="A2134" s="1"/>
      <c r="L2134" s="1"/>
      <c r="M2134" s="1"/>
      <c r="W2134" s="1"/>
    </row>
    <row r="2135" spans="1:23" x14ac:dyDescent="0.25">
      <c r="A2135" s="1"/>
      <c r="L2135" s="1"/>
      <c r="M2135" s="1"/>
      <c r="W2135" s="1"/>
    </row>
    <row r="2136" spans="1:23" x14ac:dyDescent="0.25">
      <c r="A2136" s="1"/>
      <c r="L2136" s="1"/>
      <c r="M2136" s="1"/>
      <c r="W2136" s="1"/>
    </row>
    <row r="2137" spans="1:23" x14ac:dyDescent="0.25">
      <c r="A2137" s="1"/>
      <c r="L2137" s="1"/>
      <c r="M2137" s="1"/>
      <c r="W2137" s="1"/>
    </row>
    <row r="2138" spans="1:23" x14ac:dyDescent="0.25">
      <c r="A2138" s="1"/>
      <c r="L2138" s="1"/>
      <c r="M2138" s="1"/>
      <c r="W2138" s="1"/>
    </row>
    <row r="2139" spans="1:23" x14ac:dyDescent="0.25">
      <c r="A2139" s="1"/>
      <c r="L2139" s="1"/>
      <c r="M2139" s="1"/>
      <c r="W2139" s="1"/>
    </row>
    <row r="2140" spans="1:23" x14ac:dyDescent="0.25">
      <c r="A2140" s="1"/>
      <c r="L2140" s="1"/>
      <c r="M2140" s="1"/>
      <c r="W2140" s="1"/>
    </row>
    <row r="2141" spans="1:23" x14ac:dyDescent="0.25">
      <c r="A2141" s="1"/>
      <c r="L2141" s="1"/>
      <c r="M2141" s="1"/>
      <c r="W2141" s="1"/>
    </row>
    <row r="2142" spans="1:23" x14ac:dyDescent="0.25">
      <c r="A2142" s="1"/>
      <c r="L2142" s="1"/>
      <c r="M2142" s="1"/>
      <c r="W2142" s="1"/>
    </row>
    <row r="2143" spans="1:23" x14ac:dyDescent="0.25">
      <c r="A2143" s="1"/>
      <c r="L2143" s="1"/>
      <c r="M2143" s="1"/>
      <c r="W2143" s="1"/>
    </row>
    <row r="2144" spans="1:23" x14ac:dyDescent="0.25">
      <c r="A2144" s="1"/>
      <c r="L2144" s="1"/>
      <c r="M2144" s="1"/>
      <c r="W2144" s="1"/>
    </row>
    <row r="2145" spans="1:23" x14ac:dyDescent="0.25">
      <c r="A2145" s="1"/>
      <c r="L2145" s="1"/>
      <c r="M2145" s="1"/>
      <c r="W2145" s="1"/>
    </row>
    <row r="2146" spans="1:23" x14ac:dyDescent="0.25">
      <c r="A2146" s="1"/>
      <c r="L2146" s="1"/>
      <c r="M2146" s="1"/>
      <c r="W2146" s="1"/>
    </row>
    <row r="2147" spans="1:23" x14ac:dyDescent="0.25">
      <c r="A2147" s="1"/>
      <c r="L2147" s="1"/>
      <c r="M2147" s="1"/>
      <c r="W2147" s="1"/>
    </row>
    <row r="2148" spans="1:23" x14ac:dyDescent="0.25">
      <c r="A2148" s="1"/>
      <c r="L2148" s="1"/>
      <c r="M2148" s="1"/>
      <c r="W2148" s="1"/>
    </row>
    <row r="2149" spans="1:23" x14ac:dyDescent="0.25">
      <c r="A2149" s="1"/>
      <c r="L2149" s="1"/>
      <c r="M2149" s="1"/>
      <c r="W2149" s="1"/>
    </row>
    <row r="2150" spans="1:23" x14ac:dyDescent="0.25">
      <c r="A2150" s="1"/>
      <c r="L2150" s="1"/>
      <c r="M2150" s="1"/>
      <c r="W2150" s="1"/>
    </row>
    <row r="2151" spans="1:23" x14ac:dyDescent="0.25">
      <c r="A2151" s="1"/>
      <c r="L2151" s="1"/>
      <c r="M2151" s="1"/>
      <c r="W2151" s="1"/>
    </row>
    <row r="2152" spans="1:23" x14ac:dyDescent="0.25">
      <c r="A2152" s="1"/>
      <c r="L2152" s="1"/>
      <c r="M2152" s="1"/>
      <c r="W2152" s="1"/>
    </row>
    <row r="2153" spans="1:23" x14ac:dyDescent="0.25">
      <c r="A2153" s="1"/>
      <c r="L2153" s="1"/>
      <c r="M2153" s="1"/>
      <c r="W2153" s="1"/>
    </row>
    <row r="2154" spans="1:23" x14ac:dyDescent="0.25">
      <c r="A2154" s="1"/>
      <c r="L2154" s="1"/>
      <c r="M2154" s="1"/>
      <c r="W2154" s="1"/>
    </row>
    <row r="2155" spans="1:23" x14ac:dyDescent="0.25">
      <c r="A2155" s="1"/>
      <c r="L2155" s="1"/>
      <c r="M2155" s="1"/>
      <c r="W2155" s="1"/>
    </row>
    <row r="2156" spans="1:23" x14ac:dyDescent="0.25">
      <c r="A2156" s="1"/>
      <c r="L2156" s="1"/>
      <c r="M2156" s="1"/>
      <c r="W2156" s="1"/>
    </row>
    <row r="2157" spans="1:23" x14ac:dyDescent="0.25">
      <c r="A2157" s="1"/>
      <c r="L2157" s="1"/>
      <c r="M2157" s="1"/>
      <c r="W2157" s="1"/>
    </row>
    <row r="2158" spans="1:23" x14ac:dyDescent="0.25">
      <c r="A2158" s="1"/>
      <c r="L2158" s="1"/>
      <c r="M2158" s="1"/>
      <c r="W2158" s="1"/>
    </row>
    <row r="2159" spans="1:23" x14ac:dyDescent="0.25">
      <c r="A2159" s="1"/>
      <c r="L2159" s="1"/>
      <c r="M2159" s="1"/>
      <c r="W2159" s="1"/>
    </row>
    <row r="2160" spans="1:23" x14ac:dyDescent="0.25">
      <c r="A2160" s="1"/>
      <c r="L2160" s="1"/>
      <c r="M2160" s="1"/>
      <c r="W2160" s="1"/>
    </row>
    <row r="2161" spans="1:23" x14ac:dyDescent="0.25">
      <c r="A2161" s="1"/>
      <c r="L2161" s="1"/>
      <c r="M2161" s="1"/>
      <c r="W2161" s="1"/>
    </row>
    <row r="2162" spans="1:23" x14ac:dyDescent="0.25">
      <c r="A2162" s="1"/>
      <c r="L2162" s="1"/>
      <c r="M2162" s="1"/>
      <c r="W2162" s="1"/>
    </row>
    <row r="2163" spans="1:23" x14ac:dyDescent="0.25">
      <c r="A2163" s="1"/>
      <c r="L2163" s="1"/>
      <c r="M2163" s="1"/>
      <c r="W2163" s="1"/>
    </row>
    <row r="2164" spans="1:23" x14ac:dyDescent="0.25">
      <c r="A2164" s="1"/>
      <c r="L2164" s="1"/>
      <c r="M2164" s="1"/>
      <c r="W2164" s="1"/>
    </row>
    <row r="2165" spans="1:23" x14ac:dyDescent="0.25">
      <c r="A2165" s="1"/>
      <c r="L2165" s="1"/>
      <c r="M2165" s="1"/>
      <c r="W2165" s="1"/>
    </row>
    <row r="2166" spans="1:23" x14ac:dyDescent="0.25">
      <c r="A2166" s="1"/>
      <c r="L2166" s="1"/>
      <c r="M2166" s="1"/>
      <c r="W2166" s="1"/>
    </row>
    <row r="2167" spans="1:23" x14ac:dyDescent="0.25">
      <c r="A2167" s="1"/>
      <c r="L2167" s="1"/>
      <c r="M2167" s="1"/>
      <c r="W2167" s="1"/>
    </row>
    <row r="2168" spans="1:23" x14ac:dyDescent="0.25">
      <c r="A2168" s="1"/>
      <c r="L2168" s="1"/>
      <c r="M2168" s="1"/>
      <c r="W2168" s="1"/>
    </row>
    <row r="2169" spans="1:23" x14ac:dyDescent="0.25">
      <c r="A2169" s="1"/>
      <c r="L2169" s="1"/>
      <c r="M2169" s="1"/>
      <c r="W2169" s="1"/>
    </row>
    <row r="2170" spans="1:23" x14ac:dyDescent="0.25">
      <c r="A2170" s="1"/>
      <c r="L2170" s="1"/>
      <c r="M2170" s="1"/>
      <c r="W2170" s="1"/>
    </row>
    <row r="2171" spans="1:23" x14ac:dyDescent="0.25">
      <c r="A2171" s="1"/>
      <c r="L2171" s="1"/>
      <c r="M2171" s="1"/>
      <c r="W2171" s="1"/>
    </row>
    <row r="2172" spans="1:23" x14ac:dyDescent="0.25">
      <c r="A2172" s="1"/>
      <c r="L2172" s="1"/>
      <c r="M2172" s="1"/>
      <c r="W2172" s="1"/>
    </row>
    <row r="2173" spans="1:23" x14ac:dyDescent="0.25">
      <c r="A2173" s="1"/>
      <c r="L2173" s="1"/>
      <c r="M2173" s="1"/>
      <c r="W2173" s="1"/>
    </row>
    <row r="2174" spans="1:23" x14ac:dyDescent="0.25">
      <c r="A2174" s="1"/>
      <c r="L2174" s="1"/>
      <c r="M2174" s="1"/>
      <c r="W2174" s="1"/>
    </row>
    <row r="2175" spans="1:23" x14ac:dyDescent="0.25">
      <c r="A2175" s="1"/>
      <c r="L2175" s="1"/>
      <c r="M2175" s="1"/>
      <c r="W2175" s="1"/>
    </row>
    <row r="2176" spans="1:23" x14ac:dyDescent="0.25">
      <c r="A2176" s="1"/>
      <c r="L2176" s="1"/>
      <c r="M2176" s="1"/>
      <c r="W2176" s="1"/>
    </row>
    <row r="2177" spans="1:23" x14ac:dyDescent="0.25">
      <c r="A2177" s="1"/>
      <c r="L2177" s="1"/>
      <c r="M2177" s="1"/>
      <c r="W2177" s="1"/>
    </row>
    <row r="2178" spans="1:23" x14ac:dyDescent="0.25">
      <c r="A2178" s="1"/>
      <c r="L2178" s="1"/>
      <c r="M2178" s="1"/>
      <c r="W2178" s="1"/>
    </row>
    <row r="2179" spans="1:23" x14ac:dyDescent="0.25">
      <c r="A2179" s="1"/>
      <c r="L2179" s="1"/>
      <c r="M2179" s="1"/>
      <c r="W2179" s="1"/>
    </row>
    <row r="2180" spans="1:23" x14ac:dyDescent="0.25">
      <c r="A2180" s="1"/>
      <c r="L2180" s="1"/>
      <c r="M2180" s="1"/>
      <c r="W2180" s="1"/>
    </row>
    <row r="2181" spans="1:23" x14ac:dyDescent="0.25">
      <c r="A2181" s="1"/>
      <c r="L2181" s="1"/>
      <c r="M2181" s="1"/>
      <c r="W2181" s="1"/>
    </row>
    <row r="2182" spans="1:23" x14ac:dyDescent="0.25">
      <c r="A2182" s="1"/>
      <c r="L2182" s="1"/>
      <c r="M2182" s="1"/>
      <c r="W2182" s="1"/>
    </row>
    <row r="2183" spans="1:23" x14ac:dyDescent="0.25">
      <c r="A2183" s="1"/>
      <c r="L2183" s="1"/>
      <c r="M2183" s="1"/>
      <c r="W2183" s="1"/>
    </row>
    <row r="2184" spans="1:23" x14ac:dyDescent="0.25">
      <c r="A2184" s="1"/>
      <c r="L2184" s="1"/>
      <c r="M2184" s="1"/>
      <c r="W2184" s="1"/>
    </row>
    <row r="2185" spans="1:23" x14ac:dyDescent="0.25">
      <c r="A2185" s="1"/>
      <c r="L2185" s="1"/>
      <c r="M2185" s="1"/>
      <c r="W2185" s="1"/>
    </row>
    <row r="2186" spans="1:23" x14ac:dyDescent="0.25">
      <c r="A2186" s="1"/>
      <c r="L2186" s="1"/>
      <c r="M2186" s="1"/>
      <c r="W2186" s="1"/>
    </row>
    <row r="2187" spans="1:23" x14ac:dyDescent="0.25">
      <c r="A2187" s="1"/>
      <c r="L2187" s="1"/>
      <c r="M2187" s="1"/>
      <c r="W2187" s="1"/>
    </row>
    <row r="2188" spans="1:23" x14ac:dyDescent="0.25">
      <c r="A2188" s="1"/>
      <c r="L2188" s="1"/>
      <c r="M2188" s="1"/>
      <c r="W2188" s="1"/>
    </row>
    <row r="2189" spans="1:23" x14ac:dyDescent="0.25">
      <c r="A2189" s="1"/>
      <c r="L2189" s="1"/>
      <c r="M2189" s="1"/>
      <c r="W2189" s="1"/>
    </row>
    <row r="2190" spans="1:23" x14ac:dyDescent="0.25">
      <c r="A2190" s="1"/>
      <c r="L2190" s="1"/>
      <c r="M2190" s="1"/>
      <c r="W2190" s="1"/>
    </row>
    <row r="2191" spans="1:23" x14ac:dyDescent="0.25">
      <c r="A2191" s="1"/>
      <c r="L2191" s="1"/>
      <c r="M2191" s="1"/>
      <c r="W2191" s="1"/>
    </row>
    <row r="2192" spans="1:23" x14ac:dyDescent="0.25">
      <c r="A2192" s="1"/>
      <c r="L2192" s="1"/>
      <c r="M2192" s="1"/>
      <c r="W2192" s="1"/>
    </row>
    <row r="2193" spans="1:23" x14ac:dyDescent="0.25">
      <c r="A2193" s="1"/>
      <c r="L2193" s="1"/>
      <c r="M2193" s="1"/>
      <c r="W2193" s="1"/>
    </row>
    <row r="2194" spans="1:23" x14ac:dyDescent="0.25">
      <c r="A2194" s="1"/>
      <c r="L2194" s="1"/>
      <c r="M2194" s="1"/>
      <c r="W2194" s="1"/>
    </row>
    <row r="2195" spans="1:23" x14ac:dyDescent="0.25">
      <c r="A2195" s="1"/>
      <c r="L2195" s="1"/>
      <c r="M2195" s="1"/>
      <c r="W2195" s="1"/>
    </row>
    <row r="2196" spans="1:23" x14ac:dyDescent="0.25">
      <c r="A2196" s="1"/>
      <c r="L2196" s="1"/>
      <c r="M2196" s="1"/>
      <c r="W2196" s="1"/>
    </row>
    <row r="2197" spans="1:23" x14ac:dyDescent="0.25">
      <c r="A2197" s="1"/>
      <c r="L2197" s="1"/>
      <c r="M2197" s="1"/>
      <c r="W2197" s="1"/>
    </row>
    <row r="2198" spans="1:23" x14ac:dyDescent="0.25">
      <c r="A2198" s="1"/>
      <c r="L2198" s="1"/>
      <c r="M2198" s="1"/>
      <c r="W2198" s="1"/>
    </row>
    <row r="2199" spans="1:23" x14ac:dyDescent="0.25">
      <c r="A2199" s="1"/>
      <c r="L2199" s="1"/>
      <c r="M2199" s="1"/>
      <c r="W2199" s="1"/>
    </row>
    <row r="2200" spans="1:23" x14ac:dyDescent="0.25">
      <c r="A2200" s="1"/>
      <c r="L2200" s="1"/>
      <c r="M2200" s="1"/>
      <c r="W2200" s="1"/>
    </row>
    <row r="2201" spans="1:23" x14ac:dyDescent="0.25">
      <c r="A2201" s="1"/>
      <c r="L2201" s="1"/>
      <c r="M2201" s="1"/>
      <c r="W2201" s="1"/>
    </row>
    <row r="2202" spans="1:23" x14ac:dyDescent="0.25">
      <c r="A2202" s="1"/>
      <c r="L2202" s="1"/>
      <c r="M2202" s="1"/>
      <c r="W2202" s="1"/>
    </row>
    <row r="2203" spans="1:23" x14ac:dyDescent="0.25">
      <c r="A2203" s="1"/>
      <c r="L2203" s="1"/>
      <c r="M2203" s="1"/>
      <c r="W2203" s="1"/>
    </row>
    <row r="2204" spans="1:23" x14ac:dyDescent="0.25">
      <c r="A2204" s="1"/>
      <c r="L2204" s="1"/>
      <c r="M2204" s="1"/>
      <c r="W2204" s="1"/>
    </row>
    <row r="2205" spans="1:23" x14ac:dyDescent="0.25">
      <c r="A2205" s="1"/>
      <c r="L2205" s="1"/>
      <c r="M2205" s="1"/>
      <c r="W2205" s="1"/>
    </row>
    <row r="2206" spans="1:23" x14ac:dyDescent="0.25">
      <c r="A2206" s="1"/>
      <c r="L2206" s="1"/>
      <c r="M2206" s="1"/>
      <c r="W2206" s="1"/>
    </row>
    <row r="2207" spans="1:23" x14ac:dyDescent="0.25">
      <c r="A2207" s="1"/>
      <c r="L2207" s="1"/>
      <c r="M2207" s="1"/>
      <c r="W2207" s="1"/>
    </row>
    <row r="2208" spans="1:23" x14ac:dyDescent="0.25">
      <c r="A2208" s="1"/>
      <c r="L2208" s="1"/>
      <c r="M2208" s="1"/>
      <c r="W2208" s="1"/>
    </row>
    <row r="2209" spans="1:23" x14ac:dyDescent="0.25">
      <c r="A2209" s="1"/>
      <c r="L2209" s="1"/>
      <c r="M2209" s="1"/>
      <c r="W2209" s="1"/>
    </row>
    <row r="2210" spans="1:23" x14ac:dyDescent="0.25">
      <c r="A2210" s="1"/>
      <c r="L2210" s="1"/>
      <c r="M2210" s="1"/>
      <c r="W2210" s="1"/>
    </row>
    <row r="2211" spans="1:23" x14ac:dyDescent="0.25">
      <c r="A2211" s="1"/>
      <c r="L2211" s="1"/>
      <c r="M2211" s="1"/>
      <c r="W2211" s="1"/>
    </row>
    <row r="2212" spans="1:23" x14ac:dyDescent="0.25">
      <c r="A2212" s="1"/>
      <c r="L2212" s="1"/>
      <c r="M2212" s="1"/>
      <c r="W2212" s="1"/>
    </row>
    <row r="2213" spans="1:23" x14ac:dyDescent="0.25">
      <c r="A2213" s="1"/>
      <c r="L2213" s="1"/>
      <c r="M2213" s="1"/>
      <c r="W2213" s="1"/>
    </row>
    <row r="2214" spans="1:23" x14ac:dyDescent="0.25">
      <c r="A2214" s="1"/>
      <c r="L2214" s="1"/>
      <c r="M2214" s="1"/>
      <c r="W2214" s="1"/>
    </row>
    <row r="2215" spans="1:23" x14ac:dyDescent="0.25">
      <c r="A2215" s="1"/>
      <c r="L2215" s="1"/>
      <c r="M2215" s="1"/>
      <c r="W2215" s="1"/>
    </row>
    <row r="2216" spans="1:23" x14ac:dyDescent="0.25">
      <c r="A2216" s="1"/>
      <c r="L2216" s="1"/>
      <c r="M2216" s="1"/>
      <c r="W2216" s="1"/>
    </row>
    <row r="2217" spans="1:23" x14ac:dyDescent="0.25">
      <c r="A2217" s="1"/>
      <c r="L2217" s="1"/>
      <c r="M2217" s="1"/>
      <c r="W2217" s="1"/>
    </row>
    <row r="2218" spans="1:23" x14ac:dyDescent="0.25">
      <c r="A2218" s="1"/>
      <c r="L2218" s="1"/>
      <c r="M2218" s="1"/>
      <c r="W2218" s="1"/>
    </row>
    <row r="2219" spans="1:23" x14ac:dyDescent="0.25">
      <c r="A2219" s="1"/>
      <c r="L2219" s="1"/>
      <c r="M2219" s="1"/>
      <c r="W2219" s="1"/>
    </row>
    <row r="2220" spans="1:23" x14ac:dyDescent="0.25">
      <c r="A2220" s="1"/>
      <c r="L2220" s="1"/>
      <c r="M2220" s="1"/>
      <c r="W2220" s="1"/>
    </row>
    <row r="2221" spans="1:23" x14ac:dyDescent="0.25">
      <c r="A2221" s="1"/>
      <c r="L2221" s="1"/>
      <c r="M2221" s="1"/>
      <c r="W2221" s="1"/>
    </row>
    <row r="2222" spans="1:23" x14ac:dyDescent="0.25">
      <c r="A2222" s="1"/>
      <c r="L2222" s="1"/>
      <c r="M2222" s="1"/>
      <c r="W2222" s="1"/>
    </row>
    <row r="2223" spans="1:23" x14ac:dyDescent="0.25">
      <c r="A2223" s="1"/>
      <c r="L2223" s="1"/>
      <c r="M2223" s="1"/>
      <c r="W2223" s="1"/>
    </row>
    <row r="2224" spans="1:23" x14ac:dyDescent="0.25">
      <c r="A2224" s="1"/>
      <c r="L2224" s="1"/>
      <c r="M2224" s="1"/>
      <c r="W2224" s="1"/>
    </row>
    <row r="2225" spans="1:23" x14ac:dyDescent="0.25">
      <c r="A2225" s="1"/>
      <c r="L2225" s="1"/>
      <c r="M2225" s="1"/>
      <c r="W2225" s="1"/>
    </row>
    <row r="2226" spans="1:23" x14ac:dyDescent="0.25">
      <c r="A2226" s="1"/>
      <c r="L2226" s="1"/>
      <c r="M2226" s="1"/>
      <c r="W2226" s="1"/>
    </row>
    <row r="2227" spans="1:23" x14ac:dyDescent="0.25">
      <c r="A2227" s="1"/>
      <c r="L2227" s="1"/>
      <c r="M2227" s="1"/>
      <c r="W2227" s="1"/>
    </row>
    <row r="2228" spans="1:23" x14ac:dyDescent="0.25">
      <c r="A2228" s="1"/>
      <c r="L2228" s="1"/>
      <c r="M2228" s="1"/>
      <c r="W2228" s="1"/>
    </row>
    <row r="2229" spans="1:23" x14ac:dyDescent="0.25">
      <c r="A2229" s="1"/>
      <c r="L2229" s="1"/>
      <c r="M2229" s="1"/>
      <c r="W2229" s="1"/>
    </row>
    <row r="2230" spans="1:23" x14ac:dyDescent="0.25">
      <c r="A2230" s="1"/>
      <c r="L2230" s="1"/>
      <c r="M2230" s="1"/>
      <c r="W2230" s="1"/>
    </row>
    <row r="2231" spans="1:23" x14ac:dyDescent="0.25">
      <c r="A2231" s="1"/>
      <c r="L2231" s="1"/>
      <c r="M2231" s="1"/>
      <c r="W2231" s="1"/>
    </row>
    <row r="2232" spans="1:23" x14ac:dyDescent="0.25">
      <c r="A2232" s="1"/>
      <c r="L2232" s="1"/>
      <c r="M2232" s="1"/>
      <c r="W2232" s="1"/>
    </row>
    <row r="2233" spans="1:23" x14ac:dyDescent="0.25">
      <c r="A2233" s="1"/>
      <c r="L2233" s="1"/>
      <c r="M2233" s="1"/>
      <c r="W2233" s="1"/>
    </row>
    <row r="2234" spans="1:23" x14ac:dyDescent="0.25">
      <c r="A2234" s="1"/>
      <c r="L2234" s="1"/>
      <c r="M2234" s="1"/>
      <c r="W2234" s="1"/>
    </row>
    <row r="2235" spans="1:23" x14ac:dyDescent="0.25">
      <c r="A2235" s="1"/>
      <c r="L2235" s="1"/>
      <c r="M2235" s="1"/>
      <c r="W2235" s="1"/>
    </row>
    <row r="2236" spans="1:23" x14ac:dyDescent="0.25">
      <c r="A2236" s="1"/>
      <c r="L2236" s="1"/>
      <c r="M2236" s="1"/>
      <c r="W2236" s="1"/>
    </row>
    <row r="2237" spans="1:23" x14ac:dyDescent="0.25">
      <c r="A2237" s="1"/>
      <c r="L2237" s="1"/>
      <c r="M2237" s="1"/>
      <c r="W2237" s="1"/>
    </row>
    <row r="2238" spans="1:23" x14ac:dyDescent="0.25">
      <c r="A2238" s="1"/>
      <c r="L2238" s="1"/>
      <c r="M2238" s="1"/>
      <c r="W2238" s="1"/>
    </row>
    <row r="2239" spans="1:23" x14ac:dyDescent="0.25">
      <c r="A2239" s="1"/>
      <c r="L2239" s="1"/>
      <c r="M2239" s="1"/>
      <c r="W2239" s="1"/>
    </row>
    <row r="2240" spans="1:23" x14ac:dyDescent="0.25">
      <c r="A2240" s="1"/>
      <c r="L2240" s="1"/>
      <c r="M2240" s="1"/>
      <c r="W2240" s="1"/>
    </row>
    <row r="2241" spans="1:23" x14ac:dyDescent="0.25">
      <c r="A2241" s="1"/>
      <c r="L2241" s="1"/>
      <c r="M2241" s="1"/>
      <c r="W2241" s="1"/>
    </row>
    <row r="2242" spans="1:23" x14ac:dyDescent="0.25">
      <c r="A2242" s="1"/>
      <c r="L2242" s="1"/>
      <c r="M2242" s="1"/>
      <c r="W2242" s="1"/>
    </row>
    <row r="2243" spans="1:23" x14ac:dyDescent="0.25">
      <c r="A2243" s="1"/>
      <c r="L2243" s="1"/>
      <c r="M2243" s="1"/>
      <c r="W2243" s="1"/>
    </row>
    <row r="2244" spans="1:23" x14ac:dyDescent="0.25">
      <c r="A2244" s="1"/>
      <c r="L2244" s="1"/>
      <c r="M2244" s="1"/>
      <c r="W2244" s="1"/>
    </row>
    <row r="2245" spans="1:23" x14ac:dyDescent="0.25">
      <c r="A2245" s="1"/>
      <c r="L2245" s="1"/>
      <c r="M2245" s="1"/>
      <c r="W2245" s="1"/>
    </row>
    <row r="2246" spans="1:23" x14ac:dyDescent="0.25">
      <c r="A2246" s="1"/>
      <c r="L2246" s="1"/>
      <c r="M2246" s="1"/>
      <c r="W2246" s="1"/>
    </row>
    <row r="2247" spans="1:23" x14ac:dyDescent="0.25">
      <c r="A2247" s="1"/>
      <c r="L2247" s="1"/>
      <c r="M2247" s="1"/>
      <c r="W2247" s="1"/>
    </row>
    <row r="2248" spans="1:23" x14ac:dyDescent="0.25">
      <c r="A2248" s="1"/>
      <c r="L2248" s="1"/>
      <c r="M2248" s="1"/>
      <c r="W2248" s="1"/>
    </row>
    <row r="2249" spans="1:23" x14ac:dyDescent="0.25">
      <c r="A2249" s="1"/>
      <c r="L2249" s="1"/>
      <c r="M2249" s="1"/>
      <c r="W2249" s="1"/>
    </row>
    <row r="2250" spans="1:23" x14ac:dyDescent="0.25">
      <c r="A2250" s="1"/>
      <c r="L2250" s="1"/>
      <c r="M2250" s="1"/>
      <c r="W2250" s="1"/>
    </row>
    <row r="2251" spans="1:23" x14ac:dyDescent="0.25">
      <c r="A2251" s="1"/>
      <c r="L2251" s="1"/>
      <c r="M2251" s="1"/>
      <c r="W2251" s="1"/>
    </row>
    <row r="2252" spans="1:23" x14ac:dyDescent="0.25">
      <c r="A2252" s="1"/>
      <c r="L2252" s="1"/>
      <c r="M2252" s="1"/>
      <c r="W2252" s="1"/>
    </row>
    <row r="2253" spans="1:23" x14ac:dyDescent="0.25">
      <c r="A2253" s="1"/>
      <c r="L2253" s="1"/>
      <c r="M2253" s="1"/>
      <c r="W2253" s="1"/>
    </row>
    <row r="2254" spans="1:23" x14ac:dyDescent="0.25">
      <c r="A2254" s="1"/>
      <c r="L2254" s="1"/>
      <c r="M2254" s="1"/>
      <c r="W2254" s="1"/>
    </row>
    <row r="2255" spans="1:23" x14ac:dyDescent="0.25">
      <c r="A2255" s="1"/>
      <c r="L2255" s="1"/>
      <c r="M2255" s="1"/>
      <c r="W2255" s="1"/>
    </row>
    <row r="2256" spans="1:23" x14ac:dyDescent="0.25">
      <c r="A2256" s="1"/>
      <c r="L2256" s="1"/>
      <c r="M2256" s="1"/>
      <c r="W2256" s="1"/>
    </row>
    <row r="2257" spans="1:23" x14ac:dyDescent="0.25">
      <c r="A2257" s="1"/>
      <c r="L2257" s="1"/>
      <c r="M2257" s="1"/>
      <c r="W2257" s="1"/>
    </row>
    <row r="2258" spans="1:23" x14ac:dyDescent="0.25">
      <c r="A2258" s="1"/>
      <c r="L2258" s="1"/>
      <c r="M2258" s="1"/>
      <c r="W2258" s="1"/>
    </row>
    <row r="2259" spans="1:23" x14ac:dyDescent="0.25">
      <c r="A2259" s="1"/>
      <c r="L2259" s="1"/>
      <c r="M2259" s="1"/>
      <c r="W2259" s="1"/>
    </row>
    <row r="2260" spans="1:23" x14ac:dyDescent="0.25">
      <c r="A2260" s="1"/>
      <c r="L2260" s="1"/>
      <c r="M2260" s="1"/>
      <c r="W2260" s="1"/>
    </row>
    <row r="2261" spans="1:23" x14ac:dyDescent="0.25">
      <c r="A2261" s="1"/>
      <c r="L2261" s="1"/>
      <c r="M2261" s="1"/>
      <c r="W2261" s="1"/>
    </row>
    <row r="2262" spans="1:23" x14ac:dyDescent="0.25">
      <c r="A2262" s="1"/>
      <c r="L2262" s="1"/>
      <c r="M2262" s="1"/>
      <c r="W2262" s="1"/>
    </row>
    <row r="2263" spans="1:23" x14ac:dyDescent="0.25">
      <c r="A2263" s="1"/>
      <c r="L2263" s="1"/>
      <c r="M2263" s="1"/>
      <c r="W2263" s="1"/>
    </row>
    <row r="2264" spans="1:23" x14ac:dyDescent="0.25">
      <c r="A2264" s="1"/>
      <c r="L2264" s="1"/>
      <c r="M2264" s="1"/>
      <c r="W2264" s="1"/>
    </row>
    <row r="2265" spans="1:23" x14ac:dyDescent="0.25">
      <c r="A2265" s="1"/>
      <c r="L2265" s="1"/>
      <c r="M2265" s="1"/>
      <c r="W2265" s="1"/>
    </row>
    <row r="2266" spans="1:23" x14ac:dyDescent="0.25">
      <c r="A2266" s="1"/>
      <c r="L2266" s="1"/>
      <c r="M2266" s="1"/>
      <c r="W2266" s="1"/>
    </row>
    <row r="2267" spans="1:23" x14ac:dyDescent="0.25">
      <c r="A2267" s="1"/>
      <c r="L2267" s="1"/>
      <c r="M2267" s="1"/>
      <c r="W2267" s="1"/>
    </row>
    <row r="2268" spans="1:23" x14ac:dyDescent="0.25">
      <c r="A2268" s="1"/>
      <c r="L2268" s="1"/>
      <c r="M2268" s="1"/>
      <c r="W2268" s="1"/>
    </row>
    <row r="2269" spans="1:23" x14ac:dyDescent="0.25">
      <c r="A2269" s="1"/>
      <c r="L2269" s="1"/>
      <c r="M2269" s="1"/>
      <c r="W2269" s="1"/>
    </row>
    <row r="2270" spans="1:23" x14ac:dyDescent="0.25">
      <c r="A2270" s="1"/>
      <c r="L2270" s="1"/>
      <c r="M2270" s="1"/>
      <c r="W2270" s="1"/>
    </row>
    <row r="2271" spans="1:23" x14ac:dyDescent="0.25">
      <c r="A2271" s="1"/>
      <c r="L2271" s="1"/>
      <c r="M2271" s="1"/>
      <c r="W2271" s="1"/>
    </row>
    <row r="2272" spans="1:23" x14ac:dyDescent="0.25">
      <c r="A2272" s="1"/>
      <c r="L2272" s="1"/>
      <c r="M2272" s="1"/>
      <c r="W2272" s="1"/>
    </row>
    <row r="2273" spans="1:23" x14ac:dyDescent="0.25">
      <c r="A2273" s="1"/>
      <c r="L2273" s="1"/>
      <c r="M2273" s="1"/>
      <c r="W2273" s="1"/>
    </row>
    <row r="2274" spans="1:23" x14ac:dyDescent="0.25">
      <c r="A2274" s="1"/>
      <c r="L2274" s="1"/>
      <c r="M2274" s="1"/>
      <c r="W2274" s="1"/>
    </row>
    <row r="2275" spans="1:23" x14ac:dyDescent="0.25">
      <c r="A2275" s="1"/>
      <c r="L2275" s="1"/>
      <c r="M2275" s="1"/>
      <c r="W2275" s="1"/>
    </row>
    <row r="2276" spans="1:23" x14ac:dyDescent="0.25">
      <c r="A2276" s="1"/>
      <c r="L2276" s="1"/>
      <c r="M2276" s="1"/>
      <c r="W2276" s="1"/>
    </row>
    <row r="2277" spans="1:23" x14ac:dyDescent="0.25">
      <c r="A2277" s="1"/>
      <c r="L2277" s="1"/>
      <c r="M2277" s="1"/>
      <c r="W2277" s="1"/>
    </row>
    <row r="2278" spans="1:23" x14ac:dyDescent="0.25">
      <c r="A2278" s="1"/>
      <c r="L2278" s="1"/>
      <c r="M2278" s="1"/>
      <c r="W2278" s="1"/>
    </row>
    <row r="2279" spans="1:23" x14ac:dyDescent="0.25">
      <c r="A2279" s="1"/>
      <c r="L2279" s="1"/>
      <c r="M2279" s="1"/>
      <c r="W2279" s="1"/>
    </row>
    <row r="2280" spans="1:23" x14ac:dyDescent="0.25">
      <c r="A2280" s="1"/>
      <c r="L2280" s="1"/>
      <c r="M2280" s="1"/>
      <c r="W2280" s="1"/>
    </row>
    <row r="2281" spans="1:23" x14ac:dyDescent="0.25">
      <c r="A2281" s="1"/>
      <c r="L2281" s="1"/>
      <c r="M2281" s="1"/>
      <c r="W2281" s="1"/>
    </row>
    <row r="2282" spans="1:23" x14ac:dyDescent="0.25">
      <c r="A2282" s="1"/>
      <c r="L2282" s="1"/>
      <c r="M2282" s="1"/>
      <c r="W2282" s="1"/>
    </row>
    <row r="2283" spans="1:23" x14ac:dyDescent="0.25">
      <c r="A2283" s="1"/>
      <c r="L2283" s="1"/>
      <c r="M2283" s="1"/>
      <c r="W2283" s="1"/>
    </row>
    <row r="2284" spans="1:23" x14ac:dyDescent="0.25">
      <c r="A2284" s="1"/>
      <c r="L2284" s="1"/>
      <c r="M2284" s="1"/>
      <c r="W2284" s="1"/>
    </row>
    <row r="2285" spans="1:23" x14ac:dyDescent="0.25">
      <c r="A2285" s="1"/>
      <c r="L2285" s="1"/>
      <c r="M2285" s="1"/>
      <c r="W2285" s="1"/>
    </row>
    <row r="2286" spans="1:23" x14ac:dyDescent="0.25">
      <c r="A2286" s="1"/>
      <c r="L2286" s="1"/>
      <c r="M2286" s="1"/>
      <c r="W2286" s="1"/>
    </row>
    <row r="2287" spans="1:23" x14ac:dyDescent="0.25">
      <c r="A2287" s="1"/>
      <c r="L2287" s="1"/>
      <c r="M2287" s="1"/>
      <c r="W2287" s="1"/>
    </row>
    <row r="2288" spans="1:23" x14ac:dyDescent="0.25">
      <c r="A2288" s="1"/>
      <c r="L2288" s="1"/>
      <c r="M2288" s="1"/>
      <c r="W2288" s="1"/>
    </row>
    <row r="2289" spans="1:23" x14ac:dyDescent="0.25">
      <c r="A2289" s="1"/>
      <c r="L2289" s="1"/>
      <c r="M2289" s="1"/>
      <c r="W2289" s="1"/>
    </row>
    <row r="2290" spans="1:23" x14ac:dyDescent="0.25">
      <c r="A2290" s="1"/>
      <c r="L2290" s="1"/>
      <c r="M2290" s="1"/>
      <c r="W2290" s="1"/>
    </row>
    <row r="2291" spans="1:23" x14ac:dyDescent="0.25">
      <c r="A2291" s="1"/>
      <c r="L2291" s="1"/>
      <c r="M2291" s="1"/>
      <c r="W2291" s="1"/>
    </row>
    <row r="2292" spans="1:23" x14ac:dyDescent="0.25">
      <c r="A2292" s="1"/>
      <c r="L2292" s="1"/>
      <c r="M2292" s="1"/>
      <c r="W2292" s="1"/>
    </row>
    <row r="2293" spans="1:23" x14ac:dyDescent="0.25">
      <c r="A2293" s="1"/>
      <c r="L2293" s="1"/>
      <c r="M2293" s="1"/>
      <c r="W2293" s="1"/>
    </row>
    <row r="2294" spans="1:23" x14ac:dyDescent="0.25">
      <c r="A2294" s="1"/>
      <c r="L2294" s="1"/>
      <c r="M2294" s="1"/>
      <c r="W2294" s="1"/>
    </row>
    <row r="2295" spans="1:23" x14ac:dyDescent="0.25">
      <c r="A2295" s="1"/>
      <c r="L2295" s="1"/>
      <c r="M2295" s="1"/>
      <c r="W2295" s="1"/>
    </row>
    <row r="2296" spans="1:23" x14ac:dyDescent="0.25">
      <c r="A2296" s="1"/>
      <c r="L2296" s="1"/>
      <c r="M2296" s="1"/>
      <c r="W2296" s="1"/>
    </row>
    <row r="2297" spans="1:23" x14ac:dyDescent="0.25">
      <c r="A2297" s="1"/>
      <c r="L2297" s="1"/>
      <c r="M2297" s="1"/>
      <c r="W2297" s="1"/>
    </row>
    <row r="2298" spans="1:23" x14ac:dyDescent="0.25">
      <c r="A2298" s="1"/>
      <c r="L2298" s="1"/>
      <c r="M2298" s="1"/>
      <c r="W2298" s="1"/>
    </row>
    <row r="2299" spans="1:23" x14ac:dyDescent="0.25">
      <c r="A2299" s="1"/>
      <c r="L2299" s="1"/>
      <c r="M2299" s="1"/>
      <c r="W2299" s="1"/>
    </row>
    <row r="2300" spans="1:23" x14ac:dyDescent="0.25">
      <c r="A2300" s="1"/>
      <c r="L2300" s="1"/>
      <c r="M2300" s="1"/>
      <c r="W2300" s="1"/>
    </row>
    <row r="2301" spans="1:23" x14ac:dyDescent="0.25">
      <c r="A2301" s="1"/>
      <c r="L2301" s="1"/>
      <c r="M2301" s="1"/>
      <c r="W2301" s="1"/>
    </row>
    <row r="2302" spans="1:23" x14ac:dyDescent="0.25">
      <c r="A2302" s="1"/>
      <c r="L2302" s="1"/>
      <c r="M2302" s="1"/>
      <c r="W2302" s="1"/>
    </row>
    <row r="2303" spans="1:23" x14ac:dyDescent="0.25">
      <c r="A2303" s="1"/>
      <c r="L2303" s="1"/>
      <c r="M2303" s="1"/>
      <c r="W2303" s="1"/>
    </row>
    <row r="2304" spans="1:23" x14ac:dyDescent="0.25">
      <c r="A2304" s="1"/>
      <c r="L2304" s="1"/>
      <c r="M2304" s="1"/>
      <c r="W2304" s="1"/>
    </row>
    <row r="2305" spans="1:23" x14ac:dyDescent="0.25">
      <c r="A2305" s="1"/>
      <c r="L2305" s="1"/>
      <c r="M2305" s="1"/>
      <c r="W2305" s="1"/>
    </row>
    <row r="2306" spans="1:23" x14ac:dyDescent="0.25">
      <c r="A2306" s="1"/>
      <c r="L2306" s="1"/>
      <c r="M2306" s="1"/>
      <c r="W2306" s="1"/>
    </row>
    <row r="2307" spans="1:23" x14ac:dyDescent="0.25">
      <c r="A2307" s="1"/>
      <c r="L2307" s="1"/>
      <c r="M2307" s="1"/>
      <c r="W2307" s="1"/>
    </row>
    <row r="2308" spans="1:23" x14ac:dyDescent="0.25">
      <c r="A2308" s="1"/>
      <c r="L2308" s="1"/>
      <c r="M2308" s="1"/>
      <c r="W2308" s="1"/>
    </row>
    <row r="2309" spans="1:23" x14ac:dyDescent="0.25">
      <c r="A2309" s="1"/>
      <c r="L2309" s="1"/>
      <c r="M2309" s="1"/>
      <c r="W2309" s="1"/>
    </row>
    <row r="2310" spans="1:23" x14ac:dyDescent="0.25">
      <c r="A2310" s="1"/>
      <c r="L2310" s="1"/>
      <c r="M2310" s="1"/>
      <c r="W2310" s="1"/>
    </row>
    <row r="2311" spans="1:23" x14ac:dyDescent="0.25">
      <c r="A2311" s="1"/>
      <c r="L2311" s="1"/>
      <c r="M2311" s="1"/>
      <c r="W2311" s="1"/>
    </row>
    <row r="2312" spans="1:23" x14ac:dyDescent="0.25">
      <c r="A2312" s="1"/>
      <c r="L2312" s="1"/>
      <c r="M2312" s="1"/>
      <c r="W2312" s="1"/>
    </row>
    <row r="2313" spans="1:23" x14ac:dyDescent="0.25">
      <c r="A2313" s="1"/>
      <c r="L2313" s="1"/>
      <c r="M2313" s="1"/>
      <c r="W2313" s="1"/>
    </row>
    <row r="2314" spans="1:23" x14ac:dyDescent="0.25">
      <c r="A2314" s="1"/>
      <c r="L2314" s="1"/>
      <c r="M2314" s="1"/>
      <c r="W2314" s="1"/>
    </row>
    <row r="2315" spans="1:23" x14ac:dyDescent="0.25">
      <c r="A2315" s="1"/>
      <c r="L2315" s="1"/>
      <c r="M2315" s="1"/>
      <c r="W2315" s="1"/>
    </row>
    <row r="2316" spans="1:23" x14ac:dyDescent="0.25">
      <c r="A2316" s="1"/>
      <c r="L2316" s="1"/>
      <c r="M2316" s="1"/>
      <c r="W2316" s="1"/>
    </row>
    <row r="2317" spans="1:23" x14ac:dyDescent="0.25">
      <c r="A2317" s="1"/>
      <c r="L2317" s="1"/>
      <c r="M2317" s="1"/>
      <c r="W2317" s="1"/>
    </row>
    <row r="2318" spans="1:23" x14ac:dyDescent="0.25">
      <c r="A2318" s="1"/>
      <c r="L2318" s="1"/>
      <c r="M2318" s="1"/>
      <c r="W2318" s="1"/>
    </row>
    <row r="2319" spans="1:23" x14ac:dyDescent="0.25">
      <c r="A2319" s="1"/>
      <c r="L2319" s="1"/>
      <c r="M2319" s="1"/>
      <c r="W2319" s="1"/>
    </row>
    <row r="2320" spans="1:23" x14ac:dyDescent="0.25">
      <c r="A2320" s="1"/>
      <c r="L2320" s="1"/>
      <c r="M2320" s="1"/>
      <c r="W2320" s="1"/>
    </row>
    <row r="2321" spans="1:23" x14ac:dyDescent="0.25">
      <c r="A2321" s="1"/>
      <c r="L2321" s="1"/>
      <c r="M2321" s="1"/>
      <c r="W2321" s="1"/>
    </row>
    <row r="2322" spans="1:23" x14ac:dyDescent="0.25">
      <c r="A2322" s="1"/>
      <c r="L2322" s="1"/>
      <c r="M2322" s="1"/>
      <c r="W2322" s="1"/>
    </row>
    <row r="2323" spans="1:23" x14ac:dyDescent="0.25">
      <c r="A2323" s="1"/>
      <c r="L2323" s="1"/>
      <c r="M2323" s="1"/>
      <c r="W2323" s="1"/>
    </row>
    <row r="2324" spans="1:23" x14ac:dyDescent="0.25">
      <c r="A2324" s="1"/>
      <c r="L2324" s="1"/>
      <c r="M2324" s="1"/>
      <c r="W2324" s="1"/>
    </row>
    <row r="2325" spans="1:23" x14ac:dyDescent="0.25">
      <c r="A2325" s="1"/>
      <c r="L2325" s="1"/>
      <c r="M2325" s="1"/>
      <c r="W2325" s="1"/>
    </row>
    <row r="2326" spans="1:23" x14ac:dyDescent="0.25">
      <c r="A2326" s="1"/>
      <c r="L2326" s="1"/>
      <c r="M2326" s="1"/>
      <c r="W2326" s="1"/>
    </row>
    <row r="2327" spans="1:23" x14ac:dyDescent="0.25">
      <c r="A2327" s="1"/>
      <c r="L2327" s="1"/>
      <c r="M2327" s="1"/>
      <c r="W2327" s="1"/>
    </row>
    <row r="2328" spans="1:23" x14ac:dyDescent="0.25">
      <c r="A2328" s="1"/>
      <c r="L2328" s="1"/>
      <c r="M2328" s="1"/>
      <c r="W2328" s="1"/>
    </row>
    <row r="2329" spans="1:23" x14ac:dyDescent="0.25">
      <c r="A2329" s="1"/>
      <c r="L2329" s="1"/>
      <c r="M2329" s="1"/>
      <c r="W2329" s="1"/>
    </row>
    <row r="2330" spans="1:23" x14ac:dyDescent="0.25">
      <c r="A2330" s="1"/>
      <c r="L2330" s="1"/>
      <c r="M2330" s="1"/>
      <c r="W2330" s="1"/>
    </row>
    <row r="2331" spans="1:23" x14ac:dyDescent="0.25">
      <c r="A2331" s="1"/>
      <c r="L2331" s="1"/>
      <c r="M2331" s="1"/>
      <c r="W2331" s="1"/>
    </row>
    <row r="2332" spans="1:23" x14ac:dyDescent="0.25">
      <c r="A2332" s="1"/>
      <c r="L2332" s="1"/>
      <c r="M2332" s="1"/>
      <c r="W2332" s="1"/>
    </row>
    <row r="2333" spans="1:23" x14ac:dyDescent="0.25">
      <c r="A2333" s="1"/>
      <c r="L2333" s="1"/>
      <c r="M2333" s="1"/>
      <c r="W2333" s="1"/>
    </row>
    <row r="2334" spans="1:23" x14ac:dyDescent="0.25">
      <c r="A2334" s="1"/>
      <c r="L2334" s="1"/>
      <c r="M2334" s="1"/>
      <c r="W2334" s="1"/>
    </row>
    <row r="2335" spans="1:23" x14ac:dyDescent="0.25">
      <c r="A2335" s="1"/>
      <c r="L2335" s="1"/>
      <c r="M2335" s="1"/>
      <c r="W2335" s="1"/>
    </row>
    <row r="2336" spans="1:23" x14ac:dyDescent="0.25">
      <c r="A2336" s="1"/>
      <c r="L2336" s="1"/>
      <c r="M2336" s="1"/>
      <c r="W2336" s="1"/>
    </row>
    <row r="2337" spans="1:23" x14ac:dyDescent="0.25">
      <c r="A2337" s="1"/>
      <c r="L2337" s="1"/>
      <c r="M2337" s="1"/>
      <c r="W2337" s="1"/>
    </row>
    <row r="2338" spans="1:23" x14ac:dyDescent="0.25">
      <c r="A2338" s="1"/>
      <c r="L2338" s="1"/>
      <c r="M2338" s="1"/>
      <c r="W2338" s="1"/>
    </row>
    <row r="2339" spans="1:23" x14ac:dyDescent="0.25">
      <c r="A2339" s="1"/>
      <c r="L2339" s="1"/>
      <c r="M2339" s="1"/>
      <c r="W2339" s="1"/>
    </row>
    <row r="2340" spans="1:23" x14ac:dyDescent="0.25">
      <c r="A2340" s="1"/>
      <c r="L2340" s="1"/>
      <c r="M2340" s="1"/>
      <c r="W2340" s="1"/>
    </row>
    <row r="2341" spans="1:23" x14ac:dyDescent="0.25">
      <c r="A2341" s="1"/>
      <c r="L2341" s="1"/>
      <c r="M2341" s="1"/>
      <c r="W2341" s="1"/>
    </row>
    <row r="2342" spans="1:23" x14ac:dyDescent="0.25">
      <c r="A2342" s="1"/>
      <c r="L2342" s="1"/>
      <c r="M2342" s="1"/>
      <c r="W2342" s="1"/>
    </row>
    <row r="2343" spans="1:23" x14ac:dyDescent="0.25">
      <c r="A2343" s="1"/>
      <c r="L2343" s="1"/>
      <c r="M2343" s="1"/>
      <c r="W2343" s="1"/>
    </row>
    <row r="2344" spans="1:23" x14ac:dyDescent="0.25">
      <c r="A2344" s="1"/>
      <c r="L2344" s="1"/>
      <c r="M2344" s="1"/>
      <c r="W2344" s="1"/>
    </row>
    <row r="2345" spans="1:23" x14ac:dyDescent="0.25">
      <c r="A2345" s="1"/>
      <c r="L2345" s="1"/>
      <c r="M2345" s="1"/>
      <c r="W2345" s="1"/>
    </row>
    <row r="2346" spans="1:23" x14ac:dyDescent="0.25">
      <c r="A2346" s="1"/>
      <c r="L2346" s="1"/>
      <c r="M2346" s="1"/>
      <c r="W2346" s="1"/>
    </row>
    <row r="2347" spans="1:23" x14ac:dyDescent="0.25">
      <c r="A2347" s="1"/>
      <c r="L2347" s="1"/>
      <c r="M2347" s="1"/>
      <c r="W2347" s="1"/>
    </row>
    <row r="2348" spans="1:23" x14ac:dyDescent="0.25">
      <c r="A2348" s="1"/>
      <c r="L2348" s="1"/>
      <c r="M2348" s="1"/>
      <c r="W2348" s="1"/>
    </row>
    <row r="2349" spans="1:23" x14ac:dyDescent="0.25">
      <c r="A2349" s="1"/>
      <c r="L2349" s="1"/>
      <c r="M2349" s="1"/>
      <c r="W2349" s="1"/>
    </row>
    <row r="2350" spans="1:23" x14ac:dyDescent="0.25">
      <c r="A2350" s="1"/>
      <c r="L2350" s="1"/>
      <c r="M2350" s="1"/>
      <c r="W2350" s="1"/>
    </row>
    <row r="2351" spans="1:23" x14ac:dyDescent="0.25">
      <c r="A2351" s="1"/>
      <c r="L2351" s="1"/>
      <c r="M2351" s="1"/>
      <c r="W2351" s="1"/>
    </row>
    <row r="2352" spans="1:23" x14ac:dyDescent="0.25">
      <c r="A2352" s="1"/>
      <c r="L2352" s="1"/>
      <c r="M2352" s="1"/>
      <c r="W2352" s="1"/>
    </row>
    <row r="2353" spans="1:23" x14ac:dyDescent="0.25">
      <c r="A2353" s="1"/>
      <c r="L2353" s="1"/>
      <c r="M2353" s="1"/>
      <c r="W2353" s="1"/>
    </row>
    <row r="2354" spans="1:23" x14ac:dyDescent="0.25">
      <c r="A2354" s="1"/>
      <c r="L2354" s="1"/>
      <c r="M2354" s="1"/>
      <c r="W2354" s="1"/>
    </row>
    <row r="2355" spans="1:23" x14ac:dyDescent="0.25">
      <c r="A2355" s="1"/>
      <c r="L2355" s="1"/>
      <c r="M2355" s="1"/>
      <c r="W2355" s="1"/>
    </row>
    <row r="2356" spans="1:23" x14ac:dyDescent="0.25">
      <c r="A2356" s="1"/>
      <c r="L2356" s="1"/>
      <c r="M2356" s="1"/>
      <c r="W2356" s="1"/>
    </row>
    <row r="2357" spans="1:23" x14ac:dyDescent="0.25">
      <c r="A2357" s="1"/>
      <c r="L2357" s="1"/>
      <c r="M2357" s="1"/>
      <c r="W2357" s="1"/>
    </row>
    <row r="2358" spans="1:23" x14ac:dyDescent="0.25">
      <c r="A2358" s="1"/>
      <c r="L2358" s="1"/>
      <c r="M2358" s="1"/>
      <c r="W2358" s="1"/>
    </row>
    <row r="2359" spans="1:23" x14ac:dyDescent="0.25">
      <c r="A2359" s="1"/>
      <c r="L2359" s="1"/>
      <c r="M2359" s="1"/>
      <c r="W2359" s="1"/>
    </row>
    <row r="2360" spans="1:23" x14ac:dyDescent="0.25">
      <c r="A2360" s="1"/>
      <c r="L2360" s="1"/>
      <c r="M2360" s="1"/>
      <c r="W2360" s="1"/>
    </row>
    <row r="2361" spans="1:23" x14ac:dyDescent="0.25">
      <c r="A2361" s="1"/>
      <c r="L2361" s="1"/>
      <c r="M2361" s="1"/>
      <c r="W2361" s="1"/>
    </row>
    <row r="2362" spans="1:23" x14ac:dyDescent="0.25">
      <c r="A2362" s="1"/>
      <c r="L2362" s="1"/>
      <c r="M2362" s="1"/>
      <c r="W2362" s="1"/>
    </row>
    <row r="2363" spans="1:23" x14ac:dyDescent="0.25">
      <c r="A2363" s="1"/>
      <c r="L2363" s="1"/>
      <c r="M2363" s="1"/>
      <c r="W2363" s="1"/>
    </row>
    <row r="2364" spans="1:23" x14ac:dyDescent="0.25">
      <c r="A2364" s="1"/>
      <c r="L2364" s="1"/>
      <c r="M2364" s="1"/>
      <c r="W2364" s="1"/>
    </row>
    <row r="2365" spans="1:23" x14ac:dyDescent="0.25">
      <c r="A2365" s="1"/>
      <c r="L2365" s="1"/>
      <c r="M2365" s="1"/>
      <c r="W2365" s="1"/>
    </row>
    <row r="2366" spans="1:23" x14ac:dyDescent="0.25">
      <c r="A2366" s="1"/>
      <c r="L2366" s="1"/>
      <c r="M2366" s="1"/>
      <c r="W2366" s="1"/>
    </row>
    <row r="2367" spans="1:23" x14ac:dyDescent="0.25">
      <c r="A2367" s="1"/>
      <c r="L2367" s="1"/>
      <c r="M2367" s="1"/>
      <c r="W2367" s="1"/>
    </row>
    <row r="2368" spans="1:23" x14ac:dyDescent="0.25">
      <c r="A2368" s="1"/>
      <c r="L2368" s="1"/>
      <c r="M2368" s="1"/>
      <c r="W2368" s="1"/>
    </row>
    <row r="2369" spans="1:23" x14ac:dyDescent="0.25">
      <c r="A2369" s="1"/>
      <c r="L2369" s="1"/>
      <c r="M2369" s="1"/>
      <c r="W2369" s="1"/>
    </row>
    <row r="2370" spans="1:23" x14ac:dyDescent="0.25">
      <c r="A2370" s="1"/>
      <c r="L2370" s="1"/>
      <c r="M2370" s="1"/>
      <c r="W2370" s="1"/>
    </row>
    <row r="2371" spans="1:23" x14ac:dyDescent="0.25">
      <c r="A2371" s="1"/>
      <c r="L2371" s="1"/>
      <c r="M2371" s="1"/>
      <c r="W2371" s="1"/>
    </row>
    <row r="2372" spans="1:23" x14ac:dyDescent="0.25">
      <c r="A2372" s="1"/>
      <c r="L2372" s="1"/>
      <c r="M2372" s="1"/>
      <c r="W2372" s="1"/>
    </row>
    <row r="2373" spans="1:23" x14ac:dyDescent="0.25">
      <c r="A2373" s="1"/>
      <c r="L2373" s="1"/>
      <c r="M2373" s="1"/>
      <c r="W2373" s="1"/>
    </row>
    <row r="2374" spans="1:23" x14ac:dyDescent="0.25">
      <c r="A2374" s="1"/>
      <c r="L2374" s="1"/>
      <c r="M2374" s="1"/>
      <c r="W2374" s="1"/>
    </row>
    <row r="2375" spans="1:23" x14ac:dyDescent="0.25">
      <c r="A2375" s="1"/>
      <c r="L2375" s="1"/>
      <c r="M2375" s="1"/>
      <c r="W2375" s="1"/>
    </row>
    <row r="2376" spans="1:23" x14ac:dyDescent="0.25">
      <c r="A2376" s="1"/>
      <c r="L2376" s="1"/>
      <c r="M2376" s="1"/>
      <c r="W2376" s="1"/>
    </row>
    <row r="2377" spans="1:23" x14ac:dyDescent="0.25">
      <c r="A2377" s="1"/>
      <c r="L2377" s="1"/>
      <c r="M2377" s="1"/>
      <c r="W2377" s="1"/>
    </row>
    <row r="2378" spans="1:23" x14ac:dyDescent="0.25">
      <c r="A2378" s="1"/>
      <c r="L2378" s="1"/>
      <c r="M2378" s="1"/>
      <c r="W2378" s="1"/>
    </row>
    <row r="2379" spans="1:23" x14ac:dyDescent="0.25">
      <c r="A2379" s="1"/>
      <c r="L2379" s="1"/>
      <c r="M2379" s="1"/>
      <c r="W2379" s="1"/>
    </row>
    <row r="2380" spans="1:23" x14ac:dyDescent="0.25">
      <c r="A2380" s="1"/>
      <c r="L2380" s="1"/>
      <c r="M2380" s="1"/>
      <c r="W2380" s="1"/>
    </row>
    <row r="2381" spans="1:23" x14ac:dyDescent="0.25">
      <c r="A2381" s="1"/>
      <c r="L2381" s="1"/>
      <c r="M2381" s="1"/>
      <c r="W2381" s="1"/>
    </row>
    <row r="2382" spans="1:23" x14ac:dyDescent="0.25">
      <c r="A2382" s="1"/>
      <c r="L2382" s="1"/>
      <c r="M2382" s="1"/>
      <c r="W2382" s="1"/>
    </row>
    <row r="2383" spans="1:23" x14ac:dyDescent="0.25">
      <c r="A2383" s="1"/>
      <c r="L2383" s="1"/>
      <c r="M2383" s="1"/>
      <c r="W2383" s="1"/>
    </row>
    <row r="2384" spans="1:23" x14ac:dyDescent="0.25">
      <c r="A2384" s="1"/>
      <c r="L2384" s="1"/>
      <c r="M2384" s="1"/>
      <c r="W2384" s="1"/>
    </row>
    <row r="2385" spans="1:23" x14ac:dyDescent="0.25">
      <c r="A2385" s="1"/>
      <c r="L2385" s="1"/>
      <c r="M2385" s="1"/>
      <c r="W2385" s="1"/>
    </row>
    <row r="2386" spans="1:23" x14ac:dyDescent="0.25">
      <c r="A2386" s="1"/>
      <c r="L2386" s="1"/>
      <c r="M2386" s="1"/>
      <c r="W2386" s="1"/>
    </row>
    <row r="2387" spans="1:23" x14ac:dyDescent="0.25">
      <c r="A2387" s="1"/>
      <c r="L2387" s="1"/>
      <c r="M2387" s="1"/>
      <c r="W2387" s="1"/>
    </row>
    <row r="2388" spans="1:23" x14ac:dyDescent="0.25">
      <c r="A2388" s="1"/>
      <c r="L2388" s="1"/>
      <c r="M2388" s="1"/>
      <c r="W2388" s="1"/>
    </row>
    <row r="2389" spans="1:23" x14ac:dyDescent="0.25">
      <c r="A2389" s="1"/>
      <c r="L2389" s="1"/>
      <c r="M2389" s="1"/>
      <c r="W2389" s="1"/>
    </row>
    <row r="2390" spans="1:23" x14ac:dyDescent="0.25">
      <c r="A2390" s="1"/>
      <c r="L2390" s="1"/>
      <c r="M2390" s="1"/>
      <c r="W2390" s="1"/>
    </row>
    <row r="2391" spans="1:23" x14ac:dyDescent="0.25">
      <c r="A2391" s="1"/>
      <c r="L2391" s="1"/>
      <c r="M2391" s="1"/>
      <c r="W2391" s="1"/>
    </row>
    <row r="2392" spans="1:23" x14ac:dyDescent="0.25">
      <c r="A2392" s="1"/>
      <c r="L2392" s="1"/>
      <c r="M2392" s="1"/>
      <c r="W2392" s="1"/>
    </row>
    <row r="2393" spans="1:23" x14ac:dyDescent="0.25">
      <c r="A2393" s="1"/>
      <c r="L2393" s="1"/>
      <c r="M2393" s="1"/>
      <c r="W2393" s="1"/>
    </row>
    <row r="2394" spans="1:23" x14ac:dyDescent="0.25">
      <c r="A2394" s="1"/>
      <c r="L2394" s="1"/>
      <c r="M2394" s="1"/>
      <c r="W2394" s="1"/>
    </row>
    <row r="2395" spans="1:23" x14ac:dyDescent="0.25">
      <c r="A2395" s="1"/>
      <c r="L2395" s="1"/>
      <c r="M2395" s="1"/>
      <c r="W2395" s="1"/>
    </row>
    <row r="2396" spans="1:23" x14ac:dyDescent="0.25">
      <c r="A2396" s="1"/>
      <c r="L2396" s="1"/>
      <c r="M2396" s="1"/>
      <c r="W2396" s="1"/>
    </row>
    <row r="2397" spans="1:23" x14ac:dyDescent="0.25">
      <c r="A2397" s="1"/>
      <c r="L2397" s="1"/>
      <c r="M2397" s="1"/>
      <c r="W2397" s="1"/>
    </row>
    <row r="2398" spans="1:23" x14ac:dyDescent="0.25">
      <c r="A2398" s="1"/>
      <c r="L2398" s="1"/>
      <c r="M2398" s="1"/>
      <c r="W2398" s="1"/>
    </row>
    <row r="2399" spans="1:23" x14ac:dyDescent="0.25">
      <c r="A2399" s="1"/>
      <c r="L2399" s="1"/>
      <c r="M2399" s="1"/>
      <c r="W2399" s="1"/>
    </row>
    <row r="2400" spans="1:23" x14ac:dyDescent="0.25">
      <c r="A2400" s="1"/>
      <c r="L2400" s="1"/>
      <c r="M2400" s="1"/>
      <c r="W2400" s="1"/>
    </row>
    <row r="2401" spans="1:23" x14ac:dyDescent="0.25">
      <c r="A2401" s="1"/>
      <c r="L2401" s="1"/>
      <c r="M2401" s="1"/>
      <c r="W2401" s="1"/>
    </row>
    <row r="2402" spans="1:23" x14ac:dyDescent="0.25">
      <c r="A2402" s="1"/>
      <c r="L2402" s="1"/>
      <c r="M2402" s="1"/>
      <c r="W2402" s="1"/>
    </row>
    <row r="2403" spans="1:23" x14ac:dyDescent="0.25">
      <c r="A2403" s="1"/>
      <c r="L2403" s="1"/>
      <c r="M2403" s="1"/>
      <c r="W2403" s="1"/>
    </row>
    <row r="2404" spans="1:23" x14ac:dyDescent="0.25">
      <c r="A2404" s="1"/>
      <c r="L2404" s="1"/>
      <c r="M2404" s="1"/>
      <c r="W2404" s="1"/>
    </row>
    <row r="2405" spans="1:23" x14ac:dyDescent="0.25">
      <c r="A2405" s="1"/>
      <c r="L2405" s="1"/>
      <c r="M2405" s="1"/>
      <c r="W2405" s="1"/>
    </row>
    <row r="2406" spans="1:23" x14ac:dyDescent="0.25">
      <c r="A2406" s="1"/>
      <c r="L2406" s="1"/>
      <c r="M2406" s="1"/>
      <c r="W2406" s="1"/>
    </row>
    <row r="2407" spans="1:23" x14ac:dyDescent="0.25">
      <c r="A2407" s="1"/>
      <c r="L2407" s="1"/>
      <c r="M2407" s="1"/>
      <c r="W2407" s="1"/>
    </row>
    <row r="2408" spans="1:23" x14ac:dyDescent="0.25">
      <c r="A2408" s="1"/>
      <c r="L2408" s="1"/>
      <c r="M2408" s="1"/>
      <c r="W2408" s="1"/>
    </row>
    <row r="2409" spans="1:23" x14ac:dyDescent="0.25">
      <c r="A2409" s="1"/>
      <c r="L2409" s="1"/>
      <c r="M2409" s="1"/>
      <c r="W2409" s="1"/>
    </row>
    <row r="2410" spans="1:23" x14ac:dyDescent="0.25">
      <c r="A2410" s="1"/>
      <c r="L2410" s="1"/>
      <c r="M2410" s="1"/>
      <c r="W2410" s="1"/>
    </row>
    <row r="2411" spans="1:23" x14ac:dyDescent="0.25">
      <c r="A2411" s="1"/>
      <c r="L2411" s="1"/>
      <c r="M2411" s="1"/>
      <c r="W2411" s="1"/>
    </row>
    <row r="2412" spans="1:23" x14ac:dyDescent="0.25">
      <c r="A2412" s="1"/>
      <c r="L2412" s="1"/>
      <c r="M2412" s="1"/>
      <c r="W2412" s="1"/>
    </row>
    <row r="2413" spans="1:23" x14ac:dyDescent="0.25">
      <c r="A2413" s="1"/>
      <c r="L2413" s="1"/>
      <c r="M2413" s="1"/>
      <c r="W2413" s="1"/>
    </row>
    <row r="2416" spans="1:23" x14ac:dyDescent="0.25">
      <c r="A2416" t="s">
        <v>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4333-2F25-429B-9F39-F2265F2A9404}">
  <dimension ref="A1:AA2683"/>
  <sheetViews>
    <sheetView tabSelected="1" topLeftCell="G576" zoomScaleNormal="100" workbookViewId="0">
      <selection activeCell="G613" sqref="A613:XFD613"/>
    </sheetView>
  </sheetViews>
  <sheetFormatPr defaultRowHeight="15" x14ac:dyDescent="0.25"/>
  <cols>
    <col min="1" max="1" width="15.5703125" bestFit="1" customWidth="1"/>
    <col min="2" max="2" width="16.85546875" bestFit="1" customWidth="1"/>
    <col min="3" max="5" width="24.7109375" customWidth="1"/>
    <col min="6" max="6" width="12.140625" bestFit="1" customWidth="1"/>
    <col min="7" max="7" width="7.28515625" bestFit="1" customWidth="1"/>
    <col min="8" max="8" width="14.28515625" bestFit="1" customWidth="1"/>
    <col min="9" max="9" width="12" bestFit="1" customWidth="1"/>
    <col min="10" max="10" width="15.7109375" bestFit="1" customWidth="1"/>
    <col min="11" max="11" width="9" customWidth="1"/>
    <col min="12" max="12" width="21.140625" customWidth="1"/>
    <col min="13" max="13" width="10.28515625" bestFit="1" customWidth="1"/>
    <col min="14" max="14" width="12.42578125" bestFit="1" customWidth="1"/>
    <col min="16" max="16" width="21.5703125" bestFit="1" customWidth="1"/>
    <col min="17" max="17" width="23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7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18</v>
      </c>
      <c r="N1" t="s">
        <v>20</v>
      </c>
    </row>
    <row r="2" spans="1:27" s="2" customFormat="1" x14ac:dyDescent="0.25">
      <c r="A2" s="2" t="s">
        <v>460</v>
      </c>
      <c r="B2" s="2" t="str">
        <f>CONCATENATE(A2,77)</f>
        <v>2E62VN2GK8377</v>
      </c>
      <c r="C2" s="2" t="s">
        <v>768</v>
      </c>
      <c r="D2" s="2" t="s">
        <v>770</v>
      </c>
      <c r="E2" s="2" t="str">
        <f>CONCATENATE(D2," ",C2)</f>
        <v>KAREN MALUCHNIK</v>
      </c>
      <c r="F2" s="2" t="s">
        <v>42</v>
      </c>
      <c r="G2" s="2" t="s">
        <v>29</v>
      </c>
      <c r="H2" s="3">
        <v>46023</v>
      </c>
      <c r="I2" s="3">
        <v>46023</v>
      </c>
      <c r="J2" s="2">
        <v>17143996</v>
      </c>
      <c r="K2" s="2" t="s">
        <v>32</v>
      </c>
      <c r="L2" s="2" t="s">
        <v>463</v>
      </c>
      <c r="M2" s="2" t="s">
        <v>34</v>
      </c>
      <c r="N2" s="2">
        <v>829</v>
      </c>
      <c r="O2" s="2">
        <v>694</v>
      </c>
      <c r="P2" s="2" t="s">
        <v>753</v>
      </c>
      <c r="Q2" s="2" t="s">
        <v>756</v>
      </c>
    </row>
    <row r="3" spans="1:27" s="4" customFormat="1" x14ac:dyDescent="0.25">
      <c r="A3" s="2" t="s">
        <v>464</v>
      </c>
      <c r="B3" s="2" t="str">
        <f>CONCATENATE(A3,77)</f>
        <v>7U62FR8HF1077</v>
      </c>
      <c r="C3" s="2" t="s">
        <v>768</v>
      </c>
      <c r="D3" s="2" t="s">
        <v>771</v>
      </c>
      <c r="E3" s="2" t="str">
        <f t="shared" ref="E3:E66" si="0">CONCATENATE(D3," ",C3)</f>
        <v>RANDY MALUCHNIK</v>
      </c>
      <c r="F3" s="2" t="s">
        <v>42</v>
      </c>
      <c r="G3" s="2" t="s">
        <v>29</v>
      </c>
      <c r="H3" s="3">
        <v>46023</v>
      </c>
      <c r="I3" s="3">
        <v>46023</v>
      </c>
      <c r="J3" s="2">
        <v>17143996</v>
      </c>
      <c r="K3" s="2" t="s">
        <v>32</v>
      </c>
      <c r="L3" s="2" t="s">
        <v>463</v>
      </c>
      <c r="M3" s="2" t="s">
        <v>34</v>
      </c>
      <c r="N3" s="2">
        <v>829</v>
      </c>
      <c r="O3" s="2">
        <v>694</v>
      </c>
      <c r="P3" s="2" t="s">
        <v>753</v>
      </c>
      <c r="Q3" s="2" t="s">
        <v>756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2" customFormat="1" x14ac:dyDescent="0.25">
      <c r="A4" s="2" t="s">
        <v>460</v>
      </c>
      <c r="B4" s="2" t="str">
        <f>CONCATENATE(A4,89)</f>
        <v>2E62VN2GK8389</v>
      </c>
      <c r="C4" s="2" t="s">
        <v>768</v>
      </c>
      <c r="D4" s="2" t="s">
        <v>770</v>
      </c>
      <c r="E4" s="2" t="str">
        <f t="shared" si="0"/>
        <v>KAREN MALUCHNIK</v>
      </c>
      <c r="F4" s="2" t="s">
        <v>42</v>
      </c>
      <c r="G4" s="2" t="s">
        <v>29</v>
      </c>
      <c r="H4" s="3">
        <v>46023</v>
      </c>
      <c r="I4" s="3">
        <v>46023</v>
      </c>
      <c r="J4" s="2">
        <v>17143996</v>
      </c>
      <c r="K4" s="2" t="s">
        <v>32</v>
      </c>
      <c r="L4" s="2" t="s">
        <v>463</v>
      </c>
      <c r="M4" s="2" t="s">
        <v>34</v>
      </c>
      <c r="N4" s="2">
        <v>-482</v>
      </c>
      <c r="O4" s="2">
        <v>-347</v>
      </c>
      <c r="P4" s="2" t="s">
        <v>748</v>
      </c>
      <c r="Q4" s="2" t="s">
        <v>749</v>
      </c>
    </row>
    <row r="5" spans="1:27" s="4" customFormat="1" x14ac:dyDescent="0.25">
      <c r="A5" s="2" t="s">
        <v>464</v>
      </c>
      <c r="B5" s="2" t="str">
        <f>CONCATENATE(A5,89)</f>
        <v>7U62FR8HF1089</v>
      </c>
      <c r="C5" s="2" t="s">
        <v>768</v>
      </c>
      <c r="D5" s="2" t="s">
        <v>771</v>
      </c>
      <c r="E5" s="2" t="str">
        <f t="shared" si="0"/>
        <v>RANDY MALUCHNIK</v>
      </c>
      <c r="F5" s="2" t="s">
        <v>42</v>
      </c>
      <c r="G5" s="2" t="s">
        <v>29</v>
      </c>
      <c r="H5" s="3">
        <v>46023</v>
      </c>
      <c r="I5" s="3">
        <v>46023</v>
      </c>
      <c r="J5" s="2">
        <v>17143996</v>
      </c>
      <c r="K5" s="2" t="s">
        <v>32</v>
      </c>
      <c r="L5" s="2" t="s">
        <v>463</v>
      </c>
      <c r="M5" s="2" t="s">
        <v>34</v>
      </c>
      <c r="N5" s="2">
        <v>-482</v>
      </c>
      <c r="O5" s="2">
        <v>-347</v>
      </c>
      <c r="P5" s="2" t="s">
        <v>748</v>
      </c>
      <c r="Q5" s="2" t="s">
        <v>749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2" customFormat="1" x14ac:dyDescent="0.25">
      <c r="A6" s="2" t="s">
        <v>619</v>
      </c>
      <c r="B6" s="2" t="str">
        <f>CONCATENATE(A6,89)</f>
        <v>3H97HK4RW5589</v>
      </c>
      <c r="C6" s="2" t="s">
        <v>772</v>
      </c>
      <c r="D6" s="2" t="s">
        <v>773</v>
      </c>
      <c r="E6" s="2" t="str">
        <f t="shared" si="0"/>
        <v>CINDY SCALISE</v>
      </c>
      <c r="F6" s="2" t="s">
        <v>27</v>
      </c>
      <c r="G6" s="2" t="s">
        <v>29</v>
      </c>
      <c r="H6" s="3">
        <v>46023</v>
      </c>
      <c r="I6" s="3">
        <v>45809</v>
      </c>
      <c r="J6" s="2">
        <v>18598357</v>
      </c>
      <c r="K6" s="2" t="s">
        <v>32</v>
      </c>
      <c r="L6" s="2" t="s">
        <v>622</v>
      </c>
      <c r="M6" s="2" t="s">
        <v>34</v>
      </c>
      <c r="N6" s="2">
        <v>37.17</v>
      </c>
      <c r="O6" s="2">
        <v>32.58</v>
      </c>
      <c r="P6" s="2" t="s">
        <v>747</v>
      </c>
      <c r="Q6" s="2" t="s">
        <v>763</v>
      </c>
    </row>
    <row r="7" spans="1:27" s="4" customFormat="1" x14ac:dyDescent="0.25">
      <c r="A7" s="2" t="s">
        <v>133</v>
      </c>
      <c r="B7" s="2" t="str">
        <f>CONCATENATE(A7,77)</f>
        <v>7TF0D84KN1377</v>
      </c>
      <c r="C7" s="2" t="s">
        <v>774</v>
      </c>
      <c r="D7" s="2" t="s">
        <v>775</v>
      </c>
      <c r="E7" s="2" t="str">
        <f t="shared" si="0"/>
        <v>DAVID CADDY</v>
      </c>
      <c r="F7" s="2" t="s">
        <v>136</v>
      </c>
      <c r="G7" s="2" t="s">
        <v>29</v>
      </c>
      <c r="H7" s="3">
        <v>46023</v>
      </c>
      <c r="I7" s="3">
        <v>46023</v>
      </c>
      <c r="J7" s="2">
        <v>17117649</v>
      </c>
      <c r="K7" s="2" t="s">
        <v>32</v>
      </c>
      <c r="L7" s="2" t="s">
        <v>139</v>
      </c>
      <c r="M7" s="2" t="s">
        <v>34</v>
      </c>
      <c r="N7" s="2">
        <v>844</v>
      </c>
      <c r="O7" s="2">
        <v>694</v>
      </c>
      <c r="P7" s="2" t="s">
        <v>753</v>
      </c>
      <c r="Q7" s="2" t="s">
        <v>756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s="2" customFormat="1" x14ac:dyDescent="0.25">
      <c r="A8" s="2" t="s">
        <v>133</v>
      </c>
      <c r="B8" s="2" t="str">
        <f>CONCATENATE(A8,89)</f>
        <v>7TF0D84KN1389</v>
      </c>
      <c r="C8" s="2" t="s">
        <v>774</v>
      </c>
      <c r="D8" s="2" t="s">
        <v>775</v>
      </c>
      <c r="E8" s="2" t="str">
        <f t="shared" si="0"/>
        <v>DAVID CADDY</v>
      </c>
      <c r="F8" s="2" t="s">
        <v>136</v>
      </c>
      <c r="G8" s="2" t="s">
        <v>29</v>
      </c>
      <c r="H8" s="3">
        <v>46023</v>
      </c>
      <c r="I8" s="3">
        <v>46023</v>
      </c>
      <c r="J8" s="2">
        <v>17117649</v>
      </c>
      <c r="K8" s="2" t="s">
        <v>32</v>
      </c>
      <c r="L8" s="2" t="s">
        <v>139</v>
      </c>
      <c r="M8" s="2" t="s">
        <v>34</v>
      </c>
      <c r="N8" s="2">
        <v>-497</v>
      </c>
      <c r="O8" s="2">
        <v>-347</v>
      </c>
      <c r="P8" s="2" t="s">
        <v>748</v>
      </c>
      <c r="Q8" s="2" t="s">
        <v>749</v>
      </c>
    </row>
    <row r="9" spans="1:27" s="2" customFormat="1" x14ac:dyDescent="0.25">
      <c r="A9" s="2" t="s">
        <v>423</v>
      </c>
      <c r="B9" s="2" t="str">
        <f>CONCATENATE(A9,77)</f>
        <v>2Y45FK3JU8877</v>
      </c>
      <c r="C9" s="2" t="s">
        <v>776</v>
      </c>
      <c r="D9" s="2" t="s">
        <v>777</v>
      </c>
      <c r="E9" s="2" t="str">
        <f t="shared" si="0"/>
        <v>DIANA LAPE</v>
      </c>
      <c r="F9" s="2" t="s">
        <v>98</v>
      </c>
      <c r="G9" s="2" t="s">
        <v>29</v>
      </c>
      <c r="H9" s="3">
        <v>46023</v>
      </c>
      <c r="I9" s="3">
        <v>46023</v>
      </c>
      <c r="J9" s="2">
        <v>19491313</v>
      </c>
      <c r="K9" s="2" t="s">
        <v>32</v>
      </c>
      <c r="L9" s="2" t="s">
        <v>101</v>
      </c>
      <c r="M9" s="2" t="s">
        <v>34</v>
      </c>
      <c r="N9" s="2">
        <v>829</v>
      </c>
      <c r="O9" s="2">
        <v>694</v>
      </c>
      <c r="P9" s="2" t="s">
        <v>753</v>
      </c>
      <c r="Q9" s="2" t="s">
        <v>756</v>
      </c>
    </row>
    <row r="10" spans="1:27" s="2" customFormat="1" x14ac:dyDescent="0.25">
      <c r="A10" s="2" t="s">
        <v>95</v>
      </c>
      <c r="B10" s="2" t="str">
        <f>CONCATENATE(A10,77)</f>
        <v>1VR2CY4HP1377</v>
      </c>
      <c r="C10" s="2" t="s">
        <v>778</v>
      </c>
      <c r="D10" s="2" t="s">
        <v>779</v>
      </c>
      <c r="E10" s="2" t="str">
        <f t="shared" si="0"/>
        <v>GAYLE BOWEN</v>
      </c>
      <c r="F10" s="2" t="s">
        <v>98</v>
      </c>
      <c r="G10" s="2" t="s">
        <v>29</v>
      </c>
      <c r="H10" s="3">
        <v>46023</v>
      </c>
      <c r="I10" s="3">
        <v>46023</v>
      </c>
      <c r="J10" s="2">
        <v>19491313</v>
      </c>
      <c r="K10" s="2" t="s">
        <v>32</v>
      </c>
      <c r="L10" s="2" t="s">
        <v>101</v>
      </c>
      <c r="M10" s="2" t="s">
        <v>34</v>
      </c>
      <c r="N10" s="2">
        <v>844</v>
      </c>
      <c r="O10" s="2">
        <v>694</v>
      </c>
      <c r="P10" s="2" t="s">
        <v>753</v>
      </c>
      <c r="Q10" s="2" t="s">
        <v>756</v>
      </c>
    </row>
    <row r="11" spans="1:27" s="2" customFormat="1" x14ac:dyDescent="0.25">
      <c r="A11" s="2" t="s">
        <v>495</v>
      </c>
      <c r="B11" s="2" t="str">
        <f>CONCATENATE(A11,77)</f>
        <v>1XP0N77FG0577</v>
      </c>
      <c r="C11" s="2" t="s">
        <v>780</v>
      </c>
      <c r="D11" s="2" t="s">
        <v>781</v>
      </c>
      <c r="E11" s="2" t="str">
        <f t="shared" si="0"/>
        <v>STEVE MERCER</v>
      </c>
      <c r="F11" s="2" t="s">
        <v>98</v>
      </c>
      <c r="G11" s="2" t="s">
        <v>29</v>
      </c>
      <c r="H11" s="3">
        <v>46054</v>
      </c>
      <c r="I11" s="3">
        <v>46054</v>
      </c>
      <c r="J11" s="2">
        <v>19491313</v>
      </c>
      <c r="K11" s="2" t="s">
        <v>32</v>
      </c>
      <c r="L11" s="2" t="s">
        <v>101</v>
      </c>
      <c r="M11" s="2" t="s">
        <v>34</v>
      </c>
      <c r="N11" s="2">
        <v>844</v>
      </c>
      <c r="O11" s="2">
        <v>694</v>
      </c>
      <c r="P11" s="2" t="s">
        <v>753</v>
      </c>
      <c r="Q11" s="2" t="s">
        <v>756</v>
      </c>
    </row>
    <row r="12" spans="1:27" s="2" customFormat="1" x14ac:dyDescent="0.25">
      <c r="A12" s="2" t="s">
        <v>675</v>
      </c>
      <c r="B12" s="2" t="str">
        <f>CONCATENATE(A12,77)</f>
        <v>8E38A74FH2077</v>
      </c>
      <c r="C12" s="2" t="s">
        <v>782</v>
      </c>
      <c r="D12" s="2" t="s">
        <v>783</v>
      </c>
      <c r="E12" s="2" t="str">
        <f t="shared" si="0"/>
        <v>MICHAEL TYMOSZCZUK</v>
      </c>
      <c r="F12" s="2" t="s">
        <v>98</v>
      </c>
      <c r="G12" s="2" t="s">
        <v>29</v>
      </c>
      <c r="H12" s="3">
        <v>46023</v>
      </c>
      <c r="I12" s="3">
        <v>46023</v>
      </c>
      <c r="J12" s="2">
        <v>19491313</v>
      </c>
      <c r="K12" s="2" t="s">
        <v>32</v>
      </c>
      <c r="L12" s="2" t="s">
        <v>101</v>
      </c>
      <c r="M12" s="2" t="s">
        <v>34</v>
      </c>
      <c r="N12" s="2">
        <v>844</v>
      </c>
      <c r="O12" s="2">
        <v>694</v>
      </c>
      <c r="P12" s="2" t="s">
        <v>753</v>
      </c>
      <c r="Q12" s="2" t="s">
        <v>756</v>
      </c>
    </row>
    <row r="13" spans="1:27" s="2" customFormat="1" x14ac:dyDescent="0.25">
      <c r="A13" s="2" t="s">
        <v>95</v>
      </c>
      <c r="B13" s="2" t="str">
        <f>CONCATENATE(A13,89)</f>
        <v>1VR2CY4HP1389</v>
      </c>
      <c r="C13" s="2" t="s">
        <v>778</v>
      </c>
      <c r="D13" s="2" t="s">
        <v>779</v>
      </c>
      <c r="E13" s="2" t="str">
        <f t="shared" si="0"/>
        <v>GAYLE BOWEN</v>
      </c>
      <c r="F13" s="2" t="s">
        <v>98</v>
      </c>
      <c r="G13" s="2" t="s">
        <v>29</v>
      </c>
      <c r="H13" s="3">
        <v>46023</v>
      </c>
      <c r="I13" s="3">
        <v>46023</v>
      </c>
      <c r="J13" s="2">
        <v>19491313</v>
      </c>
      <c r="K13" s="2" t="s">
        <v>32</v>
      </c>
      <c r="L13" s="2" t="s">
        <v>101</v>
      </c>
      <c r="M13" s="2" t="s">
        <v>34</v>
      </c>
      <c r="N13" s="2">
        <v>-497</v>
      </c>
      <c r="O13" s="2">
        <v>-347</v>
      </c>
      <c r="P13" s="2" t="s">
        <v>748</v>
      </c>
      <c r="Q13" s="2" t="s">
        <v>749</v>
      </c>
    </row>
    <row r="14" spans="1:27" s="2" customFormat="1" x14ac:dyDescent="0.25">
      <c r="A14" s="2" t="s">
        <v>675</v>
      </c>
      <c r="B14" s="2" t="str">
        <f>CONCATENATE(A14,89)</f>
        <v>8E38A74FH2089</v>
      </c>
      <c r="C14" s="2" t="s">
        <v>782</v>
      </c>
      <c r="D14" s="2" t="s">
        <v>783</v>
      </c>
      <c r="E14" s="2" t="str">
        <f t="shared" si="0"/>
        <v>MICHAEL TYMOSZCZUK</v>
      </c>
      <c r="F14" s="2" t="s">
        <v>98</v>
      </c>
      <c r="G14" s="2" t="s">
        <v>29</v>
      </c>
      <c r="H14" s="3">
        <v>46023</v>
      </c>
      <c r="I14" s="3">
        <v>46023</v>
      </c>
      <c r="J14" s="2">
        <v>19491313</v>
      </c>
      <c r="K14" s="2" t="s">
        <v>32</v>
      </c>
      <c r="L14" s="2" t="s">
        <v>101</v>
      </c>
      <c r="M14" s="2" t="s">
        <v>34</v>
      </c>
      <c r="N14" s="2">
        <v>-497</v>
      </c>
      <c r="O14" s="2">
        <v>-347</v>
      </c>
      <c r="P14" s="2" t="s">
        <v>748</v>
      </c>
      <c r="Q14" s="2" t="s">
        <v>749</v>
      </c>
    </row>
    <row r="15" spans="1:27" s="2" customFormat="1" x14ac:dyDescent="0.25">
      <c r="A15" s="2" t="s">
        <v>423</v>
      </c>
      <c r="B15" s="2" t="str">
        <f>CONCATENATE(A15,89)</f>
        <v>2Y45FK3JU8889</v>
      </c>
      <c r="C15" s="2" t="s">
        <v>776</v>
      </c>
      <c r="D15" s="2" t="s">
        <v>777</v>
      </c>
      <c r="E15" s="2" t="str">
        <f t="shared" si="0"/>
        <v>DIANA LAPE</v>
      </c>
      <c r="F15" s="2" t="s">
        <v>98</v>
      </c>
      <c r="G15" s="2" t="s">
        <v>29</v>
      </c>
      <c r="H15" s="3">
        <v>46023</v>
      </c>
      <c r="I15" s="3">
        <v>46023</v>
      </c>
      <c r="J15" s="2">
        <v>19491313</v>
      </c>
      <c r="K15" s="2" t="s">
        <v>32</v>
      </c>
      <c r="L15" s="2" t="s">
        <v>101</v>
      </c>
      <c r="M15" s="2" t="s">
        <v>34</v>
      </c>
      <c r="N15" s="2">
        <v>-482</v>
      </c>
      <c r="O15" s="2">
        <v>-347</v>
      </c>
      <c r="P15" s="2" t="s">
        <v>748</v>
      </c>
      <c r="Q15" s="2" t="s">
        <v>749</v>
      </c>
    </row>
    <row r="16" spans="1:27" s="2" customFormat="1" x14ac:dyDescent="0.25">
      <c r="A16" s="2" t="s">
        <v>495</v>
      </c>
      <c r="B16" s="2" t="str">
        <f>CONCATENATE(A16,89)</f>
        <v>1XP0N77FG0589</v>
      </c>
      <c r="C16" s="2" t="s">
        <v>780</v>
      </c>
      <c r="D16" s="2" t="s">
        <v>781</v>
      </c>
      <c r="E16" s="2" t="str">
        <f t="shared" si="0"/>
        <v>STEVE MERCER</v>
      </c>
      <c r="F16" s="2" t="s">
        <v>98</v>
      </c>
      <c r="G16" s="2" t="s">
        <v>29</v>
      </c>
      <c r="H16" s="3">
        <v>46054</v>
      </c>
      <c r="I16" s="3">
        <v>46054</v>
      </c>
      <c r="J16" s="2">
        <v>19491313</v>
      </c>
      <c r="K16" s="2" t="s">
        <v>32</v>
      </c>
      <c r="L16" s="2" t="s">
        <v>101</v>
      </c>
      <c r="M16" s="2" t="s">
        <v>34</v>
      </c>
      <c r="N16" s="2">
        <v>-455.58</v>
      </c>
      <c r="O16" s="2">
        <v>-318.08</v>
      </c>
      <c r="P16" s="2" t="s">
        <v>748</v>
      </c>
      <c r="Q16" s="2" t="s">
        <v>751</v>
      </c>
    </row>
    <row r="17" spans="1:27" s="2" customFormat="1" x14ac:dyDescent="0.25">
      <c r="A17" s="2" t="s">
        <v>72</v>
      </c>
      <c r="B17" s="2" t="str">
        <f>CONCATENATE(A17,77)</f>
        <v>7U91M31HF3277</v>
      </c>
      <c r="C17" s="2" t="s">
        <v>784</v>
      </c>
      <c r="D17" s="2" t="s">
        <v>785</v>
      </c>
      <c r="E17" s="2" t="str">
        <f t="shared" si="0"/>
        <v>VERLON BECK</v>
      </c>
      <c r="F17" s="2" t="s">
        <v>75</v>
      </c>
      <c r="G17" s="2" t="s">
        <v>29</v>
      </c>
      <c r="H17" s="3">
        <v>46023</v>
      </c>
      <c r="I17" s="3">
        <v>46023</v>
      </c>
      <c r="J17" s="2">
        <v>21435997</v>
      </c>
      <c r="K17" s="2" t="s">
        <v>32</v>
      </c>
      <c r="L17" s="2" t="s">
        <v>78</v>
      </c>
      <c r="M17" s="2" t="s">
        <v>34</v>
      </c>
      <c r="N17" s="2">
        <v>829</v>
      </c>
      <c r="O17" s="2">
        <v>694</v>
      </c>
      <c r="P17" s="2" t="s">
        <v>753</v>
      </c>
      <c r="Q17" s="2" t="s">
        <v>756</v>
      </c>
    </row>
    <row r="18" spans="1:27" s="2" customFormat="1" x14ac:dyDescent="0.25">
      <c r="A18" s="2" t="s">
        <v>454</v>
      </c>
      <c r="B18" s="2" t="str">
        <f>CONCATENATE(A18,77)</f>
        <v>1XR2WJ4YJ9977</v>
      </c>
      <c r="C18" s="2" t="s">
        <v>786</v>
      </c>
      <c r="D18" s="2" t="s">
        <v>787</v>
      </c>
      <c r="E18" s="2" t="str">
        <f t="shared" si="0"/>
        <v>JANICE MALONE</v>
      </c>
      <c r="F18" s="2" t="s">
        <v>42</v>
      </c>
      <c r="G18" s="2" t="s">
        <v>29</v>
      </c>
      <c r="H18" s="3">
        <v>46023</v>
      </c>
      <c r="I18" s="3">
        <v>46023</v>
      </c>
      <c r="J18" s="2">
        <v>21435997</v>
      </c>
      <c r="K18" s="2" t="s">
        <v>32</v>
      </c>
      <c r="L18" s="2" t="s">
        <v>78</v>
      </c>
      <c r="M18" s="2" t="s">
        <v>34</v>
      </c>
      <c r="N18" s="2">
        <v>844</v>
      </c>
      <c r="O18" s="2">
        <v>694</v>
      </c>
      <c r="P18" s="2" t="s">
        <v>753</v>
      </c>
      <c r="Q18" s="2" t="s">
        <v>756</v>
      </c>
    </row>
    <row r="19" spans="1:27" s="2" customFormat="1" x14ac:dyDescent="0.25">
      <c r="A19" s="2" t="s">
        <v>360</v>
      </c>
      <c r="B19" s="2" t="str">
        <f>CONCATENATE(A19,89)</f>
        <v>4G93PV9NF0189</v>
      </c>
      <c r="C19" s="2" t="s">
        <v>788</v>
      </c>
      <c r="D19" s="2" t="s">
        <v>790</v>
      </c>
      <c r="E19" s="2" t="str">
        <f t="shared" si="0"/>
        <v>RICHARD HOLIDAY</v>
      </c>
      <c r="F19" s="2" t="s">
        <v>363</v>
      </c>
      <c r="G19" s="2" t="s">
        <v>29</v>
      </c>
      <c r="H19" s="3">
        <v>46023</v>
      </c>
      <c r="I19" s="3">
        <v>46023</v>
      </c>
      <c r="J19" s="2">
        <v>21435997</v>
      </c>
      <c r="K19" s="2" t="s">
        <v>32</v>
      </c>
      <c r="L19" s="2" t="s">
        <v>78</v>
      </c>
      <c r="M19" s="2" t="s">
        <v>34</v>
      </c>
      <c r="N19" s="2">
        <v>-497</v>
      </c>
      <c r="O19" s="2">
        <v>-347</v>
      </c>
      <c r="P19" s="2" t="s">
        <v>748</v>
      </c>
      <c r="Q19" s="2" t="s">
        <v>749</v>
      </c>
    </row>
    <row r="20" spans="1:27" s="2" customFormat="1" x14ac:dyDescent="0.25">
      <c r="A20" s="2" t="s">
        <v>454</v>
      </c>
      <c r="B20" s="2" t="str">
        <f>CONCATENATE(A20,89)</f>
        <v>1XR2WJ4YJ9989</v>
      </c>
      <c r="C20" s="2" t="s">
        <v>786</v>
      </c>
      <c r="D20" s="2" t="s">
        <v>787</v>
      </c>
      <c r="E20" s="2" t="str">
        <f t="shared" si="0"/>
        <v>JANICE MALONE</v>
      </c>
      <c r="F20" s="2" t="s">
        <v>42</v>
      </c>
      <c r="G20" s="2" t="s">
        <v>29</v>
      </c>
      <c r="H20" s="3">
        <v>46023</v>
      </c>
      <c r="I20" s="3">
        <v>46023</v>
      </c>
      <c r="J20" s="2">
        <v>21435997</v>
      </c>
      <c r="K20" s="2" t="s">
        <v>32</v>
      </c>
      <c r="L20" s="2" t="s">
        <v>78</v>
      </c>
      <c r="M20" s="2" t="s">
        <v>34</v>
      </c>
      <c r="N20" s="2">
        <v>-497</v>
      </c>
      <c r="O20" s="2">
        <v>-347</v>
      </c>
      <c r="P20" s="2" t="s">
        <v>748</v>
      </c>
      <c r="Q20" s="2" t="s">
        <v>749</v>
      </c>
    </row>
    <row r="21" spans="1:27" s="2" customFormat="1" x14ac:dyDescent="0.25">
      <c r="A21" s="2" t="s">
        <v>72</v>
      </c>
      <c r="B21" s="2" t="str">
        <f>CONCATENATE(A21,89)</f>
        <v>7U91M31HF3289</v>
      </c>
      <c r="C21" s="2" t="s">
        <v>784</v>
      </c>
      <c r="D21" s="2" t="s">
        <v>785</v>
      </c>
      <c r="E21" s="2" t="str">
        <f t="shared" si="0"/>
        <v>VERLON BECK</v>
      </c>
      <c r="F21" s="2" t="s">
        <v>75</v>
      </c>
      <c r="G21" s="2" t="s">
        <v>29</v>
      </c>
      <c r="H21" s="3">
        <v>46023</v>
      </c>
      <c r="I21" s="3">
        <v>46023</v>
      </c>
      <c r="J21" s="2">
        <v>21435997</v>
      </c>
      <c r="K21" s="2" t="s">
        <v>32</v>
      </c>
      <c r="L21" s="2" t="s">
        <v>78</v>
      </c>
      <c r="M21" s="2" t="s">
        <v>34</v>
      </c>
      <c r="N21" s="2">
        <v>-482</v>
      </c>
      <c r="O21" s="2">
        <v>-347</v>
      </c>
      <c r="P21" s="2" t="s">
        <v>748</v>
      </c>
      <c r="Q21" s="2" t="s">
        <v>749</v>
      </c>
    </row>
    <row r="22" spans="1:27" s="2" customFormat="1" x14ac:dyDescent="0.25">
      <c r="A22" s="2" t="s">
        <v>360</v>
      </c>
      <c r="B22" s="2" t="str">
        <f>CONCATENATE(A22,89)</f>
        <v>4G93PV9NF0189</v>
      </c>
      <c r="C22" s="2" t="s">
        <v>788</v>
      </c>
      <c r="D22" s="2" t="s">
        <v>790</v>
      </c>
      <c r="E22" s="2" t="str">
        <f t="shared" si="0"/>
        <v>RICHARD HOLIDAY</v>
      </c>
      <c r="F22" s="2" t="s">
        <v>363</v>
      </c>
      <c r="G22" s="2" t="s">
        <v>29</v>
      </c>
      <c r="H22" s="3">
        <v>46023</v>
      </c>
      <c r="I22" s="3">
        <v>46023</v>
      </c>
      <c r="J22" s="2">
        <v>21435997</v>
      </c>
      <c r="K22" s="2" t="s">
        <v>32</v>
      </c>
      <c r="L22" s="2" t="s">
        <v>78</v>
      </c>
      <c r="M22" s="2" t="s">
        <v>34</v>
      </c>
      <c r="N22" s="2">
        <v>41.42</v>
      </c>
      <c r="O22" s="2">
        <v>28.91</v>
      </c>
      <c r="P22" s="2" t="s">
        <v>748</v>
      </c>
      <c r="Q22" s="2" t="s">
        <v>764</v>
      </c>
      <c r="R22" s="2">
        <f>O22+O26</f>
        <v>-318.08999999999997</v>
      </c>
    </row>
    <row r="23" spans="1:27" s="4" customFormat="1" x14ac:dyDescent="0.25">
      <c r="A23" s="2" t="s">
        <v>416</v>
      </c>
      <c r="B23" s="2" t="str">
        <f>CONCATENATE(A23,77)</f>
        <v>4G06MU3UV5577</v>
      </c>
      <c r="C23" s="2" t="s">
        <v>791</v>
      </c>
      <c r="D23" s="2" t="s">
        <v>792</v>
      </c>
      <c r="E23" s="2" t="str">
        <f t="shared" si="0"/>
        <v>NANCY KRAWIEC</v>
      </c>
      <c r="F23" s="2" t="s">
        <v>42</v>
      </c>
      <c r="G23" s="2" t="s">
        <v>29</v>
      </c>
      <c r="H23" s="3">
        <v>46023</v>
      </c>
      <c r="I23" s="3">
        <v>46023</v>
      </c>
      <c r="J23" s="2">
        <v>7470776</v>
      </c>
      <c r="K23" s="2" t="s">
        <v>32</v>
      </c>
      <c r="L23" s="2" t="s">
        <v>419</v>
      </c>
      <c r="M23" s="2" t="s">
        <v>34</v>
      </c>
      <c r="N23" s="2">
        <v>844</v>
      </c>
      <c r="O23" s="2">
        <v>694</v>
      </c>
      <c r="P23" s="2" t="s">
        <v>753</v>
      </c>
      <c r="Q23" s="2" t="s">
        <v>756</v>
      </c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4" customFormat="1" x14ac:dyDescent="0.25">
      <c r="A24" s="2" t="s">
        <v>420</v>
      </c>
      <c r="B24" s="2" t="str">
        <f>CONCATENATE(A24,77)</f>
        <v>5GM3D01GX7677</v>
      </c>
      <c r="C24" s="2" t="s">
        <v>791</v>
      </c>
      <c r="D24" s="2" t="s">
        <v>793</v>
      </c>
      <c r="E24" s="2" t="str">
        <f t="shared" si="0"/>
        <v>KENNETH KRAWIEC</v>
      </c>
      <c r="F24" s="2" t="s">
        <v>42</v>
      </c>
      <c r="G24" s="2" t="s">
        <v>29</v>
      </c>
      <c r="H24" s="3">
        <v>46023</v>
      </c>
      <c r="I24" s="3">
        <v>46023</v>
      </c>
      <c r="J24" s="2">
        <v>7470776</v>
      </c>
      <c r="K24" s="2" t="s">
        <v>32</v>
      </c>
      <c r="L24" s="2" t="s">
        <v>419</v>
      </c>
      <c r="M24" s="2" t="s">
        <v>34</v>
      </c>
      <c r="N24" s="2">
        <v>844</v>
      </c>
      <c r="O24" s="2">
        <v>694</v>
      </c>
      <c r="P24" s="2" t="s">
        <v>753</v>
      </c>
      <c r="Q24" s="2" t="s">
        <v>756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4" customFormat="1" x14ac:dyDescent="0.25">
      <c r="A25" s="2" t="s">
        <v>720</v>
      </c>
      <c r="B25" s="2" t="str">
        <f>CONCATENATE(A25,77)</f>
        <v>7E50KK4WP4577</v>
      </c>
      <c r="C25" s="2" t="s">
        <v>794</v>
      </c>
      <c r="D25" s="2" t="s">
        <v>795</v>
      </c>
      <c r="E25" s="2" t="str">
        <f t="shared" si="0"/>
        <v>ELIZABETH WILSON</v>
      </c>
      <c r="F25" s="2" t="s">
        <v>108</v>
      </c>
      <c r="G25" s="2" t="s">
        <v>29</v>
      </c>
      <c r="H25" s="3">
        <v>46023</v>
      </c>
      <c r="I25" s="3">
        <v>46023</v>
      </c>
      <c r="J25" s="2">
        <v>7470776</v>
      </c>
      <c r="K25" s="2" t="s">
        <v>32</v>
      </c>
      <c r="L25" s="2" t="s">
        <v>419</v>
      </c>
      <c r="M25" s="2" t="s">
        <v>34</v>
      </c>
      <c r="N25" s="2">
        <v>844</v>
      </c>
      <c r="O25" s="2">
        <v>694</v>
      </c>
      <c r="P25" s="2" t="s">
        <v>753</v>
      </c>
      <c r="Q25" s="2" t="s">
        <v>756</v>
      </c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4" customFormat="1" x14ac:dyDescent="0.25">
      <c r="A26" s="2" t="s">
        <v>416</v>
      </c>
      <c r="B26" s="2" t="str">
        <f>CONCATENATE(A26,89)</f>
        <v>4G06MU3UV5589</v>
      </c>
      <c r="C26" s="2" t="s">
        <v>791</v>
      </c>
      <c r="D26" s="2" t="s">
        <v>792</v>
      </c>
      <c r="E26" s="2" t="str">
        <f t="shared" si="0"/>
        <v>NANCY KRAWIEC</v>
      </c>
      <c r="F26" s="2" t="s">
        <v>42</v>
      </c>
      <c r="G26" s="2" t="s">
        <v>29</v>
      </c>
      <c r="H26" s="3">
        <v>46023</v>
      </c>
      <c r="I26" s="3">
        <v>46023</v>
      </c>
      <c r="J26" s="2">
        <v>7470776</v>
      </c>
      <c r="K26" s="2" t="s">
        <v>32</v>
      </c>
      <c r="L26" s="2" t="s">
        <v>419</v>
      </c>
      <c r="M26" s="2" t="s">
        <v>34</v>
      </c>
      <c r="N26" s="2">
        <v>-497</v>
      </c>
      <c r="O26" s="2">
        <v>-347</v>
      </c>
      <c r="P26" s="2" t="s">
        <v>748</v>
      </c>
      <c r="Q26" s="2" t="s">
        <v>749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s="4" customFormat="1" x14ac:dyDescent="0.25">
      <c r="A27" s="2" t="s">
        <v>420</v>
      </c>
      <c r="B27" s="2" t="str">
        <f>CONCATENATE(A27,89)</f>
        <v>5GM3D01GX7689</v>
      </c>
      <c r="C27" s="2" t="s">
        <v>791</v>
      </c>
      <c r="D27" s="2" t="s">
        <v>793</v>
      </c>
      <c r="E27" s="2" t="str">
        <f t="shared" si="0"/>
        <v>KENNETH KRAWIEC</v>
      </c>
      <c r="F27" s="2" t="s">
        <v>42</v>
      </c>
      <c r="G27" s="2" t="s">
        <v>29</v>
      </c>
      <c r="H27" s="3">
        <v>46023</v>
      </c>
      <c r="I27" s="3">
        <v>46023</v>
      </c>
      <c r="J27" s="2">
        <v>7470776</v>
      </c>
      <c r="K27" s="2" t="s">
        <v>32</v>
      </c>
      <c r="L27" s="2" t="s">
        <v>419</v>
      </c>
      <c r="M27" s="2" t="s">
        <v>34</v>
      </c>
      <c r="N27" s="2">
        <v>-497</v>
      </c>
      <c r="O27" s="2">
        <v>-347</v>
      </c>
      <c r="P27" s="2" t="s">
        <v>748</v>
      </c>
      <c r="Q27" s="2" t="s">
        <v>749</v>
      </c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s="4" customFormat="1" x14ac:dyDescent="0.25">
      <c r="A28" s="2" t="s">
        <v>720</v>
      </c>
      <c r="B28" s="2" t="str">
        <f>CONCATENATE(A28,89)</f>
        <v>7E50KK4WP4589</v>
      </c>
      <c r="C28" s="2" t="s">
        <v>794</v>
      </c>
      <c r="D28" s="2" t="s">
        <v>795</v>
      </c>
      <c r="E28" s="2" t="str">
        <f t="shared" si="0"/>
        <v>ELIZABETH WILSON</v>
      </c>
      <c r="F28" s="2" t="s">
        <v>108</v>
      </c>
      <c r="G28" s="2" t="s">
        <v>29</v>
      </c>
      <c r="H28" s="3">
        <v>46023</v>
      </c>
      <c r="I28" s="3">
        <v>46023</v>
      </c>
      <c r="J28" s="2">
        <v>7470776</v>
      </c>
      <c r="K28" s="2" t="s">
        <v>32</v>
      </c>
      <c r="L28" s="2" t="s">
        <v>419</v>
      </c>
      <c r="M28" s="2" t="s">
        <v>34</v>
      </c>
      <c r="N28" s="2">
        <v>-497</v>
      </c>
      <c r="O28" s="2">
        <v>-347</v>
      </c>
      <c r="P28" s="2" t="s">
        <v>748</v>
      </c>
      <c r="Q28" s="2" t="s">
        <v>749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s="4" customFormat="1" x14ac:dyDescent="0.25">
      <c r="A29" s="2" t="s">
        <v>39</v>
      </c>
      <c r="B29" s="2" t="str">
        <f>CONCATENATE(A29,77)</f>
        <v>8MY6NH0FR6177</v>
      </c>
      <c r="C29" s="2" t="s">
        <v>796</v>
      </c>
      <c r="D29" s="2" t="s">
        <v>797</v>
      </c>
      <c r="E29" s="2" t="str">
        <f t="shared" si="0"/>
        <v>JEFFERY ALVIS</v>
      </c>
      <c r="F29" s="2" t="s">
        <v>42</v>
      </c>
      <c r="G29" s="2" t="s">
        <v>29</v>
      </c>
      <c r="H29" s="3">
        <v>46023</v>
      </c>
      <c r="I29" s="3">
        <v>46023</v>
      </c>
      <c r="J29" s="2">
        <v>8244481</v>
      </c>
      <c r="K29" s="2" t="s">
        <v>32</v>
      </c>
      <c r="L29" s="2" t="s">
        <v>45</v>
      </c>
      <c r="M29" s="2" t="s">
        <v>34</v>
      </c>
      <c r="N29" s="2">
        <v>829</v>
      </c>
      <c r="O29" s="2">
        <v>694</v>
      </c>
      <c r="P29" s="2" t="s">
        <v>753</v>
      </c>
      <c r="Q29" s="2" t="s">
        <v>756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s="4" customFormat="1" x14ac:dyDescent="0.25">
      <c r="A30" s="2" t="s">
        <v>538</v>
      </c>
      <c r="B30" s="2" t="str">
        <f>CONCATENATE(A30,77)</f>
        <v>2JW2YH2KW0277</v>
      </c>
      <c r="C30" s="2" t="s">
        <v>798</v>
      </c>
      <c r="D30" s="2" t="s">
        <v>799</v>
      </c>
      <c r="E30" s="2" t="str">
        <f t="shared" si="0"/>
        <v>MARGARET NORBY</v>
      </c>
      <c r="F30" s="2" t="s">
        <v>42</v>
      </c>
      <c r="G30" s="2" t="s">
        <v>29</v>
      </c>
      <c r="H30" s="3">
        <v>46023</v>
      </c>
      <c r="I30" s="3">
        <v>46023</v>
      </c>
      <c r="J30" s="2">
        <v>8244481</v>
      </c>
      <c r="K30" s="2" t="s">
        <v>32</v>
      </c>
      <c r="L30" s="2" t="s">
        <v>45</v>
      </c>
      <c r="M30" s="2" t="s">
        <v>34</v>
      </c>
      <c r="N30" s="2">
        <v>829</v>
      </c>
      <c r="O30" s="2">
        <v>694</v>
      </c>
      <c r="P30" s="2" t="s">
        <v>753</v>
      </c>
      <c r="Q30" s="2" t="s">
        <v>756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s="4" customFormat="1" x14ac:dyDescent="0.25">
      <c r="A31" s="2" t="s">
        <v>563</v>
      </c>
      <c r="B31" s="2" t="str">
        <f>CONCATENATE(A31,77)</f>
        <v>7E98DA6TF4277</v>
      </c>
      <c r="C31" s="2" t="s">
        <v>800</v>
      </c>
      <c r="D31" s="2" t="s">
        <v>801</v>
      </c>
      <c r="E31" s="2" t="str">
        <f t="shared" si="0"/>
        <v>BRUCE PATTERSON</v>
      </c>
      <c r="F31" s="2" t="s">
        <v>42</v>
      </c>
      <c r="G31" s="2" t="s">
        <v>29</v>
      </c>
      <c r="H31" s="3">
        <v>46023</v>
      </c>
      <c r="I31" s="3">
        <v>46023</v>
      </c>
      <c r="J31" s="2">
        <v>8244481</v>
      </c>
      <c r="K31" s="2" t="s">
        <v>32</v>
      </c>
      <c r="L31" s="2" t="s">
        <v>45</v>
      </c>
      <c r="M31" s="2" t="s">
        <v>34</v>
      </c>
      <c r="N31" s="2">
        <v>829</v>
      </c>
      <c r="O31" s="2">
        <v>694</v>
      </c>
      <c r="P31" s="2" t="s">
        <v>753</v>
      </c>
      <c r="Q31" s="2" t="s">
        <v>756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s="4" customFormat="1" x14ac:dyDescent="0.25">
      <c r="A32" s="2" t="s">
        <v>645</v>
      </c>
      <c r="B32" s="2" t="str">
        <f>CONCATENATE(A32,77)</f>
        <v>4DJ7CT4HJ5377</v>
      </c>
      <c r="C32" s="2" t="s">
        <v>802</v>
      </c>
      <c r="D32" s="2" t="s">
        <v>803</v>
      </c>
      <c r="E32" s="2" t="str">
        <f t="shared" si="0"/>
        <v>SHARON SYLVESTER</v>
      </c>
      <c r="F32" s="2" t="s">
        <v>42</v>
      </c>
      <c r="G32" s="2" t="s">
        <v>29</v>
      </c>
      <c r="H32" s="3">
        <v>46023</v>
      </c>
      <c r="I32" s="3">
        <v>46023</v>
      </c>
      <c r="J32" s="2">
        <v>8244481</v>
      </c>
      <c r="K32" s="2" t="s">
        <v>32</v>
      </c>
      <c r="L32" s="2" t="s">
        <v>45</v>
      </c>
      <c r="M32" s="2" t="s">
        <v>34</v>
      </c>
      <c r="N32" s="2">
        <v>829</v>
      </c>
      <c r="O32" s="2">
        <v>694</v>
      </c>
      <c r="P32" s="2" t="s">
        <v>753</v>
      </c>
      <c r="Q32" s="2" t="s">
        <v>756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4" customFormat="1" x14ac:dyDescent="0.25">
      <c r="A33" s="2" t="s">
        <v>727</v>
      </c>
      <c r="B33" s="2" t="str">
        <f>CONCATENATE(A33,77)</f>
        <v>8V34QX8KE6577</v>
      </c>
      <c r="C33" s="2" t="s">
        <v>804</v>
      </c>
      <c r="D33" s="2" t="s">
        <v>805</v>
      </c>
      <c r="E33" s="2" t="str">
        <f t="shared" si="0"/>
        <v>DIANNE WUNDERLE</v>
      </c>
      <c r="F33" s="2" t="s">
        <v>42</v>
      </c>
      <c r="G33" s="2" t="s">
        <v>29</v>
      </c>
      <c r="H33" s="3">
        <v>46023</v>
      </c>
      <c r="I33" s="3">
        <v>46023</v>
      </c>
      <c r="J33" s="2">
        <v>8244481</v>
      </c>
      <c r="K33" s="2" t="s">
        <v>32</v>
      </c>
      <c r="L33" s="2" t="s">
        <v>45</v>
      </c>
      <c r="M33" s="2" t="s">
        <v>34</v>
      </c>
      <c r="N33" s="2">
        <v>829</v>
      </c>
      <c r="O33" s="2">
        <v>694</v>
      </c>
      <c r="P33" s="2" t="s">
        <v>753</v>
      </c>
      <c r="Q33" s="2" t="s">
        <v>756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4" customFormat="1" x14ac:dyDescent="0.25">
      <c r="A34" s="2" t="s">
        <v>219</v>
      </c>
      <c r="B34" s="2" t="str">
        <f>CONCATENATE(A34,77)</f>
        <v>2FD1PJ5WU9677</v>
      </c>
      <c r="C34" s="2" t="s">
        <v>806</v>
      </c>
      <c r="D34" s="2" t="s">
        <v>790</v>
      </c>
      <c r="E34" s="2" t="str">
        <f t="shared" si="0"/>
        <v>RICHARD DIPIETRANTONIO</v>
      </c>
      <c r="F34" s="2" t="s">
        <v>42</v>
      </c>
      <c r="G34" s="2" t="s">
        <v>29</v>
      </c>
      <c r="H34" s="3">
        <v>46023</v>
      </c>
      <c r="I34" s="3">
        <v>46023</v>
      </c>
      <c r="J34" s="2">
        <v>8244481</v>
      </c>
      <c r="K34" s="2" t="s">
        <v>32</v>
      </c>
      <c r="L34" s="2" t="s">
        <v>45</v>
      </c>
      <c r="M34" s="2" t="s">
        <v>34</v>
      </c>
      <c r="N34" s="2">
        <v>844</v>
      </c>
      <c r="O34" s="2">
        <v>694</v>
      </c>
      <c r="P34" s="2" t="s">
        <v>753</v>
      </c>
      <c r="Q34" s="2" t="s">
        <v>756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4" customFormat="1" x14ac:dyDescent="0.25">
      <c r="A35" s="2" t="s">
        <v>226</v>
      </c>
      <c r="B35" s="2" t="str">
        <f>CONCATENATE(A35,77)</f>
        <v>4HH1EJ2AK0377</v>
      </c>
      <c r="C35" s="2" t="s">
        <v>807</v>
      </c>
      <c r="D35" s="2" t="s">
        <v>808</v>
      </c>
      <c r="E35" s="2" t="str">
        <f t="shared" si="0"/>
        <v>MELANIA DOCTORIAN</v>
      </c>
      <c r="F35" s="2" t="s">
        <v>42</v>
      </c>
      <c r="G35" s="2" t="s">
        <v>29</v>
      </c>
      <c r="H35" s="3">
        <v>46023</v>
      </c>
      <c r="I35" s="3">
        <v>46023</v>
      </c>
      <c r="J35" s="2">
        <v>8244481</v>
      </c>
      <c r="K35" s="2" t="s">
        <v>32</v>
      </c>
      <c r="L35" s="2" t="s">
        <v>45</v>
      </c>
      <c r="M35" s="2" t="s">
        <v>34</v>
      </c>
      <c r="N35" s="2">
        <v>844</v>
      </c>
      <c r="O35" s="2">
        <v>694</v>
      </c>
      <c r="P35" s="2" t="s">
        <v>753</v>
      </c>
      <c r="Q35" s="2" t="s">
        <v>756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4" customFormat="1" x14ac:dyDescent="0.25">
      <c r="A36" s="2" t="s">
        <v>254</v>
      </c>
      <c r="B36" s="2" t="str">
        <f>CONCATENATE(A36,77)</f>
        <v>8UY1XE2PM1777</v>
      </c>
      <c r="C36" s="2" t="s">
        <v>809</v>
      </c>
      <c r="D36" s="2" t="s">
        <v>810</v>
      </c>
      <c r="E36" s="2" t="str">
        <f t="shared" si="0"/>
        <v>KATHLEEN FINNEY</v>
      </c>
      <c r="F36" s="2" t="s">
        <v>42</v>
      </c>
      <c r="G36" s="2" t="s">
        <v>29</v>
      </c>
      <c r="H36" s="3">
        <v>46023</v>
      </c>
      <c r="I36" s="3">
        <v>46023</v>
      </c>
      <c r="J36" s="2">
        <v>8244481</v>
      </c>
      <c r="K36" s="2" t="s">
        <v>32</v>
      </c>
      <c r="L36" s="2" t="s">
        <v>45</v>
      </c>
      <c r="M36" s="2" t="s">
        <v>34</v>
      </c>
      <c r="N36" s="2">
        <v>844</v>
      </c>
      <c r="O36" s="2">
        <v>694</v>
      </c>
      <c r="P36" s="2" t="s">
        <v>753</v>
      </c>
      <c r="Q36" s="2" t="s">
        <v>756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s="4" customFormat="1" x14ac:dyDescent="0.25">
      <c r="A37" s="2" t="s">
        <v>330</v>
      </c>
      <c r="B37" s="2" t="str">
        <f>CONCATENATE(A37,77)</f>
        <v>5U07J79UQ3177</v>
      </c>
      <c r="C37" s="2" t="s">
        <v>811</v>
      </c>
      <c r="D37" s="2" t="s">
        <v>812</v>
      </c>
      <c r="E37" s="2" t="str">
        <f t="shared" si="0"/>
        <v>GREGORY HENSON</v>
      </c>
      <c r="F37" s="2" t="s">
        <v>42</v>
      </c>
      <c r="G37" s="2" t="s">
        <v>29</v>
      </c>
      <c r="H37" s="3">
        <v>46023</v>
      </c>
      <c r="I37" s="3">
        <v>46023</v>
      </c>
      <c r="J37" s="2">
        <v>8244481</v>
      </c>
      <c r="K37" s="2" t="s">
        <v>32</v>
      </c>
      <c r="L37" s="2" t="s">
        <v>45</v>
      </c>
      <c r="M37" s="2" t="s">
        <v>34</v>
      </c>
      <c r="N37" s="2">
        <v>844</v>
      </c>
      <c r="O37" s="2">
        <v>694</v>
      </c>
      <c r="P37" s="2" t="s">
        <v>753</v>
      </c>
      <c r="Q37" s="2" t="s">
        <v>756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s="2" customFormat="1" x14ac:dyDescent="0.25">
      <c r="A38" s="2" t="s">
        <v>357</v>
      </c>
      <c r="B38" s="2" t="str">
        <f>CONCATENATE(A38,77)</f>
        <v>7X46CA1RA6377</v>
      </c>
      <c r="C38" s="2" t="s">
        <v>813</v>
      </c>
      <c r="D38" s="2" t="s">
        <v>814</v>
      </c>
      <c r="E38" s="2" t="str">
        <f t="shared" si="0"/>
        <v>KATHERINE HIRSCH</v>
      </c>
      <c r="F38" s="2" t="s">
        <v>42</v>
      </c>
      <c r="G38" s="2" t="s">
        <v>29</v>
      </c>
      <c r="H38" s="3">
        <v>46023</v>
      </c>
      <c r="I38" s="3">
        <v>46023</v>
      </c>
      <c r="J38" s="2">
        <v>8244481</v>
      </c>
      <c r="K38" s="2" t="s">
        <v>32</v>
      </c>
      <c r="L38" s="2" t="s">
        <v>45</v>
      </c>
      <c r="M38" s="2" t="s">
        <v>34</v>
      </c>
      <c r="N38" s="2">
        <v>844</v>
      </c>
      <c r="O38" s="2">
        <v>694</v>
      </c>
      <c r="P38" s="2" t="s">
        <v>753</v>
      </c>
      <c r="Q38" s="2" t="s">
        <v>756</v>
      </c>
    </row>
    <row r="39" spans="1:27" s="2" customFormat="1" x14ac:dyDescent="0.25">
      <c r="A39" s="2" t="s">
        <v>451</v>
      </c>
      <c r="B39" s="2" t="str">
        <f>CONCATENATE(A39,77)</f>
        <v>7ED2DK0XG0677</v>
      </c>
      <c r="C39" s="2" t="s">
        <v>815</v>
      </c>
      <c r="D39" s="2" t="s">
        <v>816</v>
      </c>
      <c r="E39" s="2" t="str">
        <f t="shared" si="0"/>
        <v>JEFFREY MALINOWSKI</v>
      </c>
      <c r="F39" s="2" t="s">
        <v>42</v>
      </c>
      <c r="G39" s="2" t="s">
        <v>29</v>
      </c>
      <c r="H39" s="3">
        <v>46023</v>
      </c>
      <c r="I39" s="3">
        <v>46023</v>
      </c>
      <c r="J39" s="2">
        <v>8244481</v>
      </c>
      <c r="K39" s="2" t="s">
        <v>32</v>
      </c>
      <c r="L39" s="2" t="s">
        <v>45</v>
      </c>
      <c r="M39" s="2" t="s">
        <v>34</v>
      </c>
      <c r="N39" s="2">
        <v>844</v>
      </c>
      <c r="O39" s="2">
        <v>694</v>
      </c>
      <c r="P39" s="2" t="s">
        <v>753</v>
      </c>
      <c r="Q39" s="2" t="s">
        <v>756</v>
      </c>
    </row>
    <row r="40" spans="1:27" s="2" customFormat="1" x14ac:dyDescent="0.25">
      <c r="A40" s="2" t="s">
        <v>219</v>
      </c>
      <c r="B40" s="2" t="str">
        <f>CONCATENATE(A40,89)</f>
        <v>2FD1PJ5WU9689</v>
      </c>
      <c r="C40" s="2" t="s">
        <v>806</v>
      </c>
      <c r="D40" s="2" t="s">
        <v>790</v>
      </c>
      <c r="E40" s="2" t="str">
        <f t="shared" si="0"/>
        <v>RICHARD DIPIETRANTONIO</v>
      </c>
      <c r="F40" s="2" t="s">
        <v>42</v>
      </c>
      <c r="G40" s="2" t="s">
        <v>29</v>
      </c>
      <c r="H40" s="3">
        <v>46023</v>
      </c>
      <c r="I40" s="3">
        <v>46023</v>
      </c>
      <c r="J40" s="2">
        <v>8244481</v>
      </c>
      <c r="K40" s="2" t="s">
        <v>32</v>
      </c>
      <c r="L40" s="2" t="s">
        <v>45</v>
      </c>
      <c r="M40" s="2" t="s">
        <v>34</v>
      </c>
      <c r="N40" s="2">
        <v>-497</v>
      </c>
      <c r="O40" s="2">
        <v>-347</v>
      </c>
      <c r="P40" s="2" t="s">
        <v>748</v>
      </c>
      <c r="Q40" s="2" t="s">
        <v>749</v>
      </c>
    </row>
    <row r="41" spans="1:27" s="2" customFormat="1" x14ac:dyDescent="0.25">
      <c r="A41" s="2" t="s">
        <v>226</v>
      </c>
      <c r="B41" s="2" t="str">
        <f>CONCATENATE(A41,89)</f>
        <v>4HH1EJ2AK0389</v>
      </c>
      <c r="C41" s="2" t="s">
        <v>807</v>
      </c>
      <c r="D41" s="2" t="s">
        <v>808</v>
      </c>
      <c r="E41" s="2" t="str">
        <f t="shared" si="0"/>
        <v>MELANIA DOCTORIAN</v>
      </c>
      <c r="F41" s="2" t="s">
        <v>42</v>
      </c>
      <c r="G41" s="2" t="s">
        <v>29</v>
      </c>
      <c r="H41" s="3">
        <v>46023</v>
      </c>
      <c r="I41" s="3">
        <v>46023</v>
      </c>
      <c r="J41" s="2">
        <v>8244481</v>
      </c>
      <c r="K41" s="2" t="s">
        <v>32</v>
      </c>
      <c r="L41" s="2" t="s">
        <v>45</v>
      </c>
      <c r="M41" s="2" t="s">
        <v>34</v>
      </c>
      <c r="N41" s="2">
        <v>-497</v>
      </c>
      <c r="O41" s="2">
        <v>-347</v>
      </c>
      <c r="P41" s="2" t="s">
        <v>748</v>
      </c>
      <c r="Q41" s="2" t="s">
        <v>749</v>
      </c>
    </row>
    <row r="42" spans="1:27" s="2" customFormat="1" x14ac:dyDescent="0.25">
      <c r="A42" s="2" t="s">
        <v>254</v>
      </c>
      <c r="B42" s="2" t="str">
        <f>CONCATENATE(A42,89)</f>
        <v>8UY1XE2PM1789</v>
      </c>
      <c r="C42" s="2" t="s">
        <v>809</v>
      </c>
      <c r="D42" s="2" t="s">
        <v>810</v>
      </c>
      <c r="E42" s="2" t="str">
        <f t="shared" si="0"/>
        <v>KATHLEEN FINNEY</v>
      </c>
      <c r="F42" s="2" t="s">
        <v>42</v>
      </c>
      <c r="G42" s="2" t="s">
        <v>29</v>
      </c>
      <c r="H42" s="3">
        <v>46023</v>
      </c>
      <c r="I42" s="3">
        <v>46023</v>
      </c>
      <c r="J42" s="2">
        <v>8244481</v>
      </c>
      <c r="K42" s="2" t="s">
        <v>32</v>
      </c>
      <c r="L42" s="2" t="s">
        <v>45</v>
      </c>
      <c r="M42" s="2" t="s">
        <v>34</v>
      </c>
      <c r="N42" s="2">
        <v>-497</v>
      </c>
      <c r="O42" s="2">
        <v>-347</v>
      </c>
      <c r="P42" s="2" t="s">
        <v>748</v>
      </c>
      <c r="Q42" s="2" t="s">
        <v>749</v>
      </c>
    </row>
    <row r="43" spans="1:27" s="4" customFormat="1" x14ac:dyDescent="0.25">
      <c r="A43" s="2" t="s">
        <v>330</v>
      </c>
      <c r="B43" s="2" t="str">
        <f>CONCATENATE(A43,89)</f>
        <v>5U07J79UQ3189</v>
      </c>
      <c r="C43" s="2" t="s">
        <v>811</v>
      </c>
      <c r="D43" s="2" t="s">
        <v>812</v>
      </c>
      <c r="E43" s="2" t="str">
        <f t="shared" si="0"/>
        <v>GREGORY HENSON</v>
      </c>
      <c r="F43" s="2" t="s">
        <v>42</v>
      </c>
      <c r="G43" s="2" t="s">
        <v>29</v>
      </c>
      <c r="H43" s="3">
        <v>46023</v>
      </c>
      <c r="I43" s="3">
        <v>46023</v>
      </c>
      <c r="J43" s="2">
        <v>8244481</v>
      </c>
      <c r="K43" s="2" t="s">
        <v>32</v>
      </c>
      <c r="L43" s="2" t="s">
        <v>45</v>
      </c>
      <c r="M43" s="2" t="s">
        <v>34</v>
      </c>
      <c r="N43" s="2">
        <v>-497</v>
      </c>
      <c r="O43" s="2">
        <v>-347</v>
      </c>
      <c r="P43" s="2" t="s">
        <v>748</v>
      </c>
      <c r="Q43" s="2" t="s">
        <v>749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4" customFormat="1" x14ac:dyDescent="0.25">
      <c r="A44" s="2" t="s">
        <v>357</v>
      </c>
      <c r="B44" s="2" t="str">
        <f>CONCATENATE(A44,89)</f>
        <v>7X46CA1RA6389</v>
      </c>
      <c r="C44" s="2" t="s">
        <v>813</v>
      </c>
      <c r="D44" s="2" t="s">
        <v>814</v>
      </c>
      <c r="E44" s="2" t="str">
        <f t="shared" si="0"/>
        <v>KATHERINE HIRSCH</v>
      </c>
      <c r="F44" s="2" t="s">
        <v>42</v>
      </c>
      <c r="G44" s="2" t="s">
        <v>29</v>
      </c>
      <c r="H44" s="3">
        <v>46023</v>
      </c>
      <c r="I44" s="3">
        <v>46023</v>
      </c>
      <c r="J44" s="2">
        <v>8244481</v>
      </c>
      <c r="K44" s="2" t="s">
        <v>32</v>
      </c>
      <c r="L44" s="2" t="s">
        <v>45</v>
      </c>
      <c r="M44" s="2" t="s">
        <v>34</v>
      </c>
      <c r="N44" s="2">
        <v>-497</v>
      </c>
      <c r="O44" s="2">
        <v>-347</v>
      </c>
      <c r="P44" s="2" t="s">
        <v>748</v>
      </c>
      <c r="Q44" s="2" t="s">
        <v>749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4" customFormat="1" x14ac:dyDescent="0.25">
      <c r="A45" s="2" t="s">
        <v>451</v>
      </c>
      <c r="B45" s="2" t="str">
        <f>CONCATENATE(A45,89)</f>
        <v>7ED2DK0XG0689</v>
      </c>
      <c r="C45" s="2" t="s">
        <v>815</v>
      </c>
      <c r="D45" s="2" t="s">
        <v>816</v>
      </c>
      <c r="E45" s="2" t="str">
        <f t="shared" si="0"/>
        <v>JEFFREY MALINOWSKI</v>
      </c>
      <c r="F45" s="2" t="s">
        <v>42</v>
      </c>
      <c r="G45" s="2" t="s">
        <v>29</v>
      </c>
      <c r="H45" s="3">
        <v>46023</v>
      </c>
      <c r="I45" s="3">
        <v>46023</v>
      </c>
      <c r="J45" s="2">
        <v>8244481</v>
      </c>
      <c r="K45" s="2" t="s">
        <v>32</v>
      </c>
      <c r="L45" s="2" t="s">
        <v>45</v>
      </c>
      <c r="M45" s="2" t="s">
        <v>34</v>
      </c>
      <c r="N45" s="2">
        <v>-497</v>
      </c>
      <c r="O45" s="2">
        <v>-347</v>
      </c>
      <c r="P45" s="2" t="s">
        <v>748</v>
      </c>
      <c r="Q45" s="2" t="s">
        <v>749</v>
      </c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4" customFormat="1" x14ac:dyDescent="0.25">
      <c r="A46" s="2" t="s">
        <v>687</v>
      </c>
      <c r="B46" s="2" t="str">
        <f>CONCATENATE(A46,89)</f>
        <v>4E88WN7EF2189</v>
      </c>
      <c r="C46" s="2" t="s">
        <v>817</v>
      </c>
      <c r="D46" s="2" t="s">
        <v>787</v>
      </c>
      <c r="E46" s="2" t="str">
        <f t="shared" si="0"/>
        <v>JANICE WALSH</v>
      </c>
      <c r="F46" s="2" t="s">
        <v>690</v>
      </c>
      <c r="G46" s="2" t="s">
        <v>29</v>
      </c>
      <c r="H46" s="3">
        <v>46023</v>
      </c>
      <c r="I46" s="3">
        <v>46023</v>
      </c>
      <c r="J46" s="2">
        <v>8244481</v>
      </c>
      <c r="K46" s="2" t="s">
        <v>32</v>
      </c>
      <c r="L46" s="2" t="s">
        <v>45</v>
      </c>
      <c r="M46" s="2" t="s">
        <v>34</v>
      </c>
      <c r="N46" s="2">
        <v>-497</v>
      </c>
      <c r="O46" s="2">
        <v>-347</v>
      </c>
      <c r="P46" s="2" t="s">
        <v>748</v>
      </c>
      <c r="Q46" s="2" t="s">
        <v>749</v>
      </c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s="4" customFormat="1" x14ac:dyDescent="0.25">
      <c r="A47" s="2" t="s">
        <v>39</v>
      </c>
      <c r="B47" s="2" t="str">
        <f>CONCATENATE(A47,89)</f>
        <v>8MY6NH0FR6189</v>
      </c>
      <c r="C47" s="2" t="s">
        <v>796</v>
      </c>
      <c r="D47" s="2" t="s">
        <v>797</v>
      </c>
      <c r="E47" s="2" t="str">
        <f t="shared" si="0"/>
        <v>JEFFERY ALVIS</v>
      </c>
      <c r="F47" s="2" t="s">
        <v>42</v>
      </c>
      <c r="G47" s="2" t="s">
        <v>29</v>
      </c>
      <c r="H47" s="3">
        <v>46023</v>
      </c>
      <c r="I47" s="3">
        <v>46023</v>
      </c>
      <c r="J47" s="2">
        <v>8244481</v>
      </c>
      <c r="K47" s="2" t="s">
        <v>32</v>
      </c>
      <c r="L47" s="2" t="s">
        <v>45</v>
      </c>
      <c r="M47" s="2" t="s">
        <v>34</v>
      </c>
      <c r="N47" s="2">
        <v>-482</v>
      </c>
      <c r="O47" s="2">
        <v>-347</v>
      </c>
      <c r="P47" s="2" t="s">
        <v>748</v>
      </c>
      <c r="Q47" s="2" t="s">
        <v>749</v>
      </c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s="2" customFormat="1" x14ac:dyDescent="0.25">
      <c r="A48" s="2" t="s">
        <v>538</v>
      </c>
      <c r="B48" s="2" t="str">
        <f>CONCATENATE(A48,89)</f>
        <v>2JW2YH2KW0289</v>
      </c>
      <c r="C48" s="2" t="s">
        <v>798</v>
      </c>
      <c r="D48" s="2" t="s">
        <v>799</v>
      </c>
      <c r="E48" s="2" t="str">
        <f t="shared" si="0"/>
        <v>MARGARET NORBY</v>
      </c>
      <c r="F48" s="2" t="s">
        <v>42</v>
      </c>
      <c r="G48" s="2" t="s">
        <v>29</v>
      </c>
      <c r="H48" s="3">
        <v>46023</v>
      </c>
      <c r="I48" s="3">
        <v>46023</v>
      </c>
      <c r="J48" s="2">
        <v>8244481</v>
      </c>
      <c r="K48" s="2" t="s">
        <v>32</v>
      </c>
      <c r="L48" s="2" t="s">
        <v>45</v>
      </c>
      <c r="M48" s="2" t="s">
        <v>34</v>
      </c>
      <c r="N48" s="2">
        <v>-482</v>
      </c>
      <c r="O48" s="2">
        <v>-347</v>
      </c>
      <c r="P48" s="2" t="s">
        <v>748</v>
      </c>
      <c r="Q48" s="2" t="s">
        <v>749</v>
      </c>
    </row>
    <row r="49" spans="1:17" s="2" customFormat="1" x14ac:dyDescent="0.25">
      <c r="A49" s="2" t="s">
        <v>563</v>
      </c>
      <c r="B49" s="2" t="str">
        <f>CONCATENATE(A49,89)</f>
        <v>7E98DA6TF4289</v>
      </c>
      <c r="C49" s="2" t="s">
        <v>800</v>
      </c>
      <c r="D49" s="2" t="s">
        <v>801</v>
      </c>
      <c r="E49" s="2" t="str">
        <f t="shared" si="0"/>
        <v>BRUCE PATTERSON</v>
      </c>
      <c r="F49" s="2" t="s">
        <v>42</v>
      </c>
      <c r="G49" s="2" t="s">
        <v>29</v>
      </c>
      <c r="H49" s="3">
        <v>46023</v>
      </c>
      <c r="I49" s="3">
        <v>46023</v>
      </c>
      <c r="J49" s="2">
        <v>8244481</v>
      </c>
      <c r="K49" s="2" t="s">
        <v>32</v>
      </c>
      <c r="L49" s="2" t="s">
        <v>45</v>
      </c>
      <c r="M49" s="2" t="s">
        <v>34</v>
      </c>
      <c r="N49" s="2">
        <v>-482</v>
      </c>
      <c r="O49" s="2">
        <v>-347</v>
      </c>
      <c r="P49" s="2" t="s">
        <v>748</v>
      </c>
      <c r="Q49" s="2" t="s">
        <v>749</v>
      </c>
    </row>
    <row r="50" spans="1:17" s="2" customFormat="1" x14ac:dyDescent="0.25">
      <c r="A50" s="2" t="s">
        <v>645</v>
      </c>
      <c r="B50" s="2" t="str">
        <f>CONCATENATE(A50,89)</f>
        <v>4DJ7CT4HJ5389</v>
      </c>
      <c r="C50" s="2" t="s">
        <v>802</v>
      </c>
      <c r="D50" s="2" t="s">
        <v>803</v>
      </c>
      <c r="E50" s="2" t="str">
        <f t="shared" si="0"/>
        <v>SHARON SYLVESTER</v>
      </c>
      <c r="F50" s="2" t="s">
        <v>42</v>
      </c>
      <c r="G50" s="2" t="s">
        <v>29</v>
      </c>
      <c r="H50" s="3">
        <v>46023</v>
      </c>
      <c r="I50" s="3">
        <v>46023</v>
      </c>
      <c r="J50" s="2">
        <v>8244481</v>
      </c>
      <c r="K50" s="2" t="s">
        <v>32</v>
      </c>
      <c r="L50" s="2" t="s">
        <v>45</v>
      </c>
      <c r="M50" s="2" t="s">
        <v>34</v>
      </c>
      <c r="N50" s="2">
        <v>-482</v>
      </c>
      <c r="O50" s="2">
        <v>-347</v>
      </c>
      <c r="P50" s="2" t="s">
        <v>748</v>
      </c>
      <c r="Q50" s="2" t="s">
        <v>749</v>
      </c>
    </row>
    <row r="51" spans="1:17" s="2" customFormat="1" x14ac:dyDescent="0.25">
      <c r="A51" s="2" t="s">
        <v>727</v>
      </c>
      <c r="B51" s="2" t="str">
        <f>CONCATENATE(A51,89)</f>
        <v>8V34QX8KE6589</v>
      </c>
      <c r="C51" s="2" t="s">
        <v>804</v>
      </c>
      <c r="D51" s="2" t="s">
        <v>805</v>
      </c>
      <c r="E51" s="2" t="str">
        <f t="shared" si="0"/>
        <v>DIANNE WUNDERLE</v>
      </c>
      <c r="F51" s="2" t="s">
        <v>42</v>
      </c>
      <c r="G51" s="2" t="s">
        <v>29</v>
      </c>
      <c r="H51" s="3">
        <v>46023</v>
      </c>
      <c r="I51" s="3">
        <v>46023</v>
      </c>
      <c r="J51" s="2">
        <v>8244481</v>
      </c>
      <c r="K51" s="2" t="s">
        <v>32</v>
      </c>
      <c r="L51" s="2" t="s">
        <v>45</v>
      </c>
      <c r="M51" s="2" t="s">
        <v>34</v>
      </c>
      <c r="N51" s="2">
        <v>-482</v>
      </c>
      <c r="O51" s="2">
        <v>-347</v>
      </c>
      <c r="P51" s="2" t="s">
        <v>748</v>
      </c>
      <c r="Q51" s="2" t="s">
        <v>749</v>
      </c>
    </row>
    <row r="52" spans="1:17" s="2" customFormat="1" x14ac:dyDescent="0.25">
      <c r="A52" s="2" t="s">
        <v>687</v>
      </c>
      <c r="B52" s="2" t="str">
        <f>CONCATENATE(A52,89)</f>
        <v>4E88WN7EF2189</v>
      </c>
      <c r="C52" s="2" t="s">
        <v>817</v>
      </c>
      <c r="D52" s="2" t="s">
        <v>787</v>
      </c>
      <c r="E52" s="2" t="str">
        <f t="shared" si="0"/>
        <v>JANICE WALSH</v>
      </c>
      <c r="F52" s="2" t="s">
        <v>690</v>
      </c>
      <c r="G52" s="2" t="s">
        <v>86</v>
      </c>
      <c r="H52" s="3">
        <v>46054</v>
      </c>
      <c r="I52" s="3">
        <v>46054</v>
      </c>
      <c r="J52" s="2">
        <v>8244481</v>
      </c>
      <c r="K52" s="2" t="s">
        <v>32</v>
      </c>
      <c r="L52" s="2" t="s">
        <v>45</v>
      </c>
      <c r="M52" s="2" t="s">
        <v>34</v>
      </c>
      <c r="N52" s="2">
        <v>455.58</v>
      </c>
      <c r="O52" s="2">
        <v>318.08</v>
      </c>
      <c r="P52" s="2" t="s">
        <v>748</v>
      </c>
      <c r="Q52" s="2" t="s">
        <v>751</v>
      </c>
    </row>
    <row r="53" spans="1:17" s="2" customFormat="1" x14ac:dyDescent="0.25">
      <c r="A53" s="2" t="s">
        <v>46</v>
      </c>
      <c r="B53" s="2" t="str">
        <f>CONCATENATE(A53,77)</f>
        <v>8KG9CR3YP5577</v>
      </c>
      <c r="C53" s="2" t="s">
        <v>818</v>
      </c>
      <c r="D53" s="2" t="s">
        <v>819</v>
      </c>
      <c r="E53" s="2" t="str">
        <f t="shared" si="0"/>
        <v>JOHN ARRASMITH</v>
      </c>
      <c r="F53" s="2" t="s">
        <v>42</v>
      </c>
      <c r="G53" s="2" t="s">
        <v>29</v>
      </c>
      <c r="H53" s="3">
        <v>46023</v>
      </c>
      <c r="I53" s="3">
        <v>46023</v>
      </c>
      <c r="J53" s="2">
        <v>18828278</v>
      </c>
      <c r="K53" s="2" t="s">
        <v>32</v>
      </c>
      <c r="L53" s="2" t="s">
        <v>51</v>
      </c>
      <c r="M53" s="2" t="s">
        <v>34</v>
      </c>
      <c r="N53" s="2">
        <v>829</v>
      </c>
      <c r="O53" s="2">
        <v>694</v>
      </c>
      <c r="P53" s="2" t="s">
        <v>753</v>
      </c>
      <c r="Q53" s="2" t="s">
        <v>756</v>
      </c>
    </row>
    <row r="54" spans="1:17" s="2" customFormat="1" x14ac:dyDescent="0.25">
      <c r="A54" s="2" t="s">
        <v>58</v>
      </c>
      <c r="B54" s="2" t="str">
        <f>CONCATENATE(A54,77)</f>
        <v>1M82KU5GH1277</v>
      </c>
      <c r="C54" s="2" t="s">
        <v>820</v>
      </c>
      <c r="D54" s="2" t="s">
        <v>821</v>
      </c>
      <c r="E54" s="2" t="str">
        <f t="shared" si="0"/>
        <v>TERRY ATKINS</v>
      </c>
      <c r="F54" s="2" t="s">
        <v>42</v>
      </c>
      <c r="G54" s="2" t="s">
        <v>29</v>
      </c>
      <c r="H54" s="3">
        <v>46023</v>
      </c>
      <c r="I54" s="3">
        <v>46023</v>
      </c>
      <c r="J54" s="2">
        <v>18828278</v>
      </c>
      <c r="K54" s="2" t="s">
        <v>32</v>
      </c>
      <c r="L54" s="2" t="s">
        <v>51</v>
      </c>
      <c r="M54" s="2" t="s">
        <v>34</v>
      </c>
      <c r="N54" s="2">
        <v>829</v>
      </c>
      <c r="O54" s="2">
        <v>694</v>
      </c>
      <c r="P54" s="2" t="s">
        <v>753</v>
      </c>
      <c r="Q54" s="2" t="s">
        <v>756</v>
      </c>
    </row>
    <row r="55" spans="1:17" s="2" customFormat="1" x14ac:dyDescent="0.25">
      <c r="A55" s="2" t="s">
        <v>237</v>
      </c>
      <c r="B55" s="2" t="str">
        <f>CONCATENATE(A55,77)</f>
        <v>7CJ4UY7TE7977</v>
      </c>
      <c r="C55" s="2" t="s">
        <v>822</v>
      </c>
      <c r="D55" s="2" t="s">
        <v>799</v>
      </c>
      <c r="E55" s="2" t="str">
        <f t="shared" si="0"/>
        <v>MARGARET DONATH</v>
      </c>
      <c r="F55" s="2" t="s">
        <v>42</v>
      </c>
      <c r="G55" s="2" t="s">
        <v>29</v>
      </c>
      <c r="H55" s="3">
        <v>46023</v>
      </c>
      <c r="I55" s="3">
        <v>46023</v>
      </c>
      <c r="J55" s="2">
        <v>18828278</v>
      </c>
      <c r="K55" s="2" t="s">
        <v>32</v>
      </c>
      <c r="L55" s="2" t="s">
        <v>51</v>
      </c>
      <c r="M55" s="2" t="s">
        <v>34</v>
      </c>
      <c r="N55" s="2">
        <v>829</v>
      </c>
      <c r="O55" s="2">
        <v>694</v>
      </c>
      <c r="P55" s="2" t="s">
        <v>753</v>
      </c>
      <c r="Q55" s="2" t="s">
        <v>756</v>
      </c>
    </row>
    <row r="56" spans="1:17" s="2" customFormat="1" x14ac:dyDescent="0.25">
      <c r="A56" s="2" t="s">
        <v>240</v>
      </c>
      <c r="B56" s="2" t="str">
        <f>CONCATENATE(A56,77)</f>
        <v>2A91QA8CV2477</v>
      </c>
      <c r="C56" s="2" t="s">
        <v>822</v>
      </c>
      <c r="D56" s="2" t="s">
        <v>790</v>
      </c>
      <c r="E56" s="2" t="str">
        <f t="shared" si="0"/>
        <v>RICHARD DONATH</v>
      </c>
      <c r="F56" s="2" t="s">
        <v>42</v>
      </c>
      <c r="G56" s="2" t="s">
        <v>29</v>
      </c>
      <c r="H56" s="3">
        <v>46023</v>
      </c>
      <c r="I56" s="3">
        <v>46023</v>
      </c>
      <c r="J56" s="2">
        <v>18828278</v>
      </c>
      <c r="K56" s="2" t="s">
        <v>32</v>
      </c>
      <c r="L56" s="2" t="s">
        <v>51</v>
      </c>
      <c r="M56" s="2" t="s">
        <v>34</v>
      </c>
      <c r="N56" s="2">
        <v>829</v>
      </c>
      <c r="O56" s="2">
        <v>694</v>
      </c>
      <c r="P56" s="2" t="s">
        <v>753</v>
      </c>
      <c r="Q56" s="2" t="s">
        <v>756</v>
      </c>
    </row>
    <row r="57" spans="1:17" s="2" customFormat="1" x14ac:dyDescent="0.25">
      <c r="A57" s="2" t="s">
        <v>636</v>
      </c>
      <c r="B57" s="2" t="str">
        <f>CONCATENATE(A57,77)</f>
        <v>7U28GX9HJ1077</v>
      </c>
      <c r="C57" s="2" t="s">
        <v>823</v>
      </c>
      <c r="D57" s="2" t="s">
        <v>824</v>
      </c>
      <c r="E57" s="2" t="str">
        <f t="shared" si="0"/>
        <v>NICHOLE SLEEPER</v>
      </c>
      <c r="F57" s="2" t="s">
        <v>42</v>
      </c>
      <c r="G57" s="2" t="s">
        <v>29</v>
      </c>
      <c r="H57" s="3">
        <v>46023</v>
      </c>
      <c r="I57" s="3">
        <v>46023</v>
      </c>
      <c r="J57" s="2">
        <v>18828278</v>
      </c>
      <c r="K57" s="2" t="s">
        <v>32</v>
      </c>
      <c r="L57" s="2" t="s">
        <v>51</v>
      </c>
      <c r="M57" s="2" t="s">
        <v>34</v>
      </c>
      <c r="N57" s="2">
        <v>829</v>
      </c>
      <c r="O57" s="2">
        <v>694</v>
      </c>
      <c r="P57" s="2" t="s">
        <v>753</v>
      </c>
      <c r="Q57" s="2" t="s">
        <v>756</v>
      </c>
    </row>
    <row r="58" spans="1:17" s="2" customFormat="1" x14ac:dyDescent="0.25">
      <c r="A58" s="2" t="s">
        <v>284</v>
      </c>
      <c r="B58" s="2" t="str">
        <f>CONCATENATE(A58,77)</f>
        <v>5F30U68VE0577</v>
      </c>
      <c r="C58" s="2" t="s">
        <v>825</v>
      </c>
      <c r="D58" s="2" t="s">
        <v>812</v>
      </c>
      <c r="E58" s="2" t="str">
        <f t="shared" si="0"/>
        <v>GREGORY GILLES</v>
      </c>
      <c r="F58" s="2" t="s">
        <v>42</v>
      </c>
      <c r="G58" s="2" t="s">
        <v>29</v>
      </c>
      <c r="H58" s="3">
        <v>46023</v>
      </c>
      <c r="I58" s="3">
        <v>46023</v>
      </c>
      <c r="J58" s="2">
        <v>18828278</v>
      </c>
      <c r="K58" s="2" t="s">
        <v>32</v>
      </c>
      <c r="L58" s="2" t="s">
        <v>51</v>
      </c>
      <c r="M58" s="2" t="s">
        <v>34</v>
      </c>
      <c r="N58" s="2">
        <v>844</v>
      </c>
      <c r="O58" s="2">
        <v>694</v>
      </c>
      <c r="P58" s="2" t="s">
        <v>753</v>
      </c>
      <c r="Q58" s="2" t="s">
        <v>756</v>
      </c>
    </row>
    <row r="59" spans="1:17" s="2" customFormat="1" x14ac:dyDescent="0.25">
      <c r="A59" s="2" t="s">
        <v>382</v>
      </c>
      <c r="B59" s="2" t="str">
        <f>CONCATENATE(A59,77)</f>
        <v>2RM9EQ2PG3377</v>
      </c>
      <c r="C59" s="2" t="s">
        <v>826</v>
      </c>
      <c r="D59" s="2" t="s">
        <v>827</v>
      </c>
      <c r="E59" s="2" t="str">
        <f t="shared" si="0"/>
        <v>BRYCE JONES</v>
      </c>
      <c r="F59" s="2" t="s">
        <v>42</v>
      </c>
      <c r="G59" s="2" t="s">
        <v>29</v>
      </c>
      <c r="H59" s="3">
        <v>46054</v>
      </c>
      <c r="I59" s="3">
        <v>46054</v>
      </c>
      <c r="J59" s="2">
        <v>18828278</v>
      </c>
      <c r="K59" s="2" t="s">
        <v>32</v>
      </c>
      <c r="L59" s="2" t="s">
        <v>51</v>
      </c>
      <c r="M59" s="2" t="s">
        <v>34</v>
      </c>
      <c r="N59" s="2">
        <v>844</v>
      </c>
      <c r="O59" s="2">
        <v>694</v>
      </c>
      <c r="P59" s="2" t="s">
        <v>753</v>
      </c>
      <c r="Q59" s="2" t="s">
        <v>756</v>
      </c>
    </row>
    <row r="60" spans="1:17" s="2" customFormat="1" x14ac:dyDescent="0.25">
      <c r="A60" s="2" t="s">
        <v>681</v>
      </c>
      <c r="B60" s="2" t="str">
        <f>CONCATENATE(A60,77)</f>
        <v>6UK7NV9RD4977</v>
      </c>
      <c r="C60" s="2" t="s">
        <v>828</v>
      </c>
      <c r="D60" s="2" t="s">
        <v>829</v>
      </c>
      <c r="E60" s="2" t="str">
        <f t="shared" si="0"/>
        <v>EVELYN VEGA</v>
      </c>
      <c r="F60" s="2" t="s">
        <v>42</v>
      </c>
      <c r="G60" s="2" t="s">
        <v>29</v>
      </c>
      <c r="H60" s="3">
        <v>46023</v>
      </c>
      <c r="I60" s="3">
        <v>46023</v>
      </c>
      <c r="J60" s="2">
        <v>18828278</v>
      </c>
      <c r="K60" s="2" t="s">
        <v>32</v>
      </c>
      <c r="L60" s="2" t="s">
        <v>51</v>
      </c>
      <c r="M60" s="2" t="s">
        <v>34</v>
      </c>
      <c r="N60" s="2">
        <v>844</v>
      </c>
      <c r="O60" s="2">
        <v>694</v>
      </c>
      <c r="P60" s="2" t="s">
        <v>753</v>
      </c>
      <c r="Q60" s="2" t="s">
        <v>756</v>
      </c>
    </row>
    <row r="61" spans="1:17" s="2" customFormat="1" x14ac:dyDescent="0.25">
      <c r="A61" s="2" t="s">
        <v>284</v>
      </c>
      <c r="B61" s="2" t="str">
        <f>CONCATENATE(A61,89)</f>
        <v>5F30U68VE0589</v>
      </c>
      <c r="C61" s="2" t="s">
        <v>825</v>
      </c>
      <c r="D61" s="2" t="s">
        <v>812</v>
      </c>
      <c r="E61" s="2" t="str">
        <f t="shared" si="0"/>
        <v>GREGORY GILLES</v>
      </c>
      <c r="F61" s="2" t="s">
        <v>42</v>
      </c>
      <c r="G61" s="2" t="s">
        <v>29</v>
      </c>
      <c r="H61" s="3">
        <v>46023</v>
      </c>
      <c r="I61" s="3">
        <v>46023</v>
      </c>
      <c r="J61" s="2">
        <v>18828278</v>
      </c>
      <c r="K61" s="2" t="s">
        <v>32</v>
      </c>
      <c r="L61" s="2" t="s">
        <v>51</v>
      </c>
      <c r="M61" s="2" t="s">
        <v>34</v>
      </c>
      <c r="N61" s="2">
        <v>-497</v>
      </c>
      <c r="O61" s="2">
        <v>-347</v>
      </c>
      <c r="P61" s="2" t="s">
        <v>748</v>
      </c>
      <c r="Q61" s="2" t="s">
        <v>749</v>
      </c>
    </row>
    <row r="62" spans="1:17" s="2" customFormat="1" x14ac:dyDescent="0.25">
      <c r="A62" s="2" t="s">
        <v>681</v>
      </c>
      <c r="B62" s="2" t="str">
        <f>CONCATENATE(A62,89)</f>
        <v>6UK7NV9RD4989</v>
      </c>
      <c r="C62" s="2" t="s">
        <v>828</v>
      </c>
      <c r="D62" s="2" t="s">
        <v>829</v>
      </c>
      <c r="E62" s="2" t="str">
        <f t="shared" si="0"/>
        <v>EVELYN VEGA</v>
      </c>
      <c r="F62" s="2" t="s">
        <v>42</v>
      </c>
      <c r="G62" s="2" t="s">
        <v>29</v>
      </c>
      <c r="H62" s="3">
        <v>46023</v>
      </c>
      <c r="I62" s="3">
        <v>46023</v>
      </c>
      <c r="J62" s="2">
        <v>18828278</v>
      </c>
      <c r="K62" s="2" t="s">
        <v>32</v>
      </c>
      <c r="L62" s="2" t="s">
        <v>51</v>
      </c>
      <c r="M62" s="2" t="s">
        <v>34</v>
      </c>
      <c r="N62" s="2">
        <v>-497</v>
      </c>
      <c r="O62" s="2">
        <v>-347</v>
      </c>
      <c r="P62" s="2" t="s">
        <v>748</v>
      </c>
      <c r="Q62" s="2" t="s">
        <v>749</v>
      </c>
    </row>
    <row r="63" spans="1:17" s="2" customFormat="1" x14ac:dyDescent="0.25">
      <c r="A63" s="2" t="s">
        <v>46</v>
      </c>
      <c r="B63" s="2" t="str">
        <f>CONCATENATE(A63,89)</f>
        <v>8KG9CR3YP5589</v>
      </c>
      <c r="C63" s="2" t="s">
        <v>818</v>
      </c>
      <c r="D63" s="2" t="s">
        <v>819</v>
      </c>
      <c r="E63" s="2" t="str">
        <f t="shared" si="0"/>
        <v>JOHN ARRASMITH</v>
      </c>
      <c r="F63" s="2" t="s">
        <v>42</v>
      </c>
      <c r="G63" s="2" t="s">
        <v>29</v>
      </c>
      <c r="H63" s="3">
        <v>46023</v>
      </c>
      <c r="I63" s="3">
        <v>46023</v>
      </c>
      <c r="J63" s="2">
        <v>18828278</v>
      </c>
      <c r="K63" s="2" t="s">
        <v>32</v>
      </c>
      <c r="L63" s="2" t="s">
        <v>51</v>
      </c>
      <c r="M63" s="2" t="s">
        <v>34</v>
      </c>
      <c r="N63" s="2">
        <v>-482</v>
      </c>
      <c r="O63" s="2">
        <v>-347</v>
      </c>
      <c r="P63" s="2" t="s">
        <v>748</v>
      </c>
      <c r="Q63" s="2" t="s">
        <v>749</v>
      </c>
    </row>
    <row r="64" spans="1:17" s="2" customFormat="1" x14ac:dyDescent="0.25">
      <c r="A64" s="2" t="s">
        <v>58</v>
      </c>
      <c r="B64" s="2" t="str">
        <f>CONCATENATE(A64,89)</f>
        <v>1M82KU5GH1289</v>
      </c>
      <c r="C64" s="2" t="s">
        <v>820</v>
      </c>
      <c r="D64" s="2" t="s">
        <v>821</v>
      </c>
      <c r="E64" s="2" t="str">
        <f t="shared" si="0"/>
        <v>TERRY ATKINS</v>
      </c>
      <c r="F64" s="2" t="s">
        <v>42</v>
      </c>
      <c r="G64" s="2" t="s">
        <v>29</v>
      </c>
      <c r="H64" s="3">
        <v>46023</v>
      </c>
      <c r="I64" s="3">
        <v>46023</v>
      </c>
      <c r="J64" s="2">
        <v>18828278</v>
      </c>
      <c r="K64" s="2" t="s">
        <v>32</v>
      </c>
      <c r="L64" s="2" t="s">
        <v>51</v>
      </c>
      <c r="M64" s="2" t="s">
        <v>34</v>
      </c>
      <c r="N64" s="2">
        <v>-482</v>
      </c>
      <c r="O64" s="2">
        <v>-347</v>
      </c>
      <c r="P64" s="2" t="s">
        <v>748</v>
      </c>
      <c r="Q64" s="2" t="s">
        <v>749</v>
      </c>
    </row>
    <row r="65" spans="1:18" s="2" customFormat="1" x14ac:dyDescent="0.25">
      <c r="A65" s="2" t="s">
        <v>237</v>
      </c>
      <c r="B65" s="2" t="str">
        <f>CONCATENATE(A65,89)</f>
        <v>7CJ4UY7TE7989</v>
      </c>
      <c r="C65" s="2" t="s">
        <v>822</v>
      </c>
      <c r="D65" s="2" t="s">
        <v>799</v>
      </c>
      <c r="E65" s="2" t="str">
        <f t="shared" si="0"/>
        <v>MARGARET DONATH</v>
      </c>
      <c r="F65" s="2" t="s">
        <v>42</v>
      </c>
      <c r="G65" s="2" t="s">
        <v>29</v>
      </c>
      <c r="H65" s="3">
        <v>46023</v>
      </c>
      <c r="I65" s="3">
        <v>46023</v>
      </c>
      <c r="J65" s="2">
        <v>18828278</v>
      </c>
      <c r="K65" s="2" t="s">
        <v>32</v>
      </c>
      <c r="L65" s="2" t="s">
        <v>51</v>
      </c>
      <c r="M65" s="2" t="s">
        <v>34</v>
      </c>
      <c r="N65" s="2">
        <v>-482</v>
      </c>
      <c r="O65" s="2">
        <v>-347</v>
      </c>
      <c r="P65" s="2" t="s">
        <v>748</v>
      </c>
      <c r="Q65" s="2" t="s">
        <v>749</v>
      </c>
    </row>
    <row r="66" spans="1:18" s="2" customFormat="1" x14ac:dyDescent="0.25">
      <c r="A66" s="2" t="s">
        <v>240</v>
      </c>
      <c r="B66" s="2" t="str">
        <f>CONCATENATE(A66,89)</f>
        <v>2A91QA8CV2489</v>
      </c>
      <c r="C66" s="2" t="s">
        <v>822</v>
      </c>
      <c r="D66" s="2" t="s">
        <v>790</v>
      </c>
      <c r="E66" s="2" t="str">
        <f t="shared" si="0"/>
        <v>RICHARD DONATH</v>
      </c>
      <c r="F66" s="2" t="s">
        <v>42</v>
      </c>
      <c r="G66" s="2" t="s">
        <v>29</v>
      </c>
      <c r="H66" s="3">
        <v>46023</v>
      </c>
      <c r="I66" s="3">
        <v>46023</v>
      </c>
      <c r="J66" s="2">
        <v>18828278</v>
      </c>
      <c r="K66" s="2" t="s">
        <v>32</v>
      </c>
      <c r="L66" s="2" t="s">
        <v>51</v>
      </c>
      <c r="M66" s="2" t="s">
        <v>34</v>
      </c>
      <c r="N66" s="2">
        <v>-482</v>
      </c>
      <c r="O66" s="2">
        <v>-347</v>
      </c>
      <c r="P66" s="2" t="s">
        <v>748</v>
      </c>
      <c r="Q66" s="2" t="s">
        <v>749</v>
      </c>
    </row>
    <row r="67" spans="1:18" s="2" customFormat="1" x14ac:dyDescent="0.25">
      <c r="A67" s="2" t="s">
        <v>636</v>
      </c>
      <c r="B67" s="2" t="str">
        <f>CONCATENATE(A67,89)</f>
        <v>7U28GX9HJ1089</v>
      </c>
      <c r="C67" s="2" t="s">
        <v>823</v>
      </c>
      <c r="D67" s="2" t="s">
        <v>824</v>
      </c>
      <c r="E67" s="2" t="str">
        <f t="shared" ref="E67:E130" si="1">CONCATENATE(D67," ",C67)</f>
        <v>NICHOLE SLEEPER</v>
      </c>
      <c r="F67" s="2" t="s">
        <v>42</v>
      </c>
      <c r="G67" s="2" t="s">
        <v>29</v>
      </c>
      <c r="H67" s="3">
        <v>46023</v>
      </c>
      <c r="I67" s="3">
        <v>46023</v>
      </c>
      <c r="J67" s="2">
        <v>18828278</v>
      </c>
      <c r="K67" s="2" t="s">
        <v>32</v>
      </c>
      <c r="L67" s="2" t="s">
        <v>51</v>
      </c>
      <c r="M67" s="2" t="s">
        <v>34</v>
      </c>
      <c r="N67" s="2">
        <v>-482</v>
      </c>
      <c r="O67" s="2">
        <v>-347</v>
      </c>
      <c r="P67" s="2" t="s">
        <v>748</v>
      </c>
      <c r="Q67" s="2" t="s">
        <v>749</v>
      </c>
    </row>
    <row r="68" spans="1:18" s="2" customFormat="1" x14ac:dyDescent="0.25">
      <c r="A68" s="2" t="s">
        <v>669</v>
      </c>
      <c r="B68" s="2" t="str">
        <f>CONCATENATE(A68,89)</f>
        <v>7KA7YD1WT5389</v>
      </c>
      <c r="C68" s="2" t="s">
        <v>830</v>
      </c>
      <c r="D68" s="2" t="s">
        <v>831</v>
      </c>
      <c r="E68" s="2" t="str">
        <f t="shared" si="1"/>
        <v>JUDITH TRIMBLE</v>
      </c>
      <c r="F68" s="2" t="s">
        <v>42</v>
      </c>
      <c r="G68" s="2" t="s">
        <v>29</v>
      </c>
      <c r="H68" s="3">
        <v>46023</v>
      </c>
      <c r="I68" s="3">
        <v>46023</v>
      </c>
      <c r="J68" s="2">
        <v>18828278</v>
      </c>
      <c r="K68" s="2" t="s">
        <v>32</v>
      </c>
      <c r="L68" s="2" t="s">
        <v>51</v>
      </c>
      <c r="M68" s="2" t="s">
        <v>34</v>
      </c>
      <c r="N68" s="2">
        <v>-482</v>
      </c>
      <c r="O68" s="2">
        <v>-347</v>
      </c>
      <c r="P68" s="2" t="s">
        <v>748</v>
      </c>
      <c r="Q68" s="2" t="s">
        <v>749</v>
      </c>
    </row>
    <row r="69" spans="1:18" s="2" customFormat="1" x14ac:dyDescent="0.25">
      <c r="A69" s="2" t="s">
        <v>382</v>
      </c>
      <c r="B69" s="2" t="str">
        <f>CONCATENATE(A69,89)</f>
        <v>2RM9EQ2PG3389</v>
      </c>
      <c r="C69" s="2" t="s">
        <v>826</v>
      </c>
      <c r="D69" s="2" t="s">
        <v>827</v>
      </c>
      <c r="E69" s="2" t="str">
        <f t="shared" si="1"/>
        <v>BRYCE JONES</v>
      </c>
      <c r="F69" s="2" t="s">
        <v>42</v>
      </c>
      <c r="G69" s="2" t="s">
        <v>29</v>
      </c>
      <c r="H69" s="3">
        <v>46054</v>
      </c>
      <c r="I69" s="3">
        <v>46054</v>
      </c>
      <c r="J69" s="2">
        <v>18828278</v>
      </c>
      <c r="K69" s="2" t="s">
        <v>32</v>
      </c>
      <c r="L69" s="2" t="s">
        <v>51</v>
      </c>
      <c r="M69" s="2" t="s">
        <v>34</v>
      </c>
      <c r="N69" s="2">
        <v>-455.58</v>
      </c>
      <c r="O69" s="2">
        <v>-318.08</v>
      </c>
      <c r="P69" s="2" t="s">
        <v>748</v>
      </c>
      <c r="Q69" s="2" t="s">
        <v>751</v>
      </c>
    </row>
    <row r="70" spans="1:18" s="2" customFormat="1" x14ac:dyDescent="0.25">
      <c r="A70" s="2" t="s">
        <v>678</v>
      </c>
      <c r="B70" s="2" t="str">
        <f>CONCATENATE(A70,77)</f>
        <v>9XF6PW0XU7877</v>
      </c>
      <c r="C70" s="2" t="s">
        <v>832</v>
      </c>
      <c r="D70" s="2" t="s">
        <v>833</v>
      </c>
      <c r="E70" s="2" t="str">
        <f t="shared" si="1"/>
        <v>JOANGELA VARI</v>
      </c>
      <c r="F70" s="2" t="s">
        <v>182</v>
      </c>
      <c r="G70" s="2" t="s">
        <v>29</v>
      </c>
      <c r="H70" s="3">
        <v>46023</v>
      </c>
      <c r="I70" s="3">
        <v>46023</v>
      </c>
      <c r="J70" s="2">
        <v>17425766</v>
      </c>
      <c r="K70" s="2" t="s">
        <v>32</v>
      </c>
      <c r="L70" s="2" t="s">
        <v>71</v>
      </c>
      <c r="M70" s="2" t="s">
        <v>34</v>
      </c>
      <c r="N70" s="2">
        <v>844</v>
      </c>
      <c r="O70" s="2">
        <v>694</v>
      </c>
      <c r="P70" s="2" t="s">
        <v>753</v>
      </c>
      <c r="Q70" s="2" t="s">
        <v>756</v>
      </c>
    </row>
    <row r="71" spans="1:18" s="2" customFormat="1" x14ac:dyDescent="0.25">
      <c r="A71" s="2" t="s">
        <v>375</v>
      </c>
      <c r="B71" s="2" t="str">
        <f>CONCATENATE(A71,77)</f>
        <v>6MU3M82YQ7677</v>
      </c>
      <c r="C71" s="2" t="s">
        <v>834</v>
      </c>
      <c r="D71" s="2" t="s">
        <v>835</v>
      </c>
      <c r="E71" s="2" t="str">
        <f t="shared" si="1"/>
        <v>CATHERINE JACKSON</v>
      </c>
      <c r="F71" s="2" t="s">
        <v>27</v>
      </c>
      <c r="G71" s="2" t="s">
        <v>29</v>
      </c>
      <c r="H71" s="3">
        <v>46023</v>
      </c>
      <c r="I71" s="3">
        <v>46023</v>
      </c>
      <c r="J71" s="2">
        <v>17425766</v>
      </c>
      <c r="K71" s="2" t="s">
        <v>32</v>
      </c>
      <c r="L71" s="2" t="s">
        <v>71</v>
      </c>
      <c r="M71" s="2" t="s">
        <v>34</v>
      </c>
      <c r="N71" s="2">
        <v>931</v>
      </c>
      <c r="O71" s="2">
        <v>781</v>
      </c>
      <c r="P71" s="2" t="s">
        <v>755</v>
      </c>
      <c r="Q71" s="2" t="s">
        <v>758</v>
      </c>
    </row>
    <row r="72" spans="1:18" s="2" customFormat="1" x14ac:dyDescent="0.25">
      <c r="A72" s="2" t="s">
        <v>714</v>
      </c>
      <c r="B72" s="2" t="str">
        <f>CONCATENATE(A72,77)</f>
        <v>8R11P62KQ2177</v>
      </c>
      <c r="C72" s="2" t="s">
        <v>836</v>
      </c>
      <c r="D72" s="2" t="s">
        <v>837</v>
      </c>
      <c r="E72" s="2" t="str">
        <f t="shared" si="1"/>
        <v>BARRY WILLIAMS</v>
      </c>
      <c r="F72" s="2" t="s">
        <v>27</v>
      </c>
      <c r="G72" s="2" t="s">
        <v>29</v>
      </c>
      <c r="H72" s="3">
        <v>46023</v>
      </c>
      <c r="I72" s="3">
        <v>46023</v>
      </c>
      <c r="J72" s="2">
        <v>17425766</v>
      </c>
      <c r="K72" s="2" t="s">
        <v>32</v>
      </c>
      <c r="L72" s="2" t="s">
        <v>71</v>
      </c>
      <c r="M72" s="2" t="s">
        <v>34</v>
      </c>
      <c r="N72" s="2">
        <v>931</v>
      </c>
      <c r="O72" s="2">
        <v>781</v>
      </c>
      <c r="P72" s="2" t="s">
        <v>755</v>
      </c>
      <c r="Q72" s="2" t="s">
        <v>758</v>
      </c>
      <c r="R72" s="2">
        <f>916-781</f>
        <v>135</v>
      </c>
    </row>
    <row r="73" spans="1:18" s="2" customFormat="1" x14ac:dyDescent="0.25">
      <c r="A73" s="2" t="s">
        <v>375</v>
      </c>
      <c r="B73" s="2" t="str">
        <f>CONCATENATE(A73,89)</f>
        <v>6MU3M82YQ7689</v>
      </c>
      <c r="C73" s="2" t="s">
        <v>834</v>
      </c>
      <c r="D73" s="2" t="s">
        <v>835</v>
      </c>
      <c r="E73" s="2" t="str">
        <f t="shared" si="1"/>
        <v>CATHERINE JACKSON</v>
      </c>
      <c r="F73" s="2" t="s">
        <v>27</v>
      </c>
      <c r="G73" s="2" t="s">
        <v>29</v>
      </c>
      <c r="H73" s="3">
        <v>46023</v>
      </c>
      <c r="I73" s="3">
        <v>46023</v>
      </c>
      <c r="J73" s="2">
        <v>17425766</v>
      </c>
      <c r="K73" s="2" t="s">
        <v>32</v>
      </c>
      <c r="L73" s="2" t="s">
        <v>71</v>
      </c>
      <c r="M73" s="2" t="s">
        <v>34</v>
      </c>
      <c r="N73" s="2">
        <v>-541</v>
      </c>
      <c r="O73" s="2">
        <v>-391</v>
      </c>
      <c r="P73" s="2" t="s">
        <v>747</v>
      </c>
      <c r="Q73" s="2" t="s">
        <v>746</v>
      </c>
    </row>
    <row r="74" spans="1:18" s="2" customFormat="1" x14ac:dyDescent="0.25">
      <c r="A74" s="2" t="s">
        <v>714</v>
      </c>
      <c r="B74" s="2" t="str">
        <f>CONCATENATE(A74,89)</f>
        <v>8R11P62KQ2189</v>
      </c>
      <c r="C74" s="2" t="s">
        <v>836</v>
      </c>
      <c r="D74" s="2" t="s">
        <v>837</v>
      </c>
      <c r="E74" s="2" t="str">
        <f t="shared" si="1"/>
        <v>BARRY WILLIAMS</v>
      </c>
      <c r="F74" s="2" t="s">
        <v>27</v>
      </c>
      <c r="G74" s="2" t="s">
        <v>29</v>
      </c>
      <c r="H74" s="3">
        <v>46023</v>
      </c>
      <c r="I74" s="3">
        <v>46023</v>
      </c>
      <c r="J74" s="2">
        <v>17425766</v>
      </c>
      <c r="K74" s="2" t="s">
        <v>32</v>
      </c>
      <c r="L74" s="2" t="s">
        <v>71</v>
      </c>
      <c r="M74" s="2" t="s">
        <v>34</v>
      </c>
      <c r="N74" s="2">
        <v>-541</v>
      </c>
      <c r="O74" s="2">
        <v>-391</v>
      </c>
      <c r="P74" s="2" t="s">
        <v>747</v>
      </c>
      <c r="Q74" s="2" t="s">
        <v>746</v>
      </c>
    </row>
    <row r="75" spans="1:18" s="2" customFormat="1" x14ac:dyDescent="0.25">
      <c r="A75" s="2" t="s">
        <v>65</v>
      </c>
      <c r="B75" s="2" t="str">
        <f>CONCATENATE(A75,89)</f>
        <v>9KU1CT4CE9789</v>
      </c>
      <c r="C75" s="2" t="s">
        <v>838</v>
      </c>
      <c r="D75" s="2" t="s">
        <v>839</v>
      </c>
      <c r="E75" s="2" t="str">
        <f t="shared" si="1"/>
        <v>WALTER BATOG</v>
      </c>
      <c r="F75" s="2" t="s">
        <v>27</v>
      </c>
      <c r="G75" s="2" t="s">
        <v>29</v>
      </c>
      <c r="H75" s="3">
        <v>46023</v>
      </c>
      <c r="I75" s="3">
        <v>44197</v>
      </c>
      <c r="J75" s="2">
        <v>17425766</v>
      </c>
      <c r="K75" s="2" t="s">
        <v>32</v>
      </c>
      <c r="L75" s="2" t="s">
        <v>71</v>
      </c>
      <c r="M75" s="2" t="s">
        <v>34</v>
      </c>
      <c r="N75" s="2">
        <v>37.17</v>
      </c>
      <c r="O75" s="2">
        <v>32.58</v>
      </c>
      <c r="P75" s="2" t="s">
        <v>747</v>
      </c>
      <c r="Q75" s="2" t="s">
        <v>763</v>
      </c>
      <c r="R75" s="2">
        <f>O75+O79</f>
        <v>379.58</v>
      </c>
    </row>
    <row r="76" spans="1:18" s="2" customFormat="1" x14ac:dyDescent="0.25">
      <c r="A76" s="2" t="s">
        <v>678</v>
      </c>
      <c r="B76" s="2" t="str">
        <f>CONCATENATE(A76,89)</f>
        <v>9XF6PW0XU7889</v>
      </c>
      <c r="C76" s="2" t="s">
        <v>832</v>
      </c>
      <c r="D76" s="2" t="s">
        <v>833</v>
      </c>
      <c r="E76" s="2" t="str">
        <f t="shared" si="1"/>
        <v>JOANGELA VARI</v>
      </c>
      <c r="F76" s="2" t="s">
        <v>182</v>
      </c>
      <c r="G76" s="2" t="s">
        <v>29</v>
      </c>
      <c r="H76" s="3">
        <v>46023</v>
      </c>
      <c r="I76" s="3">
        <v>46023</v>
      </c>
      <c r="J76" s="2">
        <v>17425766</v>
      </c>
      <c r="K76" s="2" t="s">
        <v>32</v>
      </c>
      <c r="L76" s="2" t="s">
        <v>71</v>
      </c>
      <c r="M76" s="2" t="s">
        <v>34</v>
      </c>
      <c r="N76" s="2">
        <v>-497</v>
      </c>
      <c r="O76" s="2">
        <v>-347</v>
      </c>
      <c r="P76" s="2" t="s">
        <v>748</v>
      </c>
      <c r="Q76" s="2" t="s">
        <v>749</v>
      </c>
    </row>
    <row r="77" spans="1:18" s="2" customFormat="1" x14ac:dyDescent="0.25">
      <c r="A77" s="2" t="s">
        <v>168</v>
      </c>
      <c r="B77" s="2" t="str">
        <f>CONCATENATE(A77,77)</f>
        <v>4A95U63XN6077</v>
      </c>
      <c r="C77" s="2" t="s">
        <v>840</v>
      </c>
      <c r="D77" s="2" t="s">
        <v>841</v>
      </c>
      <c r="E77" s="2" t="str">
        <f t="shared" si="1"/>
        <v>FARIAS CHAVEZ</v>
      </c>
      <c r="F77" s="2" t="s">
        <v>42</v>
      </c>
      <c r="G77" s="2" t="s">
        <v>29</v>
      </c>
      <c r="H77" s="3">
        <v>46023</v>
      </c>
      <c r="I77" s="3">
        <v>46023</v>
      </c>
      <c r="J77" s="2">
        <v>21283956</v>
      </c>
      <c r="K77" s="2" t="s">
        <v>32</v>
      </c>
      <c r="L77" s="2" t="s">
        <v>171</v>
      </c>
      <c r="M77" s="2" t="s">
        <v>34</v>
      </c>
      <c r="N77" s="2">
        <v>844</v>
      </c>
      <c r="O77" s="2">
        <v>694</v>
      </c>
      <c r="P77" s="2" t="s">
        <v>753</v>
      </c>
      <c r="Q77" s="2" t="s">
        <v>756</v>
      </c>
    </row>
    <row r="78" spans="1:18" s="2" customFormat="1" x14ac:dyDescent="0.25">
      <c r="A78" s="2" t="s">
        <v>168</v>
      </c>
      <c r="B78" s="2" t="str">
        <f>CONCATENATE(A78,89)</f>
        <v>4A95U63XN6089</v>
      </c>
      <c r="C78" s="2" t="s">
        <v>840</v>
      </c>
      <c r="D78" s="2" t="s">
        <v>841</v>
      </c>
      <c r="E78" s="2" t="str">
        <f t="shared" si="1"/>
        <v>FARIAS CHAVEZ</v>
      </c>
      <c r="F78" s="2" t="s">
        <v>42</v>
      </c>
      <c r="G78" s="2" t="s">
        <v>29</v>
      </c>
      <c r="H78" s="3">
        <v>46023</v>
      </c>
      <c r="I78" s="3">
        <v>46023</v>
      </c>
      <c r="J78" s="2">
        <v>21283956</v>
      </c>
      <c r="K78" s="2" t="s">
        <v>32</v>
      </c>
      <c r="L78" s="2" t="s">
        <v>171</v>
      </c>
      <c r="M78" s="2" t="s">
        <v>34</v>
      </c>
      <c r="N78" s="2">
        <v>-497</v>
      </c>
      <c r="O78" s="2">
        <v>-347</v>
      </c>
      <c r="P78" s="2" t="s">
        <v>748</v>
      </c>
      <c r="Q78" s="2" t="s">
        <v>749</v>
      </c>
    </row>
    <row r="79" spans="1:18" s="2" customFormat="1" x14ac:dyDescent="0.25">
      <c r="A79" s="2" t="s">
        <v>639</v>
      </c>
      <c r="B79" s="2" t="str">
        <f>CONCATENATE(A79,89)</f>
        <v>9Y90D92DH4489</v>
      </c>
      <c r="C79" s="2" t="s">
        <v>842</v>
      </c>
      <c r="D79" s="2" t="s">
        <v>843</v>
      </c>
      <c r="E79" s="2" t="str">
        <f t="shared" si="1"/>
        <v>RODNEY SUNDSTROM</v>
      </c>
      <c r="F79" s="2" t="s">
        <v>642</v>
      </c>
      <c r="G79" s="2" t="s">
        <v>29</v>
      </c>
      <c r="H79" s="3">
        <v>46023</v>
      </c>
      <c r="I79" s="3">
        <v>46023</v>
      </c>
      <c r="J79" s="2">
        <v>17859093</v>
      </c>
      <c r="K79" s="2" t="s">
        <v>32</v>
      </c>
      <c r="L79" s="2" t="s">
        <v>644</v>
      </c>
      <c r="M79" s="2" t="s">
        <v>34</v>
      </c>
      <c r="N79" s="2">
        <v>347</v>
      </c>
      <c r="O79" s="2">
        <v>347</v>
      </c>
      <c r="P79" s="2" t="s">
        <v>748</v>
      </c>
      <c r="Q79" s="2" t="s">
        <v>749</v>
      </c>
    </row>
    <row r="80" spans="1:18" s="2" customFormat="1" x14ac:dyDescent="0.25">
      <c r="A80" s="2" t="s">
        <v>693</v>
      </c>
      <c r="B80" s="2" t="str">
        <f>CONCATENATE(A80,77)</f>
        <v>2PH3MW0NF1977</v>
      </c>
      <c r="C80" s="2" t="s">
        <v>844</v>
      </c>
      <c r="D80" s="2" t="s">
        <v>845</v>
      </c>
      <c r="E80" s="2" t="str">
        <f t="shared" si="1"/>
        <v>DEIRDRE WARRENBURG</v>
      </c>
      <c r="F80" s="2" t="s">
        <v>232</v>
      </c>
      <c r="G80" s="2" t="s">
        <v>29</v>
      </c>
      <c r="H80" s="3">
        <v>46023</v>
      </c>
      <c r="I80" s="3">
        <v>46023</v>
      </c>
      <c r="J80" s="2">
        <v>16849453</v>
      </c>
      <c r="K80" s="2" t="s">
        <v>32</v>
      </c>
      <c r="L80" s="2" t="s">
        <v>697</v>
      </c>
      <c r="M80" s="2" t="s">
        <v>34</v>
      </c>
      <c r="N80" s="2">
        <v>844</v>
      </c>
      <c r="O80" s="2">
        <v>694</v>
      </c>
      <c r="P80" s="2" t="s">
        <v>753</v>
      </c>
      <c r="Q80" s="2" t="s">
        <v>756</v>
      </c>
    </row>
    <row r="81" spans="1:18" s="2" customFormat="1" x14ac:dyDescent="0.25">
      <c r="A81" s="2" t="s">
        <v>704</v>
      </c>
      <c r="B81" s="2" t="str">
        <f>CONCATENATE(A81,77)</f>
        <v>7Q77MW7NQ4077</v>
      </c>
      <c r="C81" s="2" t="s">
        <v>846</v>
      </c>
      <c r="D81" s="2" t="s">
        <v>847</v>
      </c>
      <c r="E81" s="2" t="str">
        <f t="shared" si="1"/>
        <v>ROBERT WHITNEY</v>
      </c>
      <c r="F81" s="2" t="s">
        <v>232</v>
      </c>
      <c r="G81" s="2" t="s">
        <v>86</v>
      </c>
      <c r="H81" s="3">
        <v>46023</v>
      </c>
      <c r="I81" s="3">
        <v>46023</v>
      </c>
      <c r="J81" s="2">
        <v>16849453</v>
      </c>
      <c r="K81" s="2" t="s">
        <v>32</v>
      </c>
      <c r="L81" s="2" t="s">
        <v>697</v>
      </c>
      <c r="M81" s="2" t="s">
        <v>34</v>
      </c>
      <c r="N81" s="2">
        <v>844</v>
      </c>
      <c r="O81" s="2">
        <v>694</v>
      </c>
      <c r="P81" s="2" t="s">
        <v>753</v>
      </c>
      <c r="Q81" s="2" t="s">
        <v>756</v>
      </c>
    </row>
    <row r="82" spans="1:18" s="2" customFormat="1" x14ac:dyDescent="0.25">
      <c r="A82" s="2" t="s">
        <v>693</v>
      </c>
      <c r="B82" s="2" t="str">
        <f>CONCATENATE(A82,89)</f>
        <v>2PH3MW0NF1989</v>
      </c>
      <c r="C82" s="2" t="s">
        <v>844</v>
      </c>
      <c r="D82" s="2" t="s">
        <v>845</v>
      </c>
      <c r="E82" s="2" t="str">
        <f t="shared" si="1"/>
        <v>DEIRDRE WARRENBURG</v>
      </c>
      <c r="F82" s="2" t="s">
        <v>232</v>
      </c>
      <c r="G82" s="2" t="s">
        <v>29</v>
      </c>
      <c r="H82" s="3">
        <v>46023</v>
      </c>
      <c r="I82" s="3">
        <v>46023</v>
      </c>
      <c r="J82" s="2">
        <v>16849453</v>
      </c>
      <c r="K82" s="2" t="s">
        <v>32</v>
      </c>
      <c r="L82" s="2" t="s">
        <v>697</v>
      </c>
      <c r="M82" s="2" t="s">
        <v>34</v>
      </c>
      <c r="N82" s="2">
        <v>-497</v>
      </c>
      <c r="O82" s="2">
        <v>-347</v>
      </c>
      <c r="P82" s="2" t="s">
        <v>748</v>
      </c>
      <c r="Q82" s="2" t="s">
        <v>749</v>
      </c>
    </row>
    <row r="83" spans="1:18" s="2" customFormat="1" x14ac:dyDescent="0.25">
      <c r="A83" s="2" t="s">
        <v>704</v>
      </c>
      <c r="B83" s="2" t="str">
        <f>CONCATENATE(A83,89)</f>
        <v>7Q77MW7NQ4089</v>
      </c>
      <c r="C83" s="2" t="s">
        <v>846</v>
      </c>
      <c r="D83" s="2" t="s">
        <v>847</v>
      </c>
      <c r="E83" s="2" t="str">
        <f t="shared" si="1"/>
        <v>ROBERT WHITNEY</v>
      </c>
      <c r="F83" s="2" t="s">
        <v>232</v>
      </c>
      <c r="G83" s="2" t="s">
        <v>86</v>
      </c>
      <c r="H83" s="3">
        <v>46023</v>
      </c>
      <c r="I83" s="3">
        <v>46023</v>
      </c>
      <c r="J83" s="2">
        <v>16849453</v>
      </c>
      <c r="K83" s="2" t="s">
        <v>32</v>
      </c>
      <c r="L83" s="2" t="s">
        <v>697</v>
      </c>
      <c r="M83" s="2" t="s">
        <v>34</v>
      </c>
      <c r="N83" s="2">
        <v>-497</v>
      </c>
      <c r="O83" s="2">
        <v>-347</v>
      </c>
      <c r="P83" s="2" t="s">
        <v>748</v>
      </c>
      <c r="Q83" s="2" t="s">
        <v>749</v>
      </c>
    </row>
    <row r="84" spans="1:18" s="2" customFormat="1" x14ac:dyDescent="0.25">
      <c r="A84" s="2" t="s">
        <v>478</v>
      </c>
      <c r="B84" s="2" t="str">
        <f>CONCATENATE(A84,77)</f>
        <v>7CJ5VK9XD5077</v>
      </c>
      <c r="C84" s="2" t="s">
        <v>848</v>
      </c>
      <c r="D84" s="2" t="s">
        <v>849</v>
      </c>
      <c r="E84" s="2" t="str">
        <f t="shared" si="1"/>
        <v>LYNETTE MASON</v>
      </c>
      <c r="F84" s="2" t="s">
        <v>337</v>
      </c>
      <c r="G84" s="2" t="s">
        <v>29</v>
      </c>
      <c r="H84" s="3">
        <v>46023</v>
      </c>
      <c r="I84" s="3">
        <v>46023</v>
      </c>
      <c r="J84" s="2">
        <v>17094718</v>
      </c>
      <c r="K84" s="2" t="s">
        <v>32</v>
      </c>
      <c r="L84" s="2" t="s">
        <v>481</v>
      </c>
      <c r="M84" s="2" t="s">
        <v>34</v>
      </c>
      <c r="N84" s="2">
        <v>829</v>
      </c>
      <c r="O84" s="2">
        <v>694</v>
      </c>
      <c r="P84" s="2" t="s">
        <v>753</v>
      </c>
      <c r="Q84" s="2" t="s">
        <v>756</v>
      </c>
    </row>
    <row r="85" spans="1:18" s="2" customFormat="1" x14ac:dyDescent="0.25">
      <c r="A85" s="2" t="s">
        <v>482</v>
      </c>
      <c r="B85" s="2" t="str">
        <f>CONCATENATE(A85,77)</f>
        <v>6J10A22YR3377</v>
      </c>
      <c r="C85" s="2" t="s">
        <v>848</v>
      </c>
      <c r="D85" s="2" t="s">
        <v>850</v>
      </c>
      <c r="E85" s="2" t="str">
        <f t="shared" si="1"/>
        <v>MORRIS MASON</v>
      </c>
      <c r="F85" s="2" t="s">
        <v>337</v>
      </c>
      <c r="G85" s="2" t="s">
        <v>29</v>
      </c>
      <c r="H85" s="3">
        <v>46023</v>
      </c>
      <c r="I85" s="3">
        <v>46023</v>
      </c>
      <c r="J85" s="2">
        <v>17094718</v>
      </c>
      <c r="K85" s="2" t="s">
        <v>32</v>
      </c>
      <c r="L85" s="2" t="s">
        <v>481</v>
      </c>
      <c r="M85" s="2" t="s">
        <v>34</v>
      </c>
      <c r="N85" s="2">
        <v>829</v>
      </c>
      <c r="O85" s="2">
        <v>694</v>
      </c>
      <c r="P85" s="2" t="s">
        <v>753</v>
      </c>
      <c r="Q85" s="2" t="s">
        <v>756</v>
      </c>
    </row>
    <row r="86" spans="1:18" s="2" customFormat="1" x14ac:dyDescent="0.25">
      <c r="A86" s="2" t="s">
        <v>723</v>
      </c>
      <c r="B86" s="2" t="str">
        <f>CONCATENATE(A86,77)</f>
        <v>9HJ9NN2HR3877</v>
      </c>
      <c r="C86" s="2" t="s">
        <v>851</v>
      </c>
      <c r="D86" s="2" t="s">
        <v>852</v>
      </c>
      <c r="E86" s="2" t="str">
        <f t="shared" si="1"/>
        <v>LARRY WINN</v>
      </c>
      <c r="F86" s="2" t="s">
        <v>337</v>
      </c>
      <c r="G86" s="2" t="s">
        <v>29</v>
      </c>
      <c r="H86" s="3">
        <v>46023</v>
      </c>
      <c r="I86" s="3">
        <v>46023</v>
      </c>
      <c r="J86" s="2">
        <v>17094718</v>
      </c>
      <c r="K86" s="2" t="s">
        <v>32</v>
      </c>
      <c r="L86" s="2" t="s">
        <v>481</v>
      </c>
      <c r="M86" s="2" t="s">
        <v>34</v>
      </c>
      <c r="N86" s="2">
        <v>829</v>
      </c>
      <c r="O86" s="2">
        <v>694</v>
      </c>
      <c r="P86" s="2" t="s">
        <v>753</v>
      </c>
      <c r="Q86" s="2" t="s">
        <v>756</v>
      </c>
    </row>
    <row r="87" spans="1:18" s="2" customFormat="1" x14ac:dyDescent="0.25">
      <c r="A87" s="2" t="s">
        <v>478</v>
      </c>
      <c r="B87" s="2" t="str">
        <f>CONCATENATE(A87,89)</f>
        <v>7CJ5VK9XD5089</v>
      </c>
      <c r="C87" s="2" t="s">
        <v>848</v>
      </c>
      <c r="D87" s="2" t="s">
        <v>849</v>
      </c>
      <c r="E87" s="2" t="str">
        <f t="shared" si="1"/>
        <v>LYNETTE MASON</v>
      </c>
      <c r="F87" s="2" t="s">
        <v>337</v>
      </c>
      <c r="G87" s="2" t="s">
        <v>29</v>
      </c>
      <c r="H87" s="3">
        <v>46023</v>
      </c>
      <c r="I87" s="3">
        <v>46023</v>
      </c>
      <c r="J87" s="2">
        <v>17094718</v>
      </c>
      <c r="K87" s="2" t="s">
        <v>32</v>
      </c>
      <c r="L87" s="2" t="s">
        <v>481</v>
      </c>
      <c r="M87" s="2" t="s">
        <v>34</v>
      </c>
      <c r="N87" s="2">
        <v>-482</v>
      </c>
      <c r="O87" s="2">
        <v>-347</v>
      </c>
      <c r="P87" s="2" t="s">
        <v>748</v>
      </c>
      <c r="Q87" s="2" t="s">
        <v>749</v>
      </c>
    </row>
    <row r="88" spans="1:18" s="2" customFormat="1" x14ac:dyDescent="0.25">
      <c r="A88" s="2" t="s">
        <v>482</v>
      </c>
      <c r="B88" s="2" t="str">
        <f>CONCATENATE(A88,89)</f>
        <v>6J10A22YR3389</v>
      </c>
      <c r="C88" s="2" t="s">
        <v>848</v>
      </c>
      <c r="D88" s="2" t="s">
        <v>850</v>
      </c>
      <c r="E88" s="2" t="str">
        <f t="shared" si="1"/>
        <v>MORRIS MASON</v>
      </c>
      <c r="F88" s="2" t="s">
        <v>337</v>
      </c>
      <c r="G88" s="2" t="s">
        <v>29</v>
      </c>
      <c r="H88" s="3">
        <v>46023</v>
      </c>
      <c r="I88" s="3">
        <v>46023</v>
      </c>
      <c r="J88" s="2">
        <v>17094718</v>
      </c>
      <c r="K88" s="2" t="s">
        <v>32</v>
      </c>
      <c r="L88" s="2" t="s">
        <v>481</v>
      </c>
      <c r="M88" s="2" t="s">
        <v>34</v>
      </c>
      <c r="N88" s="2">
        <v>-482</v>
      </c>
      <c r="O88" s="2">
        <v>-347</v>
      </c>
      <c r="P88" s="2" t="s">
        <v>748</v>
      </c>
      <c r="Q88" s="2" t="s">
        <v>749</v>
      </c>
    </row>
    <row r="89" spans="1:18" s="2" customFormat="1" x14ac:dyDescent="0.25">
      <c r="A89" s="2" t="s">
        <v>723</v>
      </c>
      <c r="B89" s="2" t="str">
        <f>CONCATENATE(A89,89)</f>
        <v>9HJ9NN2HR3889</v>
      </c>
      <c r="C89" s="2" t="s">
        <v>851</v>
      </c>
      <c r="D89" s="2" t="s">
        <v>852</v>
      </c>
      <c r="E89" s="2" t="str">
        <f t="shared" si="1"/>
        <v>LARRY WINN</v>
      </c>
      <c r="F89" s="2" t="s">
        <v>337</v>
      </c>
      <c r="G89" s="2" t="s">
        <v>29</v>
      </c>
      <c r="H89" s="3">
        <v>46023</v>
      </c>
      <c r="I89" s="3">
        <v>46023</v>
      </c>
      <c r="J89" s="2">
        <v>17094718</v>
      </c>
      <c r="K89" s="2" t="s">
        <v>32</v>
      </c>
      <c r="L89" s="2" t="s">
        <v>481</v>
      </c>
      <c r="M89" s="2" t="s">
        <v>34</v>
      </c>
      <c r="N89" s="2">
        <v>-482</v>
      </c>
      <c r="O89" s="2">
        <v>-347</v>
      </c>
      <c r="P89" s="2" t="s">
        <v>748</v>
      </c>
      <c r="Q89" s="2" t="s">
        <v>749</v>
      </c>
    </row>
    <row r="90" spans="1:18" s="2" customFormat="1" x14ac:dyDescent="0.25">
      <c r="A90" s="2" t="s">
        <v>287</v>
      </c>
      <c r="B90" s="2" t="str">
        <f>CONCATENATE(A90,77)</f>
        <v>3WU3Y90QW8177</v>
      </c>
      <c r="C90" s="2" t="s">
        <v>853</v>
      </c>
      <c r="D90" s="2" t="s">
        <v>854</v>
      </c>
      <c r="E90" s="2" t="str">
        <f t="shared" si="1"/>
        <v>MARIA GOMEZ</v>
      </c>
      <c r="F90" s="2" t="s">
        <v>42</v>
      </c>
      <c r="G90" s="2" t="s">
        <v>29</v>
      </c>
      <c r="H90" s="3">
        <v>46054</v>
      </c>
      <c r="I90" s="3">
        <v>46054</v>
      </c>
      <c r="J90" s="2">
        <v>17301495</v>
      </c>
      <c r="K90" s="2" t="s">
        <v>32</v>
      </c>
      <c r="L90" s="2" t="s">
        <v>209</v>
      </c>
      <c r="M90" s="2" t="s">
        <v>34</v>
      </c>
      <c r="N90" s="2">
        <v>773.67</v>
      </c>
      <c r="O90" s="2">
        <v>636.16999999999996</v>
      </c>
      <c r="P90" s="2" t="s">
        <v>753</v>
      </c>
      <c r="Q90" s="2" t="s">
        <v>754</v>
      </c>
      <c r="R90" s="2">
        <f>694/12*11</f>
        <v>636.16666666666674</v>
      </c>
    </row>
    <row r="91" spans="1:18" s="2" customFormat="1" x14ac:dyDescent="0.25">
      <c r="A91" s="2" t="s">
        <v>204</v>
      </c>
      <c r="B91" s="2" t="str">
        <f>CONCATENATE(A91,7)</f>
        <v>3U31K63UN117</v>
      </c>
      <c r="C91" s="2" t="s">
        <v>855</v>
      </c>
      <c r="D91" s="2" t="s">
        <v>856</v>
      </c>
      <c r="E91" s="2" t="str">
        <f t="shared" si="1"/>
        <v>RAYMOND DEMATTEO</v>
      </c>
      <c r="F91" s="2" t="s">
        <v>207</v>
      </c>
      <c r="G91" s="2" t="s">
        <v>29</v>
      </c>
      <c r="H91" s="3">
        <v>45992</v>
      </c>
      <c r="I91" s="3">
        <v>45992</v>
      </c>
      <c r="J91" s="2">
        <v>17301495</v>
      </c>
      <c r="K91" s="2" t="s">
        <v>32</v>
      </c>
      <c r="L91" s="2" t="s">
        <v>209</v>
      </c>
      <c r="M91" s="2" t="s">
        <v>34</v>
      </c>
      <c r="N91" s="2">
        <v>776</v>
      </c>
      <c r="O91" s="2">
        <v>626</v>
      </c>
      <c r="P91" s="2" t="s">
        <v>741</v>
      </c>
      <c r="Q91" s="2" t="s">
        <v>745</v>
      </c>
    </row>
    <row r="92" spans="1:18" s="2" customFormat="1" x14ac:dyDescent="0.25">
      <c r="A92" s="2" t="s">
        <v>287</v>
      </c>
      <c r="B92" s="2" t="str">
        <f>CONCATENATE(A92,89)</f>
        <v>3WU3Y90QW8189</v>
      </c>
      <c r="C92" s="2" t="s">
        <v>853</v>
      </c>
      <c r="D92" s="2" t="s">
        <v>854</v>
      </c>
      <c r="E92" s="2" t="str">
        <f t="shared" si="1"/>
        <v>MARIA GOMEZ</v>
      </c>
      <c r="F92" s="2" t="s">
        <v>42</v>
      </c>
      <c r="G92" s="2" t="s">
        <v>29</v>
      </c>
      <c r="H92" s="3">
        <v>46054</v>
      </c>
      <c r="I92" s="3">
        <v>46054</v>
      </c>
      <c r="J92" s="2">
        <v>17301495</v>
      </c>
      <c r="K92" s="2" t="s">
        <v>32</v>
      </c>
      <c r="L92" s="2" t="s">
        <v>209</v>
      </c>
      <c r="M92" s="2" t="s">
        <v>34</v>
      </c>
      <c r="N92" s="2">
        <v>-455.58</v>
      </c>
      <c r="O92" s="2">
        <v>-318.08</v>
      </c>
      <c r="P92" s="2" t="s">
        <v>748</v>
      </c>
      <c r="Q92" s="2" t="s">
        <v>751</v>
      </c>
    </row>
    <row r="93" spans="1:18" s="2" customFormat="1" x14ac:dyDescent="0.25">
      <c r="A93" s="2" t="s">
        <v>204</v>
      </c>
      <c r="B93" s="2" t="str">
        <f>CONCATENATE(A93,89)</f>
        <v>3U31K63UN1189</v>
      </c>
      <c r="C93" s="2" t="s">
        <v>855</v>
      </c>
      <c r="D93" s="2" t="s">
        <v>856</v>
      </c>
      <c r="E93" s="2" t="str">
        <f t="shared" si="1"/>
        <v>RAYMOND DEMATTEO</v>
      </c>
      <c r="F93" s="2" t="s">
        <v>207</v>
      </c>
      <c r="G93" s="2" t="s">
        <v>29</v>
      </c>
      <c r="H93" s="3">
        <v>45992</v>
      </c>
      <c r="I93" s="3">
        <v>45992</v>
      </c>
      <c r="J93" s="2">
        <v>17301495</v>
      </c>
      <c r="K93" s="2" t="s">
        <v>32</v>
      </c>
      <c r="L93" s="2" t="s">
        <v>209</v>
      </c>
      <c r="M93" s="2" t="s">
        <v>34</v>
      </c>
      <c r="N93" s="2">
        <v>-38.58</v>
      </c>
      <c r="O93" s="2">
        <v>-28.91</v>
      </c>
      <c r="P93" s="2" t="s">
        <v>748</v>
      </c>
      <c r="Q93" s="2" t="s">
        <v>764</v>
      </c>
    </row>
    <row r="94" spans="1:18" s="2" customFormat="1" x14ac:dyDescent="0.25">
      <c r="A94" s="2" t="s">
        <v>154</v>
      </c>
      <c r="B94" s="2" t="str">
        <f>CONCATENATE(A94,77)</f>
        <v>4DG4X27VT5077</v>
      </c>
      <c r="C94" s="2" t="s">
        <v>857</v>
      </c>
      <c r="D94" s="2" t="s">
        <v>858</v>
      </c>
      <c r="E94" s="2" t="str">
        <f t="shared" si="1"/>
        <v>ROSARIO CASTRO</v>
      </c>
      <c r="F94" s="2" t="s">
        <v>42</v>
      </c>
      <c r="G94" s="2" t="s">
        <v>29</v>
      </c>
      <c r="H94" s="3">
        <v>46054</v>
      </c>
      <c r="I94" s="3">
        <v>46054</v>
      </c>
      <c r="J94" s="2">
        <v>7146581</v>
      </c>
      <c r="K94" s="2" t="s">
        <v>32</v>
      </c>
      <c r="L94" s="2" t="s">
        <v>158</v>
      </c>
      <c r="M94" s="2" t="s">
        <v>34</v>
      </c>
      <c r="N94" s="2">
        <v>844</v>
      </c>
      <c r="O94" s="2">
        <v>694</v>
      </c>
      <c r="P94" s="2" t="s">
        <v>753</v>
      </c>
      <c r="Q94" s="2" t="s">
        <v>756</v>
      </c>
    </row>
    <row r="95" spans="1:18" s="2" customFormat="1" x14ac:dyDescent="0.25">
      <c r="A95" s="2" t="s">
        <v>633</v>
      </c>
      <c r="B95" s="2" t="str">
        <f>CONCATENATE(A95,77)</f>
        <v>1YA7Q72CF3377</v>
      </c>
      <c r="C95" s="2" t="s">
        <v>859</v>
      </c>
      <c r="D95" s="2" t="s">
        <v>860</v>
      </c>
      <c r="E95" s="2" t="str">
        <f t="shared" si="1"/>
        <v>KIM SKAGGS</v>
      </c>
      <c r="F95" s="2" t="s">
        <v>42</v>
      </c>
      <c r="G95" s="2" t="s">
        <v>29</v>
      </c>
      <c r="H95" s="3">
        <v>46023</v>
      </c>
      <c r="I95" s="3">
        <v>46023</v>
      </c>
      <c r="J95" s="2">
        <v>7146581</v>
      </c>
      <c r="K95" s="2" t="s">
        <v>32</v>
      </c>
      <c r="L95" s="2" t="s">
        <v>158</v>
      </c>
      <c r="M95" s="2" t="s">
        <v>34</v>
      </c>
      <c r="N95" s="2">
        <v>844</v>
      </c>
      <c r="O95" s="2">
        <v>694</v>
      </c>
      <c r="P95" s="2" t="s">
        <v>753</v>
      </c>
      <c r="Q95" s="2" t="s">
        <v>756</v>
      </c>
    </row>
    <row r="96" spans="1:18" s="2" customFormat="1" x14ac:dyDescent="0.25">
      <c r="A96" s="2" t="s">
        <v>633</v>
      </c>
      <c r="B96" s="2" t="str">
        <f>CONCATENATE(A96,89)</f>
        <v>1YA7Q72CF3389</v>
      </c>
      <c r="C96" s="2" t="s">
        <v>859</v>
      </c>
      <c r="D96" s="2" t="s">
        <v>860</v>
      </c>
      <c r="E96" s="2" t="str">
        <f t="shared" si="1"/>
        <v>KIM SKAGGS</v>
      </c>
      <c r="F96" s="2" t="s">
        <v>42</v>
      </c>
      <c r="G96" s="2" t="s">
        <v>29</v>
      </c>
      <c r="H96" s="3">
        <v>46023</v>
      </c>
      <c r="I96" s="3">
        <v>46023</v>
      </c>
      <c r="J96" s="2">
        <v>7146581</v>
      </c>
      <c r="K96" s="2" t="s">
        <v>32</v>
      </c>
      <c r="L96" s="2" t="s">
        <v>158</v>
      </c>
      <c r="M96" s="2" t="s">
        <v>34</v>
      </c>
      <c r="N96" s="2">
        <v>-497</v>
      </c>
      <c r="O96" s="2">
        <v>-347</v>
      </c>
      <c r="P96" s="2" t="s">
        <v>748</v>
      </c>
      <c r="Q96" s="2" t="s">
        <v>749</v>
      </c>
    </row>
    <row r="97" spans="1:18" s="2" customFormat="1" x14ac:dyDescent="0.25">
      <c r="A97" s="2" t="s">
        <v>154</v>
      </c>
      <c r="B97" s="2" t="str">
        <f>CONCATENATE(A97,89)</f>
        <v>4DG4X27VT5089</v>
      </c>
      <c r="C97" s="2" t="s">
        <v>857</v>
      </c>
      <c r="D97" s="2" t="s">
        <v>858</v>
      </c>
      <c r="E97" s="2" t="str">
        <f t="shared" si="1"/>
        <v>ROSARIO CASTRO</v>
      </c>
      <c r="F97" s="2" t="s">
        <v>42</v>
      </c>
      <c r="G97" s="2" t="s">
        <v>29</v>
      </c>
      <c r="H97" s="3">
        <v>46054</v>
      </c>
      <c r="I97" s="3">
        <v>46054</v>
      </c>
      <c r="J97" s="2">
        <v>7146581</v>
      </c>
      <c r="K97" s="2" t="s">
        <v>32</v>
      </c>
      <c r="L97" s="2" t="s">
        <v>158</v>
      </c>
      <c r="M97" s="2" t="s">
        <v>34</v>
      </c>
      <c r="N97" s="2">
        <v>-455.58</v>
      </c>
      <c r="O97" s="2">
        <v>-318.08</v>
      </c>
      <c r="P97" s="2" t="s">
        <v>748</v>
      </c>
      <c r="Q97" s="2" t="s">
        <v>751</v>
      </c>
    </row>
    <row r="98" spans="1:18" s="2" customFormat="1" x14ac:dyDescent="0.25">
      <c r="A98" s="2" t="s">
        <v>321</v>
      </c>
      <c r="B98" s="2" t="str">
        <f>CONCATENATE(A98,89)</f>
        <v>4F06HE4DY4089</v>
      </c>
      <c r="C98" s="2" t="s">
        <v>861</v>
      </c>
      <c r="D98" s="2" t="s">
        <v>862</v>
      </c>
      <c r="E98" s="2" t="str">
        <f t="shared" si="1"/>
        <v>PATRICIA HAUSER</v>
      </c>
      <c r="F98" s="2" t="s">
        <v>42</v>
      </c>
      <c r="G98" s="2" t="s">
        <v>29</v>
      </c>
      <c r="H98" s="3">
        <v>46023</v>
      </c>
      <c r="I98" s="3">
        <v>46023</v>
      </c>
      <c r="J98" s="2">
        <v>7146581</v>
      </c>
      <c r="K98" s="2" t="s">
        <v>32</v>
      </c>
      <c r="L98" s="2" t="s">
        <v>158</v>
      </c>
      <c r="M98" s="2" t="s">
        <v>34</v>
      </c>
      <c r="N98" s="2">
        <v>497</v>
      </c>
      <c r="O98" s="2">
        <v>347</v>
      </c>
      <c r="P98" s="2" t="s">
        <v>748</v>
      </c>
      <c r="Q98" s="2" t="s">
        <v>749</v>
      </c>
    </row>
    <row r="99" spans="1:18" s="2" customFormat="1" x14ac:dyDescent="0.25">
      <c r="A99" s="2" t="s">
        <v>324</v>
      </c>
      <c r="B99" s="2" t="str">
        <f>CONCATENATE(A99,89)</f>
        <v>9GC8K20RF4489</v>
      </c>
      <c r="C99" s="2" t="s">
        <v>861</v>
      </c>
      <c r="D99" s="2" t="s">
        <v>790</v>
      </c>
      <c r="E99" s="2" t="str">
        <f t="shared" si="1"/>
        <v>RICHARD HAUSER</v>
      </c>
      <c r="F99" s="2" t="s">
        <v>42</v>
      </c>
      <c r="G99" s="2" t="s">
        <v>29</v>
      </c>
      <c r="H99" s="3">
        <v>46023</v>
      </c>
      <c r="I99" s="3">
        <v>46023</v>
      </c>
      <c r="J99" s="2">
        <v>7146581</v>
      </c>
      <c r="K99" s="2" t="s">
        <v>32</v>
      </c>
      <c r="L99" s="2" t="s">
        <v>158</v>
      </c>
      <c r="M99" s="2" t="s">
        <v>34</v>
      </c>
      <c r="N99" s="2">
        <v>497</v>
      </c>
      <c r="O99" s="2">
        <v>347</v>
      </c>
      <c r="P99" s="2" t="s">
        <v>748</v>
      </c>
      <c r="Q99" s="2" t="s">
        <v>749</v>
      </c>
    </row>
    <row r="100" spans="1:18" s="2" customFormat="1" x14ac:dyDescent="0.25">
      <c r="A100" s="2" t="s">
        <v>102</v>
      </c>
      <c r="B100" s="2" t="str">
        <f>CONCATENATE(A100,77)</f>
        <v>7G70U63AG3177</v>
      </c>
      <c r="C100" s="2" t="s">
        <v>863</v>
      </c>
      <c r="D100" s="2" t="s">
        <v>864</v>
      </c>
      <c r="E100" s="2" t="str">
        <f t="shared" si="1"/>
        <v>BARBARA BOYD</v>
      </c>
      <c r="F100" s="2" t="s">
        <v>27</v>
      </c>
      <c r="G100" s="2" t="s">
        <v>29</v>
      </c>
      <c r="H100" s="3">
        <v>46054</v>
      </c>
      <c r="I100" s="3">
        <v>46054</v>
      </c>
      <c r="J100" s="2" t="s">
        <v>766</v>
      </c>
      <c r="K100" s="2" t="s">
        <v>32</v>
      </c>
      <c r="L100" s="2" t="s">
        <v>33</v>
      </c>
      <c r="M100" s="2" t="s">
        <v>34</v>
      </c>
      <c r="N100" s="2">
        <v>853.42</v>
      </c>
      <c r="O100" s="2">
        <v>715.92</v>
      </c>
      <c r="P100" s="2" t="s">
        <v>755</v>
      </c>
      <c r="Q100" s="2" t="s">
        <v>757</v>
      </c>
      <c r="R100" s="2">
        <f>781/12*11</f>
        <v>715.91666666666663</v>
      </c>
    </row>
    <row r="101" spans="1:18" s="2" customFormat="1" x14ac:dyDescent="0.25">
      <c r="A101" s="2" t="s">
        <v>61</v>
      </c>
      <c r="B101" s="2" t="str">
        <f>CONCATENATE(A101,77)</f>
        <v>7XQ8WE4QP3277</v>
      </c>
      <c r="C101" s="2" t="s">
        <v>865</v>
      </c>
      <c r="D101" s="2" t="s">
        <v>866</v>
      </c>
      <c r="E101" s="2" t="str">
        <f t="shared" si="1"/>
        <v>ANNETTE BALDWIN</v>
      </c>
      <c r="F101" s="2" t="s">
        <v>27</v>
      </c>
      <c r="G101" s="2" t="s">
        <v>29</v>
      </c>
      <c r="H101" s="3">
        <v>46054</v>
      </c>
      <c r="I101" s="3">
        <v>46054</v>
      </c>
      <c r="J101" s="2" t="s">
        <v>766</v>
      </c>
      <c r="K101" s="2" t="s">
        <v>32</v>
      </c>
      <c r="L101" s="2" t="s">
        <v>33</v>
      </c>
      <c r="M101" s="2" t="s">
        <v>34</v>
      </c>
      <c r="N101" s="2">
        <v>916</v>
      </c>
      <c r="O101" s="2">
        <v>781</v>
      </c>
      <c r="P101" s="2" t="s">
        <v>755</v>
      </c>
      <c r="Q101" s="2" t="s">
        <v>758</v>
      </c>
      <c r="R101" s="2">
        <f>781+135</f>
        <v>916</v>
      </c>
    </row>
    <row r="102" spans="1:18" s="2" customFormat="1" x14ac:dyDescent="0.25">
      <c r="A102" s="2" t="s">
        <v>372</v>
      </c>
      <c r="B102" s="2" t="str">
        <f>CONCATENATE(A102,77)</f>
        <v>8EP4UE8GD8277</v>
      </c>
      <c r="C102" s="2" t="s">
        <v>867</v>
      </c>
      <c r="D102" s="2" t="s">
        <v>868</v>
      </c>
      <c r="E102" s="2" t="str">
        <f t="shared" si="1"/>
        <v>EULA HOWE</v>
      </c>
      <c r="F102" s="2" t="s">
        <v>27</v>
      </c>
      <c r="G102" s="2" t="s">
        <v>29</v>
      </c>
      <c r="H102" s="3">
        <v>46023</v>
      </c>
      <c r="I102" s="3">
        <v>46023</v>
      </c>
      <c r="J102" s="2" t="s">
        <v>766</v>
      </c>
      <c r="K102" s="2" t="s">
        <v>32</v>
      </c>
      <c r="L102" s="2" t="s">
        <v>33</v>
      </c>
      <c r="M102" s="2" t="s">
        <v>34</v>
      </c>
      <c r="N102" s="2">
        <v>916</v>
      </c>
      <c r="O102" s="2">
        <v>781</v>
      </c>
      <c r="P102" s="2" t="s">
        <v>755</v>
      </c>
      <c r="Q102" s="2" t="s">
        <v>758</v>
      </c>
    </row>
    <row r="103" spans="1:18" s="2" customFormat="1" x14ac:dyDescent="0.25">
      <c r="A103" s="2" t="s">
        <v>402</v>
      </c>
      <c r="B103" s="2" t="str">
        <f>CONCATENATE(A103,77)</f>
        <v>9Y42CK3JU0877</v>
      </c>
      <c r="C103" s="2" t="s">
        <v>869</v>
      </c>
      <c r="D103" s="2" t="s">
        <v>779</v>
      </c>
      <c r="E103" s="2" t="str">
        <f t="shared" si="1"/>
        <v>GAYLE KIRSCH</v>
      </c>
      <c r="F103" s="2" t="s">
        <v>27</v>
      </c>
      <c r="G103" s="2" t="s">
        <v>29</v>
      </c>
      <c r="H103" s="3">
        <v>46023</v>
      </c>
      <c r="I103" s="3">
        <v>46023</v>
      </c>
      <c r="J103" s="2" t="s">
        <v>766</v>
      </c>
      <c r="K103" s="2" t="s">
        <v>32</v>
      </c>
      <c r="L103" s="2" t="s">
        <v>33</v>
      </c>
      <c r="M103" s="2" t="s">
        <v>34</v>
      </c>
      <c r="N103" s="2">
        <v>916</v>
      </c>
      <c r="O103" s="2">
        <v>781</v>
      </c>
      <c r="P103" s="2" t="s">
        <v>755</v>
      </c>
      <c r="Q103" s="2" t="s">
        <v>758</v>
      </c>
    </row>
    <row r="104" spans="1:18" s="2" customFormat="1" x14ac:dyDescent="0.25">
      <c r="A104" s="2" t="s">
        <v>600</v>
      </c>
      <c r="B104" s="2" t="str">
        <f>CONCATENATE(A104,77)</f>
        <v>1TT3K31WK9177</v>
      </c>
      <c r="C104" s="2" t="s">
        <v>870</v>
      </c>
      <c r="D104" s="2" t="s">
        <v>871</v>
      </c>
      <c r="E104" s="2" t="str">
        <f t="shared" si="1"/>
        <v>DOUGLAS RICHARDSON</v>
      </c>
      <c r="F104" s="2" t="s">
        <v>27</v>
      </c>
      <c r="G104" s="2" t="s">
        <v>86</v>
      </c>
      <c r="H104" s="3">
        <v>46023</v>
      </c>
      <c r="I104" s="3">
        <v>46023</v>
      </c>
      <c r="J104" s="2" t="s">
        <v>766</v>
      </c>
      <c r="K104" s="2" t="s">
        <v>32</v>
      </c>
      <c r="L104" s="2" t="s">
        <v>33</v>
      </c>
      <c r="M104" s="2" t="s">
        <v>34</v>
      </c>
      <c r="N104" s="2">
        <v>916</v>
      </c>
      <c r="O104" s="2">
        <v>781</v>
      </c>
      <c r="P104" s="2" t="s">
        <v>755</v>
      </c>
      <c r="Q104" s="2" t="s">
        <v>758</v>
      </c>
    </row>
    <row r="105" spans="1:18" s="2" customFormat="1" x14ac:dyDescent="0.25">
      <c r="A105" s="2" t="s">
        <v>24</v>
      </c>
      <c r="B105" s="2" t="str">
        <f>CONCATENATE(A105,77)</f>
        <v>4JH2DG8TE0877</v>
      </c>
      <c r="C105" s="2" t="s">
        <v>872</v>
      </c>
      <c r="D105" s="2" t="s">
        <v>873</v>
      </c>
      <c r="E105" s="2" t="str">
        <f t="shared" si="1"/>
        <v>SCOTT ADAMS</v>
      </c>
      <c r="F105" s="2" t="s">
        <v>27</v>
      </c>
      <c r="G105" s="2" t="s">
        <v>29</v>
      </c>
      <c r="H105" s="3">
        <v>46023</v>
      </c>
      <c r="I105" s="3">
        <v>46023</v>
      </c>
      <c r="J105" s="2" t="s">
        <v>766</v>
      </c>
      <c r="K105" s="2" t="s">
        <v>32</v>
      </c>
      <c r="L105" s="2" t="s">
        <v>33</v>
      </c>
      <c r="M105" s="2" t="s">
        <v>34</v>
      </c>
      <c r="N105" s="2">
        <v>931</v>
      </c>
      <c r="O105" s="2">
        <v>781</v>
      </c>
      <c r="P105" s="2" t="s">
        <v>755</v>
      </c>
      <c r="Q105" s="2" t="s">
        <v>758</v>
      </c>
      <c r="R105" s="2">
        <f>781+150</f>
        <v>931</v>
      </c>
    </row>
    <row r="106" spans="1:18" s="2" customFormat="1" x14ac:dyDescent="0.25">
      <c r="A106" s="2" t="s">
        <v>79</v>
      </c>
      <c r="B106" s="2" t="str">
        <f>CONCATENATE(A106,77)</f>
        <v>1XT4DX2GE0677</v>
      </c>
      <c r="C106" s="2" t="s">
        <v>874</v>
      </c>
      <c r="D106" s="2" t="s">
        <v>875</v>
      </c>
      <c r="E106" s="2" t="str">
        <f t="shared" si="1"/>
        <v>HOWARD BELLAIRE</v>
      </c>
      <c r="F106" s="2" t="s">
        <v>27</v>
      </c>
      <c r="G106" s="2" t="s">
        <v>29</v>
      </c>
      <c r="H106" s="3">
        <v>46054</v>
      </c>
      <c r="I106" s="3">
        <v>46054</v>
      </c>
      <c r="J106" s="2" t="s">
        <v>766</v>
      </c>
      <c r="K106" s="2" t="s">
        <v>32</v>
      </c>
      <c r="L106" s="2" t="s">
        <v>33</v>
      </c>
      <c r="M106" s="2" t="s">
        <v>34</v>
      </c>
      <c r="N106" s="2">
        <v>931</v>
      </c>
      <c r="O106" s="2">
        <v>781</v>
      </c>
      <c r="P106" s="2" t="s">
        <v>755</v>
      </c>
      <c r="Q106" s="2" t="s">
        <v>758</v>
      </c>
    </row>
    <row r="107" spans="1:18" s="2" customFormat="1" x14ac:dyDescent="0.25">
      <c r="A107" s="2" t="s">
        <v>197</v>
      </c>
      <c r="B107" s="2" t="str">
        <f>CONCATENATE(A107,77)</f>
        <v>2K61QQ6GW3177</v>
      </c>
      <c r="C107" s="2" t="s">
        <v>876</v>
      </c>
      <c r="D107" s="2" t="s">
        <v>877</v>
      </c>
      <c r="E107" s="2" t="str">
        <f t="shared" si="1"/>
        <v>CONSTANCE CULBERTSON</v>
      </c>
      <c r="F107" s="2" t="s">
        <v>27</v>
      </c>
      <c r="G107" s="2" t="s">
        <v>29</v>
      </c>
      <c r="H107" s="3">
        <v>46023</v>
      </c>
      <c r="I107" s="3">
        <v>46023</v>
      </c>
      <c r="J107" s="2" t="s">
        <v>766</v>
      </c>
      <c r="K107" s="2" t="s">
        <v>32</v>
      </c>
      <c r="L107" s="2" t="s">
        <v>33</v>
      </c>
      <c r="M107" s="2" t="s">
        <v>34</v>
      </c>
      <c r="N107" s="2">
        <v>931</v>
      </c>
      <c r="O107" s="2">
        <v>781</v>
      </c>
      <c r="P107" s="2" t="s">
        <v>755</v>
      </c>
      <c r="Q107" s="2" t="s">
        <v>758</v>
      </c>
    </row>
    <row r="108" spans="1:18" s="2" customFormat="1" x14ac:dyDescent="0.25">
      <c r="A108" s="2" t="s">
        <v>434</v>
      </c>
      <c r="B108" s="2" t="str">
        <f>CONCATENATE(A108,77)</f>
        <v>8DR7J09RJ7977</v>
      </c>
      <c r="C108" s="2" t="s">
        <v>878</v>
      </c>
      <c r="D108" s="2" t="s">
        <v>879</v>
      </c>
      <c r="E108" s="2" t="str">
        <f t="shared" si="1"/>
        <v>CIERRA LESTER</v>
      </c>
      <c r="F108" s="2" t="s">
        <v>27</v>
      </c>
      <c r="G108" s="2" t="s">
        <v>29</v>
      </c>
      <c r="H108" s="3">
        <v>46023</v>
      </c>
      <c r="I108" s="3">
        <v>46023</v>
      </c>
      <c r="J108" s="2" t="s">
        <v>766</v>
      </c>
      <c r="K108" s="2" t="s">
        <v>32</v>
      </c>
      <c r="L108" s="2" t="s">
        <v>33</v>
      </c>
      <c r="M108" s="2" t="s">
        <v>34</v>
      </c>
      <c r="N108" s="2">
        <v>931</v>
      </c>
      <c r="O108" s="2">
        <v>781</v>
      </c>
      <c r="P108" s="2" t="s">
        <v>755</v>
      </c>
      <c r="Q108" s="2" t="s">
        <v>758</v>
      </c>
    </row>
    <row r="109" spans="1:18" s="2" customFormat="1" x14ac:dyDescent="0.25">
      <c r="A109" s="2" t="s">
        <v>471</v>
      </c>
      <c r="B109" s="2" t="str">
        <f>CONCATENATE(A109,77)</f>
        <v>3QC0DJ1CY2077</v>
      </c>
      <c r="C109" s="2" t="s">
        <v>880</v>
      </c>
      <c r="D109" s="2" t="s">
        <v>881</v>
      </c>
      <c r="E109" s="2" t="str">
        <f t="shared" si="1"/>
        <v>MONICA MANSOUR</v>
      </c>
      <c r="F109" s="2" t="s">
        <v>27</v>
      </c>
      <c r="G109" s="2" t="s">
        <v>29</v>
      </c>
      <c r="H109" s="3">
        <v>46023</v>
      </c>
      <c r="I109" s="3">
        <v>46023</v>
      </c>
      <c r="J109" s="2" t="s">
        <v>766</v>
      </c>
      <c r="K109" s="2" t="s">
        <v>32</v>
      </c>
      <c r="L109" s="2" t="s">
        <v>33</v>
      </c>
      <c r="M109" s="2" t="s">
        <v>34</v>
      </c>
      <c r="N109" s="2">
        <v>931</v>
      </c>
      <c r="O109" s="2">
        <v>781</v>
      </c>
      <c r="P109" s="2" t="s">
        <v>755</v>
      </c>
      <c r="Q109" s="2" t="s">
        <v>758</v>
      </c>
    </row>
    <row r="110" spans="1:18" s="2" customFormat="1" x14ac:dyDescent="0.25">
      <c r="A110" s="2" t="s">
        <v>491</v>
      </c>
      <c r="B110" s="2" t="str">
        <f>CONCATENATE(A110,77)</f>
        <v>2V02NQ8KH8577</v>
      </c>
      <c r="C110" s="2" t="s">
        <v>882</v>
      </c>
      <c r="D110" s="2" t="s">
        <v>883</v>
      </c>
      <c r="E110" s="2" t="str">
        <f t="shared" si="1"/>
        <v>LORI MELCHIORRE</v>
      </c>
      <c r="F110" s="2" t="s">
        <v>27</v>
      </c>
      <c r="G110" s="2" t="s">
        <v>29</v>
      </c>
      <c r="H110" s="3">
        <v>46023</v>
      </c>
      <c r="I110" s="3">
        <v>46023</v>
      </c>
      <c r="J110" s="2" t="s">
        <v>766</v>
      </c>
      <c r="K110" s="2" t="s">
        <v>32</v>
      </c>
      <c r="L110" s="2" t="s">
        <v>33</v>
      </c>
      <c r="M110" s="2" t="s">
        <v>34</v>
      </c>
      <c r="N110" s="2">
        <v>931</v>
      </c>
      <c r="O110" s="2">
        <v>781</v>
      </c>
      <c r="P110" s="2" t="s">
        <v>755</v>
      </c>
      <c r="Q110" s="2" t="s">
        <v>758</v>
      </c>
    </row>
    <row r="111" spans="1:18" s="2" customFormat="1" x14ac:dyDescent="0.25">
      <c r="A111" s="2" t="s">
        <v>507</v>
      </c>
      <c r="B111" s="2" t="str">
        <f>CONCATENATE(A111,77)</f>
        <v>6HC9K52KP5177</v>
      </c>
      <c r="C111" s="2" t="s">
        <v>884</v>
      </c>
      <c r="D111" s="2" t="s">
        <v>885</v>
      </c>
      <c r="E111" s="2" t="str">
        <f t="shared" si="1"/>
        <v>MARYTHERESA MILLER</v>
      </c>
      <c r="F111" s="2" t="s">
        <v>27</v>
      </c>
      <c r="G111" s="2" t="s">
        <v>29</v>
      </c>
      <c r="H111" s="3">
        <v>46023</v>
      </c>
      <c r="I111" s="3">
        <v>46023</v>
      </c>
      <c r="J111" s="2" t="s">
        <v>766</v>
      </c>
      <c r="K111" s="2" t="s">
        <v>32</v>
      </c>
      <c r="L111" s="2" t="s">
        <v>33</v>
      </c>
      <c r="M111" s="2" t="s">
        <v>34</v>
      </c>
      <c r="N111" s="2">
        <v>931</v>
      </c>
      <c r="O111" s="2">
        <v>781</v>
      </c>
      <c r="P111" s="2" t="s">
        <v>755</v>
      </c>
      <c r="Q111" s="2" t="s">
        <v>758</v>
      </c>
    </row>
    <row r="112" spans="1:18" s="2" customFormat="1" x14ac:dyDescent="0.25">
      <c r="A112" s="2" t="s">
        <v>510</v>
      </c>
      <c r="B112" s="2" t="str">
        <f>CONCATENATE(A112,77)</f>
        <v>1YM5UF8FX5677</v>
      </c>
      <c r="C112" s="2" t="s">
        <v>884</v>
      </c>
      <c r="D112" s="2" t="s">
        <v>886</v>
      </c>
      <c r="E112" s="2" t="str">
        <f t="shared" si="1"/>
        <v>BENJAMIN MILLER</v>
      </c>
      <c r="F112" s="2" t="s">
        <v>27</v>
      </c>
      <c r="G112" s="2" t="s">
        <v>29</v>
      </c>
      <c r="H112" s="3">
        <v>46023</v>
      </c>
      <c r="I112" s="3">
        <v>46023</v>
      </c>
      <c r="J112" s="2" t="s">
        <v>766</v>
      </c>
      <c r="K112" s="2" t="s">
        <v>32</v>
      </c>
      <c r="L112" s="2" t="s">
        <v>33</v>
      </c>
      <c r="M112" s="2" t="s">
        <v>34</v>
      </c>
      <c r="N112" s="2">
        <v>931</v>
      </c>
      <c r="O112" s="2">
        <v>781</v>
      </c>
      <c r="P112" s="2" t="s">
        <v>755</v>
      </c>
      <c r="Q112" s="2" t="s">
        <v>758</v>
      </c>
    </row>
    <row r="113" spans="1:27" s="4" customFormat="1" x14ac:dyDescent="0.25">
      <c r="A113" s="2" t="s">
        <v>566</v>
      </c>
      <c r="B113" s="2" t="str">
        <f>CONCATENATE(A113,77)</f>
        <v>8T68R39PC6577</v>
      </c>
      <c r="C113" s="2" t="s">
        <v>887</v>
      </c>
      <c r="D113" s="2" t="s">
        <v>888</v>
      </c>
      <c r="E113" s="2" t="str">
        <f t="shared" si="1"/>
        <v>MARK PENDRED</v>
      </c>
      <c r="F113" s="2" t="s">
        <v>27</v>
      </c>
      <c r="G113" s="2" t="s">
        <v>29</v>
      </c>
      <c r="H113" s="3">
        <v>46023</v>
      </c>
      <c r="I113" s="3">
        <v>46023</v>
      </c>
      <c r="J113" s="2" t="s">
        <v>766</v>
      </c>
      <c r="K113" s="2" t="s">
        <v>32</v>
      </c>
      <c r="L113" s="2" t="s">
        <v>33</v>
      </c>
      <c r="M113" s="2" t="s">
        <v>34</v>
      </c>
      <c r="N113" s="2">
        <v>931</v>
      </c>
      <c r="O113" s="2">
        <v>781</v>
      </c>
      <c r="P113" s="2" t="s">
        <v>755</v>
      </c>
      <c r="Q113" s="2" t="s">
        <v>758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4" customFormat="1" x14ac:dyDescent="0.25">
      <c r="A114" s="2" t="s">
        <v>573</v>
      </c>
      <c r="B114" s="2" t="str">
        <f>CONCATENATE(A114,77)</f>
        <v>3XR8RY1HG3777</v>
      </c>
      <c r="C114" s="2" t="s">
        <v>889</v>
      </c>
      <c r="D114" s="2" t="s">
        <v>890</v>
      </c>
      <c r="E114" s="2" t="str">
        <f t="shared" si="1"/>
        <v>KATHY POPA</v>
      </c>
      <c r="F114" s="2" t="s">
        <v>27</v>
      </c>
      <c r="G114" s="2" t="s">
        <v>29</v>
      </c>
      <c r="H114" s="3">
        <v>46023</v>
      </c>
      <c r="I114" s="3">
        <v>46023</v>
      </c>
      <c r="J114" s="2" t="s">
        <v>766</v>
      </c>
      <c r="K114" s="2" t="s">
        <v>32</v>
      </c>
      <c r="L114" s="2" t="s">
        <v>33</v>
      </c>
      <c r="M114" s="2" t="s">
        <v>34</v>
      </c>
      <c r="N114" s="2">
        <v>931</v>
      </c>
      <c r="O114" s="2">
        <v>781</v>
      </c>
      <c r="P114" s="2" t="s">
        <v>755</v>
      </c>
      <c r="Q114" s="2" t="s">
        <v>758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4" customFormat="1" x14ac:dyDescent="0.25">
      <c r="A115" s="2" t="s">
        <v>603</v>
      </c>
      <c r="B115" s="2" t="str">
        <f>CONCATENATE(A115,77)</f>
        <v>7RY2YT4HP9977</v>
      </c>
      <c r="C115" s="2" t="s">
        <v>891</v>
      </c>
      <c r="D115" s="2" t="s">
        <v>892</v>
      </c>
      <c r="E115" s="2" t="str">
        <f t="shared" si="1"/>
        <v>CATHY ROSUS</v>
      </c>
      <c r="F115" s="2" t="s">
        <v>27</v>
      </c>
      <c r="G115" s="2" t="s">
        <v>29</v>
      </c>
      <c r="H115" s="3">
        <v>46054</v>
      </c>
      <c r="I115" s="3">
        <v>46054</v>
      </c>
      <c r="J115" s="2" t="s">
        <v>766</v>
      </c>
      <c r="K115" s="2" t="s">
        <v>32</v>
      </c>
      <c r="L115" s="2" t="s">
        <v>33</v>
      </c>
      <c r="M115" s="2" t="s">
        <v>34</v>
      </c>
      <c r="N115" s="2">
        <v>931</v>
      </c>
      <c r="O115" s="2">
        <v>781</v>
      </c>
      <c r="P115" s="2" t="s">
        <v>755</v>
      </c>
      <c r="Q115" s="2" t="s">
        <v>758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4" customFormat="1" x14ac:dyDescent="0.25">
      <c r="A116" s="2" t="s">
        <v>684</v>
      </c>
      <c r="B116" s="2" t="str">
        <f>CONCATENATE(A116,77)</f>
        <v>3JW7RE0JU3177</v>
      </c>
      <c r="C116" s="2" t="s">
        <v>893</v>
      </c>
      <c r="D116" s="2" t="s">
        <v>894</v>
      </c>
      <c r="E116" s="2" t="str">
        <f t="shared" si="1"/>
        <v>LEWIS VINCENTI</v>
      </c>
      <c r="F116" s="2" t="s">
        <v>27</v>
      </c>
      <c r="G116" s="2" t="s">
        <v>29</v>
      </c>
      <c r="H116" s="3">
        <v>46023</v>
      </c>
      <c r="I116" s="3">
        <v>46023</v>
      </c>
      <c r="J116" s="2" t="s">
        <v>766</v>
      </c>
      <c r="K116" s="2" t="s">
        <v>32</v>
      </c>
      <c r="L116" s="2" t="s">
        <v>33</v>
      </c>
      <c r="M116" s="2" t="s">
        <v>34</v>
      </c>
      <c r="N116" s="2">
        <v>931</v>
      </c>
      <c r="O116" s="2">
        <v>781</v>
      </c>
      <c r="P116" s="2" t="s">
        <v>755</v>
      </c>
      <c r="Q116" s="2" t="s">
        <v>758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s="4" customFormat="1" x14ac:dyDescent="0.25">
      <c r="A117" s="2" t="s">
        <v>24</v>
      </c>
      <c r="B117" s="2" t="str">
        <f>CONCATENATE(A117,89)</f>
        <v>4JH2DG8TE0889</v>
      </c>
      <c r="C117" s="2" t="s">
        <v>872</v>
      </c>
      <c r="D117" s="2" t="s">
        <v>873</v>
      </c>
      <c r="E117" s="2" t="str">
        <f t="shared" si="1"/>
        <v>SCOTT ADAMS</v>
      </c>
      <c r="F117" s="2" t="s">
        <v>27</v>
      </c>
      <c r="G117" s="2" t="s">
        <v>29</v>
      </c>
      <c r="H117" s="3">
        <v>46023</v>
      </c>
      <c r="I117" s="3">
        <v>46023</v>
      </c>
      <c r="J117" s="2" t="s">
        <v>766</v>
      </c>
      <c r="K117" s="2" t="s">
        <v>32</v>
      </c>
      <c r="L117" s="2" t="s">
        <v>33</v>
      </c>
      <c r="M117" s="2" t="s">
        <v>34</v>
      </c>
      <c r="N117" s="2">
        <v>-541</v>
      </c>
      <c r="O117" s="2">
        <v>-391</v>
      </c>
      <c r="P117" s="2" t="s">
        <v>747</v>
      </c>
      <c r="Q117" s="2" t="s">
        <v>746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s="4" customFormat="1" x14ac:dyDescent="0.25">
      <c r="A118" s="2" t="s">
        <v>197</v>
      </c>
      <c r="B118" s="2" t="str">
        <f>CONCATENATE(A118,89)</f>
        <v>2K61QQ6GW3189</v>
      </c>
      <c r="C118" s="2" t="s">
        <v>876</v>
      </c>
      <c r="D118" s="2" t="s">
        <v>877</v>
      </c>
      <c r="E118" s="2" t="str">
        <f t="shared" si="1"/>
        <v>CONSTANCE CULBERTSON</v>
      </c>
      <c r="F118" s="2" t="s">
        <v>27</v>
      </c>
      <c r="G118" s="2" t="s">
        <v>29</v>
      </c>
      <c r="H118" s="3">
        <v>46023</v>
      </c>
      <c r="I118" s="3">
        <v>46023</v>
      </c>
      <c r="J118" s="2" t="s">
        <v>766</v>
      </c>
      <c r="K118" s="2" t="s">
        <v>32</v>
      </c>
      <c r="L118" s="2" t="s">
        <v>33</v>
      </c>
      <c r="M118" s="2" t="s">
        <v>34</v>
      </c>
      <c r="N118" s="2">
        <v>-541</v>
      </c>
      <c r="O118" s="2">
        <v>-391</v>
      </c>
      <c r="P118" s="2" t="s">
        <v>747</v>
      </c>
      <c r="Q118" s="2" t="s">
        <v>746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s="4" customFormat="1" x14ac:dyDescent="0.25">
      <c r="A119" s="2" t="s">
        <v>434</v>
      </c>
      <c r="B119" s="2" t="str">
        <f>CONCATENATE(A119,89)</f>
        <v>8DR7J09RJ7989</v>
      </c>
      <c r="C119" s="2" t="s">
        <v>878</v>
      </c>
      <c r="D119" s="2" t="s">
        <v>879</v>
      </c>
      <c r="E119" s="2" t="str">
        <f t="shared" si="1"/>
        <v>CIERRA LESTER</v>
      </c>
      <c r="F119" s="2" t="s">
        <v>27</v>
      </c>
      <c r="G119" s="2" t="s">
        <v>29</v>
      </c>
      <c r="H119" s="3">
        <v>46023</v>
      </c>
      <c r="I119" s="3">
        <v>46023</v>
      </c>
      <c r="J119" s="2" t="s">
        <v>766</v>
      </c>
      <c r="K119" s="2" t="s">
        <v>32</v>
      </c>
      <c r="L119" s="2" t="s">
        <v>33</v>
      </c>
      <c r="M119" s="2" t="s">
        <v>34</v>
      </c>
      <c r="N119" s="2">
        <v>-541</v>
      </c>
      <c r="O119" s="2">
        <v>-391</v>
      </c>
      <c r="P119" s="2" t="s">
        <v>747</v>
      </c>
      <c r="Q119" s="2" t="s">
        <v>746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s="4" customFormat="1" x14ac:dyDescent="0.25">
      <c r="A120" s="2" t="s">
        <v>471</v>
      </c>
      <c r="B120" s="2" t="str">
        <f>CONCATENATE(A120,89)</f>
        <v>3QC0DJ1CY2089</v>
      </c>
      <c r="C120" s="2" t="s">
        <v>880</v>
      </c>
      <c r="D120" s="2" t="s">
        <v>881</v>
      </c>
      <c r="E120" s="2" t="str">
        <f t="shared" si="1"/>
        <v>MONICA MANSOUR</v>
      </c>
      <c r="F120" s="2" t="s">
        <v>27</v>
      </c>
      <c r="G120" s="2" t="s">
        <v>29</v>
      </c>
      <c r="H120" s="3">
        <v>46023</v>
      </c>
      <c r="I120" s="3">
        <v>46023</v>
      </c>
      <c r="J120" s="2" t="s">
        <v>766</v>
      </c>
      <c r="K120" s="2" t="s">
        <v>32</v>
      </c>
      <c r="L120" s="2" t="s">
        <v>33</v>
      </c>
      <c r="M120" s="2" t="s">
        <v>34</v>
      </c>
      <c r="N120" s="2">
        <v>-541</v>
      </c>
      <c r="O120" s="2">
        <v>-391</v>
      </c>
      <c r="P120" s="2" t="s">
        <v>747</v>
      </c>
      <c r="Q120" s="2" t="s">
        <v>746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s="4" customFormat="1" x14ac:dyDescent="0.25">
      <c r="A121" s="2" t="s">
        <v>491</v>
      </c>
      <c r="B121" s="2" t="str">
        <f>CONCATENATE(A121,89)</f>
        <v>2V02NQ8KH8589</v>
      </c>
      <c r="C121" s="2" t="s">
        <v>882</v>
      </c>
      <c r="D121" s="2" t="s">
        <v>883</v>
      </c>
      <c r="E121" s="2" t="str">
        <f t="shared" si="1"/>
        <v>LORI MELCHIORRE</v>
      </c>
      <c r="F121" s="2" t="s">
        <v>27</v>
      </c>
      <c r="G121" s="2" t="s">
        <v>29</v>
      </c>
      <c r="H121" s="3">
        <v>46023</v>
      </c>
      <c r="I121" s="3">
        <v>46023</v>
      </c>
      <c r="J121" s="2" t="s">
        <v>766</v>
      </c>
      <c r="K121" s="2" t="s">
        <v>32</v>
      </c>
      <c r="L121" s="2" t="s">
        <v>33</v>
      </c>
      <c r="M121" s="2" t="s">
        <v>34</v>
      </c>
      <c r="N121" s="2">
        <v>-541</v>
      </c>
      <c r="O121" s="2">
        <v>-391</v>
      </c>
      <c r="P121" s="2" t="s">
        <v>747</v>
      </c>
      <c r="Q121" s="2" t="s">
        <v>746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s="4" customFormat="1" x14ac:dyDescent="0.25">
      <c r="A122" s="2" t="s">
        <v>507</v>
      </c>
      <c r="B122" s="2" t="str">
        <f>CONCATENATE(A122,89)</f>
        <v>6HC9K52KP5189</v>
      </c>
      <c r="C122" s="2" t="s">
        <v>884</v>
      </c>
      <c r="D122" s="2" t="s">
        <v>885</v>
      </c>
      <c r="E122" s="2" t="str">
        <f t="shared" si="1"/>
        <v>MARYTHERESA MILLER</v>
      </c>
      <c r="F122" s="2" t="s">
        <v>27</v>
      </c>
      <c r="G122" s="2" t="s">
        <v>29</v>
      </c>
      <c r="H122" s="3">
        <v>46023</v>
      </c>
      <c r="I122" s="3">
        <v>46023</v>
      </c>
      <c r="J122" s="2" t="s">
        <v>766</v>
      </c>
      <c r="K122" s="2" t="s">
        <v>32</v>
      </c>
      <c r="L122" s="2" t="s">
        <v>33</v>
      </c>
      <c r="M122" s="2" t="s">
        <v>34</v>
      </c>
      <c r="N122" s="2">
        <v>-541</v>
      </c>
      <c r="O122" s="2">
        <v>-391</v>
      </c>
      <c r="P122" s="2" t="s">
        <v>747</v>
      </c>
      <c r="Q122" s="2" t="s">
        <v>746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4" customFormat="1" x14ac:dyDescent="0.25">
      <c r="A123" s="2" t="s">
        <v>510</v>
      </c>
      <c r="B123" s="2" t="str">
        <f>CONCATENATE(A123,89)</f>
        <v>1YM5UF8FX5689</v>
      </c>
      <c r="C123" s="2" t="s">
        <v>884</v>
      </c>
      <c r="D123" s="2" t="s">
        <v>886</v>
      </c>
      <c r="E123" s="2" t="str">
        <f t="shared" si="1"/>
        <v>BENJAMIN MILLER</v>
      </c>
      <c r="F123" s="2" t="s">
        <v>27</v>
      </c>
      <c r="G123" s="2" t="s">
        <v>29</v>
      </c>
      <c r="H123" s="3">
        <v>46023</v>
      </c>
      <c r="I123" s="3">
        <v>46023</v>
      </c>
      <c r="J123" s="2" t="s">
        <v>766</v>
      </c>
      <c r="K123" s="2" t="s">
        <v>32</v>
      </c>
      <c r="L123" s="2" t="s">
        <v>33</v>
      </c>
      <c r="M123" s="2" t="s">
        <v>34</v>
      </c>
      <c r="N123" s="2">
        <v>-541</v>
      </c>
      <c r="O123" s="2">
        <v>-391</v>
      </c>
      <c r="P123" s="2" t="s">
        <v>747</v>
      </c>
      <c r="Q123" s="2" t="s">
        <v>746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4" customFormat="1" x14ac:dyDescent="0.25">
      <c r="A124" s="2" t="s">
        <v>566</v>
      </c>
      <c r="B124" s="2" t="str">
        <f>CONCATENATE(A124,89)</f>
        <v>8T68R39PC6589</v>
      </c>
      <c r="C124" s="2" t="s">
        <v>887</v>
      </c>
      <c r="D124" s="2" t="s">
        <v>888</v>
      </c>
      <c r="E124" s="2" t="str">
        <f t="shared" si="1"/>
        <v>MARK PENDRED</v>
      </c>
      <c r="F124" s="2" t="s">
        <v>27</v>
      </c>
      <c r="G124" s="2" t="s">
        <v>29</v>
      </c>
      <c r="H124" s="3">
        <v>46023</v>
      </c>
      <c r="I124" s="3">
        <v>46023</v>
      </c>
      <c r="J124" s="2" t="s">
        <v>766</v>
      </c>
      <c r="K124" s="2" t="s">
        <v>32</v>
      </c>
      <c r="L124" s="2" t="s">
        <v>33</v>
      </c>
      <c r="M124" s="2" t="s">
        <v>34</v>
      </c>
      <c r="N124" s="2">
        <v>-541</v>
      </c>
      <c r="O124" s="2">
        <v>-391</v>
      </c>
      <c r="P124" s="2" t="s">
        <v>747</v>
      </c>
      <c r="Q124" s="2" t="s">
        <v>746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4" customFormat="1" x14ac:dyDescent="0.25">
      <c r="A125" s="2" t="s">
        <v>573</v>
      </c>
      <c r="B125" s="2" t="str">
        <f>CONCATENATE(A125,89)</f>
        <v>3XR8RY1HG3789</v>
      </c>
      <c r="C125" s="2" t="s">
        <v>889</v>
      </c>
      <c r="D125" s="2" t="s">
        <v>890</v>
      </c>
      <c r="E125" s="2" t="str">
        <f t="shared" si="1"/>
        <v>KATHY POPA</v>
      </c>
      <c r="F125" s="2" t="s">
        <v>27</v>
      </c>
      <c r="G125" s="2" t="s">
        <v>29</v>
      </c>
      <c r="H125" s="3">
        <v>46023</v>
      </c>
      <c r="I125" s="3">
        <v>46023</v>
      </c>
      <c r="J125" s="2" t="s">
        <v>766</v>
      </c>
      <c r="K125" s="2" t="s">
        <v>32</v>
      </c>
      <c r="L125" s="2" t="s">
        <v>33</v>
      </c>
      <c r="M125" s="2" t="s">
        <v>34</v>
      </c>
      <c r="N125" s="2">
        <v>-541</v>
      </c>
      <c r="O125" s="2">
        <v>-391</v>
      </c>
      <c r="P125" s="2" t="s">
        <v>747</v>
      </c>
      <c r="Q125" s="2" t="s">
        <v>746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4" customFormat="1" x14ac:dyDescent="0.25">
      <c r="A126" s="2" t="s">
        <v>684</v>
      </c>
      <c r="B126" s="2" t="str">
        <f>CONCATENATE(A126,89)</f>
        <v>3JW7RE0JU3189</v>
      </c>
      <c r="C126" s="2" t="s">
        <v>893</v>
      </c>
      <c r="D126" s="2" t="s">
        <v>894</v>
      </c>
      <c r="E126" s="2" t="str">
        <f t="shared" si="1"/>
        <v>LEWIS VINCENTI</v>
      </c>
      <c r="F126" s="2" t="s">
        <v>27</v>
      </c>
      <c r="G126" s="2" t="s">
        <v>29</v>
      </c>
      <c r="H126" s="3">
        <v>46023</v>
      </c>
      <c r="I126" s="3">
        <v>46023</v>
      </c>
      <c r="J126" s="2" t="s">
        <v>766</v>
      </c>
      <c r="K126" s="2" t="s">
        <v>32</v>
      </c>
      <c r="L126" s="2" t="s">
        <v>33</v>
      </c>
      <c r="M126" s="2" t="s">
        <v>34</v>
      </c>
      <c r="N126" s="2">
        <v>-541</v>
      </c>
      <c r="O126" s="2">
        <v>-391</v>
      </c>
      <c r="P126" s="2" t="s">
        <v>747</v>
      </c>
      <c r="Q126" s="2" t="s">
        <v>746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s="4" customFormat="1" x14ac:dyDescent="0.25">
      <c r="A127" s="2" t="s">
        <v>372</v>
      </c>
      <c r="B127" s="2" t="str">
        <f>CONCATENATE(A127,89)</f>
        <v>8EP4UE8GD8289</v>
      </c>
      <c r="C127" s="2" t="s">
        <v>867</v>
      </c>
      <c r="D127" s="2" t="s">
        <v>868</v>
      </c>
      <c r="E127" s="2" t="str">
        <f t="shared" si="1"/>
        <v>EULA HOWE</v>
      </c>
      <c r="F127" s="2" t="s">
        <v>27</v>
      </c>
      <c r="G127" s="2" t="s">
        <v>29</v>
      </c>
      <c r="H127" s="3">
        <v>46023</v>
      </c>
      <c r="I127" s="3">
        <v>46023</v>
      </c>
      <c r="J127" s="2" t="s">
        <v>766</v>
      </c>
      <c r="K127" s="2" t="s">
        <v>32</v>
      </c>
      <c r="L127" s="2" t="s">
        <v>33</v>
      </c>
      <c r="M127" s="2" t="s">
        <v>34</v>
      </c>
      <c r="N127" s="2">
        <v>-526</v>
      </c>
      <c r="O127" s="2">
        <v>-391</v>
      </c>
      <c r="P127" s="2" t="s">
        <v>747</v>
      </c>
      <c r="Q127" s="2" t="s">
        <v>746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s="4" customFormat="1" x14ac:dyDescent="0.25">
      <c r="A128" s="2" t="s">
        <v>402</v>
      </c>
      <c r="B128" s="2" t="str">
        <f>CONCATENATE(A128,89)</f>
        <v>9Y42CK3JU0889</v>
      </c>
      <c r="C128" s="2" t="s">
        <v>869</v>
      </c>
      <c r="D128" s="2" t="s">
        <v>779</v>
      </c>
      <c r="E128" s="2" t="str">
        <f t="shared" si="1"/>
        <v>GAYLE KIRSCH</v>
      </c>
      <c r="F128" s="2" t="s">
        <v>27</v>
      </c>
      <c r="G128" s="2" t="s">
        <v>29</v>
      </c>
      <c r="H128" s="3">
        <v>46023</v>
      </c>
      <c r="I128" s="3">
        <v>46023</v>
      </c>
      <c r="J128" s="2" t="s">
        <v>766</v>
      </c>
      <c r="K128" s="2" t="s">
        <v>32</v>
      </c>
      <c r="L128" s="2" t="s">
        <v>33</v>
      </c>
      <c r="M128" s="2" t="s">
        <v>34</v>
      </c>
      <c r="N128" s="2">
        <v>-526</v>
      </c>
      <c r="O128" s="2">
        <v>-391</v>
      </c>
      <c r="P128" s="2" t="s">
        <v>747</v>
      </c>
      <c r="Q128" s="2" t="s">
        <v>746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s="4" customFormat="1" x14ac:dyDescent="0.25">
      <c r="A129" s="2" t="s">
        <v>600</v>
      </c>
      <c r="B129" s="2" t="str">
        <f>CONCATENATE(A129,89)</f>
        <v>1TT3K31WK9189</v>
      </c>
      <c r="C129" s="2" t="s">
        <v>870</v>
      </c>
      <c r="D129" s="2" t="s">
        <v>871</v>
      </c>
      <c r="E129" s="2" t="str">
        <f t="shared" si="1"/>
        <v>DOUGLAS RICHARDSON</v>
      </c>
      <c r="F129" s="2" t="s">
        <v>27</v>
      </c>
      <c r="G129" s="2" t="s">
        <v>86</v>
      </c>
      <c r="H129" s="3">
        <v>46023</v>
      </c>
      <c r="I129" s="3">
        <v>46023</v>
      </c>
      <c r="J129" s="2" t="s">
        <v>766</v>
      </c>
      <c r="K129" s="2" t="s">
        <v>32</v>
      </c>
      <c r="L129" s="2" t="s">
        <v>33</v>
      </c>
      <c r="M129" s="2" t="s">
        <v>34</v>
      </c>
      <c r="N129" s="2">
        <v>-526</v>
      </c>
      <c r="O129" s="2">
        <v>-391</v>
      </c>
      <c r="P129" s="2" t="s">
        <v>747</v>
      </c>
      <c r="Q129" s="2" t="s">
        <v>746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s="4" customFormat="1" x14ac:dyDescent="0.25">
      <c r="A130" s="2" t="s">
        <v>79</v>
      </c>
      <c r="B130" s="2" t="str">
        <f>CONCATENATE(A130,89)</f>
        <v>1XT4DX2GE0689</v>
      </c>
      <c r="C130" s="2" t="s">
        <v>874</v>
      </c>
      <c r="D130" s="2" t="s">
        <v>875</v>
      </c>
      <c r="E130" s="2" t="str">
        <f t="shared" si="1"/>
        <v>HOWARD BELLAIRE</v>
      </c>
      <c r="F130" s="2" t="s">
        <v>27</v>
      </c>
      <c r="G130" s="2" t="s">
        <v>29</v>
      </c>
      <c r="H130" s="3">
        <v>46054</v>
      </c>
      <c r="I130" s="3">
        <v>46054</v>
      </c>
      <c r="J130" s="2" t="s">
        <v>766</v>
      </c>
      <c r="K130" s="2" t="s">
        <v>32</v>
      </c>
      <c r="L130" s="2" t="s">
        <v>33</v>
      </c>
      <c r="M130" s="2" t="s">
        <v>34</v>
      </c>
      <c r="N130" s="2">
        <v>-495.92</v>
      </c>
      <c r="O130" s="2">
        <v>-358.42</v>
      </c>
      <c r="P130" s="2" t="s">
        <v>747</v>
      </c>
      <c r="Q130" s="2" t="s">
        <v>750</v>
      </c>
      <c r="R130" s="2"/>
      <c r="S130" s="2">
        <f>391/12*11</f>
        <v>358.41666666666669</v>
      </c>
      <c r="T130" s="2">
        <f>495.92-358.42</f>
        <v>137.5</v>
      </c>
      <c r="U130" s="2"/>
      <c r="V130" s="2"/>
      <c r="W130" s="2"/>
      <c r="X130" s="2"/>
      <c r="Y130" s="2"/>
      <c r="Z130" s="2"/>
      <c r="AA130" s="2"/>
    </row>
    <row r="131" spans="1:27" s="4" customFormat="1" x14ac:dyDescent="0.25">
      <c r="A131" s="2" t="s">
        <v>102</v>
      </c>
      <c r="B131" s="2" t="str">
        <f>CONCATENATE(A131,89)</f>
        <v>7G70U63AG3189</v>
      </c>
      <c r="C131" s="2" t="s">
        <v>863</v>
      </c>
      <c r="D131" s="2" t="s">
        <v>864</v>
      </c>
      <c r="E131" s="2" t="str">
        <f t="shared" ref="E131:E194" si="2">CONCATENATE(D131," ",C131)</f>
        <v>BARBARA BOYD</v>
      </c>
      <c r="F131" s="2" t="s">
        <v>27</v>
      </c>
      <c r="G131" s="2" t="s">
        <v>29</v>
      </c>
      <c r="H131" s="3">
        <v>46054</v>
      </c>
      <c r="I131" s="3">
        <v>46054</v>
      </c>
      <c r="J131" s="2" t="s">
        <v>766</v>
      </c>
      <c r="K131" s="2" t="s">
        <v>32</v>
      </c>
      <c r="L131" s="2" t="s">
        <v>33</v>
      </c>
      <c r="M131" s="2" t="s">
        <v>34</v>
      </c>
      <c r="N131" s="2">
        <v>-495.92</v>
      </c>
      <c r="O131" s="2">
        <v>-358.42</v>
      </c>
      <c r="P131" s="2" t="s">
        <v>747</v>
      </c>
      <c r="Q131" s="2" t="s">
        <v>750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s="4" customFormat="1" x14ac:dyDescent="0.25">
      <c r="A132" s="2" t="s">
        <v>603</v>
      </c>
      <c r="B132" s="2" t="str">
        <f>CONCATENATE(A132,89)</f>
        <v>7RY2YT4HP9989</v>
      </c>
      <c r="C132" s="2" t="s">
        <v>891</v>
      </c>
      <c r="D132" s="2" t="s">
        <v>892</v>
      </c>
      <c r="E132" s="2" t="str">
        <f t="shared" si="2"/>
        <v>CATHY ROSUS</v>
      </c>
      <c r="F132" s="2" t="s">
        <v>27</v>
      </c>
      <c r="G132" s="2" t="s">
        <v>29</v>
      </c>
      <c r="H132" s="3">
        <v>46054</v>
      </c>
      <c r="I132" s="3">
        <v>46054</v>
      </c>
      <c r="J132" s="2" t="s">
        <v>766</v>
      </c>
      <c r="K132" s="2" t="s">
        <v>32</v>
      </c>
      <c r="L132" s="2" t="s">
        <v>33</v>
      </c>
      <c r="M132" s="2" t="s">
        <v>34</v>
      </c>
      <c r="N132" s="2">
        <v>-495.92</v>
      </c>
      <c r="O132" s="2">
        <v>-358.42</v>
      </c>
      <c r="P132" s="2" t="s">
        <v>747</v>
      </c>
      <c r="Q132" s="2" t="s">
        <v>750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4" customFormat="1" x14ac:dyDescent="0.25">
      <c r="A133" s="2" t="s">
        <v>61</v>
      </c>
      <c r="B133" s="2" t="str">
        <f>CONCATENATE(A133,89)</f>
        <v>7XQ8WE4QP3289</v>
      </c>
      <c r="C133" s="2" t="s">
        <v>865</v>
      </c>
      <c r="D133" s="2" t="s">
        <v>866</v>
      </c>
      <c r="E133" s="2" t="str">
        <f t="shared" si="2"/>
        <v>ANNETTE BALDWIN</v>
      </c>
      <c r="F133" s="2" t="s">
        <v>27</v>
      </c>
      <c r="G133" s="2" t="s">
        <v>29</v>
      </c>
      <c r="H133" s="3">
        <v>46054</v>
      </c>
      <c r="I133" s="3">
        <v>46054</v>
      </c>
      <c r="J133" s="2" t="s">
        <v>766</v>
      </c>
      <c r="K133" s="2" t="s">
        <v>32</v>
      </c>
      <c r="L133" s="2" t="s">
        <v>33</v>
      </c>
      <c r="M133" s="2" t="s">
        <v>34</v>
      </c>
      <c r="N133" s="2">
        <v>-482.17</v>
      </c>
      <c r="O133" s="2">
        <v>-358.42</v>
      </c>
      <c r="P133" s="2" t="s">
        <v>747</v>
      </c>
      <c r="Q133" s="2" t="s">
        <v>750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4" customFormat="1" x14ac:dyDescent="0.25">
      <c r="A134" s="2" t="s">
        <v>499</v>
      </c>
      <c r="B134" s="2" t="str">
        <f>CONCATENATE(A134,89)</f>
        <v>6VJ3UT7GV8289</v>
      </c>
      <c r="C134" s="2" t="s">
        <v>895</v>
      </c>
      <c r="D134" s="2" t="s">
        <v>896</v>
      </c>
      <c r="E134" s="2" t="str">
        <f t="shared" si="2"/>
        <v>ELAINE MERKEL</v>
      </c>
      <c r="F134" s="2" t="s">
        <v>27</v>
      </c>
      <c r="G134" s="2" t="s">
        <v>29</v>
      </c>
      <c r="H134" s="3">
        <v>46054</v>
      </c>
      <c r="I134" s="3">
        <v>46054</v>
      </c>
      <c r="J134" s="2" t="s">
        <v>766</v>
      </c>
      <c r="K134" s="2" t="s">
        <v>32</v>
      </c>
      <c r="L134" s="2" t="s">
        <v>33</v>
      </c>
      <c r="M134" s="2" t="s">
        <v>34</v>
      </c>
      <c r="N134" s="2">
        <v>495.92</v>
      </c>
      <c r="O134" s="2">
        <v>358.42</v>
      </c>
      <c r="P134" s="2" t="s">
        <v>747</v>
      </c>
      <c r="Q134" s="2" t="s">
        <v>750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4" customFormat="1" x14ac:dyDescent="0.25">
      <c r="A135" s="2" t="s">
        <v>485</v>
      </c>
      <c r="B135" s="2" t="str">
        <f>CONCATENATE(A135,89)</f>
        <v>3H75FM8XU7189</v>
      </c>
      <c r="C135" s="2" t="s">
        <v>897</v>
      </c>
      <c r="D135" s="2" t="s">
        <v>847</v>
      </c>
      <c r="E135" s="2" t="str">
        <f t="shared" si="2"/>
        <v>ROBERT MCDOWELL</v>
      </c>
      <c r="F135" s="2" t="s">
        <v>27</v>
      </c>
      <c r="G135" s="2" t="s">
        <v>29</v>
      </c>
      <c r="H135" s="3">
        <v>46023</v>
      </c>
      <c r="I135" s="3">
        <v>46023</v>
      </c>
      <c r="J135" s="2" t="s">
        <v>766</v>
      </c>
      <c r="K135" s="2" t="s">
        <v>32</v>
      </c>
      <c r="L135" s="2" t="s">
        <v>33</v>
      </c>
      <c r="M135" s="2" t="s">
        <v>34</v>
      </c>
      <c r="N135" s="2">
        <v>541</v>
      </c>
      <c r="O135" s="2">
        <v>391</v>
      </c>
      <c r="P135" s="2" t="s">
        <v>747</v>
      </c>
      <c r="Q135" s="2" t="s">
        <v>746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4" customFormat="1" x14ac:dyDescent="0.25">
      <c r="A136" s="2" t="s">
        <v>529</v>
      </c>
      <c r="B136" s="2" t="str">
        <f>CONCATENATE(A136,89)</f>
        <v>5P64QW8RM9389</v>
      </c>
      <c r="C136" s="2" t="s">
        <v>898</v>
      </c>
      <c r="D136" s="2" t="s">
        <v>899</v>
      </c>
      <c r="E136" s="2" t="str">
        <f t="shared" si="2"/>
        <v>THOMAS MOZUCH</v>
      </c>
      <c r="F136" s="2" t="s">
        <v>27</v>
      </c>
      <c r="G136" s="2" t="s">
        <v>29</v>
      </c>
      <c r="H136" s="3">
        <v>46023</v>
      </c>
      <c r="I136" s="3">
        <v>46023</v>
      </c>
      <c r="J136" s="2" t="s">
        <v>766</v>
      </c>
      <c r="K136" s="2" t="s">
        <v>32</v>
      </c>
      <c r="L136" s="2" t="s">
        <v>33</v>
      </c>
      <c r="M136" s="2" t="s">
        <v>34</v>
      </c>
      <c r="N136" s="2">
        <v>541</v>
      </c>
      <c r="O136" s="2">
        <v>391</v>
      </c>
      <c r="P136" s="2" t="s">
        <v>747</v>
      </c>
      <c r="Q136" s="2" t="s">
        <v>746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s="4" customFormat="1" x14ac:dyDescent="0.25">
      <c r="A137" s="2" t="s">
        <v>579</v>
      </c>
      <c r="B137" s="2" t="str">
        <f>CONCATENATE(A137,89)</f>
        <v>2WU4V02WQ0689</v>
      </c>
      <c r="C137" s="2" t="s">
        <v>900</v>
      </c>
      <c r="D137" s="2" t="s">
        <v>789</v>
      </c>
      <c r="E137" s="2" t="str">
        <f t="shared" si="2"/>
        <v>C RAPP</v>
      </c>
      <c r="F137" s="2" t="s">
        <v>27</v>
      </c>
      <c r="G137" s="2" t="s">
        <v>29</v>
      </c>
      <c r="H137" s="3">
        <v>46023</v>
      </c>
      <c r="I137" s="3">
        <v>46023</v>
      </c>
      <c r="J137" s="2" t="s">
        <v>766</v>
      </c>
      <c r="K137" s="2" t="s">
        <v>32</v>
      </c>
      <c r="L137" s="2" t="s">
        <v>33</v>
      </c>
      <c r="M137" s="2" t="s">
        <v>34</v>
      </c>
      <c r="N137" s="2">
        <v>541</v>
      </c>
      <c r="O137" s="2">
        <v>391</v>
      </c>
      <c r="P137" s="2" t="s">
        <v>747</v>
      </c>
      <c r="Q137" s="2" t="s">
        <v>746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s="4" customFormat="1" x14ac:dyDescent="0.25">
      <c r="A138" s="2" t="s">
        <v>582</v>
      </c>
      <c r="B138" s="2" t="str">
        <f>CONCATENATE(A138,89)</f>
        <v>7NM7E43YN4789</v>
      </c>
      <c r="C138" s="2" t="s">
        <v>900</v>
      </c>
      <c r="D138" s="2" t="s">
        <v>888</v>
      </c>
      <c r="E138" s="2" t="str">
        <f t="shared" si="2"/>
        <v>MARK RAPP</v>
      </c>
      <c r="F138" s="2" t="s">
        <v>27</v>
      </c>
      <c r="G138" s="2" t="s">
        <v>29</v>
      </c>
      <c r="H138" s="3">
        <v>46023</v>
      </c>
      <c r="I138" s="3">
        <v>46023</v>
      </c>
      <c r="J138" s="2" t="s">
        <v>766</v>
      </c>
      <c r="K138" s="2" t="s">
        <v>32</v>
      </c>
      <c r="L138" s="2" t="s">
        <v>33</v>
      </c>
      <c r="M138" s="2" t="s">
        <v>34</v>
      </c>
      <c r="N138" s="2">
        <v>541</v>
      </c>
      <c r="O138" s="2">
        <v>391</v>
      </c>
      <c r="P138" s="2" t="s">
        <v>747</v>
      </c>
      <c r="Q138" s="2" t="s">
        <v>746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s="4" customFormat="1" x14ac:dyDescent="0.25">
      <c r="A139" s="2" t="s">
        <v>630</v>
      </c>
      <c r="B139" s="2" t="str">
        <f>CONCATENATE(A139,89)</f>
        <v>6CV3EJ1PA1589</v>
      </c>
      <c r="C139" s="2" t="s">
        <v>901</v>
      </c>
      <c r="D139" s="2" t="s">
        <v>902</v>
      </c>
      <c r="E139" s="2" t="str">
        <f t="shared" si="2"/>
        <v>SUSAN SHEETZ</v>
      </c>
      <c r="F139" s="2" t="s">
        <v>27</v>
      </c>
      <c r="G139" s="2" t="s">
        <v>29</v>
      </c>
      <c r="H139" s="3">
        <v>46023</v>
      </c>
      <c r="I139" s="3">
        <v>46023</v>
      </c>
      <c r="J139" s="2" t="s">
        <v>766</v>
      </c>
      <c r="K139" s="2" t="s">
        <v>32</v>
      </c>
      <c r="L139" s="2" t="s">
        <v>33</v>
      </c>
      <c r="M139" s="2" t="s">
        <v>34</v>
      </c>
      <c r="N139" s="2">
        <v>541</v>
      </c>
      <c r="O139" s="2">
        <v>391</v>
      </c>
      <c r="P139" s="2" t="s">
        <v>747</v>
      </c>
      <c r="Q139" s="2" t="s">
        <v>746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s="4" customFormat="1" x14ac:dyDescent="0.25">
      <c r="A140" s="2" t="s">
        <v>698</v>
      </c>
      <c r="B140" s="2" t="str">
        <f>CONCATENATE(A140,77)</f>
        <v>9YJ1WQ3PW1377</v>
      </c>
      <c r="C140" s="2" t="s">
        <v>903</v>
      </c>
      <c r="D140" s="2" t="s">
        <v>904</v>
      </c>
      <c r="E140" s="2" t="str">
        <f t="shared" si="2"/>
        <v>ANGELA WELDON</v>
      </c>
      <c r="F140" s="2" t="s">
        <v>42</v>
      </c>
      <c r="G140" s="2" t="s">
        <v>29</v>
      </c>
      <c r="H140" s="3">
        <v>46023</v>
      </c>
      <c r="I140" s="3">
        <v>46023</v>
      </c>
      <c r="J140" s="2">
        <v>8814784</v>
      </c>
      <c r="K140" s="2" t="s">
        <v>32</v>
      </c>
      <c r="L140" s="2" t="s">
        <v>218</v>
      </c>
      <c r="M140" s="2" t="s">
        <v>34</v>
      </c>
      <c r="N140" s="2">
        <v>844</v>
      </c>
      <c r="O140" s="2">
        <v>694</v>
      </c>
      <c r="P140" s="2" t="s">
        <v>753</v>
      </c>
      <c r="Q140" s="2" t="s">
        <v>756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s="4" customFormat="1" x14ac:dyDescent="0.25">
      <c r="A141" s="2" t="s">
        <v>214</v>
      </c>
      <c r="B141" s="2" t="str">
        <f>CONCATENATE(A141,89)</f>
        <v>2U94W66KJ8489</v>
      </c>
      <c r="C141" s="2" t="s">
        <v>905</v>
      </c>
      <c r="D141" s="2" t="s">
        <v>847</v>
      </c>
      <c r="E141" s="2" t="str">
        <f t="shared" si="2"/>
        <v>ROBERT DICK</v>
      </c>
      <c r="F141" s="2" t="s">
        <v>42</v>
      </c>
      <c r="G141" s="2" t="s">
        <v>29</v>
      </c>
      <c r="H141" s="3">
        <v>46023</v>
      </c>
      <c r="I141" s="3">
        <v>46023</v>
      </c>
      <c r="J141" s="2">
        <v>8814784</v>
      </c>
      <c r="K141" s="2" t="s">
        <v>32</v>
      </c>
      <c r="L141" s="2" t="s">
        <v>218</v>
      </c>
      <c r="M141" s="2" t="s">
        <v>34</v>
      </c>
      <c r="N141" s="2">
        <v>-497</v>
      </c>
      <c r="O141" s="2">
        <v>-347</v>
      </c>
      <c r="P141" s="2" t="s">
        <v>748</v>
      </c>
      <c r="Q141" s="2" t="s">
        <v>749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s="4" customFormat="1" x14ac:dyDescent="0.25">
      <c r="A142" s="2" t="s">
        <v>698</v>
      </c>
      <c r="B142" s="2" t="str">
        <f>CONCATENATE(A142,89)</f>
        <v>9YJ1WQ3PW1389</v>
      </c>
      <c r="C142" s="2" t="s">
        <v>903</v>
      </c>
      <c r="D142" s="2" t="s">
        <v>904</v>
      </c>
      <c r="E142" s="2" t="str">
        <f t="shared" si="2"/>
        <v>ANGELA WELDON</v>
      </c>
      <c r="F142" s="2" t="s">
        <v>42</v>
      </c>
      <c r="G142" s="2" t="s">
        <v>29</v>
      </c>
      <c r="H142" s="3">
        <v>46023</v>
      </c>
      <c r="I142" s="3">
        <v>46023</v>
      </c>
      <c r="J142" s="2">
        <v>8814784</v>
      </c>
      <c r="K142" s="2" t="s">
        <v>32</v>
      </c>
      <c r="L142" s="2" t="s">
        <v>218</v>
      </c>
      <c r="M142" s="2" t="s">
        <v>34</v>
      </c>
      <c r="N142" s="2">
        <v>-497</v>
      </c>
      <c r="O142" s="2">
        <v>-347</v>
      </c>
      <c r="P142" s="2" t="s">
        <v>748</v>
      </c>
      <c r="Q142" s="2" t="s">
        <v>749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4" customFormat="1" x14ac:dyDescent="0.25">
      <c r="A143" s="2" t="s">
        <v>626</v>
      </c>
      <c r="B143" s="2" t="str">
        <f>CONCATENATE(A143,89)</f>
        <v>5H15KK8UX6889</v>
      </c>
      <c r="C143" s="2" t="s">
        <v>906</v>
      </c>
      <c r="D143" s="2" t="s">
        <v>907</v>
      </c>
      <c r="E143" s="2" t="str">
        <f t="shared" si="2"/>
        <v>ELLEN SCHUSTER</v>
      </c>
      <c r="F143" s="2" t="s">
        <v>136</v>
      </c>
      <c r="G143" s="2" t="s">
        <v>29</v>
      </c>
      <c r="H143" s="3">
        <v>46023</v>
      </c>
      <c r="I143" s="3">
        <v>46023</v>
      </c>
      <c r="J143" s="2">
        <v>8814784</v>
      </c>
      <c r="K143" s="2" t="s">
        <v>32</v>
      </c>
      <c r="L143" s="2" t="s">
        <v>218</v>
      </c>
      <c r="M143" s="2" t="s">
        <v>34</v>
      </c>
      <c r="N143" s="2">
        <v>497</v>
      </c>
      <c r="O143" s="2">
        <v>347</v>
      </c>
      <c r="P143" s="2" t="s">
        <v>748</v>
      </c>
      <c r="Q143" s="2" t="s">
        <v>749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4" customFormat="1" x14ac:dyDescent="0.25">
      <c r="A144" s="4" t="s">
        <v>273</v>
      </c>
      <c r="B144" s="4" t="str">
        <f>CONCATENATE(A144,"OVR")</f>
        <v>6Y85V40VN97OVR</v>
      </c>
      <c r="C144" s="4" t="s">
        <v>908</v>
      </c>
      <c r="D144" s="4" t="s">
        <v>819</v>
      </c>
      <c r="E144" s="2" t="str">
        <f t="shared" si="2"/>
        <v>JOHN GALIOTO</v>
      </c>
      <c r="F144" s="4" t="s">
        <v>42</v>
      </c>
      <c r="G144" s="4" t="s">
        <v>29</v>
      </c>
      <c r="H144" s="5">
        <v>45689</v>
      </c>
      <c r="I144" s="5">
        <v>45689</v>
      </c>
      <c r="J144" s="4">
        <v>20411454</v>
      </c>
      <c r="K144" s="4" t="s">
        <v>32</v>
      </c>
      <c r="L144" s="4" t="s">
        <v>765</v>
      </c>
      <c r="M144" s="4" t="s">
        <v>279</v>
      </c>
      <c r="N144" s="4">
        <v>-751</v>
      </c>
      <c r="O144" s="4">
        <v>-125</v>
      </c>
      <c r="P144" s="4" t="s">
        <v>742</v>
      </c>
    </row>
    <row r="145" spans="1:16" s="4" customFormat="1" x14ac:dyDescent="0.25">
      <c r="A145" s="4" t="s">
        <v>260</v>
      </c>
      <c r="B145" s="4" t="str">
        <f>CONCATENATE(A145,"OVR")</f>
        <v>4WQ7CX3YW78OVR</v>
      </c>
      <c r="C145" s="4" t="s">
        <v>909</v>
      </c>
      <c r="D145" s="4" t="s">
        <v>910</v>
      </c>
      <c r="E145" s="2" t="str">
        <f t="shared" si="2"/>
        <v>RHONDA FRIEDOWITZ</v>
      </c>
      <c r="F145" s="4" t="s">
        <v>263</v>
      </c>
      <c r="G145" s="4" t="s">
        <v>29</v>
      </c>
      <c r="H145" s="5">
        <v>46023</v>
      </c>
      <c r="I145" s="5">
        <v>46023</v>
      </c>
      <c r="J145" s="4">
        <v>20411454</v>
      </c>
      <c r="K145" s="4" t="s">
        <v>32</v>
      </c>
      <c r="L145" s="4" t="s">
        <v>765</v>
      </c>
      <c r="M145" s="4" t="s">
        <v>34</v>
      </c>
      <c r="N145" s="4">
        <v>-607</v>
      </c>
      <c r="O145" s="4">
        <v>-175</v>
      </c>
      <c r="P145" s="4" t="s">
        <v>742</v>
      </c>
    </row>
    <row r="146" spans="1:16" s="4" customFormat="1" x14ac:dyDescent="0.25">
      <c r="A146" s="4" t="s">
        <v>710</v>
      </c>
      <c r="B146" s="4" t="str">
        <f>CONCATENATE(A146,"OVR")</f>
        <v>8XW2U82DD80OVR</v>
      </c>
      <c r="C146" s="4" t="s">
        <v>911</v>
      </c>
      <c r="D146" s="4" t="s">
        <v>912</v>
      </c>
      <c r="E146" s="2" t="str">
        <f t="shared" si="2"/>
        <v>SALLY WILKINSON</v>
      </c>
      <c r="F146" s="4" t="s">
        <v>263</v>
      </c>
      <c r="G146" s="4" t="s">
        <v>29</v>
      </c>
      <c r="H146" s="5">
        <v>46023</v>
      </c>
      <c r="I146" s="5">
        <v>46023</v>
      </c>
      <c r="J146" s="4">
        <v>20411454</v>
      </c>
      <c r="K146" s="4" t="s">
        <v>32</v>
      </c>
      <c r="L146" s="4" t="s">
        <v>765</v>
      </c>
      <c r="M146" s="4" t="s">
        <v>34</v>
      </c>
      <c r="N146" s="4">
        <v>-607</v>
      </c>
      <c r="O146" s="4">
        <v>-175</v>
      </c>
      <c r="P146" s="4" t="s">
        <v>742</v>
      </c>
    </row>
    <row r="147" spans="1:16" s="4" customFormat="1" x14ac:dyDescent="0.25">
      <c r="A147" s="4" t="s">
        <v>24</v>
      </c>
      <c r="B147" s="4" t="str">
        <f>CONCATENATE(A147,"OVR")</f>
        <v>4JH2DG8TE08OVR</v>
      </c>
      <c r="C147" s="4" t="s">
        <v>872</v>
      </c>
      <c r="D147" s="4" t="s">
        <v>873</v>
      </c>
      <c r="E147" s="2" t="str">
        <f t="shared" si="2"/>
        <v>SCOTT ADAMS</v>
      </c>
      <c r="F147" s="4" t="s">
        <v>27</v>
      </c>
      <c r="G147" s="4" t="s">
        <v>29</v>
      </c>
      <c r="H147" s="5">
        <v>46023</v>
      </c>
      <c r="I147" s="5">
        <v>46023</v>
      </c>
      <c r="J147" s="4">
        <v>20411454</v>
      </c>
      <c r="K147" s="4" t="s">
        <v>32</v>
      </c>
      <c r="L147" s="4" t="s">
        <v>765</v>
      </c>
      <c r="M147" s="4" t="s">
        <v>34</v>
      </c>
      <c r="N147" s="4">
        <v>-541</v>
      </c>
      <c r="O147" s="4">
        <v>-150</v>
      </c>
      <c r="P147" s="4" t="s">
        <v>742</v>
      </c>
    </row>
    <row r="148" spans="1:16" s="4" customFormat="1" x14ac:dyDescent="0.25">
      <c r="A148" s="4" t="s">
        <v>197</v>
      </c>
      <c r="B148" s="4" t="str">
        <f>CONCATENATE(A148,"OVR")</f>
        <v>2K61QQ6GW31OVR</v>
      </c>
      <c r="C148" s="4" t="s">
        <v>876</v>
      </c>
      <c r="D148" s="4" t="s">
        <v>877</v>
      </c>
      <c r="E148" s="2" t="str">
        <f t="shared" si="2"/>
        <v>CONSTANCE CULBERTSON</v>
      </c>
      <c r="F148" s="4" t="s">
        <v>27</v>
      </c>
      <c r="G148" s="4" t="s">
        <v>29</v>
      </c>
      <c r="H148" s="5">
        <v>46023</v>
      </c>
      <c r="I148" s="5">
        <v>46023</v>
      </c>
      <c r="J148" s="4">
        <v>20411454</v>
      </c>
      <c r="K148" s="4" t="s">
        <v>32</v>
      </c>
      <c r="L148" s="4" t="s">
        <v>765</v>
      </c>
      <c r="M148" s="4" t="s">
        <v>34</v>
      </c>
      <c r="N148" s="4">
        <v>-541</v>
      </c>
      <c r="O148" s="4">
        <v>-150</v>
      </c>
      <c r="P148" s="4" t="s">
        <v>742</v>
      </c>
    </row>
    <row r="149" spans="1:16" s="4" customFormat="1" x14ac:dyDescent="0.25">
      <c r="A149" s="4" t="s">
        <v>251</v>
      </c>
      <c r="B149" s="4" t="str">
        <f>CONCATENATE(A149,"OVR")</f>
        <v>8D84NT9UP50OVR</v>
      </c>
      <c r="C149" s="4" t="s">
        <v>913</v>
      </c>
      <c r="D149" s="4" t="s">
        <v>914</v>
      </c>
      <c r="E149" s="2" t="str">
        <f t="shared" si="2"/>
        <v>GARY FIEBER</v>
      </c>
      <c r="F149" s="4" t="s">
        <v>27</v>
      </c>
      <c r="G149" s="4" t="s">
        <v>29</v>
      </c>
      <c r="H149" s="5">
        <v>46023</v>
      </c>
      <c r="I149" s="5">
        <v>46023</v>
      </c>
      <c r="J149" s="4">
        <v>20411454</v>
      </c>
      <c r="K149" s="4" t="s">
        <v>32</v>
      </c>
      <c r="L149" s="4" t="s">
        <v>765</v>
      </c>
      <c r="M149" s="4" t="s">
        <v>34</v>
      </c>
      <c r="N149" s="4">
        <v>-541</v>
      </c>
      <c r="O149" s="4">
        <v>-150</v>
      </c>
      <c r="P149" s="4" t="s">
        <v>742</v>
      </c>
    </row>
    <row r="150" spans="1:16" s="4" customFormat="1" x14ac:dyDescent="0.25">
      <c r="A150" s="4" t="s">
        <v>375</v>
      </c>
      <c r="B150" s="4" t="str">
        <f>CONCATENATE(A150,"OVR")</f>
        <v>6MU3M82YQ76OVR</v>
      </c>
      <c r="C150" s="4" t="s">
        <v>834</v>
      </c>
      <c r="D150" s="4" t="s">
        <v>835</v>
      </c>
      <c r="E150" s="2" t="str">
        <f t="shared" si="2"/>
        <v>CATHERINE JACKSON</v>
      </c>
      <c r="F150" s="4" t="s">
        <v>27</v>
      </c>
      <c r="G150" s="4" t="s">
        <v>29</v>
      </c>
      <c r="H150" s="5">
        <v>46023</v>
      </c>
      <c r="I150" s="5">
        <v>46023</v>
      </c>
      <c r="J150" s="4">
        <v>20411454</v>
      </c>
      <c r="K150" s="4" t="s">
        <v>32</v>
      </c>
      <c r="L150" s="4" t="s">
        <v>765</v>
      </c>
      <c r="M150" s="4" t="s">
        <v>34</v>
      </c>
      <c r="N150" s="4">
        <v>-541</v>
      </c>
      <c r="O150" s="4">
        <v>-150</v>
      </c>
      <c r="P150" s="4" t="s">
        <v>742</v>
      </c>
    </row>
    <row r="151" spans="1:16" s="4" customFormat="1" x14ac:dyDescent="0.25">
      <c r="A151" s="4" t="s">
        <v>434</v>
      </c>
      <c r="B151" s="4" t="str">
        <f>CONCATENATE(A151,"OVR")</f>
        <v>8DR7J09RJ79OVR</v>
      </c>
      <c r="C151" s="4" t="s">
        <v>878</v>
      </c>
      <c r="D151" s="4" t="s">
        <v>879</v>
      </c>
      <c r="E151" s="2" t="str">
        <f t="shared" si="2"/>
        <v>CIERRA LESTER</v>
      </c>
      <c r="F151" s="4" t="s">
        <v>27</v>
      </c>
      <c r="G151" s="4" t="s">
        <v>29</v>
      </c>
      <c r="H151" s="5">
        <v>46023</v>
      </c>
      <c r="I151" s="5">
        <v>46023</v>
      </c>
      <c r="J151" s="4">
        <v>20411454</v>
      </c>
      <c r="K151" s="4" t="s">
        <v>32</v>
      </c>
      <c r="L151" s="4" t="s">
        <v>765</v>
      </c>
      <c r="M151" s="4" t="s">
        <v>34</v>
      </c>
      <c r="N151" s="4">
        <v>-541</v>
      </c>
      <c r="O151" s="4">
        <v>-150</v>
      </c>
      <c r="P151" s="4" t="s">
        <v>742</v>
      </c>
    </row>
    <row r="152" spans="1:16" s="4" customFormat="1" x14ac:dyDescent="0.25">
      <c r="A152" s="4" t="s">
        <v>471</v>
      </c>
      <c r="B152" s="4" t="str">
        <f>CONCATENATE(A152,"OVR")</f>
        <v>3QC0DJ1CY20OVR</v>
      </c>
      <c r="C152" s="4" t="s">
        <v>880</v>
      </c>
      <c r="D152" s="4" t="s">
        <v>881</v>
      </c>
      <c r="E152" s="2" t="str">
        <f t="shared" si="2"/>
        <v>MONICA MANSOUR</v>
      </c>
      <c r="F152" s="4" t="s">
        <v>27</v>
      </c>
      <c r="G152" s="4" t="s">
        <v>29</v>
      </c>
      <c r="H152" s="5">
        <v>46023</v>
      </c>
      <c r="I152" s="5">
        <v>46023</v>
      </c>
      <c r="J152" s="4">
        <v>20411454</v>
      </c>
      <c r="K152" s="4" t="s">
        <v>32</v>
      </c>
      <c r="L152" s="4" t="s">
        <v>765</v>
      </c>
      <c r="M152" s="4" t="s">
        <v>34</v>
      </c>
      <c r="N152" s="4">
        <v>-541</v>
      </c>
      <c r="O152" s="4">
        <v>-150</v>
      </c>
      <c r="P152" s="4" t="s">
        <v>742</v>
      </c>
    </row>
    <row r="153" spans="1:16" s="4" customFormat="1" x14ac:dyDescent="0.25">
      <c r="A153" s="4" t="s">
        <v>491</v>
      </c>
      <c r="B153" s="4" t="str">
        <f>CONCATENATE(A153,"OVR")</f>
        <v>2V02NQ8KH85OVR</v>
      </c>
      <c r="C153" s="4" t="s">
        <v>882</v>
      </c>
      <c r="D153" s="4" t="s">
        <v>883</v>
      </c>
      <c r="E153" s="2" t="str">
        <f t="shared" si="2"/>
        <v>LORI MELCHIORRE</v>
      </c>
      <c r="F153" s="4" t="s">
        <v>27</v>
      </c>
      <c r="G153" s="4" t="s">
        <v>29</v>
      </c>
      <c r="H153" s="5">
        <v>46023</v>
      </c>
      <c r="I153" s="5">
        <v>46023</v>
      </c>
      <c r="J153" s="4">
        <v>20411454</v>
      </c>
      <c r="K153" s="4" t="s">
        <v>32</v>
      </c>
      <c r="L153" s="4" t="s">
        <v>765</v>
      </c>
      <c r="M153" s="4" t="s">
        <v>34</v>
      </c>
      <c r="N153" s="4">
        <v>-541</v>
      </c>
      <c r="O153" s="4">
        <v>-150</v>
      </c>
      <c r="P153" s="4" t="s">
        <v>742</v>
      </c>
    </row>
    <row r="154" spans="1:16" s="4" customFormat="1" x14ac:dyDescent="0.25">
      <c r="A154" s="4" t="s">
        <v>507</v>
      </c>
      <c r="B154" s="4" t="str">
        <f>CONCATENATE(A154,"OVR")</f>
        <v>6HC9K52KP51OVR</v>
      </c>
      <c r="C154" s="4" t="s">
        <v>884</v>
      </c>
      <c r="D154" s="4" t="s">
        <v>885</v>
      </c>
      <c r="E154" s="2" t="str">
        <f t="shared" si="2"/>
        <v>MARYTHERESA MILLER</v>
      </c>
      <c r="F154" s="4" t="s">
        <v>27</v>
      </c>
      <c r="G154" s="4" t="s">
        <v>29</v>
      </c>
      <c r="H154" s="5">
        <v>46023</v>
      </c>
      <c r="I154" s="5">
        <v>46023</v>
      </c>
      <c r="J154" s="4">
        <v>20411454</v>
      </c>
      <c r="K154" s="4" t="s">
        <v>32</v>
      </c>
      <c r="L154" s="4" t="s">
        <v>765</v>
      </c>
      <c r="M154" s="4" t="s">
        <v>34</v>
      </c>
      <c r="N154" s="4">
        <v>-541</v>
      </c>
      <c r="O154" s="4">
        <v>-150</v>
      </c>
      <c r="P154" s="4" t="s">
        <v>742</v>
      </c>
    </row>
    <row r="155" spans="1:16" s="4" customFormat="1" x14ac:dyDescent="0.25">
      <c r="A155" s="4" t="s">
        <v>510</v>
      </c>
      <c r="B155" s="4" t="str">
        <f>CONCATENATE(A155,"OVR")</f>
        <v>1YM5UF8FX56OVR</v>
      </c>
      <c r="C155" s="4" t="s">
        <v>884</v>
      </c>
      <c r="D155" s="4" t="s">
        <v>886</v>
      </c>
      <c r="E155" s="2" t="str">
        <f t="shared" si="2"/>
        <v>BENJAMIN MILLER</v>
      </c>
      <c r="F155" s="4" t="s">
        <v>27</v>
      </c>
      <c r="G155" s="4" t="s">
        <v>29</v>
      </c>
      <c r="H155" s="5">
        <v>46023</v>
      </c>
      <c r="I155" s="5">
        <v>46023</v>
      </c>
      <c r="J155" s="4">
        <v>20411454</v>
      </c>
      <c r="K155" s="4" t="s">
        <v>32</v>
      </c>
      <c r="L155" s="4" t="s">
        <v>765</v>
      </c>
      <c r="M155" s="4" t="s">
        <v>34</v>
      </c>
      <c r="N155" s="4">
        <v>-541</v>
      </c>
      <c r="O155" s="4">
        <v>-150</v>
      </c>
      <c r="P155" s="4" t="s">
        <v>742</v>
      </c>
    </row>
    <row r="156" spans="1:16" s="4" customFormat="1" x14ac:dyDescent="0.25">
      <c r="A156" s="4" t="s">
        <v>566</v>
      </c>
      <c r="B156" s="4" t="str">
        <f>CONCATENATE(A156,"OVR")</f>
        <v>8T68R39PC65OVR</v>
      </c>
      <c r="C156" s="4" t="s">
        <v>887</v>
      </c>
      <c r="D156" s="4" t="s">
        <v>888</v>
      </c>
      <c r="E156" s="2" t="str">
        <f t="shared" si="2"/>
        <v>MARK PENDRED</v>
      </c>
      <c r="F156" s="4" t="s">
        <v>27</v>
      </c>
      <c r="G156" s="4" t="s">
        <v>29</v>
      </c>
      <c r="H156" s="5">
        <v>46023</v>
      </c>
      <c r="I156" s="5">
        <v>46023</v>
      </c>
      <c r="J156" s="4">
        <v>20411454</v>
      </c>
      <c r="K156" s="4" t="s">
        <v>32</v>
      </c>
      <c r="L156" s="4" t="s">
        <v>765</v>
      </c>
      <c r="M156" s="4" t="s">
        <v>34</v>
      </c>
      <c r="N156" s="4">
        <v>-541</v>
      </c>
      <c r="O156" s="4">
        <v>-150</v>
      </c>
      <c r="P156" s="4" t="s">
        <v>742</v>
      </c>
    </row>
    <row r="157" spans="1:16" s="4" customFormat="1" x14ac:dyDescent="0.25">
      <c r="A157" s="4" t="s">
        <v>573</v>
      </c>
      <c r="B157" s="4" t="str">
        <f>CONCATENATE(A157,"OVR")</f>
        <v>3XR8RY1HG37OVR</v>
      </c>
      <c r="C157" s="4" t="s">
        <v>889</v>
      </c>
      <c r="D157" s="4" t="s">
        <v>890</v>
      </c>
      <c r="E157" s="2" t="str">
        <f t="shared" si="2"/>
        <v>KATHY POPA</v>
      </c>
      <c r="F157" s="4" t="s">
        <v>27</v>
      </c>
      <c r="G157" s="4" t="s">
        <v>29</v>
      </c>
      <c r="H157" s="5">
        <v>46023</v>
      </c>
      <c r="I157" s="5">
        <v>46023</v>
      </c>
      <c r="J157" s="4">
        <v>20411454</v>
      </c>
      <c r="K157" s="4" t="s">
        <v>32</v>
      </c>
      <c r="L157" s="4" t="s">
        <v>765</v>
      </c>
      <c r="M157" s="4" t="s">
        <v>34</v>
      </c>
      <c r="N157" s="4">
        <v>-541</v>
      </c>
      <c r="O157" s="4">
        <v>-150</v>
      </c>
      <c r="P157" s="4" t="s">
        <v>742</v>
      </c>
    </row>
    <row r="158" spans="1:16" s="4" customFormat="1" x14ac:dyDescent="0.25">
      <c r="A158" s="4" t="s">
        <v>592</v>
      </c>
      <c r="B158" s="4" t="str">
        <f>CONCATENATE(A158,"OVR")</f>
        <v>3N38RF3WF65OVR</v>
      </c>
      <c r="C158" s="4" t="s">
        <v>915</v>
      </c>
      <c r="D158" s="4" t="s">
        <v>770</v>
      </c>
      <c r="E158" s="2" t="str">
        <f t="shared" si="2"/>
        <v>KAREN REID</v>
      </c>
      <c r="F158" s="4" t="s">
        <v>27</v>
      </c>
      <c r="G158" s="4" t="s">
        <v>29</v>
      </c>
      <c r="H158" s="5">
        <v>46023</v>
      </c>
      <c r="I158" s="5">
        <v>46023</v>
      </c>
      <c r="J158" s="4">
        <v>20411454</v>
      </c>
      <c r="K158" s="4" t="s">
        <v>32</v>
      </c>
      <c r="L158" s="4" t="s">
        <v>765</v>
      </c>
      <c r="M158" s="4" t="s">
        <v>34</v>
      </c>
      <c r="N158" s="4">
        <v>-541</v>
      </c>
      <c r="O158" s="4">
        <v>-150</v>
      </c>
      <c r="P158" s="4" t="s">
        <v>742</v>
      </c>
    </row>
    <row r="159" spans="1:16" s="4" customFormat="1" x14ac:dyDescent="0.25">
      <c r="A159" s="4" t="s">
        <v>648</v>
      </c>
      <c r="B159" s="4" t="str">
        <f>CONCATENATE(A159,"OVR")</f>
        <v>4UA2VN4AJ96OVR</v>
      </c>
      <c r="C159" s="4" t="s">
        <v>916</v>
      </c>
      <c r="D159" s="4" t="s">
        <v>799</v>
      </c>
      <c r="E159" s="2" t="str">
        <f t="shared" si="2"/>
        <v>MARGARET TERLESKI</v>
      </c>
      <c r="F159" s="4" t="s">
        <v>27</v>
      </c>
      <c r="G159" s="4" t="s">
        <v>29</v>
      </c>
      <c r="H159" s="5">
        <v>46023</v>
      </c>
      <c r="I159" s="5">
        <v>46023</v>
      </c>
      <c r="J159" s="4">
        <v>20411454</v>
      </c>
      <c r="K159" s="4" t="s">
        <v>32</v>
      </c>
      <c r="L159" s="4" t="s">
        <v>765</v>
      </c>
      <c r="M159" s="4" t="s">
        <v>34</v>
      </c>
      <c r="N159" s="4">
        <v>-541</v>
      </c>
      <c r="O159" s="4">
        <v>-150</v>
      </c>
      <c r="P159" s="4" t="s">
        <v>742</v>
      </c>
    </row>
    <row r="160" spans="1:16" s="4" customFormat="1" x14ac:dyDescent="0.25">
      <c r="A160" s="4" t="s">
        <v>684</v>
      </c>
      <c r="B160" s="4" t="str">
        <f>CONCATENATE(A160,"OVR")</f>
        <v>3JW7RE0JU31OVR</v>
      </c>
      <c r="C160" s="4" t="s">
        <v>893</v>
      </c>
      <c r="D160" s="4" t="s">
        <v>894</v>
      </c>
      <c r="E160" s="2" t="str">
        <f t="shared" si="2"/>
        <v>LEWIS VINCENTI</v>
      </c>
      <c r="F160" s="4" t="s">
        <v>27</v>
      </c>
      <c r="G160" s="4" t="s">
        <v>29</v>
      </c>
      <c r="H160" s="5">
        <v>46023</v>
      </c>
      <c r="I160" s="5">
        <v>46023</v>
      </c>
      <c r="J160" s="4">
        <v>20411454</v>
      </c>
      <c r="K160" s="4" t="s">
        <v>32</v>
      </c>
      <c r="L160" s="4" t="s">
        <v>765</v>
      </c>
      <c r="M160" s="4" t="s">
        <v>34</v>
      </c>
      <c r="N160" s="4">
        <v>-541</v>
      </c>
      <c r="O160" s="4">
        <v>-150</v>
      </c>
      <c r="P160" s="4" t="s">
        <v>742</v>
      </c>
    </row>
    <row r="161" spans="1:16" s="4" customFormat="1" x14ac:dyDescent="0.25">
      <c r="A161" s="4" t="s">
        <v>714</v>
      </c>
      <c r="B161" s="4" t="str">
        <f>CONCATENATE(A161,"OVR")</f>
        <v>8R11P62KQ21OVR</v>
      </c>
      <c r="C161" s="4" t="s">
        <v>836</v>
      </c>
      <c r="D161" s="4" t="s">
        <v>837</v>
      </c>
      <c r="E161" s="2" t="str">
        <f t="shared" si="2"/>
        <v>BARRY WILLIAMS</v>
      </c>
      <c r="F161" s="4" t="s">
        <v>27</v>
      </c>
      <c r="G161" s="4" t="s">
        <v>29</v>
      </c>
      <c r="H161" s="5">
        <v>46023</v>
      </c>
      <c r="I161" s="5">
        <v>46023</v>
      </c>
      <c r="J161" s="4">
        <v>20411454</v>
      </c>
      <c r="K161" s="4" t="s">
        <v>32</v>
      </c>
      <c r="L161" s="4" t="s">
        <v>765</v>
      </c>
      <c r="M161" s="4" t="s">
        <v>34</v>
      </c>
      <c r="N161" s="4">
        <v>-541</v>
      </c>
      <c r="O161" s="4">
        <v>-150</v>
      </c>
      <c r="P161" s="4" t="s">
        <v>742</v>
      </c>
    </row>
    <row r="162" spans="1:16" s="4" customFormat="1" x14ac:dyDescent="0.25">
      <c r="A162" s="4" t="s">
        <v>372</v>
      </c>
      <c r="B162" s="4" t="str">
        <f>CONCATENATE(A162,"OVR")</f>
        <v>8EP4UE8GD82OVR</v>
      </c>
      <c r="C162" s="4" t="s">
        <v>867</v>
      </c>
      <c r="D162" s="4" t="s">
        <v>868</v>
      </c>
      <c r="E162" s="2" t="str">
        <f t="shared" si="2"/>
        <v>EULA HOWE</v>
      </c>
      <c r="F162" s="4" t="s">
        <v>27</v>
      </c>
      <c r="G162" s="4" t="s">
        <v>29</v>
      </c>
      <c r="H162" s="5">
        <v>46023</v>
      </c>
      <c r="I162" s="5">
        <v>46023</v>
      </c>
      <c r="J162" s="4">
        <v>20411454</v>
      </c>
      <c r="K162" s="4" t="s">
        <v>32</v>
      </c>
      <c r="L162" s="4" t="s">
        <v>765</v>
      </c>
      <c r="M162" s="4" t="s">
        <v>34</v>
      </c>
      <c r="N162" s="4">
        <v>-526</v>
      </c>
      <c r="O162" s="4">
        <v>-135</v>
      </c>
      <c r="P162" s="4" t="s">
        <v>742</v>
      </c>
    </row>
    <row r="163" spans="1:16" s="4" customFormat="1" x14ac:dyDescent="0.25">
      <c r="A163" s="4" t="s">
        <v>402</v>
      </c>
      <c r="B163" s="4" t="str">
        <f>CONCATENATE(A163,"OVR")</f>
        <v>9Y42CK3JU08OVR</v>
      </c>
      <c r="C163" s="4" t="s">
        <v>869</v>
      </c>
      <c r="D163" s="4" t="s">
        <v>779</v>
      </c>
      <c r="E163" s="2" t="str">
        <f t="shared" si="2"/>
        <v>GAYLE KIRSCH</v>
      </c>
      <c r="F163" s="4" t="s">
        <v>27</v>
      </c>
      <c r="G163" s="4" t="s">
        <v>29</v>
      </c>
      <c r="H163" s="5">
        <v>46023</v>
      </c>
      <c r="I163" s="5">
        <v>46023</v>
      </c>
      <c r="J163" s="4">
        <v>20411454</v>
      </c>
      <c r="K163" s="4" t="s">
        <v>32</v>
      </c>
      <c r="L163" s="4" t="s">
        <v>765</v>
      </c>
      <c r="M163" s="4" t="s">
        <v>34</v>
      </c>
      <c r="N163" s="4">
        <v>-526</v>
      </c>
      <c r="O163" s="4">
        <v>-135</v>
      </c>
      <c r="P163" s="4" t="s">
        <v>742</v>
      </c>
    </row>
    <row r="164" spans="1:16" s="4" customFormat="1" x14ac:dyDescent="0.25">
      <c r="A164" s="4" t="s">
        <v>600</v>
      </c>
      <c r="B164" s="4" t="str">
        <f>CONCATENATE(A164,"OVR")</f>
        <v>1TT3K31WK91OVR</v>
      </c>
      <c r="C164" s="4" t="s">
        <v>870</v>
      </c>
      <c r="D164" s="4" t="s">
        <v>871</v>
      </c>
      <c r="E164" s="2" t="str">
        <f t="shared" si="2"/>
        <v>DOUGLAS RICHARDSON</v>
      </c>
      <c r="F164" s="4" t="s">
        <v>27</v>
      </c>
      <c r="G164" s="4" t="s">
        <v>86</v>
      </c>
      <c r="H164" s="5">
        <v>46023</v>
      </c>
      <c r="I164" s="5">
        <v>46023</v>
      </c>
      <c r="J164" s="4">
        <v>20411454</v>
      </c>
      <c r="K164" s="4" t="s">
        <v>32</v>
      </c>
      <c r="L164" s="4" t="s">
        <v>765</v>
      </c>
      <c r="M164" s="4" t="s">
        <v>34</v>
      </c>
      <c r="N164" s="4">
        <v>-526</v>
      </c>
      <c r="O164" s="4">
        <v>-135</v>
      </c>
      <c r="P164" s="4" t="s">
        <v>742</v>
      </c>
    </row>
    <row r="165" spans="1:16" s="4" customFormat="1" x14ac:dyDescent="0.25">
      <c r="A165" s="4" t="s">
        <v>659</v>
      </c>
      <c r="B165" s="4" t="str">
        <f>CONCATENATE(A165,"OVR")</f>
        <v>3MD5A94KG85OVR</v>
      </c>
      <c r="C165" s="4" t="s">
        <v>917</v>
      </c>
      <c r="D165" s="4" t="s">
        <v>770</v>
      </c>
      <c r="E165" s="2" t="str">
        <f t="shared" si="2"/>
        <v>KAREN THROWER</v>
      </c>
      <c r="F165" s="4" t="s">
        <v>27</v>
      </c>
      <c r="G165" s="4" t="s">
        <v>86</v>
      </c>
      <c r="H165" s="5">
        <v>46023</v>
      </c>
      <c r="I165" s="5">
        <v>46023</v>
      </c>
      <c r="J165" s="4">
        <v>20411454</v>
      </c>
      <c r="K165" s="4" t="s">
        <v>32</v>
      </c>
      <c r="L165" s="4" t="s">
        <v>765</v>
      </c>
      <c r="M165" s="4" t="s">
        <v>34</v>
      </c>
      <c r="N165" s="4">
        <v>-526</v>
      </c>
      <c r="O165" s="4">
        <v>-135</v>
      </c>
      <c r="P165" s="4" t="s">
        <v>742</v>
      </c>
    </row>
    <row r="166" spans="1:16" s="4" customFormat="1" x14ac:dyDescent="0.25">
      <c r="A166" s="4" t="s">
        <v>707</v>
      </c>
      <c r="B166" s="4" t="str">
        <f>CONCATENATE(A166,"OVR")</f>
        <v>7A76Y46QA65OVR</v>
      </c>
      <c r="C166" s="4" t="s">
        <v>918</v>
      </c>
      <c r="D166" s="4" t="s">
        <v>919</v>
      </c>
      <c r="E166" s="2" t="str">
        <f t="shared" si="2"/>
        <v>JOYCE WILHELM</v>
      </c>
      <c r="F166" s="4" t="s">
        <v>27</v>
      </c>
      <c r="G166" s="4" t="s">
        <v>86</v>
      </c>
      <c r="H166" s="5">
        <v>46023</v>
      </c>
      <c r="I166" s="5">
        <v>46023</v>
      </c>
      <c r="J166" s="4">
        <v>20411454</v>
      </c>
      <c r="K166" s="4" t="s">
        <v>32</v>
      </c>
      <c r="L166" s="4" t="s">
        <v>765</v>
      </c>
      <c r="M166" s="4" t="s">
        <v>34</v>
      </c>
      <c r="N166" s="4">
        <v>-526</v>
      </c>
      <c r="O166" s="4">
        <v>-135</v>
      </c>
      <c r="P166" s="4" t="s">
        <v>742</v>
      </c>
    </row>
    <row r="167" spans="1:16" s="4" customFormat="1" x14ac:dyDescent="0.25">
      <c r="A167" s="4" t="s">
        <v>52</v>
      </c>
      <c r="B167" s="4" t="str">
        <f>CONCATENATE(A167,"OVR")</f>
        <v>9A76TQ1GD48OVR</v>
      </c>
      <c r="C167" s="4" t="s">
        <v>920</v>
      </c>
      <c r="D167" s="4" t="s">
        <v>921</v>
      </c>
      <c r="E167" s="2" t="str">
        <f t="shared" si="2"/>
        <v>LERMA ARROJO</v>
      </c>
      <c r="F167" s="4" t="s">
        <v>42</v>
      </c>
      <c r="G167" s="4" t="s">
        <v>29</v>
      </c>
      <c r="H167" s="5">
        <v>46023</v>
      </c>
      <c r="I167" s="5">
        <v>46023</v>
      </c>
      <c r="J167" s="4">
        <v>20411454</v>
      </c>
      <c r="K167" s="4" t="s">
        <v>32</v>
      </c>
      <c r="L167" s="4" t="s">
        <v>765</v>
      </c>
      <c r="M167" s="4" t="s">
        <v>34</v>
      </c>
      <c r="N167" s="4">
        <v>-497</v>
      </c>
      <c r="O167" s="4">
        <v>-150</v>
      </c>
      <c r="P167" s="4" t="s">
        <v>742</v>
      </c>
    </row>
    <row r="168" spans="1:16" s="4" customFormat="1" x14ac:dyDescent="0.25">
      <c r="A168" s="4" t="s">
        <v>95</v>
      </c>
      <c r="B168" s="4" t="str">
        <f>CONCATENATE(A168,"OVR")</f>
        <v>1VR2CY4HP13OVR</v>
      </c>
      <c r="C168" s="4" t="s">
        <v>778</v>
      </c>
      <c r="D168" s="4" t="s">
        <v>779</v>
      </c>
      <c r="E168" s="2" t="str">
        <f t="shared" si="2"/>
        <v>GAYLE BOWEN</v>
      </c>
      <c r="F168" s="4" t="s">
        <v>98</v>
      </c>
      <c r="G168" s="4" t="s">
        <v>29</v>
      </c>
      <c r="H168" s="5">
        <v>46023</v>
      </c>
      <c r="I168" s="5">
        <v>46023</v>
      </c>
      <c r="J168" s="4">
        <v>20411454</v>
      </c>
      <c r="K168" s="4" t="s">
        <v>32</v>
      </c>
      <c r="L168" s="4" t="s">
        <v>765</v>
      </c>
      <c r="M168" s="4" t="s">
        <v>34</v>
      </c>
      <c r="N168" s="4">
        <v>-497</v>
      </c>
      <c r="O168" s="4">
        <v>-150</v>
      </c>
      <c r="P168" s="4" t="s">
        <v>742</v>
      </c>
    </row>
    <row r="169" spans="1:16" s="4" customFormat="1" x14ac:dyDescent="0.25">
      <c r="A169" s="4" t="s">
        <v>105</v>
      </c>
      <c r="B169" s="4" t="str">
        <f>CONCATENATE(A169,"OVR")</f>
        <v>7D56H19KA54OVR</v>
      </c>
      <c r="C169" s="4" t="s">
        <v>863</v>
      </c>
      <c r="D169" s="4" t="s">
        <v>922</v>
      </c>
      <c r="E169" s="2" t="str">
        <f t="shared" si="2"/>
        <v>JANE BOYD</v>
      </c>
      <c r="F169" s="4" t="s">
        <v>108</v>
      </c>
      <c r="G169" s="4" t="s">
        <v>29</v>
      </c>
      <c r="H169" s="5">
        <v>46023</v>
      </c>
      <c r="I169" s="5">
        <v>46023</v>
      </c>
      <c r="J169" s="4">
        <v>20411454</v>
      </c>
      <c r="K169" s="4" t="s">
        <v>32</v>
      </c>
      <c r="L169" s="4" t="s">
        <v>765</v>
      </c>
      <c r="M169" s="4" t="s">
        <v>34</v>
      </c>
      <c r="N169" s="4">
        <v>-497</v>
      </c>
      <c r="O169" s="4">
        <v>-150</v>
      </c>
      <c r="P169" s="4" t="s">
        <v>742</v>
      </c>
    </row>
    <row r="170" spans="1:16" s="4" customFormat="1" x14ac:dyDescent="0.25">
      <c r="A170" s="4" t="s">
        <v>129</v>
      </c>
      <c r="B170" s="4" t="str">
        <f>CONCATENATE(A170,"OVR")</f>
        <v>5U48M65KP64OVR</v>
      </c>
      <c r="C170" s="4" t="s">
        <v>923</v>
      </c>
      <c r="D170" s="4" t="s">
        <v>924</v>
      </c>
      <c r="E170" s="2" t="str">
        <f t="shared" si="2"/>
        <v>FRANKLIN BYERS</v>
      </c>
      <c r="F170" s="4" t="s">
        <v>42</v>
      </c>
      <c r="G170" s="4" t="s">
        <v>29</v>
      </c>
      <c r="H170" s="5">
        <v>46023</v>
      </c>
      <c r="I170" s="5">
        <v>46023</v>
      </c>
      <c r="J170" s="4">
        <v>20411454</v>
      </c>
      <c r="K170" s="4" t="s">
        <v>32</v>
      </c>
      <c r="L170" s="4" t="s">
        <v>765</v>
      </c>
      <c r="M170" s="4" t="s">
        <v>34</v>
      </c>
      <c r="N170" s="4">
        <v>-497</v>
      </c>
      <c r="O170" s="4">
        <v>-150</v>
      </c>
      <c r="P170" s="4" t="s">
        <v>742</v>
      </c>
    </row>
    <row r="171" spans="1:16" s="4" customFormat="1" x14ac:dyDescent="0.25">
      <c r="A171" s="4" t="s">
        <v>133</v>
      </c>
      <c r="B171" s="4" t="str">
        <f>CONCATENATE(A171,"OVR")</f>
        <v>7TF0D84KN13OVR</v>
      </c>
      <c r="C171" s="4" t="s">
        <v>774</v>
      </c>
      <c r="D171" s="4" t="s">
        <v>775</v>
      </c>
      <c r="E171" s="2" t="str">
        <f t="shared" si="2"/>
        <v>DAVID CADDY</v>
      </c>
      <c r="F171" s="4" t="s">
        <v>136</v>
      </c>
      <c r="G171" s="4" t="s">
        <v>29</v>
      </c>
      <c r="H171" s="5">
        <v>46023</v>
      </c>
      <c r="I171" s="5">
        <v>46023</v>
      </c>
      <c r="J171" s="4">
        <v>20411454</v>
      </c>
      <c r="K171" s="4" t="s">
        <v>32</v>
      </c>
      <c r="L171" s="4" t="s">
        <v>765</v>
      </c>
      <c r="M171" s="4" t="s">
        <v>34</v>
      </c>
      <c r="N171" s="4">
        <v>-497</v>
      </c>
      <c r="O171" s="4">
        <v>-150</v>
      </c>
      <c r="P171" s="4" t="s">
        <v>742</v>
      </c>
    </row>
    <row r="172" spans="1:16" s="4" customFormat="1" x14ac:dyDescent="0.25">
      <c r="A172" s="4" t="s">
        <v>140</v>
      </c>
      <c r="B172" s="4" t="str">
        <f>CONCATENATE(A172,"OVR")</f>
        <v>7U82DU1AM96OVR</v>
      </c>
      <c r="C172" s="4" t="s">
        <v>925</v>
      </c>
      <c r="D172" s="4" t="s">
        <v>773</v>
      </c>
      <c r="E172" s="2" t="str">
        <f t="shared" si="2"/>
        <v>CINDY CALHOUN</v>
      </c>
      <c r="F172" s="4" t="s">
        <v>42</v>
      </c>
      <c r="G172" s="4" t="s">
        <v>29</v>
      </c>
      <c r="H172" s="5">
        <v>46023</v>
      </c>
      <c r="I172" s="5">
        <v>46023</v>
      </c>
      <c r="J172" s="4">
        <v>20411454</v>
      </c>
      <c r="K172" s="4" t="s">
        <v>32</v>
      </c>
      <c r="L172" s="4" t="s">
        <v>765</v>
      </c>
      <c r="M172" s="4" t="s">
        <v>34</v>
      </c>
      <c r="N172" s="4">
        <v>-497</v>
      </c>
      <c r="O172" s="4">
        <v>-150</v>
      </c>
      <c r="P172" s="4" t="s">
        <v>742</v>
      </c>
    </row>
    <row r="173" spans="1:16" s="4" customFormat="1" x14ac:dyDescent="0.25">
      <c r="A173" s="4" t="s">
        <v>144</v>
      </c>
      <c r="B173" s="4" t="str">
        <f>CONCATENATE(A173,"OVR")</f>
        <v>3K46CA4AD55OVR</v>
      </c>
      <c r="C173" s="4" t="s">
        <v>925</v>
      </c>
      <c r="D173" s="4" t="s">
        <v>852</v>
      </c>
      <c r="E173" s="2" t="str">
        <f t="shared" si="2"/>
        <v>LARRY CALHOUN</v>
      </c>
      <c r="F173" s="4" t="s">
        <v>42</v>
      </c>
      <c r="G173" s="4" t="s">
        <v>29</v>
      </c>
      <c r="H173" s="5">
        <v>46023</v>
      </c>
      <c r="I173" s="5">
        <v>46023</v>
      </c>
      <c r="J173" s="4">
        <v>20411454</v>
      </c>
      <c r="K173" s="4" t="s">
        <v>32</v>
      </c>
      <c r="L173" s="4" t="s">
        <v>765</v>
      </c>
      <c r="M173" s="4" t="s">
        <v>34</v>
      </c>
      <c r="N173" s="4">
        <v>-497</v>
      </c>
      <c r="O173" s="4">
        <v>-150</v>
      </c>
      <c r="P173" s="4" t="s">
        <v>742</v>
      </c>
    </row>
    <row r="174" spans="1:16" s="4" customFormat="1" x14ac:dyDescent="0.25">
      <c r="A174" s="4" t="s">
        <v>150</v>
      </c>
      <c r="B174" s="4" t="str">
        <f>CONCATENATE(A174,"OVR")</f>
        <v>8UN2DV5VE11OVR</v>
      </c>
      <c r="C174" s="4" t="s">
        <v>926</v>
      </c>
      <c r="D174" s="4" t="s">
        <v>927</v>
      </c>
      <c r="E174" s="2" t="str">
        <f t="shared" si="2"/>
        <v>HELEN CASILLAS</v>
      </c>
      <c r="F174" s="4" t="s">
        <v>42</v>
      </c>
      <c r="G174" s="4" t="s">
        <v>29</v>
      </c>
      <c r="H174" s="5">
        <v>46023</v>
      </c>
      <c r="I174" s="5">
        <v>46023</v>
      </c>
      <c r="J174" s="4">
        <v>20411454</v>
      </c>
      <c r="K174" s="4" t="s">
        <v>32</v>
      </c>
      <c r="L174" s="4" t="s">
        <v>765</v>
      </c>
      <c r="M174" s="4" t="s">
        <v>34</v>
      </c>
      <c r="N174" s="4">
        <v>-497</v>
      </c>
      <c r="O174" s="4">
        <v>-150</v>
      </c>
      <c r="P174" s="4" t="s">
        <v>742</v>
      </c>
    </row>
    <row r="175" spans="1:16" s="4" customFormat="1" x14ac:dyDescent="0.25">
      <c r="A175" s="4" t="s">
        <v>159</v>
      </c>
      <c r="B175" s="4" t="str">
        <f>CONCATENATE(A175,"OVR")</f>
        <v>7QM2PE3TK06OVR</v>
      </c>
      <c r="C175" s="4" t="s">
        <v>928</v>
      </c>
      <c r="D175" s="4" t="s">
        <v>929</v>
      </c>
      <c r="E175" s="2" t="str">
        <f t="shared" si="2"/>
        <v>PHETSAMONE CHANTHANALAY</v>
      </c>
      <c r="F175" s="4" t="s">
        <v>42</v>
      </c>
      <c r="G175" s="4" t="s">
        <v>29</v>
      </c>
      <c r="H175" s="5">
        <v>46023</v>
      </c>
      <c r="I175" s="5">
        <v>46023</v>
      </c>
      <c r="J175" s="4">
        <v>20411454</v>
      </c>
      <c r="K175" s="4" t="s">
        <v>32</v>
      </c>
      <c r="L175" s="4" t="s">
        <v>765</v>
      </c>
      <c r="M175" s="4" t="s">
        <v>34</v>
      </c>
      <c r="N175" s="4">
        <v>-497</v>
      </c>
      <c r="O175" s="4">
        <v>-150</v>
      </c>
      <c r="P175" s="4" t="s">
        <v>742</v>
      </c>
    </row>
    <row r="176" spans="1:16" s="4" customFormat="1" x14ac:dyDescent="0.25">
      <c r="A176" s="4" t="s">
        <v>163</v>
      </c>
      <c r="B176" s="4" t="str">
        <f>CONCATENATE(A176,"OVR")</f>
        <v>3Y90H93CG13OVR</v>
      </c>
      <c r="C176" s="4" t="s">
        <v>930</v>
      </c>
      <c r="D176" s="4" t="s">
        <v>771</v>
      </c>
      <c r="E176" s="2" t="str">
        <f t="shared" si="2"/>
        <v>RANDY CHARLEY</v>
      </c>
      <c r="F176" s="4" t="s">
        <v>98</v>
      </c>
      <c r="G176" s="4" t="s">
        <v>29</v>
      </c>
      <c r="H176" s="5">
        <v>46023</v>
      </c>
      <c r="I176" s="5">
        <v>46023</v>
      </c>
      <c r="J176" s="4">
        <v>20411454</v>
      </c>
      <c r="K176" s="4" t="s">
        <v>32</v>
      </c>
      <c r="L176" s="4" t="s">
        <v>765</v>
      </c>
      <c r="M176" s="4" t="s">
        <v>34</v>
      </c>
      <c r="N176" s="4">
        <v>-497</v>
      </c>
      <c r="O176" s="4">
        <v>-150</v>
      </c>
      <c r="P176" s="4" t="s">
        <v>742</v>
      </c>
    </row>
    <row r="177" spans="1:27" s="4" customFormat="1" x14ac:dyDescent="0.25">
      <c r="A177" s="4" t="s">
        <v>168</v>
      </c>
      <c r="B177" s="4" t="str">
        <f>CONCATENATE(A177,"OVR")</f>
        <v>4A95U63XN60OVR</v>
      </c>
      <c r="C177" s="4" t="s">
        <v>840</v>
      </c>
      <c r="D177" s="4" t="s">
        <v>841</v>
      </c>
      <c r="E177" s="2" t="str">
        <f t="shared" si="2"/>
        <v>FARIAS CHAVEZ</v>
      </c>
      <c r="F177" s="4" t="s">
        <v>42</v>
      </c>
      <c r="G177" s="4" t="s">
        <v>29</v>
      </c>
      <c r="H177" s="5">
        <v>46023</v>
      </c>
      <c r="I177" s="5">
        <v>46023</v>
      </c>
      <c r="J177" s="4">
        <v>20411454</v>
      </c>
      <c r="K177" s="4" t="s">
        <v>32</v>
      </c>
      <c r="L177" s="4" t="s">
        <v>765</v>
      </c>
      <c r="M177" s="4" t="s">
        <v>34</v>
      </c>
      <c r="N177" s="4">
        <v>-497</v>
      </c>
      <c r="O177" s="4">
        <v>-150</v>
      </c>
      <c r="P177" s="4" t="s">
        <v>742</v>
      </c>
    </row>
    <row r="178" spans="1:27" s="2" customFormat="1" x14ac:dyDescent="0.25">
      <c r="A178" s="4" t="s">
        <v>175</v>
      </c>
      <c r="B178" s="4" t="str">
        <f>CONCATENATE(A178,"OVR")</f>
        <v>9R76NU0MD40OVR</v>
      </c>
      <c r="C178" s="4" t="s">
        <v>931</v>
      </c>
      <c r="D178" s="4" t="s">
        <v>812</v>
      </c>
      <c r="E178" s="2" t="str">
        <f t="shared" si="2"/>
        <v>GREGORY CLARK</v>
      </c>
      <c r="F178" s="4" t="s">
        <v>42</v>
      </c>
      <c r="G178" s="4" t="s">
        <v>29</v>
      </c>
      <c r="H178" s="5">
        <v>46023</v>
      </c>
      <c r="I178" s="5">
        <v>46023</v>
      </c>
      <c r="J178" s="4">
        <v>20411454</v>
      </c>
      <c r="K178" s="4" t="s">
        <v>32</v>
      </c>
      <c r="L178" s="4" t="s">
        <v>765</v>
      </c>
      <c r="M178" s="4" t="s">
        <v>34</v>
      </c>
      <c r="N178" s="4">
        <v>-497</v>
      </c>
      <c r="O178" s="4">
        <v>-150</v>
      </c>
      <c r="P178" s="4" t="s">
        <v>742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s="2" customFormat="1" x14ac:dyDescent="0.25">
      <c r="A179" s="4" t="s">
        <v>185</v>
      </c>
      <c r="B179" s="4" t="str">
        <f>CONCATENATE(A179,"OVR")</f>
        <v>5QA4VR6EV94OVR</v>
      </c>
      <c r="C179" s="4" t="s">
        <v>932</v>
      </c>
      <c r="D179" s="4" t="s">
        <v>933</v>
      </c>
      <c r="E179" s="2" t="str">
        <f t="shared" si="2"/>
        <v>JOSEPH COONEY</v>
      </c>
      <c r="F179" s="4" t="s">
        <v>98</v>
      </c>
      <c r="G179" s="4" t="s">
        <v>29</v>
      </c>
      <c r="H179" s="5">
        <v>46023</v>
      </c>
      <c r="I179" s="5">
        <v>46023</v>
      </c>
      <c r="J179" s="4">
        <v>20411454</v>
      </c>
      <c r="K179" s="4" t="s">
        <v>32</v>
      </c>
      <c r="L179" s="4" t="s">
        <v>765</v>
      </c>
      <c r="M179" s="4" t="s">
        <v>34</v>
      </c>
      <c r="N179" s="4">
        <v>-497</v>
      </c>
      <c r="O179" s="4">
        <v>-150</v>
      </c>
      <c r="P179" s="4" t="s">
        <v>742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s="2" customFormat="1" x14ac:dyDescent="0.25">
      <c r="A180" s="4" t="s">
        <v>189</v>
      </c>
      <c r="B180" s="4" t="str">
        <f>CONCATENATE(A180,"OVR")</f>
        <v>2PN5HJ1DY40OVR</v>
      </c>
      <c r="C180" s="4" t="s">
        <v>934</v>
      </c>
      <c r="D180" s="4" t="s">
        <v>935</v>
      </c>
      <c r="E180" s="2" t="str">
        <f t="shared" si="2"/>
        <v>MARY CORZATT</v>
      </c>
      <c r="F180" s="4" t="s">
        <v>42</v>
      </c>
      <c r="G180" s="4" t="s">
        <v>29</v>
      </c>
      <c r="H180" s="5">
        <v>46023</v>
      </c>
      <c r="I180" s="5">
        <v>46023</v>
      </c>
      <c r="J180" s="4">
        <v>20411454</v>
      </c>
      <c r="K180" s="4" t="s">
        <v>32</v>
      </c>
      <c r="L180" s="4" t="s">
        <v>765</v>
      </c>
      <c r="M180" s="4" t="s">
        <v>34</v>
      </c>
      <c r="N180" s="4">
        <v>-497</v>
      </c>
      <c r="O180" s="4">
        <v>-150</v>
      </c>
      <c r="P180" s="4" t="s">
        <v>742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s="2" customFormat="1" x14ac:dyDescent="0.25">
      <c r="A181" s="4" t="s">
        <v>194</v>
      </c>
      <c r="B181" s="4" t="str">
        <f>CONCATENATE(A181,"OVR")</f>
        <v>5VH0XT7GT30OVR</v>
      </c>
      <c r="C181" s="4" t="s">
        <v>934</v>
      </c>
      <c r="D181" s="4" t="s">
        <v>936</v>
      </c>
      <c r="E181" s="2" t="str">
        <f t="shared" si="2"/>
        <v>JAMES CORZATT</v>
      </c>
      <c r="F181" s="4" t="s">
        <v>42</v>
      </c>
      <c r="G181" s="4" t="s">
        <v>29</v>
      </c>
      <c r="H181" s="5">
        <v>46023</v>
      </c>
      <c r="I181" s="5">
        <v>46023</v>
      </c>
      <c r="J181" s="4">
        <v>20411454</v>
      </c>
      <c r="K181" s="4" t="s">
        <v>32</v>
      </c>
      <c r="L181" s="4" t="s">
        <v>765</v>
      </c>
      <c r="M181" s="4" t="s">
        <v>34</v>
      </c>
      <c r="N181" s="4">
        <v>-497</v>
      </c>
      <c r="O181" s="4">
        <v>-150</v>
      </c>
      <c r="P181" s="4" t="s">
        <v>742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s="2" customFormat="1" x14ac:dyDescent="0.25">
      <c r="A182" s="4" t="s">
        <v>210</v>
      </c>
      <c r="B182" s="4" t="str">
        <f>CONCATENATE(A182,"OVR")</f>
        <v>7MW5M47WX83OVR</v>
      </c>
      <c r="C182" s="4" t="s">
        <v>937</v>
      </c>
      <c r="D182" s="4" t="s">
        <v>821</v>
      </c>
      <c r="E182" s="2" t="str">
        <f t="shared" si="2"/>
        <v>TERRY DEVOS</v>
      </c>
      <c r="F182" s="4" t="s">
        <v>98</v>
      </c>
      <c r="G182" s="4" t="s">
        <v>29</v>
      </c>
      <c r="H182" s="5">
        <v>46023</v>
      </c>
      <c r="I182" s="5">
        <v>46023</v>
      </c>
      <c r="J182" s="4">
        <v>20411454</v>
      </c>
      <c r="K182" s="4" t="s">
        <v>32</v>
      </c>
      <c r="L182" s="4" t="s">
        <v>765</v>
      </c>
      <c r="M182" s="4" t="s">
        <v>34</v>
      </c>
      <c r="N182" s="4">
        <v>-497</v>
      </c>
      <c r="O182" s="4">
        <v>-150</v>
      </c>
      <c r="P182" s="4" t="s">
        <v>742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s="2" customFormat="1" x14ac:dyDescent="0.25">
      <c r="A183" s="4" t="s">
        <v>214</v>
      </c>
      <c r="B183" s="4" t="str">
        <f>CONCATENATE(A183,"OVR")</f>
        <v>2U94W66KJ84OVR</v>
      </c>
      <c r="C183" s="4" t="s">
        <v>905</v>
      </c>
      <c r="D183" s="4" t="s">
        <v>847</v>
      </c>
      <c r="E183" s="2" t="str">
        <f t="shared" si="2"/>
        <v>ROBERT DICK</v>
      </c>
      <c r="F183" s="4" t="s">
        <v>42</v>
      </c>
      <c r="G183" s="4" t="s">
        <v>29</v>
      </c>
      <c r="H183" s="5">
        <v>46023</v>
      </c>
      <c r="I183" s="5">
        <v>46023</v>
      </c>
      <c r="J183" s="4">
        <v>20411454</v>
      </c>
      <c r="K183" s="4" t="s">
        <v>32</v>
      </c>
      <c r="L183" s="4" t="s">
        <v>765</v>
      </c>
      <c r="M183" s="4" t="s">
        <v>34</v>
      </c>
      <c r="N183" s="4">
        <v>-497</v>
      </c>
      <c r="O183" s="4">
        <v>-150</v>
      </c>
      <c r="P183" s="4" t="s">
        <v>742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s="4" customFormat="1" x14ac:dyDescent="0.25">
      <c r="A184" s="4" t="s">
        <v>219</v>
      </c>
      <c r="B184" s="4" t="str">
        <f>CONCATENATE(A184,"OVR")</f>
        <v>2FD1PJ5WU96OVR</v>
      </c>
      <c r="C184" s="4" t="s">
        <v>806</v>
      </c>
      <c r="D184" s="4" t="s">
        <v>790</v>
      </c>
      <c r="E184" s="2" t="str">
        <f t="shared" si="2"/>
        <v>RICHARD DIPIETRANTONIO</v>
      </c>
      <c r="F184" s="4" t="s">
        <v>42</v>
      </c>
      <c r="G184" s="4" t="s">
        <v>29</v>
      </c>
      <c r="H184" s="5">
        <v>46023</v>
      </c>
      <c r="I184" s="5">
        <v>46023</v>
      </c>
      <c r="J184" s="4">
        <v>20411454</v>
      </c>
      <c r="K184" s="4" t="s">
        <v>32</v>
      </c>
      <c r="L184" s="4" t="s">
        <v>765</v>
      </c>
      <c r="M184" s="4" t="s">
        <v>34</v>
      </c>
      <c r="N184" s="4">
        <v>-497</v>
      </c>
      <c r="O184" s="4">
        <v>-150</v>
      </c>
      <c r="P184" s="4" t="s">
        <v>742</v>
      </c>
    </row>
    <row r="185" spans="1:27" s="4" customFormat="1" x14ac:dyDescent="0.25">
      <c r="A185" s="4" t="s">
        <v>222</v>
      </c>
      <c r="B185" s="4" t="str">
        <f>CONCATENATE(A185,"OVR")</f>
        <v>2DC6WT0VR43OVR</v>
      </c>
      <c r="C185" s="4" t="s">
        <v>938</v>
      </c>
      <c r="D185" s="4" t="s">
        <v>922</v>
      </c>
      <c r="E185" s="2" t="str">
        <f t="shared" si="2"/>
        <v>JANE DOBROWSKI</v>
      </c>
      <c r="F185" s="4" t="s">
        <v>207</v>
      </c>
      <c r="G185" s="4" t="s">
        <v>29</v>
      </c>
      <c r="H185" s="5">
        <v>46023</v>
      </c>
      <c r="I185" s="5">
        <v>46023</v>
      </c>
      <c r="J185" s="4">
        <v>20411454</v>
      </c>
      <c r="K185" s="4" t="s">
        <v>32</v>
      </c>
      <c r="L185" s="4" t="s">
        <v>765</v>
      </c>
      <c r="M185" s="4" t="s">
        <v>34</v>
      </c>
      <c r="N185" s="4">
        <v>-497</v>
      </c>
      <c r="O185" s="4">
        <v>-150</v>
      </c>
      <c r="P185" s="4" t="s">
        <v>742</v>
      </c>
    </row>
    <row r="186" spans="1:27" s="4" customFormat="1" x14ac:dyDescent="0.25">
      <c r="A186" s="4" t="s">
        <v>226</v>
      </c>
      <c r="B186" s="4" t="str">
        <f>CONCATENATE(A186,"OVR")</f>
        <v>4HH1EJ2AK03OVR</v>
      </c>
      <c r="C186" s="4" t="s">
        <v>807</v>
      </c>
      <c r="D186" s="4" t="s">
        <v>808</v>
      </c>
      <c r="E186" s="2" t="str">
        <f t="shared" si="2"/>
        <v>MELANIA DOCTORIAN</v>
      </c>
      <c r="F186" s="4" t="s">
        <v>42</v>
      </c>
      <c r="G186" s="4" t="s">
        <v>29</v>
      </c>
      <c r="H186" s="5">
        <v>46023</v>
      </c>
      <c r="I186" s="5">
        <v>46023</v>
      </c>
      <c r="J186" s="4">
        <v>20411454</v>
      </c>
      <c r="K186" s="4" t="s">
        <v>32</v>
      </c>
      <c r="L186" s="4" t="s">
        <v>765</v>
      </c>
      <c r="M186" s="4" t="s">
        <v>34</v>
      </c>
      <c r="N186" s="4">
        <v>-497</v>
      </c>
      <c r="O186" s="4">
        <v>-150</v>
      </c>
      <c r="P186" s="4" t="s">
        <v>742</v>
      </c>
    </row>
    <row r="187" spans="1:27" s="4" customFormat="1" x14ac:dyDescent="0.25">
      <c r="A187" s="4" t="s">
        <v>254</v>
      </c>
      <c r="B187" s="4" t="str">
        <f>CONCATENATE(A187,"OVR")</f>
        <v>8UY1XE2PM17OVR</v>
      </c>
      <c r="C187" s="4" t="s">
        <v>809</v>
      </c>
      <c r="D187" s="4" t="s">
        <v>810</v>
      </c>
      <c r="E187" s="2" t="str">
        <f t="shared" si="2"/>
        <v>KATHLEEN FINNEY</v>
      </c>
      <c r="F187" s="4" t="s">
        <v>42</v>
      </c>
      <c r="G187" s="4" t="s">
        <v>29</v>
      </c>
      <c r="H187" s="5">
        <v>46023</v>
      </c>
      <c r="I187" s="5">
        <v>46023</v>
      </c>
      <c r="J187" s="4">
        <v>20411454</v>
      </c>
      <c r="K187" s="4" t="s">
        <v>32</v>
      </c>
      <c r="L187" s="4" t="s">
        <v>765</v>
      </c>
      <c r="M187" s="4" t="s">
        <v>34</v>
      </c>
      <c r="N187" s="4">
        <v>-497</v>
      </c>
      <c r="O187" s="4">
        <v>-150</v>
      </c>
      <c r="P187" s="4" t="s">
        <v>742</v>
      </c>
    </row>
    <row r="188" spans="1:27" s="4" customFormat="1" x14ac:dyDescent="0.25">
      <c r="A188" s="4" t="s">
        <v>284</v>
      </c>
      <c r="B188" s="4" t="str">
        <f>CONCATENATE(A188,"OVR")</f>
        <v>5F30U68VE05OVR</v>
      </c>
      <c r="C188" s="4" t="s">
        <v>825</v>
      </c>
      <c r="D188" s="4" t="s">
        <v>812</v>
      </c>
      <c r="E188" s="2" t="str">
        <f t="shared" si="2"/>
        <v>GREGORY GILLES</v>
      </c>
      <c r="F188" s="4" t="s">
        <v>42</v>
      </c>
      <c r="G188" s="4" t="s">
        <v>29</v>
      </c>
      <c r="H188" s="5">
        <v>46023</v>
      </c>
      <c r="I188" s="5">
        <v>46023</v>
      </c>
      <c r="J188" s="4">
        <v>20411454</v>
      </c>
      <c r="K188" s="4" t="s">
        <v>32</v>
      </c>
      <c r="L188" s="4" t="s">
        <v>765</v>
      </c>
      <c r="M188" s="4" t="s">
        <v>34</v>
      </c>
      <c r="N188" s="4">
        <v>-497</v>
      </c>
      <c r="O188" s="4">
        <v>-150</v>
      </c>
      <c r="P188" s="4" t="s">
        <v>742</v>
      </c>
    </row>
    <row r="189" spans="1:27" s="4" customFormat="1" x14ac:dyDescent="0.25">
      <c r="A189" s="4" t="s">
        <v>294</v>
      </c>
      <c r="B189" s="4" t="str">
        <f>CONCATENATE(A189,"OVR")</f>
        <v>8PQ6FG5YX59OVR</v>
      </c>
      <c r="C189" s="4" t="s">
        <v>939</v>
      </c>
      <c r="D189" s="4" t="s">
        <v>940</v>
      </c>
      <c r="E189" s="2" t="str">
        <f t="shared" si="2"/>
        <v>LYNN GORDON</v>
      </c>
      <c r="F189" s="4" t="s">
        <v>98</v>
      </c>
      <c r="G189" s="4" t="s">
        <v>29</v>
      </c>
      <c r="H189" s="5">
        <v>46023</v>
      </c>
      <c r="I189" s="5">
        <v>46023</v>
      </c>
      <c r="J189" s="4">
        <v>20411454</v>
      </c>
      <c r="K189" s="4" t="s">
        <v>32</v>
      </c>
      <c r="L189" s="4" t="s">
        <v>765</v>
      </c>
      <c r="M189" s="4" t="s">
        <v>34</v>
      </c>
      <c r="N189" s="4">
        <v>-497</v>
      </c>
      <c r="O189" s="4">
        <v>-150</v>
      </c>
      <c r="P189" s="4" t="s">
        <v>742</v>
      </c>
    </row>
    <row r="190" spans="1:27" s="2" customFormat="1" x14ac:dyDescent="0.25">
      <c r="A190" s="4" t="s">
        <v>297</v>
      </c>
      <c r="B190" s="4" t="str">
        <f>CONCATENATE(A190,"OVR")</f>
        <v>1V81VD7XX25OVR</v>
      </c>
      <c r="C190" s="4" t="s">
        <v>941</v>
      </c>
      <c r="D190" s="4" t="s">
        <v>940</v>
      </c>
      <c r="E190" s="2" t="str">
        <f t="shared" si="2"/>
        <v>LYNN GRONOWSKI</v>
      </c>
      <c r="F190" s="4" t="s">
        <v>98</v>
      </c>
      <c r="G190" s="4" t="s">
        <v>29</v>
      </c>
      <c r="H190" s="5">
        <v>46023</v>
      </c>
      <c r="I190" s="5">
        <v>46023</v>
      </c>
      <c r="J190" s="4">
        <v>20411454</v>
      </c>
      <c r="K190" s="4" t="s">
        <v>32</v>
      </c>
      <c r="L190" s="4" t="s">
        <v>765</v>
      </c>
      <c r="M190" s="4" t="s">
        <v>34</v>
      </c>
      <c r="N190" s="4">
        <v>-497</v>
      </c>
      <c r="O190" s="4">
        <v>-150</v>
      </c>
      <c r="P190" s="4" t="s">
        <v>742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s="2" customFormat="1" x14ac:dyDescent="0.25">
      <c r="A191" s="4" t="s">
        <v>300</v>
      </c>
      <c r="B191" s="4" t="str">
        <f>CONCATENATE(A191,"OVR")</f>
        <v>7T32D81CE15OVR</v>
      </c>
      <c r="C191" s="4" t="s">
        <v>941</v>
      </c>
      <c r="D191" s="4" t="s">
        <v>942</v>
      </c>
      <c r="E191" s="2" t="str">
        <f t="shared" si="2"/>
        <v>GERARD GRONOWSKI</v>
      </c>
      <c r="F191" s="4" t="s">
        <v>98</v>
      </c>
      <c r="G191" s="4" t="s">
        <v>29</v>
      </c>
      <c r="H191" s="5">
        <v>46023</v>
      </c>
      <c r="I191" s="5">
        <v>46023</v>
      </c>
      <c r="J191" s="4">
        <v>20411454</v>
      </c>
      <c r="K191" s="4" t="s">
        <v>32</v>
      </c>
      <c r="L191" s="4" t="s">
        <v>765</v>
      </c>
      <c r="M191" s="4" t="s">
        <v>34</v>
      </c>
      <c r="N191" s="4">
        <v>-497</v>
      </c>
      <c r="O191" s="4">
        <v>-150</v>
      </c>
      <c r="P191" s="4" t="s">
        <v>742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s="2" customFormat="1" x14ac:dyDescent="0.25">
      <c r="A192" s="4" t="s">
        <v>306</v>
      </c>
      <c r="B192" s="4" t="str">
        <f>CONCATENATE(A192,"OVR")</f>
        <v>5ET2R81VA13OVR</v>
      </c>
      <c r="C192" s="4" t="s">
        <v>943</v>
      </c>
      <c r="D192" s="4" t="s">
        <v>944</v>
      </c>
      <c r="E192" s="2" t="str">
        <f t="shared" si="2"/>
        <v>ALFRED HARSTON</v>
      </c>
      <c r="F192" s="4" t="s">
        <v>42</v>
      </c>
      <c r="G192" s="4" t="s">
        <v>29</v>
      </c>
      <c r="H192" s="5">
        <v>46023</v>
      </c>
      <c r="I192" s="5">
        <v>46023</v>
      </c>
      <c r="J192" s="4">
        <v>20411454</v>
      </c>
      <c r="K192" s="4" t="s">
        <v>32</v>
      </c>
      <c r="L192" s="4" t="s">
        <v>765</v>
      </c>
      <c r="M192" s="4" t="s">
        <v>34</v>
      </c>
      <c r="N192" s="4">
        <v>-497</v>
      </c>
      <c r="O192" s="4">
        <v>-150</v>
      </c>
      <c r="P192" s="4" t="s">
        <v>742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s="2" customFormat="1" x14ac:dyDescent="0.25">
      <c r="A193" s="4" t="s">
        <v>330</v>
      </c>
      <c r="B193" s="4" t="str">
        <f>CONCATENATE(A193,"OVR")</f>
        <v>5U07J79UQ31OVR</v>
      </c>
      <c r="C193" s="4" t="s">
        <v>811</v>
      </c>
      <c r="D193" s="4" t="s">
        <v>812</v>
      </c>
      <c r="E193" s="2" t="str">
        <f t="shared" si="2"/>
        <v>GREGORY HENSON</v>
      </c>
      <c r="F193" s="4" t="s">
        <v>42</v>
      </c>
      <c r="G193" s="4" t="s">
        <v>29</v>
      </c>
      <c r="H193" s="5">
        <v>46023</v>
      </c>
      <c r="I193" s="5">
        <v>46023</v>
      </c>
      <c r="J193" s="4">
        <v>20411454</v>
      </c>
      <c r="K193" s="4" t="s">
        <v>32</v>
      </c>
      <c r="L193" s="4" t="s">
        <v>765</v>
      </c>
      <c r="M193" s="4" t="s">
        <v>34</v>
      </c>
      <c r="N193" s="4">
        <v>-497</v>
      </c>
      <c r="O193" s="4">
        <v>-150</v>
      </c>
      <c r="P193" s="4" t="s">
        <v>742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s="2" customFormat="1" x14ac:dyDescent="0.25">
      <c r="A194" s="4" t="s">
        <v>334</v>
      </c>
      <c r="B194" s="4" t="str">
        <f>CONCATENATE(A194,"OVR")</f>
        <v>1KP8X12CJ27OVR</v>
      </c>
      <c r="C194" s="4" t="s">
        <v>945</v>
      </c>
      <c r="D194" s="4" t="s">
        <v>946</v>
      </c>
      <c r="E194" s="2" t="str">
        <f t="shared" si="2"/>
        <v>KRISTIN HERNANDEZ</v>
      </c>
      <c r="F194" s="4" t="s">
        <v>337</v>
      </c>
      <c r="G194" s="4" t="s">
        <v>29</v>
      </c>
      <c r="H194" s="5">
        <v>46023</v>
      </c>
      <c r="I194" s="5">
        <v>46023</v>
      </c>
      <c r="J194" s="4">
        <v>20411454</v>
      </c>
      <c r="K194" s="4" t="s">
        <v>32</v>
      </c>
      <c r="L194" s="4" t="s">
        <v>765</v>
      </c>
      <c r="M194" s="4" t="s">
        <v>34</v>
      </c>
      <c r="N194" s="4">
        <v>-497</v>
      </c>
      <c r="O194" s="4">
        <v>-150</v>
      </c>
      <c r="P194" s="4" t="s">
        <v>742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s="2" customFormat="1" x14ac:dyDescent="0.25">
      <c r="A195" s="4" t="s">
        <v>341</v>
      </c>
      <c r="B195" s="4" t="str">
        <f>CONCATENATE(A195,"OVR")</f>
        <v>8AF7VG9AP64OVR</v>
      </c>
      <c r="C195" s="4" t="s">
        <v>947</v>
      </c>
      <c r="D195" s="4" t="s">
        <v>948</v>
      </c>
      <c r="E195" s="2" t="str">
        <f t="shared" ref="E195:E258" si="3">CONCATENATE(D195," ",C195)</f>
        <v>BEVERLY HIERMEIER</v>
      </c>
      <c r="F195" s="4" t="s">
        <v>42</v>
      </c>
      <c r="G195" s="4" t="s">
        <v>29</v>
      </c>
      <c r="H195" s="5">
        <v>46023</v>
      </c>
      <c r="I195" s="5">
        <v>46023</v>
      </c>
      <c r="J195" s="4">
        <v>20411454</v>
      </c>
      <c r="K195" s="4" t="s">
        <v>32</v>
      </c>
      <c r="L195" s="4" t="s">
        <v>765</v>
      </c>
      <c r="M195" s="4" t="s">
        <v>34</v>
      </c>
      <c r="N195" s="4">
        <v>-497</v>
      </c>
      <c r="O195" s="4">
        <v>-150</v>
      </c>
      <c r="P195" s="4" t="s">
        <v>742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s="2" customFormat="1" x14ac:dyDescent="0.25">
      <c r="A196" s="4" t="s">
        <v>344</v>
      </c>
      <c r="B196" s="4" t="str">
        <f>CONCATENATE(A196,"OVR")</f>
        <v>9G48E16DN63OVR</v>
      </c>
      <c r="C196" s="4" t="s">
        <v>949</v>
      </c>
      <c r="D196" s="4" t="s">
        <v>864</v>
      </c>
      <c r="E196" s="2" t="str">
        <f t="shared" si="3"/>
        <v>BARBARA HILL</v>
      </c>
      <c r="F196" s="4" t="s">
        <v>42</v>
      </c>
      <c r="G196" s="4" t="s">
        <v>29</v>
      </c>
      <c r="H196" s="5">
        <v>46023</v>
      </c>
      <c r="I196" s="5">
        <v>46023</v>
      </c>
      <c r="J196" s="4">
        <v>20411454</v>
      </c>
      <c r="K196" s="4" t="s">
        <v>32</v>
      </c>
      <c r="L196" s="4" t="s">
        <v>765</v>
      </c>
      <c r="M196" s="4" t="s">
        <v>34</v>
      </c>
      <c r="N196" s="4">
        <v>-497</v>
      </c>
      <c r="O196" s="4">
        <v>-150</v>
      </c>
      <c r="P196" s="4" t="s">
        <v>742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s="2" customFormat="1" x14ac:dyDescent="0.25">
      <c r="A197" s="4" t="s">
        <v>347</v>
      </c>
      <c r="B197" s="4" t="str">
        <f>CONCATENATE(A197,"OVR")</f>
        <v>8QG2AG6WT88OVR</v>
      </c>
      <c r="C197" s="4" t="s">
        <v>949</v>
      </c>
      <c r="D197" s="4" t="s">
        <v>950</v>
      </c>
      <c r="E197" s="2" t="str">
        <f t="shared" si="3"/>
        <v>WILLIAM HILL</v>
      </c>
      <c r="F197" s="4" t="s">
        <v>42</v>
      </c>
      <c r="G197" s="4" t="s">
        <v>29</v>
      </c>
      <c r="H197" s="5">
        <v>46023</v>
      </c>
      <c r="I197" s="5">
        <v>46023</v>
      </c>
      <c r="J197" s="4">
        <v>20411454</v>
      </c>
      <c r="K197" s="4" t="s">
        <v>32</v>
      </c>
      <c r="L197" s="4" t="s">
        <v>765</v>
      </c>
      <c r="M197" s="4" t="s">
        <v>34</v>
      </c>
      <c r="N197" s="4">
        <v>-497</v>
      </c>
      <c r="O197" s="4">
        <v>-150</v>
      </c>
      <c r="P197" s="4" t="s">
        <v>742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s="2" customFormat="1" x14ac:dyDescent="0.25">
      <c r="A198" s="4" t="s">
        <v>357</v>
      </c>
      <c r="B198" s="4" t="str">
        <f>CONCATENATE(A198,"OVR")</f>
        <v>7X46CA1RA63OVR</v>
      </c>
      <c r="C198" s="4" t="s">
        <v>813</v>
      </c>
      <c r="D198" s="4" t="s">
        <v>814</v>
      </c>
      <c r="E198" s="2" t="str">
        <f t="shared" si="3"/>
        <v>KATHERINE HIRSCH</v>
      </c>
      <c r="F198" s="4" t="s">
        <v>42</v>
      </c>
      <c r="G198" s="4" t="s">
        <v>29</v>
      </c>
      <c r="H198" s="5">
        <v>46023</v>
      </c>
      <c r="I198" s="5">
        <v>46023</v>
      </c>
      <c r="J198" s="4">
        <v>20411454</v>
      </c>
      <c r="K198" s="4" t="s">
        <v>32</v>
      </c>
      <c r="L198" s="4" t="s">
        <v>765</v>
      </c>
      <c r="M198" s="4" t="s">
        <v>34</v>
      </c>
      <c r="N198" s="4">
        <v>-497</v>
      </c>
      <c r="O198" s="4">
        <v>-150</v>
      </c>
      <c r="P198" s="4" t="s">
        <v>742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s="2" customFormat="1" x14ac:dyDescent="0.25">
      <c r="A199" s="4" t="s">
        <v>360</v>
      </c>
      <c r="B199" s="4" t="str">
        <f>CONCATENATE(A199,"OVR")</f>
        <v>4G93PV9NF01OVR</v>
      </c>
      <c r="C199" s="4" t="s">
        <v>788</v>
      </c>
      <c r="D199" s="4" t="s">
        <v>790</v>
      </c>
      <c r="E199" s="2" t="str">
        <f t="shared" si="3"/>
        <v>RICHARD HOLIDAY</v>
      </c>
      <c r="F199" s="4" t="s">
        <v>363</v>
      </c>
      <c r="G199" s="4" t="s">
        <v>29</v>
      </c>
      <c r="H199" s="5">
        <v>46023</v>
      </c>
      <c r="I199" s="5">
        <v>46023</v>
      </c>
      <c r="J199" s="4">
        <v>20411454</v>
      </c>
      <c r="K199" s="4" t="s">
        <v>32</v>
      </c>
      <c r="L199" s="4" t="s">
        <v>765</v>
      </c>
      <c r="M199" s="4" t="s">
        <v>34</v>
      </c>
      <c r="N199" s="4">
        <v>-497</v>
      </c>
      <c r="O199" s="4">
        <v>-150</v>
      </c>
      <c r="P199" s="4" t="s">
        <v>742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s="2" customFormat="1" x14ac:dyDescent="0.25">
      <c r="A200" s="4" t="s">
        <v>368</v>
      </c>
      <c r="B200" s="4" t="str">
        <f>CONCATENATE(A200,"OVR")</f>
        <v>6U15EP6CV76OVR</v>
      </c>
      <c r="C200" s="4" t="s">
        <v>951</v>
      </c>
      <c r="D200" s="4" t="s">
        <v>952</v>
      </c>
      <c r="E200" s="2" t="str">
        <f t="shared" si="3"/>
        <v>LISA HOLLEY</v>
      </c>
      <c r="F200" s="4" t="s">
        <v>98</v>
      </c>
      <c r="G200" s="4" t="s">
        <v>29</v>
      </c>
      <c r="H200" s="5">
        <v>46023</v>
      </c>
      <c r="I200" s="5">
        <v>46023</v>
      </c>
      <c r="J200" s="4">
        <v>20411454</v>
      </c>
      <c r="K200" s="4" t="s">
        <v>32</v>
      </c>
      <c r="L200" s="4" t="s">
        <v>765</v>
      </c>
      <c r="M200" s="4" t="s">
        <v>34</v>
      </c>
      <c r="N200" s="4">
        <v>-497</v>
      </c>
      <c r="O200" s="4">
        <v>-150</v>
      </c>
      <c r="P200" s="4" t="s">
        <v>742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s="2" customFormat="1" x14ac:dyDescent="0.25">
      <c r="A201" s="4" t="s">
        <v>388</v>
      </c>
      <c r="B201" s="4" t="str">
        <f>CONCATENATE(A201,"OVR")</f>
        <v>7D76WK0WX83OVR</v>
      </c>
      <c r="C201" s="4" t="s">
        <v>953</v>
      </c>
      <c r="D201" s="4" t="s">
        <v>783</v>
      </c>
      <c r="E201" s="2" t="str">
        <f t="shared" si="3"/>
        <v>MICHAEL KANE</v>
      </c>
      <c r="F201" s="4" t="s">
        <v>391</v>
      </c>
      <c r="G201" s="4" t="s">
        <v>86</v>
      </c>
      <c r="H201" s="5">
        <v>46023</v>
      </c>
      <c r="I201" s="5">
        <v>46023</v>
      </c>
      <c r="J201" s="4">
        <v>20411454</v>
      </c>
      <c r="K201" s="4" t="s">
        <v>32</v>
      </c>
      <c r="L201" s="4" t="s">
        <v>765</v>
      </c>
      <c r="M201" s="4" t="s">
        <v>34</v>
      </c>
      <c r="N201" s="4">
        <v>-497</v>
      </c>
      <c r="O201" s="4">
        <v>-150</v>
      </c>
      <c r="P201" s="4" t="s">
        <v>742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s="2" customFormat="1" x14ac:dyDescent="0.25">
      <c r="A202" s="4" t="s">
        <v>396</v>
      </c>
      <c r="B202" s="4" t="str">
        <f>CONCATENATE(A202,"OVR")</f>
        <v>2VQ7WU0YJ77OVR</v>
      </c>
      <c r="C202" s="4" t="s">
        <v>954</v>
      </c>
      <c r="D202" s="4" t="s">
        <v>955</v>
      </c>
      <c r="E202" s="2" t="str">
        <f t="shared" si="3"/>
        <v>OUN KHAM</v>
      </c>
      <c r="F202" s="4" t="s">
        <v>42</v>
      </c>
      <c r="G202" s="4" t="s">
        <v>29</v>
      </c>
      <c r="H202" s="5">
        <v>46023</v>
      </c>
      <c r="I202" s="5">
        <v>46023</v>
      </c>
      <c r="J202" s="4">
        <v>20411454</v>
      </c>
      <c r="K202" s="4" t="s">
        <v>32</v>
      </c>
      <c r="L202" s="4" t="s">
        <v>765</v>
      </c>
      <c r="M202" s="4" t="s">
        <v>34</v>
      </c>
      <c r="N202" s="4">
        <v>-497</v>
      </c>
      <c r="O202" s="4">
        <v>-150</v>
      </c>
      <c r="P202" s="4" t="s">
        <v>742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s="2" customFormat="1" x14ac:dyDescent="0.25">
      <c r="A203" s="4" t="s">
        <v>399</v>
      </c>
      <c r="B203" s="4" t="str">
        <f>CONCATENATE(A203,"OVR")</f>
        <v>7W63N60FK73OVR</v>
      </c>
      <c r="C203" s="4" t="s">
        <v>956</v>
      </c>
      <c r="D203" s="4" t="s">
        <v>957</v>
      </c>
      <c r="E203" s="2" t="str">
        <f t="shared" si="3"/>
        <v>MICHELE KINSEY</v>
      </c>
      <c r="F203" s="4" t="s">
        <v>98</v>
      </c>
      <c r="G203" s="4" t="s">
        <v>29</v>
      </c>
      <c r="H203" s="5">
        <v>46023</v>
      </c>
      <c r="I203" s="5">
        <v>46023</v>
      </c>
      <c r="J203" s="4">
        <v>20411454</v>
      </c>
      <c r="K203" s="4" t="s">
        <v>32</v>
      </c>
      <c r="L203" s="4" t="s">
        <v>765</v>
      </c>
      <c r="M203" s="4" t="s">
        <v>34</v>
      </c>
      <c r="N203" s="4">
        <v>-497</v>
      </c>
      <c r="O203" s="4">
        <v>-150</v>
      </c>
      <c r="P203" s="4" t="s">
        <v>742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s="2" customFormat="1" x14ac:dyDescent="0.25">
      <c r="A204" s="4" t="s">
        <v>416</v>
      </c>
      <c r="B204" s="4" t="str">
        <f>CONCATENATE(A204,"OVR")</f>
        <v>4G06MU3UV55OVR</v>
      </c>
      <c r="C204" s="4" t="s">
        <v>791</v>
      </c>
      <c r="D204" s="4" t="s">
        <v>792</v>
      </c>
      <c r="E204" s="2" t="str">
        <f t="shared" si="3"/>
        <v>NANCY KRAWIEC</v>
      </c>
      <c r="F204" s="4" t="s">
        <v>42</v>
      </c>
      <c r="G204" s="4" t="s">
        <v>29</v>
      </c>
      <c r="H204" s="5">
        <v>46023</v>
      </c>
      <c r="I204" s="5">
        <v>46023</v>
      </c>
      <c r="J204" s="4">
        <v>20411454</v>
      </c>
      <c r="K204" s="4" t="s">
        <v>32</v>
      </c>
      <c r="L204" s="4" t="s">
        <v>765</v>
      </c>
      <c r="M204" s="4" t="s">
        <v>34</v>
      </c>
      <c r="N204" s="4">
        <v>-497</v>
      </c>
      <c r="O204" s="4">
        <v>-150</v>
      </c>
      <c r="P204" s="4" t="s">
        <v>742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s="2" customFormat="1" x14ac:dyDescent="0.25">
      <c r="A205" s="4" t="s">
        <v>420</v>
      </c>
      <c r="B205" s="4" t="str">
        <f>CONCATENATE(A205,"OVR")</f>
        <v>5GM3D01GX76OVR</v>
      </c>
      <c r="C205" s="4" t="s">
        <v>791</v>
      </c>
      <c r="D205" s="4" t="s">
        <v>793</v>
      </c>
      <c r="E205" s="2" t="str">
        <f t="shared" si="3"/>
        <v>KENNETH KRAWIEC</v>
      </c>
      <c r="F205" s="4" t="s">
        <v>42</v>
      </c>
      <c r="G205" s="4" t="s">
        <v>29</v>
      </c>
      <c r="H205" s="5">
        <v>46023</v>
      </c>
      <c r="I205" s="5">
        <v>46023</v>
      </c>
      <c r="J205" s="4">
        <v>20411454</v>
      </c>
      <c r="K205" s="4" t="s">
        <v>32</v>
      </c>
      <c r="L205" s="4" t="s">
        <v>765</v>
      </c>
      <c r="M205" s="4" t="s">
        <v>34</v>
      </c>
      <c r="N205" s="4">
        <v>-497</v>
      </c>
      <c r="O205" s="4">
        <v>-150</v>
      </c>
      <c r="P205" s="4" t="s">
        <v>742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s="2" customFormat="1" x14ac:dyDescent="0.25">
      <c r="A206" s="4" t="s">
        <v>448</v>
      </c>
      <c r="B206" s="4" t="str">
        <f>CONCATENATE(A206,"OVR")</f>
        <v>2V79E63RU51OVR</v>
      </c>
      <c r="C206" s="4" t="s">
        <v>958</v>
      </c>
      <c r="D206" s="4" t="s">
        <v>959</v>
      </c>
      <c r="E206" s="2" t="str">
        <f t="shared" si="3"/>
        <v>NANG MALAYTHONG</v>
      </c>
      <c r="F206" s="4" t="s">
        <v>42</v>
      </c>
      <c r="G206" s="4" t="s">
        <v>29</v>
      </c>
      <c r="H206" s="5">
        <v>46023</v>
      </c>
      <c r="I206" s="5">
        <v>46023</v>
      </c>
      <c r="J206" s="4">
        <v>20411454</v>
      </c>
      <c r="K206" s="4" t="s">
        <v>32</v>
      </c>
      <c r="L206" s="4" t="s">
        <v>765</v>
      </c>
      <c r="M206" s="4" t="s">
        <v>34</v>
      </c>
      <c r="N206" s="4">
        <v>-497</v>
      </c>
      <c r="O206" s="4">
        <v>-150</v>
      </c>
      <c r="P206" s="4" t="s">
        <v>742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s="2" customFormat="1" x14ac:dyDescent="0.25">
      <c r="A207" s="4" t="s">
        <v>451</v>
      </c>
      <c r="B207" s="4" t="str">
        <f>CONCATENATE(A207,"OVR")</f>
        <v>7ED2DK0XG06OVR</v>
      </c>
      <c r="C207" s="4" t="s">
        <v>815</v>
      </c>
      <c r="D207" s="4" t="s">
        <v>816</v>
      </c>
      <c r="E207" s="2" t="str">
        <f t="shared" si="3"/>
        <v>JEFFREY MALINOWSKI</v>
      </c>
      <c r="F207" s="4" t="s">
        <v>42</v>
      </c>
      <c r="G207" s="4" t="s">
        <v>29</v>
      </c>
      <c r="H207" s="5">
        <v>46023</v>
      </c>
      <c r="I207" s="5">
        <v>46023</v>
      </c>
      <c r="J207" s="4">
        <v>20411454</v>
      </c>
      <c r="K207" s="4" t="s">
        <v>32</v>
      </c>
      <c r="L207" s="4" t="s">
        <v>765</v>
      </c>
      <c r="M207" s="4" t="s">
        <v>34</v>
      </c>
      <c r="N207" s="4">
        <v>-497</v>
      </c>
      <c r="O207" s="4">
        <v>-150</v>
      </c>
      <c r="P207" s="4" t="s">
        <v>742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s="2" customFormat="1" x14ac:dyDescent="0.25">
      <c r="A208" s="4" t="s">
        <v>454</v>
      </c>
      <c r="B208" s="4" t="str">
        <f>CONCATENATE(A208,"OVR")</f>
        <v>1XR2WJ4YJ99OVR</v>
      </c>
      <c r="C208" s="4" t="s">
        <v>786</v>
      </c>
      <c r="D208" s="4" t="s">
        <v>787</v>
      </c>
      <c r="E208" s="2" t="str">
        <f t="shared" si="3"/>
        <v>JANICE MALONE</v>
      </c>
      <c r="F208" s="4" t="s">
        <v>42</v>
      </c>
      <c r="G208" s="4" t="s">
        <v>29</v>
      </c>
      <c r="H208" s="5">
        <v>46023</v>
      </c>
      <c r="I208" s="5">
        <v>46023</v>
      </c>
      <c r="J208" s="4">
        <v>20411454</v>
      </c>
      <c r="K208" s="4" t="s">
        <v>32</v>
      </c>
      <c r="L208" s="4" t="s">
        <v>765</v>
      </c>
      <c r="M208" s="4" t="s">
        <v>34</v>
      </c>
      <c r="N208" s="4">
        <v>-497</v>
      </c>
      <c r="O208" s="4">
        <v>-150</v>
      </c>
      <c r="P208" s="4" t="s">
        <v>742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s="2" customFormat="1" x14ac:dyDescent="0.25">
      <c r="A209" s="4" t="s">
        <v>502</v>
      </c>
      <c r="B209" s="4" t="str">
        <f>CONCATENATE(A209,"OVR")</f>
        <v>1PC7C26FG74OVR</v>
      </c>
      <c r="C209" s="4" t="s">
        <v>960</v>
      </c>
      <c r="D209" s="4" t="s">
        <v>775</v>
      </c>
      <c r="E209" s="2" t="str">
        <f t="shared" si="3"/>
        <v>DAVID MICKELSON</v>
      </c>
      <c r="F209" s="4" t="s">
        <v>108</v>
      </c>
      <c r="G209" s="4" t="s">
        <v>29</v>
      </c>
      <c r="H209" s="5">
        <v>46023</v>
      </c>
      <c r="I209" s="5">
        <v>46023</v>
      </c>
      <c r="J209" s="4">
        <v>20411454</v>
      </c>
      <c r="K209" s="4" t="s">
        <v>32</v>
      </c>
      <c r="L209" s="4" t="s">
        <v>765</v>
      </c>
      <c r="M209" s="4" t="s">
        <v>34</v>
      </c>
      <c r="N209" s="4">
        <v>-497</v>
      </c>
      <c r="O209" s="4">
        <v>-150</v>
      </c>
      <c r="P209" s="4" t="s">
        <v>742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s="2" customFormat="1" x14ac:dyDescent="0.25">
      <c r="A210" s="4" t="s">
        <v>532</v>
      </c>
      <c r="B210" s="4" t="str">
        <f>CONCATENATE(A210,"OVR")</f>
        <v>6TN6WU7FM68OVR</v>
      </c>
      <c r="C210" s="4" t="s">
        <v>961</v>
      </c>
      <c r="D210" s="4" t="s">
        <v>962</v>
      </c>
      <c r="E210" s="2" t="str">
        <f t="shared" si="3"/>
        <v>CARL MYERS</v>
      </c>
      <c r="F210" s="4" t="s">
        <v>98</v>
      </c>
      <c r="G210" s="4" t="s">
        <v>29</v>
      </c>
      <c r="H210" s="5">
        <v>46023</v>
      </c>
      <c r="I210" s="5">
        <v>46023</v>
      </c>
      <c r="J210" s="4">
        <v>20411454</v>
      </c>
      <c r="K210" s="4" t="s">
        <v>32</v>
      </c>
      <c r="L210" s="4" t="s">
        <v>765</v>
      </c>
      <c r="M210" s="4" t="s">
        <v>34</v>
      </c>
      <c r="N210" s="4">
        <v>-497</v>
      </c>
      <c r="O210" s="4">
        <v>-150</v>
      </c>
      <c r="P210" s="4" t="s">
        <v>742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s="2" customFormat="1" x14ac:dyDescent="0.25">
      <c r="A211" s="4" t="s">
        <v>541</v>
      </c>
      <c r="B211" s="4" t="str">
        <f>CONCATENATE(A211,"OVR")</f>
        <v>2KR3HN5MQ04OVR</v>
      </c>
      <c r="C211" s="4" t="s">
        <v>963</v>
      </c>
      <c r="D211" s="4" t="s">
        <v>964</v>
      </c>
      <c r="E211" s="2" t="str">
        <f t="shared" si="3"/>
        <v>JERRY NORRIS</v>
      </c>
      <c r="F211" s="4" t="s">
        <v>98</v>
      </c>
      <c r="G211" s="4" t="s">
        <v>29</v>
      </c>
      <c r="H211" s="5">
        <v>46023</v>
      </c>
      <c r="I211" s="5">
        <v>46023</v>
      </c>
      <c r="J211" s="4">
        <v>20411454</v>
      </c>
      <c r="K211" s="4" t="s">
        <v>32</v>
      </c>
      <c r="L211" s="4" t="s">
        <v>765</v>
      </c>
      <c r="M211" s="4" t="s">
        <v>34</v>
      </c>
      <c r="N211" s="4">
        <v>-497</v>
      </c>
      <c r="O211" s="4">
        <v>-150</v>
      </c>
      <c r="P211" s="4" t="s">
        <v>742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s="2" customFormat="1" x14ac:dyDescent="0.25">
      <c r="A212" s="4" t="s">
        <v>569</v>
      </c>
      <c r="B212" s="4" t="str">
        <f>CONCATENATE(A212,"OVR")</f>
        <v>4HX0NF1YF01OVR</v>
      </c>
      <c r="C212" s="4" t="s">
        <v>965</v>
      </c>
      <c r="D212" s="4" t="s">
        <v>783</v>
      </c>
      <c r="E212" s="2" t="str">
        <f t="shared" si="3"/>
        <v>MICHAEL POLCYN</v>
      </c>
      <c r="F212" s="4" t="s">
        <v>42</v>
      </c>
      <c r="G212" s="4" t="s">
        <v>29</v>
      </c>
      <c r="H212" s="5">
        <v>46023</v>
      </c>
      <c r="I212" s="5">
        <v>46023</v>
      </c>
      <c r="J212" s="4">
        <v>20411454</v>
      </c>
      <c r="K212" s="4" t="s">
        <v>32</v>
      </c>
      <c r="L212" s="4" t="s">
        <v>765</v>
      </c>
      <c r="M212" s="4" t="s">
        <v>34</v>
      </c>
      <c r="N212" s="4">
        <v>-497</v>
      </c>
      <c r="O212" s="4">
        <v>-150</v>
      </c>
      <c r="P212" s="4" t="s">
        <v>742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s="2" customFormat="1" x14ac:dyDescent="0.25">
      <c r="A213" s="4" t="s">
        <v>585</v>
      </c>
      <c r="B213" s="4" t="str">
        <f>CONCATENATE(A213,"OVR")</f>
        <v>9KK2GC4QN87OVR</v>
      </c>
      <c r="C213" s="4" t="s">
        <v>966</v>
      </c>
      <c r="D213" s="4" t="s">
        <v>816</v>
      </c>
      <c r="E213" s="2" t="str">
        <f t="shared" si="3"/>
        <v>JEFFREY RASOR</v>
      </c>
      <c r="F213" s="4" t="s">
        <v>42</v>
      </c>
      <c r="G213" s="4" t="s">
        <v>29</v>
      </c>
      <c r="H213" s="5">
        <v>46023</v>
      </c>
      <c r="I213" s="5">
        <v>46023</v>
      </c>
      <c r="J213" s="4">
        <v>20411454</v>
      </c>
      <c r="K213" s="4" t="s">
        <v>32</v>
      </c>
      <c r="L213" s="4" t="s">
        <v>765</v>
      </c>
      <c r="M213" s="4" t="s">
        <v>34</v>
      </c>
      <c r="N213" s="4">
        <v>-497</v>
      </c>
      <c r="O213" s="4">
        <v>-150</v>
      </c>
      <c r="P213" s="4" t="s">
        <v>742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s="2" customFormat="1" x14ac:dyDescent="0.25">
      <c r="A214" s="4" t="s">
        <v>589</v>
      </c>
      <c r="B214" s="4" t="str">
        <f>CONCATENATE(A214,"OVR")</f>
        <v>8KX0KH6PM26OVR</v>
      </c>
      <c r="C214" s="4" t="s">
        <v>966</v>
      </c>
      <c r="D214" s="4" t="s">
        <v>890</v>
      </c>
      <c r="E214" s="2" t="str">
        <f t="shared" si="3"/>
        <v>KATHY RASOR</v>
      </c>
      <c r="F214" s="4" t="s">
        <v>42</v>
      </c>
      <c r="G214" s="4" t="s">
        <v>29</v>
      </c>
      <c r="H214" s="5">
        <v>46023</v>
      </c>
      <c r="I214" s="5">
        <v>46023</v>
      </c>
      <c r="J214" s="4">
        <v>20411454</v>
      </c>
      <c r="K214" s="4" t="s">
        <v>32</v>
      </c>
      <c r="L214" s="4" t="s">
        <v>765</v>
      </c>
      <c r="M214" s="4" t="s">
        <v>34</v>
      </c>
      <c r="N214" s="4">
        <v>-497</v>
      </c>
      <c r="O214" s="4">
        <v>-150</v>
      </c>
      <c r="P214" s="4" t="s">
        <v>742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s="4" customFormat="1" x14ac:dyDescent="0.25">
      <c r="A215" s="4" t="s">
        <v>595</v>
      </c>
      <c r="B215" s="4" t="str">
        <f>CONCATENATE(A215,"OVR")</f>
        <v>5C92GT6WA80OVR</v>
      </c>
      <c r="C215" s="4" t="s">
        <v>967</v>
      </c>
      <c r="D215" s="4" t="s">
        <v>878</v>
      </c>
      <c r="E215" s="2" t="str">
        <f t="shared" si="3"/>
        <v>LESTER REISCHL</v>
      </c>
      <c r="F215" s="4" t="s">
        <v>598</v>
      </c>
      <c r="G215" s="4" t="s">
        <v>29</v>
      </c>
      <c r="H215" s="5">
        <v>46023</v>
      </c>
      <c r="I215" s="5">
        <v>46023</v>
      </c>
      <c r="J215" s="4">
        <v>20411454</v>
      </c>
      <c r="K215" s="4" t="s">
        <v>32</v>
      </c>
      <c r="L215" s="4" t="s">
        <v>765</v>
      </c>
      <c r="M215" s="4" t="s">
        <v>34</v>
      </c>
      <c r="N215" s="4">
        <v>-497</v>
      </c>
      <c r="O215" s="4">
        <v>-150</v>
      </c>
      <c r="P215" s="4" t="s">
        <v>742</v>
      </c>
    </row>
    <row r="216" spans="1:27" s="4" customFormat="1" x14ac:dyDescent="0.25">
      <c r="A216" s="4" t="s">
        <v>633</v>
      </c>
      <c r="B216" s="4" t="str">
        <f>CONCATENATE(A216,"OVR")</f>
        <v>1YA7Q72CF33OVR</v>
      </c>
      <c r="C216" s="4" t="s">
        <v>859</v>
      </c>
      <c r="D216" s="4" t="s">
        <v>860</v>
      </c>
      <c r="E216" s="2" t="str">
        <f t="shared" si="3"/>
        <v>KIM SKAGGS</v>
      </c>
      <c r="F216" s="4" t="s">
        <v>42</v>
      </c>
      <c r="G216" s="4" t="s">
        <v>29</v>
      </c>
      <c r="H216" s="5">
        <v>46023</v>
      </c>
      <c r="I216" s="5">
        <v>46023</v>
      </c>
      <c r="J216" s="4">
        <v>20411454</v>
      </c>
      <c r="K216" s="4" t="s">
        <v>32</v>
      </c>
      <c r="L216" s="4" t="s">
        <v>765</v>
      </c>
      <c r="M216" s="4" t="s">
        <v>34</v>
      </c>
      <c r="N216" s="4">
        <v>-497</v>
      </c>
      <c r="O216" s="4">
        <v>-150</v>
      </c>
      <c r="P216" s="4" t="s">
        <v>742</v>
      </c>
    </row>
    <row r="217" spans="1:27" s="4" customFormat="1" x14ac:dyDescent="0.25">
      <c r="A217" s="4" t="s">
        <v>656</v>
      </c>
      <c r="B217" s="4" t="str">
        <f>CONCATENATE(A217,"OVR")</f>
        <v>1X54JK2RA93OVR</v>
      </c>
      <c r="C217" s="4" t="s">
        <v>821</v>
      </c>
      <c r="D217" s="4" t="s">
        <v>968</v>
      </c>
      <c r="E217" s="2" t="str">
        <f t="shared" si="3"/>
        <v>KEEGAN TERRY</v>
      </c>
      <c r="F217" s="4" t="s">
        <v>42</v>
      </c>
      <c r="G217" s="4" t="s">
        <v>29</v>
      </c>
      <c r="H217" s="5">
        <v>46023</v>
      </c>
      <c r="I217" s="5">
        <v>46023</v>
      </c>
      <c r="J217" s="4">
        <v>20411454</v>
      </c>
      <c r="K217" s="4" t="s">
        <v>32</v>
      </c>
      <c r="L217" s="4" t="s">
        <v>765</v>
      </c>
      <c r="M217" s="4" t="s">
        <v>34</v>
      </c>
      <c r="N217" s="4">
        <v>-497</v>
      </c>
      <c r="O217" s="4">
        <v>-150</v>
      </c>
      <c r="P217" s="4" t="s">
        <v>742</v>
      </c>
    </row>
    <row r="218" spans="1:27" s="4" customFormat="1" x14ac:dyDescent="0.25">
      <c r="A218" s="4" t="s">
        <v>662</v>
      </c>
      <c r="B218" s="4" t="str">
        <f>CONCATENATE(A218,"OVR")</f>
        <v>8QR1RC0WJ38OVR</v>
      </c>
      <c r="C218" s="4" t="s">
        <v>969</v>
      </c>
      <c r="D218" s="4" t="s">
        <v>970</v>
      </c>
      <c r="E218" s="2" t="str">
        <f t="shared" si="3"/>
        <v>ELVIA TORRES</v>
      </c>
      <c r="F218" s="4" t="s">
        <v>42</v>
      </c>
      <c r="G218" s="4" t="s">
        <v>29</v>
      </c>
      <c r="H218" s="5">
        <v>46023</v>
      </c>
      <c r="I218" s="5">
        <v>46023</v>
      </c>
      <c r="J218" s="4">
        <v>20411454</v>
      </c>
      <c r="K218" s="4" t="s">
        <v>32</v>
      </c>
      <c r="L218" s="4" t="s">
        <v>765</v>
      </c>
      <c r="M218" s="4" t="s">
        <v>34</v>
      </c>
      <c r="N218" s="4">
        <v>-497</v>
      </c>
      <c r="O218" s="4">
        <v>-150</v>
      </c>
      <c r="P218" s="4" t="s">
        <v>742</v>
      </c>
    </row>
    <row r="219" spans="1:27" s="4" customFormat="1" x14ac:dyDescent="0.25">
      <c r="A219" s="4" t="s">
        <v>666</v>
      </c>
      <c r="B219" s="4" t="str">
        <f>CONCATENATE(A219,"OVR")</f>
        <v>8J30P63WM11OVR</v>
      </c>
      <c r="C219" s="4" t="s">
        <v>971</v>
      </c>
      <c r="D219" s="4" t="s">
        <v>819</v>
      </c>
      <c r="E219" s="2" t="str">
        <f t="shared" si="3"/>
        <v>JOHN TRACY</v>
      </c>
      <c r="F219" s="4" t="s">
        <v>42</v>
      </c>
      <c r="G219" s="4" t="s">
        <v>29</v>
      </c>
      <c r="H219" s="5">
        <v>46023</v>
      </c>
      <c r="I219" s="5">
        <v>46023</v>
      </c>
      <c r="J219" s="4">
        <v>20411454</v>
      </c>
      <c r="K219" s="4" t="s">
        <v>32</v>
      </c>
      <c r="L219" s="4" t="s">
        <v>765</v>
      </c>
      <c r="M219" s="4" t="s">
        <v>34</v>
      </c>
      <c r="N219" s="4">
        <v>-497</v>
      </c>
      <c r="O219" s="4">
        <v>-150</v>
      </c>
      <c r="P219" s="4" t="s">
        <v>742</v>
      </c>
    </row>
    <row r="220" spans="1:27" s="4" customFormat="1" x14ac:dyDescent="0.25">
      <c r="A220" s="4" t="s">
        <v>675</v>
      </c>
      <c r="B220" s="4" t="str">
        <f>CONCATENATE(A220,"OVR")</f>
        <v>8E38A74FH20OVR</v>
      </c>
      <c r="C220" s="4" t="s">
        <v>782</v>
      </c>
      <c r="D220" s="4" t="s">
        <v>783</v>
      </c>
      <c r="E220" s="2" t="str">
        <f t="shared" si="3"/>
        <v>MICHAEL TYMOSZCZUK</v>
      </c>
      <c r="F220" s="4" t="s">
        <v>98</v>
      </c>
      <c r="G220" s="4" t="s">
        <v>29</v>
      </c>
      <c r="H220" s="5">
        <v>46023</v>
      </c>
      <c r="I220" s="5">
        <v>46023</v>
      </c>
      <c r="J220" s="4">
        <v>20411454</v>
      </c>
      <c r="K220" s="4" t="s">
        <v>32</v>
      </c>
      <c r="L220" s="4" t="s">
        <v>765</v>
      </c>
      <c r="M220" s="4" t="s">
        <v>34</v>
      </c>
      <c r="N220" s="4">
        <v>-497</v>
      </c>
      <c r="O220" s="4">
        <v>-150</v>
      </c>
      <c r="P220" s="4" t="s">
        <v>742</v>
      </c>
    </row>
    <row r="221" spans="1:27" s="4" customFormat="1" x14ac:dyDescent="0.25">
      <c r="A221" s="4" t="s">
        <v>678</v>
      </c>
      <c r="B221" s="4" t="str">
        <f>CONCATENATE(A221,"OVR")</f>
        <v>9XF6PW0XU78OVR</v>
      </c>
      <c r="C221" s="4" t="s">
        <v>832</v>
      </c>
      <c r="D221" s="4" t="s">
        <v>833</v>
      </c>
      <c r="E221" s="2" t="str">
        <f t="shared" si="3"/>
        <v>JOANGELA VARI</v>
      </c>
      <c r="F221" s="4" t="s">
        <v>182</v>
      </c>
      <c r="G221" s="4" t="s">
        <v>29</v>
      </c>
      <c r="H221" s="5">
        <v>46023</v>
      </c>
      <c r="I221" s="5">
        <v>46023</v>
      </c>
      <c r="J221" s="4">
        <v>20411454</v>
      </c>
      <c r="K221" s="4" t="s">
        <v>32</v>
      </c>
      <c r="L221" s="4" t="s">
        <v>765</v>
      </c>
      <c r="M221" s="4" t="s">
        <v>34</v>
      </c>
      <c r="N221" s="4">
        <v>-497</v>
      </c>
      <c r="O221" s="4">
        <v>-150</v>
      </c>
      <c r="P221" s="4" t="s">
        <v>742</v>
      </c>
    </row>
    <row r="222" spans="1:27" s="4" customFormat="1" x14ac:dyDescent="0.25">
      <c r="A222" s="4" t="s">
        <v>681</v>
      </c>
      <c r="B222" s="4" t="str">
        <f>CONCATENATE(A222,"OVR")</f>
        <v>6UK7NV9RD49OVR</v>
      </c>
      <c r="C222" s="4" t="s">
        <v>828</v>
      </c>
      <c r="D222" s="4" t="s">
        <v>829</v>
      </c>
      <c r="E222" s="2" t="str">
        <f t="shared" si="3"/>
        <v>EVELYN VEGA</v>
      </c>
      <c r="F222" s="4" t="s">
        <v>42</v>
      </c>
      <c r="G222" s="4" t="s">
        <v>29</v>
      </c>
      <c r="H222" s="5">
        <v>46023</v>
      </c>
      <c r="I222" s="5">
        <v>46023</v>
      </c>
      <c r="J222" s="4">
        <v>20411454</v>
      </c>
      <c r="K222" s="4" t="s">
        <v>32</v>
      </c>
      <c r="L222" s="4" t="s">
        <v>765</v>
      </c>
      <c r="M222" s="4" t="s">
        <v>34</v>
      </c>
      <c r="N222" s="4">
        <v>-497</v>
      </c>
      <c r="O222" s="4">
        <v>-150</v>
      </c>
      <c r="P222" s="4" t="s">
        <v>742</v>
      </c>
    </row>
    <row r="223" spans="1:27" s="4" customFormat="1" x14ac:dyDescent="0.25">
      <c r="A223" s="4" t="s">
        <v>687</v>
      </c>
      <c r="B223" s="4" t="str">
        <f>CONCATENATE(A223,"OVR")</f>
        <v>4E88WN7EF21OVR</v>
      </c>
      <c r="C223" s="4" t="s">
        <v>817</v>
      </c>
      <c r="D223" s="4" t="s">
        <v>787</v>
      </c>
      <c r="E223" s="2" t="str">
        <f t="shared" si="3"/>
        <v>JANICE WALSH</v>
      </c>
      <c r="F223" s="4" t="s">
        <v>690</v>
      </c>
      <c r="G223" s="4" t="s">
        <v>29</v>
      </c>
      <c r="H223" s="5">
        <v>46023</v>
      </c>
      <c r="I223" s="5">
        <v>46023</v>
      </c>
      <c r="J223" s="4">
        <v>20411454</v>
      </c>
      <c r="K223" s="4" t="s">
        <v>32</v>
      </c>
      <c r="L223" s="4" t="s">
        <v>765</v>
      </c>
      <c r="M223" s="4" t="s">
        <v>34</v>
      </c>
      <c r="N223" s="4">
        <v>-497</v>
      </c>
      <c r="O223" s="4">
        <v>-150</v>
      </c>
      <c r="P223" s="4" t="s">
        <v>742</v>
      </c>
    </row>
    <row r="224" spans="1:27" s="4" customFormat="1" x14ac:dyDescent="0.25">
      <c r="A224" s="4" t="s">
        <v>693</v>
      </c>
      <c r="B224" s="4" t="str">
        <f>CONCATENATE(A224,"OVR")</f>
        <v>2PH3MW0NF19OVR</v>
      </c>
      <c r="C224" s="4" t="s">
        <v>844</v>
      </c>
      <c r="D224" s="4" t="s">
        <v>845</v>
      </c>
      <c r="E224" s="2" t="str">
        <f t="shared" si="3"/>
        <v>DEIRDRE WARRENBURG</v>
      </c>
      <c r="F224" s="4" t="s">
        <v>232</v>
      </c>
      <c r="G224" s="4" t="s">
        <v>29</v>
      </c>
      <c r="H224" s="5">
        <v>46023</v>
      </c>
      <c r="I224" s="5">
        <v>46023</v>
      </c>
      <c r="J224" s="4">
        <v>20411454</v>
      </c>
      <c r="K224" s="4" t="s">
        <v>32</v>
      </c>
      <c r="L224" s="4" t="s">
        <v>765</v>
      </c>
      <c r="M224" s="4" t="s">
        <v>34</v>
      </c>
      <c r="N224" s="4">
        <v>-497</v>
      </c>
      <c r="O224" s="4">
        <v>-150</v>
      </c>
      <c r="P224" s="4" t="s">
        <v>742</v>
      </c>
    </row>
    <row r="225" spans="1:27" s="4" customFormat="1" x14ac:dyDescent="0.25">
      <c r="A225" s="4" t="s">
        <v>698</v>
      </c>
      <c r="B225" s="4" t="str">
        <f>CONCATENATE(A225,"OVR")</f>
        <v>9YJ1WQ3PW13OVR</v>
      </c>
      <c r="C225" s="4" t="s">
        <v>903</v>
      </c>
      <c r="D225" s="4" t="s">
        <v>904</v>
      </c>
      <c r="E225" s="2" t="str">
        <f t="shared" si="3"/>
        <v>ANGELA WELDON</v>
      </c>
      <c r="F225" s="4" t="s">
        <v>42</v>
      </c>
      <c r="G225" s="4" t="s">
        <v>29</v>
      </c>
      <c r="H225" s="5">
        <v>46023</v>
      </c>
      <c r="I225" s="5">
        <v>46023</v>
      </c>
      <c r="J225" s="4">
        <v>20411454</v>
      </c>
      <c r="K225" s="4" t="s">
        <v>32</v>
      </c>
      <c r="L225" s="4" t="s">
        <v>765</v>
      </c>
      <c r="M225" s="4" t="s">
        <v>34</v>
      </c>
      <c r="N225" s="4">
        <v>-497</v>
      </c>
      <c r="O225" s="4">
        <v>-150</v>
      </c>
      <c r="P225" s="4" t="s">
        <v>742</v>
      </c>
    </row>
    <row r="226" spans="1:27" s="4" customFormat="1" x14ac:dyDescent="0.25">
      <c r="A226" s="4" t="s">
        <v>704</v>
      </c>
      <c r="B226" s="4" t="str">
        <f>CONCATENATE(A226,"OVR")</f>
        <v>7Q77MW7NQ40OVR</v>
      </c>
      <c r="C226" s="4" t="s">
        <v>846</v>
      </c>
      <c r="D226" s="4" t="s">
        <v>847</v>
      </c>
      <c r="E226" s="2" t="str">
        <f t="shared" si="3"/>
        <v>ROBERT WHITNEY</v>
      </c>
      <c r="F226" s="4" t="s">
        <v>232</v>
      </c>
      <c r="G226" s="4" t="s">
        <v>86</v>
      </c>
      <c r="H226" s="5">
        <v>46023</v>
      </c>
      <c r="I226" s="5">
        <v>46023</v>
      </c>
      <c r="J226" s="4">
        <v>20411454</v>
      </c>
      <c r="K226" s="4" t="s">
        <v>32</v>
      </c>
      <c r="L226" s="4" t="s">
        <v>765</v>
      </c>
      <c r="M226" s="4" t="s">
        <v>34</v>
      </c>
      <c r="N226" s="4">
        <v>-497</v>
      </c>
      <c r="O226" s="4">
        <v>-150</v>
      </c>
      <c r="P226" s="4" t="s">
        <v>742</v>
      </c>
    </row>
    <row r="227" spans="1:27" s="4" customFormat="1" x14ac:dyDescent="0.25">
      <c r="A227" s="4" t="s">
        <v>717</v>
      </c>
      <c r="B227" s="4" t="str">
        <f>CONCATENATE(A227,"OVR")</f>
        <v>2K06KA5YG64OVR</v>
      </c>
      <c r="C227" s="4" t="s">
        <v>836</v>
      </c>
      <c r="D227" s="4" t="s">
        <v>783</v>
      </c>
      <c r="E227" s="2" t="str">
        <f t="shared" si="3"/>
        <v>MICHAEL WILLIAMS</v>
      </c>
      <c r="F227" s="4" t="s">
        <v>337</v>
      </c>
      <c r="G227" s="4" t="s">
        <v>29</v>
      </c>
      <c r="H227" s="5">
        <v>46023</v>
      </c>
      <c r="I227" s="5">
        <v>46023</v>
      </c>
      <c r="J227" s="4">
        <v>20411454</v>
      </c>
      <c r="K227" s="4" t="s">
        <v>32</v>
      </c>
      <c r="L227" s="4" t="s">
        <v>765</v>
      </c>
      <c r="M227" s="4" t="s">
        <v>34</v>
      </c>
      <c r="N227" s="4">
        <v>-497</v>
      </c>
      <c r="O227" s="4">
        <v>-150</v>
      </c>
      <c r="P227" s="4" t="s">
        <v>742</v>
      </c>
    </row>
    <row r="228" spans="1:27" s="4" customFormat="1" x14ac:dyDescent="0.25">
      <c r="A228" s="4" t="s">
        <v>720</v>
      </c>
      <c r="B228" s="4" t="str">
        <f>CONCATENATE(A228,"OVR")</f>
        <v>7E50KK4WP45OVR</v>
      </c>
      <c r="C228" s="4" t="s">
        <v>794</v>
      </c>
      <c r="D228" s="4" t="s">
        <v>795</v>
      </c>
      <c r="E228" s="2" t="str">
        <f t="shared" si="3"/>
        <v>ELIZABETH WILSON</v>
      </c>
      <c r="F228" s="4" t="s">
        <v>108</v>
      </c>
      <c r="G228" s="4" t="s">
        <v>29</v>
      </c>
      <c r="H228" s="5">
        <v>46023</v>
      </c>
      <c r="I228" s="5">
        <v>46023</v>
      </c>
      <c r="J228" s="4">
        <v>20411454</v>
      </c>
      <c r="K228" s="4" t="s">
        <v>32</v>
      </c>
      <c r="L228" s="4" t="s">
        <v>765</v>
      </c>
      <c r="M228" s="4" t="s">
        <v>34</v>
      </c>
      <c r="N228" s="4">
        <v>-497</v>
      </c>
      <c r="O228" s="4">
        <v>-150</v>
      </c>
      <c r="P228" s="4" t="s">
        <v>742</v>
      </c>
    </row>
    <row r="229" spans="1:27" s="4" customFormat="1" x14ac:dyDescent="0.25">
      <c r="A229" s="4" t="s">
        <v>730</v>
      </c>
      <c r="B229" s="4" t="str">
        <f>CONCATENATE(A229,"OVR")</f>
        <v>1ME5YG2HC63OVR</v>
      </c>
      <c r="C229" s="4" t="s">
        <v>972</v>
      </c>
      <c r="D229" s="4" t="s">
        <v>973</v>
      </c>
      <c r="E229" s="2" t="str">
        <f t="shared" si="3"/>
        <v>MATTHEW YEAKEL</v>
      </c>
      <c r="F229" s="4" t="s">
        <v>42</v>
      </c>
      <c r="G229" s="4" t="s">
        <v>29</v>
      </c>
      <c r="H229" s="5">
        <v>46023</v>
      </c>
      <c r="I229" s="5">
        <v>46023</v>
      </c>
      <c r="J229" s="4">
        <v>20411454</v>
      </c>
      <c r="K229" s="4" t="s">
        <v>32</v>
      </c>
      <c r="L229" s="4" t="s">
        <v>765</v>
      </c>
      <c r="M229" s="4" t="s">
        <v>34</v>
      </c>
      <c r="N229" s="4">
        <v>-497</v>
      </c>
      <c r="O229" s="4">
        <v>-150</v>
      </c>
      <c r="P229" s="4" t="s">
        <v>742</v>
      </c>
    </row>
    <row r="230" spans="1:27" s="4" customFormat="1" x14ac:dyDescent="0.25">
      <c r="A230" s="4" t="s">
        <v>733</v>
      </c>
      <c r="B230" s="4" t="str">
        <f>CONCATENATE(A230,"OVR")</f>
        <v>3QD8RR9NP42OVR</v>
      </c>
      <c r="C230" s="4" t="s">
        <v>974</v>
      </c>
      <c r="D230" s="4" t="s">
        <v>843</v>
      </c>
      <c r="E230" s="2" t="str">
        <f t="shared" si="3"/>
        <v>RODNEY ZIPP</v>
      </c>
      <c r="F230" s="4" t="s">
        <v>337</v>
      </c>
      <c r="G230" s="4" t="s">
        <v>29</v>
      </c>
      <c r="H230" s="5">
        <v>46023</v>
      </c>
      <c r="I230" s="5">
        <v>46023</v>
      </c>
      <c r="J230" s="4">
        <v>20411454</v>
      </c>
      <c r="K230" s="4" t="s">
        <v>32</v>
      </c>
      <c r="L230" s="4" t="s">
        <v>765</v>
      </c>
      <c r="M230" s="4" t="s">
        <v>34</v>
      </c>
      <c r="N230" s="4">
        <v>-497</v>
      </c>
      <c r="O230" s="4">
        <v>-150</v>
      </c>
      <c r="P230" s="4" t="s">
        <v>742</v>
      </c>
    </row>
    <row r="231" spans="1:27" s="4" customFormat="1" x14ac:dyDescent="0.25">
      <c r="A231" s="4" t="s">
        <v>737</v>
      </c>
      <c r="B231" s="4" t="str">
        <f>CONCATENATE(A231,"OVR")</f>
        <v>7JR5GF8MA82OVR</v>
      </c>
      <c r="C231" s="4" t="s">
        <v>974</v>
      </c>
      <c r="D231" s="4" t="s">
        <v>975</v>
      </c>
      <c r="E231" s="2" t="str">
        <f t="shared" si="3"/>
        <v>DONNA ZIPP</v>
      </c>
      <c r="F231" s="4" t="s">
        <v>337</v>
      </c>
      <c r="G231" s="4" t="s">
        <v>29</v>
      </c>
      <c r="H231" s="5">
        <v>46023</v>
      </c>
      <c r="I231" s="5">
        <v>46023</v>
      </c>
      <c r="J231" s="4">
        <v>20411454</v>
      </c>
      <c r="K231" s="4" t="s">
        <v>32</v>
      </c>
      <c r="L231" s="4" t="s">
        <v>765</v>
      </c>
      <c r="M231" s="4" t="s">
        <v>34</v>
      </c>
      <c r="N231" s="4">
        <v>-497</v>
      </c>
      <c r="O231" s="4">
        <v>-150</v>
      </c>
      <c r="P231" s="4" t="s">
        <v>742</v>
      </c>
    </row>
    <row r="232" spans="1:27" s="4" customFormat="1" x14ac:dyDescent="0.25">
      <c r="A232" s="4" t="s">
        <v>79</v>
      </c>
      <c r="B232" s="4" t="str">
        <f>CONCATENATE(A232,"OVR")</f>
        <v>1XT4DX2GE06OVR</v>
      </c>
      <c r="C232" s="4" t="s">
        <v>874</v>
      </c>
      <c r="D232" s="4" t="s">
        <v>875</v>
      </c>
      <c r="E232" s="2" t="str">
        <f t="shared" si="3"/>
        <v>HOWARD BELLAIRE</v>
      </c>
      <c r="F232" s="4" t="s">
        <v>27</v>
      </c>
      <c r="G232" s="4" t="s">
        <v>29</v>
      </c>
      <c r="H232" s="5">
        <v>46054</v>
      </c>
      <c r="I232" s="5">
        <v>46054</v>
      </c>
      <c r="J232" s="4">
        <v>20411454</v>
      </c>
      <c r="K232" s="4" t="s">
        <v>32</v>
      </c>
      <c r="L232" s="4" t="s">
        <v>765</v>
      </c>
      <c r="M232" s="4" t="s">
        <v>34</v>
      </c>
      <c r="N232" s="4">
        <v>-495.92</v>
      </c>
      <c r="O232" s="4">
        <v>-137.5</v>
      </c>
      <c r="P232" s="4" t="s">
        <v>742</v>
      </c>
    </row>
    <row r="233" spans="1:27" s="4" customFormat="1" x14ac:dyDescent="0.25">
      <c r="A233" s="4" t="s">
        <v>102</v>
      </c>
      <c r="B233" s="4" t="str">
        <f>CONCATENATE(A233,"OVR")</f>
        <v>7G70U63AG31OVR</v>
      </c>
      <c r="C233" s="4" t="s">
        <v>863</v>
      </c>
      <c r="D233" s="4" t="s">
        <v>864</v>
      </c>
      <c r="E233" s="2" t="str">
        <f t="shared" si="3"/>
        <v>BARBARA BOYD</v>
      </c>
      <c r="F233" s="4" t="s">
        <v>27</v>
      </c>
      <c r="G233" s="4" t="s">
        <v>29</v>
      </c>
      <c r="H233" s="5">
        <v>46054</v>
      </c>
      <c r="I233" s="5">
        <v>46054</v>
      </c>
      <c r="J233" s="4">
        <v>20411454</v>
      </c>
      <c r="K233" s="4" t="s">
        <v>32</v>
      </c>
      <c r="L233" s="4" t="s">
        <v>765</v>
      </c>
      <c r="M233" s="4" t="s">
        <v>34</v>
      </c>
      <c r="N233" s="4">
        <v>-495.92</v>
      </c>
      <c r="O233" s="4">
        <v>-137.5</v>
      </c>
      <c r="P233" s="4" t="s">
        <v>742</v>
      </c>
    </row>
    <row r="234" spans="1:27" s="4" customFormat="1" x14ac:dyDescent="0.25">
      <c r="A234" s="4" t="s">
        <v>385</v>
      </c>
      <c r="B234" s="4" t="str">
        <f>CONCATENATE(A234,"OVR")</f>
        <v>8G77VX2MR59OVR</v>
      </c>
      <c r="C234" s="4" t="s">
        <v>826</v>
      </c>
      <c r="D234" s="4" t="s">
        <v>976</v>
      </c>
      <c r="E234" s="2" t="str">
        <f t="shared" si="3"/>
        <v>VALERIE JONES</v>
      </c>
      <c r="F234" s="4" t="s">
        <v>27</v>
      </c>
      <c r="G234" s="4" t="s">
        <v>29</v>
      </c>
      <c r="H234" s="5">
        <v>46054</v>
      </c>
      <c r="I234" s="5">
        <v>46054</v>
      </c>
      <c r="J234" s="4">
        <v>20411454</v>
      </c>
      <c r="K234" s="4" t="s">
        <v>32</v>
      </c>
      <c r="L234" s="4" t="s">
        <v>765</v>
      </c>
      <c r="M234" s="4" t="s">
        <v>34</v>
      </c>
      <c r="N234" s="4">
        <v>-495.92</v>
      </c>
      <c r="O234" s="4">
        <v>-137.5</v>
      </c>
      <c r="P234" s="4" t="s">
        <v>742</v>
      </c>
    </row>
    <row r="235" spans="1:27" s="4" customFormat="1" x14ac:dyDescent="0.25">
      <c r="A235" s="4" t="s">
        <v>430</v>
      </c>
      <c r="B235" s="4" t="str">
        <f>CONCATENATE(A235,"OVR")</f>
        <v>5X34WJ4UE95OVR</v>
      </c>
      <c r="C235" s="4" t="s">
        <v>977</v>
      </c>
      <c r="D235" s="4" t="s">
        <v>978</v>
      </c>
      <c r="E235" s="2" t="str">
        <f t="shared" si="3"/>
        <v>TIMOTHY LESHER</v>
      </c>
      <c r="F235" s="4" t="s">
        <v>27</v>
      </c>
      <c r="G235" s="4" t="s">
        <v>29</v>
      </c>
      <c r="H235" s="5">
        <v>46054</v>
      </c>
      <c r="I235" s="5">
        <v>46054</v>
      </c>
      <c r="J235" s="4">
        <v>20411454</v>
      </c>
      <c r="K235" s="4" t="s">
        <v>32</v>
      </c>
      <c r="L235" s="4" t="s">
        <v>765</v>
      </c>
      <c r="M235" s="4" t="s">
        <v>34</v>
      </c>
      <c r="N235" s="4">
        <v>-495.92</v>
      </c>
      <c r="O235" s="4">
        <v>-137.5</v>
      </c>
      <c r="P235" s="4" t="s">
        <v>742</v>
      </c>
    </row>
    <row r="236" spans="1:27" s="4" customFormat="1" x14ac:dyDescent="0.25">
      <c r="A236" s="4" t="s">
        <v>603</v>
      </c>
      <c r="B236" s="4" t="str">
        <f>CONCATENATE(A236,"OVR")</f>
        <v>7RY2YT4HP99OVR</v>
      </c>
      <c r="C236" s="4" t="s">
        <v>891</v>
      </c>
      <c r="D236" s="4" t="s">
        <v>892</v>
      </c>
      <c r="E236" s="2" t="str">
        <f t="shared" si="3"/>
        <v>CATHY ROSUS</v>
      </c>
      <c r="F236" s="4" t="s">
        <v>27</v>
      </c>
      <c r="G236" s="4" t="s">
        <v>29</v>
      </c>
      <c r="H236" s="5">
        <v>46054</v>
      </c>
      <c r="I236" s="5">
        <v>46054</v>
      </c>
      <c r="J236" s="4">
        <v>20411454</v>
      </c>
      <c r="K236" s="4" t="s">
        <v>32</v>
      </c>
      <c r="L236" s="4" t="s">
        <v>765</v>
      </c>
      <c r="M236" s="4" t="s">
        <v>34</v>
      </c>
      <c r="N236" s="4">
        <v>-495.92</v>
      </c>
      <c r="O236" s="4">
        <v>-137.5</v>
      </c>
      <c r="P236" s="4" t="s">
        <v>742</v>
      </c>
      <c r="S236" s="4">
        <f>482.17-358.42</f>
        <v>123.75</v>
      </c>
    </row>
    <row r="237" spans="1:27" s="4" customFormat="1" x14ac:dyDescent="0.25">
      <c r="A237" s="4" t="s">
        <v>61</v>
      </c>
      <c r="B237" s="4" t="str">
        <f>CONCATENATE(A237,"OVR")</f>
        <v>7XQ8WE4QP32OVR</v>
      </c>
      <c r="C237" s="4" t="s">
        <v>865</v>
      </c>
      <c r="D237" s="4" t="s">
        <v>866</v>
      </c>
      <c r="E237" s="2" t="str">
        <f t="shared" si="3"/>
        <v>ANNETTE BALDWIN</v>
      </c>
      <c r="F237" s="4" t="s">
        <v>27</v>
      </c>
      <c r="G237" s="4" t="s">
        <v>29</v>
      </c>
      <c r="H237" s="5">
        <v>46054</v>
      </c>
      <c r="I237" s="5">
        <v>46054</v>
      </c>
      <c r="J237" s="4">
        <v>20411454</v>
      </c>
      <c r="K237" s="4" t="s">
        <v>32</v>
      </c>
      <c r="L237" s="4" t="s">
        <v>765</v>
      </c>
      <c r="M237" s="4" t="s">
        <v>34</v>
      </c>
      <c r="N237" s="4">
        <v>-482.17</v>
      </c>
      <c r="O237" s="4">
        <v>-123.75</v>
      </c>
      <c r="P237" s="4" t="s">
        <v>742</v>
      </c>
    </row>
    <row r="238" spans="1:27" s="4" customFormat="1" x14ac:dyDescent="0.25">
      <c r="A238" s="4" t="s">
        <v>39</v>
      </c>
      <c r="B238" s="4" t="str">
        <f>CONCATENATE(A238,"OVR")</f>
        <v>8MY6NH0FR61OVR</v>
      </c>
      <c r="C238" s="4" t="s">
        <v>796</v>
      </c>
      <c r="D238" s="4" t="s">
        <v>797</v>
      </c>
      <c r="E238" s="2" t="str">
        <f t="shared" si="3"/>
        <v>JEFFERY ALVIS</v>
      </c>
      <c r="F238" s="4" t="s">
        <v>42</v>
      </c>
      <c r="G238" s="4" t="s">
        <v>29</v>
      </c>
      <c r="H238" s="5">
        <v>46023</v>
      </c>
      <c r="I238" s="5">
        <v>46023</v>
      </c>
      <c r="J238" s="4">
        <v>20411454</v>
      </c>
      <c r="K238" s="4" t="s">
        <v>32</v>
      </c>
      <c r="L238" s="4" t="s">
        <v>765</v>
      </c>
      <c r="M238" s="4" t="s">
        <v>34</v>
      </c>
      <c r="N238" s="4">
        <v>-482</v>
      </c>
      <c r="O238" s="4">
        <v>-135</v>
      </c>
      <c r="P238" s="4" t="s">
        <v>742</v>
      </c>
    </row>
    <row r="239" spans="1:27" s="4" customFormat="1" x14ac:dyDescent="0.25">
      <c r="A239" s="4" t="s">
        <v>46</v>
      </c>
      <c r="B239" s="4" t="str">
        <f>CONCATENATE(A239,"OVR")</f>
        <v>8KG9CR3YP55OVR</v>
      </c>
      <c r="C239" s="4" t="s">
        <v>818</v>
      </c>
      <c r="D239" s="4" t="s">
        <v>819</v>
      </c>
      <c r="E239" s="2" t="str">
        <f t="shared" si="3"/>
        <v>JOHN ARRASMITH</v>
      </c>
      <c r="F239" s="4" t="s">
        <v>42</v>
      </c>
      <c r="G239" s="4" t="s">
        <v>29</v>
      </c>
      <c r="H239" s="5">
        <v>46023</v>
      </c>
      <c r="I239" s="5">
        <v>46023</v>
      </c>
      <c r="J239" s="4">
        <v>20411454</v>
      </c>
      <c r="K239" s="4" t="s">
        <v>32</v>
      </c>
      <c r="L239" s="4" t="s">
        <v>765</v>
      </c>
      <c r="M239" s="4" t="s">
        <v>34</v>
      </c>
      <c r="N239" s="4">
        <v>-482</v>
      </c>
      <c r="O239" s="4">
        <v>-135</v>
      </c>
      <c r="P239" s="4" t="s">
        <v>742</v>
      </c>
    </row>
    <row r="240" spans="1:27" s="2" customFormat="1" x14ac:dyDescent="0.25">
      <c r="A240" s="4" t="s">
        <v>58</v>
      </c>
      <c r="B240" s="4" t="str">
        <f>CONCATENATE(A240,"OVR")</f>
        <v>1M82KU5GH12OVR</v>
      </c>
      <c r="C240" s="4" t="s">
        <v>820</v>
      </c>
      <c r="D240" s="4" t="s">
        <v>821</v>
      </c>
      <c r="E240" s="2" t="str">
        <f t="shared" si="3"/>
        <v>TERRY ATKINS</v>
      </c>
      <c r="F240" s="4" t="s">
        <v>42</v>
      </c>
      <c r="G240" s="4" t="s">
        <v>29</v>
      </c>
      <c r="H240" s="5">
        <v>46023</v>
      </c>
      <c r="I240" s="5">
        <v>46023</v>
      </c>
      <c r="J240" s="4">
        <v>20411454</v>
      </c>
      <c r="K240" s="4" t="s">
        <v>32</v>
      </c>
      <c r="L240" s="4" t="s">
        <v>765</v>
      </c>
      <c r="M240" s="4" t="s">
        <v>34</v>
      </c>
      <c r="N240" s="4">
        <v>-482</v>
      </c>
      <c r="O240" s="4">
        <v>-135</v>
      </c>
      <c r="P240" s="4" t="s">
        <v>742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s="2" customFormat="1" x14ac:dyDescent="0.25">
      <c r="A241" s="4" t="s">
        <v>72</v>
      </c>
      <c r="B241" s="4" t="str">
        <f>CONCATENATE(A241,"OVR")</f>
        <v>7U91M31HF32OVR</v>
      </c>
      <c r="C241" s="4" t="s">
        <v>784</v>
      </c>
      <c r="D241" s="4" t="s">
        <v>785</v>
      </c>
      <c r="E241" s="2" t="str">
        <f t="shared" si="3"/>
        <v>VERLON BECK</v>
      </c>
      <c r="F241" s="4" t="s">
        <v>75</v>
      </c>
      <c r="G241" s="4" t="s">
        <v>29</v>
      </c>
      <c r="H241" s="5">
        <v>46023</v>
      </c>
      <c r="I241" s="5">
        <v>46023</v>
      </c>
      <c r="J241" s="4">
        <v>20411454</v>
      </c>
      <c r="K241" s="4" t="s">
        <v>32</v>
      </c>
      <c r="L241" s="4" t="s">
        <v>765</v>
      </c>
      <c r="M241" s="4" t="s">
        <v>34</v>
      </c>
      <c r="N241" s="4">
        <v>-482</v>
      </c>
      <c r="O241" s="4">
        <v>-135</v>
      </c>
      <c r="P241" s="4" t="s">
        <v>742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s="2" customFormat="1" x14ac:dyDescent="0.25">
      <c r="A242" s="4" t="s">
        <v>200</v>
      </c>
      <c r="B242" s="4" t="str">
        <f>CONCATENATE(A242,"OVR")</f>
        <v>4GU4HF9WT78OVR</v>
      </c>
      <c r="C242" s="4" t="s">
        <v>979</v>
      </c>
      <c r="D242" s="4" t="s">
        <v>980</v>
      </c>
      <c r="E242" s="2" t="str">
        <f t="shared" si="3"/>
        <v>STEPHEN DELLETT</v>
      </c>
      <c r="F242" s="4" t="s">
        <v>42</v>
      </c>
      <c r="G242" s="4" t="s">
        <v>29</v>
      </c>
      <c r="H242" s="5">
        <v>46023</v>
      </c>
      <c r="I242" s="5">
        <v>46023</v>
      </c>
      <c r="J242" s="4">
        <v>20411454</v>
      </c>
      <c r="K242" s="4" t="s">
        <v>32</v>
      </c>
      <c r="L242" s="4" t="s">
        <v>765</v>
      </c>
      <c r="M242" s="4" t="s">
        <v>34</v>
      </c>
      <c r="N242" s="4">
        <v>-482</v>
      </c>
      <c r="O242" s="4">
        <v>-135</v>
      </c>
      <c r="P242" s="4" t="s">
        <v>742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s="2" customFormat="1" x14ac:dyDescent="0.25">
      <c r="A243" s="4" t="s">
        <v>229</v>
      </c>
      <c r="B243" s="4" t="str">
        <f>CONCATENATE(A243,"OVR")</f>
        <v>3NE6UK1TP73OVR</v>
      </c>
      <c r="C243" s="4" t="s">
        <v>981</v>
      </c>
      <c r="D243" s="4" t="s">
        <v>912</v>
      </c>
      <c r="E243" s="2" t="str">
        <f t="shared" si="3"/>
        <v>SALLY DODGE</v>
      </c>
      <c r="F243" s="4" t="s">
        <v>232</v>
      </c>
      <c r="G243" s="4" t="s">
        <v>29</v>
      </c>
      <c r="H243" s="5">
        <v>46023</v>
      </c>
      <c r="I243" s="5">
        <v>46023</v>
      </c>
      <c r="J243" s="4">
        <v>20411454</v>
      </c>
      <c r="K243" s="4" t="s">
        <v>32</v>
      </c>
      <c r="L243" s="4" t="s">
        <v>765</v>
      </c>
      <c r="M243" s="4" t="s">
        <v>34</v>
      </c>
      <c r="N243" s="4">
        <v>-482</v>
      </c>
      <c r="O243" s="4">
        <v>-135</v>
      </c>
      <c r="P243" s="4" t="s">
        <v>742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s="2" customFormat="1" x14ac:dyDescent="0.25">
      <c r="A244" s="4" t="s">
        <v>237</v>
      </c>
      <c r="B244" s="4" t="str">
        <f>CONCATENATE(A244,"OVR")</f>
        <v>7CJ4UY7TE79OVR</v>
      </c>
      <c r="C244" s="4" t="s">
        <v>822</v>
      </c>
      <c r="D244" s="4" t="s">
        <v>799</v>
      </c>
      <c r="E244" s="2" t="str">
        <f t="shared" si="3"/>
        <v>MARGARET DONATH</v>
      </c>
      <c r="F244" s="4" t="s">
        <v>42</v>
      </c>
      <c r="G244" s="4" t="s">
        <v>29</v>
      </c>
      <c r="H244" s="5">
        <v>46023</v>
      </c>
      <c r="I244" s="5">
        <v>46023</v>
      </c>
      <c r="J244" s="4">
        <v>20411454</v>
      </c>
      <c r="K244" s="4" t="s">
        <v>32</v>
      </c>
      <c r="L244" s="4" t="s">
        <v>765</v>
      </c>
      <c r="M244" s="4" t="s">
        <v>34</v>
      </c>
      <c r="N244" s="4">
        <v>-482</v>
      </c>
      <c r="O244" s="4">
        <v>-135</v>
      </c>
      <c r="P244" s="4" t="s">
        <v>742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s="2" customFormat="1" x14ac:dyDescent="0.25">
      <c r="A245" s="4" t="s">
        <v>240</v>
      </c>
      <c r="B245" s="4" t="str">
        <f>CONCATENATE(A245,"OVR")</f>
        <v>2A91QA8CV24OVR</v>
      </c>
      <c r="C245" s="4" t="s">
        <v>822</v>
      </c>
      <c r="D245" s="4" t="s">
        <v>790</v>
      </c>
      <c r="E245" s="2" t="str">
        <f t="shared" si="3"/>
        <v>RICHARD DONATH</v>
      </c>
      <c r="F245" s="4" t="s">
        <v>42</v>
      </c>
      <c r="G245" s="4" t="s">
        <v>29</v>
      </c>
      <c r="H245" s="5">
        <v>46023</v>
      </c>
      <c r="I245" s="5">
        <v>46023</v>
      </c>
      <c r="J245" s="4">
        <v>20411454</v>
      </c>
      <c r="K245" s="4" t="s">
        <v>32</v>
      </c>
      <c r="L245" s="4" t="s">
        <v>765</v>
      </c>
      <c r="M245" s="4" t="s">
        <v>34</v>
      </c>
      <c r="N245" s="4">
        <v>-482</v>
      </c>
      <c r="O245" s="4">
        <v>-135</v>
      </c>
      <c r="P245" s="4" t="s">
        <v>742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s="2" customFormat="1" x14ac:dyDescent="0.25">
      <c r="A246" s="4" t="s">
        <v>423</v>
      </c>
      <c r="B246" s="4" t="str">
        <f>CONCATENATE(A246,"OVR")</f>
        <v>2Y45FK3JU88OVR</v>
      </c>
      <c r="C246" s="4" t="s">
        <v>776</v>
      </c>
      <c r="D246" s="4" t="s">
        <v>777</v>
      </c>
      <c r="E246" s="2" t="str">
        <f t="shared" si="3"/>
        <v>DIANA LAPE</v>
      </c>
      <c r="F246" s="4" t="s">
        <v>98</v>
      </c>
      <c r="G246" s="4" t="s">
        <v>29</v>
      </c>
      <c r="H246" s="5">
        <v>46023</v>
      </c>
      <c r="I246" s="5">
        <v>46023</v>
      </c>
      <c r="J246" s="4">
        <v>20411454</v>
      </c>
      <c r="K246" s="4" t="s">
        <v>32</v>
      </c>
      <c r="L246" s="4" t="s">
        <v>765</v>
      </c>
      <c r="M246" s="4" t="s">
        <v>34</v>
      </c>
      <c r="N246" s="4">
        <v>-482</v>
      </c>
      <c r="O246" s="4">
        <v>-135</v>
      </c>
      <c r="P246" s="4" t="s">
        <v>742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s="2" customFormat="1" x14ac:dyDescent="0.25">
      <c r="A247" s="4" t="s">
        <v>437</v>
      </c>
      <c r="B247" s="4" t="str">
        <f>CONCATENATE(A247,"OVR")</f>
        <v>3R76Y49MD50OVR</v>
      </c>
      <c r="C247" s="4" t="s">
        <v>982</v>
      </c>
      <c r="D247" s="4" t="s">
        <v>983</v>
      </c>
      <c r="E247" s="2" t="str">
        <f t="shared" si="3"/>
        <v>CELIA LOPEZ</v>
      </c>
      <c r="F247" s="4" t="s">
        <v>42</v>
      </c>
      <c r="G247" s="4" t="s">
        <v>29</v>
      </c>
      <c r="H247" s="5">
        <v>46023</v>
      </c>
      <c r="I247" s="5">
        <v>46023</v>
      </c>
      <c r="J247" s="4">
        <v>20411454</v>
      </c>
      <c r="K247" s="4" t="s">
        <v>32</v>
      </c>
      <c r="L247" s="4" t="s">
        <v>765</v>
      </c>
      <c r="M247" s="4" t="s">
        <v>34</v>
      </c>
      <c r="N247" s="4">
        <v>-482</v>
      </c>
      <c r="O247" s="4">
        <v>-135</v>
      </c>
      <c r="P247" s="4" t="s">
        <v>742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s="2" customFormat="1" x14ac:dyDescent="0.25">
      <c r="A248" s="4" t="s">
        <v>460</v>
      </c>
      <c r="B248" s="4" t="str">
        <f>CONCATENATE(A248,"OVR")</f>
        <v>2E62VN2GK83OVR</v>
      </c>
      <c r="C248" s="4" t="s">
        <v>768</v>
      </c>
      <c r="D248" s="4" t="s">
        <v>770</v>
      </c>
      <c r="E248" s="2" t="str">
        <f t="shared" si="3"/>
        <v>KAREN MALUCHNIK</v>
      </c>
      <c r="F248" s="4" t="s">
        <v>42</v>
      </c>
      <c r="G248" s="4" t="s">
        <v>29</v>
      </c>
      <c r="H248" s="5">
        <v>46023</v>
      </c>
      <c r="I248" s="5">
        <v>46023</v>
      </c>
      <c r="J248" s="4">
        <v>20411454</v>
      </c>
      <c r="K248" s="4" t="s">
        <v>32</v>
      </c>
      <c r="L248" s="4" t="s">
        <v>765</v>
      </c>
      <c r="M248" s="4" t="s">
        <v>34</v>
      </c>
      <c r="N248" s="4">
        <v>-482</v>
      </c>
      <c r="O248" s="4">
        <v>-135</v>
      </c>
      <c r="P248" s="4" t="s">
        <v>742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s="2" customFormat="1" x14ac:dyDescent="0.25">
      <c r="A249" s="4" t="s">
        <v>464</v>
      </c>
      <c r="B249" s="4" t="str">
        <f>CONCATENATE(A249,"OVR")</f>
        <v>7U62FR8HF10OVR</v>
      </c>
      <c r="C249" s="4" t="s">
        <v>768</v>
      </c>
      <c r="D249" s="4" t="s">
        <v>771</v>
      </c>
      <c r="E249" s="2" t="str">
        <f t="shared" si="3"/>
        <v>RANDY MALUCHNIK</v>
      </c>
      <c r="F249" s="4" t="s">
        <v>42</v>
      </c>
      <c r="G249" s="4" t="s">
        <v>29</v>
      </c>
      <c r="H249" s="5">
        <v>46023</v>
      </c>
      <c r="I249" s="5">
        <v>46023</v>
      </c>
      <c r="J249" s="4">
        <v>20411454</v>
      </c>
      <c r="K249" s="4" t="s">
        <v>32</v>
      </c>
      <c r="L249" s="4" t="s">
        <v>765</v>
      </c>
      <c r="M249" s="4" t="s">
        <v>34</v>
      </c>
      <c r="N249" s="4">
        <v>-482</v>
      </c>
      <c r="O249" s="4">
        <v>-135</v>
      </c>
      <c r="P249" s="4" t="s">
        <v>742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s="4" customFormat="1" x14ac:dyDescent="0.25">
      <c r="A250" s="4" t="s">
        <v>474</v>
      </c>
      <c r="B250" s="4" t="str">
        <f>CONCATENATE(A250,"OVR")</f>
        <v>6FH3A44EW82OVR</v>
      </c>
      <c r="C250" s="4" t="s">
        <v>984</v>
      </c>
      <c r="D250" s="4" t="s">
        <v>985</v>
      </c>
      <c r="E250" s="2" t="str">
        <f t="shared" si="3"/>
        <v>HELGA MARI</v>
      </c>
      <c r="F250" s="4" t="s">
        <v>391</v>
      </c>
      <c r="G250" s="4" t="s">
        <v>86</v>
      </c>
      <c r="H250" s="5">
        <v>46023</v>
      </c>
      <c r="I250" s="5">
        <v>46023</v>
      </c>
      <c r="J250" s="4">
        <v>20411454</v>
      </c>
      <c r="K250" s="4" t="s">
        <v>32</v>
      </c>
      <c r="L250" s="4" t="s">
        <v>765</v>
      </c>
      <c r="M250" s="4" t="s">
        <v>34</v>
      </c>
      <c r="N250" s="4">
        <v>-482</v>
      </c>
      <c r="O250" s="4">
        <v>-135</v>
      </c>
      <c r="P250" s="4" t="s">
        <v>742</v>
      </c>
    </row>
    <row r="251" spans="1:27" s="4" customFormat="1" x14ac:dyDescent="0.25">
      <c r="A251" s="4" t="s">
        <v>478</v>
      </c>
      <c r="B251" s="4" t="str">
        <f>CONCATENATE(A251,"OVR")</f>
        <v>7CJ5VK9XD50OVR</v>
      </c>
      <c r="C251" s="4" t="s">
        <v>848</v>
      </c>
      <c r="D251" s="4" t="s">
        <v>849</v>
      </c>
      <c r="E251" s="2" t="str">
        <f t="shared" si="3"/>
        <v>LYNETTE MASON</v>
      </c>
      <c r="F251" s="4" t="s">
        <v>337</v>
      </c>
      <c r="G251" s="4" t="s">
        <v>29</v>
      </c>
      <c r="H251" s="5">
        <v>46023</v>
      </c>
      <c r="I251" s="5">
        <v>46023</v>
      </c>
      <c r="J251" s="4">
        <v>20411454</v>
      </c>
      <c r="K251" s="4" t="s">
        <v>32</v>
      </c>
      <c r="L251" s="4" t="s">
        <v>765</v>
      </c>
      <c r="M251" s="4" t="s">
        <v>34</v>
      </c>
      <c r="N251" s="4">
        <v>-482</v>
      </c>
      <c r="O251" s="4">
        <v>-135</v>
      </c>
      <c r="P251" s="4" t="s">
        <v>742</v>
      </c>
    </row>
    <row r="252" spans="1:27" s="4" customFormat="1" x14ac:dyDescent="0.25">
      <c r="A252" s="4" t="s">
        <v>482</v>
      </c>
      <c r="B252" s="4" t="str">
        <f>CONCATENATE(A252,"OVR")</f>
        <v>6J10A22YR33OVR</v>
      </c>
      <c r="C252" s="4" t="s">
        <v>848</v>
      </c>
      <c r="D252" s="4" t="s">
        <v>850</v>
      </c>
      <c r="E252" s="2" t="str">
        <f t="shared" si="3"/>
        <v>MORRIS MASON</v>
      </c>
      <c r="F252" s="4" t="s">
        <v>337</v>
      </c>
      <c r="G252" s="4" t="s">
        <v>29</v>
      </c>
      <c r="H252" s="5">
        <v>46023</v>
      </c>
      <c r="I252" s="5">
        <v>46023</v>
      </c>
      <c r="J252" s="4">
        <v>20411454</v>
      </c>
      <c r="K252" s="4" t="s">
        <v>32</v>
      </c>
      <c r="L252" s="4" t="s">
        <v>765</v>
      </c>
      <c r="M252" s="4" t="s">
        <v>34</v>
      </c>
      <c r="N252" s="4">
        <v>-482</v>
      </c>
      <c r="O252" s="4">
        <v>-135</v>
      </c>
      <c r="P252" s="4" t="s">
        <v>742</v>
      </c>
    </row>
    <row r="253" spans="1:27" s="4" customFormat="1" x14ac:dyDescent="0.25">
      <c r="A253" s="4" t="s">
        <v>538</v>
      </c>
      <c r="B253" s="4" t="str">
        <f>CONCATENATE(A253,"OVR")</f>
        <v>2JW2YH2KW02OVR</v>
      </c>
      <c r="C253" s="4" t="s">
        <v>798</v>
      </c>
      <c r="D253" s="4" t="s">
        <v>799</v>
      </c>
      <c r="E253" s="2" t="str">
        <f t="shared" si="3"/>
        <v>MARGARET NORBY</v>
      </c>
      <c r="F253" s="4" t="s">
        <v>42</v>
      </c>
      <c r="G253" s="4" t="s">
        <v>29</v>
      </c>
      <c r="H253" s="5">
        <v>46023</v>
      </c>
      <c r="I253" s="5">
        <v>46023</v>
      </c>
      <c r="J253" s="4">
        <v>20411454</v>
      </c>
      <c r="K253" s="4" t="s">
        <v>32</v>
      </c>
      <c r="L253" s="4" t="s">
        <v>765</v>
      </c>
      <c r="M253" s="4" t="s">
        <v>34</v>
      </c>
      <c r="N253" s="4">
        <v>-482</v>
      </c>
      <c r="O253" s="4">
        <v>-135</v>
      </c>
      <c r="P253" s="4" t="s">
        <v>742</v>
      </c>
    </row>
    <row r="254" spans="1:27" s="4" customFormat="1" x14ac:dyDescent="0.25">
      <c r="A254" s="4" t="s">
        <v>563</v>
      </c>
      <c r="B254" s="4" t="str">
        <f>CONCATENATE(A254,"OVR")</f>
        <v>7E98DA6TF42OVR</v>
      </c>
      <c r="C254" s="4" t="s">
        <v>800</v>
      </c>
      <c r="D254" s="4" t="s">
        <v>801</v>
      </c>
      <c r="E254" s="2" t="str">
        <f t="shared" si="3"/>
        <v>BRUCE PATTERSON</v>
      </c>
      <c r="F254" s="4" t="s">
        <v>42</v>
      </c>
      <c r="G254" s="4" t="s">
        <v>29</v>
      </c>
      <c r="H254" s="5">
        <v>46023</v>
      </c>
      <c r="I254" s="5">
        <v>46023</v>
      </c>
      <c r="J254" s="4">
        <v>20411454</v>
      </c>
      <c r="K254" s="4" t="s">
        <v>32</v>
      </c>
      <c r="L254" s="4" t="s">
        <v>765</v>
      </c>
      <c r="M254" s="4" t="s">
        <v>34</v>
      </c>
      <c r="N254" s="4">
        <v>-482</v>
      </c>
      <c r="O254" s="4">
        <v>-135</v>
      </c>
      <c r="P254" s="4" t="s">
        <v>742</v>
      </c>
    </row>
    <row r="255" spans="1:27" s="4" customFormat="1" x14ac:dyDescent="0.25">
      <c r="A255" s="4" t="s">
        <v>606</v>
      </c>
      <c r="B255" s="4" t="str">
        <f>CONCATENATE(A255,"OVR")</f>
        <v>9QK8H47TM36OVR</v>
      </c>
      <c r="C255" s="4" t="s">
        <v>986</v>
      </c>
      <c r="D255" s="4" t="s">
        <v>987</v>
      </c>
      <c r="E255" s="2" t="str">
        <f t="shared" si="3"/>
        <v>EDITH RUSK</v>
      </c>
      <c r="F255" s="4" t="s">
        <v>42</v>
      </c>
      <c r="G255" s="4" t="s">
        <v>29</v>
      </c>
      <c r="H255" s="5">
        <v>46023</v>
      </c>
      <c r="I255" s="5">
        <v>46023</v>
      </c>
      <c r="J255" s="4">
        <v>20411454</v>
      </c>
      <c r="K255" s="4" t="s">
        <v>32</v>
      </c>
      <c r="L255" s="4" t="s">
        <v>765</v>
      </c>
      <c r="M255" s="4" t="s">
        <v>34</v>
      </c>
      <c r="N255" s="4">
        <v>-482</v>
      </c>
      <c r="O255" s="4">
        <v>-135</v>
      </c>
      <c r="P255" s="4" t="s">
        <v>742</v>
      </c>
    </row>
    <row r="256" spans="1:27" s="4" customFormat="1" x14ac:dyDescent="0.25">
      <c r="A256" s="4" t="s">
        <v>610</v>
      </c>
      <c r="B256" s="4" t="str">
        <f>CONCATENATE(A256,"OVR")</f>
        <v>7NM4CE7TU02OVR</v>
      </c>
      <c r="C256" s="4" t="s">
        <v>988</v>
      </c>
      <c r="D256" s="4" t="s">
        <v>803</v>
      </c>
      <c r="E256" s="2" t="str">
        <f t="shared" si="3"/>
        <v>SHARON SACKETT</v>
      </c>
      <c r="F256" s="4" t="s">
        <v>98</v>
      </c>
      <c r="G256" s="4" t="s">
        <v>29</v>
      </c>
      <c r="H256" s="5">
        <v>46023</v>
      </c>
      <c r="I256" s="5">
        <v>46023</v>
      </c>
      <c r="J256" s="4">
        <v>20411454</v>
      </c>
      <c r="K256" s="4" t="s">
        <v>32</v>
      </c>
      <c r="L256" s="4" t="s">
        <v>765</v>
      </c>
      <c r="M256" s="4" t="s">
        <v>34</v>
      </c>
      <c r="N256" s="4">
        <v>-482</v>
      </c>
      <c r="O256" s="4">
        <v>-135</v>
      </c>
      <c r="P256" s="4" t="s">
        <v>742</v>
      </c>
    </row>
    <row r="257" spans="1:20" s="4" customFormat="1" x14ac:dyDescent="0.25">
      <c r="A257" s="4" t="s">
        <v>636</v>
      </c>
      <c r="B257" s="4" t="str">
        <f>CONCATENATE(A257,"OVR")</f>
        <v>7U28GX9HJ10OVR</v>
      </c>
      <c r="C257" s="4" t="s">
        <v>823</v>
      </c>
      <c r="D257" s="4" t="s">
        <v>824</v>
      </c>
      <c r="E257" s="2" t="str">
        <f t="shared" si="3"/>
        <v>NICHOLE SLEEPER</v>
      </c>
      <c r="F257" s="4" t="s">
        <v>42</v>
      </c>
      <c r="G257" s="4" t="s">
        <v>29</v>
      </c>
      <c r="H257" s="5">
        <v>46023</v>
      </c>
      <c r="I257" s="5">
        <v>46023</v>
      </c>
      <c r="J257" s="4">
        <v>20411454</v>
      </c>
      <c r="K257" s="4" t="s">
        <v>32</v>
      </c>
      <c r="L257" s="4" t="s">
        <v>765</v>
      </c>
      <c r="M257" s="4" t="s">
        <v>34</v>
      </c>
      <c r="N257" s="4">
        <v>-482</v>
      </c>
      <c r="O257" s="4">
        <v>-135</v>
      </c>
      <c r="P257" s="4" t="s">
        <v>742</v>
      </c>
    </row>
    <row r="258" spans="1:20" s="4" customFormat="1" x14ac:dyDescent="0.25">
      <c r="A258" s="4" t="s">
        <v>645</v>
      </c>
      <c r="B258" s="4" t="str">
        <f>CONCATENATE(A258,"OVR")</f>
        <v>4DJ7CT4HJ53OVR</v>
      </c>
      <c r="C258" s="4" t="s">
        <v>802</v>
      </c>
      <c r="D258" s="4" t="s">
        <v>803</v>
      </c>
      <c r="E258" s="2" t="str">
        <f t="shared" si="3"/>
        <v>SHARON SYLVESTER</v>
      </c>
      <c r="F258" s="4" t="s">
        <v>42</v>
      </c>
      <c r="G258" s="4" t="s">
        <v>29</v>
      </c>
      <c r="H258" s="5">
        <v>46023</v>
      </c>
      <c r="I258" s="5">
        <v>46023</v>
      </c>
      <c r="J258" s="4">
        <v>20411454</v>
      </c>
      <c r="K258" s="4" t="s">
        <v>32</v>
      </c>
      <c r="L258" s="4" t="s">
        <v>765</v>
      </c>
      <c r="M258" s="4" t="s">
        <v>34</v>
      </c>
      <c r="N258" s="4">
        <v>-482</v>
      </c>
      <c r="O258" s="4">
        <v>-135</v>
      </c>
      <c r="P258" s="4" t="s">
        <v>742</v>
      </c>
    </row>
    <row r="259" spans="1:20" s="4" customFormat="1" x14ac:dyDescent="0.25">
      <c r="A259" s="4" t="s">
        <v>669</v>
      </c>
      <c r="B259" s="4" t="str">
        <f>CONCATENATE(A259,"OVR")</f>
        <v>7KA7YD1WT53OVR</v>
      </c>
      <c r="C259" s="4" t="s">
        <v>830</v>
      </c>
      <c r="D259" s="4" t="s">
        <v>831</v>
      </c>
      <c r="E259" s="2" t="str">
        <f t="shared" ref="E259:E322" si="4">CONCATENATE(D259," ",C259)</f>
        <v>JUDITH TRIMBLE</v>
      </c>
      <c r="F259" s="4" t="s">
        <v>42</v>
      </c>
      <c r="G259" s="4" t="s">
        <v>29</v>
      </c>
      <c r="H259" s="5">
        <v>46023</v>
      </c>
      <c r="I259" s="5">
        <v>46023</v>
      </c>
      <c r="J259" s="4">
        <v>20411454</v>
      </c>
      <c r="K259" s="4" t="s">
        <v>32</v>
      </c>
      <c r="L259" s="4" t="s">
        <v>765</v>
      </c>
      <c r="M259" s="4" t="s">
        <v>34</v>
      </c>
      <c r="N259" s="4">
        <v>-482</v>
      </c>
      <c r="O259" s="4">
        <v>-135</v>
      </c>
      <c r="P259" s="4" t="s">
        <v>742</v>
      </c>
    </row>
    <row r="260" spans="1:20" s="4" customFormat="1" x14ac:dyDescent="0.25">
      <c r="A260" s="4" t="s">
        <v>701</v>
      </c>
      <c r="B260" s="4" t="str">
        <f>CONCATENATE(A260,"OVR")</f>
        <v>1TE8UE0EV57OVR</v>
      </c>
      <c r="C260" s="4" t="s">
        <v>989</v>
      </c>
      <c r="D260" s="4" t="s">
        <v>990</v>
      </c>
      <c r="E260" s="2" t="str">
        <f t="shared" si="4"/>
        <v>LINDA WHITLEY</v>
      </c>
      <c r="F260" s="4" t="s">
        <v>42</v>
      </c>
      <c r="G260" s="4" t="s">
        <v>29</v>
      </c>
      <c r="H260" s="5">
        <v>46023</v>
      </c>
      <c r="I260" s="5">
        <v>46023</v>
      </c>
      <c r="J260" s="4">
        <v>20411454</v>
      </c>
      <c r="K260" s="4" t="s">
        <v>32</v>
      </c>
      <c r="L260" s="4" t="s">
        <v>765</v>
      </c>
      <c r="M260" s="4" t="s">
        <v>34</v>
      </c>
      <c r="N260" s="4">
        <v>-482</v>
      </c>
      <c r="O260" s="4">
        <v>-135</v>
      </c>
      <c r="P260" s="4" t="s">
        <v>742</v>
      </c>
    </row>
    <row r="261" spans="1:20" s="4" customFormat="1" x14ac:dyDescent="0.25">
      <c r="A261" s="4" t="s">
        <v>723</v>
      </c>
      <c r="B261" s="4" t="str">
        <f>CONCATENATE(A261,"OVR")</f>
        <v>9HJ9NN2HR38OVR</v>
      </c>
      <c r="C261" s="4" t="s">
        <v>851</v>
      </c>
      <c r="D261" s="4" t="s">
        <v>852</v>
      </c>
      <c r="E261" s="2" t="str">
        <f t="shared" si="4"/>
        <v>LARRY WINN</v>
      </c>
      <c r="F261" s="4" t="s">
        <v>337</v>
      </c>
      <c r="G261" s="4" t="s">
        <v>29</v>
      </c>
      <c r="H261" s="5">
        <v>46023</v>
      </c>
      <c r="I261" s="5">
        <v>46023</v>
      </c>
      <c r="J261" s="4">
        <v>20411454</v>
      </c>
      <c r="K261" s="4" t="s">
        <v>32</v>
      </c>
      <c r="L261" s="4" t="s">
        <v>765</v>
      </c>
      <c r="M261" s="4" t="s">
        <v>34</v>
      </c>
      <c r="N261" s="4">
        <v>-482</v>
      </c>
      <c r="O261" s="4">
        <v>-135</v>
      </c>
      <c r="P261" s="4" t="s">
        <v>742</v>
      </c>
    </row>
    <row r="262" spans="1:20" s="4" customFormat="1" x14ac:dyDescent="0.25">
      <c r="A262" s="4" t="s">
        <v>727</v>
      </c>
      <c r="B262" s="4" t="str">
        <f>CONCATENATE(A262,"OVR")</f>
        <v>8V34QX8KE65OVR</v>
      </c>
      <c r="C262" s="4" t="s">
        <v>804</v>
      </c>
      <c r="D262" s="4" t="s">
        <v>805</v>
      </c>
      <c r="E262" s="2" t="str">
        <f t="shared" si="4"/>
        <v>DIANNE WUNDERLE</v>
      </c>
      <c r="F262" s="4" t="s">
        <v>42</v>
      </c>
      <c r="G262" s="4" t="s">
        <v>29</v>
      </c>
      <c r="H262" s="5">
        <v>46023</v>
      </c>
      <c r="I262" s="5">
        <v>46023</v>
      </c>
      <c r="J262" s="4">
        <v>20411454</v>
      </c>
      <c r="K262" s="4" t="s">
        <v>32</v>
      </c>
      <c r="L262" s="4" t="s">
        <v>765</v>
      </c>
      <c r="M262" s="4" t="s">
        <v>34</v>
      </c>
      <c r="N262" s="4">
        <v>-482</v>
      </c>
      <c r="O262" s="4">
        <v>-135</v>
      </c>
      <c r="P262" s="4" t="s">
        <v>742</v>
      </c>
    </row>
    <row r="263" spans="1:20" s="4" customFormat="1" x14ac:dyDescent="0.25">
      <c r="A263" s="4" t="s">
        <v>116</v>
      </c>
      <c r="B263" s="4" t="str">
        <f>CONCATENATE(A263,"OVR")</f>
        <v>4M88AH9RQ39OVR</v>
      </c>
      <c r="C263" s="4" t="s">
        <v>991</v>
      </c>
      <c r="D263" s="4" t="s">
        <v>992</v>
      </c>
      <c r="E263" s="2" t="str">
        <f t="shared" si="4"/>
        <v>ANNMARIE BRINK</v>
      </c>
      <c r="F263" s="4" t="s">
        <v>119</v>
      </c>
      <c r="G263" s="4" t="s">
        <v>29</v>
      </c>
      <c r="H263" s="5">
        <v>46054</v>
      </c>
      <c r="I263" s="5">
        <v>46054</v>
      </c>
      <c r="J263" s="4">
        <v>20411454</v>
      </c>
      <c r="K263" s="4" t="s">
        <v>32</v>
      </c>
      <c r="L263" s="4" t="s">
        <v>765</v>
      </c>
      <c r="M263" s="4" t="s">
        <v>34</v>
      </c>
      <c r="N263" s="4">
        <v>-455.58</v>
      </c>
      <c r="O263" s="4">
        <v>-137.5</v>
      </c>
      <c r="P263" s="4" t="s">
        <v>742</v>
      </c>
    </row>
    <row r="264" spans="1:20" s="4" customFormat="1" x14ac:dyDescent="0.25">
      <c r="A264" s="4" t="s">
        <v>154</v>
      </c>
      <c r="B264" s="4" t="str">
        <f>CONCATENATE(A264,"OVR")</f>
        <v>4DG4X27VT50OVR</v>
      </c>
      <c r="C264" s="4" t="s">
        <v>857</v>
      </c>
      <c r="D264" s="4" t="s">
        <v>858</v>
      </c>
      <c r="E264" s="2" t="str">
        <f t="shared" si="4"/>
        <v>ROSARIO CASTRO</v>
      </c>
      <c r="F264" s="4" t="s">
        <v>42</v>
      </c>
      <c r="G264" s="4" t="s">
        <v>29</v>
      </c>
      <c r="H264" s="5">
        <v>46054</v>
      </c>
      <c r="I264" s="5">
        <v>46054</v>
      </c>
      <c r="J264" s="4">
        <v>20411454</v>
      </c>
      <c r="K264" s="4" t="s">
        <v>32</v>
      </c>
      <c r="L264" s="4" t="s">
        <v>765</v>
      </c>
      <c r="M264" s="4" t="s">
        <v>34</v>
      </c>
      <c r="N264" s="4">
        <v>-455.58</v>
      </c>
      <c r="O264" s="4">
        <v>-137.5</v>
      </c>
      <c r="P264" s="4" t="s">
        <v>742</v>
      </c>
    </row>
    <row r="265" spans="1:20" s="4" customFormat="1" x14ac:dyDescent="0.25">
      <c r="A265" s="4" t="s">
        <v>179</v>
      </c>
      <c r="B265" s="4" t="str">
        <f>CONCATENATE(A265,"OVR")</f>
        <v>3W28U89YV37OVR</v>
      </c>
      <c r="C265" s="4" t="s">
        <v>993</v>
      </c>
      <c r="D265" s="4" t="s">
        <v>904</v>
      </c>
      <c r="E265" s="2" t="str">
        <f t="shared" si="4"/>
        <v>ANGELA COLLINS</v>
      </c>
      <c r="F265" s="4" t="s">
        <v>182</v>
      </c>
      <c r="G265" s="4" t="s">
        <v>29</v>
      </c>
      <c r="H265" s="5">
        <v>46054</v>
      </c>
      <c r="I265" s="5">
        <v>46054</v>
      </c>
      <c r="J265" s="4">
        <v>20411454</v>
      </c>
      <c r="K265" s="4" t="s">
        <v>32</v>
      </c>
      <c r="L265" s="4" t="s">
        <v>765</v>
      </c>
      <c r="M265" s="4" t="s">
        <v>34</v>
      </c>
      <c r="N265" s="4">
        <v>-455.58</v>
      </c>
      <c r="O265" s="4">
        <v>-137.5</v>
      </c>
      <c r="P265" s="4" t="s">
        <v>742</v>
      </c>
    </row>
    <row r="266" spans="1:20" s="4" customFormat="1" x14ac:dyDescent="0.25">
      <c r="A266" s="4" t="s">
        <v>267</v>
      </c>
      <c r="B266" s="4" t="str">
        <f>CONCATENATE(A266,"OVR")</f>
        <v>4DP9RX5RM19OVR</v>
      </c>
      <c r="C266" s="4" t="s">
        <v>994</v>
      </c>
      <c r="D266" s="4" t="s">
        <v>935</v>
      </c>
      <c r="E266" s="2" t="str">
        <f t="shared" si="4"/>
        <v>MARY FRY</v>
      </c>
      <c r="F266" s="4" t="s">
        <v>270</v>
      </c>
      <c r="G266" s="4" t="s">
        <v>29</v>
      </c>
      <c r="H266" s="5">
        <v>46054</v>
      </c>
      <c r="I266" s="5">
        <v>46054</v>
      </c>
      <c r="J266" s="4">
        <v>20411454</v>
      </c>
      <c r="K266" s="4" t="s">
        <v>32</v>
      </c>
      <c r="L266" s="4" t="s">
        <v>765</v>
      </c>
      <c r="M266" s="4" t="s">
        <v>34</v>
      </c>
      <c r="N266" s="4">
        <v>-455.58</v>
      </c>
      <c r="O266" s="4">
        <v>-137.5</v>
      </c>
      <c r="P266" s="4" t="s">
        <v>742</v>
      </c>
    </row>
    <row r="267" spans="1:20" s="4" customFormat="1" x14ac:dyDescent="0.25">
      <c r="A267" s="4" t="s">
        <v>287</v>
      </c>
      <c r="B267" s="4" t="str">
        <f>CONCATENATE(A267,"OVR")</f>
        <v>3WU3Y90QW81OVR</v>
      </c>
      <c r="C267" s="4" t="s">
        <v>853</v>
      </c>
      <c r="D267" s="4" t="s">
        <v>854</v>
      </c>
      <c r="E267" s="2" t="str">
        <f t="shared" si="4"/>
        <v>MARIA GOMEZ</v>
      </c>
      <c r="F267" s="4" t="s">
        <v>42</v>
      </c>
      <c r="G267" s="4" t="s">
        <v>29</v>
      </c>
      <c r="H267" s="5">
        <v>46054</v>
      </c>
      <c r="I267" s="5">
        <v>46054</v>
      </c>
      <c r="J267" s="4">
        <v>20411454</v>
      </c>
      <c r="K267" s="4" t="s">
        <v>32</v>
      </c>
      <c r="L267" s="4" t="s">
        <v>765</v>
      </c>
      <c r="M267" s="4" t="s">
        <v>34</v>
      </c>
      <c r="N267" s="4">
        <v>-455.58</v>
      </c>
      <c r="O267" s="4">
        <v>-137.5</v>
      </c>
      <c r="P267" s="4" t="s">
        <v>742</v>
      </c>
    </row>
    <row r="268" spans="1:20" s="4" customFormat="1" x14ac:dyDescent="0.25">
      <c r="A268" s="4" t="s">
        <v>303</v>
      </c>
      <c r="B268" s="4" t="str">
        <f>CONCATENATE(A268,"OVR")</f>
        <v>5VG9M06GM43OVR</v>
      </c>
      <c r="C268" s="4" t="s">
        <v>995</v>
      </c>
      <c r="D268" s="4" t="s">
        <v>996</v>
      </c>
      <c r="E268" s="2" t="str">
        <f t="shared" si="4"/>
        <v>RAMONA HARRISON</v>
      </c>
      <c r="F268" s="4" t="s">
        <v>42</v>
      </c>
      <c r="G268" s="4" t="s">
        <v>29</v>
      </c>
      <c r="H268" s="5">
        <v>46054</v>
      </c>
      <c r="I268" s="5">
        <v>46054</v>
      </c>
      <c r="J268" s="4">
        <v>20411454</v>
      </c>
      <c r="K268" s="4" t="s">
        <v>32</v>
      </c>
      <c r="L268" s="4" t="s">
        <v>765</v>
      </c>
      <c r="M268" s="4" t="s">
        <v>34</v>
      </c>
      <c r="N268" s="4">
        <v>-455.58</v>
      </c>
      <c r="O268" s="4">
        <v>-137.5</v>
      </c>
      <c r="P268" s="4" t="s">
        <v>742</v>
      </c>
    </row>
    <row r="269" spans="1:20" s="4" customFormat="1" x14ac:dyDescent="0.25">
      <c r="A269" s="4" t="s">
        <v>379</v>
      </c>
      <c r="B269" s="4" t="str">
        <f>CONCATENATE(A269,"OVR")</f>
        <v>9G87Q80MQ49OVR</v>
      </c>
      <c r="C269" s="4" t="s">
        <v>997</v>
      </c>
      <c r="D269" s="4" t="s">
        <v>998</v>
      </c>
      <c r="E269" s="2" t="str">
        <f t="shared" si="4"/>
        <v>SANDRA JOHNSTON</v>
      </c>
      <c r="F269" s="4" t="s">
        <v>42</v>
      </c>
      <c r="G269" s="4" t="s">
        <v>29</v>
      </c>
      <c r="H269" s="5">
        <v>46054</v>
      </c>
      <c r="I269" s="5">
        <v>46054</v>
      </c>
      <c r="J269" s="4">
        <v>20411454</v>
      </c>
      <c r="K269" s="4" t="s">
        <v>32</v>
      </c>
      <c r="L269" s="4" t="s">
        <v>765</v>
      </c>
      <c r="M269" s="4" t="s">
        <v>34</v>
      </c>
      <c r="N269" s="4">
        <v>-455.58</v>
      </c>
      <c r="O269" s="4">
        <v>-137.5</v>
      </c>
      <c r="P269" s="4" t="s">
        <v>742</v>
      </c>
    </row>
    <row r="270" spans="1:20" s="4" customFormat="1" x14ac:dyDescent="0.25">
      <c r="A270" s="4" t="s">
        <v>382</v>
      </c>
      <c r="B270" s="4" t="str">
        <f>CONCATENATE(A270,"OVR")</f>
        <v>2RM9EQ2PG33OVR</v>
      </c>
      <c r="C270" s="4" t="s">
        <v>826</v>
      </c>
      <c r="D270" s="4" t="s">
        <v>827</v>
      </c>
      <c r="E270" s="2" t="str">
        <f t="shared" si="4"/>
        <v>BRYCE JONES</v>
      </c>
      <c r="F270" s="4" t="s">
        <v>42</v>
      </c>
      <c r="G270" s="4" t="s">
        <v>29</v>
      </c>
      <c r="H270" s="5">
        <v>46054</v>
      </c>
      <c r="I270" s="5">
        <v>46054</v>
      </c>
      <c r="J270" s="4">
        <v>20411454</v>
      </c>
      <c r="K270" s="4" t="s">
        <v>32</v>
      </c>
      <c r="L270" s="4" t="s">
        <v>765</v>
      </c>
      <c r="M270" s="4" t="s">
        <v>34</v>
      </c>
      <c r="N270" s="4">
        <v>-455.58</v>
      </c>
      <c r="O270" s="4">
        <v>-137.5</v>
      </c>
      <c r="P270" s="4" t="s">
        <v>742</v>
      </c>
    </row>
    <row r="271" spans="1:20" s="4" customFormat="1" x14ac:dyDescent="0.25">
      <c r="A271" s="4" t="s">
        <v>495</v>
      </c>
      <c r="B271" s="4" t="str">
        <f>CONCATENATE(A271,"OVR")</f>
        <v>1XP0N77FG05OVR</v>
      </c>
      <c r="C271" s="4" t="s">
        <v>780</v>
      </c>
      <c r="D271" s="4" t="s">
        <v>781</v>
      </c>
      <c r="E271" s="2" t="str">
        <f t="shared" si="4"/>
        <v>STEVE MERCER</v>
      </c>
      <c r="F271" s="4" t="s">
        <v>98</v>
      </c>
      <c r="G271" s="4" t="s">
        <v>29</v>
      </c>
      <c r="H271" s="5">
        <v>46054</v>
      </c>
      <c r="I271" s="5">
        <v>46054</v>
      </c>
      <c r="J271" s="4">
        <v>20411454</v>
      </c>
      <c r="K271" s="4" t="s">
        <v>32</v>
      </c>
      <c r="L271" s="4" t="s">
        <v>765</v>
      </c>
      <c r="M271" s="4" t="s">
        <v>34</v>
      </c>
      <c r="N271" s="4">
        <v>-455.58</v>
      </c>
      <c r="O271" s="4">
        <v>-137.5</v>
      </c>
      <c r="P271" s="4" t="s">
        <v>742</v>
      </c>
    </row>
    <row r="272" spans="1:20" s="4" customFormat="1" x14ac:dyDescent="0.25">
      <c r="A272" s="4" t="s">
        <v>516</v>
      </c>
      <c r="B272" s="4" t="str">
        <f>CONCATENATE(A272,"OVR")</f>
        <v>4EC7JW7UE53OVR</v>
      </c>
      <c r="C272" s="4" t="s">
        <v>884</v>
      </c>
      <c r="D272" s="4" t="s">
        <v>999</v>
      </c>
      <c r="E272" s="2" t="str">
        <f t="shared" si="4"/>
        <v>JANET MILLER</v>
      </c>
      <c r="F272" s="4" t="s">
        <v>519</v>
      </c>
      <c r="G272" s="4" t="s">
        <v>29</v>
      </c>
      <c r="H272" s="5">
        <v>46054</v>
      </c>
      <c r="I272" s="5">
        <v>46054</v>
      </c>
      <c r="J272" s="4">
        <v>20411454</v>
      </c>
      <c r="K272" s="4" t="s">
        <v>32</v>
      </c>
      <c r="L272" s="4" t="s">
        <v>765</v>
      </c>
      <c r="M272" s="4" t="s">
        <v>34</v>
      </c>
      <c r="N272" s="4">
        <v>-441.83</v>
      </c>
      <c r="O272" s="4">
        <v>-123.75</v>
      </c>
      <c r="P272" s="4" t="s">
        <v>742</v>
      </c>
      <c r="S272" s="4">
        <f>150/12*10</f>
        <v>125</v>
      </c>
      <c r="T272" s="4">
        <f>318.08+123.75</f>
        <v>441.83</v>
      </c>
    </row>
    <row r="273" spans="1:27" s="4" customFormat="1" x14ac:dyDescent="0.25">
      <c r="A273" s="4" t="s">
        <v>89</v>
      </c>
      <c r="B273" s="4" t="str">
        <f>CONCATENATE(A273,"OVR")</f>
        <v>2FE0Y28RP43OVR</v>
      </c>
      <c r="C273" s="4" t="s">
        <v>1000</v>
      </c>
      <c r="D273" s="4" t="s">
        <v>1001</v>
      </c>
      <c r="E273" s="2" t="str">
        <f t="shared" si="4"/>
        <v>DMITRI BOULAVINOV</v>
      </c>
      <c r="F273" s="4" t="s">
        <v>27</v>
      </c>
      <c r="G273" s="4" t="s">
        <v>29</v>
      </c>
      <c r="H273" s="5">
        <v>46023</v>
      </c>
      <c r="I273" s="5">
        <v>46023</v>
      </c>
      <c r="J273" s="4">
        <v>20411454</v>
      </c>
      <c r="K273" s="4" t="s">
        <v>93</v>
      </c>
      <c r="L273" s="4" t="s">
        <v>765</v>
      </c>
      <c r="M273" s="4" t="s">
        <v>34</v>
      </c>
      <c r="N273" s="4">
        <v>-135</v>
      </c>
      <c r="O273" s="4">
        <v>-135</v>
      </c>
      <c r="P273" s="4" t="s">
        <v>742</v>
      </c>
    </row>
    <row r="274" spans="1:27" s="4" customFormat="1" x14ac:dyDescent="0.25">
      <c r="A274" s="4" t="s">
        <v>243</v>
      </c>
      <c r="B274" s="4" t="str">
        <f>CONCATENATE(A274,"OVR")</f>
        <v>6P18FG0XX47OVR</v>
      </c>
      <c r="C274" s="4" t="s">
        <v>1002</v>
      </c>
      <c r="D274" s="4" t="s">
        <v>1003</v>
      </c>
      <c r="E274" s="2" t="str">
        <f t="shared" si="4"/>
        <v>CAROLYN ERCOLE</v>
      </c>
      <c r="F274" s="4" t="s">
        <v>27</v>
      </c>
      <c r="G274" s="4" t="s">
        <v>29</v>
      </c>
      <c r="H274" s="5">
        <v>46023</v>
      </c>
      <c r="I274" s="5">
        <v>46023</v>
      </c>
      <c r="J274" s="4">
        <v>20411454</v>
      </c>
      <c r="K274" s="4" t="s">
        <v>93</v>
      </c>
      <c r="L274" s="4" t="s">
        <v>765</v>
      </c>
      <c r="M274" s="4" t="s">
        <v>34</v>
      </c>
      <c r="N274" s="4">
        <v>-135</v>
      </c>
      <c r="O274" s="4">
        <v>-135</v>
      </c>
      <c r="P274" s="4" t="s">
        <v>742</v>
      </c>
    </row>
    <row r="275" spans="1:27" s="4" customFormat="1" x14ac:dyDescent="0.25">
      <c r="A275" s="4" t="s">
        <v>535</v>
      </c>
      <c r="B275" s="4" t="str">
        <f>CONCATENATE(A275,"OVR")</f>
        <v>5KU8QE6HJ61OVR</v>
      </c>
      <c r="C275" s="4" t="s">
        <v>1004</v>
      </c>
      <c r="D275" s="4" t="s">
        <v>864</v>
      </c>
      <c r="E275" s="2" t="str">
        <f t="shared" si="4"/>
        <v>BARBARA NIEDZIOLKA</v>
      </c>
      <c r="F275" s="4" t="s">
        <v>27</v>
      </c>
      <c r="G275" s="4" t="s">
        <v>29</v>
      </c>
      <c r="H275" s="5">
        <v>46023</v>
      </c>
      <c r="I275" s="5">
        <v>46023</v>
      </c>
      <c r="J275" s="4">
        <v>20411454</v>
      </c>
      <c r="K275" s="4" t="s">
        <v>93</v>
      </c>
      <c r="L275" s="4" t="s">
        <v>765</v>
      </c>
      <c r="M275" s="4" t="s">
        <v>34</v>
      </c>
      <c r="N275" s="4">
        <v>-135</v>
      </c>
      <c r="O275" s="4">
        <v>-135</v>
      </c>
      <c r="P275" s="4" t="s">
        <v>742</v>
      </c>
    </row>
    <row r="276" spans="1:27" s="4" customFormat="1" x14ac:dyDescent="0.25">
      <c r="A276" s="4" t="s">
        <v>83</v>
      </c>
      <c r="B276" s="4" t="str">
        <f>CONCATENATE(A276,"OVR")</f>
        <v>9RY7NQ8UN78OVR</v>
      </c>
      <c r="C276" s="4" t="s">
        <v>1005</v>
      </c>
      <c r="D276" s="4" t="s">
        <v>948</v>
      </c>
      <c r="E276" s="2" t="str">
        <f t="shared" si="4"/>
        <v>BEVERLY BENTLEY</v>
      </c>
      <c r="F276" s="4" t="s">
        <v>27</v>
      </c>
      <c r="G276" s="4" t="s">
        <v>86</v>
      </c>
      <c r="H276" s="5">
        <v>46023</v>
      </c>
      <c r="I276" s="5">
        <v>46023</v>
      </c>
      <c r="J276" s="4">
        <v>20411454</v>
      </c>
      <c r="K276" s="4" t="s">
        <v>32</v>
      </c>
      <c r="L276" s="4" t="s">
        <v>765</v>
      </c>
      <c r="M276" s="4" t="s">
        <v>34</v>
      </c>
      <c r="N276" s="4">
        <v>-65</v>
      </c>
      <c r="O276" s="4">
        <v>-65</v>
      </c>
      <c r="P276" s="4" t="s">
        <v>742</v>
      </c>
    </row>
    <row r="277" spans="1:27" s="4" customFormat="1" x14ac:dyDescent="0.25">
      <c r="A277" s="4" t="s">
        <v>147</v>
      </c>
      <c r="B277" s="4" t="str">
        <f>CONCATENATE(A277,"OVR")</f>
        <v>9MN9UG1QA19OVR</v>
      </c>
      <c r="C277" s="4" t="s">
        <v>1006</v>
      </c>
      <c r="D277" s="4" t="s">
        <v>1007</v>
      </c>
      <c r="E277" s="2" t="str">
        <f t="shared" si="4"/>
        <v>CONNIE CANCILLA</v>
      </c>
      <c r="F277" s="4" t="s">
        <v>27</v>
      </c>
      <c r="G277" s="4" t="s">
        <v>29</v>
      </c>
      <c r="H277" s="5">
        <v>46023</v>
      </c>
      <c r="I277" s="5">
        <v>46023</v>
      </c>
      <c r="J277" s="4">
        <v>20411454</v>
      </c>
      <c r="K277" s="4" t="s">
        <v>32</v>
      </c>
      <c r="L277" s="4" t="s">
        <v>765</v>
      </c>
      <c r="M277" s="4" t="s">
        <v>34</v>
      </c>
      <c r="N277" s="4">
        <v>-65</v>
      </c>
      <c r="O277" s="4">
        <v>-65</v>
      </c>
      <c r="P277" s="4" t="s">
        <v>742</v>
      </c>
    </row>
    <row r="278" spans="1:27" s="4" customFormat="1" x14ac:dyDescent="0.25">
      <c r="A278" s="4" t="s">
        <v>172</v>
      </c>
      <c r="B278" s="4" t="str">
        <f>CONCATENATE(A278,"OVR")</f>
        <v>2V41V51XD95OVR</v>
      </c>
      <c r="C278" s="4" t="s">
        <v>1008</v>
      </c>
      <c r="D278" s="4" t="s">
        <v>1009</v>
      </c>
      <c r="E278" s="2" t="str">
        <f t="shared" si="4"/>
        <v>KARL CHEEKS</v>
      </c>
      <c r="F278" s="4" t="s">
        <v>27</v>
      </c>
      <c r="G278" s="4" t="s">
        <v>29</v>
      </c>
      <c r="H278" s="5">
        <v>46023</v>
      </c>
      <c r="I278" s="5">
        <v>46023</v>
      </c>
      <c r="J278" s="4">
        <v>20411454</v>
      </c>
      <c r="K278" s="4" t="s">
        <v>32</v>
      </c>
      <c r="L278" s="4" t="s">
        <v>765</v>
      </c>
      <c r="M278" s="4" t="s">
        <v>34</v>
      </c>
      <c r="N278" s="4">
        <v>-65</v>
      </c>
      <c r="O278" s="4">
        <v>-65</v>
      </c>
      <c r="P278" s="4" t="s">
        <v>742</v>
      </c>
    </row>
    <row r="279" spans="1:27" s="4" customFormat="1" x14ac:dyDescent="0.25">
      <c r="A279" s="4" t="s">
        <v>234</v>
      </c>
      <c r="B279" s="4" t="str">
        <f>CONCATENATE(A279,"OVR")</f>
        <v>3P46G02EN73OVR</v>
      </c>
      <c r="C279" s="4" t="s">
        <v>1010</v>
      </c>
      <c r="D279" s="4" t="s">
        <v>1011</v>
      </c>
      <c r="E279" s="2" t="str">
        <f t="shared" si="4"/>
        <v>KERI DOLAN</v>
      </c>
      <c r="F279" s="4" t="s">
        <v>27</v>
      </c>
      <c r="G279" s="4" t="s">
        <v>29</v>
      </c>
      <c r="H279" s="5">
        <v>46023</v>
      </c>
      <c r="I279" s="5">
        <v>46023</v>
      </c>
      <c r="J279" s="4">
        <v>20411454</v>
      </c>
      <c r="K279" s="4" t="s">
        <v>32</v>
      </c>
      <c r="L279" s="4" t="s">
        <v>765</v>
      </c>
      <c r="M279" s="4" t="s">
        <v>34</v>
      </c>
      <c r="N279" s="4">
        <v>-65</v>
      </c>
      <c r="O279" s="4">
        <v>-65</v>
      </c>
      <c r="P279" s="4" t="s">
        <v>742</v>
      </c>
    </row>
    <row r="280" spans="1:27" s="4" customFormat="1" x14ac:dyDescent="0.25">
      <c r="A280" s="4" t="s">
        <v>247</v>
      </c>
      <c r="B280" s="4" t="str">
        <f>CONCATENATE(A280,"OVR")</f>
        <v>2NE5MH4FP73OVR</v>
      </c>
      <c r="C280" s="4" t="s">
        <v>1012</v>
      </c>
      <c r="D280" s="4" t="s">
        <v>819</v>
      </c>
      <c r="E280" s="2" t="str">
        <f t="shared" si="4"/>
        <v>JOHN FERGUSON</v>
      </c>
      <c r="F280" s="4" t="s">
        <v>27</v>
      </c>
      <c r="G280" s="4" t="s">
        <v>29</v>
      </c>
      <c r="H280" s="5">
        <v>46023</v>
      </c>
      <c r="I280" s="5">
        <v>46023</v>
      </c>
      <c r="J280" s="4">
        <v>20411454</v>
      </c>
      <c r="K280" s="4" t="s">
        <v>32</v>
      </c>
      <c r="L280" s="4" t="s">
        <v>765</v>
      </c>
      <c r="M280" s="4" t="s">
        <v>34</v>
      </c>
      <c r="N280" s="4">
        <v>-65</v>
      </c>
      <c r="O280" s="4">
        <v>-65</v>
      </c>
      <c r="P280" s="4" t="s">
        <v>742</v>
      </c>
    </row>
    <row r="281" spans="1:27" s="4" customFormat="1" x14ac:dyDescent="0.25">
      <c r="A281" s="4" t="s">
        <v>257</v>
      </c>
      <c r="B281" s="4" t="str">
        <f>CONCATENATE(A281,"OVR")</f>
        <v>6WP0E65JV06OVR</v>
      </c>
      <c r="C281" s="4" t="s">
        <v>1013</v>
      </c>
      <c r="D281" s="4" t="s">
        <v>1014</v>
      </c>
      <c r="E281" s="2" t="str">
        <f t="shared" si="4"/>
        <v>HOLLY FLEISCHER</v>
      </c>
      <c r="F281" s="4" t="s">
        <v>27</v>
      </c>
      <c r="G281" s="4" t="s">
        <v>29</v>
      </c>
      <c r="H281" s="5">
        <v>46023</v>
      </c>
      <c r="I281" s="5">
        <v>46023</v>
      </c>
      <c r="J281" s="4">
        <v>20411454</v>
      </c>
      <c r="K281" s="4" t="s">
        <v>32</v>
      </c>
      <c r="L281" s="4" t="s">
        <v>765</v>
      </c>
      <c r="M281" s="4" t="s">
        <v>34</v>
      </c>
      <c r="N281" s="4">
        <v>-65</v>
      </c>
      <c r="O281" s="4">
        <v>-65</v>
      </c>
      <c r="P281" s="4" t="s">
        <v>742</v>
      </c>
    </row>
    <row r="282" spans="1:27" s="4" customFormat="1" x14ac:dyDescent="0.25">
      <c r="A282" s="4" t="s">
        <v>281</v>
      </c>
      <c r="B282" s="4" t="str">
        <f>CONCATENATE(A282,"OVR")</f>
        <v>4N22FY0WF05OVR</v>
      </c>
      <c r="C282" s="4" t="s">
        <v>1015</v>
      </c>
      <c r="D282" s="4" t="s">
        <v>1016</v>
      </c>
      <c r="E282" s="2" t="str">
        <f t="shared" si="4"/>
        <v>JODY GIACOMANTONIO</v>
      </c>
      <c r="F282" s="4" t="s">
        <v>27</v>
      </c>
      <c r="G282" s="4" t="s">
        <v>29</v>
      </c>
      <c r="H282" s="5">
        <v>46023</v>
      </c>
      <c r="I282" s="5">
        <v>46023</v>
      </c>
      <c r="J282" s="4">
        <v>20411454</v>
      </c>
      <c r="K282" s="4" t="s">
        <v>32</v>
      </c>
      <c r="L282" s="4" t="s">
        <v>765</v>
      </c>
      <c r="M282" s="4" t="s">
        <v>34</v>
      </c>
      <c r="N282" s="4">
        <v>-65</v>
      </c>
      <c r="O282" s="4">
        <v>-65</v>
      </c>
      <c r="P282" s="4" t="s">
        <v>742</v>
      </c>
    </row>
    <row r="283" spans="1:27" s="2" customFormat="1" x14ac:dyDescent="0.25">
      <c r="A283" s="4" t="s">
        <v>318</v>
      </c>
      <c r="B283" s="4" t="str">
        <f>CONCATENATE(A283,"OVR")</f>
        <v>9F85UM5QP80OVR</v>
      </c>
      <c r="C283" s="4" t="s">
        <v>1017</v>
      </c>
      <c r="D283" s="4" t="s">
        <v>936</v>
      </c>
      <c r="E283" s="2" t="str">
        <f t="shared" si="4"/>
        <v>JAMES HARVEY</v>
      </c>
      <c r="F283" s="4" t="s">
        <v>27</v>
      </c>
      <c r="G283" s="4" t="s">
        <v>29</v>
      </c>
      <c r="H283" s="5">
        <v>46023</v>
      </c>
      <c r="I283" s="5">
        <v>46023</v>
      </c>
      <c r="J283" s="4">
        <v>20411454</v>
      </c>
      <c r="K283" s="4" t="s">
        <v>32</v>
      </c>
      <c r="L283" s="4" t="s">
        <v>765</v>
      </c>
      <c r="M283" s="4" t="s">
        <v>34</v>
      </c>
      <c r="N283" s="4">
        <v>-65</v>
      </c>
      <c r="O283" s="4">
        <v>-65</v>
      </c>
      <c r="P283" s="4" t="s">
        <v>742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s="4" customFormat="1" x14ac:dyDescent="0.25">
      <c r="A284" s="4" t="s">
        <v>350</v>
      </c>
      <c r="B284" s="4" t="str">
        <f>CONCATENATE(A284,"OVR")</f>
        <v>4YR1M28DC33OVR</v>
      </c>
      <c r="C284" s="4" t="s">
        <v>1018</v>
      </c>
      <c r="D284" s="4" t="s">
        <v>990</v>
      </c>
      <c r="E284" s="2" t="str">
        <f t="shared" si="4"/>
        <v>LINDA HINCHBERGER</v>
      </c>
      <c r="F284" s="4" t="s">
        <v>27</v>
      </c>
      <c r="G284" s="4" t="s">
        <v>29</v>
      </c>
      <c r="H284" s="5">
        <v>46023</v>
      </c>
      <c r="I284" s="5">
        <v>46023</v>
      </c>
      <c r="J284" s="4">
        <v>20411454</v>
      </c>
      <c r="K284" s="4" t="s">
        <v>32</v>
      </c>
      <c r="L284" s="4" t="s">
        <v>765</v>
      </c>
      <c r="M284" s="4" t="s">
        <v>34</v>
      </c>
      <c r="N284" s="4">
        <v>-65</v>
      </c>
      <c r="O284" s="4">
        <v>-65</v>
      </c>
      <c r="P284" s="4" t="s">
        <v>742</v>
      </c>
    </row>
    <row r="285" spans="1:27" s="2" customFormat="1" x14ac:dyDescent="0.25">
      <c r="A285" s="4" t="s">
        <v>354</v>
      </c>
      <c r="B285" s="4" t="str">
        <f>CONCATENATE(A285,"OVR")</f>
        <v>3R00V07MR02OVR</v>
      </c>
      <c r="C285" s="4" t="s">
        <v>1019</v>
      </c>
      <c r="D285" s="4" t="s">
        <v>1020</v>
      </c>
      <c r="E285" s="2" t="str">
        <f t="shared" si="4"/>
        <v>DONALD HINDS</v>
      </c>
      <c r="F285" s="4" t="s">
        <v>27</v>
      </c>
      <c r="G285" s="4" t="s">
        <v>29</v>
      </c>
      <c r="H285" s="5">
        <v>46023</v>
      </c>
      <c r="I285" s="5">
        <v>46023</v>
      </c>
      <c r="J285" s="4">
        <v>20411454</v>
      </c>
      <c r="K285" s="4" t="s">
        <v>32</v>
      </c>
      <c r="L285" s="4" t="s">
        <v>765</v>
      </c>
      <c r="M285" s="4" t="s">
        <v>34</v>
      </c>
      <c r="N285" s="4">
        <v>-65</v>
      </c>
      <c r="O285" s="4">
        <v>-65</v>
      </c>
      <c r="P285" s="4" t="s">
        <v>742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s="4" customFormat="1" x14ac:dyDescent="0.25">
      <c r="A286" s="4" t="s">
        <v>427</v>
      </c>
      <c r="B286" s="4" t="str">
        <f>CONCATENATE(A286,"OVR")</f>
        <v>2NJ5N45UK54OVR</v>
      </c>
      <c r="C286" s="4" t="s">
        <v>1021</v>
      </c>
      <c r="D286" s="4" t="s">
        <v>998</v>
      </c>
      <c r="E286" s="2" t="str">
        <f t="shared" si="4"/>
        <v>SANDRA LEFEVER</v>
      </c>
      <c r="F286" s="4" t="s">
        <v>27</v>
      </c>
      <c r="G286" s="4" t="s">
        <v>29</v>
      </c>
      <c r="H286" s="5">
        <v>46023</v>
      </c>
      <c r="I286" s="5">
        <v>46023</v>
      </c>
      <c r="J286" s="4">
        <v>20411454</v>
      </c>
      <c r="K286" s="4" t="s">
        <v>32</v>
      </c>
      <c r="L286" s="4" t="s">
        <v>765</v>
      </c>
      <c r="M286" s="4" t="s">
        <v>34</v>
      </c>
      <c r="N286" s="4">
        <v>-65</v>
      </c>
      <c r="O286" s="4">
        <v>-65</v>
      </c>
      <c r="P286" s="4" t="s">
        <v>742</v>
      </c>
    </row>
    <row r="287" spans="1:27" s="4" customFormat="1" x14ac:dyDescent="0.25">
      <c r="A287" s="4" t="s">
        <v>441</v>
      </c>
      <c r="B287" s="4" t="str">
        <f>CONCATENATE(A287,"OVR")</f>
        <v>5R39T40MH00OVR</v>
      </c>
      <c r="C287" s="4" t="s">
        <v>1022</v>
      </c>
      <c r="D287" s="4" t="s">
        <v>1023</v>
      </c>
      <c r="E287" s="2" t="str">
        <f t="shared" si="4"/>
        <v>TAMMY LUTZ</v>
      </c>
      <c r="F287" s="4" t="s">
        <v>27</v>
      </c>
      <c r="G287" s="4" t="s">
        <v>29</v>
      </c>
      <c r="H287" s="5">
        <v>46023</v>
      </c>
      <c r="I287" s="5">
        <v>46023</v>
      </c>
      <c r="J287" s="4">
        <v>20411454</v>
      </c>
      <c r="K287" s="4" t="s">
        <v>32</v>
      </c>
      <c r="L287" s="4" t="s">
        <v>765</v>
      </c>
      <c r="M287" s="4" t="s">
        <v>34</v>
      </c>
      <c r="N287" s="4">
        <v>-65</v>
      </c>
      <c r="O287" s="4">
        <v>-65</v>
      </c>
      <c r="P287" s="4" t="s">
        <v>742</v>
      </c>
    </row>
    <row r="288" spans="1:27" s="2" customFormat="1" x14ac:dyDescent="0.25">
      <c r="A288" s="4" t="s">
        <v>457</v>
      </c>
      <c r="B288" s="4" t="str">
        <f>CONCATENATE(A288,"OVR")</f>
        <v>7ME6GV0UA82OVR</v>
      </c>
      <c r="C288" s="4" t="s">
        <v>1024</v>
      </c>
      <c r="D288" s="4" t="s">
        <v>973</v>
      </c>
      <c r="E288" s="2" t="str">
        <f t="shared" si="4"/>
        <v>MATTHEW MALONI</v>
      </c>
      <c r="F288" s="4" t="s">
        <v>27</v>
      </c>
      <c r="G288" s="4" t="s">
        <v>29</v>
      </c>
      <c r="H288" s="5">
        <v>46023</v>
      </c>
      <c r="I288" s="5">
        <v>46023</v>
      </c>
      <c r="J288" s="4">
        <v>20411454</v>
      </c>
      <c r="K288" s="4" t="s">
        <v>32</v>
      </c>
      <c r="L288" s="4" t="s">
        <v>765</v>
      </c>
      <c r="M288" s="4" t="s">
        <v>34</v>
      </c>
      <c r="N288" s="4">
        <v>-65</v>
      </c>
      <c r="O288" s="4">
        <v>-65</v>
      </c>
      <c r="P288" s="4" t="s">
        <v>742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s="4" customFormat="1" x14ac:dyDescent="0.25">
      <c r="A289" s="4" t="s">
        <v>513</v>
      </c>
      <c r="B289" s="4" t="str">
        <f>CONCATENATE(A289,"OVR")</f>
        <v>8MK2C27DD09OVR</v>
      </c>
      <c r="C289" s="4" t="s">
        <v>884</v>
      </c>
      <c r="D289" s="4" t="s">
        <v>816</v>
      </c>
      <c r="E289" s="2" t="str">
        <f t="shared" si="4"/>
        <v>JEFFREY MILLER</v>
      </c>
      <c r="F289" s="4" t="s">
        <v>27</v>
      </c>
      <c r="G289" s="4" t="s">
        <v>86</v>
      </c>
      <c r="H289" s="5">
        <v>46023</v>
      </c>
      <c r="I289" s="5">
        <v>46023</v>
      </c>
      <c r="J289" s="4">
        <v>20411454</v>
      </c>
      <c r="K289" s="4" t="s">
        <v>32</v>
      </c>
      <c r="L289" s="4" t="s">
        <v>765</v>
      </c>
      <c r="M289" s="4" t="s">
        <v>34</v>
      </c>
      <c r="N289" s="4">
        <v>-65</v>
      </c>
      <c r="O289" s="4">
        <v>-65</v>
      </c>
      <c r="P289" s="4" t="s">
        <v>742</v>
      </c>
    </row>
    <row r="290" spans="1:27" s="4" customFormat="1" x14ac:dyDescent="0.25">
      <c r="A290" s="4" t="s">
        <v>544</v>
      </c>
      <c r="B290" s="4" t="str">
        <f>CONCATENATE(A290,"OVR")</f>
        <v>1J93CG7XA80OVR</v>
      </c>
      <c r="C290" s="4" t="s">
        <v>1025</v>
      </c>
      <c r="D290" s="4" t="s">
        <v>1026</v>
      </c>
      <c r="E290" s="2" t="str">
        <f t="shared" si="4"/>
        <v>CAROL NOVY</v>
      </c>
      <c r="F290" s="4" t="s">
        <v>27</v>
      </c>
      <c r="G290" s="4" t="s">
        <v>29</v>
      </c>
      <c r="H290" s="5">
        <v>46023</v>
      </c>
      <c r="I290" s="5">
        <v>46023</v>
      </c>
      <c r="J290" s="4">
        <v>20411454</v>
      </c>
      <c r="K290" s="4" t="s">
        <v>32</v>
      </c>
      <c r="L290" s="4" t="s">
        <v>765</v>
      </c>
      <c r="M290" s="4" t="s">
        <v>34</v>
      </c>
      <c r="N290" s="4">
        <v>-65</v>
      </c>
      <c r="O290" s="4">
        <v>-65</v>
      </c>
      <c r="P290" s="4" t="s">
        <v>742</v>
      </c>
    </row>
    <row r="291" spans="1:27" s="4" customFormat="1" x14ac:dyDescent="0.25">
      <c r="A291" s="4" t="s">
        <v>576</v>
      </c>
      <c r="B291" s="4" t="str">
        <f>CONCATENATE(A291,"OVR")</f>
        <v>9EP9M27VT34OVR</v>
      </c>
      <c r="C291" s="4" t="s">
        <v>1027</v>
      </c>
      <c r="D291" s="4" t="s">
        <v>1028</v>
      </c>
      <c r="E291" s="2" t="str">
        <f t="shared" si="4"/>
        <v>MELVIN PRITTS</v>
      </c>
      <c r="F291" s="4" t="s">
        <v>27</v>
      </c>
      <c r="G291" s="4" t="s">
        <v>86</v>
      </c>
      <c r="H291" s="5">
        <v>46023</v>
      </c>
      <c r="I291" s="5">
        <v>46023</v>
      </c>
      <c r="J291" s="4">
        <v>20411454</v>
      </c>
      <c r="K291" s="4" t="s">
        <v>32</v>
      </c>
      <c r="L291" s="4" t="s">
        <v>765</v>
      </c>
      <c r="M291" s="4" t="s">
        <v>34</v>
      </c>
      <c r="N291" s="4">
        <v>-65</v>
      </c>
      <c r="O291" s="4">
        <v>-65</v>
      </c>
      <c r="P291" s="4" t="s">
        <v>742</v>
      </c>
    </row>
    <row r="292" spans="1:27" s="4" customFormat="1" x14ac:dyDescent="0.25">
      <c r="A292" s="4" t="s">
        <v>623</v>
      </c>
      <c r="B292" s="4" t="str">
        <f>CONCATENATE(A292,"OVR")</f>
        <v>8PR1DD1MW09OVR</v>
      </c>
      <c r="C292" s="4" t="s">
        <v>1029</v>
      </c>
      <c r="D292" s="4" t="s">
        <v>1030</v>
      </c>
      <c r="E292" s="2" t="str">
        <f t="shared" si="4"/>
        <v>ERWIN SCHRAMM</v>
      </c>
      <c r="F292" s="4" t="s">
        <v>27</v>
      </c>
      <c r="G292" s="4" t="s">
        <v>29</v>
      </c>
      <c r="H292" s="5">
        <v>46023</v>
      </c>
      <c r="I292" s="5">
        <v>46023</v>
      </c>
      <c r="J292" s="4">
        <v>20411454</v>
      </c>
      <c r="K292" s="4" t="s">
        <v>32</v>
      </c>
      <c r="L292" s="4" t="s">
        <v>765</v>
      </c>
      <c r="M292" s="4" t="s">
        <v>34</v>
      </c>
      <c r="N292" s="4">
        <v>-65</v>
      </c>
      <c r="O292" s="4">
        <v>-65</v>
      </c>
      <c r="P292" s="4" t="s">
        <v>742</v>
      </c>
    </row>
    <row r="293" spans="1:27" s="2" customFormat="1" x14ac:dyDescent="0.25">
      <c r="A293" s="4" t="s">
        <v>672</v>
      </c>
      <c r="B293" s="4" t="str">
        <f>CONCATENATE(A293,"OVR")</f>
        <v>3GY2G03VX96OVR</v>
      </c>
      <c r="C293" s="4" t="s">
        <v>1031</v>
      </c>
      <c r="D293" s="4" t="s">
        <v>1032</v>
      </c>
      <c r="E293" s="2" t="str">
        <f t="shared" si="4"/>
        <v>SAM TURNER</v>
      </c>
      <c r="F293" s="4" t="s">
        <v>27</v>
      </c>
      <c r="G293" s="4" t="s">
        <v>29</v>
      </c>
      <c r="H293" s="5">
        <v>46023</v>
      </c>
      <c r="I293" s="5">
        <v>46023</v>
      </c>
      <c r="J293" s="4">
        <v>20411454</v>
      </c>
      <c r="K293" s="4" t="s">
        <v>32</v>
      </c>
      <c r="L293" s="4" t="s">
        <v>765</v>
      </c>
      <c r="M293" s="4" t="s">
        <v>34</v>
      </c>
      <c r="N293" s="4">
        <v>-65</v>
      </c>
      <c r="O293" s="4">
        <v>-65</v>
      </c>
      <c r="P293" s="4" t="s">
        <v>742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s="2" customFormat="1" x14ac:dyDescent="0.25">
      <c r="A294" s="4" t="s">
        <v>123</v>
      </c>
      <c r="B294" s="4" t="str">
        <f>CONCATENATE(A294,"OVR")</f>
        <v>8RA4GW6QH05OVR</v>
      </c>
      <c r="C294" s="4" t="s">
        <v>1033</v>
      </c>
      <c r="D294" s="4" t="s">
        <v>1034</v>
      </c>
      <c r="E294" s="2" t="str">
        <f t="shared" si="4"/>
        <v>GLORIA BRYAN</v>
      </c>
      <c r="F294" s="4" t="s">
        <v>27</v>
      </c>
      <c r="G294" s="4" t="s">
        <v>29</v>
      </c>
      <c r="H294" s="5">
        <v>46054</v>
      </c>
      <c r="I294" s="5">
        <v>46054</v>
      </c>
      <c r="J294" s="4">
        <v>20411454</v>
      </c>
      <c r="K294" s="4" t="s">
        <v>32</v>
      </c>
      <c r="L294" s="4" t="s">
        <v>765</v>
      </c>
      <c r="M294" s="4" t="s">
        <v>34</v>
      </c>
      <c r="N294" s="4">
        <v>-59.59</v>
      </c>
      <c r="O294" s="4">
        <v>-59.59</v>
      </c>
      <c r="P294" s="4" t="s">
        <v>742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s="2" customFormat="1" x14ac:dyDescent="0.25">
      <c r="A295" s="4" t="s">
        <v>444</v>
      </c>
      <c r="B295" s="4" t="str">
        <f>CONCATENATE(A295,"OVR")</f>
        <v>6UJ9JM2PC17OVR</v>
      </c>
      <c r="C295" s="4" t="s">
        <v>1035</v>
      </c>
      <c r="D295" s="4" t="s">
        <v>790</v>
      </c>
      <c r="E295" s="2" t="str">
        <f t="shared" si="4"/>
        <v>RICHARD MAGEE</v>
      </c>
      <c r="F295" s="4" t="s">
        <v>27</v>
      </c>
      <c r="G295" s="4" t="s">
        <v>29</v>
      </c>
      <c r="H295" s="5">
        <v>46054</v>
      </c>
      <c r="I295" s="5">
        <v>46054</v>
      </c>
      <c r="J295" s="4">
        <v>20411454</v>
      </c>
      <c r="K295" s="4" t="s">
        <v>32</v>
      </c>
      <c r="L295" s="4" t="s">
        <v>765</v>
      </c>
      <c r="M295" s="4" t="s">
        <v>34</v>
      </c>
      <c r="N295" s="4">
        <v>-59.59</v>
      </c>
      <c r="O295" s="4">
        <v>-59.59</v>
      </c>
      <c r="P295" s="4" t="s">
        <v>742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s="2" customFormat="1" x14ac:dyDescent="0.25">
      <c r="A296" s="4" t="s">
        <v>614</v>
      </c>
      <c r="B296" s="4" t="str">
        <f>CONCATENATE(A296,"OVR")</f>
        <v>9VU5FM9HM53OVR</v>
      </c>
      <c r="C296" s="4" t="s">
        <v>1036</v>
      </c>
      <c r="D296" s="4" t="s">
        <v>1037</v>
      </c>
      <c r="E296" s="2" t="str">
        <f t="shared" si="4"/>
        <v>DOMINIQUE SANTANIELLO</v>
      </c>
      <c r="F296" s="4" t="s">
        <v>27</v>
      </c>
      <c r="G296" s="4" t="s">
        <v>29</v>
      </c>
      <c r="H296" s="5">
        <v>45992</v>
      </c>
      <c r="I296" s="5">
        <v>45992</v>
      </c>
      <c r="J296" s="4">
        <v>20411454</v>
      </c>
      <c r="K296" s="4" t="s">
        <v>32</v>
      </c>
      <c r="L296" s="4" t="s">
        <v>765</v>
      </c>
      <c r="M296" s="4" t="s">
        <v>34</v>
      </c>
      <c r="N296" s="4">
        <v>-41.92</v>
      </c>
      <c r="O296" s="4">
        <v>-9.34</v>
      </c>
      <c r="P296" s="4" t="s">
        <v>742</v>
      </c>
      <c r="Q296" s="4"/>
      <c r="R296" s="4">
        <f>41.92-32.58</f>
        <v>9.3400000000000034</v>
      </c>
      <c r="S296" s="4"/>
      <c r="T296" s="4"/>
      <c r="U296" s="4"/>
      <c r="V296" s="4"/>
      <c r="W296" s="4"/>
      <c r="X296" s="4"/>
      <c r="Y296" s="4"/>
      <c r="Z296" s="4"/>
      <c r="AA296" s="4"/>
    </row>
    <row r="297" spans="1:27" s="4" customFormat="1" x14ac:dyDescent="0.25">
      <c r="A297" s="4" t="s">
        <v>204</v>
      </c>
      <c r="B297" s="4" t="str">
        <f>CONCATENATE(A297,"OVR")</f>
        <v>3U31K63UN11OVR</v>
      </c>
      <c r="C297" s="4" t="s">
        <v>855</v>
      </c>
      <c r="D297" s="4" t="s">
        <v>856</v>
      </c>
      <c r="E297" s="2" t="str">
        <f t="shared" si="4"/>
        <v>RAYMOND DEMATTEO</v>
      </c>
      <c r="F297" s="4" t="s">
        <v>207</v>
      </c>
      <c r="G297" s="4" t="s">
        <v>29</v>
      </c>
      <c r="H297" s="5">
        <v>45992</v>
      </c>
      <c r="I297" s="5">
        <v>45992</v>
      </c>
      <c r="J297" s="4">
        <v>20411454</v>
      </c>
      <c r="K297" s="4" t="s">
        <v>32</v>
      </c>
      <c r="L297" s="4" t="s">
        <v>765</v>
      </c>
      <c r="M297" s="4" t="s">
        <v>34</v>
      </c>
      <c r="N297" s="4">
        <v>-38.58</v>
      </c>
      <c r="O297" s="4">
        <v>-9.67</v>
      </c>
      <c r="P297" s="4" t="s">
        <v>742</v>
      </c>
      <c r="R297" s="4">
        <f>38.58-28.91</f>
        <v>9.6699999999999982</v>
      </c>
    </row>
    <row r="298" spans="1:27" s="4" customFormat="1" x14ac:dyDescent="0.25">
      <c r="A298" s="4" t="s">
        <v>525</v>
      </c>
      <c r="B298" s="4" t="str">
        <f>CONCATENATE(A298,"OVR")</f>
        <v>5FY5PF7RA70OVR</v>
      </c>
      <c r="C298" s="4" t="s">
        <v>1038</v>
      </c>
      <c r="D298" s="4" t="s">
        <v>1039</v>
      </c>
      <c r="E298" s="2" t="str">
        <f t="shared" si="4"/>
        <v>DIANE MONTELEONE</v>
      </c>
      <c r="F298" s="4" t="s">
        <v>27</v>
      </c>
      <c r="G298" s="4" t="s">
        <v>29</v>
      </c>
      <c r="H298" s="5">
        <v>45658</v>
      </c>
      <c r="I298" s="5">
        <v>45658</v>
      </c>
      <c r="J298" s="4">
        <v>20411454</v>
      </c>
      <c r="K298" s="4" t="s">
        <v>32</v>
      </c>
      <c r="L298" s="4" t="s">
        <v>765</v>
      </c>
      <c r="M298" s="4" t="s">
        <v>279</v>
      </c>
      <c r="N298" s="4">
        <v>-35</v>
      </c>
      <c r="O298" s="4">
        <v>-35</v>
      </c>
      <c r="P298" s="4" t="s">
        <v>742</v>
      </c>
    </row>
    <row r="299" spans="1:27" s="4" customFormat="1" x14ac:dyDescent="0.25">
      <c r="A299" s="4" t="s">
        <v>273</v>
      </c>
      <c r="B299" s="4" t="str">
        <f>CONCATENATE(A299,"OVR")</f>
        <v>6Y85V40VN97OVR</v>
      </c>
      <c r="C299" s="4" t="s">
        <v>908</v>
      </c>
      <c r="D299" s="4" t="s">
        <v>819</v>
      </c>
      <c r="E299" s="2" t="str">
        <f t="shared" si="4"/>
        <v>JOHN GALIOTO</v>
      </c>
      <c r="F299" s="4" t="s">
        <v>42</v>
      </c>
      <c r="G299" s="4" t="s">
        <v>29</v>
      </c>
      <c r="H299" s="5">
        <v>46023</v>
      </c>
      <c r="I299" s="5">
        <v>45689</v>
      </c>
      <c r="J299" s="4">
        <v>20411454</v>
      </c>
      <c r="K299" s="4" t="s">
        <v>32</v>
      </c>
      <c r="L299" s="4" t="s">
        <v>765</v>
      </c>
      <c r="M299" s="4" t="s">
        <v>279</v>
      </c>
      <c r="N299" s="4">
        <v>-32.67</v>
      </c>
      <c r="O299" s="4">
        <v>-3.76</v>
      </c>
      <c r="P299" s="4" t="s">
        <v>742</v>
      </c>
      <c r="Q299" s="4" t="s">
        <v>764</v>
      </c>
    </row>
    <row r="300" spans="1:27" s="4" customFormat="1" x14ac:dyDescent="0.25">
      <c r="A300" s="4" t="s">
        <v>653</v>
      </c>
      <c r="B300" s="4" t="str">
        <f>CONCATENATE(A300,"OVR")</f>
        <v>1Q21ND4EE94OVR</v>
      </c>
      <c r="C300" s="4" t="s">
        <v>1040</v>
      </c>
      <c r="D300" s="4" t="s">
        <v>1041</v>
      </c>
      <c r="E300" s="2" t="str">
        <f t="shared" si="4"/>
        <v>CHRISTINE TERRA</v>
      </c>
      <c r="F300" s="4" t="s">
        <v>27</v>
      </c>
      <c r="G300" s="4" t="s">
        <v>29</v>
      </c>
      <c r="H300" s="5">
        <v>45992</v>
      </c>
      <c r="I300" s="5">
        <v>45992</v>
      </c>
      <c r="J300" s="4">
        <v>20411454</v>
      </c>
      <c r="K300" s="4" t="s">
        <v>93</v>
      </c>
      <c r="L300" s="4" t="s">
        <v>765</v>
      </c>
      <c r="M300" s="4" t="s">
        <v>34</v>
      </c>
      <c r="N300" s="4">
        <v>-11.25</v>
      </c>
      <c r="O300" s="4">
        <v>-11.25</v>
      </c>
      <c r="P300" s="4" t="s">
        <v>742</v>
      </c>
    </row>
    <row r="301" spans="1:27" s="4" customFormat="1" x14ac:dyDescent="0.25">
      <c r="A301" s="4" t="s">
        <v>408</v>
      </c>
      <c r="B301" s="4" t="str">
        <f>CONCATENATE(A301,"OVR")</f>
        <v>8X93P99AR91OVR</v>
      </c>
      <c r="C301" s="4" t="s">
        <v>1042</v>
      </c>
      <c r="D301" s="4" t="s">
        <v>1043</v>
      </c>
      <c r="E301" s="2" t="str">
        <f t="shared" si="4"/>
        <v>DOMINICA KOCHMAR</v>
      </c>
      <c r="F301" s="4" t="s">
        <v>27</v>
      </c>
      <c r="G301" s="4" t="s">
        <v>29</v>
      </c>
      <c r="H301" s="5">
        <v>46023</v>
      </c>
      <c r="I301" s="5">
        <v>40909</v>
      </c>
      <c r="J301" s="4">
        <v>20411454</v>
      </c>
      <c r="K301" s="4" t="s">
        <v>32</v>
      </c>
      <c r="L301" s="4" t="s">
        <v>765</v>
      </c>
      <c r="M301" s="4" t="s">
        <v>279</v>
      </c>
      <c r="N301" s="4">
        <v>-1.25</v>
      </c>
      <c r="O301" s="4">
        <v>-1.25</v>
      </c>
      <c r="P301" s="4" t="s">
        <v>742</v>
      </c>
    </row>
    <row r="302" spans="1:27" s="4" customFormat="1" x14ac:dyDescent="0.25">
      <c r="A302" s="4" t="s">
        <v>405</v>
      </c>
      <c r="B302" s="4" t="str">
        <f>CONCATENATE(A302,"OVR")</f>
        <v>4R32HC9YH90OVR</v>
      </c>
      <c r="C302" s="4" t="s">
        <v>1042</v>
      </c>
      <c r="D302" s="4" t="s">
        <v>1044</v>
      </c>
      <c r="E302" s="2" t="str">
        <f t="shared" si="4"/>
        <v>GERALD KOCHMAR</v>
      </c>
      <c r="F302" s="4" t="s">
        <v>27</v>
      </c>
      <c r="G302" s="4" t="s">
        <v>29</v>
      </c>
      <c r="H302" s="5">
        <v>46023</v>
      </c>
      <c r="I302" s="5">
        <v>40909</v>
      </c>
      <c r="J302" s="4">
        <v>20411454</v>
      </c>
      <c r="K302" s="4" t="s">
        <v>32</v>
      </c>
      <c r="L302" s="4" t="s">
        <v>765</v>
      </c>
      <c r="M302" s="4" t="s">
        <v>279</v>
      </c>
      <c r="N302" s="4">
        <v>-1.25</v>
      </c>
      <c r="O302" s="4">
        <v>-1.25</v>
      </c>
      <c r="P302" s="4" t="s">
        <v>742</v>
      </c>
    </row>
    <row r="303" spans="1:27" s="4" customFormat="1" x14ac:dyDescent="0.25">
      <c r="A303" s="4" t="s">
        <v>65</v>
      </c>
      <c r="B303" s="4" t="str">
        <f>CONCATENATE(A303,"OVR")</f>
        <v>9KU1CT4CE97OVR</v>
      </c>
      <c r="C303" s="4" t="s">
        <v>838</v>
      </c>
      <c r="D303" s="4" t="s">
        <v>839</v>
      </c>
      <c r="E303" s="2" t="str">
        <f t="shared" si="4"/>
        <v>WALTER BATOG</v>
      </c>
      <c r="F303" s="4" t="s">
        <v>27</v>
      </c>
      <c r="G303" s="4" t="s">
        <v>29</v>
      </c>
      <c r="H303" s="5">
        <v>46023</v>
      </c>
      <c r="I303" s="5">
        <v>44197</v>
      </c>
      <c r="J303" s="4">
        <v>20411454</v>
      </c>
      <c r="K303" s="4" t="s">
        <v>32</v>
      </c>
      <c r="L303" s="4" t="s">
        <v>765</v>
      </c>
      <c r="M303" s="4" t="s">
        <v>34</v>
      </c>
      <c r="N303" s="4">
        <v>37.17</v>
      </c>
      <c r="O303" s="4">
        <v>4.59</v>
      </c>
      <c r="P303" s="4" t="s">
        <v>742</v>
      </c>
      <c r="R303" s="4">
        <f>37.17-32.58</f>
        <v>4.5900000000000034</v>
      </c>
    </row>
    <row r="304" spans="1:27" s="4" customFormat="1" x14ac:dyDescent="0.25">
      <c r="A304" s="4" t="s">
        <v>619</v>
      </c>
      <c r="B304" s="4" t="str">
        <f>CONCATENATE(A304,"OVR")</f>
        <v>3H97HK4RW55OVR</v>
      </c>
      <c r="C304" s="4" t="s">
        <v>772</v>
      </c>
      <c r="D304" s="4" t="s">
        <v>773</v>
      </c>
      <c r="E304" s="2" t="str">
        <f t="shared" si="4"/>
        <v>CINDY SCALISE</v>
      </c>
      <c r="F304" s="4" t="s">
        <v>27</v>
      </c>
      <c r="G304" s="4" t="s">
        <v>29</v>
      </c>
      <c r="H304" s="5">
        <v>46023</v>
      </c>
      <c r="I304" s="5">
        <v>45809</v>
      </c>
      <c r="J304" s="4">
        <v>20411454</v>
      </c>
      <c r="K304" s="4" t="s">
        <v>32</v>
      </c>
      <c r="L304" s="4" t="s">
        <v>765</v>
      </c>
      <c r="M304" s="4" t="s">
        <v>34</v>
      </c>
      <c r="N304" s="4">
        <v>37.17</v>
      </c>
      <c r="O304" s="4">
        <v>4.59</v>
      </c>
      <c r="P304" s="4" t="s">
        <v>742</v>
      </c>
    </row>
    <row r="305" spans="1:18" s="4" customFormat="1" x14ac:dyDescent="0.25">
      <c r="A305" s="4" t="s">
        <v>474</v>
      </c>
      <c r="B305" s="4" t="str">
        <f>CONCATENATE(A305,"OVR")</f>
        <v>6FH3A44EW82OVR</v>
      </c>
      <c r="C305" s="4" t="s">
        <v>984</v>
      </c>
      <c r="D305" s="4" t="s">
        <v>985</v>
      </c>
      <c r="E305" s="2" t="str">
        <f t="shared" si="4"/>
        <v>HELGA MARI</v>
      </c>
      <c r="F305" s="4" t="s">
        <v>391</v>
      </c>
      <c r="G305" s="4" t="s">
        <v>86</v>
      </c>
      <c r="H305" s="5">
        <v>46023</v>
      </c>
      <c r="I305" s="5">
        <v>46023</v>
      </c>
      <c r="J305" s="4">
        <v>20411454</v>
      </c>
      <c r="K305" s="4" t="s">
        <v>32</v>
      </c>
      <c r="L305" s="4" t="s">
        <v>765</v>
      </c>
      <c r="M305" s="4" t="s">
        <v>34</v>
      </c>
      <c r="N305" s="4">
        <v>40.17</v>
      </c>
      <c r="O305" s="4">
        <v>11.26</v>
      </c>
      <c r="P305" s="4" t="s">
        <v>742</v>
      </c>
      <c r="R305" s="4">
        <f>40.17-28.91</f>
        <v>11.260000000000002</v>
      </c>
    </row>
    <row r="306" spans="1:18" s="4" customFormat="1" x14ac:dyDescent="0.25">
      <c r="A306" s="4" t="s">
        <v>360</v>
      </c>
      <c r="B306" s="4" t="str">
        <f>CONCATENATE(A306,"OVR")</f>
        <v>4G93PV9NF01OVR</v>
      </c>
      <c r="C306" s="4" t="s">
        <v>788</v>
      </c>
      <c r="D306" s="4" t="s">
        <v>790</v>
      </c>
      <c r="E306" s="2" t="str">
        <f t="shared" si="4"/>
        <v>RICHARD HOLIDAY</v>
      </c>
      <c r="F306" s="4" t="s">
        <v>363</v>
      </c>
      <c r="G306" s="4" t="s">
        <v>29</v>
      </c>
      <c r="H306" s="5">
        <v>46023</v>
      </c>
      <c r="I306" s="5">
        <v>46023</v>
      </c>
      <c r="J306" s="4">
        <v>20411454</v>
      </c>
      <c r="K306" s="4" t="s">
        <v>32</v>
      </c>
      <c r="L306" s="4" t="s">
        <v>765</v>
      </c>
      <c r="M306" s="4" t="s">
        <v>34</v>
      </c>
      <c r="N306" s="4">
        <v>41.42</v>
      </c>
      <c r="O306" s="4">
        <v>12.51</v>
      </c>
      <c r="P306" s="4" t="s">
        <v>742</v>
      </c>
      <c r="R306" s="4">
        <f>41.42-28.91</f>
        <v>12.510000000000002</v>
      </c>
    </row>
    <row r="307" spans="1:18" s="4" customFormat="1" x14ac:dyDescent="0.25">
      <c r="A307" s="4" t="s">
        <v>126</v>
      </c>
      <c r="B307" s="4" t="str">
        <f>CONCATENATE(A307,"OVR")</f>
        <v>5XJ0EM1EK14OVR</v>
      </c>
      <c r="C307" s="4" t="s">
        <v>1045</v>
      </c>
      <c r="D307" s="4" t="s">
        <v>998</v>
      </c>
      <c r="E307" s="2" t="str">
        <f t="shared" si="4"/>
        <v>SANDRA BURTNER</v>
      </c>
      <c r="F307" s="4" t="s">
        <v>27</v>
      </c>
      <c r="G307" s="4" t="s">
        <v>29</v>
      </c>
      <c r="H307" s="5">
        <v>46082</v>
      </c>
      <c r="I307" s="5">
        <v>46082</v>
      </c>
      <c r="J307" s="4">
        <v>20411454</v>
      </c>
      <c r="K307" s="4" t="s">
        <v>32</v>
      </c>
      <c r="L307" s="4" t="s">
        <v>765</v>
      </c>
      <c r="M307" s="4" t="s">
        <v>34</v>
      </c>
      <c r="N307" s="4">
        <v>54.16</v>
      </c>
      <c r="O307" s="4">
        <v>54.16</v>
      </c>
      <c r="P307" s="4" t="s">
        <v>742</v>
      </c>
    </row>
    <row r="308" spans="1:18" s="4" customFormat="1" x14ac:dyDescent="0.25">
      <c r="A308" s="4" t="s">
        <v>112</v>
      </c>
      <c r="B308" s="4" t="str">
        <f>CONCATENATE(A308,"OVR")</f>
        <v>9TW8AN8CM45OVR</v>
      </c>
      <c r="C308" s="4" t="s">
        <v>1046</v>
      </c>
      <c r="D308" s="4" t="s">
        <v>950</v>
      </c>
      <c r="E308" s="2" t="str">
        <f t="shared" si="4"/>
        <v>WILLIAM BRANNON</v>
      </c>
      <c r="F308" s="4" t="s">
        <v>27</v>
      </c>
      <c r="G308" s="4" t="s">
        <v>29</v>
      </c>
      <c r="H308" s="5">
        <v>46054</v>
      </c>
      <c r="I308" s="5">
        <v>46054</v>
      </c>
      <c r="J308" s="4">
        <v>20411454</v>
      </c>
      <c r="K308" s="4" t="s">
        <v>32</v>
      </c>
      <c r="L308" s="4" t="s">
        <v>765</v>
      </c>
      <c r="M308" s="4" t="s">
        <v>34</v>
      </c>
      <c r="N308" s="4">
        <v>59.59</v>
      </c>
      <c r="O308" s="4">
        <v>59.59</v>
      </c>
      <c r="P308" s="4" t="s">
        <v>742</v>
      </c>
    </row>
    <row r="309" spans="1:18" s="4" customFormat="1" x14ac:dyDescent="0.25">
      <c r="A309" s="4" t="s">
        <v>83</v>
      </c>
      <c r="B309" s="4" t="str">
        <f>CONCATENATE(A309,"OVR")</f>
        <v>9RY7NQ8UN78OVR</v>
      </c>
      <c r="C309" s="4" t="s">
        <v>1005</v>
      </c>
      <c r="D309" s="4" t="s">
        <v>948</v>
      </c>
      <c r="E309" s="2" t="str">
        <f t="shared" si="4"/>
        <v>BEVERLY BENTLEY</v>
      </c>
      <c r="F309" s="4" t="s">
        <v>27</v>
      </c>
      <c r="G309" s="4" t="s">
        <v>86</v>
      </c>
      <c r="H309" s="5">
        <v>46023</v>
      </c>
      <c r="I309" s="5">
        <v>46023</v>
      </c>
      <c r="J309" s="4">
        <v>20411454</v>
      </c>
      <c r="K309" s="4" t="s">
        <v>32</v>
      </c>
      <c r="L309" s="4" t="s">
        <v>765</v>
      </c>
      <c r="M309" s="4" t="s">
        <v>34</v>
      </c>
      <c r="N309" s="4">
        <v>65</v>
      </c>
      <c r="O309" s="4">
        <v>65</v>
      </c>
      <c r="P309" s="4" t="s">
        <v>742</v>
      </c>
    </row>
    <row r="310" spans="1:18" s="4" customFormat="1" x14ac:dyDescent="0.25">
      <c r="A310" s="4" t="s">
        <v>123</v>
      </c>
      <c r="B310" s="4" t="str">
        <f>CONCATENATE(A310,"OVR")</f>
        <v>8RA4GW6QH05OVR</v>
      </c>
      <c r="C310" s="4" t="s">
        <v>1033</v>
      </c>
      <c r="D310" s="4" t="s">
        <v>1034</v>
      </c>
      <c r="E310" s="2" t="str">
        <f t="shared" si="4"/>
        <v>GLORIA BRYAN</v>
      </c>
      <c r="F310" s="4" t="s">
        <v>27</v>
      </c>
      <c r="G310" s="4" t="s">
        <v>29</v>
      </c>
      <c r="H310" s="5">
        <v>46054</v>
      </c>
      <c r="I310" s="5">
        <v>46054</v>
      </c>
      <c r="J310" s="4">
        <v>20411454</v>
      </c>
      <c r="K310" s="4" t="s">
        <v>32</v>
      </c>
      <c r="L310" s="4" t="s">
        <v>765</v>
      </c>
      <c r="M310" s="4" t="s">
        <v>34</v>
      </c>
      <c r="N310" s="4">
        <v>65</v>
      </c>
      <c r="O310" s="4">
        <v>65</v>
      </c>
      <c r="P310" s="4" t="s">
        <v>742</v>
      </c>
    </row>
    <row r="311" spans="1:18" s="4" customFormat="1" x14ac:dyDescent="0.25">
      <c r="A311" s="4" t="s">
        <v>147</v>
      </c>
      <c r="B311" s="4" t="str">
        <f>CONCATENATE(A311,"OVR")</f>
        <v>9MN9UG1QA19OVR</v>
      </c>
      <c r="C311" s="4" t="s">
        <v>1006</v>
      </c>
      <c r="D311" s="4" t="s">
        <v>1007</v>
      </c>
      <c r="E311" s="2" t="str">
        <f t="shared" si="4"/>
        <v>CONNIE CANCILLA</v>
      </c>
      <c r="F311" s="4" t="s">
        <v>27</v>
      </c>
      <c r="G311" s="4" t="s">
        <v>29</v>
      </c>
      <c r="H311" s="5">
        <v>46023</v>
      </c>
      <c r="I311" s="5">
        <v>46023</v>
      </c>
      <c r="J311" s="4">
        <v>20411454</v>
      </c>
      <c r="K311" s="4" t="s">
        <v>32</v>
      </c>
      <c r="L311" s="4" t="s">
        <v>765</v>
      </c>
      <c r="M311" s="4" t="s">
        <v>34</v>
      </c>
      <c r="N311" s="4">
        <v>65</v>
      </c>
      <c r="O311" s="4">
        <v>65</v>
      </c>
      <c r="P311" s="4" t="s">
        <v>742</v>
      </c>
    </row>
    <row r="312" spans="1:18" s="4" customFormat="1" x14ac:dyDescent="0.25">
      <c r="A312" s="4" t="s">
        <v>172</v>
      </c>
      <c r="B312" s="4" t="str">
        <f>CONCATENATE(A312,"OVR")</f>
        <v>2V41V51XD95OVR</v>
      </c>
      <c r="C312" s="4" t="s">
        <v>1008</v>
      </c>
      <c r="D312" s="4" t="s">
        <v>1009</v>
      </c>
      <c r="E312" s="2" t="str">
        <f t="shared" si="4"/>
        <v>KARL CHEEKS</v>
      </c>
      <c r="F312" s="4" t="s">
        <v>27</v>
      </c>
      <c r="G312" s="4" t="s">
        <v>29</v>
      </c>
      <c r="H312" s="5">
        <v>46023</v>
      </c>
      <c r="I312" s="5">
        <v>46023</v>
      </c>
      <c r="J312" s="4">
        <v>20411454</v>
      </c>
      <c r="K312" s="4" t="s">
        <v>32</v>
      </c>
      <c r="L312" s="4" t="s">
        <v>765</v>
      </c>
      <c r="M312" s="4" t="s">
        <v>34</v>
      </c>
      <c r="N312" s="4">
        <v>65</v>
      </c>
      <c r="O312" s="4">
        <v>65</v>
      </c>
      <c r="P312" s="4" t="s">
        <v>742</v>
      </c>
    </row>
    <row r="313" spans="1:18" s="4" customFormat="1" x14ac:dyDescent="0.25">
      <c r="A313" s="4" t="s">
        <v>234</v>
      </c>
      <c r="B313" s="4" t="str">
        <f>CONCATENATE(A313,"OVR")</f>
        <v>3P46G02EN73OVR</v>
      </c>
      <c r="C313" s="4" t="s">
        <v>1010</v>
      </c>
      <c r="D313" s="4" t="s">
        <v>1011</v>
      </c>
      <c r="E313" s="2" t="str">
        <f t="shared" si="4"/>
        <v>KERI DOLAN</v>
      </c>
      <c r="F313" s="4" t="s">
        <v>27</v>
      </c>
      <c r="G313" s="4" t="s">
        <v>29</v>
      </c>
      <c r="H313" s="5">
        <v>46023</v>
      </c>
      <c r="I313" s="5">
        <v>46023</v>
      </c>
      <c r="J313" s="4">
        <v>20411454</v>
      </c>
      <c r="K313" s="4" t="s">
        <v>32</v>
      </c>
      <c r="L313" s="4" t="s">
        <v>765</v>
      </c>
      <c r="M313" s="4" t="s">
        <v>34</v>
      </c>
      <c r="N313" s="4">
        <v>65</v>
      </c>
      <c r="O313" s="4">
        <v>65</v>
      </c>
      <c r="P313" s="4" t="s">
        <v>742</v>
      </c>
    </row>
    <row r="314" spans="1:18" s="4" customFormat="1" x14ac:dyDescent="0.25">
      <c r="A314" s="4" t="s">
        <v>247</v>
      </c>
      <c r="B314" s="4" t="str">
        <f>CONCATENATE(A314,"OVR")</f>
        <v>2NE5MH4FP73OVR</v>
      </c>
      <c r="C314" s="4" t="s">
        <v>1012</v>
      </c>
      <c r="D314" s="4" t="s">
        <v>819</v>
      </c>
      <c r="E314" s="2" t="str">
        <f t="shared" si="4"/>
        <v>JOHN FERGUSON</v>
      </c>
      <c r="F314" s="4" t="s">
        <v>27</v>
      </c>
      <c r="G314" s="4" t="s">
        <v>29</v>
      </c>
      <c r="H314" s="5">
        <v>46023</v>
      </c>
      <c r="I314" s="5">
        <v>46023</v>
      </c>
      <c r="J314" s="4">
        <v>20411454</v>
      </c>
      <c r="K314" s="4" t="s">
        <v>32</v>
      </c>
      <c r="L314" s="4" t="s">
        <v>765</v>
      </c>
      <c r="M314" s="4" t="s">
        <v>34</v>
      </c>
      <c r="N314" s="4">
        <v>65</v>
      </c>
      <c r="O314" s="4">
        <v>65</v>
      </c>
      <c r="P314" s="4" t="s">
        <v>742</v>
      </c>
    </row>
    <row r="315" spans="1:18" s="4" customFormat="1" x14ac:dyDescent="0.25">
      <c r="A315" s="4" t="s">
        <v>257</v>
      </c>
      <c r="B315" s="4" t="str">
        <f>CONCATENATE(A315,"OVR")</f>
        <v>6WP0E65JV06OVR</v>
      </c>
      <c r="C315" s="4" t="s">
        <v>1013</v>
      </c>
      <c r="D315" s="4" t="s">
        <v>1014</v>
      </c>
      <c r="E315" s="2" t="str">
        <f t="shared" si="4"/>
        <v>HOLLY FLEISCHER</v>
      </c>
      <c r="F315" s="4" t="s">
        <v>27</v>
      </c>
      <c r="G315" s="4" t="s">
        <v>29</v>
      </c>
      <c r="H315" s="5">
        <v>46023</v>
      </c>
      <c r="I315" s="5">
        <v>46023</v>
      </c>
      <c r="J315" s="4">
        <v>20411454</v>
      </c>
      <c r="K315" s="4" t="s">
        <v>32</v>
      </c>
      <c r="L315" s="4" t="s">
        <v>765</v>
      </c>
      <c r="M315" s="4" t="s">
        <v>34</v>
      </c>
      <c r="N315" s="4">
        <v>65</v>
      </c>
      <c r="O315" s="4">
        <v>65</v>
      </c>
      <c r="P315" s="4" t="s">
        <v>742</v>
      </c>
    </row>
    <row r="316" spans="1:18" s="4" customFormat="1" x14ac:dyDescent="0.25">
      <c r="A316" s="4" t="s">
        <v>281</v>
      </c>
      <c r="B316" s="4" t="str">
        <f>CONCATENATE(A316,"OVR")</f>
        <v>4N22FY0WF05OVR</v>
      </c>
      <c r="C316" s="4" t="s">
        <v>1015</v>
      </c>
      <c r="D316" s="4" t="s">
        <v>1016</v>
      </c>
      <c r="E316" s="2" t="str">
        <f t="shared" si="4"/>
        <v>JODY GIACOMANTONIO</v>
      </c>
      <c r="F316" s="4" t="s">
        <v>27</v>
      </c>
      <c r="G316" s="4" t="s">
        <v>29</v>
      </c>
      <c r="H316" s="5">
        <v>46023</v>
      </c>
      <c r="I316" s="5">
        <v>46023</v>
      </c>
      <c r="J316" s="4">
        <v>20411454</v>
      </c>
      <c r="K316" s="4" t="s">
        <v>32</v>
      </c>
      <c r="L316" s="4" t="s">
        <v>765</v>
      </c>
      <c r="M316" s="4" t="s">
        <v>34</v>
      </c>
      <c r="N316" s="4">
        <v>65</v>
      </c>
      <c r="O316" s="4">
        <v>65</v>
      </c>
      <c r="P316" s="4" t="s">
        <v>742</v>
      </c>
    </row>
    <row r="317" spans="1:18" s="4" customFormat="1" x14ac:dyDescent="0.25">
      <c r="A317" s="4" t="s">
        <v>290</v>
      </c>
      <c r="B317" s="4" t="str">
        <f>CONCATENATE(A317,"OVR")</f>
        <v>2G11NX6NQ11OVR</v>
      </c>
      <c r="C317" s="4" t="s">
        <v>1047</v>
      </c>
      <c r="D317" s="4" t="s">
        <v>1048</v>
      </c>
      <c r="E317" s="2" t="str">
        <f t="shared" si="4"/>
        <v>JEANNE GOODKNIGHT</v>
      </c>
      <c r="F317" s="4" t="s">
        <v>27</v>
      </c>
      <c r="G317" s="4" t="s">
        <v>29</v>
      </c>
      <c r="H317" s="5">
        <v>46023</v>
      </c>
      <c r="I317" s="5">
        <v>46023</v>
      </c>
      <c r="J317" s="4">
        <v>20411454</v>
      </c>
      <c r="K317" s="4" t="s">
        <v>32</v>
      </c>
      <c r="L317" s="4" t="s">
        <v>765</v>
      </c>
      <c r="M317" s="4" t="s">
        <v>34</v>
      </c>
      <c r="N317" s="4">
        <v>65</v>
      </c>
      <c r="O317" s="4">
        <v>65</v>
      </c>
      <c r="P317" s="4" t="s">
        <v>742</v>
      </c>
    </row>
    <row r="318" spans="1:18" s="4" customFormat="1" x14ac:dyDescent="0.25">
      <c r="A318" s="4" t="s">
        <v>318</v>
      </c>
      <c r="B318" s="4" t="str">
        <f>CONCATENATE(A318,"OVR")</f>
        <v>9F85UM5QP80OVR</v>
      </c>
      <c r="C318" s="4" t="s">
        <v>1017</v>
      </c>
      <c r="D318" s="4" t="s">
        <v>936</v>
      </c>
      <c r="E318" s="2" t="str">
        <f t="shared" si="4"/>
        <v>JAMES HARVEY</v>
      </c>
      <c r="F318" s="4" t="s">
        <v>27</v>
      </c>
      <c r="G318" s="4" t="s">
        <v>29</v>
      </c>
      <c r="H318" s="5">
        <v>46023</v>
      </c>
      <c r="I318" s="5">
        <v>46023</v>
      </c>
      <c r="J318" s="4">
        <v>20411454</v>
      </c>
      <c r="K318" s="4" t="s">
        <v>32</v>
      </c>
      <c r="L318" s="4" t="s">
        <v>765</v>
      </c>
      <c r="M318" s="4" t="s">
        <v>34</v>
      </c>
      <c r="N318" s="4">
        <v>65</v>
      </c>
      <c r="O318" s="4">
        <v>65</v>
      </c>
      <c r="P318" s="4" t="s">
        <v>742</v>
      </c>
    </row>
    <row r="319" spans="1:18" s="4" customFormat="1" x14ac:dyDescent="0.25">
      <c r="A319" s="4" t="s">
        <v>327</v>
      </c>
      <c r="B319" s="4" t="str">
        <f>CONCATENATE(A319,"OVR")</f>
        <v>6X08M09JY28OVR</v>
      </c>
      <c r="C319" s="4" t="s">
        <v>1049</v>
      </c>
      <c r="D319" s="4" t="s">
        <v>1050</v>
      </c>
      <c r="E319" s="2" t="str">
        <f t="shared" si="4"/>
        <v>MARSHALL HAWK</v>
      </c>
      <c r="F319" s="4" t="s">
        <v>27</v>
      </c>
      <c r="G319" s="4" t="s">
        <v>29</v>
      </c>
      <c r="H319" s="5">
        <v>46023</v>
      </c>
      <c r="I319" s="5">
        <v>46023</v>
      </c>
      <c r="J319" s="4">
        <v>20411454</v>
      </c>
      <c r="K319" s="4" t="s">
        <v>32</v>
      </c>
      <c r="L319" s="4" t="s">
        <v>765</v>
      </c>
      <c r="M319" s="4" t="s">
        <v>34</v>
      </c>
      <c r="N319" s="4">
        <v>65</v>
      </c>
      <c r="O319" s="4">
        <v>65</v>
      </c>
      <c r="P319" s="4" t="s">
        <v>742</v>
      </c>
    </row>
    <row r="320" spans="1:18" s="4" customFormat="1" x14ac:dyDescent="0.25">
      <c r="A320" s="4" t="s">
        <v>350</v>
      </c>
      <c r="B320" s="4" t="str">
        <f>CONCATENATE(A320,"OVR")</f>
        <v>4YR1M28DC33OVR</v>
      </c>
      <c r="C320" s="4" t="s">
        <v>1018</v>
      </c>
      <c r="D320" s="4" t="s">
        <v>990</v>
      </c>
      <c r="E320" s="2" t="str">
        <f t="shared" si="4"/>
        <v>LINDA HINCHBERGER</v>
      </c>
      <c r="F320" s="4" t="s">
        <v>27</v>
      </c>
      <c r="G320" s="4" t="s">
        <v>29</v>
      </c>
      <c r="H320" s="5">
        <v>46023</v>
      </c>
      <c r="I320" s="5">
        <v>46023</v>
      </c>
      <c r="J320" s="4">
        <v>20411454</v>
      </c>
      <c r="K320" s="4" t="s">
        <v>32</v>
      </c>
      <c r="L320" s="4" t="s">
        <v>765</v>
      </c>
      <c r="M320" s="4" t="s">
        <v>34</v>
      </c>
      <c r="N320" s="4">
        <v>65</v>
      </c>
      <c r="O320" s="4">
        <v>65</v>
      </c>
      <c r="P320" s="4" t="s">
        <v>742</v>
      </c>
    </row>
    <row r="321" spans="1:27" s="4" customFormat="1" x14ac:dyDescent="0.25">
      <c r="A321" s="4" t="s">
        <v>354</v>
      </c>
      <c r="B321" s="4" t="str">
        <f>CONCATENATE(A321,"OVR")</f>
        <v>3R00V07MR02OVR</v>
      </c>
      <c r="C321" s="4" t="s">
        <v>1019</v>
      </c>
      <c r="D321" s="4" t="s">
        <v>1020</v>
      </c>
      <c r="E321" s="2" t="str">
        <f t="shared" si="4"/>
        <v>DONALD HINDS</v>
      </c>
      <c r="F321" s="4" t="s">
        <v>27</v>
      </c>
      <c r="G321" s="4" t="s">
        <v>29</v>
      </c>
      <c r="H321" s="5">
        <v>46023</v>
      </c>
      <c r="I321" s="5">
        <v>46023</v>
      </c>
      <c r="J321" s="4">
        <v>20411454</v>
      </c>
      <c r="K321" s="4" t="s">
        <v>32</v>
      </c>
      <c r="L321" s="4" t="s">
        <v>765</v>
      </c>
      <c r="M321" s="4" t="s">
        <v>34</v>
      </c>
      <c r="N321" s="4">
        <v>65</v>
      </c>
      <c r="O321" s="4">
        <v>65</v>
      </c>
      <c r="P321" s="4" t="s">
        <v>742</v>
      </c>
    </row>
    <row r="322" spans="1:27" s="4" customFormat="1" x14ac:dyDescent="0.25">
      <c r="A322" s="4" t="s">
        <v>405</v>
      </c>
      <c r="B322" s="4" t="str">
        <f>CONCATENATE(A322,"OVR")</f>
        <v>4R32HC9YH90OVR</v>
      </c>
      <c r="C322" s="4" t="s">
        <v>1042</v>
      </c>
      <c r="D322" s="4" t="s">
        <v>1044</v>
      </c>
      <c r="E322" s="2" t="str">
        <f t="shared" si="4"/>
        <v>GERALD KOCHMAR</v>
      </c>
      <c r="F322" s="4" t="s">
        <v>27</v>
      </c>
      <c r="G322" s="4" t="s">
        <v>29</v>
      </c>
      <c r="H322" s="5">
        <v>46023</v>
      </c>
      <c r="I322" s="5">
        <v>46023</v>
      </c>
      <c r="J322" s="4">
        <v>20411454</v>
      </c>
      <c r="K322" s="4" t="s">
        <v>32</v>
      </c>
      <c r="L322" s="4" t="s">
        <v>765</v>
      </c>
      <c r="M322" s="4" t="s">
        <v>34</v>
      </c>
      <c r="N322" s="4">
        <v>65</v>
      </c>
      <c r="O322" s="4">
        <v>65</v>
      </c>
      <c r="P322" s="4" t="s">
        <v>742</v>
      </c>
    </row>
    <row r="323" spans="1:27" s="4" customFormat="1" x14ac:dyDescent="0.25">
      <c r="A323" s="4" t="s">
        <v>408</v>
      </c>
      <c r="B323" s="4" t="str">
        <f>CONCATENATE(A323,"OVR")</f>
        <v>8X93P99AR91OVR</v>
      </c>
      <c r="C323" s="4" t="s">
        <v>1042</v>
      </c>
      <c r="D323" s="4" t="s">
        <v>1043</v>
      </c>
      <c r="E323" s="2" t="str">
        <f t="shared" ref="E323:E386" si="5">CONCATENATE(D323," ",C323)</f>
        <v>DOMINICA KOCHMAR</v>
      </c>
      <c r="F323" s="4" t="s">
        <v>27</v>
      </c>
      <c r="G323" s="4" t="s">
        <v>29</v>
      </c>
      <c r="H323" s="5">
        <v>46023</v>
      </c>
      <c r="I323" s="5">
        <v>46023</v>
      </c>
      <c r="J323" s="4">
        <v>20411454</v>
      </c>
      <c r="K323" s="4" t="s">
        <v>32</v>
      </c>
      <c r="L323" s="4" t="s">
        <v>765</v>
      </c>
      <c r="M323" s="4" t="s">
        <v>34</v>
      </c>
      <c r="N323" s="4">
        <v>65</v>
      </c>
      <c r="O323" s="4">
        <v>65</v>
      </c>
      <c r="P323" s="4" t="s">
        <v>742</v>
      </c>
    </row>
    <row r="324" spans="1:27" s="4" customFormat="1" x14ac:dyDescent="0.25">
      <c r="A324" s="4" t="s">
        <v>427</v>
      </c>
      <c r="B324" s="4" t="str">
        <f>CONCATENATE(A324,"OVR")</f>
        <v>2NJ5N45UK54OVR</v>
      </c>
      <c r="C324" s="4" t="s">
        <v>1021</v>
      </c>
      <c r="D324" s="4" t="s">
        <v>998</v>
      </c>
      <c r="E324" s="2" t="str">
        <f t="shared" si="5"/>
        <v>SANDRA LEFEVER</v>
      </c>
      <c r="F324" s="4" t="s">
        <v>27</v>
      </c>
      <c r="G324" s="4" t="s">
        <v>29</v>
      </c>
      <c r="H324" s="5">
        <v>46023</v>
      </c>
      <c r="I324" s="5">
        <v>46023</v>
      </c>
      <c r="J324" s="4">
        <v>20411454</v>
      </c>
      <c r="K324" s="4" t="s">
        <v>32</v>
      </c>
      <c r="L324" s="4" t="s">
        <v>765</v>
      </c>
      <c r="M324" s="4" t="s">
        <v>34</v>
      </c>
      <c r="N324" s="4">
        <v>65</v>
      </c>
      <c r="O324" s="4">
        <v>65</v>
      </c>
      <c r="P324" s="4" t="s">
        <v>742</v>
      </c>
    </row>
    <row r="325" spans="1:27" s="4" customFormat="1" x14ac:dyDescent="0.25">
      <c r="A325" s="4" t="s">
        <v>441</v>
      </c>
      <c r="B325" s="4" t="str">
        <f>CONCATENATE(A325,"OVR")</f>
        <v>5R39T40MH00OVR</v>
      </c>
      <c r="C325" s="4" t="s">
        <v>1022</v>
      </c>
      <c r="D325" s="4" t="s">
        <v>1023</v>
      </c>
      <c r="E325" s="2" t="str">
        <f t="shared" si="5"/>
        <v>TAMMY LUTZ</v>
      </c>
      <c r="F325" s="4" t="s">
        <v>27</v>
      </c>
      <c r="G325" s="4" t="s">
        <v>29</v>
      </c>
      <c r="H325" s="5">
        <v>46023</v>
      </c>
      <c r="I325" s="5">
        <v>46023</v>
      </c>
      <c r="J325" s="4">
        <v>20411454</v>
      </c>
      <c r="K325" s="4" t="s">
        <v>32</v>
      </c>
      <c r="L325" s="4" t="s">
        <v>765</v>
      </c>
      <c r="M325" s="4" t="s">
        <v>34</v>
      </c>
      <c r="N325" s="4">
        <v>65</v>
      </c>
      <c r="O325" s="4">
        <v>65</v>
      </c>
      <c r="P325" s="4" t="s">
        <v>742</v>
      </c>
    </row>
    <row r="326" spans="1:27" s="4" customFormat="1" x14ac:dyDescent="0.25">
      <c r="A326" s="4" t="s">
        <v>444</v>
      </c>
      <c r="B326" s="4" t="str">
        <f>CONCATENATE(A326,"OVR")</f>
        <v>6UJ9JM2PC17OVR</v>
      </c>
      <c r="C326" s="4" t="s">
        <v>1035</v>
      </c>
      <c r="D326" s="4" t="s">
        <v>790</v>
      </c>
      <c r="E326" s="2" t="str">
        <f t="shared" si="5"/>
        <v>RICHARD MAGEE</v>
      </c>
      <c r="F326" s="4" t="s">
        <v>27</v>
      </c>
      <c r="G326" s="4" t="s">
        <v>29</v>
      </c>
      <c r="H326" s="5">
        <v>46054</v>
      </c>
      <c r="I326" s="5">
        <v>46054</v>
      </c>
      <c r="J326" s="4">
        <v>20411454</v>
      </c>
      <c r="K326" s="4" t="s">
        <v>32</v>
      </c>
      <c r="L326" s="4" t="s">
        <v>765</v>
      </c>
      <c r="M326" s="4" t="s">
        <v>34</v>
      </c>
      <c r="N326" s="4">
        <v>65</v>
      </c>
      <c r="O326" s="4">
        <v>65</v>
      </c>
      <c r="P326" s="4" t="s">
        <v>742</v>
      </c>
    </row>
    <row r="327" spans="1:27" s="4" customFormat="1" x14ac:dyDescent="0.25">
      <c r="A327" s="4" t="s">
        <v>457</v>
      </c>
      <c r="B327" s="4" t="str">
        <f>CONCATENATE(A327,"OVR")</f>
        <v>7ME6GV0UA82OVR</v>
      </c>
      <c r="C327" s="4" t="s">
        <v>1024</v>
      </c>
      <c r="D327" s="4" t="s">
        <v>973</v>
      </c>
      <c r="E327" s="2" t="str">
        <f t="shared" si="5"/>
        <v>MATTHEW MALONI</v>
      </c>
      <c r="F327" s="4" t="s">
        <v>27</v>
      </c>
      <c r="G327" s="4" t="s">
        <v>29</v>
      </c>
      <c r="H327" s="5">
        <v>46023</v>
      </c>
      <c r="I327" s="5">
        <v>46023</v>
      </c>
      <c r="J327" s="4">
        <v>20411454</v>
      </c>
      <c r="K327" s="4" t="s">
        <v>32</v>
      </c>
      <c r="L327" s="4" t="s">
        <v>765</v>
      </c>
      <c r="M327" s="4" t="s">
        <v>34</v>
      </c>
      <c r="N327" s="4">
        <v>65</v>
      </c>
      <c r="O327" s="4">
        <v>65</v>
      </c>
      <c r="P327" s="4" t="s">
        <v>742</v>
      </c>
    </row>
    <row r="328" spans="1:27" s="4" customFormat="1" x14ac:dyDescent="0.25">
      <c r="A328" s="4" t="s">
        <v>488</v>
      </c>
      <c r="B328" s="4" t="str">
        <f>CONCATENATE(A328,"OVR")</f>
        <v>5HV6M99EP75OVR</v>
      </c>
      <c r="C328" s="4" t="s">
        <v>1051</v>
      </c>
      <c r="D328" s="4" t="s">
        <v>1052</v>
      </c>
      <c r="E328" s="2" t="str">
        <f t="shared" si="5"/>
        <v>REGINA MCFARLAND</v>
      </c>
      <c r="F328" s="4" t="s">
        <v>27</v>
      </c>
      <c r="G328" s="4" t="s">
        <v>86</v>
      </c>
      <c r="H328" s="5">
        <v>46023</v>
      </c>
      <c r="I328" s="5">
        <v>46023</v>
      </c>
      <c r="J328" s="4">
        <v>20411454</v>
      </c>
      <c r="K328" s="4" t="s">
        <v>32</v>
      </c>
      <c r="L328" s="4" t="s">
        <v>765</v>
      </c>
      <c r="M328" s="4" t="s">
        <v>34</v>
      </c>
      <c r="N328" s="4">
        <v>65</v>
      </c>
      <c r="O328" s="4">
        <v>65</v>
      </c>
      <c r="P328" s="4" t="s">
        <v>742</v>
      </c>
    </row>
    <row r="329" spans="1:27" s="4" customFormat="1" x14ac:dyDescent="0.25">
      <c r="A329" s="4" t="s">
        <v>513</v>
      </c>
      <c r="B329" s="4" t="str">
        <f>CONCATENATE(A329,"OVR")</f>
        <v>8MK2C27DD09OVR</v>
      </c>
      <c r="C329" s="4" t="s">
        <v>884</v>
      </c>
      <c r="D329" s="4" t="s">
        <v>816</v>
      </c>
      <c r="E329" s="2" t="str">
        <f t="shared" si="5"/>
        <v>JEFFREY MILLER</v>
      </c>
      <c r="F329" s="4" t="s">
        <v>27</v>
      </c>
      <c r="G329" s="4" t="s">
        <v>86</v>
      </c>
      <c r="H329" s="5">
        <v>46023</v>
      </c>
      <c r="I329" s="5">
        <v>46023</v>
      </c>
      <c r="J329" s="4">
        <v>20411454</v>
      </c>
      <c r="K329" s="4" t="s">
        <v>32</v>
      </c>
      <c r="L329" s="4" t="s">
        <v>765</v>
      </c>
      <c r="M329" s="4" t="s">
        <v>34</v>
      </c>
      <c r="N329" s="4">
        <v>65</v>
      </c>
      <c r="O329" s="4">
        <v>65</v>
      </c>
      <c r="P329" s="4" t="s">
        <v>742</v>
      </c>
    </row>
    <row r="330" spans="1:27" s="4" customFormat="1" x14ac:dyDescent="0.25">
      <c r="A330" s="4" t="s">
        <v>522</v>
      </c>
      <c r="B330" s="4" t="str">
        <f>CONCATENATE(A330,"OVR")</f>
        <v>7R79PU4WT29OVR</v>
      </c>
      <c r="C330" s="4" t="s">
        <v>1053</v>
      </c>
      <c r="D330" s="4" t="s">
        <v>1054</v>
      </c>
      <c r="E330" s="2" t="str">
        <f t="shared" si="5"/>
        <v>KEITH MONKS</v>
      </c>
      <c r="F330" s="4" t="s">
        <v>27</v>
      </c>
      <c r="G330" s="4" t="s">
        <v>29</v>
      </c>
      <c r="H330" s="5">
        <v>46023</v>
      </c>
      <c r="I330" s="5">
        <v>46023</v>
      </c>
      <c r="J330" s="4">
        <v>20411454</v>
      </c>
      <c r="K330" s="4" t="s">
        <v>32</v>
      </c>
      <c r="L330" s="4" t="s">
        <v>765</v>
      </c>
      <c r="M330" s="4" t="s">
        <v>34</v>
      </c>
      <c r="N330" s="4">
        <v>65</v>
      </c>
      <c r="O330" s="4">
        <v>65</v>
      </c>
      <c r="P330" s="4" t="s">
        <v>742</v>
      </c>
    </row>
    <row r="331" spans="1:27" s="4" customFormat="1" x14ac:dyDescent="0.25">
      <c r="A331" s="4" t="s">
        <v>544</v>
      </c>
      <c r="B331" s="4" t="str">
        <f>CONCATENATE(A331,"OVR")</f>
        <v>1J93CG7XA80OVR</v>
      </c>
      <c r="C331" s="4" t="s">
        <v>1025</v>
      </c>
      <c r="D331" s="4" t="s">
        <v>1026</v>
      </c>
      <c r="E331" s="2" t="str">
        <f t="shared" si="5"/>
        <v>CAROL NOVY</v>
      </c>
      <c r="F331" s="4" t="s">
        <v>27</v>
      </c>
      <c r="G331" s="4" t="s">
        <v>29</v>
      </c>
      <c r="H331" s="5">
        <v>46023</v>
      </c>
      <c r="I331" s="5">
        <v>46023</v>
      </c>
      <c r="J331" s="4">
        <v>20411454</v>
      </c>
      <c r="K331" s="4" t="s">
        <v>32</v>
      </c>
      <c r="L331" s="4" t="s">
        <v>765</v>
      </c>
      <c r="M331" s="4" t="s">
        <v>34</v>
      </c>
      <c r="N331" s="4">
        <v>65</v>
      </c>
      <c r="O331" s="4">
        <v>65</v>
      </c>
      <c r="P331" s="4" t="s">
        <v>742</v>
      </c>
    </row>
    <row r="332" spans="1:27" s="4" customFormat="1" x14ac:dyDescent="0.25">
      <c r="A332" s="4" t="s">
        <v>576</v>
      </c>
      <c r="B332" s="4" t="str">
        <f>CONCATENATE(A332,"OVR")</f>
        <v>9EP9M27VT34OVR</v>
      </c>
      <c r="C332" s="4" t="s">
        <v>1027</v>
      </c>
      <c r="D332" s="4" t="s">
        <v>1028</v>
      </c>
      <c r="E332" s="2" t="str">
        <f t="shared" si="5"/>
        <v>MELVIN PRITTS</v>
      </c>
      <c r="F332" s="4" t="s">
        <v>27</v>
      </c>
      <c r="G332" s="4" t="s">
        <v>86</v>
      </c>
      <c r="H332" s="5">
        <v>46023</v>
      </c>
      <c r="I332" s="5">
        <v>46023</v>
      </c>
      <c r="J332" s="4">
        <v>20411454</v>
      </c>
      <c r="K332" s="4" t="s">
        <v>32</v>
      </c>
      <c r="L332" s="4" t="s">
        <v>765</v>
      </c>
      <c r="M332" s="4" t="s">
        <v>34</v>
      </c>
      <c r="N332" s="4">
        <v>65</v>
      </c>
      <c r="O332" s="4">
        <v>65</v>
      </c>
      <c r="P332" s="4" t="s">
        <v>742</v>
      </c>
    </row>
    <row r="333" spans="1:27" s="4" customFormat="1" x14ac:dyDescent="0.25">
      <c r="A333" s="4" t="s">
        <v>623</v>
      </c>
      <c r="B333" s="4" t="str">
        <f>CONCATENATE(A333,"OVR")</f>
        <v>8PR1DD1MW09OVR</v>
      </c>
      <c r="C333" s="4" t="s">
        <v>1029</v>
      </c>
      <c r="D333" s="4" t="s">
        <v>1030</v>
      </c>
      <c r="E333" s="2" t="str">
        <f t="shared" si="5"/>
        <v>ERWIN SCHRAMM</v>
      </c>
      <c r="F333" s="4" t="s">
        <v>27</v>
      </c>
      <c r="G333" s="4" t="s">
        <v>29</v>
      </c>
      <c r="H333" s="5">
        <v>46023</v>
      </c>
      <c r="I333" s="5">
        <v>46023</v>
      </c>
      <c r="J333" s="4">
        <v>20411454</v>
      </c>
      <c r="K333" s="4" t="s">
        <v>32</v>
      </c>
      <c r="L333" s="4" t="s">
        <v>765</v>
      </c>
      <c r="M333" s="4" t="s">
        <v>34</v>
      </c>
      <c r="N333" s="4">
        <v>65</v>
      </c>
      <c r="O333" s="4">
        <v>65</v>
      </c>
      <c r="P333" s="4" t="s">
        <v>742</v>
      </c>
    </row>
    <row r="334" spans="1:27" s="2" customFormat="1" x14ac:dyDescent="0.25">
      <c r="A334" s="4" t="s">
        <v>672</v>
      </c>
      <c r="B334" s="4" t="str">
        <f>CONCATENATE(A334,"OVR")</f>
        <v>3GY2G03VX96OVR</v>
      </c>
      <c r="C334" s="4" t="s">
        <v>1031</v>
      </c>
      <c r="D334" s="4" t="s">
        <v>1032</v>
      </c>
      <c r="E334" s="2" t="str">
        <f t="shared" si="5"/>
        <v>SAM TURNER</v>
      </c>
      <c r="F334" s="4" t="s">
        <v>27</v>
      </c>
      <c r="G334" s="4" t="s">
        <v>29</v>
      </c>
      <c r="H334" s="5">
        <v>46023</v>
      </c>
      <c r="I334" s="5">
        <v>46023</v>
      </c>
      <c r="J334" s="4">
        <v>20411454</v>
      </c>
      <c r="K334" s="4" t="s">
        <v>32</v>
      </c>
      <c r="L334" s="4" t="s">
        <v>765</v>
      </c>
      <c r="M334" s="4" t="s">
        <v>34</v>
      </c>
      <c r="N334" s="4">
        <v>65</v>
      </c>
      <c r="O334" s="4">
        <v>65</v>
      </c>
      <c r="P334" s="4" t="s">
        <v>742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s="2" customFormat="1" x14ac:dyDescent="0.25">
      <c r="A335" s="4" t="s">
        <v>89</v>
      </c>
      <c r="B335" s="4" t="str">
        <f>CONCATENATE(A335,"OVR")</f>
        <v>2FE0Y28RP43OVR</v>
      </c>
      <c r="C335" s="4" t="s">
        <v>1000</v>
      </c>
      <c r="D335" s="4" t="s">
        <v>1001</v>
      </c>
      <c r="E335" s="2" t="str">
        <f t="shared" si="5"/>
        <v>DMITRI BOULAVINOV</v>
      </c>
      <c r="F335" s="4" t="s">
        <v>27</v>
      </c>
      <c r="G335" s="4" t="s">
        <v>29</v>
      </c>
      <c r="H335" s="5">
        <v>46023</v>
      </c>
      <c r="I335" s="5">
        <v>46023</v>
      </c>
      <c r="J335" s="4">
        <v>20411454</v>
      </c>
      <c r="K335" s="4" t="s">
        <v>93</v>
      </c>
      <c r="L335" s="4" t="s">
        <v>765</v>
      </c>
      <c r="M335" s="4" t="s">
        <v>34</v>
      </c>
      <c r="N335" s="4">
        <v>135</v>
      </c>
      <c r="O335" s="4">
        <v>135</v>
      </c>
      <c r="P335" s="4" t="s">
        <v>742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s="4" customFormat="1" x14ac:dyDescent="0.25">
      <c r="A336" s="4" t="s">
        <v>243</v>
      </c>
      <c r="B336" s="4" t="str">
        <f>CONCATENATE(A336,"OVR")</f>
        <v>6P18FG0XX47OVR</v>
      </c>
      <c r="C336" s="4" t="s">
        <v>1002</v>
      </c>
      <c r="D336" s="4" t="s">
        <v>1003</v>
      </c>
      <c r="E336" s="2" t="str">
        <f t="shared" si="5"/>
        <v>CAROLYN ERCOLE</v>
      </c>
      <c r="F336" s="4" t="s">
        <v>27</v>
      </c>
      <c r="G336" s="4" t="s">
        <v>29</v>
      </c>
      <c r="H336" s="5">
        <v>46023</v>
      </c>
      <c r="I336" s="5">
        <v>46023</v>
      </c>
      <c r="J336" s="4">
        <v>20411454</v>
      </c>
      <c r="K336" s="4" t="s">
        <v>93</v>
      </c>
      <c r="L336" s="4" t="s">
        <v>765</v>
      </c>
      <c r="M336" s="4" t="s">
        <v>34</v>
      </c>
      <c r="N336" s="4">
        <v>135</v>
      </c>
      <c r="O336" s="4">
        <v>135</v>
      </c>
      <c r="P336" s="4" t="s">
        <v>742</v>
      </c>
    </row>
    <row r="337" spans="1:27" s="2" customFormat="1" x14ac:dyDescent="0.25">
      <c r="A337" s="4" t="s">
        <v>535</v>
      </c>
      <c r="B337" s="4" t="str">
        <f>CONCATENATE(A337,"OVR")</f>
        <v>5KU8QE6HJ61OVR</v>
      </c>
      <c r="C337" s="4" t="s">
        <v>1004</v>
      </c>
      <c r="D337" s="4" t="s">
        <v>864</v>
      </c>
      <c r="E337" s="2" t="str">
        <f t="shared" si="5"/>
        <v>BARBARA NIEDZIOLKA</v>
      </c>
      <c r="F337" s="4" t="s">
        <v>27</v>
      </c>
      <c r="G337" s="4" t="s">
        <v>29</v>
      </c>
      <c r="H337" s="5">
        <v>46023</v>
      </c>
      <c r="I337" s="5">
        <v>46023</v>
      </c>
      <c r="J337" s="4">
        <v>20411454</v>
      </c>
      <c r="K337" s="4" t="s">
        <v>93</v>
      </c>
      <c r="L337" s="4" t="s">
        <v>765</v>
      </c>
      <c r="M337" s="4" t="s">
        <v>34</v>
      </c>
      <c r="N337" s="4">
        <v>135</v>
      </c>
      <c r="O337" s="4">
        <v>135</v>
      </c>
      <c r="P337" s="4" t="s">
        <v>742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s="4" customFormat="1" x14ac:dyDescent="0.25">
      <c r="A338" s="4" t="s">
        <v>653</v>
      </c>
      <c r="B338" s="4" t="str">
        <f>CONCATENATE(A338,"OVR")</f>
        <v>1Q21ND4EE94OVR</v>
      </c>
      <c r="C338" s="4" t="s">
        <v>1040</v>
      </c>
      <c r="D338" s="4" t="s">
        <v>1041</v>
      </c>
      <c r="E338" s="2" t="str">
        <f t="shared" si="5"/>
        <v>CHRISTINE TERRA</v>
      </c>
      <c r="F338" s="4" t="s">
        <v>27</v>
      </c>
      <c r="G338" s="4" t="s">
        <v>29</v>
      </c>
      <c r="H338" s="5">
        <v>45992</v>
      </c>
      <c r="I338" s="5">
        <v>45992</v>
      </c>
      <c r="J338" s="4">
        <v>20411454</v>
      </c>
      <c r="K338" s="4" t="s">
        <v>93</v>
      </c>
      <c r="L338" s="4" t="s">
        <v>765</v>
      </c>
      <c r="M338" s="4" t="s">
        <v>34</v>
      </c>
      <c r="N338" s="4">
        <v>135</v>
      </c>
      <c r="O338" s="4">
        <v>135</v>
      </c>
      <c r="P338" s="4" t="s">
        <v>742</v>
      </c>
    </row>
    <row r="339" spans="1:27" s="2" customFormat="1" x14ac:dyDescent="0.25">
      <c r="A339" s="4" t="s">
        <v>639</v>
      </c>
      <c r="B339" s="4" t="str">
        <f>CONCATENATE(A339,"OVR")</f>
        <v>9Y90D92DH44OVR</v>
      </c>
      <c r="C339" s="4" t="s">
        <v>842</v>
      </c>
      <c r="D339" s="4" t="s">
        <v>843</v>
      </c>
      <c r="E339" s="2" t="str">
        <f t="shared" si="5"/>
        <v>RODNEY SUNDSTROM</v>
      </c>
      <c r="F339" s="4" t="s">
        <v>642</v>
      </c>
      <c r="G339" s="4" t="s">
        <v>29</v>
      </c>
      <c r="H339" s="5">
        <v>46023</v>
      </c>
      <c r="I339" s="5">
        <v>46023</v>
      </c>
      <c r="J339" s="4">
        <v>20411454</v>
      </c>
      <c r="K339" s="4" t="s">
        <v>32</v>
      </c>
      <c r="L339" s="4" t="s">
        <v>765</v>
      </c>
      <c r="M339" s="4" t="s">
        <v>34</v>
      </c>
      <c r="N339" s="4">
        <v>150</v>
      </c>
      <c r="O339" s="4">
        <v>150</v>
      </c>
      <c r="P339" s="4" t="s">
        <v>742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s="2" customFormat="1" x14ac:dyDescent="0.25">
      <c r="A340" s="4" t="s">
        <v>273</v>
      </c>
      <c r="B340" s="4" t="str">
        <f>CONCATENATE(A340,"OVR")</f>
        <v>6Y85V40VN97OVR</v>
      </c>
      <c r="C340" s="4" t="s">
        <v>908</v>
      </c>
      <c r="D340" s="4" t="s">
        <v>819</v>
      </c>
      <c r="E340" s="2" t="str">
        <f t="shared" si="5"/>
        <v>JOHN GALIOTO</v>
      </c>
      <c r="F340" s="4" t="s">
        <v>42</v>
      </c>
      <c r="G340" s="4" t="s">
        <v>29</v>
      </c>
      <c r="H340" s="5">
        <v>45689</v>
      </c>
      <c r="I340" s="5">
        <v>45689</v>
      </c>
      <c r="J340" s="4">
        <v>20411454</v>
      </c>
      <c r="K340" s="4" t="s">
        <v>32</v>
      </c>
      <c r="L340" s="4" t="s">
        <v>765</v>
      </c>
      <c r="M340" s="4" t="s">
        <v>279</v>
      </c>
      <c r="N340" s="4">
        <v>375.5</v>
      </c>
      <c r="O340" s="4">
        <v>57.42</v>
      </c>
      <c r="P340" s="4" t="s">
        <v>742</v>
      </c>
      <c r="Q340" s="4"/>
      <c r="R340" s="4">
        <f>375.5-318.08</f>
        <v>57.420000000000016</v>
      </c>
      <c r="S340" s="4"/>
      <c r="T340" s="4"/>
      <c r="U340" s="4"/>
      <c r="V340" s="4"/>
      <c r="W340" s="4"/>
      <c r="X340" s="4"/>
      <c r="Y340" s="4"/>
      <c r="Z340" s="4"/>
      <c r="AA340" s="4"/>
    </row>
    <row r="341" spans="1:27" s="2" customFormat="1" x14ac:dyDescent="0.25">
      <c r="A341" s="4" t="s">
        <v>467</v>
      </c>
      <c r="B341" s="4" t="str">
        <f>CONCATENATE(A341,"OVR")</f>
        <v>7RX8MM3MU22OVR</v>
      </c>
      <c r="C341" s="4" t="s">
        <v>1055</v>
      </c>
      <c r="D341" s="4" t="s">
        <v>775</v>
      </c>
      <c r="E341" s="2" t="str">
        <f t="shared" si="5"/>
        <v>DAVID MANKO</v>
      </c>
      <c r="F341" s="4" t="s">
        <v>27</v>
      </c>
      <c r="G341" s="4" t="s">
        <v>29</v>
      </c>
      <c r="H341" s="5">
        <v>46082</v>
      </c>
      <c r="I341" s="5">
        <v>46082</v>
      </c>
      <c r="J341" s="4">
        <v>20411454</v>
      </c>
      <c r="K341" s="4" t="s">
        <v>32</v>
      </c>
      <c r="L341" s="4" t="s">
        <v>765</v>
      </c>
      <c r="M341" s="4" t="s">
        <v>34</v>
      </c>
      <c r="N341" s="4">
        <v>450.83</v>
      </c>
      <c r="O341" s="4">
        <v>125</v>
      </c>
      <c r="P341" s="4" t="s">
        <v>742</v>
      </c>
      <c r="Q341" s="4"/>
      <c r="R341" s="4">
        <f>150/12*10</f>
        <v>125</v>
      </c>
      <c r="S341" s="4"/>
      <c r="T341" s="4"/>
      <c r="U341" s="4"/>
      <c r="V341" s="4"/>
      <c r="W341" s="4"/>
      <c r="X341" s="4"/>
      <c r="Y341" s="4"/>
      <c r="Z341" s="4"/>
      <c r="AA341" s="4"/>
    </row>
    <row r="342" spans="1:27" s="4" customFormat="1" x14ac:dyDescent="0.25">
      <c r="A342" s="4" t="s">
        <v>309</v>
      </c>
      <c r="B342" s="4" t="str">
        <f>CONCATENATE(A342,"OVR")</f>
        <v>5TJ6A91WU71OVR</v>
      </c>
      <c r="C342" s="4" t="s">
        <v>1056</v>
      </c>
      <c r="D342" s="4" t="s">
        <v>936</v>
      </c>
      <c r="E342" s="2" t="str">
        <f t="shared" si="5"/>
        <v>JAMES HARTER</v>
      </c>
      <c r="F342" s="4" t="s">
        <v>207</v>
      </c>
      <c r="G342" s="4" t="s">
        <v>86</v>
      </c>
      <c r="H342" s="5">
        <v>46054</v>
      </c>
      <c r="I342" s="5">
        <v>46054</v>
      </c>
      <c r="J342" s="4">
        <v>20411454</v>
      </c>
      <c r="K342" s="4" t="s">
        <v>32</v>
      </c>
      <c r="L342" s="4" t="s">
        <v>765</v>
      </c>
      <c r="M342" s="4" t="s">
        <v>34</v>
      </c>
      <c r="N342" s="4">
        <v>455.58</v>
      </c>
      <c r="O342" s="4">
        <v>137.5</v>
      </c>
      <c r="P342" s="4" t="s">
        <v>742</v>
      </c>
    </row>
    <row r="343" spans="1:27" s="4" customFormat="1" x14ac:dyDescent="0.25">
      <c r="A343" s="4" t="s">
        <v>314</v>
      </c>
      <c r="B343" s="4" t="str">
        <f>CONCATENATE(A343,"OVR")</f>
        <v>5MK9AR1AA27OVR</v>
      </c>
      <c r="C343" s="4" t="s">
        <v>1056</v>
      </c>
      <c r="D343" s="4" t="s">
        <v>1057</v>
      </c>
      <c r="E343" s="2" t="str">
        <f t="shared" si="5"/>
        <v>LUCINDA HARTER</v>
      </c>
      <c r="F343" s="4" t="s">
        <v>207</v>
      </c>
      <c r="G343" s="4" t="s">
        <v>29</v>
      </c>
      <c r="H343" s="5">
        <v>46054</v>
      </c>
      <c r="I343" s="5">
        <v>46054</v>
      </c>
      <c r="J343" s="4">
        <v>20411454</v>
      </c>
      <c r="K343" s="4" t="s">
        <v>32</v>
      </c>
      <c r="L343" s="4" t="s">
        <v>765</v>
      </c>
      <c r="M343" s="4" t="s">
        <v>34</v>
      </c>
      <c r="N343" s="4">
        <v>455.58</v>
      </c>
      <c r="O343" s="4">
        <v>137.5</v>
      </c>
      <c r="P343" s="4" t="s">
        <v>742</v>
      </c>
    </row>
    <row r="344" spans="1:27" s="4" customFormat="1" x14ac:dyDescent="0.25">
      <c r="A344" s="4" t="s">
        <v>687</v>
      </c>
      <c r="B344" s="4" t="str">
        <f>CONCATENATE(A344,"OVR")</f>
        <v>4E88WN7EF21OVR</v>
      </c>
      <c r="C344" s="4" t="s">
        <v>817</v>
      </c>
      <c r="D344" s="4" t="s">
        <v>787</v>
      </c>
      <c r="E344" s="2" t="str">
        <f t="shared" si="5"/>
        <v>JANICE WALSH</v>
      </c>
      <c r="F344" s="4" t="s">
        <v>690</v>
      </c>
      <c r="G344" s="4" t="s">
        <v>86</v>
      </c>
      <c r="H344" s="5">
        <v>46054</v>
      </c>
      <c r="I344" s="5">
        <v>46054</v>
      </c>
      <c r="J344" s="4">
        <v>20411454</v>
      </c>
      <c r="K344" s="4" t="s">
        <v>32</v>
      </c>
      <c r="L344" s="4" t="s">
        <v>765</v>
      </c>
      <c r="M344" s="4" t="s">
        <v>34</v>
      </c>
      <c r="N344" s="4">
        <v>455.58</v>
      </c>
      <c r="O344" s="4">
        <v>137.5</v>
      </c>
      <c r="P344" s="4" t="s">
        <v>742</v>
      </c>
    </row>
    <row r="345" spans="1:27" s="2" customFormat="1" x14ac:dyDescent="0.25">
      <c r="A345" s="4" t="s">
        <v>499</v>
      </c>
      <c r="B345" s="4" t="str">
        <f>CONCATENATE(A345,"OVR")</f>
        <v>6VJ3UT7GV82OVR</v>
      </c>
      <c r="C345" s="4" t="s">
        <v>895</v>
      </c>
      <c r="D345" s="4" t="s">
        <v>896</v>
      </c>
      <c r="E345" s="2" t="str">
        <f t="shared" si="5"/>
        <v>ELAINE MERKEL</v>
      </c>
      <c r="F345" s="4" t="s">
        <v>27</v>
      </c>
      <c r="G345" s="4" t="s">
        <v>29</v>
      </c>
      <c r="H345" s="5">
        <v>46054</v>
      </c>
      <c r="I345" s="5">
        <v>46054</v>
      </c>
      <c r="J345" s="4">
        <v>20411454</v>
      </c>
      <c r="K345" s="4" t="s">
        <v>32</v>
      </c>
      <c r="L345" s="4" t="s">
        <v>765</v>
      </c>
      <c r="M345" s="4" t="s">
        <v>34</v>
      </c>
      <c r="N345" s="4">
        <v>495.92</v>
      </c>
      <c r="O345" s="4">
        <v>137.5</v>
      </c>
      <c r="P345" s="4" t="s">
        <v>742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s="4" customFormat="1" x14ac:dyDescent="0.25">
      <c r="A346" s="4" t="s">
        <v>321</v>
      </c>
      <c r="B346" s="4" t="str">
        <f>CONCATENATE(A346,"OVR")</f>
        <v>4F06HE4DY40OVR</v>
      </c>
      <c r="C346" s="4" t="s">
        <v>861</v>
      </c>
      <c r="D346" s="4" t="s">
        <v>862</v>
      </c>
      <c r="E346" s="2" t="str">
        <f t="shared" si="5"/>
        <v>PATRICIA HAUSER</v>
      </c>
      <c r="F346" s="4" t="s">
        <v>42</v>
      </c>
      <c r="G346" s="4" t="s">
        <v>29</v>
      </c>
      <c r="H346" s="5">
        <v>46023</v>
      </c>
      <c r="I346" s="5">
        <v>46023</v>
      </c>
      <c r="J346" s="4">
        <v>20411454</v>
      </c>
      <c r="K346" s="4" t="s">
        <v>32</v>
      </c>
      <c r="L346" s="4" t="s">
        <v>765</v>
      </c>
      <c r="M346" s="4" t="s">
        <v>34</v>
      </c>
      <c r="N346" s="4">
        <v>497</v>
      </c>
      <c r="O346" s="4">
        <v>150</v>
      </c>
      <c r="P346" s="4" t="s">
        <v>742</v>
      </c>
    </row>
    <row r="347" spans="1:27" s="2" customFormat="1" x14ac:dyDescent="0.25">
      <c r="A347" s="4" t="s">
        <v>324</v>
      </c>
      <c r="B347" s="4" t="str">
        <f>CONCATENATE(A347,"OVR")</f>
        <v>9GC8K20RF44OVR</v>
      </c>
      <c r="C347" s="4" t="s">
        <v>861</v>
      </c>
      <c r="D347" s="4" t="s">
        <v>790</v>
      </c>
      <c r="E347" s="2" t="str">
        <f t="shared" si="5"/>
        <v>RICHARD HAUSER</v>
      </c>
      <c r="F347" s="4" t="s">
        <v>42</v>
      </c>
      <c r="G347" s="4" t="s">
        <v>29</v>
      </c>
      <c r="H347" s="5">
        <v>46023</v>
      </c>
      <c r="I347" s="5">
        <v>46023</v>
      </c>
      <c r="J347" s="4">
        <v>20411454</v>
      </c>
      <c r="K347" s="4" t="s">
        <v>32</v>
      </c>
      <c r="L347" s="4" t="s">
        <v>765</v>
      </c>
      <c r="M347" s="4" t="s">
        <v>34</v>
      </c>
      <c r="N347" s="4">
        <v>497</v>
      </c>
      <c r="O347" s="4">
        <v>150</v>
      </c>
      <c r="P347" s="4" t="s">
        <v>742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s="2" customFormat="1" x14ac:dyDescent="0.25">
      <c r="A348" s="4" t="s">
        <v>392</v>
      </c>
      <c r="B348" s="4" t="str">
        <f>CONCATENATE(A348,"OVR")</f>
        <v>8Y45PH1JU78OVR</v>
      </c>
      <c r="C348" s="4" t="s">
        <v>1058</v>
      </c>
      <c r="D348" s="4" t="s">
        <v>1059</v>
      </c>
      <c r="E348" s="2" t="str">
        <f t="shared" si="5"/>
        <v>JUDY KENT</v>
      </c>
      <c r="F348" s="4" t="s">
        <v>42</v>
      </c>
      <c r="G348" s="4" t="s">
        <v>29</v>
      </c>
      <c r="H348" s="5">
        <v>46023</v>
      </c>
      <c r="I348" s="5">
        <v>46023</v>
      </c>
      <c r="J348" s="4">
        <v>20411454</v>
      </c>
      <c r="K348" s="4" t="s">
        <v>32</v>
      </c>
      <c r="L348" s="4" t="s">
        <v>765</v>
      </c>
      <c r="M348" s="4" t="s">
        <v>34</v>
      </c>
      <c r="N348" s="4">
        <v>497</v>
      </c>
      <c r="O348" s="4">
        <v>150</v>
      </c>
      <c r="P348" s="4" t="s">
        <v>742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s="2" customFormat="1" x14ac:dyDescent="0.25">
      <c r="A349" s="4" t="s">
        <v>557</v>
      </c>
      <c r="B349" s="4" t="str">
        <f>CONCATENATE(A349,"OVR")</f>
        <v>6QA2PP6CY90OVR</v>
      </c>
      <c r="C349" s="4" t="s">
        <v>1060</v>
      </c>
      <c r="D349" s="4" t="s">
        <v>790</v>
      </c>
      <c r="E349" s="2" t="str">
        <f t="shared" si="5"/>
        <v>RICHARD OLSON</v>
      </c>
      <c r="F349" s="4" t="s">
        <v>560</v>
      </c>
      <c r="G349" s="4" t="s">
        <v>29</v>
      </c>
      <c r="H349" s="5">
        <v>46023</v>
      </c>
      <c r="I349" s="5">
        <v>46023</v>
      </c>
      <c r="J349" s="4">
        <v>20411454</v>
      </c>
      <c r="K349" s="4" t="s">
        <v>32</v>
      </c>
      <c r="L349" s="4" t="s">
        <v>765</v>
      </c>
      <c r="M349" s="4" t="s">
        <v>34</v>
      </c>
      <c r="N349" s="4">
        <v>497</v>
      </c>
      <c r="O349" s="4">
        <v>150</v>
      </c>
      <c r="P349" s="4" t="s">
        <v>742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s="2" customFormat="1" x14ac:dyDescent="0.25">
      <c r="A350" s="4" t="s">
        <v>626</v>
      </c>
      <c r="B350" s="4" t="str">
        <f>CONCATENATE(A350,"OVR")</f>
        <v>5H15KK8UX68OVR</v>
      </c>
      <c r="C350" s="4" t="s">
        <v>906</v>
      </c>
      <c r="D350" s="4" t="s">
        <v>907</v>
      </c>
      <c r="E350" s="2" t="str">
        <f t="shared" si="5"/>
        <v>ELLEN SCHUSTER</v>
      </c>
      <c r="F350" s="4" t="s">
        <v>136</v>
      </c>
      <c r="G350" s="4" t="s">
        <v>29</v>
      </c>
      <c r="H350" s="5">
        <v>46023</v>
      </c>
      <c r="I350" s="5">
        <v>46023</v>
      </c>
      <c r="J350" s="4">
        <v>20411454</v>
      </c>
      <c r="K350" s="4" t="s">
        <v>32</v>
      </c>
      <c r="L350" s="4" t="s">
        <v>765</v>
      </c>
      <c r="M350" s="4" t="s">
        <v>34</v>
      </c>
      <c r="N350" s="4">
        <v>497</v>
      </c>
      <c r="O350" s="4">
        <v>150</v>
      </c>
      <c r="P350" s="4" t="s">
        <v>742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s="2" customFormat="1" x14ac:dyDescent="0.25">
      <c r="A351" s="4" t="s">
        <v>485</v>
      </c>
      <c r="B351" s="4" t="str">
        <f>CONCATENATE(A351,"OVR")</f>
        <v>3H75FM8XU71OVR</v>
      </c>
      <c r="C351" s="4" t="s">
        <v>897</v>
      </c>
      <c r="D351" s="4" t="s">
        <v>847</v>
      </c>
      <c r="E351" s="2" t="str">
        <f t="shared" si="5"/>
        <v>ROBERT MCDOWELL</v>
      </c>
      <c r="F351" s="4" t="s">
        <v>27</v>
      </c>
      <c r="G351" s="4" t="s">
        <v>29</v>
      </c>
      <c r="H351" s="5">
        <v>46023</v>
      </c>
      <c r="I351" s="5">
        <v>46023</v>
      </c>
      <c r="J351" s="4">
        <v>20411454</v>
      </c>
      <c r="K351" s="4" t="s">
        <v>32</v>
      </c>
      <c r="L351" s="4" t="s">
        <v>765</v>
      </c>
      <c r="M351" s="4" t="s">
        <v>34</v>
      </c>
      <c r="N351" s="4">
        <v>541</v>
      </c>
      <c r="O351" s="4">
        <v>150</v>
      </c>
      <c r="P351" s="4" t="s">
        <v>742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s="4" customFormat="1" x14ac:dyDescent="0.25">
      <c r="A352" s="4" t="s">
        <v>529</v>
      </c>
      <c r="B352" s="4" t="str">
        <f>CONCATENATE(A352,"OVR")</f>
        <v>5P64QW8RM93OVR</v>
      </c>
      <c r="C352" s="4" t="s">
        <v>898</v>
      </c>
      <c r="D352" s="4" t="s">
        <v>899</v>
      </c>
      <c r="E352" s="2" t="str">
        <f t="shared" si="5"/>
        <v>THOMAS MOZUCH</v>
      </c>
      <c r="F352" s="4" t="s">
        <v>27</v>
      </c>
      <c r="G352" s="4" t="s">
        <v>29</v>
      </c>
      <c r="H352" s="5">
        <v>46023</v>
      </c>
      <c r="I352" s="5">
        <v>46023</v>
      </c>
      <c r="J352" s="4">
        <v>20411454</v>
      </c>
      <c r="K352" s="4" t="s">
        <v>32</v>
      </c>
      <c r="L352" s="4" t="s">
        <v>765</v>
      </c>
      <c r="M352" s="4" t="s">
        <v>34</v>
      </c>
      <c r="N352" s="4">
        <v>541</v>
      </c>
      <c r="O352" s="4">
        <v>150</v>
      </c>
      <c r="P352" s="4" t="s">
        <v>742</v>
      </c>
    </row>
    <row r="353" spans="1:27" s="4" customFormat="1" x14ac:dyDescent="0.25">
      <c r="A353" s="4" t="s">
        <v>579</v>
      </c>
      <c r="B353" s="4" t="str">
        <f>CONCATENATE(A353,"OVR")</f>
        <v>2WU4V02WQ06OVR</v>
      </c>
      <c r="C353" s="4" t="s">
        <v>900</v>
      </c>
      <c r="D353" s="4" t="s">
        <v>769</v>
      </c>
      <c r="E353" s="2" t="str">
        <f t="shared" si="5"/>
        <v>A RAPP</v>
      </c>
      <c r="F353" s="4" t="s">
        <v>27</v>
      </c>
      <c r="G353" s="4" t="s">
        <v>29</v>
      </c>
      <c r="H353" s="5">
        <v>46023</v>
      </c>
      <c r="I353" s="5">
        <v>46023</v>
      </c>
      <c r="J353" s="4">
        <v>20411454</v>
      </c>
      <c r="K353" s="4" t="s">
        <v>32</v>
      </c>
      <c r="L353" s="4" t="s">
        <v>765</v>
      </c>
      <c r="M353" s="4" t="s">
        <v>34</v>
      </c>
      <c r="N353" s="4">
        <v>541</v>
      </c>
      <c r="O353" s="4">
        <v>150</v>
      </c>
      <c r="P353" s="4" t="s">
        <v>742</v>
      </c>
    </row>
    <row r="354" spans="1:27" s="4" customFormat="1" x14ac:dyDescent="0.25">
      <c r="A354" s="4" t="s">
        <v>582</v>
      </c>
      <c r="B354" s="4" t="str">
        <f>CONCATENATE(A354,"OVR")</f>
        <v>7NM7E43YN47OVR</v>
      </c>
      <c r="C354" s="4" t="s">
        <v>900</v>
      </c>
      <c r="D354" s="4" t="s">
        <v>888</v>
      </c>
      <c r="E354" s="2" t="str">
        <f t="shared" si="5"/>
        <v>MARK RAPP</v>
      </c>
      <c r="F354" s="4" t="s">
        <v>27</v>
      </c>
      <c r="G354" s="4" t="s">
        <v>29</v>
      </c>
      <c r="H354" s="5">
        <v>46023</v>
      </c>
      <c r="I354" s="5">
        <v>46023</v>
      </c>
      <c r="J354" s="4">
        <v>20411454</v>
      </c>
      <c r="K354" s="4" t="s">
        <v>32</v>
      </c>
      <c r="L354" s="4" t="s">
        <v>765</v>
      </c>
      <c r="M354" s="4" t="s">
        <v>34</v>
      </c>
      <c r="N354" s="4">
        <v>541</v>
      </c>
      <c r="O354" s="4">
        <v>150</v>
      </c>
      <c r="P354" s="4" t="s">
        <v>742</v>
      </c>
    </row>
    <row r="355" spans="1:27" s="4" customFormat="1" x14ac:dyDescent="0.25">
      <c r="A355" s="4" t="s">
        <v>630</v>
      </c>
      <c r="B355" s="4" t="str">
        <f>CONCATENATE(A355,"OVR")</f>
        <v>6CV3EJ1PA15OVR</v>
      </c>
      <c r="C355" s="4" t="s">
        <v>901</v>
      </c>
      <c r="D355" s="4" t="s">
        <v>902</v>
      </c>
      <c r="E355" s="2" t="str">
        <f t="shared" si="5"/>
        <v>SUSAN SHEETZ</v>
      </c>
      <c r="F355" s="4" t="s">
        <v>27</v>
      </c>
      <c r="G355" s="4" t="s">
        <v>29</v>
      </c>
      <c r="H355" s="5">
        <v>46023</v>
      </c>
      <c r="I355" s="5">
        <v>46023</v>
      </c>
      <c r="J355" s="4">
        <v>20411454</v>
      </c>
      <c r="K355" s="4" t="s">
        <v>32</v>
      </c>
      <c r="L355" s="4" t="s">
        <v>765</v>
      </c>
      <c r="M355" s="4" t="s">
        <v>34</v>
      </c>
      <c r="N355" s="4">
        <v>541</v>
      </c>
      <c r="O355" s="4">
        <v>150</v>
      </c>
      <c r="P355" s="4" t="s">
        <v>742</v>
      </c>
    </row>
    <row r="356" spans="1:27" s="4" customFormat="1" x14ac:dyDescent="0.25">
      <c r="A356" s="4" t="s">
        <v>287</v>
      </c>
      <c r="B356" s="4" t="str">
        <f>CONCATENATE(A356,"OVR")</f>
        <v>3WU3Y90QW81OVR</v>
      </c>
      <c r="C356" s="4" t="s">
        <v>853</v>
      </c>
      <c r="D356" s="4" t="s">
        <v>854</v>
      </c>
      <c r="E356" s="2" t="str">
        <f t="shared" si="5"/>
        <v>MARIA GOMEZ</v>
      </c>
      <c r="F356" s="4" t="s">
        <v>42</v>
      </c>
      <c r="G356" s="4" t="s">
        <v>29</v>
      </c>
      <c r="H356" s="5">
        <v>46054</v>
      </c>
      <c r="I356" s="5">
        <v>46054</v>
      </c>
      <c r="J356" s="4">
        <v>20411454</v>
      </c>
      <c r="K356" s="4" t="s">
        <v>32</v>
      </c>
      <c r="L356" s="4" t="s">
        <v>765</v>
      </c>
      <c r="M356" s="4" t="s">
        <v>34</v>
      </c>
      <c r="N356" s="4">
        <v>773.67</v>
      </c>
      <c r="O356" s="4">
        <v>137.5</v>
      </c>
      <c r="P356" s="4" t="s">
        <v>742</v>
      </c>
      <c r="R356" s="4">
        <f>150/12*11</f>
        <v>137.5</v>
      </c>
    </row>
    <row r="357" spans="1:27" s="2" customFormat="1" x14ac:dyDescent="0.25">
      <c r="A357" s="4" t="s">
        <v>204</v>
      </c>
      <c r="B357" s="4" t="str">
        <f>CONCATENATE(A357,"OVR")</f>
        <v>3U31K63UN11OVR</v>
      </c>
      <c r="C357" s="4" t="s">
        <v>855</v>
      </c>
      <c r="D357" s="4" t="s">
        <v>856</v>
      </c>
      <c r="E357" s="2" t="str">
        <f t="shared" si="5"/>
        <v>RAYMOND DEMATTEO</v>
      </c>
      <c r="F357" s="4" t="s">
        <v>207</v>
      </c>
      <c r="G357" s="4" t="s">
        <v>29</v>
      </c>
      <c r="H357" s="5">
        <v>45992</v>
      </c>
      <c r="I357" s="5">
        <v>45992</v>
      </c>
      <c r="J357" s="4">
        <v>20411454</v>
      </c>
      <c r="K357" s="4" t="s">
        <v>32</v>
      </c>
      <c r="L357" s="4" t="s">
        <v>765</v>
      </c>
      <c r="M357" s="4" t="s">
        <v>34</v>
      </c>
      <c r="N357" s="4">
        <v>776</v>
      </c>
      <c r="O357" s="4">
        <v>150</v>
      </c>
      <c r="P357" s="4" t="s">
        <v>742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s="2" customFormat="1" x14ac:dyDescent="0.25">
      <c r="A358" s="4" t="s">
        <v>39</v>
      </c>
      <c r="B358" s="4" t="str">
        <f>CONCATENATE(A358,"OVR")</f>
        <v>8MY6NH0FR61OVR</v>
      </c>
      <c r="C358" s="4" t="s">
        <v>796</v>
      </c>
      <c r="D358" s="4" t="s">
        <v>797</v>
      </c>
      <c r="E358" s="2" t="str">
        <f t="shared" si="5"/>
        <v>JEFFERY ALVIS</v>
      </c>
      <c r="F358" s="4" t="s">
        <v>42</v>
      </c>
      <c r="G358" s="4" t="s">
        <v>29</v>
      </c>
      <c r="H358" s="5">
        <v>46023</v>
      </c>
      <c r="I358" s="5">
        <v>46023</v>
      </c>
      <c r="J358" s="4">
        <v>20411454</v>
      </c>
      <c r="K358" s="4" t="s">
        <v>32</v>
      </c>
      <c r="L358" s="4" t="s">
        <v>765</v>
      </c>
      <c r="M358" s="4" t="s">
        <v>34</v>
      </c>
      <c r="N358" s="4">
        <v>829</v>
      </c>
      <c r="O358" s="4">
        <v>135</v>
      </c>
      <c r="P358" s="4" t="s">
        <v>742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s="2" customFormat="1" x14ac:dyDescent="0.25">
      <c r="A359" s="4" t="s">
        <v>46</v>
      </c>
      <c r="B359" s="4" t="str">
        <f>CONCATENATE(A359,"OVR")</f>
        <v>8KG9CR3YP55OVR</v>
      </c>
      <c r="C359" s="4" t="s">
        <v>818</v>
      </c>
      <c r="D359" s="4" t="s">
        <v>819</v>
      </c>
      <c r="E359" s="2" t="str">
        <f t="shared" si="5"/>
        <v>JOHN ARRASMITH</v>
      </c>
      <c r="F359" s="4" t="s">
        <v>42</v>
      </c>
      <c r="G359" s="4" t="s">
        <v>29</v>
      </c>
      <c r="H359" s="5">
        <v>46023</v>
      </c>
      <c r="I359" s="5">
        <v>46023</v>
      </c>
      <c r="J359" s="4">
        <v>20411454</v>
      </c>
      <c r="K359" s="4" t="s">
        <v>32</v>
      </c>
      <c r="L359" s="4" t="s">
        <v>765</v>
      </c>
      <c r="M359" s="4" t="s">
        <v>34</v>
      </c>
      <c r="N359" s="4">
        <v>829</v>
      </c>
      <c r="O359" s="4">
        <v>135</v>
      </c>
      <c r="P359" s="4" t="s">
        <v>742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s="2" customFormat="1" x14ac:dyDescent="0.25">
      <c r="A360" s="4" t="s">
        <v>58</v>
      </c>
      <c r="B360" s="4" t="str">
        <f>CONCATENATE(A360,"OVR")</f>
        <v>1M82KU5GH12OVR</v>
      </c>
      <c r="C360" s="4" t="s">
        <v>820</v>
      </c>
      <c r="D360" s="4" t="s">
        <v>821</v>
      </c>
      <c r="E360" s="2" t="str">
        <f t="shared" si="5"/>
        <v>TERRY ATKINS</v>
      </c>
      <c r="F360" s="4" t="s">
        <v>42</v>
      </c>
      <c r="G360" s="4" t="s">
        <v>29</v>
      </c>
      <c r="H360" s="5">
        <v>46023</v>
      </c>
      <c r="I360" s="5">
        <v>46023</v>
      </c>
      <c r="J360" s="4">
        <v>20411454</v>
      </c>
      <c r="K360" s="4" t="s">
        <v>32</v>
      </c>
      <c r="L360" s="4" t="s">
        <v>765</v>
      </c>
      <c r="M360" s="4" t="s">
        <v>34</v>
      </c>
      <c r="N360" s="4">
        <v>829</v>
      </c>
      <c r="O360" s="4">
        <v>135</v>
      </c>
      <c r="P360" s="4" t="s">
        <v>742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s="2" customFormat="1" x14ac:dyDescent="0.25">
      <c r="A361" s="4" t="s">
        <v>72</v>
      </c>
      <c r="B361" s="4" t="str">
        <f>CONCATENATE(A361,"OVR")</f>
        <v>7U91M31HF32OVR</v>
      </c>
      <c r="C361" s="4" t="s">
        <v>784</v>
      </c>
      <c r="D361" s="4" t="s">
        <v>785</v>
      </c>
      <c r="E361" s="2" t="str">
        <f t="shared" si="5"/>
        <v>VERLON BECK</v>
      </c>
      <c r="F361" s="4" t="s">
        <v>75</v>
      </c>
      <c r="G361" s="4" t="s">
        <v>29</v>
      </c>
      <c r="H361" s="5">
        <v>46023</v>
      </c>
      <c r="I361" s="5">
        <v>46023</v>
      </c>
      <c r="J361" s="4">
        <v>20411454</v>
      </c>
      <c r="K361" s="4" t="s">
        <v>32</v>
      </c>
      <c r="L361" s="4" t="s">
        <v>765</v>
      </c>
      <c r="M361" s="4" t="s">
        <v>34</v>
      </c>
      <c r="N361" s="4">
        <v>829</v>
      </c>
      <c r="O361" s="4">
        <v>135</v>
      </c>
      <c r="P361" s="4" t="s">
        <v>742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s="4" customFormat="1" x14ac:dyDescent="0.25">
      <c r="A362" s="4" t="s">
        <v>200</v>
      </c>
      <c r="B362" s="4" t="str">
        <f>CONCATENATE(A362,"OVR")</f>
        <v>4GU4HF9WT78OVR</v>
      </c>
      <c r="C362" s="4" t="s">
        <v>979</v>
      </c>
      <c r="D362" s="4" t="s">
        <v>980</v>
      </c>
      <c r="E362" s="2" t="str">
        <f t="shared" si="5"/>
        <v>STEPHEN DELLETT</v>
      </c>
      <c r="F362" s="4" t="s">
        <v>42</v>
      </c>
      <c r="G362" s="4" t="s">
        <v>29</v>
      </c>
      <c r="H362" s="5">
        <v>46023</v>
      </c>
      <c r="I362" s="5">
        <v>46023</v>
      </c>
      <c r="J362" s="4">
        <v>20411454</v>
      </c>
      <c r="K362" s="4" t="s">
        <v>32</v>
      </c>
      <c r="L362" s="4" t="s">
        <v>765</v>
      </c>
      <c r="M362" s="4" t="s">
        <v>34</v>
      </c>
      <c r="N362" s="4">
        <v>829</v>
      </c>
      <c r="O362" s="4">
        <v>135</v>
      </c>
      <c r="P362" s="4" t="s">
        <v>742</v>
      </c>
    </row>
    <row r="363" spans="1:27" s="4" customFormat="1" x14ac:dyDescent="0.25">
      <c r="A363" s="4" t="s">
        <v>229</v>
      </c>
      <c r="B363" s="4" t="str">
        <f>CONCATENATE(A363,"OVR")</f>
        <v>3NE6UK1TP73OVR</v>
      </c>
      <c r="C363" s="4" t="s">
        <v>981</v>
      </c>
      <c r="D363" s="4" t="s">
        <v>912</v>
      </c>
      <c r="E363" s="2" t="str">
        <f t="shared" si="5"/>
        <v>SALLY DODGE</v>
      </c>
      <c r="F363" s="4" t="s">
        <v>232</v>
      </c>
      <c r="G363" s="4" t="s">
        <v>29</v>
      </c>
      <c r="H363" s="5">
        <v>46023</v>
      </c>
      <c r="I363" s="5">
        <v>46023</v>
      </c>
      <c r="J363" s="4">
        <v>20411454</v>
      </c>
      <c r="K363" s="4" t="s">
        <v>32</v>
      </c>
      <c r="L363" s="4" t="s">
        <v>765</v>
      </c>
      <c r="M363" s="4" t="s">
        <v>34</v>
      </c>
      <c r="N363" s="4">
        <v>829</v>
      </c>
      <c r="O363" s="4">
        <v>135</v>
      </c>
      <c r="P363" s="4" t="s">
        <v>742</v>
      </c>
    </row>
    <row r="364" spans="1:27" s="4" customFormat="1" x14ac:dyDescent="0.25">
      <c r="A364" s="4" t="s">
        <v>237</v>
      </c>
      <c r="B364" s="4" t="str">
        <f>CONCATENATE(A364,"OVR")</f>
        <v>7CJ4UY7TE79OVR</v>
      </c>
      <c r="C364" s="4" t="s">
        <v>822</v>
      </c>
      <c r="D364" s="4" t="s">
        <v>799</v>
      </c>
      <c r="E364" s="2" t="str">
        <f t="shared" si="5"/>
        <v>MARGARET DONATH</v>
      </c>
      <c r="F364" s="4" t="s">
        <v>42</v>
      </c>
      <c r="G364" s="4" t="s">
        <v>29</v>
      </c>
      <c r="H364" s="5">
        <v>46023</v>
      </c>
      <c r="I364" s="5">
        <v>46023</v>
      </c>
      <c r="J364" s="4">
        <v>20411454</v>
      </c>
      <c r="K364" s="4" t="s">
        <v>32</v>
      </c>
      <c r="L364" s="4" t="s">
        <v>765</v>
      </c>
      <c r="M364" s="4" t="s">
        <v>34</v>
      </c>
      <c r="N364" s="4">
        <v>829</v>
      </c>
      <c r="O364" s="4">
        <v>135</v>
      </c>
      <c r="P364" s="4" t="s">
        <v>742</v>
      </c>
    </row>
    <row r="365" spans="1:27" s="4" customFormat="1" x14ac:dyDescent="0.25">
      <c r="A365" s="4" t="s">
        <v>240</v>
      </c>
      <c r="B365" s="4" t="str">
        <f>CONCATENATE(A365,"OVR")</f>
        <v>2A91QA8CV24OVR</v>
      </c>
      <c r="C365" s="4" t="s">
        <v>822</v>
      </c>
      <c r="D365" s="4" t="s">
        <v>790</v>
      </c>
      <c r="E365" s="2" t="str">
        <f t="shared" si="5"/>
        <v>RICHARD DONATH</v>
      </c>
      <c r="F365" s="4" t="s">
        <v>42</v>
      </c>
      <c r="G365" s="4" t="s">
        <v>29</v>
      </c>
      <c r="H365" s="5">
        <v>46023</v>
      </c>
      <c r="I365" s="5">
        <v>46023</v>
      </c>
      <c r="J365" s="4">
        <v>20411454</v>
      </c>
      <c r="K365" s="4" t="s">
        <v>32</v>
      </c>
      <c r="L365" s="4" t="s">
        <v>765</v>
      </c>
      <c r="M365" s="4" t="s">
        <v>34</v>
      </c>
      <c r="N365" s="4">
        <v>829</v>
      </c>
      <c r="O365" s="4">
        <v>135</v>
      </c>
      <c r="P365" s="4" t="s">
        <v>742</v>
      </c>
    </row>
    <row r="366" spans="1:27" s="4" customFormat="1" x14ac:dyDescent="0.25">
      <c r="A366" s="4" t="s">
        <v>423</v>
      </c>
      <c r="B366" s="4" t="str">
        <f>CONCATENATE(A366,"OVR")</f>
        <v>2Y45FK3JU88OVR</v>
      </c>
      <c r="C366" s="4" t="s">
        <v>776</v>
      </c>
      <c r="D366" s="4" t="s">
        <v>777</v>
      </c>
      <c r="E366" s="2" t="str">
        <f t="shared" si="5"/>
        <v>DIANA LAPE</v>
      </c>
      <c r="F366" s="4" t="s">
        <v>98</v>
      </c>
      <c r="G366" s="4" t="s">
        <v>29</v>
      </c>
      <c r="H366" s="5">
        <v>46023</v>
      </c>
      <c r="I366" s="5">
        <v>46023</v>
      </c>
      <c r="J366" s="4">
        <v>20411454</v>
      </c>
      <c r="K366" s="4" t="s">
        <v>32</v>
      </c>
      <c r="L366" s="4" t="s">
        <v>765</v>
      </c>
      <c r="M366" s="4" t="s">
        <v>34</v>
      </c>
      <c r="N366" s="4">
        <v>829</v>
      </c>
      <c r="O366" s="4">
        <v>135</v>
      </c>
      <c r="P366" s="4" t="s">
        <v>742</v>
      </c>
    </row>
    <row r="367" spans="1:27" s="2" customFormat="1" x14ac:dyDescent="0.25">
      <c r="A367" s="4" t="s">
        <v>437</v>
      </c>
      <c r="B367" s="4" t="str">
        <f>CONCATENATE(A367,"OVR")</f>
        <v>3R76Y49MD50OVR</v>
      </c>
      <c r="C367" s="4" t="s">
        <v>982</v>
      </c>
      <c r="D367" s="4" t="s">
        <v>983</v>
      </c>
      <c r="E367" s="2" t="str">
        <f t="shared" si="5"/>
        <v>CELIA LOPEZ</v>
      </c>
      <c r="F367" s="4" t="s">
        <v>42</v>
      </c>
      <c r="G367" s="4" t="s">
        <v>29</v>
      </c>
      <c r="H367" s="5">
        <v>46023</v>
      </c>
      <c r="I367" s="5">
        <v>46023</v>
      </c>
      <c r="J367" s="4">
        <v>20411454</v>
      </c>
      <c r="K367" s="4" t="s">
        <v>32</v>
      </c>
      <c r="L367" s="4" t="s">
        <v>765</v>
      </c>
      <c r="M367" s="4" t="s">
        <v>34</v>
      </c>
      <c r="N367" s="4">
        <v>829</v>
      </c>
      <c r="O367" s="4">
        <v>135</v>
      </c>
      <c r="P367" s="4" t="s">
        <v>742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s="4" customFormat="1" x14ac:dyDescent="0.25">
      <c r="A368" s="4" t="s">
        <v>460</v>
      </c>
      <c r="B368" s="4" t="str">
        <f>CONCATENATE(A368,"OVR")</f>
        <v>2E62VN2GK83OVR</v>
      </c>
      <c r="C368" s="4" t="s">
        <v>768</v>
      </c>
      <c r="D368" s="4" t="s">
        <v>770</v>
      </c>
      <c r="E368" s="2" t="str">
        <f t="shared" si="5"/>
        <v>KAREN MALUCHNIK</v>
      </c>
      <c r="F368" s="4" t="s">
        <v>42</v>
      </c>
      <c r="G368" s="4" t="s">
        <v>29</v>
      </c>
      <c r="H368" s="5">
        <v>46023</v>
      </c>
      <c r="I368" s="5">
        <v>46023</v>
      </c>
      <c r="J368" s="4">
        <v>20411454</v>
      </c>
      <c r="K368" s="4" t="s">
        <v>32</v>
      </c>
      <c r="L368" s="4" t="s">
        <v>765</v>
      </c>
      <c r="M368" s="4" t="s">
        <v>34</v>
      </c>
      <c r="N368" s="4">
        <v>829</v>
      </c>
      <c r="O368" s="4">
        <v>135</v>
      </c>
      <c r="P368" s="4" t="s">
        <v>742</v>
      </c>
    </row>
    <row r="369" spans="1:27" s="2" customFormat="1" x14ac:dyDescent="0.25">
      <c r="A369" s="4" t="s">
        <v>464</v>
      </c>
      <c r="B369" s="4" t="str">
        <f>CONCATENATE(A369,"OVR")</f>
        <v>7U62FR8HF10OVR</v>
      </c>
      <c r="C369" s="4" t="s">
        <v>768</v>
      </c>
      <c r="D369" s="4" t="s">
        <v>771</v>
      </c>
      <c r="E369" s="2" t="str">
        <f t="shared" si="5"/>
        <v>RANDY MALUCHNIK</v>
      </c>
      <c r="F369" s="4" t="s">
        <v>42</v>
      </c>
      <c r="G369" s="4" t="s">
        <v>29</v>
      </c>
      <c r="H369" s="5">
        <v>46023</v>
      </c>
      <c r="I369" s="5">
        <v>46023</v>
      </c>
      <c r="J369" s="4">
        <v>20411454</v>
      </c>
      <c r="K369" s="4" t="s">
        <v>32</v>
      </c>
      <c r="L369" s="4" t="s">
        <v>765</v>
      </c>
      <c r="M369" s="4" t="s">
        <v>34</v>
      </c>
      <c r="N369" s="4">
        <v>829</v>
      </c>
      <c r="O369" s="4">
        <v>135</v>
      </c>
      <c r="P369" s="4" t="s">
        <v>742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s="4" customFormat="1" x14ac:dyDescent="0.25">
      <c r="A370" s="4" t="s">
        <v>478</v>
      </c>
      <c r="B370" s="4" t="str">
        <f>CONCATENATE(A370,"OVR")</f>
        <v>7CJ5VK9XD50OVR</v>
      </c>
      <c r="C370" s="4" t="s">
        <v>848</v>
      </c>
      <c r="D370" s="4" t="s">
        <v>849</v>
      </c>
      <c r="E370" s="2" t="str">
        <f t="shared" si="5"/>
        <v>LYNETTE MASON</v>
      </c>
      <c r="F370" s="4" t="s">
        <v>337</v>
      </c>
      <c r="G370" s="4" t="s">
        <v>29</v>
      </c>
      <c r="H370" s="5">
        <v>46023</v>
      </c>
      <c r="I370" s="5">
        <v>46023</v>
      </c>
      <c r="J370" s="4">
        <v>20411454</v>
      </c>
      <c r="K370" s="4" t="s">
        <v>32</v>
      </c>
      <c r="L370" s="4" t="s">
        <v>765</v>
      </c>
      <c r="M370" s="4" t="s">
        <v>34</v>
      </c>
      <c r="N370" s="4">
        <v>829</v>
      </c>
      <c r="O370" s="4">
        <v>135</v>
      </c>
      <c r="P370" s="4" t="s">
        <v>742</v>
      </c>
    </row>
    <row r="371" spans="1:27" s="2" customFormat="1" x14ac:dyDescent="0.25">
      <c r="A371" s="4" t="s">
        <v>482</v>
      </c>
      <c r="B371" s="4" t="str">
        <f>CONCATENATE(A371,"OVR")</f>
        <v>6J10A22YR33OVR</v>
      </c>
      <c r="C371" s="4" t="s">
        <v>848</v>
      </c>
      <c r="D371" s="4" t="s">
        <v>850</v>
      </c>
      <c r="E371" s="2" t="str">
        <f t="shared" si="5"/>
        <v>MORRIS MASON</v>
      </c>
      <c r="F371" s="4" t="s">
        <v>337</v>
      </c>
      <c r="G371" s="4" t="s">
        <v>29</v>
      </c>
      <c r="H371" s="5">
        <v>46023</v>
      </c>
      <c r="I371" s="5">
        <v>46023</v>
      </c>
      <c r="J371" s="4">
        <v>20411454</v>
      </c>
      <c r="K371" s="4" t="s">
        <v>32</v>
      </c>
      <c r="L371" s="4" t="s">
        <v>765</v>
      </c>
      <c r="M371" s="4" t="s">
        <v>34</v>
      </c>
      <c r="N371" s="4">
        <v>829</v>
      </c>
      <c r="O371" s="4">
        <v>135</v>
      </c>
      <c r="P371" s="4" t="s">
        <v>742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s="2" customFormat="1" x14ac:dyDescent="0.25">
      <c r="A372" s="4" t="s">
        <v>516</v>
      </c>
      <c r="B372" s="4" t="str">
        <f>CONCATENATE(A372,"OVR")</f>
        <v>4EC7JW7UE53OVR</v>
      </c>
      <c r="C372" s="4" t="s">
        <v>884</v>
      </c>
      <c r="D372" s="4" t="s">
        <v>999</v>
      </c>
      <c r="E372" s="2" t="str">
        <f t="shared" si="5"/>
        <v>JANET MILLER</v>
      </c>
      <c r="F372" s="4" t="s">
        <v>519</v>
      </c>
      <c r="G372" s="4" t="s">
        <v>29</v>
      </c>
      <c r="H372" s="5">
        <v>46054</v>
      </c>
      <c r="I372" s="5">
        <v>46054</v>
      </c>
      <c r="J372" s="4">
        <v>20411454</v>
      </c>
      <c r="K372" s="4" t="s">
        <v>32</v>
      </c>
      <c r="L372" s="4" t="s">
        <v>765</v>
      </c>
      <c r="M372" s="4" t="s">
        <v>34</v>
      </c>
      <c r="N372" s="4">
        <v>829</v>
      </c>
      <c r="O372" s="4">
        <v>135</v>
      </c>
      <c r="P372" s="4" t="s">
        <v>742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s="2" customFormat="1" x14ac:dyDescent="0.25">
      <c r="A373" s="4" t="s">
        <v>538</v>
      </c>
      <c r="B373" s="4" t="str">
        <f>CONCATENATE(A373,"OVR")</f>
        <v>2JW2YH2KW02OVR</v>
      </c>
      <c r="C373" s="4" t="s">
        <v>798</v>
      </c>
      <c r="D373" s="4" t="s">
        <v>799</v>
      </c>
      <c r="E373" s="2" t="str">
        <f t="shared" si="5"/>
        <v>MARGARET NORBY</v>
      </c>
      <c r="F373" s="4" t="s">
        <v>42</v>
      </c>
      <c r="G373" s="4" t="s">
        <v>29</v>
      </c>
      <c r="H373" s="5">
        <v>46023</v>
      </c>
      <c r="I373" s="5">
        <v>46023</v>
      </c>
      <c r="J373" s="4">
        <v>20411454</v>
      </c>
      <c r="K373" s="4" t="s">
        <v>32</v>
      </c>
      <c r="L373" s="4" t="s">
        <v>765</v>
      </c>
      <c r="M373" s="4" t="s">
        <v>34</v>
      </c>
      <c r="N373" s="4">
        <v>829</v>
      </c>
      <c r="O373" s="4">
        <v>135</v>
      </c>
      <c r="P373" s="4" t="s">
        <v>742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s="2" customFormat="1" x14ac:dyDescent="0.25">
      <c r="A374" s="4" t="s">
        <v>563</v>
      </c>
      <c r="B374" s="4" t="str">
        <f>CONCATENATE(A374,"OVR")</f>
        <v>7E98DA6TF42OVR</v>
      </c>
      <c r="C374" s="4" t="s">
        <v>800</v>
      </c>
      <c r="D374" s="4" t="s">
        <v>801</v>
      </c>
      <c r="E374" s="2" t="str">
        <f t="shared" si="5"/>
        <v>BRUCE PATTERSON</v>
      </c>
      <c r="F374" s="4" t="s">
        <v>42</v>
      </c>
      <c r="G374" s="4" t="s">
        <v>29</v>
      </c>
      <c r="H374" s="5">
        <v>46023</v>
      </c>
      <c r="I374" s="5">
        <v>46023</v>
      </c>
      <c r="J374" s="4">
        <v>20411454</v>
      </c>
      <c r="K374" s="4" t="s">
        <v>32</v>
      </c>
      <c r="L374" s="4" t="s">
        <v>765</v>
      </c>
      <c r="M374" s="4" t="s">
        <v>34</v>
      </c>
      <c r="N374" s="4">
        <v>829</v>
      </c>
      <c r="O374" s="4">
        <v>135</v>
      </c>
      <c r="P374" s="4" t="s">
        <v>742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s="2" customFormat="1" x14ac:dyDescent="0.25">
      <c r="A375" s="4" t="s">
        <v>606</v>
      </c>
      <c r="B375" s="4" t="str">
        <f>CONCATENATE(A375,"OVR")</f>
        <v>9QK8H47TM36OVR</v>
      </c>
      <c r="C375" s="4" t="s">
        <v>986</v>
      </c>
      <c r="D375" s="4" t="s">
        <v>987</v>
      </c>
      <c r="E375" s="2" t="str">
        <f t="shared" si="5"/>
        <v>EDITH RUSK</v>
      </c>
      <c r="F375" s="4" t="s">
        <v>42</v>
      </c>
      <c r="G375" s="4" t="s">
        <v>29</v>
      </c>
      <c r="H375" s="5">
        <v>46023</v>
      </c>
      <c r="I375" s="5">
        <v>46023</v>
      </c>
      <c r="J375" s="4">
        <v>20411454</v>
      </c>
      <c r="K375" s="4" t="s">
        <v>32</v>
      </c>
      <c r="L375" s="4" t="s">
        <v>765</v>
      </c>
      <c r="M375" s="4" t="s">
        <v>34</v>
      </c>
      <c r="N375" s="4">
        <v>829</v>
      </c>
      <c r="O375" s="4">
        <v>135</v>
      </c>
      <c r="P375" s="4" t="s">
        <v>742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s="2" customFormat="1" x14ac:dyDescent="0.25">
      <c r="A376" s="4" t="s">
        <v>636</v>
      </c>
      <c r="B376" s="4" t="str">
        <f>CONCATENATE(A376,"OVR")</f>
        <v>7U28GX9HJ10OVR</v>
      </c>
      <c r="C376" s="4" t="s">
        <v>823</v>
      </c>
      <c r="D376" s="4" t="s">
        <v>824</v>
      </c>
      <c r="E376" s="2" t="str">
        <f t="shared" si="5"/>
        <v>NICHOLE SLEEPER</v>
      </c>
      <c r="F376" s="4" t="s">
        <v>42</v>
      </c>
      <c r="G376" s="4" t="s">
        <v>29</v>
      </c>
      <c r="H376" s="5">
        <v>46023</v>
      </c>
      <c r="I376" s="5">
        <v>46023</v>
      </c>
      <c r="J376" s="4">
        <v>20411454</v>
      </c>
      <c r="K376" s="4" t="s">
        <v>32</v>
      </c>
      <c r="L376" s="4" t="s">
        <v>765</v>
      </c>
      <c r="M376" s="4" t="s">
        <v>34</v>
      </c>
      <c r="N376" s="4">
        <v>829</v>
      </c>
      <c r="O376" s="4">
        <v>135</v>
      </c>
      <c r="P376" s="4" t="s">
        <v>742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s="2" customFormat="1" x14ac:dyDescent="0.25">
      <c r="A377" s="4" t="s">
        <v>645</v>
      </c>
      <c r="B377" s="4" t="str">
        <f>CONCATENATE(A377,"OVR")</f>
        <v>4DJ7CT4HJ53OVR</v>
      </c>
      <c r="C377" s="4" t="s">
        <v>802</v>
      </c>
      <c r="D377" s="4" t="s">
        <v>803</v>
      </c>
      <c r="E377" s="2" t="str">
        <f t="shared" si="5"/>
        <v>SHARON SYLVESTER</v>
      </c>
      <c r="F377" s="4" t="s">
        <v>42</v>
      </c>
      <c r="G377" s="4" t="s">
        <v>29</v>
      </c>
      <c r="H377" s="5">
        <v>46023</v>
      </c>
      <c r="I377" s="5">
        <v>46023</v>
      </c>
      <c r="J377" s="4">
        <v>20411454</v>
      </c>
      <c r="K377" s="4" t="s">
        <v>32</v>
      </c>
      <c r="L377" s="4" t="s">
        <v>765</v>
      </c>
      <c r="M377" s="4" t="s">
        <v>34</v>
      </c>
      <c r="N377" s="4">
        <v>829</v>
      </c>
      <c r="O377" s="4">
        <v>135</v>
      </c>
      <c r="P377" s="4" t="s">
        <v>742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s="2" customFormat="1" x14ac:dyDescent="0.25">
      <c r="A378" s="4" t="s">
        <v>701</v>
      </c>
      <c r="B378" s="4" t="str">
        <f>CONCATENATE(A378,"OVR")</f>
        <v>1TE8UE0EV57OVR</v>
      </c>
      <c r="C378" s="4" t="s">
        <v>989</v>
      </c>
      <c r="D378" s="4" t="s">
        <v>990</v>
      </c>
      <c r="E378" s="2" t="str">
        <f t="shared" si="5"/>
        <v>LINDA WHITLEY</v>
      </c>
      <c r="F378" s="4" t="s">
        <v>42</v>
      </c>
      <c r="G378" s="4" t="s">
        <v>29</v>
      </c>
      <c r="H378" s="5">
        <v>46023</v>
      </c>
      <c r="I378" s="5">
        <v>46023</v>
      </c>
      <c r="J378" s="4">
        <v>20411454</v>
      </c>
      <c r="K378" s="4" t="s">
        <v>32</v>
      </c>
      <c r="L378" s="4" t="s">
        <v>765</v>
      </c>
      <c r="M378" s="4" t="s">
        <v>34</v>
      </c>
      <c r="N378" s="4">
        <v>829</v>
      </c>
      <c r="O378" s="4">
        <v>135</v>
      </c>
      <c r="P378" s="4" t="s">
        <v>742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s="2" customFormat="1" x14ac:dyDescent="0.25">
      <c r="A379" s="4" t="s">
        <v>723</v>
      </c>
      <c r="B379" s="4" t="str">
        <f>CONCATENATE(A379,"OVR")</f>
        <v>9HJ9NN2HR38OVR</v>
      </c>
      <c r="C379" s="4" t="s">
        <v>851</v>
      </c>
      <c r="D379" s="4" t="s">
        <v>852</v>
      </c>
      <c r="E379" s="2" t="str">
        <f t="shared" si="5"/>
        <v>LARRY WINN</v>
      </c>
      <c r="F379" s="4" t="s">
        <v>337</v>
      </c>
      <c r="G379" s="4" t="s">
        <v>29</v>
      </c>
      <c r="H379" s="5">
        <v>46023</v>
      </c>
      <c r="I379" s="5">
        <v>46023</v>
      </c>
      <c r="J379" s="4">
        <v>20411454</v>
      </c>
      <c r="K379" s="4" t="s">
        <v>32</v>
      </c>
      <c r="L379" s="4" t="s">
        <v>765</v>
      </c>
      <c r="M379" s="4" t="s">
        <v>34</v>
      </c>
      <c r="N379" s="4">
        <v>829</v>
      </c>
      <c r="O379" s="4">
        <v>135</v>
      </c>
      <c r="P379" s="4" t="s">
        <v>742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s="2" customFormat="1" x14ac:dyDescent="0.25">
      <c r="A380" s="4" t="s">
        <v>727</v>
      </c>
      <c r="B380" s="4" t="str">
        <f>CONCATENATE(A380,"OVR")</f>
        <v>8V34QX8KE65OVR</v>
      </c>
      <c r="C380" s="4" t="s">
        <v>804</v>
      </c>
      <c r="D380" s="4" t="s">
        <v>805</v>
      </c>
      <c r="E380" s="2" t="str">
        <f t="shared" si="5"/>
        <v>DIANNE WUNDERLE</v>
      </c>
      <c r="F380" s="4" t="s">
        <v>42</v>
      </c>
      <c r="G380" s="4" t="s">
        <v>29</v>
      </c>
      <c r="H380" s="5">
        <v>46023</v>
      </c>
      <c r="I380" s="5">
        <v>46023</v>
      </c>
      <c r="J380" s="4">
        <v>20411454</v>
      </c>
      <c r="K380" s="4" t="s">
        <v>32</v>
      </c>
      <c r="L380" s="4" t="s">
        <v>765</v>
      </c>
      <c r="M380" s="4" t="s">
        <v>34</v>
      </c>
      <c r="N380" s="4">
        <v>829</v>
      </c>
      <c r="O380" s="4">
        <v>135</v>
      </c>
      <c r="P380" s="4" t="s">
        <v>742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s="2" customFormat="1" x14ac:dyDescent="0.25">
      <c r="A381" s="4" t="s">
        <v>52</v>
      </c>
      <c r="B381" s="4" t="str">
        <f>CONCATENATE(A381,"OVR")</f>
        <v>9A76TQ1GD48OVR</v>
      </c>
      <c r="C381" s="4" t="s">
        <v>920</v>
      </c>
      <c r="D381" s="4" t="s">
        <v>921</v>
      </c>
      <c r="E381" s="2" t="str">
        <f t="shared" si="5"/>
        <v>LERMA ARROJO</v>
      </c>
      <c r="F381" s="4" t="s">
        <v>42</v>
      </c>
      <c r="G381" s="4" t="s">
        <v>29</v>
      </c>
      <c r="H381" s="5">
        <v>46023</v>
      </c>
      <c r="I381" s="5">
        <v>46023</v>
      </c>
      <c r="J381" s="4">
        <v>20411454</v>
      </c>
      <c r="K381" s="4" t="s">
        <v>32</v>
      </c>
      <c r="L381" s="4" t="s">
        <v>765</v>
      </c>
      <c r="M381" s="4" t="s">
        <v>34</v>
      </c>
      <c r="N381" s="4">
        <v>844</v>
      </c>
      <c r="O381" s="4">
        <v>150</v>
      </c>
      <c r="P381" s="4" t="s">
        <v>742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s="2" customFormat="1" x14ac:dyDescent="0.25">
      <c r="A382" s="4" t="s">
        <v>95</v>
      </c>
      <c r="B382" s="4" t="str">
        <f>CONCATENATE(A382,"OVR")</f>
        <v>1VR2CY4HP13OVR</v>
      </c>
      <c r="C382" s="4" t="s">
        <v>778</v>
      </c>
      <c r="D382" s="4" t="s">
        <v>779</v>
      </c>
      <c r="E382" s="2" t="str">
        <f t="shared" si="5"/>
        <v>GAYLE BOWEN</v>
      </c>
      <c r="F382" s="4" t="s">
        <v>98</v>
      </c>
      <c r="G382" s="4" t="s">
        <v>29</v>
      </c>
      <c r="H382" s="5">
        <v>46023</v>
      </c>
      <c r="I382" s="5">
        <v>46023</v>
      </c>
      <c r="J382" s="4">
        <v>20411454</v>
      </c>
      <c r="K382" s="4" t="s">
        <v>32</v>
      </c>
      <c r="L382" s="4" t="s">
        <v>765</v>
      </c>
      <c r="M382" s="4" t="s">
        <v>34</v>
      </c>
      <c r="N382" s="4">
        <v>844</v>
      </c>
      <c r="O382" s="4">
        <v>150</v>
      </c>
      <c r="P382" s="4" t="s">
        <v>742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s="2" customFormat="1" x14ac:dyDescent="0.25">
      <c r="A383" s="4" t="s">
        <v>105</v>
      </c>
      <c r="B383" s="4" t="str">
        <f>CONCATENATE(A383,"OVR")</f>
        <v>7D56H19KA54OVR</v>
      </c>
      <c r="C383" s="4" t="s">
        <v>863</v>
      </c>
      <c r="D383" s="4" t="s">
        <v>922</v>
      </c>
      <c r="E383" s="2" t="str">
        <f t="shared" si="5"/>
        <v>JANE BOYD</v>
      </c>
      <c r="F383" s="4" t="s">
        <v>108</v>
      </c>
      <c r="G383" s="4" t="s">
        <v>29</v>
      </c>
      <c r="H383" s="5">
        <v>46023</v>
      </c>
      <c r="I383" s="5">
        <v>46023</v>
      </c>
      <c r="J383" s="4">
        <v>20411454</v>
      </c>
      <c r="K383" s="4" t="s">
        <v>32</v>
      </c>
      <c r="L383" s="4" t="s">
        <v>765</v>
      </c>
      <c r="M383" s="4" t="s">
        <v>34</v>
      </c>
      <c r="N383" s="4">
        <v>844</v>
      </c>
      <c r="O383" s="4">
        <v>150</v>
      </c>
      <c r="P383" s="4" t="s">
        <v>742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s="2" customFormat="1" x14ac:dyDescent="0.25">
      <c r="A384" s="4" t="s">
        <v>116</v>
      </c>
      <c r="B384" s="4" t="str">
        <f>CONCATENATE(A384,"OVR")</f>
        <v>4M88AH9RQ39OVR</v>
      </c>
      <c r="C384" s="4" t="s">
        <v>991</v>
      </c>
      <c r="D384" s="4" t="s">
        <v>992</v>
      </c>
      <c r="E384" s="2" t="str">
        <f t="shared" si="5"/>
        <v>ANNMARIE BRINK</v>
      </c>
      <c r="F384" s="4" t="s">
        <v>119</v>
      </c>
      <c r="G384" s="4" t="s">
        <v>29</v>
      </c>
      <c r="H384" s="5">
        <v>46054</v>
      </c>
      <c r="I384" s="5">
        <v>46054</v>
      </c>
      <c r="J384" s="4">
        <v>20411454</v>
      </c>
      <c r="K384" s="4" t="s">
        <v>32</v>
      </c>
      <c r="L384" s="4" t="s">
        <v>765</v>
      </c>
      <c r="M384" s="4" t="s">
        <v>34</v>
      </c>
      <c r="N384" s="4">
        <v>844</v>
      </c>
      <c r="O384" s="4">
        <v>150</v>
      </c>
      <c r="P384" s="4" t="s">
        <v>742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s="2" customFormat="1" x14ac:dyDescent="0.25">
      <c r="A385" s="4" t="s">
        <v>129</v>
      </c>
      <c r="B385" s="4" t="str">
        <f>CONCATENATE(A385,"OVR")</f>
        <v>5U48M65KP64OVR</v>
      </c>
      <c r="C385" s="4" t="s">
        <v>923</v>
      </c>
      <c r="D385" s="4" t="s">
        <v>924</v>
      </c>
      <c r="E385" s="2" t="str">
        <f t="shared" si="5"/>
        <v>FRANKLIN BYERS</v>
      </c>
      <c r="F385" s="4" t="s">
        <v>42</v>
      </c>
      <c r="G385" s="4" t="s">
        <v>29</v>
      </c>
      <c r="H385" s="5">
        <v>46023</v>
      </c>
      <c r="I385" s="5">
        <v>46023</v>
      </c>
      <c r="J385" s="4">
        <v>20411454</v>
      </c>
      <c r="K385" s="4" t="s">
        <v>32</v>
      </c>
      <c r="L385" s="4" t="s">
        <v>765</v>
      </c>
      <c r="M385" s="4" t="s">
        <v>34</v>
      </c>
      <c r="N385" s="4">
        <v>844</v>
      </c>
      <c r="O385" s="4">
        <v>150</v>
      </c>
      <c r="P385" s="4" t="s">
        <v>742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s="2" customFormat="1" x14ac:dyDescent="0.25">
      <c r="A386" s="4" t="s">
        <v>133</v>
      </c>
      <c r="B386" s="4" t="str">
        <f>CONCATENATE(A386,"OVR")</f>
        <v>7TF0D84KN13OVR</v>
      </c>
      <c r="C386" s="4" t="s">
        <v>774</v>
      </c>
      <c r="D386" s="4" t="s">
        <v>775</v>
      </c>
      <c r="E386" s="2" t="str">
        <f t="shared" si="5"/>
        <v>DAVID CADDY</v>
      </c>
      <c r="F386" s="4" t="s">
        <v>136</v>
      </c>
      <c r="G386" s="4" t="s">
        <v>29</v>
      </c>
      <c r="H386" s="5">
        <v>46023</v>
      </c>
      <c r="I386" s="5">
        <v>46023</v>
      </c>
      <c r="J386" s="4">
        <v>20411454</v>
      </c>
      <c r="K386" s="4" t="s">
        <v>32</v>
      </c>
      <c r="L386" s="4" t="s">
        <v>765</v>
      </c>
      <c r="M386" s="4" t="s">
        <v>34</v>
      </c>
      <c r="N386" s="4">
        <v>844</v>
      </c>
      <c r="O386" s="4">
        <v>150</v>
      </c>
      <c r="P386" s="4" t="s">
        <v>742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s="2" customFormat="1" x14ac:dyDescent="0.25">
      <c r="A387" s="4" t="s">
        <v>140</v>
      </c>
      <c r="B387" s="4" t="str">
        <f>CONCATENATE(A387,"OVR")</f>
        <v>7U82DU1AM96OVR</v>
      </c>
      <c r="C387" s="4" t="s">
        <v>925</v>
      </c>
      <c r="D387" s="4" t="s">
        <v>773</v>
      </c>
      <c r="E387" s="2" t="str">
        <f t="shared" ref="E387:E450" si="6">CONCATENATE(D387," ",C387)</f>
        <v>CINDY CALHOUN</v>
      </c>
      <c r="F387" s="4" t="s">
        <v>42</v>
      </c>
      <c r="G387" s="4" t="s">
        <v>29</v>
      </c>
      <c r="H387" s="5">
        <v>46023</v>
      </c>
      <c r="I387" s="5">
        <v>46023</v>
      </c>
      <c r="J387" s="4">
        <v>20411454</v>
      </c>
      <c r="K387" s="4" t="s">
        <v>32</v>
      </c>
      <c r="L387" s="4" t="s">
        <v>765</v>
      </c>
      <c r="M387" s="4" t="s">
        <v>34</v>
      </c>
      <c r="N387" s="4">
        <v>844</v>
      </c>
      <c r="O387" s="4">
        <v>150</v>
      </c>
      <c r="P387" s="4" t="s">
        <v>742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s="2" customFormat="1" x14ac:dyDescent="0.25">
      <c r="A388" s="4" t="s">
        <v>144</v>
      </c>
      <c r="B388" s="4" t="str">
        <f>CONCATENATE(A388,"OVR")</f>
        <v>3K46CA4AD55OVR</v>
      </c>
      <c r="C388" s="4" t="s">
        <v>925</v>
      </c>
      <c r="D388" s="4" t="s">
        <v>852</v>
      </c>
      <c r="E388" s="2" t="str">
        <f t="shared" si="6"/>
        <v>LARRY CALHOUN</v>
      </c>
      <c r="F388" s="4" t="s">
        <v>42</v>
      </c>
      <c r="G388" s="4" t="s">
        <v>29</v>
      </c>
      <c r="H388" s="5">
        <v>46023</v>
      </c>
      <c r="I388" s="5">
        <v>46023</v>
      </c>
      <c r="J388" s="4">
        <v>20411454</v>
      </c>
      <c r="K388" s="4" t="s">
        <v>32</v>
      </c>
      <c r="L388" s="4" t="s">
        <v>765</v>
      </c>
      <c r="M388" s="4" t="s">
        <v>34</v>
      </c>
      <c r="N388" s="4">
        <v>844</v>
      </c>
      <c r="O388" s="4">
        <v>150</v>
      </c>
      <c r="P388" s="4" t="s">
        <v>742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s="2" customFormat="1" x14ac:dyDescent="0.25">
      <c r="A389" s="4" t="s">
        <v>150</v>
      </c>
      <c r="B389" s="4" t="str">
        <f>CONCATENATE(A389,"OVR")</f>
        <v>8UN2DV5VE11OVR</v>
      </c>
      <c r="C389" s="4" t="s">
        <v>926</v>
      </c>
      <c r="D389" s="4" t="s">
        <v>927</v>
      </c>
      <c r="E389" s="2" t="str">
        <f t="shared" si="6"/>
        <v>HELEN CASILLAS</v>
      </c>
      <c r="F389" s="4" t="s">
        <v>42</v>
      </c>
      <c r="G389" s="4" t="s">
        <v>29</v>
      </c>
      <c r="H389" s="5">
        <v>46023</v>
      </c>
      <c r="I389" s="5">
        <v>46023</v>
      </c>
      <c r="J389" s="4">
        <v>20411454</v>
      </c>
      <c r="K389" s="4" t="s">
        <v>32</v>
      </c>
      <c r="L389" s="4" t="s">
        <v>765</v>
      </c>
      <c r="M389" s="4" t="s">
        <v>34</v>
      </c>
      <c r="N389" s="4">
        <v>844</v>
      </c>
      <c r="O389" s="4">
        <v>150</v>
      </c>
      <c r="P389" s="4" t="s">
        <v>742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s="2" customFormat="1" x14ac:dyDescent="0.25">
      <c r="A390" s="4" t="s">
        <v>154</v>
      </c>
      <c r="B390" s="4" t="str">
        <f>CONCATENATE(A390,"OVR")</f>
        <v>4DG4X27VT50OVR</v>
      </c>
      <c r="C390" s="4" t="s">
        <v>857</v>
      </c>
      <c r="D390" s="4" t="s">
        <v>858</v>
      </c>
      <c r="E390" s="2" t="str">
        <f t="shared" si="6"/>
        <v>ROSARIO CASTRO</v>
      </c>
      <c r="F390" s="4" t="s">
        <v>42</v>
      </c>
      <c r="G390" s="4" t="s">
        <v>29</v>
      </c>
      <c r="H390" s="5">
        <v>46054</v>
      </c>
      <c r="I390" s="5">
        <v>46054</v>
      </c>
      <c r="J390" s="4">
        <v>20411454</v>
      </c>
      <c r="K390" s="4" t="s">
        <v>32</v>
      </c>
      <c r="L390" s="4" t="s">
        <v>765</v>
      </c>
      <c r="M390" s="4" t="s">
        <v>34</v>
      </c>
      <c r="N390" s="4">
        <v>844</v>
      </c>
      <c r="O390" s="4">
        <v>150</v>
      </c>
      <c r="P390" s="4" t="s">
        <v>742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s="2" customFormat="1" x14ac:dyDescent="0.25">
      <c r="A391" s="4" t="s">
        <v>159</v>
      </c>
      <c r="B391" s="4" t="str">
        <f>CONCATENATE(A391,"OVR")</f>
        <v>7QM2PE3TK06OVR</v>
      </c>
      <c r="C391" s="4" t="s">
        <v>928</v>
      </c>
      <c r="D391" s="4" t="s">
        <v>929</v>
      </c>
      <c r="E391" s="2" t="str">
        <f t="shared" si="6"/>
        <v>PHETSAMONE CHANTHANALAY</v>
      </c>
      <c r="F391" s="4" t="s">
        <v>42</v>
      </c>
      <c r="G391" s="4" t="s">
        <v>29</v>
      </c>
      <c r="H391" s="5">
        <v>46023</v>
      </c>
      <c r="I391" s="5">
        <v>46023</v>
      </c>
      <c r="J391" s="4">
        <v>20411454</v>
      </c>
      <c r="K391" s="4" t="s">
        <v>32</v>
      </c>
      <c r="L391" s="4" t="s">
        <v>765</v>
      </c>
      <c r="M391" s="4" t="s">
        <v>34</v>
      </c>
      <c r="N391" s="4">
        <v>844</v>
      </c>
      <c r="O391" s="4">
        <v>150</v>
      </c>
      <c r="P391" s="4" t="s">
        <v>742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s="2" customFormat="1" x14ac:dyDescent="0.25">
      <c r="A392" s="4" t="s">
        <v>163</v>
      </c>
      <c r="B392" s="4" t="str">
        <f>CONCATENATE(A392,"OVR")</f>
        <v>3Y90H93CG13OVR</v>
      </c>
      <c r="C392" s="4" t="s">
        <v>930</v>
      </c>
      <c r="D392" s="4" t="s">
        <v>771</v>
      </c>
      <c r="E392" s="2" t="str">
        <f t="shared" si="6"/>
        <v>RANDY CHARLEY</v>
      </c>
      <c r="F392" s="4" t="s">
        <v>98</v>
      </c>
      <c r="G392" s="4" t="s">
        <v>29</v>
      </c>
      <c r="H392" s="5">
        <v>46023</v>
      </c>
      <c r="I392" s="5">
        <v>46023</v>
      </c>
      <c r="J392" s="4">
        <v>20411454</v>
      </c>
      <c r="K392" s="4" t="s">
        <v>32</v>
      </c>
      <c r="L392" s="4" t="s">
        <v>765</v>
      </c>
      <c r="M392" s="4" t="s">
        <v>34</v>
      </c>
      <c r="N392" s="4">
        <v>844</v>
      </c>
      <c r="O392" s="4">
        <v>150</v>
      </c>
      <c r="P392" s="4" t="s">
        <v>742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s="2" customFormat="1" x14ac:dyDescent="0.25">
      <c r="A393" s="4" t="s">
        <v>168</v>
      </c>
      <c r="B393" s="4" t="str">
        <f>CONCATENATE(A393,"OVR")</f>
        <v>4A95U63XN60OVR</v>
      </c>
      <c r="C393" s="4" t="s">
        <v>840</v>
      </c>
      <c r="D393" s="4" t="s">
        <v>841</v>
      </c>
      <c r="E393" s="2" t="str">
        <f t="shared" si="6"/>
        <v>FARIAS CHAVEZ</v>
      </c>
      <c r="F393" s="4" t="s">
        <v>42</v>
      </c>
      <c r="G393" s="4" t="s">
        <v>29</v>
      </c>
      <c r="H393" s="5">
        <v>46023</v>
      </c>
      <c r="I393" s="5">
        <v>46023</v>
      </c>
      <c r="J393" s="4">
        <v>20411454</v>
      </c>
      <c r="K393" s="4" t="s">
        <v>32</v>
      </c>
      <c r="L393" s="4" t="s">
        <v>765</v>
      </c>
      <c r="M393" s="4" t="s">
        <v>34</v>
      </c>
      <c r="N393" s="4">
        <v>844</v>
      </c>
      <c r="O393" s="4">
        <v>150</v>
      </c>
      <c r="P393" s="4" t="s">
        <v>742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s="4" customFormat="1" x14ac:dyDescent="0.25">
      <c r="A394" s="4" t="s">
        <v>175</v>
      </c>
      <c r="B394" s="4" t="str">
        <f>CONCATENATE(A394,"OVR")</f>
        <v>9R76NU0MD40OVR</v>
      </c>
      <c r="C394" s="4" t="s">
        <v>931</v>
      </c>
      <c r="D394" s="4" t="s">
        <v>812</v>
      </c>
      <c r="E394" s="2" t="str">
        <f t="shared" si="6"/>
        <v>GREGORY CLARK</v>
      </c>
      <c r="F394" s="4" t="s">
        <v>42</v>
      </c>
      <c r="G394" s="4" t="s">
        <v>29</v>
      </c>
      <c r="H394" s="5">
        <v>46023</v>
      </c>
      <c r="I394" s="5">
        <v>46023</v>
      </c>
      <c r="J394" s="4">
        <v>20411454</v>
      </c>
      <c r="K394" s="4" t="s">
        <v>32</v>
      </c>
      <c r="L394" s="4" t="s">
        <v>765</v>
      </c>
      <c r="M394" s="4" t="s">
        <v>34</v>
      </c>
      <c r="N394" s="4">
        <v>844</v>
      </c>
      <c r="O394" s="4">
        <v>150</v>
      </c>
      <c r="P394" s="4" t="s">
        <v>742</v>
      </c>
    </row>
    <row r="395" spans="1:27" s="4" customFormat="1" x14ac:dyDescent="0.25">
      <c r="A395" s="4" t="s">
        <v>179</v>
      </c>
      <c r="B395" s="4" t="str">
        <f>CONCATENATE(A395,"OVR")</f>
        <v>3W28U89YV37OVR</v>
      </c>
      <c r="C395" s="4" t="s">
        <v>993</v>
      </c>
      <c r="D395" s="4" t="s">
        <v>904</v>
      </c>
      <c r="E395" s="2" t="str">
        <f t="shared" si="6"/>
        <v>ANGELA COLLINS</v>
      </c>
      <c r="F395" s="4" t="s">
        <v>182</v>
      </c>
      <c r="G395" s="4" t="s">
        <v>29</v>
      </c>
      <c r="H395" s="5">
        <v>46054</v>
      </c>
      <c r="I395" s="5">
        <v>46054</v>
      </c>
      <c r="J395" s="4">
        <v>20411454</v>
      </c>
      <c r="K395" s="4" t="s">
        <v>32</v>
      </c>
      <c r="L395" s="4" t="s">
        <v>765</v>
      </c>
      <c r="M395" s="4" t="s">
        <v>34</v>
      </c>
      <c r="N395" s="4">
        <v>844</v>
      </c>
      <c r="O395" s="4">
        <v>150</v>
      </c>
      <c r="P395" s="4" t="s">
        <v>742</v>
      </c>
    </row>
    <row r="396" spans="1:27" s="4" customFormat="1" x14ac:dyDescent="0.25">
      <c r="A396" s="4" t="s">
        <v>185</v>
      </c>
      <c r="B396" s="4" t="str">
        <f>CONCATENATE(A396,"OVR")</f>
        <v>5QA4VR6EV94OVR</v>
      </c>
      <c r="C396" s="4" t="s">
        <v>932</v>
      </c>
      <c r="D396" s="4" t="s">
        <v>933</v>
      </c>
      <c r="E396" s="2" t="str">
        <f t="shared" si="6"/>
        <v>JOSEPH COONEY</v>
      </c>
      <c r="F396" s="4" t="s">
        <v>98</v>
      </c>
      <c r="G396" s="4" t="s">
        <v>29</v>
      </c>
      <c r="H396" s="5">
        <v>46023</v>
      </c>
      <c r="I396" s="5">
        <v>46023</v>
      </c>
      <c r="J396" s="4">
        <v>20411454</v>
      </c>
      <c r="K396" s="4" t="s">
        <v>32</v>
      </c>
      <c r="L396" s="4" t="s">
        <v>765</v>
      </c>
      <c r="M396" s="4" t="s">
        <v>34</v>
      </c>
      <c r="N396" s="4">
        <v>844</v>
      </c>
      <c r="O396" s="4">
        <v>150</v>
      </c>
      <c r="P396" s="4" t="s">
        <v>742</v>
      </c>
    </row>
    <row r="397" spans="1:27" s="4" customFormat="1" x14ac:dyDescent="0.25">
      <c r="A397" s="4" t="s">
        <v>189</v>
      </c>
      <c r="B397" s="4" t="str">
        <f>CONCATENATE(A397,"OVR")</f>
        <v>2PN5HJ1DY40OVR</v>
      </c>
      <c r="C397" s="4" t="s">
        <v>934</v>
      </c>
      <c r="D397" s="4" t="s">
        <v>935</v>
      </c>
      <c r="E397" s="2" t="str">
        <f t="shared" si="6"/>
        <v>MARY CORZATT</v>
      </c>
      <c r="F397" s="4" t="s">
        <v>42</v>
      </c>
      <c r="G397" s="4" t="s">
        <v>29</v>
      </c>
      <c r="H397" s="5">
        <v>46023</v>
      </c>
      <c r="I397" s="5">
        <v>46023</v>
      </c>
      <c r="J397" s="4">
        <v>20411454</v>
      </c>
      <c r="K397" s="4" t="s">
        <v>32</v>
      </c>
      <c r="L397" s="4" t="s">
        <v>765</v>
      </c>
      <c r="M397" s="4" t="s">
        <v>34</v>
      </c>
      <c r="N397" s="4">
        <v>844</v>
      </c>
      <c r="O397" s="4">
        <v>150</v>
      </c>
      <c r="P397" s="4" t="s">
        <v>742</v>
      </c>
    </row>
    <row r="398" spans="1:27" s="4" customFormat="1" x14ac:dyDescent="0.25">
      <c r="A398" s="4" t="s">
        <v>194</v>
      </c>
      <c r="B398" s="4" t="str">
        <f>CONCATENATE(A398,"OVR")</f>
        <v>5VH0XT7GT30OVR</v>
      </c>
      <c r="C398" s="4" t="s">
        <v>934</v>
      </c>
      <c r="D398" s="4" t="s">
        <v>936</v>
      </c>
      <c r="E398" s="2" t="str">
        <f t="shared" si="6"/>
        <v>JAMES CORZATT</v>
      </c>
      <c r="F398" s="4" t="s">
        <v>42</v>
      </c>
      <c r="G398" s="4" t="s">
        <v>29</v>
      </c>
      <c r="H398" s="5">
        <v>46023</v>
      </c>
      <c r="I398" s="5">
        <v>46023</v>
      </c>
      <c r="J398" s="4">
        <v>20411454</v>
      </c>
      <c r="K398" s="4" t="s">
        <v>32</v>
      </c>
      <c r="L398" s="4" t="s">
        <v>765</v>
      </c>
      <c r="M398" s="4" t="s">
        <v>34</v>
      </c>
      <c r="N398" s="4">
        <v>844</v>
      </c>
      <c r="O398" s="4">
        <v>150</v>
      </c>
      <c r="P398" s="4" t="s">
        <v>742</v>
      </c>
    </row>
    <row r="399" spans="1:27" s="4" customFormat="1" x14ac:dyDescent="0.25">
      <c r="A399" s="4" t="s">
        <v>210</v>
      </c>
      <c r="B399" s="4" t="str">
        <f>CONCATENATE(A399,"OVR")</f>
        <v>7MW5M47WX83OVR</v>
      </c>
      <c r="C399" s="4" t="s">
        <v>937</v>
      </c>
      <c r="D399" s="4" t="s">
        <v>821</v>
      </c>
      <c r="E399" s="2" t="str">
        <f t="shared" si="6"/>
        <v>TERRY DEVOS</v>
      </c>
      <c r="F399" s="4" t="s">
        <v>98</v>
      </c>
      <c r="G399" s="4" t="s">
        <v>29</v>
      </c>
      <c r="H399" s="5">
        <v>46023</v>
      </c>
      <c r="I399" s="5">
        <v>46023</v>
      </c>
      <c r="J399" s="4">
        <v>20411454</v>
      </c>
      <c r="K399" s="4" t="s">
        <v>32</v>
      </c>
      <c r="L399" s="4" t="s">
        <v>765</v>
      </c>
      <c r="M399" s="4" t="s">
        <v>34</v>
      </c>
      <c r="N399" s="4">
        <v>844</v>
      </c>
      <c r="O399" s="4">
        <v>150</v>
      </c>
      <c r="P399" s="4" t="s">
        <v>742</v>
      </c>
    </row>
    <row r="400" spans="1:27" s="4" customFormat="1" x14ac:dyDescent="0.25">
      <c r="A400" s="4" t="s">
        <v>219</v>
      </c>
      <c r="B400" s="4" t="str">
        <f>CONCATENATE(A400,"OVR")</f>
        <v>2FD1PJ5WU96OVR</v>
      </c>
      <c r="C400" s="4" t="s">
        <v>806</v>
      </c>
      <c r="D400" s="4" t="s">
        <v>790</v>
      </c>
      <c r="E400" s="2" t="str">
        <f t="shared" si="6"/>
        <v>RICHARD DIPIETRANTONIO</v>
      </c>
      <c r="F400" s="4" t="s">
        <v>42</v>
      </c>
      <c r="G400" s="4" t="s">
        <v>29</v>
      </c>
      <c r="H400" s="5">
        <v>46023</v>
      </c>
      <c r="I400" s="5">
        <v>46023</v>
      </c>
      <c r="J400" s="4">
        <v>20411454</v>
      </c>
      <c r="K400" s="4" t="s">
        <v>32</v>
      </c>
      <c r="L400" s="4" t="s">
        <v>765</v>
      </c>
      <c r="M400" s="4" t="s">
        <v>34</v>
      </c>
      <c r="N400" s="4">
        <v>844</v>
      </c>
      <c r="O400" s="4">
        <v>150</v>
      </c>
      <c r="P400" s="4" t="s">
        <v>742</v>
      </c>
    </row>
    <row r="401" spans="1:16" s="4" customFormat="1" x14ac:dyDescent="0.25">
      <c r="A401" s="4" t="s">
        <v>222</v>
      </c>
      <c r="B401" s="4" t="str">
        <f>CONCATENATE(A401,"OVR")</f>
        <v>2DC6WT0VR43OVR</v>
      </c>
      <c r="C401" s="4" t="s">
        <v>938</v>
      </c>
      <c r="D401" s="4" t="s">
        <v>922</v>
      </c>
      <c r="E401" s="2" t="str">
        <f t="shared" si="6"/>
        <v>JANE DOBROWSKI</v>
      </c>
      <c r="F401" s="4" t="s">
        <v>207</v>
      </c>
      <c r="G401" s="4" t="s">
        <v>29</v>
      </c>
      <c r="H401" s="5">
        <v>46023</v>
      </c>
      <c r="I401" s="5">
        <v>46023</v>
      </c>
      <c r="J401" s="4">
        <v>20411454</v>
      </c>
      <c r="K401" s="4" t="s">
        <v>32</v>
      </c>
      <c r="L401" s="4" t="s">
        <v>765</v>
      </c>
      <c r="M401" s="4" t="s">
        <v>34</v>
      </c>
      <c r="N401" s="4">
        <v>844</v>
      </c>
      <c r="O401" s="4">
        <v>150</v>
      </c>
      <c r="P401" s="4" t="s">
        <v>742</v>
      </c>
    </row>
    <row r="402" spans="1:16" s="4" customFormat="1" x14ac:dyDescent="0.25">
      <c r="A402" s="4" t="s">
        <v>226</v>
      </c>
      <c r="B402" s="4" t="str">
        <f>CONCATENATE(A402,"OVR")</f>
        <v>4HH1EJ2AK03OVR</v>
      </c>
      <c r="C402" s="4" t="s">
        <v>807</v>
      </c>
      <c r="D402" s="4" t="s">
        <v>808</v>
      </c>
      <c r="E402" s="2" t="str">
        <f t="shared" si="6"/>
        <v>MELANIA DOCTORIAN</v>
      </c>
      <c r="F402" s="4" t="s">
        <v>42</v>
      </c>
      <c r="G402" s="4" t="s">
        <v>29</v>
      </c>
      <c r="H402" s="5">
        <v>46023</v>
      </c>
      <c r="I402" s="5">
        <v>46023</v>
      </c>
      <c r="J402" s="4">
        <v>20411454</v>
      </c>
      <c r="K402" s="4" t="s">
        <v>32</v>
      </c>
      <c r="L402" s="4" t="s">
        <v>765</v>
      </c>
      <c r="M402" s="4" t="s">
        <v>34</v>
      </c>
      <c r="N402" s="4">
        <v>844</v>
      </c>
      <c r="O402" s="4">
        <v>150</v>
      </c>
      <c r="P402" s="4" t="s">
        <v>742</v>
      </c>
    </row>
    <row r="403" spans="1:16" s="4" customFormat="1" x14ac:dyDescent="0.25">
      <c r="A403" s="4" t="s">
        <v>254</v>
      </c>
      <c r="B403" s="4" t="str">
        <f>CONCATENATE(A403,"OVR")</f>
        <v>8UY1XE2PM17OVR</v>
      </c>
      <c r="C403" s="4" t="s">
        <v>809</v>
      </c>
      <c r="D403" s="4" t="s">
        <v>810</v>
      </c>
      <c r="E403" s="2" t="str">
        <f t="shared" si="6"/>
        <v>KATHLEEN FINNEY</v>
      </c>
      <c r="F403" s="4" t="s">
        <v>42</v>
      </c>
      <c r="G403" s="4" t="s">
        <v>29</v>
      </c>
      <c r="H403" s="5">
        <v>46023</v>
      </c>
      <c r="I403" s="5">
        <v>46023</v>
      </c>
      <c r="J403" s="4">
        <v>20411454</v>
      </c>
      <c r="K403" s="4" t="s">
        <v>32</v>
      </c>
      <c r="L403" s="4" t="s">
        <v>765</v>
      </c>
      <c r="M403" s="4" t="s">
        <v>34</v>
      </c>
      <c r="N403" s="4">
        <v>844</v>
      </c>
      <c r="O403" s="4">
        <v>150</v>
      </c>
      <c r="P403" s="4" t="s">
        <v>742</v>
      </c>
    </row>
    <row r="404" spans="1:16" s="4" customFormat="1" x14ac:dyDescent="0.25">
      <c r="A404" s="4" t="s">
        <v>267</v>
      </c>
      <c r="B404" s="4" t="str">
        <f>CONCATENATE(A404,"OVR")</f>
        <v>4DP9RX5RM19OVR</v>
      </c>
      <c r="C404" s="4" t="s">
        <v>994</v>
      </c>
      <c r="D404" s="4" t="s">
        <v>935</v>
      </c>
      <c r="E404" s="2" t="str">
        <f t="shared" si="6"/>
        <v>MARY FRY</v>
      </c>
      <c r="F404" s="4" t="s">
        <v>270</v>
      </c>
      <c r="G404" s="4" t="s">
        <v>29</v>
      </c>
      <c r="H404" s="5">
        <v>46054</v>
      </c>
      <c r="I404" s="5">
        <v>46054</v>
      </c>
      <c r="J404" s="4">
        <v>20411454</v>
      </c>
      <c r="K404" s="4" t="s">
        <v>32</v>
      </c>
      <c r="L404" s="4" t="s">
        <v>765</v>
      </c>
      <c r="M404" s="4" t="s">
        <v>34</v>
      </c>
      <c r="N404" s="4">
        <v>844</v>
      </c>
      <c r="O404" s="4">
        <v>150</v>
      </c>
      <c r="P404" s="4" t="s">
        <v>742</v>
      </c>
    </row>
    <row r="405" spans="1:16" s="4" customFormat="1" x14ac:dyDescent="0.25">
      <c r="A405" s="4" t="s">
        <v>284</v>
      </c>
      <c r="B405" s="4" t="str">
        <f>CONCATENATE(A405,"OVR")</f>
        <v>5F30U68VE05OVR</v>
      </c>
      <c r="C405" s="4" t="s">
        <v>825</v>
      </c>
      <c r="D405" s="4" t="s">
        <v>812</v>
      </c>
      <c r="E405" s="2" t="str">
        <f t="shared" si="6"/>
        <v>GREGORY GILLES</v>
      </c>
      <c r="F405" s="4" t="s">
        <v>42</v>
      </c>
      <c r="G405" s="4" t="s">
        <v>29</v>
      </c>
      <c r="H405" s="5">
        <v>46023</v>
      </c>
      <c r="I405" s="5">
        <v>46023</v>
      </c>
      <c r="J405" s="4">
        <v>20411454</v>
      </c>
      <c r="K405" s="4" t="s">
        <v>32</v>
      </c>
      <c r="L405" s="4" t="s">
        <v>765</v>
      </c>
      <c r="M405" s="4" t="s">
        <v>34</v>
      </c>
      <c r="N405" s="4">
        <v>844</v>
      </c>
      <c r="O405" s="4">
        <v>150</v>
      </c>
      <c r="P405" s="4" t="s">
        <v>742</v>
      </c>
    </row>
    <row r="406" spans="1:16" s="4" customFormat="1" x14ac:dyDescent="0.25">
      <c r="A406" s="4" t="s">
        <v>294</v>
      </c>
      <c r="B406" s="4" t="str">
        <f>CONCATENATE(A406,"OVR")</f>
        <v>8PQ6FG5YX59OVR</v>
      </c>
      <c r="C406" s="4" t="s">
        <v>939</v>
      </c>
      <c r="D406" s="4" t="s">
        <v>940</v>
      </c>
      <c r="E406" s="2" t="str">
        <f t="shared" si="6"/>
        <v>LYNN GORDON</v>
      </c>
      <c r="F406" s="4" t="s">
        <v>98</v>
      </c>
      <c r="G406" s="4" t="s">
        <v>29</v>
      </c>
      <c r="H406" s="5">
        <v>46023</v>
      </c>
      <c r="I406" s="5">
        <v>46023</v>
      </c>
      <c r="J406" s="4">
        <v>20411454</v>
      </c>
      <c r="K406" s="4" t="s">
        <v>32</v>
      </c>
      <c r="L406" s="4" t="s">
        <v>765</v>
      </c>
      <c r="M406" s="4" t="s">
        <v>34</v>
      </c>
      <c r="N406" s="4">
        <v>844</v>
      </c>
      <c r="O406" s="4">
        <v>150</v>
      </c>
      <c r="P406" s="4" t="s">
        <v>742</v>
      </c>
    </row>
    <row r="407" spans="1:16" s="4" customFormat="1" x14ac:dyDescent="0.25">
      <c r="A407" s="4" t="s">
        <v>297</v>
      </c>
      <c r="B407" s="4" t="str">
        <f>CONCATENATE(A407,"OVR")</f>
        <v>1V81VD7XX25OVR</v>
      </c>
      <c r="C407" s="4" t="s">
        <v>941</v>
      </c>
      <c r="D407" s="4" t="s">
        <v>940</v>
      </c>
      <c r="E407" s="2" t="str">
        <f t="shared" si="6"/>
        <v>LYNN GRONOWSKI</v>
      </c>
      <c r="F407" s="4" t="s">
        <v>98</v>
      </c>
      <c r="G407" s="4" t="s">
        <v>29</v>
      </c>
      <c r="H407" s="5">
        <v>46023</v>
      </c>
      <c r="I407" s="5">
        <v>46023</v>
      </c>
      <c r="J407" s="4">
        <v>20411454</v>
      </c>
      <c r="K407" s="4" t="s">
        <v>32</v>
      </c>
      <c r="L407" s="4" t="s">
        <v>765</v>
      </c>
      <c r="M407" s="4" t="s">
        <v>34</v>
      </c>
      <c r="N407" s="4">
        <v>844</v>
      </c>
      <c r="O407" s="4">
        <v>150</v>
      </c>
      <c r="P407" s="4" t="s">
        <v>742</v>
      </c>
    </row>
    <row r="408" spans="1:16" s="4" customFormat="1" x14ac:dyDescent="0.25">
      <c r="A408" s="4" t="s">
        <v>300</v>
      </c>
      <c r="B408" s="4" t="str">
        <f>CONCATENATE(A408,"OVR")</f>
        <v>7T32D81CE15OVR</v>
      </c>
      <c r="C408" s="4" t="s">
        <v>941</v>
      </c>
      <c r="D408" s="4" t="s">
        <v>942</v>
      </c>
      <c r="E408" s="2" t="str">
        <f t="shared" si="6"/>
        <v>GERARD GRONOWSKI</v>
      </c>
      <c r="F408" s="4" t="s">
        <v>98</v>
      </c>
      <c r="G408" s="4" t="s">
        <v>29</v>
      </c>
      <c r="H408" s="5">
        <v>46023</v>
      </c>
      <c r="I408" s="5">
        <v>46023</v>
      </c>
      <c r="J408" s="4">
        <v>20411454</v>
      </c>
      <c r="K408" s="4" t="s">
        <v>32</v>
      </c>
      <c r="L408" s="4" t="s">
        <v>765</v>
      </c>
      <c r="M408" s="4" t="s">
        <v>34</v>
      </c>
      <c r="N408" s="4">
        <v>844</v>
      </c>
      <c r="O408" s="4">
        <v>150</v>
      </c>
      <c r="P408" s="4" t="s">
        <v>742</v>
      </c>
    </row>
    <row r="409" spans="1:16" s="4" customFormat="1" x14ac:dyDescent="0.25">
      <c r="A409" s="4" t="s">
        <v>303</v>
      </c>
      <c r="B409" s="4" t="str">
        <f>CONCATENATE(A409,"OVR")</f>
        <v>5VG9M06GM43OVR</v>
      </c>
      <c r="C409" s="4" t="s">
        <v>995</v>
      </c>
      <c r="D409" s="4" t="s">
        <v>996</v>
      </c>
      <c r="E409" s="2" t="str">
        <f t="shared" si="6"/>
        <v>RAMONA HARRISON</v>
      </c>
      <c r="F409" s="4" t="s">
        <v>42</v>
      </c>
      <c r="G409" s="4" t="s">
        <v>29</v>
      </c>
      <c r="H409" s="5">
        <v>46054</v>
      </c>
      <c r="I409" s="5">
        <v>46054</v>
      </c>
      <c r="J409" s="4">
        <v>20411454</v>
      </c>
      <c r="K409" s="4" t="s">
        <v>32</v>
      </c>
      <c r="L409" s="4" t="s">
        <v>765</v>
      </c>
      <c r="M409" s="4" t="s">
        <v>34</v>
      </c>
      <c r="N409" s="4">
        <v>844</v>
      </c>
      <c r="O409" s="4">
        <v>150</v>
      </c>
      <c r="P409" s="4" t="s">
        <v>742</v>
      </c>
    </row>
    <row r="410" spans="1:16" s="4" customFormat="1" x14ac:dyDescent="0.25">
      <c r="A410" s="4" t="s">
        <v>306</v>
      </c>
      <c r="B410" s="4" t="str">
        <f>CONCATENATE(A410,"OVR")</f>
        <v>5ET2R81VA13OVR</v>
      </c>
      <c r="C410" s="4" t="s">
        <v>943</v>
      </c>
      <c r="D410" s="4" t="s">
        <v>944</v>
      </c>
      <c r="E410" s="2" t="str">
        <f t="shared" si="6"/>
        <v>ALFRED HARSTON</v>
      </c>
      <c r="F410" s="4" t="s">
        <v>42</v>
      </c>
      <c r="G410" s="4" t="s">
        <v>29</v>
      </c>
      <c r="H410" s="5">
        <v>46023</v>
      </c>
      <c r="I410" s="5">
        <v>46023</v>
      </c>
      <c r="J410" s="4">
        <v>20411454</v>
      </c>
      <c r="K410" s="4" t="s">
        <v>32</v>
      </c>
      <c r="L410" s="4" t="s">
        <v>765</v>
      </c>
      <c r="M410" s="4" t="s">
        <v>34</v>
      </c>
      <c r="N410" s="4">
        <v>844</v>
      </c>
      <c r="O410" s="4">
        <v>150</v>
      </c>
      <c r="P410" s="4" t="s">
        <v>742</v>
      </c>
    </row>
    <row r="411" spans="1:16" s="4" customFormat="1" x14ac:dyDescent="0.25">
      <c r="A411" s="4" t="s">
        <v>330</v>
      </c>
      <c r="B411" s="4" t="str">
        <f>CONCATENATE(A411,"OVR")</f>
        <v>5U07J79UQ31OVR</v>
      </c>
      <c r="C411" s="4" t="s">
        <v>811</v>
      </c>
      <c r="D411" s="4" t="s">
        <v>812</v>
      </c>
      <c r="E411" s="2" t="str">
        <f t="shared" si="6"/>
        <v>GREGORY HENSON</v>
      </c>
      <c r="F411" s="4" t="s">
        <v>42</v>
      </c>
      <c r="G411" s="4" t="s">
        <v>29</v>
      </c>
      <c r="H411" s="5">
        <v>46023</v>
      </c>
      <c r="I411" s="5">
        <v>46023</v>
      </c>
      <c r="J411" s="4">
        <v>20411454</v>
      </c>
      <c r="K411" s="4" t="s">
        <v>32</v>
      </c>
      <c r="L411" s="4" t="s">
        <v>765</v>
      </c>
      <c r="M411" s="4" t="s">
        <v>34</v>
      </c>
      <c r="N411" s="4">
        <v>844</v>
      </c>
      <c r="O411" s="4">
        <v>150</v>
      </c>
      <c r="P411" s="4" t="s">
        <v>742</v>
      </c>
    </row>
    <row r="412" spans="1:16" s="4" customFormat="1" x14ac:dyDescent="0.25">
      <c r="A412" s="4" t="s">
        <v>334</v>
      </c>
      <c r="B412" s="4" t="str">
        <f>CONCATENATE(A412,"OVR")</f>
        <v>1KP8X12CJ27OVR</v>
      </c>
      <c r="C412" s="4" t="s">
        <v>945</v>
      </c>
      <c r="D412" s="4" t="s">
        <v>946</v>
      </c>
      <c r="E412" s="2" t="str">
        <f t="shared" si="6"/>
        <v>KRISTIN HERNANDEZ</v>
      </c>
      <c r="F412" s="4" t="s">
        <v>337</v>
      </c>
      <c r="G412" s="4" t="s">
        <v>29</v>
      </c>
      <c r="H412" s="5">
        <v>46023</v>
      </c>
      <c r="I412" s="5">
        <v>46023</v>
      </c>
      <c r="J412" s="4">
        <v>20411454</v>
      </c>
      <c r="K412" s="4" t="s">
        <v>32</v>
      </c>
      <c r="L412" s="4" t="s">
        <v>765</v>
      </c>
      <c r="M412" s="4" t="s">
        <v>34</v>
      </c>
      <c r="N412" s="4">
        <v>844</v>
      </c>
      <c r="O412" s="4">
        <v>150</v>
      </c>
      <c r="P412" s="4" t="s">
        <v>742</v>
      </c>
    </row>
    <row r="413" spans="1:16" s="4" customFormat="1" x14ac:dyDescent="0.25">
      <c r="A413" s="4" t="s">
        <v>341</v>
      </c>
      <c r="B413" s="4" t="str">
        <f>CONCATENATE(A413,"OVR")</f>
        <v>8AF7VG9AP64OVR</v>
      </c>
      <c r="C413" s="4" t="s">
        <v>947</v>
      </c>
      <c r="D413" s="4" t="s">
        <v>948</v>
      </c>
      <c r="E413" s="2" t="str">
        <f t="shared" si="6"/>
        <v>BEVERLY HIERMEIER</v>
      </c>
      <c r="F413" s="4" t="s">
        <v>42</v>
      </c>
      <c r="G413" s="4" t="s">
        <v>29</v>
      </c>
      <c r="H413" s="5">
        <v>46023</v>
      </c>
      <c r="I413" s="5">
        <v>46023</v>
      </c>
      <c r="J413" s="4">
        <v>20411454</v>
      </c>
      <c r="K413" s="4" t="s">
        <v>32</v>
      </c>
      <c r="L413" s="4" t="s">
        <v>765</v>
      </c>
      <c r="M413" s="4" t="s">
        <v>34</v>
      </c>
      <c r="N413" s="4">
        <v>844</v>
      </c>
      <c r="O413" s="4">
        <v>150</v>
      </c>
      <c r="P413" s="4" t="s">
        <v>742</v>
      </c>
    </row>
    <row r="414" spans="1:16" s="4" customFormat="1" x14ac:dyDescent="0.25">
      <c r="A414" s="4" t="s">
        <v>344</v>
      </c>
      <c r="B414" s="4" t="str">
        <f>CONCATENATE(A414,"OVR")</f>
        <v>9G48E16DN63OVR</v>
      </c>
      <c r="C414" s="4" t="s">
        <v>949</v>
      </c>
      <c r="D414" s="4" t="s">
        <v>864</v>
      </c>
      <c r="E414" s="2" t="str">
        <f t="shared" si="6"/>
        <v>BARBARA HILL</v>
      </c>
      <c r="F414" s="4" t="s">
        <v>42</v>
      </c>
      <c r="G414" s="4" t="s">
        <v>29</v>
      </c>
      <c r="H414" s="5">
        <v>46023</v>
      </c>
      <c r="I414" s="5">
        <v>46023</v>
      </c>
      <c r="J414" s="4">
        <v>20411454</v>
      </c>
      <c r="K414" s="4" t="s">
        <v>32</v>
      </c>
      <c r="L414" s="4" t="s">
        <v>765</v>
      </c>
      <c r="M414" s="4" t="s">
        <v>34</v>
      </c>
      <c r="N414" s="4">
        <v>844</v>
      </c>
      <c r="O414" s="4">
        <v>150</v>
      </c>
      <c r="P414" s="4" t="s">
        <v>742</v>
      </c>
    </row>
    <row r="415" spans="1:16" s="4" customFormat="1" x14ac:dyDescent="0.25">
      <c r="A415" s="4" t="s">
        <v>347</v>
      </c>
      <c r="B415" s="4" t="str">
        <f>CONCATENATE(A415,"OVR")</f>
        <v>8QG2AG6WT88OVR</v>
      </c>
      <c r="C415" s="4" t="s">
        <v>949</v>
      </c>
      <c r="D415" s="4" t="s">
        <v>950</v>
      </c>
      <c r="E415" s="2" t="str">
        <f t="shared" si="6"/>
        <v>WILLIAM HILL</v>
      </c>
      <c r="F415" s="4" t="s">
        <v>42</v>
      </c>
      <c r="G415" s="4" t="s">
        <v>29</v>
      </c>
      <c r="H415" s="5">
        <v>46023</v>
      </c>
      <c r="I415" s="5">
        <v>46023</v>
      </c>
      <c r="J415" s="4">
        <v>20411454</v>
      </c>
      <c r="K415" s="4" t="s">
        <v>32</v>
      </c>
      <c r="L415" s="4" t="s">
        <v>765</v>
      </c>
      <c r="M415" s="4" t="s">
        <v>34</v>
      </c>
      <c r="N415" s="4">
        <v>844</v>
      </c>
      <c r="O415" s="4">
        <v>150</v>
      </c>
      <c r="P415" s="4" t="s">
        <v>742</v>
      </c>
    </row>
    <row r="416" spans="1:16" s="4" customFormat="1" x14ac:dyDescent="0.25">
      <c r="A416" s="4" t="s">
        <v>357</v>
      </c>
      <c r="B416" s="4" t="str">
        <f>CONCATENATE(A416,"OVR")</f>
        <v>7X46CA1RA63OVR</v>
      </c>
      <c r="C416" s="4" t="s">
        <v>813</v>
      </c>
      <c r="D416" s="4" t="s">
        <v>814</v>
      </c>
      <c r="E416" s="2" t="str">
        <f t="shared" si="6"/>
        <v>KATHERINE HIRSCH</v>
      </c>
      <c r="F416" s="4" t="s">
        <v>42</v>
      </c>
      <c r="G416" s="4" t="s">
        <v>29</v>
      </c>
      <c r="H416" s="5">
        <v>46023</v>
      </c>
      <c r="I416" s="5">
        <v>46023</v>
      </c>
      <c r="J416" s="4">
        <v>20411454</v>
      </c>
      <c r="K416" s="4" t="s">
        <v>32</v>
      </c>
      <c r="L416" s="4" t="s">
        <v>765</v>
      </c>
      <c r="M416" s="4" t="s">
        <v>34</v>
      </c>
      <c r="N416" s="4">
        <v>844</v>
      </c>
      <c r="O416" s="4">
        <v>150</v>
      </c>
      <c r="P416" s="4" t="s">
        <v>742</v>
      </c>
    </row>
    <row r="417" spans="1:27" s="2" customFormat="1" x14ac:dyDescent="0.25">
      <c r="A417" s="4" t="s">
        <v>368</v>
      </c>
      <c r="B417" s="4" t="str">
        <f>CONCATENATE(A417,"OVR")</f>
        <v>6U15EP6CV76OVR</v>
      </c>
      <c r="C417" s="4" t="s">
        <v>951</v>
      </c>
      <c r="D417" s="4" t="s">
        <v>952</v>
      </c>
      <c r="E417" s="2" t="str">
        <f t="shared" si="6"/>
        <v>LISA HOLLEY</v>
      </c>
      <c r="F417" s="4" t="s">
        <v>98</v>
      </c>
      <c r="G417" s="4" t="s">
        <v>29</v>
      </c>
      <c r="H417" s="5">
        <v>46023</v>
      </c>
      <c r="I417" s="5">
        <v>46023</v>
      </c>
      <c r="J417" s="4">
        <v>20411454</v>
      </c>
      <c r="K417" s="4" t="s">
        <v>32</v>
      </c>
      <c r="L417" s="4" t="s">
        <v>765</v>
      </c>
      <c r="M417" s="4" t="s">
        <v>34</v>
      </c>
      <c r="N417" s="4">
        <v>844</v>
      </c>
      <c r="O417" s="4">
        <v>150</v>
      </c>
      <c r="P417" s="4" t="s">
        <v>742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s="2" customFormat="1" x14ac:dyDescent="0.25">
      <c r="A418" s="4" t="s">
        <v>379</v>
      </c>
      <c r="B418" s="4" t="str">
        <f>CONCATENATE(A418,"OVR")</f>
        <v>9G87Q80MQ49OVR</v>
      </c>
      <c r="C418" s="4" t="s">
        <v>997</v>
      </c>
      <c r="D418" s="4" t="s">
        <v>998</v>
      </c>
      <c r="E418" s="2" t="str">
        <f t="shared" si="6"/>
        <v>SANDRA JOHNSTON</v>
      </c>
      <c r="F418" s="4" t="s">
        <v>42</v>
      </c>
      <c r="G418" s="4" t="s">
        <v>29</v>
      </c>
      <c r="H418" s="5">
        <v>46054</v>
      </c>
      <c r="I418" s="5">
        <v>46054</v>
      </c>
      <c r="J418" s="4">
        <v>20411454</v>
      </c>
      <c r="K418" s="4" t="s">
        <v>32</v>
      </c>
      <c r="L418" s="4" t="s">
        <v>765</v>
      </c>
      <c r="M418" s="4" t="s">
        <v>34</v>
      </c>
      <c r="N418" s="4">
        <v>844</v>
      </c>
      <c r="O418" s="4">
        <v>150</v>
      </c>
      <c r="P418" s="4" t="s">
        <v>742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s="2" customFormat="1" x14ac:dyDescent="0.25">
      <c r="A419" s="4" t="s">
        <v>382</v>
      </c>
      <c r="B419" s="4" t="str">
        <f>CONCATENATE(A419,"OVR")</f>
        <v>2RM9EQ2PG33OVR</v>
      </c>
      <c r="C419" s="4" t="s">
        <v>826</v>
      </c>
      <c r="D419" s="4" t="s">
        <v>827</v>
      </c>
      <c r="E419" s="2" t="str">
        <f t="shared" si="6"/>
        <v>BRYCE JONES</v>
      </c>
      <c r="F419" s="4" t="s">
        <v>42</v>
      </c>
      <c r="G419" s="4" t="s">
        <v>29</v>
      </c>
      <c r="H419" s="5">
        <v>46054</v>
      </c>
      <c r="I419" s="5">
        <v>46054</v>
      </c>
      <c r="J419" s="4">
        <v>20411454</v>
      </c>
      <c r="K419" s="4" t="s">
        <v>32</v>
      </c>
      <c r="L419" s="4" t="s">
        <v>765</v>
      </c>
      <c r="M419" s="4" t="s">
        <v>34</v>
      </c>
      <c r="N419" s="4">
        <v>844</v>
      </c>
      <c r="O419" s="4">
        <v>150</v>
      </c>
      <c r="P419" s="4" t="s">
        <v>742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s="2" customFormat="1" x14ac:dyDescent="0.25">
      <c r="A420" s="4" t="s">
        <v>388</v>
      </c>
      <c r="B420" s="4" t="str">
        <f>CONCATENATE(A420,"OVR")</f>
        <v>7D76WK0WX83OVR</v>
      </c>
      <c r="C420" s="4" t="s">
        <v>953</v>
      </c>
      <c r="D420" s="4" t="s">
        <v>783</v>
      </c>
      <c r="E420" s="2" t="str">
        <f t="shared" si="6"/>
        <v>MICHAEL KANE</v>
      </c>
      <c r="F420" s="4" t="s">
        <v>391</v>
      </c>
      <c r="G420" s="4" t="s">
        <v>86</v>
      </c>
      <c r="H420" s="5">
        <v>46023</v>
      </c>
      <c r="I420" s="5">
        <v>46023</v>
      </c>
      <c r="J420" s="4">
        <v>20411454</v>
      </c>
      <c r="K420" s="4" t="s">
        <v>32</v>
      </c>
      <c r="L420" s="4" t="s">
        <v>765</v>
      </c>
      <c r="M420" s="4" t="s">
        <v>34</v>
      </c>
      <c r="N420" s="4">
        <v>844</v>
      </c>
      <c r="O420" s="4">
        <v>150</v>
      </c>
      <c r="P420" s="4" t="s">
        <v>742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s="2" customFormat="1" x14ac:dyDescent="0.25">
      <c r="A421" s="4" t="s">
        <v>396</v>
      </c>
      <c r="B421" s="4" t="str">
        <f>CONCATENATE(A421,"OVR")</f>
        <v>2VQ7WU0YJ77OVR</v>
      </c>
      <c r="C421" s="4" t="s">
        <v>954</v>
      </c>
      <c r="D421" s="4" t="s">
        <v>955</v>
      </c>
      <c r="E421" s="2" t="str">
        <f t="shared" si="6"/>
        <v>OUN KHAM</v>
      </c>
      <c r="F421" s="4" t="s">
        <v>42</v>
      </c>
      <c r="G421" s="4" t="s">
        <v>29</v>
      </c>
      <c r="H421" s="5">
        <v>46023</v>
      </c>
      <c r="I421" s="5">
        <v>46023</v>
      </c>
      <c r="J421" s="4">
        <v>20411454</v>
      </c>
      <c r="K421" s="4" t="s">
        <v>32</v>
      </c>
      <c r="L421" s="4" t="s">
        <v>765</v>
      </c>
      <c r="M421" s="4" t="s">
        <v>34</v>
      </c>
      <c r="N421" s="4">
        <v>844</v>
      </c>
      <c r="O421" s="4">
        <v>150</v>
      </c>
      <c r="P421" s="4" t="s">
        <v>742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s="2" customFormat="1" x14ac:dyDescent="0.25">
      <c r="A422" s="4" t="s">
        <v>399</v>
      </c>
      <c r="B422" s="4" t="str">
        <f>CONCATENATE(A422,"OVR")</f>
        <v>7W63N60FK73OVR</v>
      </c>
      <c r="C422" s="4" t="s">
        <v>956</v>
      </c>
      <c r="D422" s="4" t="s">
        <v>957</v>
      </c>
      <c r="E422" s="2" t="str">
        <f t="shared" si="6"/>
        <v>MICHELE KINSEY</v>
      </c>
      <c r="F422" s="4" t="s">
        <v>98</v>
      </c>
      <c r="G422" s="4" t="s">
        <v>29</v>
      </c>
      <c r="H422" s="5">
        <v>46023</v>
      </c>
      <c r="I422" s="5">
        <v>46023</v>
      </c>
      <c r="J422" s="4">
        <v>20411454</v>
      </c>
      <c r="K422" s="4" t="s">
        <v>32</v>
      </c>
      <c r="L422" s="4" t="s">
        <v>765</v>
      </c>
      <c r="M422" s="4" t="s">
        <v>34</v>
      </c>
      <c r="N422" s="4">
        <v>844</v>
      </c>
      <c r="O422" s="4">
        <v>150</v>
      </c>
      <c r="P422" s="4" t="s">
        <v>742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s="2" customFormat="1" x14ac:dyDescent="0.25">
      <c r="A423" s="4" t="s">
        <v>416</v>
      </c>
      <c r="B423" s="4" t="str">
        <f>CONCATENATE(A423,"OVR")</f>
        <v>4G06MU3UV55OVR</v>
      </c>
      <c r="C423" s="4" t="s">
        <v>791</v>
      </c>
      <c r="D423" s="4" t="s">
        <v>792</v>
      </c>
      <c r="E423" s="2" t="str">
        <f t="shared" si="6"/>
        <v>NANCY KRAWIEC</v>
      </c>
      <c r="F423" s="4" t="s">
        <v>42</v>
      </c>
      <c r="G423" s="4" t="s">
        <v>29</v>
      </c>
      <c r="H423" s="5">
        <v>46023</v>
      </c>
      <c r="I423" s="5">
        <v>46023</v>
      </c>
      <c r="J423" s="4">
        <v>20411454</v>
      </c>
      <c r="K423" s="4" t="s">
        <v>32</v>
      </c>
      <c r="L423" s="4" t="s">
        <v>765</v>
      </c>
      <c r="M423" s="4" t="s">
        <v>34</v>
      </c>
      <c r="N423" s="4">
        <v>844</v>
      </c>
      <c r="O423" s="4">
        <v>150</v>
      </c>
      <c r="P423" s="4" t="s">
        <v>742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s="2" customFormat="1" x14ac:dyDescent="0.25">
      <c r="A424" s="4" t="s">
        <v>420</v>
      </c>
      <c r="B424" s="4" t="str">
        <f>CONCATENATE(A424,"OVR")</f>
        <v>5GM3D01GX76OVR</v>
      </c>
      <c r="C424" s="4" t="s">
        <v>791</v>
      </c>
      <c r="D424" s="4" t="s">
        <v>793</v>
      </c>
      <c r="E424" s="2" t="str">
        <f t="shared" si="6"/>
        <v>KENNETH KRAWIEC</v>
      </c>
      <c r="F424" s="4" t="s">
        <v>42</v>
      </c>
      <c r="G424" s="4" t="s">
        <v>29</v>
      </c>
      <c r="H424" s="5">
        <v>46023</v>
      </c>
      <c r="I424" s="5">
        <v>46023</v>
      </c>
      <c r="J424" s="4">
        <v>20411454</v>
      </c>
      <c r="K424" s="4" t="s">
        <v>32</v>
      </c>
      <c r="L424" s="4" t="s">
        <v>765</v>
      </c>
      <c r="M424" s="4" t="s">
        <v>34</v>
      </c>
      <c r="N424" s="4">
        <v>844</v>
      </c>
      <c r="O424" s="4">
        <v>150</v>
      </c>
      <c r="P424" s="4" t="s">
        <v>742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s="2" customFormat="1" x14ac:dyDescent="0.25">
      <c r="A425" s="4" t="s">
        <v>448</v>
      </c>
      <c r="B425" s="4" t="str">
        <f>CONCATENATE(A425,"OVR")</f>
        <v>2V79E63RU51OVR</v>
      </c>
      <c r="C425" s="4" t="s">
        <v>958</v>
      </c>
      <c r="D425" s="4" t="s">
        <v>959</v>
      </c>
      <c r="E425" s="2" t="str">
        <f t="shared" si="6"/>
        <v>NANG MALAYTHONG</v>
      </c>
      <c r="F425" s="4" t="s">
        <v>42</v>
      </c>
      <c r="G425" s="4" t="s">
        <v>29</v>
      </c>
      <c r="H425" s="5">
        <v>46023</v>
      </c>
      <c r="I425" s="5">
        <v>46023</v>
      </c>
      <c r="J425" s="4">
        <v>20411454</v>
      </c>
      <c r="K425" s="4" t="s">
        <v>32</v>
      </c>
      <c r="L425" s="4" t="s">
        <v>765</v>
      </c>
      <c r="M425" s="4" t="s">
        <v>34</v>
      </c>
      <c r="N425" s="4">
        <v>844</v>
      </c>
      <c r="O425" s="4">
        <v>150</v>
      </c>
      <c r="P425" s="4" t="s">
        <v>742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s="2" customFormat="1" x14ac:dyDescent="0.25">
      <c r="A426" s="4" t="s">
        <v>451</v>
      </c>
      <c r="B426" s="4" t="str">
        <f>CONCATENATE(A426,"OVR")</f>
        <v>7ED2DK0XG06OVR</v>
      </c>
      <c r="C426" s="4" t="s">
        <v>815</v>
      </c>
      <c r="D426" s="4" t="s">
        <v>816</v>
      </c>
      <c r="E426" s="2" t="str">
        <f t="shared" si="6"/>
        <v>JEFFREY MALINOWSKI</v>
      </c>
      <c r="F426" s="4" t="s">
        <v>42</v>
      </c>
      <c r="G426" s="4" t="s">
        <v>29</v>
      </c>
      <c r="H426" s="5">
        <v>46023</v>
      </c>
      <c r="I426" s="5">
        <v>46023</v>
      </c>
      <c r="J426" s="4">
        <v>20411454</v>
      </c>
      <c r="K426" s="4" t="s">
        <v>32</v>
      </c>
      <c r="L426" s="4" t="s">
        <v>765</v>
      </c>
      <c r="M426" s="4" t="s">
        <v>34</v>
      </c>
      <c r="N426" s="4">
        <v>844</v>
      </c>
      <c r="O426" s="4">
        <v>150</v>
      </c>
      <c r="P426" s="4" t="s">
        <v>742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s="2" customFormat="1" x14ac:dyDescent="0.25">
      <c r="A427" s="4" t="s">
        <v>454</v>
      </c>
      <c r="B427" s="4" t="str">
        <f>CONCATENATE(A427,"OVR")</f>
        <v>1XR2WJ4YJ99OVR</v>
      </c>
      <c r="C427" s="4" t="s">
        <v>786</v>
      </c>
      <c r="D427" s="4" t="s">
        <v>787</v>
      </c>
      <c r="E427" s="2" t="str">
        <f t="shared" si="6"/>
        <v>JANICE MALONE</v>
      </c>
      <c r="F427" s="4" t="s">
        <v>42</v>
      </c>
      <c r="G427" s="4" t="s">
        <v>29</v>
      </c>
      <c r="H427" s="5">
        <v>46023</v>
      </c>
      <c r="I427" s="5">
        <v>46023</v>
      </c>
      <c r="J427" s="4">
        <v>20411454</v>
      </c>
      <c r="K427" s="4" t="s">
        <v>32</v>
      </c>
      <c r="L427" s="4" t="s">
        <v>765</v>
      </c>
      <c r="M427" s="4" t="s">
        <v>34</v>
      </c>
      <c r="N427" s="4">
        <v>844</v>
      </c>
      <c r="O427" s="4">
        <v>150</v>
      </c>
      <c r="P427" s="4" t="s">
        <v>742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s="2" customFormat="1" x14ac:dyDescent="0.25">
      <c r="A428" s="4" t="s">
        <v>495</v>
      </c>
      <c r="B428" s="4" t="str">
        <f>CONCATENATE(A428,"OVR")</f>
        <v>1XP0N77FG05OVR</v>
      </c>
      <c r="C428" s="4" t="s">
        <v>780</v>
      </c>
      <c r="D428" s="4" t="s">
        <v>781</v>
      </c>
      <c r="E428" s="2" t="str">
        <f t="shared" si="6"/>
        <v>STEVE MERCER</v>
      </c>
      <c r="F428" s="4" t="s">
        <v>98</v>
      </c>
      <c r="G428" s="4" t="s">
        <v>29</v>
      </c>
      <c r="H428" s="5">
        <v>46054</v>
      </c>
      <c r="I428" s="5">
        <v>46054</v>
      </c>
      <c r="J428" s="4">
        <v>20411454</v>
      </c>
      <c r="K428" s="4" t="s">
        <v>32</v>
      </c>
      <c r="L428" s="4" t="s">
        <v>765</v>
      </c>
      <c r="M428" s="4" t="s">
        <v>34</v>
      </c>
      <c r="N428" s="4">
        <v>844</v>
      </c>
      <c r="O428" s="4">
        <v>150</v>
      </c>
      <c r="P428" s="4" t="s">
        <v>742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s="2" customFormat="1" x14ac:dyDescent="0.25">
      <c r="A429" s="4" t="s">
        <v>502</v>
      </c>
      <c r="B429" s="4" t="str">
        <f>CONCATENATE(A429,"OVR")</f>
        <v>1PC7C26FG74OVR</v>
      </c>
      <c r="C429" s="4" t="s">
        <v>960</v>
      </c>
      <c r="D429" s="4" t="s">
        <v>775</v>
      </c>
      <c r="E429" s="2" t="str">
        <f t="shared" si="6"/>
        <v>DAVID MICKELSON</v>
      </c>
      <c r="F429" s="4" t="s">
        <v>108</v>
      </c>
      <c r="G429" s="4" t="s">
        <v>29</v>
      </c>
      <c r="H429" s="5">
        <v>46023</v>
      </c>
      <c r="I429" s="5">
        <v>46023</v>
      </c>
      <c r="J429" s="4">
        <v>20411454</v>
      </c>
      <c r="K429" s="4" t="s">
        <v>32</v>
      </c>
      <c r="L429" s="4" t="s">
        <v>765</v>
      </c>
      <c r="M429" s="4" t="s">
        <v>34</v>
      </c>
      <c r="N429" s="4">
        <v>844</v>
      </c>
      <c r="O429" s="4">
        <v>150</v>
      </c>
      <c r="P429" s="4" t="s">
        <v>742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s="2" customFormat="1" x14ac:dyDescent="0.25">
      <c r="A430" s="4" t="s">
        <v>541</v>
      </c>
      <c r="B430" s="4" t="str">
        <f>CONCATENATE(A430,"OVR")</f>
        <v>2KR3HN5MQ04OVR</v>
      </c>
      <c r="C430" s="4" t="s">
        <v>963</v>
      </c>
      <c r="D430" s="4" t="s">
        <v>964</v>
      </c>
      <c r="E430" s="2" t="str">
        <f t="shared" si="6"/>
        <v>JERRY NORRIS</v>
      </c>
      <c r="F430" s="4" t="s">
        <v>98</v>
      </c>
      <c r="G430" s="4" t="s">
        <v>29</v>
      </c>
      <c r="H430" s="5">
        <v>46023</v>
      </c>
      <c r="I430" s="5">
        <v>46023</v>
      </c>
      <c r="J430" s="4">
        <v>20411454</v>
      </c>
      <c r="K430" s="4" t="s">
        <v>32</v>
      </c>
      <c r="L430" s="4" t="s">
        <v>765</v>
      </c>
      <c r="M430" s="4" t="s">
        <v>34</v>
      </c>
      <c r="N430" s="4">
        <v>844</v>
      </c>
      <c r="O430" s="4">
        <v>150</v>
      </c>
      <c r="P430" s="4" t="s">
        <v>742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s="2" customFormat="1" x14ac:dyDescent="0.25">
      <c r="A431" s="4" t="s">
        <v>569</v>
      </c>
      <c r="B431" s="4" t="str">
        <f>CONCATENATE(A431,"OVR")</f>
        <v>4HX0NF1YF01OVR</v>
      </c>
      <c r="C431" s="4" t="s">
        <v>965</v>
      </c>
      <c r="D431" s="4" t="s">
        <v>783</v>
      </c>
      <c r="E431" s="2" t="str">
        <f t="shared" si="6"/>
        <v>MICHAEL POLCYN</v>
      </c>
      <c r="F431" s="4" t="s">
        <v>42</v>
      </c>
      <c r="G431" s="4" t="s">
        <v>29</v>
      </c>
      <c r="H431" s="5">
        <v>46023</v>
      </c>
      <c r="I431" s="5">
        <v>46023</v>
      </c>
      <c r="J431" s="4">
        <v>20411454</v>
      </c>
      <c r="K431" s="4" t="s">
        <v>32</v>
      </c>
      <c r="L431" s="4" t="s">
        <v>765</v>
      </c>
      <c r="M431" s="4" t="s">
        <v>34</v>
      </c>
      <c r="N431" s="4">
        <v>844</v>
      </c>
      <c r="O431" s="4">
        <v>150</v>
      </c>
      <c r="P431" s="4" t="s">
        <v>742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s="2" customFormat="1" x14ac:dyDescent="0.25">
      <c r="A432" s="4" t="s">
        <v>585</v>
      </c>
      <c r="B432" s="4" t="str">
        <f>CONCATENATE(A432,"OVR")</f>
        <v>9KK2GC4QN87OVR</v>
      </c>
      <c r="C432" s="4" t="s">
        <v>966</v>
      </c>
      <c r="D432" s="4" t="s">
        <v>816</v>
      </c>
      <c r="E432" s="2" t="str">
        <f t="shared" si="6"/>
        <v>JEFFREY RASOR</v>
      </c>
      <c r="F432" s="4" t="s">
        <v>42</v>
      </c>
      <c r="G432" s="4" t="s">
        <v>29</v>
      </c>
      <c r="H432" s="5">
        <v>46023</v>
      </c>
      <c r="I432" s="5">
        <v>46023</v>
      </c>
      <c r="J432" s="4">
        <v>20411454</v>
      </c>
      <c r="K432" s="4" t="s">
        <v>32</v>
      </c>
      <c r="L432" s="4" t="s">
        <v>765</v>
      </c>
      <c r="M432" s="4" t="s">
        <v>34</v>
      </c>
      <c r="N432" s="4">
        <v>844</v>
      </c>
      <c r="O432" s="4">
        <v>150</v>
      </c>
      <c r="P432" s="4" t="s">
        <v>742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s="2" customFormat="1" x14ac:dyDescent="0.25">
      <c r="A433" s="4" t="s">
        <v>589</v>
      </c>
      <c r="B433" s="4" t="str">
        <f>CONCATENATE(A433,"OVR")</f>
        <v>8KX0KH6PM26OVR</v>
      </c>
      <c r="C433" s="4" t="s">
        <v>966</v>
      </c>
      <c r="D433" s="4" t="s">
        <v>890</v>
      </c>
      <c r="E433" s="2" t="str">
        <f t="shared" si="6"/>
        <v>KATHY RASOR</v>
      </c>
      <c r="F433" s="4" t="s">
        <v>42</v>
      </c>
      <c r="G433" s="4" t="s">
        <v>29</v>
      </c>
      <c r="H433" s="5">
        <v>46023</v>
      </c>
      <c r="I433" s="5">
        <v>46023</v>
      </c>
      <c r="J433" s="4">
        <v>20411454</v>
      </c>
      <c r="K433" s="4" t="s">
        <v>32</v>
      </c>
      <c r="L433" s="4" t="s">
        <v>765</v>
      </c>
      <c r="M433" s="4" t="s">
        <v>34</v>
      </c>
      <c r="N433" s="4">
        <v>844</v>
      </c>
      <c r="O433" s="4">
        <v>150</v>
      </c>
      <c r="P433" s="4" t="s">
        <v>742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s="2" customFormat="1" x14ac:dyDescent="0.25">
      <c r="A434" s="4" t="s">
        <v>595</v>
      </c>
      <c r="B434" s="4" t="str">
        <f>CONCATENATE(A434,"OVR")</f>
        <v>5C92GT6WA80OVR</v>
      </c>
      <c r="C434" s="4" t="s">
        <v>967</v>
      </c>
      <c r="D434" s="4" t="s">
        <v>878</v>
      </c>
      <c r="E434" s="2" t="str">
        <f t="shared" si="6"/>
        <v>LESTER REISCHL</v>
      </c>
      <c r="F434" s="4" t="s">
        <v>598</v>
      </c>
      <c r="G434" s="4" t="s">
        <v>29</v>
      </c>
      <c r="H434" s="5">
        <v>46023</v>
      </c>
      <c r="I434" s="5">
        <v>46023</v>
      </c>
      <c r="J434" s="4">
        <v>20411454</v>
      </c>
      <c r="K434" s="4" t="s">
        <v>32</v>
      </c>
      <c r="L434" s="4" t="s">
        <v>765</v>
      </c>
      <c r="M434" s="4" t="s">
        <v>34</v>
      </c>
      <c r="N434" s="4">
        <v>844</v>
      </c>
      <c r="O434" s="4">
        <v>150</v>
      </c>
      <c r="P434" s="4" t="s">
        <v>742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s="2" customFormat="1" x14ac:dyDescent="0.25">
      <c r="A435" s="4" t="s">
        <v>633</v>
      </c>
      <c r="B435" s="4" t="str">
        <f>CONCATENATE(A435,"OVR")</f>
        <v>1YA7Q72CF33OVR</v>
      </c>
      <c r="C435" s="4" t="s">
        <v>859</v>
      </c>
      <c r="D435" s="4" t="s">
        <v>860</v>
      </c>
      <c r="E435" s="2" t="str">
        <f t="shared" si="6"/>
        <v>KIM SKAGGS</v>
      </c>
      <c r="F435" s="4" t="s">
        <v>42</v>
      </c>
      <c r="G435" s="4" t="s">
        <v>29</v>
      </c>
      <c r="H435" s="5">
        <v>46023</v>
      </c>
      <c r="I435" s="5">
        <v>46023</v>
      </c>
      <c r="J435" s="4">
        <v>20411454</v>
      </c>
      <c r="K435" s="4" t="s">
        <v>32</v>
      </c>
      <c r="L435" s="4" t="s">
        <v>765</v>
      </c>
      <c r="M435" s="4" t="s">
        <v>34</v>
      </c>
      <c r="N435" s="4">
        <v>844</v>
      </c>
      <c r="O435" s="4">
        <v>150</v>
      </c>
      <c r="P435" s="4" t="s">
        <v>742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s="2" customFormat="1" x14ac:dyDescent="0.25">
      <c r="A436" s="4" t="s">
        <v>656</v>
      </c>
      <c r="B436" s="4" t="str">
        <f>CONCATENATE(A436,"OVR")</f>
        <v>1X54JK2RA93OVR</v>
      </c>
      <c r="C436" s="4" t="s">
        <v>821</v>
      </c>
      <c r="D436" s="4" t="s">
        <v>968</v>
      </c>
      <c r="E436" s="2" t="str">
        <f t="shared" si="6"/>
        <v>KEEGAN TERRY</v>
      </c>
      <c r="F436" s="4" t="s">
        <v>42</v>
      </c>
      <c r="G436" s="4" t="s">
        <v>29</v>
      </c>
      <c r="H436" s="5">
        <v>46023</v>
      </c>
      <c r="I436" s="5">
        <v>46023</v>
      </c>
      <c r="J436" s="4">
        <v>20411454</v>
      </c>
      <c r="K436" s="4" t="s">
        <v>32</v>
      </c>
      <c r="L436" s="4" t="s">
        <v>765</v>
      </c>
      <c r="M436" s="4" t="s">
        <v>34</v>
      </c>
      <c r="N436" s="4">
        <v>844</v>
      </c>
      <c r="O436" s="4">
        <v>150</v>
      </c>
      <c r="P436" s="4" t="s">
        <v>742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s="2" customFormat="1" x14ac:dyDescent="0.25">
      <c r="A437" s="4" t="s">
        <v>662</v>
      </c>
      <c r="B437" s="4" t="str">
        <f>CONCATENATE(A437,"OVR")</f>
        <v>8QR1RC0WJ38OVR</v>
      </c>
      <c r="C437" s="4" t="s">
        <v>969</v>
      </c>
      <c r="D437" s="4" t="s">
        <v>970</v>
      </c>
      <c r="E437" s="2" t="str">
        <f t="shared" si="6"/>
        <v>ELVIA TORRES</v>
      </c>
      <c r="F437" s="4" t="s">
        <v>42</v>
      </c>
      <c r="G437" s="4" t="s">
        <v>29</v>
      </c>
      <c r="H437" s="5">
        <v>46023</v>
      </c>
      <c r="I437" s="5">
        <v>46023</v>
      </c>
      <c r="J437" s="4">
        <v>20411454</v>
      </c>
      <c r="K437" s="4" t="s">
        <v>32</v>
      </c>
      <c r="L437" s="4" t="s">
        <v>765</v>
      </c>
      <c r="M437" s="4" t="s">
        <v>34</v>
      </c>
      <c r="N437" s="4">
        <v>844</v>
      </c>
      <c r="O437" s="4">
        <v>150</v>
      </c>
      <c r="P437" s="4" t="s">
        <v>742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s="2" customFormat="1" x14ac:dyDescent="0.25">
      <c r="A438" s="4" t="s">
        <v>666</v>
      </c>
      <c r="B438" s="4" t="str">
        <f>CONCATENATE(A438,"OVR")</f>
        <v>8J30P63WM11OVR</v>
      </c>
      <c r="C438" s="4" t="s">
        <v>971</v>
      </c>
      <c r="D438" s="4" t="s">
        <v>819</v>
      </c>
      <c r="E438" s="2" t="str">
        <f t="shared" si="6"/>
        <v>JOHN TRACY</v>
      </c>
      <c r="F438" s="4" t="s">
        <v>42</v>
      </c>
      <c r="G438" s="4" t="s">
        <v>29</v>
      </c>
      <c r="H438" s="5">
        <v>46023</v>
      </c>
      <c r="I438" s="5">
        <v>46023</v>
      </c>
      <c r="J438" s="4">
        <v>20411454</v>
      </c>
      <c r="K438" s="4" t="s">
        <v>32</v>
      </c>
      <c r="L438" s="4" t="s">
        <v>765</v>
      </c>
      <c r="M438" s="4" t="s">
        <v>34</v>
      </c>
      <c r="N438" s="4">
        <v>844</v>
      </c>
      <c r="O438" s="4">
        <v>150</v>
      </c>
      <c r="P438" s="4" t="s">
        <v>742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s="2" customFormat="1" x14ac:dyDescent="0.25">
      <c r="A439" s="4" t="s">
        <v>675</v>
      </c>
      <c r="B439" s="4" t="str">
        <f>CONCATENATE(A439,"OVR")</f>
        <v>8E38A74FH20OVR</v>
      </c>
      <c r="C439" s="4" t="s">
        <v>782</v>
      </c>
      <c r="D439" s="4" t="s">
        <v>783</v>
      </c>
      <c r="E439" s="2" t="str">
        <f t="shared" si="6"/>
        <v>MICHAEL TYMOSZCZUK</v>
      </c>
      <c r="F439" s="4" t="s">
        <v>98</v>
      </c>
      <c r="G439" s="4" t="s">
        <v>29</v>
      </c>
      <c r="H439" s="5">
        <v>46023</v>
      </c>
      <c r="I439" s="5">
        <v>46023</v>
      </c>
      <c r="J439" s="4">
        <v>20411454</v>
      </c>
      <c r="K439" s="4" t="s">
        <v>32</v>
      </c>
      <c r="L439" s="4" t="s">
        <v>765</v>
      </c>
      <c r="M439" s="4" t="s">
        <v>34</v>
      </c>
      <c r="N439" s="4">
        <v>844</v>
      </c>
      <c r="O439" s="4">
        <v>150</v>
      </c>
      <c r="P439" s="4" t="s">
        <v>742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s="2" customFormat="1" x14ac:dyDescent="0.25">
      <c r="A440" s="4" t="s">
        <v>678</v>
      </c>
      <c r="B440" s="4" t="str">
        <f>CONCATENATE(A440,"OVR")</f>
        <v>9XF6PW0XU78OVR</v>
      </c>
      <c r="C440" s="4" t="s">
        <v>832</v>
      </c>
      <c r="D440" s="4" t="s">
        <v>833</v>
      </c>
      <c r="E440" s="2" t="str">
        <f t="shared" si="6"/>
        <v>JOANGELA VARI</v>
      </c>
      <c r="F440" s="4" t="s">
        <v>182</v>
      </c>
      <c r="G440" s="4" t="s">
        <v>29</v>
      </c>
      <c r="H440" s="5">
        <v>46023</v>
      </c>
      <c r="I440" s="5">
        <v>46023</v>
      </c>
      <c r="J440" s="4">
        <v>20411454</v>
      </c>
      <c r="K440" s="4" t="s">
        <v>32</v>
      </c>
      <c r="L440" s="4" t="s">
        <v>765</v>
      </c>
      <c r="M440" s="4" t="s">
        <v>34</v>
      </c>
      <c r="N440" s="4">
        <v>844</v>
      </c>
      <c r="O440" s="4">
        <v>150</v>
      </c>
      <c r="P440" s="4" t="s">
        <v>742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s="2" customFormat="1" x14ac:dyDescent="0.25">
      <c r="A441" s="4" t="s">
        <v>681</v>
      </c>
      <c r="B441" s="4" t="str">
        <f>CONCATENATE(A441,"OVR")</f>
        <v>6UK7NV9RD49OVR</v>
      </c>
      <c r="C441" s="4" t="s">
        <v>828</v>
      </c>
      <c r="D441" s="4" t="s">
        <v>829</v>
      </c>
      <c r="E441" s="2" t="str">
        <f t="shared" si="6"/>
        <v>EVELYN VEGA</v>
      </c>
      <c r="F441" s="4" t="s">
        <v>42</v>
      </c>
      <c r="G441" s="4" t="s">
        <v>29</v>
      </c>
      <c r="H441" s="5">
        <v>46023</v>
      </c>
      <c r="I441" s="5">
        <v>46023</v>
      </c>
      <c r="J441" s="4">
        <v>20411454</v>
      </c>
      <c r="K441" s="4" t="s">
        <v>32</v>
      </c>
      <c r="L441" s="4" t="s">
        <v>765</v>
      </c>
      <c r="M441" s="4" t="s">
        <v>34</v>
      </c>
      <c r="N441" s="4">
        <v>844</v>
      </c>
      <c r="O441" s="4">
        <v>150</v>
      </c>
      <c r="P441" s="4" t="s">
        <v>742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s="2" customFormat="1" x14ac:dyDescent="0.25">
      <c r="A442" s="4" t="s">
        <v>693</v>
      </c>
      <c r="B442" s="4" t="str">
        <f>CONCATENATE(A442,"OVR")</f>
        <v>2PH3MW0NF19OVR</v>
      </c>
      <c r="C442" s="4" t="s">
        <v>844</v>
      </c>
      <c r="D442" s="4" t="s">
        <v>845</v>
      </c>
      <c r="E442" s="2" t="str">
        <f t="shared" si="6"/>
        <v>DEIRDRE WARRENBURG</v>
      </c>
      <c r="F442" s="4" t="s">
        <v>232</v>
      </c>
      <c r="G442" s="4" t="s">
        <v>29</v>
      </c>
      <c r="H442" s="5">
        <v>46023</v>
      </c>
      <c r="I442" s="5">
        <v>46023</v>
      </c>
      <c r="J442" s="4">
        <v>20411454</v>
      </c>
      <c r="K442" s="4" t="s">
        <v>32</v>
      </c>
      <c r="L442" s="4" t="s">
        <v>765</v>
      </c>
      <c r="M442" s="4" t="s">
        <v>34</v>
      </c>
      <c r="N442" s="4">
        <v>844</v>
      </c>
      <c r="O442" s="4">
        <v>150</v>
      </c>
      <c r="P442" s="4" t="s">
        <v>742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s="2" customFormat="1" x14ac:dyDescent="0.25">
      <c r="A443" s="4" t="s">
        <v>698</v>
      </c>
      <c r="B443" s="4" t="str">
        <f>CONCATENATE(A443,"OVR")</f>
        <v>9YJ1WQ3PW13OVR</v>
      </c>
      <c r="C443" s="4" t="s">
        <v>903</v>
      </c>
      <c r="D443" s="4" t="s">
        <v>904</v>
      </c>
      <c r="E443" s="2" t="str">
        <f t="shared" si="6"/>
        <v>ANGELA WELDON</v>
      </c>
      <c r="F443" s="4" t="s">
        <v>42</v>
      </c>
      <c r="G443" s="4" t="s">
        <v>29</v>
      </c>
      <c r="H443" s="5">
        <v>46023</v>
      </c>
      <c r="I443" s="5">
        <v>46023</v>
      </c>
      <c r="J443" s="4">
        <v>20411454</v>
      </c>
      <c r="K443" s="4" t="s">
        <v>32</v>
      </c>
      <c r="L443" s="4" t="s">
        <v>765</v>
      </c>
      <c r="M443" s="4" t="s">
        <v>34</v>
      </c>
      <c r="N443" s="4">
        <v>844</v>
      </c>
      <c r="O443" s="4">
        <v>150</v>
      </c>
      <c r="P443" s="4" t="s">
        <v>742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s="2" customFormat="1" x14ac:dyDescent="0.25">
      <c r="A444" s="4" t="s">
        <v>704</v>
      </c>
      <c r="B444" s="4" t="str">
        <f>CONCATENATE(A444,"OVR")</f>
        <v>7Q77MW7NQ40OVR</v>
      </c>
      <c r="C444" s="4" t="s">
        <v>846</v>
      </c>
      <c r="D444" s="4" t="s">
        <v>847</v>
      </c>
      <c r="E444" s="2" t="str">
        <f t="shared" si="6"/>
        <v>ROBERT WHITNEY</v>
      </c>
      <c r="F444" s="4" t="s">
        <v>232</v>
      </c>
      <c r="G444" s="4" t="s">
        <v>86</v>
      </c>
      <c r="H444" s="5">
        <v>46023</v>
      </c>
      <c r="I444" s="5">
        <v>46023</v>
      </c>
      <c r="J444" s="4">
        <v>20411454</v>
      </c>
      <c r="K444" s="4" t="s">
        <v>32</v>
      </c>
      <c r="L444" s="4" t="s">
        <v>765</v>
      </c>
      <c r="M444" s="4" t="s">
        <v>34</v>
      </c>
      <c r="N444" s="4">
        <v>844</v>
      </c>
      <c r="O444" s="4">
        <v>150</v>
      </c>
      <c r="P444" s="4" t="s">
        <v>742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s="2" customFormat="1" x14ac:dyDescent="0.25">
      <c r="A445" s="4" t="s">
        <v>717</v>
      </c>
      <c r="B445" s="4" t="str">
        <f>CONCATENATE(A445,"OVR")</f>
        <v>2K06KA5YG64OVR</v>
      </c>
      <c r="C445" s="4" t="s">
        <v>836</v>
      </c>
      <c r="D445" s="4" t="s">
        <v>783</v>
      </c>
      <c r="E445" s="2" t="str">
        <f t="shared" si="6"/>
        <v>MICHAEL WILLIAMS</v>
      </c>
      <c r="F445" s="4" t="s">
        <v>337</v>
      </c>
      <c r="G445" s="4" t="s">
        <v>29</v>
      </c>
      <c r="H445" s="5">
        <v>46023</v>
      </c>
      <c r="I445" s="5">
        <v>46023</v>
      </c>
      <c r="J445" s="4">
        <v>20411454</v>
      </c>
      <c r="K445" s="4" t="s">
        <v>32</v>
      </c>
      <c r="L445" s="4" t="s">
        <v>765</v>
      </c>
      <c r="M445" s="4" t="s">
        <v>34</v>
      </c>
      <c r="N445" s="4">
        <v>844</v>
      </c>
      <c r="O445" s="4">
        <v>150</v>
      </c>
      <c r="P445" s="4" t="s">
        <v>742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s="2" customFormat="1" x14ac:dyDescent="0.25">
      <c r="A446" s="4" t="s">
        <v>720</v>
      </c>
      <c r="B446" s="4" t="str">
        <f>CONCATENATE(A446,"OVR")</f>
        <v>7E50KK4WP45OVR</v>
      </c>
      <c r="C446" s="4" t="s">
        <v>794</v>
      </c>
      <c r="D446" s="4" t="s">
        <v>795</v>
      </c>
      <c r="E446" s="2" t="str">
        <f t="shared" si="6"/>
        <v>ELIZABETH WILSON</v>
      </c>
      <c r="F446" s="4" t="s">
        <v>108</v>
      </c>
      <c r="G446" s="4" t="s">
        <v>29</v>
      </c>
      <c r="H446" s="5">
        <v>46023</v>
      </c>
      <c r="I446" s="5">
        <v>46023</v>
      </c>
      <c r="J446" s="4">
        <v>20411454</v>
      </c>
      <c r="K446" s="4" t="s">
        <v>32</v>
      </c>
      <c r="L446" s="4" t="s">
        <v>765</v>
      </c>
      <c r="M446" s="4" t="s">
        <v>34</v>
      </c>
      <c r="N446" s="4">
        <v>844</v>
      </c>
      <c r="O446" s="4">
        <v>150</v>
      </c>
      <c r="P446" s="4" t="s">
        <v>742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s="2" customFormat="1" x14ac:dyDescent="0.25">
      <c r="A447" s="4" t="s">
        <v>730</v>
      </c>
      <c r="B447" s="4" t="str">
        <f>CONCATENATE(A447,"OVR")</f>
        <v>1ME5YG2HC63OVR</v>
      </c>
      <c r="C447" s="4" t="s">
        <v>972</v>
      </c>
      <c r="D447" s="4" t="s">
        <v>973</v>
      </c>
      <c r="E447" s="2" t="str">
        <f t="shared" si="6"/>
        <v>MATTHEW YEAKEL</v>
      </c>
      <c r="F447" s="4" t="s">
        <v>42</v>
      </c>
      <c r="G447" s="4" t="s">
        <v>29</v>
      </c>
      <c r="H447" s="5">
        <v>46023</v>
      </c>
      <c r="I447" s="5">
        <v>46023</v>
      </c>
      <c r="J447" s="4">
        <v>20411454</v>
      </c>
      <c r="K447" s="4" t="s">
        <v>32</v>
      </c>
      <c r="L447" s="4" t="s">
        <v>765</v>
      </c>
      <c r="M447" s="4" t="s">
        <v>34</v>
      </c>
      <c r="N447" s="4">
        <v>844</v>
      </c>
      <c r="O447" s="4">
        <v>150</v>
      </c>
      <c r="P447" s="4" t="s">
        <v>742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s="2" customFormat="1" x14ac:dyDescent="0.25">
      <c r="A448" s="4" t="s">
        <v>733</v>
      </c>
      <c r="B448" s="4" t="str">
        <f>CONCATENATE(A448,"OVR")</f>
        <v>3QD8RR9NP42OVR</v>
      </c>
      <c r="C448" s="4" t="s">
        <v>974</v>
      </c>
      <c r="D448" s="4" t="s">
        <v>843</v>
      </c>
      <c r="E448" s="2" t="str">
        <f t="shared" si="6"/>
        <v>RODNEY ZIPP</v>
      </c>
      <c r="F448" s="4" t="s">
        <v>337</v>
      </c>
      <c r="G448" s="4" t="s">
        <v>29</v>
      </c>
      <c r="H448" s="5">
        <v>46023</v>
      </c>
      <c r="I448" s="5">
        <v>46023</v>
      </c>
      <c r="J448" s="4">
        <v>20411454</v>
      </c>
      <c r="K448" s="4" t="s">
        <v>32</v>
      </c>
      <c r="L448" s="4" t="s">
        <v>765</v>
      </c>
      <c r="M448" s="4" t="s">
        <v>34</v>
      </c>
      <c r="N448" s="4">
        <v>844</v>
      </c>
      <c r="O448" s="4">
        <v>150</v>
      </c>
      <c r="P448" s="4" t="s">
        <v>742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s="2" customFormat="1" x14ac:dyDescent="0.25">
      <c r="A449" s="4" t="s">
        <v>737</v>
      </c>
      <c r="B449" s="4" t="str">
        <f>CONCATENATE(A449,"OVR")</f>
        <v>7JR5GF8MA82OVR</v>
      </c>
      <c r="C449" s="4" t="s">
        <v>974</v>
      </c>
      <c r="D449" s="4" t="s">
        <v>975</v>
      </c>
      <c r="E449" s="2" t="str">
        <f t="shared" si="6"/>
        <v>DONNA ZIPP</v>
      </c>
      <c r="F449" s="4" t="s">
        <v>337</v>
      </c>
      <c r="G449" s="4" t="s">
        <v>29</v>
      </c>
      <c r="H449" s="5">
        <v>46023</v>
      </c>
      <c r="I449" s="5">
        <v>46023</v>
      </c>
      <c r="J449" s="4">
        <v>20411454</v>
      </c>
      <c r="K449" s="4" t="s">
        <v>32</v>
      </c>
      <c r="L449" s="4" t="s">
        <v>765</v>
      </c>
      <c r="M449" s="4" t="s">
        <v>34</v>
      </c>
      <c r="N449" s="4">
        <v>844</v>
      </c>
      <c r="O449" s="4">
        <v>150</v>
      </c>
      <c r="P449" s="4" t="s">
        <v>742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s="2" customFormat="1" x14ac:dyDescent="0.25">
      <c r="A450" s="4" t="s">
        <v>102</v>
      </c>
      <c r="B450" s="4" t="str">
        <f>CONCATENATE(A450,"OVR")</f>
        <v>7G70U63AG31OVR</v>
      </c>
      <c r="C450" s="4" t="s">
        <v>863</v>
      </c>
      <c r="D450" s="4" t="s">
        <v>864</v>
      </c>
      <c r="E450" s="2" t="str">
        <f t="shared" si="6"/>
        <v>BARBARA BOYD</v>
      </c>
      <c r="F450" s="4" t="s">
        <v>27</v>
      </c>
      <c r="G450" s="4" t="s">
        <v>29</v>
      </c>
      <c r="H450" s="5">
        <v>46054</v>
      </c>
      <c r="I450" s="5">
        <v>46054</v>
      </c>
      <c r="J450" s="4">
        <v>20411454</v>
      </c>
      <c r="K450" s="4" t="s">
        <v>32</v>
      </c>
      <c r="L450" s="4" t="s">
        <v>765</v>
      </c>
      <c r="M450" s="4" t="s">
        <v>34</v>
      </c>
      <c r="N450" s="4">
        <v>853.42</v>
      </c>
      <c r="O450" s="4">
        <f>150/12*11</f>
        <v>137.5</v>
      </c>
      <c r="P450" s="4" t="s">
        <v>742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s="2" customFormat="1" x14ac:dyDescent="0.25">
      <c r="A451" s="4" t="s">
        <v>614</v>
      </c>
      <c r="B451" s="4" t="str">
        <f>CONCATENATE(A451,"OVR")</f>
        <v>9VU5FM9HM53OVR</v>
      </c>
      <c r="C451" s="4" t="s">
        <v>1036</v>
      </c>
      <c r="D451" s="4" t="s">
        <v>1037</v>
      </c>
      <c r="E451" s="2" t="str">
        <f t="shared" ref="E451:E514" si="7">CONCATENATE(D451," ",C451)</f>
        <v>DOMINIQUE SANTANIELLO</v>
      </c>
      <c r="F451" s="4" t="s">
        <v>27</v>
      </c>
      <c r="G451" s="4" t="s">
        <v>29</v>
      </c>
      <c r="H451" s="5">
        <v>45992</v>
      </c>
      <c r="I451" s="5">
        <v>45992</v>
      </c>
      <c r="J451" s="4">
        <v>20411454</v>
      </c>
      <c r="K451" s="4" t="s">
        <v>32</v>
      </c>
      <c r="L451" s="4" t="s">
        <v>765</v>
      </c>
      <c r="M451" s="4" t="s">
        <v>34</v>
      </c>
      <c r="N451" s="4">
        <v>855</v>
      </c>
      <c r="O451" s="4">
        <v>150</v>
      </c>
      <c r="P451" s="4" t="s">
        <v>742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s="2" customFormat="1" x14ac:dyDescent="0.25">
      <c r="A452" s="4" t="s">
        <v>61</v>
      </c>
      <c r="B452" s="4" t="str">
        <f>CONCATENATE(A452,"OVR")</f>
        <v>7XQ8WE4QP32OVR</v>
      </c>
      <c r="C452" s="4" t="s">
        <v>865</v>
      </c>
      <c r="D452" s="4" t="s">
        <v>866</v>
      </c>
      <c r="E452" s="2" t="str">
        <f t="shared" si="7"/>
        <v>ANNETTE BALDWIN</v>
      </c>
      <c r="F452" s="4" t="s">
        <v>27</v>
      </c>
      <c r="G452" s="4" t="s">
        <v>29</v>
      </c>
      <c r="H452" s="5">
        <v>46054</v>
      </c>
      <c r="I452" s="5">
        <v>46054</v>
      </c>
      <c r="J452" s="4">
        <v>20411454</v>
      </c>
      <c r="K452" s="4" t="s">
        <v>32</v>
      </c>
      <c r="L452" s="4" t="s">
        <v>765</v>
      </c>
      <c r="M452" s="4" t="s">
        <v>34</v>
      </c>
      <c r="N452" s="4">
        <v>916</v>
      </c>
      <c r="O452" s="4">
        <v>135</v>
      </c>
      <c r="P452" s="4" t="s">
        <v>742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s="2" customFormat="1" x14ac:dyDescent="0.25">
      <c r="A453" s="4" t="s">
        <v>372</v>
      </c>
      <c r="B453" s="4" t="str">
        <f>CONCATENATE(A453,"OVR")</f>
        <v>8EP4UE8GD82OVR</v>
      </c>
      <c r="C453" s="4" t="s">
        <v>867</v>
      </c>
      <c r="D453" s="4" t="s">
        <v>868</v>
      </c>
      <c r="E453" s="2" t="str">
        <f t="shared" si="7"/>
        <v>EULA HOWE</v>
      </c>
      <c r="F453" s="4" t="s">
        <v>27</v>
      </c>
      <c r="G453" s="4" t="s">
        <v>29</v>
      </c>
      <c r="H453" s="5">
        <v>46023</v>
      </c>
      <c r="I453" s="5">
        <v>46023</v>
      </c>
      <c r="J453" s="4">
        <v>20411454</v>
      </c>
      <c r="K453" s="4" t="s">
        <v>32</v>
      </c>
      <c r="L453" s="4" t="s">
        <v>765</v>
      </c>
      <c r="M453" s="4" t="s">
        <v>34</v>
      </c>
      <c r="N453" s="4">
        <v>916</v>
      </c>
      <c r="O453" s="4">
        <v>135</v>
      </c>
      <c r="P453" s="4" t="s">
        <v>742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s="2" customFormat="1" x14ac:dyDescent="0.25">
      <c r="A454" s="4" t="s">
        <v>402</v>
      </c>
      <c r="B454" s="4" t="str">
        <f>CONCATENATE(A454,"OVR")</f>
        <v>9Y42CK3JU08OVR</v>
      </c>
      <c r="C454" s="4" t="s">
        <v>869</v>
      </c>
      <c r="D454" s="4" t="s">
        <v>779</v>
      </c>
      <c r="E454" s="2" t="str">
        <f t="shared" si="7"/>
        <v>GAYLE KIRSCH</v>
      </c>
      <c r="F454" s="4" t="s">
        <v>27</v>
      </c>
      <c r="G454" s="4" t="s">
        <v>29</v>
      </c>
      <c r="H454" s="5">
        <v>46023</v>
      </c>
      <c r="I454" s="5">
        <v>46023</v>
      </c>
      <c r="J454" s="4">
        <v>20411454</v>
      </c>
      <c r="K454" s="4" t="s">
        <v>32</v>
      </c>
      <c r="L454" s="4" t="s">
        <v>765</v>
      </c>
      <c r="M454" s="4" t="s">
        <v>34</v>
      </c>
      <c r="N454" s="4">
        <v>916</v>
      </c>
      <c r="O454" s="4">
        <v>135</v>
      </c>
      <c r="P454" s="4" t="s">
        <v>742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s="2" customFormat="1" x14ac:dyDescent="0.25">
      <c r="A455" s="4" t="s">
        <v>600</v>
      </c>
      <c r="B455" s="4" t="str">
        <f>CONCATENATE(A455,"OVR")</f>
        <v>1TT3K31WK91OVR</v>
      </c>
      <c r="C455" s="4" t="s">
        <v>870</v>
      </c>
      <c r="D455" s="4" t="s">
        <v>871</v>
      </c>
      <c r="E455" s="2" t="str">
        <f t="shared" si="7"/>
        <v>DOUGLAS RICHARDSON</v>
      </c>
      <c r="F455" s="4" t="s">
        <v>27</v>
      </c>
      <c r="G455" s="4" t="s">
        <v>86</v>
      </c>
      <c r="H455" s="5">
        <v>46023</v>
      </c>
      <c r="I455" s="5">
        <v>46023</v>
      </c>
      <c r="J455" s="4">
        <v>20411454</v>
      </c>
      <c r="K455" s="4" t="s">
        <v>32</v>
      </c>
      <c r="L455" s="4" t="s">
        <v>765</v>
      </c>
      <c r="M455" s="4" t="s">
        <v>34</v>
      </c>
      <c r="N455" s="4">
        <v>916</v>
      </c>
      <c r="O455" s="4">
        <v>135</v>
      </c>
      <c r="P455" s="4" t="s">
        <v>742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s="2" customFormat="1" x14ac:dyDescent="0.25">
      <c r="A456" s="4" t="s">
        <v>659</v>
      </c>
      <c r="B456" s="4" t="str">
        <f>CONCATENATE(A456,"OVR")</f>
        <v>3MD5A94KG85OVR</v>
      </c>
      <c r="C456" s="4" t="s">
        <v>917</v>
      </c>
      <c r="D456" s="4" t="s">
        <v>770</v>
      </c>
      <c r="E456" s="2" t="str">
        <f t="shared" si="7"/>
        <v>KAREN THROWER</v>
      </c>
      <c r="F456" s="4" t="s">
        <v>27</v>
      </c>
      <c r="G456" s="4" t="s">
        <v>86</v>
      </c>
      <c r="H456" s="5">
        <v>46023</v>
      </c>
      <c r="I456" s="5">
        <v>46023</v>
      </c>
      <c r="J456" s="4">
        <v>20411454</v>
      </c>
      <c r="K456" s="4" t="s">
        <v>32</v>
      </c>
      <c r="L456" s="4" t="s">
        <v>765</v>
      </c>
      <c r="M456" s="4" t="s">
        <v>34</v>
      </c>
      <c r="N456" s="4">
        <v>916</v>
      </c>
      <c r="O456" s="4">
        <v>135</v>
      </c>
      <c r="P456" s="4" t="s">
        <v>742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s="2" customFormat="1" x14ac:dyDescent="0.25">
      <c r="A457" s="4" t="s">
        <v>707</v>
      </c>
      <c r="B457" s="4" t="str">
        <f>CONCATENATE(A457,"OVR")</f>
        <v>7A76Y46QA65OVR</v>
      </c>
      <c r="C457" s="4" t="s">
        <v>918</v>
      </c>
      <c r="D457" s="4" t="s">
        <v>919</v>
      </c>
      <c r="E457" s="2" t="str">
        <f t="shared" si="7"/>
        <v>JOYCE WILHELM</v>
      </c>
      <c r="F457" s="4" t="s">
        <v>27</v>
      </c>
      <c r="G457" s="4" t="s">
        <v>86</v>
      </c>
      <c r="H457" s="5">
        <v>46023</v>
      </c>
      <c r="I457" s="5">
        <v>46023</v>
      </c>
      <c r="J457" s="4">
        <v>20411454</v>
      </c>
      <c r="K457" s="4" t="s">
        <v>32</v>
      </c>
      <c r="L457" s="4" t="s">
        <v>765</v>
      </c>
      <c r="M457" s="4" t="s">
        <v>34</v>
      </c>
      <c r="N457" s="4">
        <v>916</v>
      </c>
      <c r="O457" s="4">
        <v>135</v>
      </c>
      <c r="P457" s="4" t="s">
        <v>742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s="2" customFormat="1" x14ac:dyDescent="0.25">
      <c r="A458" s="4" t="s">
        <v>24</v>
      </c>
      <c r="B458" s="4" t="str">
        <f>CONCATENATE(A458,"OVR")</f>
        <v>4JH2DG8TE08OVR</v>
      </c>
      <c r="C458" s="4" t="s">
        <v>872</v>
      </c>
      <c r="D458" s="4" t="s">
        <v>873</v>
      </c>
      <c r="E458" s="2" t="str">
        <f t="shared" si="7"/>
        <v>SCOTT ADAMS</v>
      </c>
      <c r="F458" s="4" t="s">
        <v>27</v>
      </c>
      <c r="G458" s="4" t="s">
        <v>29</v>
      </c>
      <c r="H458" s="5">
        <v>46023</v>
      </c>
      <c r="I458" s="5">
        <v>46023</v>
      </c>
      <c r="J458" s="4">
        <v>20411454</v>
      </c>
      <c r="K458" s="4" t="s">
        <v>32</v>
      </c>
      <c r="L458" s="4" t="s">
        <v>765</v>
      </c>
      <c r="M458" s="4" t="s">
        <v>34</v>
      </c>
      <c r="N458" s="4">
        <v>931</v>
      </c>
      <c r="O458" s="4">
        <v>150</v>
      </c>
      <c r="P458" s="4" t="s">
        <v>742</v>
      </c>
      <c r="Q458" s="4"/>
      <c r="R458" s="4">
        <f>931-781</f>
        <v>150</v>
      </c>
      <c r="S458" s="4"/>
      <c r="T458" s="4"/>
      <c r="U458" s="4"/>
      <c r="V458" s="4"/>
      <c r="W458" s="4"/>
      <c r="X458" s="4"/>
      <c r="Y458" s="4"/>
      <c r="Z458" s="4"/>
      <c r="AA458" s="4"/>
    </row>
    <row r="459" spans="1:27" s="2" customFormat="1" x14ac:dyDescent="0.25">
      <c r="A459" s="4" t="s">
        <v>79</v>
      </c>
      <c r="B459" s="4" t="str">
        <f>CONCATENATE(A459,"OVR")</f>
        <v>1XT4DX2GE06OVR</v>
      </c>
      <c r="C459" s="4" t="s">
        <v>874</v>
      </c>
      <c r="D459" s="4" t="s">
        <v>875</v>
      </c>
      <c r="E459" s="2" t="str">
        <f t="shared" si="7"/>
        <v>HOWARD BELLAIRE</v>
      </c>
      <c r="F459" s="4" t="s">
        <v>27</v>
      </c>
      <c r="G459" s="4" t="s">
        <v>29</v>
      </c>
      <c r="H459" s="5">
        <v>46054</v>
      </c>
      <c r="I459" s="5">
        <v>46054</v>
      </c>
      <c r="J459" s="4">
        <v>20411454</v>
      </c>
      <c r="K459" s="4" t="s">
        <v>32</v>
      </c>
      <c r="L459" s="4" t="s">
        <v>765</v>
      </c>
      <c r="M459" s="4" t="s">
        <v>34</v>
      </c>
      <c r="N459" s="4">
        <v>931</v>
      </c>
      <c r="O459" s="4">
        <v>150</v>
      </c>
      <c r="P459" s="4" t="s">
        <v>742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s="2" customFormat="1" x14ac:dyDescent="0.25">
      <c r="A460" s="4" t="s">
        <v>197</v>
      </c>
      <c r="B460" s="4" t="str">
        <f>CONCATENATE(A460,"OVR")</f>
        <v>2K61QQ6GW31OVR</v>
      </c>
      <c r="C460" s="4" t="s">
        <v>876</v>
      </c>
      <c r="D460" s="4" t="s">
        <v>877</v>
      </c>
      <c r="E460" s="2" t="str">
        <f t="shared" si="7"/>
        <v>CONSTANCE CULBERTSON</v>
      </c>
      <c r="F460" s="4" t="s">
        <v>27</v>
      </c>
      <c r="G460" s="4" t="s">
        <v>29</v>
      </c>
      <c r="H460" s="5">
        <v>46023</v>
      </c>
      <c r="I460" s="5">
        <v>46023</v>
      </c>
      <c r="J460" s="4">
        <v>20411454</v>
      </c>
      <c r="K460" s="4" t="s">
        <v>32</v>
      </c>
      <c r="L460" s="4" t="s">
        <v>765</v>
      </c>
      <c r="M460" s="4" t="s">
        <v>34</v>
      </c>
      <c r="N460" s="4">
        <v>931</v>
      </c>
      <c r="O460" s="4">
        <v>150</v>
      </c>
      <c r="P460" s="4" t="s">
        <v>742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s="2" customFormat="1" x14ac:dyDescent="0.25">
      <c r="A461" s="4" t="s">
        <v>251</v>
      </c>
      <c r="B461" s="4" t="str">
        <f>CONCATENATE(A461,"OVR")</f>
        <v>8D84NT9UP50OVR</v>
      </c>
      <c r="C461" s="4" t="s">
        <v>913</v>
      </c>
      <c r="D461" s="4" t="s">
        <v>914</v>
      </c>
      <c r="E461" s="2" t="str">
        <f t="shared" si="7"/>
        <v>GARY FIEBER</v>
      </c>
      <c r="F461" s="4" t="s">
        <v>27</v>
      </c>
      <c r="G461" s="4" t="s">
        <v>29</v>
      </c>
      <c r="H461" s="5">
        <v>46023</v>
      </c>
      <c r="I461" s="5">
        <v>46023</v>
      </c>
      <c r="J461" s="4">
        <v>20411454</v>
      </c>
      <c r="K461" s="4" t="s">
        <v>32</v>
      </c>
      <c r="L461" s="4" t="s">
        <v>765</v>
      </c>
      <c r="M461" s="4" t="s">
        <v>34</v>
      </c>
      <c r="N461" s="4">
        <v>931</v>
      </c>
      <c r="O461" s="4">
        <v>150</v>
      </c>
      <c r="P461" s="4" t="s">
        <v>742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s="2" customFormat="1" x14ac:dyDescent="0.25">
      <c r="A462" s="4" t="s">
        <v>375</v>
      </c>
      <c r="B462" s="4" t="str">
        <f>CONCATENATE(A462,"OVR")</f>
        <v>6MU3M82YQ76OVR</v>
      </c>
      <c r="C462" s="4" t="s">
        <v>834</v>
      </c>
      <c r="D462" s="4" t="s">
        <v>835</v>
      </c>
      <c r="E462" s="2" t="str">
        <f t="shared" si="7"/>
        <v>CATHERINE JACKSON</v>
      </c>
      <c r="F462" s="4" t="s">
        <v>27</v>
      </c>
      <c r="G462" s="4" t="s">
        <v>29</v>
      </c>
      <c r="H462" s="5">
        <v>46023</v>
      </c>
      <c r="I462" s="5">
        <v>46023</v>
      </c>
      <c r="J462" s="4">
        <v>20411454</v>
      </c>
      <c r="K462" s="4" t="s">
        <v>32</v>
      </c>
      <c r="L462" s="4" t="s">
        <v>765</v>
      </c>
      <c r="M462" s="4" t="s">
        <v>34</v>
      </c>
      <c r="N462" s="4">
        <v>931</v>
      </c>
      <c r="O462" s="4">
        <v>150</v>
      </c>
      <c r="P462" s="4" t="s">
        <v>742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s="2" customFormat="1" x14ac:dyDescent="0.25">
      <c r="A463" s="4" t="s">
        <v>385</v>
      </c>
      <c r="B463" s="4" t="str">
        <f>CONCATENATE(A463,"OVR")</f>
        <v>8G77VX2MR59OVR</v>
      </c>
      <c r="C463" s="4" t="s">
        <v>826</v>
      </c>
      <c r="D463" s="4" t="s">
        <v>976</v>
      </c>
      <c r="E463" s="2" t="str">
        <f t="shared" si="7"/>
        <v>VALERIE JONES</v>
      </c>
      <c r="F463" s="4" t="s">
        <v>27</v>
      </c>
      <c r="G463" s="4" t="s">
        <v>29</v>
      </c>
      <c r="H463" s="5">
        <v>46054</v>
      </c>
      <c r="I463" s="5">
        <v>46054</v>
      </c>
      <c r="J463" s="4">
        <v>20411454</v>
      </c>
      <c r="K463" s="4" t="s">
        <v>32</v>
      </c>
      <c r="L463" s="4" t="s">
        <v>765</v>
      </c>
      <c r="M463" s="4" t="s">
        <v>34</v>
      </c>
      <c r="N463" s="4">
        <v>931</v>
      </c>
      <c r="O463" s="4">
        <v>150</v>
      </c>
      <c r="P463" s="4" t="s">
        <v>742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s="2" customFormat="1" x14ac:dyDescent="0.25">
      <c r="A464" s="4" t="s">
        <v>430</v>
      </c>
      <c r="B464" s="4" t="str">
        <f>CONCATENATE(A464,"OVR")</f>
        <v>5X34WJ4UE95OVR</v>
      </c>
      <c r="C464" s="4" t="s">
        <v>977</v>
      </c>
      <c r="D464" s="4" t="s">
        <v>978</v>
      </c>
      <c r="E464" s="2" t="str">
        <f t="shared" si="7"/>
        <v>TIMOTHY LESHER</v>
      </c>
      <c r="F464" s="4" t="s">
        <v>27</v>
      </c>
      <c r="G464" s="4" t="s">
        <v>29</v>
      </c>
      <c r="H464" s="5">
        <v>46054</v>
      </c>
      <c r="I464" s="5">
        <v>46054</v>
      </c>
      <c r="J464" s="4">
        <v>20411454</v>
      </c>
      <c r="K464" s="4" t="s">
        <v>32</v>
      </c>
      <c r="L464" s="4" t="s">
        <v>765</v>
      </c>
      <c r="M464" s="4" t="s">
        <v>34</v>
      </c>
      <c r="N464" s="4">
        <v>931</v>
      </c>
      <c r="O464" s="4">
        <v>150</v>
      </c>
      <c r="P464" s="4" t="s">
        <v>742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s="2" customFormat="1" x14ac:dyDescent="0.25">
      <c r="A465" s="4" t="s">
        <v>434</v>
      </c>
      <c r="B465" s="4" t="str">
        <f>CONCATENATE(A465,"OVR")</f>
        <v>8DR7J09RJ79OVR</v>
      </c>
      <c r="C465" s="4" t="s">
        <v>878</v>
      </c>
      <c r="D465" s="4" t="s">
        <v>879</v>
      </c>
      <c r="E465" s="2" t="str">
        <f t="shared" si="7"/>
        <v>CIERRA LESTER</v>
      </c>
      <c r="F465" s="4" t="s">
        <v>27</v>
      </c>
      <c r="G465" s="4" t="s">
        <v>29</v>
      </c>
      <c r="H465" s="5">
        <v>46023</v>
      </c>
      <c r="I465" s="5">
        <v>46023</v>
      </c>
      <c r="J465" s="4">
        <v>20411454</v>
      </c>
      <c r="K465" s="4" t="s">
        <v>32</v>
      </c>
      <c r="L465" s="4" t="s">
        <v>765</v>
      </c>
      <c r="M465" s="4" t="s">
        <v>34</v>
      </c>
      <c r="N465" s="4">
        <v>931</v>
      </c>
      <c r="O465" s="4">
        <v>150</v>
      </c>
      <c r="P465" s="4" t="s">
        <v>742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s="2" customFormat="1" x14ac:dyDescent="0.25">
      <c r="A466" s="4" t="s">
        <v>471</v>
      </c>
      <c r="B466" s="4" t="str">
        <f>CONCATENATE(A466,"OVR")</f>
        <v>3QC0DJ1CY20OVR</v>
      </c>
      <c r="C466" s="4" t="s">
        <v>880</v>
      </c>
      <c r="D466" s="4" t="s">
        <v>881</v>
      </c>
      <c r="E466" s="2" t="str">
        <f t="shared" si="7"/>
        <v>MONICA MANSOUR</v>
      </c>
      <c r="F466" s="4" t="s">
        <v>27</v>
      </c>
      <c r="G466" s="4" t="s">
        <v>29</v>
      </c>
      <c r="H466" s="5">
        <v>46023</v>
      </c>
      <c r="I466" s="5">
        <v>46023</v>
      </c>
      <c r="J466" s="4">
        <v>20411454</v>
      </c>
      <c r="K466" s="4" t="s">
        <v>32</v>
      </c>
      <c r="L466" s="4" t="s">
        <v>765</v>
      </c>
      <c r="M466" s="4" t="s">
        <v>34</v>
      </c>
      <c r="N466" s="4">
        <v>931</v>
      </c>
      <c r="O466" s="4">
        <v>150</v>
      </c>
      <c r="P466" s="4" t="s">
        <v>742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s="2" customFormat="1" x14ac:dyDescent="0.25">
      <c r="A467" s="4" t="s">
        <v>491</v>
      </c>
      <c r="B467" s="4" t="str">
        <f>CONCATENATE(A467,"OVR")</f>
        <v>2V02NQ8KH85OVR</v>
      </c>
      <c r="C467" s="4" t="s">
        <v>882</v>
      </c>
      <c r="D467" s="4" t="s">
        <v>883</v>
      </c>
      <c r="E467" s="2" t="str">
        <f t="shared" si="7"/>
        <v>LORI MELCHIORRE</v>
      </c>
      <c r="F467" s="4" t="s">
        <v>27</v>
      </c>
      <c r="G467" s="4" t="s">
        <v>29</v>
      </c>
      <c r="H467" s="5">
        <v>46023</v>
      </c>
      <c r="I467" s="5">
        <v>46023</v>
      </c>
      <c r="J467" s="4">
        <v>20411454</v>
      </c>
      <c r="K467" s="4" t="s">
        <v>32</v>
      </c>
      <c r="L467" s="4" t="s">
        <v>765</v>
      </c>
      <c r="M467" s="4" t="s">
        <v>34</v>
      </c>
      <c r="N467" s="4">
        <v>931</v>
      </c>
      <c r="O467" s="4">
        <v>150</v>
      </c>
      <c r="P467" s="4" t="s">
        <v>742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s="2" customFormat="1" x14ac:dyDescent="0.25">
      <c r="A468" s="4" t="s">
        <v>507</v>
      </c>
      <c r="B468" s="4" t="str">
        <f>CONCATENATE(A468,"OVR")</f>
        <v>6HC9K52KP51OVR</v>
      </c>
      <c r="C468" s="4" t="s">
        <v>884</v>
      </c>
      <c r="D468" s="4" t="s">
        <v>885</v>
      </c>
      <c r="E468" s="2" t="str">
        <f t="shared" si="7"/>
        <v>MARYTHERESA MILLER</v>
      </c>
      <c r="F468" s="4" t="s">
        <v>27</v>
      </c>
      <c r="G468" s="4" t="s">
        <v>29</v>
      </c>
      <c r="H468" s="5">
        <v>46023</v>
      </c>
      <c r="I468" s="5">
        <v>46023</v>
      </c>
      <c r="J468" s="4">
        <v>20411454</v>
      </c>
      <c r="K468" s="4" t="s">
        <v>32</v>
      </c>
      <c r="L468" s="4" t="s">
        <v>765</v>
      </c>
      <c r="M468" s="4" t="s">
        <v>34</v>
      </c>
      <c r="N468" s="4">
        <v>931</v>
      </c>
      <c r="O468" s="4">
        <v>150</v>
      </c>
      <c r="P468" s="4" t="s">
        <v>742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s="2" customFormat="1" x14ac:dyDescent="0.25">
      <c r="A469" s="4" t="s">
        <v>510</v>
      </c>
      <c r="B469" s="4" t="str">
        <f>CONCATENATE(A469,"OVR")</f>
        <v>1YM5UF8FX56OVR</v>
      </c>
      <c r="C469" s="4" t="s">
        <v>884</v>
      </c>
      <c r="D469" s="4" t="s">
        <v>886</v>
      </c>
      <c r="E469" s="2" t="str">
        <f t="shared" si="7"/>
        <v>BENJAMIN MILLER</v>
      </c>
      <c r="F469" s="4" t="s">
        <v>27</v>
      </c>
      <c r="G469" s="4" t="s">
        <v>29</v>
      </c>
      <c r="H469" s="5">
        <v>46023</v>
      </c>
      <c r="I469" s="5">
        <v>46023</v>
      </c>
      <c r="J469" s="4">
        <v>20411454</v>
      </c>
      <c r="K469" s="4" t="s">
        <v>32</v>
      </c>
      <c r="L469" s="4" t="s">
        <v>765</v>
      </c>
      <c r="M469" s="4" t="s">
        <v>34</v>
      </c>
      <c r="N469" s="4">
        <v>931</v>
      </c>
      <c r="O469" s="4">
        <v>150</v>
      </c>
      <c r="P469" s="4" t="s">
        <v>742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s="2" customFormat="1" x14ac:dyDescent="0.25">
      <c r="A470" s="4" t="s">
        <v>566</v>
      </c>
      <c r="B470" s="4" t="str">
        <f>CONCATENATE(A470,"OVR")</f>
        <v>8T68R39PC65OVR</v>
      </c>
      <c r="C470" s="4" t="s">
        <v>887</v>
      </c>
      <c r="D470" s="4" t="s">
        <v>888</v>
      </c>
      <c r="E470" s="2" t="str">
        <f t="shared" si="7"/>
        <v>MARK PENDRED</v>
      </c>
      <c r="F470" s="4" t="s">
        <v>27</v>
      </c>
      <c r="G470" s="4" t="s">
        <v>29</v>
      </c>
      <c r="H470" s="5">
        <v>46023</v>
      </c>
      <c r="I470" s="5">
        <v>46023</v>
      </c>
      <c r="J470" s="4">
        <v>20411454</v>
      </c>
      <c r="K470" s="4" t="s">
        <v>32</v>
      </c>
      <c r="L470" s="4" t="s">
        <v>765</v>
      </c>
      <c r="M470" s="4" t="s">
        <v>34</v>
      </c>
      <c r="N470" s="4">
        <v>931</v>
      </c>
      <c r="O470" s="4">
        <v>150</v>
      </c>
      <c r="P470" s="4" t="s">
        <v>742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s="2" customFormat="1" x14ac:dyDescent="0.25">
      <c r="A471" s="4" t="s">
        <v>573</v>
      </c>
      <c r="B471" s="4" t="str">
        <f>CONCATENATE(A471,"OVR")</f>
        <v>3XR8RY1HG37OVR</v>
      </c>
      <c r="C471" s="4" t="s">
        <v>889</v>
      </c>
      <c r="D471" s="4" t="s">
        <v>890</v>
      </c>
      <c r="E471" s="2" t="str">
        <f t="shared" si="7"/>
        <v>KATHY POPA</v>
      </c>
      <c r="F471" s="4" t="s">
        <v>27</v>
      </c>
      <c r="G471" s="4" t="s">
        <v>29</v>
      </c>
      <c r="H471" s="5">
        <v>46023</v>
      </c>
      <c r="I471" s="5">
        <v>46023</v>
      </c>
      <c r="J471" s="4">
        <v>20411454</v>
      </c>
      <c r="K471" s="4" t="s">
        <v>32</v>
      </c>
      <c r="L471" s="4" t="s">
        <v>765</v>
      </c>
      <c r="M471" s="4" t="s">
        <v>34</v>
      </c>
      <c r="N471" s="4">
        <v>931</v>
      </c>
      <c r="O471" s="4">
        <v>150</v>
      </c>
      <c r="P471" s="4" t="s">
        <v>742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s="2" customFormat="1" x14ac:dyDescent="0.25">
      <c r="A472" s="4" t="s">
        <v>592</v>
      </c>
      <c r="B472" s="4" t="str">
        <f>CONCATENATE(A472,"OVR")</f>
        <v>3N38RF3WF65OVR</v>
      </c>
      <c r="C472" s="4" t="s">
        <v>915</v>
      </c>
      <c r="D472" s="4" t="s">
        <v>770</v>
      </c>
      <c r="E472" s="2" t="str">
        <f t="shared" si="7"/>
        <v>KAREN REID</v>
      </c>
      <c r="F472" s="4" t="s">
        <v>27</v>
      </c>
      <c r="G472" s="4" t="s">
        <v>29</v>
      </c>
      <c r="H472" s="5">
        <v>46023</v>
      </c>
      <c r="I472" s="5">
        <v>46023</v>
      </c>
      <c r="J472" s="4">
        <v>20411454</v>
      </c>
      <c r="K472" s="4" t="s">
        <v>32</v>
      </c>
      <c r="L472" s="4" t="s">
        <v>765</v>
      </c>
      <c r="M472" s="4" t="s">
        <v>34</v>
      </c>
      <c r="N472" s="4">
        <v>931</v>
      </c>
      <c r="O472" s="4">
        <v>150</v>
      </c>
      <c r="P472" s="4" t="s">
        <v>742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s="2" customFormat="1" x14ac:dyDescent="0.25">
      <c r="A473" s="4" t="s">
        <v>603</v>
      </c>
      <c r="B473" s="4" t="str">
        <f>CONCATENATE(A473,"OVR")</f>
        <v>7RY2YT4HP99OVR</v>
      </c>
      <c r="C473" s="4" t="s">
        <v>891</v>
      </c>
      <c r="D473" s="4" t="s">
        <v>892</v>
      </c>
      <c r="E473" s="2" t="str">
        <f t="shared" si="7"/>
        <v>CATHY ROSUS</v>
      </c>
      <c r="F473" s="4" t="s">
        <v>27</v>
      </c>
      <c r="G473" s="4" t="s">
        <v>29</v>
      </c>
      <c r="H473" s="5">
        <v>46054</v>
      </c>
      <c r="I473" s="5">
        <v>46054</v>
      </c>
      <c r="J473" s="4">
        <v>20411454</v>
      </c>
      <c r="K473" s="4" t="s">
        <v>32</v>
      </c>
      <c r="L473" s="4" t="s">
        <v>765</v>
      </c>
      <c r="M473" s="4" t="s">
        <v>34</v>
      </c>
      <c r="N473" s="4">
        <v>931</v>
      </c>
      <c r="O473" s="4">
        <v>150</v>
      </c>
      <c r="P473" s="4" t="s">
        <v>742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s="2" customFormat="1" x14ac:dyDescent="0.25">
      <c r="A474" s="4" t="s">
        <v>648</v>
      </c>
      <c r="B474" s="4" t="str">
        <f>CONCATENATE(A474,"OVR")</f>
        <v>4UA2VN4AJ96OVR</v>
      </c>
      <c r="C474" s="4" t="s">
        <v>916</v>
      </c>
      <c r="D474" s="4" t="s">
        <v>799</v>
      </c>
      <c r="E474" s="2" t="str">
        <f t="shared" si="7"/>
        <v>MARGARET TERLESKI</v>
      </c>
      <c r="F474" s="4" t="s">
        <v>27</v>
      </c>
      <c r="G474" s="4" t="s">
        <v>29</v>
      </c>
      <c r="H474" s="5">
        <v>46023</v>
      </c>
      <c r="I474" s="5">
        <v>46023</v>
      </c>
      <c r="J474" s="4">
        <v>20411454</v>
      </c>
      <c r="K474" s="4" t="s">
        <v>32</v>
      </c>
      <c r="L474" s="4" t="s">
        <v>765</v>
      </c>
      <c r="M474" s="4" t="s">
        <v>34</v>
      </c>
      <c r="N474" s="4">
        <v>931</v>
      </c>
      <c r="O474" s="4">
        <v>150</v>
      </c>
      <c r="P474" s="4" t="s">
        <v>742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s="2" customFormat="1" x14ac:dyDescent="0.25">
      <c r="A475" s="4" t="s">
        <v>684</v>
      </c>
      <c r="B475" s="4" t="str">
        <f>CONCATENATE(A475,"OVR")</f>
        <v>3JW7RE0JU31OVR</v>
      </c>
      <c r="C475" s="4" t="s">
        <v>893</v>
      </c>
      <c r="D475" s="4" t="s">
        <v>894</v>
      </c>
      <c r="E475" s="2" t="str">
        <f t="shared" si="7"/>
        <v>LEWIS VINCENTI</v>
      </c>
      <c r="F475" s="4" t="s">
        <v>27</v>
      </c>
      <c r="G475" s="4" t="s">
        <v>29</v>
      </c>
      <c r="H475" s="5">
        <v>46023</v>
      </c>
      <c r="I475" s="5">
        <v>46023</v>
      </c>
      <c r="J475" s="4">
        <v>20411454</v>
      </c>
      <c r="K475" s="4" t="s">
        <v>32</v>
      </c>
      <c r="L475" s="4" t="s">
        <v>765</v>
      </c>
      <c r="M475" s="4" t="s">
        <v>34</v>
      </c>
      <c r="N475" s="4">
        <v>931</v>
      </c>
      <c r="O475" s="4">
        <v>150</v>
      </c>
      <c r="P475" s="4" t="s">
        <v>742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s="2" customFormat="1" x14ac:dyDescent="0.25">
      <c r="A476" s="4" t="s">
        <v>714</v>
      </c>
      <c r="B476" s="4" t="str">
        <f>CONCATENATE(A476,"OVR")</f>
        <v>8R11P62KQ21OVR</v>
      </c>
      <c r="C476" s="4" t="s">
        <v>836</v>
      </c>
      <c r="D476" s="4" t="s">
        <v>837</v>
      </c>
      <c r="E476" s="2" t="str">
        <f t="shared" si="7"/>
        <v>BARRY WILLIAMS</v>
      </c>
      <c r="F476" s="4" t="s">
        <v>27</v>
      </c>
      <c r="G476" s="4" t="s">
        <v>29</v>
      </c>
      <c r="H476" s="5">
        <v>46023</v>
      </c>
      <c r="I476" s="5">
        <v>46023</v>
      </c>
      <c r="J476" s="4">
        <v>20411454</v>
      </c>
      <c r="K476" s="4" t="s">
        <v>32</v>
      </c>
      <c r="L476" s="4" t="s">
        <v>765</v>
      </c>
      <c r="M476" s="4" t="s">
        <v>34</v>
      </c>
      <c r="N476" s="4">
        <v>931</v>
      </c>
      <c r="O476" s="4">
        <v>150</v>
      </c>
      <c r="P476" s="4" t="s">
        <v>742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s="2" customFormat="1" x14ac:dyDescent="0.25">
      <c r="A477" s="4" t="s">
        <v>260</v>
      </c>
      <c r="B477" s="4" t="str">
        <f>CONCATENATE(A477,"OVR")</f>
        <v>4WQ7CX3YW78OVR</v>
      </c>
      <c r="C477" s="4" t="s">
        <v>909</v>
      </c>
      <c r="D477" s="4" t="s">
        <v>910</v>
      </c>
      <c r="E477" s="2" t="str">
        <f t="shared" si="7"/>
        <v>RHONDA FRIEDOWITZ</v>
      </c>
      <c r="F477" s="4" t="s">
        <v>263</v>
      </c>
      <c r="G477" s="4" t="s">
        <v>29</v>
      </c>
      <c r="H477" s="5">
        <v>46023</v>
      </c>
      <c r="I477" s="5">
        <v>46023</v>
      </c>
      <c r="J477" s="4">
        <v>20411454</v>
      </c>
      <c r="K477" s="4" t="s">
        <v>32</v>
      </c>
      <c r="L477" s="4" t="s">
        <v>765</v>
      </c>
      <c r="M477" s="4" t="s">
        <v>34</v>
      </c>
      <c r="N477" s="4">
        <v>1039</v>
      </c>
      <c r="O477" s="4">
        <f>1039-864</f>
        <v>175</v>
      </c>
      <c r="P477" s="4" t="s">
        <v>742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s="2" customFormat="1" x14ac:dyDescent="0.25">
      <c r="A478" s="4" t="s">
        <v>710</v>
      </c>
      <c r="B478" s="4" t="str">
        <f>CONCATENATE(A478,"OVR")</f>
        <v>8XW2U82DD80OVR</v>
      </c>
      <c r="C478" s="4" t="s">
        <v>911</v>
      </c>
      <c r="D478" s="4" t="s">
        <v>912</v>
      </c>
      <c r="E478" s="2" t="str">
        <f t="shared" si="7"/>
        <v>SALLY WILKINSON</v>
      </c>
      <c r="F478" s="4" t="s">
        <v>263</v>
      </c>
      <c r="G478" s="4" t="s">
        <v>29</v>
      </c>
      <c r="H478" s="5">
        <v>46023</v>
      </c>
      <c r="I478" s="5">
        <v>46023</v>
      </c>
      <c r="J478" s="4">
        <v>20411454</v>
      </c>
      <c r="K478" s="4" t="s">
        <v>32</v>
      </c>
      <c r="L478" s="4" t="s">
        <v>765</v>
      </c>
      <c r="M478" s="4" t="s">
        <v>34</v>
      </c>
      <c r="N478" s="4">
        <v>1039</v>
      </c>
      <c r="O478" s="4">
        <f>1039-864</f>
        <v>175</v>
      </c>
      <c r="P478" s="4" t="s">
        <v>742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s="2" customFormat="1" x14ac:dyDescent="0.25">
      <c r="A479" s="2" t="s">
        <v>659</v>
      </c>
      <c r="B479" s="2" t="str">
        <f>CONCATENATE(A479,77)</f>
        <v>3MD5A94KG8577</v>
      </c>
      <c r="C479" s="2" t="s">
        <v>917</v>
      </c>
      <c r="D479" s="2" t="s">
        <v>770</v>
      </c>
      <c r="E479" s="2" t="str">
        <f t="shared" si="7"/>
        <v>KAREN THROWER</v>
      </c>
      <c r="F479" s="2" t="s">
        <v>27</v>
      </c>
      <c r="G479" s="2" t="s">
        <v>86</v>
      </c>
      <c r="H479" s="3">
        <v>46023</v>
      </c>
      <c r="I479" s="3">
        <v>46023</v>
      </c>
      <c r="J479" s="2" t="s">
        <v>767</v>
      </c>
      <c r="K479" s="2" t="s">
        <v>32</v>
      </c>
      <c r="L479" s="2" t="s">
        <v>470</v>
      </c>
      <c r="M479" s="2" t="s">
        <v>34</v>
      </c>
      <c r="N479" s="2">
        <v>916</v>
      </c>
      <c r="O479" s="2">
        <v>781</v>
      </c>
      <c r="P479" s="2" t="s">
        <v>755</v>
      </c>
      <c r="Q479" s="2" t="s">
        <v>758</v>
      </c>
    </row>
    <row r="480" spans="1:27" s="2" customFormat="1" x14ac:dyDescent="0.25">
      <c r="A480" s="2" t="s">
        <v>707</v>
      </c>
      <c r="B480" s="2" t="str">
        <f>CONCATENATE(A480,77)</f>
        <v>7A76Y46QA6577</v>
      </c>
      <c r="C480" s="2" t="s">
        <v>918</v>
      </c>
      <c r="D480" s="2" t="s">
        <v>919</v>
      </c>
      <c r="E480" s="2" t="str">
        <f t="shared" si="7"/>
        <v>JOYCE WILHELM</v>
      </c>
      <c r="F480" s="2" t="s">
        <v>27</v>
      </c>
      <c r="G480" s="2" t="s">
        <v>86</v>
      </c>
      <c r="H480" s="3">
        <v>46023</v>
      </c>
      <c r="I480" s="3">
        <v>46023</v>
      </c>
      <c r="J480" s="2" t="s">
        <v>767</v>
      </c>
      <c r="K480" s="2" t="s">
        <v>32</v>
      </c>
      <c r="L480" s="2" t="s">
        <v>470</v>
      </c>
      <c r="M480" s="2" t="s">
        <v>34</v>
      </c>
      <c r="N480" s="2">
        <v>916</v>
      </c>
      <c r="O480" s="2">
        <v>781</v>
      </c>
      <c r="P480" s="2" t="s">
        <v>755</v>
      </c>
      <c r="Q480" s="2" t="s">
        <v>758</v>
      </c>
    </row>
    <row r="481" spans="1:27" s="2" customFormat="1" x14ac:dyDescent="0.25">
      <c r="A481" s="2" t="s">
        <v>592</v>
      </c>
      <c r="B481" s="2" t="str">
        <f>CONCATENATE(A481,77)</f>
        <v>3N38RF3WF6577</v>
      </c>
      <c r="C481" s="2" t="s">
        <v>915</v>
      </c>
      <c r="D481" s="2" t="s">
        <v>770</v>
      </c>
      <c r="E481" s="2" t="str">
        <f t="shared" si="7"/>
        <v>KAREN REID</v>
      </c>
      <c r="F481" s="2" t="s">
        <v>27</v>
      </c>
      <c r="G481" s="2" t="s">
        <v>29</v>
      </c>
      <c r="H481" s="3">
        <v>46023</v>
      </c>
      <c r="I481" s="3">
        <v>46023</v>
      </c>
      <c r="J481" s="2" t="s">
        <v>767</v>
      </c>
      <c r="K481" s="2" t="s">
        <v>32</v>
      </c>
      <c r="L481" s="2" t="s">
        <v>470</v>
      </c>
      <c r="M481" s="2" t="s">
        <v>34</v>
      </c>
      <c r="N481" s="2">
        <v>931</v>
      </c>
      <c r="O481" s="2">
        <v>781</v>
      </c>
      <c r="P481" s="2" t="s">
        <v>755</v>
      </c>
      <c r="Q481" s="2" t="s">
        <v>758</v>
      </c>
    </row>
    <row r="482" spans="1:27" s="2" customFormat="1" x14ac:dyDescent="0.25">
      <c r="A482" s="2" t="s">
        <v>592</v>
      </c>
      <c r="B482" s="2" t="str">
        <f>CONCATENATE(A482,89)</f>
        <v>3N38RF3WF6589</v>
      </c>
      <c r="C482" s="2" t="s">
        <v>915</v>
      </c>
      <c r="D482" s="2" t="s">
        <v>770</v>
      </c>
      <c r="E482" s="2" t="str">
        <f t="shared" si="7"/>
        <v>KAREN REID</v>
      </c>
      <c r="F482" s="2" t="s">
        <v>27</v>
      </c>
      <c r="G482" s="2" t="s">
        <v>29</v>
      </c>
      <c r="H482" s="3">
        <v>46023</v>
      </c>
      <c r="I482" s="3">
        <v>46023</v>
      </c>
      <c r="J482" s="2" t="s">
        <v>767</v>
      </c>
      <c r="K482" s="2" t="s">
        <v>32</v>
      </c>
      <c r="L482" s="2" t="s">
        <v>470</v>
      </c>
      <c r="M482" s="2" t="s">
        <v>34</v>
      </c>
      <c r="N482" s="2">
        <v>-541</v>
      </c>
      <c r="O482" s="2">
        <v>-391</v>
      </c>
      <c r="P482" s="2" t="s">
        <v>747</v>
      </c>
      <c r="Q482" s="2" t="s">
        <v>746</v>
      </c>
    </row>
    <row r="483" spans="1:27" s="2" customFormat="1" x14ac:dyDescent="0.25">
      <c r="A483" s="2" t="s">
        <v>659</v>
      </c>
      <c r="B483" s="2" t="str">
        <f>CONCATENATE(A483,89)</f>
        <v>3MD5A94KG8589</v>
      </c>
      <c r="C483" s="2" t="s">
        <v>917</v>
      </c>
      <c r="D483" s="2" t="s">
        <v>770</v>
      </c>
      <c r="E483" s="2" t="str">
        <f t="shared" si="7"/>
        <v>KAREN THROWER</v>
      </c>
      <c r="F483" s="2" t="s">
        <v>27</v>
      </c>
      <c r="G483" s="2" t="s">
        <v>86</v>
      </c>
      <c r="H483" s="3">
        <v>46023</v>
      </c>
      <c r="I483" s="3">
        <v>46023</v>
      </c>
      <c r="J483" s="2" t="s">
        <v>767</v>
      </c>
      <c r="K483" s="2" t="s">
        <v>32</v>
      </c>
      <c r="L483" s="2" t="s">
        <v>470</v>
      </c>
      <c r="M483" s="2" t="s">
        <v>34</v>
      </c>
      <c r="N483" s="2">
        <v>-526</v>
      </c>
      <c r="O483" s="2">
        <v>-391</v>
      </c>
      <c r="P483" s="2" t="s">
        <v>747</v>
      </c>
      <c r="Q483" s="2" t="s">
        <v>746</v>
      </c>
    </row>
    <row r="484" spans="1:27" s="2" customFormat="1" x14ac:dyDescent="0.25">
      <c r="A484" s="2" t="s">
        <v>707</v>
      </c>
      <c r="B484" s="2" t="str">
        <f>CONCATENATE(A484,89)</f>
        <v>7A76Y46QA6589</v>
      </c>
      <c r="C484" s="2" t="s">
        <v>918</v>
      </c>
      <c r="D484" s="2" t="s">
        <v>919</v>
      </c>
      <c r="E484" s="2" t="str">
        <f t="shared" si="7"/>
        <v>JOYCE WILHELM</v>
      </c>
      <c r="F484" s="2" t="s">
        <v>27</v>
      </c>
      <c r="G484" s="2" t="s">
        <v>86</v>
      </c>
      <c r="H484" s="3">
        <v>46023</v>
      </c>
      <c r="I484" s="3">
        <v>46023</v>
      </c>
      <c r="J484" s="2" t="s">
        <v>767</v>
      </c>
      <c r="K484" s="2" t="s">
        <v>32</v>
      </c>
      <c r="L484" s="2" t="s">
        <v>470</v>
      </c>
      <c r="M484" s="2" t="s">
        <v>34</v>
      </c>
      <c r="N484" s="2">
        <v>-526</v>
      </c>
      <c r="O484" s="2">
        <v>-391</v>
      </c>
      <c r="P484" s="2" t="s">
        <v>747</v>
      </c>
      <c r="Q484" s="2" t="s">
        <v>746</v>
      </c>
    </row>
    <row r="485" spans="1:27" s="2" customFormat="1" x14ac:dyDescent="0.25">
      <c r="A485" s="2" t="s">
        <v>467</v>
      </c>
      <c r="B485" s="2" t="str">
        <f>CONCATENATE(A485,89)</f>
        <v>7RX8MM3MU2289</v>
      </c>
      <c r="C485" s="2" t="s">
        <v>1055</v>
      </c>
      <c r="D485" s="2" t="s">
        <v>775</v>
      </c>
      <c r="E485" s="2" t="str">
        <f t="shared" si="7"/>
        <v>DAVID MANKO</v>
      </c>
      <c r="F485" s="2" t="s">
        <v>27</v>
      </c>
      <c r="G485" s="2" t="s">
        <v>29</v>
      </c>
      <c r="H485" s="3">
        <v>46082</v>
      </c>
      <c r="I485" s="3">
        <v>46082</v>
      </c>
      <c r="J485" s="2" t="s">
        <v>767</v>
      </c>
      <c r="K485" s="2" t="s">
        <v>32</v>
      </c>
      <c r="L485" s="2" t="s">
        <v>470</v>
      </c>
      <c r="M485" s="2" t="s">
        <v>34</v>
      </c>
      <c r="N485" s="2">
        <v>450.83</v>
      </c>
      <c r="O485" s="2">
        <v>325.83</v>
      </c>
      <c r="P485" s="2" t="s">
        <v>747</v>
      </c>
      <c r="Q485" s="2" t="s">
        <v>752</v>
      </c>
      <c r="R485" s="2">
        <f>391/12*10</f>
        <v>325.83333333333337</v>
      </c>
    </row>
    <row r="486" spans="1:27" s="4" customFormat="1" x14ac:dyDescent="0.25">
      <c r="A486" s="2" t="s">
        <v>116</v>
      </c>
      <c r="B486" s="2" t="str">
        <f>CONCATENATE(A486,77)</f>
        <v>4M88AH9RQ3977</v>
      </c>
      <c r="C486" s="2" t="s">
        <v>991</v>
      </c>
      <c r="D486" s="2" t="s">
        <v>992</v>
      </c>
      <c r="E486" s="2" t="str">
        <f t="shared" si="7"/>
        <v>ANNMARIE BRINK</v>
      </c>
      <c r="F486" s="2" t="s">
        <v>119</v>
      </c>
      <c r="G486" s="2" t="s">
        <v>29</v>
      </c>
      <c r="H486" s="3">
        <v>46054</v>
      </c>
      <c r="I486" s="3">
        <v>46054</v>
      </c>
      <c r="J486" s="2">
        <v>9213293</v>
      </c>
      <c r="K486" s="2" t="s">
        <v>32</v>
      </c>
      <c r="L486" s="2" t="s">
        <v>122</v>
      </c>
      <c r="M486" s="2" t="s">
        <v>34</v>
      </c>
      <c r="N486" s="2">
        <v>844</v>
      </c>
      <c r="O486" s="2">
        <v>694</v>
      </c>
      <c r="P486" s="2" t="s">
        <v>753</v>
      </c>
      <c r="Q486" s="2" t="s">
        <v>756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s="4" customFormat="1" x14ac:dyDescent="0.25">
      <c r="A487" s="2" t="s">
        <v>150</v>
      </c>
      <c r="B487" s="2" t="str">
        <f>CONCATENATE(A487,77)</f>
        <v>8UN2DV5VE1177</v>
      </c>
      <c r="C487" s="2" t="s">
        <v>926</v>
      </c>
      <c r="D487" s="2" t="s">
        <v>927</v>
      </c>
      <c r="E487" s="2" t="str">
        <f t="shared" si="7"/>
        <v>HELEN CASILLAS</v>
      </c>
      <c r="F487" s="2" t="s">
        <v>42</v>
      </c>
      <c r="G487" s="2" t="s">
        <v>29</v>
      </c>
      <c r="H487" s="3">
        <v>46023</v>
      </c>
      <c r="I487" s="3">
        <v>46023</v>
      </c>
      <c r="J487" s="2">
        <v>9213293</v>
      </c>
      <c r="K487" s="2" t="s">
        <v>32</v>
      </c>
      <c r="L487" s="2" t="s">
        <v>122</v>
      </c>
      <c r="M487" s="2" t="s">
        <v>34</v>
      </c>
      <c r="N487" s="2">
        <v>844</v>
      </c>
      <c r="O487" s="2">
        <v>694</v>
      </c>
      <c r="P487" s="2" t="s">
        <v>753</v>
      </c>
      <c r="Q487" s="2" t="s">
        <v>756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s="4" customFormat="1" x14ac:dyDescent="0.25">
      <c r="A488" s="2" t="s">
        <v>222</v>
      </c>
      <c r="B488" s="2" t="str">
        <f>CONCATENATE(A488,77)</f>
        <v>2DC6WT0VR4377</v>
      </c>
      <c r="C488" s="2" t="s">
        <v>938</v>
      </c>
      <c r="D488" s="2" t="s">
        <v>922</v>
      </c>
      <c r="E488" s="2" t="str">
        <f t="shared" si="7"/>
        <v>JANE DOBROWSKI</v>
      </c>
      <c r="F488" s="2" t="s">
        <v>207</v>
      </c>
      <c r="G488" s="2" t="s">
        <v>29</v>
      </c>
      <c r="H488" s="3">
        <v>46023</v>
      </c>
      <c r="I488" s="3">
        <v>46023</v>
      </c>
      <c r="J488" s="2">
        <v>9213293</v>
      </c>
      <c r="K488" s="2" t="s">
        <v>32</v>
      </c>
      <c r="L488" s="2" t="s">
        <v>122</v>
      </c>
      <c r="M488" s="2" t="s">
        <v>34</v>
      </c>
      <c r="N488" s="2">
        <v>844</v>
      </c>
      <c r="O488" s="2">
        <v>694</v>
      </c>
      <c r="P488" s="2" t="s">
        <v>753</v>
      </c>
      <c r="Q488" s="2" t="s">
        <v>756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s="4" customFormat="1" x14ac:dyDescent="0.25">
      <c r="A489" s="2" t="s">
        <v>306</v>
      </c>
      <c r="B489" s="2" t="str">
        <f>CONCATENATE(A489,77)</f>
        <v>5ET2R81VA1377</v>
      </c>
      <c r="C489" s="2" t="s">
        <v>943</v>
      </c>
      <c r="D489" s="2" t="s">
        <v>944</v>
      </c>
      <c r="E489" s="2" t="str">
        <f t="shared" si="7"/>
        <v>ALFRED HARSTON</v>
      </c>
      <c r="F489" s="2" t="s">
        <v>42</v>
      </c>
      <c r="G489" s="2" t="s">
        <v>29</v>
      </c>
      <c r="H489" s="3">
        <v>46023</v>
      </c>
      <c r="I489" s="3">
        <v>46023</v>
      </c>
      <c r="J489" s="2">
        <v>9213293</v>
      </c>
      <c r="K489" s="2" t="s">
        <v>32</v>
      </c>
      <c r="L489" s="2" t="s">
        <v>122</v>
      </c>
      <c r="M489" s="2" t="s">
        <v>34</v>
      </c>
      <c r="N489" s="2">
        <v>844</v>
      </c>
      <c r="O489" s="2">
        <v>694</v>
      </c>
      <c r="P489" s="2" t="s">
        <v>753</v>
      </c>
      <c r="Q489" s="2" t="s">
        <v>756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s="4" customFormat="1" x14ac:dyDescent="0.25">
      <c r="A490" s="2" t="s">
        <v>150</v>
      </c>
      <c r="B490" s="2" t="str">
        <f>CONCATENATE(A490,89)</f>
        <v>8UN2DV5VE1189</v>
      </c>
      <c r="C490" s="2" t="s">
        <v>926</v>
      </c>
      <c r="D490" s="2" t="s">
        <v>927</v>
      </c>
      <c r="E490" s="2" t="str">
        <f t="shared" si="7"/>
        <v>HELEN CASILLAS</v>
      </c>
      <c r="F490" s="2" t="s">
        <v>42</v>
      </c>
      <c r="G490" s="2" t="s">
        <v>29</v>
      </c>
      <c r="H490" s="3">
        <v>46023</v>
      </c>
      <c r="I490" s="3">
        <v>46023</v>
      </c>
      <c r="J490" s="2">
        <v>9213293</v>
      </c>
      <c r="K490" s="2" t="s">
        <v>32</v>
      </c>
      <c r="L490" s="2" t="s">
        <v>122</v>
      </c>
      <c r="M490" s="2" t="s">
        <v>34</v>
      </c>
      <c r="N490" s="2">
        <v>-497</v>
      </c>
      <c r="O490" s="2">
        <v>-347</v>
      </c>
      <c r="P490" s="2" t="s">
        <v>748</v>
      </c>
      <c r="Q490" s="2" t="s">
        <v>749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s="4" customFormat="1" x14ac:dyDescent="0.25">
      <c r="A491" s="2" t="s">
        <v>222</v>
      </c>
      <c r="B491" s="2" t="str">
        <f>CONCATENATE(A491,89)</f>
        <v>2DC6WT0VR4389</v>
      </c>
      <c r="C491" s="2" t="s">
        <v>938</v>
      </c>
      <c r="D491" s="2" t="s">
        <v>922</v>
      </c>
      <c r="E491" s="2" t="str">
        <f t="shared" si="7"/>
        <v>JANE DOBROWSKI</v>
      </c>
      <c r="F491" s="2" t="s">
        <v>207</v>
      </c>
      <c r="G491" s="2" t="s">
        <v>29</v>
      </c>
      <c r="H491" s="3">
        <v>46023</v>
      </c>
      <c r="I491" s="3">
        <v>46023</v>
      </c>
      <c r="J491" s="2">
        <v>9213293</v>
      </c>
      <c r="K491" s="2" t="s">
        <v>32</v>
      </c>
      <c r="L491" s="2" t="s">
        <v>122</v>
      </c>
      <c r="M491" s="2" t="s">
        <v>34</v>
      </c>
      <c r="N491" s="2">
        <v>-497</v>
      </c>
      <c r="O491" s="2">
        <v>-347</v>
      </c>
      <c r="P491" s="2" t="s">
        <v>748</v>
      </c>
      <c r="Q491" s="2" t="s">
        <v>749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s="4" customFormat="1" x14ac:dyDescent="0.25">
      <c r="A492" s="2" t="s">
        <v>306</v>
      </c>
      <c r="B492" s="2" t="str">
        <f>CONCATENATE(A492,89)</f>
        <v>5ET2R81VA1389</v>
      </c>
      <c r="C492" s="2" t="s">
        <v>943</v>
      </c>
      <c r="D492" s="2" t="s">
        <v>944</v>
      </c>
      <c r="E492" s="2" t="str">
        <f t="shared" si="7"/>
        <v>ALFRED HARSTON</v>
      </c>
      <c r="F492" s="2" t="s">
        <v>42</v>
      </c>
      <c r="G492" s="2" t="s">
        <v>29</v>
      </c>
      <c r="H492" s="3">
        <v>46023</v>
      </c>
      <c r="I492" s="3">
        <v>46023</v>
      </c>
      <c r="J492" s="2">
        <v>9213293</v>
      </c>
      <c r="K492" s="2" t="s">
        <v>32</v>
      </c>
      <c r="L492" s="2" t="s">
        <v>122</v>
      </c>
      <c r="M492" s="2" t="s">
        <v>34</v>
      </c>
      <c r="N492" s="2">
        <v>-497</v>
      </c>
      <c r="O492" s="2">
        <v>-347</v>
      </c>
      <c r="P492" s="2" t="s">
        <v>748</v>
      </c>
      <c r="Q492" s="2" t="s">
        <v>749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s="4" customFormat="1" x14ac:dyDescent="0.25">
      <c r="A493" s="2" t="s">
        <v>116</v>
      </c>
      <c r="B493" s="2" t="str">
        <f>CONCATENATE(A493,89)</f>
        <v>4M88AH9RQ3989</v>
      </c>
      <c r="C493" s="2" t="s">
        <v>991</v>
      </c>
      <c r="D493" s="2" t="s">
        <v>992</v>
      </c>
      <c r="E493" s="2" t="str">
        <f t="shared" si="7"/>
        <v>ANNMARIE BRINK</v>
      </c>
      <c r="F493" s="2" t="s">
        <v>119</v>
      </c>
      <c r="G493" s="2" t="s">
        <v>29</v>
      </c>
      <c r="H493" s="3">
        <v>46054</v>
      </c>
      <c r="I493" s="3">
        <v>46054</v>
      </c>
      <c r="J493" s="2">
        <v>9213293</v>
      </c>
      <c r="K493" s="2" t="s">
        <v>32</v>
      </c>
      <c r="L493" s="2" t="s">
        <v>122</v>
      </c>
      <c r="M493" s="2" t="s">
        <v>34</v>
      </c>
      <c r="N493" s="2">
        <v>-455.58</v>
      </c>
      <c r="O493" s="2">
        <v>-318.08</v>
      </c>
      <c r="P493" s="2" t="s">
        <v>748</v>
      </c>
      <c r="Q493" s="2" t="s">
        <v>751</v>
      </c>
      <c r="R493" s="2"/>
      <c r="S493" s="2">
        <f>347/12*11</f>
        <v>318.08333333333337</v>
      </c>
      <c r="T493" s="2"/>
      <c r="U493" s="2"/>
      <c r="V493" s="2"/>
      <c r="W493" s="2"/>
      <c r="X493" s="2"/>
      <c r="Y493" s="2"/>
      <c r="Z493" s="2"/>
      <c r="AA493" s="2"/>
    </row>
    <row r="494" spans="1:27" s="4" customFormat="1" x14ac:dyDescent="0.25">
      <c r="A494" s="2" t="s">
        <v>557</v>
      </c>
      <c r="B494" s="2" t="str">
        <f>CONCATENATE(A494,89)</f>
        <v>6QA2PP6CY9089</v>
      </c>
      <c r="C494" s="2" t="s">
        <v>1060</v>
      </c>
      <c r="D494" s="2" t="s">
        <v>790</v>
      </c>
      <c r="E494" s="2" t="str">
        <f t="shared" si="7"/>
        <v>RICHARD OLSON</v>
      </c>
      <c r="F494" s="2" t="s">
        <v>560</v>
      </c>
      <c r="G494" s="2" t="s">
        <v>29</v>
      </c>
      <c r="H494" s="3">
        <v>46023</v>
      </c>
      <c r="I494" s="3">
        <v>46023</v>
      </c>
      <c r="J494" s="2">
        <v>9213293</v>
      </c>
      <c r="K494" s="2" t="s">
        <v>32</v>
      </c>
      <c r="L494" s="2" t="s">
        <v>122</v>
      </c>
      <c r="M494" s="2" t="s">
        <v>34</v>
      </c>
      <c r="N494" s="2">
        <v>497</v>
      </c>
      <c r="O494" s="2">
        <v>347</v>
      </c>
      <c r="P494" s="2" t="s">
        <v>748</v>
      </c>
      <c r="Q494" s="2" t="s">
        <v>749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s="4" customFormat="1" x14ac:dyDescent="0.25">
      <c r="A495" s="2" t="s">
        <v>502</v>
      </c>
      <c r="B495" s="2" t="str">
        <f>CONCATENATE(A495,77)</f>
        <v>1PC7C26FG7477</v>
      </c>
      <c r="C495" s="2" t="s">
        <v>960</v>
      </c>
      <c r="D495" s="2" t="s">
        <v>775</v>
      </c>
      <c r="E495" s="2" t="str">
        <f t="shared" si="7"/>
        <v>DAVID MICKELSON</v>
      </c>
      <c r="F495" s="2" t="s">
        <v>108</v>
      </c>
      <c r="G495" s="2" t="s">
        <v>29</v>
      </c>
      <c r="H495" s="3">
        <v>46023</v>
      </c>
      <c r="I495" s="3">
        <v>46023</v>
      </c>
      <c r="J495" s="2">
        <v>19645587</v>
      </c>
      <c r="K495" s="2" t="s">
        <v>32</v>
      </c>
      <c r="L495" s="2" t="s">
        <v>266</v>
      </c>
      <c r="M495" s="2" t="s">
        <v>34</v>
      </c>
      <c r="N495" s="2">
        <v>844</v>
      </c>
      <c r="O495" s="2">
        <v>694</v>
      </c>
      <c r="P495" s="2" t="s">
        <v>753</v>
      </c>
      <c r="Q495" s="2" t="s">
        <v>756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s="4" customFormat="1" x14ac:dyDescent="0.25">
      <c r="A496" s="2" t="s">
        <v>717</v>
      </c>
      <c r="B496" s="2" t="str">
        <f>CONCATENATE(A496,77)</f>
        <v>2K06KA5YG6477</v>
      </c>
      <c r="C496" s="2" t="s">
        <v>836</v>
      </c>
      <c r="D496" s="2" t="s">
        <v>783</v>
      </c>
      <c r="E496" s="2" t="str">
        <f t="shared" si="7"/>
        <v>MICHAEL WILLIAMS</v>
      </c>
      <c r="F496" s="2" t="s">
        <v>337</v>
      </c>
      <c r="G496" s="2" t="s">
        <v>29</v>
      </c>
      <c r="H496" s="3">
        <v>46023</v>
      </c>
      <c r="I496" s="3">
        <v>46023</v>
      </c>
      <c r="J496" s="2">
        <v>19645587</v>
      </c>
      <c r="K496" s="2" t="s">
        <v>32</v>
      </c>
      <c r="L496" s="2" t="s">
        <v>266</v>
      </c>
      <c r="M496" s="2" t="s">
        <v>34</v>
      </c>
      <c r="N496" s="2">
        <v>844</v>
      </c>
      <c r="O496" s="2">
        <v>694</v>
      </c>
      <c r="P496" s="2" t="s">
        <v>753</v>
      </c>
      <c r="Q496" s="2" t="s">
        <v>756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s="4" customFormat="1" x14ac:dyDescent="0.25">
      <c r="A497" s="2" t="s">
        <v>260</v>
      </c>
      <c r="B497" s="2" t="str">
        <f>CONCATENATE(A497,77)</f>
        <v>4WQ7CX3YW7877</v>
      </c>
      <c r="C497" s="2" t="s">
        <v>909</v>
      </c>
      <c r="D497" s="2" t="s">
        <v>910</v>
      </c>
      <c r="E497" s="2" t="str">
        <f t="shared" si="7"/>
        <v>RHONDA FRIEDOWITZ</v>
      </c>
      <c r="F497" s="2" t="s">
        <v>263</v>
      </c>
      <c r="G497" s="2" t="s">
        <v>29</v>
      </c>
      <c r="H497" s="3">
        <v>46023</v>
      </c>
      <c r="I497" s="3">
        <v>46023</v>
      </c>
      <c r="J497" s="2">
        <v>19645587</v>
      </c>
      <c r="K497" s="2" t="s">
        <v>32</v>
      </c>
      <c r="L497" s="2" t="s">
        <v>266</v>
      </c>
      <c r="M497" s="2" t="s">
        <v>34</v>
      </c>
      <c r="N497" s="2">
        <v>1039</v>
      </c>
      <c r="O497" s="2">
        <v>864</v>
      </c>
      <c r="P497" s="2" t="s">
        <v>761</v>
      </c>
      <c r="Q497" s="2" t="s">
        <v>762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s="4" customFormat="1" x14ac:dyDescent="0.25">
      <c r="A498" s="2" t="s">
        <v>710</v>
      </c>
      <c r="B498" s="2" t="str">
        <f>CONCATENATE(A498,77)</f>
        <v>8XW2U82DD8077</v>
      </c>
      <c r="C498" s="2" t="s">
        <v>911</v>
      </c>
      <c r="D498" s="2" t="s">
        <v>912</v>
      </c>
      <c r="E498" s="2" t="str">
        <f t="shared" si="7"/>
        <v>SALLY WILKINSON</v>
      </c>
      <c r="F498" s="2" t="s">
        <v>263</v>
      </c>
      <c r="G498" s="2" t="s">
        <v>29</v>
      </c>
      <c r="H498" s="3">
        <v>46023</v>
      </c>
      <c r="I498" s="3">
        <v>46023</v>
      </c>
      <c r="J498" s="2">
        <v>19645587</v>
      </c>
      <c r="K498" s="2" t="s">
        <v>32</v>
      </c>
      <c r="L498" s="2" t="s">
        <v>266</v>
      </c>
      <c r="M498" s="2" t="s">
        <v>34</v>
      </c>
      <c r="N498" s="2">
        <v>1039</v>
      </c>
      <c r="O498" s="2">
        <v>864</v>
      </c>
      <c r="P498" s="2" t="s">
        <v>761</v>
      </c>
      <c r="Q498" s="2" t="s">
        <v>762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s="4" customFormat="1" x14ac:dyDescent="0.25">
      <c r="A499" s="2" t="s">
        <v>260</v>
      </c>
      <c r="B499" s="2" t="str">
        <f>CONCATENATE(A499,89)</f>
        <v>4WQ7CX3YW7889</v>
      </c>
      <c r="C499" s="2" t="s">
        <v>909</v>
      </c>
      <c r="D499" s="2" t="s">
        <v>910</v>
      </c>
      <c r="E499" s="2" t="str">
        <f t="shared" si="7"/>
        <v>RHONDA FRIEDOWITZ</v>
      </c>
      <c r="F499" s="2" t="s">
        <v>263</v>
      </c>
      <c r="G499" s="2" t="s">
        <v>29</v>
      </c>
      <c r="H499" s="3">
        <v>46023</v>
      </c>
      <c r="I499" s="3">
        <v>46023</v>
      </c>
      <c r="J499" s="2">
        <v>19645587</v>
      </c>
      <c r="K499" s="2" t="s">
        <v>32</v>
      </c>
      <c r="L499" s="2" t="s">
        <v>266</v>
      </c>
      <c r="M499" s="2" t="s">
        <v>34</v>
      </c>
      <c r="N499" s="2">
        <v>-607</v>
      </c>
      <c r="O499" s="2">
        <v>-432</v>
      </c>
      <c r="P499" s="2" t="s">
        <v>743</v>
      </c>
      <c r="Q499" s="2" t="s">
        <v>744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s="4" customFormat="1" x14ac:dyDescent="0.25">
      <c r="A500" s="2" t="s">
        <v>710</v>
      </c>
      <c r="B500" s="2" t="str">
        <f>CONCATENATE(A500,89)</f>
        <v>8XW2U82DD8089</v>
      </c>
      <c r="C500" s="2" t="s">
        <v>911</v>
      </c>
      <c r="D500" s="2" t="s">
        <v>912</v>
      </c>
      <c r="E500" s="2" t="str">
        <f t="shared" si="7"/>
        <v>SALLY WILKINSON</v>
      </c>
      <c r="F500" s="2" t="s">
        <v>263</v>
      </c>
      <c r="G500" s="2" t="s">
        <v>29</v>
      </c>
      <c r="H500" s="3">
        <v>46023</v>
      </c>
      <c r="I500" s="3">
        <v>46023</v>
      </c>
      <c r="J500" s="2">
        <v>19645587</v>
      </c>
      <c r="K500" s="2" t="s">
        <v>32</v>
      </c>
      <c r="L500" s="2" t="s">
        <v>266</v>
      </c>
      <c r="M500" s="2" t="s">
        <v>34</v>
      </c>
      <c r="N500" s="2">
        <v>-607</v>
      </c>
      <c r="O500" s="2">
        <v>-432</v>
      </c>
      <c r="P500" s="2" t="s">
        <v>743</v>
      </c>
      <c r="Q500" s="2" t="s">
        <v>744</v>
      </c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s="4" customFormat="1" x14ac:dyDescent="0.25">
      <c r="A501" s="2" t="s">
        <v>502</v>
      </c>
      <c r="B501" s="2" t="str">
        <f>CONCATENATE(A501,89)</f>
        <v>1PC7C26FG7489</v>
      </c>
      <c r="C501" s="2" t="s">
        <v>960</v>
      </c>
      <c r="D501" s="2" t="s">
        <v>775</v>
      </c>
      <c r="E501" s="2" t="str">
        <f t="shared" si="7"/>
        <v>DAVID MICKELSON</v>
      </c>
      <c r="F501" s="2" t="s">
        <v>108</v>
      </c>
      <c r="G501" s="2" t="s">
        <v>29</v>
      </c>
      <c r="H501" s="3">
        <v>46023</v>
      </c>
      <c r="I501" s="3">
        <v>46023</v>
      </c>
      <c r="J501" s="2">
        <v>19645587</v>
      </c>
      <c r="K501" s="2" t="s">
        <v>32</v>
      </c>
      <c r="L501" s="2" t="s">
        <v>266</v>
      </c>
      <c r="M501" s="2" t="s">
        <v>34</v>
      </c>
      <c r="N501" s="2">
        <v>-497</v>
      </c>
      <c r="O501" s="2">
        <v>-347</v>
      </c>
      <c r="P501" s="2" t="s">
        <v>748</v>
      </c>
      <c r="Q501" s="2" t="s">
        <v>749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s="4" customFormat="1" x14ac:dyDescent="0.25">
      <c r="A502" s="2" t="s">
        <v>717</v>
      </c>
      <c r="B502" s="2" t="str">
        <f>CONCATENATE(A502,89)</f>
        <v>2K06KA5YG6489</v>
      </c>
      <c r="C502" s="2" t="s">
        <v>836</v>
      </c>
      <c r="D502" s="2" t="s">
        <v>783</v>
      </c>
      <c r="E502" s="2" t="str">
        <f t="shared" si="7"/>
        <v>MICHAEL WILLIAMS</v>
      </c>
      <c r="F502" s="2" t="s">
        <v>337</v>
      </c>
      <c r="G502" s="2" t="s">
        <v>29</v>
      </c>
      <c r="H502" s="3">
        <v>46023</v>
      </c>
      <c r="I502" s="3">
        <v>46023</v>
      </c>
      <c r="J502" s="2">
        <v>19645587</v>
      </c>
      <c r="K502" s="2" t="s">
        <v>32</v>
      </c>
      <c r="L502" s="2" t="s">
        <v>266</v>
      </c>
      <c r="M502" s="2" t="s">
        <v>34</v>
      </c>
      <c r="N502" s="2">
        <v>-497</v>
      </c>
      <c r="O502" s="2">
        <v>-347</v>
      </c>
      <c r="P502" s="2" t="s">
        <v>748</v>
      </c>
      <c r="Q502" s="2" t="s">
        <v>749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s="4" customFormat="1" x14ac:dyDescent="0.25">
      <c r="A503" s="2" t="s">
        <v>614</v>
      </c>
      <c r="B503" s="2" t="str">
        <f>CONCATENATE(A503,7)</f>
        <v>9VU5FM9HM537</v>
      </c>
      <c r="C503" s="2" t="s">
        <v>1036</v>
      </c>
      <c r="D503" s="2" t="s">
        <v>1037</v>
      </c>
      <c r="E503" s="2" t="str">
        <f t="shared" si="7"/>
        <v>DOMINIQUE SANTANIELLO</v>
      </c>
      <c r="F503" s="2" t="s">
        <v>27</v>
      </c>
      <c r="G503" s="2" t="s">
        <v>29</v>
      </c>
      <c r="H503" s="3">
        <v>45992</v>
      </c>
      <c r="I503" s="3">
        <v>45992</v>
      </c>
      <c r="J503" s="2">
        <v>16509456</v>
      </c>
      <c r="K503" s="2" t="s">
        <v>32</v>
      </c>
      <c r="L503" s="2" t="s">
        <v>618</v>
      </c>
      <c r="M503" s="2" t="s">
        <v>34</v>
      </c>
      <c r="N503" s="2">
        <v>855</v>
      </c>
      <c r="O503" s="2">
        <v>705</v>
      </c>
      <c r="P503" s="2" t="s">
        <v>759</v>
      </c>
      <c r="Q503" s="2" t="s">
        <v>760</v>
      </c>
      <c r="R503" s="2">
        <f>855-705</f>
        <v>150</v>
      </c>
      <c r="S503" s="2">
        <f>705+150</f>
        <v>855</v>
      </c>
      <c r="T503" s="2"/>
      <c r="U503" s="2"/>
      <c r="V503" s="2"/>
      <c r="W503" s="2"/>
      <c r="X503" s="2"/>
      <c r="Y503" s="2"/>
      <c r="Z503" s="2"/>
      <c r="AA503" s="2"/>
    </row>
    <row r="504" spans="1:27" s="4" customFormat="1" x14ac:dyDescent="0.25">
      <c r="A504" s="2" t="s">
        <v>614</v>
      </c>
      <c r="B504" s="2" t="str">
        <f>CONCATENATE(A504,89)</f>
        <v>9VU5FM9HM5389</v>
      </c>
      <c r="C504" s="2" t="s">
        <v>1036</v>
      </c>
      <c r="D504" s="2" t="s">
        <v>1037</v>
      </c>
      <c r="E504" s="2" t="str">
        <f t="shared" si="7"/>
        <v>DOMINIQUE SANTANIELLO</v>
      </c>
      <c r="F504" s="2" t="s">
        <v>27</v>
      </c>
      <c r="G504" s="2" t="s">
        <v>29</v>
      </c>
      <c r="H504" s="3">
        <v>45992</v>
      </c>
      <c r="I504" s="3">
        <v>45992</v>
      </c>
      <c r="J504" s="2">
        <v>16509456</v>
      </c>
      <c r="K504" s="2" t="s">
        <v>32</v>
      </c>
      <c r="L504" s="2" t="s">
        <v>618</v>
      </c>
      <c r="M504" s="2" t="s">
        <v>34</v>
      </c>
      <c r="N504" s="2">
        <v>-41.92</v>
      </c>
      <c r="O504" s="2">
        <v>-32.58</v>
      </c>
      <c r="P504" s="2" t="s">
        <v>747</v>
      </c>
      <c r="Q504" s="2" t="s">
        <v>763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s="4" customFormat="1" x14ac:dyDescent="0.25">
      <c r="A505" s="2" t="s">
        <v>273</v>
      </c>
      <c r="B505" s="2" t="str">
        <f>CONCATENATE(A505,7)</f>
        <v>6Y85V40VN977</v>
      </c>
      <c r="C505" s="2" t="s">
        <v>908</v>
      </c>
      <c r="D505" s="2" t="s">
        <v>819</v>
      </c>
      <c r="E505" s="2" t="str">
        <f t="shared" si="7"/>
        <v>JOHN GALIOTO</v>
      </c>
      <c r="F505" s="2" t="s">
        <v>42</v>
      </c>
      <c r="G505" s="2" t="s">
        <v>29</v>
      </c>
      <c r="H505" s="3">
        <v>45689</v>
      </c>
      <c r="I505" s="3">
        <v>45689</v>
      </c>
      <c r="J505" s="2">
        <v>16983460</v>
      </c>
      <c r="K505" s="2" t="s">
        <v>32</v>
      </c>
      <c r="L505" s="2" t="s">
        <v>278</v>
      </c>
      <c r="M505" s="2" t="s">
        <v>279</v>
      </c>
      <c r="N505" s="2">
        <v>-751</v>
      </c>
      <c r="O505" s="2">
        <v>-626</v>
      </c>
      <c r="P505" s="2" t="s">
        <v>741</v>
      </c>
      <c r="Q505" s="2" t="s">
        <v>745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s="4" customFormat="1" x14ac:dyDescent="0.25">
      <c r="A506" s="2" t="s">
        <v>273</v>
      </c>
      <c r="B506" s="2" t="str">
        <f>CONCATENATE(A506,89)</f>
        <v>6Y85V40VN9789</v>
      </c>
      <c r="C506" s="2" t="s">
        <v>908</v>
      </c>
      <c r="D506" s="2" t="s">
        <v>819</v>
      </c>
      <c r="E506" s="2" t="str">
        <f t="shared" si="7"/>
        <v>JOHN GALIOTO</v>
      </c>
      <c r="F506" s="2" t="s">
        <v>42</v>
      </c>
      <c r="G506" s="2" t="s">
        <v>29</v>
      </c>
      <c r="H506" s="3">
        <v>46023</v>
      </c>
      <c r="I506" s="3">
        <v>45689</v>
      </c>
      <c r="J506" s="2">
        <v>16983460</v>
      </c>
      <c r="K506" s="2" t="s">
        <v>32</v>
      </c>
      <c r="L506" s="2" t="s">
        <v>278</v>
      </c>
      <c r="M506" s="2" t="s">
        <v>279</v>
      </c>
      <c r="N506" s="2">
        <v>-32.67</v>
      </c>
      <c r="O506" s="2">
        <v>-28.91</v>
      </c>
      <c r="P506" s="2" t="s">
        <v>748</v>
      </c>
      <c r="Q506" s="2" t="s">
        <v>764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s="4" customFormat="1" x14ac:dyDescent="0.25">
      <c r="A507" s="2" t="s">
        <v>273</v>
      </c>
      <c r="B507" s="2" t="str">
        <f>CONCATENATE(A507,89)</f>
        <v>6Y85V40VN9789</v>
      </c>
      <c r="C507" s="2" t="s">
        <v>908</v>
      </c>
      <c r="D507" s="2" t="s">
        <v>819</v>
      </c>
      <c r="E507" s="2" t="str">
        <f t="shared" si="7"/>
        <v>JOHN GALIOTO</v>
      </c>
      <c r="F507" s="2" t="s">
        <v>42</v>
      </c>
      <c r="G507" s="2" t="s">
        <v>29</v>
      </c>
      <c r="H507" s="3">
        <v>45689</v>
      </c>
      <c r="I507" s="3">
        <v>45689</v>
      </c>
      <c r="J507" s="2">
        <v>16983460</v>
      </c>
      <c r="K507" s="2" t="s">
        <v>32</v>
      </c>
      <c r="L507" s="2" t="s">
        <v>278</v>
      </c>
      <c r="M507" s="2" t="s">
        <v>279</v>
      </c>
      <c r="N507" s="2">
        <v>375.5</v>
      </c>
      <c r="O507" s="2">
        <v>318.08</v>
      </c>
      <c r="P507" s="2" t="s">
        <v>748</v>
      </c>
      <c r="Q507" s="2" t="s">
        <v>751</v>
      </c>
      <c r="R507" s="2">
        <f>347/12*11</f>
        <v>318.08333333333337</v>
      </c>
      <c r="S507" s="2"/>
      <c r="T507" s="2"/>
      <c r="U507" s="2"/>
      <c r="V507" s="2"/>
      <c r="W507" s="2"/>
      <c r="X507" s="2"/>
      <c r="Y507" s="2"/>
      <c r="Z507" s="2"/>
      <c r="AA507" s="2"/>
    </row>
    <row r="508" spans="1:27" s="4" customFormat="1" x14ac:dyDescent="0.25">
      <c r="A508" s="2" t="s">
        <v>179</v>
      </c>
      <c r="B508" s="2" t="str">
        <f>CONCATENATE(A508,77)</f>
        <v>3W28U89YV3777</v>
      </c>
      <c r="C508" s="2" t="s">
        <v>993</v>
      </c>
      <c r="D508" s="2" t="s">
        <v>904</v>
      </c>
      <c r="E508" s="2" t="str">
        <f t="shared" si="7"/>
        <v>ANGELA COLLINS</v>
      </c>
      <c r="F508" s="2" t="s">
        <v>182</v>
      </c>
      <c r="G508" s="2" t="s">
        <v>29</v>
      </c>
      <c r="H508" s="3">
        <v>46054</v>
      </c>
      <c r="I508" s="3">
        <v>46054</v>
      </c>
      <c r="J508" s="2">
        <v>21618313</v>
      </c>
      <c r="K508" s="2" t="s">
        <v>32</v>
      </c>
      <c r="L508" s="2" t="s">
        <v>184</v>
      </c>
      <c r="M508" s="2" t="s">
        <v>34</v>
      </c>
      <c r="N508" s="2">
        <v>844</v>
      </c>
      <c r="O508" s="2">
        <v>694</v>
      </c>
      <c r="P508" s="2" t="s">
        <v>753</v>
      </c>
      <c r="Q508" s="2" t="s">
        <v>756</v>
      </c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s="4" customFormat="1" x14ac:dyDescent="0.25">
      <c r="A509" s="2" t="s">
        <v>179</v>
      </c>
      <c r="B509" s="2" t="str">
        <f>CONCATENATE(A509,89)</f>
        <v>3W28U89YV3789</v>
      </c>
      <c r="C509" s="2" t="s">
        <v>993</v>
      </c>
      <c r="D509" s="2" t="s">
        <v>904</v>
      </c>
      <c r="E509" s="2" t="str">
        <f t="shared" si="7"/>
        <v>ANGELA COLLINS</v>
      </c>
      <c r="F509" s="2" t="s">
        <v>182</v>
      </c>
      <c r="G509" s="2" t="s">
        <v>29</v>
      </c>
      <c r="H509" s="3">
        <v>46054</v>
      </c>
      <c r="I509" s="3">
        <v>46054</v>
      </c>
      <c r="J509" s="2">
        <v>21618313</v>
      </c>
      <c r="K509" s="2" t="s">
        <v>32</v>
      </c>
      <c r="L509" s="2" t="s">
        <v>184</v>
      </c>
      <c r="M509" s="2" t="s">
        <v>34</v>
      </c>
      <c r="N509" s="2">
        <v>-455.58</v>
      </c>
      <c r="O509" s="2">
        <v>-318.08</v>
      </c>
      <c r="P509" s="2" t="s">
        <v>748</v>
      </c>
      <c r="Q509" s="2" t="s">
        <v>751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s="4" customFormat="1" x14ac:dyDescent="0.25">
      <c r="A510" s="2" t="s">
        <v>52</v>
      </c>
      <c r="B510" s="2" t="str">
        <f>CONCATENATE(A510,77)</f>
        <v>9A76TQ1GD4877</v>
      </c>
      <c r="C510" s="2" t="s">
        <v>920</v>
      </c>
      <c r="D510" s="2" t="s">
        <v>921</v>
      </c>
      <c r="E510" s="2" t="str">
        <f t="shared" si="7"/>
        <v>LERMA ARROJO</v>
      </c>
      <c r="F510" s="2" t="s">
        <v>42</v>
      </c>
      <c r="G510" s="2" t="s">
        <v>29</v>
      </c>
      <c r="H510" s="3">
        <v>46023</v>
      </c>
      <c r="I510" s="3">
        <v>46023</v>
      </c>
      <c r="J510" s="2">
        <v>19200754</v>
      </c>
      <c r="K510" s="2" t="s">
        <v>32</v>
      </c>
      <c r="L510" s="2" t="s">
        <v>57</v>
      </c>
      <c r="M510" s="2" t="s">
        <v>34</v>
      </c>
      <c r="N510" s="2">
        <v>844</v>
      </c>
      <c r="O510" s="2">
        <v>694</v>
      </c>
      <c r="P510" s="2" t="s">
        <v>753</v>
      </c>
      <c r="Q510" s="2" t="s">
        <v>756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s="4" customFormat="1" x14ac:dyDescent="0.25">
      <c r="A511" s="2" t="s">
        <v>52</v>
      </c>
      <c r="B511" s="2" t="str">
        <f>CONCATENATE(A511,89)</f>
        <v>9A76TQ1GD4889</v>
      </c>
      <c r="C511" s="2" t="s">
        <v>920</v>
      </c>
      <c r="D511" s="2" t="s">
        <v>921</v>
      </c>
      <c r="E511" s="2" t="str">
        <f t="shared" si="7"/>
        <v>LERMA ARROJO</v>
      </c>
      <c r="F511" s="2" t="s">
        <v>42</v>
      </c>
      <c r="G511" s="2" t="s">
        <v>29</v>
      </c>
      <c r="H511" s="3">
        <v>46023</v>
      </c>
      <c r="I511" s="3">
        <v>46023</v>
      </c>
      <c r="J511" s="2">
        <v>19200754</v>
      </c>
      <c r="K511" s="2" t="s">
        <v>32</v>
      </c>
      <c r="L511" s="2" t="s">
        <v>57</v>
      </c>
      <c r="M511" s="2" t="s">
        <v>34</v>
      </c>
      <c r="N511" s="2">
        <v>-497</v>
      </c>
      <c r="O511" s="2">
        <v>-347</v>
      </c>
      <c r="P511" s="2" t="s">
        <v>748</v>
      </c>
      <c r="Q511" s="2" t="s">
        <v>749</v>
      </c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s="4" customFormat="1" x14ac:dyDescent="0.25">
      <c r="A512" s="2" t="s">
        <v>569</v>
      </c>
      <c r="B512" s="2" t="str">
        <f>CONCATENATE(A512,77)</f>
        <v>4HX0NF1YF0177</v>
      </c>
      <c r="C512" s="2" t="s">
        <v>965</v>
      </c>
      <c r="D512" s="2" t="s">
        <v>783</v>
      </c>
      <c r="E512" s="2" t="str">
        <f t="shared" si="7"/>
        <v>MICHAEL POLCYN</v>
      </c>
      <c r="F512" s="2" t="s">
        <v>42</v>
      </c>
      <c r="G512" s="2" t="s">
        <v>29</v>
      </c>
      <c r="H512" s="3">
        <v>46023</v>
      </c>
      <c r="I512" s="3">
        <v>46023</v>
      </c>
      <c r="J512" s="2">
        <v>19586992</v>
      </c>
      <c r="K512" s="2" t="s">
        <v>32</v>
      </c>
      <c r="L512" s="2" t="s">
        <v>572</v>
      </c>
      <c r="M512" s="2" t="s">
        <v>34</v>
      </c>
      <c r="N512" s="2">
        <v>844</v>
      </c>
      <c r="O512" s="2">
        <v>694</v>
      </c>
      <c r="P512" s="2" t="s">
        <v>753</v>
      </c>
      <c r="Q512" s="2" t="s">
        <v>756</v>
      </c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s="4" customFormat="1" x14ac:dyDescent="0.25">
      <c r="A513" s="2" t="s">
        <v>569</v>
      </c>
      <c r="B513" s="2" t="str">
        <f>CONCATENATE(A513,89)</f>
        <v>4HX0NF1YF0189</v>
      </c>
      <c r="C513" s="2" t="s">
        <v>965</v>
      </c>
      <c r="D513" s="2" t="s">
        <v>783</v>
      </c>
      <c r="E513" s="2" t="str">
        <f t="shared" si="7"/>
        <v>MICHAEL POLCYN</v>
      </c>
      <c r="F513" s="2" t="s">
        <v>42</v>
      </c>
      <c r="G513" s="2" t="s">
        <v>29</v>
      </c>
      <c r="H513" s="3">
        <v>46023</v>
      </c>
      <c r="I513" s="3">
        <v>46023</v>
      </c>
      <c r="J513" s="2">
        <v>19586992</v>
      </c>
      <c r="K513" s="2" t="s">
        <v>32</v>
      </c>
      <c r="L513" s="2" t="s">
        <v>572</v>
      </c>
      <c r="M513" s="2" t="s">
        <v>34</v>
      </c>
      <c r="N513" s="2">
        <v>-497</v>
      </c>
      <c r="O513" s="2">
        <v>-347</v>
      </c>
      <c r="P513" s="2" t="s">
        <v>748</v>
      </c>
      <c r="Q513" s="2" t="s">
        <v>749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s="4" customFormat="1" x14ac:dyDescent="0.25">
      <c r="A514" s="2" t="s">
        <v>200</v>
      </c>
      <c r="B514" s="2" t="str">
        <f>CONCATENATE(A514,77)</f>
        <v>4GU4HF9WT7877</v>
      </c>
      <c r="C514" s="2" t="s">
        <v>979</v>
      </c>
      <c r="D514" s="2" t="s">
        <v>980</v>
      </c>
      <c r="E514" s="2" t="str">
        <f t="shared" si="7"/>
        <v>STEPHEN DELLETT</v>
      </c>
      <c r="F514" s="2" t="s">
        <v>42</v>
      </c>
      <c r="G514" s="2" t="s">
        <v>29</v>
      </c>
      <c r="H514" s="3">
        <v>46023</v>
      </c>
      <c r="I514" s="3">
        <v>46023</v>
      </c>
      <c r="J514" s="2">
        <v>20490188</v>
      </c>
      <c r="K514" s="2" t="s">
        <v>32</v>
      </c>
      <c r="L514" s="2" t="s">
        <v>203</v>
      </c>
      <c r="M514" s="2" t="s">
        <v>34</v>
      </c>
      <c r="N514" s="2">
        <v>829</v>
      </c>
      <c r="O514" s="2">
        <v>694</v>
      </c>
      <c r="P514" s="2" t="s">
        <v>753</v>
      </c>
      <c r="Q514" s="2" t="s">
        <v>756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s="4" customFormat="1" x14ac:dyDescent="0.25">
      <c r="A515" s="2" t="s">
        <v>200</v>
      </c>
      <c r="B515" s="2" t="str">
        <f>CONCATENATE(A515,89)</f>
        <v>4GU4HF9WT7889</v>
      </c>
      <c r="C515" s="2" t="s">
        <v>979</v>
      </c>
      <c r="D515" s="2" t="s">
        <v>980</v>
      </c>
      <c r="E515" s="2" t="str">
        <f t="shared" ref="E515:E578" si="8">CONCATENATE(D515," ",C515)</f>
        <v>STEPHEN DELLETT</v>
      </c>
      <c r="F515" s="2" t="s">
        <v>42</v>
      </c>
      <c r="G515" s="2" t="s">
        <v>29</v>
      </c>
      <c r="H515" s="3">
        <v>46023</v>
      </c>
      <c r="I515" s="3">
        <v>46023</v>
      </c>
      <c r="J515" s="2">
        <v>20490188</v>
      </c>
      <c r="K515" s="2" t="s">
        <v>32</v>
      </c>
      <c r="L515" s="2" t="s">
        <v>203</v>
      </c>
      <c r="M515" s="2" t="s">
        <v>34</v>
      </c>
      <c r="N515" s="2">
        <v>-482</v>
      </c>
      <c r="O515" s="2">
        <v>-347</v>
      </c>
      <c r="P515" s="2" t="s">
        <v>748</v>
      </c>
      <c r="Q515" s="2" t="s">
        <v>749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s="4" customFormat="1" x14ac:dyDescent="0.25">
      <c r="A516" s="2" t="s">
        <v>437</v>
      </c>
      <c r="B516" s="2" t="str">
        <f>CONCATENATE(A516,77)</f>
        <v>3R76Y49MD5077</v>
      </c>
      <c r="C516" s="2" t="s">
        <v>982</v>
      </c>
      <c r="D516" s="2" t="s">
        <v>983</v>
      </c>
      <c r="E516" s="2" t="str">
        <f t="shared" si="8"/>
        <v>CELIA LOPEZ</v>
      </c>
      <c r="F516" s="2" t="s">
        <v>42</v>
      </c>
      <c r="G516" s="2" t="s">
        <v>29</v>
      </c>
      <c r="H516" s="3">
        <v>46023</v>
      </c>
      <c r="I516" s="3">
        <v>46023</v>
      </c>
      <c r="J516" s="2">
        <v>7565575</v>
      </c>
      <c r="K516" s="2" t="s">
        <v>32</v>
      </c>
      <c r="L516" s="2" t="s">
        <v>440</v>
      </c>
      <c r="M516" s="2" t="s">
        <v>34</v>
      </c>
      <c r="N516" s="2">
        <v>829</v>
      </c>
      <c r="O516" s="2">
        <v>694</v>
      </c>
      <c r="P516" s="2" t="s">
        <v>753</v>
      </c>
      <c r="Q516" s="2" t="s">
        <v>756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s="4" customFormat="1" x14ac:dyDescent="0.25">
      <c r="A517" s="2" t="s">
        <v>437</v>
      </c>
      <c r="B517" s="2" t="str">
        <f>CONCATENATE(A517,89)</f>
        <v>3R76Y49MD5089</v>
      </c>
      <c r="C517" s="2" t="s">
        <v>982</v>
      </c>
      <c r="D517" s="2" t="s">
        <v>983</v>
      </c>
      <c r="E517" s="2" t="str">
        <f t="shared" si="8"/>
        <v>CELIA LOPEZ</v>
      </c>
      <c r="F517" s="2" t="s">
        <v>42</v>
      </c>
      <c r="G517" s="2" t="s">
        <v>29</v>
      </c>
      <c r="H517" s="3">
        <v>46023</v>
      </c>
      <c r="I517" s="3">
        <v>46023</v>
      </c>
      <c r="J517" s="2">
        <v>7565575</v>
      </c>
      <c r="K517" s="2" t="s">
        <v>32</v>
      </c>
      <c r="L517" s="2" t="s">
        <v>440</v>
      </c>
      <c r="M517" s="2" t="s">
        <v>34</v>
      </c>
      <c r="N517" s="2">
        <v>-482</v>
      </c>
      <c r="O517" s="2">
        <v>-347</v>
      </c>
      <c r="P517" s="2" t="s">
        <v>748</v>
      </c>
      <c r="Q517" s="2" t="s">
        <v>749</v>
      </c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s="4" customFormat="1" x14ac:dyDescent="0.25">
      <c r="A518" s="2" t="s">
        <v>163</v>
      </c>
      <c r="B518" s="2" t="str">
        <f>CONCATENATE(A518,77)</f>
        <v>3Y90H93CG1377</v>
      </c>
      <c r="C518" s="2" t="s">
        <v>930</v>
      </c>
      <c r="D518" s="2" t="s">
        <v>771</v>
      </c>
      <c r="E518" s="2" t="str">
        <f t="shared" si="8"/>
        <v>RANDY CHARLEY</v>
      </c>
      <c r="F518" s="2" t="s">
        <v>98</v>
      </c>
      <c r="G518" s="2" t="s">
        <v>29</v>
      </c>
      <c r="H518" s="3">
        <v>46023</v>
      </c>
      <c r="I518" s="3">
        <v>46023</v>
      </c>
      <c r="J518" s="2">
        <v>18142208</v>
      </c>
      <c r="K518" s="2" t="s">
        <v>32</v>
      </c>
      <c r="L518" s="2" t="s">
        <v>167</v>
      </c>
      <c r="M518" s="2" t="s">
        <v>34</v>
      </c>
      <c r="N518" s="2">
        <v>844</v>
      </c>
      <c r="O518" s="2">
        <v>694</v>
      </c>
      <c r="P518" s="2" t="s">
        <v>753</v>
      </c>
      <c r="Q518" s="2" t="s">
        <v>756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s="4" customFormat="1" x14ac:dyDescent="0.25">
      <c r="A519" s="2" t="s">
        <v>185</v>
      </c>
      <c r="B519" s="2" t="str">
        <f>CONCATENATE(A519,77)</f>
        <v>5QA4VR6EV9477</v>
      </c>
      <c r="C519" s="2" t="s">
        <v>932</v>
      </c>
      <c r="D519" s="2" t="s">
        <v>933</v>
      </c>
      <c r="E519" s="2" t="str">
        <f t="shared" si="8"/>
        <v>JOSEPH COONEY</v>
      </c>
      <c r="F519" s="2" t="s">
        <v>98</v>
      </c>
      <c r="G519" s="2" t="s">
        <v>29</v>
      </c>
      <c r="H519" s="3">
        <v>46023</v>
      </c>
      <c r="I519" s="3">
        <v>46023</v>
      </c>
      <c r="J519" s="2">
        <v>18142208</v>
      </c>
      <c r="K519" s="2" t="s">
        <v>32</v>
      </c>
      <c r="L519" s="2" t="s">
        <v>167</v>
      </c>
      <c r="M519" s="2" t="s">
        <v>34</v>
      </c>
      <c r="N519" s="2">
        <v>844</v>
      </c>
      <c r="O519" s="2">
        <v>694</v>
      </c>
      <c r="P519" s="2" t="s">
        <v>753</v>
      </c>
      <c r="Q519" s="2" t="s">
        <v>756</v>
      </c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s="4" customFormat="1" x14ac:dyDescent="0.25">
      <c r="A520" s="2" t="s">
        <v>210</v>
      </c>
      <c r="B520" s="2" t="str">
        <f>CONCATENATE(A520,77)</f>
        <v>7MW5M47WX8377</v>
      </c>
      <c r="C520" s="2" t="s">
        <v>937</v>
      </c>
      <c r="D520" s="2" t="s">
        <v>821</v>
      </c>
      <c r="E520" s="2" t="str">
        <f t="shared" si="8"/>
        <v>TERRY DEVOS</v>
      </c>
      <c r="F520" s="2" t="s">
        <v>98</v>
      </c>
      <c r="G520" s="2" t="s">
        <v>29</v>
      </c>
      <c r="H520" s="3">
        <v>46023</v>
      </c>
      <c r="I520" s="3">
        <v>46023</v>
      </c>
      <c r="J520" s="2">
        <v>18142208</v>
      </c>
      <c r="K520" s="2" t="s">
        <v>32</v>
      </c>
      <c r="L520" s="2" t="s">
        <v>167</v>
      </c>
      <c r="M520" s="2" t="s">
        <v>34</v>
      </c>
      <c r="N520" s="2">
        <v>844</v>
      </c>
      <c r="O520" s="2">
        <v>694</v>
      </c>
      <c r="P520" s="2" t="s">
        <v>753</v>
      </c>
      <c r="Q520" s="2" t="s">
        <v>756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s="4" customFormat="1" x14ac:dyDescent="0.25">
      <c r="A521" s="2" t="s">
        <v>294</v>
      </c>
      <c r="B521" s="2" t="str">
        <f>CONCATENATE(A521,77)</f>
        <v>8PQ6FG5YX5977</v>
      </c>
      <c r="C521" s="2" t="s">
        <v>939</v>
      </c>
      <c r="D521" s="2" t="s">
        <v>940</v>
      </c>
      <c r="E521" s="2" t="str">
        <f t="shared" si="8"/>
        <v>LYNN GORDON</v>
      </c>
      <c r="F521" s="2" t="s">
        <v>98</v>
      </c>
      <c r="G521" s="2" t="s">
        <v>29</v>
      </c>
      <c r="H521" s="3">
        <v>46023</v>
      </c>
      <c r="I521" s="3">
        <v>46023</v>
      </c>
      <c r="J521" s="2">
        <v>18142208</v>
      </c>
      <c r="K521" s="2" t="s">
        <v>32</v>
      </c>
      <c r="L521" s="2" t="s">
        <v>167</v>
      </c>
      <c r="M521" s="2" t="s">
        <v>34</v>
      </c>
      <c r="N521" s="2">
        <v>844</v>
      </c>
      <c r="O521" s="2">
        <v>694</v>
      </c>
      <c r="P521" s="2" t="s">
        <v>753</v>
      </c>
      <c r="Q521" s="2" t="s">
        <v>756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s="4" customFormat="1" x14ac:dyDescent="0.25">
      <c r="A522" s="2" t="s">
        <v>297</v>
      </c>
      <c r="B522" s="2" t="str">
        <f>CONCATENATE(A522,77)</f>
        <v>1V81VD7XX2577</v>
      </c>
      <c r="C522" s="2" t="s">
        <v>941</v>
      </c>
      <c r="D522" s="2" t="s">
        <v>940</v>
      </c>
      <c r="E522" s="2" t="str">
        <f t="shared" si="8"/>
        <v>LYNN GRONOWSKI</v>
      </c>
      <c r="F522" s="2" t="s">
        <v>98</v>
      </c>
      <c r="G522" s="2" t="s">
        <v>29</v>
      </c>
      <c r="H522" s="3">
        <v>46023</v>
      </c>
      <c r="I522" s="3">
        <v>46023</v>
      </c>
      <c r="J522" s="2">
        <v>18142208</v>
      </c>
      <c r="K522" s="2" t="s">
        <v>32</v>
      </c>
      <c r="L522" s="2" t="s">
        <v>167</v>
      </c>
      <c r="M522" s="2" t="s">
        <v>34</v>
      </c>
      <c r="N522" s="2">
        <v>844</v>
      </c>
      <c r="O522" s="2">
        <v>694</v>
      </c>
      <c r="P522" s="2" t="s">
        <v>753</v>
      </c>
      <c r="Q522" s="2" t="s">
        <v>756</v>
      </c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s="4" customFormat="1" x14ac:dyDescent="0.25">
      <c r="A523" s="2" t="s">
        <v>300</v>
      </c>
      <c r="B523" s="2" t="str">
        <f>CONCATENATE(A523,77)</f>
        <v>7T32D81CE1577</v>
      </c>
      <c r="C523" s="2" t="s">
        <v>941</v>
      </c>
      <c r="D523" s="2" t="s">
        <v>942</v>
      </c>
      <c r="E523" s="2" t="str">
        <f t="shared" si="8"/>
        <v>GERARD GRONOWSKI</v>
      </c>
      <c r="F523" s="2" t="s">
        <v>98</v>
      </c>
      <c r="G523" s="2" t="s">
        <v>29</v>
      </c>
      <c r="H523" s="3">
        <v>46023</v>
      </c>
      <c r="I523" s="3">
        <v>46023</v>
      </c>
      <c r="J523" s="2">
        <v>18142208</v>
      </c>
      <c r="K523" s="2" t="s">
        <v>32</v>
      </c>
      <c r="L523" s="2" t="s">
        <v>167</v>
      </c>
      <c r="M523" s="2" t="s">
        <v>34</v>
      </c>
      <c r="N523" s="2">
        <v>844</v>
      </c>
      <c r="O523" s="2">
        <v>694</v>
      </c>
      <c r="P523" s="2" t="s">
        <v>753</v>
      </c>
      <c r="Q523" s="2" t="s">
        <v>756</v>
      </c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s="4" customFormat="1" x14ac:dyDescent="0.25">
      <c r="A524" s="2" t="s">
        <v>368</v>
      </c>
      <c r="B524" s="2" t="str">
        <f>CONCATENATE(A524,77)</f>
        <v>6U15EP6CV7677</v>
      </c>
      <c r="C524" s="2" t="s">
        <v>951</v>
      </c>
      <c r="D524" s="2" t="s">
        <v>952</v>
      </c>
      <c r="E524" s="2" t="str">
        <f t="shared" si="8"/>
        <v>LISA HOLLEY</v>
      </c>
      <c r="F524" s="2" t="s">
        <v>98</v>
      </c>
      <c r="G524" s="2" t="s">
        <v>29</v>
      </c>
      <c r="H524" s="3">
        <v>46023</v>
      </c>
      <c r="I524" s="3">
        <v>46023</v>
      </c>
      <c r="J524" s="2">
        <v>18142208</v>
      </c>
      <c r="K524" s="2" t="s">
        <v>32</v>
      </c>
      <c r="L524" s="2" t="s">
        <v>167</v>
      </c>
      <c r="M524" s="2" t="s">
        <v>34</v>
      </c>
      <c r="N524" s="2">
        <v>844</v>
      </c>
      <c r="O524" s="2">
        <v>694</v>
      </c>
      <c r="P524" s="2" t="s">
        <v>753</v>
      </c>
      <c r="Q524" s="2" t="s">
        <v>756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s="4" customFormat="1" x14ac:dyDescent="0.25">
      <c r="A525" s="2" t="s">
        <v>399</v>
      </c>
      <c r="B525" s="2" t="str">
        <f>CONCATENATE(A525,77)</f>
        <v>7W63N60FK7377</v>
      </c>
      <c r="C525" s="2" t="s">
        <v>956</v>
      </c>
      <c r="D525" s="2" t="s">
        <v>957</v>
      </c>
      <c r="E525" s="2" t="str">
        <f t="shared" si="8"/>
        <v>MICHELE KINSEY</v>
      </c>
      <c r="F525" s="2" t="s">
        <v>98</v>
      </c>
      <c r="G525" s="2" t="s">
        <v>29</v>
      </c>
      <c r="H525" s="3">
        <v>46023</v>
      </c>
      <c r="I525" s="3">
        <v>46023</v>
      </c>
      <c r="J525" s="2">
        <v>18142208</v>
      </c>
      <c r="K525" s="2" t="s">
        <v>32</v>
      </c>
      <c r="L525" s="2" t="s">
        <v>167</v>
      </c>
      <c r="M525" s="2" t="s">
        <v>34</v>
      </c>
      <c r="N525" s="2">
        <v>844</v>
      </c>
      <c r="O525" s="2">
        <v>694</v>
      </c>
      <c r="P525" s="2" t="s">
        <v>753</v>
      </c>
      <c r="Q525" s="2" t="s">
        <v>756</v>
      </c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s="4" customFormat="1" x14ac:dyDescent="0.25">
      <c r="A526" s="2" t="s">
        <v>541</v>
      </c>
      <c r="B526" s="2" t="str">
        <f>CONCATENATE(A526,77)</f>
        <v>2KR3HN5MQ0477</v>
      </c>
      <c r="C526" s="2" t="s">
        <v>963</v>
      </c>
      <c r="D526" s="2" t="s">
        <v>964</v>
      </c>
      <c r="E526" s="2" t="str">
        <f t="shared" si="8"/>
        <v>JERRY NORRIS</v>
      </c>
      <c r="F526" s="2" t="s">
        <v>98</v>
      </c>
      <c r="G526" s="2" t="s">
        <v>29</v>
      </c>
      <c r="H526" s="3">
        <v>46023</v>
      </c>
      <c r="I526" s="3">
        <v>46023</v>
      </c>
      <c r="J526" s="2">
        <v>18142208</v>
      </c>
      <c r="K526" s="2" t="s">
        <v>32</v>
      </c>
      <c r="L526" s="2" t="s">
        <v>167</v>
      </c>
      <c r="M526" s="2" t="s">
        <v>34</v>
      </c>
      <c r="N526" s="2">
        <v>844</v>
      </c>
      <c r="O526" s="2">
        <v>694</v>
      </c>
      <c r="P526" s="2" t="s">
        <v>753</v>
      </c>
      <c r="Q526" s="2" t="s">
        <v>756</v>
      </c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s="4" customFormat="1" x14ac:dyDescent="0.25">
      <c r="A527" s="2" t="s">
        <v>163</v>
      </c>
      <c r="B527" s="2" t="str">
        <f>CONCATENATE(A527,89)</f>
        <v>3Y90H93CG1389</v>
      </c>
      <c r="C527" s="2" t="s">
        <v>930</v>
      </c>
      <c r="D527" s="2" t="s">
        <v>771</v>
      </c>
      <c r="E527" s="2" t="str">
        <f t="shared" si="8"/>
        <v>RANDY CHARLEY</v>
      </c>
      <c r="F527" s="2" t="s">
        <v>98</v>
      </c>
      <c r="G527" s="2" t="s">
        <v>29</v>
      </c>
      <c r="H527" s="3">
        <v>46023</v>
      </c>
      <c r="I527" s="3">
        <v>46023</v>
      </c>
      <c r="J527" s="2">
        <v>18142208</v>
      </c>
      <c r="K527" s="2" t="s">
        <v>32</v>
      </c>
      <c r="L527" s="2" t="s">
        <v>167</v>
      </c>
      <c r="M527" s="2" t="s">
        <v>34</v>
      </c>
      <c r="N527" s="2">
        <v>-497</v>
      </c>
      <c r="O527" s="2">
        <v>-347</v>
      </c>
      <c r="P527" s="2" t="s">
        <v>748</v>
      </c>
      <c r="Q527" s="2" t="s">
        <v>749</v>
      </c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s="4" customFormat="1" x14ac:dyDescent="0.25">
      <c r="A528" s="2" t="s">
        <v>185</v>
      </c>
      <c r="B528" s="2" t="str">
        <f>CONCATENATE(A528,89)</f>
        <v>5QA4VR6EV9489</v>
      </c>
      <c r="C528" s="2" t="s">
        <v>932</v>
      </c>
      <c r="D528" s="2" t="s">
        <v>933</v>
      </c>
      <c r="E528" s="2" t="str">
        <f t="shared" si="8"/>
        <v>JOSEPH COONEY</v>
      </c>
      <c r="F528" s="2" t="s">
        <v>98</v>
      </c>
      <c r="G528" s="2" t="s">
        <v>29</v>
      </c>
      <c r="H528" s="3">
        <v>46023</v>
      </c>
      <c r="I528" s="3">
        <v>46023</v>
      </c>
      <c r="J528" s="2">
        <v>18142208</v>
      </c>
      <c r="K528" s="2" t="s">
        <v>32</v>
      </c>
      <c r="L528" s="2" t="s">
        <v>167</v>
      </c>
      <c r="M528" s="2" t="s">
        <v>34</v>
      </c>
      <c r="N528" s="2">
        <v>-497</v>
      </c>
      <c r="O528" s="2">
        <v>-347</v>
      </c>
      <c r="P528" s="2" t="s">
        <v>748</v>
      </c>
      <c r="Q528" s="2" t="s">
        <v>749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s="4" customFormat="1" x14ac:dyDescent="0.25">
      <c r="A529" s="2" t="s">
        <v>210</v>
      </c>
      <c r="B529" s="2" t="str">
        <f>CONCATENATE(A529,89)</f>
        <v>7MW5M47WX8389</v>
      </c>
      <c r="C529" s="2" t="s">
        <v>937</v>
      </c>
      <c r="D529" s="2" t="s">
        <v>821</v>
      </c>
      <c r="E529" s="2" t="str">
        <f t="shared" si="8"/>
        <v>TERRY DEVOS</v>
      </c>
      <c r="F529" s="2" t="s">
        <v>98</v>
      </c>
      <c r="G529" s="2" t="s">
        <v>29</v>
      </c>
      <c r="H529" s="3">
        <v>46023</v>
      </c>
      <c r="I529" s="3">
        <v>46023</v>
      </c>
      <c r="J529" s="2">
        <v>18142208</v>
      </c>
      <c r="K529" s="2" t="s">
        <v>32</v>
      </c>
      <c r="L529" s="2" t="s">
        <v>167</v>
      </c>
      <c r="M529" s="2" t="s">
        <v>34</v>
      </c>
      <c r="N529" s="2">
        <v>-497</v>
      </c>
      <c r="O529" s="2">
        <v>-347</v>
      </c>
      <c r="P529" s="2" t="s">
        <v>748</v>
      </c>
      <c r="Q529" s="2" t="s">
        <v>749</v>
      </c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s="4" customFormat="1" x14ac:dyDescent="0.25">
      <c r="A530" s="2" t="s">
        <v>294</v>
      </c>
      <c r="B530" s="2" t="str">
        <f>CONCATENATE(A530,89)</f>
        <v>8PQ6FG5YX5989</v>
      </c>
      <c r="C530" s="2" t="s">
        <v>939</v>
      </c>
      <c r="D530" s="2" t="s">
        <v>940</v>
      </c>
      <c r="E530" s="2" t="str">
        <f t="shared" si="8"/>
        <v>LYNN GORDON</v>
      </c>
      <c r="F530" s="2" t="s">
        <v>98</v>
      </c>
      <c r="G530" s="2" t="s">
        <v>29</v>
      </c>
      <c r="H530" s="3">
        <v>46023</v>
      </c>
      <c r="I530" s="3">
        <v>46023</v>
      </c>
      <c r="J530" s="2">
        <v>18142208</v>
      </c>
      <c r="K530" s="2" t="s">
        <v>32</v>
      </c>
      <c r="L530" s="2" t="s">
        <v>167</v>
      </c>
      <c r="M530" s="2" t="s">
        <v>34</v>
      </c>
      <c r="N530" s="2">
        <v>-497</v>
      </c>
      <c r="O530" s="2">
        <v>-347</v>
      </c>
      <c r="P530" s="2" t="s">
        <v>748</v>
      </c>
      <c r="Q530" s="2" t="s">
        <v>749</v>
      </c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s="4" customFormat="1" x14ac:dyDescent="0.25">
      <c r="A531" s="2" t="s">
        <v>297</v>
      </c>
      <c r="B531" s="2" t="str">
        <f>CONCATENATE(A531,89)</f>
        <v>1V81VD7XX2589</v>
      </c>
      <c r="C531" s="2" t="s">
        <v>941</v>
      </c>
      <c r="D531" s="2" t="s">
        <v>940</v>
      </c>
      <c r="E531" s="2" t="str">
        <f t="shared" si="8"/>
        <v>LYNN GRONOWSKI</v>
      </c>
      <c r="F531" s="2" t="s">
        <v>98</v>
      </c>
      <c r="G531" s="2" t="s">
        <v>29</v>
      </c>
      <c r="H531" s="3">
        <v>46023</v>
      </c>
      <c r="I531" s="3">
        <v>46023</v>
      </c>
      <c r="J531" s="2">
        <v>18142208</v>
      </c>
      <c r="K531" s="2" t="s">
        <v>32</v>
      </c>
      <c r="L531" s="2" t="s">
        <v>167</v>
      </c>
      <c r="M531" s="2" t="s">
        <v>34</v>
      </c>
      <c r="N531" s="2">
        <v>-497</v>
      </c>
      <c r="O531" s="2">
        <v>-347</v>
      </c>
      <c r="P531" s="2" t="s">
        <v>748</v>
      </c>
      <c r="Q531" s="2" t="s">
        <v>749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s="4" customFormat="1" x14ac:dyDescent="0.25">
      <c r="A532" s="2" t="s">
        <v>300</v>
      </c>
      <c r="B532" s="2" t="str">
        <f>CONCATENATE(A532,89)</f>
        <v>7T32D81CE1589</v>
      </c>
      <c r="C532" s="2" t="s">
        <v>941</v>
      </c>
      <c r="D532" s="2" t="s">
        <v>942</v>
      </c>
      <c r="E532" s="2" t="str">
        <f t="shared" si="8"/>
        <v>GERARD GRONOWSKI</v>
      </c>
      <c r="F532" s="2" t="s">
        <v>98</v>
      </c>
      <c r="G532" s="2" t="s">
        <v>29</v>
      </c>
      <c r="H532" s="3">
        <v>46023</v>
      </c>
      <c r="I532" s="3">
        <v>46023</v>
      </c>
      <c r="J532" s="2">
        <v>18142208</v>
      </c>
      <c r="K532" s="2" t="s">
        <v>32</v>
      </c>
      <c r="L532" s="2" t="s">
        <v>167</v>
      </c>
      <c r="M532" s="2" t="s">
        <v>34</v>
      </c>
      <c r="N532" s="2">
        <v>-497</v>
      </c>
      <c r="O532" s="2">
        <v>-347</v>
      </c>
      <c r="P532" s="2" t="s">
        <v>748</v>
      </c>
      <c r="Q532" s="2" t="s">
        <v>749</v>
      </c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s="4" customFormat="1" x14ac:dyDescent="0.25">
      <c r="A533" s="2" t="s">
        <v>368</v>
      </c>
      <c r="B533" s="2" t="str">
        <f>CONCATENATE(A533,89)</f>
        <v>6U15EP6CV7689</v>
      </c>
      <c r="C533" s="2" t="s">
        <v>951</v>
      </c>
      <c r="D533" s="2" t="s">
        <v>952</v>
      </c>
      <c r="E533" s="2" t="str">
        <f t="shared" si="8"/>
        <v>LISA HOLLEY</v>
      </c>
      <c r="F533" s="2" t="s">
        <v>98</v>
      </c>
      <c r="G533" s="2" t="s">
        <v>29</v>
      </c>
      <c r="H533" s="3">
        <v>46023</v>
      </c>
      <c r="I533" s="3">
        <v>46023</v>
      </c>
      <c r="J533" s="2">
        <v>18142208</v>
      </c>
      <c r="K533" s="2" t="s">
        <v>32</v>
      </c>
      <c r="L533" s="2" t="s">
        <v>167</v>
      </c>
      <c r="M533" s="2" t="s">
        <v>34</v>
      </c>
      <c r="N533" s="2">
        <v>-497</v>
      </c>
      <c r="O533" s="2">
        <v>-347</v>
      </c>
      <c r="P533" s="2" t="s">
        <v>748</v>
      </c>
      <c r="Q533" s="2" t="s">
        <v>749</v>
      </c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s="4" customFormat="1" x14ac:dyDescent="0.25">
      <c r="A534" s="2" t="s">
        <v>399</v>
      </c>
      <c r="B534" s="2" t="str">
        <f>CONCATENATE(A534,89)</f>
        <v>7W63N60FK7389</v>
      </c>
      <c r="C534" s="2" t="s">
        <v>956</v>
      </c>
      <c r="D534" s="2" t="s">
        <v>957</v>
      </c>
      <c r="E534" s="2" t="str">
        <f t="shared" si="8"/>
        <v>MICHELE KINSEY</v>
      </c>
      <c r="F534" s="2" t="s">
        <v>98</v>
      </c>
      <c r="G534" s="2" t="s">
        <v>29</v>
      </c>
      <c r="H534" s="3">
        <v>46023</v>
      </c>
      <c r="I534" s="3">
        <v>46023</v>
      </c>
      <c r="J534" s="2">
        <v>18142208</v>
      </c>
      <c r="K534" s="2" t="s">
        <v>32</v>
      </c>
      <c r="L534" s="2" t="s">
        <v>167</v>
      </c>
      <c r="M534" s="2" t="s">
        <v>34</v>
      </c>
      <c r="N534" s="2">
        <v>-497</v>
      </c>
      <c r="O534" s="2">
        <v>-347</v>
      </c>
      <c r="P534" s="2" t="s">
        <v>748</v>
      </c>
      <c r="Q534" s="2" t="s">
        <v>749</v>
      </c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s="4" customFormat="1" x14ac:dyDescent="0.25">
      <c r="A535" s="2" t="s">
        <v>541</v>
      </c>
      <c r="B535" s="2" t="str">
        <f>CONCATENATE(A535,89)</f>
        <v>2KR3HN5MQ0489</v>
      </c>
      <c r="C535" s="2" t="s">
        <v>963</v>
      </c>
      <c r="D535" s="2" t="s">
        <v>964</v>
      </c>
      <c r="E535" s="2" t="str">
        <f t="shared" si="8"/>
        <v>JERRY NORRIS</v>
      </c>
      <c r="F535" s="2" t="s">
        <v>98</v>
      </c>
      <c r="G535" s="2" t="s">
        <v>29</v>
      </c>
      <c r="H535" s="3">
        <v>46023</v>
      </c>
      <c r="I535" s="3">
        <v>46023</v>
      </c>
      <c r="J535" s="2">
        <v>18142208</v>
      </c>
      <c r="K535" s="2" t="s">
        <v>32</v>
      </c>
      <c r="L535" s="2" t="s">
        <v>167</v>
      </c>
      <c r="M535" s="2" t="s">
        <v>34</v>
      </c>
      <c r="N535" s="2">
        <v>-497</v>
      </c>
      <c r="O535" s="2">
        <v>-347</v>
      </c>
      <c r="P535" s="2" t="s">
        <v>748</v>
      </c>
      <c r="Q535" s="2" t="s">
        <v>749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s="4" customFormat="1" x14ac:dyDescent="0.25">
      <c r="A536" s="2" t="s">
        <v>701</v>
      </c>
      <c r="B536" s="2" t="str">
        <f>CONCATENATE(A536,77)</f>
        <v>1TE8UE0EV5777</v>
      </c>
      <c r="C536" s="2" t="s">
        <v>989</v>
      </c>
      <c r="D536" s="2" t="s">
        <v>990</v>
      </c>
      <c r="E536" s="2" t="str">
        <f t="shared" si="8"/>
        <v>LINDA WHITLEY</v>
      </c>
      <c r="F536" s="2" t="s">
        <v>42</v>
      </c>
      <c r="G536" s="2" t="s">
        <v>29</v>
      </c>
      <c r="H536" s="3">
        <v>46023</v>
      </c>
      <c r="I536" s="3">
        <v>46023</v>
      </c>
      <c r="J536" s="2">
        <v>8812322</v>
      </c>
      <c r="K536" s="2" t="s">
        <v>32</v>
      </c>
      <c r="L536" s="2" t="s">
        <v>132</v>
      </c>
      <c r="M536" s="2" t="s">
        <v>34</v>
      </c>
      <c r="N536" s="2">
        <v>829</v>
      </c>
      <c r="O536" s="2">
        <v>694</v>
      </c>
      <c r="P536" s="2" t="s">
        <v>753</v>
      </c>
      <c r="Q536" s="2" t="s">
        <v>756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s="4" customFormat="1" x14ac:dyDescent="0.25">
      <c r="A537" s="2" t="s">
        <v>129</v>
      </c>
      <c r="B537" s="2" t="str">
        <f>CONCATENATE(A537,77)</f>
        <v>5U48M65KP6477</v>
      </c>
      <c r="C537" s="2" t="s">
        <v>923</v>
      </c>
      <c r="D537" s="2" t="s">
        <v>924</v>
      </c>
      <c r="E537" s="2" t="str">
        <f t="shared" si="8"/>
        <v>FRANKLIN BYERS</v>
      </c>
      <c r="F537" s="2" t="s">
        <v>42</v>
      </c>
      <c r="G537" s="2" t="s">
        <v>29</v>
      </c>
      <c r="H537" s="3">
        <v>46023</v>
      </c>
      <c r="I537" s="3">
        <v>46023</v>
      </c>
      <c r="J537" s="2">
        <v>8812322</v>
      </c>
      <c r="K537" s="2" t="s">
        <v>32</v>
      </c>
      <c r="L537" s="2" t="s">
        <v>132</v>
      </c>
      <c r="M537" s="2" t="s">
        <v>34</v>
      </c>
      <c r="N537" s="2">
        <v>844</v>
      </c>
      <c r="O537" s="2">
        <v>694</v>
      </c>
      <c r="P537" s="2" t="s">
        <v>753</v>
      </c>
      <c r="Q537" s="2" t="s">
        <v>756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s="4" customFormat="1" x14ac:dyDescent="0.25">
      <c r="A538" s="2" t="s">
        <v>140</v>
      </c>
      <c r="B538" s="2" t="str">
        <f>CONCATENATE(A538,77)</f>
        <v>7U82DU1AM9677</v>
      </c>
      <c r="C538" s="2" t="s">
        <v>925</v>
      </c>
      <c r="D538" s="2" t="s">
        <v>773</v>
      </c>
      <c r="E538" s="2" t="str">
        <f t="shared" si="8"/>
        <v>CINDY CALHOUN</v>
      </c>
      <c r="F538" s="2" t="s">
        <v>42</v>
      </c>
      <c r="G538" s="2" t="s">
        <v>29</v>
      </c>
      <c r="H538" s="3">
        <v>46023</v>
      </c>
      <c r="I538" s="3">
        <v>46023</v>
      </c>
      <c r="J538" s="2">
        <v>8812322</v>
      </c>
      <c r="K538" s="2" t="s">
        <v>32</v>
      </c>
      <c r="L538" s="2" t="s">
        <v>132</v>
      </c>
      <c r="M538" s="2" t="s">
        <v>34</v>
      </c>
      <c r="N538" s="2">
        <v>844</v>
      </c>
      <c r="O538" s="2">
        <v>694</v>
      </c>
      <c r="P538" s="2" t="s">
        <v>753</v>
      </c>
      <c r="Q538" s="2" t="s">
        <v>756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s="4" customFormat="1" x14ac:dyDescent="0.25">
      <c r="A539" s="2" t="s">
        <v>144</v>
      </c>
      <c r="B539" s="2" t="str">
        <f>CONCATENATE(A539,77)</f>
        <v>3K46CA4AD5577</v>
      </c>
      <c r="C539" s="2" t="s">
        <v>925</v>
      </c>
      <c r="D539" s="2" t="s">
        <v>852</v>
      </c>
      <c r="E539" s="2" t="str">
        <f t="shared" si="8"/>
        <v>LARRY CALHOUN</v>
      </c>
      <c r="F539" s="2" t="s">
        <v>42</v>
      </c>
      <c r="G539" s="2" t="s">
        <v>29</v>
      </c>
      <c r="H539" s="3">
        <v>46023</v>
      </c>
      <c r="I539" s="3">
        <v>46023</v>
      </c>
      <c r="J539" s="2">
        <v>8812322</v>
      </c>
      <c r="K539" s="2" t="s">
        <v>32</v>
      </c>
      <c r="L539" s="2" t="s">
        <v>132</v>
      </c>
      <c r="M539" s="2" t="s">
        <v>34</v>
      </c>
      <c r="N539" s="2">
        <v>844</v>
      </c>
      <c r="O539" s="2">
        <v>694</v>
      </c>
      <c r="P539" s="2" t="s">
        <v>753</v>
      </c>
      <c r="Q539" s="2" t="s">
        <v>756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s="4" customFormat="1" x14ac:dyDescent="0.25">
      <c r="A540" s="2" t="s">
        <v>303</v>
      </c>
      <c r="B540" s="2" t="str">
        <f>CONCATENATE(A540,77)</f>
        <v>5VG9M06GM4377</v>
      </c>
      <c r="C540" s="2" t="s">
        <v>995</v>
      </c>
      <c r="D540" s="2" t="s">
        <v>996</v>
      </c>
      <c r="E540" s="2" t="str">
        <f t="shared" si="8"/>
        <v>RAMONA HARRISON</v>
      </c>
      <c r="F540" s="2" t="s">
        <v>42</v>
      </c>
      <c r="G540" s="2" t="s">
        <v>29</v>
      </c>
      <c r="H540" s="3">
        <v>46054</v>
      </c>
      <c r="I540" s="3">
        <v>46054</v>
      </c>
      <c r="J540" s="2">
        <v>8812322</v>
      </c>
      <c r="K540" s="2" t="s">
        <v>32</v>
      </c>
      <c r="L540" s="2" t="s">
        <v>132</v>
      </c>
      <c r="M540" s="2" t="s">
        <v>34</v>
      </c>
      <c r="N540" s="2">
        <v>844</v>
      </c>
      <c r="O540" s="2">
        <v>694</v>
      </c>
      <c r="P540" s="2" t="s">
        <v>753</v>
      </c>
      <c r="Q540" s="2" t="s">
        <v>756</v>
      </c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s="4" customFormat="1" x14ac:dyDescent="0.25">
      <c r="A541" s="2" t="s">
        <v>341</v>
      </c>
      <c r="B541" s="2" t="str">
        <f>CONCATENATE(A541,77)</f>
        <v>8AF7VG9AP6477</v>
      </c>
      <c r="C541" s="2" t="s">
        <v>947</v>
      </c>
      <c r="D541" s="2" t="s">
        <v>948</v>
      </c>
      <c r="E541" s="2" t="str">
        <f t="shared" si="8"/>
        <v>BEVERLY HIERMEIER</v>
      </c>
      <c r="F541" s="2" t="s">
        <v>42</v>
      </c>
      <c r="G541" s="2" t="s">
        <v>29</v>
      </c>
      <c r="H541" s="3">
        <v>46023</v>
      </c>
      <c r="I541" s="3">
        <v>46023</v>
      </c>
      <c r="J541" s="2">
        <v>8812322</v>
      </c>
      <c r="K541" s="2" t="s">
        <v>32</v>
      </c>
      <c r="L541" s="2" t="s">
        <v>132</v>
      </c>
      <c r="M541" s="2" t="s">
        <v>34</v>
      </c>
      <c r="N541" s="2">
        <v>844</v>
      </c>
      <c r="O541" s="2">
        <v>694</v>
      </c>
      <c r="P541" s="2" t="s">
        <v>753</v>
      </c>
      <c r="Q541" s="2" t="s">
        <v>756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s="4" customFormat="1" x14ac:dyDescent="0.25">
      <c r="A542" s="2" t="s">
        <v>344</v>
      </c>
      <c r="B542" s="2" t="str">
        <f>CONCATENATE(A542,77)</f>
        <v>9G48E16DN6377</v>
      </c>
      <c r="C542" s="2" t="s">
        <v>949</v>
      </c>
      <c r="D542" s="2" t="s">
        <v>864</v>
      </c>
      <c r="E542" s="2" t="str">
        <f t="shared" si="8"/>
        <v>BARBARA HILL</v>
      </c>
      <c r="F542" s="2" t="s">
        <v>42</v>
      </c>
      <c r="G542" s="2" t="s">
        <v>29</v>
      </c>
      <c r="H542" s="3">
        <v>46023</v>
      </c>
      <c r="I542" s="3">
        <v>46023</v>
      </c>
      <c r="J542" s="2">
        <v>8812322</v>
      </c>
      <c r="K542" s="2" t="s">
        <v>32</v>
      </c>
      <c r="L542" s="2" t="s">
        <v>132</v>
      </c>
      <c r="M542" s="2" t="s">
        <v>34</v>
      </c>
      <c r="N542" s="2">
        <v>844</v>
      </c>
      <c r="O542" s="2">
        <v>694</v>
      </c>
      <c r="P542" s="2" t="s">
        <v>753</v>
      </c>
      <c r="Q542" s="2" t="s">
        <v>756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s="4" customFormat="1" x14ac:dyDescent="0.25">
      <c r="A543" s="2" t="s">
        <v>347</v>
      </c>
      <c r="B543" s="2" t="str">
        <f>CONCATENATE(A543,77)</f>
        <v>8QG2AG6WT8877</v>
      </c>
      <c r="C543" s="2" t="s">
        <v>949</v>
      </c>
      <c r="D543" s="2" t="s">
        <v>950</v>
      </c>
      <c r="E543" s="2" t="str">
        <f t="shared" si="8"/>
        <v>WILLIAM HILL</v>
      </c>
      <c r="F543" s="2" t="s">
        <v>42</v>
      </c>
      <c r="G543" s="2" t="s">
        <v>29</v>
      </c>
      <c r="H543" s="3">
        <v>46023</v>
      </c>
      <c r="I543" s="3">
        <v>46023</v>
      </c>
      <c r="J543" s="2">
        <v>8812322</v>
      </c>
      <c r="K543" s="2" t="s">
        <v>32</v>
      </c>
      <c r="L543" s="2" t="s">
        <v>132</v>
      </c>
      <c r="M543" s="2" t="s">
        <v>34</v>
      </c>
      <c r="N543" s="2">
        <v>844</v>
      </c>
      <c r="O543" s="2">
        <v>694</v>
      </c>
      <c r="P543" s="2" t="s">
        <v>753</v>
      </c>
      <c r="Q543" s="2" t="s">
        <v>756</v>
      </c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s="4" customFormat="1" x14ac:dyDescent="0.25">
      <c r="A544" s="2" t="s">
        <v>379</v>
      </c>
      <c r="B544" s="2" t="str">
        <f>CONCATENATE(A544,77)</f>
        <v>9G87Q80MQ4977</v>
      </c>
      <c r="C544" s="2" t="s">
        <v>997</v>
      </c>
      <c r="D544" s="2" t="s">
        <v>998</v>
      </c>
      <c r="E544" s="2" t="str">
        <f t="shared" si="8"/>
        <v>SANDRA JOHNSTON</v>
      </c>
      <c r="F544" s="2" t="s">
        <v>42</v>
      </c>
      <c r="G544" s="2" t="s">
        <v>29</v>
      </c>
      <c r="H544" s="3">
        <v>46054</v>
      </c>
      <c r="I544" s="3">
        <v>46054</v>
      </c>
      <c r="J544" s="2">
        <v>8812322</v>
      </c>
      <c r="K544" s="2" t="s">
        <v>32</v>
      </c>
      <c r="L544" s="2" t="s">
        <v>132</v>
      </c>
      <c r="M544" s="2" t="s">
        <v>34</v>
      </c>
      <c r="N544" s="2">
        <v>844</v>
      </c>
      <c r="O544" s="2">
        <v>694</v>
      </c>
      <c r="P544" s="2" t="s">
        <v>753</v>
      </c>
      <c r="Q544" s="2" t="s">
        <v>756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s="4" customFormat="1" x14ac:dyDescent="0.25">
      <c r="A545" s="2" t="s">
        <v>585</v>
      </c>
      <c r="B545" s="2" t="str">
        <f>CONCATENATE(A545,77)</f>
        <v>9KK2GC4QN8777</v>
      </c>
      <c r="C545" s="2" t="s">
        <v>966</v>
      </c>
      <c r="D545" s="2" t="s">
        <v>816</v>
      </c>
      <c r="E545" s="2" t="str">
        <f t="shared" si="8"/>
        <v>JEFFREY RASOR</v>
      </c>
      <c r="F545" s="2" t="s">
        <v>42</v>
      </c>
      <c r="G545" s="2" t="s">
        <v>29</v>
      </c>
      <c r="H545" s="3">
        <v>46023</v>
      </c>
      <c r="I545" s="3">
        <v>46023</v>
      </c>
      <c r="J545" s="2">
        <v>8812322</v>
      </c>
      <c r="K545" s="2" t="s">
        <v>32</v>
      </c>
      <c r="L545" s="2" t="s">
        <v>132</v>
      </c>
      <c r="M545" s="2" t="s">
        <v>34</v>
      </c>
      <c r="N545" s="2">
        <v>844</v>
      </c>
      <c r="O545" s="2">
        <v>694</v>
      </c>
      <c r="P545" s="2" t="s">
        <v>753</v>
      </c>
      <c r="Q545" s="2" t="s">
        <v>756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s="4" customFormat="1" x14ac:dyDescent="0.25">
      <c r="A546" s="2" t="s">
        <v>589</v>
      </c>
      <c r="B546" s="2" t="str">
        <f>CONCATENATE(A546,77)</f>
        <v>8KX0KH6PM2677</v>
      </c>
      <c r="C546" s="2" t="s">
        <v>966</v>
      </c>
      <c r="D546" s="2" t="s">
        <v>890</v>
      </c>
      <c r="E546" s="2" t="str">
        <f t="shared" si="8"/>
        <v>KATHY RASOR</v>
      </c>
      <c r="F546" s="2" t="s">
        <v>42</v>
      </c>
      <c r="G546" s="2" t="s">
        <v>29</v>
      </c>
      <c r="H546" s="3">
        <v>46023</v>
      </c>
      <c r="I546" s="3">
        <v>46023</v>
      </c>
      <c r="J546" s="2">
        <v>8812322</v>
      </c>
      <c r="K546" s="2" t="s">
        <v>32</v>
      </c>
      <c r="L546" s="2" t="s">
        <v>132</v>
      </c>
      <c r="M546" s="2" t="s">
        <v>34</v>
      </c>
      <c r="N546" s="2">
        <v>844</v>
      </c>
      <c r="O546" s="2">
        <v>694</v>
      </c>
      <c r="P546" s="2" t="s">
        <v>753</v>
      </c>
      <c r="Q546" s="2" t="s">
        <v>756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s="4" customFormat="1" x14ac:dyDescent="0.25">
      <c r="A547" s="2" t="s">
        <v>730</v>
      </c>
      <c r="B547" s="2" t="str">
        <f>CONCATENATE(A547,77)</f>
        <v>1ME5YG2HC6377</v>
      </c>
      <c r="C547" s="2" t="s">
        <v>972</v>
      </c>
      <c r="D547" s="2" t="s">
        <v>973</v>
      </c>
      <c r="E547" s="2" t="str">
        <f t="shared" si="8"/>
        <v>MATTHEW YEAKEL</v>
      </c>
      <c r="F547" s="2" t="s">
        <v>42</v>
      </c>
      <c r="G547" s="2" t="s">
        <v>29</v>
      </c>
      <c r="H547" s="3">
        <v>46023</v>
      </c>
      <c r="I547" s="3">
        <v>46023</v>
      </c>
      <c r="J547" s="2">
        <v>8812322</v>
      </c>
      <c r="K547" s="2" t="s">
        <v>32</v>
      </c>
      <c r="L547" s="2" t="s">
        <v>132</v>
      </c>
      <c r="M547" s="2" t="s">
        <v>34</v>
      </c>
      <c r="N547" s="2">
        <v>844</v>
      </c>
      <c r="O547" s="2">
        <v>694</v>
      </c>
      <c r="P547" s="2" t="s">
        <v>753</v>
      </c>
      <c r="Q547" s="2" t="s">
        <v>756</v>
      </c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s="4" customFormat="1" x14ac:dyDescent="0.25">
      <c r="A548" s="2" t="s">
        <v>129</v>
      </c>
      <c r="B548" s="2" t="str">
        <f>CONCATENATE(A548,89)</f>
        <v>5U48M65KP6489</v>
      </c>
      <c r="C548" s="2" t="s">
        <v>923</v>
      </c>
      <c r="D548" s="2" t="s">
        <v>924</v>
      </c>
      <c r="E548" s="2" t="str">
        <f t="shared" si="8"/>
        <v>FRANKLIN BYERS</v>
      </c>
      <c r="F548" s="2" t="s">
        <v>42</v>
      </c>
      <c r="G548" s="2" t="s">
        <v>29</v>
      </c>
      <c r="H548" s="3">
        <v>46023</v>
      </c>
      <c r="I548" s="3">
        <v>46023</v>
      </c>
      <c r="J548" s="2">
        <v>8812322</v>
      </c>
      <c r="K548" s="2" t="s">
        <v>32</v>
      </c>
      <c r="L548" s="2" t="s">
        <v>132</v>
      </c>
      <c r="M548" s="2" t="s">
        <v>34</v>
      </c>
      <c r="N548" s="2">
        <v>-497</v>
      </c>
      <c r="O548" s="2">
        <v>-347</v>
      </c>
      <c r="P548" s="2" t="s">
        <v>748</v>
      </c>
      <c r="Q548" s="2" t="s">
        <v>749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s="4" customFormat="1" x14ac:dyDescent="0.25">
      <c r="A549" s="2" t="s">
        <v>140</v>
      </c>
      <c r="B549" s="2" t="str">
        <f>CONCATENATE(A549,89)</f>
        <v>7U82DU1AM9689</v>
      </c>
      <c r="C549" s="2" t="s">
        <v>925</v>
      </c>
      <c r="D549" s="2" t="s">
        <v>773</v>
      </c>
      <c r="E549" s="2" t="str">
        <f t="shared" si="8"/>
        <v>CINDY CALHOUN</v>
      </c>
      <c r="F549" s="2" t="s">
        <v>42</v>
      </c>
      <c r="G549" s="2" t="s">
        <v>29</v>
      </c>
      <c r="H549" s="3">
        <v>46023</v>
      </c>
      <c r="I549" s="3">
        <v>46023</v>
      </c>
      <c r="J549" s="2">
        <v>8812322</v>
      </c>
      <c r="K549" s="2" t="s">
        <v>32</v>
      </c>
      <c r="L549" s="2" t="s">
        <v>132</v>
      </c>
      <c r="M549" s="2" t="s">
        <v>34</v>
      </c>
      <c r="N549" s="2">
        <v>-497</v>
      </c>
      <c r="O549" s="2">
        <v>-347</v>
      </c>
      <c r="P549" s="2" t="s">
        <v>748</v>
      </c>
      <c r="Q549" s="2" t="s">
        <v>749</v>
      </c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s="4" customFormat="1" x14ac:dyDescent="0.25">
      <c r="A550" s="2" t="s">
        <v>144</v>
      </c>
      <c r="B550" s="2" t="str">
        <f>CONCATENATE(A550,89)</f>
        <v>3K46CA4AD5589</v>
      </c>
      <c r="C550" s="2" t="s">
        <v>925</v>
      </c>
      <c r="D550" s="2" t="s">
        <v>852</v>
      </c>
      <c r="E550" s="2" t="str">
        <f t="shared" si="8"/>
        <v>LARRY CALHOUN</v>
      </c>
      <c r="F550" s="2" t="s">
        <v>42</v>
      </c>
      <c r="G550" s="2" t="s">
        <v>29</v>
      </c>
      <c r="H550" s="3">
        <v>46023</v>
      </c>
      <c r="I550" s="3">
        <v>46023</v>
      </c>
      <c r="J550" s="2">
        <v>8812322</v>
      </c>
      <c r="K550" s="2" t="s">
        <v>32</v>
      </c>
      <c r="L550" s="2" t="s">
        <v>132</v>
      </c>
      <c r="M550" s="2" t="s">
        <v>34</v>
      </c>
      <c r="N550" s="2">
        <v>-497</v>
      </c>
      <c r="O550" s="2">
        <v>-347</v>
      </c>
      <c r="P550" s="2" t="s">
        <v>748</v>
      </c>
      <c r="Q550" s="2" t="s">
        <v>749</v>
      </c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s="4" customFormat="1" x14ac:dyDescent="0.25">
      <c r="A551" s="2" t="s">
        <v>341</v>
      </c>
      <c r="B551" s="2" t="str">
        <f>CONCATENATE(A551,89)</f>
        <v>8AF7VG9AP6489</v>
      </c>
      <c r="C551" s="2" t="s">
        <v>947</v>
      </c>
      <c r="D551" s="2" t="s">
        <v>948</v>
      </c>
      <c r="E551" s="2" t="str">
        <f t="shared" si="8"/>
        <v>BEVERLY HIERMEIER</v>
      </c>
      <c r="F551" s="2" t="s">
        <v>42</v>
      </c>
      <c r="G551" s="2" t="s">
        <v>29</v>
      </c>
      <c r="H551" s="3">
        <v>46023</v>
      </c>
      <c r="I551" s="3">
        <v>46023</v>
      </c>
      <c r="J551" s="2">
        <v>8812322</v>
      </c>
      <c r="K551" s="2" t="s">
        <v>32</v>
      </c>
      <c r="L551" s="2" t="s">
        <v>132</v>
      </c>
      <c r="M551" s="2" t="s">
        <v>34</v>
      </c>
      <c r="N551" s="2">
        <v>-497</v>
      </c>
      <c r="O551" s="2">
        <v>-347</v>
      </c>
      <c r="P551" s="2" t="s">
        <v>748</v>
      </c>
      <c r="Q551" s="2" t="s">
        <v>749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s="4" customFormat="1" x14ac:dyDescent="0.25">
      <c r="A552" s="2" t="s">
        <v>344</v>
      </c>
      <c r="B552" s="2" t="str">
        <f>CONCATENATE(A552,89)</f>
        <v>9G48E16DN6389</v>
      </c>
      <c r="C552" s="2" t="s">
        <v>949</v>
      </c>
      <c r="D552" s="2" t="s">
        <v>864</v>
      </c>
      <c r="E552" s="2" t="str">
        <f t="shared" si="8"/>
        <v>BARBARA HILL</v>
      </c>
      <c r="F552" s="2" t="s">
        <v>42</v>
      </c>
      <c r="G552" s="2" t="s">
        <v>29</v>
      </c>
      <c r="H552" s="3">
        <v>46023</v>
      </c>
      <c r="I552" s="3">
        <v>46023</v>
      </c>
      <c r="J552" s="2">
        <v>8812322</v>
      </c>
      <c r="K552" s="2" t="s">
        <v>32</v>
      </c>
      <c r="L552" s="2" t="s">
        <v>132</v>
      </c>
      <c r="M552" s="2" t="s">
        <v>34</v>
      </c>
      <c r="N552" s="2">
        <v>-497</v>
      </c>
      <c r="O552" s="2">
        <v>-347</v>
      </c>
      <c r="P552" s="2" t="s">
        <v>748</v>
      </c>
      <c r="Q552" s="2" t="s">
        <v>749</v>
      </c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s="4" customFormat="1" x14ac:dyDescent="0.25">
      <c r="A553" s="2" t="s">
        <v>347</v>
      </c>
      <c r="B553" s="2" t="str">
        <f>CONCATENATE(A553,89)</f>
        <v>8QG2AG6WT8889</v>
      </c>
      <c r="C553" s="2" t="s">
        <v>949</v>
      </c>
      <c r="D553" s="2" t="s">
        <v>950</v>
      </c>
      <c r="E553" s="2" t="str">
        <f t="shared" si="8"/>
        <v>WILLIAM HILL</v>
      </c>
      <c r="F553" s="2" t="s">
        <v>42</v>
      </c>
      <c r="G553" s="2" t="s">
        <v>29</v>
      </c>
      <c r="H553" s="3">
        <v>46023</v>
      </c>
      <c r="I553" s="3">
        <v>46023</v>
      </c>
      <c r="J553" s="2">
        <v>8812322</v>
      </c>
      <c r="K553" s="2" t="s">
        <v>32</v>
      </c>
      <c r="L553" s="2" t="s">
        <v>132</v>
      </c>
      <c r="M553" s="2" t="s">
        <v>34</v>
      </c>
      <c r="N553" s="2">
        <v>-497</v>
      </c>
      <c r="O553" s="2">
        <v>-347</v>
      </c>
      <c r="P553" s="2" t="s">
        <v>748</v>
      </c>
      <c r="Q553" s="2" t="s">
        <v>749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s="4" customFormat="1" x14ac:dyDescent="0.25">
      <c r="A554" s="2" t="s">
        <v>585</v>
      </c>
      <c r="B554" s="2" t="str">
        <f>CONCATENATE(A554,89)</f>
        <v>9KK2GC4QN8789</v>
      </c>
      <c r="C554" s="2" t="s">
        <v>966</v>
      </c>
      <c r="D554" s="2" t="s">
        <v>816</v>
      </c>
      <c r="E554" s="2" t="str">
        <f t="shared" si="8"/>
        <v>JEFFREY RASOR</v>
      </c>
      <c r="F554" s="2" t="s">
        <v>42</v>
      </c>
      <c r="G554" s="2" t="s">
        <v>29</v>
      </c>
      <c r="H554" s="3">
        <v>46023</v>
      </c>
      <c r="I554" s="3">
        <v>46023</v>
      </c>
      <c r="J554" s="2">
        <v>8812322</v>
      </c>
      <c r="K554" s="2" t="s">
        <v>32</v>
      </c>
      <c r="L554" s="2" t="s">
        <v>132</v>
      </c>
      <c r="M554" s="2" t="s">
        <v>34</v>
      </c>
      <c r="N554" s="2">
        <v>-497</v>
      </c>
      <c r="O554" s="2">
        <v>-347</v>
      </c>
      <c r="P554" s="2" t="s">
        <v>748</v>
      </c>
      <c r="Q554" s="2" t="s">
        <v>749</v>
      </c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s="2" customFormat="1" x14ac:dyDescent="0.25">
      <c r="A555" s="2" t="s">
        <v>589</v>
      </c>
      <c r="B555" s="2" t="str">
        <f>CONCATENATE(A555,89)</f>
        <v>8KX0KH6PM2689</v>
      </c>
      <c r="C555" s="2" t="s">
        <v>966</v>
      </c>
      <c r="D555" s="2" t="s">
        <v>890</v>
      </c>
      <c r="E555" s="2" t="str">
        <f t="shared" si="8"/>
        <v>KATHY RASOR</v>
      </c>
      <c r="F555" s="2" t="s">
        <v>42</v>
      </c>
      <c r="G555" s="2" t="s">
        <v>29</v>
      </c>
      <c r="H555" s="3">
        <v>46023</v>
      </c>
      <c r="I555" s="3">
        <v>46023</v>
      </c>
      <c r="J555" s="2">
        <v>8812322</v>
      </c>
      <c r="K555" s="2" t="s">
        <v>32</v>
      </c>
      <c r="L555" s="2" t="s">
        <v>132</v>
      </c>
      <c r="M555" s="2" t="s">
        <v>34</v>
      </c>
      <c r="N555" s="2">
        <v>-497</v>
      </c>
      <c r="O555" s="2">
        <v>-347</v>
      </c>
      <c r="P555" s="2" t="s">
        <v>748</v>
      </c>
      <c r="Q555" s="2" t="s">
        <v>749</v>
      </c>
    </row>
    <row r="556" spans="1:27" s="4" customFormat="1" x14ac:dyDescent="0.25">
      <c r="A556" s="2" t="s">
        <v>730</v>
      </c>
      <c r="B556" s="2" t="str">
        <f>CONCATENATE(A556,89)</f>
        <v>1ME5YG2HC6389</v>
      </c>
      <c r="C556" s="2" t="s">
        <v>972</v>
      </c>
      <c r="D556" s="2" t="s">
        <v>973</v>
      </c>
      <c r="E556" s="2" t="str">
        <f t="shared" si="8"/>
        <v>MATTHEW YEAKEL</v>
      </c>
      <c r="F556" s="2" t="s">
        <v>42</v>
      </c>
      <c r="G556" s="2" t="s">
        <v>29</v>
      </c>
      <c r="H556" s="3">
        <v>46023</v>
      </c>
      <c r="I556" s="3">
        <v>46023</v>
      </c>
      <c r="J556" s="2">
        <v>8812322</v>
      </c>
      <c r="K556" s="2" t="s">
        <v>32</v>
      </c>
      <c r="L556" s="2" t="s">
        <v>132</v>
      </c>
      <c r="M556" s="2" t="s">
        <v>34</v>
      </c>
      <c r="N556" s="2">
        <v>-497</v>
      </c>
      <c r="O556" s="2">
        <v>-347</v>
      </c>
      <c r="P556" s="2" t="s">
        <v>748</v>
      </c>
      <c r="Q556" s="2" t="s">
        <v>749</v>
      </c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s="2" customFormat="1" x14ac:dyDescent="0.25">
      <c r="A557" s="2" t="s">
        <v>701</v>
      </c>
      <c r="B557" s="2" t="str">
        <f>CONCATENATE(A557,89)</f>
        <v>1TE8UE0EV5789</v>
      </c>
      <c r="C557" s="2" t="s">
        <v>989</v>
      </c>
      <c r="D557" s="2" t="s">
        <v>990</v>
      </c>
      <c r="E557" s="2" t="str">
        <f t="shared" si="8"/>
        <v>LINDA WHITLEY</v>
      </c>
      <c r="F557" s="2" t="s">
        <v>42</v>
      </c>
      <c r="G557" s="2" t="s">
        <v>29</v>
      </c>
      <c r="H557" s="3">
        <v>46023</v>
      </c>
      <c r="I557" s="3">
        <v>46023</v>
      </c>
      <c r="J557" s="2">
        <v>8812322</v>
      </c>
      <c r="K557" s="2" t="s">
        <v>32</v>
      </c>
      <c r="L557" s="2" t="s">
        <v>132</v>
      </c>
      <c r="M557" s="2" t="s">
        <v>34</v>
      </c>
      <c r="N557" s="2">
        <v>-482</v>
      </c>
      <c r="O557" s="2">
        <v>-347</v>
      </c>
      <c r="P557" s="2" t="s">
        <v>748</v>
      </c>
      <c r="Q557" s="2" t="s">
        <v>749</v>
      </c>
    </row>
    <row r="558" spans="1:27" s="2" customFormat="1" x14ac:dyDescent="0.25">
      <c r="A558" s="2" t="s">
        <v>303</v>
      </c>
      <c r="B558" s="2" t="str">
        <f>CONCATENATE(A558,89)</f>
        <v>5VG9M06GM4389</v>
      </c>
      <c r="C558" s="2" t="s">
        <v>995</v>
      </c>
      <c r="D558" s="2" t="s">
        <v>996</v>
      </c>
      <c r="E558" s="2" t="str">
        <f t="shared" si="8"/>
        <v>RAMONA HARRISON</v>
      </c>
      <c r="F558" s="2" t="s">
        <v>42</v>
      </c>
      <c r="G558" s="2" t="s">
        <v>29</v>
      </c>
      <c r="H558" s="3">
        <v>46054</v>
      </c>
      <c r="I558" s="3">
        <v>46054</v>
      </c>
      <c r="J558" s="2">
        <v>8812322</v>
      </c>
      <c r="K558" s="2" t="s">
        <v>32</v>
      </c>
      <c r="L558" s="2" t="s">
        <v>132</v>
      </c>
      <c r="M558" s="2" t="s">
        <v>34</v>
      </c>
      <c r="N558" s="2">
        <v>-455.58</v>
      </c>
      <c r="O558" s="2">
        <v>-318.08</v>
      </c>
      <c r="P558" s="2" t="s">
        <v>748</v>
      </c>
      <c r="Q558" s="2" t="s">
        <v>751</v>
      </c>
    </row>
    <row r="559" spans="1:27" s="2" customFormat="1" x14ac:dyDescent="0.25">
      <c r="A559" s="2" t="s">
        <v>379</v>
      </c>
      <c r="B559" s="2" t="str">
        <f>CONCATENATE(A559,89)</f>
        <v>9G87Q80MQ4989</v>
      </c>
      <c r="C559" s="2" t="s">
        <v>997</v>
      </c>
      <c r="D559" s="2" t="s">
        <v>998</v>
      </c>
      <c r="E559" s="2" t="str">
        <f t="shared" si="8"/>
        <v>SANDRA JOHNSTON</v>
      </c>
      <c r="F559" s="2" t="s">
        <v>42</v>
      </c>
      <c r="G559" s="2" t="s">
        <v>29</v>
      </c>
      <c r="H559" s="3">
        <v>46054</v>
      </c>
      <c r="I559" s="3">
        <v>46054</v>
      </c>
      <c r="J559" s="2">
        <v>8812322</v>
      </c>
      <c r="K559" s="2" t="s">
        <v>32</v>
      </c>
      <c r="L559" s="2" t="s">
        <v>132</v>
      </c>
      <c r="M559" s="2" t="s">
        <v>34</v>
      </c>
      <c r="N559" s="2">
        <v>-455.58</v>
      </c>
      <c r="O559" s="2">
        <v>-318.08</v>
      </c>
      <c r="P559" s="2" t="s">
        <v>748</v>
      </c>
      <c r="Q559" s="2" t="s">
        <v>751</v>
      </c>
    </row>
    <row r="560" spans="1:27" s="2" customFormat="1" x14ac:dyDescent="0.25">
      <c r="A560" s="2" t="s">
        <v>334</v>
      </c>
      <c r="B560" s="2" t="str">
        <f>CONCATENATE(A560,77)</f>
        <v>1KP8X12CJ2777</v>
      </c>
      <c r="C560" s="2" t="s">
        <v>945</v>
      </c>
      <c r="D560" s="2" t="s">
        <v>946</v>
      </c>
      <c r="E560" s="2" t="str">
        <f t="shared" si="8"/>
        <v>KRISTIN HERNANDEZ</v>
      </c>
      <c r="F560" s="2" t="s">
        <v>337</v>
      </c>
      <c r="G560" s="2" t="s">
        <v>29</v>
      </c>
      <c r="H560" s="3">
        <v>46023</v>
      </c>
      <c r="I560" s="3">
        <v>46023</v>
      </c>
      <c r="J560" s="2">
        <v>18201929</v>
      </c>
      <c r="K560" s="2" t="s">
        <v>32</v>
      </c>
      <c r="L560" s="2" t="s">
        <v>340</v>
      </c>
      <c r="M560" s="2" t="s">
        <v>34</v>
      </c>
      <c r="N560" s="2">
        <v>844</v>
      </c>
      <c r="O560" s="2">
        <v>694</v>
      </c>
      <c r="P560" s="2" t="s">
        <v>753</v>
      </c>
      <c r="Q560" s="2" t="s">
        <v>756</v>
      </c>
    </row>
    <row r="561" spans="1:17" s="2" customFormat="1" x14ac:dyDescent="0.25">
      <c r="A561" s="2" t="s">
        <v>334</v>
      </c>
      <c r="B561" s="2" t="str">
        <f>CONCATENATE(A561,89)</f>
        <v>1KP8X12CJ2789</v>
      </c>
      <c r="C561" s="2" t="s">
        <v>945</v>
      </c>
      <c r="D561" s="2" t="s">
        <v>946</v>
      </c>
      <c r="E561" s="2" t="str">
        <f t="shared" si="8"/>
        <v>KRISTIN HERNANDEZ</v>
      </c>
      <c r="F561" s="2" t="s">
        <v>337</v>
      </c>
      <c r="G561" s="2" t="s">
        <v>29</v>
      </c>
      <c r="H561" s="3">
        <v>46023</v>
      </c>
      <c r="I561" s="3">
        <v>46023</v>
      </c>
      <c r="J561" s="2">
        <v>18201929</v>
      </c>
      <c r="K561" s="2" t="s">
        <v>32</v>
      </c>
      <c r="L561" s="2" t="s">
        <v>340</v>
      </c>
      <c r="M561" s="2" t="s">
        <v>34</v>
      </c>
      <c r="N561" s="2">
        <v>-497</v>
      </c>
      <c r="O561" s="2">
        <v>-347</v>
      </c>
      <c r="P561" s="2" t="s">
        <v>748</v>
      </c>
      <c r="Q561" s="2" t="s">
        <v>749</v>
      </c>
    </row>
    <row r="562" spans="1:17" s="2" customFormat="1" x14ac:dyDescent="0.25">
      <c r="A562" s="2" t="s">
        <v>648</v>
      </c>
      <c r="B562" s="2" t="str">
        <f>CONCATENATE(A562,77)</f>
        <v>4UA2VN4AJ9677</v>
      </c>
      <c r="C562" s="2" t="s">
        <v>916</v>
      </c>
      <c r="D562" s="2" t="s">
        <v>799</v>
      </c>
      <c r="E562" s="2" t="str">
        <f t="shared" si="8"/>
        <v>MARGARET TERLESKI</v>
      </c>
      <c r="F562" s="2" t="s">
        <v>27</v>
      </c>
      <c r="G562" s="2" t="s">
        <v>29</v>
      </c>
      <c r="H562" s="3">
        <v>46023</v>
      </c>
      <c r="I562" s="3">
        <v>46023</v>
      </c>
      <c r="J562" s="2">
        <v>15950276</v>
      </c>
      <c r="K562" s="2" t="s">
        <v>32</v>
      </c>
      <c r="L562" s="2" t="s">
        <v>652</v>
      </c>
      <c r="M562" s="2" t="s">
        <v>34</v>
      </c>
      <c r="N562" s="2">
        <v>931</v>
      </c>
      <c r="O562" s="2">
        <v>781</v>
      </c>
      <c r="P562" s="2" t="s">
        <v>755</v>
      </c>
      <c r="Q562" s="2" t="s">
        <v>758</v>
      </c>
    </row>
    <row r="563" spans="1:17" s="2" customFormat="1" x14ac:dyDescent="0.25">
      <c r="A563" s="2" t="s">
        <v>648</v>
      </c>
      <c r="B563" s="2" t="str">
        <f>CONCATENATE(A563,89)</f>
        <v>4UA2VN4AJ9689</v>
      </c>
      <c r="C563" s="2" t="s">
        <v>916</v>
      </c>
      <c r="D563" s="2" t="s">
        <v>799</v>
      </c>
      <c r="E563" s="2" t="str">
        <f t="shared" si="8"/>
        <v>MARGARET TERLESKI</v>
      </c>
      <c r="F563" s="2" t="s">
        <v>27</v>
      </c>
      <c r="G563" s="2" t="s">
        <v>29</v>
      </c>
      <c r="H563" s="3">
        <v>46023</v>
      </c>
      <c r="I563" s="3">
        <v>46023</v>
      </c>
      <c r="J563" s="2">
        <v>15950276</v>
      </c>
      <c r="K563" s="2" t="s">
        <v>32</v>
      </c>
      <c r="L563" s="2" t="s">
        <v>652</v>
      </c>
      <c r="M563" s="2" t="s">
        <v>34</v>
      </c>
      <c r="N563" s="2">
        <v>-541</v>
      </c>
      <c r="O563" s="2">
        <v>-391</v>
      </c>
      <c r="P563" s="2" t="s">
        <v>747</v>
      </c>
      <c r="Q563" s="2" t="s">
        <v>746</v>
      </c>
    </row>
    <row r="564" spans="1:17" s="2" customFormat="1" x14ac:dyDescent="0.25">
      <c r="A564" s="2" t="s">
        <v>105</v>
      </c>
      <c r="B564" s="2" t="str">
        <f>CONCATENATE(A564,77)</f>
        <v>7D56H19KA5477</v>
      </c>
      <c r="C564" s="2" t="s">
        <v>863</v>
      </c>
      <c r="D564" s="2" t="s">
        <v>922</v>
      </c>
      <c r="E564" s="2" t="str">
        <f t="shared" si="8"/>
        <v>JANE BOYD</v>
      </c>
      <c r="F564" s="2" t="s">
        <v>108</v>
      </c>
      <c r="G564" s="2" t="s">
        <v>29</v>
      </c>
      <c r="H564" s="3">
        <v>46023</v>
      </c>
      <c r="I564" s="3">
        <v>46023</v>
      </c>
      <c r="J564" s="2">
        <v>8307933</v>
      </c>
      <c r="K564" s="2" t="s">
        <v>32</v>
      </c>
      <c r="L564" s="2" t="s">
        <v>111</v>
      </c>
      <c r="M564" s="2" t="s">
        <v>34</v>
      </c>
      <c r="N564" s="2">
        <v>844</v>
      </c>
      <c r="O564" s="2">
        <v>694</v>
      </c>
      <c r="P564" s="2" t="s">
        <v>753</v>
      </c>
      <c r="Q564" s="2" t="s">
        <v>756</v>
      </c>
    </row>
    <row r="565" spans="1:17" s="2" customFormat="1" x14ac:dyDescent="0.25">
      <c r="A565" s="2" t="s">
        <v>267</v>
      </c>
      <c r="B565" s="2" t="str">
        <f>CONCATENATE(A565,77)</f>
        <v>4DP9RX5RM1977</v>
      </c>
      <c r="C565" s="2" t="s">
        <v>994</v>
      </c>
      <c r="D565" s="2" t="s">
        <v>935</v>
      </c>
      <c r="E565" s="2" t="str">
        <f t="shared" si="8"/>
        <v>MARY FRY</v>
      </c>
      <c r="F565" s="2" t="s">
        <v>270</v>
      </c>
      <c r="G565" s="2" t="s">
        <v>29</v>
      </c>
      <c r="H565" s="3">
        <v>46054</v>
      </c>
      <c r="I565" s="3">
        <v>46054</v>
      </c>
      <c r="J565" s="2">
        <v>8307933</v>
      </c>
      <c r="K565" s="2" t="s">
        <v>32</v>
      </c>
      <c r="L565" s="2" t="s">
        <v>111</v>
      </c>
      <c r="M565" s="2" t="s">
        <v>34</v>
      </c>
      <c r="N565" s="2">
        <v>844</v>
      </c>
      <c r="O565" s="2">
        <v>694</v>
      </c>
      <c r="P565" s="2" t="s">
        <v>753</v>
      </c>
      <c r="Q565" s="2" t="s">
        <v>756</v>
      </c>
    </row>
    <row r="566" spans="1:17" s="2" customFormat="1" x14ac:dyDescent="0.25">
      <c r="A566" s="2" t="s">
        <v>595</v>
      </c>
      <c r="B566" s="2" t="str">
        <f>CONCATENATE(A566,77)</f>
        <v>5C92GT6WA8077</v>
      </c>
      <c r="C566" s="2" t="s">
        <v>967</v>
      </c>
      <c r="D566" s="2" t="s">
        <v>878</v>
      </c>
      <c r="E566" s="2" t="str">
        <f t="shared" si="8"/>
        <v>LESTER REISCHL</v>
      </c>
      <c r="F566" s="2" t="s">
        <v>598</v>
      </c>
      <c r="G566" s="2" t="s">
        <v>29</v>
      </c>
      <c r="H566" s="3">
        <v>46023</v>
      </c>
      <c r="I566" s="3">
        <v>46023</v>
      </c>
      <c r="J566" s="2">
        <v>8307933</v>
      </c>
      <c r="K566" s="2" t="s">
        <v>32</v>
      </c>
      <c r="L566" s="2" t="s">
        <v>111</v>
      </c>
      <c r="M566" s="2" t="s">
        <v>34</v>
      </c>
      <c r="N566" s="2">
        <v>844</v>
      </c>
      <c r="O566" s="2">
        <v>694</v>
      </c>
      <c r="P566" s="2" t="s">
        <v>753</v>
      </c>
      <c r="Q566" s="2" t="s">
        <v>756</v>
      </c>
    </row>
    <row r="567" spans="1:17" s="2" customFormat="1" x14ac:dyDescent="0.25">
      <c r="A567" s="2" t="s">
        <v>733</v>
      </c>
      <c r="B567" s="2" t="str">
        <f>CONCATENATE(A567,77)</f>
        <v>3QD8RR9NP4277</v>
      </c>
      <c r="C567" s="2" t="s">
        <v>974</v>
      </c>
      <c r="D567" s="2" t="s">
        <v>843</v>
      </c>
      <c r="E567" s="2" t="str">
        <f t="shared" si="8"/>
        <v>RODNEY ZIPP</v>
      </c>
      <c r="F567" s="2" t="s">
        <v>337</v>
      </c>
      <c r="G567" s="2" t="s">
        <v>29</v>
      </c>
      <c r="H567" s="3">
        <v>46023</v>
      </c>
      <c r="I567" s="3">
        <v>46023</v>
      </c>
      <c r="J567" s="2">
        <v>8307933</v>
      </c>
      <c r="K567" s="2" t="s">
        <v>32</v>
      </c>
      <c r="L567" s="2" t="s">
        <v>111</v>
      </c>
      <c r="M567" s="2" t="s">
        <v>34</v>
      </c>
      <c r="N567" s="2">
        <v>844</v>
      </c>
      <c r="O567" s="2">
        <v>694</v>
      </c>
      <c r="P567" s="2" t="s">
        <v>753</v>
      </c>
      <c r="Q567" s="2" t="s">
        <v>756</v>
      </c>
    </row>
    <row r="568" spans="1:17" s="2" customFormat="1" x14ac:dyDescent="0.25">
      <c r="A568" s="2" t="s">
        <v>737</v>
      </c>
      <c r="B568" s="2" t="str">
        <f>CONCATENATE(A568,77)</f>
        <v>7JR5GF8MA8277</v>
      </c>
      <c r="C568" s="2" t="s">
        <v>974</v>
      </c>
      <c r="D568" s="2" t="s">
        <v>975</v>
      </c>
      <c r="E568" s="2" t="str">
        <f t="shared" si="8"/>
        <v>DONNA ZIPP</v>
      </c>
      <c r="F568" s="2" t="s">
        <v>337</v>
      </c>
      <c r="G568" s="2" t="s">
        <v>29</v>
      </c>
      <c r="H568" s="3">
        <v>46023</v>
      </c>
      <c r="I568" s="3">
        <v>46023</v>
      </c>
      <c r="J568" s="2">
        <v>8307933</v>
      </c>
      <c r="K568" s="2" t="s">
        <v>32</v>
      </c>
      <c r="L568" s="2" t="s">
        <v>111</v>
      </c>
      <c r="M568" s="2" t="s">
        <v>34</v>
      </c>
      <c r="N568" s="2">
        <v>844</v>
      </c>
      <c r="O568" s="2">
        <v>694</v>
      </c>
      <c r="P568" s="2" t="s">
        <v>753</v>
      </c>
      <c r="Q568" s="2" t="s">
        <v>756</v>
      </c>
    </row>
    <row r="569" spans="1:17" s="2" customFormat="1" x14ac:dyDescent="0.25">
      <c r="A569" s="2" t="s">
        <v>251</v>
      </c>
      <c r="B569" s="2" t="str">
        <f>CONCATENATE(A569,77)</f>
        <v>8D84NT9UP5077</v>
      </c>
      <c r="C569" s="2" t="s">
        <v>913</v>
      </c>
      <c r="D569" s="2" t="s">
        <v>914</v>
      </c>
      <c r="E569" s="2" t="str">
        <f t="shared" si="8"/>
        <v>GARY FIEBER</v>
      </c>
      <c r="F569" s="2" t="s">
        <v>27</v>
      </c>
      <c r="G569" s="2" t="s">
        <v>29</v>
      </c>
      <c r="H569" s="3">
        <v>46023</v>
      </c>
      <c r="I569" s="3">
        <v>46023</v>
      </c>
      <c r="J569" s="2">
        <v>8307933</v>
      </c>
      <c r="K569" s="2" t="s">
        <v>32</v>
      </c>
      <c r="L569" s="2" t="s">
        <v>111</v>
      </c>
      <c r="M569" s="2" t="s">
        <v>34</v>
      </c>
      <c r="N569" s="2">
        <v>931</v>
      </c>
      <c r="O569" s="2">
        <v>781</v>
      </c>
      <c r="P569" s="2" t="s">
        <v>755</v>
      </c>
      <c r="Q569" s="2" t="s">
        <v>758</v>
      </c>
    </row>
    <row r="570" spans="1:17" s="2" customFormat="1" x14ac:dyDescent="0.25">
      <c r="A570" s="2" t="s">
        <v>385</v>
      </c>
      <c r="B570" s="2" t="str">
        <f>CONCATENATE(A570,77)</f>
        <v>8G77VX2MR5977</v>
      </c>
      <c r="C570" s="2" t="s">
        <v>826</v>
      </c>
      <c r="D570" s="2" t="s">
        <v>976</v>
      </c>
      <c r="E570" s="2" t="str">
        <f t="shared" si="8"/>
        <v>VALERIE JONES</v>
      </c>
      <c r="F570" s="2" t="s">
        <v>27</v>
      </c>
      <c r="G570" s="2" t="s">
        <v>29</v>
      </c>
      <c r="H570" s="3">
        <v>46054</v>
      </c>
      <c r="I570" s="3">
        <v>46054</v>
      </c>
      <c r="J570" s="2">
        <v>8307933</v>
      </c>
      <c r="K570" s="2" t="s">
        <v>32</v>
      </c>
      <c r="L570" s="2" t="s">
        <v>111</v>
      </c>
      <c r="M570" s="2" t="s">
        <v>34</v>
      </c>
      <c r="N570" s="2">
        <v>931</v>
      </c>
      <c r="O570" s="2">
        <v>781</v>
      </c>
      <c r="P570" s="2" t="s">
        <v>755</v>
      </c>
      <c r="Q570" s="2" t="s">
        <v>758</v>
      </c>
    </row>
    <row r="571" spans="1:17" s="2" customFormat="1" x14ac:dyDescent="0.25">
      <c r="A571" s="2" t="s">
        <v>430</v>
      </c>
      <c r="B571" s="2" t="str">
        <f>CONCATENATE(A571,77)</f>
        <v>5X34WJ4UE9577</v>
      </c>
      <c r="C571" s="2" t="s">
        <v>977</v>
      </c>
      <c r="D571" s="2" t="s">
        <v>978</v>
      </c>
      <c r="E571" s="2" t="str">
        <f t="shared" si="8"/>
        <v>TIMOTHY LESHER</v>
      </c>
      <c r="F571" s="2" t="s">
        <v>27</v>
      </c>
      <c r="G571" s="2" t="s">
        <v>29</v>
      </c>
      <c r="H571" s="3">
        <v>46054</v>
      </c>
      <c r="I571" s="3">
        <v>46054</v>
      </c>
      <c r="J571" s="2">
        <v>8307933</v>
      </c>
      <c r="K571" s="2" t="s">
        <v>32</v>
      </c>
      <c r="L571" s="2" t="s">
        <v>111</v>
      </c>
      <c r="M571" s="2" t="s">
        <v>34</v>
      </c>
      <c r="N571" s="2">
        <v>931</v>
      </c>
      <c r="O571" s="2">
        <v>781</v>
      </c>
      <c r="P571" s="2" t="s">
        <v>755</v>
      </c>
      <c r="Q571" s="2" t="s">
        <v>758</v>
      </c>
    </row>
    <row r="572" spans="1:17" s="2" customFormat="1" x14ac:dyDescent="0.25">
      <c r="A572" s="2" t="s">
        <v>251</v>
      </c>
      <c r="B572" s="2" t="str">
        <f>CONCATENATE(A572,89)</f>
        <v>8D84NT9UP5089</v>
      </c>
      <c r="C572" s="2" t="s">
        <v>913</v>
      </c>
      <c r="D572" s="2" t="s">
        <v>914</v>
      </c>
      <c r="E572" s="2" t="str">
        <f t="shared" si="8"/>
        <v>GARY FIEBER</v>
      </c>
      <c r="F572" s="2" t="s">
        <v>27</v>
      </c>
      <c r="G572" s="2" t="s">
        <v>29</v>
      </c>
      <c r="H572" s="3">
        <v>46023</v>
      </c>
      <c r="I572" s="3">
        <v>46023</v>
      </c>
      <c r="J572" s="2">
        <v>8307933</v>
      </c>
      <c r="K572" s="2" t="s">
        <v>32</v>
      </c>
      <c r="L572" s="2" t="s">
        <v>111</v>
      </c>
      <c r="M572" s="2" t="s">
        <v>34</v>
      </c>
      <c r="N572" s="2">
        <v>-541</v>
      </c>
      <c r="O572" s="2">
        <v>-391</v>
      </c>
      <c r="P572" s="2" t="s">
        <v>747</v>
      </c>
      <c r="Q572" s="2" t="s">
        <v>746</v>
      </c>
    </row>
    <row r="573" spans="1:17" s="2" customFormat="1" x14ac:dyDescent="0.25">
      <c r="A573" s="2" t="s">
        <v>385</v>
      </c>
      <c r="B573" s="2" t="str">
        <f>CONCATENATE(A573,89)</f>
        <v>8G77VX2MR5989</v>
      </c>
      <c r="C573" s="2" t="s">
        <v>826</v>
      </c>
      <c r="D573" s="2" t="s">
        <v>976</v>
      </c>
      <c r="E573" s="2" t="str">
        <f t="shared" si="8"/>
        <v>VALERIE JONES</v>
      </c>
      <c r="F573" s="2" t="s">
        <v>27</v>
      </c>
      <c r="G573" s="2" t="s">
        <v>29</v>
      </c>
      <c r="H573" s="3">
        <v>46054</v>
      </c>
      <c r="I573" s="3">
        <v>46054</v>
      </c>
      <c r="J573" s="2">
        <v>8307933</v>
      </c>
      <c r="K573" s="2" t="s">
        <v>32</v>
      </c>
      <c r="L573" s="2" t="s">
        <v>111</v>
      </c>
      <c r="M573" s="2" t="s">
        <v>34</v>
      </c>
      <c r="N573" s="2">
        <v>-495.92</v>
      </c>
      <c r="O573" s="2">
        <v>-358.42</v>
      </c>
      <c r="P573" s="2" t="s">
        <v>747</v>
      </c>
      <c r="Q573" s="2" t="s">
        <v>750</v>
      </c>
    </row>
    <row r="574" spans="1:17" s="2" customFormat="1" x14ac:dyDescent="0.25">
      <c r="A574" s="2" t="s">
        <v>430</v>
      </c>
      <c r="B574" s="2" t="str">
        <f>CONCATENATE(A574,89)</f>
        <v>5X34WJ4UE9589</v>
      </c>
      <c r="C574" s="2" t="s">
        <v>977</v>
      </c>
      <c r="D574" s="2" t="s">
        <v>978</v>
      </c>
      <c r="E574" s="2" t="str">
        <f t="shared" si="8"/>
        <v>TIMOTHY LESHER</v>
      </c>
      <c r="F574" s="2" t="s">
        <v>27</v>
      </c>
      <c r="G574" s="2" t="s">
        <v>29</v>
      </c>
      <c r="H574" s="3">
        <v>46054</v>
      </c>
      <c r="I574" s="3">
        <v>46054</v>
      </c>
      <c r="J574" s="2">
        <v>8307933</v>
      </c>
      <c r="K574" s="2" t="s">
        <v>32</v>
      </c>
      <c r="L574" s="2" t="s">
        <v>111</v>
      </c>
      <c r="M574" s="2" t="s">
        <v>34</v>
      </c>
      <c r="N574" s="2">
        <v>-495.92</v>
      </c>
      <c r="O574" s="2">
        <v>-358.42</v>
      </c>
      <c r="P574" s="2" t="s">
        <v>747</v>
      </c>
      <c r="Q574" s="2" t="s">
        <v>750</v>
      </c>
    </row>
    <row r="575" spans="1:17" s="2" customFormat="1" x14ac:dyDescent="0.25">
      <c r="A575" s="2" t="s">
        <v>105</v>
      </c>
      <c r="B575" s="2" t="str">
        <f>CONCATENATE(A575,89)</f>
        <v>7D56H19KA5489</v>
      </c>
      <c r="C575" s="2" t="s">
        <v>863</v>
      </c>
      <c r="D575" s="2" t="s">
        <v>922</v>
      </c>
      <c r="E575" s="2" t="str">
        <f t="shared" si="8"/>
        <v>JANE BOYD</v>
      </c>
      <c r="F575" s="2" t="s">
        <v>108</v>
      </c>
      <c r="G575" s="2" t="s">
        <v>29</v>
      </c>
      <c r="H575" s="3">
        <v>46023</v>
      </c>
      <c r="I575" s="3">
        <v>46023</v>
      </c>
      <c r="J575" s="2">
        <v>8307933</v>
      </c>
      <c r="K575" s="2" t="s">
        <v>32</v>
      </c>
      <c r="L575" s="2" t="s">
        <v>111</v>
      </c>
      <c r="M575" s="2" t="s">
        <v>34</v>
      </c>
      <c r="N575" s="2">
        <v>-497</v>
      </c>
      <c r="O575" s="2">
        <v>-347</v>
      </c>
      <c r="P575" s="2" t="s">
        <v>748</v>
      </c>
      <c r="Q575" s="2" t="s">
        <v>749</v>
      </c>
    </row>
    <row r="576" spans="1:17" s="2" customFormat="1" x14ac:dyDescent="0.25">
      <c r="A576" s="2" t="s">
        <v>595</v>
      </c>
      <c r="B576" s="2" t="str">
        <f>CONCATENATE(A576,89)</f>
        <v>5C92GT6WA8089</v>
      </c>
      <c r="C576" s="2" t="s">
        <v>967</v>
      </c>
      <c r="D576" s="2" t="s">
        <v>878</v>
      </c>
      <c r="E576" s="2" t="str">
        <f t="shared" si="8"/>
        <v>LESTER REISCHL</v>
      </c>
      <c r="F576" s="2" t="s">
        <v>598</v>
      </c>
      <c r="G576" s="2" t="s">
        <v>29</v>
      </c>
      <c r="H576" s="3">
        <v>46023</v>
      </c>
      <c r="I576" s="3">
        <v>46023</v>
      </c>
      <c r="J576" s="2">
        <v>8307933</v>
      </c>
      <c r="K576" s="2" t="s">
        <v>32</v>
      </c>
      <c r="L576" s="2" t="s">
        <v>111</v>
      </c>
      <c r="M576" s="2" t="s">
        <v>34</v>
      </c>
      <c r="N576" s="2">
        <v>-497</v>
      </c>
      <c r="O576" s="2">
        <v>-347</v>
      </c>
      <c r="P576" s="2" t="s">
        <v>748</v>
      </c>
      <c r="Q576" s="2" t="s">
        <v>749</v>
      </c>
    </row>
    <row r="577" spans="1:27" s="2" customFormat="1" x14ac:dyDescent="0.25">
      <c r="A577" s="2" t="s">
        <v>733</v>
      </c>
      <c r="B577" s="2" t="str">
        <f>CONCATENATE(A577,89)</f>
        <v>3QD8RR9NP4289</v>
      </c>
      <c r="C577" s="2" t="s">
        <v>974</v>
      </c>
      <c r="D577" s="2" t="s">
        <v>843</v>
      </c>
      <c r="E577" s="2" t="str">
        <f t="shared" si="8"/>
        <v>RODNEY ZIPP</v>
      </c>
      <c r="F577" s="2" t="s">
        <v>337</v>
      </c>
      <c r="G577" s="2" t="s">
        <v>29</v>
      </c>
      <c r="H577" s="3">
        <v>46023</v>
      </c>
      <c r="I577" s="3">
        <v>46023</v>
      </c>
      <c r="J577" s="2">
        <v>8307933</v>
      </c>
      <c r="K577" s="2" t="s">
        <v>32</v>
      </c>
      <c r="L577" s="2" t="s">
        <v>111</v>
      </c>
      <c r="M577" s="2" t="s">
        <v>34</v>
      </c>
      <c r="N577" s="2">
        <v>-497</v>
      </c>
      <c r="O577" s="2">
        <v>-347</v>
      </c>
      <c r="P577" s="2" t="s">
        <v>748</v>
      </c>
      <c r="Q577" s="2" t="s">
        <v>749</v>
      </c>
    </row>
    <row r="578" spans="1:27" s="2" customFormat="1" x14ac:dyDescent="0.25">
      <c r="A578" s="2" t="s">
        <v>737</v>
      </c>
      <c r="B578" s="2" t="str">
        <f>CONCATENATE(A578,89)</f>
        <v>7JR5GF8MA8289</v>
      </c>
      <c r="C578" s="2" t="s">
        <v>974</v>
      </c>
      <c r="D578" s="2" t="s">
        <v>975</v>
      </c>
      <c r="E578" s="2" t="str">
        <f t="shared" si="8"/>
        <v>DONNA ZIPP</v>
      </c>
      <c r="F578" s="2" t="s">
        <v>337</v>
      </c>
      <c r="G578" s="2" t="s">
        <v>29</v>
      </c>
      <c r="H578" s="3">
        <v>46023</v>
      </c>
      <c r="I578" s="3">
        <v>46023</v>
      </c>
      <c r="J578" s="2">
        <v>8307933</v>
      </c>
      <c r="K578" s="2" t="s">
        <v>32</v>
      </c>
      <c r="L578" s="2" t="s">
        <v>111</v>
      </c>
      <c r="M578" s="2" t="s">
        <v>34</v>
      </c>
      <c r="N578" s="2">
        <v>-497</v>
      </c>
      <c r="O578" s="2">
        <v>-347</v>
      </c>
      <c r="P578" s="2" t="s">
        <v>748</v>
      </c>
      <c r="Q578" s="2" t="s">
        <v>749</v>
      </c>
    </row>
    <row r="579" spans="1:27" s="2" customFormat="1" x14ac:dyDescent="0.25">
      <c r="A579" s="2" t="s">
        <v>267</v>
      </c>
      <c r="B579" s="2" t="str">
        <f>CONCATENATE(A579,89)</f>
        <v>4DP9RX5RM1989</v>
      </c>
      <c r="C579" s="2" t="s">
        <v>994</v>
      </c>
      <c r="D579" s="2" t="s">
        <v>935</v>
      </c>
      <c r="E579" s="2" t="str">
        <f t="shared" ref="E579:E612" si="9">CONCATENATE(D579," ",C579)</f>
        <v>MARY FRY</v>
      </c>
      <c r="F579" s="2" t="s">
        <v>270</v>
      </c>
      <c r="G579" s="2" t="s">
        <v>29</v>
      </c>
      <c r="H579" s="3">
        <v>46054</v>
      </c>
      <c r="I579" s="3">
        <v>46054</v>
      </c>
      <c r="J579" s="2">
        <v>8307933</v>
      </c>
      <c r="K579" s="2" t="s">
        <v>32</v>
      </c>
      <c r="L579" s="2" t="s">
        <v>111</v>
      </c>
      <c r="M579" s="2" t="s">
        <v>34</v>
      </c>
      <c r="N579" s="2">
        <v>-455.58</v>
      </c>
      <c r="O579" s="2">
        <v>-318.08</v>
      </c>
      <c r="P579" s="2" t="s">
        <v>748</v>
      </c>
      <c r="Q579" s="2" t="s">
        <v>751</v>
      </c>
    </row>
    <row r="580" spans="1:27" s="2" customFormat="1" x14ac:dyDescent="0.25">
      <c r="A580" s="2" t="s">
        <v>159</v>
      </c>
      <c r="B580" s="2" t="str">
        <f>CONCATENATE(A580,77)</f>
        <v>7QM2PE3TK0677</v>
      </c>
      <c r="C580" s="2" t="s">
        <v>928</v>
      </c>
      <c r="D580" s="2" t="s">
        <v>929</v>
      </c>
      <c r="E580" s="2" t="str">
        <f t="shared" si="9"/>
        <v>PHETSAMONE CHANTHANALAY</v>
      </c>
      <c r="F580" s="2" t="s">
        <v>42</v>
      </c>
      <c r="G580" s="2" t="s">
        <v>29</v>
      </c>
      <c r="H580" s="3">
        <v>46023</v>
      </c>
      <c r="I580" s="3">
        <v>46023</v>
      </c>
      <c r="J580" s="2">
        <v>8405446</v>
      </c>
      <c r="K580" s="2" t="s">
        <v>32</v>
      </c>
      <c r="L580" s="2" t="s">
        <v>162</v>
      </c>
      <c r="M580" s="2" t="s">
        <v>34</v>
      </c>
      <c r="N580" s="2">
        <v>844</v>
      </c>
      <c r="O580" s="2">
        <v>694</v>
      </c>
      <c r="P580" s="2" t="s">
        <v>753</v>
      </c>
      <c r="Q580" s="2" t="s">
        <v>756</v>
      </c>
    </row>
    <row r="581" spans="1:27" s="2" customFormat="1" x14ac:dyDescent="0.25">
      <c r="A581" s="2" t="s">
        <v>396</v>
      </c>
      <c r="B581" s="2" t="str">
        <f>CONCATENATE(A581,77)</f>
        <v>2VQ7WU0YJ7777</v>
      </c>
      <c r="C581" s="2" t="s">
        <v>954</v>
      </c>
      <c r="D581" s="2" t="s">
        <v>955</v>
      </c>
      <c r="E581" s="2" t="str">
        <f t="shared" si="9"/>
        <v>OUN KHAM</v>
      </c>
      <c r="F581" s="2" t="s">
        <v>42</v>
      </c>
      <c r="G581" s="2" t="s">
        <v>29</v>
      </c>
      <c r="H581" s="3">
        <v>46023</v>
      </c>
      <c r="I581" s="3">
        <v>46023</v>
      </c>
      <c r="J581" s="2">
        <v>8405446</v>
      </c>
      <c r="K581" s="2" t="s">
        <v>32</v>
      </c>
      <c r="L581" s="2" t="s">
        <v>162</v>
      </c>
      <c r="M581" s="2" t="s">
        <v>34</v>
      </c>
      <c r="N581" s="2">
        <v>844</v>
      </c>
      <c r="O581" s="2">
        <v>694</v>
      </c>
      <c r="P581" s="2" t="s">
        <v>753</v>
      </c>
      <c r="Q581" s="2" t="s">
        <v>756</v>
      </c>
    </row>
    <row r="582" spans="1:27" s="2" customFormat="1" x14ac:dyDescent="0.25">
      <c r="A582" s="2" t="s">
        <v>448</v>
      </c>
      <c r="B582" s="2" t="str">
        <f>CONCATENATE(A582,77)</f>
        <v>2V79E63RU5177</v>
      </c>
      <c r="C582" s="2" t="s">
        <v>958</v>
      </c>
      <c r="D582" s="2" t="s">
        <v>959</v>
      </c>
      <c r="E582" s="2" t="str">
        <f t="shared" si="9"/>
        <v>NANG MALAYTHONG</v>
      </c>
      <c r="F582" s="2" t="s">
        <v>42</v>
      </c>
      <c r="G582" s="2" t="s">
        <v>29</v>
      </c>
      <c r="H582" s="3">
        <v>46023</v>
      </c>
      <c r="I582" s="3">
        <v>46023</v>
      </c>
      <c r="J582" s="2">
        <v>8405446</v>
      </c>
      <c r="K582" s="2" t="s">
        <v>32</v>
      </c>
      <c r="L582" s="2" t="s">
        <v>162</v>
      </c>
      <c r="M582" s="2" t="s">
        <v>34</v>
      </c>
      <c r="N582" s="2">
        <v>844</v>
      </c>
      <c r="O582" s="2">
        <v>694</v>
      </c>
      <c r="P582" s="2" t="s">
        <v>753</v>
      </c>
      <c r="Q582" s="2" t="s">
        <v>756</v>
      </c>
    </row>
    <row r="583" spans="1:27" s="4" customFormat="1" x14ac:dyDescent="0.25">
      <c r="A583" s="2" t="s">
        <v>159</v>
      </c>
      <c r="B583" s="2" t="str">
        <f>CONCATENATE(A583,89)</f>
        <v>7QM2PE3TK0689</v>
      </c>
      <c r="C583" s="2" t="s">
        <v>928</v>
      </c>
      <c r="D583" s="2" t="s">
        <v>929</v>
      </c>
      <c r="E583" s="2" t="str">
        <f t="shared" si="9"/>
        <v>PHETSAMONE CHANTHANALAY</v>
      </c>
      <c r="F583" s="2" t="s">
        <v>42</v>
      </c>
      <c r="G583" s="2" t="s">
        <v>29</v>
      </c>
      <c r="H583" s="3">
        <v>46023</v>
      </c>
      <c r="I583" s="3">
        <v>46023</v>
      </c>
      <c r="J583" s="2">
        <v>8405446</v>
      </c>
      <c r="K583" s="2" t="s">
        <v>32</v>
      </c>
      <c r="L583" s="2" t="s">
        <v>162</v>
      </c>
      <c r="M583" s="2" t="s">
        <v>34</v>
      </c>
      <c r="N583" s="2">
        <v>-497</v>
      </c>
      <c r="O583" s="2">
        <v>-347</v>
      </c>
      <c r="P583" s="2" t="s">
        <v>748</v>
      </c>
      <c r="Q583" s="2" t="s">
        <v>749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s="4" customFormat="1" x14ac:dyDescent="0.25">
      <c r="A584" s="2" t="s">
        <v>396</v>
      </c>
      <c r="B584" s="2" t="str">
        <f>CONCATENATE(A584,89)</f>
        <v>2VQ7WU0YJ7789</v>
      </c>
      <c r="C584" s="2" t="s">
        <v>954</v>
      </c>
      <c r="D584" s="2" t="s">
        <v>955</v>
      </c>
      <c r="E584" s="2" t="str">
        <f t="shared" si="9"/>
        <v>OUN KHAM</v>
      </c>
      <c r="F584" s="2" t="s">
        <v>42</v>
      </c>
      <c r="G584" s="2" t="s">
        <v>29</v>
      </c>
      <c r="H584" s="3">
        <v>46023</v>
      </c>
      <c r="I584" s="3">
        <v>46023</v>
      </c>
      <c r="J584" s="2">
        <v>8405446</v>
      </c>
      <c r="K584" s="2" t="s">
        <v>32</v>
      </c>
      <c r="L584" s="2" t="s">
        <v>162</v>
      </c>
      <c r="M584" s="2" t="s">
        <v>34</v>
      </c>
      <c r="N584" s="2">
        <v>-497</v>
      </c>
      <c r="O584" s="2">
        <v>-347</v>
      </c>
      <c r="P584" s="2" t="s">
        <v>748</v>
      </c>
      <c r="Q584" s="2" t="s">
        <v>749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s="4" customFormat="1" x14ac:dyDescent="0.25">
      <c r="A585" s="2" t="s">
        <v>448</v>
      </c>
      <c r="B585" s="2" t="str">
        <f>CONCATENATE(A585,89)</f>
        <v>2V79E63RU5189</v>
      </c>
      <c r="C585" s="2" t="s">
        <v>958</v>
      </c>
      <c r="D585" s="2" t="s">
        <v>959</v>
      </c>
      <c r="E585" s="2" t="str">
        <f t="shared" si="9"/>
        <v>NANG MALAYTHONG</v>
      </c>
      <c r="F585" s="2" t="s">
        <v>42</v>
      </c>
      <c r="G585" s="2" t="s">
        <v>29</v>
      </c>
      <c r="H585" s="3">
        <v>46023</v>
      </c>
      <c r="I585" s="3">
        <v>46023</v>
      </c>
      <c r="J585" s="2">
        <v>8405446</v>
      </c>
      <c r="K585" s="2" t="s">
        <v>32</v>
      </c>
      <c r="L585" s="2" t="s">
        <v>162</v>
      </c>
      <c r="M585" s="2" t="s">
        <v>34</v>
      </c>
      <c r="N585" s="2">
        <v>-497</v>
      </c>
      <c r="O585" s="2">
        <v>-347</v>
      </c>
      <c r="P585" s="2" t="s">
        <v>748</v>
      </c>
      <c r="Q585" s="2" t="s">
        <v>749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s="4" customFormat="1" x14ac:dyDescent="0.25">
      <c r="A586" s="2" t="s">
        <v>662</v>
      </c>
      <c r="B586" s="2" t="str">
        <f>CONCATENATE(A586,77)</f>
        <v>8QR1RC0WJ3877</v>
      </c>
      <c r="C586" s="2" t="s">
        <v>969</v>
      </c>
      <c r="D586" s="2" t="s">
        <v>970</v>
      </c>
      <c r="E586" s="2" t="str">
        <f t="shared" si="9"/>
        <v>ELVIA TORRES</v>
      </c>
      <c r="F586" s="2" t="s">
        <v>42</v>
      </c>
      <c r="G586" s="2" t="s">
        <v>29</v>
      </c>
      <c r="H586" s="3">
        <v>46023</v>
      </c>
      <c r="I586" s="3">
        <v>46023</v>
      </c>
      <c r="J586" s="2">
        <v>20212926</v>
      </c>
      <c r="K586" s="2" t="s">
        <v>32</v>
      </c>
      <c r="L586" s="2" t="s">
        <v>665</v>
      </c>
      <c r="M586" s="2" t="s">
        <v>34</v>
      </c>
      <c r="N586" s="2">
        <v>844</v>
      </c>
      <c r="O586" s="2">
        <v>694</v>
      </c>
      <c r="P586" s="2" t="s">
        <v>753</v>
      </c>
      <c r="Q586" s="2" t="s">
        <v>756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s="4" customFormat="1" x14ac:dyDescent="0.25">
      <c r="A587" s="2" t="s">
        <v>662</v>
      </c>
      <c r="B587" s="2" t="str">
        <f>CONCATENATE(A587,89)</f>
        <v>8QR1RC0WJ3889</v>
      </c>
      <c r="C587" s="2" t="s">
        <v>969</v>
      </c>
      <c r="D587" s="2" t="s">
        <v>970</v>
      </c>
      <c r="E587" s="2" t="str">
        <f t="shared" si="9"/>
        <v>ELVIA TORRES</v>
      </c>
      <c r="F587" s="2" t="s">
        <v>42</v>
      </c>
      <c r="G587" s="2" t="s">
        <v>29</v>
      </c>
      <c r="H587" s="3">
        <v>46023</v>
      </c>
      <c r="I587" s="3">
        <v>46023</v>
      </c>
      <c r="J587" s="2">
        <v>20212926</v>
      </c>
      <c r="K587" s="2" t="s">
        <v>32</v>
      </c>
      <c r="L587" s="2" t="s">
        <v>665</v>
      </c>
      <c r="M587" s="2" t="s">
        <v>34</v>
      </c>
      <c r="N587" s="2">
        <v>-497</v>
      </c>
      <c r="O587" s="2">
        <v>-347</v>
      </c>
      <c r="P587" s="2" t="s">
        <v>748</v>
      </c>
      <c r="Q587" s="2" t="s">
        <v>749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s="4" customFormat="1" x14ac:dyDescent="0.25">
      <c r="A588" s="2" t="s">
        <v>666</v>
      </c>
      <c r="B588" s="2" t="str">
        <f>CONCATENATE(A588,77)</f>
        <v>8J30P63WM1177</v>
      </c>
      <c r="C588" s="2" t="s">
        <v>971</v>
      </c>
      <c r="D588" s="2" t="s">
        <v>819</v>
      </c>
      <c r="E588" s="2" t="str">
        <f t="shared" si="9"/>
        <v>JOHN TRACY</v>
      </c>
      <c r="F588" s="2" t="s">
        <v>42</v>
      </c>
      <c r="G588" s="2" t="s">
        <v>29</v>
      </c>
      <c r="H588" s="3">
        <v>46023</v>
      </c>
      <c r="I588" s="3">
        <v>46023</v>
      </c>
      <c r="J588" s="2">
        <v>8325282</v>
      </c>
      <c r="K588" s="2" t="s">
        <v>32</v>
      </c>
      <c r="L588" s="2" t="s">
        <v>313</v>
      </c>
      <c r="M588" s="2" t="s">
        <v>34</v>
      </c>
      <c r="N588" s="2">
        <v>844</v>
      </c>
      <c r="O588" s="2">
        <v>694</v>
      </c>
      <c r="P588" s="2" t="s">
        <v>753</v>
      </c>
      <c r="Q588" s="2" t="s">
        <v>756</v>
      </c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s="4" customFormat="1" x14ac:dyDescent="0.25">
      <c r="A589" s="2" t="s">
        <v>666</v>
      </c>
      <c r="B589" s="2" t="str">
        <f>CONCATENATE(A589,89)</f>
        <v>8J30P63WM1189</v>
      </c>
      <c r="C589" s="2" t="s">
        <v>971</v>
      </c>
      <c r="D589" s="2" t="s">
        <v>819</v>
      </c>
      <c r="E589" s="2" t="str">
        <f t="shared" si="9"/>
        <v>JOHN TRACY</v>
      </c>
      <c r="F589" s="2" t="s">
        <v>42</v>
      </c>
      <c r="G589" s="2" t="s">
        <v>29</v>
      </c>
      <c r="H589" s="3">
        <v>46023</v>
      </c>
      <c r="I589" s="3">
        <v>46023</v>
      </c>
      <c r="J589" s="2">
        <v>8325282</v>
      </c>
      <c r="K589" s="2" t="s">
        <v>32</v>
      </c>
      <c r="L589" s="2" t="s">
        <v>313</v>
      </c>
      <c r="M589" s="2" t="s">
        <v>34</v>
      </c>
      <c r="N589" s="2">
        <v>-497</v>
      </c>
      <c r="O589" s="2">
        <v>-347</v>
      </c>
      <c r="P589" s="2" t="s">
        <v>748</v>
      </c>
      <c r="Q589" s="2" t="s">
        <v>749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s="4" customFormat="1" x14ac:dyDescent="0.25">
      <c r="A590" s="2" t="s">
        <v>309</v>
      </c>
      <c r="B590" s="2" t="str">
        <f>CONCATENATE(A590,89)</f>
        <v>5TJ6A91WU7189</v>
      </c>
      <c r="C590" s="2" t="s">
        <v>1056</v>
      </c>
      <c r="D590" s="2" t="s">
        <v>936</v>
      </c>
      <c r="E590" s="2" t="str">
        <f t="shared" si="9"/>
        <v>JAMES HARTER</v>
      </c>
      <c r="F590" s="2" t="s">
        <v>207</v>
      </c>
      <c r="G590" s="2" t="s">
        <v>86</v>
      </c>
      <c r="H590" s="3">
        <v>46054</v>
      </c>
      <c r="I590" s="3">
        <v>46054</v>
      </c>
      <c r="J590" s="2">
        <v>8325282</v>
      </c>
      <c r="K590" s="2" t="s">
        <v>32</v>
      </c>
      <c r="L590" s="2" t="s">
        <v>313</v>
      </c>
      <c r="M590" s="2" t="s">
        <v>34</v>
      </c>
      <c r="N590" s="2">
        <v>455.58</v>
      </c>
      <c r="O590" s="2">
        <v>318.08</v>
      </c>
      <c r="P590" s="2" t="s">
        <v>748</v>
      </c>
      <c r="Q590" s="2" t="s">
        <v>751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s="4" customFormat="1" x14ac:dyDescent="0.25">
      <c r="A591" s="2" t="s">
        <v>314</v>
      </c>
      <c r="B591" s="2" t="str">
        <f>CONCATENATE(A591,89)</f>
        <v>5MK9AR1AA2789</v>
      </c>
      <c r="C591" s="2" t="s">
        <v>1056</v>
      </c>
      <c r="D591" s="2" t="s">
        <v>1057</v>
      </c>
      <c r="E591" s="2" t="str">
        <f t="shared" si="9"/>
        <v>LUCINDA HARTER</v>
      </c>
      <c r="F591" s="2" t="s">
        <v>207</v>
      </c>
      <c r="G591" s="2" t="s">
        <v>29</v>
      </c>
      <c r="H591" s="3">
        <v>46054</v>
      </c>
      <c r="I591" s="3">
        <v>46054</v>
      </c>
      <c r="J591" s="2">
        <v>8325282</v>
      </c>
      <c r="K591" s="2" t="s">
        <v>32</v>
      </c>
      <c r="L591" s="2" t="s">
        <v>313</v>
      </c>
      <c r="M591" s="2" t="s">
        <v>34</v>
      </c>
      <c r="N591" s="2">
        <v>455.58</v>
      </c>
      <c r="O591" s="2">
        <v>318.08</v>
      </c>
      <c r="P591" s="2" t="s">
        <v>748</v>
      </c>
      <c r="Q591" s="2" t="s">
        <v>751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s="4" customFormat="1" x14ac:dyDescent="0.25">
      <c r="A592" s="2" t="s">
        <v>532</v>
      </c>
      <c r="B592" s="2" t="str">
        <f>CONCATENATE(A592,89)</f>
        <v>6TN6WU7FM6889</v>
      </c>
      <c r="C592" s="2" t="s">
        <v>961</v>
      </c>
      <c r="D592" s="2" t="s">
        <v>962</v>
      </c>
      <c r="E592" s="2" t="str">
        <f t="shared" si="9"/>
        <v>CARL MYERS</v>
      </c>
      <c r="F592" s="2" t="s">
        <v>98</v>
      </c>
      <c r="G592" s="2" t="s">
        <v>29</v>
      </c>
      <c r="H592" s="3">
        <v>46023</v>
      </c>
      <c r="I592" s="3">
        <v>46023</v>
      </c>
      <c r="J592" s="2">
        <v>19219478</v>
      </c>
      <c r="K592" s="2" t="s">
        <v>32</v>
      </c>
      <c r="L592" s="2" t="s">
        <v>477</v>
      </c>
      <c r="M592" s="2" t="s">
        <v>34</v>
      </c>
      <c r="N592" s="2">
        <v>-497</v>
      </c>
      <c r="O592" s="2">
        <v>-347</v>
      </c>
      <c r="P592" s="2" t="s">
        <v>748</v>
      </c>
      <c r="Q592" s="2" t="s">
        <v>749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s="4" customFormat="1" x14ac:dyDescent="0.25">
      <c r="A593" s="2" t="s">
        <v>474</v>
      </c>
      <c r="B593" s="2" t="str">
        <f>CONCATENATE(A593,89)</f>
        <v>6FH3A44EW8289</v>
      </c>
      <c r="C593" s="2" t="s">
        <v>984</v>
      </c>
      <c r="D593" s="2" t="s">
        <v>985</v>
      </c>
      <c r="E593" s="2" t="str">
        <f t="shared" si="9"/>
        <v>HELGA MARI</v>
      </c>
      <c r="F593" s="2" t="s">
        <v>391</v>
      </c>
      <c r="G593" s="2" t="s">
        <v>86</v>
      </c>
      <c r="H593" s="3">
        <v>46023</v>
      </c>
      <c r="I593" s="3">
        <v>46023</v>
      </c>
      <c r="J593" s="2">
        <v>19219478</v>
      </c>
      <c r="K593" s="2" t="s">
        <v>32</v>
      </c>
      <c r="L593" s="2" t="s">
        <v>477</v>
      </c>
      <c r="M593" s="2" t="s">
        <v>34</v>
      </c>
      <c r="N593" s="2">
        <v>-482</v>
      </c>
      <c r="O593" s="2">
        <v>-347</v>
      </c>
      <c r="P593" s="2" t="s">
        <v>748</v>
      </c>
      <c r="Q593" s="2" t="s">
        <v>749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s="4" customFormat="1" x14ac:dyDescent="0.25">
      <c r="A594" s="2" t="s">
        <v>610</v>
      </c>
      <c r="B594" s="2" t="str">
        <f>CONCATENATE(A594,89)</f>
        <v>7NM4CE7TU0289</v>
      </c>
      <c r="C594" s="2" t="s">
        <v>988</v>
      </c>
      <c r="D594" s="2" t="s">
        <v>803</v>
      </c>
      <c r="E594" s="2" t="str">
        <f t="shared" si="9"/>
        <v>SHARON SACKETT</v>
      </c>
      <c r="F594" s="2" t="s">
        <v>98</v>
      </c>
      <c r="G594" s="2" t="s">
        <v>29</v>
      </c>
      <c r="H594" s="3">
        <v>46023</v>
      </c>
      <c r="I594" s="3">
        <v>46023</v>
      </c>
      <c r="J594" s="2">
        <v>19219478</v>
      </c>
      <c r="K594" s="2" t="s">
        <v>32</v>
      </c>
      <c r="L594" s="2" t="s">
        <v>477</v>
      </c>
      <c r="M594" s="2" t="s">
        <v>34</v>
      </c>
      <c r="N594" s="2">
        <v>-482</v>
      </c>
      <c r="O594" s="2">
        <v>-347</v>
      </c>
      <c r="P594" s="2" t="s">
        <v>748</v>
      </c>
      <c r="Q594" s="2" t="s">
        <v>749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s="4" customFormat="1" x14ac:dyDescent="0.25">
      <c r="A595" s="2" t="s">
        <v>474</v>
      </c>
      <c r="B595" s="2" t="str">
        <f>CONCATENATE(A595,89)</f>
        <v>6FH3A44EW8289</v>
      </c>
      <c r="C595" s="2" t="s">
        <v>984</v>
      </c>
      <c r="D595" s="2" t="s">
        <v>985</v>
      </c>
      <c r="E595" s="2" t="str">
        <f t="shared" si="9"/>
        <v>HELGA MARI</v>
      </c>
      <c r="F595" s="2" t="s">
        <v>391</v>
      </c>
      <c r="G595" s="2" t="s">
        <v>86</v>
      </c>
      <c r="H595" s="3">
        <v>46023</v>
      </c>
      <c r="I595" s="3">
        <v>46023</v>
      </c>
      <c r="J595" s="2">
        <v>19219478</v>
      </c>
      <c r="K595" s="2" t="s">
        <v>32</v>
      </c>
      <c r="L595" s="2" t="s">
        <v>477</v>
      </c>
      <c r="M595" s="2" t="s">
        <v>34</v>
      </c>
      <c r="N595" s="2">
        <v>40.17</v>
      </c>
      <c r="O595" s="2">
        <v>28.91</v>
      </c>
      <c r="P595" s="2" t="s">
        <v>748</v>
      </c>
      <c r="Q595" s="2" t="s">
        <v>764</v>
      </c>
      <c r="R595" s="2">
        <f>O595+O599</f>
        <v>722.91</v>
      </c>
      <c r="S595" s="2"/>
      <c r="T595" s="2"/>
      <c r="U595" s="2"/>
      <c r="V595" s="2"/>
      <c r="W595" s="2"/>
      <c r="X595" s="2"/>
      <c r="Y595" s="2"/>
      <c r="Z595" s="2"/>
      <c r="AA595" s="2"/>
    </row>
    <row r="596" spans="1:27" s="4" customFormat="1" x14ac:dyDescent="0.25">
      <c r="A596" s="2" t="s">
        <v>392</v>
      </c>
      <c r="B596" s="2" t="str">
        <f>CONCATENATE(A596,89)</f>
        <v>8Y45PH1JU7889</v>
      </c>
      <c r="C596" s="2" t="s">
        <v>1058</v>
      </c>
      <c r="D596" s="2" t="s">
        <v>1059</v>
      </c>
      <c r="E596" s="2" t="str">
        <f t="shared" si="9"/>
        <v>JUDY KENT</v>
      </c>
      <c r="F596" s="2" t="s">
        <v>42</v>
      </c>
      <c r="G596" s="2" t="s">
        <v>29</v>
      </c>
      <c r="H596" s="3">
        <v>46023</v>
      </c>
      <c r="I596" s="3">
        <v>46023</v>
      </c>
      <c r="J596" s="2">
        <v>19615078</v>
      </c>
      <c r="K596" s="2" t="s">
        <v>32</v>
      </c>
      <c r="L596" s="2" t="s">
        <v>395</v>
      </c>
      <c r="M596" s="2" t="s">
        <v>34</v>
      </c>
      <c r="N596" s="2">
        <v>497</v>
      </c>
      <c r="O596" s="2">
        <v>347</v>
      </c>
      <c r="P596" s="2" t="s">
        <v>748</v>
      </c>
      <c r="Q596" s="2" t="s">
        <v>749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s="4" customFormat="1" x14ac:dyDescent="0.25">
      <c r="A597" s="2" t="s">
        <v>189</v>
      </c>
      <c r="B597" s="2" t="str">
        <f>CONCATENATE(A597,77)</f>
        <v>2PN5HJ1DY4077</v>
      </c>
      <c r="C597" s="2" t="s">
        <v>934</v>
      </c>
      <c r="D597" s="2" t="s">
        <v>935</v>
      </c>
      <c r="E597" s="2" t="str">
        <f t="shared" si="9"/>
        <v>MARY CORZATT</v>
      </c>
      <c r="F597" s="2" t="s">
        <v>42</v>
      </c>
      <c r="G597" s="2" t="s">
        <v>29</v>
      </c>
      <c r="H597" s="3">
        <v>46023</v>
      </c>
      <c r="I597" s="3">
        <v>46023</v>
      </c>
      <c r="J597" s="2">
        <v>20003537</v>
      </c>
      <c r="K597" s="2" t="s">
        <v>32</v>
      </c>
      <c r="L597" s="2" t="s">
        <v>193</v>
      </c>
      <c r="M597" s="2" t="s">
        <v>34</v>
      </c>
      <c r="N597" s="2">
        <v>844</v>
      </c>
      <c r="O597" s="2">
        <v>694</v>
      </c>
      <c r="P597" s="2" t="s">
        <v>753</v>
      </c>
      <c r="Q597" s="2" t="s">
        <v>756</v>
      </c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s="4" customFormat="1" x14ac:dyDescent="0.25">
      <c r="A598" s="2" t="s">
        <v>194</v>
      </c>
      <c r="B598" s="2" t="str">
        <f>CONCATENATE(A598,77)</f>
        <v>5VH0XT7GT3077</v>
      </c>
      <c r="C598" s="2" t="s">
        <v>934</v>
      </c>
      <c r="D598" s="2" t="s">
        <v>936</v>
      </c>
      <c r="E598" s="2" t="str">
        <f t="shared" si="9"/>
        <v>JAMES CORZATT</v>
      </c>
      <c r="F598" s="2" t="s">
        <v>42</v>
      </c>
      <c r="G598" s="2" t="s">
        <v>29</v>
      </c>
      <c r="H598" s="3">
        <v>46023</v>
      </c>
      <c r="I598" s="3">
        <v>46023</v>
      </c>
      <c r="J598" s="2">
        <v>20003537</v>
      </c>
      <c r="K598" s="2" t="s">
        <v>32</v>
      </c>
      <c r="L598" s="2" t="s">
        <v>193</v>
      </c>
      <c r="M598" s="2" t="s">
        <v>34</v>
      </c>
      <c r="N598" s="2">
        <v>844</v>
      </c>
      <c r="O598" s="2">
        <v>694</v>
      </c>
      <c r="P598" s="2" t="s">
        <v>753</v>
      </c>
      <c r="Q598" s="2" t="s">
        <v>756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s="4" customFormat="1" x14ac:dyDescent="0.25">
      <c r="A599" s="2" t="s">
        <v>388</v>
      </c>
      <c r="B599" s="2" t="str">
        <f>CONCATENATE(A599,77)</f>
        <v>7D76WK0WX8377</v>
      </c>
      <c r="C599" s="2" t="s">
        <v>953</v>
      </c>
      <c r="D599" s="2" t="s">
        <v>783</v>
      </c>
      <c r="E599" s="2" t="str">
        <f t="shared" si="9"/>
        <v>MICHAEL KANE</v>
      </c>
      <c r="F599" s="2" t="s">
        <v>391</v>
      </c>
      <c r="G599" s="2" t="s">
        <v>86</v>
      </c>
      <c r="H599" s="3">
        <v>46023</v>
      </c>
      <c r="I599" s="3">
        <v>46023</v>
      </c>
      <c r="J599" s="2">
        <v>20003537</v>
      </c>
      <c r="K599" s="2" t="s">
        <v>32</v>
      </c>
      <c r="L599" s="2" t="s">
        <v>193</v>
      </c>
      <c r="M599" s="2" t="s">
        <v>34</v>
      </c>
      <c r="N599" s="2">
        <v>844</v>
      </c>
      <c r="O599" s="2">
        <v>694</v>
      </c>
      <c r="P599" s="2" t="s">
        <v>753</v>
      </c>
      <c r="Q599" s="2" t="s">
        <v>756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s="4" customFormat="1" x14ac:dyDescent="0.25">
      <c r="A600" s="2" t="s">
        <v>656</v>
      </c>
      <c r="B600" s="2" t="str">
        <f>CONCATENATE(A600,77)</f>
        <v>1X54JK2RA9377</v>
      </c>
      <c r="C600" s="2" t="s">
        <v>821</v>
      </c>
      <c r="D600" s="2" t="s">
        <v>968</v>
      </c>
      <c r="E600" s="2" t="str">
        <f t="shared" si="9"/>
        <v>KEEGAN TERRY</v>
      </c>
      <c r="F600" s="2" t="s">
        <v>42</v>
      </c>
      <c r="G600" s="2" t="s">
        <v>29</v>
      </c>
      <c r="H600" s="3">
        <v>46023</v>
      </c>
      <c r="I600" s="3">
        <v>46023</v>
      </c>
      <c r="J600" s="2">
        <v>20003537</v>
      </c>
      <c r="K600" s="2" t="s">
        <v>32</v>
      </c>
      <c r="L600" s="2" t="s">
        <v>193</v>
      </c>
      <c r="M600" s="2" t="s">
        <v>34</v>
      </c>
      <c r="N600" s="2">
        <v>844</v>
      </c>
      <c r="O600" s="2">
        <v>694</v>
      </c>
      <c r="P600" s="2" t="s">
        <v>753</v>
      </c>
      <c r="Q600" s="2" t="s">
        <v>756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s="4" customFormat="1" x14ac:dyDescent="0.25">
      <c r="A601" s="2" t="s">
        <v>189</v>
      </c>
      <c r="B601" s="2" t="str">
        <f>CONCATENATE(A601,89)</f>
        <v>2PN5HJ1DY4089</v>
      </c>
      <c r="C601" s="2" t="s">
        <v>934</v>
      </c>
      <c r="D601" s="2" t="s">
        <v>935</v>
      </c>
      <c r="E601" s="2" t="str">
        <f t="shared" si="9"/>
        <v>MARY CORZATT</v>
      </c>
      <c r="F601" s="2" t="s">
        <v>42</v>
      </c>
      <c r="G601" s="2" t="s">
        <v>29</v>
      </c>
      <c r="H601" s="3">
        <v>46023</v>
      </c>
      <c r="I601" s="3">
        <v>46023</v>
      </c>
      <c r="J601" s="2">
        <v>20003537</v>
      </c>
      <c r="K601" s="2" t="s">
        <v>32</v>
      </c>
      <c r="L601" s="2" t="s">
        <v>193</v>
      </c>
      <c r="M601" s="2" t="s">
        <v>34</v>
      </c>
      <c r="N601" s="2">
        <v>-497</v>
      </c>
      <c r="O601" s="2">
        <v>-347</v>
      </c>
      <c r="P601" s="2" t="s">
        <v>748</v>
      </c>
      <c r="Q601" s="2" t="s">
        <v>749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s="4" customFormat="1" x14ac:dyDescent="0.25">
      <c r="A602" s="2" t="s">
        <v>194</v>
      </c>
      <c r="B602" s="2" t="str">
        <f>CONCATENATE(A602,89)</f>
        <v>5VH0XT7GT3089</v>
      </c>
      <c r="C602" s="2" t="s">
        <v>934</v>
      </c>
      <c r="D602" s="2" t="s">
        <v>936</v>
      </c>
      <c r="E602" s="2" t="str">
        <f t="shared" si="9"/>
        <v>JAMES CORZATT</v>
      </c>
      <c r="F602" s="2" t="s">
        <v>42</v>
      </c>
      <c r="G602" s="2" t="s">
        <v>29</v>
      </c>
      <c r="H602" s="3">
        <v>46023</v>
      </c>
      <c r="I602" s="3">
        <v>46023</v>
      </c>
      <c r="J602" s="2">
        <v>20003537</v>
      </c>
      <c r="K602" s="2" t="s">
        <v>32</v>
      </c>
      <c r="L602" s="2" t="s">
        <v>193</v>
      </c>
      <c r="M602" s="2" t="s">
        <v>34</v>
      </c>
      <c r="N602" s="2">
        <v>-497</v>
      </c>
      <c r="O602" s="2">
        <v>-347</v>
      </c>
      <c r="P602" s="2" t="s">
        <v>748</v>
      </c>
      <c r="Q602" s="2" t="s">
        <v>749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s="4" customFormat="1" x14ac:dyDescent="0.25">
      <c r="A603" s="2" t="s">
        <v>388</v>
      </c>
      <c r="B603" s="2" t="str">
        <f>CONCATENATE(A603,89)</f>
        <v>7D76WK0WX8389</v>
      </c>
      <c r="C603" s="2" t="s">
        <v>953</v>
      </c>
      <c r="D603" s="2" t="s">
        <v>783</v>
      </c>
      <c r="E603" s="2" t="str">
        <f t="shared" si="9"/>
        <v>MICHAEL KANE</v>
      </c>
      <c r="F603" s="2" t="s">
        <v>391</v>
      </c>
      <c r="G603" s="2" t="s">
        <v>86</v>
      </c>
      <c r="H603" s="3">
        <v>46023</v>
      </c>
      <c r="I603" s="3">
        <v>46023</v>
      </c>
      <c r="J603" s="2">
        <v>20003537</v>
      </c>
      <c r="K603" s="2" t="s">
        <v>32</v>
      </c>
      <c r="L603" s="2" t="s">
        <v>193</v>
      </c>
      <c r="M603" s="2" t="s">
        <v>34</v>
      </c>
      <c r="N603" s="2">
        <v>-497</v>
      </c>
      <c r="O603" s="2">
        <v>-347</v>
      </c>
      <c r="P603" s="2" t="s">
        <v>748</v>
      </c>
      <c r="Q603" s="2" t="s">
        <v>749</v>
      </c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s="4" customFormat="1" x14ac:dyDescent="0.25">
      <c r="A604" s="2" t="s">
        <v>656</v>
      </c>
      <c r="B604" s="2" t="str">
        <f>CONCATENATE(A604,89)</f>
        <v>1X54JK2RA9389</v>
      </c>
      <c r="C604" s="2" t="s">
        <v>821</v>
      </c>
      <c r="D604" s="2" t="s">
        <v>968</v>
      </c>
      <c r="E604" s="2" t="str">
        <f t="shared" si="9"/>
        <v>KEEGAN TERRY</v>
      </c>
      <c r="F604" s="2" t="s">
        <v>42</v>
      </c>
      <c r="G604" s="2" t="s">
        <v>29</v>
      </c>
      <c r="H604" s="3">
        <v>46023</v>
      </c>
      <c r="I604" s="3">
        <v>46023</v>
      </c>
      <c r="J604" s="2">
        <v>20003537</v>
      </c>
      <c r="K604" s="2" t="s">
        <v>32</v>
      </c>
      <c r="L604" s="2" t="s">
        <v>193</v>
      </c>
      <c r="M604" s="2" t="s">
        <v>34</v>
      </c>
      <c r="N604" s="2">
        <v>-497</v>
      </c>
      <c r="O604" s="2">
        <v>-347</v>
      </c>
      <c r="P604" s="2" t="s">
        <v>748</v>
      </c>
      <c r="Q604" s="2" t="s">
        <v>749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s="4" customFormat="1" x14ac:dyDescent="0.25">
      <c r="A605" s="2" t="s">
        <v>229</v>
      </c>
      <c r="B605" s="2" t="str">
        <f>CONCATENATE(A605,77)</f>
        <v>3NE6UK1TP7377</v>
      </c>
      <c r="C605" s="2" t="s">
        <v>981</v>
      </c>
      <c r="D605" s="2" t="s">
        <v>912</v>
      </c>
      <c r="E605" s="2" t="str">
        <f t="shared" si="9"/>
        <v>SALLY DODGE</v>
      </c>
      <c r="F605" s="2" t="s">
        <v>232</v>
      </c>
      <c r="G605" s="2" t="s">
        <v>29</v>
      </c>
      <c r="H605" s="3">
        <v>46023</v>
      </c>
      <c r="I605" s="3">
        <v>46023</v>
      </c>
      <c r="J605" s="2">
        <v>18754354</v>
      </c>
      <c r="K605" s="2" t="s">
        <v>32</v>
      </c>
      <c r="L605" s="2" t="s">
        <v>178</v>
      </c>
      <c r="M605" s="2" t="s">
        <v>34</v>
      </c>
      <c r="N605" s="2">
        <v>829</v>
      </c>
      <c r="O605" s="2">
        <v>694</v>
      </c>
      <c r="P605" s="2" t="s">
        <v>753</v>
      </c>
      <c r="Q605" s="2" t="s">
        <v>756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s="4" customFormat="1" x14ac:dyDescent="0.25">
      <c r="A606" s="2" t="s">
        <v>516</v>
      </c>
      <c r="B606" s="2" t="str">
        <f>CONCATENATE(A606,77)</f>
        <v>4EC7JW7UE5377</v>
      </c>
      <c r="C606" s="2" t="s">
        <v>884</v>
      </c>
      <c r="D606" s="2" t="s">
        <v>999</v>
      </c>
      <c r="E606" s="2" t="str">
        <f t="shared" si="9"/>
        <v>JANET MILLER</v>
      </c>
      <c r="F606" s="2" t="s">
        <v>519</v>
      </c>
      <c r="G606" s="2" t="s">
        <v>29</v>
      </c>
      <c r="H606" s="3">
        <v>46054</v>
      </c>
      <c r="I606" s="3">
        <v>46054</v>
      </c>
      <c r="J606" s="2">
        <v>18754354</v>
      </c>
      <c r="K606" s="2" t="s">
        <v>32</v>
      </c>
      <c r="L606" s="2" t="s">
        <v>178</v>
      </c>
      <c r="M606" s="2" t="s">
        <v>34</v>
      </c>
      <c r="N606" s="2">
        <v>829</v>
      </c>
      <c r="O606" s="2">
        <v>694</v>
      </c>
      <c r="P606" s="2" t="s">
        <v>753</v>
      </c>
      <c r="Q606" s="2" t="s">
        <v>756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s="4" customFormat="1" x14ac:dyDescent="0.25">
      <c r="A607" s="2" t="s">
        <v>175</v>
      </c>
      <c r="B607" s="2" t="str">
        <f>CONCATENATE(A607,77)</f>
        <v>9R76NU0MD4077</v>
      </c>
      <c r="C607" s="2" t="s">
        <v>931</v>
      </c>
      <c r="D607" s="2" t="s">
        <v>812</v>
      </c>
      <c r="E607" s="2" t="str">
        <f t="shared" si="9"/>
        <v>GREGORY CLARK</v>
      </c>
      <c r="F607" s="2" t="s">
        <v>42</v>
      </c>
      <c r="G607" s="2" t="s">
        <v>29</v>
      </c>
      <c r="H607" s="3">
        <v>46023</v>
      </c>
      <c r="I607" s="3">
        <v>46023</v>
      </c>
      <c r="J607" s="2">
        <v>18754354</v>
      </c>
      <c r="K607" s="2" t="s">
        <v>32</v>
      </c>
      <c r="L607" s="2" t="s">
        <v>178</v>
      </c>
      <c r="M607" s="2" t="s">
        <v>34</v>
      </c>
      <c r="N607" s="2">
        <v>844</v>
      </c>
      <c r="O607" s="2">
        <v>694</v>
      </c>
      <c r="P607" s="2" t="s">
        <v>753</v>
      </c>
      <c r="Q607" s="2" t="s">
        <v>756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s="4" customFormat="1" x14ac:dyDescent="0.25">
      <c r="A608" s="2" t="s">
        <v>175</v>
      </c>
      <c r="B608" s="2" t="str">
        <f>CONCATENATE(A608,89)</f>
        <v>9R76NU0MD4089</v>
      </c>
      <c r="C608" s="2" t="s">
        <v>931</v>
      </c>
      <c r="D608" s="2" t="s">
        <v>812</v>
      </c>
      <c r="E608" s="2" t="str">
        <f t="shared" si="9"/>
        <v>GREGORY CLARK</v>
      </c>
      <c r="F608" s="2" t="s">
        <v>42</v>
      </c>
      <c r="G608" s="2" t="s">
        <v>29</v>
      </c>
      <c r="H608" s="3">
        <v>46023</v>
      </c>
      <c r="I608" s="3">
        <v>46023</v>
      </c>
      <c r="J608" s="2">
        <v>18754354</v>
      </c>
      <c r="K608" s="2" t="s">
        <v>32</v>
      </c>
      <c r="L608" s="2" t="s">
        <v>178</v>
      </c>
      <c r="M608" s="2" t="s">
        <v>34</v>
      </c>
      <c r="N608" s="2">
        <v>-497</v>
      </c>
      <c r="O608" s="2">
        <v>-347</v>
      </c>
      <c r="P608" s="2" t="s">
        <v>748</v>
      </c>
      <c r="Q608" s="2" t="s">
        <v>749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s="2" customFormat="1" x14ac:dyDescent="0.25">
      <c r="A609" s="2" t="s">
        <v>229</v>
      </c>
      <c r="B609" s="2" t="str">
        <f>CONCATENATE(A609,89)</f>
        <v>3NE6UK1TP7389</v>
      </c>
      <c r="C609" s="2" t="s">
        <v>981</v>
      </c>
      <c r="D609" s="2" t="s">
        <v>912</v>
      </c>
      <c r="E609" s="2" t="str">
        <f t="shared" si="9"/>
        <v>SALLY DODGE</v>
      </c>
      <c r="F609" s="2" t="s">
        <v>232</v>
      </c>
      <c r="G609" s="2" t="s">
        <v>29</v>
      </c>
      <c r="H609" s="3">
        <v>46023</v>
      </c>
      <c r="I609" s="3">
        <v>46023</v>
      </c>
      <c r="J609" s="2">
        <v>18754354</v>
      </c>
      <c r="K609" s="2" t="s">
        <v>32</v>
      </c>
      <c r="L609" s="2" t="s">
        <v>178</v>
      </c>
      <c r="M609" s="2" t="s">
        <v>34</v>
      </c>
      <c r="N609" s="2">
        <v>-482</v>
      </c>
      <c r="O609" s="2">
        <v>-347</v>
      </c>
      <c r="P609" s="2" t="s">
        <v>748</v>
      </c>
      <c r="Q609" s="2" t="s">
        <v>749</v>
      </c>
    </row>
    <row r="610" spans="1:27" s="2" customFormat="1" x14ac:dyDescent="0.25">
      <c r="A610" s="2" t="s">
        <v>516</v>
      </c>
      <c r="B610" s="2" t="str">
        <f>CONCATENATE(A610,89)</f>
        <v>4EC7JW7UE5389</v>
      </c>
      <c r="C610" s="2" t="s">
        <v>884</v>
      </c>
      <c r="D610" s="2" t="s">
        <v>999</v>
      </c>
      <c r="E610" s="2" t="str">
        <f t="shared" si="9"/>
        <v>JANET MILLER</v>
      </c>
      <c r="F610" s="2" t="s">
        <v>519</v>
      </c>
      <c r="G610" s="2" t="s">
        <v>29</v>
      </c>
      <c r="H610" s="3">
        <v>46054</v>
      </c>
      <c r="I610" s="3">
        <v>46054</v>
      </c>
      <c r="J610" s="2">
        <v>18754354</v>
      </c>
      <c r="K610" s="2" t="s">
        <v>32</v>
      </c>
      <c r="L610" s="2" t="s">
        <v>178</v>
      </c>
      <c r="M610" s="2" t="s">
        <v>34</v>
      </c>
      <c r="N610" s="2">
        <v>-441.83</v>
      </c>
      <c r="O610" s="2">
        <v>-318.08</v>
      </c>
      <c r="P610" s="2" t="s">
        <v>748</v>
      </c>
      <c r="Q610" s="2" t="s">
        <v>751</v>
      </c>
      <c r="S610" s="2">
        <f>347/12*10</f>
        <v>289.16666666666669</v>
      </c>
      <c r="T610" s="2">
        <f>289.16+125</f>
        <v>414.16</v>
      </c>
    </row>
    <row r="611" spans="1:27" s="4" customFormat="1" x14ac:dyDescent="0.25">
      <c r="A611" s="2" t="s">
        <v>606</v>
      </c>
      <c r="B611" s="2" t="str">
        <f>CONCATENATE(A611,77)</f>
        <v>9QK8H47TM3677</v>
      </c>
      <c r="C611" s="2" t="s">
        <v>986</v>
      </c>
      <c r="D611" s="2" t="s">
        <v>987</v>
      </c>
      <c r="E611" s="2" t="str">
        <f t="shared" si="9"/>
        <v>EDITH RUSK</v>
      </c>
      <c r="F611" s="2" t="s">
        <v>42</v>
      </c>
      <c r="G611" s="2" t="s">
        <v>29</v>
      </c>
      <c r="H611" s="3">
        <v>46023</v>
      </c>
      <c r="I611" s="3">
        <v>46023</v>
      </c>
      <c r="J611" s="2">
        <v>16633294</v>
      </c>
      <c r="K611" s="2" t="s">
        <v>32</v>
      </c>
      <c r="L611" s="2" t="s">
        <v>609</v>
      </c>
      <c r="M611" s="2" t="s">
        <v>34</v>
      </c>
      <c r="N611" s="2">
        <v>829</v>
      </c>
      <c r="O611" s="2">
        <v>694</v>
      </c>
      <c r="P611" s="2" t="s">
        <v>753</v>
      </c>
      <c r="Q611" s="2" t="s">
        <v>756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s="4" customFormat="1" x14ac:dyDescent="0.25">
      <c r="A612" s="2" t="s">
        <v>606</v>
      </c>
      <c r="B612" s="2" t="str">
        <f>CONCATENATE(A612,89)</f>
        <v>9QK8H47TM3689</v>
      </c>
      <c r="C612" s="2" t="s">
        <v>986</v>
      </c>
      <c r="D612" s="2" t="s">
        <v>987</v>
      </c>
      <c r="E612" s="2" t="str">
        <f t="shared" si="9"/>
        <v>EDITH RUSK</v>
      </c>
      <c r="F612" s="2" t="s">
        <v>42</v>
      </c>
      <c r="G612" s="2" t="s">
        <v>29</v>
      </c>
      <c r="H612" s="3">
        <v>46023</v>
      </c>
      <c r="I612" s="3">
        <v>46023</v>
      </c>
      <c r="J612" s="2">
        <v>16633294</v>
      </c>
      <c r="K612" s="2" t="s">
        <v>32</v>
      </c>
      <c r="L612" s="2" t="s">
        <v>609</v>
      </c>
      <c r="M612" s="2" t="s">
        <v>34</v>
      </c>
      <c r="N612" s="2">
        <v>-482</v>
      </c>
      <c r="O612" s="2">
        <v>-347</v>
      </c>
      <c r="P612" s="2" t="s">
        <v>748</v>
      </c>
      <c r="Q612" s="2" t="s">
        <v>749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H613" s="1"/>
      <c r="I613" s="1"/>
    </row>
    <row r="614" spans="1:27" x14ac:dyDescent="0.25">
      <c r="H614" s="1"/>
      <c r="I614" s="1"/>
    </row>
    <row r="615" spans="1:27" x14ac:dyDescent="0.25">
      <c r="H615" s="1"/>
      <c r="I615" s="1"/>
    </row>
    <row r="616" spans="1:27" x14ac:dyDescent="0.25">
      <c r="H616" s="1"/>
      <c r="I616" s="1"/>
    </row>
    <row r="617" spans="1:27" x14ac:dyDescent="0.25">
      <c r="H617" s="1"/>
      <c r="I617" s="1"/>
    </row>
    <row r="618" spans="1:27" x14ac:dyDescent="0.25">
      <c r="H618" s="1"/>
      <c r="I618" s="1"/>
    </row>
    <row r="619" spans="1:27" x14ac:dyDescent="0.25">
      <c r="H619" s="1"/>
      <c r="I619" s="1"/>
    </row>
    <row r="620" spans="1:27" x14ac:dyDescent="0.25">
      <c r="H620" s="1"/>
      <c r="I620" s="1"/>
    </row>
    <row r="621" spans="1:27" x14ac:dyDescent="0.25">
      <c r="H621" s="1"/>
      <c r="I621" s="1"/>
    </row>
    <row r="622" spans="1:27" x14ac:dyDescent="0.25">
      <c r="H622" s="1"/>
      <c r="I622" s="1"/>
    </row>
    <row r="623" spans="1:27" x14ac:dyDescent="0.25">
      <c r="H623" s="1"/>
      <c r="I623" s="1"/>
    </row>
    <row r="624" spans="1:27" x14ac:dyDescent="0.25">
      <c r="H624" s="1"/>
      <c r="I624" s="1"/>
    </row>
    <row r="625" spans="8:9" x14ac:dyDescent="0.25">
      <c r="H625" s="1"/>
      <c r="I625" s="1"/>
    </row>
    <row r="626" spans="8:9" x14ac:dyDescent="0.25">
      <c r="H626" s="1"/>
      <c r="I626" s="1"/>
    </row>
    <row r="627" spans="8:9" x14ac:dyDescent="0.25">
      <c r="H627" s="1"/>
      <c r="I627" s="1"/>
    </row>
    <row r="628" spans="8:9" x14ac:dyDescent="0.25">
      <c r="H628" s="1"/>
      <c r="I628" s="1"/>
    </row>
    <row r="629" spans="8:9" x14ac:dyDescent="0.25">
      <c r="H629" s="1"/>
      <c r="I629" s="1"/>
    </row>
    <row r="630" spans="8:9" x14ac:dyDescent="0.25">
      <c r="H630" s="1"/>
      <c r="I630" s="1"/>
    </row>
    <row r="631" spans="8:9" x14ac:dyDescent="0.25">
      <c r="H631" s="1"/>
      <c r="I631" s="1"/>
    </row>
    <row r="632" spans="8:9" x14ac:dyDescent="0.25">
      <c r="H632" s="1"/>
      <c r="I632" s="1"/>
    </row>
    <row r="633" spans="8:9" x14ac:dyDescent="0.25">
      <c r="H633" s="1"/>
      <c r="I633" s="1"/>
    </row>
    <row r="634" spans="8:9" x14ac:dyDescent="0.25">
      <c r="H634" s="1"/>
      <c r="I634" s="1"/>
    </row>
    <row r="635" spans="8:9" x14ac:dyDescent="0.25">
      <c r="H635" s="1"/>
      <c r="I635" s="1"/>
    </row>
    <row r="636" spans="8:9" x14ac:dyDescent="0.25">
      <c r="H636" s="1"/>
      <c r="I636" s="1"/>
    </row>
    <row r="637" spans="8:9" x14ac:dyDescent="0.25">
      <c r="H637" s="1"/>
      <c r="I637" s="1"/>
    </row>
    <row r="638" spans="8:9" x14ac:dyDescent="0.25">
      <c r="H638" s="1"/>
      <c r="I638" s="1"/>
    </row>
    <row r="639" spans="8:9" x14ac:dyDescent="0.25">
      <c r="H639" s="1"/>
      <c r="I639" s="1"/>
    </row>
    <row r="640" spans="8:9" x14ac:dyDescent="0.25">
      <c r="H640" s="1"/>
      <c r="I640" s="1"/>
    </row>
    <row r="641" spans="8:9" x14ac:dyDescent="0.25">
      <c r="H641" s="1"/>
      <c r="I641" s="1"/>
    </row>
    <row r="642" spans="8:9" x14ac:dyDescent="0.25">
      <c r="H642" s="1"/>
      <c r="I642" s="1"/>
    </row>
    <row r="643" spans="8:9" x14ac:dyDescent="0.25">
      <c r="H643" s="1"/>
      <c r="I643" s="1"/>
    </row>
    <row r="644" spans="8:9" x14ac:dyDescent="0.25">
      <c r="H644" s="1"/>
      <c r="I644" s="1"/>
    </row>
    <row r="645" spans="8:9" x14ac:dyDescent="0.25">
      <c r="H645" s="1"/>
      <c r="I645" s="1"/>
    </row>
    <row r="646" spans="8:9" x14ac:dyDescent="0.25">
      <c r="H646" s="1"/>
      <c r="I646" s="1"/>
    </row>
    <row r="647" spans="8:9" x14ac:dyDescent="0.25">
      <c r="H647" s="1"/>
      <c r="I647" s="1"/>
    </row>
    <row r="648" spans="8:9" x14ac:dyDescent="0.25">
      <c r="H648" s="1"/>
      <c r="I648" s="1"/>
    </row>
    <row r="649" spans="8:9" x14ac:dyDescent="0.25">
      <c r="H649" s="1"/>
      <c r="I649" s="1"/>
    </row>
    <row r="650" spans="8:9" x14ac:dyDescent="0.25">
      <c r="H650" s="1"/>
      <c r="I650" s="1"/>
    </row>
    <row r="651" spans="8:9" x14ac:dyDescent="0.25">
      <c r="H651" s="1"/>
      <c r="I651" s="1"/>
    </row>
    <row r="652" spans="8:9" x14ac:dyDescent="0.25">
      <c r="H652" s="1"/>
      <c r="I652" s="1"/>
    </row>
    <row r="653" spans="8:9" x14ac:dyDescent="0.25">
      <c r="H653" s="1"/>
      <c r="I653" s="1"/>
    </row>
    <row r="654" spans="8:9" x14ac:dyDescent="0.25">
      <c r="H654" s="1"/>
      <c r="I654" s="1"/>
    </row>
    <row r="655" spans="8:9" x14ac:dyDescent="0.25">
      <c r="H655" s="1"/>
      <c r="I655" s="1"/>
    </row>
    <row r="656" spans="8:9" x14ac:dyDescent="0.25">
      <c r="H656" s="1"/>
      <c r="I656" s="1"/>
    </row>
    <row r="657" spans="8:9" x14ac:dyDescent="0.25">
      <c r="H657" s="1"/>
      <c r="I657" s="1"/>
    </row>
    <row r="658" spans="8:9" x14ac:dyDescent="0.25">
      <c r="H658" s="1"/>
      <c r="I658" s="1"/>
    </row>
    <row r="659" spans="8:9" x14ac:dyDescent="0.25">
      <c r="H659" s="1"/>
      <c r="I659" s="1"/>
    </row>
    <row r="660" spans="8:9" x14ac:dyDescent="0.25">
      <c r="H660" s="1"/>
      <c r="I660" s="1"/>
    </row>
    <row r="661" spans="8:9" x14ac:dyDescent="0.25">
      <c r="H661" s="1"/>
      <c r="I661" s="1"/>
    </row>
    <row r="662" spans="8:9" x14ac:dyDescent="0.25">
      <c r="H662" s="1"/>
      <c r="I662" s="1"/>
    </row>
    <row r="663" spans="8:9" x14ac:dyDescent="0.25">
      <c r="H663" s="1"/>
      <c r="I663" s="1"/>
    </row>
    <row r="664" spans="8:9" x14ac:dyDescent="0.25">
      <c r="H664" s="1"/>
      <c r="I664" s="1"/>
    </row>
    <row r="665" spans="8:9" x14ac:dyDescent="0.25">
      <c r="H665" s="1"/>
      <c r="I665" s="1"/>
    </row>
    <row r="666" spans="8:9" x14ac:dyDescent="0.25">
      <c r="H666" s="1"/>
      <c r="I666" s="1"/>
    </row>
    <row r="667" spans="8:9" x14ac:dyDescent="0.25">
      <c r="H667" s="1"/>
      <c r="I667" s="1"/>
    </row>
    <row r="668" spans="8:9" x14ac:dyDescent="0.25">
      <c r="H668" s="1"/>
      <c r="I668" s="1"/>
    </row>
    <row r="669" spans="8:9" x14ac:dyDescent="0.25">
      <c r="H669" s="1"/>
      <c r="I669" s="1"/>
    </row>
    <row r="670" spans="8:9" x14ac:dyDescent="0.25">
      <c r="H670" s="1"/>
      <c r="I670" s="1"/>
    </row>
    <row r="671" spans="8:9" x14ac:dyDescent="0.25">
      <c r="H671" s="1"/>
      <c r="I671" s="1"/>
    </row>
    <row r="672" spans="8:9" x14ac:dyDescent="0.25">
      <c r="H672" s="1"/>
      <c r="I672" s="1"/>
    </row>
    <row r="673" spans="8:9" x14ac:dyDescent="0.25">
      <c r="H673" s="1"/>
      <c r="I673" s="1"/>
    </row>
    <row r="674" spans="8:9" x14ac:dyDescent="0.25">
      <c r="H674" s="1"/>
      <c r="I674" s="1"/>
    </row>
    <row r="675" spans="8:9" x14ac:dyDescent="0.25">
      <c r="H675" s="1"/>
      <c r="I675" s="1"/>
    </row>
    <row r="676" spans="8:9" x14ac:dyDescent="0.25">
      <c r="H676" s="1"/>
      <c r="I676" s="1"/>
    </row>
    <row r="677" spans="8:9" x14ac:dyDescent="0.25">
      <c r="H677" s="1"/>
      <c r="I677" s="1"/>
    </row>
    <row r="678" spans="8:9" x14ac:dyDescent="0.25">
      <c r="H678" s="1"/>
      <c r="I678" s="1"/>
    </row>
    <row r="679" spans="8:9" x14ac:dyDescent="0.25">
      <c r="H679" s="1"/>
      <c r="I679" s="1"/>
    </row>
    <row r="680" spans="8:9" x14ac:dyDescent="0.25">
      <c r="H680" s="1"/>
      <c r="I680" s="1"/>
    </row>
    <row r="681" spans="8:9" x14ac:dyDescent="0.25">
      <c r="H681" s="1"/>
      <c r="I681" s="1"/>
    </row>
    <row r="682" spans="8:9" x14ac:dyDescent="0.25">
      <c r="H682" s="1"/>
      <c r="I682" s="1"/>
    </row>
    <row r="683" spans="8:9" x14ac:dyDescent="0.25">
      <c r="H683" s="1"/>
      <c r="I683" s="1"/>
    </row>
    <row r="684" spans="8:9" x14ac:dyDescent="0.25">
      <c r="H684" s="1"/>
      <c r="I684" s="1"/>
    </row>
    <row r="685" spans="8:9" x14ac:dyDescent="0.25">
      <c r="H685" s="1"/>
      <c r="I685" s="1"/>
    </row>
    <row r="686" spans="8:9" x14ac:dyDescent="0.25">
      <c r="H686" s="1"/>
      <c r="I686" s="1"/>
    </row>
    <row r="687" spans="8:9" x14ac:dyDescent="0.25">
      <c r="H687" s="1"/>
      <c r="I687" s="1"/>
    </row>
    <row r="688" spans="8:9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  <row r="729" spans="8:9" x14ac:dyDescent="0.25">
      <c r="H729" s="1"/>
      <c r="I729" s="1"/>
    </row>
    <row r="730" spans="8:9" x14ac:dyDescent="0.25">
      <c r="H730" s="1"/>
      <c r="I730" s="1"/>
    </row>
    <row r="731" spans="8:9" x14ac:dyDescent="0.25">
      <c r="H731" s="1"/>
      <c r="I731" s="1"/>
    </row>
    <row r="732" spans="8:9" x14ac:dyDescent="0.25">
      <c r="H732" s="1"/>
      <c r="I732" s="1"/>
    </row>
    <row r="733" spans="8:9" x14ac:dyDescent="0.25">
      <c r="H733" s="1"/>
      <c r="I733" s="1"/>
    </row>
    <row r="734" spans="8:9" x14ac:dyDescent="0.25">
      <c r="H734" s="1"/>
      <c r="I734" s="1"/>
    </row>
    <row r="735" spans="8:9" x14ac:dyDescent="0.25">
      <c r="H735" s="1"/>
      <c r="I735" s="1"/>
    </row>
    <row r="736" spans="8:9" x14ac:dyDescent="0.25">
      <c r="H736" s="1"/>
      <c r="I736" s="1"/>
    </row>
    <row r="737" spans="8:9" x14ac:dyDescent="0.25">
      <c r="H737" s="1"/>
      <c r="I737" s="1"/>
    </row>
    <row r="738" spans="8:9" x14ac:dyDescent="0.25">
      <c r="H738" s="1"/>
      <c r="I738" s="1"/>
    </row>
    <row r="739" spans="8:9" x14ac:dyDescent="0.25">
      <c r="H739" s="1"/>
      <c r="I739" s="1"/>
    </row>
    <row r="740" spans="8:9" x14ac:dyDescent="0.25">
      <c r="H740" s="1"/>
      <c r="I740" s="1"/>
    </row>
    <row r="741" spans="8:9" x14ac:dyDescent="0.25">
      <c r="H741" s="1"/>
      <c r="I741" s="1"/>
    </row>
    <row r="742" spans="8:9" x14ac:dyDescent="0.25">
      <c r="H742" s="1"/>
      <c r="I742" s="1"/>
    </row>
    <row r="743" spans="8:9" x14ac:dyDescent="0.25">
      <c r="H743" s="1"/>
      <c r="I743" s="1"/>
    </row>
    <row r="744" spans="8:9" x14ac:dyDescent="0.25">
      <c r="H744" s="1"/>
      <c r="I744" s="1"/>
    </row>
    <row r="745" spans="8:9" x14ac:dyDescent="0.25">
      <c r="H745" s="1"/>
      <c r="I745" s="1"/>
    </row>
    <row r="746" spans="8:9" x14ac:dyDescent="0.25">
      <c r="H746" s="1"/>
      <c r="I746" s="1"/>
    </row>
    <row r="747" spans="8:9" x14ac:dyDescent="0.25">
      <c r="H747" s="1"/>
      <c r="I747" s="1"/>
    </row>
    <row r="748" spans="8:9" x14ac:dyDescent="0.25">
      <c r="H748" s="1"/>
      <c r="I748" s="1"/>
    </row>
    <row r="749" spans="8:9" x14ac:dyDescent="0.25">
      <c r="H749" s="1"/>
      <c r="I749" s="1"/>
    </row>
    <row r="750" spans="8:9" x14ac:dyDescent="0.25">
      <c r="H750" s="1"/>
      <c r="I750" s="1"/>
    </row>
    <row r="751" spans="8:9" x14ac:dyDescent="0.25">
      <c r="H751" s="1"/>
      <c r="I751" s="1"/>
    </row>
    <row r="752" spans="8:9" x14ac:dyDescent="0.25">
      <c r="H752" s="1"/>
      <c r="I752" s="1"/>
    </row>
    <row r="753" spans="8:9" x14ac:dyDescent="0.25">
      <c r="H753" s="1"/>
      <c r="I753" s="1"/>
    </row>
    <row r="754" spans="8:9" x14ac:dyDescent="0.25">
      <c r="H754" s="1"/>
      <c r="I754" s="1"/>
    </row>
    <row r="755" spans="8:9" x14ac:dyDescent="0.25">
      <c r="H755" s="1"/>
      <c r="I755" s="1"/>
    </row>
    <row r="756" spans="8:9" x14ac:dyDescent="0.25">
      <c r="H756" s="1"/>
      <c r="I756" s="1"/>
    </row>
    <row r="757" spans="8:9" x14ac:dyDescent="0.25">
      <c r="H757" s="1"/>
      <c r="I757" s="1"/>
    </row>
    <row r="758" spans="8:9" x14ac:dyDescent="0.25">
      <c r="H758" s="1"/>
      <c r="I758" s="1"/>
    </row>
    <row r="759" spans="8:9" x14ac:dyDescent="0.25">
      <c r="H759" s="1"/>
      <c r="I759" s="1"/>
    </row>
    <row r="760" spans="8:9" x14ac:dyDescent="0.25">
      <c r="H760" s="1"/>
      <c r="I760" s="1"/>
    </row>
    <row r="761" spans="8:9" x14ac:dyDescent="0.25">
      <c r="H761" s="1"/>
      <c r="I761" s="1"/>
    </row>
    <row r="762" spans="8:9" x14ac:dyDescent="0.25">
      <c r="H762" s="1"/>
      <c r="I762" s="1"/>
    </row>
    <row r="763" spans="8:9" x14ac:dyDescent="0.25">
      <c r="H763" s="1"/>
      <c r="I763" s="1"/>
    </row>
    <row r="764" spans="8:9" x14ac:dyDescent="0.25">
      <c r="H764" s="1"/>
      <c r="I764" s="1"/>
    </row>
    <row r="765" spans="8:9" x14ac:dyDescent="0.25">
      <c r="H765" s="1"/>
      <c r="I765" s="1"/>
    </row>
    <row r="766" spans="8:9" x14ac:dyDescent="0.25">
      <c r="H766" s="1"/>
      <c r="I766" s="1"/>
    </row>
    <row r="767" spans="8:9" x14ac:dyDescent="0.25">
      <c r="H767" s="1"/>
      <c r="I767" s="1"/>
    </row>
    <row r="768" spans="8:9" x14ac:dyDescent="0.25">
      <c r="H768" s="1"/>
      <c r="I768" s="1"/>
    </row>
    <row r="769" spans="8:9" x14ac:dyDescent="0.25">
      <c r="H769" s="1"/>
      <c r="I769" s="1"/>
    </row>
    <row r="770" spans="8:9" x14ac:dyDescent="0.25">
      <c r="H770" s="1"/>
      <c r="I770" s="1"/>
    </row>
    <row r="771" spans="8:9" x14ac:dyDescent="0.25">
      <c r="H771" s="1"/>
      <c r="I771" s="1"/>
    </row>
    <row r="772" spans="8:9" x14ac:dyDescent="0.25">
      <c r="H772" s="1"/>
      <c r="I772" s="1"/>
    </row>
    <row r="773" spans="8:9" x14ac:dyDescent="0.25">
      <c r="H773" s="1"/>
      <c r="I773" s="1"/>
    </row>
    <row r="774" spans="8:9" x14ac:dyDescent="0.25">
      <c r="H774" s="1"/>
      <c r="I774" s="1"/>
    </row>
    <row r="775" spans="8:9" x14ac:dyDescent="0.25">
      <c r="H775" s="1"/>
      <c r="I775" s="1"/>
    </row>
    <row r="776" spans="8:9" x14ac:dyDescent="0.25">
      <c r="H776" s="1"/>
      <c r="I776" s="1"/>
    </row>
    <row r="777" spans="8:9" x14ac:dyDescent="0.25">
      <c r="H777" s="1"/>
      <c r="I777" s="1"/>
    </row>
    <row r="778" spans="8:9" x14ac:dyDescent="0.25">
      <c r="H778" s="1"/>
      <c r="I778" s="1"/>
    </row>
    <row r="779" spans="8:9" x14ac:dyDescent="0.25">
      <c r="H779" s="1"/>
      <c r="I779" s="1"/>
    </row>
    <row r="780" spans="8:9" x14ac:dyDescent="0.25">
      <c r="H780" s="1"/>
      <c r="I780" s="1"/>
    </row>
    <row r="781" spans="8:9" x14ac:dyDescent="0.25">
      <c r="H781" s="1"/>
      <c r="I781" s="1"/>
    </row>
    <row r="782" spans="8:9" x14ac:dyDescent="0.25">
      <c r="H782" s="1"/>
      <c r="I782" s="1"/>
    </row>
    <row r="783" spans="8:9" x14ac:dyDescent="0.25">
      <c r="H783" s="1"/>
      <c r="I783" s="1"/>
    </row>
    <row r="784" spans="8:9" x14ac:dyDescent="0.25">
      <c r="H784" s="1"/>
      <c r="I784" s="1"/>
    </row>
    <row r="785" spans="8:9" x14ac:dyDescent="0.25">
      <c r="H785" s="1"/>
      <c r="I785" s="1"/>
    </row>
    <row r="786" spans="8:9" x14ac:dyDescent="0.25">
      <c r="H786" s="1"/>
      <c r="I786" s="1"/>
    </row>
    <row r="787" spans="8:9" x14ac:dyDescent="0.25">
      <c r="H787" s="1"/>
      <c r="I787" s="1"/>
    </row>
    <row r="788" spans="8:9" x14ac:dyDescent="0.25">
      <c r="H788" s="1"/>
      <c r="I788" s="1"/>
    </row>
    <row r="789" spans="8:9" x14ac:dyDescent="0.25">
      <c r="H789" s="1"/>
      <c r="I789" s="1"/>
    </row>
    <row r="790" spans="8:9" x14ac:dyDescent="0.25">
      <c r="H790" s="1"/>
      <c r="I790" s="1"/>
    </row>
    <row r="791" spans="8:9" x14ac:dyDescent="0.25">
      <c r="H791" s="1"/>
      <c r="I791" s="1"/>
    </row>
    <row r="792" spans="8:9" x14ac:dyDescent="0.25">
      <c r="H792" s="1"/>
      <c r="I792" s="1"/>
    </row>
    <row r="793" spans="8:9" x14ac:dyDescent="0.25">
      <c r="H793" s="1"/>
      <c r="I793" s="1"/>
    </row>
    <row r="794" spans="8:9" x14ac:dyDescent="0.25">
      <c r="H794" s="1"/>
      <c r="I794" s="1"/>
    </row>
    <row r="795" spans="8:9" x14ac:dyDescent="0.25">
      <c r="H795" s="1"/>
      <c r="I795" s="1"/>
    </row>
    <row r="796" spans="8:9" x14ac:dyDescent="0.25">
      <c r="H796" s="1"/>
      <c r="I796" s="1"/>
    </row>
    <row r="797" spans="8:9" x14ac:dyDescent="0.25">
      <c r="H797" s="1"/>
      <c r="I797" s="1"/>
    </row>
    <row r="798" spans="8:9" x14ac:dyDescent="0.25">
      <c r="H798" s="1"/>
      <c r="I798" s="1"/>
    </row>
    <row r="799" spans="8:9" x14ac:dyDescent="0.25">
      <c r="H799" s="1"/>
      <c r="I799" s="1"/>
    </row>
    <row r="800" spans="8:9" x14ac:dyDescent="0.25">
      <c r="H800" s="1"/>
      <c r="I800" s="1"/>
    </row>
    <row r="801" spans="8:9" x14ac:dyDescent="0.25">
      <c r="H801" s="1"/>
      <c r="I801" s="1"/>
    </row>
    <row r="802" spans="8:9" x14ac:dyDescent="0.25">
      <c r="H802" s="1"/>
      <c r="I802" s="1"/>
    </row>
    <row r="803" spans="8:9" x14ac:dyDescent="0.25">
      <c r="H803" s="1"/>
      <c r="I803" s="1"/>
    </row>
    <row r="804" spans="8:9" x14ac:dyDescent="0.25">
      <c r="H804" s="1"/>
      <c r="I804" s="1"/>
    </row>
    <row r="805" spans="8:9" x14ac:dyDescent="0.25">
      <c r="H805" s="1"/>
      <c r="I805" s="1"/>
    </row>
    <row r="806" spans="8:9" x14ac:dyDescent="0.25">
      <c r="H806" s="1"/>
      <c r="I806" s="1"/>
    </row>
    <row r="807" spans="8:9" x14ac:dyDescent="0.25">
      <c r="H807" s="1"/>
      <c r="I807" s="1"/>
    </row>
    <row r="808" spans="8:9" x14ac:dyDescent="0.25">
      <c r="H808" s="1"/>
      <c r="I808" s="1"/>
    </row>
    <row r="809" spans="8:9" x14ac:dyDescent="0.25">
      <c r="H809" s="1"/>
      <c r="I809" s="1"/>
    </row>
    <row r="810" spans="8:9" x14ac:dyDescent="0.25">
      <c r="H810" s="1"/>
      <c r="I810" s="1"/>
    </row>
    <row r="811" spans="8:9" x14ac:dyDescent="0.25">
      <c r="H811" s="1"/>
      <c r="I811" s="1"/>
    </row>
    <row r="812" spans="8:9" x14ac:dyDescent="0.25">
      <c r="H812" s="1"/>
      <c r="I812" s="1"/>
    </row>
    <row r="813" spans="8:9" x14ac:dyDescent="0.25">
      <c r="H813" s="1"/>
      <c r="I813" s="1"/>
    </row>
    <row r="814" spans="8:9" x14ac:dyDescent="0.25">
      <c r="H814" s="1"/>
      <c r="I814" s="1"/>
    </row>
    <row r="815" spans="8:9" x14ac:dyDescent="0.25">
      <c r="H815" s="1"/>
      <c r="I815" s="1"/>
    </row>
    <row r="816" spans="8:9" x14ac:dyDescent="0.25">
      <c r="H816" s="1"/>
      <c r="I816" s="1"/>
    </row>
    <row r="817" spans="8:9" x14ac:dyDescent="0.25">
      <c r="H817" s="1"/>
      <c r="I817" s="1"/>
    </row>
    <row r="818" spans="8:9" x14ac:dyDescent="0.25">
      <c r="H818" s="1"/>
      <c r="I818" s="1"/>
    </row>
    <row r="819" spans="8:9" x14ac:dyDescent="0.25">
      <c r="H819" s="1"/>
      <c r="I819" s="1"/>
    </row>
    <row r="820" spans="8:9" x14ac:dyDescent="0.25">
      <c r="H820" s="1"/>
      <c r="I820" s="1"/>
    </row>
    <row r="821" spans="8:9" x14ac:dyDescent="0.25">
      <c r="H821" s="1"/>
      <c r="I821" s="1"/>
    </row>
    <row r="822" spans="8:9" x14ac:dyDescent="0.25">
      <c r="H822" s="1"/>
      <c r="I822" s="1"/>
    </row>
    <row r="823" spans="8:9" x14ac:dyDescent="0.25">
      <c r="H823" s="1"/>
      <c r="I823" s="1"/>
    </row>
    <row r="824" spans="8:9" x14ac:dyDescent="0.25">
      <c r="H824" s="1"/>
      <c r="I824" s="1"/>
    </row>
    <row r="825" spans="8:9" x14ac:dyDescent="0.25">
      <c r="H825" s="1"/>
      <c r="I825" s="1"/>
    </row>
    <row r="826" spans="8:9" x14ac:dyDescent="0.25">
      <c r="H826" s="1"/>
      <c r="I826" s="1"/>
    </row>
    <row r="827" spans="8:9" x14ac:dyDescent="0.25">
      <c r="H827" s="1"/>
      <c r="I827" s="1"/>
    </row>
    <row r="828" spans="8:9" x14ac:dyDescent="0.25">
      <c r="H828" s="1"/>
      <c r="I828" s="1"/>
    </row>
    <row r="829" spans="8:9" x14ac:dyDescent="0.25">
      <c r="H829" s="1"/>
      <c r="I829" s="1"/>
    </row>
    <row r="830" spans="8:9" x14ac:dyDescent="0.25">
      <c r="H830" s="1"/>
      <c r="I830" s="1"/>
    </row>
    <row r="831" spans="8:9" x14ac:dyDescent="0.25">
      <c r="H831" s="1"/>
      <c r="I831" s="1"/>
    </row>
    <row r="832" spans="8:9" x14ac:dyDescent="0.25">
      <c r="H832" s="1"/>
      <c r="I832" s="1"/>
    </row>
    <row r="833" spans="8:9" x14ac:dyDescent="0.25">
      <c r="H833" s="1"/>
      <c r="I833" s="1"/>
    </row>
    <row r="834" spans="8:9" x14ac:dyDescent="0.25">
      <c r="H834" s="1"/>
      <c r="I834" s="1"/>
    </row>
    <row r="835" spans="8:9" x14ac:dyDescent="0.25">
      <c r="H835" s="1"/>
      <c r="I835" s="1"/>
    </row>
    <row r="836" spans="8:9" x14ac:dyDescent="0.25">
      <c r="H836" s="1"/>
      <c r="I836" s="1"/>
    </row>
    <row r="837" spans="8:9" x14ac:dyDescent="0.25">
      <c r="H837" s="1"/>
      <c r="I837" s="1"/>
    </row>
    <row r="838" spans="8:9" x14ac:dyDescent="0.25">
      <c r="H838" s="1"/>
      <c r="I838" s="1"/>
    </row>
    <row r="839" spans="8:9" x14ac:dyDescent="0.25">
      <c r="H839" s="1"/>
      <c r="I839" s="1"/>
    </row>
    <row r="840" spans="8:9" x14ac:dyDescent="0.25">
      <c r="H840" s="1"/>
      <c r="I840" s="1"/>
    </row>
    <row r="841" spans="8:9" x14ac:dyDescent="0.25">
      <c r="H841" s="1"/>
      <c r="I841" s="1"/>
    </row>
    <row r="842" spans="8:9" x14ac:dyDescent="0.25">
      <c r="H842" s="1"/>
      <c r="I842" s="1"/>
    </row>
    <row r="843" spans="8:9" x14ac:dyDescent="0.25">
      <c r="H843" s="1"/>
      <c r="I843" s="1"/>
    </row>
    <row r="844" spans="8:9" x14ac:dyDescent="0.25">
      <c r="H844" s="1"/>
      <c r="I844" s="1"/>
    </row>
    <row r="845" spans="8:9" x14ac:dyDescent="0.25">
      <c r="H845" s="1"/>
      <c r="I845" s="1"/>
    </row>
    <row r="846" spans="8:9" x14ac:dyDescent="0.25">
      <c r="H846" s="1"/>
      <c r="I846" s="1"/>
    </row>
    <row r="847" spans="8:9" x14ac:dyDescent="0.25">
      <c r="H847" s="1"/>
      <c r="I847" s="1"/>
    </row>
    <row r="848" spans="8:9" x14ac:dyDescent="0.25">
      <c r="H848" s="1"/>
      <c r="I848" s="1"/>
    </row>
    <row r="849" spans="8:9" x14ac:dyDescent="0.25">
      <c r="H849" s="1"/>
      <c r="I849" s="1"/>
    </row>
    <row r="850" spans="8:9" x14ac:dyDescent="0.25">
      <c r="H850" s="1"/>
      <c r="I850" s="1"/>
    </row>
    <row r="851" spans="8:9" x14ac:dyDescent="0.25">
      <c r="H851" s="1"/>
      <c r="I851" s="1"/>
    </row>
    <row r="852" spans="8:9" x14ac:dyDescent="0.25">
      <c r="H852" s="1"/>
      <c r="I852" s="1"/>
    </row>
    <row r="853" spans="8:9" x14ac:dyDescent="0.25">
      <c r="H853" s="1"/>
      <c r="I853" s="1"/>
    </row>
    <row r="854" spans="8:9" x14ac:dyDescent="0.25">
      <c r="H854" s="1"/>
      <c r="I854" s="1"/>
    </row>
    <row r="855" spans="8:9" x14ac:dyDescent="0.25">
      <c r="H855" s="1"/>
      <c r="I855" s="1"/>
    </row>
    <row r="856" spans="8:9" x14ac:dyDescent="0.25">
      <c r="H856" s="1"/>
      <c r="I856" s="1"/>
    </row>
    <row r="857" spans="8:9" x14ac:dyDescent="0.25">
      <c r="H857" s="1"/>
      <c r="I857" s="1"/>
    </row>
    <row r="858" spans="8:9" x14ac:dyDescent="0.25">
      <c r="H858" s="1"/>
      <c r="I858" s="1"/>
    </row>
    <row r="859" spans="8:9" x14ac:dyDescent="0.25">
      <c r="H859" s="1"/>
      <c r="I859" s="1"/>
    </row>
    <row r="860" spans="8:9" x14ac:dyDescent="0.25">
      <c r="H860" s="1"/>
      <c r="I860" s="1"/>
    </row>
    <row r="861" spans="8:9" x14ac:dyDescent="0.25">
      <c r="H861" s="1"/>
      <c r="I861" s="1"/>
    </row>
    <row r="862" spans="8:9" x14ac:dyDescent="0.25">
      <c r="H862" s="1"/>
      <c r="I862" s="1"/>
    </row>
    <row r="863" spans="8:9" x14ac:dyDescent="0.25">
      <c r="H863" s="1"/>
      <c r="I863" s="1"/>
    </row>
    <row r="864" spans="8:9" x14ac:dyDescent="0.25">
      <c r="H864" s="1"/>
      <c r="I864" s="1"/>
    </row>
    <row r="865" spans="8:9" x14ac:dyDescent="0.25">
      <c r="H865" s="1"/>
      <c r="I865" s="1"/>
    </row>
    <row r="866" spans="8:9" x14ac:dyDescent="0.25">
      <c r="H866" s="1"/>
      <c r="I866" s="1"/>
    </row>
    <row r="867" spans="8:9" x14ac:dyDescent="0.25">
      <c r="H867" s="1"/>
      <c r="I867" s="1"/>
    </row>
    <row r="868" spans="8:9" x14ac:dyDescent="0.25">
      <c r="H868" s="1"/>
      <c r="I868" s="1"/>
    </row>
    <row r="869" spans="8:9" x14ac:dyDescent="0.25">
      <c r="H869" s="1"/>
      <c r="I869" s="1"/>
    </row>
    <row r="870" spans="8:9" x14ac:dyDescent="0.25">
      <c r="H870" s="1"/>
      <c r="I870" s="1"/>
    </row>
    <row r="871" spans="8:9" x14ac:dyDescent="0.25">
      <c r="H871" s="1"/>
      <c r="I871" s="1"/>
    </row>
    <row r="872" spans="8:9" x14ac:dyDescent="0.25">
      <c r="H872" s="1"/>
      <c r="I872" s="1"/>
    </row>
    <row r="873" spans="8:9" x14ac:dyDescent="0.25">
      <c r="H873" s="1"/>
      <c r="I873" s="1"/>
    </row>
    <row r="874" spans="8:9" x14ac:dyDescent="0.25">
      <c r="H874" s="1"/>
      <c r="I874" s="1"/>
    </row>
    <row r="875" spans="8:9" x14ac:dyDescent="0.25">
      <c r="H875" s="1"/>
      <c r="I875" s="1"/>
    </row>
    <row r="876" spans="8:9" x14ac:dyDescent="0.25">
      <c r="H876" s="1"/>
      <c r="I876" s="1"/>
    </row>
    <row r="877" spans="8:9" x14ac:dyDescent="0.25">
      <c r="H877" s="1"/>
      <c r="I877" s="1"/>
    </row>
    <row r="878" spans="8:9" x14ac:dyDescent="0.25">
      <c r="H878" s="1"/>
      <c r="I878" s="1"/>
    </row>
    <row r="879" spans="8:9" x14ac:dyDescent="0.25">
      <c r="H879" s="1"/>
      <c r="I879" s="1"/>
    </row>
    <row r="880" spans="8:9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  <row r="896" spans="8:9" x14ac:dyDescent="0.25">
      <c r="H896" s="1"/>
      <c r="I896" s="1"/>
    </row>
    <row r="897" spans="8:9" x14ac:dyDescent="0.25">
      <c r="H897" s="1"/>
      <c r="I897" s="1"/>
    </row>
    <row r="898" spans="8:9" x14ac:dyDescent="0.25">
      <c r="H898" s="1"/>
      <c r="I898" s="1"/>
    </row>
    <row r="899" spans="8:9" x14ac:dyDescent="0.25">
      <c r="H899" s="1"/>
      <c r="I899" s="1"/>
    </row>
    <row r="900" spans="8:9" x14ac:dyDescent="0.25">
      <c r="H900" s="1"/>
      <c r="I900" s="1"/>
    </row>
    <row r="901" spans="8:9" x14ac:dyDescent="0.25">
      <c r="H901" s="1"/>
      <c r="I901" s="1"/>
    </row>
    <row r="902" spans="8:9" x14ac:dyDescent="0.25">
      <c r="H902" s="1"/>
      <c r="I902" s="1"/>
    </row>
    <row r="903" spans="8:9" x14ac:dyDescent="0.25">
      <c r="H903" s="1"/>
      <c r="I903" s="1"/>
    </row>
    <row r="904" spans="8:9" x14ac:dyDescent="0.25">
      <c r="H904" s="1"/>
      <c r="I904" s="1"/>
    </row>
    <row r="905" spans="8:9" x14ac:dyDescent="0.25">
      <c r="H905" s="1"/>
      <c r="I905" s="1"/>
    </row>
    <row r="906" spans="8:9" x14ac:dyDescent="0.25">
      <c r="H906" s="1"/>
      <c r="I906" s="1"/>
    </row>
    <row r="907" spans="8:9" x14ac:dyDescent="0.25">
      <c r="H907" s="1"/>
      <c r="I907" s="1"/>
    </row>
    <row r="908" spans="8:9" x14ac:dyDescent="0.25">
      <c r="H908" s="1"/>
      <c r="I908" s="1"/>
    </row>
    <row r="909" spans="8:9" x14ac:dyDescent="0.25">
      <c r="H909" s="1"/>
      <c r="I909" s="1"/>
    </row>
    <row r="910" spans="8:9" x14ac:dyDescent="0.25">
      <c r="H910" s="1"/>
      <c r="I910" s="1"/>
    </row>
    <row r="911" spans="8:9" x14ac:dyDescent="0.25">
      <c r="H911" s="1"/>
      <c r="I911" s="1"/>
    </row>
    <row r="912" spans="8:9" x14ac:dyDescent="0.25">
      <c r="H912" s="1"/>
      <c r="I912" s="1"/>
    </row>
    <row r="913" spans="8:9" x14ac:dyDescent="0.25">
      <c r="H913" s="1"/>
      <c r="I913" s="1"/>
    </row>
    <row r="914" spans="8:9" x14ac:dyDescent="0.25">
      <c r="H914" s="1"/>
      <c r="I914" s="1"/>
    </row>
    <row r="915" spans="8:9" x14ac:dyDescent="0.25">
      <c r="H915" s="1"/>
      <c r="I915" s="1"/>
    </row>
    <row r="916" spans="8:9" x14ac:dyDescent="0.25">
      <c r="H916" s="1"/>
      <c r="I916" s="1"/>
    </row>
    <row r="917" spans="8:9" x14ac:dyDescent="0.25">
      <c r="H917" s="1"/>
      <c r="I917" s="1"/>
    </row>
    <row r="918" spans="8:9" x14ac:dyDescent="0.25">
      <c r="H918" s="1"/>
      <c r="I918" s="1"/>
    </row>
    <row r="919" spans="8:9" x14ac:dyDescent="0.25">
      <c r="H919" s="1"/>
      <c r="I919" s="1"/>
    </row>
    <row r="920" spans="8:9" x14ac:dyDescent="0.25">
      <c r="H920" s="1"/>
      <c r="I920" s="1"/>
    </row>
    <row r="921" spans="8:9" x14ac:dyDescent="0.25">
      <c r="H921" s="1"/>
      <c r="I921" s="1"/>
    </row>
    <row r="922" spans="8:9" x14ac:dyDescent="0.25">
      <c r="H922" s="1"/>
      <c r="I922" s="1"/>
    </row>
    <row r="923" spans="8:9" x14ac:dyDescent="0.25">
      <c r="H923" s="1"/>
      <c r="I923" s="1"/>
    </row>
    <row r="924" spans="8:9" x14ac:dyDescent="0.25">
      <c r="H924" s="1"/>
      <c r="I924" s="1"/>
    </row>
    <row r="925" spans="8:9" x14ac:dyDescent="0.25">
      <c r="H925" s="1"/>
      <c r="I925" s="1"/>
    </row>
    <row r="926" spans="8:9" x14ac:dyDescent="0.25">
      <c r="H926" s="1"/>
      <c r="I926" s="1"/>
    </row>
    <row r="927" spans="8:9" x14ac:dyDescent="0.25">
      <c r="H927" s="1"/>
      <c r="I927" s="1"/>
    </row>
    <row r="928" spans="8:9" x14ac:dyDescent="0.25">
      <c r="H928" s="1"/>
      <c r="I928" s="1"/>
    </row>
    <row r="929" spans="8:9" x14ac:dyDescent="0.25">
      <c r="H929" s="1"/>
      <c r="I929" s="1"/>
    </row>
    <row r="930" spans="8:9" x14ac:dyDescent="0.25">
      <c r="H930" s="1"/>
      <c r="I930" s="1"/>
    </row>
    <row r="931" spans="8:9" x14ac:dyDescent="0.25">
      <c r="H931" s="1"/>
      <c r="I931" s="1"/>
    </row>
    <row r="932" spans="8:9" x14ac:dyDescent="0.25">
      <c r="H932" s="1"/>
      <c r="I932" s="1"/>
    </row>
    <row r="933" spans="8:9" x14ac:dyDescent="0.25">
      <c r="H933" s="1"/>
      <c r="I933" s="1"/>
    </row>
    <row r="934" spans="8:9" x14ac:dyDescent="0.25">
      <c r="H934" s="1"/>
      <c r="I934" s="1"/>
    </row>
    <row r="935" spans="8:9" x14ac:dyDescent="0.25">
      <c r="H935" s="1"/>
      <c r="I935" s="1"/>
    </row>
    <row r="936" spans="8:9" x14ac:dyDescent="0.25">
      <c r="H936" s="1"/>
      <c r="I936" s="1"/>
    </row>
    <row r="937" spans="8:9" x14ac:dyDescent="0.25">
      <c r="H937" s="1"/>
      <c r="I937" s="1"/>
    </row>
    <row r="938" spans="8:9" x14ac:dyDescent="0.25">
      <c r="H938" s="1"/>
      <c r="I938" s="1"/>
    </row>
    <row r="939" spans="8:9" x14ac:dyDescent="0.25">
      <c r="H939" s="1"/>
      <c r="I939" s="1"/>
    </row>
    <row r="940" spans="8:9" x14ac:dyDescent="0.25">
      <c r="H940" s="1"/>
      <c r="I940" s="1"/>
    </row>
    <row r="941" spans="8:9" x14ac:dyDescent="0.25">
      <c r="H941" s="1"/>
      <c r="I941" s="1"/>
    </row>
    <row r="942" spans="8:9" x14ac:dyDescent="0.25">
      <c r="H942" s="1"/>
      <c r="I942" s="1"/>
    </row>
    <row r="943" spans="8:9" x14ac:dyDescent="0.25">
      <c r="H943" s="1"/>
      <c r="I943" s="1"/>
    </row>
    <row r="944" spans="8:9" x14ac:dyDescent="0.25">
      <c r="H944" s="1"/>
      <c r="I944" s="1"/>
    </row>
    <row r="945" spans="8:9" x14ac:dyDescent="0.25">
      <c r="H945" s="1"/>
      <c r="I945" s="1"/>
    </row>
    <row r="946" spans="8:9" x14ac:dyDescent="0.25">
      <c r="H946" s="1"/>
      <c r="I946" s="1"/>
    </row>
    <row r="947" spans="8:9" x14ac:dyDescent="0.25">
      <c r="H947" s="1"/>
      <c r="I947" s="1"/>
    </row>
    <row r="948" spans="8:9" x14ac:dyDescent="0.25">
      <c r="H948" s="1"/>
      <c r="I948" s="1"/>
    </row>
    <row r="949" spans="8:9" x14ac:dyDescent="0.25">
      <c r="H949" s="1"/>
      <c r="I949" s="1"/>
    </row>
    <row r="950" spans="8:9" x14ac:dyDescent="0.25">
      <c r="H950" s="1"/>
      <c r="I950" s="1"/>
    </row>
    <row r="951" spans="8:9" x14ac:dyDescent="0.25">
      <c r="H951" s="1"/>
      <c r="I951" s="1"/>
    </row>
    <row r="952" spans="8:9" x14ac:dyDescent="0.25">
      <c r="H952" s="1"/>
      <c r="I952" s="1"/>
    </row>
    <row r="953" spans="8:9" x14ac:dyDescent="0.25">
      <c r="H953" s="1"/>
      <c r="I953" s="1"/>
    </row>
    <row r="954" spans="8:9" x14ac:dyDescent="0.25">
      <c r="H954" s="1"/>
      <c r="I954" s="1"/>
    </row>
    <row r="955" spans="8:9" x14ac:dyDescent="0.25">
      <c r="H955" s="1"/>
      <c r="I955" s="1"/>
    </row>
    <row r="956" spans="8:9" x14ac:dyDescent="0.25">
      <c r="H956" s="1"/>
      <c r="I956" s="1"/>
    </row>
    <row r="957" spans="8:9" x14ac:dyDescent="0.25">
      <c r="H957" s="1"/>
      <c r="I957" s="1"/>
    </row>
    <row r="958" spans="8:9" x14ac:dyDescent="0.25">
      <c r="H958" s="1"/>
      <c r="I958" s="1"/>
    </row>
    <row r="959" spans="8:9" x14ac:dyDescent="0.25">
      <c r="H959" s="1"/>
      <c r="I959" s="1"/>
    </row>
    <row r="960" spans="8:9" x14ac:dyDescent="0.25">
      <c r="H960" s="1"/>
      <c r="I960" s="1"/>
    </row>
    <row r="961" spans="8:9" x14ac:dyDescent="0.25">
      <c r="H961" s="1"/>
      <c r="I961" s="1"/>
    </row>
    <row r="962" spans="8:9" x14ac:dyDescent="0.25">
      <c r="H962" s="1"/>
      <c r="I962" s="1"/>
    </row>
    <row r="963" spans="8:9" x14ac:dyDescent="0.25">
      <c r="H963" s="1"/>
      <c r="I963" s="1"/>
    </row>
    <row r="964" spans="8:9" x14ac:dyDescent="0.25">
      <c r="H964" s="1"/>
      <c r="I964" s="1"/>
    </row>
    <row r="965" spans="8:9" x14ac:dyDescent="0.25">
      <c r="H965" s="1"/>
      <c r="I965" s="1"/>
    </row>
    <row r="966" spans="8:9" x14ac:dyDescent="0.25">
      <c r="H966" s="1"/>
      <c r="I966" s="1"/>
    </row>
    <row r="967" spans="8:9" x14ac:dyDescent="0.25">
      <c r="H967" s="1"/>
      <c r="I967" s="1"/>
    </row>
    <row r="968" spans="8:9" x14ac:dyDescent="0.25">
      <c r="H968" s="1"/>
      <c r="I968" s="1"/>
    </row>
    <row r="969" spans="8:9" x14ac:dyDescent="0.25">
      <c r="H969" s="1"/>
      <c r="I969" s="1"/>
    </row>
    <row r="970" spans="8:9" x14ac:dyDescent="0.25">
      <c r="H970" s="1"/>
      <c r="I970" s="1"/>
    </row>
    <row r="971" spans="8:9" x14ac:dyDescent="0.25">
      <c r="H971" s="1"/>
      <c r="I971" s="1"/>
    </row>
    <row r="972" spans="8:9" x14ac:dyDescent="0.25">
      <c r="H972" s="1"/>
      <c r="I972" s="1"/>
    </row>
    <row r="973" spans="8:9" x14ac:dyDescent="0.25">
      <c r="H973" s="1"/>
      <c r="I973" s="1"/>
    </row>
    <row r="974" spans="8:9" x14ac:dyDescent="0.25">
      <c r="H974" s="1"/>
      <c r="I974" s="1"/>
    </row>
    <row r="975" spans="8:9" x14ac:dyDescent="0.25">
      <c r="H975" s="1"/>
      <c r="I975" s="1"/>
    </row>
    <row r="976" spans="8:9" x14ac:dyDescent="0.25">
      <c r="H976" s="1"/>
      <c r="I976" s="1"/>
    </row>
    <row r="977" spans="8:9" x14ac:dyDescent="0.25">
      <c r="H977" s="1"/>
      <c r="I977" s="1"/>
    </row>
    <row r="978" spans="8:9" x14ac:dyDescent="0.25">
      <c r="H978" s="1"/>
      <c r="I978" s="1"/>
    </row>
    <row r="979" spans="8:9" x14ac:dyDescent="0.25">
      <c r="H979" s="1"/>
      <c r="I979" s="1"/>
    </row>
    <row r="980" spans="8:9" x14ac:dyDescent="0.25">
      <c r="H980" s="1"/>
      <c r="I980" s="1"/>
    </row>
    <row r="981" spans="8:9" x14ac:dyDescent="0.25">
      <c r="H981" s="1"/>
      <c r="I981" s="1"/>
    </row>
    <row r="982" spans="8:9" x14ac:dyDescent="0.25">
      <c r="H982" s="1"/>
      <c r="I982" s="1"/>
    </row>
    <row r="983" spans="8:9" x14ac:dyDescent="0.25">
      <c r="H983" s="1"/>
      <c r="I983" s="1"/>
    </row>
    <row r="984" spans="8:9" x14ac:dyDescent="0.25">
      <c r="H984" s="1"/>
      <c r="I984" s="1"/>
    </row>
    <row r="985" spans="8:9" x14ac:dyDescent="0.25">
      <c r="H985" s="1"/>
      <c r="I985" s="1"/>
    </row>
    <row r="986" spans="8:9" x14ac:dyDescent="0.25">
      <c r="H986" s="1"/>
      <c r="I986" s="1"/>
    </row>
    <row r="987" spans="8:9" x14ac:dyDescent="0.25">
      <c r="H987" s="1"/>
      <c r="I987" s="1"/>
    </row>
    <row r="988" spans="8:9" x14ac:dyDescent="0.25">
      <c r="H988" s="1"/>
      <c r="I988" s="1"/>
    </row>
    <row r="989" spans="8:9" x14ac:dyDescent="0.25">
      <c r="H989" s="1"/>
      <c r="I989" s="1"/>
    </row>
    <row r="990" spans="8:9" x14ac:dyDescent="0.25">
      <c r="H990" s="1"/>
      <c r="I990" s="1"/>
    </row>
    <row r="991" spans="8:9" x14ac:dyDescent="0.25">
      <c r="H991" s="1"/>
      <c r="I991" s="1"/>
    </row>
    <row r="992" spans="8:9" x14ac:dyDescent="0.25">
      <c r="H992" s="1"/>
      <c r="I992" s="1"/>
    </row>
    <row r="993" spans="8:9" x14ac:dyDescent="0.25">
      <c r="H993" s="1"/>
      <c r="I993" s="1"/>
    </row>
    <row r="994" spans="8:9" x14ac:dyDescent="0.25">
      <c r="H994" s="1"/>
      <c r="I994" s="1"/>
    </row>
    <row r="995" spans="8:9" x14ac:dyDescent="0.25">
      <c r="H995" s="1"/>
      <c r="I995" s="1"/>
    </row>
    <row r="996" spans="8:9" x14ac:dyDescent="0.25">
      <c r="H996" s="1"/>
      <c r="I996" s="1"/>
    </row>
    <row r="997" spans="8:9" x14ac:dyDescent="0.25">
      <c r="H997" s="1"/>
      <c r="I997" s="1"/>
    </row>
    <row r="998" spans="8:9" x14ac:dyDescent="0.25">
      <c r="H998" s="1"/>
      <c r="I998" s="1"/>
    </row>
    <row r="999" spans="8:9" x14ac:dyDescent="0.25">
      <c r="H999" s="1"/>
      <c r="I999" s="1"/>
    </row>
    <row r="1000" spans="8:9" x14ac:dyDescent="0.25">
      <c r="H1000" s="1"/>
      <c r="I1000" s="1"/>
    </row>
    <row r="1001" spans="8:9" x14ac:dyDescent="0.25">
      <c r="H1001" s="1"/>
      <c r="I1001" s="1"/>
    </row>
    <row r="1002" spans="8:9" x14ac:dyDescent="0.25">
      <c r="H1002" s="1"/>
      <c r="I1002" s="1"/>
    </row>
    <row r="1003" spans="8:9" x14ac:dyDescent="0.25">
      <c r="H1003" s="1"/>
      <c r="I1003" s="1"/>
    </row>
    <row r="1004" spans="8:9" x14ac:dyDescent="0.25">
      <c r="H1004" s="1"/>
      <c r="I1004" s="1"/>
    </row>
    <row r="1005" spans="8:9" x14ac:dyDescent="0.25">
      <c r="H1005" s="1"/>
      <c r="I1005" s="1"/>
    </row>
    <row r="1006" spans="8:9" x14ac:dyDescent="0.25">
      <c r="H1006" s="1"/>
      <c r="I1006" s="1"/>
    </row>
    <row r="1007" spans="8:9" x14ac:dyDescent="0.25">
      <c r="H1007" s="1"/>
      <c r="I1007" s="1"/>
    </row>
    <row r="1008" spans="8:9" x14ac:dyDescent="0.25">
      <c r="H1008" s="1"/>
      <c r="I1008" s="1"/>
    </row>
    <row r="1009" spans="8:9" x14ac:dyDescent="0.25">
      <c r="H1009" s="1"/>
      <c r="I1009" s="1"/>
    </row>
    <row r="1010" spans="8:9" x14ac:dyDescent="0.25">
      <c r="H1010" s="1"/>
      <c r="I1010" s="1"/>
    </row>
    <row r="1011" spans="8:9" x14ac:dyDescent="0.25">
      <c r="H1011" s="1"/>
      <c r="I1011" s="1"/>
    </row>
    <row r="1012" spans="8:9" x14ac:dyDescent="0.25">
      <c r="H1012" s="1"/>
      <c r="I1012" s="1"/>
    </row>
    <row r="1013" spans="8:9" x14ac:dyDescent="0.25">
      <c r="H1013" s="1"/>
      <c r="I1013" s="1"/>
    </row>
    <row r="1014" spans="8:9" x14ac:dyDescent="0.25">
      <c r="H1014" s="1"/>
      <c r="I1014" s="1"/>
    </row>
    <row r="1015" spans="8:9" x14ac:dyDescent="0.25">
      <c r="H1015" s="1"/>
      <c r="I1015" s="1"/>
    </row>
    <row r="1016" spans="8:9" x14ac:dyDescent="0.25">
      <c r="H1016" s="1"/>
      <c r="I1016" s="1"/>
    </row>
    <row r="1017" spans="8:9" x14ac:dyDescent="0.25">
      <c r="H1017" s="1"/>
      <c r="I1017" s="1"/>
    </row>
    <row r="1018" spans="8:9" x14ac:dyDescent="0.25">
      <c r="H1018" s="1"/>
      <c r="I1018" s="1"/>
    </row>
    <row r="1019" spans="8:9" x14ac:dyDescent="0.25">
      <c r="H1019" s="1"/>
      <c r="I1019" s="1"/>
    </row>
    <row r="1020" spans="8:9" x14ac:dyDescent="0.25">
      <c r="H1020" s="1"/>
      <c r="I1020" s="1"/>
    </row>
    <row r="1021" spans="8:9" x14ac:dyDescent="0.25">
      <c r="H1021" s="1"/>
      <c r="I1021" s="1"/>
    </row>
    <row r="1022" spans="8:9" x14ac:dyDescent="0.25">
      <c r="H1022" s="1"/>
      <c r="I1022" s="1"/>
    </row>
    <row r="1023" spans="8:9" x14ac:dyDescent="0.25">
      <c r="H1023" s="1"/>
      <c r="I1023" s="1"/>
    </row>
    <row r="1024" spans="8:9" x14ac:dyDescent="0.25">
      <c r="H1024" s="1"/>
      <c r="I1024" s="1"/>
    </row>
    <row r="1025" spans="8:9" x14ac:dyDescent="0.25">
      <c r="H1025" s="1"/>
      <c r="I1025" s="1"/>
    </row>
    <row r="1026" spans="8:9" x14ac:dyDescent="0.25">
      <c r="H1026" s="1"/>
      <c r="I1026" s="1"/>
    </row>
    <row r="1027" spans="8:9" x14ac:dyDescent="0.25">
      <c r="H1027" s="1"/>
      <c r="I1027" s="1"/>
    </row>
    <row r="1028" spans="8:9" x14ac:dyDescent="0.25">
      <c r="H1028" s="1"/>
      <c r="I1028" s="1"/>
    </row>
    <row r="1029" spans="8:9" x14ac:dyDescent="0.25">
      <c r="H1029" s="1"/>
      <c r="I1029" s="1"/>
    </row>
    <row r="1030" spans="8:9" x14ac:dyDescent="0.25">
      <c r="H1030" s="1"/>
      <c r="I1030" s="1"/>
    </row>
    <row r="1031" spans="8:9" x14ac:dyDescent="0.25">
      <c r="H1031" s="1"/>
      <c r="I1031" s="1"/>
    </row>
    <row r="1032" spans="8:9" x14ac:dyDescent="0.25">
      <c r="H1032" s="1"/>
      <c r="I1032" s="1"/>
    </row>
    <row r="1033" spans="8:9" x14ac:dyDescent="0.25">
      <c r="H1033" s="1"/>
      <c r="I1033" s="1"/>
    </row>
    <row r="1034" spans="8:9" x14ac:dyDescent="0.25">
      <c r="H1034" s="1"/>
      <c r="I1034" s="1"/>
    </row>
    <row r="1035" spans="8:9" x14ac:dyDescent="0.25">
      <c r="H1035" s="1"/>
      <c r="I1035" s="1"/>
    </row>
    <row r="1036" spans="8:9" x14ac:dyDescent="0.25">
      <c r="H1036" s="1"/>
      <c r="I1036" s="1"/>
    </row>
    <row r="1037" spans="8:9" x14ac:dyDescent="0.25">
      <c r="H1037" s="1"/>
      <c r="I1037" s="1"/>
    </row>
    <row r="1038" spans="8:9" x14ac:dyDescent="0.25">
      <c r="H1038" s="1"/>
      <c r="I1038" s="1"/>
    </row>
    <row r="1039" spans="8:9" x14ac:dyDescent="0.25">
      <c r="H1039" s="1"/>
      <c r="I1039" s="1"/>
    </row>
    <row r="1040" spans="8:9" x14ac:dyDescent="0.25">
      <c r="H1040" s="1"/>
      <c r="I1040" s="1"/>
    </row>
    <row r="1041" spans="8:9" x14ac:dyDescent="0.25">
      <c r="H1041" s="1"/>
      <c r="I1041" s="1"/>
    </row>
    <row r="1042" spans="8:9" x14ac:dyDescent="0.25">
      <c r="H1042" s="1"/>
      <c r="I1042" s="1"/>
    </row>
    <row r="1043" spans="8:9" x14ac:dyDescent="0.25">
      <c r="H1043" s="1"/>
      <c r="I1043" s="1"/>
    </row>
    <row r="1044" spans="8:9" x14ac:dyDescent="0.25">
      <c r="H1044" s="1"/>
      <c r="I1044" s="1"/>
    </row>
    <row r="1045" spans="8:9" x14ac:dyDescent="0.25">
      <c r="H1045" s="1"/>
      <c r="I1045" s="1"/>
    </row>
    <row r="1046" spans="8:9" x14ac:dyDescent="0.25">
      <c r="H1046" s="1"/>
      <c r="I1046" s="1"/>
    </row>
    <row r="1047" spans="8:9" x14ac:dyDescent="0.25">
      <c r="H1047" s="1"/>
      <c r="I1047" s="1"/>
    </row>
    <row r="1048" spans="8:9" x14ac:dyDescent="0.25">
      <c r="H1048" s="1"/>
      <c r="I1048" s="1"/>
    </row>
    <row r="1049" spans="8:9" x14ac:dyDescent="0.25">
      <c r="H1049" s="1"/>
      <c r="I1049" s="1"/>
    </row>
    <row r="1050" spans="8:9" x14ac:dyDescent="0.25">
      <c r="H1050" s="1"/>
      <c r="I1050" s="1"/>
    </row>
    <row r="1051" spans="8:9" x14ac:dyDescent="0.25">
      <c r="H1051" s="1"/>
      <c r="I1051" s="1"/>
    </row>
    <row r="1052" spans="8:9" x14ac:dyDescent="0.25">
      <c r="H1052" s="1"/>
      <c r="I1052" s="1"/>
    </row>
    <row r="1053" spans="8:9" x14ac:dyDescent="0.25">
      <c r="H1053" s="1"/>
      <c r="I1053" s="1"/>
    </row>
    <row r="1054" spans="8:9" x14ac:dyDescent="0.25">
      <c r="H1054" s="1"/>
      <c r="I1054" s="1"/>
    </row>
    <row r="1055" spans="8:9" x14ac:dyDescent="0.25">
      <c r="H1055" s="1"/>
      <c r="I1055" s="1"/>
    </row>
    <row r="1056" spans="8:9" x14ac:dyDescent="0.25">
      <c r="H1056" s="1"/>
      <c r="I1056" s="1"/>
    </row>
    <row r="1057" spans="8:9" x14ac:dyDescent="0.25">
      <c r="H1057" s="1"/>
      <c r="I1057" s="1"/>
    </row>
    <row r="1058" spans="8:9" x14ac:dyDescent="0.25">
      <c r="H1058" s="1"/>
      <c r="I1058" s="1"/>
    </row>
    <row r="1059" spans="8:9" x14ac:dyDescent="0.25">
      <c r="H1059" s="1"/>
      <c r="I1059" s="1"/>
    </row>
    <row r="1060" spans="8:9" x14ac:dyDescent="0.25">
      <c r="H1060" s="1"/>
      <c r="I1060" s="1"/>
    </row>
    <row r="1061" spans="8:9" x14ac:dyDescent="0.25">
      <c r="H1061" s="1"/>
      <c r="I1061" s="1"/>
    </row>
    <row r="1062" spans="8:9" x14ac:dyDescent="0.25">
      <c r="H1062" s="1"/>
      <c r="I1062" s="1"/>
    </row>
    <row r="1063" spans="8:9" x14ac:dyDescent="0.25">
      <c r="H1063" s="1"/>
      <c r="I1063" s="1"/>
    </row>
    <row r="1064" spans="8:9" x14ac:dyDescent="0.25">
      <c r="H1064" s="1"/>
      <c r="I1064" s="1"/>
    </row>
    <row r="1065" spans="8:9" x14ac:dyDescent="0.25">
      <c r="H1065" s="1"/>
      <c r="I1065" s="1"/>
    </row>
    <row r="1066" spans="8:9" x14ac:dyDescent="0.25">
      <c r="H1066" s="1"/>
      <c r="I1066" s="1"/>
    </row>
    <row r="1067" spans="8:9" x14ac:dyDescent="0.25">
      <c r="H1067" s="1"/>
      <c r="I1067" s="1"/>
    </row>
    <row r="1068" spans="8:9" x14ac:dyDescent="0.25">
      <c r="H1068" s="1"/>
      <c r="I1068" s="1"/>
    </row>
    <row r="1069" spans="8:9" x14ac:dyDescent="0.25">
      <c r="H1069" s="1"/>
      <c r="I1069" s="1"/>
    </row>
    <row r="1070" spans="8:9" x14ac:dyDescent="0.25">
      <c r="H1070" s="1"/>
      <c r="I1070" s="1"/>
    </row>
    <row r="1071" spans="8:9" x14ac:dyDescent="0.25">
      <c r="H1071" s="1"/>
      <c r="I1071" s="1"/>
    </row>
    <row r="1072" spans="8:9" x14ac:dyDescent="0.25">
      <c r="H1072" s="1"/>
      <c r="I1072" s="1"/>
    </row>
    <row r="1073" spans="8:9" x14ac:dyDescent="0.25">
      <c r="H1073" s="1"/>
      <c r="I1073" s="1"/>
    </row>
    <row r="1074" spans="8:9" x14ac:dyDescent="0.25">
      <c r="H1074" s="1"/>
      <c r="I1074" s="1"/>
    </row>
    <row r="1075" spans="8:9" x14ac:dyDescent="0.25">
      <c r="H1075" s="1"/>
      <c r="I1075" s="1"/>
    </row>
    <row r="1076" spans="8:9" x14ac:dyDescent="0.25">
      <c r="H1076" s="1"/>
      <c r="I1076" s="1"/>
    </row>
    <row r="1077" spans="8:9" x14ac:dyDescent="0.25">
      <c r="H1077" s="1"/>
      <c r="I1077" s="1"/>
    </row>
    <row r="1078" spans="8:9" x14ac:dyDescent="0.25">
      <c r="H1078" s="1"/>
      <c r="I1078" s="1"/>
    </row>
    <row r="1079" spans="8:9" x14ac:dyDescent="0.25">
      <c r="H1079" s="1"/>
      <c r="I1079" s="1"/>
    </row>
    <row r="1080" spans="8:9" x14ac:dyDescent="0.25">
      <c r="H1080" s="1"/>
      <c r="I1080" s="1"/>
    </row>
    <row r="1081" spans="8:9" x14ac:dyDescent="0.25">
      <c r="H1081" s="1"/>
      <c r="I1081" s="1"/>
    </row>
    <row r="1082" spans="8:9" x14ac:dyDescent="0.25">
      <c r="H1082" s="1"/>
      <c r="I1082" s="1"/>
    </row>
    <row r="1083" spans="8:9" x14ac:dyDescent="0.25">
      <c r="H1083" s="1"/>
      <c r="I1083" s="1"/>
    </row>
    <row r="1084" spans="8:9" x14ac:dyDescent="0.25">
      <c r="H1084" s="1"/>
      <c r="I1084" s="1"/>
    </row>
    <row r="1085" spans="8:9" x14ac:dyDescent="0.25">
      <c r="H1085" s="1"/>
      <c r="I1085" s="1"/>
    </row>
    <row r="1086" spans="8:9" x14ac:dyDescent="0.25">
      <c r="H1086" s="1"/>
      <c r="I1086" s="1"/>
    </row>
    <row r="1087" spans="8:9" x14ac:dyDescent="0.25">
      <c r="H1087" s="1"/>
      <c r="I1087" s="1"/>
    </row>
    <row r="1088" spans="8:9" x14ac:dyDescent="0.25">
      <c r="H1088" s="1"/>
      <c r="I1088" s="1"/>
    </row>
    <row r="1089" spans="8:9" x14ac:dyDescent="0.25">
      <c r="H1089" s="1"/>
      <c r="I1089" s="1"/>
    </row>
    <row r="1090" spans="8:9" x14ac:dyDescent="0.25">
      <c r="H1090" s="1"/>
      <c r="I1090" s="1"/>
    </row>
    <row r="1091" spans="8:9" x14ac:dyDescent="0.25">
      <c r="H1091" s="1"/>
      <c r="I1091" s="1"/>
    </row>
    <row r="1092" spans="8:9" x14ac:dyDescent="0.25">
      <c r="H1092" s="1"/>
      <c r="I1092" s="1"/>
    </row>
    <row r="1093" spans="8:9" x14ac:dyDescent="0.25">
      <c r="H1093" s="1"/>
      <c r="I1093" s="1"/>
    </row>
    <row r="1094" spans="8:9" x14ac:dyDescent="0.25">
      <c r="H1094" s="1"/>
      <c r="I1094" s="1"/>
    </row>
    <row r="1095" spans="8:9" x14ac:dyDescent="0.25">
      <c r="H1095" s="1"/>
      <c r="I1095" s="1"/>
    </row>
    <row r="1096" spans="8:9" x14ac:dyDescent="0.25">
      <c r="H1096" s="1"/>
      <c r="I1096" s="1"/>
    </row>
    <row r="1097" spans="8:9" x14ac:dyDescent="0.25">
      <c r="H1097" s="1"/>
      <c r="I1097" s="1"/>
    </row>
    <row r="1098" spans="8:9" x14ac:dyDescent="0.25">
      <c r="H1098" s="1"/>
      <c r="I1098" s="1"/>
    </row>
    <row r="1099" spans="8:9" x14ac:dyDescent="0.25">
      <c r="H1099" s="1"/>
      <c r="I1099" s="1"/>
    </row>
    <row r="1100" spans="8:9" x14ac:dyDescent="0.25">
      <c r="H1100" s="1"/>
      <c r="I1100" s="1"/>
    </row>
    <row r="1101" spans="8:9" x14ac:dyDescent="0.25">
      <c r="H1101" s="1"/>
      <c r="I1101" s="1"/>
    </row>
    <row r="1102" spans="8:9" x14ac:dyDescent="0.25">
      <c r="H1102" s="1"/>
      <c r="I1102" s="1"/>
    </row>
    <row r="1103" spans="8:9" x14ac:dyDescent="0.25">
      <c r="H1103" s="1"/>
      <c r="I1103" s="1"/>
    </row>
    <row r="1104" spans="8:9" x14ac:dyDescent="0.25">
      <c r="H1104" s="1"/>
      <c r="I1104" s="1"/>
    </row>
    <row r="1105" spans="8:9" x14ac:dyDescent="0.25">
      <c r="H1105" s="1"/>
      <c r="I1105" s="1"/>
    </row>
    <row r="1106" spans="8:9" x14ac:dyDescent="0.25">
      <c r="H1106" s="1"/>
      <c r="I1106" s="1"/>
    </row>
    <row r="1107" spans="8:9" x14ac:dyDescent="0.25">
      <c r="H1107" s="1"/>
      <c r="I1107" s="1"/>
    </row>
    <row r="1108" spans="8:9" x14ac:dyDescent="0.25">
      <c r="H1108" s="1"/>
      <c r="I1108" s="1"/>
    </row>
    <row r="1109" spans="8:9" x14ac:dyDescent="0.25">
      <c r="H1109" s="1"/>
      <c r="I1109" s="1"/>
    </row>
    <row r="1110" spans="8:9" x14ac:dyDescent="0.25">
      <c r="H1110" s="1"/>
      <c r="I1110" s="1"/>
    </row>
    <row r="1111" spans="8:9" x14ac:dyDescent="0.25">
      <c r="H1111" s="1"/>
      <c r="I1111" s="1"/>
    </row>
    <row r="1112" spans="8:9" x14ac:dyDescent="0.25">
      <c r="H1112" s="1"/>
      <c r="I1112" s="1"/>
    </row>
    <row r="1113" spans="8:9" x14ac:dyDescent="0.25">
      <c r="H1113" s="1"/>
      <c r="I1113" s="1"/>
    </row>
    <row r="1114" spans="8:9" x14ac:dyDescent="0.25">
      <c r="H1114" s="1"/>
      <c r="I1114" s="1"/>
    </row>
    <row r="1115" spans="8:9" x14ac:dyDescent="0.25">
      <c r="H1115" s="1"/>
      <c r="I1115" s="1"/>
    </row>
    <row r="1116" spans="8:9" x14ac:dyDescent="0.25">
      <c r="H1116" s="1"/>
      <c r="I1116" s="1"/>
    </row>
    <row r="1117" spans="8:9" x14ac:dyDescent="0.25">
      <c r="H1117" s="1"/>
      <c r="I1117" s="1"/>
    </row>
    <row r="1118" spans="8:9" x14ac:dyDescent="0.25">
      <c r="H1118" s="1"/>
      <c r="I1118" s="1"/>
    </row>
    <row r="1119" spans="8:9" x14ac:dyDescent="0.25">
      <c r="H1119" s="1"/>
      <c r="I1119" s="1"/>
    </row>
    <row r="1120" spans="8:9" x14ac:dyDescent="0.25">
      <c r="H1120" s="1"/>
      <c r="I1120" s="1"/>
    </row>
    <row r="1121" spans="8:9" x14ac:dyDescent="0.25">
      <c r="H1121" s="1"/>
      <c r="I1121" s="1"/>
    </row>
    <row r="1122" spans="8:9" x14ac:dyDescent="0.25">
      <c r="H1122" s="1"/>
      <c r="I1122" s="1"/>
    </row>
    <row r="1123" spans="8:9" x14ac:dyDescent="0.25">
      <c r="H1123" s="1"/>
      <c r="I1123" s="1"/>
    </row>
    <row r="1124" spans="8:9" x14ac:dyDescent="0.25">
      <c r="H1124" s="1"/>
      <c r="I1124" s="1"/>
    </row>
    <row r="1125" spans="8:9" x14ac:dyDescent="0.25">
      <c r="H1125" s="1"/>
      <c r="I1125" s="1"/>
    </row>
    <row r="1126" spans="8:9" x14ac:dyDescent="0.25">
      <c r="H1126" s="1"/>
      <c r="I1126" s="1"/>
    </row>
    <row r="1127" spans="8:9" x14ac:dyDescent="0.25">
      <c r="H1127" s="1"/>
      <c r="I1127" s="1"/>
    </row>
    <row r="1128" spans="8:9" x14ac:dyDescent="0.25">
      <c r="H1128" s="1"/>
      <c r="I1128" s="1"/>
    </row>
    <row r="1129" spans="8:9" x14ac:dyDescent="0.25">
      <c r="H1129" s="1"/>
      <c r="I1129" s="1"/>
    </row>
    <row r="1130" spans="8:9" x14ac:dyDescent="0.25">
      <c r="H1130" s="1"/>
      <c r="I1130" s="1"/>
    </row>
    <row r="1131" spans="8:9" x14ac:dyDescent="0.25">
      <c r="H1131" s="1"/>
      <c r="I1131" s="1"/>
    </row>
    <row r="1132" spans="8:9" x14ac:dyDescent="0.25">
      <c r="H1132" s="1"/>
      <c r="I1132" s="1"/>
    </row>
    <row r="1133" spans="8:9" x14ac:dyDescent="0.25">
      <c r="H1133" s="1"/>
      <c r="I1133" s="1"/>
    </row>
    <row r="1134" spans="8:9" x14ac:dyDescent="0.25">
      <c r="H1134" s="1"/>
      <c r="I1134" s="1"/>
    </row>
    <row r="1135" spans="8:9" x14ac:dyDescent="0.25">
      <c r="H1135" s="1"/>
      <c r="I1135" s="1"/>
    </row>
    <row r="1136" spans="8:9" x14ac:dyDescent="0.25">
      <c r="H1136" s="1"/>
      <c r="I1136" s="1"/>
    </row>
    <row r="1137" spans="8:9" x14ac:dyDescent="0.25">
      <c r="H1137" s="1"/>
      <c r="I1137" s="1"/>
    </row>
    <row r="1138" spans="8:9" x14ac:dyDescent="0.25">
      <c r="H1138" s="1"/>
      <c r="I1138" s="1"/>
    </row>
    <row r="1139" spans="8:9" x14ac:dyDescent="0.25">
      <c r="H1139" s="1"/>
      <c r="I1139" s="1"/>
    </row>
    <row r="1140" spans="8:9" x14ac:dyDescent="0.25">
      <c r="H1140" s="1"/>
      <c r="I1140" s="1"/>
    </row>
    <row r="1141" spans="8:9" x14ac:dyDescent="0.25">
      <c r="H1141" s="1"/>
      <c r="I1141" s="1"/>
    </row>
    <row r="1142" spans="8:9" x14ac:dyDescent="0.25">
      <c r="H1142" s="1"/>
      <c r="I1142" s="1"/>
    </row>
    <row r="1143" spans="8:9" x14ac:dyDescent="0.25">
      <c r="H1143" s="1"/>
      <c r="I1143" s="1"/>
    </row>
    <row r="1144" spans="8:9" x14ac:dyDescent="0.25">
      <c r="H1144" s="1"/>
      <c r="I1144" s="1"/>
    </row>
    <row r="1145" spans="8:9" x14ac:dyDescent="0.25">
      <c r="H1145" s="1"/>
      <c r="I1145" s="1"/>
    </row>
    <row r="1146" spans="8:9" x14ac:dyDescent="0.25">
      <c r="H1146" s="1"/>
      <c r="I1146" s="1"/>
    </row>
    <row r="1147" spans="8:9" x14ac:dyDescent="0.25">
      <c r="H1147" s="1"/>
      <c r="I1147" s="1"/>
    </row>
    <row r="1148" spans="8:9" x14ac:dyDescent="0.25">
      <c r="H1148" s="1"/>
      <c r="I1148" s="1"/>
    </row>
    <row r="1149" spans="8:9" x14ac:dyDescent="0.25">
      <c r="H1149" s="1"/>
      <c r="I1149" s="1"/>
    </row>
    <row r="1150" spans="8:9" x14ac:dyDescent="0.25">
      <c r="H1150" s="1"/>
      <c r="I1150" s="1"/>
    </row>
    <row r="1151" spans="8:9" x14ac:dyDescent="0.25">
      <c r="H1151" s="1"/>
      <c r="I1151" s="1"/>
    </row>
    <row r="1152" spans="8:9" x14ac:dyDescent="0.25">
      <c r="H1152" s="1"/>
      <c r="I1152" s="1"/>
    </row>
    <row r="1153" spans="8:9" x14ac:dyDescent="0.25">
      <c r="H1153" s="1"/>
      <c r="I1153" s="1"/>
    </row>
    <row r="1154" spans="8:9" x14ac:dyDescent="0.25">
      <c r="H1154" s="1"/>
      <c r="I1154" s="1"/>
    </row>
    <row r="1155" spans="8:9" x14ac:dyDescent="0.25">
      <c r="H1155" s="1"/>
      <c r="I1155" s="1"/>
    </row>
    <row r="1156" spans="8:9" x14ac:dyDescent="0.25">
      <c r="H1156" s="1"/>
      <c r="I1156" s="1"/>
    </row>
    <row r="1157" spans="8:9" x14ac:dyDescent="0.25">
      <c r="H1157" s="1"/>
      <c r="I1157" s="1"/>
    </row>
    <row r="1158" spans="8:9" x14ac:dyDescent="0.25">
      <c r="H1158" s="1"/>
      <c r="I1158" s="1"/>
    </row>
    <row r="1159" spans="8:9" x14ac:dyDescent="0.25">
      <c r="H1159" s="1"/>
      <c r="I1159" s="1"/>
    </row>
    <row r="1160" spans="8:9" x14ac:dyDescent="0.25">
      <c r="H1160" s="1"/>
      <c r="I1160" s="1"/>
    </row>
    <row r="1161" spans="8:9" x14ac:dyDescent="0.25">
      <c r="H1161" s="1"/>
      <c r="I1161" s="1"/>
    </row>
    <row r="1162" spans="8:9" x14ac:dyDescent="0.25">
      <c r="H1162" s="1"/>
      <c r="I1162" s="1"/>
    </row>
    <row r="1163" spans="8:9" x14ac:dyDescent="0.25">
      <c r="H1163" s="1"/>
      <c r="I1163" s="1"/>
    </row>
    <row r="1164" spans="8:9" x14ac:dyDescent="0.25">
      <c r="H1164" s="1"/>
      <c r="I1164" s="1"/>
    </row>
    <row r="1165" spans="8:9" x14ac:dyDescent="0.25">
      <c r="H1165" s="1"/>
      <c r="I1165" s="1"/>
    </row>
    <row r="1166" spans="8:9" x14ac:dyDescent="0.25">
      <c r="H1166" s="1"/>
      <c r="I1166" s="1"/>
    </row>
    <row r="1167" spans="8:9" x14ac:dyDescent="0.25">
      <c r="H1167" s="1"/>
      <c r="I1167" s="1"/>
    </row>
    <row r="1168" spans="8:9" x14ac:dyDescent="0.25">
      <c r="H1168" s="1"/>
      <c r="I1168" s="1"/>
    </row>
    <row r="1169" spans="8:9" x14ac:dyDescent="0.25">
      <c r="H1169" s="1"/>
      <c r="I1169" s="1"/>
    </row>
    <row r="1170" spans="8:9" x14ac:dyDescent="0.25">
      <c r="H1170" s="1"/>
      <c r="I1170" s="1"/>
    </row>
    <row r="1171" spans="8:9" x14ac:dyDescent="0.25">
      <c r="H1171" s="1"/>
      <c r="I1171" s="1"/>
    </row>
    <row r="1172" spans="8:9" x14ac:dyDescent="0.25">
      <c r="H1172" s="1"/>
      <c r="I1172" s="1"/>
    </row>
    <row r="1173" spans="8:9" x14ac:dyDescent="0.25">
      <c r="H1173" s="1"/>
      <c r="I1173" s="1"/>
    </row>
    <row r="1174" spans="8:9" x14ac:dyDescent="0.25">
      <c r="H1174" s="1"/>
      <c r="I1174" s="1"/>
    </row>
    <row r="1175" spans="8:9" x14ac:dyDescent="0.25">
      <c r="H1175" s="1"/>
      <c r="I1175" s="1"/>
    </row>
    <row r="1176" spans="8:9" x14ac:dyDescent="0.25">
      <c r="H1176" s="1"/>
      <c r="I1176" s="1"/>
    </row>
    <row r="1177" spans="8:9" x14ac:dyDescent="0.25">
      <c r="H1177" s="1"/>
      <c r="I1177" s="1"/>
    </row>
    <row r="1178" spans="8:9" x14ac:dyDescent="0.25">
      <c r="H1178" s="1"/>
      <c r="I1178" s="1"/>
    </row>
    <row r="1179" spans="8:9" x14ac:dyDescent="0.25">
      <c r="H1179" s="1"/>
      <c r="I1179" s="1"/>
    </row>
    <row r="1180" spans="8:9" x14ac:dyDescent="0.25">
      <c r="H1180" s="1"/>
      <c r="I1180" s="1"/>
    </row>
    <row r="1181" spans="8:9" x14ac:dyDescent="0.25">
      <c r="H1181" s="1"/>
      <c r="I1181" s="1"/>
    </row>
    <row r="1182" spans="8:9" x14ac:dyDescent="0.25">
      <c r="H1182" s="1"/>
      <c r="I1182" s="1"/>
    </row>
    <row r="1183" spans="8:9" x14ac:dyDescent="0.25">
      <c r="H1183" s="1"/>
      <c r="I1183" s="1"/>
    </row>
    <row r="1184" spans="8:9" x14ac:dyDescent="0.25">
      <c r="H1184" s="1"/>
      <c r="I1184" s="1"/>
    </row>
    <row r="1185" spans="8:9" x14ac:dyDescent="0.25">
      <c r="H1185" s="1"/>
      <c r="I1185" s="1"/>
    </row>
    <row r="1186" spans="8:9" x14ac:dyDescent="0.25">
      <c r="H1186" s="1"/>
      <c r="I1186" s="1"/>
    </row>
    <row r="1187" spans="8:9" x14ac:dyDescent="0.25">
      <c r="H1187" s="1"/>
      <c r="I1187" s="1"/>
    </row>
    <row r="1188" spans="8:9" x14ac:dyDescent="0.25">
      <c r="H1188" s="1"/>
      <c r="I1188" s="1"/>
    </row>
    <row r="1189" spans="8:9" x14ac:dyDescent="0.25">
      <c r="H1189" s="1"/>
      <c r="I1189" s="1"/>
    </row>
    <row r="1190" spans="8:9" x14ac:dyDescent="0.25">
      <c r="H1190" s="1"/>
      <c r="I1190" s="1"/>
    </row>
    <row r="1191" spans="8:9" x14ac:dyDescent="0.25">
      <c r="H1191" s="1"/>
      <c r="I1191" s="1"/>
    </row>
    <row r="1192" spans="8:9" x14ac:dyDescent="0.25">
      <c r="H1192" s="1"/>
      <c r="I1192" s="1"/>
    </row>
    <row r="1193" spans="8:9" x14ac:dyDescent="0.25">
      <c r="H1193" s="1"/>
      <c r="I1193" s="1"/>
    </row>
    <row r="1194" spans="8:9" x14ac:dyDescent="0.25">
      <c r="H1194" s="1"/>
      <c r="I1194" s="1"/>
    </row>
    <row r="1195" spans="8:9" x14ac:dyDescent="0.25">
      <c r="H1195" s="1"/>
      <c r="I1195" s="1"/>
    </row>
    <row r="1196" spans="8:9" x14ac:dyDescent="0.25">
      <c r="H1196" s="1"/>
      <c r="I1196" s="1"/>
    </row>
    <row r="1197" spans="8:9" x14ac:dyDescent="0.25">
      <c r="H1197" s="1"/>
      <c r="I1197" s="1"/>
    </row>
    <row r="1198" spans="8:9" x14ac:dyDescent="0.25">
      <c r="H1198" s="1"/>
      <c r="I1198" s="1"/>
    </row>
    <row r="1199" spans="8:9" x14ac:dyDescent="0.25">
      <c r="H1199" s="1"/>
      <c r="I1199" s="1"/>
    </row>
    <row r="1200" spans="8:9" x14ac:dyDescent="0.25">
      <c r="H1200" s="1"/>
      <c r="I1200" s="1"/>
    </row>
    <row r="1201" spans="8:9" x14ac:dyDescent="0.25">
      <c r="H1201" s="1"/>
      <c r="I1201" s="1"/>
    </row>
    <row r="1202" spans="8:9" x14ac:dyDescent="0.25">
      <c r="H1202" s="1"/>
      <c r="I1202" s="1"/>
    </row>
    <row r="1203" spans="8:9" x14ac:dyDescent="0.25">
      <c r="H1203" s="1"/>
      <c r="I1203" s="1"/>
    </row>
    <row r="1204" spans="8:9" x14ac:dyDescent="0.25">
      <c r="H1204" s="1"/>
      <c r="I1204" s="1"/>
    </row>
    <row r="1205" spans="8:9" x14ac:dyDescent="0.25">
      <c r="H1205" s="1"/>
      <c r="I1205" s="1"/>
    </row>
    <row r="1206" spans="8:9" x14ac:dyDescent="0.25">
      <c r="H1206" s="1"/>
      <c r="I1206" s="1"/>
    </row>
    <row r="1207" spans="8:9" x14ac:dyDescent="0.25">
      <c r="H1207" s="1"/>
      <c r="I1207" s="1"/>
    </row>
    <row r="1208" spans="8:9" x14ac:dyDescent="0.25">
      <c r="H1208" s="1"/>
      <c r="I1208" s="1"/>
    </row>
    <row r="1209" spans="8:9" x14ac:dyDescent="0.25">
      <c r="H1209" s="1"/>
      <c r="I1209" s="1"/>
    </row>
    <row r="1210" spans="8:9" x14ac:dyDescent="0.25">
      <c r="H1210" s="1"/>
      <c r="I1210" s="1"/>
    </row>
    <row r="1211" spans="8:9" x14ac:dyDescent="0.25">
      <c r="H1211" s="1"/>
      <c r="I1211" s="1"/>
    </row>
    <row r="1212" spans="8:9" x14ac:dyDescent="0.25">
      <c r="H1212" s="1"/>
      <c r="I1212" s="1"/>
    </row>
    <row r="1213" spans="8:9" x14ac:dyDescent="0.25">
      <c r="H1213" s="1"/>
      <c r="I1213" s="1"/>
    </row>
    <row r="1214" spans="8:9" x14ac:dyDescent="0.25">
      <c r="H1214" s="1"/>
      <c r="I1214" s="1"/>
    </row>
    <row r="1215" spans="8:9" x14ac:dyDescent="0.25">
      <c r="H1215" s="1"/>
      <c r="I1215" s="1"/>
    </row>
    <row r="1216" spans="8:9" x14ac:dyDescent="0.25">
      <c r="H1216" s="1"/>
      <c r="I1216" s="1"/>
    </row>
    <row r="1217" spans="8:9" x14ac:dyDescent="0.25">
      <c r="H1217" s="1"/>
      <c r="I1217" s="1"/>
    </row>
    <row r="1218" spans="8:9" x14ac:dyDescent="0.25">
      <c r="H1218" s="1"/>
      <c r="I1218" s="1"/>
    </row>
    <row r="1219" spans="8:9" x14ac:dyDescent="0.25">
      <c r="H1219" s="1"/>
      <c r="I1219" s="1"/>
    </row>
    <row r="1220" spans="8:9" x14ac:dyDescent="0.25">
      <c r="H1220" s="1"/>
      <c r="I1220" s="1"/>
    </row>
    <row r="1221" spans="8:9" x14ac:dyDescent="0.25">
      <c r="H1221" s="1"/>
      <c r="I1221" s="1"/>
    </row>
    <row r="1222" spans="8:9" x14ac:dyDescent="0.25">
      <c r="H1222" s="1"/>
      <c r="I1222" s="1"/>
    </row>
    <row r="1223" spans="8:9" x14ac:dyDescent="0.25">
      <c r="H1223" s="1"/>
      <c r="I1223" s="1"/>
    </row>
    <row r="1224" spans="8:9" x14ac:dyDescent="0.25">
      <c r="H1224" s="1"/>
      <c r="I1224" s="1"/>
    </row>
    <row r="1225" spans="8:9" x14ac:dyDescent="0.25">
      <c r="H1225" s="1"/>
      <c r="I1225" s="1"/>
    </row>
    <row r="1226" spans="8:9" x14ac:dyDescent="0.25">
      <c r="H1226" s="1"/>
      <c r="I1226" s="1"/>
    </row>
    <row r="1227" spans="8:9" x14ac:dyDescent="0.25">
      <c r="H1227" s="1"/>
      <c r="I1227" s="1"/>
    </row>
    <row r="1228" spans="8:9" x14ac:dyDescent="0.25">
      <c r="H1228" s="1"/>
      <c r="I1228" s="1"/>
    </row>
    <row r="1229" spans="8:9" x14ac:dyDescent="0.25">
      <c r="H1229" s="1"/>
      <c r="I1229" s="1"/>
    </row>
    <row r="1230" spans="8:9" x14ac:dyDescent="0.25">
      <c r="H1230" s="1"/>
      <c r="I1230" s="1"/>
    </row>
    <row r="1231" spans="8:9" x14ac:dyDescent="0.25">
      <c r="H1231" s="1"/>
      <c r="I1231" s="1"/>
    </row>
    <row r="1232" spans="8:9" x14ac:dyDescent="0.25">
      <c r="H1232" s="1"/>
      <c r="I1232" s="1"/>
    </row>
    <row r="1233" spans="8:9" x14ac:dyDescent="0.25">
      <c r="H1233" s="1"/>
      <c r="I1233" s="1"/>
    </row>
    <row r="1234" spans="8:9" x14ac:dyDescent="0.25">
      <c r="H1234" s="1"/>
      <c r="I1234" s="1"/>
    </row>
    <row r="1235" spans="8:9" x14ac:dyDescent="0.25">
      <c r="H1235" s="1"/>
      <c r="I1235" s="1"/>
    </row>
    <row r="1236" spans="8:9" x14ac:dyDescent="0.25">
      <c r="H1236" s="1"/>
      <c r="I1236" s="1"/>
    </row>
    <row r="1237" spans="8:9" x14ac:dyDescent="0.25">
      <c r="H1237" s="1"/>
      <c r="I1237" s="1"/>
    </row>
    <row r="1238" spans="8:9" x14ac:dyDescent="0.25">
      <c r="H1238" s="1"/>
      <c r="I1238" s="1"/>
    </row>
    <row r="1239" spans="8:9" x14ac:dyDescent="0.25">
      <c r="H1239" s="1"/>
      <c r="I1239" s="1"/>
    </row>
    <row r="1240" spans="8:9" x14ac:dyDescent="0.25">
      <c r="H1240" s="1"/>
      <c r="I1240" s="1"/>
    </row>
    <row r="1241" spans="8:9" x14ac:dyDescent="0.25">
      <c r="H1241" s="1"/>
      <c r="I1241" s="1"/>
    </row>
    <row r="1242" spans="8:9" x14ac:dyDescent="0.25">
      <c r="H1242" s="1"/>
      <c r="I1242" s="1"/>
    </row>
    <row r="1243" spans="8:9" x14ac:dyDescent="0.25">
      <c r="H1243" s="1"/>
      <c r="I1243" s="1"/>
    </row>
    <row r="1244" spans="8:9" x14ac:dyDescent="0.25">
      <c r="H1244" s="1"/>
      <c r="I1244" s="1"/>
    </row>
    <row r="1245" spans="8:9" x14ac:dyDescent="0.25">
      <c r="H1245" s="1"/>
      <c r="I1245" s="1"/>
    </row>
    <row r="1246" spans="8:9" x14ac:dyDescent="0.25">
      <c r="H1246" s="1"/>
      <c r="I1246" s="1"/>
    </row>
    <row r="1247" spans="8:9" x14ac:dyDescent="0.25">
      <c r="H1247" s="1"/>
      <c r="I1247" s="1"/>
    </row>
    <row r="1248" spans="8:9" x14ac:dyDescent="0.25">
      <c r="H1248" s="1"/>
      <c r="I1248" s="1"/>
    </row>
    <row r="1249" spans="8:9" x14ac:dyDescent="0.25">
      <c r="H1249" s="1"/>
      <c r="I1249" s="1"/>
    </row>
    <row r="1250" spans="8:9" x14ac:dyDescent="0.25">
      <c r="H1250" s="1"/>
      <c r="I1250" s="1"/>
    </row>
    <row r="1251" spans="8:9" x14ac:dyDescent="0.25">
      <c r="H1251" s="1"/>
      <c r="I1251" s="1"/>
    </row>
    <row r="1252" spans="8:9" x14ac:dyDescent="0.25">
      <c r="H1252" s="1"/>
      <c r="I1252" s="1"/>
    </row>
    <row r="1253" spans="8:9" x14ac:dyDescent="0.25">
      <c r="H1253" s="1"/>
      <c r="I1253" s="1"/>
    </row>
    <row r="1254" spans="8:9" x14ac:dyDescent="0.25">
      <c r="H1254" s="1"/>
      <c r="I1254" s="1"/>
    </row>
    <row r="1255" spans="8:9" x14ac:dyDescent="0.25">
      <c r="H1255" s="1"/>
      <c r="I1255" s="1"/>
    </row>
    <row r="1256" spans="8:9" x14ac:dyDescent="0.25">
      <c r="H1256" s="1"/>
      <c r="I1256" s="1"/>
    </row>
    <row r="1257" spans="8:9" x14ac:dyDescent="0.25">
      <c r="H1257" s="1"/>
      <c r="I1257" s="1"/>
    </row>
    <row r="1258" spans="8:9" x14ac:dyDescent="0.25">
      <c r="H1258" s="1"/>
      <c r="I1258" s="1"/>
    </row>
    <row r="1259" spans="8:9" x14ac:dyDescent="0.25">
      <c r="H1259" s="1"/>
      <c r="I1259" s="1"/>
    </row>
    <row r="1260" spans="8:9" x14ac:dyDescent="0.25">
      <c r="H1260" s="1"/>
      <c r="I1260" s="1"/>
    </row>
    <row r="1261" spans="8:9" x14ac:dyDescent="0.25">
      <c r="H1261" s="1"/>
      <c r="I1261" s="1"/>
    </row>
    <row r="1262" spans="8:9" x14ac:dyDescent="0.25">
      <c r="H1262" s="1"/>
      <c r="I1262" s="1"/>
    </row>
    <row r="1263" spans="8:9" x14ac:dyDescent="0.25">
      <c r="H1263" s="1"/>
      <c r="I1263" s="1"/>
    </row>
    <row r="1264" spans="8:9" x14ac:dyDescent="0.25">
      <c r="H1264" s="1"/>
      <c r="I1264" s="1"/>
    </row>
    <row r="1265" spans="8:9" x14ac:dyDescent="0.25">
      <c r="H1265" s="1"/>
      <c r="I1265" s="1"/>
    </row>
    <row r="1266" spans="8:9" x14ac:dyDescent="0.25">
      <c r="H1266" s="1"/>
      <c r="I1266" s="1"/>
    </row>
    <row r="1267" spans="8:9" x14ac:dyDescent="0.25">
      <c r="H1267" s="1"/>
      <c r="I1267" s="1"/>
    </row>
    <row r="1268" spans="8:9" x14ac:dyDescent="0.25">
      <c r="H1268" s="1"/>
      <c r="I1268" s="1"/>
    </row>
    <row r="1269" spans="8:9" x14ac:dyDescent="0.25">
      <c r="H1269" s="1"/>
      <c r="I1269" s="1"/>
    </row>
    <row r="1270" spans="8:9" x14ac:dyDescent="0.25">
      <c r="H1270" s="1"/>
      <c r="I1270" s="1"/>
    </row>
    <row r="1271" spans="8:9" x14ac:dyDescent="0.25">
      <c r="H1271" s="1"/>
      <c r="I1271" s="1"/>
    </row>
    <row r="1272" spans="8:9" x14ac:dyDescent="0.25">
      <c r="H1272" s="1"/>
      <c r="I1272" s="1"/>
    </row>
    <row r="1273" spans="8:9" x14ac:dyDescent="0.25">
      <c r="H1273" s="1"/>
      <c r="I1273" s="1"/>
    </row>
    <row r="1274" spans="8:9" x14ac:dyDescent="0.25">
      <c r="H1274" s="1"/>
      <c r="I1274" s="1"/>
    </row>
    <row r="1275" spans="8:9" x14ac:dyDescent="0.25">
      <c r="H1275" s="1"/>
      <c r="I1275" s="1"/>
    </row>
    <row r="1276" spans="8:9" x14ac:dyDescent="0.25">
      <c r="H1276" s="1"/>
      <c r="I1276" s="1"/>
    </row>
    <row r="1277" spans="8:9" x14ac:dyDescent="0.25">
      <c r="H1277" s="1"/>
      <c r="I1277" s="1"/>
    </row>
    <row r="1278" spans="8:9" x14ac:dyDescent="0.25">
      <c r="H1278" s="1"/>
      <c r="I1278" s="1"/>
    </row>
    <row r="1279" spans="8:9" x14ac:dyDescent="0.25">
      <c r="H1279" s="1"/>
      <c r="I1279" s="1"/>
    </row>
    <row r="1280" spans="8:9" x14ac:dyDescent="0.25">
      <c r="H1280" s="1"/>
      <c r="I1280" s="1"/>
    </row>
    <row r="1281" spans="8:9" x14ac:dyDescent="0.25">
      <c r="H1281" s="1"/>
      <c r="I1281" s="1"/>
    </row>
    <row r="1282" spans="8:9" x14ac:dyDescent="0.25">
      <c r="H1282" s="1"/>
      <c r="I1282" s="1"/>
    </row>
    <row r="1283" spans="8:9" x14ac:dyDescent="0.25">
      <c r="H1283" s="1"/>
      <c r="I1283" s="1"/>
    </row>
    <row r="1284" spans="8:9" x14ac:dyDescent="0.25">
      <c r="H1284" s="1"/>
      <c r="I1284" s="1"/>
    </row>
    <row r="1285" spans="8:9" x14ac:dyDescent="0.25">
      <c r="H1285" s="1"/>
      <c r="I1285" s="1"/>
    </row>
    <row r="1286" spans="8:9" x14ac:dyDescent="0.25">
      <c r="H1286" s="1"/>
      <c r="I1286" s="1"/>
    </row>
    <row r="1287" spans="8:9" x14ac:dyDescent="0.25">
      <c r="H1287" s="1"/>
      <c r="I1287" s="1"/>
    </row>
    <row r="1288" spans="8:9" x14ac:dyDescent="0.25">
      <c r="H1288" s="1"/>
      <c r="I1288" s="1"/>
    </row>
    <row r="1289" spans="8:9" x14ac:dyDescent="0.25">
      <c r="H1289" s="1"/>
      <c r="I1289" s="1"/>
    </row>
    <row r="1290" spans="8:9" x14ac:dyDescent="0.25">
      <c r="H1290" s="1"/>
      <c r="I1290" s="1"/>
    </row>
    <row r="1291" spans="8:9" x14ac:dyDescent="0.25">
      <c r="H1291" s="1"/>
      <c r="I1291" s="1"/>
    </row>
    <row r="1292" spans="8:9" x14ac:dyDescent="0.25">
      <c r="H1292" s="1"/>
      <c r="I1292" s="1"/>
    </row>
    <row r="1293" spans="8:9" x14ac:dyDescent="0.25">
      <c r="H1293" s="1"/>
      <c r="I1293" s="1"/>
    </row>
    <row r="1294" spans="8:9" x14ac:dyDescent="0.25">
      <c r="H1294" s="1"/>
      <c r="I1294" s="1"/>
    </row>
    <row r="1295" spans="8:9" x14ac:dyDescent="0.25">
      <c r="H1295" s="1"/>
      <c r="I1295" s="1"/>
    </row>
    <row r="1296" spans="8:9" x14ac:dyDescent="0.25">
      <c r="H1296" s="1"/>
      <c r="I1296" s="1"/>
    </row>
    <row r="1297" spans="8:9" x14ac:dyDescent="0.25">
      <c r="H1297" s="1"/>
      <c r="I1297" s="1"/>
    </row>
    <row r="1298" spans="8:9" x14ac:dyDescent="0.25">
      <c r="H1298" s="1"/>
      <c r="I1298" s="1"/>
    </row>
    <row r="1299" spans="8:9" x14ac:dyDescent="0.25">
      <c r="H1299" s="1"/>
      <c r="I1299" s="1"/>
    </row>
    <row r="1300" spans="8:9" x14ac:dyDescent="0.25">
      <c r="H1300" s="1"/>
      <c r="I1300" s="1"/>
    </row>
    <row r="1301" spans="8:9" x14ac:dyDescent="0.25">
      <c r="H1301" s="1"/>
      <c r="I1301" s="1"/>
    </row>
    <row r="1302" spans="8:9" x14ac:dyDescent="0.25">
      <c r="H1302" s="1"/>
      <c r="I1302" s="1"/>
    </row>
    <row r="1303" spans="8:9" x14ac:dyDescent="0.25">
      <c r="H1303" s="1"/>
      <c r="I1303" s="1"/>
    </row>
    <row r="1304" spans="8:9" x14ac:dyDescent="0.25">
      <c r="H1304" s="1"/>
      <c r="I1304" s="1"/>
    </row>
    <row r="1305" spans="8:9" x14ac:dyDescent="0.25">
      <c r="H1305" s="1"/>
      <c r="I1305" s="1"/>
    </row>
    <row r="1306" spans="8:9" x14ac:dyDescent="0.25">
      <c r="H1306" s="1"/>
      <c r="I1306" s="1"/>
    </row>
    <row r="1307" spans="8:9" x14ac:dyDescent="0.25">
      <c r="H1307" s="1"/>
      <c r="I1307" s="1"/>
    </row>
    <row r="1308" spans="8:9" x14ac:dyDescent="0.25">
      <c r="H1308" s="1"/>
      <c r="I1308" s="1"/>
    </row>
    <row r="1309" spans="8:9" x14ac:dyDescent="0.25">
      <c r="H1309" s="1"/>
      <c r="I1309" s="1"/>
    </row>
    <row r="1310" spans="8:9" x14ac:dyDescent="0.25">
      <c r="H1310" s="1"/>
      <c r="I1310" s="1"/>
    </row>
    <row r="1311" spans="8:9" x14ac:dyDescent="0.25">
      <c r="H1311" s="1"/>
      <c r="I1311" s="1"/>
    </row>
    <row r="1312" spans="8:9" x14ac:dyDescent="0.25">
      <c r="H1312" s="1"/>
      <c r="I1312" s="1"/>
    </row>
    <row r="1313" spans="8:9" x14ac:dyDescent="0.25">
      <c r="H1313" s="1"/>
      <c r="I1313" s="1"/>
    </row>
    <row r="1314" spans="8:9" x14ac:dyDescent="0.25">
      <c r="H1314" s="1"/>
      <c r="I1314" s="1"/>
    </row>
    <row r="1315" spans="8:9" x14ac:dyDescent="0.25">
      <c r="H1315" s="1"/>
      <c r="I1315" s="1"/>
    </row>
    <row r="1316" spans="8:9" x14ac:dyDescent="0.25">
      <c r="H1316" s="1"/>
      <c r="I1316" s="1"/>
    </row>
    <row r="1317" spans="8:9" x14ac:dyDescent="0.25">
      <c r="H1317" s="1"/>
      <c r="I1317" s="1"/>
    </row>
    <row r="1318" spans="8:9" x14ac:dyDescent="0.25">
      <c r="H1318" s="1"/>
      <c r="I1318" s="1"/>
    </row>
    <row r="1319" spans="8:9" x14ac:dyDescent="0.25">
      <c r="H1319" s="1"/>
      <c r="I1319" s="1"/>
    </row>
    <row r="1320" spans="8:9" x14ac:dyDescent="0.25">
      <c r="H1320" s="1"/>
      <c r="I1320" s="1"/>
    </row>
    <row r="1321" spans="8:9" x14ac:dyDescent="0.25">
      <c r="H1321" s="1"/>
      <c r="I1321" s="1"/>
    </row>
    <row r="1322" spans="8:9" x14ac:dyDescent="0.25">
      <c r="H1322" s="1"/>
      <c r="I1322" s="1"/>
    </row>
    <row r="1323" spans="8:9" x14ac:dyDescent="0.25">
      <c r="H1323" s="1"/>
      <c r="I1323" s="1"/>
    </row>
    <row r="1324" spans="8:9" x14ac:dyDescent="0.25">
      <c r="H1324" s="1"/>
      <c r="I1324" s="1"/>
    </row>
    <row r="1325" spans="8:9" x14ac:dyDescent="0.25">
      <c r="H1325" s="1"/>
      <c r="I1325" s="1"/>
    </row>
    <row r="1326" spans="8:9" x14ac:dyDescent="0.25">
      <c r="H1326" s="1"/>
      <c r="I1326" s="1"/>
    </row>
    <row r="1327" spans="8:9" x14ac:dyDescent="0.25">
      <c r="H1327" s="1"/>
      <c r="I1327" s="1"/>
    </row>
    <row r="1328" spans="8:9" x14ac:dyDescent="0.25">
      <c r="H1328" s="1"/>
      <c r="I1328" s="1"/>
    </row>
    <row r="1329" spans="8:9" x14ac:dyDescent="0.25">
      <c r="H1329" s="1"/>
      <c r="I1329" s="1"/>
    </row>
    <row r="1330" spans="8:9" x14ac:dyDescent="0.25">
      <c r="H1330" s="1"/>
      <c r="I1330" s="1"/>
    </row>
    <row r="1331" spans="8:9" x14ac:dyDescent="0.25">
      <c r="H1331" s="1"/>
      <c r="I1331" s="1"/>
    </row>
    <row r="1332" spans="8:9" x14ac:dyDescent="0.25">
      <c r="H1332" s="1"/>
      <c r="I1332" s="1"/>
    </row>
    <row r="1333" spans="8:9" x14ac:dyDescent="0.25">
      <c r="H1333" s="1"/>
      <c r="I1333" s="1"/>
    </row>
    <row r="1334" spans="8:9" x14ac:dyDescent="0.25">
      <c r="H1334" s="1"/>
      <c r="I1334" s="1"/>
    </row>
    <row r="1335" spans="8:9" x14ac:dyDescent="0.25">
      <c r="H1335" s="1"/>
      <c r="I1335" s="1"/>
    </row>
    <row r="1336" spans="8:9" x14ac:dyDescent="0.25">
      <c r="H1336" s="1"/>
      <c r="I1336" s="1"/>
    </row>
    <row r="1337" spans="8:9" x14ac:dyDescent="0.25">
      <c r="H1337" s="1"/>
      <c r="I1337" s="1"/>
    </row>
    <row r="1338" spans="8:9" x14ac:dyDescent="0.25">
      <c r="H1338" s="1"/>
      <c r="I1338" s="1"/>
    </row>
    <row r="1339" spans="8:9" x14ac:dyDescent="0.25">
      <c r="H1339" s="1"/>
      <c r="I1339" s="1"/>
    </row>
    <row r="1340" spans="8:9" x14ac:dyDescent="0.25">
      <c r="H1340" s="1"/>
      <c r="I1340" s="1"/>
    </row>
    <row r="1341" spans="8:9" x14ac:dyDescent="0.25">
      <c r="H1341" s="1"/>
      <c r="I1341" s="1"/>
    </row>
    <row r="1342" spans="8:9" x14ac:dyDescent="0.25">
      <c r="H1342" s="1"/>
      <c r="I1342" s="1"/>
    </row>
    <row r="1343" spans="8:9" x14ac:dyDescent="0.25">
      <c r="H1343" s="1"/>
      <c r="I1343" s="1"/>
    </row>
    <row r="1344" spans="8:9" x14ac:dyDescent="0.25">
      <c r="H1344" s="1"/>
      <c r="I1344" s="1"/>
    </row>
    <row r="1345" spans="8:9" x14ac:dyDescent="0.25">
      <c r="H1345" s="1"/>
      <c r="I1345" s="1"/>
    </row>
    <row r="1346" spans="8:9" x14ac:dyDescent="0.25">
      <c r="H1346" s="1"/>
      <c r="I1346" s="1"/>
    </row>
    <row r="1347" spans="8:9" x14ac:dyDescent="0.25">
      <c r="H1347" s="1"/>
      <c r="I1347" s="1"/>
    </row>
    <row r="1348" spans="8:9" x14ac:dyDescent="0.25">
      <c r="H1348" s="1"/>
      <c r="I1348" s="1"/>
    </row>
    <row r="1349" spans="8:9" x14ac:dyDescent="0.25">
      <c r="H1349" s="1"/>
      <c r="I1349" s="1"/>
    </row>
    <row r="1350" spans="8:9" x14ac:dyDescent="0.25">
      <c r="H1350" s="1"/>
      <c r="I1350" s="1"/>
    </row>
    <row r="1351" spans="8:9" x14ac:dyDescent="0.25">
      <c r="H1351" s="1"/>
      <c r="I1351" s="1"/>
    </row>
    <row r="1352" spans="8:9" x14ac:dyDescent="0.25">
      <c r="H1352" s="1"/>
      <c r="I1352" s="1"/>
    </row>
    <row r="1353" spans="8:9" x14ac:dyDescent="0.25">
      <c r="H1353" s="1"/>
      <c r="I1353" s="1"/>
    </row>
    <row r="1354" spans="8:9" x14ac:dyDescent="0.25">
      <c r="H1354" s="1"/>
      <c r="I1354" s="1"/>
    </row>
    <row r="1355" spans="8:9" x14ac:dyDescent="0.25">
      <c r="H1355" s="1"/>
      <c r="I1355" s="1"/>
    </row>
    <row r="1356" spans="8:9" x14ac:dyDescent="0.25">
      <c r="H1356" s="1"/>
      <c r="I1356" s="1"/>
    </row>
    <row r="1357" spans="8:9" x14ac:dyDescent="0.25">
      <c r="H1357" s="1"/>
      <c r="I1357" s="1"/>
    </row>
    <row r="1358" spans="8:9" x14ac:dyDescent="0.25">
      <c r="H1358" s="1"/>
      <c r="I1358" s="1"/>
    </row>
    <row r="1359" spans="8:9" x14ac:dyDescent="0.25">
      <c r="H1359" s="1"/>
      <c r="I1359" s="1"/>
    </row>
    <row r="1360" spans="8:9" x14ac:dyDescent="0.25">
      <c r="H1360" s="1"/>
      <c r="I1360" s="1"/>
    </row>
    <row r="1361" spans="8:9" x14ac:dyDescent="0.25">
      <c r="H1361" s="1"/>
      <c r="I1361" s="1"/>
    </row>
    <row r="1362" spans="8:9" x14ac:dyDescent="0.25">
      <c r="H1362" s="1"/>
      <c r="I1362" s="1"/>
    </row>
    <row r="1363" spans="8:9" x14ac:dyDescent="0.25">
      <c r="H1363" s="1"/>
      <c r="I1363" s="1"/>
    </row>
    <row r="1364" spans="8:9" x14ac:dyDescent="0.25">
      <c r="H1364" s="1"/>
      <c r="I1364" s="1"/>
    </row>
    <row r="1365" spans="8:9" x14ac:dyDescent="0.25">
      <c r="H1365" s="1"/>
      <c r="I1365" s="1"/>
    </row>
    <row r="1366" spans="8:9" x14ac:dyDescent="0.25">
      <c r="H1366" s="1"/>
      <c r="I1366" s="1"/>
    </row>
    <row r="1367" spans="8:9" x14ac:dyDescent="0.25">
      <c r="H1367" s="1"/>
      <c r="I1367" s="1"/>
    </row>
    <row r="1368" spans="8:9" x14ac:dyDescent="0.25">
      <c r="H1368" s="1"/>
      <c r="I1368" s="1"/>
    </row>
    <row r="1369" spans="8:9" x14ac:dyDescent="0.25">
      <c r="H1369" s="1"/>
      <c r="I1369" s="1"/>
    </row>
    <row r="1370" spans="8:9" x14ac:dyDescent="0.25">
      <c r="H1370" s="1"/>
      <c r="I1370" s="1"/>
    </row>
    <row r="1371" spans="8:9" x14ac:dyDescent="0.25">
      <c r="H1371" s="1"/>
      <c r="I1371" s="1"/>
    </row>
    <row r="1372" spans="8:9" x14ac:dyDescent="0.25">
      <c r="H1372" s="1"/>
      <c r="I1372" s="1"/>
    </row>
    <row r="1373" spans="8:9" x14ac:dyDescent="0.25">
      <c r="H1373" s="1"/>
      <c r="I1373" s="1"/>
    </row>
    <row r="1374" spans="8:9" x14ac:dyDescent="0.25">
      <c r="H1374" s="1"/>
      <c r="I1374" s="1"/>
    </row>
    <row r="1375" spans="8:9" x14ac:dyDescent="0.25">
      <c r="H1375" s="1"/>
      <c r="I1375" s="1"/>
    </row>
    <row r="1376" spans="8:9" x14ac:dyDescent="0.25">
      <c r="H1376" s="1"/>
      <c r="I1376" s="1"/>
    </row>
    <row r="1377" spans="8:9" x14ac:dyDescent="0.25">
      <c r="H1377" s="1"/>
      <c r="I1377" s="1"/>
    </row>
    <row r="1378" spans="8:9" x14ac:dyDescent="0.25">
      <c r="H1378" s="1"/>
      <c r="I1378" s="1"/>
    </row>
    <row r="1379" spans="8:9" x14ac:dyDescent="0.25">
      <c r="H1379" s="1"/>
      <c r="I1379" s="1"/>
    </row>
    <row r="1380" spans="8:9" x14ac:dyDescent="0.25">
      <c r="H1380" s="1"/>
      <c r="I1380" s="1"/>
    </row>
    <row r="1381" spans="8:9" x14ac:dyDescent="0.25">
      <c r="H1381" s="1"/>
      <c r="I1381" s="1"/>
    </row>
    <row r="1382" spans="8:9" x14ac:dyDescent="0.25">
      <c r="H1382" s="1"/>
      <c r="I1382" s="1"/>
    </row>
    <row r="1383" spans="8:9" x14ac:dyDescent="0.25">
      <c r="H1383" s="1"/>
      <c r="I1383" s="1"/>
    </row>
    <row r="1384" spans="8:9" x14ac:dyDescent="0.25">
      <c r="H1384" s="1"/>
      <c r="I1384" s="1"/>
    </row>
    <row r="1385" spans="8:9" x14ac:dyDescent="0.25">
      <c r="H1385" s="1"/>
      <c r="I1385" s="1"/>
    </row>
    <row r="1386" spans="8:9" x14ac:dyDescent="0.25">
      <c r="H1386" s="1"/>
      <c r="I1386" s="1"/>
    </row>
    <row r="1387" spans="8:9" x14ac:dyDescent="0.25">
      <c r="H1387" s="1"/>
      <c r="I1387" s="1"/>
    </row>
    <row r="1388" spans="8:9" x14ac:dyDescent="0.25">
      <c r="H1388" s="1"/>
      <c r="I1388" s="1"/>
    </row>
    <row r="1389" spans="8:9" x14ac:dyDescent="0.25">
      <c r="H1389" s="1"/>
      <c r="I1389" s="1"/>
    </row>
    <row r="1390" spans="8:9" x14ac:dyDescent="0.25">
      <c r="H1390" s="1"/>
      <c r="I1390" s="1"/>
    </row>
    <row r="1391" spans="8:9" x14ac:dyDescent="0.25">
      <c r="H1391" s="1"/>
      <c r="I1391" s="1"/>
    </row>
    <row r="1392" spans="8:9" x14ac:dyDescent="0.25">
      <c r="H1392" s="1"/>
      <c r="I1392" s="1"/>
    </row>
    <row r="1393" spans="8:9" x14ac:dyDescent="0.25">
      <c r="H1393" s="1"/>
      <c r="I1393" s="1"/>
    </row>
    <row r="1394" spans="8:9" x14ac:dyDescent="0.25">
      <c r="H1394" s="1"/>
      <c r="I1394" s="1"/>
    </row>
    <row r="1395" spans="8:9" x14ac:dyDescent="0.25">
      <c r="H1395" s="1"/>
      <c r="I1395" s="1"/>
    </row>
    <row r="1396" spans="8:9" x14ac:dyDescent="0.25">
      <c r="H1396" s="1"/>
      <c r="I1396" s="1"/>
    </row>
    <row r="1397" spans="8:9" x14ac:dyDescent="0.25">
      <c r="H1397" s="1"/>
      <c r="I1397" s="1"/>
    </row>
    <row r="1398" spans="8:9" x14ac:dyDescent="0.25">
      <c r="H1398" s="1"/>
      <c r="I1398" s="1"/>
    </row>
    <row r="1399" spans="8:9" x14ac:dyDescent="0.25">
      <c r="H1399" s="1"/>
      <c r="I1399" s="1"/>
    </row>
    <row r="1400" spans="8:9" x14ac:dyDescent="0.25">
      <c r="H1400" s="1"/>
      <c r="I1400" s="1"/>
    </row>
    <row r="1401" spans="8:9" x14ac:dyDescent="0.25">
      <c r="H1401" s="1"/>
      <c r="I1401" s="1"/>
    </row>
    <row r="1402" spans="8:9" x14ac:dyDescent="0.25">
      <c r="H1402" s="1"/>
      <c r="I1402" s="1"/>
    </row>
    <row r="1403" spans="8:9" x14ac:dyDescent="0.25">
      <c r="H1403" s="1"/>
      <c r="I1403" s="1"/>
    </row>
    <row r="1404" spans="8:9" x14ac:dyDescent="0.25">
      <c r="H1404" s="1"/>
      <c r="I1404" s="1"/>
    </row>
    <row r="1405" spans="8:9" x14ac:dyDescent="0.25">
      <c r="H1405" s="1"/>
      <c r="I1405" s="1"/>
    </row>
    <row r="1406" spans="8:9" x14ac:dyDescent="0.25">
      <c r="H1406" s="1"/>
      <c r="I1406" s="1"/>
    </row>
    <row r="1407" spans="8:9" x14ac:dyDescent="0.25">
      <c r="H1407" s="1"/>
      <c r="I1407" s="1"/>
    </row>
    <row r="1408" spans="8:9" x14ac:dyDescent="0.25">
      <c r="H1408" s="1"/>
      <c r="I1408" s="1"/>
    </row>
    <row r="1409" spans="8:9" x14ac:dyDescent="0.25">
      <c r="H1409" s="1"/>
      <c r="I1409" s="1"/>
    </row>
    <row r="1410" spans="8:9" x14ac:dyDescent="0.25">
      <c r="H1410" s="1"/>
      <c r="I1410" s="1"/>
    </row>
    <row r="1411" spans="8:9" x14ac:dyDescent="0.25">
      <c r="H1411" s="1"/>
      <c r="I1411" s="1"/>
    </row>
    <row r="1412" spans="8:9" x14ac:dyDescent="0.25">
      <c r="H1412" s="1"/>
      <c r="I1412" s="1"/>
    </row>
    <row r="1413" spans="8:9" x14ac:dyDescent="0.25">
      <c r="H1413" s="1"/>
      <c r="I1413" s="1"/>
    </row>
    <row r="1414" spans="8:9" x14ac:dyDescent="0.25">
      <c r="H1414" s="1"/>
      <c r="I1414" s="1"/>
    </row>
    <row r="1415" spans="8:9" x14ac:dyDescent="0.25">
      <c r="H1415" s="1"/>
      <c r="I1415" s="1"/>
    </row>
    <row r="1416" spans="8:9" x14ac:dyDescent="0.25">
      <c r="H1416" s="1"/>
      <c r="I1416" s="1"/>
    </row>
    <row r="1417" spans="8:9" x14ac:dyDescent="0.25">
      <c r="H1417" s="1"/>
      <c r="I1417" s="1"/>
    </row>
    <row r="1418" spans="8:9" x14ac:dyDescent="0.25">
      <c r="H1418" s="1"/>
      <c r="I1418" s="1"/>
    </row>
    <row r="1419" spans="8:9" x14ac:dyDescent="0.25">
      <c r="H1419" s="1"/>
      <c r="I1419" s="1"/>
    </row>
    <row r="1420" spans="8:9" x14ac:dyDescent="0.25">
      <c r="H1420" s="1"/>
      <c r="I1420" s="1"/>
    </row>
    <row r="1421" spans="8:9" x14ac:dyDescent="0.25">
      <c r="H1421" s="1"/>
      <c r="I1421" s="1"/>
    </row>
    <row r="1422" spans="8:9" x14ac:dyDescent="0.25">
      <c r="H1422" s="1"/>
      <c r="I1422" s="1"/>
    </row>
    <row r="1423" spans="8:9" x14ac:dyDescent="0.25">
      <c r="H1423" s="1"/>
      <c r="I1423" s="1"/>
    </row>
    <row r="1424" spans="8:9" x14ac:dyDescent="0.25">
      <c r="H1424" s="1"/>
      <c r="I1424" s="1"/>
    </row>
    <row r="1425" spans="8:9" x14ac:dyDescent="0.25">
      <c r="H1425" s="1"/>
      <c r="I1425" s="1"/>
    </row>
    <row r="1426" spans="8:9" x14ac:dyDescent="0.25">
      <c r="H1426" s="1"/>
      <c r="I1426" s="1"/>
    </row>
    <row r="1427" spans="8:9" x14ac:dyDescent="0.25">
      <c r="H1427" s="1"/>
      <c r="I1427" s="1"/>
    </row>
    <row r="1428" spans="8:9" x14ac:dyDescent="0.25">
      <c r="H1428" s="1"/>
      <c r="I1428" s="1"/>
    </row>
    <row r="1429" spans="8:9" x14ac:dyDescent="0.25">
      <c r="H1429" s="1"/>
      <c r="I1429" s="1"/>
    </row>
    <row r="1430" spans="8:9" x14ac:dyDescent="0.25">
      <c r="H1430" s="1"/>
      <c r="I1430" s="1"/>
    </row>
    <row r="1431" spans="8:9" x14ac:dyDescent="0.25">
      <c r="H1431" s="1"/>
      <c r="I1431" s="1"/>
    </row>
    <row r="1432" spans="8:9" x14ac:dyDescent="0.25">
      <c r="H1432" s="1"/>
      <c r="I1432" s="1"/>
    </row>
    <row r="1433" spans="8:9" x14ac:dyDescent="0.25">
      <c r="H1433" s="1"/>
      <c r="I1433" s="1"/>
    </row>
    <row r="1434" spans="8:9" x14ac:dyDescent="0.25">
      <c r="H1434" s="1"/>
      <c r="I1434" s="1"/>
    </row>
    <row r="1435" spans="8:9" x14ac:dyDescent="0.25">
      <c r="H1435" s="1"/>
      <c r="I1435" s="1"/>
    </row>
    <row r="1436" spans="8:9" x14ac:dyDescent="0.25">
      <c r="H1436" s="1"/>
      <c r="I1436" s="1"/>
    </row>
    <row r="1437" spans="8:9" x14ac:dyDescent="0.25">
      <c r="H1437" s="1"/>
      <c r="I1437" s="1"/>
    </row>
    <row r="1438" spans="8:9" x14ac:dyDescent="0.25">
      <c r="H1438" s="1"/>
      <c r="I1438" s="1"/>
    </row>
    <row r="1439" spans="8:9" x14ac:dyDescent="0.25">
      <c r="H1439" s="1"/>
      <c r="I1439" s="1"/>
    </row>
    <row r="1440" spans="8:9" x14ac:dyDescent="0.25">
      <c r="H1440" s="1"/>
      <c r="I1440" s="1"/>
    </row>
    <row r="1441" spans="8:9" x14ac:dyDescent="0.25">
      <c r="H1441" s="1"/>
      <c r="I1441" s="1"/>
    </row>
    <row r="1442" spans="8:9" x14ac:dyDescent="0.25">
      <c r="H1442" s="1"/>
      <c r="I1442" s="1"/>
    </row>
    <row r="1443" spans="8:9" x14ac:dyDescent="0.25">
      <c r="H1443" s="1"/>
      <c r="I1443" s="1"/>
    </row>
    <row r="1444" spans="8:9" x14ac:dyDescent="0.25">
      <c r="H1444" s="1"/>
      <c r="I1444" s="1"/>
    </row>
    <row r="1445" spans="8:9" x14ac:dyDescent="0.25">
      <c r="H1445" s="1"/>
      <c r="I1445" s="1"/>
    </row>
    <row r="1446" spans="8:9" x14ac:dyDescent="0.25">
      <c r="H1446" s="1"/>
      <c r="I1446" s="1"/>
    </row>
    <row r="1447" spans="8:9" x14ac:dyDescent="0.25">
      <c r="H1447" s="1"/>
      <c r="I1447" s="1"/>
    </row>
    <row r="1448" spans="8:9" x14ac:dyDescent="0.25">
      <c r="H1448" s="1"/>
      <c r="I1448" s="1"/>
    </row>
    <row r="1449" spans="8:9" x14ac:dyDescent="0.25">
      <c r="H1449" s="1"/>
      <c r="I1449" s="1"/>
    </row>
    <row r="1450" spans="8:9" x14ac:dyDescent="0.25">
      <c r="H1450" s="1"/>
      <c r="I1450" s="1"/>
    </row>
    <row r="1451" spans="8:9" x14ac:dyDescent="0.25">
      <c r="H1451" s="1"/>
      <c r="I1451" s="1"/>
    </row>
    <row r="1452" spans="8:9" x14ac:dyDescent="0.25">
      <c r="H1452" s="1"/>
      <c r="I1452" s="1"/>
    </row>
    <row r="1453" spans="8:9" x14ac:dyDescent="0.25">
      <c r="H1453" s="1"/>
      <c r="I1453" s="1"/>
    </row>
    <row r="1454" spans="8:9" x14ac:dyDescent="0.25">
      <c r="H1454" s="1"/>
      <c r="I1454" s="1"/>
    </row>
    <row r="1455" spans="8:9" x14ac:dyDescent="0.25">
      <c r="H1455" s="1"/>
      <c r="I1455" s="1"/>
    </row>
    <row r="1456" spans="8:9" x14ac:dyDescent="0.25">
      <c r="H1456" s="1"/>
      <c r="I1456" s="1"/>
    </row>
    <row r="1457" spans="8:9" x14ac:dyDescent="0.25">
      <c r="H1457" s="1"/>
      <c r="I1457" s="1"/>
    </row>
    <row r="1458" spans="8:9" x14ac:dyDescent="0.25">
      <c r="H1458" s="1"/>
      <c r="I1458" s="1"/>
    </row>
    <row r="1459" spans="8:9" x14ac:dyDescent="0.25">
      <c r="H1459" s="1"/>
      <c r="I1459" s="1"/>
    </row>
    <row r="1460" spans="8:9" x14ac:dyDescent="0.25">
      <c r="H1460" s="1"/>
      <c r="I1460" s="1"/>
    </row>
    <row r="1461" spans="8:9" x14ac:dyDescent="0.25">
      <c r="H1461" s="1"/>
      <c r="I1461" s="1"/>
    </row>
    <row r="1462" spans="8:9" x14ac:dyDescent="0.25">
      <c r="H1462" s="1"/>
      <c r="I1462" s="1"/>
    </row>
    <row r="1463" spans="8:9" x14ac:dyDescent="0.25">
      <c r="H1463" s="1"/>
      <c r="I1463" s="1"/>
    </row>
    <row r="1464" spans="8:9" x14ac:dyDescent="0.25">
      <c r="H1464" s="1"/>
      <c r="I1464" s="1"/>
    </row>
    <row r="1465" spans="8:9" x14ac:dyDescent="0.25">
      <c r="H1465" s="1"/>
      <c r="I1465" s="1"/>
    </row>
    <row r="1466" spans="8:9" x14ac:dyDescent="0.25">
      <c r="H1466" s="1"/>
      <c r="I1466" s="1"/>
    </row>
    <row r="1467" spans="8:9" x14ac:dyDescent="0.25">
      <c r="H1467" s="1"/>
      <c r="I1467" s="1"/>
    </row>
    <row r="1468" spans="8:9" x14ac:dyDescent="0.25">
      <c r="H1468" s="1"/>
      <c r="I1468" s="1"/>
    </row>
    <row r="1469" spans="8:9" x14ac:dyDescent="0.25">
      <c r="H1469" s="1"/>
      <c r="I1469" s="1"/>
    </row>
    <row r="1470" spans="8:9" x14ac:dyDescent="0.25">
      <c r="H1470" s="1"/>
      <c r="I1470" s="1"/>
    </row>
    <row r="1471" spans="8:9" x14ac:dyDescent="0.25">
      <c r="H1471" s="1"/>
      <c r="I1471" s="1"/>
    </row>
    <row r="1472" spans="8:9" x14ac:dyDescent="0.25">
      <c r="H1472" s="1"/>
      <c r="I1472" s="1"/>
    </row>
    <row r="1473" spans="8:9" x14ac:dyDescent="0.25">
      <c r="H1473" s="1"/>
      <c r="I1473" s="1"/>
    </row>
    <row r="1474" spans="8:9" x14ac:dyDescent="0.25">
      <c r="H1474" s="1"/>
      <c r="I1474" s="1"/>
    </row>
    <row r="1475" spans="8:9" x14ac:dyDescent="0.25">
      <c r="H1475" s="1"/>
      <c r="I1475" s="1"/>
    </row>
    <row r="1476" spans="8:9" x14ac:dyDescent="0.25">
      <c r="H1476" s="1"/>
      <c r="I1476" s="1"/>
    </row>
    <row r="1477" spans="8:9" x14ac:dyDescent="0.25">
      <c r="H1477" s="1"/>
      <c r="I1477" s="1"/>
    </row>
    <row r="1478" spans="8:9" x14ac:dyDescent="0.25">
      <c r="H1478" s="1"/>
      <c r="I1478" s="1"/>
    </row>
    <row r="1479" spans="8:9" x14ac:dyDescent="0.25">
      <c r="H1479" s="1"/>
      <c r="I1479" s="1"/>
    </row>
    <row r="1480" spans="8:9" x14ac:dyDescent="0.25">
      <c r="H1480" s="1"/>
      <c r="I1480" s="1"/>
    </row>
    <row r="1481" spans="8:9" x14ac:dyDescent="0.25">
      <c r="H1481" s="1"/>
      <c r="I1481" s="1"/>
    </row>
    <row r="1482" spans="8:9" x14ac:dyDescent="0.25">
      <c r="H1482" s="1"/>
      <c r="I1482" s="1"/>
    </row>
    <row r="1483" spans="8:9" x14ac:dyDescent="0.25">
      <c r="H1483" s="1"/>
      <c r="I1483" s="1"/>
    </row>
    <row r="1484" spans="8:9" x14ac:dyDescent="0.25">
      <c r="H1484" s="1"/>
      <c r="I1484" s="1"/>
    </row>
    <row r="1485" spans="8:9" x14ac:dyDescent="0.25">
      <c r="H1485" s="1"/>
      <c r="I1485" s="1"/>
    </row>
    <row r="1486" spans="8:9" x14ac:dyDescent="0.25">
      <c r="H1486" s="1"/>
      <c r="I1486" s="1"/>
    </row>
    <row r="1487" spans="8:9" x14ac:dyDescent="0.25">
      <c r="H1487" s="1"/>
      <c r="I1487" s="1"/>
    </row>
    <row r="1488" spans="8:9" x14ac:dyDescent="0.25">
      <c r="H1488" s="1"/>
      <c r="I1488" s="1"/>
    </row>
    <row r="1489" spans="8:9" x14ac:dyDescent="0.25">
      <c r="H1489" s="1"/>
      <c r="I1489" s="1"/>
    </row>
    <row r="1490" spans="8:9" x14ac:dyDescent="0.25">
      <c r="H1490" s="1"/>
      <c r="I1490" s="1"/>
    </row>
    <row r="1491" spans="8:9" x14ac:dyDescent="0.25">
      <c r="H1491" s="1"/>
      <c r="I1491" s="1"/>
    </row>
    <row r="1492" spans="8:9" x14ac:dyDescent="0.25">
      <c r="H1492" s="1"/>
      <c r="I1492" s="1"/>
    </row>
    <row r="1493" spans="8:9" x14ac:dyDescent="0.25">
      <c r="H1493" s="1"/>
      <c r="I1493" s="1"/>
    </row>
    <row r="1494" spans="8:9" x14ac:dyDescent="0.25">
      <c r="H1494" s="1"/>
      <c r="I1494" s="1"/>
    </row>
    <row r="1495" spans="8:9" x14ac:dyDescent="0.25">
      <c r="H1495" s="1"/>
      <c r="I1495" s="1"/>
    </row>
    <row r="1496" spans="8:9" x14ac:dyDescent="0.25">
      <c r="H1496" s="1"/>
      <c r="I1496" s="1"/>
    </row>
    <row r="1497" spans="8:9" x14ac:dyDescent="0.25">
      <c r="H1497" s="1"/>
      <c r="I1497" s="1"/>
    </row>
    <row r="1498" spans="8:9" x14ac:dyDescent="0.25">
      <c r="H1498" s="1"/>
      <c r="I1498" s="1"/>
    </row>
    <row r="1499" spans="8:9" x14ac:dyDescent="0.25">
      <c r="H1499" s="1"/>
      <c r="I1499" s="1"/>
    </row>
    <row r="1500" spans="8:9" x14ac:dyDescent="0.25">
      <c r="H1500" s="1"/>
      <c r="I1500" s="1"/>
    </row>
    <row r="1501" spans="8:9" x14ac:dyDescent="0.25">
      <c r="H1501" s="1"/>
      <c r="I1501" s="1"/>
    </row>
    <row r="1502" spans="8:9" x14ac:dyDescent="0.25">
      <c r="H1502" s="1"/>
      <c r="I1502" s="1"/>
    </row>
    <row r="1503" spans="8:9" x14ac:dyDescent="0.25">
      <c r="H1503" s="1"/>
      <c r="I1503" s="1"/>
    </row>
    <row r="1504" spans="8:9" x14ac:dyDescent="0.25">
      <c r="H1504" s="1"/>
      <c r="I1504" s="1"/>
    </row>
    <row r="1505" spans="8:9" x14ac:dyDescent="0.25">
      <c r="H1505" s="1"/>
      <c r="I1505" s="1"/>
    </row>
    <row r="1506" spans="8:9" x14ac:dyDescent="0.25">
      <c r="H1506" s="1"/>
      <c r="I1506" s="1"/>
    </row>
    <row r="1507" spans="8:9" x14ac:dyDescent="0.25">
      <c r="H1507" s="1"/>
      <c r="I1507" s="1"/>
    </row>
    <row r="1508" spans="8:9" x14ac:dyDescent="0.25">
      <c r="H1508" s="1"/>
      <c r="I1508" s="1"/>
    </row>
    <row r="1509" spans="8:9" x14ac:dyDescent="0.25">
      <c r="H1509" s="1"/>
      <c r="I1509" s="1"/>
    </row>
    <row r="1510" spans="8:9" x14ac:dyDescent="0.25">
      <c r="H1510" s="1"/>
      <c r="I1510" s="1"/>
    </row>
    <row r="1511" spans="8:9" x14ac:dyDescent="0.25">
      <c r="H1511" s="1"/>
      <c r="I1511" s="1"/>
    </row>
    <row r="1512" spans="8:9" x14ac:dyDescent="0.25">
      <c r="H1512" s="1"/>
      <c r="I1512" s="1"/>
    </row>
    <row r="1513" spans="8:9" x14ac:dyDescent="0.25">
      <c r="H1513" s="1"/>
      <c r="I1513" s="1"/>
    </row>
    <row r="1514" spans="8:9" x14ac:dyDescent="0.25">
      <c r="H1514" s="1"/>
      <c r="I1514" s="1"/>
    </row>
    <row r="1515" spans="8:9" x14ac:dyDescent="0.25">
      <c r="H1515" s="1"/>
      <c r="I1515" s="1"/>
    </row>
    <row r="1516" spans="8:9" x14ac:dyDescent="0.25">
      <c r="H1516" s="1"/>
      <c r="I1516" s="1"/>
    </row>
    <row r="1517" spans="8:9" x14ac:dyDescent="0.25">
      <c r="H1517" s="1"/>
      <c r="I1517" s="1"/>
    </row>
    <row r="1518" spans="8:9" x14ac:dyDescent="0.25">
      <c r="H1518" s="1"/>
      <c r="I1518" s="1"/>
    </row>
    <row r="1519" spans="8:9" x14ac:dyDescent="0.25">
      <c r="H1519" s="1"/>
      <c r="I1519" s="1"/>
    </row>
    <row r="1520" spans="8:9" x14ac:dyDescent="0.25">
      <c r="H1520" s="1"/>
      <c r="I1520" s="1"/>
    </row>
    <row r="1521" spans="8:9" x14ac:dyDescent="0.25">
      <c r="H1521" s="1"/>
      <c r="I1521" s="1"/>
    </row>
    <row r="1522" spans="8:9" x14ac:dyDescent="0.25">
      <c r="H1522" s="1"/>
      <c r="I1522" s="1"/>
    </row>
    <row r="1523" spans="8:9" x14ac:dyDescent="0.25">
      <c r="H1523" s="1"/>
      <c r="I1523" s="1"/>
    </row>
    <row r="1524" spans="8:9" x14ac:dyDescent="0.25">
      <c r="H1524" s="1"/>
      <c r="I1524" s="1"/>
    </row>
    <row r="1525" spans="8:9" x14ac:dyDescent="0.25">
      <c r="H1525" s="1"/>
      <c r="I1525" s="1"/>
    </row>
    <row r="1526" spans="8:9" x14ac:dyDescent="0.25">
      <c r="H1526" s="1"/>
      <c r="I1526" s="1"/>
    </row>
    <row r="1527" spans="8:9" x14ac:dyDescent="0.25">
      <c r="H1527" s="1"/>
      <c r="I1527" s="1"/>
    </row>
    <row r="1528" spans="8:9" x14ac:dyDescent="0.25">
      <c r="H1528" s="1"/>
      <c r="I1528" s="1"/>
    </row>
    <row r="1529" spans="8:9" x14ac:dyDescent="0.25">
      <c r="H1529" s="1"/>
      <c r="I1529" s="1"/>
    </row>
    <row r="1530" spans="8:9" x14ac:dyDescent="0.25">
      <c r="H1530" s="1"/>
      <c r="I1530" s="1"/>
    </row>
    <row r="1531" spans="8:9" x14ac:dyDescent="0.25">
      <c r="H1531" s="1"/>
      <c r="I1531" s="1"/>
    </row>
    <row r="1532" spans="8:9" x14ac:dyDescent="0.25">
      <c r="H1532" s="1"/>
      <c r="I1532" s="1"/>
    </row>
    <row r="1533" spans="8:9" x14ac:dyDescent="0.25">
      <c r="H1533" s="1"/>
      <c r="I1533" s="1"/>
    </row>
    <row r="1534" spans="8:9" x14ac:dyDescent="0.25">
      <c r="H1534" s="1"/>
      <c r="I1534" s="1"/>
    </row>
    <row r="1535" spans="8:9" x14ac:dyDescent="0.25">
      <c r="H1535" s="1"/>
      <c r="I1535" s="1"/>
    </row>
    <row r="1536" spans="8:9" x14ac:dyDescent="0.25">
      <c r="H1536" s="1"/>
      <c r="I1536" s="1"/>
    </row>
    <row r="1537" spans="8:9" x14ac:dyDescent="0.25">
      <c r="H1537" s="1"/>
      <c r="I1537" s="1"/>
    </row>
    <row r="1538" spans="8:9" x14ac:dyDescent="0.25">
      <c r="H1538" s="1"/>
      <c r="I1538" s="1"/>
    </row>
    <row r="1539" spans="8:9" x14ac:dyDescent="0.25">
      <c r="H1539" s="1"/>
      <c r="I1539" s="1"/>
    </row>
    <row r="1540" spans="8:9" x14ac:dyDescent="0.25">
      <c r="H1540" s="1"/>
      <c r="I1540" s="1"/>
    </row>
    <row r="1541" spans="8:9" x14ac:dyDescent="0.25">
      <c r="H1541" s="1"/>
      <c r="I1541" s="1"/>
    </row>
    <row r="1542" spans="8:9" x14ac:dyDescent="0.25">
      <c r="H1542" s="1"/>
      <c r="I1542" s="1"/>
    </row>
    <row r="1543" spans="8:9" x14ac:dyDescent="0.25">
      <c r="H1543" s="1"/>
      <c r="I1543" s="1"/>
    </row>
    <row r="1544" spans="8:9" x14ac:dyDescent="0.25">
      <c r="H1544" s="1"/>
      <c r="I1544" s="1"/>
    </row>
    <row r="1545" spans="8:9" x14ac:dyDescent="0.25">
      <c r="H1545" s="1"/>
      <c r="I1545" s="1"/>
    </row>
    <row r="1546" spans="8:9" x14ac:dyDescent="0.25">
      <c r="H1546" s="1"/>
      <c r="I1546" s="1"/>
    </row>
    <row r="1547" spans="8:9" x14ac:dyDescent="0.25">
      <c r="H1547" s="1"/>
      <c r="I1547" s="1"/>
    </row>
    <row r="1548" spans="8:9" x14ac:dyDescent="0.25">
      <c r="H1548" s="1"/>
      <c r="I1548" s="1"/>
    </row>
    <row r="1549" spans="8:9" x14ac:dyDescent="0.25">
      <c r="H1549" s="1"/>
      <c r="I1549" s="1"/>
    </row>
    <row r="1550" spans="8:9" x14ac:dyDescent="0.25">
      <c r="H1550" s="1"/>
      <c r="I1550" s="1"/>
    </row>
    <row r="1551" spans="8:9" x14ac:dyDescent="0.25">
      <c r="H1551" s="1"/>
      <c r="I1551" s="1"/>
    </row>
    <row r="1552" spans="8:9" x14ac:dyDescent="0.25">
      <c r="H1552" s="1"/>
      <c r="I1552" s="1"/>
    </row>
    <row r="1553" spans="8:9" x14ac:dyDescent="0.25">
      <c r="H1553" s="1"/>
      <c r="I1553" s="1"/>
    </row>
    <row r="1554" spans="8:9" x14ac:dyDescent="0.25">
      <c r="H1554" s="1"/>
      <c r="I1554" s="1"/>
    </row>
    <row r="1555" spans="8:9" x14ac:dyDescent="0.25">
      <c r="H1555" s="1"/>
      <c r="I1555" s="1"/>
    </row>
    <row r="1556" spans="8:9" x14ac:dyDescent="0.25">
      <c r="H1556" s="1"/>
      <c r="I1556" s="1"/>
    </row>
    <row r="1557" spans="8:9" x14ac:dyDescent="0.25">
      <c r="H1557" s="1"/>
      <c r="I1557" s="1"/>
    </row>
    <row r="1558" spans="8:9" x14ac:dyDescent="0.25">
      <c r="H1558" s="1"/>
      <c r="I1558" s="1"/>
    </row>
    <row r="1559" spans="8:9" x14ac:dyDescent="0.25">
      <c r="H1559" s="1"/>
      <c r="I1559" s="1"/>
    </row>
    <row r="1560" spans="8:9" x14ac:dyDescent="0.25">
      <c r="H1560" s="1"/>
      <c r="I1560" s="1"/>
    </row>
    <row r="1561" spans="8:9" x14ac:dyDescent="0.25">
      <c r="H1561" s="1"/>
      <c r="I1561" s="1"/>
    </row>
    <row r="1562" spans="8:9" x14ac:dyDescent="0.25">
      <c r="H1562" s="1"/>
      <c r="I1562" s="1"/>
    </row>
    <row r="1563" spans="8:9" x14ac:dyDescent="0.25">
      <c r="H1563" s="1"/>
      <c r="I1563" s="1"/>
    </row>
    <row r="1564" spans="8:9" x14ac:dyDescent="0.25">
      <c r="H1564" s="1"/>
      <c r="I1564" s="1"/>
    </row>
    <row r="1565" spans="8:9" x14ac:dyDescent="0.25">
      <c r="H1565" s="1"/>
      <c r="I1565" s="1"/>
    </row>
    <row r="1566" spans="8:9" x14ac:dyDescent="0.25">
      <c r="H1566" s="1"/>
      <c r="I1566" s="1"/>
    </row>
    <row r="1567" spans="8:9" x14ac:dyDescent="0.25">
      <c r="H1567" s="1"/>
      <c r="I1567" s="1"/>
    </row>
    <row r="1568" spans="8:9" x14ac:dyDescent="0.25">
      <c r="H1568" s="1"/>
      <c r="I1568" s="1"/>
    </row>
    <row r="1569" spans="8:9" x14ac:dyDescent="0.25">
      <c r="H1569" s="1"/>
      <c r="I1569" s="1"/>
    </row>
    <row r="1570" spans="8:9" x14ac:dyDescent="0.25">
      <c r="H1570" s="1"/>
      <c r="I1570" s="1"/>
    </row>
    <row r="1571" spans="8:9" x14ac:dyDescent="0.25">
      <c r="H1571" s="1"/>
      <c r="I1571" s="1"/>
    </row>
    <row r="1572" spans="8:9" x14ac:dyDescent="0.25">
      <c r="H1572" s="1"/>
      <c r="I1572" s="1"/>
    </row>
    <row r="1573" spans="8:9" x14ac:dyDescent="0.25">
      <c r="H1573" s="1"/>
      <c r="I1573" s="1"/>
    </row>
    <row r="1574" spans="8:9" x14ac:dyDescent="0.25">
      <c r="H1574" s="1"/>
      <c r="I1574" s="1"/>
    </row>
    <row r="1575" spans="8:9" x14ac:dyDescent="0.25">
      <c r="H1575" s="1"/>
      <c r="I1575" s="1"/>
    </row>
    <row r="1576" spans="8:9" x14ac:dyDescent="0.25">
      <c r="H1576" s="1"/>
      <c r="I1576" s="1"/>
    </row>
    <row r="1577" spans="8:9" x14ac:dyDescent="0.25">
      <c r="H1577" s="1"/>
      <c r="I1577" s="1"/>
    </row>
    <row r="1578" spans="8:9" x14ac:dyDescent="0.25">
      <c r="H1578" s="1"/>
      <c r="I1578" s="1"/>
    </row>
    <row r="1579" spans="8:9" x14ac:dyDescent="0.25">
      <c r="H1579" s="1"/>
      <c r="I1579" s="1"/>
    </row>
    <row r="1580" spans="8:9" x14ac:dyDescent="0.25">
      <c r="H1580" s="1"/>
      <c r="I1580" s="1"/>
    </row>
    <row r="1581" spans="8:9" x14ac:dyDescent="0.25">
      <c r="H1581" s="1"/>
      <c r="I1581" s="1"/>
    </row>
    <row r="1582" spans="8:9" x14ac:dyDescent="0.25">
      <c r="H1582" s="1"/>
      <c r="I1582" s="1"/>
    </row>
    <row r="1583" spans="8:9" x14ac:dyDescent="0.25">
      <c r="H1583" s="1"/>
      <c r="I1583" s="1"/>
    </row>
    <row r="1584" spans="8:9" x14ac:dyDescent="0.25">
      <c r="H1584" s="1"/>
      <c r="I1584" s="1"/>
    </row>
    <row r="1585" spans="8:9" x14ac:dyDescent="0.25">
      <c r="H1585" s="1"/>
      <c r="I1585" s="1"/>
    </row>
    <row r="1586" spans="8:9" x14ac:dyDescent="0.25">
      <c r="H1586" s="1"/>
      <c r="I1586" s="1"/>
    </row>
    <row r="1587" spans="8:9" x14ac:dyDescent="0.25">
      <c r="H1587" s="1"/>
      <c r="I1587" s="1"/>
    </row>
    <row r="1588" spans="8:9" x14ac:dyDescent="0.25">
      <c r="H1588" s="1"/>
      <c r="I1588" s="1"/>
    </row>
    <row r="1589" spans="8:9" x14ac:dyDescent="0.25">
      <c r="H1589" s="1"/>
      <c r="I1589" s="1"/>
    </row>
    <row r="1590" spans="8:9" x14ac:dyDescent="0.25">
      <c r="H1590" s="1"/>
      <c r="I1590" s="1"/>
    </row>
    <row r="1591" spans="8:9" x14ac:dyDescent="0.25">
      <c r="H1591" s="1"/>
      <c r="I1591" s="1"/>
    </row>
    <row r="1592" spans="8:9" x14ac:dyDescent="0.25">
      <c r="H1592" s="1"/>
      <c r="I1592" s="1"/>
    </row>
    <row r="1593" spans="8:9" x14ac:dyDescent="0.25">
      <c r="H1593" s="1"/>
      <c r="I1593" s="1"/>
    </row>
    <row r="1594" spans="8:9" x14ac:dyDescent="0.25">
      <c r="H1594" s="1"/>
      <c r="I1594" s="1"/>
    </row>
    <row r="1595" spans="8:9" x14ac:dyDescent="0.25">
      <c r="H1595" s="1"/>
      <c r="I1595" s="1"/>
    </row>
    <row r="1596" spans="8:9" x14ac:dyDescent="0.25">
      <c r="H1596" s="1"/>
      <c r="I1596" s="1"/>
    </row>
    <row r="1597" spans="8:9" x14ac:dyDescent="0.25">
      <c r="H1597" s="1"/>
      <c r="I1597" s="1"/>
    </row>
    <row r="1598" spans="8:9" x14ac:dyDescent="0.25">
      <c r="H1598" s="1"/>
      <c r="I1598" s="1"/>
    </row>
    <row r="1599" spans="8:9" x14ac:dyDescent="0.25">
      <c r="H1599" s="1"/>
      <c r="I1599" s="1"/>
    </row>
    <row r="1600" spans="8:9" x14ac:dyDescent="0.25">
      <c r="H1600" s="1"/>
      <c r="I1600" s="1"/>
    </row>
    <row r="1601" spans="8:9" x14ac:dyDescent="0.25">
      <c r="H1601" s="1"/>
      <c r="I1601" s="1"/>
    </row>
    <row r="1602" spans="8:9" x14ac:dyDescent="0.25">
      <c r="H1602" s="1"/>
      <c r="I1602" s="1"/>
    </row>
    <row r="1603" spans="8:9" x14ac:dyDescent="0.25">
      <c r="H1603" s="1"/>
      <c r="I1603" s="1"/>
    </row>
    <row r="1604" spans="8:9" x14ac:dyDescent="0.25">
      <c r="H1604" s="1"/>
      <c r="I1604" s="1"/>
    </row>
    <row r="1605" spans="8:9" x14ac:dyDescent="0.25">
      <c r="H1605" s="1"/>
      <c r="I1605" s="1"/>
    </row>
    <row r="1606" spans="8:9" x14ac:dyDescent="0.25">
      <c r="H1606" s="1"/>
      <c r="I1606" s="1"/>
    </row>
    <row r="1607" spans="8:9" x14ac:dyDescent="0.25">
      <c r="H1607" s="1"/>
      <c r="I1607" s="1"/>
    </row>
    <row r="1608" spans="8:9" x14ac:dyDescent="0.25">
      <c r="H1608" s="1"/>
      <c r="I1608" s="1"/>
    </row>
    <row r="1609" spans="8:9" x14ac:dyDescent="0.25">
      <c r="H1609" s="1"/>
      <c r="I1609" s="1"/>
    </row>
    <row r="1610" spans="8:9" x14ac:dyDescent="0.25">
      <c r="H1610" s="1"/>
      <c r="I1610" s="1"/>
    </row>
    <row r="1611" spans="8:9" x14ac:dyDescent="0.25">
      <c r="H1611" s="1"/>
      <c r="I1611" s="1"/>
    </row>
    <row r="1612" spans="8:9" x14ac:dyDescent="0.25">
      <c r="H1612" s="1"/>
      <c r="I1612" s="1"/>
    </row>
    <row r="1613" spans="8:9" x14ac:dyDescent="0.25">
      <c r="H1613" s="1"/>
      <c r="I1613" s="1"/>
    </row>
    <row r="1614" spans="8:9" x14ac:dyDescent="0.25">
      <c r="H1614" s="1"/>
      <c r="I1614" s="1"/>
    </row>
    <row r="1615" spans="8:9" x14ac:dyDescent="0.25">
      <c r="H1615" s="1"/>
      <c r="I1615" s="1"/>
    </row>
    <row r="1616" spans="8:9" x14ac:dyDescent="0.25">
      <c r="H1616" s="1"/>
      <c r="I1616" s="1"/>
    </row>
    <row r="1617" spans="8:9" x14ac:dyDescent="0.25">
      <c r="H1617" s="1"/>
      <c r="I1617" s="1"/>
    </row>
    <row r="1618" spans="8:9" x14ac:dyDescent="0.25">
      <c r="H1618" s="1"/>
      <c r="I1618" s="1"/>
    </row>
    <row r="1619" spans="8:9" x14ac:dyDescent="0.25">
      <c r="H1619" s="1"/>
      <c r="I1619" s="1"/>
    </row>
    <row r="1620" spans="8:9" x14ac:dyDescent="0.25">
      <c r="H1620" s="1"/>
      <c r="I1620" s="1"/>
    </row>
    <row r="1621" spans="8:9" x14ac:dyDescent="0.25">
      <c r="H1621" s="1"/>
      <c r="I1621" s="1"/>
    </row>
    <row r="1622" spans="8:9" x14ac:dyDescent="0.25">
      <c r="H1622" s="1"/>
      <c r="I1622" s="1"/>
    </row>
    <row r="1623" spans="8:9" x14ac:dyDescent="0.25">
      <c r="H1623" s="1"/>
      <c r="I1623" s="1"/>
    </row>
    <row r="1624" spans="8:9" x14ac:dyDescent="0.25">
      <c r="H1624" s="1"/>
      <c r="I1624" s="1"/>
    </row>
    <row r="1625" spans="8:9" x14ac:dyDescent="0.25">
      <c r="H1625" s="1"/>
      <c r="I1625" s="1"/>
    </row>
    <row r="1626" spans="8:9" x14ac:dyDescent="0.25">
      <c r="H1626" s="1"/>
      <c r="I1626" s="1"/>
    </row>
    <row r="1627" spans="8:9" x14ac:dyDescent="0.25">
      <c r="H1627" s="1"/>
      <c r="I1627" s="1"/>
    </row>
    <row r="1628" spans="8:9" x14ac:dyDescent="0.25">
      <c r="H1628" s="1"/>
      <c r="I1628" s="1"/>
    </row>
    <row r="1629" spans="8:9" x14ac:dyDescent="0.25">
      <c r="H1629" s="1"/>
      <c r="I1629" s="1"/>
    </row>
    <row r="1630" spans="8:9" x14ac:dyDescent="0.25">
      <c r="H1630" s="1"/>
      <c r="I1630" s="1"/>
    </row>
    <row r="1631" spans="8:9" x14ac:dyDescent="0.25">
      <c r="H1631" s="1"/>
      <c r="I1631" s="1"/>
    </row>
    <row r="1632" spans="8:9" x14ac:dyDescent="0.25">
      <c r="H1632" s="1"/>
      <c r="I1632" s="1"/>
    </row>
    <row r="1633" spans="8:9" x14ac:dyDescent="0.25">
      <c r="H1633" s="1"/>
      <c r="I1633" s="1"/>
    </row>
    <row r="1634" spans="8:9" x14ac:dyDescent="0.25">
      <c r="H1634" s="1"/>
      <c r="I1634" s="1"/>
    </row>
    <row r="1635" spans="8:9" x14ac:dyDescent="0.25">
      <c r="H1635" s="1"/>
      <c r="I1635" s="1"/>
    </row>
    <row r="1636" spans="8:9" x14ac:dyDescent="0.25">
      <c r="H1636" s="1"/>
      <c r="I1636" s="1"/>
    </row>
    <row r="1637" spans="8:9" x14ac:dyDescent="0.25">
      <c r="H1637" s="1"/>
      <c r="I1637" s="1"/>
    </row>
    <row r="1638" spans="8:9" x14ac:dyDescent="0.25">
      <c r="H1638" s="1"/>
      <c r="I1638" s="1"/>
    </row>
    <row r="1639" spans="8:9" x14ac:dyDescent="0.25">
      <c r="H1639" s="1"/>
      <c r="I1639" s="1"/>
    </row>
    <row r="1640" spans="8:9" x14ac:dyDescent="0.25">
      <c r="H1640" s="1"/>
      <c r="I1640" s="1"/>
    </row>
    <row r="1641" spans="8:9" x14ac:dyDescent="0.25">
      <c r="H1641" s="1"/>
      <c r="I1641" s="1"/>
    </row>
    <row r="1642" spans="8:9" x14ac:dyDescent="0.25">
      <c r="H1642" s="1"/>
      <c r="I1642" s="1"/>
    </row>
    <row r="1643" spans="8:9" x14ac:dyDescent="0.25">
      <c r="H1643" s="1"/>
      <c r="I1643" s="1"/>
    </row>
    <row r="1644" spans="8:9" x14ac:dyDescent="0.25">
      <c r="H1644" s="1"/>
      <c r="I1644" s="1"/>
    </row>
    <row r="1645" spans="8:9" x14ac:dyDescent="0.25">
      <c r="H1645" s="1"/>
      <c r="I1645" s="1"/>
    </row>
    <row r="1646" spans="8:9" x14ac:dyDescent="0.25">
      <c r="H1646" s="1"/>
      <c r="I1646" s="1"/>
    </row>
    <row r="1647" spans="8:9" x14ac:dyDescent="0.25">
      <c r="H1647" s="1"/>
      <c r="I1647" s="1"/>
    </row>
    <row r="1648" spans="8:9" x14ac:dyDescent="0.25">
      <c r="H1648" s="1"/>
      <c r="I1648" s="1"/>
    </row>
    <row r="1649" spans="8:9" x14ac:dyDescent="0.25">
      <c r="H1649" s="1"/>
      <c r="I1649" s="1"/>
    </row>
    <row r="1650" spans="8:9" x14ac:dyDescent="0.25">
      <c r="H1650" s="1"/>
      <c r="I1650" s="1"/>
    </row>
    <row r="1651" spans="8:9" x14ac:dyDescent="0.25">
      <c r="H1651" s="1"/>
      <c r="I1651" s="1"/>
    </row>
    <row r="1652" spans="8:9" x14ac:dyDescent="0.25">
      <c r="H1652" s="1"/>
      <c r="I1652" s="1"/>
    </row>
    <row r="1653" spans="8:9" x14ac:dyDescent="0.25">
      <c r="H1653" s="1"/>
      <c r="I1653" s="1"/>
    </row>
    <row r="1654" spans="8:9" x14ac:dyDescent="0.25">
      <c r="H1654" s="1"/>
      <c r="I1654" s="1"/>
    </row>
    <row r="1655" spans="8:9" x14ac:dyDescent="0.25">
      <c r="H1655" s="1"/>
      <c r="I1655" s="1"/>
    </row>
    <row r="1656" spans="8:9" x14ac:dyDescent="0.25">
      <c r="H1656" s="1"/>
      <c r="I1656" s="1"/>
    </row>
    <row r="1657" spans="8:9" x14ac:dyDescent="0.25">
      <c r="H1657" s="1"/>
      <c r="I1657" s="1"/>
    </row>
    <row r="1658" spans="8:9" x14ac:dyDescent="0.25">
      <c r="H1658" s="1"/>
      <c r="I1658" s="1"/>
    </row>
    <row r="1659" spans="8:9" x14ac:dyDescent="0.25">
      <c r="H1659" s="1"/>
      <c r="I1659" s="1"/>
    </row>
    <row r="1660" spans="8:9" x14ac:dyDescent="0.25">
      <c r="H1660" s="1"/>
      <c r="I1660" s="1"/>
    </row>
    <row r="1661" spans="8:9" x14ac:dyDescent="0.25">
      <c r="H1661" s="1"/>
      <c r="I1661" s="1"/>
    </row>
    <row r="1662" spans="8:9" x14ac:dyDescent="0.25">
      <c r="H1662" s="1"/>
      <c r="I1662" s="1"/>
    </row>
    <row r="1663" spans="8:9" x14ac:dyDescent="0.25">
      <c r="H1663" s="1"/>
      <c r="I1663" s="1"/>
    </row>
    <row r="1664" spans="8:9" x14ac:dyDescent="0.25">
      <c r="H1664" s="1"/>
      <c r="I1664" s="1"/>
    </row>
    <row r="1665" spans="8:9" x14ac:dyDescent="0.25">
      <c r="H1665" s="1"/>
      <c r="I1665" s="1"/>
    </row>
    <row r="1666" spans="8:9" x14ac:dyDescent="0.25">
      <c r="H1666" s="1"/>
      <c r="I1666" s="1"/>
    </row>
    <row r="1667" spans="8:9" x14ac:dyDescent="0.25">
      <c r="H1667" s="1"/>
      <c r="I1667" s="1"/>
    </row>
    <row r="1668" spans="8:9" x14ac:dyDescent="0.25">
      <c r="H1668" s="1"/>
      <c r="I1668" s="1"/>
    </row>
    <row r="1669" spans="8:9" x14ac:dyDescent="0.25">
      <c r="H1669" s="1"/>
      <c r="I1669" s="1"/>
    </row>
    <row r="1670" spans="8:9" x14ac:dyDescent="0.25">
      <c r="H1670" s="1"/>
      <c r="I1670" s="1"/>
    </row>
    <row r="1671" spans="8:9" x14ac:dyDescent="0.25">
      <c r="H1671" s="1"/>
      <c r="I1671" s="1"/>
    </row>
    <row r="1672" spans="8:9" x14ac:dyDescent="0.25">
      <c r="H1672" s="1"/>
      <c r="I1672" s="1"/>
    </row>
    <row r="1673" spans="8:9" x14ac:dyDescent="0.25">
      <c r="H1673" s="1"/>
      <c r="I1673" s="1"/>
    </row>
    <row r="1674" spans="8:9" x14ac:dyDescent="0.25">
      <c r="H1674" s="1"/>
      <c r="I1674" s="1"/>
    </row>
    <row r="1675" spans="8:9" x14ac:dyDescent="0.25">
      <c r="H1675" s="1"/>
      <c r="I1675" s="1"/>
    </row>
    <row r="1676" spans="8:9" x14ac:dyDescent="0.25">
      <c r="H1676" s="1"/>
      <c r="I1676" s="1"/>
    </row>
    <row r="1677" spans="8:9" x14ac:dyDescent="0.25">
      <c r="H1677" s="1"/>
      <c r="I1677" s="1"/>
    </row>
    <row r="1678" spans="8:9" x14ac:dyDescent="0.25">
      <c r="H1678" s="1"/>
      <c r="I1678" s="1"/>
    </row>
    <row r="1679" spans="8:9" x14ac:dyDescent="0.25">
      <c r="H1679" s="1"/>
      <c r="I1679" s="1"/>
    </row>
    <row r="1680" spans="8:9" x14ac:dyDescent="0.25">
      <c r="H1680" s="1"/>
      <c r="I1680" s="1"/>
    </row>
    <row r="1681" spans="8:9" x14ac:dyDescent="0.25">
      <c r="H1681" s="1"/>
      <c r="I1681" s="1"/>
    </row>
    <row r="1682" spans="8:9" x14ac:dyDescent="0.25">
      <c r="H1682" s="1"/>
      <c r="I1682" s="1"/>
    </row>
    <row r="1683" spans="8:9" x14ac:dyDescent="0.25">
      <c r="H1683" s="1"/>
      <c r="I1683" s="1"/>
    </row>
    <row r="1684" spans="8:9" x14ac:dyDescent="0.25">
      <c r="H1684" s="1"/>
      <c r="I1684" s="1"/>
    </row>
    <row r="1685" spans="8:9" x14ac:dyDescent="0.25">
      <c r="H1685" s="1"/>
      <c r="I1685" s="1"/>
    </row>
    <row r="1686" spans="8:9" x14ac:dyDescent="0.25">
      <c r="H1686" s="1"/>
      <c r="I1686" s="1"/>
    </row>
    <row r="1687" spans="8:9" x14ac:dyDescent="0.25">
      <c r="H1687" s="1"/>
      <c r="I1687" s="1"/>
    </row>
    <row r="1688" spans="8:9" x14ac:dyDescent="0.25">
      <c r="H1688" s="1"/>
      <c r="I1688" s="1"/>
    </row>
    <row r="1689" spans="8:9" x14ac:dyDescent="0.25">
      <c r="H1689" s="1"/>
      <c r="I1689" s="1"/>
    </row>
    <row r="1690" spans="8:9" x14ac:dyDescent="0.25">
      <c r="H1690" s="1"/>
      <c r="I1690" s="1"/>
    </row>
    <row r="1691" spans="8:9" x14ac:dyDescent="0.25">
      <c r="H1691" s="1"/>
      <c r="I1691" s="1"/>
    </row>
    <row r="1692" spans="8:9" x14ac:dyDescent="0.25">
      <c r="H1692" s="1"/>
      <c r="I1692" s="1"/>
    </row>
    <row r="1693" spans="8:9" x14ac:dyDescent="0.25">
      <c r="H1693" s="1"/>
      <c r="I1693" s="1"/>
    </row>
    <row r="1694" spans="8:9" x14ac:dyDescent="0.25">
      <c r="H1694" s="1"/>
      <c r="I1694" s="1"/>
    </row>
    <row r="1695" spans="8:9" x14ac:dyDescent="0.25">
      <c r="H1695" s="1"/>
      <c r="I1695" s="1"/>
    </row>
    <row r="1696" spans="8:9" x14ac:dyDescent="0.25">
      <c r="H1696" s="1"/>
      <c r="I1696" s="1"/>
    </row>
    <row r="1697" spans="8:9" x14ac:dyDescent="0.25">
      <c r="H1697" s="1"/>
      <c r="I1697" s="1"/>
    </row>
    <row r="1698" spans="8:9" x14ac:dyDescent="0.25">
      <c r="H1698" s="1"/>
      <c r="I1698" s="1"/>
    </row>
    <row r="1699" spans="8:9" x14ac:dyDescent="0.25">
      <c r="H1699" s="1"/>
      <c r="I1699" s="1"/>
    </row>
    <row r="1700" spans="8:9" x14ac:dyDescent="0.25">
      <c r="H1700" s="1"/>
      <c r="I1700" s="1"/>
    </row>
    <row r="1701" spans="8:9" x14ac:dyDescent="0.25">
      <c r="H1701" s="1"/>
      <c r="I1701" s="1"/>
    </row>
    <row r="1702" spans="8:9" x14ac:dyDescent="0.25">
      <c r="H1702" s="1"/>
      <c r="I1702" s="1"/>
    </row>
    <row r="1703" spans="8:9" x14ac:dyDescent="0.25">
      <c r="H1703" s="1"/>
      <c r="I1703" s="1"/>
    </row>
    <row r="1704" spans="8:9" x14ac:dyDescent="0.25">
      <c r="H1704" s="1"/>
      <c r="I1704" s="1"/>
    </row>
    <row r="1705" spans="8:9" x14ac:dyDescent="0.25">
      <c r="H1705" s="1"/>
      <c r="I1705" s="1"/>
    </row>
    <row r="1706" spans="8:9" x14ac:dyDescent="0.25">
      <c r="H1706" s="1"/>
      <c r="I1706" s="1"/>
    </row>
    <row r="1707" spans="8:9" x14ac:dyDescent="0.25">
      <c r="H1707" s="1"/>
      <c r="I1707" s="1"/>
    </row>
    <row r="1708" spans="8:9" x14ac:dyDescent="0.25">
      <c r="H1708" s="1"/>
      <c r="I1708" s="1"/>
    </row>
    <row r="1709" spans="8:9" x14ac:dyDescent="0.25">
      <c r="H1709" s="1"/>
      <c r="I1709" s="1"/>
    </row>
    <row r="1710" spans="8:9" x14ac:dyDescent="0.25">
      <c r="H1710" s="1"/>
      <c r="I1710" s="1"/>
    </row>
    <row r="1711" spans="8:9" x14ac:dyDescent="0.25">
      <c r="H1711" s="1"/>
      <c r="I1711" s="1"/>
    </row>
    <row r="1712" spans="8:9" x14ac:dyDescent="0.25">
      <c r="H1712" s="1"/>
      <c r="I1712" s="1"/>
    </row>
    <row r="1713" spans="8:9" x14ac:dyDescent="0.25">
      <c r="H1713" s="1"/>
      <c r="I1713" s="1"/>
    </row>
    <row r="1714" spans="8:9" x14ac:dyDescent="0.25">
      <c r="H1714" s="1"/>
      <c r="I1714" s="1"/>
    </row>
    <row r="1715" spans="8:9" x14ac:dyDescent="0.25">
      <c r="H1715" s="1"/>
      <c r="I1715" s="1"/>
    </row>
    <row r="1716" spans="8:9" x14ac:dyDescent="0.25">
      <c r="H1716" s="1"/>
      <c r="I1716" s="1"/>
    </row>
    <row r="1717" spans="8:9" x14ac:dyDescent="0.25">
      <c r="H1717" s="1"/>
      <c r="I1717" s="1"/>
    </row>
    <row r="1718" spans="8:9" x14ac:dyDescent="0.25">
      <c r="H1718" s="1"/>
      <c r="I1718" s="1"/>
    </row>
    <row r="1719" spans="8:9" x14ac:dyDescent="0.25">
      <c r="H1719" s="1"/>
      <c r="I1719" s="1"/>
    </row>
    <row r="1720" spans="8:9" x14ac:dyDescent="0.25">
      <c r="H1720" s="1"/>
      <c r="I1720" s="1"/>
    </row>
    <row r="1721" spans="8:9" x14ac:dyDescent="0.25">
      <c r="H1721" s="1"/>
      <c r="I1721" s="1"/>
    </row>
    <row r="1722" spans="8:9" x14ac:dyDescent="0.25">
      <c r="H1722" s="1"/>
      <c r="I1722" s="1"/>
    </row>
    <row r="1723" spans="8:9" x14ac:dyDescent="0.25">
      <c r="H1723" s="1"/>
      <c r="I1723" s="1"/>
    </row>
    <row r="1724" spans="8:9" x14ac:dyDescent="0.25">
      <c r="H1724" s="1"/>
      <c r="I1724" s="1"/>
    </row>
    <row r="1725" spans="8:9" x14ac:dyDescent="0.25">
      <c r="H1725" s="1"/>
      <c r="I1725" s="1"/>
    </row>
    <row r="1726" spans="8:9" x14ac:dyDescent="0.25">
      <c r="H1726" s="1"/>
      <c r="I1726" s="1"/>
    </row>
    <row r="1727" spans="8:9" x14ac:dyDescent="0.25">
      <c r="H1727" s="1"/>
      <c r="I1727" s="1"/>
    </row>
    <row r="1728" spans="8:9" x14ac:dyDescent="0.25">
      <c r="H1728" s="1"/>
      <c r="I1728" s="1"/>
    </row>
    <row r="1729" spans="8:9" x14ac:dyDescent="0.25">
      <c r="H1729" s="1"/>
      <c r="I1729" s="1"/>
    </row>
    <row r="1730" spans="8:9" x14ac:dyDescent="0.25">
      <c r="H1730" s="1"/>
      <c r="I1730" s="1"/>
    </row>
    <row r="1731" spans="8:9" x14ac:dyDescent="0.25">
      <c r="H1731" s="1"/>
      <c r="I1731" s="1"/>
    </row>
    <row r="1732" spans="8:9" x14ac:dyDescent="0.25">
      <c r="H1732" s="1"/>
      <c r="I1732" s="1"/>
    </row>
    <row r="1733" spans="8:9" x14ac:dyDescent="0.25">
      <c r="H1733" s="1"/>
      <c r="I1733" s="1"/>
    </row>
    <row r="1734" spans="8:9" x14ac:dyDescent="0.25">
      <c r="H1734" s="1"/>
      <c r="I1734" s="1"/>
    </row>
    <row r="1735" spans="8:9" x14ac:dyDescent="0.25">
      <c r="H1735" s="1"/>
      <c r="I1735" s="1"/>
    </row>
    <row r="1736" spans="8:9" x14ac:dyDescent="0.25">
      <c r="H1736" s="1"/>
      <c r="I1736" s="1"/>
    </row>
    <row r="1737" spans="8:9" x14ac:dyDescent="0.25">
      <c r="H1737" s="1"/>
      <c r="I1737" s="1"/>
    </row>
    <row r="1738" spans="8:9" x14ac:dyDescent="0.25">
      <c r="H1738" s="1"/>
      <c r="I1738" s="1"/>
    </row>
    <row r="1739" spans="8:9" x14ac:dyDescent="0.25">
      <c r="H1739" s="1"/>
      <c r="I1739" s="1"/>
    </row>
    <row r="1740" spans="8:9" x14ac:dyDescent="0.25">
      <c r="H1740" s="1"/>
      <c r="I1740" s="1"/>
    </row>
    <row r="1741" spans="8:9" x14ac:dyDescent="0.25">
      <c r="H1741" s="1"/>
      <c r="I1741" s="1"/>
    </row>
    <row r="1742" spans="8:9" x14ac:dyDescent="0.25">
      <c r="H1742" s="1"/>
      <c r="I1742" s="1"/>
    </row>
    <row r="1743" spans="8:9" x14ac:dyDescent="0.25">
      <c r="H1743" s="1"/>
      <c r="I1743" s="1"/>
    </row>
    <row r="1744" spans="8:9" x14ac:dyDescent="0.25">
      <c r="H1744" s="1"/>
      <c r="I1744" s="1"/>
    </row>
    <row r="1745" spans="8:9" x14ac:dyDescent="0.25">
      <c r="H1745" s="1"/>
      <c r="I1745" s="1"/>
    </row>
    <row r="1746" spans="8:9" x14ac:dyDescent="0.25">
      <c r="H1746" s="1"/>
      <c r="I1746" s="1"/>
    </row>
    <row r="1747" spans="8:9" x14ac:dyDescent="0.25">
      <c r="H1747" s="1"/>
      <c r="I1747" s="1"/>
    </row>
    <row r="1748" spans="8:9" x14ac:dyDescent="0.25">
      <c r="H1748" s="1"/>
      <c r="I1748" s="1"/>
    </row>
    <row r="1749" spans="8:9" x14ac:dyDescent="0.25">
      <c r="H1749" s="1"/>
      <c r="I1749" s="1"/>
    </row>
    <row r="1750" spans="8:9" x14ac:dyDescent="0.25">
      <c r="H1750" s="1"/>
      <c r="I1750" s="1"/>
    </row>
    <row r="1751" spans="8:9" x14ac:dyDescent="0.25">
      <c r="H1751" s="1"/>
      <c r="I1751" s="1"/>
    </row>
    <row r="1752" spans="8:9" x14ac:dyDescent="0.25">
      <c r="H1752" s="1"/>
      <c r="I1752" s="1"/>
    </row>
    <row r="1753" spans="8:9" x14ac:dyDescent="0.25">
      <c r="H1753" s="1"/>
      <c r="I1753" s="1"/>
    </row>
    <row r="1754" spans="8:9" x14ac:dyDescent="0.25">
      <c r="H1754" s="1"/>
      <c r="I1754" s="1"/>
    </row>
    <row r="1755" spans="8:9" x14ac:dyDescent="0.25">
      <c r="H1755" s="1"/>
      <c r="I1755" s="1"/>
    </row>
    <row r="1756" spans="8:9" x14ac:dyDescent="0.25">
      <c r="H1756" s="1"/>
      <c r="I1756" s="1"/>
    </row>
    <row r="1757" spans="8:9" x14ac:dyDescent="0.25">
      <c r="H1757" s="1"/>
      <c r="I1757" s="1"/>
    </row>
    <row r="1758" spans="8:9" x14ac:dyDescent="0.25">
      <c r="H1758" s="1"/>
      <c r="I1758" s="1"/>
    </row>
    <row r="1759" spans="8:9" x14ac:dyDescent="0.25">
      <c r="H1759" s="1"/>
      <c r="I1759" s="1"/>
    </row>
    <row r="1760" spans="8:9" x14ac:dyDescent="0.25">
      <c r="H1760" s="1"/>
      <c r="I1760" s="1"/>
    </row>
    <row r="1761" spans="8:9" x14ac:dyDescent="0.25">
      <c r="H1761" s="1"/>
      <c r="I1761" s="1"/>
    </row>
    <row r="1762" spans="8:9" x14ac:dyDescent="0.25">
      <c r="H1762" s="1"/>
      <c r="I1762" s="1"/>
    </row>
    <row r="1763" spans="8:9" x14ac:dyDescent="0.25">
      <c r="H1763" s="1"/>
      <c r="I1763" s="1"/>
    </row>
    <row r="1764" spans="8:9" x14ac:dyDescent="0.25">
      <c r="H1764" s="1"/>
      <c r="I1764" s="1"/>
    </row>
    <row r="1765" spans="8:9" x14ac:dyDescent="0.25">
      <c r="H1765" s="1"/>
      <c r="I1765" s="1"/>
    </row>
    <row r="1766" spans="8:9" x14ac:dyDescent="0.25">
      <c r="H1766" s="1"/>
      <c r="I1766" s="1"/>
    </row>
    <row r="1767" spans="8:9" x14ac:dyDescent="0.25">
      <c r="H1767" s="1"/>
      <c r="I1767" s="1"/>
    </row>
    <row r="1768" spans="8:9" x14ac:dyDescent="0.25">
      <c r="H1768" s="1"/>
      <c r="I1768" s="1"/>
    </row>
    <row r="1769" spans="8:9" x14ac:dyDescent="0.25">
      <c r="H1769" s="1"/>
      <c r="I1769" s="1"/>
    </row>
    <row r="1770" spans="8:9" x14ac:dyDescent="0.25">
      <c r="H1770" s="1"/>
      <c r="I1770" s="1"/>
    </row>
    <row r="1771" spans="8:9" x14ac:dyDescent="0.25">
      <c r="H1771" s="1"/>
      <c r="I1771" s="1"/>
    </row>
    <row r="1772" spans="8:9" x14ac:dyDescent="0.25">
      <c r="H1772" s="1"/>
      <c r="I1772" s="1"/>
    </row>
    <row r="1773" spans="8:9" x14ac:dyDescent="0.25">
      <c r="H1773" s="1"/>
      <c r="I1773" s="1"/>
    </row>
    <row r="1774" spans="8:9" x14ac:dyDescent="0.25">
      <c r="H1774" s="1"/>
      <c r="I1774" s="1"/>
    </row>
    <row r="1775" spans="8:9" x14ac:dyDescent="0.25">
      <c r="H1775" s="1"/>
      <c r="I1775" s="1"/>
    </row>
    <row r="1776" spans="8:9" x14ac:dyDescent="0.25">
      <c r="H1776" s="1"/>
      <c r="I1776" s="1"/>
    </row>
    <row r="1777" spans="8:9" x14ac:dyDescent="0.25">
      <c r="H1777" s="1"/>
      <c r="I1777" s="1"/>
    </row>
    <row r="1778" spans="8:9" x14ac:dyDescent="0.25">
      <c r="H1778" s="1"/>
      <c r="I1778" s="1"/>
    </row>
    <row r="1779" spans="8:9" x14ac:dyDescent="0.25">
      <c r="H1779" s="1"/>
      <c r="I1779" s="1"/>
    </row>
    <row r="1780" spans="8:9" x14ac:dyDescent="0.25">
      <c r="H1780" s="1"/>
      <c r="I1780" s="1"/>
    </row>
    <row r="1781" spans="8:9" x14ac:dyDescent="0.25">
      <c r="H1781" s="1"/>
      <c r="I1781" s="1"/>
    </row>
    <row r="1782" spans="8:9" x14ac:dyDescent="0.25">
      <c r="H1782" s="1"/>
      <c r="I1782" s="1"/>
    </row>
    <row r="1783" spans="8:9" x14ac:dyDescent="0.25">
      <c r="H1783" s="1"/>
      <c r="I1783" s="1"/>
    </row>
    <row r="1784" spans="8:9" x14ac:dyDescent="0.25">
      <c r="H1784" s="1"/>
      <c r="I1784" s="1"/>
    </row>
    <row r="1785" spans="8:9" x14ac:dyDescent="0.25">
      <c r="H1785" s="1"/>
      <c r="I1785" s="1"/>
    </row>
    <row r="1786" spans="8:9" x14ac:dyDescent="0.25">
      <c r="H1786" s="1"/>
      <c r="I1786" s="1"/>
    </row>
    <row r="1787" spans="8:9" x14ac:dyDescent="0.25">
      <c r="H1787" s="1"/>
      <c r="I1787" s="1"/>
    </row>
    <row r="1788" spans="8:9" x14ac:dyDescent="0.25">
      <c r="H1788" s="1"/>
      <c r="I1788" s="1"/>
    </row>
    <row r="1789" spans="8:9" x14ac:dyDescent="0.25">
      <c r="H1789" s="1"/>
      <c r="I1789" s="1"/>
    </row>
    <row r="1790" spans="8:9" x14ac:dyDescent="0.25">
      <c r="H1790" s="1"/>
      <c r="I1790" s="1"/>
    </row>
    <row r="1791" spans="8:9" x14ac:dyDescent="0.25">
      <c r="H1791" s="1"/>
      <c r="I1791" s="1"/>
    </row>
    <row r="1792" spans="8:9" x14ac:dyDescent="0.25">
      <c r="H1792" s="1"/>
      <c r="I1792" s="1"/>
    </row>
    <row r="1793" spans="8:9" x14ac:dyDescent="0.25">
      <c r="H1793" s="1"/>
      <c r="I1793" s="1"/>
    </row>
    <row r="1794" spans="8:9" x14ac:dyDescent="0.25">
      <c r="H1794" s="1"/>
      <c r="I1794" s="1"/>
    </row>
    <row r="1795" spans="8:9" x14ac:dyDescent="0.25">
      <c r="H1795" s="1"/>
      <c r="I1795" s="1"/>
    </row>
    <row r="1796" spans="8:9" x14ac:dyDescent="0.25">
      <c r="H1796" s="1"/>
      <c r="I1796" s="1"/>
    </row>
    <row r="1797" spans="8:9" x14ac:dyDescent="0.25">
      <c r="H1797" s="1"/>
      <c r="I1797" s="1"/>
    </row>
    <row r="1798" spans="8:9" x14ac:dyDescent="0.25">
      <c r="H1798" s="1"/>
      <c r="I1798" s="1"/>
    </row>
    <row r="1799" spans="8:9" x14ac:dyDescent="0.25">
      <c r="H1799" s="1"/>
      <c r="I1799" s="1"/>
    </row>
    <row r="1800" spans="8:9" x14ac:dyDescent="0.25">
      <c r="H1800" s="1"/>
      <c r="I1800" s="1"/>
    </row>
    <row r="1801" spans="8:9" x14ac:dyDescent="0.25">
      <c r="H1801" s="1"/>
      <c r="I1801" s="1"/>
    </row>
    <row r="1802" spans="8:9" x14ac:dyDescent="0.25">
      <c r="H1802" s="1"/>
      <c r="I1802" s="1"/>
    </row>
    <row r="1803" spans="8:9" x14ac:dyDescent="0.25">
      <c r="H1803" s="1"/>
      <c r="I1803" s="1"/>
    </row>
    <row r="1804" spans="8:9" x14ac:dyDescent="0.25">
      <c r="H1804" s="1"/>
      <c r="I1804" s="1"/>
    </row>
    <row r="1805" spans="8:9" x14ac:dyDescent="0.25">
      <c r="H1805" s="1"/>
      <c r="I1805" s="1"/>
    </row>
    <row r="1806" spans="8:9" x14ac:dyDescent="0.25">
      <c r="H1806" s="1"/>
      <c r="I1806" s="1"/>
    </row>
    <row r="1807" spans="8:9" x14ac:dyDescent="0.25">
      <c r="H1807" s="1"/>
      <c r="I1807" s="1"/>
    </row>
    <row r="1808" spans="8:9" x14ac:dyDescent="0.25">
      <c r="H1808" s="1"/>
      <c r="I1808" s="1"/>
    </row>
    <row r="1809" spans="8:9" x14ac:dyDescent="0.25">
      <c r="H1809" s="1"/>
      <c r="I1809" s="1"/>
    </row>
    <row r="1810" spans="8:9" x14ac:dyDescent="0.25">
      <c r="H1810" s="1"/>
      <c r="I1810" s="1"/>
    </row>
    <row r="1811" spans="8:9" x14ac:dyDescent="0.25">
      <c r="H1811" s="1"/>
      <c r="I1811" s="1"/>
    </row>
    <row r="1812" spans="8:9" x14ac:dyDescent="0.25">
      <c r="H1812" s="1"/>
      <c r="I1812" s="1"/>
    </row>
    <row r="1813" spans="8:9" x14ac:dyDescent="0.25">
      <c r="H1813" s="1"/>
      <c r="I1813" s="1"/>
    </row>
    <row r="1814" spans="8:9" x14ac:dyDescent="0.25">
      <c r="H1814" s="1"/>
      <c r="I1814" s="1"/>
    </row>
    <row r="1815" spans="8:9" x14ac:dyDescent="0.25">
      <c r="H1815" s="1"/>
      <c r="I1815" s="1"/>
    </row>
    <row r="1816" spans="8:9" x14ac:dyDescent="0.25">
      <c r="H1816" s="1"/>
      <c r="I1816" s="1"/>
    </row>
    <row r="1817" spans="8:9" x14ac:dyDescent="0.25">
      <c r="H1817" s="1"/>
      <c r="I1817" s="1"/>
    </row>
    <row r="1818" spans="8:9" x14ac:dyDescent="0.25">
      <c r="H1818" s="1"/>
      <c r="I1818" s="1"/>
    </row>
    <row r="1819" spans="8:9" x14ac:dyDescent="0.25">
      <c r="H1819" s="1"/>
      <c r="I1819" s="1"/>
    </row>
    <row r="1820" spans="8:9" x14ac:dyDescent="0.25">
      <c r="H1820" s="1"/>
      <c r="I1820" s="1"/>
    </row>
    <row r="1821" spans="8:9" x14ac:dyDescent="0.25">
      <c r="H1821" s="1"/>
      <c r="I1821" s="1"/>
    </row>
    <row r="1822" spans="8:9" x14ac:dyDescent="0.25">
      <c r="H1822" s="1"/>
      <c r="I1822" s="1"/>
    </row>
    <row r="1823" spans="8:9" x14ac:dyDescent="0.25">
      <c r="H1823" s="1"/>
      <c r="I1823" s="1"/>
    </row>
    <row r="1824" spans="8:9" x14ac:dyDescent="0.25">
      <c r="H1824" s="1"/>
      <c r="I1824" s="1"/>
    </row>
    <row r="1825" spans="8:9" x14ac:dyDescent="0.25">
      <c r="H1825" s="1"/>
      <c r="I1825" s="1"/>
    </row>
    <row r="1826" spans="8:9" x14ac:dyDescent="0.25">
      <c r="H1826" s="1"/>
      <c r="I1826" s="1"/>
    </row>
    <row r="1827" spans="8:9" x14ac:dyDescent="0.25">
      <c r="H1827" s="1"/>
      <c r="I1827" s="1"/>
    </row>
    <row r="1828" spans="8:9" x14ac:dyDescent="0.25">
      <c r="H1828" s="1"/>
      <c r="I1828" s="1"/>
    </row>
    <row r="1829" spans="8:9" x14ac:dyDescent="0.25">
      <c r="H1829" s="1"/>
      <c r="I1829" s="1"/>
    </row>
    <row r="1830" spans="8:9" x14ac:dyDescent="0.25">
      <c r="H1830" s="1"/>
      <c r="I1830" s="1"/>
    </row>
    <row r="1831" spans="8:9" x14ac:dyDescent="0.25">
      <c r="H1831" s="1"/>
      <c r="I1831" s="1"/>
    </row>
    <row r="1832" spans="8:9" x14ac:dyDescent="0.25">
      <c r="H1832" s="1"/>
      <c r="I1832" s="1"/>
    </row>
    <row r="1833" spans="8:9" x14ac:dyDescent="0.25">
      <c r="H1833" s="1"/>
      <c r="I1833" s="1"/>
    </row>
    <row r="1834" spans="8:9" x14ac:dyDescent="0.25">
      <c r="H1834" s="1"/>
      <c r="I1834" s="1"/>
    </row>
    <row r="1835" spans="8:9" x14ac:dyDescent="0.25">
      <c r="H1835" s="1"/>
      <c r="I1835" s="1"/>
    </row>
    <row r="1836" spans="8:9" x14ac:dyDescent="0.25">
      <c r="H1836" s="1"/>
      <c r="I1836" s="1"/>
    </row>
    <row r="1837" spans="8:9" x14ac:dyDescent="0.25">
      <c r="H1837" s="1"/>
      <c r="I1837" s="1"/>
    </row>
    <row r="1838" spans="8:9" x14ac:dyDescent="0.25">
      <c r="H1838" s="1"/>
      <c r="I1838" s="1"/>
    </row>
    <row r="1839" spans="8:9" x14ac:dyDescent="0.25">
      <c r="H1839" s="1"/>
      <c r="I1839" s="1"/>
    </row>
    <row r="1840" spans="8:9" x14ac:dyDescent="0.25">
      <c r="H1840" s="1"/>
      <c r="I1840" s="1"/>
    </row>
    <row r="1841" spans="8:9" x14ac:dyDescent="0.25">
      <c r="H1841" s="1"/>
      <c r="I1841" s="1"/>
    </row>
    <row r="1842" spans="8:9" x14ac:dyDescent="0.25">
      <c r="H1842" s="1"/>
      <c r="I1842" s="1"/>
    </row>
    <row r="1843" spans="8:9" x14ac:dyDescent="0.25">
      <c r="H1843" s="1"/>
      <c r="I1843" s="1"/>
    </row>
    <row r="1844" spans="8:9" x14ac:dyDescent="0.25">
      <c r="H1844" s="1"/>
      <c r="I1844" s="1"/>
    </row>
    <row r="1845" spans="8:9" x14ac:dyDescent="0.25">
      <c r="H1845" s="1"/>
      <c r="I1845" s="1"/>
    </row>
    <row r="1846" spans="8:9" x14ac:dyDescent="0.25">
      <c r="H1846" s="1"/>
      <c r="I1846" s="1"/>
    </row>
    <row r="1847" spans="8:9" x14ac:dyDescent="0.25">
      <c r="H1847" s="1"/>
      <c r="I1847" s="1"/>
    </row>
    <row r="1848" spans="8:9" x14ac:dyDescent="0.25">
      <c r="H1848" s="1"/>
      <c r="I1848" s="1"/>
    </row>
    <row r="1849" spans="8:9" x14ac:dyDescent="0.25">
      <c r="H1849" s="1"/>
      <c r="I1849" s="1"/>
    </row>
    <row r="1850" spans="8:9" x14ac:dyDescent="0.25">
      <c r="H1850" s="1"/>
      <c r="I1850" s="1"/>
    </row>
    <row r="1851" spans="8:9" x14ac:dyDescent="0.25">
      <c r="H1851" s="1"/>
      <c r="I1851" s="1"/>
    </row>
    <row r="1852" spans="8:9" x14ac:dyDescent="0.25">
      <c r="H1852" s="1"/>
      <c r="I1852" s="1"/>
    </row>
    <row r="1853" spans="8:9" x14ac:dyDescent="0.25">
      <c r="H1853" s="1"/>
      <c r="I1853" s="1"/>
    </row>
    <row r="1854" spans="8:9" x14ac:dyDescent="0.25">
      <c r="H1854" s="1"/>
      <c r="I1854" s="1"/>
    </row>
    <row r="1855" spans="8:9" x14ac:dyDescent="0.25">
      <c r="H1855" s="1"/>
      <c r="I1855" s="1"/>
    </row>
    <row r="1856" spans="8:9" x14ac:dyDescent="0.25">
      <c r="H1856" s="1"/>
      <c r="I1856" s="1"/>
    </row>
    <row r="1857" spans="8:9" x14ac:dyDescent="0.25">
      <c r="H1857" s="1"/>
      <c r="I1857" s="1"/>
    </row>
    <row r="1858" spans="8:9" x14ac:dyDescent="0.25">
      <c r="H1858" s="1"/>
      <c r="I1858" s="1"/>
    </row>
    <row r="1859" spans="8:9" x14ac:dyDescent="0.25">
      <c r="H1859" s="1"/>
      <c r="I1859" s="1"/>
    </row>
    <row r="1860" spans="8:9" x14ac:dyDescent="0.25">
      <c r="H1860" s="1"/>
      <c r="I1860" s="1"/>
    </row>
    <row r="1861" spans="8:9" x14ac:dyDescent="0.25">
      <c r="H1861" s="1"/>
      <c r="I1861" s="1"/>
    </row>
    <row r="1862" spans="8:9" x14ac:dyDescent="0.25">
      <c r="H1862" s="1"/>
      <c r="I1862" s="1"/>
    </row>
    <row r="1863" spans="8:9" x14ac:dyDescent="0.25">
      <c r="H1863" s="1"/>
      <c r="I1863" s="1"/>
    </row>
    <row r="1864" spans="8:9" x14ac:dyDescent="0.25">
      <c r="H1864" s="1"/>
      <c r="I1864" s="1"/>
    </row>
    <row r="1865" spans="8:9" x14ac:dyDescent="0.25">
      <c r="H1865" s="1"/>
      <c r="I1865" s="1"/>
    </row>
    <row r="1866" spans="8:9" x14ac:dyDescent="0.25">
      <c r="H1866" s="1"/>
      <c r="I1866" s="1"/>
    </row>
    <row r="1867" spans="8:9" x14ac:dyDescent="0.25">
      <c r="H1867" s="1"/>
      <c r="I1867" s="1"/>
    </row>
    <row r="1868" spans="8:9" x14ac:dyDescent="0.25">
      <c r="H1868" s="1"/>
      <c r="I1868" s="1"/>
    </row>
    <row r="1869" spans="8:9" x14ac:dyDescent="0.25">
      <c r="H1869" s="1"/>
      <c r="I1869" s="1"/>
    </row>
    <row r="1870" spans="8:9" x14ac:dyDescent="0.25">
      <c r="H1870" s="1"/>
      <c r="I1870" s="1"/>
    </row>
    <row r="1871" spans="8:9" x14ac:dyDescent="0.25">
      <c r="H1871" s="1"/>
      <c r="I1871" s="1"/>
    </row>
    <row r="1872" spans="8:9" x14ac:dyDescent="0.25">
      <c r="H1872" s="1"/>
      <c r="I1872" s="1"/>
    </row>
    <row r="1873" spans="8:9" x14ac:dyDescent="0.25">
      <c r="H1873" s="1"/>
      <c r="I1873" s="1"/>
    </row>
    <row r="1874" spans="8:9" x14ac:dyDescent="0.25">
      <c r="H1874" s="1"/>
      <c r="I1874" s="1"/>
    </row>
    <row r="1875" spans="8:9" x14ac:dyDescent="0.25">
      <c r="H1875" s="1"/>
      <c r="I1875" s="1"/>
    </row>
    <row r="1876" spans="8:9" x14ac:dyDescent="0.25">
      <c r="H1876" s="1"/>
      <c r="I1876" s="1"/>
    </row>
    <row r="1877" spans="8:9" x14ac:dyDescent="0.25">
      <c r="H1877" s="1"/>
      <c r="I1877" s="1"/>
    </row>
    <row r="1878" spans="8:9" x14ac:dyDescent="0.25">
      <c r="H1878" s="1"/>
      <c r="I1878" s="1"/>
    </row>
    <row r="1879" spans="8:9" x14ac:dyDescent="0.25">
      <c r="H1879" s="1"/>
      <c r="I1879" s="1"/>
    </row>
    <row r="1880" spans="8:9" x14ac:dyDescent="0.25">
      <c r="H1880" s="1"/>
      <c r="I1880" s="1"/>
    </row>
    <row r="1881" spans="8:9" x14ac:dyDescent="0.25">
      <c r="H1881" s="1"/>
      <c r="I1881" s="1"/>
    </row>
    <row r="1882" spans="8:9" x14ac:dyDescent="0.25">
      <c r="H1882" s="1"/>
      <c r="I1882" s="1"/>
    </row>
    <row r="1883" spans="8:9" x14ac:dyDescent="0.25">
      <c r="H1883" s="1"/>
      <c r="I1883" s="1"/>
    </row>
    <row r="1884" spans="8:9" x14ac:dyDescent="0.25">
      <c r="H1884" s="1"/>
      <c r="I1884" s="1"/>
    </row>
    <row r="1885" spans="8:9" x14ac:dyDescent="0.25">
      <c r="H1885" s="1"/>
      <c r="I1885" s="1"/>
    </row>
    <row r="1886" spans="8:9" x14ac:dyDescent="0.25">
      <c r="H1886" s="1"/>
      <c r="I1886" s="1"/>
    </row>
    <row r="1887" spans="8:9" x14ac:dyDescent="0.25">
      <c r="H1887" s="1"/>
      <c r="I1887" s="1"/>
    </row>
    <row r="1888" spans="8:9" x14ac:dyDescent="0.25">
      <c r="H1888" s="1"/>
      <c r="I1888" s="1"/>
    </row>
    <row r="1889" spans="8:9" x14ac:dyDescent="0.25">
      <c r="H1889" s="1"/>
      <c r="I1889" s="1"/>
    </row>
    <row r="1890" spans="8:9" x14ac:dyDescent="0.25">
      <c r="H1890" s="1"/>
      <c r="I1890" s="1"/>
    </row>
    <row r="1891" spans="8:9" x14ac:dyDescent="0.25">
      <c r="H1891" s="1"/>
      <c r="I1891" s="1"/>
    </row>
    <row r="1892" spans="8:9" x14ac:dyDescent="0.25">
      <c r="H1892" s="1"/>
      <c r="I1892" s="1"/>
    </row>
    <row r="1893" spans="8:9" x14ac:dyDescent="0.25">
      <c r="H1893" s="1"/>
      <c r="I1893" s="1"/>
    </row>
    <row r="1894" spans="8:9" x14ac:dyDescent="0.25">
      <c r="H1894" s="1"/>
      <c r="I1894" s="1"/>
    </row>
    <row r="1895" spans="8:9" x14ac:dyDescent="0.25">
      <c r="H1895" s="1"/>
      <c r="I1895" s="1"/>
    </row>
    <row r="1896" spans="8:9" x14ac:dyDescent="0.25">
      <c r="H1896" s="1"/>
      <c r="I1896" s="1"/>
    </row>
    <row r="1897" spans="8:9" x14ac:dyDescent="0.25">
      <c r="H1897" s="1"/>
      <c r="I1897" s="1"/>
    </row>
    <row r="1898" spans="8:9" x14ac:dyDescent="0.25">
      <c r="H1898" s="1"/>
      <c r="I1898" s="1"/>
    </row>
    <row r="1899" spans="8:9" x14ac:dyDescent="0.25">
      <c r="H1899" s="1"/>
      <c r="I1899" s="1"/>
    </row>
    <row r="1900" spans="8:9" x14ac:dyDescent="0.25">
      <c r="H1900" s="1"/>
      <c r="I1900" s="1"/>
    </row>
    <row r="1901" spans="8:9" x14ac:dyDescent="0.25">
      <c r="H1901" s="1"/>
      <c r="I1901" s="1"/>
    </row>
    <row r="1902" spans="8:9" x14ac:dyDescent="0.25">
      <c r="H1902" s="1"/>
      <c r="I1902" s="1"/>
    </row>
    <row r="1903" spans="8:9" x14ac:dyDescent="0.25">
      <c r="H1903" s="1"/>
      <c r="I1903" s="1"/>
    </row>
    <row r="1904" spans="8:9" x14ac:dyDescent="0.25">
      <c r="H1904" s="1"/>
      <c r="I1904" s="1"/>
    </row>
    <row r="1905" spans="8:9" x14ac:dyDescent="0.25">
      <c r="H1905" s="1"/>
      <c r="I1905" s="1"/>
    </row>
    <row r="1906" spans="8:9" x14ac:dyDescent="0.25">
      <c r="H1906" s="1"/>
      <c r="I1906" s="1"/>
    </row>
    <row r="1907" spans="8:9" x14ac:dyDescent="0.25">
      <c r="H1907" s="1"/>
      <c r="I1907" s="1"/>
    </row>
    <row r="1908" spans="8:9" x14ac:dyDescent="0.25">
      <c r="H1908" s="1"/>
      <c r="I1908" s="1"/>
    </row>
    <row r="1909" spans="8:9" x14ac:dyDescent="0.25">
      <c r="H1909" s="1"/>
      <c r="I1909" s="1"/>
    </row>
    <row r="1910" spans="8:9" x14ac:dyDescent="0.25">
      <c r="H1910" s="1"/>
      <c r="I1910" s="1"/>
    </row>
    <row r="1911" spans="8:9" x14ac:dyDescent="0.25">
      <c r="H1911" s="1"/>
      <c r="I1911" s="1"/>
    </row>
    <row r="1912" spans="8:9" x14ac:dyDescent="0.25">
      <c r="H1912" s="1"/>
      <c r="I1912" s="1"/>
    </row>
    <row r="1913" spans="8:9" x14ac:dyDescent="0.25">
      <c r="H1913" s="1"/>
      <c r="I1913" s="1"/>
    </row>
    <row r="1914" spans="8:9" x14ac:dyDescent="0.25">
      <c r="H1914" s="1"/>
      <c r="I1914" s="1"/>
    </row>
    <row r="1915" spans="8:9" x14ac:dyDescent="0.25">
      <c r="H1915" s="1"/>
      <c r="I1915" s="1"/>
    </row>
    <row r="1916" spans="8:9" x14ac:dyDescent="0.25">
      <c r="H1916" s="1"/>
      <c r="I1916" s="1"/>
    </row>
    <row r="1917" spans="8:9" x14ac:dyDescent="0.25">
      <c r="H1917" s="1"/>
      <c r="I1917" s="1"/>
    </row>
    <row r="1918" spans="8:9" x14ac:dyDescent="0.25">
      <c r="H1918" s="1"/>
      <c r="I1918" s="1"/>
    </row>
    <row r="1919" spans="8:9" x14ac:dyDescent="0.25">
      <c r="H1919" s="1"/>
      <c r="I1919" s="1"/>
    </row>
    <row r="1920" spans="8:9" x14ac:dyDescent="0.25">
      <c r="H1920" s="1"/>
      <c r="I1920" s="1"/>
    </row>
    <row r="1921" spans="8:9" x14ac:dyDescent="0.25">
      <c r="H1921" s="1"/>
      <c r="I1921" s="1"/>
    </row>
    <row r="1922" spans="8:9" x14ac:dyDescent="0.25">
      <c r="H1922" s="1"/>
      <c r="I1922" s="1"/>
    </row>
    <row r="1923" spans="8:9" x14ac:dyDescent="0.25">
      <c r="H1923" s="1"/>
      <c r="I1923" s="1"/>
    </row>
    <row r="1924" spans="8:9" x14ac:dyDescent="0.25">
      <c r="H1924" s="1"/>
      <c r="I1924" s="1"/>
    </row>
    <row r="1925" spans="8:9" x14ac:dyDescent="0.25">
      <c r="H1925" s="1"/>
      <c r="I1925" s="1"/>
    </row>
    <row r="1926" spans="8:9" x14ac:dyDescent="0.25">
      <c r="H1926" s="1"/>
      <c r="I1926" s="1"/>
    </row>
    <row r="1927" spans="8:9" x14ac:dyDescent="0.25">
      <c r="H1927" s="1"/>
      <c r="I1927" s="1"/>
    </row>
    <row r="1928" spans="8:9" x14ac:dyDescent="0.25">
      <c r="H1928" s="1"/>
      <c r="I1928" s="1"/>
    </row>
    <row r="1929" spans="8:9" x14ac:dyDescent="0.25">
      <c r="H1929" s="1"/>
      <c r="I1929" s="1"/>
    </row>
    <row r="1930" spans="8:9" x14ac:dyDescent="0.25">
      <c r="H1930" s="1"/>
      <c r="I1930" s="1"/>
    </row>
    <row r="1931" spans="8:9" x14ac:dyDescent="0.25">
      <c r="H1931" s="1"/>
      <c r="I1931" s="1"/>
    </row>
    <row r="1932" spans="8:9" x14ac:dyDescent="0.25">
      <c r="H1932" s="1"/>
      <c r="I1932" s="1"/>
    </row>
    <row r="1933" spans="8:9" x14ac:dyDescent="0.25">
      <c r="H1933" s="1"/>
      <c r="I1933" s="1"/>
    </row>
    <row r="1934" spans="8:9" x14ac:dyDescent="0.25">
      <c r="H1934" s="1"/>
      <c r="I1934" s="1"/>
    </row>
    <row r="1935" spans="8:9" x14ac:dyDescent="0.25">
      <c r="H1935" s="1"/>
      <c r="I1935" s="1"/>
    </row>
    <row r="1936" spans="8:9" x14ac:dyDescent="0.25">
      <c r="H1936" s="1"/>
      <c r="I1936" s="1"/>
    </row>
    <row r="1937" spans="8:9" x14ac:dyDescent="0.25">
      <c r="H1937" s="1"/>
      <c r="I1937" s="1"/>
    </row>
    <row r="1938" spans="8:9" x14ac:dyDescent="0.25">
      <c r="H1938" s="1"/>
      <c r="I1938" s="1"/>
    </row>
    <row r="1939" spans="8:9" x14ac:dyDescent="0.25">
      <c r="H1939" s="1"/>
      <c r="I1939" s="1"/>
    </row>
    <row r="1940" spans="8:9" x14ac:dyDescent="0.25">
      <c r="H1940" s="1"/>
      <c r="I1940" s="1"/>
    </row>
    <row r="1941" spans="8:9" x14ac:dyDescent="0.25">
      <c r="H1941" s="1"/>
      <c r="I1941" s="1"/>
    </row>
    <row r="1942" spans="8:9" x14ac:dyDescent="0.25">
      <c r="H1942" s="1"/>
      <c r="I1942" s="1"/>
    </row>
    <row r="1943" spans="8:9" x14ac:dyDescent="0.25">
      <c r="H1943" s="1"/>
      <c r="I1943" s="1"/>
    </row>
    <row r="1944" spans="8:9" x14ac:dyDescent="0.25">
      <c r="H1944" s="1"/>
      <c r="I1944" s="1"/>
    </row>
    <row r="1945" spans="8:9" x14ac:dyDescent="0.25">
      <c r="H1945" s="1"/>
      <c r="I1945" s="1"/>
    </row>
    <row r="1946" spans="8:9" x14ac:dyDescent="0.25">
      <c r="H1946" s="1"/>
      <c r="I1946" s="1"/>
    </row>
    <row r="1947" spans="8:9" x14ac:dyDescent="0.25">
      <c r="H1947" s="1"/>
      <c r="I1947" s="1"/>
    </row>
    <row r="1948" spans="8:9" x14ac:dyDescent="0.25">
      <c r="H1948" s="1"/>
      <c r="I1948" s="1"/>
    </row>
    <row r="1949" spans="8:9" x14ac:dyDescent="0.25">
      <c r="H1949" s="1"/>
      <c r="I1949" s="1"/>
    </row>
    <row r="1950" spans="8:9" x14ac:dyDescent="0.25">
      <c r="H1950" s="1"/>
      <c r="I1950" s="1"/>
    </row>
    <row r="1951" spans="8:9" x14ac:dyDescent="0.25">
      <c r="H1951" s="1"/>
      <c r="I1951" s="1"/>
    </row>
    <row r="1952" spans="8:9" x14ac:dyDescent="0.25">
      <c r="H1952" s="1"/>
      <c r="I1952" s="1"/>
    </row>
    <row r="1953" spans="8:9" x14ac:dyDescent="0.25">
      <c r="H1953" s="1"/>
      <c r="I1953" s="1"/>
    </row>
    <row r="1954" spans="8:9" x14ac:dyDescent="0.25">
      <c r="H1954" s="1"/>
      <c r="I1954" s="1"/>
    </row>
    <row r="1955" spans="8:9" x14ac:dyDescent="0.25">
      <c r="H1955" s="1"/>
      <c r="I1955" s="1"/>
    </row>
    <row r="1956" spans="8:9" x14ac:dyDescent="0.25">
      <c r="H1956" s="1"/>
      <c r="I1956" s="1"/>
    </row>
    <row r="1957" spans="8:9" x14ac:dyDescent="0.25">
      <c r="H1957" s="1"/>
      <c r="I1957" s="1"/>
    </row>
    <row r="1958" spans="8:9" x14ac:dyDescent="0.25">
      <c r="H1958" s="1"/>
      <c r="I1958" s="1"/>
    </row>
    <row r="1959" spans="8:9" x14ac:dyDescent="0.25">
      <c r="H1959" s="1"/>
      <c r="I1959" s="1"/>
    </row>
    <row r="1960" spans="8:9" x14ac:dyDescent="0.25">
      <c r="H1960" s="1"/>
      <c r="I1960" s="1"/>
    </row>
    <row r="1961" spans="8:9" x14ac:dyDescent="0.25">
      <c r="H1961" s="1"/>
      <c r="I1961" s="1"/>
    </row>
    <row r="1962" spans="8:9" x14ac:dyDescent="0.25">
      <c r="H1962" s="1"/>
      <c r="I1962" s="1"/>
    </row>
    <row r="1963" spans="8:9" x14ac:dyDescent="0.25">
      <c r="H1963" s="1"/>
      <c r="I1963" s="1"/>
    </row>
    <row r="1964" spans="8:9" x14ac:dyDescent="0.25">
      <c r="H1964" s="1"/>
      <c r="I1964" s="1"/>
    </row>
    <row r="1965" spans="8:9" x14ac:dyDescent="0.25">
      <c r="H1965" s="1"/>
      <c r="I1965" s="1"/>
    </row>
    <row r="1966" spans="8:9" x14ac:dyDescent="0.25">
      <c r="H1966" s="1"/>
      <c r="I1966" s="1"/>
    </row>
    <row r="1967" spans="8:9" x14ac:dyDescent="0.25">
      <c r="H1967" s="1"/>
      <c r="I1967" s="1"/>
    </row>
    <row r="1968" spans="8:9" x14ac:dyDescent="0.25">
      <c r="H1968" s="1"/>
      <c r="I1968" s="1"/>
    </row>
    <row r="1969" spans="8:9" x14ac:dyDescent="0.25">
      <c r="H1969" s="1"/>
      <c r="I1969" s="1"/>
    </row>
    <row r="1970" spans="8:9" x14ac:dyDescent="0.25">
      <c r="H1970" s="1"/>
      <c r="I1970" s="1"/>
    </row>
    <row r="1971" spans="8:9" x14ac:dyDescent="0.25">
      <c r="H1971" s="1"/>
      <c r="I1971" s="1"/>
    </row>
    <row r="1972" spans="8:9" x14ac:dyDescent="0.25">
      <c r="H1972" s="1"/>
      <c r="I1972" s="1"/>
    </row>
    <row r="1973" spans="8:9" x14ac:dyDescent="0.25">
      <c r="H1973" s="1"/>
      <c r="I1973" s="1"/>
    </row>
    <row r="1974" spans="8:9" x14ac:dyDescent="0.25">
      <c r="H1974" s="1"/>
      <c r="I1974" s="1"/>
    </row>
    <row r="1975" spans="8:9" x14ac:dyDescent="0.25">
      <c r="H1975" s="1"/>
      <c r="I1975" s="1"/>
    </row>
    <row r="1976" spans="8:9" x14ac:dyDescent="0.25">
      <c r="H1976" s="1"/>
      <c r="I1976" s="1"/>
    </row>
    <row r="1977" spans="8:9" x14ac:dyDescent="0.25">
      <c r="H1977" s="1"/>
      <c r="I1977" s="1"/>
    </row>
    <row r="1978" spans="8:9" x14ac:dyDescent="0.25">
      <c r="H1978" s="1"/>
      <c r="I1978" s="1"/>
    </row>
    <row r="1979" spans="8:9" x14ac:dyDescent="0.25">
      <c r="H1979" s="1"/>
      <c r="I1979" s="1"/>
    </row>
    <row r="1980" spans="8:9" x14ac:dyDescent="0.25">
      <c r="H1980" s="1"/>
      <c r="I1980" s="1"/>
    </row>
    <row r="1981" spans="8:9" x14ac:dyDescent="0.25">
      <c r="H1981" s="1"/>
      <c r="I1981" s="1"/>
    </row>
    <row r="1982" spans="8:9" x14ac:dyDescent="0.25">
      <c r="H1982" s="1"/>
      <c r="I1982" s="1"/>
    </row>
    <row r="1983" spans="8:9" x14ac:dyDescent="0.25">
      <c r="H1983" s="1"/>
      <c r="I1983" s="1"/>
    </row>
    <row r="1984" spans="8:9" x14ac:dyDescent="0.25">
      <c r="H1984" s="1"/>
      <c r="I1984" s="1"/>
    </row>
    <row r="1985" spans="8:9" x14ac:dyDescent="0.25">
      <c r="H1985" s="1"/>
      <c r="I1985" s="1"/>
    </row>
    <row r="1986" spans="8:9" x14ac:dyDescent="0.25">
      <c r="H1986" s="1"/>
      <c r="I1986" s="1"/>
    </row>
    <row r="1987" spans="8:9" x14ac:dyDescent="0.25">
      <c r="H1987" s="1"/>
      <c r="I1987" s="1"/>
    </row>
    <row r="1988" spans="8:9" x14ac:dyDescent="0.25">
      <c r="H1988" s="1"/>
      <c r="I1988" s="1"/>
    </row>
    <row r="1989" spans="8:9" x14ac:dyDescent="0.25">
      <c r="H1989" s="1"/>
      <c r="I1989" s="1"/>
    </row>
    <row r="1990" spans="8:9" x14ac:dyDescent="0.25">
      <c r="H1990" s="1"/>
      <c r="I1990" s="1"/>
    </row>
    <row r="1991" spans="8:9" x14ac:dyDescent="0.25">
      <c r="H1991" s="1"/>
      <c r="I1991" s="1"/>
    </row>
    <row r="1992" spans="8:9" x14ac:dyDescent="0.25">
      <c r="H1992" s="1"/>
      <c r="I1992" s="1"/>
    </row>
    <row r="1993" spans="8:9" x14ac:dyDescent="0.25">
      <c r="H1993" s="1"/>
      <c r="I1993" s="1"/>
    </row>
    <row r="1994" spans="8:9" x14ac:dyDescent="0.25">
      <c r="H1994" s="1"/>
      <c r="I1994" s="1"/>
    </row>
    <row r="1995" spans="8:9" x14ac:dyDescent="0.25">
      <c r="H1995" s="1"/>
      <c r="I1995" s="1"/>
    </row>
    <row r="1996" spans="8:9" x14ac:dyDescent="0.25">
      <c r="H1996" s="1"/>
      <c r="I1996" s="1"/>
    </row>
    <row r="1997" spans="8:9" x14ac:dyDescent="0.25">
      <c r="H1997" s="1"/>
      <c r="I1997" s="1"/>
    </row>
    <row r="1998" spans="8:9" x14ac:dyDescent="0.25">
      <c r="H1998" s="1"/>
      <c r="I1998" s="1"/>
    </row>
    <row r="1999" spans="8:9" x14ac:dyDescent="0.25">
      <c r="H1999" s="1"/>
      <c r="I1999" s="1"/>
    </row>
    <row r="2000" spans="8:9" x14ac:dyDescent="0.25">
      <c r="H2000" s="1"/>
      <c r="I2000" s="1"/>
    </row>
    <row r="2001" spans="8:9" x14ac:dyDescent="0.25">
      <c r="H2001" s="1"/>
      <c r="I2001" s="1"/>
    </row>
    <row r="2002" spans="8:9" x14ac:dyDescent="0.25">
      <c r="H2002" s="1"/>
      <c r="I2002" s="1"/>
    </row>
    <row r="2003" spans="8:9" x14ac:dyDescent="0.25">
      <c r="H2003" s="1"/>
      <c r="I2003" s="1"/>
    </row>
    <row r="2004" spans="8:9" x14ac:dyDescent="0.25">
      <c r="H2004" s="1"/>
      <c r="I2004" s="1"/>
    </row>
    <row r="2005" spans="8:9" x14ac:dyDescent="0.25">
      <c r="H2005" s="1"/>
      <c r="I2005" s="1"/>
    </row>
    <row r="2006" spans="8:9" x14ac:dyDescent="0.25">
      <c r="H2006" s="1"/>
      <c r="I2006" s="1"/>
    </row>
    <row r="2007" spans="8:9" x14ac:dyDescent="0.25">
      <c r="H2007" s="1"/>
      <c r="I2007" s="1"/>
    </row>
    <row r="2008" spans="8:9" x14ac:dyDescent="0.25">
      <c r="H2008" s="1"/>
      <c r="I2008" s="1"/>
    </row>
    <row r="2009" spans="8:9" x14ac:dyDescent="0.25">
      <c r="H2009" s="1"/>
      <c r="I2009" s="1"/>
    </row>
    <row r="2010" spans="8:9" x14ac:dyDescent="0.25">
      <c r="H2010" s="1"/>
      <c r="I2010" s="1"/>
    </row>
    <row r="2011" spans="8:9" x14ac:dyDescent="0.25">
      <c r="H2011" s="1"/>
      <c r="I2011" s="1"/>
    </row>
    <row r="2012" spans="8:9" x14ac:dyDescent="0.25">
      <c r="H2012" s="1"/>
      <c r="I2012" s="1"/>
    </row>
    <row r="2013" spans="8:9" x14ac:dyDescent="0.25">
      <c r="H2013" s="1"/>
      <c r="I2013" s="1"/>
    </row>
    <row r="2014" spans="8:9" x14ac:dyDescent="0.25">
      <c r="H2014" s="1"/>
      <c r="I2014" s="1"/>
    </row>
    <row r="2015" spans="8:9" x14ac:dyDescent="0.25">
      <c r="H2015" s="1"/>
      <c r="I2015" s="1"/>
    </row>
    <row r="2016" spans="8:9" x14ac:dyDescent="0.25">
      <c r="H2016" s="1"/>
      <c r="I2016" s="1"/>
    </row>
    <row r="2017" spans="8:9" x14ac:dyDescent="0.25">
      <c r="H2017" s="1"/>
      <c r="I2017" s="1"/>
    </row>
    <row r="2018" spans="8:9" x14ac:dyDescent="0.25">
      <c r="H2018" s="1"/>
      <c r="I2018" s="1"/>
    </row>
    <row r="2019" spans="8:9" x14ac:dyDescent="0.25">
      <c r="H2019" s="1"/>
      <c r="I2019" s="1"/>
    </row>
    <row r="2020" spans="8:9" x14ac:dyDescent="0.25">
      <c r="H2020" s="1"/>
      <c r="I2020" s="1"/>
    </row>
    <row r="2021" spans="8:9" x14ac:dyDescent="0.25">
      <c r="H2021" s="1"/>
      <c r="I2021" s="1"/>
    </row>
    <row r="2022" spans="8:9" x14ac:dyDescent="0.25">
      <c r="H2022" s="1"/>
      <c r="I2022" s="1"/>
    </row>
    <row r="2023" spans="8:9" x14ac:dyDescent="0.25">
      <c r="H2023" s="1"/>
      <c r="I2023" s="1"/>
    </row>
    <row r="2024" spans="8:9" x14ac:dyDescent="0.25">
      <c r="H2024" s="1"/>
      <c r="I2024" s="1"/>
    </row>
    <row r="2025" spans="8:9" x14ac:dyDescent="0.25">
      <c r="H2025" s="1"/>
      <c r="I2025" s="1"/>
    </row>
    <row r="2026" spans="8:9" x14ac:dyDescent="0.25">
      <c r="H2026" s="1"/>
      <c r="I2026" s="1"/>
    </row>
    <row r="2027" spans="8:9" x14ac:dyDescent="0.25">
      <c r="H2027" s="1"/>
      <c r="I2027" s="1"/>
    </row>
    <row r="2028" spans="8:9" x14ac:dyDescent="0.25">
      <c r="H2028" s="1"/>
      <c r="I2028" s="1"/>
    </row>
    <row r="2029" spans="8:9" x14ac:dyDescent="0.25">
      <c r="H2029" s="1"/>
      <c r="I2029" s="1"/>
    </row>
    <row r="2030" spans="8:9" x14ac:dyDescent="0.25">
      <c r="H2030" s="1"/>
      <c r="I2030" s="1"/>
    </row>
    <row r="2031" spans="8:9" x14ac:dyDescent="0.25">
      <c r="H2031" s="1"/>
      <c r="I2031" s="1"/>
    </row>
    <row r="2032" spans="8:9" x14ac:dyDescent="0.25">
      <c r="H2032" s="1"/>
      <c r="I2032" s="1"/>
    </row>
    <row r="2033" spans="8:9" x14ac:dyDescent="0.25">
      <c r="H2033" s="1"/>
      <c r="I2033" s="1"/>
    </row>
    <row r="2034" spans="8:9" x14ac:dyDescent="0.25">
      <c r="H2034" s="1"/>
      <c r="I2034" s="1"/>
    </row>
    <row r="2035" spans="8:9" x14ac:dyDescent="0.25">
      <c r="H2035" s="1"/>
      <c r="I2035" s="1"/>
    </row>
    <row r="2036" spans="8:9" x14ac:dyDescent="0.25">
      <c r="H2036" s="1"/>
      <c r="I2036" s="1"/>
    </row>
    <row r="2037" spans="8:9" x14ac:dyDescent="0.25">
      <c r="H2037" s="1"/>
      <c r="I2037" s="1"/>
    </row>
    <row r="2038" spans="8:9" x14ac:dyDescent="0.25">
      <c r="H2038" s="1"/>
      <c r="I2038" s="1"/>
    </row>
    <row r="2039" spans="8:9" x14ac:dyDescent="0.25">
      <c r="H2039" s="1"/>
      <c r="I2039" s="1"/>
    </row>
    <row r="2040" spans="8:9" x14ac:dyDescent="0.25">
      <c r="H2040" s="1"/>
      <c r="I2040" s="1"/>
    </row>
    <row r="2041" spans="8:9" x14ac:dyDescent="0.25">
      <c r="H2041" s="1"/>
      <c r="I2041" s="1"/>
    </row>
    <row r="2042" spans="8:9" x14ac:dyDescent="0.25">
      <c r="H2042" s="1"/>
      <c r="I2042" s="1"/>
    </row>
    <row r="2043" spans="8:9" x14ac:dyDescent="0.25">
      <c r="H2043" s="1"/>
      <c r="I2043" s="1"/>
    </row>
    <row r="2044" spans="8:9" x14ac:dyDescent="0.25">
      <c r="H2044" s="1"/>
      <c r="I2044" s="1"/>
    </row>
    <row r="2045" spans="8:9" x14ac:dyDescent="0.25">
      <c r="H2045" s="1"/>
      <c r="I2045" s="1"/>
    </row>
    <row r="2046" spans="8:9" x14ac:dyDescent="0.25">
      <c r="H2046" s="1"/>
      <c r="I2046" s="1"/>
    </row>
    <row r="2047" spans="8:9" x14ac:dyDescent="0.25">
      <c r="H2047" s="1"/>
      <c r="I2047" s="1"/>
    </row>
    <row r="2048" spans="8:9" x14ac:dyDescent="0.25">
      <c r="H2048" s="1"/>
      <c r="I2048" s="1"/>
    </row>
    <row r="2049" spans="8:9" x14ac:dyDescent="0.25">
      <c r="H2049" s="1"/>
      <c r="I2049" s="1"/>
    </row>
    <row r="2050" spans="8:9" x14ac:dyDescent="0.25">
      <c r="H2050" s="1"/>
      <c r="I2050" s="1"/>
    </row>
    <row r="2051" spans="8:9" x14ac:dyDescent="0.25">
      <c r="H2051" s="1"/>
      <c r="I2051" s="1"/>
    </row>
    <row r="2052" spans="8:9" x14ac:dyDescent="0.25">
      <c r="H2052" s="1"/>
      <c r="I2052" s="1"/>
    </row>
    <row r="2053" spans="8:9" x14ac:dyDescent="0.25">
      <c r="H2053" s="1"/>
      <c r="I2053" s="1"/>
    </row>
    <row r="2054" spans="8:9" x14ac:dyDescent="0.25">
      <c r="H2054" s="1"/>
      <c r="I2054" s="1"/>
    </row>
    <row r="2055" spans="8:9" x14ac:dyDescent="0.25">
      <c r="H2055" s="1"/>
      <c r="I2055" s="1"/>
    </row>
    <row r="2056" spans="8:9" x14ac:dyDescent="0.25">
      <c r="H2056" s="1"/>
      <c r="I2056" s="1"/>
    </row>
    <row r="2057" spans="8:9" x14ac:dyDescent="0.25">
      <c r="H2057" s="1"/>
      <c r="I2057" s="1"/>
    </row>
    <row r="2058" spans="8:9" x14ac:dyDescent="0.25">
      <c r="H2058" s="1"/>
      <c r="I2058" s="1"/>
    </row>
    <row r="2059" spans="8:9" x14ac:dyDescent="0.25">
      <c r="H2059" s="1"/>
      <c r="I2059" s="1"/>
    </row>
    <row r="2060" spans="8:9" x14ac:dyDescent="0.25">
      <c r="H2060" s="1"/>
      <c r="I2060" s="1"/>
    </row>
    <row r="2061" spans="8:9" x14ac:dyDescent="0.25">
      <c r="H2061" s="1"/>
      <c r="I2061" s="1"/>
    </row>
    <row r="2062" spans="8:9" x14ac:dyDescent="0.25">
      <c r="H2062" s="1"/>
      <c r="I2062" s="1"/>
    </row>
    <row r="2063" spans="8:9" x14ac:dyDescent="0.25">
      <c r="H2063" s="1"/>
      <c r="I2063" s="1"/>
    </row>
    <row r="2064" spans="8:9" x14ac:dyDescent="0.25">
      <c r="H2064" s="1"/>
      <c r="I2064" s="1"/>
    </row>
    <row r="2065" spans="8:9" x14ac:dyDescent="0.25">
      <c r="H2065" s="1"/>
      <c r="I2065" s="1"/>
    </row>
    <row r="2066" spans="8:9" x14ac:dyDescent="0.25">
      <c r="H2066" s="1"/>
      <c r="I2066" s="1"/>
    </row>
    <row r="2067" spans="8:9" x14ac:dyDescent="0.25">
      <c r="H2067" s="1"/>
      <c r="I2067" s="1"/>
    </row>
    <row r="2068" spans="8:9" x14ac:dyDescent="0.25">
      <c r="H2068" s="1"/>
      <c r="I2068" s="1"/>
    </row>
    <row r="2069" spans="8:9" x14ac:dyDescent="0.25">
      <c r="H2069" s="1"/>
      <c r="I2069" s="1"/>
    </row>
    <row r="2070" spans="8:9" x14ac:dyDescent="0.25">
      <c r="H2070" s="1"/>
      <c r="I2070" s="1"/>
    </row>
    <row r="2071" spans="8:9" x14ac:dyDescent="0.25">
      <c r="H2071" s="1"/>
      <c r="I2071" s="1"/>
    </row>
    <row r="2072" spans="8:9" x14ac:dyDescent="0.25">
      <c r="H2072" s="1"/>
      <c r="I2072" s="1"/>
    </row>
    <row r="2073" spans="8:9" x14ac:dyDescent="0.25">
      <c r="H2073" s="1"/>
      <c r="I2073" s="1"/>
    </row>
    <row r="2074" spans="8:9" x14ac:dyDescent="0.25">
      <c r="H2074" s="1"/>
      <c r="I2074" s="1"/>
    </row>
    <row r="2075" spans="8:9" x14ac:dyDescent="0.25">
      <c r="H2075" s="1"/>
      <c r="I2075" s="1"/>
    </row>
    <row r="2076" spans="8:9" x14ac:dyDescent="0.25">
      <c r="H2076" s="1"/>
      <c r="I2076" s="1"/>
    </row>
    <row r="2077" spans="8:9" x14ac:dyDescent="0.25">
      <c r="H2077" s="1"/>
      <c r="I2077" s="1"/>
    </row>
    <row r="2078" spans="8:9" x14ac:dyDescent="0.25">
      <c r="H2078" s="1"/>
      <c r="I2078" s="1"/>
    </row>
    <row r="2079" spans="8:9" x14ac:dyDescent="0.25">
      <c r="H2079" s="1"/>
      <c r="I2079" s="1"/>
    </row>
    <row r="2080" spans="8:9" x14ac:dyDescent="0.25">
      <c r="H2080" s="1"/>
      <c r="I2080" s="1"/>
    </row>
    <row r="2081" spans="8:9" x14ac:dyDescent="0.25">
      <c r="H2081" s="1"/>
      <c r="I2081" s="1"/>
    </row>
    <row r="2082" spans="8:9" x14ac:dyDescent="0.25">
      <c r="H2082" s="1"/>
      <c r="I2082" s="1"/>
    </row>
    <row r="2083" spans="8:9" x14ac:dyDescent="0.25">
      <c r="H2083" s="1"/>
      <c r="I2083" s="1"/>
    </row>
    <row r="2084" spans="8:9" x14ac:dyDescent="0.25">
      <c r="H2084" s="1"/>
      <c r="I2084" s="1"/>
    </row>
    <row r="2085" spans="8:9" x14ac:dyDescent="0.25">
      <c r="H2085" s="1"/>
      <c r="I2085" s="1"/>
    </row>
    <row r="2086" spans="8:9" x14ac:dyDescent="0.25">
      <c r="H2086" s="1"/>
      <c r="I2086" s="1"/>
    </row>
    <row r="2087" spans="8:9" x14ac:dyDescent="0.25">
      <c r="H2087" s="1"/>
      <c r="I2087" s="1"/>
    </row>
    <row r="2088" spans="8:9" x14ac:dyDescent="0.25">
      <c r="H2088" s="1"/>
      <c r="I2088" s="1"/>
    </row>
    <row r="2089" spans="8:9" x14ac:dyDescent="0.25">
      <c r="H2089" s="1"/>
      <c r="I2089" s="1"/>
    </row>
    <row r="2090" spans="8:9" x14ac:dyDescent="0.25">
      <c r="H2090" s="1"/>
      <c r="I2090" s="1"/>
    </row>
    <row r="2091" spans="8:9" x14ac:dyDescent="0.25">
      <c r="H2091" s="1"/>
      <c r="I2091" s="1"/>
    </row>
    <row r="2092" spans="8:9" x14ac:dyDescent="0.25">
      <c r="H2092" s="1"/>
      <c r="I2092" s="1"/>
    </row>
    <row r="2093" spans="8:9" x14ac:dyDescent="0.25">
      <c r="H2093" s="1"/>
      <c r="I2093" s="1"/>
    </row>
    <row r="2094" spans="8:9" x14ac:dyDescent="0.25">
      <c r="H2094" s="1"/>
      <c r="I2094" s="1"/>
    </row>
    <row r="2095" spans="8:9" x14ac:dyDescent="0.25">
      <c r="H2095" s="1"/>
      <c r="I2095" s="1"/>
    </row>
    <row r="2096" spans="8:9" x14ac:dyDescent="0.25">
      <c r="H2096" s="1"/>
      <c r="I2096" s="1"/>
    </row>
    <row r="2097" spans="8:9" x14ac:dyDescent="0.25">
      <c r="H2097" s="1"/>
      <c r="I2097" s="1"/>
    </row>
    <row r="2098" spans="8:9" x14ac:dyDescent="0.25">
      <c r="H2098" s="1"/>
      <c r="I2098" s="1"/>
    </row>
    <row r="2099" spans="8:9" x14ac:dyDescent="0.25">
      <c r="H2099" s="1"/>
      <c r="I2099" s="1"/>
    </row>
    <row r="2100" spans="8:9" x14ac:dyDescent="0.25">
      <c r="H2100" s="1"/>
      <c r="I2100" s="1"/>
    </row>
    <row r="2101" spans="8:9" x14ac:dyDescent="0.25">
      <c r="H2101" s="1"/>
      <c r="I2101" s="1"/>
    </row>
    <row r="2102" spans="8:9" x14ac:dyDescent="0.25">
      <c r="H2102" s="1"/>
      <c r="I2102" s="1"/>
    </row>
    <row r="2103" spans="8:9" x14ac:dyDescent="0.25">
      <c r="H2103" s="1"/>
      <c r="I2103" s="1"/>
    </row>
    <row r="2104" spans="8:9" x14ac:dyDescent="0.25">
      <c r="H2104" s="1"/>
      <c r="I2104" s="1"/>
    </row>
    <row r="2105" spans="8:9" x14ac:dyDescent="0.25">
      <c r="H2105" s="1"/>
      <c r="I2105" s="1"/>
    </row>
    <row r="2106" spans="8:9" x14ac:dyDescent="0.25">
      <c r="H2106" s="1"/>
      <c r="I2106" s="1"/>
    </row>
    <row r="2107" spans="8:9" x14ac:dyDescent="0.25">
      <c r="H2107" s="1"/>
      <c r="I2107" s="1"/>
    </row>
    <row r="2108" spans="8:9" x14ac:dyDescent="0.25">
      <c r="H2108" s="1"/>
      <c r="I2108" s="1"/>
    </row>
    <row r="2109" spans="8:9" x14ac:dyDescent="0.25">
      <c r="H2109" s="1"/>
      <c r="I2109" s="1"/>
    </row>
    <row r="2110" spans="8:9" x14ac:dyDescent="0.25">
      <c r="H2110" s="1"/>
      <c r="I2110" s="1"/>
    </row>
    <row r="2111" spans="8:9" x14ac:dyDescent="0.25">
      <c r="H2111" s="1"/>
      <c r="I2111" s="1"/>
    </row>
    <row r="2112" spans="8:9" x14ac:dyDescent="0.25">
      <c r="H2112" s="1"/>
      <c r="I2112" s="1"/>
    </row>
    <row r="2113" spans="8:9" x14ac:dyDescent="0.25">
      <c r="H2113" s="1"/>
      <c r="I2113" s="1"/>
    </row>
    <row r="2114" spans="8:9" x14ac:dyDescent="0.25">
      <c r="H2114" s="1"/>
      <c r="I2114" s="1"/>
    </row>
    <row r="2115" spans="8:9" x14ac:dyDescent="0.25">
      <c r="H2115" s="1"/>
      <c r="I2115" s="1"/>
    </row>
    <row r="2116" spans="8:9" x14ac:dyDescent="0.25">
      <c r="H2116" s="1"/>
      <c r="I2116" s="1"/>
    </row>
    <row r="2117" spans="8:9" x14ac:dyDescent="0.25">
      <c r="H2117" s="1"/>
      <c r="I2117" s="1"/>
    </row>
    <row r="2118" spans="8:9" x14ac:dyDescent="0.25">
      <c r="H2118" s="1"/>
      <c r="I2118" s="1"/>
    </row>
    <row r="2119" spans="8:9" x14ac:dyDescent="0.25">
      <c r="H2119" s="1"/>
      <c r="I2119" s="1"/>
    </row>
    <row r="2120" spans="8:9" x14ac:dyDescent="0.25">
      <c r="H2120" s="1"/>
      <c r="I2120" s="1"/>
    </row>
    <row r="2121" spans="8:9" x14ac:dyDescent="0.25">
      <c r="H2121" s="1"/>
      <c r="I2121" s="1"/>
    </row>
    <row r="2122" spans="8:9" x14ac:dyDescent="0.25">
      <c r="H2122" s="1"/>
      <c r="I2122" s="1"/>
    </row>
    <row r="2123" spans="8:9" x14ac:dyDescent="0.25">
      <c r="H2123" s="1"/>
      <c r="I2123" s="1"/>
    </row>
    <row r="2124" spans="8:9" x14ac:dyDescent="0.25">
      <c r="H2124" s="1"/>
      <c r="I2124" s="1"/>
    </row>
    <row r="2125" spans="8:9" x14ac:dyDescent="0.25">
      <c r="H2125" s="1"/>
      <c r="I2125" s="1"/>
    </row>
    <row r="2126" spans="8:9" x14ac:dyDescent="0.25">
      <c r="H2126" s="1"/>
      <c r="I2126" s="1"/>
    </row>
    <row r="2127" spans="8:9" x14ac:dyDescent="0.25">
      <c r="H2127" s="1"/>
      <c r="I2127" s="1"/>
    </row>
    <row r="2128" spans="8:9" x14ac:dyDescent="0.25">
      <c r="H2128" s="1"/>
      <c r="I2128" s="1"/>
    </row>
    <row r="2129" spans="8:9" x14ac:dyDescent="0.25">
      <c r="H2129" s="1"/>
      <c r="I2129" s="1"/>
    </row>
    <row r="2130" spans="8:9" x14ac:dyDescent="0.25">
      <c r="H2130" s="1"/>
      <c r="I2130" s="1"/>
    </row>
    <row r="2131" spans="8:9" x14ac:dyDescent="0.25">
      <c r="H2131" s="1"/>
      <c r="I2131" s="1"/>
    </row>
    <row r="2132" spans="8:9" x14ac:dyDescent="0.25">
      <c r="H2132" s="1"/>
      <c r="I2132" s="1"/>
    </row>
    <row r="2133" spans="8:9" x14ac:dyDescent="0.25">
      <c r="H2133" s="1"/>
      <c r="I2133" s="1"/>
    </row>
    <row r="2134" spans="8:9" x14ac:dyDescent="0.25">
      <c r="H2134" s="1"/>
      <c r="I2134" s="1"/>
    </row>
    <row r="2135" spans="8:9" x14ac:dyDescent="0.25">
      <c r="H2135" s="1"/>
      <c r="I2135" s="1"/>
    </row>
    <row r="2136" spans="8:9" x14ac:dyDescent="0.25">
      <c r="H2136" s="1"/>
      <c r="I2136" s="1"/>
    </row>
    <row r="2137" spans="8:9" x14ac:dyDescent="0.25">
      <c r="H2137" s="1"/>
      <c r="I2137" s="1"/>
    </row>
    <row r="2138" spans="8:9" x14ac:dyDescent="0.25">
      <c r="H2138" s="1"/>
      <c r="I2138" s="1"/>
    </row>
    <row r="2139" spans="8:9" x14ac:dyDescent="0.25">
      <c r="H2139" s="1"/>
      <c r="I2139" s="1"/>
    </row>
    <row r="2140" spans="8:9" x14ac:dyDescent="0.25">
      <c r="H2140" s="1"/>
      <c r="I2140" s="1"/>
    </row>
    <row r="2141" spans="8:9" x14ac:dyDescent="0.25">
      <c r="H2141" s="1"/>
      <c r="I2141" s="1"/>
    </row>
    <row r="2142" spans="8:9" x14ac:dyDescent="0.25">
      <c r="H2142" s="1"/>
      <c r="I2142" s="1"/>
    </row>
    <row r="2143" spans="8:9" x14ac:dyDescent="0.25">
      <c r="H2143" s="1"/>
      <c r="I2143" s="1"/>
    </row>
    <row r="2144" spans="8:9" x14ac:dyDescent="0.25">
      <c r="H2144" s="1"/>
      <c r="I2144" s="1"/>
    </row>
    <row r="2145" spans="8:9" x14ac:dyDescent="0.25">
      <c r="H2145" s="1"/>
      <c r="I2145" s="1"/>
    </row>
    <row r="2146" spans="8:9" x14ac:dyDescent="0.25">
      <c r="H2146" s="1"/>
      <c r="I2146" s="1"/>
    </row>
    <row r="2147" spans="8:9" x14ac:dyDescent="0.25">
      <c r="H2147" s="1"/>
      <c r="I2147" s="1"/>
    </row>
    <row r="2148" spans="8:9" x14ac:dyDescent="0.25">
      <c r="H2148" s="1"/>
      <c r="I2148" s="1"/>
    </row>
    <row r="2149" spans="8:9" x14ac:dyDescent="0.25">
      <c r="H2149" s="1"/>
      <c r="I2149" s="1"/>
    </row>
    <row r="2150" spans="8:9" x14ac:dyDescent="0.25">
      <c r="H2150" s="1"/>
      <c r="I2150" s="1"/>
    </row>
    <row r="2151" spans="8:9" x14ac:dyDescent="0.25">
      <c r="H2151" s="1"/>
      <c r="I2151" s="1"/>
    </row>
    <row r="2152" spans="8:9" x14ac:dyDescent="0.25">
      <c r="H2152" s="1"/>
      <c r="I2152" s="1"/>
    </row>
    <row r="2153" spans="8:9" x14ac:dyDescent="0.25">
      <c r="H2153" s="1"/>
      <c r="I2153" s="1"/>
    </row>
    <row r="2154" spans="8:9" x14ac:dyDescent="0.25">
      <c r="H2154" s="1"/>
      <c r="I2154" s="1"/>
    </row>
    <row r="2155" spans="8:9" x14ac:dyDescent="0.25">
      <c r="H2155" s="1"/>
      <c r="I2155" s="1"/>
    </row>
    <row r="2156" spans="8:9" x14ac:dyDescent="0.25">
      <c r="H2156" s="1"/>
      <c r="I2156" s="1"/>
    </row>
    <row r="2157" spans="8:9" x14ac:dyDescent="0.25">
      <c r="H2157" s="1"/>
      <c r="I2157" s="1"/>
    </row>
    <row r="2158" spans="8:9" x14ac:dyDescent="0.25">
      <c r="H2158" s="1"/>
      <c r="I2158" s="1"/>
    </row>
    <row r="2159" spans="8:9" x14ac:dyDescent="0.25">
      <c r="H2159" s="1"/>
      <c r="I2159" s="1"/>
    </row>
    <row r="2160" spans="8:9" x14ac:dyDescent="0.25">
      <c r="H2160" s="1"/>
      <c r="I2160" s="1"/>
    </row>
    <row r="2161" spans="8:9" x14ac:dyDescent="0.25">
      <c r="H2161" s="1"/>
      <c r="I2161" s="1"/>
    </row>
    <row r="2162" spans="8:9" x14ac:dyDescent="0.25">
      <c r="H2162" s="1"/>
      <c r="I2162" s="1"/>
    </row>
    <row r="2163" spans="8:9" x14ac:dyDescent="0.25">
      <c r="H2163" s="1"/>
      <c r="I2163" s="1"/>
    </row>
    <row r="2164" spans="8:9" x14ac:dyDescent="0.25">
      <c r="H2164" s="1"/>
      <c r="I2164" s="1"/>
    </row>
    <row r="2165" spans="8:9" x14ac:dyDescent="0.25">
      <c r="H2165" s="1"/>
      <c r="I2165" s="1"/>
    </row>
    <row r="2166" spans="8:9" x14ac:dyDescent="0.25">
      <c r="H2166" s="1"/>
      <c r="I2166" s="1"/>
    </row>
    <row r="2167" spans="8:9" x14ac:dyDescent="0.25">
      <c r="H2167" s="1"/>
      <c r="I2167" s="1"/>
    </row>
    <row r="2168" spans="8:9" x14ac:dyDescent="0.25">
      <c r="H2168" s="1"/>
      <c r="I2168" s="1"/>
    </row>
    <row r="2169" spans="8:9" x14ac:dyDescent="0.25">
      <c r="H2169" s="1"/>
      <c r="I2169" s="1"/>
    </row>
    <row r="2170" spans="8:9" x14ac:dyDescent="0.25">
      <c r="H2170" s="1"/>
      <c r="I2170" s="1"/>
    </row>
    <row r="2171" spans="8:9" x14ac:dyDescent="0.25">
      <c r="H2171" s="1"/>
      <c r="I2171" s="1"/>
    </row>
    <row r="2172" spans="8:9" x14ac:dyDescent="0.25">
      <c r="H2172" s="1"/>
      <c r="I2172" s="1"/>
    </row>
    <row r="2173" spans="8:9" x14ac:dyDescent="0.25">
      <c r="H2173" s="1"/>
      <c r="I2173" s="1"/>
    </row>
    <row r="2174" spans="8:9" x14ac:dyDescent="0.25">
      <c r="H2174" s="1"/>
      <c r="I2174" s="1"/>
    </row>
    <row r="2175" spans="8:9" x14ac:dyDescent="0.25">
      <c r="H2175" s="1"/>
      <c r="I2175" s="1"/>
    </row>
    <row r="2176" spans="8:9" x14ac:dyDescent="0.25">
      <c r="H2176" s="1"/>
      <c r="I2176" s="1"/>
    </row>
    <row r="2177" spans="8:9" x14ac:dyDescent="0.25">
      <c r="H2177" s="1"/>
      <c r="I2177" s="1"/>
    </row>
    <row r="2178" spans="8:9" x14ac:dyDescent="0.25">
      <c r="H2178" s="1"/>
      <c r="I2178" s="1"/>
    </row>
    <row r="2179" spans="8:9" x14ac:dyDescent="0.25">
      <c r="H2179" s="1"/>
      <c r="I2179" s="1"/>
    </row>
    <row r="2180" spans="8:9" x14ac:dyDescent="0.25">
      <c r="H2180" s="1"/>
      <c r="I2180" s="1"/>
    </row>
    <row r="2181" spans="8:9" x14ac:dyDescent="0.25">
      <c r="H2181" s="1"/>
      <c r="I2181" s="1"/>
    </row>
    <row r="2182" spans="8:9" x14ac:dyDescent="0.25">
      <c r="H2182" s="1"/>
      <c r="I2182" s="1"/>
    </row>
    <row r="2183" spans="8:9" x14ac:dyDescent="0.25">
      <c r="H2183" s="1"/>
      <c r="I2183" s="1"/>
    </row>
    <row r="2184" spans="8:9" x14ac:dyDescent="0.25">
      <c r="H2184" s="1"/>
      <c r="I2184" s="1"/>
    </row>
    <row r="2185" spans="8:9" x14ac:dyDescent="0.25">
      <c r="H2185" s="1"/>
      <c r="I2185" s="1"/>
    </row>
    <row r="2186" spans="8:9" x14ac:dyDescent="0.25">
      <c r="H2186" s="1"/>
      <c r="I2186" s="1"/>
    </row>
    <row r="2187" spans="8:9" x14ac:dyDescent="0.25">
      <c r="H2187" s="1"/>
      <c r="I2187" s="1"/>
    </row>
    <row r="2188" spans="8:9" x14ac:dyDescent="0.25">
      <c r="H2188" s="1"/>
      <c r="I2188" s="1"/>
    </row>
    <row r="2189" spans="8:9" x14ac:dyDescent="0.25">
      <c r="H2189" s="1"/>
      <c r="I2189" s="1"/>
    </row>
    <row r="2190" spans="8:9" x14ac:dyDescent="0.25">
      <c r="H2190" s="1"/>
      <c r="I2190" s="1"/>
    </row>
    <row r="2191" spans="8:9" x14ac:dyDescent="0.25">
      <c r="H2191" s="1"/>
      <c r="I2191" s="1"/>
    </row>
    <row r="2192" spans="8:9" x14ac:dyDescent="0.25">
      <c r="H2192" s="1"/>
      <c r="I2192" s="1"/>
    </row>
    <row r="2193" spans="8:9" x14ac:dyDescent="0.25">
      <c r="H2193" s="1"/>
      <c r="I2193" s="1"/>
    </row>
    <row r="2194" spans="8:9" x14ac:dyDescent="0.25">
      <c r="H2194" s="1"/>
      <c r="I2194" s="1"/>
    </row>
    <row r="2195" spans="8:9" x14ac:dyDescent="0.25">
      <c r="H2195" s="1"/>
      <c r="I2195" s="1"/>
    </row>
    <row r="2196" spans="8:9" x14ac:dyDescent="0.25">
      <c r="H2196" s="1"/>
      <c r="I2196" s="1"/>
    </row>
    <row r="2197" spans="8:9" x14ac:dyDescent="0.25">
      <c r="H2197" s="1"/>
      <c r="I2197" s="1"/>
    </row>
    <row r="2198" spans="8:9" x14ac:dyDescent="0.25">
      <c r="H2198" s="1"/>
      <c r="I2198" s="1"/>
    </row>
    <row r="2199" spans="8:9" x14ac:dyDescent="0.25">
      <c r="H2199" s="1"/>
      <c r="I2199" s="1"/>
    </row>
    <row r="2200" spans="8:9" x14ac:dyDescent="0.25">
      <c r="H2200" s="1"/>
      <c r="I2200" s="1"/>
    </row>
    <row r="2201" spans="8:9" x14ac:dyDescent="0.25">
      <c r="H2201" s="1"/>
      <c r="I2201" s="1"/>
    </row>
    <row r="2202" spans="8:9" x14ac:dyDescent="0.25">
      <c r="H2202" s="1"/>
      <c r="I2202" s="1"/>
    </row>
    <row r="2203" spans="8:9" x14ac:dyDescent="0.25">
      <c r="H2203" s="1"/>
      <c r="I2203" s="1"/>
    </row>
    <row r="2204" spans="8:9" x14ac:dyDescent="0.25">
      <c r="H2204" s="1"/>
      <c r="I2204" s="1"/>
    </row>
    <row r="2205" spans="8:9" x14ac:dyDescent="0.25">
      <c r="H2205" s="1"/>
      <c r="I2205" s="1"/>
    </row>
    <row r="2206" spans="8:9" x14ac:dyDescent="0.25">
      <c r="H2206" s="1"/>
      <c r="I2206" s="1"/>
    </row>
    <row r="2207" spans="8:9" x14ac:dyDescent="0.25">
      <c r="H2207" s="1"/>
      <c r="I2207" s="1"/>
    </row>
    <row r="2208" spans="8:9" x14ac:dyDescent="0.25">
      <c r="H2208" s="1"/>
      <c r="I2208" s="1"/>
    </row>
    <row r="2209" spans="8:9" x14ac:dyDescent="0.25">
      <c r="H2209" s="1"/>
      <c r="I2209" s="1"/>
    </row>
    <row r="2210" spans="8:9" x14ac:dyDescent="0.25">
      <c r="H2210" s="1"/>
      <c r="I2210" s="1"/>
    </row>
    <row r="2211" spans="8:9" x14ac:dyDescent="0.25">
      <c r="H2211" s="1"/>
      <c r="I2211" s="1"/>
    </row>
    <row r="2212" spans="8:9" x14ac:dyDescent="0.25">
      <c r="H2212" s="1"/>
      <c r="I2212" s="1"/>
    </row>
    <row r="2213" spans="8:9" x14ac:dyDescent="0.25">
      <c r="H2213" s="1"/>
      <c r="I2213" s="1"/>
    </row>
    <row r="2214" spans="8:9" x14ac:dyDescent="0.25">
      <c r="H2214" s="1"/>
      <c r="I2214" s="1"/>
    </row>
    <row r="2215" spans="8:9" x14ac:dyDescent="0.25">
      <c r="H2215" s="1"/>
      <c r="I2215" s="1"/>
    </row>
    <row r="2216" spans="8:9" x14ac:dyDescent="0.25">
      <c r="H2216" s="1"/>
      <c r="I2216" s="1"/>
    </row>
    <row r="2217" spans="8:9" x14ac:dyDescent="0.25">
      <c r="H2217" s="1"/>
      <c r="I2217" s="1"/>
    </row>
    <row r="2218" spans="8:9" x14ac:dyDescent="0.25">
      <c r="H2218" s="1"/>
      <c r="I2218" s="1"/>
    </row>
    <row r="2219" spans="8:9" x14ac:dyDescent="0.25">
      <c r="H2219" s="1"/>
      <c r="I2219" s="1"/>
    </row>
    <row r="2220" spans="8:9" x14ac:dyDescent="0.25">
      <c r="H2220" s="1"/>
      <c r="I2220" s="1"/>
    </row>
    <row r="2221" spans="8:9" x14ac:dyDescent="0.25">
      <c r="H2221" s="1"/>
      <c r="I2221" s="1"/>
    </row>
    <row r="2222" spans="8:9" x14ac:dyDescent="0.25">
      <c r="H2222" s="1"/>
      <c r="I2222" s="1"/>
    </row>
    <row r="2223" spans="8:9" x14ac:dyDescent="0.25">
      <c r="H2223" s="1"/>
      <c r="I2223" s="1"/>
    </row>
    <row r="2224" spans="8:9" x14ac:dyDescent="0.25">
      <c r="H2224" s="1"/>
      <c r="I2224" s="1"/>
    </row>
    <row r="2225" spans="8:9" x14ac:dyDescent="0.25">
      <c r="H2225" s="1"/>
      <c r="I2225" s="1"/>
    </row>
    <row r="2226" spans="8:9" x14ac:dyDescent="0.25">
      <c r="H2226" s="1"/>
      <c r="I2226" s="1"/>
    </row>
    <row r="2227" spans="8:9" x14ac:dyDescent="0.25">
      <c r="H2227" s="1"/>
      <c r="I2227" s="1"/>
    </row>
    <row r="2228" spans="8:9" x14ac:dyDescent="0.25">
      <c r="H2228" s="1"/>
      <c r="I2228" s="1"/>
    </row>
    <row r="2229" spans="8:9" x14ac:dyDescent="0.25">
      <c r="H2229" s="1"/>
      <c r="I2229" s="1"/>
    </row>
    <row r="2230" spans="8:9" x14ac:dyDescent="0.25">
      <c r="H2230" s="1"/>
      <c r="I2230" s="1"/>
    </row>
    <row r="2231" spans="8:9" x14ac:dyDescent="0.25">
      <c r="H2231" s="1"/>
      <c r="I2231" s="1"/>
    </row>
    <row r="2232" spans="8:9" x14ac:dyDescent="0.25">
      <c r="H2232" s="1"/>
      <c r="I2232" s="1"/>
    </row>
    <row r="2233" spans="8:9" x14ac:dyDescent="0.25">
      <c r="H2233" s="1"/>
      <c r="I2233" s="1"/>
    </row>
    <row r="2234" spans="8:9" x14ac:dyDescent="0.25">
      <c r="H2234" s="1"/>
      <c r="I2234" s="1"/>
    </row>
    <row r="2235" spans="8:9" x14ac:dyDescent="0.25">
      <c r="H2235" s="1"/>
      <c r="I2235" s="1"/>
    </row>
    <row r="2236" spans="8:9" x14ac:dyDescent="0.25">
      <c r="H2236" s="1"/>
      <c r="I2236" s="1"/>
    </row>
    <row r="2237" spans="8:9" x14ac:dyDescent="0.25">
      <c r="H2237" s="1"/>
      <c r="I2237" s="1"/>
    </row>
    <row r="2238" spans="8:9" x14ac:dyDescent="0.25">
      <c r="H2238" s="1"/>
      <c r="I2238" s="1"/>
    </row>
    <row r="2239" spans="8:9" x14ac:dyDescent="0.25">
      <c r="H2239" s="1"/>
      <c r="I2239" s="1"/>
    </row>
    <row r="2240" spans="8:9" x14ac:dyDescent="0.25">
      <c r="H2240" s="1"/>
      <c r="I2240" s="1"/>
    </row>
    <row r="2241" spans="8:9" x14ac:dyDescent="0.25">
      <c r="H2241" s="1"/>
      <c r="I2241" s="1"/>
    </row>
    <row r="2242" spans="8:9" x14ac:dyDescent="0.25">
      <c r="H2242" s="1"/>
      <c r="I2242" s="1"/>
    </row>
    <row r="2243" spans="8:9" x14ac:dyDescent="0.25">
      <c r="H2243" s="1"/>
      <c r="I2243" s="1"/>
    </row>
    <row r="2244" spans="8:9" x14ac:dyDescent="0.25">
      <c r="H2244" s="1"/>
      <c r="I2244" s="1"/>
    </row>
    <row r="2245" spans="8:9" x14ac:dyDescent="0.25">
      <c r="H2245" s="1"/>
      <c r="I2245" s="1"/>
    </row>
    <row r="2246" spans="8:9" x14ac:dyDescent="0.25">
      <c r="H2246" s="1"/>
      <c r="I2246" s="1"/>
    </row>
    <row r="2247" spans="8:9" x14ac:dyDescent="0.25">
      <c r="H2247" s="1"/>
      <c r="I2247" s="1"/>
    </row>
    <row r="2248" spans="8:9" x14ac:dyDescent="0.25">
      <c r="H2248" s="1"/>
      <c r="I2248" s="1"/>
    </row>
    <row r="2249" spans="8:9" x14ac:dyDescent="0.25">
      <c r="H2249" s="1"/>
      <c r="I2249" s="1"/>
    </row>
    <row r="2250" spans="8:9" x14ac:dyDescent="0.25">
      <c r="H2250" s="1"/>
      <c r="I2250" s="1"/>
    </row>
    <row r="2251" spans="8:9" x14ac:dyDescent="0.25">
      <c r="H2251" s="1"/>
      <c r="I2251" s="1"/>
    </row>
    <row r="2252" spans="8:9" x14ac:dyDescent="0.25">
      <c r="H2252" s="1"/>
      <c r="I2252" s="1"/>
    </row>
    <row r="2253" spans="8:9" x14ac:dyDescent="0.25">
      <c r="H2253" s="1"/>
      <c r="I2253" s="1"/>
    </row>
    <row r="2254" spans="8:9" x14ac:dyDescent="0.25">
      <c r="H2254" s="1"/>
      <c r="I2254" s="1"/>
    </row>
    <row r="2255" spans="8:9" x14ac:dyDescent="0.25">
      <c r="H2255" s="1"/>
      <c r="I2255" s="1"/>
    </row>
    <row r="2256" spans="8:9" x14ac:dyDescent="0.25">
      <c r="H2256" s="1"/>
      <c r="I2256" s="1"/>
    </row>
    <row r="2257" spans="8:9" x14ac:dyDescent="0.25">
      <c r="H2257" s="1"/>
      <c r="I2257" s="1"/>
    </row>
    <row r="2258" spans="8:9" x14ac:dyDescent="0.25">
      <c r="H2258" s="1"/>
      <c r="I2258" s="1"/>
    </row>
    <row r="2259" spans="8:9" x14ac:dyDescent="0.25">
      <c r="H2259" s="1"/>
      <c r="I2259" s="1"/>
    </row>
    <row r="2260" spans="8:9" x14ac:dyDescent="0.25">
      <c r="H2260" s="1"/>
      <c r="I2260" s="1"/>
    </row>
    <row r="2261" spans="8:9" x14ac:dyDescent="0.25">
      <c r="H2261" s="1"/>
      <c r="I2261" s="1"/>
    </row>
    <row r="2262" spans="8:9" x14ac:dyDescent="0.25">
      <c r="H2262" s="1"/>
      <c r="I2262" s="1"/>
    </row>
    <row r="2263" spans="8:9" x14ac:dyDescent="0.25">
      <c r="H2263" s="1"/>
      <c r="I2263" s="1"/>
    </row>
    <row r="2264" spans="8:9" x14ac:dyDescent="0.25">
      <c r="H2264" s="1"/>
      <c r="I2264" s="1"/>
    </row>
    <row r="2265" spans="8:9" x14ac:dyDescent="0.25">
      <c r="H2265" s="1"/>
      <c r="I2265" s="1"/>
    </row>
    <row r="2266" spans="8:9" x14ac:dyDescent="0.25">
      <c r="H2266" s="1"/>
      <c r="I2266" s="1"/>
    </row>
    <row r="2267" spans="8:9" x14ac:dyDescent="0.25">
      <c r="H2267" s="1"/>
      <c r="I2267" s="1"/>
    </row>
    <row r="2268" spans="8:9" x14ac:dyDescent="0.25">
      <c r="H2268" s="1"/>
      <c r="I2268" s="1"/>
    </row>
    <row r="2269" spans="8:9" x14ac:dyDescent="0.25">
      <c r="H2269" s="1"/>
      <c r="I2269" s="1"/>
    </row>
    <row r="2270" spans="8:9" x14ac:dyDescent="0.25">
      <c r="H2270" s="1"/>
      <c r="I2270" s="1"/>
    </row>
    <row r="2271" spans="8:9" x14ac:dyDescent="0.25">
      <c r="H2271" s="1"/>
      <c r="I2271" s="1"/>
    </row>
    <row r="2272" spans="8:9" x14ac:dyDescent="0.25">
      <c r="H2272" s="1"/>
      <c r="I2272" s="1"/>
    </row>
    <row r="2273" spans="8:9" x14ac:dyDescent="0.25">
      <c r="H2273" s="1"/>
      <c r="I2273" s="1"/>
    </row>
    <row r="2274" spans="8:9" x14ac:dyDescent="0.25">
      <c r="H2274" s="1"/>
      <c r="I2274" s="1"/>
    </row>
    <row r="2275" spans="8:9" x14ac:dyDescent="0.25">
      <c r="H2275" s="1"/>
      <c r="I2275" s="1"/>
    </row>
    <row r="2276" spans="8:9" x14ac:dyDescent="0.25">
      <c r="H2276" s="1"/>
      <c r="I2276" s="1"/>
    </row>
    <row r="2277" spans="8:9" x14ac:dyDescent="0.25">
      <c r="H2277" s="1"/>
      <c r="I2277" s="1"/>
    </row>
    <row r="2278" spans="8:9" x14ac:dyDescent="0.25">
      <c r="H2278" s="1"/>
      <c r="I2278" s="1"/>
    </row>
    <row r="2279" spans="8:9" x14ac:dyDescent="0.25">
      <c r="H2279" s="1"/>
      <c r="I2279" s="1"/>
    </row>
    <row r="2280" spans="8:9" x14ac:dyDescent="0.25">
      <c r="H2280" s="1"/>
      <c r="I2280" s="1"/>
    </row>
    <row r="2281" spans="8:9" x14ac:dyDescent="0.25">
      <c r="H2281" s="1"/>
      <c r="I2281" s="1"/>
    </row>
    <row r="2282" spans="8:9" x14ac:dyDescent="0.25">
      <c r="H2282" s="1"/>
      <c r="I2282" s="1"/>
    </row>
    <row r="2283" spans="8:9" x14ac:dyDescent="0.25">
      <c r="H2283" s="1"/>
      <c r="I2283" s="1"/>
    </row>
    <row r="2284" spans="8:9" x14ac:dyDescent="0.25">
      <c r="H2284" s="1"/>
      <c r="I2284" s="1"/>
    </row>
    <row r="2285" spans="8:9" x14ac:dyDescent="0.25">
      <c r="H2285" s="1"/>
      <c r="I2285" s="1"/>
    </row>
    <row r="2286" spans="8:9" x14ac:dyDescent="0.25">
      <c r="H2286" s="1"/>
      <c r="I2286" s="1"/>
    </row>
    <row r="2287" spans="8:9" x14ac:dyDescent="0.25">
      <c r="H2287" s="1"/>
      <c r="I2287" s="1"/>
    </row>
    <row r="2288" spans="8:9" x14ac:dyDescent="0.25">
      <c r="H2288" s="1"/>
      <c r="I2288" s="1"/>
    </row>
    <row r="2289" spans="8:9" x14ac:dyDescent="0.25">
      <c r="H2289" s="1"/>
      <c r="I2289" s="1"/>
    </row>
    <row r="2290" spans="8:9" x14ac:dyDescent="0.25">
      <c r="H2290" s="1"/>
      <c r="I2290" s="1"/>
    </row>
    <row r="2291" spans="8:9" x14ac:dyDescent="0.25">
      <c r="H2291" s="1"/>
      <c r="I2291" s="1"/>
    </row>
    <row r="2292" spans="8:9" x14ac:dyDescent="0.25">
      <c r="H2292" s="1"/>
      <c r="I2292" s="1"/>
    </row>
    <row r="2293" spans="8:9" x14ac:dyDescent="0.25">
      <c r="H2293" s="1"/>
      <c r="I2293" s="1"/>
    </row>
    <row r="2294" spans="8:9" x14ac:dyDescent="0.25">
      <c r="H2294" s="1"/>
      <c r="I2294" s="1"/>
    </row>
    <row r="2295" spans="8:9" x14ac:dyDescent="0.25">
      <c r="H2295" s="1"/>
      <c r="I2295" s="1"/>
    </row>
    <row r="2296" spans="8:9" x14ac:dyDescent="0.25">
      <c r="H2296" s="1"/>
      <c r="I2296" s="1"/>
    </row>
    <row r="2297" spans="8:9" x14ac:dyDescent="0.25">
      <c r="H2297" s="1"/>
      <c r="I2297" s="1"/>
    </row>
    <row r="2298" spans="8:9" x14ac:dyDescent="0.25">
      <c r="H2298" s="1"/>
      <c r="I2298" s="1"/>
    </row>
    <row r="2299" spans="8:9" x14ac:dyDescent="0.25">
      <c r="H2299" s="1"/>
      <c r="I2299" s="1"/>
    </row>
    <row r="2300" spans="8:9" x14ac:dyDescent="0.25">
      <c r="H2300" s="1"/>
      <c r="I2300" s="1"/>
    </row>
    <row r="2301" spans="8:9" x14ac:dyDescent="0.25">
      <c r="H2301" s="1"/>
      <c r="I2301" s="1"/>
    </row>
    <row r="2302" spans="8:9" x14ac:dyDescent="0.25">
      <c r="H2302" s="1"/>
      <c r="I2302" s="1"/>
    </row>
    <row r="2303" spans="8:9" x14ac:dyDescent="0.25">
      <c r="H2303" s="1"/>
      <c r="I2303" s="1"/>
    </row>
    <row r="2304" spans="8:9" x14ac:dyDescent="0.25">
      <c r="H2304" s="1"/>
      <c r="I2304" s="1"/>
    </row>
    <row r="2305" spans="8:9" x14ac:dyDescent="0.25">
      <c r="H2305" s="1"/>
      <c r="I2305" s="1"/>
    </row>
    <row r="2306" spans="8:9" x14ac:dyDescent="0.25">
      <c r="H2306" s="1"/>
      <c r="I2306" s="1"/>
    </row>
    <row r="2307" spans="8:9" x14ac:dyDescent="0.25">
      <c r="H2307" s="1"/>
      <c r="I2307" s="1"/>
    </row>
    <row r="2308" spans="8:9" x14ac:dyDescent="0.25">
      <c r="H2308" s="1"/>
      <c r="I2308" s="1"/>
    </row>
    <row r="2309" spans="8:9" x14ac:dyDescent="0.25">
      <c r="H2309" s="1"/>
      <c r="I2309" s="1"/>
    </row>
    <row r="2310" spans="8:9" x14ac:dyDescent="0.25">
      <c r="H2310" s="1"/>
      <c r="I2310" s="1"/>
    </row>
    <row r="2311" spans="8:9" x14ac:dyDescent="0.25">
      <c r="H2311" s="1"/>
      <c r="I2311" s="1"/>
    </row>
    <row r="2312" spans="8:9" x14ac:dyDescent="0.25">
      <c r="H2312" s="1"/>
      <c r="I2312" s="1"/>
    </row>
    <row r="2313" spans="8:9" x14ac:dyDescent="0.25">
      <c r="H2313" s="1"/>
      <c r="I2313" s="1"/>
    </row>
    <row r="2314" spans="8:9" x14ac:dyDescent="0.25">
      <c r="H2314" s="1"/>
      <c r="I2314" s="1"/>
    </row>
    <row r="2315" spans="8:9" x14ac:dyDescent="0.25">
      <c r="H2315" s="1"/>
      <c r="I2315" s="1"/>
    </row>
    <row r="2316" spans="8:9" x14ac:dyDescent="0.25">
      <c r="H2316" s="1"/>
      <c r="I2316" s="1"/>
    </row>
    <row r="2317" spans="8:9" x14ac:dyDescent="0.25">
      <c r="H2317" s="1"/>
      <c r="I2317" s="1"/>
    </row>
    <row r="2318" spans="8:9" x14ac:dyDescent="0.25">
      <c r="H2318" s="1"/>
      <c r="I2318" s="1"/>
    </row>
    <row r="2319" spans="8:9" x14ac:dyDescent="0.25">
      <c r="H2319" s="1"/>
      <c r="I2319" s="1"/>
    </row>
    <row r="2320" spans="8:9" x14ac:dyDescent="0.25">
      <c r="H2320" s="1"/>
      <c r="I2320" s="1"/>
    </row>
    <row r="2321" spans="8:9" x14ac:dyDescent="0.25">
      <c r="H2321" s="1"/>
      <c r="I2321" s="1"/>
    </row>
    <row r="2322" spans="8:9" x14ac:dyDescent="0.25">
      <c r="H2322" s="1"/>
      <c r="I2322" s="1"/>
    </row>
    <row r="2323" spans="8:9" x14ac:dyDescent="0.25">
      <c r="H2323" s="1"/>
      <c r="I2323" s="1"/>
    </row>
    <row r="2324" spans="8:9" x14ac:dyDescent="0.25">
      <c r="H2324" s="1"/>
      <c r="I2324" s="1"/>
    </row>
    <row r="2325" spans="8:9" x14ac:dyDescent="0.25">
      <c r="H2325" s="1"/>
      <c r="I2325" s="1"/>
    </row>
    <row r="2326" spans="8:9" x14ac:dyDescent="0.25">
      <c r="H2326" s="1"/>
      <c r="I2326" s="1"/>
    </row>
    <row r="2327" spans="8:9" x14ac:dyDescent="0.25">
      <c r="H2327" s="1"/>
      <c r="I2327" s="1"/>
    </row>
    <row r="2328" spans="8:9" x14ac:dyDescent="0.25">
      <c r="H2328" s="1"/>
      <c r="I2328" s="1"/>
    </row>
    <row r="2329" spans="8:9" x14ac:dyDescent="0.25">
      <c r="H2329" s="1"/>
      <c r="I2329" s="1"/>
    </row>
    <row r="2330" spans="8:9" x14ac:dyDescent="0.25">
      <c r="H2330" s="1"/>
      <c r="I2330" s="1"/>
    </row>
    <row r="2331" spans="8:9" x14ac:dyDescent="0.25">
      <c r="H2331" s="1"/>
      <c r="I2331" s="1"/>
    </row>
    <row r="2332" spans="8:9" x14ac:dyDescent="0.25">
      <c r="H2332" s="1"/>
      <c r="I2332" s="1"/>
    </row>
    <row r="2333" spans="8:9" x14ac:dyDescent="0.25">
      <c r="H2333" s="1"/>
      <c r="I2333" s="1"/>
    </row>
    <row r="2334" spans="8:9" x14ac:dyDescent="0.25">
      <c r="H2334" s="1"/>
      <c r="I2334" s="1"/>
    </row>
    <row r="2335" spans="8:9" x14ac:dyDescent="0.25">
      <c r="H2335" s="1"/>
      <c r="I2335" s="1"/>
    </row>
    <row r="2336" spans="8:9" x14ac:dyDescent="0.25">
      <c r="H2336" s="1"/>
      <c r="I2336" s="1"/>
    </row>
    <row r="2337" spans="8:9" x14ac:dyDescent="0.25">
      <c r="H2337" s="1"/>
      <c r="I2337" s="1"/>
    </row>
    <row r="2338" spans="8:9" x14ac:dyDescent="0.25">
      <c r="H2338" s="1"/>
      <c r="I2338" s="1"/>
    </row>
    <row r="2339" spans="8:9" x14ac:dyDescent="0.25">
      <c r="H2339" s="1"/>
      <c r="I2339" s="1"/>
    </row>
    <row r="2340" spans="8:9" x14ac:dyDescent="0.25">
      <c r="H2340" s="1"/>
      <c r="I2340" s="1"/>
    </row>
    <row r="2341" spans="8:9" x14ac:dyDescent="0.25">
      <c r="H2341" s="1"/>
      <c r="I2341" s="1"/>
    </row>
    <row r="2342" spans="8:9" x14ac:dyDescent="0.25">
      <c r="H2342" s="1"/>
      <c r="I2342" s="1"/>
    </row>
    <row r="2343" spans="8:9" x14ac:dyDescent="0.25">
      <c r="H2343" s="1"/>
      <c r="I2343" s="1"/>
    </row>
    <row r="2344" spans="8:9" x14ac:dyDescent="0.25">
      <c r="H2344" s="1"/>
      <c r="I2344" s="1"/>
    </row>
    <row r="2345" spans="8:9" x14ac:dyDescent="0.25">
      <c r="H2345" s="1"/>
      <c r="I2345" s="1"/>
    </row>
    <row r="2346" spans="8:9" x14ac:dyDescent="0.25">
      <c r="H2346" s="1"/>
      <c r="I2346" s="1"/>
    </row>
    <row r="2347" spans="8:9" x14ac:dyDescent="0.25">
      <c r="H2347" s="1"/>
      <c r="I2347" s="1"/>
    </row>
    <row r="2348" spans="8:9" x14ac:dyDescent="0.25">
      <c r="H2348" s="1"/>
      <c r="I2348" s="1"/>
    </row>
    <row r="2349" spans="8:9" x14ac:dyDescent="0.25">
      <c r="H2349" s="1"/>
      <c r="I2349" s="1"/>
    </row>
    <row r="2350" spans="8:9" x14ac:dyDescent="0.25">
      <c r="H2350" s="1"/>
      <c r="I2350" s="1"/>
    </row>
    <row r="2351" spans="8:9" x14ac:dyDescent="0.25">
      <c r="H2351" s="1"/>
      <c r="I2351" s="1"/>
    </row>
    <row r="2352" spans="8:9" x14ac:dyDescent="0.25">
      <c r="H2352" s="1"/>
      <c r="I2352" s="1"/>
    </row>
    <row r="2353" spans="8:9" x14ac:dyDescent="0.25">
      <c r="H2353" s="1"/>
      <c r="I2353" s="1"/>
    </row>
    <row r="2354" spans="8:9" x14ac:dyDescent="0.25">
      <c r="H2354" s="1"/>
      <c r="I2354" s="1"/>
    </row>
    <row r="2355" spans="8:9" x14ac:dyDescent="0.25">
      <c r="H2355" s="1"/>
      <c r="I2355" s="1"/>
    </row>
    <row r="2356" spans="8:9" x14ac:dyDescent="0.25">
      <c r="H2356" s="1"/>
      <c r="I2356" s="1"/>
    </row>
    <row r="2357" spans="8:9" x14ac:dyDescent="0.25">
      <c r="H2357" s="1"/>
      <c r="I2357" s="1"/>
    </row>
    <row r="2358" spans="8:9" x14ac:dyDescent="0.25">
      <c r="H2358" s="1"/>
      <c r="I2358" s="1"/>
    </row>
    <row r="2359" spans="8:9" x14ac:dyDescent="0.25">
      <c r="H2359" s="1"/>
      <c r="I2359" s="1"/>
    </row>
    <row r="2360" spans="8:9" x14ac:dyDescent="0.25">
      <c r="H2360" s="1"/>
      <c r="I2360" s="1"/>
    </row>
    <row r="2361" spans="8:9" x14ac:dyDescent="0.25">
      <c r="H2361" s="1"/>
      <c r="I2361" s="1"/>
    </row>
    <row r="2362" spans="8:9" x14ac:dyDescent="0.25">
      <c r="H2362" s="1"/>
      <c r="I2362" s="1"/>
    </row>
    <row r="2363" spans="8:9" x14ac:dyDescent="0.25">
      <c r="H2363" s="1"/>
      <c r="I2363" s="1"/>
    </row>
    <row r="2364" spans="8:9" x14ac:dyDescent="0.25">
      <c r="H2364" s="1"/>
      <c r="I2364" s="1"/>
    </row>
    <row r="2365" spans="8:9" x14ac:dyDescent="0.25">
      <c r="H2365" s="1"/>
      <c r="I2365" s="1"/>
    </row>
    <row r="2366" spans="8:9" x14ac:dyDescent="0.25">
      <c r="H2366" s="1"/>
      <c r="I2366" s="1"/>
    </row>
    <row r="2367" spans="8:9" x14ac:dyDescent="0.25">
      <c r="H2367" s="1"/>
      <c r="I2367" s="1"/>
    </row>
    <row r="2368" spans="8:9" x14ac:dyDescent="0.25">
      <c r="H2368" s="1"/>
      <c r="I2368" s="1"/>
    </row>
    <row r="2369" spans="8:9" x14ac:dyDescent="0.25">
      <c r="H2369" s="1"/>
      <c r="I2369" s="1"/>
    </row>
    <row r="2370" spans="8:9" x14ac:dyDescent="0.25">
      <c r="H2370" s="1"/>
      <c r="I2370" s="1"/>
    </row>
    <row r="2371" spans="8:9" x14ac:dyDescent="0.25">
      <c r="H2371" s="1"/>
      <c r="I2371" s="1"/>
    </row>
    <row r="2372" spans="8:9" x14ac:dyDescent="0.25">
      <c r="H2372" s="1"/>
      <c r="I2372" s="1"/>
    </row>
    <row r="2373" spans="8:9" x14ac:dyDescent="0.25">
      <c r="H2373" s="1"/>
      <c r="I2373" s="1"/>
    </row>
    <row r="2374" spans="8:9" x14ac:dyDescent="0.25">
      <c r="H2374" s="1"/>
      <c r="I2374" s="1"/>
    </row>
    <row r="2375" spans="8:9" x14ac:dyDescent="0.25">
      <c r="H2375" s="1"/>
      <c r="I2375" s="1"/>
    </row>
    <row r="2376" spans="8:9" x14ac:dyDescent="0.25">
      <c r="H2376" s="1"/>
      <c r="I2376" s="1"/>
    </row>
    <row r="2377" spans="8:9" x14ac:dyDescent="0.25">
      <c r="H2377" s="1"/>
      <c r="I2377" s="1"/>
    </row>
    <row r="2378" spans="8:9" x14ac:dyDescent="0.25">
      <c r="H2378" s="1"/>
      <c r="I2378" s="1"/>
    </row>
    <row r="2379" spans="8:9" x14ac:dyDescent="0.25">
      <c r="H2379" s="1"/>
      <c r="I2379" s="1"/>
    </row>
    <row r="2380" spans="8:9" x14ac:dyDescent="0.25">
      <c r="H2380" s="1"/>
      <c r="I2380" s="1"/>
    </row>
    <row r="2381" spans="8:9" x14ac:dyDescent="0.25">
      <c r="H2381" s="1"/>
      <c r="I2381" s="1"/>
    </row>
    <row r="2382" spans="8:9" x14ac:dyDescent="0.25">
      <c r="H2382" s="1"/>
      <c r="I2382" s="1"/>
    </row>
    <row r="2383" spans="8:9" x14ac:dyDescent="0.25">
      <c r="H2383" s="1"/>
      <c r="I2383" s="1"/>
    </row>
    <row r="2384" spans="8:9" x14ac:dyDescent="0.25">
      <c r="H2384" s="1"/>
      <c r="I2384" s="1"/>
    </row>
    <row r="2385" spans="8:9" x14ac:dyDescent="0.25">
      <c r="H2385" s="1"/>
      <c r="I2385" s="1"/>
    </row>
    <row r="2386" spans="8:9" x14ac:dyDescent="0.25">
      <c r="H2386" s="1"/>
      <c r="I2386" s="1"/>
    </row>
    <row r="2387" spans="8:9" x14ac:dyDescent="0.25">
      <c r="H2387" s="1"/>
      <c r="I2387" s="1"/>
    </row>
    <row r="2388" spans="8:9" x14ac:dyDescent="0.25">
      <c r="H2388" s="1"/>
      <c r="I2388" s="1"/>
    </row>
    <row r="2389" spans="8:9" x14ac:dyDescent="0.25">
      <c r="H2389" s="1"/>
      <c r="I2389" s="1"/>
    </row>
    <row r="2390" spans="8:9" x14ac:dyDescent="0.25">
      <c r="H2390" s="1"/>
      <c r="I2390" s="1"/>
    </row>
    <row r="2391" spans="8:9" x14ac:dyDescent="0.25">
      <c r="H2391" s="1"/>
      <c r="I2391" s="1"/>
    </row>
    <row r="2392" spans="8:9" x14ac:dyDescent="0.25">
      <c r="H2392" s="1"/>
      <c r="I2392" s="1"/>
    </row>
    <row r="2393" spans="8:9" x14ac:dyDescent="0.25">
      <c r="H2393" s="1"/>
      <c r="I2393" s="1"/>
    </row>
    <row r="2394" spans="8:9" x14ac:dyDescent="0.25">
      <c r="H2394" s="1"/>
      <c r="I2394" s="1"/>
    </row>
    <row r="2395" spans="8:9" x14ac:dyDescent="0.25">
      <c r="H2395" s="1"/>
      <c r="I2395" s="1"/>
    </row>
    <row r="2396" spans="8:9" x14ac:dyDescent="0.25">
      <c r="H2396" s="1"/>
      <c r="I2396" s="1"/>
    </row>
    <row r="2397" spans="8:9" x14ac:dyDescent="0.25">
      <c r="H2397" s="1"/>
      <c r="I2397" s="1"/>
    </row>
    <row r="2398" spans="8:9" x14ac:dyDescent="0.25">
      <c r="H2398" s="1"/>
      <c r="I2398" s="1"/>
    </row>
    <row r="2399" spans="8:9" x14ac:dyDescent="0.25">
      <c r="H2399" s="1"/>
      <c r="I2399" s="1"/>
    </row>
    <row r="2400" spans="8:9" x14ac:dyDescent="0.25">
      <c r="H2400" s="1"/>
      <c r="I2400" s="1"/>
    </row>
    <row r="2401" spans="8:9" x14ac:dyDescent="0.25">
      <c r="H2401" s="1"/>
      <c r="I2401" s="1"/>
    </row>
    <row r="2402" spans="8:9" x14ac:dyDescent="0.25">
      <c r="H2402" s="1"/>
      <c r="I2402" s="1"/>
    </row>
    <row r="2403" spans="8:9" x14ac:dyDescent="0.25">
      <c r="H2403" s="1"/>
      <c r="I2403" s="1"/>
    </row>
    <row r="2404" spans="8:9" x14ac:dyDescent="0.25">
      <c r="H2404" s="1"/>
      <c r="I2404" s="1"/>
    </row>
    <row r="2405" spans="8:9" x14ac:dyDescent="0.25">
      <c r="H2405" s="1"/>
      <c r="I2405" s="1"/>
    </row>
    <row r="2406" spans="8:9" x14ac:dyDescent="0.25">
      <c r="H2406" s="1"/>
      <c r="I2406" s="1"/>
    </row>
    <row r="2407" spans="8:9" x14ac:dyDescent="0.25">
      <c r="H2407" s="1"/>
      <c r="I2407" s="1"/>
    </row>
    <row r="2408" spans="8:9" x14ac:dyDescent="0.25">
      <c r="H2408" s="1"/>
      <c r="I2408" s="1"/>
    </row>
    <row r="2409" spans="8:9" x14ac:dyDescent="0.25">
      <c r="H2409" s="1"/>
      <c r="I2409" s="1"/>
    </row>
    <row r="2410" spans="8:9" x14ac:dyDescent="0.25">
      <c r="H2410" s="1"/>
      <c r="I2410" s="1"/>
    </row>
    <row r="2411" spans="8:9" x14ac:dyDescent="0.25">
      <c r="H2411" s="1"/>
      <c r="I2411" s="1"/>
    </row>
    <row r="2412" spans="8:9" x14ac:dyDescent="0.25">
      <c r="H2412" s="1"/>
      <c r="I2412" s="1"/>
    </row>
    <row r="2413" spans="8:9" x14ac:dyDescent="0.25">
      <c r="H2413" s="1"/>
      <c r="I2413" s="1"/>
    </row>
    <row r="2414" spans="8:9" x14ac:dyDescent="0.25">
      <c r="H2414" s="1"/>
      <c r="I2414" s="1"/>
    </row>
    <row r="2415" spans="8:9" x14ac:dyDescent="0.25">
      <c r="H2415" s="1"/>
      <c r="I2415" s="1"/>
    </row>
    <row r="2416" spans="8:9" x14ac:dyDescent="0.25">
      <c r="H2416" s="1"/>
      <c r="I2416" s="1"/>
    </row>
    <row r="2417" spans="8:9" x14ac:dyDescent="0.25">
      <c r="H2417" s="1"/>
      <c r="I2417" s="1"/>
    </row>
    <row r="2418" spans="8:9" x14ac:dyDescent="0.25">
      <c r="H2418" s="1"/>
      <c r="I2418" s="1"/>
    </row>
    <row r="2419" spans="8:9" x14ac:dyDescent="0.25">
      <c r="H2419" s="1"/>
      <c r="I2419" s="1"/>
    </row>
    <row r="2420" spans="8:9" x14ac:dyDescent="0.25">
      <c r="H2420" s="1"/>
      <c r="I2420" s="1"/>
    </row>
    <row r="2421" spans="8:9" x14ac:dyDescent="0.25">
      <c r="H2421" s="1"/>
      <c r="I2421" s="1"/>
    </row>
    <row r="2422" spans="8:9" x14ac:dyDescent="0.25">
      <c r="H2422" s="1"/>
      <c r="I2422" s="1"/>
    </row>
    <row r="2423" spans="8:9" x14ac:dyDescent="0.25">
      <c r="H2423" s="1"/>
      <c r="I2423" s="1"/>
    </row>
    <row r="2424" spans="8:9" x14ac:dyDescent="0.25">
      <c r="H2424" s="1"/>
      <c r="I2424" s="1"/>
    </row>
    <row r="2425" spans="8:9" x14ac:dyDescent="0.25">
      <c r="H2425" s="1"/>
      <c r="I2425" s="1"/>
    </row>
    <row r="2426" spans="8:9" x14ac:dyDescent="0.25">
      <c r="H2426" s="1"/>
      <c r="I2426" s="1"/>
    </row>
    <row r="2427" spans="8:9" x14ac:dyDescent="0.25">
      <c r="H2427" s="1"/>
      <c r="I2427" s="1"/>
    </row>
    <row r="2428" spans="8:9" x14ac:dyDescent="0.25">
      <c r="H2428" s="1"/>
      <c r="I2428" s="1"/>
    </row>
    <row r="2429" spans="8:9" x14ac:dyDescent="0.25">
      <c r="H2429" s="1"/>
      <c r="I2429" s="1"/>
    </row>
    <row r="2430" spans="8:9" x14ac:dyDescent="0.25">
      <c r="H2430" s="1"/>
      <c r="I2430" s="1"/>
    </row>
    <row r="2431" spans="8:9" x14ac:dyDescent="0.25">
      <c r="H2431" s="1"/>
      <c r="I2431" s="1"/>
    </row>
    <row r="2432" spans="8:9" x14ac:dyDescent="0.25">
      <c r="H2432" s="1"/>
      <c r="I2432" s="1"/>
    </row>
    <row r="2433" spans="8:9" x14ac:dyDescent="0.25">
      <c r="H2433" s="1"/>
      <c r="I2433" s="1"/>
    </row>
    <row r="2434" spans="8:9" x14ac:dyDescent="0.25">
      <c r="H2434" s="1"/>
      <c r="I2434" s="1"/>
    </row>
    <row r="2435" spans="8:9" x14ac:dyDescent="0.25">
      <c r="H2435" s="1"/>
      <c r="I2435" s="1"/>
    </row>
    <row r="2436" spans="8:9" x14ac:dyDescent="0.25">
      <c r="H2436" s="1"/>
      <c r="I2436" s="1"/>
    </row>
    <row r="2437" spans="8:9" x14ac:dyDescent="0.25">
      <c r="H2437" s="1"/>
      <c r="I2437" s="1"/>
    </row>
    <row r="2438" spans="8:9" x14ac:dyDescent="0.25">
      <c r="H2438" s="1"/>
      <c r="I2438" s="1"/>
    </row>
    <row r="2439" spans="8:9" x14ac:dyDescent="0.25">
      <c r="H2439" s="1"/>
      <c r="I2439" s="1"/>
    </row>
    <row r="2440" spans="8:9" x14ac:dyDescent="0.25">
      <c r="H2440" s="1"/>
      <c r="I2440" s="1"/>
    </row>
    <row r="2441" spans="8:9" x14ac:dyDescent="0.25">
      <c r="H2441" s="1"/>
      <c r="I2441" s="1"/>
    </row>
    <row r="2442" spans="8:9" x14ac:dyDescent="0.25">
      <c r="H2442" s="1"/>
      <c r="I2442" s="1"/>
    </row>
    <row r="2443" spans="8:9" x14ac:dyDescent="0.25">
      <c r="H2443" s="1"/>
      <c r="I2443" s="1"/>
    </row>
    <row r="2444" spans="8:9" x14ac:dyDescent="0.25">
      <c r="H2444" s="1"/>
      <c r="I2444" s="1"/>
    </row>
    <row r="2445" spans="8:9" x14ac:dyDescent="0.25">
      <c r="H2445" s="1"/>
      <c r="I2445" s="1"/>
    </row>
    <row r="2446" spans="8:9" x14ac:dyDescent="0.25">
      <c r="H2446" s="1"/>
      <c r="I2446" s="1"/>
    </row>
    <row r="2447" spans="8:9" x14ac:dyDescent="0.25">
      <c r="H2447" s="1"/>
      <c r="I2447" s="1"/>
    </row>
    <row r="2448" spans="8:9" x14ac:dyDescent="0.25">
      <c r="H2448" s="1"/>
      <c r="I2448" s="1"/>
    </row>
    <row r="2449" spans="8:9" x14ac:dyDescent="0.25">
      <c r="H2449" s="1"/>
      <c r="I2449" s="1"/>
    </row>
    <row r="2450" spans="8:9" x14ac:dyDescent="0.25">
      <c r="H2450" s="1"/>
      <c r="I2450" s="1"/>
    </row>
    <row r="2451" spans="8:9" x14ac:dyDescent="0.25">
      <c r="H2451" s="1"/>
      <c r="I2451" s="1"/>
    </row>
    <row r="2452" spans="8:9" x14ac:dyDescent="0.25">
      <c r="H2452" s="1"/>
      <c r="I2452" s="1"/>
    </row>
    <row r="2453" spans="8:9" x14ac:dyDescent="0.25">
      <c r="H2453" s="1"/>
      <c r="I2453" s="1"/>
    </row>
    <row r="2454" spans="8:9" x14ac:dyDescent="0.25">
      <c r="H2454" s="1"/>
      <c r="I2454" s="1"/>
    </row>
    <row r="2455" spans="8:9" x14ac:dyDescent="0.25">
      <c r="H2455" s="1"/>
      <c r="I2455" s="1"/>
    </row>
    <row r="2456" spans="8:9" x14ac:dyDescent="0.25">
      <c r="H2456" s="1"/>
      <c r="I2456" s="1"/>
    </row>
    <row r="2457" spans="8:9" x14ac:dyDescent="0.25">
      <c r="H2457" s="1"/>
      <c r="I2457" s="1"/>
    </row>
    <row r="2458" spans="8:9" x14ac:dyDescent="0.25">
      <c r="H2458" s="1"/>
      <c r="I2458" s="1"/>
    </row>
    <row r="2459" spans="8:9" x14ac:dyDescent="0.25">
      <c r="H2459" s="1"/>
      <c r="I2459" s="1"/>
    </row>
    <row r="2460" spans="8:9" x14ac:dyDescent="0.25">
      <c r="H2460" s="1"/>
      <c r="I2460" s="1"/>
    </row>
    <row r="2461" spans="8:9" x14ac:dyDescent="0.25">
      <c r="H2461" s="1"/>
      <c r="I2461" s="1"/>
    </row>
    <row r="2462" spans="8:9" x14ac:dyDescent="0.25">
      <c r="H2462" s="1"/>
      <c r="I2462" s="1"/>
    </row>
    <row r="2463" spans="8:9" x14ac:dyDescent="0.25">
      <c r="H2463" s="1"/>
      <c r="I2463" s="1"/>
    </row>
    <row r="2464" spans="8:9" x14ac:dyDescent="0.25">
      <c r="H2464" s="1"/>
      <c r="I2464" s="1"/>
    </row>
    <row r="2465" spans="8:9" x14ac:dyDescent="0.25">
      <c r="H2465" s="1"/>
      <c r="I2465" s="1"/>
    </row>
    <row r="2466" spans="8:9" x14ac:dyDescent="0.25">
      <c r="H2466" s="1"/>
      <c r="I2466" s="1"/>
    </row>
    <row r="2467" spans="8:9" x14ac:dyDescent="0.25">
      <c r="H2467" s="1"/>
      <c r="I2467" s="1"/>
    </row>
    <row r="2468" spans="8:9" x14ac:dyDescent="0.25">
      <c r="H2468" s="1"/>
      <c r="I2468" s="1"/>
    </row>
    <row r="2469" spans="8:9" x14ac:dyDescent="0.25">
      <c r="H2469" s="1"/>
      <c r="I2469" s="1"/>
    </row>
    <row r="2470" spans="8:9" x14ac:dyDescent="0.25">
      <c r="H2470" s="1"/>
      <c r="I2470" s="1"/>
    </row>
    <row r="2471" spans="8:9" x14ac:dyDescent="0.25">
      <c r="H2471" s="1"/>
      <c r="I2471" s="1"/>
    </row>
    <row r="2472" spans="8:9" x14ac:dyDescent="0.25">
      <c r="H2472" s="1"/>
      <c r="I2472" s="1"/>
    </row>
    <row r="2473" spans="8:9" x14ac:dyDescent="0.25">
      <c r="H2473" s="1"/>
      <c r="I2473" s="1"/>
    </row>
    <row r="2474" spans="8:9" x14ac:dyDescent="0.25">
      <c r="H2474" s="1"/>
      <c r="I2474" s="1"/>
    </row>
    <row r="2475" spans="8:9" x14ac:dyDescent="0.25">
      <c r="H2475" s="1"/>
      <c r="I2475" s="1"/>
    </row>
    <row r="2476" spans="8:9" x14ac:dyDescent="0.25">
      <c r="H2476" s="1"/>
      <c r="I2476" s="1"/>
    </row>
    <row r="2477" spans="8:9" x14ac:dyDescent="0.25">
      <c r="H2477" s="1"/>
      <c r="I2477" s="1"/>
    </row>
    <row r="2478" spans="8:9" x14ac:dyDescent="0.25">
      <c r="H2478" s="1"/>
      <c r="I2478" s="1"/>
    </row>
    <row r="2479" spans="8:9" x14ac:dyDescent="0.25">
      <c r="H2479" s="1"/>
      <c r="I2479" s="1"/>
    </row>
    <row r="2480" spans="8:9" x14ac:dyDescent="0.25">
      <c r="H2480" s="1"/>
      <c r="I2480" s="1"/>
    </row>
    <row r="2481" spans="8:9" x14ac:dyDescent="0.25">
      <c r="H2481" s="1"/>
      <c r="I2481" s="1"/>
    </row>
    <row r="2482" spans="8:9" x14ac:dyDescent="0.25">
      <c r="H2482" s="1"/>
      <c r="I2482" s="1"/>
    </row>
    <row r="2483" spans="8:9" x14ac:dyDescent="0.25">
      <c r="H2483" s="1"/>
      <c r="I2483" s="1"/>
    </row>
    <row r="2484" spans="8:9" x14ac:dyDescent="0.25">
      <c r="H2484" s="1"/>
      <c r="I2484" s="1"/>
    </row>
    <row r="2485" spans="8:9" x14ac:dyDescent="0.25">
      <c r="H2485" s="1"/>
      <c r="I2485" s="1"/>
    </row>
    <row r="2486" spans="8:9" x14ac:dyDescent="0.25">
      <c r="H2486" s="1"/>
      <c r="I2486" s="1"/>
    </row>
    <row r="2487" spans="8:9" x14ac:dyDescent="0.25">
      <c r="H2487" s="1"/>
      <c r="I2487" s="1"/>
    </row>
    <row r="2488" spans="8:9" x14ac:dyDescent="0.25">
      <c r="H2488" s="1"/>
      <c r="I2488" s="1"/>
    </row>
    <row r="2489" spans="8:9" x14ac:dyDescent="0.25">
      <c r="H2489" s="1"/>
      <c r="I2489" s="1"/>
    </row>
    <row r="2490" spans="8:9" x14ac:dyDescent="0.25">
      <c r="H2490" s="1"/>
      <c r="I2490" s="1"/>
    </row>
    <row r="2491" spans="8:9" x14ac:dyDescent="0.25">
      <c r="H2491" s="1"/>
      <c r="I2491" s="1"/>
    </row>
    <row r="2492" spans="8:9" x14ac:dyDescent="0.25">
      <c r="H2492" s="1"/>
      <c r="I2492" s="1"/>
    </row>
    <row r="2493" spans="8:9" x14ac:dyDescent="0.25">
      <c r="H2493" s="1"/>
      <c r="I2493" s="1"/>
    </row>
    <row r="2494" spans="8:9" x14ac:dyDescent="0.25">
      <c r="H2494" s="1"/>
      <c r="I2494" s="1"/>
    </row>
    <row r="2495" spans="8:9" x14ac:dyDescent="0.25">
      <c r="H2495" s="1"/>
      <c r="I2495" s="1"/>
    </row>
    <row r="2496" spans="8:9" x14ac:dyDescent="0.25">
      <c r="H2496" s="1"/>
      <c r="I2496" s="1"/>
    </row>
    <row r="2497" spans="8:9" x14ac:dyDescent="0.25">
      <c r="H2497" s="1"/>
      <c r="I2497" s="1"/>
    </row>
    <row r="2498" spans="8:9" x14ac:dyDescent="0.25">
      <c r="H2498" s="1"/>
      <c r="I2498" s="1"/>
    </row>
    <row r="2499" spans="8:9" x14ac:dyDescent="0.25">
      <c r="H2499" s="1"/>
      <c r="I2499" s="1"/>
    </row>
    <row r="2500" spans="8:9" x14ac:dyDescent="0.25">
      <c r="H2500" s="1"/>
      <c r="I2500" s="1"/>
    </row>
    <row r="2501" spans="8:9" x14ac:dyDescent="0.25">
      <c r="H2501" s="1"/>
      <c r="I2501" s="1"/>
    </row>
    <row r="2502" spans="8:9" x14ac:dyDescent="0.25">
      <c r="H2502" s="1"/>
      <c r="I2502" s="1"/>
    </row>
    <row r="2503" spans="8:9" x14ac:dyDescent="0.25">
      <c r="H2503" s="1"/>
      <c r="I2503" s="1"/>
    </row>
    <row r="2504" spans="8:9" x14ac:dyDescent="0.25">
      <c r="H2504" s="1"/>
      <c r="I2504" s="1"/>
    </row>
    <row r="2505" spans="8:9" x14ac:dyDescent="0.25">
      <c r="H2505" s="1"/>
      <c r="I2505" s="1"/>
    </row>
    <row r="2506" spans="8:9" x14ac:dyDescent="0.25">
      <c r="H2506" s="1"/>
      <c r="I2506" s="1"/>
    </row>
    <row r="2507" spans="8:9" x14ac:dyDescent="0.25">
      <c r="H2507" s="1"/>
      <c r="I2507" s="1"/>
    </row>
    <row r="2508" spans="8:9" x14ac:dyDescent="0.25">
      <c r="H2508" s="1"/>
      <c r="I2508" s="1"/>
    </row>
    <row r="2509" spans="8:9" x14ac:dyDescent="0.25">
      <c r="H2509" s="1"/>
      <c r="I2509" s="1"/>
    </row>
    <row r="2510" spans="8:9" x14ac:dyDescent="0.25">
      <c r="H2510" s="1"/>
      <c r="I2510" s="1"/>
    </row>
    <row r="2511" spans="8:9" x14ac:dyDescent="0.25">
      <c r="H2511" s="1"/>
      <c r="I2511" s="1"/>
    </row>
    <row r="2512" spans="8:9" x14ac:dyDescent="0.25">
      <c r="H2512" s="1"/>
      <c r="I2512" s="1"/>
    </row>
    <row r="2513" spans="8:9" x14ac:dyDescent="0.25">
      <c r="H2513" s="1"/>
      <c r="I2513" s="1"/>
    </row>
    <row r="2514" spans="8:9" x14ac:dyDescent="0.25">
      <c r="H2514" s="1"/>
      <c r="I2514" s="1"/>
    </row>
    <row r="2515" spans="8:9" x14ac:dyDescent="0.25">
      <c r="H2515" s="1"/>
      <c r="I2515" s="1"/>
    </row>
    <row r="2516" spans="8:9" x14ac:dyDescent="0.25">
      <c r="H2516" s="1"/>
      <c r="I2516" s="1"/>
    </row>
    <row r="2517" spans="8:9" x14ac:dyDescent="0.25">
      <c r="H2517" s="1"/>
      <c r="I2517" s="1"/>
    </row>
    <row r="2518" spans="8:9" x14ac:dyDescent="0.25">
      <c r="H2518" s="1"/>
      <c r="I2518" s="1"/>
    </row>
    <row r="2519" spans="8:9" x14ac:dyDescent="0.25">
      <c r="H2519" s="1"/>
      <c r="I2519" s="1"/>
    </row>
    <row r="2520" spans="8:9" x14ac:dyDescent="0.25">
      <c r="H2520" s="1"/>
      <c r="I2520" s="1"/>
    </row>
    <row r="2521" spans="8:9" x14ac:dyDescent="0.25">
      <c r="H2521" s="1"/>
      <c r="I2521" s="1"/>
    </row>
    <row r="2522" spans="8:9" x14ac:dyDescent="0.25">
      <c r="H2522" s="1"/>
      <c r="I2522" s="1"/>
    </row>
    <row r="2523" spans="8:9" x14ac:dyDescent="0.25">
      <c r="H2523" s="1"/>
      <c r="I2523" s="1"/>
    </row>
    <row r="2524" spans="8:9" x14ac:dyDescent="0.25">
      <c r="H2524" s="1"/>
      <c r="I2524" s="1"/>
    </row>
    <row r="2525" spans="8:9" x14ac:dyDescent="0.25">
      <c r="H2525" s="1"/>
      <c r="I2525" s="1"/>
    </row>
    <row r="2526" spans="8:9" x14ac:dyDescent="0.25">
      <c r="H2526" s="1"/>
      <c r="I2526" s="1"/>
    </row>
    <row r="2527" spans="8:9" x14ac:dyDescent="0.25">
      <c r="H2527" s="1"/>
      <c r="I2527" s="1"/>
    </row>
    <row r="2528" spans="8:9" x14ac:dyDescent="0.25">
      <c r="H2528" s="1"/>
      <c r="I2528" s="1"/>
    </row>
    <row r="2529" spans="8:9" x14ac:dyDescent="0.25">
      <c r="H2529" s="1"/>
      <c r="I2529" s="1"/>
    </row>
    <row r="2530" spans="8:9" x14ac:dyDescent="0.25">
      <c r="H2530" s="1"/>
      <c r="I2530" s="1"/>
    </row>
    <row r="2531" spans="8:9" x14ac:dyDescent="0.25">
      <c r="H2531" s="1"/>
      <c r="I2531" s="1"/>
    </row>
    <row r="2532" spans="8:9" x14ac:dyDescent="0.25">
      <c r="H2532" s="1"/>
      <c r="I2532" s="1"/>
    </row>
    <row r="2533" spans="8:9" x14ac:dyDescent="0.25">
      <c r="H2533" s="1"/>
      <c r="I2533" s="1"/>
    </row>
    <row r="2534" spans="8:9" x14ac:dyDescent="0.25">
      <c r="H2534" s="1"/>
      <c r="I2534" s="1"/>
    </row>
    <row r="2535" spans="8:9" x14ac:dyDescent="0.25">
      <c r="H2535" s="1"/>
      <c r="I2535" s="1"/>
    </row>
    <row r="2536" spans="8:9" x14ac:dyDescent="0.25">
      <c r="H2536" s="1"/>
      <c r="I2536" s="1"/>
    </row>
    <row r="2537" spans="8:9" x14ac:dyDescent="0.25">
      <c r="H2537" s="1"/>
      <c r="I2537" s="1"/>
    </row>
    <row r="2538" spans="8:9" x14ac:dyDescent="0.25">
      <c r="H2538" s="1"/>
      <c r="I2538" s="1"/>
    </row>
    <row r="2539" spans="8:9" x14ac:dyDescent="0.25">
      <c r="H2539" s="1"/>
      <c r="I2539" s="1"/>
    </row>
    <row r="2540" spans="8:9" x14ac:dyDescent="0.25">
      <c r="H2540" s="1"/>
      <c r="I2540" s="1"/>
    </row>
    <row r="2541" spans="8:9" x14ac:dyDescent="0.25">
      <c r="H2541" s="1"/>
      <c r="I2541" s="1"/>
    </row>
    <row r="2542" spans="8:9" x14ac:dyDescent="0.25">
      <c r="H2542" s="1"/>
      <c r="I2542" s="1"/>
    </row>
    <row r="2543" spans="8:9" x14ac:dyDescent="0.25">
      <c r="H2543" s="1"/>
      <c r="I2543" s="1"/>
    </row>
    <row r="2544" spans="8:9" x14ac:dyDescent="0.25">
      <c r="H2544" s="1"/>
      <c r="I2544" s="1"/>
    </row>
    <row r="2545" spans="8:9" x14ac:dyDescent="0.25">
      <c r="H2545" s="1"/>
      <c r="I2545" s="1"/>
    </row>
    <row r="2546" spans="8:9" x14ac:dyDescent="0.25">
      <c r="H2546" s="1"/>
      <c r="I2546" s="1"/>
    </row>
    <row r="2547" spans="8:9" x14ac:dyDescent="0.25">
      <c r="H2547" s="1"/>
      <c r="I2547" s="1"/>
    </row>
    <row r="2548" spans="8:9" x14ac:dyDescent="0.25">
      <c r="H2548" s="1"/>
      <c r="I2548" s="1"/>
    </row>
    <row r="2549" spans="8:9" x14ac:dyDescent="0.25">
      <c r="H2549" s="1"/>
      <c r="I2549" s="1"/>
    </row>
    <row r="2550" spans="8:9" x14ac:dyDescent="0.25">
      <c r="H2550" s="1"/>
      <c r="I2550" s="1"/>
    </row>
    <row r="2551" spans="8:9" x14ac:dyDescent="0.25">
      <c r="H2551" s="1"/>
      <c r="I2551" s="1"/>
    </row>
    <row r="2552" spans="8:9" x14ac:dyDescent="0.25">
      <c r="H2552" s="1"/>
      <c r="I2552" s="1"/>
    </row>
    <row r="2553" spans="8:9" x14ac:dyDescent="0.25">
      <c r="H2553" s="1"/>
      <c r="I2553" s="1"/>
    </row>
    <row r="2554" spans="8:9" x14ac:dyDescent="0.25">
      <c r="H2554" s="1"/>
      <c r="I2554" s="1"/>
    </row>
    <row r="2555" spans="8:9" x14ac:dyDescent="0.25">
      <c r="H2555" s="1"/>
      <c r="I2555" s="1"/>
    </row>
    <row r="2556" spans="8:9" x14ac:dyDescent="0.25">
      <c r="H2556" s="1"/>
      <c r="I2556" s="1"/>
    </row>
    <row r="2557" spans="8:9" x14ac:dyDescent="0.25">
      <c r="H2557" s="1"/>
      <c r="I2557" s="1"/>
    </row>
    <row r="2558" spans="8:9" x14ac:dyDescent="0.25">
      <c r="H2558" s="1"/>
      <c r="I2558" s="1"/>
    </row>
    <row r="2559" spans="8:9" x14ac:dyDescent="0.25">
      <c r="H2559" s="1"/>
      <c r="I2559" s="1"/>
    </row>
    <row r="2560" spans="8:9" x14ac:dyDescent="0.25">
      <c r="H2560" s="1"/>
      <c r="I2560" s="1"/>
    </row>
    <row r="2561" spans="8:9" x14ac:dyDescent="0.25">
      <c r="H2561" s="1"/>
      <c r="I2561" s="1"/>
    </row>
    <row r="2562" spans="8:9" x14ac:dyDescent="0.25">
      <c r="H2562" s="1"/>
      <c r="I2562" s="1"/>
    </row>
    <row r="2563" spans="8:9" x14ac:dyDescent="0.25">
      <c r="H2563" s="1"/>
      <c r="I2563" s="1"/>
    </row>
    <row r="2564" spans="8:9" x14ac:dyDescent="0.25">
      <c r="H2564" s="1"/>
      <c r="I2564" s="1"/>
    </row>
    <row r="2565" spans="8:9" x14ac:dyDescent="0.25">
      <c r="H2565" s="1"/>
      <c r="I2565" s="1"/>
    </row>
    <row r="2566" spans="8:9" x14ac:dyDescent="0.25">
      <c r="H2566" s="1"/>
      <c r="I2566" s="1"/>
    </row>
    <row r="2567" spans="8:9" x14ac:dyDescent="0.25">
      <c r="H2567" s="1"/>
      <c r="I2567" s="1"/>
    </row>
    <row r="2568" spans="8:9" x14ac:dyDescent="0.25">
      <c r="H2568" s="1"/>
      <c r="I2568" s="1"/>
    </row>
    <row r="2569" spans="8:9" x14ac:dyDescent="0.25">
      <c r="H2569" s="1"/>
      <c r="I2569" s="1"/>
    </row>
    <row r="2570" spans="8:9" x14ac:dyDescent="0.25">
      <c r="H2570" s="1"/>
      <c r="I2570" s="1"/>
    </row>
    <row r="2571" spans="8:9" x14ac:dyDescent="0.25">
      <c r="H2571" s="1"/>
      <c r="I2571" s="1"/>
    </row>
    <row r="2572" spans="8:9" x14ac:dyDescent="0.25">
      <c r="H2572" s="1"/>
      <c r="I2572" s="1"/>
    </row>
    <row r="2573" spans="8:9" x14ac:dyDescent="0.25">
      <c r="H2573" s="1"/>
      <c r="I2573" s="1"/>
    </row>
    <row r="2574" spans="8:9" x14ac:dyDescent="0.25">
      <c r="H2574" s="1"/>
      <c r="I2574" s="1"/>
    </row>
    <row r="2575" spans="8:9" x14ac:dyDescent="0.25">
      <c r="H2575" s="1"/>
      <c r="I2575" s="1"/>
    </row>
    <row r="2576" spans="8:9" x14ac:dyDescent="0.25">
      <c r="H2576" s="1"/>
      <c r="I2576" s="1"/>
    </row>
    <row r="2577" spans="8:9" x14ac:dyDescent="0.25">
      <c r="H2577" s="1"/>
      <c r="I2577" s="1"/>
    </row>
    <row r="2578" spans="8:9" x14ac:dyDescent="0.25">
      <c r="H2578" s="1"/>
      <c r="I2578" s="1"/>
    </row>
    <row r="2579" spans="8:9" x14ac:dyDescent="0.25">
      <c r="H2579" s="1"/>
      <c r="I2579" s="1"/>
    </row>
    <row r="2580" spans="8:9" x14ac:dyDescent="0.25">
      <c r="H2580" s="1"/>
      <c r="I2580" s="1"/>
    </row>
    <row r="2581" spans="8:9" x14ac:dyDescent="0.25">
      <c r="H2581" s="1"/>
      <c r="I2581" s="1"/>
    </row>
    <row r="2582" spans="8:9" x14ac:dyDescent="0.25">
      <c r="H2582" s="1"/>
      <c r="I2582" s="1"/>
    </row>
    <row r="2583" spans="8:9" x14ac:dyDescent="0.25">
      <c r="H2583" s="1"/>
      <c r="I2583" s="1"/>
    </row>
    <row r="2584" spans="8:9" x14ac:dyDescent="0.25">
      <c r="H2584" s="1"/>
      <c r="I2584" s="1"/>
    </row>
    <row r="2585" spans="8:9" x14ac:dyDescent="0.25">
      <c r="H2585" s="1"/>
      <c r="I2585" s="1"/>
    </row>
    <row r="2586" spans="8:9" x14ac:dyDescent="0.25">
      <c r="H2586" s="1"/>
      <c r="I2586" s="1"/>
    </row>
    <row r="2587" spans="8:9" x14ac:dyDescent="0.25">
      <c r="H2587" s="1"/>
      <c r="I2587" s="1"/>
    </row>
    <row r="2588" spans="8:9" x14ac:dyDescent="0.25">
      <c r="H2588" s="1"/>
      <c r="I2588" s="1"/>
    </row>
    <row r="2589" spans="8:9" x14ac:dyDescent="0.25">
      <c r="H2589" s="1"/>
      <c r="I2589" s="1"/>
    </row>
    <row r="2590" spans="8:9" x14ac:dyDescent="0.25">
      <c r="H2590" s="1"/>
      <c r="I2590" s="1"/>
    </row>
    <row r="2591" spans="8:9" x14ac:dyDescent="0.25">
      <c r="H2591" s="1"/>
      <c r="I2591" s="1"/>
    </row>
    <row r="2592" spans="8:9" x14ac:dyDescent="0.25">
      <c r="H2592" s="1"/>
      <c r="I2592" s="1"/>
    </row>
    <row r="2593" spans="8:9" x14ac:dyDescent="0.25">
      <c r="H2593" s="1"/>
      <c r="I2593" s="1"/>
    </row>
    <row r="2594" spans="8:9" x14ac:dyDescent="0.25">
      <c r="H2594" s="1"/>
      <c r="I2594" s="1"/>
    </row>
    <row r="2595" spans="8:9" x14ac:dyDescent="0.25">
      <c r="H2595" s="1"/>
      <c r="I2595" s="1"/>
    </row>
    <row r="2596" spans="8:9" x14ac:dyDescent="0.25">
      <c r="H2596" s="1"/>
      <c r="I2596" s="1"/>
    </row>
    <row r="2597" spans="8:9" x14ac:dyDescent="0.25">
      <c r="H2597" s="1"/>
      <c r="I2597" s="1"/>
    </row>
    <row r="2598" spans="8:9" x14ac:dyDescent="0.25">
      <c r="H2598" s="1"/>
      <c r="I2598" s="1"/>
    </row>
    <row r="2599" spans="8:9" x14ac:dyDescent="0.25">
      <c r="H2599" s="1"/>
      <c r="I2599" s="1"/>
    </row>
    <row r="2600" spans="8:9" x14ac:dyDescent="0.25">
      <c r="H2600" s="1"/>
      <c r="I2600" s="1"/>
    </row>
    <row r="2601" spans="8:9" x14ac:dyDescent="0.25">
      <c r="H2601" s="1"/>
      <c r="I2601" s="1"/>
    </row>
    <row r="2602" spans="8:9" x14ac:dyDescent="0.25">
      <c r="H2602" s="1"/>
      <c r="I2602" s="1"/>
    </row>
    <row r="2603" spans="8:9" x14ac:dyDescent="0.25">
      <c r="H2603" s="1"/>
      <c r="I2603" s="1"/>
    </row>
    <row r="2604" spans="8:9" x14ac:dyDescent="0.25">
      <c r="H2604" s="1"/>
      <c r="I2604" s="1"/>
    </row>
    <row r="2605" spans="8:9" x14ac:dyDescent="0.25">
      <c r="H2605" s="1"/>
      <c r="I2605" s="1"/>
    </row>
    <row r="2606" spans="8:9" x14ac:dyDescent="0.25">
      <c r="H2606" s="1"/>
      <c r="I2606" s="1"/>
    </row>
    <row r="2607" spans="8:9" x14ac:dyDescent="0.25">
      <c r="H2607" s="1"/>
      <c r="I2607" s="1"/>
    </row>
    <row r="2608" spans="8:9" x14ac:dyDescent="0.25">
      <c r="H2608" s="1"/>
      <c r="I2608" s="1"/>
    </row>
    <row r="2609" spans="8:9" x14ac:dyDescent="0.25">
      <c r="H2609" s="1"/>
      <c r="I2609" s="1"/>
    </row>
    <row r="2610" spans="8:9" x14ac:dyDescent="0.25">
      <c r="H2610" s="1"/>
      <c r="I2610" s="1"/>
    </row>
    <row r="2611" spans="8:9" x14ac:dyDescent="0.25">
      <c r="H2611" s="1"/>
      <c r="I2611" s="1"/>
    </row>
    <row r="2612" spans="8:9" x14ac:dyDescent="0.25">
      <c r="H2612" s="1"/>
      <c r="I2612" s="1"/>
    </row>
    <row r="2613" spans="8:9" x14ac:dyDescent="0.25">
      <c r="H2613" s="1"/>
      <c r="I2613" s="1"/>
    </row>
    <row r="2614" spans="8:9" x14ac:dyDescent="0.25">
      <c r="H2614" s="1"/>
      <c r="I2614" s="1"/>
    </row>
    <row r="2615" spans="8:9" x14ac:dyDescent="0.25">
      <c r="H2615" s="1"/>
      <c r="I2615" s="1"/>
    </row>
    <row r="2616" spans="8:9" x14ac:dyDescent="0.25">
      <c r="H2616" s="1"/>
      <c r="I2616" s="1"/>
    </row>
    <row r="2617" spans="8:9" x14ac:dyDescent="0.25">
      <c r="H2617" s="1"/>
      <c r="I2617" s="1"/>
    </row>
    <row r="2618" spans="8:9" x14ac:dyDescent="0.25">
      <c r="H2618" s="1"/>
      <c r="I2618" s="1"/>
    </row>
    <row r="2619" spans="8:9" x14ac:dyDescent="0.25">
      <c r="H2619" s="1"/>
      <c r="I2619" s="1"/>
    </row>
    <row r="2620" spans="8:9" x14ac:dyDescent="0.25">
      <c r="H2620" s="1"/>
      <c r="I2620" s="1"/>
    </row>
    <row r="2621" spans="8:9" x14ac:dyDescent="0.25">
      <c r="H2621" s="1"/>
      <c r="I2621" s="1"/>
    </row>
    <row r="2622" spans="8:9" x14ac:dyDescent="0.25">
      <c r="H2622" s="1"/>
      <c r="I2622" s="1"/>
    </row>
    <row r="2623" spans="8:9" x14ac:dyDescent="0.25">
      <c r="H2623" s="1"/>
      <c r="I2623" s="1"/>
    </row>
    <row r="2624" spans="8:9" x14ac:dyDescent="0.25">
      <c r="H2624" s="1"/>
      <c r="I2624" s="1"/>
    </row>
    <row r="2625" spans="8:9" x14ac:dyDescent="0.25">
      <c r="H2625" s="1"/>
      <c r="I2625" s="1"/>
    </row>
    <row r="2626" spans="8:9" x14ac:dyDescent="0.25">
      <c r="H2626" s="1"/>
      <c r="I2626" s="1"/>
    </row>
    <row r="2627" spans="8:9" x14ac:dyDescent="0.25">
      <c r="H2627" s="1"/>
      <c r="I2627" s="1"/>
    </row>
    <row r="2628" spans="8:9" x14ac:dyDescent="0.25">
      <c r="H2628" s="1"/>
      <c r="I2628" s="1"/>
    </row>
    <row r="2629" spans="8:9" x14ac:dyDescent="0.25">
      <c r="H2629" s="1"/>
      <c r="I2629" s="1"/>
    </row>
    <row r="2630" spans="8:9" x14ac:dyDescent="0.25">
      <c r="H2630" s="1"/>
      <c r="I2630" s="1"/>
    </row>
    <row r="2631" spans="8:9" x14ac:dyDescent="0.25">
      <c r="H2631" s="1"/>
      <c r="I2631" s="1"/>
    </row>
    <row r="2632" spans="8:9" x14ac:dyDescent="0.25">
      <c r="H2632" s="1"/>
      <c r="I2632" s="1"/>
    </row>
    <row r="2633" spans="8:9" x14ac:dyDescent="0.25">
      <c r="H2633" s="1"/>
      <c r="I2633" s="1"/>
    </row>
    <row r="2634" spans="8:9" x14ac:dyDescent="0.25">
      <c r="H2634" s="1"/>
      <c r="I2634" s="1"/>
    </row>
    <row r="2635" spans="8:9" x14ac:dyDescent="0.25">
      <c r="H2635" s="1"/>
      <c r="I2635" s="1"/>
    </row>
    <row r="2636" spans="8:9" x14ac:dyDescent="0.25">
      <c r="H2636" s="1"/>
      <c r="I2636" s="1"/>
    </row>
    <row r="2637" spans="8:9" x14ac:dyDescent="0.25">
      <c r="H2637" s="1"/>
      <c r="I2637" s="1"/>
    </row>
    <row r="2638" spans="8:9" x14ac:dyDescent="0.25">
      <c r="H2638" s="1"/>
      <c r="I2638" s="1"/>
    </row>
    <row r="2639" spans="8:9" x14ac:dyDescent="0.25">
      <c r="H2639" s="1"/>
      <c r="I2639" s="1"/>
    </row>
    <row r="2640" spans="8:9" x14ac:dyDescent="0.25">
      <c r="H2640" s="1"/>
      <c r="I2640" s="1"/>
    </row>
    <row r="2641" spans="8:9" x14ac:dyDescent="0.25">
      <c r="H2641" s="1"/>
      <c r="I2641" s="1"/>
    </row>
    <row r="2642" spans="8:9" x14ac:dyDescent="0.25">
      <c r="H2642" s="1"/>
      <c r="I2642" s="1"/>
    </row>
    <row r="2643" spans="8:9" x14ac:dyDescent="0.25">
      <c r="H2643" s="1"/>
      <c r="I2643" s="1"/>
    </row>
    <row r="2644" spans="8:9" x14ac:dyDescent="0.25">
      <c r="H2644" s="1"/>
      <c r="I2644" s="1"/>
    </row>
    <row r="2645" spans="8:9" x14ac:dyDescent="0.25">
      <c r="H2645" s="1"/>
      <c r="I2645" s="1"/>
    </row>
    <row r="2646" spans="8:9" x14ac:dyDescent="0.25">
      <c r="H2646" s="1"/>
      <c r="I2646" s="1"/>
    </row>
    <row r="2647" spans="8:9" x14ac:dyDescent="0.25">
      <c r="H2647" s="1"/>
      <c r="I2647" s="1"/>
    </row>
    <row r="2648" spans="8:9" x14ac:dyDescent="0.25">
      <c r="H2648" s="1"/>
      <c r="I2648" s="1"/>
    </row>
    <row r="2649" spans="8:9" x14ac:dyDescent="0.25">
      <c r="H2649" s="1"/>
      <c r="I2649" s="1"/>
    </row>
    <row r="2650" spans="8:9" x14ac:dyDescent="0.25">
      <c r="H2650" s="1"/>
      <c r="I2650" s="1"/>
    </row>
    <row r="2651" spans="8:9" x14ac:dyDescent="0.25">
      <c r="H2651" s="1"/>
      <c r="I2651" s="1"/>
    </row>
    <row r="2652" spans="8:9" x14ac:dyDescent="0.25">
      <c r="H2652" s="1"/>
      <c r="I2652" s="1"/>
    </row>
    <row r="2653" spans="8:9" x14ac:dyDescent="0.25">
      <c r="H2653" s="1"/>
      <c r="I2653" s="1"/>
    </row>
    <row r="2654" spans="8:9" x14ac:dyDescent="0.25">
      <c r="H2654" s="1"/>
      <c r="I2654" s="1"/>
    </row>
    <row r="2655" spans="8:9" x14ac:dyDescent="0.25">
      <c r="H2655" s="1"/>
      <c r="I2655" s="1"/>
    </row>
    <row r="2656" spans="8:9" x14ac:dyDescent="0.25">
      <c r="H2656" s="1"/>
      <c r="I2656" s="1"/>
    </row>
    <row r="2657" spans="8:9" x14ac:dyDescent="0.25">
      <c r="H2657" s="1"/>
      <c r="I2657" s="1"/>
    </row>
    <row r="2658" spans="8:9" x14ac:dyDescent="0.25">
      <c r="H2658" s="1"/>
      <c r="I2658" s="1"/>
    </row>
    <row r="2659" spans="8:9" x14ac:dyDescent="0.25">
      <c r="H2659" s="1"/>
      <c r="I2659" s="1"/>
    </row>
    <row r="2660" spans="8:9" x14ac:dyDescent="0.25">
      <c r="H2660" s="1"/>
      <c r="I2660" s="1"/>
    </row>
    <row r="2661" spans="8:9" x14ac:dyDescent="0.25">
      <c r="H2661" s="1"/>
      <c r="I2661" s="1"/>
    </row>
    <row r="2662" spans="8:9" x14ac:dyDescent="0.25">
      <c r="H2662" s="1"/>
      <c r="I2662" s="1"/>
    </row>
    <row r="2663" spans="8:9" x14ac:dyDescent="0.25">
      <c r="H2663" s="1"/>
      <c r="I2663" s="1"/>
    </row>
    <row r="2664" spans="8:9" x14ac:dyDescent="0.25">
      <c r="H2664" s="1"/>
      <c r="I2664" s="1"/>
    </row>
    <row r="2665" spans="8:9" x14ac:dyDescent="0.25">
      <c r="H2665" s="1"/>
      <c r="I2665" s="1"/>
    </row>
    <row r="2666" spans="8:9" x14ac:dyDescent="0.25">
      <c r="H2666" s="1"/>
      <c r="I2666" s="1"/>
    </row>
    <row r="2667" spans="8:9" x14ac:dyDescent="0.25">
      <c r="H2667" s="1"/>
      <c r="I2667" s="1"/>
    </row>
    <row r="2668" spans="8:9" x14ac:dyDescent="0.25">
      <c r="H2668" s="1"/>
      <c r="I2668" s="1"/>
    </row>
    <row r="2669" spans="8:9" x14ac:dyDescent="0.25">
      <c r="H2669" s="1"/>
      <c r="I2669" s="1"/>
    </row>
    <row r="2670" spans="8:9" x14ac:dyDescent="0.25">
      <c r="H2670" s="1"/>
      <c r="I2670" s="1"/>
    </row>
    <row r="2671" spans="8:9" x14ac:dyDescent="0.25">
      <c r="H2671" s="1"/>
      <c r="I2671" s="1"/>
    </row>
    <row r="2672" spans="8:9" x14ac:dyDescent="0.25">
      <c r="H2672" s="1"/>
      <c r="I2672" s="1"/>
    </row>
    <row r="2673" spans="8:9" x14ac:dyDescent="0.25">
      <c r="H2673" s="1"/>
      <c r="I2673" s="1"/>
    </row>
    <row r="2674" spans="8:9" x14ac:dyDescent="0.25">
      <c r="H2674" s="1"/>
      <c r="I2674" s="1"/>
    </row>
    <row r="2675" spans="8:9" x14ac:dyDescent="0.25">
      <c r="H2675" s="1"/>
      <c r="I2675" s="1"/>
    </row>
    <row r="2676" spans="8:9" x14ac:dyDescent="0.25">
      <c r="H2676" s="1"/>
      <c r="I2676" s="1"/>
    </row>
    <row r="2677" spans="8:9" x14ac:dyDescent="0.25">
      <c r="H2677" s="1"/>
      <c r="I2677" s="1"/>
    </row>
    <row r="2678" spans="8:9" x14ac:dyDescent="0.25">
      <c r="H2678" s="1"/>
      <c r="I2678" s="1"/>
    </row>
    <row r="2679" spans="8:9" x14ac:dyDescent="0.25">
      <c r="H2679" s="1"/>
      <c r="I2679" s="1"/>
    </row>
    <row r="2680" spans="8:9" x14ac:dyDescent="0.25">
      <c r="H2680" s="1"/>
      <c r="I2680" s="1"/>
    </row>
    <row r="2681" spans="8:9" x14ac:dyDescent="0.25">
      <c r="H2681" s="1"/>
      <c r="I2681" s="1"/>
    </row>
    <row r="2682" spans="8:9" x14ac:dyDescent="0.25">
      <c r="H2682" s="1"/>
      <c r="I2682" s="1"/>
    </row>
    <row r="2683" spans="8:9" x14ac:dyDescent="0.25">
      <c r="H2683" s="1"/>
      <c r="I2683" s="1"/>
    </row>
  </sheetData>
  <sortState xmlns:xlrd2="http://schemas.microsoft.com/office/spreadsheetml/2017/richdata2" ref="A2:AA2693">
    <sortCondition ref="L2:L269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2026-01-23T12:38:42Z</dcterms:created>
  <dcterms:modified xsi:type="dcterms:W3CDTF">2026-01-23T20:13:02Z</dcterms:modified>
</cp:coreProperties>
</file>