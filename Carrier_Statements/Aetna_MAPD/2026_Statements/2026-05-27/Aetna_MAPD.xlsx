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apd\2026 Statements\2026-05-27\"/>
    </mc:Choice>
  </mc:AlternateContent>
  <xr:revisionPtr revIDLastSave="0" documentId="13_ncr:1_{7FE4DB1A-11A1-4879-81E2-BB22C710A1CD}" xr6:coauthVersionLast="47" xr6:coauthVersionMax="47" xr10:uidLastSave="{00000000-0000-0000-0000-000000000000}"/>
  <bookViews>
    <workbookView xWindow="-120" yWindow="-120" windowWidth="29040" windowHeight="15720" activeTab="3" xr2:uid="{9FCE75CD-267B-4C89-868B-8EA464B3D9AC}"/>
  </bookViews>
  <sheets>
    <sheet name="Main Line Benefits LLC_med_comm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8" i="3"/>
  <c r="G30" i="3"/>
  <c r="G31" i="3"/>
  <c r="G36" i="3"/>
  <c r="G37" i="3"/>
  <c r="G38" i="3"/>
  <c r="G39" i="3"/>
  <c r="G43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1" i="3"/>
  <c r="M63" i="2"/>
  <c r="B59" i="2" l="1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5" i="2"/>
  <c r="B82" i="2"/>
  <c r="B83" i="2"/>
  <c r="B87" i="2"/>
  <c r="B84" i="2"/>
  <c r="B86" i="2"/>
  <c r="B89" i="2"/>
  <c r="B90" i="2"/>
  <c r="B91" i="2"/>
  <c r="B92" i="2"/>
  <c r="B97" i="2"/>
  <c r="B98" i="2"/>
  <c r="B99" i="2"/>
  <c r="B88" i="2"/>
  <c r="B93" i="2"/>
  <c r="B94" i="2"/>
  <c r="B95" i="2"/>
  <c r="B96" i="2"/>
  <c r="B100" i="2"/>
  <c r="B101" i="2"/>
  <c r="B102" i="2"/>
  <c r="B103" i="2"/>
  <c r="B104" i="2"/>
  <c r="B105" i="2"/>
  <c r="B108" i="2"/>
  <c r="B106" i="2"/>
  <c r="B123" i="2"/>
  <c r="B109" i="2"/>
  <c r="B110" i="2"/>
  <c r="B111" i="2"/>
  <c r="B112" i="2"/>
  <c r="B113" i="2"/>
  <c r="B107" i="2"/>
  <c r="B114" i="2"/>
  <c r="B115" i="2"/>
  <c r="B116" i="2"/>
  <c r="B117" i="2"/>
  <c r="B118" i="2"/>
  <c r="B119" i="2"/>
  <c r="B120" i="2"/>
  <c r="B124" i="2"/>
  <c r="B121" i="2"/>
  <c r="B122" i="2"/>
  <c r="B58" i="2"/>
  <c r="B51" i="2"/>
  <c r="B44" i="2"/>
  <c r="B13" i="2"/>
  <c r="B4" i="2"/>
  <c r="B50" i="2"/>
  <c r="B43" i="2"/>
  <c r="B23" i="2"/>
  <c r="B25" i="2"/>
  <c r="B10" i="2"/>
  <c r="B41" i="2"/>
  <c r="B55" i="2"/>
  <c r="B53" i="2"/>
  <c r="B49" i="2"/>
  <c r="B40" i="2"/>
  <c r="B39" i="2"/>
  <c r="B38" i="2"/>
  <c r="B37" i="2"/>
  <c r="B36" i="2"/>
  <c r="B35" i="2"/>
  <c r="B27" i="2"/>
  <c r="B8" i="2"/>
  <c r="B12" i="2"/>
  <c r="B48" i="2"/>
  <c r="B42" i="2"/>
  <c r="B22" i="2"/>
  <c r="B3" i="2"/>
  <c r="B46" i="2"/>
  <c r="B21" i="2"/>
  <c r="B19" i="2"/>
  <c r="B18" i="2"/>
  <c r="B6" i="2"/>
  <c r="B17" i="2"/>
  <c r="B2" i="2"/>
  <c r="B45" i="2"/>
  <c r="B20" i="2"/>
  <c r="B16" i="2"/>
  <c r="B15" i="2"/>
  <c r="B5" i="2"/>
  <c r="B14" i="2"/>
  <c r="B54" i="2"/>
  <c r="B52" i="2"/>
  <c r="B47" i="2"/>
  <c r="B34" i="2"/>
  <c r="B33" i="2"/>
  <c r="B28" i="2"/>
  <c r="B32" i="2"/>
  <c r="B31" i="2"/>
  <c r="B30" i="2"/>
  <c r="B29" i="2"/>
  <c r="B26" i="2"/>
  <c r="B11" i="2"/>
  <c r="B9" i="2"/>
  <c r="B7" i="2"/>
  <c r="B57" i="2"/>
  <c r="B24" i="2"/>
  <c r="B56" i="2"/>
  <c r="E122" i="2"/>
  <c r="E121" i="2"/>
  <c r="E124" i="2"/>
  <c r="E120" i="2"/>
  <c r="E119" i="2"/>
  <c r="E118" i="2"/>
  <c r="E117" i="2"/>
  <c r="E116" i="2"/>
  <c r="E115" i="2"/>
  <c r="E114" i="2"/>
  <c r="E107" i="2"/>
  <c r="E113" i="2"/>
  <c r="E112" i="2"/>
  <c r="E111" i="2"/>
  <c r="E110" i="2"/>
  <c r="E109" i="2"/>
  <c r="E123" i="2"/>
  <c r="E106" i="2"/>
  <c r="E108" i="2"/>
  <c r="E105" i="2"/>
  <c r="S104" i="2"/>
  <c r="S14" i="2"/>
  <c r="E104" i="2"/>
  <c r="E103" i="2"/>
  <c r="E102" i="2"/>
  <c r="E101" i="2"/>
  <c r="E100" i="2"/>
  <c r="S96" i="2"/>
  <c r="S3" i="2"/>
  <c r="E96" i="2"/>
  <c r="S93" i="2"/>
  <c r="S23" i="2"/>
  <c r="E95" i="2"/>
  <c r="E94" i="2"/>
  <c r="E93" i="2"/>
  <c r="S88" i="2"/>
  <c r="S24" i="2"/>
  <c r="E88" i="2"/>
  <c r="E87" i="2"/>
  <c r="E85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N63" i="2"/>
  <c r="E63" i="2"/>
  <c r="E62" i="2"/>
  <c r="E61" i="2"/>
  <c r="E60" i="2"/>
  <c r="E59" i="2"/>
  <c r="E58" i="2"/>
  <c r="E82" i="2"/>
  <c r="E14" i="2"/>
  <c r="E18" i="2"/>
  <c r="E44" i="2"/>
  <c r="E15" i="2"/>
  <c r="E19" i="2"/>
  <c r="E16" i="2"/>
  <c r="E17" i="2"/>
  <c r="E5" i="2"/>
  <c r="E6" i="2"/>
  <c r="E20" i="2"/>
  <c r="E21" i="2"/>
  <c r="E29" i="2"/>
  <c r="E35" i="2"/>
  <c r="E3" i="2"/>
  <c r="E2" i="2"/>
  <c r="E54" i="2"/>
  <c r="E55" i="2"/>
  <c r="E47" i="2"/>
  <c r="E49" i="2"/>
  <c r="E30" i="2"/>
  <c r="E36" i="2"/>
  <c r="E31" i="2"/>
  <c r="E37" i="2"/>
  <c r="E4" i="2"/>
  <c r="E13" i="2"/>
  <c r="E43" i="2"/>
  <c r="E42" i="2"/>
  <c r="E32" i="2"/>
  <c r="E38" i="2"/>
  <c r="E28" i="2"/>
  <c r="E41" i="2"/>
  <c r="E9" i="2"/>
  <c r="E10" i="2"/>
  <c r="E26" i="2"/>
  <c r="E27" i="2"/>
  <c r="E91" i="2"/>
  <c r="E92" i="2"/>
  <c r="E7" i="2"/>
  <c r="E8" i="2"/>
  <c r="E97" i="2"/>
  <c r="E86" i="2"/>
  <c r="E57" i="2"/>
  <c r="E56" i="2"/>
  <c r="E90" i="2"/>
  <c r="E33" i="2"/>
  <c r="E39" i="2"/>
  <c r="E34" i="2"/>
  <c r="E40" i="2"/>
  <c r="E23" i="2"/>
  <c r="E22" i="2"/>
  <c r="E51" i="2"/>
  <c r="E45" i="2"/>
  <c r="E46" i="2"/>
  <c r="E52" i="2"/>
  <c r="E53" i="2"/>
  <c r="E98" i="2"/>
  <c r="E84" i="2"/>
  <c r="E11" i="2"/>
  <c r="E12" i="2"/>
  <c r="E99" i="2"/>
  <c r="E83" i="2"/>
  <c r="E24" i="2"/>
  <c r="E25" i="2"/>
  <c r="E50" i="2"/>
  <c r="E48" i="2"/>
  <c r="E89" i="2"/>
</calcChain>
</file>

<file path=xl/sharedStrings.xml><?xml version="1.0" encoding="utf-8"?>
<sst xmlns="http://schemas.openxmlformats.org/spreadsheetml/2006/main" count="2169" uniqueCount="324">
  <si>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</si>
  <si>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</si>
  <si>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</si>
  <si>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</si>
  <si>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</si>
  <si>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</si>
  <si>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</si>
  <si>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</si>
  <si>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</si>
  <si>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</si>
  <si>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</si>
  <si>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</si>
  <si>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</si>
  <si>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</si>
  <si>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</si>
  <si>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</si>
  <si>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</si>
  <si>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</si>
  <si>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</si>
  <si>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</si>
  <si>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</si>
  <si>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</si>
  <si>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</si>
  <si>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</si>
  <si>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7J42MG9NP24</t>
  </si>
  <si>
    <t>NG101050016500</t>
  </si>
  <si>
    <t>ALLEN E,RALPH</t>
  </si>
  <si>
    <t>PA</t>
  </si>
  <si>
    <t>Pro-Rata Payment</t>
  </si>
  <si>
    <t>MAPD</t>
  </si>
  <si>
    <t>IMM608</t>
  </si>
  <si>
    <t>H3959-002</t>
  </si>
  <si>
    <t>LOA</t>
  </si>
  <si>
    <t>Powers, Timothy</t>
  </si>
  <si>
    <t>MMO</t>
  </si>
  <si>
    <t>Main Line Benefits LLC</t>
  </si>
  <si>
    <t xml:space="preserve">N  </t>
  </si>
  <si>
    <t>Pro-Rata Disenroll</t>
  </si>
  <si>
    <t>1QF3J12QP74</t>
  </si>
  <si>
    <t>NG102277051000</t>
  </si>
  <si>
    <t>BANE,LESLIE</t>
  </si>
  <si>
    <t>PRONEW</t>
  </si>
  <si>
    <t>H5522-001</t>
  </si>
  <si>
    <t>Inskipt, Deborah</t>
  </si>
  <si>
    <t xml:space="preserve">Y  </t>
  </si>
  <si>
    <t>CMS Trueup reversal</t>
  </si>
  <si>
    <t>7RV7JJ4EA45</t>
  </si>
  <si>
    <t>NG102280040700</t>
  </si>
  <si>
    <t>BARRINGER C,MARY</t>
  </si>
  <si>
    <t>IL</t>
  </si>
  <si>
    <t>New Business</t>
  </si>
  <si>
    <t>IMM619</t>
  </si>
  <si>
    <t>H7301-007</t>
  </si>
  <si>
    <t>Sherman, Matthew</t>
  </si>
  <si>
    <t>1TU1G24CD16</t>
  </si>
  <si>
    <t>NG102276185900</t>
  </si>
  <si>
    <t>BATTLE B,WALTER</t>
  </si>
  <si>
    <t>CMS Trueup</t>
  </si>
  <si>
    <t>H5521-261</t>
  </si>
  <si>
    <t>5FD8TC7CN21</t>
  </si>
  <si>
    <t>NG102274341000</t>
  </si>
  <si>
    <t>BISTARKEY J,STEVE</t>
  </si>
  <si>
    <t>7F17V97KX38</t>
  </si>
  <si>
    <t>NG102277107500</t>
  </si>
  <si>
    <t>CASCIATO,JANET</t>
  </si>
  <si>
    <t>Cousar, Alan</t>
  </si>
  <si>
    <t>5Q05TV9EG54</t>
  </si>
  <si>
    <t>NG102276693000</t>
  </si>
  <si>
    <t>CORNELL G,DEAN</t>
  </si>
  <si>
    <t>H3959-011</t>
  </si>
  <si>
    <t>KOZACHECK, ANNE MARIE</t>
  </si>
  <si>
    <t>9KM4UA0WN80</t>
  </si>
  <si>
    <t>NG102275688500</t>
  </si>
  <si>
    <t>DICKSON A,REBECCA</t>
  </si>
  <si>
    <t>OH</t>
  </si>
  <si>
    <t>IMM617</t>
  </si>
  <si>
    <t>H0628-005</t>
  </si>
  <si>
    <t>SHEPARD RYAN</t>
  </si>
  <si>
    <t>5EK3MF0GC90</t>
  </si>
  <si>
    <t>NG102208655200</t>
  </si>
  <si>
    <t>DREXLER,DAVID</t>
  </si>
  <si>
    <t>Aguglia, Scott</t>
  </si>
  <si>
    <t>3R11DG6UK08</t>
  </si>
  <si>
    <t>NG102274813300</t>
  </si>
  <si>
    <t>DUFFLEY M,EDMUND</t>
  </si>
  <si>
    <t>TX</t>
  </si>
  <si>
    <t>IMM618</t>
  </si>
  <si>
    <t>H2293-016</t>
  </si>
  <si>
    <t>Walenga, Dale</t>
  </si>
  <si>
    <t>4JQ0U76XX20</t>
  </si>
  <si>
    <t>NG102275328300</t>
  </si>
  <si>
    <t>EZNACK R,JAMES</t>
  </si>
  <si>
    <t>H3288-048</t>
  </si>
  <si>
    <t>Teipel, Gregory</t>
  </si>
  <si>
    <t>8PW4EF8HN86</t>
  </si>
  <si>
    <t>NG102274571700</t>
  </si>
  <si>
    <t>FOUTTY L,JOHN</t>
  </si>
  <si>
    <t>2WC6NG0QC41</t>
  </si>
  <si>
    <t>NG102276384600</t>
  </si>
  <si>
    <t>FRIEND K,MARY</t>
  </si>
  <si>
    <t>3QX2QQ2CD00</t>
  </si>
  <si>
    <t>NG102280063200</t>
  </si>
  <si>
    <t>FUNKHOUSER T,DAVID</t>
  </si>
  <si>
    <t>IMM606</t>
  </si>
  <si>
    <t>H5521-086</t>
  </si>
  <si>
    <t>Choi, Andrew</t>
  </si>
  <si>
    <t>5QG5J34VR77</t>
  </si>
  <si>
    <t>NG102279127200</t>
  </si>
  <si>
    <t>GOMEZ,MARQUERITA</t>
  </si>
  <si>
    <t>IN</t>
  </si>
  <si>
    <t>H3192-005</t>
  </si>
  <si>
    <t>HANSFORD, GREGORY</t>
  </si>
  <si>
    <t>9XT5G24PK71</t>
  </si>
  <si>
    <t>NG101115668000</t>
  </si>
  <si>
    <t>GORFIDO A,LOIS</t>
  </si>
  <si>
    <t>H1608-029</t>
  </si>
  <si>
    <t>Shepard, Jill</t>
  </si>
  <si>
    <t>5XY7E09VM66</t>
  </si>
  <si>
    <t>NG102276738400</t>
  </si>
  <si>
    <t>HALLEY A,KAREN</t>
  </si>
  <si>
    <t>H0628-036</t>
  </si>
  <si>
    <t>4VY2EX2TF11</t>
  </si>
  <si>
    <t>NG102276570700</t>
  </si>
  <si>
    <t>HARTUNG M,JODIE</t>
  </si>
  <si>
    <t>3W80HH1TH33</t>
  </si>
  <si>
    <t>NG102276304500</t>
  </si>
  <si>
    <t>HOBACK,MICHAEL</t>
  </si>
  <si>
    <t>H7301-009</t>
  </si>
  <si>
    <t>DUNAVANT, MICHAEL</t>
  </si>
  <si>
    <t>2VT1P36TM01</t>
  </si>
  <si>
    <t>NG102276504200</t>
  </si>
  <si>
    <t>KORNOWSKI J,DANIEL</t>
  </si>
  <si>
    <t>WI</t>
  </si>
  <si>
    <t>H5521-195</t>
  </si>
  <si>
    <t>Serio, Tom</t>
  </si>
  <si>
    <t>2ME8XH0GM31</t>
  </si>
  <si>
    <t>NG102279171500</t>
  </si>
  <si>
    <t>KRIVAK S,REBECCA</t>
  </si>
  <si>
    <t>Smith, Margaret</t>
  </si>
  <si>
    <t>4F35FX8QV50</t>
  </si>
  <si>
    <t>NG101644939000</t>
  </si>
  <si>
    <t>LUFFEY J,MARTIN</t>
  </si>
  <si>
    <t>H3959-036</t>
  </si>
  <si>
    <t>6CP4GR0KD72</t>
  </si>
  <si>
    <t>NG102276195200</t>
  </si>
  <si>
    <t>MCCLERNON I,CHARLES</t>
  </si>
  <si>
    <t>Deaton, Pamela</t>
  </si>
  <si>
    <t>3MX4P89WW03</t>
  </si>
  <si>
    <t>NG102276901900</t>
  </si>
  <si>
    <t>MCCLOSKEY L,SUSAN</t>
  </si>
  <si>
    <t>4EC7JW7UE53</t>
  </si>
  <si>
    <t>NG102224747400</t>
  </si>
  <si>
    <t>MILLER S,JANET</t>
  </si>
  <si>
    <t>IA</t>
  </si>
  <si>
    <t>Exception</t>
  </si>
  <si>
    <t>IMM610</t>
  </si>
  <si>
    <t>H1609-001</t>
  </si>
  <si>
    <t>Yale, Jacob</t>
  </si>
  <si>
    <t>9W71UE7PR09</t>
  </si>
  <si>
    <t>NG102279156000</t>
  </si>
  <si>
    <t>NAGOWSKI S,CHRISTINE</t>
  </si>
  <si>
    <t>8FW1VC0WC07</t>
  </si>
  <si>
    <t>NG102275027100</t>
  </si>
  <si>
    <t>NEFF D,MARK</t>
  </si>
  <si>
    <t>2YU8H05NT30</t>
  </si>
  <si>
    <t>NG102275148400</t>
  </si>
  <si>
    <t>RAMEY A,LAURIE</t>
  </si>
  <si>
    <t>1Q64TH9VD07</t>
  </si>
  <si>
    <t>NG101144481000</t>
  </si>
  <si>
    <t>ROCA,JENNIFER</t>
  </si>
  <si>
    <t>SC</t>
  </si>
  <si>
    <t>IMM609</t>
  </si>
  <si>
    <t>H3146-014</t>
  </si>
  <si>
    <t>OLIVER, BRITTANY</t>
  </si>
  <si>
    <t>2JJ4H93QA96</t>
  </si>
  <si>
    <t>NG102280074200</t>
  </si>
  <si>
    <t>RODECK G,KEITH</t>
  </si>
  <si>
    <t>FL</t>
  </si>
  <si>
    <t>IMM604</t>
  </si>
  <si>
    <t>H5521-569</t>
  </si>
  <si>
    <t>1G57PT9WT57</t>
  </si>
  <si>
    <t>NG102277112400</t>
  </si>
  <si>
    <t>SABULSKY S,STEVEN</t>
  </si>
  <si>
    <t>H5522-028</t>
  </si>
  <si>
    <t>STERNER MURRAY</t>
  </si>
  <si>
    <t>1Y54KT1AK82</t>
  </si>
  <si>
    <t>NG101232126300</t>
  </si>
  <si>
    <t>THANADABOUTH S,INSANOUK</t>
  </si>
  <si>
    <t>H7301-033</t>
  </si>
  <si>
    <t>THANADABOUTH, PATSAMON</t>
  </si>
  <si>
    <t>7EN4W94UE62</t>
  </si>
  <si>
    <t>NG102276209100</t>
  </si>
  <si>
    <t>THOMAS A,KATHRYN</t>
  </si>
  <si>
    <t>2VM8TX3NN47</t>
  </si>
  <si>
    <t>NG102275883400</t>
  </si>
  <si>
    <t>TRACY D,KENNETH</t>
  </si>
  <si>
    <t>FRITZ, CAROL</t>
  </si>
  <si>
    <t>7DQ0D66DK38</t>
  </si>
  <si>
    <t>NG102275502600</t>
  </si>
  <si>
    <t>VRONOSKI,MICHAEL</t>
  </si>
  <si>
    <t>2DM2MN8UR91</t>
  </si>
  <si>
    <t>NG102274517600</t>
  </si>
  <si>
    <t>WATSON A,JO</t>
  </si>
  <si>
    <t>SCHUMANN, BARRY</t>
  </si>
  <si>
    <t>4N46F42EU30</t>
  </si>
  <si>
    <t>NG101692079100</t>
  </si>
  <si>
    <t>WEIS S,JAMIE</t>
  </si>
  <si>
    <t>H2663-103</t>
  </si>
  <si>
    <t>Total Payee Amount: $50988.90</t>
  </si>
  <si>
    <t>ALLEN</t>
  </si>
  <si>
    <t>RALPH</t>
  </si>
  <si>
    <t>BANE</t>
  </si>
  <si>
    <t>LESLIE</t>
  </si>
  <si>
    <t>BARRINGER</t>
  </si>
  <si>
    <t>MARY</t>
  </si>
  <si>
    <t>BATTLE</t>
  </si>
  <si>
    <t>WALTER</t>
  </si>
  <si>
    <t>BISTARKEY</t>
  </si>
  <si>
    <t>STEVE</t>
  </si>
  <si>
    <t>CASCIATO</t>
  </si>
  <si>
    <t>JANET</t>
  </si>
  <si>
    <t>CORNELL</t>
  </si>
  <si>
    <t>DEAN</t>
  </si>
  <si>
    <t>DICKSON</t>
  </si>
  <si>
    <t>REBECCA</t>
  </si>
  <si>
    <t>DREXLER</t>
  </si>
  <si>
    <t>DAVID</t>
  </si>
  <si>
    <t>DUFFLEY</t>
  </si>
  <si>
    <t>EDMUND</t>
  </si>
  <si>
    <t>EZNACK</t>
  </si>
  <si>
    <t>JAMES</t>
  </si>
  <si>
    <t>FOUTTY</t>
  </si>
  <si>
    <t>JOHN</t>
  </si>
  <si>
    <t>FRIEND</t>
  </si>
  <si>
    <t>FUNKHOUSER</t>
  </si>
  <si>
    <t>GOMEZ</t>
  </si>
  <si>
    <t>MARQUERITA</t>
  </si>
  <si>
    <t>GORFIDO</t>
  </si>
  <si>
    <t>LOIS</t>
  </si>
  <si>
    <t>HALLEY</t>
  </si>
  <si>
    <t>KAREN</t>
  </si>
  <si>
    <t>HARTUNG</t>
  </si>
  <si>
    <t>JODIE</t>
  </si>
  <si>
    <t>HOBACK</t>
  </si>
  <si>
    <t>MICHAEL</t>
  </si>
  <si>
    <t>KORNOWSKI</t>
  </si>
  <si>
    <t>DANIEL</t>
  </si>
  <si>
    <t>KRIVAK</t>
  </si>
  <si>
    <t>LUFFEY</t>
  </si>
  <si>
    <t>MARTIN</t>
  </si>
  <si>
    <t>MCCLERNON</t>
  </si>
  <si>
    <t>CHARLES</t>
  </si>
  <si>
    <t>MCCLOSKEY</t>
  </si>
  <si>
    <t>SUSAN</t>
  </si>
  <si>
    <t>MILLER</t>
  </si>
  <si>
    <t>NAGOWSKI</t>
  </si>
  <si>
    <t>CHRISTINE</t>
  </si>
  <si>
    <t>NEFF</t>
  </si>
  <si>
    <t>MARK</t>
  </si>
  <si>
    <t>RAMEY</t>
  </si>
  <si>
    <t>LAURIE</t>
  </si>
  <si>
    <t>ROCA</t>
  </si>
  <si>
    <t>JENNIFER</t>
  </si>
  <si>
    <t>RODECK</t>
  </si>
  <si>
    <t>KEITH</t>
  </si>
  <si>
    <t>SABULSKY</t>
  </si>
  <si>
    <t>STEVEN</t>
  </si>
  <si>
    <t>THANADABOUTH</t>
  </si>
  <si>
    <t>INSANOUK</t>
  </si>
  <si>
    <t>THOMAS</t>
  </si>
  <si>
    <t>KATHRYN</t>
  </si>
  <si>
    <t>TRACY</t>
  </si>
  <si>
    <t>KENNETH</t>
  </si>
  <si>
    <t>VRONOSKI</t>
  </si>
  <si>
    <t>WATSON</t>
  </si>
  <si>
    <t>JO</t>
  </si>
  <si>
    <t>WEIS</t>
  </si>
  <si>
    <t>JAMIE</t>
  </si>
  <si>
    <t>Aetna MAPD OVR 2026</t>
  </si>
  <si>
    <t>Aetna 2026 CT, PA, DC *</t>
  </si>
  <si>
    <t>[%/$=391][prorate=12/12]</t>
  </si>
  <si>
    <t>[%/$=347][prorate=12/12]</t>
  </si>
  <si>
    <t>Aetna MAPD 2026*</t>
  </si>
  <si>
    <t>[%/$=391][prorate=9/12]</t>
  </si>
  <si>
    <t>[%/$=347][prorate=9/12]</t>
  </si>
  <si>
    <t>[%/$=391][prorate=8/12]</t>
  </si>
  <si>
    <t>[%/$=347][prorate=8/12]</t>
  </si>
  <si>
    <t>[%/$=347][prorate=7/12]</t>
  </si>
  <si>
    <t>[%/$=347][prorate=6/12]</t>
  </si>
  <si>
    <t>[%/$=347][prorate=5/12]</t>
  </si>
  <si>
    <t>[%/$=347][prorate=1/12]</t>
  </si>
  <si>
    <t>[%/$=694][prorate=3/12]</t>
  </si>
  <si>
    <t>Aetna 2026</t>
  </si>
  <si>
    <t>[%/$=694][prorate=1/12]</t>
  </si>
  <si>
    <t>[%/$=391][prorate=5/12]</t>
  </si>
  <si>
    <t>Aetna 2026 CT, PA, DC</t>
  </si>
  <si>
    <t>[%/$=781][prorate=8/12]</t>
  </si>
  <si>
    <t>[%/$=694]</t>
  </si>
  <si>
    <t>[%/$=781]</t>
  </si>
  <si>
    <t>Main Line Benefits</t>
  </si>
  <si>
    <t>8971826N</t>
  </si>
  <si>
    <t>17528908N</t>
  </si>
  <si>
    <t>17554531O</t>
  </si>
  <si>
    <t>SCOTT  AGUGLIA</t>
  </si>
  <si>
    <t>ANDREW  CHOI</t>
  </si>
  <si>
    <t>ALAN  COUSAR</t>
  </si>
  <si>
    <t>PAMELA  DEATON</t>
  </si>
  <si>
    <t>MICHAEL  DUNAVANT</t>
  </si>
  <si>
    <t>CAROL  FRITZ</t>
  </si>
  <si>
    <t>GREGORY  HANSFORD</t>
  </si>
  <si>
    <t>DEBORAH  INSKIPT</t>
  </si>
  <si>
    <t>ANNE MARIE  KOZACHECK</t>
  </si>
  <si>
    <t>BRITTANY  OLIVER</t>
  </si>
  <si>
    <t>BARRY  SCHUMANN</t>
  </si>
  <si>
    <t>THOMAS  SERIO</t>
  </si>
  <si>
    <t>RYAN  SHEPARD</t>
  </si>
  <si>
    <t>JILL  SHEPARD</t>
  </si>
  <si>
    <t>MATTHEW  SHERMAN</t>
  </si>
  <si>
    <t>MURRAY  STERNER</t>
  </si>
  <si>
    <t>GREG  TEIPEL</t>
  </si>
  <si>
    <t>PATSAMON  THANADABOUTH</t>
  </si>
  <si>
    <t>DALE  WALENGA</t>
  </si>
  <si>
    <t>JACOB  YALE</t>
  </si>
  <si>
    <t>5QG5J34VR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</si>
</sst>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14" fillId="34" borderId="0" xfId="0" applyFont="1" applyFill="1"/>
    <xf numFmtId="14" fontId="14" fillId="34" borderId="0" xfId="0" applyNumberFormat="1" applyFont="1" applyFill="1"/>
    <xf numFmtId="0" fontId="14" fillId="33" borderId="0" xfId="0" applyFont="1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CB98-F9D3-4F3F-818B-D42A29F8EAB8}">
  <dimension ref="A1:X1279"/>
  <sheetViews>
    <sheetView topLeftCell="A10" workbookViewId="0">
      <selection activeCell="Q28" sqref="Q28"/>
    </sheetView>
  </sheetViews>
  <sheetFormatPr defaultRowHeight="15" x14ac:dyDescent="0.25"/>
  <cols>
    <col min="1" max="1" width="27.42578125" bestFit="1" customWidth="1"/>
    <col min="2" max="2" width="15.7109375" bestFit="1" customWidth="1"/>
    <col min="3" max="3" width="11.28515625" customWidth="1"/>
    <col min="4" max="4" width="7.5703125" customWidth="1"/>
    <col min="5" max="5" width="19" customWidth="1"/>
    <col min="6" max="6" width="12.5703125" bestFit="1" customWidth="1"/>
    <col min="7" max="7" width="25.85546875" bestFit="1" customWidth="1"/>
    <col min="8" max="8" width="7.28515625" bestFit="1" customWidth="1"/>
    <col min="9" max="9" width="7.85546875" bestFit="1" customWidth="1"/>
    <col min="10" max="10" width="9.85546875" bestFit="1" customWidth="1"/>
    <col min="11" max="11" width="12.5703125" customWidth="1"/>
    <col min="12" max="12" width="14.42578125" bestFit="1" customWidth="1"/>
    <col min="13" max="13" width="12.5703125" bestFit="1" customWidth="1"/>
    <col min="14" max="14" width="9.5703125" bestFit="1" customWidth="1"/>
    <col min="15" max="15" width="16.28515625" bestFit="1" customWidth="1"/>
    <col min="16" max="16" width="16.7109375" bestFit="1" customWidth="1"/>
    <col min="17" max="17" width="25.85546875" bestFit="1" customWidth="1"/>
    <col min="18" max="18" width="8.140625" bestFit="1" customWidth="1"/>
    <col min="19" max="19" width="10.5703125" bestFit="1" customWidth="1"/>
    <col min="20" max="20" width="21.7109375" bestFit="1" customWidth="1"/>
    <col min="21" max="21" width="12.7109375" bestFit="1" customWidth="1"/>
    <col min="23" max="23" width="12.85546875" bestFit="1" customWidth="1"/>
    <col min="24" max="24" width="9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46169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N2" s="1">
        <v>46142</v>
      </c>
      <c r="O2">
        <v>17886092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21.66</v>
      </c>
      <c r="V2" t="s">
        <v>36</v>
      </c>
      <c r="W2" s="1">
        <v>45946</v>
      </c>
      <c r="X2">
        <v>2026</v>
      </c>
    </row>
    <row r="3" spans="1:24" x14ac:dyDescent="0.25">
      <c r="A3" s="1">
        <v>46169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46023</v>
      </c>
      <c r="M3" s="1">
        <v>46023</v>
      </c>
      <c r="N3" s="1">
        <v>46142</v>
      </c>
      <c r="O3">
        <v>17886092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-65</v>
      </c>
      <c r="V3" t="s">
        <v>36</v>
      </c>
      <c r="W3" s="1">
        <v>45946</v>
      </c>
      <c r="X3">
        <v>2026</v>
      </c>
    </row>
    <row r="4" spans="1:24" x14ac:dyDescent="0.25">
      <c r="A4" s="1">
        <v>46169</v>
      </c>
      <c r="B4" t="s">
        <v>38</v>
      </c>
      <c r="C4" t="s">
        <v>39</v>
      </c>
      <c r="E4" t="s">
        <v>40</v>
      </c>
      <c r="F4" t="s">
        <v>27</v>
      </c>
      <c r="G4" t="s">
        <v>41</v>
      </c>
      <c r="H4" t="s">
        <v>29</v>
      </c>
      <c r="I4" t="s">
        <v>30</v>
      </c>
      <c r="J4" t="s">
        <v>42</v>
      </c>
      <c r="L4" s="1">
        <v>46143</v>
      </c>
      <c r="M4" s="1">
        <v>46143</v>
      </c>
      <c r="O4">
        <v>17528908</v>
      </c>
      <c r="P4" t="s">
        <v>32</v>
      </c>
      <c r="Q4" t="s">
        <v>43</v>
      </c>
      <c r="R4">
        <v>8192</v>
      </c>
      <c r="S4" t="s">
        <v>34</v>
      </c>
      <c r="T4" t="s">
        <v>35</v>
      </c>
      <c r="U4">
        <v>620.66999999999996</v>
      </c>
      <c r="V4" t="s">
        <v>44</v>
      </c>
      <c r="W4" s="1">
        <v>46132</v>
      </c>
      <c r="X4">
        <v>2026</v>
      </c>
    </row>
    <row r="5" spans="1:24" x14ac:dyDescent="0.25">
      <c r="A5" s="1">
        <v>46169</v>
      </c>
      <c r="B5" t="s">
        <v>38</v>
      </c>
      <c r="C5" t="s">
        <v>39</v>
      </c>
      <c r="E5" t="s">
        <v>40</v>
      </c>
      <c r="F5" t="s">
        <v>27</v>
      </c>
      <c r="G5" t="s">
        <v>45</v>
      </c>
      <c r="H5" t="s">
        <v>29</v>
      </c>
      <c r="I5" t="s">
        <v>30</v>
      </c>
      <c r="J5" t="s">
        <v>42</v>
      </c>
      <c r="L5" s="1">
        <v>46143</v>
      </c>
      <c r="M5" s="1">
        <v>46143</v>
      </c>
      <c r="O5">
        <v>17528908</v>
      </c>
      <c r="P5" t="s">
        <v>32</v>
      </c>
      <c r="Q5" t="s">
        <v>43</v>
      </c>
      <c r="R5">
        <v>8192</v>
      </c>
      <c r="S5" t="s">
        <v>34</v>
      </c>
      <c r="T5" t="s">
        <v>35</v>
      </c>
      <c r="U5">
        <v>-360.67</v>
      </c>
      <c r="V5" t="s">
        <v>36</v>
      </c>
      <c r="W5" s="1">
        <v>46132</v>
      </c>
      <c r="X5">
        <v>2026</v>
      </c>
    </row>
    <row r="6" spans="1:24" x14ac:dyDescent="0.25">
      <c r="A6" s="1">
        <v>46169</v>
      </c>
      <c r="B6" t="s">
        <v>46</v>
      </c>
      <c r="C6" t="s">
        <v>47</v>
      </c>
      <c r="E6" t="s">
        <v>48</v>
      </c>
      <c r="F6" t="s">
        <v>49</v>
      </c>
      <c r="G6" t="s">
        <v>50</v>
      </c>
      <c r="H6" t="s">
        <v>29</v>
      </c>
      <c r="I6" t="s">
        <v>51</v>
      </c>
      <c r="J6" t="s">
        <v>52</v>
      </c>
      <c r="L6" s="1">
        <v>46174</v>
      </c>
      <c r="M6" s="1">
        <v>46174</v>
      </c>
      <c r="O6">
        <v>8812322</v>
      </c>
      <c r="P6" t="s">
        <v>32</v>
      </c>
      <c r="Q6" t="s">
        <v>53</v>
      </c>
      <c r="R6">
        <v>8192</v>
      </c>
      <c r="S6" t="s">
        <v>34</v>
      </c>
      <c r="T6" t="s">
        <v>35</v>
      </c>
      <c r="U6">
        <v>289.92</v>
      </c>
      <c r="V6" t="s">
        <v>36</v>
      </c>
      <c r="W6" s="1">
        <v>46154</v>
      </c>
      <c r="X6">
        <v>2026</v>
      </c>
    </row>
    <row r="7" spans="1:24" x14ac:dyDescent="0.25">
      <c r="A7" s="1">
        <v>46169</v>
      </c>
      <c r="B7" t="s">
        <v>54</v>
      </c>
      <c r="C7" t="s">
        <v>55</v>
      </c>
      <c r="E7" t="s">
        <v>56</v>
      </c>
      <c r="F7" t="s">
        <v>27</v>
      </c>
      <c r="G7" t="s">
        <v>57</v>
      </c>
      <c r="H7" t="s">
        <v>29</v>
      </c>
      <c r="I7" t="s">
        <v>30</v>
      </c>
      <c r="J7" t="s">
        <v>58</v>
      </c>
      <c r="L7" s="1">
        <v>46143</v>
      </c>
      <c r="M7" s="1">
        <v>46143</v>
      </c>
      <c r="O7">
        <v>17528908</v>
      </c>
      <c r="P7" t="s">
        <v>32</v>
      </c>
      <c r="Q7" t="s">
        <v>43</v>
      </c>
      <c r="R7">
        <v>8192</v>
      </c>
      <c r="S7" t="s">
        <v>34</v>
      </c>
      <c r="T7" t="s">
        <v>35</v>
      </c>
      <c r="U7">
        <v>931</v>
      </c>
      <c r="V7" t="s">
        <v>44</v>
      </c>
      <c r="W7" s="1">
        <v>46125</v>
      </c>
      <c r="X7">
        <v>2026</v>
      </c>
    </row>
    <row r="8" spans="1:24" x14ac:dyDescent="0.25">
      <c r="A8" s="1">
        <v>46169</v>
      </c>
      <c r="B8" t="s">
        <v>54</v>
      </c>
      <c r="C8" t="s">
        <v>55</v>
      </c>
      <c r="E8" t="s">
        <v>56</v>
      </c>
      <c r="F8" t="s">
        <v>27</v>
      </c>
      <c r="G8" t="s">
        <v>45</v>
      </c>
      <c r="H8" t="s">
        <v>29</v>
      </c>
      <c r="I8" t="s">
        <v>30</v>
      </c>
      <c r="J8" t="s">
        <v>58</v>
      </c>
      <c r="L8" s="1">
        <v>46143</v>
      </c>
      <c r="M8" s="1">
        <v>46143</v>
      </c>
      <c r="O8">
        <v>17528908</v>
      </c>
      <c r="P8" t="s">
        <v>32</v>
      </c>
      <c r="Q8" t="s">
        <v>43</v>
      </c>
      <c r="R8">
        <v>8192</v>
      </c>
      <c r="S8" t="s">
        <v>34</v>
      </c>
      <c r="T8" t="s">
        <v>35</v>
      </c>
      <c r="U8">
        <v>-360.67</v>
      </c>
      <c r="V8" t="s">
        <v>36</v>
      </c>
      <c r="W8" s="1">
        <v>46125</v>
      </c>
      <c r="X8">
        <v>2026</v>
      </c>
    </row>
    <row r="9" spans="1:24" x14ac:dyDescent="0.25">
      <c r="A9" s="1">
        <v>46169</v>
      </c>
      <c r="B9" t="s">
        <v>59</v>
      </c>
      <c r="C9" t="s">
        <v>60</v>
      </c>
      <c r="E9" t="s">
        <v>61</v>
      </c>
      <c r="F9" t="s">
        <v>27</v>
      </c>
      <c r="G9" t="s">
        <v>57</v>
      </c>
      <c r="H9" t="s">
        <v>29</v>
      </c>
      <c r="I9" t="s">
        <v>30</v>
      </c>
      <c r="J9" t="s">
        <v>42</v>
      </c>
      <c r="L9" s="1">
        <v>46113</v>
      </c>
      <c r="M9" s="1">
        <v>46113</v>
      </c>
      <c r="O9">
        <v>17528908</v>
      </c>
      <c r="P9" t="s">
        <v>32</v>
      </c>
      <c r="Q9" t="s">
        <v>43</v>
      </c>
      <c r="R9">
        <v>8192</v>
      </c>
      <c r="S9" t="s">
        <v>34</v>
      </c>
      <c r="T9" t="s">
        <v>35</v>
      </c>
      <c r="U9">
        <v>931</v>
      </c>
      <c r="V9" t="s">
        <v>44</v>
      </c>
      <c r="W9" s="1">
        <v>46111</v>
      </c>
      <c r="X9">
        <v>2026</v>
      </c>
    </row>
    <row r="10" spans="1:24" x14ac:dyDescent="0.25">
      <c r="A10" s="1">
        <v>46169</v>
      </c>
      <c r="B10" t="s">
        <v>59</v>
      </c>
      <c r="C10" t="s">
        <v>60</v>
      </c>
      <c r="E10" t="s">
        <v>61</v>
      </c>
      <c r="F10" t="s">
        <v>27</v>
      </c>
      <c r="G10" t="s">
        <v>45</v>
      </c>
      <c r="H10" t="s">
        <v>29</v>
      </c>
      <c r="I10" t="s">
        <v>30</v>
      </c>
      <c r="J10" t="s">
        <v>42</v>
      </c>
      <c r="L10" s="1">
        <v>46113</v>
      </c>
      <c r="M10" s="1">
        <v>46113</v>
      </c>
      <c r="O10">
        <v>17528908</v>
      </c>
      <c r="P10" t="s">
        <v>32</v>
      </c>
      <c r="Q10" t="s">
        <v>43</v>
      </c>
      <c r="R10">
        <v>8192</v>
      </c>
      <c r="S10" t="s">
        <v>34</v>
      </c>
      <c r="T10" t="s">
        <v>35</v>
      </c>
      <c r="U10">
        <v>-405.75</v>
      </c>
      <c r="V10" t="s">
        <v>36</v>
      </c>
      <c r="W10" s="1">
        <v>46111</v>
      </c>
      <c r="X10">
        <v>2026</v>
      </c>
    </row>
    <row r="11" spans="1:24" x14ac:dyDescent="0.25">
      <c r="A11" s="1">
        <v>46169</v>
      </c>
      <c r="B11" t="s">
        <v>62</v>
      </c>
      <c r="C11" t="s">
        <v>63</v>
      </c>
      <c r="E11" t="s">
        <v>64</v>
      </c>
      <c r="F11" t="s">
        <v>27</v>
      </c>
      <c r="G11" t="s">
        <v>57</v>
      </c>
      <c r="H11" t="s">
        <v>29</v>
      </c>
      <c r="I11" t="s">
        <v>30</v>
      </c>
      <c r="J11" t="s">
        <v>31</v>
      </c>
      <c r="L11" s="1">
        <v>46143</v>
      </c>
      <c r="M11" s="1">
        <v>46143</v>
      </c>
      <c r="O11">
        <v>9544903</v>
      </c>
      <c r="P11" t="s">
        <v>32</v>
      </c>
      <c r="Q11" t="s">
        <v>65</v>
      </c>
      <c r="R11">
        <v>8192</v>
      </c>
      <c r="S11" t="s">
        <v>34</v>
      </c>
      <c r="T11" t="s">
        <v>35</v>
      </c>
      <c r="U11">
        <v>931</v>
      </c>
      <c r="V11" t="s">
        <v>44</v>
      </c>
      <c r="W11" s="1">
        <v>46132</v>
      </c>
      <c r="X11">
        <v>2026</v>
      </c>
    </row>
    <row r="12" spans="1:24" x14ac:dyDescent="0.25">
      <c r="A12" s="1">
        <v>46169</v>
      </c>
      <c r="B12" t="s">
        <v>62</v>
      </c>
      <c r="C12" t="s">
        <v>63</v>
      </c>
      <c r="E12" t="s">
        <v>64</v>
      </c>
      <c r="F12" t="s">
        <v>27</v>
      </c>
      <c r="G12" t="s">
        <v>45</v>
      </c>
      <c r="H12" t="s">
        <v>29</v>
      </c>
      <c r="I12" t="s">
        <v>30</v>
      </c>
      <c r="J12" t="s">
        <v>31</v>
      </c>
      <c r="L12" s="1">
        <v>46143</v>
      </c>
      <c r="M12" s="1">
        <v>46143</v>
      </c>
      <c r="O12">
        <v>9544903</v>
      </c>
      <c r="P12" t="s">
        <v>32</v>
      </c>
      <c r="Q12" t="s">
        <v>65</v>
      </c>
      <c r="R12">
        <v>8192</v>
      </c>
      <c r="S12" t="s">
        <v>34</v>
      </c>
      <c r="T12" t="s">
        <v>35</v>
      </c>
      <c r="U12">
        <v>-360.67</v>
      </c>
      <c r="V12" t="s">
        <v>36</v>
      </c>
      <c r="W12" s="1">
        <v>46132</v>
      </c>
      <c r="X12">
        <v>2026</v>
      </c>
    </row>
    <row r="13" spans="1:24" x14ac:dyDescent="0.25">
      <c r="A13" s="1">
        <v>46169</v>
      </c>
      <c r="B13" t="s">
        <v>66</v>
      </c>
      <c r="C13" t="s">
        <v>67</v>
      </c>
      <c r="E13" t="s">
        <v>68</v>
      </c>
      <c r="F13" t="s">
        <v>27</v>
      </c>
      <c r="G13" t="s">
        <v>57</v>
      </c>
      <c r="H13" t="s">
        <v>29</v>
      </c>
      <c r="I13" t="s">
        <v>30</v>
      </c>
      <c r="J13" t="s">
        <v>69</v>
      </c>
      <c r="L13" s="1">
        <v>46143</v>
      </c>
      <c r="M13" s="1">
        <v>46143</v>
      </c>
      <c r="O13">
        <v>19278370</v>
      </c>
      <c r="P13" t="s">
        <v>32</v>
      </c>
      <c r="Q13" t="s">
        <v>70</v>
      </c>
      <c r="R13">
        <v>8192</v>
      </c>
      <c r="S13" t="s">
        <v>34</v>
      </c>
      <c r="T13" t="s">
        <v>35</v>
      </c>
      <c r="U13">
        <v>931</v>
      </c>
      <c r="V13" t="s">
        <v>44</v>
      </c>
      <c r="W13" s="1">
        <v>46128</v>
      </c>
      <c r="X13">
        <v>2026</v>
      </c>
    </row>
    <row r="14" spans="1:24" x14ac:dyDescent="0.25">
      <c r="A14" s="1">
        <v>46169</v>
      </c>
      <c r="B14" t="s">
        <v>66</v>
      </c>
      <c r="C14" t="s">
        <v>67</v>
      </c>
      <c r="E14" t="s">
        <v>68</v>
      </c>
      <c r="F14" t="s">
        <v>27</v>
      </c>
      <c r="G14" t="s">
        <v>45</v>
      </c>
      <c r="H14" t="s">
        <v>29</v>
      </c>
      <c r="I14" t="s">
        <v>30</v>
      </c>
      <c r="J14" t="s">
        <v>69</v>
      </c>
      <c r="L14" s="1">
        <v>46143</v>
      </c>
      <c r="M14" s="1">
        <v>46143</v>
      </c>
      <c r="O14">
        <v>19278370</v>
      </c>
      <c r="P14" t="s">
        <v>32</v>
      </c>
      <c r="Q14" t="s">
        <v>70</v>
      </c>
      <c r="R14">
        <v>8192</v>
      </c>
      <c r="S14" t="s">
        <v>34</v>
      </c>
      <c r="T14" t="s">
        <v>35</v>
      </c>
      <c r="U14">
        <v>-360.67</v>
      </c>
      <c r="V14" t="s">
        <v>36</v>
      </c>
      <c r="W14" s="1">
        <v>46128</v>
      </c>
      <c r="X14">
        <v>2026</v>
      </c>
    </row>
    <row r="15" spans="1:24" x14ac:dyDescent="0.25">
      <c r="A15" s="1">
        <v>46169</v>
      </c>
      <c r="B15" t="s">
        <v>71</v>
      </c>
      <c r="C15" t="s">
        <v>72</v>
      </c>
      <c r="E15" t="s">
        <v>73</v>
      </c>
      <c r="F15" t="s">
        <v>74</v>
      </c>
      <c r="G15" t="s">
        <v>57</v>
      </c>
      <c r="H15" t="s">
        <v>29</v>
      </c>
      <c r="I15" t="s">
        <v>75</v>
      </c>
      <c r="J15" t="s">
        <v>76</v>
      </c>
      <c r="L15" s="1">
        <v>46143</v>
      </c>
      <c r="M15" s="1">
        <v>46143</v>
      </c>
      <c r="O15">
        <v>16170994</v>
      </c>
      <c r="P15" t="s">
        <v>32</v>
      </c>
      <c r="Q15" t="s">
        <v>77</v>
      </c>
      <c r="R15">
        <v>8192</v>
      </c>
      <c r="S15" t="s">
        <v>34</v>
      </c>
      <c r="T15" t="s">
        <v>35</v>
      </c>
      <c r="U15">
        <v>844</v>
      </c>
      <c r="V15" t="s">
        <v>44</v>
      </c>
      <c r="W15" s="1">
        <v>46120</v>
      </c>
      <c r="X15">
        <v>2026</v>
      </c>
    </row>
    <row r="16" spans="1:24" x14ac:dyDescent="0.25">
      <c r="A16" s="1">
        <v>46169</v>
      </c>
      <c r="B16" t="s">
        <v>71</v>
      </c>
      <c r="C16" t="s">
        <v>72</v>
      </c>
      <c r="E16" t="s">
        <v>73</v>
      </c>
      <c r="F16" t="s">
        <v>74</v>
      </c>
      <c r="G16" t="s">
        <v>45</v>
      </c>
      <c r="H16" t="s">
        <v>29</v>
      </c>
      <c r="I16" t="s">
        <v>75</v>
      </c>
      <c r="J16" t="s">
        <v>76</v>
      </c>
      <c r="L16" s="1">
        <v>46143</v>
      </c>
      <c r="M16" s="1">
        <v>46143</v>
      </c>
      <c r="O16">
        <v>16170994</v>
      </c>
      <c r="P16" t="s">
        <v>32</v>
      </c>
      <c r="Q16" t="s">
        <v>77</v>
      </c>
      <c r="R16">
        <v>8192</v>
      </c>
      <c r="S16" t="s">
        <v>34</v>
      </c>
      <c r="T16" t="s">
        <v>35</v>
      </c>
      <c r="U16">
        <v>-331.33</v>
      </c>
      <c r="V16" t="s">
        <v>36</v>
      </c>
      <c r="W16" s="1">
        <v>46120</v>
      </c>
      <c r="X16">
        <v>2026</v>
      </c>
    </row>
    <row r="17" spans="1:24" x14ac:dyDescent="0.25">
      <c r="A17" s="1">
        <v>46169</v>
      </c>
      <c r="B17" t="s">
        <v>78</v>
      </c>
      <c r="C17" t="s">
        <v>79</v>
      </c>
      <c r="E17" t="s">
        <v>80</v>
      </c>
      <c r="F17" t="s">
        <v>27</v>
      </c>
      <c r="G17" t="s">
        <v>28</v>
      </c>
      <c r="H17" t="s">
        <v>29</v>
      </c>
      <c r="I17" t="s">
        <v>30</v>
      </c>
      <c r="J17" t="s">
        <v>69</v>
      </c>
      <c r="L17" s="1">
        <v>46023</v>
      </c>
      <c r="M17" s="1">
        <v>46023</v>
      </c>
      <c r="N17" s="1">
        <v>46173</v>
      </c>
      <c r="O17">
        <v>8971826</v>
      </c>
      <c r="P17" t="s">
        <v>32</v>
      </c>
      <c r="Q17" t="s">
        <v>81</v>
      </c>
      <c r="R17">
        <v>8192</v>
      </c>
      <c r="S17" t="s">
        <v>34</v>
      </c>
      <c r="T17" t="s">
        <v>35</v>
      </c>
      <c r="U17">
        <v>225.42</v>
      </c>
      <c r="V17" t="s">
        <v>36</v>
      </c>
      <c r="W17" s="1">
        <v>45954</v>
      </c>
      <c r="X17">
        <v>2026</v>
      </c>
    </row>
    <row r="18" spans="1:24" x14ac:dyDescent="0.25">
      <c r="A18" s="1">
        <v>46169</v>
      </c>
      <c r="B18" t="s">
        <v>78</v>
      </c>
      <c r="C18" t="s">
        <v>79</v>
      </c>
      <c r="E18" t="s">
        <v>80</v>
      </c>
      <c r="F18" t="s">
        <v>27</v>
      </c>
      <c r="G18" t="s">
        <v>37</v>
      </c>
      <c r="H18" t="s">
        <v>29</v>
      </c>
      <c r="I18" t="s">
        <v>30</v>
      </c>
      <c r="J18" t="s">
        <v>69</v>
      </c>
      <c r="L18" s="1">
        <v>46023</v>
      </c>
      <c r="M18" s="1">
        <v>46023</v>
      </c>
      <c r="N18" s="1">
        <v>46173</v>
      </c>
      <c r="O18">
        <v>8971826</v>
      </c>
      <c r="P18" t="s">
        <v>32</v>
      </c>
      <c r="Q18" t="s">
        <v>81</v>
      </c>
      <c r="R18">
        <v>8192</v>
      </c>
      <c r="S18" t="s">
        <v>34</v>
      </c>
      <c r="T18" t="s">
        <v>35</v>
      </c>
      <c r="U18">
        <v>-541</v>
      </c>
      <c r="V18" t="s">
        <v>36</v>
      </c>
      <c r="W18" s="1">
        <v>45954</v>
      </c>
      <c r="X18">
        <v>2026</v>
      </c>
    </row>
    <row r="19" spans="1:24" x14ac:dyDescent="0.25">
      <c r="A19" s="1">
        <v>46169</v>
      </c>
      <c r="B19" t="s">
        <v>82</v>
      </c>
      <c r="C19" t="s">
        <v>83</v>
      </c>
      <c r="E19" t="s">
        <v>84</v>
      </c>
      <c r="F19" t="s">
        <v>85</v>
      </c>
      <c r="G19" t="s">
        <v>57</v>
      </c>
      <c r="H19" t="s">
        <v>29</v>
      </c>
      <c r="I19" t="s">
        <v>86</v>
      </c>
      <c r="J19" t="s">
        <v>87</v>
      </c>
      <c r="L19" s="1">
        <v>46143</v>
      </c>
      <c r="M19" s="1">
        <v>46143</v>
      </c>
      <c r="O19">
        <v>8325282</v>
      </c>
      <c r="P19" t="s">
        <v>32</v>
      </c>
      <c r="Q19" t="s">
        <v>88</v>
      </c>
      <c r="R19">
        <v>8192</v>
      </c>
      <c r="S19" t="s">
        <v>34</v>
      </c>
      <c r="T19" t="s">
        <v>35</v>
      </c>
      <c r="U19">
        <v>844</v>
      </c>
      <c r="V19" t="s">
        <v>44</v>
      </c>
      <c r="W19" s="1">
        <v>46113</v>
      </c>
      <c r="X19">
        <v>2026</v>
      </c>
    </row>
    <row r="20" spans="1:24" x14ac:dyDescent="0.25">
      <c r="A20" s="1">
        <v>46169</v>
      </c>
      <c r="B20" t="s">
        <v>82</v>
      </c>
      <c r="C20" t="s">
        <v>83</v>
      </c>
      <c r="E20" t="s">
        <v>84</v>
      </c>
      <c r="F20" t="s">
        <v>85</v>
      </c>
      <c r="G20" t="s">
        <v>45</v>
      </c>
      <c r="H20" t="s">
        <v>29</v>
      </c>
      <c r="I20" t="s">
        <v>86</v>
      </c>
      <c r="J20" t="s">
        <v>87</v>
      </c>
      <c r="L20" s="1">
        <v>46143</v>
      </c>
      <c r="M20" s="1">
        <v>46143</v>
      </c>
      <c r="O20">
        <v>8325282</v>
      </c>
      <c r="P20" t="s">
        <v>32</v>
      </c>
      <c r="Q20" t="s">
        <v>88</v>
      </c>
      <c r="R20">
        <v>8192</v>
      </c>
      <c r="S20" t="s">
        <v>34</v>
      </c>
      <c r="T20" t="s">
        <v>35</v>
      </c>
      <c r="U20">
        <v>-331.33</v>
      </c>
      <c r="V20" t="s">
        <v>36</v>
      </c>
      <c r="W20" s="1">
        <v>46113</v>
      </c>
      <c r="X20">
        <v>2026</v>
      </c>
    </row>
    <row r="21" spans="1:24" x14ac:dyDescent="0.25">
      <c r="A21" s="1">
        <v>46169</v>
      </c>
      <c r="B21" t="s">
        <v>89</v>
      </c>
      <c r="C21" t="s">
        <v>90</v>
      </c>
      <c r="E21" t="s">
        <v>91</v>
      </c>
      <c r="F21" t="s">
        <v>85</v>
      </c>
      <c r="G21" t="s">
        <v>57</v>
      </c>
      <c r="H21" t="s">
        <v>29</v>
      </c>
      <c r="I21" t="s">
        <v>86</v>
      </c>
      <c r="J21" t="s">
        <v>92</v>
      </c>
      <c r="L21" s="1">
        <v>46143</v>
      </c>
      <c r="M21" s="1">
        <v>46143</v>
      </c>
      <c r="O21">
        <v>8307933</v>
      </c>
      <c r="P21" t="s">
        <v>32</v>
      </c>
      <c r="Q21" t="s">
        <v>93</v>
      </c>
      <c r="R21">
        <v>8192</v>
      </c>
      <c r="S21" t="s">
        <v>34</v>
      </c>
      <c r="T21" t="s">
        <v>35</v>
      </c>
      <c r="U21">
        <v>844</v>
      </c>
      <c r="V21" t="s">
        <v>44</v>
      </c>
      <c r="W21" s="1">
        <v>46118</v>
      </c>
      <c r="X21">
        <v>2026</v>
      </c>
    </row>
    <row r="22" spans="1:24" x14ac:dyDescent="0.25">
      <c r="A22" s="1">
        <v>46169</v>
      </c>
      <c r="B22" t="s">
        <v>89</v>
      </c>
      <c r="C22" t="s">
        <v>90</v>
      </c>
      <c r="E22" t="s">
        <v>91</v>
      </c>
      <c r="F22" t="s">
        <v>85</v>
      </c>
      <c r="G22" t="s">
        <v>45</v>
      </c>
      <c r="H22" t="s">
        <v>29</v>
      </c>
      <c r="I22" t="s">
        <v>86</v>
      </c>
      <c r="J22" t="s">
        <v>92</v>
      </c>
      <c r="L22" s="1">
        <v>46143</v>
      </c>
      <c r="M22" s="1">
        <v>46143</v>
      </c>
      <c r="O22">
        <v>8307933</v>
      </c>
      <c r="P22" t="s">
        <v>32</v>
      </c>
      <c r="Q22" t="s">
        <v>93</v>
      </c>
      <c r="R22">
        <v>8192</v>
      </c>
      <c r="S22" t="s">
        <v>34</v>
      </c>
      <c r="T22" t="s">
        <v>35</v>
      </c>
      <c r="U22">
        <v>-331.33</v>
      </c>
      <c r="V22" t="s">
        <v>36</v>
      </c>
      <c r="W22" s="1">
        <v>46118</v>
      </c>
      <c r="X22">
        <v>2026</v>
      </c>
    </row>
    <row r="23" spans="1:24" x14ac:dyDescent="0.25">
      <c r="A23" s="1">
        <v>46169</v>
      </c>
      <c r="B23" t="s">
        <v>94</v>
      </c>
      <c r="C23" t="s">
        <v>95</v>
      </c>
      <c r="E23" t="s">
        <v>96</v>
      </c>
      <c r="F23" t="s">
        <v>74</v>
      </c>
      <c r="G23" t="s">
        <v>57</v>
      </c>
      <c r="H23" t="s">
        <v>29</v>
      </c>
      <c r="I23" t="s">
        <v>75</v>
      </c>
      <c r="J23" t="s">
        <v>76</v>
      </c>
      <c r="L23" s="1">
        <v>46143</v>
      </c>
      <c r="M23" s="1">
        <v>46143</v>
      </c>
      <c r="O23">
        <v>16170994</v>
      </c>
      <c r="P23" t="s">
        <v>32</v>
      </c>
      <c r="Q23" t="s">
        <v>77</v>
      </c>
      <c r="R23">
        <v>8192</v>
      </c>
      <c r="S23" t="s">
        <v>34</v>
      </c>
      <c r="T23" t="s">
        <v>35</v>
      </c>
      <c r="U23">
        <v>844</v>
      </c>
      <c r="V23" t="s">
        <v>44</v>
      </c>
      <c r="W23" s="1">
        <v>46112</v>
      </c>
      <c r="X23">
        <v>2026</v>
      </c>
    </row>
    <row r="24" spans="1:24" x14ac:dyDescent="0.25">
      <c r="A24" s="1">
        <v>46169</v>
      </c>
      <c r="B24" t="s">
        <v>94</v>
      </c>
      <c r="C24" t="s">
        <v>95</v>
      </c>
      <c r="E24" t="s">
        <v>96</v>
      </c>
      <c r="F24" t="s">
        <v>74</v>
      </c>
      <c r="G24" t="s">
        <v>45</v>
      </c>
      <c r="H24" t="s">
        <v>29</v>
      </c>
      <c r="I24" t="s">
        <v>75</v>
      </c>
      <c r="J24" t="s">
        <v>76</v>
      </c>
      <c r="L24" s="1">
        <v>46143</v>
      </c>
      <c r="M24" s="1">
        <v>46143</v>
      </c>
      <c r="O24">
        <v>16170994</v>
      </c>
      <c r="P24" t="s">
        <v>32</v>
      </c>
      <c r="Q24" t="s">
        <v>77</v>
      </c>
      <c r="R24">
        <v>8192</v>
      </c>
      <c r="S24" t="s">
        <v>34</v>
      </c>
      <c r="T24" t="s">
        <v>35</v>
      </c>
      <c r="U24">
        <v>-331.33</v>
      </c>
      <c r="V24" t="s">
        <v>36</v>
      </c>
      <c r="W24" s="1">
        <v>46112</v>
      </c>
      <c r="X24">
        <v>2026</v>
      </c>
    </row>
    <row r="25" spans="1:24" x14ac:dyDescent="0.25">
      <c r="A25" s="1">
        <v>46169</v>
      </c>
      <c r="B25" t="s">
        <v>97</v>
      </c>
      <c r="C25" t="s">
        <v>98</v>
      </c>
      <c r="E25" t="s">
        <v>99</v>
      </c>
      <c r="F25" t="s">
        <v>74</v>
      </c>
      <c r="G25" t="s">
        <v>57</v>
      </c>
      <c r="H25" t="s">
        <v>29</v>
      </c>
      <c r="I25" t="s">
        <v>75</v>
      </c>
      <c r="J25" t="s">
        <v>76</v>
      </c>
      <c r="L25" s="1">
        <v>46143</v>
      </c>
      <c r="M25" s="1">
        <v>46143</v>
      </c>
      <c r="O25">
        <v>16170994</v>
      </c>
      <c r="P25" t="s">
        <v>32</v>
      </c>
      <c r="Q25" t="s">
        <v>77</v>
      </c>
      <c r="R25">
        <v>8192</v>
      </c>
      <c r="S25" t="s">
        <v>34</v>
      </c>
      <c r="T25" t="s">
        <v>35</v>
      </c>
      <c r="U25">
        <v>844</v>
      </c>
      <c r="V25" t="s">
        <v>44</v>
      </c>
      <c r="W25" s="1">
        <v>46126</v>
      </c>
      <c r="X25">
        <v>2026</v>
      </c>
    </row>
    <row r="26" spans="1:24" x14ac:dyDescent="0.25">
      <c r="A26" s="1">
        <v>46169</v>
      </c>
      <c r="B26" t="s">
        <v>97</v>
      </c>
      <c r="C26" t="s">
        <v>98</v>
      </c>
      <c r="E26" t="s">
        <v>99</v>
      </c>
      <c r="F26" t="s">
        <v>74</v>
      </c>
      <c r="G26" t="s">
        <v>45</v>
      </c>
      <c r="H26" t="s">
        <v>29</v>
      </c>
      <c r="I26" t="s">
        <v>75</v>
      </c>
      <c r="J26" t="s">
        <v>76</v>
      </c>
      <c r="L26" s="1">
        <v>46143</v>
      </c>
      <c r="M26" s="1">
        <v>46143</v>
      </c>
      <c r="O26">
        <v>16170994</v>
      </c>
      <c r="P26" t="s">
        <v>32</v>
      </c>
      <c r="Q26" t="s">
        <v>77</v>
      </c>
      <c r="R26">
        <v>8192</v>
      </c>
      <c r="S26" t="s">
        <v>34</v>
      </c>
      <c r="T26" t="s">
        <v>35</v>
      </c>
      <c r="U26">
        <v>-331.33</v>
      </c>
      <c r="V26" t="s">
        <v>36</v>
      </c>
      <c r="W26" s="1">
        <v>46126</v>
      </c>
      <c r="X26">
        <v>2026</v>
      </c>
    </row>
    <row r="27" spans="1:24" x14ac:dyDescent="0.25">
      <c r="A27" s="1">
        <v>46169</v>
      </c>
      <c r="B27" t="s">
        <v>100</v>
      </c>
      <c r="C27" t="s">
        <v>101</v>
      </c>
      <c r="E27" t="s">
        <v>102</v>
      </c>
      <c r="F27" t="s">
        <v>49</v>
      </c>
      <c r="G27" t="s">
        <v>50</v>
      </c>
      <c r="H27" t="s">
        <v>29</v>
      </c>
      <c r="I27" t="s">
        <v>103</v>
      </c>
      <c r="J27" t="s">
        <v>104</v>
      </c>
      <c r="L27" s="1">
        <v>46174</v>
      </c>
      <c r="M27" s="1">
        <v>46174</v>
      </c>
      <c r="O27">
        <v>7470776</v>
      </c>
      <c r="P27" t="s">
        <v>32</v>
      </c>
      <c r="Q27" t="s">
        <v>105</v>
      </c>
      <c r="R27">
        <v>8192</v>
      </c>
      <c r="S27" t="s">
        <v>34</v>
      </c>
      <c r="T27" t="s">
        <v>35</v>
      </c>
      <c r="U27">
        <v>289.92</v>
      </c>
      <c r="V27" t="s">
        <v>36</v>
      </c>
      <c r="W27" s="1">
        <v>46154</v>
      </c>
      <c r="X27">
        <v>2026</v>
      </c>
    </row>
    <row r="28" spans="1:24" x14ac:dyDescent="0.25">
      <c r="A28" s="1">
        <v>46169</v>
      </c>
      <c r="B28" t="s">
        <v>106</v>
      </c>
      <c r="C28" t="s">
        <v>107</v>
      </c>
      <c r="E28" t="s">
        <v>108</v>
      </c>
      <c r="F28" t="s">
        <v>109</v>
      </c>
      <c r="G28" t="s">
        <v>50</v>
      </c>
      <c r="H28" t="s">
        <v>29</v>
      </c>
      <c r="I28" t="s">
        <v>103</v>
      </c>
      <c r="J28" t="s">
        <v>110</v>
      </c>
      <c r="L28" s="1">
        <v>46174</v>
      </c>
      <c r="M28" s="1">
        <v>46174</v>
      </c>
      <c r="O28">
        <v>17094718</v>
      </c>
      <c r="P28" t="s">
        <v>32</v>
      </c>
      <c r="Q28" t="s">
        <v>111</v>
      </c>
      <c r="R28">
        <v>8192</v>
      </c>
      <c r="S28" t="s">
        <v>34</v>
      </c>
      <c r="T28" t="s">
        <v>35</v>
      </c>
      <c r="U28">
        <v>289.92</v>
      </c>
      <c r="V28" t="s">
        <v>36</v>
      </c>
      <c r="W28" s="1">
        <v>46147</v>
      </c>
      <c r="X28">
        <v>2026</v>
      </c>
    </row>
    <row r="29" spans="1:24" x14ac:dyDescent="0.25">
      <c r="A29" s="1">
        <v>46169</v>
      </c>
      <c r="B29" t="s">
        <v>112</v>
      </c>
      <c r="C29" t="s">
        <v>113</v>
      </c>
      <c r="E29" t="s">
        <v>114</v>
      </c>
      <c r="F29" t="s">
        <v>74</v>
      </c>
      <c r="G29" t="s">
        <v>28</v>
      </c>
      <c r="H29" t="s">
        <v>29</v>
      </c>
      <c r="I29" t="s">
        <v>75</v>
      </c>
      <c r="J29" t="s">
        <v>115</v>
      </c>
      <c r="L29" s="1">
        <v>46023</v>
      </c>
      <c r="M29" s="1">
        <v>46023</v>
      </c>
      <c r="N29" s="1">
        <v>46173</v>
      </c>
      <c r="O29">
        <v>18142208</v>
      </c>
      <c r="P29" t="s">
        <v>32</v>
      </c>
      <c r="Q29" t="s">
        <v>116</v>
      </c>
      <c r="R29">
        <v>8192</v>
      </c>
      <c r="S29" t="s">
        <v>34</v>
      </c>
      <c r="T29" t="s">
        <v>35</v>
      </c>
      <c r="U29">
        <v>207.08</v>
      </c>
      <c r="V29" t="s">
        <v>36</v>
      </c>
      <c r="W29" s="1">
        <v>45981</v>
      </c>
      <c r="X29">
        <v>2026</v>
      </c>
    </row>
    <row r="30" spans="1:24" x14ac:dyDescent="0.25">
      <c r="A30" s="1">
        <v>46169</v>
      </c>
      <c r="B30" t="s">
        <v>112</v>
      </c>
      <c r="C30" t="s">
        <v>113</v>
      </c>
      <c r="E30" t="s">
        <v>114</v>
      </c>
      <c r="F30" t="s">
        <v>74</v>
      </c>
      <c r="G30" t="s">
        <v>37</v>
      </c>
      <c r="H30" t="s">
        <v>29</v>
      </c>
      <c r="I30" t="s">
        <v>75</v>
      </c>
      <c r="J30" t="s">
        <v>115</v>
      </c>
      <c r="L30" s="1">
        <v>46023</v>
      </c>
      <c r="M30" s="1">
        <v>46023</v>
      </c>
      <c r="N30" s="1">
        <v>46173</v>
      </c>
      <c r="O30">
        <v>18142208</v>
      </c>
      <c r="P30" t="s">
        <v>32</v>
      </c>
      <c r="Q30" t="s">
        <v>116</v>
      </c>
      <c r="R30">
        <v>8192</v>
      </c>
      <c r="S30" t="s">
        <v>34</v>
      </c>
      <c r="T30" t="s">
        <v>35</v>
      </c>
      <c r="U30">
        <v>-497</v>
      </c>
      <c r="V30" t="s">
        <v>36</v>
      </c>
      <c r="W30" s="1">
        <v>45981</v>
      </c>
      <c r="X30">
        <v>2026</v>
      </c>
    </row>
    <row r="31" spans="1:24" x14ac:dyDescent="0.25">
      <c r="A31" s="1">
        <v>46169</v>
      </c>
      <c r="B31" t="s">
        <v>117</v>
      </c>
      <c r="C31" t="s">
        <v>118</v>
      </c>
      <c r="E31" t="s">
        <v>119</v>
      </c>
      <c r="F31" t="s">
        <v>74</v>
      </c>
      <c r="G31" t="s">
        <v>57</v>
      </c>
      <c r="H31" t="s">
        <v>29</v>
      </c>
      <c r="I31" t="s">
        <v>75</v>
      </c>
      <c r="J31" t="s">
        <v>120</v>
      </c>
      <c r="L31" s="1">
        <v>46143</v>
      </c>
      <c r="M31" s="1">
        <v>46143</v>
      </c>
      <c r="O31">
        <v>16170994</v>
      </c>
      <c r="P31" t="s">
        <v>32</v>
      </c>
      <c r="Q31" t="s">
        <v>77</v>
      </c>
      <c r="R31">
        <v>8192</v>
      </c>
      <c r="S31" t="s">
        <v>34</v>
      </c>
      <c r="T31" t="s">
        <v>35</v>
      </c>
      <c r="U31">
        <v>844</v>
      </c>
      <c r="V31" t="s">
        <v>44</v>
      </c>
      <c r="W31" s="1">
        <v>46128</v>
      </c>
      <c r="X31">
        <v>2026</v>
      </c>
    </row>
    <row r="32" spans="1:24" x14ac:dyDescent="0.25">
      <c r="A32" s="1">
        <v>46169</v>
      </c>
      <c r="B32" t="s">
        <v>117</v>
      </c>
      <c r="C32" t="s">
        <v>118</v>
      </c>
      <c r="E32" t="s">
        <v>119</v>
      </c>
      <c r="F32" t="s">
        <v>74</v>
      </c>
      <c r="G32" t="s">
        <v>45</v>
      </c>
      <c r="H32" t="s">
        <v>29</v>
      </c>
      <c r="I32" t="s">
        <v>75</v>
      </c>
      <c r="J32" t="s">
        <v>120</v>
      </c>
      <c r="L32" s="1">
        <v>46143</v>
      </c>
      <c r="M32" s="1">
        <v>46143</v>
      </c>
      <c r="O32">
        <v>16170994</v>
      </c>
      <c r="P32" t="s">
        <v>32</v>
      </c>
      <c r="Q32" t="s">
        <v>77</v>
      </c>
      <c r="R32">
        <v>8192</v>
      </c>
      <c r="S32" t="s">
        <v>34</v>
      </c>
      <c r="T32" t="s">
        <v>35</v>
      </c>
      <c r="U32">
        <v>-331.33</v>
      </c>
      <c r="V32" t="s">
        <v>36</v>
      </c>
      <c r="W32" s="1">
        <v>46128</v>
      </c>
      <c r="X32">
        <v>2026</v>
      </c>
    </row>
    <row r="33" spans="1:24" x14ac:dyDescent="0.25">
      <c r="A33" s="1">
        <v>46169</v>
      </c>
      <c r="B33" t="s">
        <v>121</v>
      </c>
      <c r="C33" t="s">
        <v>122</v>
      </c>
      <c r="E33" t="s">
        <v>123</v>
      </c>
      <c r="F33" t="s">
        <v>74</v>
      </c>
      <c r="G33" t="s">
        <v>57</v>
      </c>
      <c r="H33" t="s">
        <v>29</v>
      </c>
      <c r="I33" t="s">
        <v>75</v>
      </c>
      <c r="J33" t="s">
        <v>76</v>
      </c>
      <c r="L33" s="1">
        <v>46174</v>
      </c>
      <c r="M33" s="1">
        <v>46174</v>
      </c>
      <c r="O33">
        <v>16170994</v>
      </c>
      <c r="P33" t="s">
        <v>32</v>
      </c>
      <c r="Q33" t="s">
        <v>77</v>
      </c>
      <c r="R33">
        <v>8192</v>
      </c>
      <c r="S33" t="s">
        <v>34</v>
      </c>
      <c r="T33" t="s">
        <v>35</v>
      </c>
      <c r="U33">
        <v>844</v>
      </c>
      <c r="V33" t="s">
        <v>44</v>
      </c>
      <c r="W33" s="1">
        <v>46127</v>
      </c>
      <c r="X33">
        <v>2026</v>
      </c>
    </row>
    <row r="34" spans="1:24" x14ac:dyDescent="0.25">
      <c r="A34" s="1">
        <v>46169</v>
      </c>
      <c r="B34" t="s">
        <v>121</v>
      </c>
      <c r="C34" t="s">
        <v>122</v>
      </c>
      <c r="E34" t="s">
        <v>123</v>
      </c>
      <c r="F34" t="s">
        <v>74</v>
      </c>
      <c r="G34" t="s">
        <v>45</v>
      </c>
      <c r="H34" t="s">
        <v>29</v>
      </c>
      <c r="I34" t="s">
        <v>75</v>
      </c>
      <c r="J34" t="s">
        <v>76</v>
      </c>
      <c r="L34" s="1">
        <v>46174</v>
      </c>
      <c r="M34" s="1">
        <v>46174</v>
      </c>
      <c r="O34">
        <v>16170994</v>
      </c>
      <c r="P34" t="s">
        <v>32</v>
      </c>
      <c r="Q34" t="s">
        <v>77</v>
      </c>
      <c r="R34">
        <v>8192</v>
      </c>
      <c r="S34" t="s">
        <v>34</v>
      </c>
      <c r="T34" t="s">
        <v>35</v>
      </c>
      <c r="U34">
        <v>-289.92</v>
      </c>
      <c r="V34" t="s">
        <v>36</v>
      </c>
      <c r="W34" s="1">
        <v>46127</v>
      </c>
      <c r="X34">
        <v>2026</v>
      </c>
    </row>
    <row r="35" spans="1:24" x14ac:dyDescent="0.25">
      <c r="A35" s="1">
        <v>46169</v>
      </c>
      <c r="B35" t="s">
        <v>124</v>
      </c>
      <c r="C35" t="s">
        <v>125</v>
      </c>
      <c r="E35" t="s">
        <v>126</v>
      </c>
      <c r="F35" t="s">
        <v>49</v>
      </c>
      <c r="G35" t="s">
        <v>57</v>
      </c>
      <c r="H35" t="s">
        <v>29</v>
      </c>
      <c r="I35" t="s">
        <v>51</v>
      </c>
      <c r="J35" t="s">
        <v>127</v>
      </c>
      <c r="L35" s="1">
        <v>46204</v>
      </c>
      <c r="M35" s="1">
        <v>46204</v>
      </c>
      <c r="O35">
        <v>18828278</v>
      </c>
      <c r="P35" t="s">
        <v>32</v>
      </c>
      <c r="Q35" t="s">
        <v>128</v>
      </c>
      <c r="R35">
        <v>8192</v>
      </c>
      <c r="S35" t="s">
        <v>34</v>
      </c>
      <c r="T35" t="s">
        <v>35</v>
      </c>
      <c r="U35">
        <v>844</v>
      </c>
      <c r="V35" t="s">
        <v>44</v>
      </c>
      <c r="W35" s="1">
        <v>46126</v>
      </c>
      <c r="X35">
        <v>2026</v>
      </c>
    </row>
    <row r="36" spans="1:24" x14ac:dyDescent="0.25">
      <c r="A36" s="1">
        <v>46169</v>
      </c>
      <c r="B36" t="s">
        <v>124</v>
      </c>
      <c r="C36" t="s">
        <v>125</v>
      </c>
      <c r="E36" t="s">
        <v>126</v>
      </c>
      <c r="F36" t="s">
        <v>49</v>
      </c>
      <c r="G36" t="s">
        <v>45</v>
      </c>
      <c r="H36" t="s">
        <v>29</v>
      </c>
      <c r="I36" t="s">
        <v>51</v>
      </c>
      <c r="J36" t="s">
        <v>127</v>
      </c>
      <c r="L36" s="1">
        <v>46204</v>
      </c>
      <c r="M36" s="1">
        <v>46204</v>
      </c>
      <c r="O36">
        <v>18828278</v>
      </c>
      <c r="P36" t="s">
        <v>32</v>
      </c>
      <c r="Q36" t="s">
        <v>128</v>
      </c>
      <c r="R36">
        <v>8192</v>
      </c>
      <c r="S36" t="s">
        <v>34</v>
      </c>
      <c r="T36" t="s">
        <v>35</v>
      </c>
      <c r="U36">
        <v>-248.5</v>
      </c>
      <c r="V36" t="s">
        <v>36</v>
      </c>
      <c r="W36" s="1">
        <v>46126</v>
      </c>
      <c r="X36">
        <v>2026</v>
      </c>
    </row>
    <row r="37" spans="1:24" x14ac:dyDescent="0.25">
      <c r="A37" s="1">
        <v>46169</v>
      </c>
      <c r="B37" t="s">
        <v>129</v>
      </c>
      <c r="C37" t="s">
        <v>130</v>
      </c>
      <c r="E37" t="s">
        <v>131</v>
      </c>
      <c r="F37" t="s">
        <v>132</v>
      </c>
      <c r="G37" t="s">
        <v>57</v>
      </c>
      <c r="H37" t="s">
        <v>29</v>
      </c>
      <c r="I37" t="s">
        <v>103</v>
      </c>
      <c r="J37" t="s">
        <v>133</v>
      </c>
      <c r="L37" s="1">
        <v>46143</v>
      </c>
      <c r="M37" s="1">
        <v>46143</v>
      </c>
      <c r="O37">
        <v>20490188</v>
      </c>
      <c r="P37" t="s">
        <v>32</v>
      </c>
      <c r="Q37" t="s">
        <v>134</v>
      </c>
      <c r="R37">
        <v>8192</v>
      </c>
      <c r="S37" t="s">
        <v>34</v>
      </c>
      <c r="T37" t="s">
        <v>35</v>
      </c>
      <c r="U37">
        <v>844</v>
      </c>
      <c r="V37" t="s">
        <v>44</v>
      </c>
      <c r="W37" s="1">
        <v>46127</v>
      </c>
      <c r="X37">
        <v>2026</v>
      </c>
    </row>
    <row r="38" spans="1:24" x14ac:dyDescent="0.25">
      <c r="A38" s="1">
        <v>46169</v>
      </c>
      <c r="B38" t="s">
        <v>129</v>
      </c>
      <c r="C38" t="s">
        <v>130</v>
      </c>
      <c r="E38" t="s">
        <v>131</v>
      </c>
      <c r="F38" t="s">
        <v>132</v>
      </c>
      <c r="G38" t="s">
        <v>45</v>
      </c>
      <c r="H38" t="s">
        <v>29</v>
      </c>
      <c r="I38" t="s">
        <v>103</v>
      </c>
      <c r="J38" t="s">
        <v>133</v>
      </c>
      <c r="L38" s="1">
        <v>46143</v>
      </c>
      <c r="M38" s="1">
        <v>46143</v>
      </c>
      <c r="O38">
        <v>20490188</v>
      </c>
      <c r="P38" t="s">
        <v>32</v>
      </c>
      <c r="Q38" t="s">
        <v>134</v>
      </c>
      <c r="R38">
        <v>8192</v>
      </c>
      <c r="S38" t="s">
        <v>34</v>
      </c>
      <c r="T38" t="s">
        <v>35</v>
      </c>
      <c r="U38">
        <v>-331.33</v>
      </c>
      <c r="V38" t="s">
        <v>36</v>
      </c>
      <c r="W38" s="1">
        <v>46127</v>
      </c>
      <c r="X38">
        <v>2026</v>
      </c>
    </row>
    <row r="39" spans="1:24" x14ac:dyDescent="0.25">
      <c r="A39" s="1">
        <v>46169</v>
      </c>
      <c r="B39" t="s">
        <v>135</v>
      </c>
      <c r="C39" t="s">
        <v>136</v>
      </c>
      <c r="E39" t="s">
        <v>137</v>
      </c>
      <c r="F39" t="s">
        <v>27</v>
      </c>
      <c r="G39" t="s">
        <v>50</v>
      </c>
      <c r="H39" t="s">
        <v>29</v>
      </c>
      <c r="I39" t="s">
        <v>30</v>
      </c>
      <c r="J39" t="s">
        <v>31</v>
      </c>
      <c r="L39" s="1">
        <v>46235</v>
      </c>
      <c r="M39" s="1">
        <v>46235</v>
      </c>
      <c r="O39">
        <v>20253958</v>
      </c>
      <c r="P39" t="s">
        <v>32</v>
      </c>
      <c r="Q39" t="s">
        <v>138</v>
      </c>
      <c r="R39">
        <v>8192</v>
      </c>
      <c r="S39" t="s">
        <v>34</v>
      </c>
      <c r="T39" t="s">
        <v>35</v>
      </c>
      <c r="U39">
        <v>27.09</v>
      </c>
      <c r="V39" t="s">
        <v>36</v>
      </c>
      <c r="W39" s="1">
        <v>46147</v>
      </c>
      <c r="X39">
        <v>2026</v>
      </c>
    </row>
    <row r="40" spans="1:24" x14ac:dyDescent="0.25">
      <c r="A40" s="1">
        <v>46169</v>
      </c>
      <c r="B40" t="s">
        <v>139</v>
      </c>
      <c r="C40" t="s">
        <v>140</v>
      </c>
      <c r="E40" t="s">
        <v>141</v>
      </c>
      <c r="F40" t="s">
        <v>27</v>
      </c>
      <c r="G40" t="s">
        <v>50</v>
      </c>
      <c r="H40" t="s">
        <v>29</v>
      </c>
      <c r="I40" t="s">
        <v>30</v>
      </c>
      <c r="J40" t="s">
        <v>142</v>
      </c>
      <c r="L40" s="1">
        <v>46174</v>
      </c>
      <c r="M40" s="1">
        <v>46174</v>
      </c>
      <c r="O40">
        <v>20253958</v>
      </c>
      <c r="P40" t="s">
        <v>32</v>
      </c>
      <c r="Q40" t="s">
        <v>138</v>
      </c>
      <c r="R40">
        <v>8192</v>
      </c>
      <c r="S40" t="s">
        <v>34</v>
      </c>
      <c r="T40" t="s">
        <v>35</v>
      </c>
      <c r="U40">
        <v>37.909999999999997</v>
      </c>
      <c r="V40" t="s">
        <v>36</v>
      </c>
      <c r="W40" s="1">
        <v>46149</v>
      </c>
      <c r="X40">
        <v>2026</v>
      </c>
    </row>
    <row r="41" spans="1:24" x14ac:dyDescent="0.25">
      <c r="A41" s="1">
        <v>46169</v>
      </c>
      <c r="B41" t="s">
        <v>143</v>
      </c>
      <c r="C41" t="s">
        <v>144</v>
      </c>
      <c r="E41" t="s">
        <v>145</v>
      </c>
      <c r="F41" t="s">
        <v>49</v>
      </c>
      <c r="G41" t="s">
        <v>57</v>
      </c>
      <c r="H41" t="s">
        <v>29</v>
      </c>
      <c r="I41" t="s">
        <v>51</v>
      </c>
      <c r="J41" t="s">
        <v>127</v>
      </c>
      <c r="L41" s="1">
        <v>46143</v>
      </c>
      <c r="M41" s="1">
        <v>46143</v>
      </c>
      <c r="O41">
        <v>8244481</v>
      </c>
      <c r="P41" t="s">
        <v>32</v>
      </c>
      <c r="Q41" t="s">
        <v>146</v>
      </c>
      <c r="R41">
        <v>8192</v>
      </c>
      <c r="S41" t="s">
        <v>34</v>
      </c>
      <c r="T41" t="s">
        <v>35</v>
      </c>
      <c r="U41">
        <v>844</v>
      </c>
      <c r="V41" t="s">
        <v>44</v>
      </c>
      <c r="W41" s="1">
        <v>46125</v>
      </c>
      <c r="X41">
        <v>2026</v>
      </c>
    </row>
    <row r="42" spans="1:24" x14ac:dyDescent="0.25">
      <c r="A42" s="1">
        <v>46169</v>
      </c>
      <c r="B42" t="s">
        <v>143</v>
      </c>
      <c r="C42" t="s">
        <v>144</v>
      </c>
      <c r="E42" t="s">
        <v>145</v>
      </c>
      <c r="F42" t="s">
        <v>49</v>
      </c>
      <c r="G42" t="s">
        <v>45</v>
      </c>
      <c r="H42" t="s">
        <v>29</v>
      </c>
      <c r="I42" t="s">
        <v>51</v>
      </c>
      <c r="J42" t="s">
        <v>127</v>
      </c>
      <c r="L42" s="1">
        <v>46143</v>
      </c>
      <c r="M42" s="1">
        <v>46143</v>
      </c>
      <c r="O42">
        <v>8244481</v>
      </c>
      <c r="P42" t="s">
        <v>32</v>
      </c>
      <c r="Q42" t="s">
        <v>146</v>
      </c>
      <c r="R42">
        <v>8192</v>
      </c>
      <c r="S42" t="s">
        <v>34</v>
      </c>
      <c r="T42" t="s">
        <v>35</v>
      </c>
      <c r="U42">
        <v>-331.33</v>
      </c>
      <c r="V42" t="s">
        <v>36</v>
      </c>
      <c r="W42" s="1">
        <v>46125</v>
      </c>
      <c r="X42">
        <v>2026</v>
      </c>
    </row>
    <row r="43" spans="1:24" x14ac:dyDescent="0.25">
      <c r="A43" s="1">
        <v>46169</v>
      </c>
      <c r="B43" t="s">
        <v>147</v>
      </c>
      <c r="C43" t="s">
        <v>148</v>
      </c>
      <c r="E43" t="s">
        <v>149</v>
      </c>
      <c r="F43" t="s">
        <v>27</v>
      </c>
      <c r="G43" t="s">
        <v>57</v>
      </c>
      <c r="H43" t="s">
        <v>29</v>
      </c>
      <c r="I43" t="s">
        <v>30</v>
      </c>
      <c r="J43" t="s">
        <v>31</v>
      </c>
      <c r="L43" s="1">
        <v>46204</v>
      </c>
      <c r="M43" s="1">
        <v>46204</v>
      </c>
      <c r="O43">
        <v>17886092</v>
      </c>
      <c r="P43" t="s">
        <v>32</v>
      </c>
      <c r="Q43" t="s">
        <v>33</v>
      </c>
      <c r="R43">
        <v>8192</v>
      </c>
      <c r="S43" t="s">
        <v>34</v>
      </c>
      <c r="T43" t="s">
        <v>35</v>
      </c>
      <c r="U43">
        <v>65</v>
      </c>
      <c r="V43" t="s">
        <v>44</v>
      </c>
      <c r="W43" s="1">
        <v>46129</v>
      </c>
      <c r="X43">
        <v>2026</v>
      </c>
    </row>
    <row r="44" spans="1:24" x14ac:dyDescent="0.25">
      <c r="A44" s="1">
        <v>46169</v>
      </c>
      <c r="B44" t="s">
        <v>147</v>
      </c>
      <c r="C44" t="s">
        <v>148</v>
      </c>
      <c r="E44" t="s">
        <v>149</v>
      </c>
      <c r="F44" t="s">
        <v>27</v>
      </c>
      <c r="G44" t="s">
        <v>45</v>
      </c>
      <c r="H44" t="s">
        <v>29</v>
      </c>
      <c r="I44" t="s">
        <v>30</v>
      </c>
      <c r="J44" t="s">
        <v>31</v>
      </c>
      <c r="L44" s="1">
        <v>46204</v>
      </c>
      <c r="M44" s="1">
        <v>46204</v>
      </c>
      <c r="O44">
        <v>17886092</v>
      </c>
      <c r="P44" t="s">
        <v>32</v>
      </c>
      <c r="Q44" t="s">
        <v>33</v>
      </c>
      <c r="R44">
        <v>8192</v>
      </c>
      <c r="S44" t="s">
        <v>34</v>
      </c>
      <c r="T44" t="s">
        <v>35</v>
      </c>
      <c r="U44">
        <v>-32.5</v>
      </c>
      <c r="V44" t="s">
        <v>36</v>
      </c>
      <c r="W44" s="1">
        <v>46129</v>
      </c>
      <c r="X44">
        <v>2026</v>
      </c>
    </row>
    <row r="45" spans="1:24" x14ac:dyDescent="0.25">
      <c r="A45" s="1">
        <v>46169</v>
      </c>
      <c r="B45" t="s">
        <v>150</v>
      </c>
      <c r="C45" t="s">
        <v>151</v>
      </c>
      <c r="E45" t="s">
        <v>152</v>
      </c>
      <c r="F45" t="s">
        <v>153</v>
      </c>
      <c r="G45" t="s">
        <v>154</v>
      </c>
      <c r="H45" t="s">
        <v>29</v>
      </c>
      <c r="I45" t="s">
        <v>155</v>
      </c>
      <c r="J45" t="s">
        <v>156</v>
      </c>
      <c r="L45" s="1">
        <v>46054</v>
      </c>
      <c r="M45" s="1">
        <v>46054</v>
      </c>
      <c r="O45">
        <v>18754354</v>
      </c>
      <c r="P45" t="s">
        <v>32</v>
      </c>
      <c r="Q45" t="s">
        <v>157</v>
      </c>
      <c r="R45">
        <v>8192</v>
      </c>
      <c r="S45" t="s">
        <v>34</v>
      </c>
      <c r="T45" t="s">
        <v>35</v>
      </c>
      <c r="U45">
        <v>829</v>
      </c>
      <c r="V45" t="s">
        <v>44</v>
      </c>
      <c r="W45" s="1">
        <v>45973</v>
      </c>
      <c r="X45">
        <v>2026</v>
      </c>
    </row>
    <row r="46" spans="1:24" x14ac:dyDescent="0.25">
      <c r="A46" s="1">
        <v>46169</v>
      </c>
      <c r="B46" t="s">
        <v>150</v>
      </c>
      <c r="C46" t="s">
        <v>151</v>
      </c>
      <c r="E46" t="s">
        <v>152</v>
      </c>
      <c r="F46" t="s">
        <v>153</v>
      </c>
      <c r="G46" t="s">
        <v>154</v>
      </c>
      <c r="H46" t="s">
        <v>29</v>
      </c>
      <c r="I46" t="s">
        <v>155</v>
      </c>
      <c r="J46" t="s">
        <v>156</v>
      </c>
      <c r="L46" s="1">
        <v>46054</v>
      </c>
      <c r="M46" s="1">
        <v>46054</v>
      </c>
      <c r="O46">
        <v>18754354</v>
      </c>
      <c r="P46" t="s">
        <v>32</v>
      </c>
      <c r="Q46" t="s">
        <v>157</v>
      </c>
      <c r="R46">
        <v>8192</v>
      </c>
      <c r="S46" t="s">
        <v>34</v>
      </c>
      <c r="T46" t="s">
        <v>35</v>
      </c>
      <c r="U46">
        <v>-207.25</v>
      </c>
      <c r="V46" t="s">
        <v>44</v>
      </c>
      <c r="W46" s="1">
        <v>45973</v>
      </c>
      <c r="X46">
        <v>2026</v>
      </c>
    </row>
    <row r="47" spans="1:24" x14ac:dyDescent="0.25">
      <c r="A47" s="1">
        <v>46169</v>
      </c>
      <c r="B47" t="s">
        <v>158</v>
      </c>
      <c r="C47" t="s">
        <v>159</v>
      </c>
      <c r="E47" t="s">
        <v>160</v>
      </c>
      <c r="F47" t="s">
        <v>27</v>
      </c>
      <c r="G47" t="s">
        <v>50</v>
      </c>
      <c r="H47" t="s">
        <v>29</v>
      </c>
      <c r="I47" t="s">
        <v>30</v>
      </c>
      <c r="J47" t="s">
        <v>31</v>
      </c>
      <c r="L47" s="1">
        <v>46235</v>
      </c>
      <c r="M47" s="1">
        <v>46235</v>
      </c>
      <c r="O47">
        <v>17886092</v>
      </c>
      <c r="P47" t="s">
        <v>32</v>
      </c>
      <c r="Q47" t="s">
        <v>33</v>
      </c>
      <c r="R47">
        <v>8192</v>
      </c>
      <c r="S47" t="s">
        <v>34</v>
      </c>
      <c r="T47" t="s">
        <v>35</v>
      </c>
      <c r="U47">
        <v>27.09</v>
      </c>
      <c r="V47" t="s">
        <v>36</v>
      </c>
      <c r="W47" s="1">
        <v>46147</v>
      </c>
      <c r="X47">
        <v>2026</v>
      </c>
    </row>
    <row r="48" spans="1:24" x14ac:dyDescent="0.25">
      <c r="A48" s="1">
        <v>46169</v>
      </c>
      <c r="B48" t="s">
        <v>161</v>
      </c>
      <c r="C48" t="s">
        <v>162</v>
      </c>
      <c r="E48" t="s">
        <v>163</v>
      </c>
      <c r="F48" t="s">
        <v>74</v>
      </c>
      <c r="G48" t="s">
        <v>57</v>
      </c>
      <c r="H48" t="s">
        <v>29</v>
      </c>
      <c r="I48" t="s">
        <v>75</v>
      </c>
      <c r="J48" t="s">
        <v>76</v>
      </c>
      <c r="L48" s="1">
        <v>46143</v>
      </c>
      <c r="M48" s="1">
        <v>46143</v>
      </c>
      <c r="O48">
        <v>16170994</v>
      </c>
      <c r="P48" t="s">
        <v>32</v>
      </c>
      <c r="Q48" t="s">
        <v>77</v>
      </c>
      <c r="R48">
        <v>8192</v>
      </c>
      <c r="S48" t="s">
        <v>34</v>
      </c>
      <c r="T48" t="s">
        <v>35</v>
      </c>
      <c r="U48">
        <v>844</v>
      </c>
      <c r="V48" t="s">
        <v>44</v>
      </c>
      <c r="W48" s="1">
        <v>46114</v>
      </c>
      <c r="X48">
        <v>2026</v>
      </c>
    </row>
    <row r="49" spans="1:24" x14ac:dyDescent="0.25">
      <c r="A49" s="1">
        <v>46169</v>
      </c>
      <c r="B49" t="s">
        <v>161</v>
      </c>
      <c r="C49" t="s">
        <v>162</v>
      </c>
      <c r="E49" t="s">
        <v>163</v>
      </c>
      <c r="F49" t="s">
        <v>74</v>
      </c>
      <c r="G49" t="s">
        <v>45</v>
      </c>
      <c r="H49" t="s">
        <v>29</v>
      </c>
      <c r="I49" t="s">
        <v>75</v>
      </c>
      <c r="J49" t="s">
        <v>76</v>
      </c>
      <c r="L49" s="1">
        <v>46143</v>
      </c>
      <c r="M49" s="1">
        <v>46143</v>
      </c>
      <c r="O49">
        <v>16170994</v>
      </c>
      <c r="P49" t="s">
        <v>32</v>
      </c>
      <c r="Q49" t="s">
        <v>77</v>
      </c>
      <c r="R49">
        <v>8192</v>
      </c>
      <c r="S49" t="s">
        <v>34</v>
      </c>
      <c r="T49" t="s">
        <v>35</v>
      </c>
      <c r="U49">
        <v>-331.33</v>
      </c>
      <c r="V49" t="s">
        <v>36</v>
      </c>
      <c r="W49" s="1">
        <v>46114</v>
      </c>
      <c r="X49">
        <v>2026</v>
      </c>
    </row>
    <row r="50" spans="1:24" x14ac:dyDescent="0.25">
      <c r="A50" s="1">
        <v>46169</v>
      </c>
      <c r="B50" t="s">
        <v>164</v>
      </c>
      <c r="C50" t="s">
        <v>165</v>
      </c>
      <c r="E50" t="s">
        <v>166</v>
      </c>
      <c r="F50" t="s">
        <v>74</v>
      </c>
      <c r="G50" t="s">
        <v>57</v>
      </c>
      <c r="H50" t="s">
        <v>29</v>
      </c>
      <c r="I50" t="s">
        <v>75</v>
      </c>
      <c r="J50" t="s">
        <v>76</v>
      </c>
      <c r="L50" s="1">
        <v>46143</v>
      </c>
      <c r="M50" s="1">
        <v>46143</v>
      </c>
      <c r="O50">
        <v>16170994</v>
      </c>
      <c r="P50" t="s">
        <v>32</v>
      </c>
      <c r="Q50" t="s">
        <v>77</v>
      </c>
      <c r="R50">
        <v>8192</v>
      </c>
      <c r="S50" t="s">
        <v>34</v>
      </c>
      <c r="T50" t="s">
        <v>35</v>
      </c>
      <c r="U50">
        <v>844</v>
      </c>
      <c r="V50" t="s">
        <v>44</v>
      </c>
      <c r="W50" s="1">
        <v>46115</v>
      </c>
      <c r="X50">
        <v>2026</v>
      </c>
    </row>
    <row r="51" spans="1:24" x14ac:dyDescent="0.25">
      <c r="A51" s="1">
        <v>46169</v>
      </c>
      <c r="B51" t="s">
        <v>164</v>
      </c>
      <c r="C51" t="s">
        <v>165</v>
      </c>
      <c r="E51" t="s">
        <v>166</v>
      </c>
      <c r="F51" t="s">
        <v>74</v>
      </c>
      <c r="G51" t="s">
        <v>45</v>
      </c>
      <c r="H51" t="s">
        <v>29</v>
      </c>
      <c r="I51" t="s">
        <v>75</v>
      </c>
      <c r="J51" t="s">
        <v>76</v>
      </c>
      <c r="L51" s="1">
        <v>46143</v>
      </c>
      <c r="M51" s="1">
        <v>46143</v>
      </c>
      <c r="O51">
        <v>16170994</v>
      </c>
      <c r="P51" t="s">
        <v>32</v>
      </c>
      <c r="Q51" t="s">
        <v>77</v>
      </c>
      <c r="R51">
        <v>8192</v>
      </c>
      <c r="S51" t="s">
        <v>34</v>
      </c>
      <c r="T51" t="s">
        <v>35</v>
      </c>
      <c r="U51">
        <v>-331.33</v>
      </c>
      <c r="V51" t="s">
        <v>36</v>
      </c>
      <c r="W51" s="1">
        <v>46115</v>
      </c>
      <c r="X51">
        <v>2026</v>
      </c>
    </row>
    <row r="52" spans="1:24" x14ac:dyDescent="0.25">
      <c r="A52" s="1">
        <v>46169</v>
      </c>
      <c r="B52" t="s">
        <v>167</v>
      </c>
      <c r="C52" t="s">
        <v>168</v>
      </c>
      <c r="E52" t="s">
        <v>169</v>
      </c>
      <c r="F52" t="s">
        <v>170</v>
      </c>
      <c r="G52" t="s">
        <v>28</v>
      </c>
      <c r="H52" t="s">
        <v>29</v>
      </c>
      <c r="I52" t="s">
        <v>171</v>
      </c>
      <c r="J52" t="s">
        <v>172</v>
      </c>
      <c r="L52" s="1">
        <v>46023</v>
      </c>
      <c r="M52" s="1">
        <v>46023</v>
      </c>
      <c r="N52" s="1">
        <v>46173</v>
      </c>
      <c r="O52">
        <v>17554531</v>
      </c>
      <c r="P52" t="s">
        <v>32</v>
      </c>
      <c r="Q52" t="s">
        <v>173</v>
      </c>
      <c r="R52">
        <v>8192</v>
      </c>
      <c r="S52" t="s">
        <v>34</v>
      </c>
      <c r="T52" t="s">
        <v>35</v>
      </c>
      <c r="U52">
        <v>207.08</v>
      </c>
      <c r="V52" t="s">
        <v>36</v>
      </c>
      <c r="W52" s="1">
        <v>45993</v>
      </c>
      <c r="X52">
        <v>2026</v>
      </c>
    </row>
    <row r="53" spans="1:24" x14ac:dyDescent="0.25">
      <c r="A53" s="1">
        <v>46169</v>
      </c>
      <c r="B53" t="s">
        <v>167</v>
      </c>
      <c r="C53" t="s">
        <v>168</v>
      </c>
      <c r="E53" t="s">
        <v>169</v>
      </c>
      <c r="F53" t="s">
        <v>170</v>
      </c>
      <c r="G53" t="s">
        <v>37</v>
      </c>
      <c r="H53" t="s">
        <v>29</v>
      </c>
      <c r="I53" t="s">
        <v>171</v>
      </c>
      <c r="J53" t="s">
        <v>172</v>
      </c>
      <c r="L53" s="1">
        <v>46023</v>
      </c>
      <c r="M53" s="1">
        <v>46023</v>
      </c>
      <c r="N53" s="1">
        <v>46173</v>
      </c>
      <c r="O53">
        <v>17554531</v>
      </c>
      <c r="P53" t="s">
        <v>32</v>
      </c>
      <c r="Q53" t="s">
        <v>173</v>
      </c>
      <c r="R53">
        <v>8192</v>
      </c>
      <c r="S53" t="s">
        <v>34</v>
      </c>
      <c r="T53" t="s">
        <v>35</v>
      </c>
      <c r="U53">
        <v>-497</v>
      </c>
      <c r="V53" t="s">
        <v>36</v>
      </c>
      <c r="W53" s="1">
        <v>45993</v>
      </c>
      <c r="X53">
        <v>2026</v>
      </c>
    </row>
    <row r="54" spans="1:24" x14ac:dyDescent="0.25">
      <c r="A54" s="1">
        <v>46169</v>
      </c>
      <c r="B54" t="s">
        <v>174</v>
      </c>
      <c r="C54" t="s">
        <v>175</v>
      </c>
      <c r="E54" t="s">
        <v>176</v>
      </c>
      <c r="F54" t="s">
        <v>177</v>
      </c>
      <c r="G54" t="s">
        <v>50</v>
      </c>
      <c r="H54" t="s">
        <v>29</v>
      </c>
      <c r="I54" t="s">
        <v>178</v>
      </c>
      <c r="J54" t="s">
        <v>179</v>
      </c>
      <c r="L54" s="1">
        <v>46174</v>
      </c>
      <c r="M54" s="1">
        <v>46174</v>
      </c>
      <c r="O54">
        <v>8307933</v>
      </c>
      <c r="P54" t="s">
        <v>32</v>
      </c>
      <c r="Q54" t="s">
        <v>93</v>
      </c>
      <c r="R54">
        <v>8192</v>
      </c>
      <c r="S54" t="s">
        <v>34</v>
      </c>
      <c r="T54" t="s">
        <v>35</v>
      </c>
      <c r="U54">
        <v>289.92</v>
      </c>
      <c r="V54" t="s">
        <v>36</v>
      </c>
      <c r="W54" s="1">
        <v>46154</v>
      </c>
      <c r="X54">
        <v>2026</v>
      </c>
    </row>
    <row r="55" spans="1:24" x14ac:dyDescent="0.25">
      <c r="A55" s="1">
        <v>46169</v>
      </c>
      <c r="B55" t="s">
        <v>180</v>
      </c>
      <c r="C55" t="s">
        <v>181</v>
      </c>
      <c r="E55" t="s">
        <v>182</v>
      </c>
      <c r="F55" t="s">
        <v>27</v>
      </c>
      <c r="G55" t="s">
        <v>57</v>
      </c>
      <c r="H55" t="s">
        <v>29</v>
      </c>
      <c r="I55" t="s">
        <v>30</v>
      </c>
      <c r="J55" t="s">
        <v>183</v>
      </c>
      <c r="L55" s="1">
        <v>46143</v>
      </c>
      <c r="M55" s="1">
        <v>46143</v>
      </c>
      <c r="O55">
        <v>16212649</v>
      </c>
      <c r="P55" t="s">
        <v>32</v>
      </c>
      <c r="Q55" t="s">
        <v>184</v>
      </c>
      <c r="R55">
        <v>8192</v>
      </c>
      <c r="S55" t="s">
        <v>34</v>
      </c>
      <c r="T55" t="s">
        <v>35</v>
      </c>
      <c r="U55">
        <v>931</v>
      </c>
      <c r="V55" t="s">
        <v>44</v>
      </c>
      <c r="W55" s="1">
        <v>46127</v>
      </c>
      <c r="X55">
        <v>2026</v>
      </c>
    </row>
    <row r="56" spans="1:24" x14ac:dyDescent="0.25">
      <c r="A56" s="1">
        <v>46169</v>
      </c>
      <c r="B56" t="s">
        <v>180</v>
      </c>
      <c r="C56" t="s">
        <v>181</v>
      </c>
      <c r="E56" t="s">
        <v>182</v>
      </c>
      <c r="F56" t="s">
        <v>27</v>
      </c>
      <c r="G56" t="s">
        <v>45</v>
      </c>
      <c r="H56" t="s">
        <v>29</v>
      </c>
      <c r="I56" t="s">
        <v>30</v>
      </c>
      <c r="J56" t="s">
        <v>183</v>
      </c>
      <c r="L56" s="1">
        <v>46143</v>
      </c>
      <c r="M56" s="1">
        <v>46143</v>
      </c>
      <c r="O56">
        <v>16212649</v>
      </c>
      <c r="P56" t="s">
        <v>32</v>
      </c>
      <c r="Q56" t="s">
        <v>184</v>
      </c>
      <c r="R56">
        <v>8192</v>
      </c>
      <c r="S56" t="s">
        <v>34</v>
      </c>
      <c r="T56" t="s">
        <v>35</v>
      </c>
      <c r="U56">
        <v>-360.67</v>
      </c>
      <c r="V56" t="s">
        <v>36</v>
      </c>
      <c r="W56" s="1">
        <v>46127</v>
      </c>
      <c r="X56">
        <v>2026</v>
      </c>
    </row>
    <row r="57" spans="1:24" x14ac:dyDescent="0.25">
      <c r="A57" s="1">
        <v>46169</v>
      </c>
      <c r="B57" t="s">
        <v>185</v>
      </c>
      <c r="C57" t="s">
        <v>186</v>
      </c>
      <c r="E57" t="s">
        <v>187</v>
      </c>
      <c r="F57" t="s">
        <v>49</v>
      </c>
      <c r="G57" t="s">
        <v>57</v>
      </c>
      <c r="H57" t="s">
        <v>29</v>
      </c>
      <c r="I57" t="s">
        <v>103</v>
      </c>
      <c r="J57" t="s">
        <v>188</v>
      </c>
      <c r="L57" s="1">
        <v>46143</v>
      </c>
      <c r="M57" s="1">
        <v>46143</v>
      </c>
      <c r="O57">
        <v>8405446</v>
      </c>
      <c r="P57" t="s">
        <v>32</v>
      </c>
      <c r="Q57" t="s">
        <v>189</v>
      </c>
      <c r="R57">
        <v>8192</v>
      </c>
      <c r="S57" t="s">
        <v>34</v>
      </c>
      <c r="T57" t="s">
        <v>35</v>
      </c>
      <c r="U57">
        <v>844</v>
      </c>
      <c r="V57" t="s">
        <v>44</v>
      </c>
      <c r="W57" s="1">
        <v>46114</v>
      </c>
      <c r="X57">
        <v>2026</v>
      </c>
    </row>
    <row r="58" spans="1:24" x14ac:dyDescent="0.25">
      <c r="A58" s="1">
        <v>46169</v>
      </c>
      <c r="B58" t="s">
        <v>185</v>
      </c>
      <c r="C58" t="s">
        <v>186</v>
      </c>
      <c r="E58" t="s">
        <v>187</v>
      </c>
      <c r="F58" t="s">
        <v>49</v>
      </c>
      <c r="G58" t="s">
        <v>45</v>
      </c>
      <c r="H58" t="s">
        <v>29</v>
      </c>
      <c r="I58" t="s">
        <v>103</v>
      </c>
      <c r="J58" t="s">
        <v>188</v>
      </c>
      <c r="L58" s="1">
        <v>46143</v>
      </c>
      <c r="M58" s="1">
        <v>46143</v>
      </c>
      <c r="O58">
        <v>8405446</v>
      </c>
      <c r="P58" t="s">
        <v>32</v>
      </c>
      <c r="Q58" t="s">
        <v>189</v>
      </c>
      <c r="R58">
        <v>8192</v>
      </c>
      <c r="S58" t="s">
        <v>34</v>
      </c>
      <c r="T58" t="s">
        <v>35</v>
      </c>
      <c r="U58">
        <v>-331.33</v>
      </c>
      <c r="V58" t="s">
        <v>36</v>
      </c>
      <c r="W58" s="1">
        <v>46114</v>
      </c>
      <c r="X58">
        <v>2026</v>
      </c>
    </row>
    <row r="59" spans="1:24" x14ac:dyDescent="0.25">
      <c r="A59" s="1">
        <v>46169</v>
      </c>
      <c r="B59" t="s">
        <v>190</v>
      </c>
      <c r="C59" t="s">
        <v>191</v>
      </c>
      <c r="E59" t="s">
        <v>192</v>
      </c>
      <c r="F59" t="s">
        <v>27</v>
      </c>
      <c r="G59" t="s">
        <v>57</v>
      </c>
      <c r="H59" t="s">
        <v>29</v>
      </c>
      <c r="I59" t="s">
        <v>30</v>
      </c>
      <c r="J59" t="s">
        <v>31</v>
      </c>
      <c r="L59" s="1">
        <v>46174</v>
      </c>
      <c r="M59" s="1">
        <v>46174</v>
      </c>
      <c r="O59">
        <v>20253958</v>
      </c>
      <c r="P59" t="s">
        <v>32</v>
      </c>
      <c r="Q59" t="s">
        <v>138</v>
      </c>
      <c r="R59">
        <v>8192</v>
      </c>
      <c r="S59" t="s">
        <v>34</v>
      </c>
      <c r="T59" t="s">
        <v>35</v>
      </c>
      <c r="U59">
        <v>65</v>
      </c>
      <c r="V59" t="s">
        <v>44</v>
      </c>
      <c r="W59" s="1">
        <v>46125</v>
      </c>
      <c r="X59">
        <v>2026</v>
      </c>
    </row>
    <row r="60" spans="1:24" x14ac:dyDescent="0.25">
      <c r="A60" s="1">
        <v>46169</v>
      </c>
      <c r="B60" t="s">
        <v>190</v>
      </c>
      <c r="C60" t="s">
        <v>191</v>
      </c>
      <c r="E60" t="s">
        <v>192</v>
      </c>
      <c r="F60" t="s">
        <v>27</v>
      </c>
      <c r="G60" t="s">
        <v>45</v>
      </c>
      <c r="H60" t="s">
        <v>29</v>
      </c>
      <c r="I60" t="s">
        <v>30</v>
      </c>
      <c r="J60" t="s">
        <v>31</v>
      </c>
      <c r="L60" s="1">
        <v>46174</v>
      </c>
      <c r="M60" s="1">
        <v>46174</v>
      </c>
      <c r="O60">
        <v>20253958</v>
      </c>
      <c r="P60" t="s">
        <v>32</v>
      </c>
      <c r="Q60" t="s">
        <v>138</v>
      </c>
      <c r="R60">
        <v>8192</v>
      </c>
      <c r="S60" t="s">
        <v>34</v>
      </c>
      <c r="T60" t="s">
        <v>35</v>
      </c>
      <c r="U60">
        <v>-37.909999999999997</v>
      </c>
      <c r="V60" t="s">
        <v>36</v>
      </c>
      <c r="W60" s="1">
        <v>46125</v>
      </c>
      <c r="X60">
        <v>2026</v>
      </c>
    </row>
    <row r="61" spans="1:24" x14ac:dyDescent="0.25">
      <c r="A61" s="1">
        <v>46169</v>
      </c>
      <c r="B61" t="s">
        <v>193</v>
      </c>
      <c r="C61" t="s">
        <v>194</v>
      </c>
      <c r="E61" t="s">
        <v>195</v>
      </c>
      <c r="F61" t="s">
        <v>49</v>
      </c>
      <c r="G61" t="s">
        <v>57</v>
      </c>
      <c r="H61" t="s">
        <v>29</v>
      </c>
      <c r="I61" t="s">
        <v>51</v>
      </c>
      <c r="J61" t="s">
        <v>127</v>
      </c>
      <c r="L61" s="1">
        <v>46113</v>
      </c>
      <c r="M61" s="1">
        <v>46113</v>
      </c>
      <c r="O61">
        <v>19268643</v>
      </c>
      <c r="P61" t="s">
        <v>32</v>
      </c>
      <c r="Q61" t="s">
        <v>196</v>
      </c>
      <c r="R61">
        <v>8192</v>
      </c>
      <c r="S61" t="s">
        <v>34</v>
      </c>
      <c r="T61" t="s">
        <v>35</v>
      </c>
      <c r="U61">
        <v>844</v>
      </c>
      <c r="V61" t="s">
        <v>44</v>
      </c>
      <c r="W61" s="1">
        <v>46101</v>
      </c>
      <c r="X61">
        <v>2026</v>
      </c>
    </row>
    <row r="62" spans="1:24" x14ac:dyDescent="0.25">
      <c r="A62" s="1">
        <v>46169</v>
      </c>
      <c r="B62" t="s">
        <v>193</v>
      </c>
      <c r="C62" t="s">
        <v>194</v>
      </c>
      <c r="E62" t="s">
        <v>195</v>
      </c>
      <c r="F62" t="s">
        <v>49</v>
      </c>
      <c r="G62" t="s">
        <v>45</v>
      </c>
      <c r="H62" t="s">
        <v>29</v>
      </c>
      <c r="I62" t="s">
        <v>51</v>
      </c>
      <c r="J62" t="s">
        <v>127</v>
      </c>
      <c r="L62" s="1">
        <v>46113</v>
      </c>
      <c r="M62" s="1">
        <v>46113</v>
      </c>
      <c r="O62">
        <v>19268643</v>
      </c>
      <c r="P62" t="s">
        <v>32</v>
      </c>
      <c r="Q62" t="s">
        <v>196</v>
      </c>
      <c r="R62">
        <v>8192</v>
      </c>
      <c r="S62" t="s">
        <v>34</v>
      </c>
      <c r="T62" t="s">
        <v>35</v>
      </c>
      <c r="U62">
        <v>-372.75</v>
      </c>
      <c r="V62" t="s">
        <v>36</v>
      </c>
      <c r="W62" s="1">
        <v>46101</v>
      </c>
      <c r="X62">
        <v>2026</v>
      </c>
    </row>
    <row r="63" spans="1:24" x14ac:dyDescent="0.25">
      <c r="A63" s="1">
        <v>46169</v>
      </c>
      <c r="B63" t="s">
        <v>197</v>
      </c>
      <c r="C63" t="s">
        <v>198</v>
      </c>
      <c r="E63" t="s">
        <v>199</v>
      </c>
      <c r="F63" t="s">
        <v>27</v>
      </c>
      <c r="G63" t="s">
        <v>57</v>
      </c>
      <c r="H63" t="s">
        <v>29</v>
      </c>
      <c r="I63" t="s">
        <v>30</v>
      </c>
      <c r="J63" t="s">
        <v>31</v>
      </c>
      <c r="L63" s="1">
        <v>46143</v>
      </c>
      <c r="M63" s="1">
        <v>46143</v>
      </c>
      <c r="O63">
        <v>20253958</v>
      </c>
      <c r="P63" t="s">
        <v>32</v>
      </c>
      <c r="Q63" t="s">
        <v>138</v>
      </c>
      <c r="R63">
        <v>8192</v>
      </c>
      <c r="S63" t="s">
        <v>34</v>
      </c>
      <c r="T63" t="s">
        <v>35</v>
      </c>
      <c r="U63">
        <v>65</v>
      </c>
      <c r="V63" t="s">
        <v>44</v>
      </c>
      <c r="W63" s="1">
        <v>46119</v>
      </c>
      <c r="X63">
        <v>2026</v>
      </c>
    </row>
    <row r="64" spans="1:24" x14ac:dyDescent="0.25">
      <c r="A64" s="1">
        <v>46169</v>
      </c>
      <c r="B64" t="s">
        <v>197</v>
      </c>
      <c r="C64" t="s">
        <v>198</v>
      </c>
      <c r="E64" t="s">
        <v>199</v>
      </c>
      <c r="F64" t="s">
        <v>27</v>
      </c>
      <c r="G64" t="s">
        <v>45</v>
      </c>
      <c r="H64" t="s">
        <v>29</v>
      </c>
      <c r="I64" t="s">
        <v>30</v>
      </c>
      <c r="J64" t="s">
        <v>31</v>
      </c>
      <c r="L64" s="1">
        <v>46143</v>
      </c>
      <c r="M64" s="1">
        <v>46143</v>
      </c>
      <c r="O64">
        <v>20253958</v>
      </c>
      <c r="P64" t="s">
        <v>32</v>
      </c>
      <c r="Q64" t="s">
        <v>138</v>
      </c>
      <c r="R64">
        <v>8192</v>
      </c>
      <c r="S64" t="s">
        <v>34</v>
      </c>
      <c r="T64" t="s">
        <v>35</v>
      </c>
      <c r="U64">
        <v>-43.34</v>
      </c>
      <c r="V64" t="s">
        <v>36</v>
      </c>
      <c r="W64" s="1">
        <v>46119</v>
      </c>
      <c r="X64">
        <v>2026</v>
      </c>
    </row>
    <row r="65" spans="1:24" x14ac:dyDescent="0.25">
      <c r="A65" s="1">
        <v>46169</v>
      </c>
      <c r="B65" t="s">
        <v>200</v>
      </c>
      <c r="C65" t="s">
        <v>201</v>
      </c>
      <c r="E65" t="s">
        <v>202</v>
      </c>
      <c r="F65" t="s">
        <v>49</v>
      </c>
      <c r="G65" t="s">
        <v>57</v>
      </c>
      <c r="H65" t="s">
        <v>29</v>
      </c>
      <c r="I65" t="s">
        <v>103</v>
      </c>
      <c r="J65" t="s">
        <v>104</v>
      </c>
      <c r="L65" s="1">
        <v>46113</v>
      </c>
      <c r="M65" s="1">
        <v>46113</v>
      </c>
      <c r="N65" s="1">
        <v>46142</v>
      </c>
      <c r="O65">
        <v>19586992</v>
      </c>
      <c r="P65" t="s">
        <v>32</v>
      </c>
      <c r="Q65" t="s">
        <v>203</v>
      </c>
      <c r="R65">
        <v>8192</v>
      </c>
      <c r="S65" t="s">
        <v>34</v>
      </c>
      <c r="T65" t="s">
        <v>35</v>
      </c>
      <c r="U65">
        <v>70.33</v>
      </c>
      <c r="V65" t="s">
        <v>44</v>
      </c>
      <c r="W65" s="1">
        <v>46112</v>
      </c>
      <c r="X65">
        <v>2026</v>
      </c>
    </row>
    <row r="66" spans="1:24" x14ac:dyDescent="0.25">
      <c r="A66" s="1">
        <v>46169</v>
      </c>
      <c r="B66" t="s">
        <v>200</v>
      </c>
      <c r="C66" t="s">
        <v>201</v>
      </c>
      <c r="E66" t="s">
        <v>202</v>
      </c>
      <c r="F66" t="s">
        <v>49</v>
      </c>
      <c r="G66" t="s">
        <v>45</v>
      </c>
      <c r="H66" t="s">
        <v>29</v>
      </c>
      <c r="I66" t="s">
        <v>103</v>
      </c>
      <c r="J66" t="s">
        <v>104</v>
      </c>
      <c r="L66" s="1">
        <v>46113</v>
      </c>
      <c r="M66" s="1">
        <v>46113</v>
      </c>
      <c r="N66" s="1">
        <v>46142</v>
      </c>
      <c r="O66">
        <v>19586992</v>
      </c>
      <c r="P66" t="s">
        <v>32</v>
      </c>
      <c r="Q66" t="s">
        <v>203</v>
      </c>
      <c r="R66">
        <v>8192</v>
      </c>
      <c r="S66" t="s">
        <v>34</v>
      </c>
      <c r="T66" t="s">
        <v>35</v>
      </c>
      <c r="U66">
        <v>-41.42</v>
      </c>
      <c r="V66" t="s">
        <v>36</v>
      </c>
      <c r="W66" s="1">
        <v>46112</v>
      </c>
      <c r="X66">
        <v>2026</v>
      </c>
    </row>
    <row r="67" spans="1:24" x14ac:dyDescent="0.25">
      <c r="A67" s="1">
        <v>46169</v>
      </c>
      <c r="B67" t="s">
        <v>204</v>
      </c>
      <c r="C67" t="s">
        <v>205</v>
      </c>
      <c r="E67" t="s">
        <v>206</v>
      </c>
      <c r="F67" t="s">
        <v>49</v>
      </c>
      <c r="G67" t="s">
        <v>28</v>
      </c>
      <c r="H67" t="s">
        <v>29</v>
      </c>
      <c r="I67" t="s">
        <v>51</v>
      </c>
      <c r="J67" t="s">
        <v>207</v>
      </c>
      <c r="L67" s="1">
        <v>46023</v>
      </c>
      <c r="M67" s="1">
        <v>46023</v>
      </c>
      <c r="N67" s="1">
        <v>46173</v>
      </c>
      <c r="O67">
        <v>8307933</v>
      </c>
      <c r="P67" t="s">
        <v>32</v>
      </c>
      <c r="Q67" t="s">
        <v>93</v>
      </c>
      <c r="R67">
        <v>8192</v>
      </c>
      <c r="S67" t="s">
        <v>34</v>
      </c>
      <c r="T67" t="s">
        <v>35</v>
      </c>
      <c r="U67">
        <v>207.08</v>
      </c>
      <c r="V67" t="s">
        <v>36</v>
      </c>
      <c r="W67" s="1">
        <v>45994</v>
      </c>
      <c r="X67">
        <v>2026</v>
      </c>
    </row>
    <row r="68" spans="1:24" x14ac:dyDescent="0.25">
      <c r="A68" s="1">
        <v>46169</v>
      </c>
      <c r="B68" t="s">
        <v>204</v>
      </c>
      <c r="C68" t="s">
        <v>205</v>
      </c>
      <c r="E68" t="s">
        <v>206</v>
      </c>
      <c r="F68" t="s">
        <v>49</v>
      </c>
      <c r="G68" t="s">
        <v>37</v>
      </c>
      <c r="H68" t="s">
        <v>29</v>
      </c>
      <c r="I68" t="s">
        <v>51</v>
      </c>
      <c r="J68" t="s">
        <v>207</v>
      </c>
      <c r="L68" s="1">
        <v>46023</v>
      </c>
      <c r="M68" s="1">
        <v>46023</v>
      </c>
      <c r="N68" s="1">
        <v>46173</v>
      </c>
      <c r="O68">
        <v>8307933</v>
      </c>
      <c r="P68" t="s">
        <v>32</v>
      </c>
      <c r="Q68" t="s">
        <v>93</v>
      </c>
      <c r="R68">
        <v>8192</v>
      </c>
      <c r="S68" t="s">
        <v>34</v>
      </c>
      <c r="T68" t="s">
        <v>35</v>
      </c>
      <c r="U68">
        <v>-497</v>
      </c>
      <c r="V68" t="s">
        <v>36</v>
      </c>
      <c r="W68" s="1">
        <v>45994</v>
      </c>
      <c r="X68">
        <v>2026</v>
      </c>
    </row>
    <row r="69" spans="1:24" x14ac:dyDescent="0.25">
      <c r="A69" s="1"/>
      <c r="L69" s="1"/>
      <c r="M69" s="1"/>
      <c r="W69" s="1"/>
    </row>
    <row r="70" spans="1:24" x14ac:dyDescent="0.25">
      <c r="A70" s="1"/>
      <c r="L70" s="1"/>
      <c r="M70" s="1"/>
      <c r="W70" s="1"/>
    </row>
    <row r="71" spans="1:24" x14ac:dyDescent="0.25">
      <c r="A71" s="1"/>
      <c r="L71" s="1"/>
      <c r="M71" s="1"/>
      <c r="W71" s="1"/>
    </row>
    <row r="72" spans="1:24" x14ac:dyDescent="0.25">
      <c r="A72" s="1"/>
      <c r="L72" s="1"/>
      <c r="M72" s="1"/>
      <c r="W72" s="1"/>
    </row>
    <row r="73" spans="1:24" x14ac:dyDescent="0.25">
      <c r="A73" s="1"/>
      <c r="L73" s="1"/>
      <c r="M73" s="1"/>
      <c r="W73" s="1"/>
    </row>
    <row r="74" spans="1:24" x14ac:dyDescent="0.25">
      <c r="A74" s="1"/>
      <c r="L74" s="1"/>
      <c r="M74" s="1"/>
      <c r="W74" s="1"/>
    </row>
    <row r="75" spans="1:24" x14ac:dyDescent="0.25">
      <c r="A75" s="1"/>
      <c r="L75" s="1"/>
      <c r="M75" s="1"/>
      <c r="W75" s="1"/>
    </row>
    <row r="76" spans="1:24" x14ac:dyDescent="0.25">
      <c r="A76" s="1"/>
      <c r="L76" s="1"/>
      <c r="M76" s="1"/>
      <c r="W76" s="1"/>
    </row>
    <row r="77" spans="1:24" x14ac:dyDescent="0.25">
      <c r="A77" s="1"/>
      <c r="L77" s="1"/>
      <c r="M77" s="1"/>
      <c r="W77" s="1"/>
    </row>
    <row r="78" spans="1:24" x14ac:dyDescent="0.25">
      <c r="A78" s="1"/>
      <c r="L78" s="1"/>
      <c r="M78" s="1"/>
      <c r="W78" s="1"/>
    </row>
    <row r="79" spans="1:24" x14ac:dyDescent="0.25">
      <c r="A79" s="1"/>
      <c r="L79" s="1"/>
      <c r="M79" s="1"/>
      <c r="W79" s="1"/>
    </row>
    <row r="80" spans="1:24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N314" s="1"/>
      <c r="W314" s="1"/>
    </row>
    <row r="315" spans="1:23" x14ac:dyDescent="0.25">
      <c r="A315" s="1"/>
      <c r="L315" s="1"/>
      <c r="M315" s="1"/>
      <c r="N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N747" s="1"/>
      <c r="W747" s="1"/>
    </row>
    <row r="748" spans="1:23" x14ac:dyDescent="0.25">
      <c r="A748" s="1"/>
      <c r="L748" s="1"/>
      <c r="M748" s="1"/>
      <c r="N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N1177" s="1"/>
      <c r="W1177" s="1"/>
    </row>
    <row r="1178" spans="1:23" x14ac:dyDescent="0.25">
      <c r="A1178" s="1"/>
      <c r="L1178" s="1"/>
      <c r="M1178" s="1"/>
      <c r="N1178" s="1"/>
      <c r="W1178" s="1"/>
    </row>
    <row r="1179" spans="1:23" x14ac:dyDescent="0.25">
      <c r="A1179" s="1"/>
      <c r="L1179" s="1"/>
      <c r="M1179" s="1"/>
      <c r="N1179" s="1"/>
      <c r="W1179" s="1"/>
    </row>
    <row r="1180" spans="1:23" x14ac:dyDescent="0.25">
      <c r="A1180" s="1"/>
      <c r="L1180" s="1"/>
      <c r="M1180" s="1"/>
      <c r="N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N1256" s="1"/>
      <c r="W1256" s="1"/>
    </row>
    <row r="1257" spans="1:23" x14ac:dyDescent="0.25">
      <c r="A1257" s="1"/>
      <c r="L1257" s="1"/>
      <c r="M1257" s="1"/>
      <c r="N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N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N1262" s="1"/>
      <c r="W1262" s="1"/>
    </row>
    <row r="1263" spans="1:23" x14ac:dyDescent="0.25">
      <c r="A1263" s="1"/>
      <c r="L1263" s="1"/>
      <c r="M1263" s="1"/>
      <c r="N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N1268" s="1"/>
      <c r="W1268" s="1"/>
    </row>
    <row r="1269" spans="1:23" x14ac:dyDescent="0.25">
      <c r="A1269" s="1"/>
      <c r="L1269" s="1"/>
      <c r="M1269" s="1"/>
      <c r="N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N1271" s="1"/>
      <c r="W1271" s="1"/>
    </row>
    <row r="1272" spans="1:23" x14ac:dyDescent="0.25">
      <c r="A1272" s="1"/>
      <c r="L1272" s="1"/>
      <c r="M1272" s="1"/>
      <c r="N1272" s="1"/>
      <c r="W1272" s="1"/>
    </row>
    <row r="1273" spans="1:23" x14ac:dyDescent="0.25">
      <c r="A1273" s="1"/>
      <c r="L1273" s="1"/>
      <c r="M1273" s="1"/>
      <c r="N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9" spans="1:23" x14ac:dyDescent="0.25">
      <c r="A1279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4AFB-B17E-4104-AD0B-33D6261B0950}">
  <dimension ref="A1:AE1332"/>
  <sheetViews>
    <sheetView topLeftCell="A55" workbookViewId="0">
      <selection activeCell="A58" sqref="A58:A124"/>
    </sheetView>
  </sheetViews>
  <sheetFormatPr defaultRowHeight="15" x14ac:dyDescent="0.25"/>
  <cols>
    <col min="1" max="1" width="15.7109375" bestFit="1" customWidth="1"/>
    <col min="2" max="2" width="18.85546875" bestFit="1" customWidth="1"/>
    <col min="3" max="3" width="14" customWidth="1"/>
    <col min="4" max="4" width="11" customWidth="1"/>
    <col min="5" max="5" width="17.140625" customWidth="1"/>
    <col min="6" max="6" width="23" customWidth="1"/>
    <col min="7" max="7" width="7.28515625" bestFit="1" customWidth="1"/>
    <col min="8" max="8" width="14.42578125" bestFit="1" customWidth="1"/>
    <col min="9" max="9" width="12.5703125" bestFit="1" customWidth="1"/>
    <col min="10" max="10" width="16.28515625" bestFit="1" customWidth="1"/>
    <col min="11" max="11" width="25.85546875" bestFit="1" customWidth="1"/>
    <col min="12" max="12" width="12.7109375" bestFit="1" customWidth="1"/>
    <col min="13" max="14" width="12.7109375" customWidth="1"/>
    <col min="15" max="15" width="22" bestFit="1" customWidth="1"/>
  </cols>
  <sheetData>
    <row r="1" spans="1:31" x14ac:dyDescent="0.25">
      <c r="A1" t="s">
        <v>1</v>
      </c>
      <c r="C1" t="s">
        <v>4</v>
      </c>
      <c r="F1" t="s">
        <v>5</v>
      </c>
      <c r="G1" t="s">
        <v>7</v>
      </c>
      <c r="H1" t="s">
        <v>11</v>
      </c>
      <c r="I1" t="s">
        <v>12</v>
      </c>
      <c r="J1" t="s">
        <v>14</v>
      </c>
      <c r="K1" t="s">
        <v>16</v>
      </c>
      <c r="L1" t="s">
        <v>20</v>
      </c>
    </row>
    <row r="2" spans="1:31" s="6" customFormat="1" x14ac:dyDescent="0.25">
      <c r="A2" s="4" t="s">
        <v>78</v>
      </c>
      <c r="B2" s="4" t="str">
        <f>CONCATENATE(A2,89)</f>
        <v>5EK3MF0GC9089</v>
      </c>
      <c r="C2" s="4" t="s">
        <v>225</v>
      </c>
      <c r="D2" s="4" t="s">
        <v>226</v>
      </c>
      <c r="E2" s="4" t="str">
        <f t="shared" ref="E2:E33" si="0">CONCATENATE(D2," ",C2)</f>
        <v>DAVID DREXLER</v>
      </c>
      <c r="F2" s="4" t="s">
        <v>27</v>
      </c>
      <c r="G2" s="4" t="s">
        <v>29</v>
      </c>
      <c r="H2" s="5">
        <v>46023</v>
      </c>
      <c r="I2" s="5">
        <v>46023</v>
      </c>
      <c r="J2" s="4" t="s">
        <v>300</v>
      </c>
      <c r="K2" s="4" t="s">
        <v>81</v>
      </c>
      <c r="L2" s="4">
        <v>-541</v>
      </c>
      <c r="M2" s="4">
        <v>-1</v>
      </c>
      <c r="N2" s="4">
        <v>-391</v>
      </c>
      <c r="O2" s="4" t="s">
        <v>279</v>
      </c>
      <c r="P2" s="4" t="s">
        <v>280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s="8" customFormat="1" x14ac:dyDescent="0.25">
      <c r="A3" s="4" t="s">
        <v>78</v>
      </c>
      <c r="B3" s="4" t="str">
        <f>CONCATENATE(A3,89)</f>
        <v>5EK3MF0GC9089</v>
      </c>
      <c r="C3" s="4" t="s">
        <v>225</v>
      </c>
      <c r="D3" s="4" t="s">
        <v>226</v>
      </c>
      <c r="E3" s="4" t="str">
        <f t="shared" si="0"/>
        <v>DAVID DREXLER</v>
      </c>
      <c r="F3" s="4" t="s">
        <v>27</v>
      </c>
      <c r="G3" s="4" t="s">
        <v>29</v>
      </c>
      <c r="H3" s="5">
        <v>46023</v>
      </c>
      <c r="I3" s="5">
        <v>46023</v>
      </c>
      <c r="J3" s="4" t="s">
        <v>300</v>
      </c>
      <c r="K3" s="4" t="s">
        <v>81</v>
      </c>
      <c r="L3" s="4">
        <v>225.42</v>
      </c>
      <c r="M3" s="4">
        <v>1</v>
      </c>
      <c r="N3" s="4">
        <v>162.91999999999999</v>
      </c>
      <c r="O3" s="4" t="s">
        <v>279</v>
      </c>
      <c r="P3" s="4" t="s">
        <v>294</v>
      </c>
      <c r="Q3" s="4"/>
      <c r="R3" s="4"/>
      <c r="S3" s="4">
        <f>391/12*5</f>
        <v>162.91666666666669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s="6" customFormat="1" x14ac:dyDescent="0.25">
      <c r="A4" s="4" t="s">
        <v>100</v>
      </c>
      <c r="B4" s="4" t="str">
        <f>CONCATENATE(A4,89)</f>
        <v>3QX2QQ2CD0089</v>
      </c>
      <c r="C4" s="4" t="s">
        <v>234</v>
      </c>
      <c r="D4" s="4" t="s">
        <v>226</v>
      </c>
      <c r="E4" s="4" t="str">
        <f t="shared" si="0"/>
        <v>DAVID FUNKHOUSER</v>
      </c>
      <c r="F4" s="4" t="s">
        <v>49</v>
      </c>
      <c r="G4" s="4" t="s">
        <v>29</v>
      </c>
      <c r="H4" s="5">
        <v>46174</v>
      </c>
      <c r="I4" s="5">
        <v>46174</v>
      </c>
      <c r="J4" s="4">
        <v>7470776</v>
      </c>
      <c r="K4" s="4" t="s">
        <v>105</v>
      </c>
      <c r="L4" s="4">
        <v>289.92</v>
      </c>
      <c r="M4" s="4">
        <v>1</v>
      </c>
      <c r="N4" s="4">
        <v>202.42</v>
      </c>
      <c r="O4" s="4" t="s">
        <v>282</v>
      </c>
      <c r="P4" s="4" t="s">
        <v>287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s="6" customFormat="1" x14ac:dyDescent="0.25">
      <c r="A5" s="6" t="s">
        <v>62</v>
      </c>
      <c r="B5" s="6" t="str">
        <f>CONCATENATE(A5,77)</f>
        <v>7F17V97KX3877</v>
      </c>
      <c r="C5" s="6" t="s">
        <v>219</v>
      </c>
      <c r="D5" s="6" t="s">
        <v>220</v>
      </c>
      <c r="E5" s="6" t="str">
        <f t="shared" si="0"/>
        <v>JANET CASCIATO</v>
      </c>
      <c r="F5" s="6" t="s">
        <v>27</v>
      </c>
      <c r="G5" s="6" t="s">
        <v>29</v>
      </c>
      <c r="H5" s="7">
        <v>46143</v>
      </c>
      <c r="I5" s="7">
        <v>46143</v>
      </c>
      <c r="J5" s="6">
        <v>9544903</v>
      </c>
      <c r="K5" s="6" t="s">
        <v>65</v>
      </c>
      <c r="L5" s="6">
        <v>931</v>
      </c>
      <c r="M5" s="6">
        <v>1</v>
      </c>
      <c r="N5" s="6">
        <v>781</v>
      </c>
      <c r="O5" s="6" t="s">
        <v>295</v>
      </c>
      <c r="P5" s="6" t="s">
        <v>298</v>
      </c>
    </row>
    <row r="6" spans="1:31" s="6" customFormat="1" x14ac:dyDescent="0.25">
      <c r="A6" s="4" t="s">
        <v>62</v>
      </c>
      <c r="B6" s="4" t="str">
        <f>CONCATENATE(A6,89)</f>
        <v>7F17V97KX3889</v>
      </c>
      <c r="C6" s="4" t="s">
        <v>219</v>
      </c>
      <c r="D6" s="4" t="s">
        <v>220</v>
      </c>
      <c r="E6" s="4" t="str">
        <f t="shared" si="0"/>
        <v>JANET CASCIATO</v>
      </c>
      <c r="F6" s="4" t="s">
        <v>27</v>
      </c>
      <c r="G6" s="4" t="s">
        <v>29</v>
      </c>
      <c r="H6" s="5">
        <v>46143</v>
      </c>
      <c r="I6" s="5">
        <v>46143</v>
      </c>
      <c r="J6" s="4">
        <v>9544903</v>
      </c>
      <c r="K6" s="4" t="s">
        <v>65</v>
      </c>
      <c r="L6" s="4">
        <v>-360.67</v>
      </c>
      <c r="M6" s="4">
        <v>-1</v>
      </c>
      <c r="N6" s="4">
        <v>-260.67</v>
      </c>
      <c r="O6" s="4" t="s">
        <v>279</v>
      </c>
      <c r="P6" s="4" t="s">
        <v>285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s="8" customFormat="1" x14ac:dyDescent="0.25">
      <c r="A7" s="6" t="s">
        <v>143</v>
      </c>
      <c r="B7" s="6" t="str">
        <f>CONCATENATE(A7,77)</f>
        <v>6CP4GR0KD7277</v>
      </c>
      <c r="C7" s="6" t="s">
        <v>250</v>
      </c>
      <c r="D7" s="6" t="s">
        <v>251</v>
      </c>
      <c r="E7" s="6" t="str">
        <f t="shared" si="0"/>
        <v>CHARLES MCCLERNON</v>
      </c>
      <c r="F7" s="6" t="s">
        <v>49</v>
      </c>
      <c r="G7" s="6" t="s">
        <v>29</v>
      </c>
      <c r="H7" s="7">
        <v>46143</v>
      </c>
      <c r="I7" s="7">
        <v>46143</v>
      </c>
      <c r="J7" s="6">
        <v>8244481</v>
      </c>
      <c r="K7" s="6" t="s">
        <v>146</v>
      </c>
      <c r="L7" s="6">
        <v>844</v>
      </c>
      <c r="M7" s="6">
        <v>1</v>
      </c>
      <c r="N7" s="6">
        <v>694</v>
      </c>
      <c r="O7" s="6" t="s">
        <v>292</v>
      </c>
      <c r="P7" s="6" t="s">
        <v>297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s="8" customFormat="1" x14ac:dyDescent="0.25">
      <c r="A8" s="4" t="s">
        <v>143</v>
      </c>
      <c r="B8" s="4" t="str">
        <f>CONCATENATE(A8,89)</f>
        <v>6CP4GR0KD7289</v>
      </c>
      <c r="C8" s="4" t="s">
        <v>250</v>
      </c>
      <c r="D8" s="4" t="s">
        <v>251</v>
      </c>
      <c r="E8" s="4" t="str">
        <f t="shared" si="0"/>
        <v>CHARLES MCCLERNON</v>
      </c>
      <c r="F8" s="4" t="s">
        <v>49</v>
      </c>
      <c r="G8" s="4" t="s">
        <v>29</v>
      </c>
      <c r="H8" s="5">
        <v>46143</v>
      </c>
      <c r="I8" s="5">
        <v>46143</v>
      </c>
      <c r="J8" s="4">
        <v>8244481</v>
      </c>
      <c r="K8" s="4" t="s">
        <v>146</v>
      </c>
      <c r="L8" s="4">
        <v>-331.33</v>
      </c>
      <c r="M8" s="4">
        <v>-1</v>
      </c>
      <c r="N8" s="4">
        <v>-231.33</v>
      </c>
      <c r="O8" s="4" t="s">
        <v>282</v>
      </c>
      <c r="P8" s="4" t="s">
        <v>286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s="8" customFormat="1" x14ac:dyDescent="0.25">
      <c r="A9" s="6" t="s">
        <v>124</v>
      </c>
      <c r="B9" s="6" t="str">
        <f>CONCATENATE(A9,77)</f>
        <v>3W80HH1TH3377</v>
      </c>
      <c r="C9" s="6" t="s">
        <v>243</v>
      </c>
      <c r="D9" s="6" t="s">
        <v>244</v>
      </c>
      <c r="E9" s="6" t="str">
        <f t="shared" si="0"/>
        <v>MICHAEL HOBACK</v>
      </c>
      <c r="F9" s="6" t="s">
        <v>49</v>
      </c>
      <c r="G9" s="6" t="s">
        <v>29</v>
      </c>
      <c r="H9" s="7">
        <v>46204</v>
      </c>
      <c r="I9" s="7">
        <v>46204</v>
      </c>
      <c r="J9" s="6">
        <v>18828278</v>
      </c>
      <c r="K9" s="6" t="s">
        <v>128</v>
      </c>
      <c r="L9" s="6">
        <v>844</v>
      </c>
      <c r="M9" s="6">
        <v>1</v>
      </c>
      <c r="N9" s="6">
        <v>694</v>
      </c>
      <c r="O9" s="6" t="s">
        <v>292</v>
      </c>
      <c r="P9" s="6" t="s">
        <v>297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6" customFormat="1" x14ac:dyDescent="0.25">
      <c r="A10" s="4" t="s">
        <v>124</v>
      </c>
      <c r="B10" s="4" t="str">
        <f>CONCATENATE(A10,89)</f>
        <v>3W80HH1TH3389</v>
      </c>
      <c r="C10" s="4" t="s">
        <v>243</v>
      </c>
      <c r="D10" s="4" t="s">
        <v>244</v>
      </c>
      <c r="E10" s="4" t="str">
        <f t="shared" si="0"/>
        <v>MICHAEL HOBACK</v>
      </c>
      <c r="F10" s="4" t="s">
        <v>49</v>
      </c>
      <c r="G10" s="4" t="s">
        <v>29</v>
      </c>
      <c r="H10" s="5">
        <v>46204</v>
      </c>
      <c r="I10" s="5">
        <v>46204</v>
      </c>
      <c r="J10" s="4">
        <v>18828278</v>
      </c>
      <c r="K10" s="4" t="s">
        <v>128</v>
      </c>
      <c r="L10" s="4">
        <v>-248.5</v>
      </c>
      <c r="M10" s="4">
        <v>-1</v>
      </c>
      <c r="N10" s="4">
        <v>-173.5</v>
      </c>
      <c r="O10" s="4" t="s">
        <v>282</v>
      </c>
      <c r="P10" s="4" t="s">
        <v>288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s="8" customFormat="1" x14ac:dyDescent="0.25">
      <c r="A11" s="6" t="s">
        <v>193</v>
      </c>
      <c r="B11" s="6" t="str">
        <f>CONCATENATE(A11,77)</f>
        <v>2VM8TX3NN4777</v>
      </c>
      <c r="C11" s="6" t="s">
        <v>271</v>
      </c>
      <c r="D11" s="6" t="s">
        <v>272</v>
      </c>
      <c r="E11" s="6" t="str">
        <f t="shared" si="0"/>
        <v>KENNETH TRACY</v>
      </c>
      <c r="F11" s="6" t="s">
        <v>49</v>
      </c>
      <c r="G11" s="6" t="s">
        <v>29</v>
      </c>
      <c r="H11" s="7">
        <v>46113</v>
      </c>
      <c r="I11" s="7">
        <v>46113</v>
      </c>
      <c r="J11" s="6">
        <v>19268643</v>
      </c>
      <c r="K11" s="6" t="s">
        <v>196</v>
      </c>
      <c r="L11" s="6">
        <v>844</v>
      </c>
      <c r="M11" s="6">
        <v>1</v>
      </c>
      <c r="N11" s="6">
        <v>694</v>
      </c>
      <c r="O11" s="6" t="s">
        <v>292</v>
      </c>
      <c r="P11" s="6" t="s">
        <v>297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6" customFormat="1" x14ac:dyDescent="0.25">
      <c r="A12" s="4" t="s">
        <v>193</v>
      </c>
      <c r="B12" s="4" t="str">
        <f>CONCATENATE(A12,89)</f>
        <v>2VM8TX3NN4789</v>
      </c>
      <c r="C12" s="4" t="s">
        <v>271</v>
      </c>
      <c r="D12" s="4" t="s">
        <v>272</v>
      </c>
      <c r="E12" s="4" t="str">
        <f t="shared" si="0"/>
        <v>KENNETH TRACY</v>
      </c>
      <c r="F12" s="4" t="s">
        <v>49</v>
      </c>
      <c r="G12" s="4" t="s">
        <v>29</v>
      </c>
      <c r="H12" s="5">
        <v>46113</v>
      </c>
      <c r="I12" s="5">
        <v>46113</v>
      </c>
      <c r="J12" s="4">
        <v>19268643</v>
      </c>
      <c r="K12" s="4" t="s">
        <v>196</v>
      </c>
      <c r="L12" s="4">
        <v>-372.75</v>
      </c>
      <c r="M12" s="4">
        <v>-1</v>
      </c>
      <c r="N12" s="4">
        <v>-260.25</v>
      </c>
      <c r="O12" s="4" t="s">
        <v>282</v>
      </c>
      <c r="P12" s="4" t="s">
        <v>284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s="8" customFormat="1" x14ac:dyDescent="0.25">
      <c r="A13" s="4" t="s">
        <v>106</v>
      </c>
      <c r="B13" s="4" t="str">
        <f>CONCATENATE(A13,89)</f>
        <v>5QG5J34VR7789</v>
      </c>
      <c r="C13" s="4" t="s">
        <v>235</v>
      </c>
      <c r="D13" s="4" t="s">
        <v>236</v>
      </c>
      <c r="E13" s="4" t="str">
        <f t="shared" si="0"/>
        <v>MARQUERITA GOMEZ</v>
      </c>
      <c r="F13" s="4" t="s">
        <v>109</v>
      </c>
      <c r="G13" s="4" t="s">
        <v>29</v>
      </c>
      <c r="H13" s="5">
        <v>46174</v>
      </c>
      <c r="I13" s="5">
        <v>46174</v>
      </c>
      <c r="J13" s="4">
        <v>17094718</v>
      </c>
      <c r="K13" s="4" t="s">
        <v>111</v>
      </c>
      <c r="L13" s="4">
        <v>289.92</v>
      </c>
      <c r="M13" s="4">
        <v>1</v>
      </c>
      <c r="N13" s="4">
        <v>202.42</v>
      </c>
      <c r="O13" s="4" t="s">
        <v>282</v>
      </c>
      <c r="P13" s="4" t="s">
        <v>287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s="6" customFormat="1" x14ac:dyDescent="0.25">
      <c r="A14" s="6" t="s">
        <v>38</v>
      </c>
      <c r="B14" s="6" t="str">
        <f>CONCATENATE(A14,77)</f>
        <v>1QF3J12QP7477</v>
      </c>
      <c r="C14" s="6" t="s">
        <v>211</v>
      </c>
      <c r="D14" s="6" t="s">
        <v>212</v>
      </c>
      <c r="E14" s="6" t="str">
        <f t="shared" si="0"/>
        <v>LESLIE BANE</v>
      </c>
      <c r="F14" s="6" t="s">
        <v>27</v>
      </c>
      <c r="G14" s="6" t="s">
        <v>29</v>
      </c>
      <c r="H14" s="7">
        <v>46143</v>
      </c>
      <c r="I14" s="7">
        <v>46143</v>
      </c>
      <c r="J14" s="6" t="s">
        <v>301</v>
      </c>
      <c r="K14" s="6" t="s">
        <v>43</v>
      </c>
      <c r="L14" s="6">
        <v>620.66999999999996</v>
      </c>
      <c r="M14" s="6">
        <v>1</v>
      </c>
      <c r="N14" s="6">
        <v>520.66999999999996</v>
      </c>
      <c r="O14" s="6" t="s">
        <v>295</v>
      </c>
      <c r="P14" s="6" t="s">
        <v>296</v>
      </c>
      <c r="S14" s="6">
        <f>781/12*8</f>
        <v>520.66666666666663</v>
      </c>
    </row>
    <row r="15" spans="1:31" s="6" customFormat="1" x14ac:dyDescent="0.25">
      <c r="A15" s="6" t="s">
        <v>54</v>
      </c>
      <c r="B15" s="6" t="str">
        <f>CONCATENATE(A15,77)</f>
        <v>1TU1G24CD1677</v>
      </c>
      <c r="C15" s="6" t="s">
        <v>215</v>
      </c>
      <c r="D15" s="6" t="s">
        <v>216</v>
      </c>
      <c r="E15" s="6" t="str">
        <f t="shared" si="0"/>
        <v>WALTER BATTLE</v>
      </c>
      <c r="F15" s="6" t="s">
        <v>27</v>
      </c>
      <c r="G15" s="6" t="s">
        <v>29</v>
      </c>
      <c r="H15" s="7">
        <v>46143</v>
      </c>
      <c r="I15" s="7">
        <v>46143</v>
      </c>
      <c r="J15" s="6" t="s">
        <v>301</v>
      </c>
      <c r="K15" s="6" t="s">
        <v>43</v>
      </c>
      <c r="L15" s="6">
        <v>931</v>
      </c>
      <c r="M15" s="6">
        <v>1</v>
      </c>
      <c r="N15" s="6">
        <v>781</v>
      </c>
      <c r="O15" s="6" t="s">
        <v>295</v>
      </c>
      <c r="P15" s="6" t="s">
        <v>298</v>
      </c>
    </row>
    <row r="16" spans="1:31" s="6" customFormat="1" x14ac:dyDescent="0.25">
      <c r="A16" s="6" t="s">
        <v>59</v>
      </c>
      <c r="B16" s="6" t="str">
        <f>CONCATENATE(A16,77)</f>
        <v>5FD8TC7CN2177</v>
      </c>
      <c r="C16" s="6" t="s">
        <v>217</v>
      </c>
      <c r="D16" s="6" t="s">
        <v>218</v>
      </c>
      <c r="E16" s="6" t="str">
        <f t="shared" si="0"/>
        <v>STEVE BISTARKEY</v>
      </c>
      <c r="F16" s="6" t="s">
        <v>27</v>
      </c>
      <c r="G16" s="6" t="s">
        <v>29</v>
      </c>
      <c r="H16" s="7">
        <v>46113</v>
      </c>
      <c r="I16" s="7">
        <v>46113</v>
      </c>
      <c r="J16" s="6" t="s">
        <v>301</v>
      </c>
      <c r="K16" s="6" t="s">
        <v>43</v>
      </c>
      <c r="L16" s="6">
        <v>931</v>
      </c>
      <c r="M16" s="6">
        <v>1</v>
      </c>
      <c r="N16" s="6">
        <v>781</v>
      </c>
      <c r="O16" s="6" t="s">
        <v>295</v>
      </c>
      <c r="P16" s="6" t="s">
        <v>298</v>
      </c>
    </row>
    <row r="17" spans="1:31" s="6" customFormat="1" x14ac:dyDescent="0.25">
      <c r="A17" s="4" t="s">
        <v>59</v>
      </c>
      <c r="B17" s="4" t="str">
        <f>CONCATENATE(A17,89)</f>
        <v>5FD8TC7CN2189</v>
      </c>
      <c r="C17" s="4" t="s">
        <v>217</v>
      </c>
      <c r="D17" s="4" t="s">
        <v>218</v>
      </c>
      <c r="E17" s="4" t="str">
        <f t="shared" si="0"/>
        <v>STEVE BISTARKEY</v>
      </c>
      <c r="F17" s="4" t="s">
        <v>27</v>
      </c>
      <c r="G17" s="4" t="s">
        <v>29</v>
      </c>
      <c r="H17" s="5">
        <v>46113</v>
      </c>
      <c r="I17" s="5">
        <v>46113</v>
      </c>
      <c r="J17" s="4" t="s">
        <v>301</v>
      </c>
      <c r="K17" s="4" t="s">
        <v>43</v>
      </c>
      <c r="L17" s="4">
        <v>-405.75</v>
      </c>
      <c r="M17" s="4">
        <v>-1</v>
      </c>
      <c r="N17" s="4">
        <v>-293.25</v>
      </c>
      <c r="O17" s="4" t="s">
        <v>279</v>
      </c>
      <c r="P17" s="4" t="s">
        <v>283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s="6" customFormat="1" x14ac:dyDescent="0.25">
      <c r="A18" s="4" t="s">
        <v>38</v>
      </c>
      <c r="B18" s="4" t="str">
        <f>CONCATENATE(A18,89)</f>
        <v>1QF3J12QP7489</v>
      </c>
      <c r="C18" s="4" t="s">
        <v>211</v>
      </c>
      <c r="D18" s="4" t="s">
        <v>212</v>
      </c>
      <c r="E18" s="4" t="str">
        <f t="shared" si="0"/>
        <v>LESLIE BANE</v>
      </c>
      <c r="F18" s="4" t="s">
        <v>27</v>
      </c>
      <c r="G18" s="4" t="s">
        <v>29</v>
      </c>
      <c r="H18" s="5">
        <v>46143</v>
      </c>
      <c r="I18" s="5">
        <v>46143</v>
      </c>
      <c r="J18" s="4" t="s">
        <v>301</v>
      </c>
      <c r="K18" s="4" t="s">
        <v>43</v>
      </c>
      <c r="L18" s="4">
        <v>-360.67</v>
      </c>
      <c r="M18" s="4">
        <v>-1</v>
      </c>
      <c r="N18" s="4">
        <v>-260.67</v>
      </c>
      <c r="O18" s="4" t="s">
        <v>279</v>
      </c>
      <c r="P18" s="4" t="s">
        <v>285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s="8" customFormat="1" x14ac:dyDescent="0.25">
      <c r="A19" s="4" t="s">
        <v>54</v>
      </c>
      <c r="B19" s="4" t="str">
        <f>CONCATENATE(A19,89)</f>
        <v>1TU1G24CD1689</v>
      </c>
      <c r="C19" s="4" t="s">
        <v>215</v>
      </c>
      <c r="D19" s="4" t="s">
        <v>216</v>
      </c>
      <c r="E19" s="4" t="str">
        <f t="shared" si="0"/>
        <v>WALTER BATTLE</v>
      </c>
      <c r="F19" s="4" t="s">
        <v>27</v>
      </c>
      <c r="G19" s="4" t="s">
        <v>29</v>
      </c>
      <c r="H19" s="5">
        <v>46143</v>
      </c>
      <c r="I19" s="5">
        <v>46143</v>
      </c>
      <c r="J19" s="4" t="s">
        <v>301</v>
      </c>
      <c r="K19" s="4" t="s">
        <v>43</v>
      </c>
      <c r="L19" s="4">
        <v>-360.67</v>
      </c>
      <c r="M19" s="4">
        <v>-1</v>
      </c>
      <c r="N19" s="4">
        <v>-260.67</v>
      </c>
      <c r="O19" s="4" t="s">
        <v>279</v>
      </c>
      <c r="P19" s="4" t="s">
        <v>285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s="8" customFormat="1" x14ac:dyDescent="0.25">
      <c r="A20" s="6" t="s">
        <v>66</v>
      </c>
      <c r="B20" s="6" t="str">
        <f>CONCATENATE(A20,77)</f>
        <v>5Q05TV9EG5477</v>
      </c>
      <c r="C20" s="6" t="s">
        <v>221</v>
      </c>
      <c r="D20" s="6" t="s">
        <v>222</v>
      </c>
      <c r="E20" s="6" t="str">
        <f t="shared" si="0"/>
        <v>DEAN CORNELL</v>
      </c>
      <c r="F20" s="6" t="s">
        <v>27</v>
      </c>
      <c r="G20" s="6" t="s">
        <v>29</v>
      </c>
      <c r="H20" s="7">
        <v>46143</v>
      </c>
      <c r="I20" s="7">
        <v>46143</v>
      </c>
      <c r="J20" s="6">
        <v>19278370</v>
      </c>
      <c r="K20" s="6" t="s">
        <v>70</v>
      </c>
      <c r="L20" s="6">
        <v>931</v>
      </c>
      <c r="M20" s="6">
        <v>1</v>
      </c>
      <c r="N20" s="6">
        <v>781</v>
      </c>
      <c r="O20" s="6" t="s">
        <v>295</v>
      </c>
      <c r="P20" s="6" t="s">
        <v>298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s="8" customFormat="1" x14ac:dyDescent="0.25">
      <c r="A21" s="4" t="s">
        <v>66</v>
      </c>
      <c r="B21" s="4" t="str">
        <f>CONCATENATE(A21,89)</f>
        <v>5Q05TV9EG5489</v>
      </c>
      <c r="C21" s="4" t="s">
        <v>221</v>
      </c>
      <c r="D21" s="4" t="s">
        <v>222</v>
      </c>
      <c r="E21" s="4" t="str">
        <f t="shared" si="0"/>
        <v>DEAN CORNELL</v>
      </c>
      <c r="F21" s="4" t="s">
        <v>27</v>
      </c>
      <c r="G21" s="4" t="s">
        <v>29</v>
      </c>
      <c r="H21" s="5">
        <v>46143</v>
      </c>
      <c r="I21" s="5">
        <v>46143</v>
      </c>
      <c r="J21" s="4">
        <v>19278370</v>
      </c>
      <c r="K21" s="4" t="s">
        <v>70</v>
      </c>
      <c r="L21" s="4">
        <v>-360.67</v>
      </c>
      <c r="M21" s="4">
        <v>-1</v>
      </c>
      <c r="N21" s="4">
        <v>-260.67</v>
      </c>
      <c r="O21" s="4" t="s">
        <v>279</v>
      </c>
      <c r="P21" s="4" t="s">
        <v>285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s="8" customFormat="1" x14ac:dyDescent="0.25">
      <c r="A22" s="4" t="s">
        <v>167</v>
      </c>
      <c r="B22" s="4" t="str">
        <f>CONCATENATE(A22,89)</f>
        <v>1Q64TH9VD0789</v>
      </c>
      <c r="C22" s="4" t="s">
        <v>261</v>
      </c>
      <c r="D22" s="4" t="s">
        <v>262</v>
      </c>
      <c r="E22" s="4" t="str">
        <f t="shared" si="0"/>
        <v>JENNIFER ROCA</v>
      </c>
      <c r="F22" s="4" t="s">
        <v>170</v>
      </c>
      <c r="G22" s="4" t="s">
        <v>29</v>
      </c>
      <c r="H22" s="5">
        <v>46023</v>
      </c>
      <c r="I22" s="5">
        <v>46023</v>
      </c>
      <c r="J22" s="4" t="s">
        <v>302</v>
      </c>
      <c r="K22" s="4" t="s">
        <v>173</v>
      </c>
      <c r="L22" s="4">
        <v>-497</v>
      </c>
      <c r="M22" s="4">
        <v>-1</v>
      </c>
      <c r="N22" s="4">
        <v>-347</v>
      </c>
      <c r="O22" s="4" t="s">
        <v>282</v>
      </c>
      <c r="P22" s="4" t="s">
        <v>281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s="8" customFormat="1" x14ac:dyDescent="0.25">
      <c r="A23" s="4" t="s">
        <v>167</v>
      </c>
      <c r="B23" s="4" t="str">
        <f>CONCATENATE(A23,89)</f>
        <v>1Q64TH9VD0789</v>
      </c>
      <c r="C23" s="4" t="s">
        <v>261</v>
      </c>
      <c r="D23" s="4" t="s">
        <v>262</v>
      </c>
      <c r="E23" s="4" t="str">
        <f t="shared" si="0"/>
        <v>JENNIFER ROCA</v>
      </c>
      <c r="F23" s="4" t="s">
        <v>170</v>
      </c>
      <c r="G23" s="4" t="s">
        <v>29</v>
      </c>
      <c r="H23" s="5">
        <v>46023</v>
      </c>
      <c r="I23" s="5">
        <v>46023</v>
      </c>
      <c r="J23" s="4" t="s">
        <v>302</v>
      </c>
      <c r="K23" s="4" t="s">
        <v>173</v>
      </c>
      <c r="L23" s="4">
        <v>207.08</v>
      </c>
      <c r="M23" s="4">
        <v>1</v>
      </c>
      <c r="N23" s="4">
        <v>144.58000000000001</v>
      </c>
      <c r="O23" s="4" t="s">
        <v>282</v>
      </c>
      <c r="P23" s="4" t="s">
        <v>289</v>
      </c>
      <c r="Q23" s="4"/>
      <c r="R23" s="4"/>
      <c r="S23" s="4">
        <f>347/12*5</f>
        <v>144.58333333333334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s="6" customFormat="1" x14ac:dyDescent="0.25">
      <c r="A24" s="6" t="s">
        <v>200</v>
      </c>
      <c r="B24" s="6" t="str">
        <f>CONCATENATE(A24,77)</f>
        <v>2DM2MN8UR9177</v>
      </c>
      <c r="C24" s="6" t="s">
        <v>274</v>
      </c>
      <c r="D24" s="6" t="s">
        <v>275</v>
      </c>
      <c r="E24" s="6" t="str">
        <f t="shared" si="0"/>
        <v>JO WATSON</v>
      </c>
      <c r="F24" s="6" t="s">
        <v>49</v>
      </c>
      <c r="G24" s="6" t="s">
        <v>29</v>
      </c>
      <c r="H24" s="7">
        <v>46113</v>
      </c>
      <c r="I24" s="7">
        <v>46113</v>
      </c>
      <c r="J24" s="6">
        <v>19586992</v>
      </c>
      <c r="K24" s="6" t="s">
        <v>203</v>
      </c>
      <c r="L24" s="6">
        <v>70.33</v>
      </c>
      <c r="M24" s="6">
        <v>1</v>
      </c>
      <c r="N24" s="6">
        <v>57.83</v>
      </c>
      <c r="O24" s="6" t="s">
        <v>292</v>
      </c>
      <c r="P24" s="6" t="s">
        <v>293</v>
      </c>
      <c r="S24" s="6">
        <f>694/12</f>
        <v>57.833333333333336</v>
      </c>
    </row>
    <row r="25" spans="1:31" s="4" customFormat="1" x14ac:dyDescent="0.25">
      <c r="A25" s="4" t="s">
        <v>200</v>
      </c>
      <c r="B25" s="4" t="str">
        <f>CONCATENATE(A25,89)</f>
        <v>2DM2MN8UR9189</v>
      </c>
      <c r="C25" s="4" t="s">
        <v>274</v>
      </c>
      <c r="D25" s="4" t="s">
        <v>275</v>
      </c>
      <c r="E25" s="4" t="str">
        <f t="shared" si="0"/>
        <v>JO WATSON</v>
      </c>
      <c r="F25" s="4" t="s">
        <v>49</v>
      </c>
      <c r="G25" s="4" t="s">
        <v>29</v>
      </c>
      <c r="H25" s="5">
        <v>46113</v>
      </c>
      <c r="I25" s="5">
        <v>46113</v>
      </c>
      <c r="J25" s="4">
        <v>19586992</v>
      </c>
      <c r="K25" s="4" t="s">
        <v>203</v>
      </c>
      <c r="L25" s="4">
        <v>-41.42</v>
      </c>
      <c r="M25" s="4">
        <v>-1</v>
      </c>
      <c r="N25" s="4">
        <v>-28.92</v>
      </c>
      <c r="O25" s="4" t="s">
        <v>282</v>
      </c>
      <c r="P25" s="4" t="s">
        <v>290</v>
      </c>
    </row>
    <row r="26" spans="1:31" s="4" customFormat="1" x14ac:dyDescent="0.25">
      <c r="A26" s="6" t="s">
        <v>129</v>
      </c>
      <c r="B26" s="6" t="str">
        <f>CONCATENATE(A26,77)</f>
        <v>2VT1P36TM0177</v>
      </c>
      <c r="C26" s="6" t="s">
        <v>245</v>
      </c>
      <c r="D26" s="6" t="s">
        <v>246</v>
      </c>
      <c r="E26" s="6" t="str">
        <f t="shared" si="0"/>
        <v>DANIEL KORNOWSKI</v>
      </c>
      <c r="F26" s="6" t="s">
        <v>132</v>
      </c>
      <c r="G26" s="6" t="s">
        <v>29</v>
      </c>
      <c r="H26" s="7">
        <v>46143</v>
      </c>
      <c r="I26" s="7">
        <v>46143</v>
      </c>
      <c r="J26" s="6">
        <v>20490188</v>
      </c>
      <c r="K26" s="6" t="s">
        <v>134</v>
      </c>
      <c r="L26" s="6">
        <v>844</v>
      </c>
      <c r="M26" s="6">
        <v>1</v>
      </c>
      <c r="N26" s="6">
        <v>694</v>
      </c>
      <c r="O26" s="6" t="s">
        <v>292</v>
      </c>
      <c r="P26" s="6" t="s">
        <v>297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s="4" customFormat="1" x14ac:dyDescent="0.25">
      <c r="A27" s="4" t="s">
        <v>129</v>
      </c>
      <c r="B27" s="4" t="str">
        <f>CONCATENATE(A27,89)</f>
        <v>2VT1P36TM0189</v>
      </c>
      <c r="C27" s="4" t="s">
        <v>245</v>
      </c>
      <c r="D27" s="4" t="s">
        <v>246</v>
      </c>
      <c r="E27" s="4" t="str">
        <f t="shared" si="0"/>
        <v>DANIEL KORNOWSKI</v>
      </c>
      <c r="F27" s="4" t="s">
        <v>132</v>
      </c>
      <c r="G27" s="4" t="s">
        <v>29</v>
      </c>
      <c r="H27" s="5">
        <v>46143</v>
      </c>
      <c r="I27" s="5">
        <v>46143</v>
      </c>
      <c r="J27" s="4">
        <v>20490188</v>
      </c>
      <c r="K27" s="4" t="s">
        <v>134</v>
      </c>
      <c r="L27" s="4">
        <v>-331.33</v>
      </c>
      <c r="M27" s="4">
        <v>-1</v>
      </c>
      <c r="N27" s="4">
        <v>-231.33</v>
      </c>
      <c r="O27" s="4" t="s">
        <v>282</v>
      </c>
      <c r="P27" s="4" t="s">
        <v>286</v>
      </c>
    </row>
    <row r="28" spans="1:31" s="4" customFormat="1" x14ac:dyDescent="0.25">
      <c r="A28" s="6" t="s">
        <v>121</v>
      </c>
      <c r="B28" s="6" t="str">
        <f t="shared" ref="B28:B34" si="1">CONCATENATE(A28,77)</f>
        <v>4VY2EX2TF1177</v>
      </c>
      <c r="C28" s="6" t="s">
        <v>241</v>
      </c>
      <c r="D28" s="6" t="s">
        <v>242</v>
      </c>
      <c r="E28" s="6" t="str">
        <f t="shared" si="0"/>
        <v>JODIE HARTUNG</v>
      </c>
      <c r="F28" s="6" t="s">
        <v>74</v>
      </c>
      <c r="G28" s="6" t="s">
        <v>29</v>
      </c>
      <c r="H28" s="7">
        <v>46174</v>
      </c>
      <c r="I28" s="7">
        <v>46174</v>
      </c>
      <c r="J28" s="6">
        <v>16170994</v>
      </c>
      <c r="K28" s="6" t="s">
        <v>77</v>
      </c>
      <c r="L28" s="6">
        <v>844</v>
      </c>
      <c r="M28" s="6">
        <v>1</v>
      </c>
      <c r="N28" s="6">
        <v>694</v>
      </c>
      <c r="O28" s="6" t="s">
        <v>292</v>
      </c>
      <c r="P28" s="6" t="s">
        <v>297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s="4" customFormat="1" x14ac:dyDescent="0.25">
      <c r="A29" s="6" t="s">
        <v>71</v>
      </c>
      <c r="B29" s="6" t="str">
        <f t="shared" si="1"/>
        <v>9KM4UA0WN8077</v>
      </c>
      <c r="C29" s="6" t="s">
        <v>223</v>
      </c>
      <c r="D29" s="6" t="s">
        <v>224</v>
      </c>
      <c r="E29" s="6" t="str">
        <f t="shared" si="0"/>
        <v>REBECCA DICKSON</v>
      </c>
      <c r="F29" s="6" t="s">
        <v>74</v>
      </c>
      <c r="G29" s="6" t="s">
        <v>29</v>
      </c>
      <c r="H29" s="7">
        <v>46143</v>
      </c>
      <c r="I29" s="7">
        <v>46143</v>
      </c>
      <c r="J29" s="6">
        <v>16170994</v>
      </c>
      <c r="K29" s="6" t="s">
        <v>77</v>
      </c>
      <c r="L29" s="6">
        <v>844</v>
      </c>
      <c r="M29" s="6">
        <v>1</v>
      </c>
      <c r="N29" s="6">
        <v>694</v>
      </c>
      <c r="O29" s="6" t="s">
        <v>292</v>
      </c>
      <c r="P29" s="6" t="s">
        <v>297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s="4" customFormat="1" x14ac:dyDescent="0.25">
      <c r="A30" s="6" t="s">
        <v>94</v>
      </c>
      <c r="B30" s="6" t="str">
        <f t="shared" si="1"/>
        <v>8PW4EF8HN8677</v>
      </c>
      <c r="C30" s="6" t="s">
        <v>231</v>
      </c>
      <c r="D30" s="6" t="s">
        <v>232</v>
      </c>
      <c r="E30" s="6" t="str">
        <f t="shared" si="0"/>
        <v>JOHN FOUTTY</v>
      </c>
      <c r="F30" s="6" t="s">
        <v>74</v>
      </c>
      <c r="G30" s="6" t="s">
        <v>29</v>
      </c>
      <c r="H30" s="7">
        <v>46143</v>
      </c>
      <c r="I30" s="7">
        <v>46143</v>
      </c>
      <c r="J30" s="6">
        <v>16170994</v>
      </c>
      <c r="K30" s="6" t="s">
        <v>77</v>
      </c>
      <c r="L30" s="6">
        <v>844</v>
      </c>
      <c r="M30" s="6">
        <v>1</v>
      </c>
      <c r="N30" s="6">
        <v>694</v>
      </c>
      <c r="O30" s="6" t="s">
        <v>292</v>
      </c>
      <c r="P30" s="6" t="s">
        <v>297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s="4" customFormat="1" x14ac:dyDescent="0.25">
      <c r="A31" s="6" t="s">
        <v>97</v>
      </c>
      <c r="B31" s="6" t="str">
        <f t="shared" si="1"/>
        <v>2WC6NG0QC4177</v>
      </c>
      <c r="C31" s="6" t="s">
        <v>233</v>
      </c>
      <c r="D31" s="6" t="s">
        <v>214</v>
      </c>
      <c r="E31" s="6" t="str">
        <f t="shared" si="0"/>
        <v>MARY FRIEND</v>
      </c>
      <c r="F31" s="6" t="s">
        <v>74</v>
      </c>
      <c r="G31" s="6" t="s">
        <v>29</v>
      </c>
      <c r="H31" s="7">
        <v>46143</v>
      </c>
      <c r="I31" s="7">
        <v>46143</v>
      </c>
      <c r="J31" s="6">
        <v>16170994</v>
      </c>
      <c r="K31" s="6" t="s">
        <v>77</v>
      </c>
      <c r="L31" s="6">
        <v>844</v>
      </c>
      <c r="M31" s="6">
        <v>1</v>
      </c>
      <c r="N31" s="6">
        <v>694</v>
      </c>
      <c r="O31" s="6" t="s">
        <v>292</v>
      </c>
      <c r="P31" s="6" t="s">
        <v>297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s="4" customFormat="1" x14ac:dyDescent="0.25">
      <c r="A32" s="6" t="s">
        <v>117</v>
      </c>
      <c r="B32" s="6" t="str">
        <f t="shared" si="1"/>
        <v>5XY7E09VM6677</v>
      </c>
      <c r="C32" s="6" t="s">
        <v>239</v>
      </c>
      <c r="D32" s="6" t="s">
        <v>240</v>
      </c>
      <c r="E32" s="6" t="str">
        <f t="shared" si="0"/>
        <v>KAREN HALLEY</v>
      </c>
      <c r="F32" s="6" t="s">
        <v>74</v>
      </c>
      <c r="G32" s="6" t="s">
        <v>29</v>
      </c>
      <c r="H32" s="7">
        <v>46143</v>
      </c>
      <c r="I32" s="7">
        <v>46143</v>
      </c>
      <c r="J32" s="6">
        <v>16170994</v>
      </c>
      <c r="K32" s="6" t="s">
        <v>77</v>
      </c>
      <c r="L32" s="6">
        <v>844</v>
      </c>
      <c r="M32" s="6">
        <v>1</v>
      </c>
      <c r="N32" s="6">
        <v>694</v>
      </c>
      <c r="O32" s="6" t="s">
        <v>292</v>
      </c>
      <c r="P32" s="6" t="s">
        <v>297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s="4" customFormat="1" x14ac:dyDescent="0.25">
      <c r="A33" s="6" t="s">
        <v>161</v>
      </c>
      <c r="B33" s="6" t="str">
        <f t="shared" si="1"/>
        <v>8FW1VC0WC0777</v>
      </c>
      <c r="C33" s="6" t="s">
        <v>257</v>
      </c>
      <c r="D33" s="6" t="s">
        <v>258</v>
      </c>
      <c r="E33" s="6" t="str">
        <f t="shared" si="0"/>
        <v>MARK NEFF</v>
      </c>
      <c r="F33" s="6" t="s">
        <v>74</v>
      </c>
      <c r="G33" s="6" t="s">
        <v>29</v>
      </c>
      <c r="H33" s="7">
        <v>46143</v>
      </c>
      <c r="I33" s="7">
        <v>46143</v>
      </c>
      <c r="J33" s="6">
        <v>16170994</v>
      </c>
      <c r="K33" s="6" t="s">
        <v>77</v>
      </c>
      <c r="L33" s="6">
        <v>844</v>
      </c>
      <c r="M33" s="6">
        <v>1</v>
      </c>
      <c r="N33" s="6">
        <v>694</v>
      </c>
      <c r="O33" s="6" t="s">
        <v>292</v>
      </c>
      <c r="P33" s="6" t="s">
        <v>297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s="4" customFormat="1" x14ac:dyDescent="0.25">
      <c r="A34" s="6" t="s">
        <v>164</v>
      </c>
      <c r="B34" s="6" t="str">
        <f t="shared" si="1"/>
        <v>2YU8H05NT3077</v>
      </c>
      <c r="C34" s="6" t="s">
        <v>259</v>
      </c>
      <c r="D34" s="6" t="s">
        <v>260</v>
      </c>
      <c r="E34" s="6" t="str">
        <f t="shared" ref="E34:E65" si="2">CONCATENATE(D34," ",C34)</f>
        <v>LAURIE RAMEY</v>
      </c>
      <c r="F34" s="6" t="s">
        <v>74</v>
      </c>
      <c r="G34" s="6" t="s">
        <v>29</v>
      </c>
      <c r="H34" s="7">
        <v>46143</v>
      </c>
      <c r="I34" s="7">
        <v>46143</v>
      </c>
      <c r="J34" s="6">
        <v>16170994</v>
      </c>
      <c r="K34" s="6" t="s">
        <v>77</v>
      </c>
      <c r="L34" s="6">
        <v>844</v>
      </c>
      <c r="M34" s="6">
        <v>1</v>
      </c>
      <c r="N34" s="6">
        <v>694</v>
      </c>
      <c r="O34" s="6" t="s">
        <v>292</v>
      </c>
      <c r="P34" s="6" t="s">
        <v>297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s="2" customFormat="1" x14ac:dyDescent="0.25">
      <c r="A35" s="4" t="s">
        <v>71</v>
      </c>
      <c r="B35" s="4" t="str">
        <f t="shared" ref="B35:B44" si="3">CONCATENATE(A35,89)</f>
        <v>9KM4UA0WN8089</v>
      </c>
      <c r="C35" s="4" t="s">
        <v>223</v>
      </c>
      <c r="D35" s="4" t="s">
        <v>224</v>
      </c>
      <c r="E35" s="4" t="str">
        <f t="shared" si="2"/>
        <v>REBECCA DICKSON</v>
      </c>
      <c r="F35" s="4" t="s">
        <v>74</v>
      </c>
      <c r="G35" s="4" t="s">
        <v>29</v>
      </c>
      <c r="H35" s="5">
        <v>46143</v>
      </c>
      <c r="I35" s="5">
        <v>46143</v>
      </c>
      <c r="J35" s="4">
        <v>16170994</v>
      </c>
      <c r="K35" s="4" t="s">
        <v>77</v>
      </c>
      <c r="L35" s="4">
        <v>-331.33</v>
      </c>
      <c r="M35" s="4">
        <v>-1</v>
      </c>
      <c r="N35" s="4">
        <v>-231.33</v>
      </c>
      <c r="O35" s="4" t="s">
        <v>282</v>
      </c>
      <c r="P35" s="4" t="s">
        <v>286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s="2" customFormat="1" x14ac:dyDescent="0.25">
      <c r="A36" s="4" t="s">
        <v>94</v>
      </c>
      <c r="B36" s="4" t="str">
        <f t="shared" si="3"/>
        <v>8PW4EF8HN8689</v>
      </c>
      <c r="C36" s="4" t="s">
        <v>231</v>
      </c>
      <c r="D36" s="4" t="s">
        <v>232</v>
      </c>
      <c r="E36" s="4" t="str">
        <f t="shared" si="2"/>
        <v>JOHN FOUTTY</v>
      </c>
      <c r="F36" s="4" t="s">
        <v>74</v>
      </c>
      <c r="G36" s="4" t="s">
        <v>29</v>
      </c>
      <c r="H36" s="5">
        <v>46143</v>
      </c>
      <c r="I36" s="5">
        <v>46143</v>
      </c>
      <c r="J36" s="4">
        <v>16170994</v>
      </c>
      <c r="K36" s="4" t="s">
        <v>77</v>
      </c>
      <c r="L36" s="4">
        <v>-331.33</v>
      </c>
      <c r="M36" s="4">
        <v>-1</v>
      </c>
      <c r="N36" s="4">
        <v>-231.33</v>
      </c>
      <c r="O36" s="4" t="s">
        <v>282</v>
      </c>
      <c r="P36" s="4" t="s">
        <v>286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s="2" customFormat="1" x14ac:dyDescent="0.25">
      <c r="A37" s="4" t="s">
        <v>97</v>
      </c>
      <c r="B37" s="4" t="str">
        <f t="shared" si="3"/>
        <v>2WC6NG0QC4189</v>
      </c>
      <c r="C37" s="4" t="s">
        <v>233</v>
      </c>
      <c r="D37" s="4" t="s">
        <v>214</v>
      </c>
      <c r="E37" s="4" t="str">
        <f t="shared" si="2"/>
        <v>MARY FRIEND</v>
      </c>
      <c r="F37" s="4" t="s">
        <v>74</v>
      </c>
      <c r="G37" s="4" t="s">
        <v>29</v>
      </c>
      <c r="H37" s="5">
        <v>46143</v>
      </c>
      <c r="I37" s="5">
        <v>46143</v>
      </c>
      <c r="J37" s="4">
        <v>16170994</v>
      </c>
      <c r="K37" s="4" t="s">
        <v>77</v>
      </c>
      <c r="L37" s="4">
        <v>-331.33</v>
      </c>
      <c r="M37" s="4">
        <v>-1</v>
      </c>
      <c r="N37" s="4">
        <v>-231.33</v>
      </c>
      <c r="O37" s="4" t="s">
        <v>282</v>
      </c>
      <c r="P37" s="4" t="s">
        <v>286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s="2" customFormat="1" x14ac:dyDescent="0.25">
      <c r="A38" s="4" t="s">
        <v>117</v>
      </c>
      <c r="B38" s="4" t="str">
        <f t="shared" si="3"/>
        <v>5XY7E09VM6689</v>
      </c>
      <c r="C38" s="4" t="s">
        <v>239</v>
      </c>
      <c r="D38" s="4" t="s">
        <v>240</v>
      </c>
      <c r="E38" s="4" t="str">
        <f t="shared" si="2"/>
        <v>KAREN HALLEY</v>
      </c>
      <c r="F38" s="4" t="s">
        <v>74</v>
      </c>
      <c r="G38" s="4" t="s">
        <v>29</v>
      </c>
      <c r="H38" s="5">
        <v>46143</v>
      </c>
      <c r="I38" s="5">
        <v>46143</v>
      </c>
      <c r="J38" s="4">
        <v>16170994</v>
      </c>
      <c r="K38" s="4" t="s">
        <v>77</v>
      </c>
      <c r="L38" s="4">
        <v>-331.33</v>
      </c>
      <c r="M38" s="4">
        <v>-1</v>
      </c>
      <c r="N38" s="4">
        <v>-231.33</v>
      </c>
      <c r="O38" s="4" t="s">
        <v>282</v>
      </c>
      <c r="P38" s="4" t="s">
        <v>286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s="2" customFormat="1" x14ac:dyDescent="0.25">
      <c r="A39" s="4" t="s">
        <v>161</v>
      </c>
      <c r="B39" s="4" t="str">
        <f t="shared" si="3"/>
        <v>8FW1VC0WC0789</v>
      </c>
      <c r="C39" s="4" t="s">
        <v>257</v>
      </c>
      <c r="D39" s="4" t="s">
        <v>258</v>
      </c>
      <c r="E39" s="4" t="str">
        <f t="shared" si="2"/>
        <v>MARK NEFF</v>
      </c>
      <c r="F39" s="4" t="s">
        <v>74</v>
      </c>
      <c r="G39" s="4" t="s">
        <v>29</v>
      </c>
      <c r="H39" s="5">
        <v>46143</v>
      </c>
      <c r="I39" s="5">
        <v>46143</v>
      </c>
      <c r="J39" s="4">
        <v>16170994</v>
      </c>
      <c r="K39" s="4" t="s">
        <v>77</v>
      </c>
      <c r="L39" s="4">
        <v>-331.33</v>
      </c>
      <c r="M39" s="4">
        <v>-1</v>
      </c>
      <c r="N39" s="4">
        <v>-231.33</v>
      </c>
      <c r="O39" s="4" t="s">
        <v>282</v>
      </c>
      <c r="P39" s="4" t="s">
        <v>286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s="2" customFormat="1" x14ac:dyDescent="0.25">
      <c r="A40" s="4" t="s">
        <v>164</v>
      </c>
      <c r="B40" s="4" t="str">
        <f t="shared" si="3"/>
        <v>2YU8H05NT3089</v>
      </c>
      <c r="C40" s="4" t="s">
        <v>259</v>
      </c>
      <c r="D40" s="4" t="s">
        <v>260</v>
      </c>
      <c r="E40" s="4" t="str">
        <f t="shared" si="2"/>
        <v>LAURIE RAMEY</v>
      </c>
      <c r="F40" s="4" t="s">
        <v>74</v>
      </c>
      <c r="G40" s="4" t="s">
        <v>29</v>
      </c>
      <c r="H40" s="5">
        <v>46143</v>
      </c>
      <c r="I40" s="5">
        <v>46143</v>
      </c>
      <c r="J40" s="4">
        <v>16170994</v>
      </c>
      <c r="K40" s="4" t="s">
        <v>77</v>
      </c>
      <c r="L40" s="4">
        <v>-331.33</v>
      </c>
      <c r="M40" s="4">
        <v>-1</v>
      </c>
      <c r="N40" s="4">
        <v>-231.33</v>
      </c>
      <c r="O40" s="4" t="s">
        <v>282</v>
      </c>
      <c r="P40" s="4" t="s">
        <v>286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s="2" customFormat="1" x14ac:dyDescent="0.25">
      <c r="A41" s="4" t="s">
        <v>121</v>
      </c>
      <c r="B41" s="4" t="str">
        <f t="shared" si="3"/>
        <v>4VY2EX2TF1189</v>
      </c>
      <c r="C41" s="4" t="s">
        <v>241</v>
      </c>
      <c r="D41" s="4" t="s">
        <v>242</v>
      </c>
      <c r="E41" s="4" t="str">
        <f t="shared" si="2"/>
        <v>JODIE HARTUNG</v>
      </c>
      <c r="F41" s="4" t="s">
        <v>74</v>
      </c>
      <c r="G41" s="4" t="s">
        <v>29</v>
      </c>
      <c r="H41" s="5">
        <v>46174</v>
      </c>
      <c r="I41" s="5">
        <v>46174</v>
      </c>
      <c r="J41" s="4">
        <v>16170994</v>
      </c>
      <c r="K41" s="4" t="s">
        <v>77</v>
      </c>
      <c r="L41" s="4">
        <v>-289.92</v>
      </c>
      <c r="M41" s="4">
        <v>-1</v>
      </c>
      <c r="N41" s="4">
        <v>-202.42</v>
      </c>
      <c r="O41" s="4" t="s">
        <v>282</v>
      </c>
      <c r="P41" s="4" t="s">
        <v>287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s="2" customFormat="1" x14ac:dyDescent="0.25">
      <c r="A42" s="4" t="s">
        <v>112</v>
      </c>
      <c r="B42" s="4" t="str">
        <f t="shared" si="3"/>
        <v>9XT5G24PK7189</v>
      </c>
      <c r="C42" s="4" t="s">
        <v>237</v>
      </c>
      <c r="D42" s="4" t="s">
        <v>238</v>
      </c>
      <c r="E42" s="4" t="str">
        <f t="shared" si="2"/>
        <v>LOIS GORFIDO</v>
      </c>
      <c r="F42" s="4" t="s">
        <v>74</v>
      </c>
      <c r="G42" s="4" t="s">
        <v>29</v>
      </c>
      <c r="H42" s="5">
        <v>46023</v>
      </c>
      <c r="I42" s="5">
        <v>46023</v>
      </c>
      <c r="J42" s="4">
        <v>18142208</v>
      </c>
      <c r="K42" s="4" t="s">
        <v>116</v>
      </c>
      <c r="L42" s="4">
        <v>-497</v>
      </c>
      <c r="M42" s="4">
        <v>-1</v>
      </c>
      <c r="N42" s="4">
        <v>-347</v>
      </c>
      <c r="O42" s="4" t="s">
        <v>282</v>
      </c>
      <c r="P42" s="4" t="s">
        <v>281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s="2" customFormat="1" x14ac:dyDescent="0.25">
      <c r="A43" s="4" t="s">
        <v>112</v>
      </c>
      <c r="B43" s="4" t="str">
        <f t="shared" si="3"/>
        <v>9XT5G24PK7189</v>
      </c>
      <c r="C43" s="4" t="s">
        <v>237</v>
      </c>
      <c r="D43" s="4" t="s">
        <v>238</v>
      </c>
      <c r="E43" s="4" t="str">
        <f t="shared" si="2"/>
        <v>LOIS GORFIDO</v>
      </c>
      <c r="F43" s="4" t="s">
        <v>74</v>
      </c>
      <c r="G43" s="4" t="s">
        <v>29</v>
      </c>
      <c r="H43" s="5">
        <v>46023</v>
      </c>
      <c r="I43" s="5">
        <v>46023</v>
      </c>
      <c r="J43" s="4">
        <v>18142208</v>
      </c>
      <c r="K43" s="4" t="s">
        <v>116</v>
      </c>
      <c r="L43" s="4">
        <v>207.08</v>
      </c>
      <c r="M43" s="4">
        <v>1</v>
      </c>
      <c r="N43" s="4">
        <v>144.58000000000001</v>
      </c>
      <c r="O43" s="4" t="s">
        <v>282</v>
      </c>
      <c r="P43" s="4" t="s">
        <v>289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s="2" customFormat="1" x14ac:dyDescent="0.25">
      <c r="A44" s="4" t="s">
        <v>46</v>
      </c>
      <c r="B44" s="4" t="str">
        <f t="shared" si="3"/>
        <v>7RV7JJ4EA4589</v>
      </c>
      <c r="C44" s="4" t="s">
        <v>213</v>
      </c>
      <c r="D44" s="4" t="s">
        <v>214</v>
      </c>
      <c r="E44" s="4" t="str">
        <f t="shared" si="2"/>
        <v>MARY BARRINGER</v>
      </c>
      <c r="F44" s="4" t="s">
        <v>49</v>
      </c>
      <c r="G44" s="4" t="s">
        <v>29</v>
      </c>
      <c r="H44" s="5">
        <v>46174</v>
      </c>
      <c r="I44" s="5">
        <v>46174</v>
      </c>
      <c r="J44" s="4">
        <v>8812322</v>
      </c>
      <c r="K44" s="4" t="s">
        <v>53</v>
      </c>
      <c r="L44" s="4">
        <v>289.92</v>
      </c>
      <c r="M44" s="4">
        <v>1</v>
      </c>
      <c r="N44" s="4">
        <v>202.42</v>
      </c>
      <c r="O44" s="4" t="s">
        <v>282</v>
      </c>
      <c r="P44" s="4" t="s">
        <v>287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s="2" customFormat="1" x14ac:dyDescent="0.25">
      <c r="A45" s="6" t="s">
        <v>180</v>
      </c>
      <c r="B45" s="6" t="str">
        <f>CONCATENATE(A45,77)</f>
        <v>1G57PT9WT5777</v>
      </c>
      <c r="C45" s="6" t="s">
        <v>265</v>
      </c>
      <c r="D45" s="6" t="s">
        <v>266</v>
      </c>
      <c r="E45" s="6" t="str">
        <f t="shared" si="2"/>
        <v>STEVEN SABULSKY</v>
      </c>
      <c r="F45" s="6" t="s">
        <v>27</v>
      </c>
      <c r="G45" s="6" t="s">
        <v>29</v>
      </c>
      <c r="H45" s="7">
        <v>46143</v>
      </c>
      <c r="I45" s="7">
        <v>46143</v>
      </c>
      <c r="J45" s="6">
        <v>16212649</v>
      </c>
      <c r="K45" s="6" t="s">
        <v>184</v>
      </c>
      <c r="L45" s="6">
        <v>931</v>
      </c>
      <c r="M45" s="6">
        <v>1</v>
      </c>
      <c r="N45" s="6">
        <v>781</v>
      </c>
      <c r="O45" s="6" t="s">
        <v>295</v>
      </c>
      <c r="P45" s="6" t="s">
        <v>298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s="4" customFormat="1" x14ac:dyDescent="0.25">
      <c r="A46" s="4" t="s">
        <v>180</v>
      </c>
      <c r="B46" s="4" t="str">
        <f>CONCATENATE(A46,89)</f>
        <v>1G57PT9WT5789</v>
      </c>
      <c r="C46" s="4" t="s">
        <v>265</v>
      </c>
      <c r="D46" s="4" t="s">
        <v>266</v>
      </c>
      <c r="E46" s="4" t="str">
        <f t="shared" si="2"/>
        <v>STEVEN SABULSKY</v>
      </c>
      <c r="F46" s="4" t="s">
        <v>27</v>
      </c>
      <c r="G46" s="4" t="s">
        <v>29</v>
      </c>
      <c r="H46" s="5">
        <v>46143</v>
      </c>
      <c r="I46" s="5">
        <v>46143</v>
      </c>
      <c r="J46" s="4">
        <v>16212649</v>
      </c>
      <c r="K46" s="4" t="s">
        <v>184</v>
      </c>
      <c r="L46" s="4">
        <v>-360.67</v>
      </c>
      <c r="M46" s="4">
        <v>-1</v>
      </c>
      <c r="N46" s="4">
        <v>-260.67</v>
      </c>
      <c r="O46" s="4" t="s">
        <v>279</v>
      </c>
      <c r="P46" s="4" t="s">
        <v>285</v>
      </c>
    </row>
    <row r="47" spans="1:31" s="2" customFormat="1" x14ac:dyDescent="0.25">
      <c r="A47" s="6" t="s">
        <v>89</v>
      </c>
      <c r="B47" s="6" t="str">
        <f>CONCATENATE(A47,77)</f>
        <v>4JQ0U76XX2077</v>
      </c>
      <c r="C47" s="6" t="s">
        <v>229</v>
      </c>
      <c r="D47" s="6" t="s">
        <v>230</v>
      </c>
      <c r="E47" s="6" t="str">
        <f t="shared" si="2"/>
        <v>JAMES EZNACK</v>
      </c>
      <c r="F47" s="6" t="s">
        <v>85</v>
      </c>
      <c r="G47" s="6" t="s">
        <v>29</v>
      </c>
      <c r="H47" s="7">
        <v>46143</v>
      </c>
      <c r="I47" s="7">
        <v>46143</v>
      </c>
      <c r="J47" s="6">
        <v>8307933</v>
      </c>
      <c r="K47" s="6" t="s">
        <v>93</v>
      </c>
      <c r="L47" s="6">
        <v>844</v>
      </c>
      <c r="M47" s="6">
        <v>1</v>
      </c>
      <c r="N47" s="6">
        <v>694</v>
      </c>
      <c r="O47" s="6" t="s">
        <v>292</v>
      </c>
      <c r="P47" s="6" t="s">
        <v>297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s="4" customFormat="1" x14ac:dyDescent="0.25">
      <c r="A48" s="4" t="s">
        <v>204</v>
      </c>
      <c r="B48" s="4" t="str">
        <f>CONCATENATE(A48,89)</f>
        <v>4N46F42EU3089</v>
      </c>
      <c r="C48" s="4" t="s">
        <v>276</v>
      </c>
      <c r="D48" s="4" t="s">
        <v>277</v>
      </c>
      <c r="E48" s="4" t="str">
        <f t="shared" si="2"/>
        <v>JAMIE WEIS</v>
      </c>
      <c r="F48" s="4" t="s">
        <v>49</v>
      </c>
      <c r="G48" s="4" t="s">
        <v>29</v>
      </c>
      <c r="H48" s="5">
        <v>46023</v>
      </c>
      <c r="I48" s="5">
        <v>46023</v>
      </c>
      <c r="J48" s="4">
        <v>8307933</v>
      </c>
      <c r="K48" s="4" t="s">
        <v>93</v>
      </c>
      <c r="L48" s="4">
        <v>-497</v>
      </c>
      <c r="M48" s="4">
        <v>-1</v>
      </c>
      <c r="N48" s="4">
        <v>-347</v>
      </c>
      <c r="O48" s="4" t="s">
        <v>282</v>
      </c>
      <c r="P48" s="4" t="s">
        <v>281</v>
      </c>
    </row>
    <row r="49" spans="1:31" s="2" customFormat="1" x14ac:dyDescent="0.25">
      <c r="A49" s="4" t="s">
        <v>89</v>
      </c>
      <c r="B49" s="4" t="str">
        <f>CONCATENATE(A49,89)</f>
        <v>4JQ0U76XX2089</v>
      </c>
      <c r="C49" s="4" t="s">
        <v>229</v>
      </c>
      <c r="D49" s="4" t="s">
        <v>230</v>
      </c>
      <c r="E49" s="4" t="str">
        <f t="shared" si="2"/>
        <v>JAMES EZNACK</v>
      </c>
      <c r="F49" s="4" t="s">
        <v>85</v>
      </c>
      <c r="G49" s="4" t="s">
        <v>29</v>
      </c>
      <c r="H49" s="5">
        <v>46143</v>
      </c>
      <c r="I49" s="5">
        <v>46143</v>
      </c>
      <c r="J49" s="4">
        <v>8307933</v>
      </c>
      <c r="K49" s="4" t="s">
        <v>93</v>
      </c>
      <c r="L49" s="4">
        <v>-331.33</v>
      </c>
      <c r="M49" s="4">
        <v>-1</v>
      </c>
      <c r="N49" s="4">
        <v>-231.33</v>
      </c>
      <c r="O49" s="4" t="s">
        <v>282</v>
      </c>
      <c r="P49" s="4" t="s">
        <v>286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s="4" customFormat="1" x14ac:dyDescent="0.25">
      <c r="A50" s="4" t="s">
        <v>204</v>
      </c>
      <c r="B50" s="4" t="str">
        <f>CONCATENATE(A50,89)</f>
        <v>4N46F42EU3089</v>
      </c>
      <c r="C50" s="4" t="s">
        <v>276</v>
      </c>
      <c r="D50" s="4" t="s">
        <v>277</v>
      </c>
      <c r="E50" s="4" t="str">
        <f t="shared" si="2"/>
        <v>JAMIE WEIS</v>
      </c>
      <c r="F50" s="4" t="s">
        <v>49</v>
      </c>
      <c r="G50" s="4" t="s">
        <v>29</v>
      </c>
      <c r="H50" s="5">
        <v>46023</v>
      </c>
      <c r="I50" s="5">
        <v>46023</v>
      </c>
      <c r="J50" s="4">
        <v>8307933</v>
      </c>
      <c r="K50" s="4" t="s">
        <v>93</v>
      </c>
      <c r="L50" s="4">
        <v>207.08</v>
      </c>
      <c r="M50" s="4">
        <v>1</v>
      </c>
      <c r="N50" s="4">
        <v>144.58000000000001</v>
      </c>
      <c r="O50" s="4" t="s">
        <v>282</v>
      </c>
      <c r="P50" s="4" t="s">
        <v>289</v>
      </c>
    </row>
    <row r="51" spans="1:31" s="2" customFormat="1" x14ac:dyDescent="0.25">
      <c r="A51" s="4" t="s">
        <v>174</v>
      </c>
      <c r="B51" s="4" t="str">
        <f>CONCATENATE(A51,89)</f>
        <v>2JJ4H93QA9689</v>
      </c>
      <c r="C51" s="4" t="s">
        <v>263</v>
      </c>
      <c r="D51" s="4" t="s">
        <v>264</v>
      </c>
      <c r="E51" s="4" t="str">
        <f t="shared" si="2"/>
        <v>KEITH RODECK</v>
      </c>
      <c r="F51" s="4" t="s">
        <v>177</v>
      </c>
      <c r="G51" s="4" t="s">
        <v>29</v>
      </c>
      <c r="H51" s="5">
        <v>46174</v>
      </c>
      <c r="I51" s="5">
        <v>46174</v>
      </c>
      <c r="J51" s="4">
        <v>8307933</v>
      </c>
      <c r="K51" s="4" t="s">
        <v>93</v>
      </c>
      <c r="L51" s="4">
        <v>289.92</v>
      </c>
      <c r="M51" s="4">
        <v>1</v>
      </c>
      <c r="N51" s="4">
        <v>202.42</v>
      </c>
      <c r="O51" s="4" t="s">
        <v>282</v>
      </c>
      <c r="P51" s="4" t="s">
        <v>287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s="2" customFormat="1" x14ac:dyDescent="0.25">
      <c r="A52" s="6" t="s">
        <v>185</v>
      </c>
      <c r="B52" s="6" t="str">
        <f>CONCATENATE(A52,77)</f>
        <v>1Y54KT1AK8277</v>
      </c>
      <c r="C52" s="6" t="s">
        <v>267</v>
      </c>
      <c r="D52" s="6" t="s">
        <v>268</v>
      </c>
      <c r="E52" s="6" t="str">
        <f t="shared" si="2"/>
        <v>INSANOUK THANADABOUTH</v>
      </c>
      <c r="F52" s="6" t="s">
        <v>49</v>
      </c>
      <c r="G52" s="6" t="s">
        <v>29</v>
      </c>
      <c r="H52" s="7">
        <v>46143</v>
      </c>
      <c r="I52" s="7">
        <v>46143</v>
      </c>
      <c r="J52" s="6">
        <v>8405446</v>
      </c>
      <c r="K52" s="6" t="s">
        <v>189</v>
      </c>
      <c r="L52" s="6">
        <v>844</v>
      </c>
      <c r="M52" s="6">
        <v>1</v>
      </c>
      <c r="N52" s="6">
        <v>694</v>
      </c>
      <c r="O52" s="6" t="s">
        <v>292</v>
      </c>
      <c r="P52" s="6" t="s">
        <v>297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s="2" customFormat="1" x14ac:dyDescent="0.25">
      <c r="A53" s="4" t="s">
        <v>185</v>
      </c>
      <c r="B53" s="4" t="str">
        <f>CONCATENATE(A53,89)</f>
        <v>1Y54KT1AK8289</v>
      </c>
      <c r="C53" s="4" t="s">
        <v>267</v>
      </c>
      <c r="D53" s="4" t="s">
        <v>268</v>
      </c>
      <c r="E53" s="4" t="str">
        <f t="shared" si="2"/>
        <v>INSANOUK THANADABOUTH</v>
      </c>
      <c r="F53" s="4" t="s">
        <v>49</v>
      </c>
      <c r="G53" s="4" t="s">
        <v>29</v>
      </c>
      <c r="H53" s="5">
        <v>46143</v>
      </c>
      <c r="I53" s="5">
        <v>46143</v>
      </c>
      <c r="J53" s="4">
        <v>8405446</v>
      </c>
      <c r="K53" s="4" t="s">
        <v>189</v>
      </c>
      <c r="L53" s="4">
        <v>-331.33</v>
      </c>
      <c r="M53" s="4">
        <v>-1</v>
      </c>
      <c r="N53" s="4">
        <v>-231.33</v>
      </c>
      <c r="O53" s="4" t="s">
        <v>282</v>
      </c>
      <c r="P53" s="4" t="s">
        <v>286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s="4" customFormat="1" x14ac:dyDescent="0.25">
      <c r="A54" s="6" t="s">
        <v>82</v>
      </c>
      <c r="B54" s="6" t="str">
        <f>CONCATENATE(A54,77)</f>
        <v>3R11DG6UK0877</v>
      </c>
      <c r="C54" s="6" t="s">
        <v>227</v>
      </c>
      <c r="D54" s="6" t="s">
        <v>228</v>
      </c>
      <c r="E54" s="6" t="str">
        <f t="shared" si="2"/>
        <v>EDMUND DUFFLEY</v>
      </c>
      <c r="F54" s="6" t="s">
        <v>85</v>
      </c>
      <c r="G54" s="6" t="s">
        <v>29</v>
      </c>
      <c r="H54" s="7">
        <v>46143</v>
      </c>
      <c r="I54" s="7">
        <v>46143</v>
      </c>
      <c r="J54" s="6">
        <v>8325282</v>
      </c>
      <c r="K54" s="6" t="s">
        <v>88</v>
      </c>
      <c r="L54" s="6">
        <v>844</v>
      </c>
      <c r="M54" s="6">
        <v>1</v>
      </c>
      <c r="N54" s="6">
        <v>694</v>
      </c>
      <c r="O54" s="6" t="s">
        <v>292</v>
      </c>
      <c r="P54" s="6" t="s">
        <v>297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s="2" customFormat="1" x14ac:dyDescent="0.25">
      <c r="A55" s="4" t="s">
        <v>82</v>
      </c>
      <c r="B55" s="4" t="str">
        <f>CONCATENATE(A55,89)</f>
        <v>3R11DG6UK0889</v>
      </c>
      <c r="C55" s="4" t="s">
        <v>227</v>
      </c>
      <c r="D55" s="4" t="s">
        <v>228</v>
      </c>
      <c r="E55" s="4" t="str">
        <f t="shared" si="2"/>
        <v>EDMUND DUFFLEY</v>
      </c>
      <c r="F55" s="4" t="s">
        <v>85</v>
      </c>
      <c r="G55" s="4" t="s">
        <v>29</v>
      </c>
      <c r="H55" s="5">
        <v>46143</v>
      </c>
      <c r="I55" s="5">
        <v>46143</v>
      </c>
      <c r="J55" s="4">
        <v>8325282</v>
      </c>
      <c r="K55" s="4" t="s">
        <v>88</v>
      </c>
      <c r="L55" s="4">
        <v>-331.33</v>
      </c>
      <c r="M55" s="4">
        <v>-1</v>
      </c>
      <c r="N55" s="4">
        <v>-231.33</v>
      </c>
      <c r="O55" s="4" t="s">
        <v>282</v>
      </c>
      <c r="P55" s="4" t="s">
        <v>286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x14ac:dyDescent="0.25">
      <c r="A56" s="6" t="s">
        <v>150</v>
      </c>
      <c r="B56" s="6" t="str">
        <f>CONCATENATE(A56,77)</f>
        <v>4EC7JW7UE5377</v>
      </c>
      <c r="C56" s="6" t="s">
        <v>254</v>
      </c>
      <c r="D56" s="6" t="s">
        <v>220</v>
      </c>
      <c r="E56" s="6" t="str">
        <f t="shared" si="2"/>
        <v>JANET MILLER</v>
      </c>
      <c r="F56" s="6" t="s">
        <v>153</v>
      </c>
      <c r="G56" s="6" t="s">
        <v>29</v>
      </c>
      <c r="H56" s="7">
        <v>46054</v>
      </c>
      <c r="I56" s="7">
        <v>46054</v>
      </c>
      <c r="J56" s="6">
        <v>18754354</v>
      </c>
      <c r="K56" s="6" t="s">
        <v>157</v>
      </c>
      <c r="L56" s="6">
        <v>-207.25</v>
      </c>
      <c r="M56" s="6">
        <v>-1</v>
      </c>
      <c r="N56" s="6">
        <v>-173.5</v>
      </c>
      <c r="O56" s="6" t="s">
        <v>292</v>
      </c>
      <c r="P56" s="6" t="s">
        <v>291</v>
      </c>
      <c r="Q56" s="6"/>
      <c r="R56" s="6"/>
      <c r="S56" s="6">
        <v>173.5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x14ac:dyDescent="0.25">
      <c r="A57" s="6" t="s">
        <v>150</v>
      </c>
      <c r="B57" s="6" t="str">
        <f>CONCATENATE(A57,77)</f>
        <v>4EC7JW7UE5377</v>
      </c>
      <c r="C57" s="6" t="s">
        <v>254</v>
      </c>
      <c r="D57" s="6" t="s">
        <v>220</v>
      </c>
      <c r="E57" s="6" t="str">
        <f t="shared" si="2"/>
        <v>JANET MILLER</v>
      </c>
      <c r="F57" s="6" t="s">
        <v>153</v>
      </c>
      <c r="G57" s="6" t="s">
        <v>29</v>
      </c>
      <c r="H57" s="7">
        <v>46054</v>
      </c>
      <c r="I57" s="7">
        <v>46054</v>
      </c>
      <c r="J57" s="6">
        <v>18754354</v>
      </c>
      <c r="K57" s="6" t="s">
        <v>157</v>
      </c>
      <c r="L57" s="6">
        <v>829</v>
      </c>
      <c r="M57" s="6">
        <v>1</v>
      </c>
      <c r="N57" s="6">
        <v>694</v>
      </c>
      <c r="O57" s="6" t="s">
        <v>292</v>
      </c>
      <c r="P57" s="6" t="s">
        <v>297</v>
      </c>
      <c r="Q57" s="6"/>
      <c r="R57" s="6"/>
      <c r="S57" s="6">
        <v>694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x14ac:dyDescent="0.25">
      <c r="A58" s="2" t="s">
        <v>78</v>
      </c>
      <c r="B58" s="2" t="str">
        <f t="shared" ref="B58:B89" si="4">CONCATENATE(A58,"OVR")</f>
        <v>5EK3MF0GC90OVR</v>
      </c>
      <c r="C58" s="2" t="s">
        <v>225</v>
      </c>
      <c r="D58" s="2" t="s">
        <v>226</v>
      </c>
      <c r="E58" s="2" t="str">
        <f t="shared" si="2"/>
        <v>DAVID DREXLER</v>
      </c>
      <c r="F58" s="2" t="s">
        <v>27</v>
      </c>
      <c r="G58" s="2" t="s">
        <v>29</v>
      </c>
      <c r="H58" s="3">
        <v>46023</v>
      </c>
      <c r="I58" s="3">
        <v>46023</v>
      </c>
      <c r="J58" s="2">
        <v>20411454</v>
      </c>
      <c r="K58" s="2" t="s">
        <v>299</v>
      </c>
      <c r="L58" s="2">
        <v>-541</v>
      </c>
      <c r="M58" s="2">
        <v>-150</v>
      </c>
      <c r="N58" s="2">
        <v>-150</v>
      </c>
      <c r="O58" s="2" t="s">
        <v>278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5">
      <c r="A59" s="2" t="s">
        <v>167</v>
      </c>
      <c r="B59" s="2" t="str">
        <f t="shared" si="4"/>
        <v>1Q64TH9VD07OVR</v>
      </c>
      <c r="C59" s="2" t="s">
        <v>261</v>
      </c>
      <c r="D59" s="2" t="s">
        <v>262</v>
      </c>
      <c r="E59" s="2" t="str">
        <f t="shared" si="2"/>
        <v>JENNIFER ROCA</v>
      </c>
      <c r="F59" s="2" t="s">
        <v>170</v>
      </c>
      <c r="G59" s="2" t="s">
        <v>29</v>
      </c>
      <c r="H59" s="3">
        <v>46023</v>
      </c>
      <c r="I59" s="3">
        <v>46023</v>
      </c>
      <c r="J59" s="2">
        <v>20411454</v>
      </c>
      <c r="K59" s="2" t="s">
        <v>299</v>
      </c>
      <c r="L59" s="2">
        <v>-497</v>
      </c>
      <c r="M59" s="2">
        <v>-150</v>
      </c>
      <c r="N59" s="2">
        <v>-150</v>
      </c>
      <c r="O59" s="2" t="s">
        <v>278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5">
      <c r="A60" s="2" t="s">
        <v>112</v>
      </c>
      <c r="B60" s="2" t="str">
        <f t="shared" si="4"/>
        <v>9XT5G24PK71OVR</v>
      </c>
      <c r="C60" s="2" t="s">
        <v>237</v>
      </c>
      <c r="D60" s="2" t="s">
        <v>238</v>
      </c>
      <c r="E60" s="2" t="str">
        <f t="shared" si="2"/>
        <v>LOIS GORFIDO</v>
      </c>
      <c r="F60" s="2" t="s">
        <v>74</v>
      </c>
      <c r="G60" s="2" t="s">
        <v>29</v>
      </c>
      <c r="H60" s="3">
        <v>46023</v>
      </c>
      <c r="I60" s="3">
        <v>46023</v>
      </c>
      <c r="J60" s="2">
        <v>20411454</v>
      </c>
      <c r="K60" s="2" t="s">
        <v>299</v>
      </c>
      <c r="L60" s="2">
        <v>-497</v>
      </c>
      <c r="M60" s="2">
        <v>-150</v>
      </c>
      <c r="N60" s="2">
        <v>-150</v>
      </c>
      <c r="O60" s="2" t="s">
        <v>278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 t="s">
        <v>204</v>
      </c>
      <c r="B61" s="2" t="str">
        <f t="shared" si="4"/>
        <v>4N46F42EU30OVR</v>
      </c>
      <c r="C61" s="2" t="s">
        <v>276</v>
      </c>
      <c r="D61" s="2" t="s">
        <v>277</v>
      </c>
      <c r="E61" s="2" t="str">
        <f t="shared" si="2"/>
        <v>JAMIE WEIS</v>
      </c>
      <c r="F61" s="2" t="s">
        <v>49</v>
      </c>
      <c r="G61" s="2" t="s">
        <v>29</v>
      </c>
      <c r="H61" s="3">
        <v>46023</v>
      </c>
      <c r="I61" s="3">
        <v>46023</v>
      </c>
      <c r="J61" s="2">
        <v>20411454</v>
      </c>
      <c r="K61" s="2" t="s">
        <v>299</v>
      </c>
      <c r="L61" s="2">
        <v>-497</v>
      </c>
      <c r="M61" s="2">
        <v>-150</v>
      </c>
      <c r="N61" s="2">
        <v>-150</v>
      </c>
      <c r="O61" s="2" t="s">
        <v>278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 t="s">
        <v>59</v>
      </c>
      <c r="B62" s="2" t="str">
        <f t="shared" si="4"/>
        <v>5FD8TC7CN21OVR</v>
      </c>
      <c r="C62" s="2" t="s">
        <v>217</v>
      </c>
      <c r="D62" s="2" t="s">
        <v>218</v>
      </c>
      <c r="E62" s="2" t="str">
        <f t="shared" si="2"/>
        <v>STEVE BISTARKEY</v>
      </c>
      <c r="F62" s="2" t="s">
        <v>27</v>
      </c>
      <c r="G62" s="2" t="s">
        <v>29</v>
      </c>
      <c r="H62" s="3">
        <v>46113</v>
      </c>
      <c r="I62" s="3">
        <v>46113</v>
      </c>
      <c r="J62" s="2">
        <v>20411454</v>
      </c>
      <c r="K62" s="2" t="s">
        <v>299</v>
      </c>
      <c r="L62" s="2">
        <v>-405.75</v>
      </c>
      <c r="M62" s="2">
        <v>-112.5</v>
      </c>
      <c r="N62" s="2">
        <v>-112.5</v>
      </c>
      <c r="O62" s="2" t="s">
        <v>278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 t="s">
        <v>193</v>
      </c>
      <c r="B63" s="2" t="str">
        <f t="shared" si="4"/>
        <v>2VM8TX3NN47OVR</v>
      </c>
      <c r="C63" s="2" t="s">
        <v>271</v>
      </c>
      <c r="D63" s="2" t="s">
        <v>272</v>
      </c>
      <c r="E63" s="2" t="str">
        <f t="shared" si="2"/>
        <v>KENNETH TRACY</v>
      </c>
      <c r="F63" s="2" t="s">
        <v>49</v>
      </c>
      <c r="G63" s="2" t="s">
        <v>29</v>
      </c>
      <c r="H63" s="3">
        <v>46113</v>
      </c>
      <c r="I63" s="3">
        <v>46113</v>
      </c>
      <c r="J63" s="2">
        <v>20411454</v>
      </c>
      <c r="K63" s="2" t="s">
        <v>299</v>
      </c>
      <c r="L63" s="2">
        <v>-372.75</v>
      </c>
      <c r="M63" s="2">
        <f>-150/12*9</f>
        <v>-112.5</v>
      </c>
      <c r="N63" s="2">
        <f>-150/12*9</f>
        <v>-112.5</v>
      </c>
      <c r="O63" s="2" t="s">
        <v>278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5">
      <c r="A64" s="2" t="s">
        <v>62</v>
      </c>
      <c r="B64" s="2" t="str">
        <f t="shared" si="4"/>
        <v>7F17V97KX38OVR</v>
      </c>
      <c r="C64" s="2" t="s">
        <v>219</v>
      </c>
      <c r="D64" s="2" t="s">
        <v>220</v>
      </c>
      <c r="E64" s="2" t="str">
        <f t="shared" si="2"/>
        <v>JANET CASCIATO</v>
      </c>
      <c r="F64" s="2" t="s">
        <v>27</v>
      </c>
      <c r="G64" s="2" t="s">
        <v>29</v>
      </c>
      <c r="H64" s="3">
        <v>46143</v>
      </c>
      <c r="I64" s="3">
        <v>46143</v>
      </c>
      <c r="J64" s="2">
        <v>20411454</v>
      </c>
      <c r="K64" s="2" t="s">
        <v>299</v>
      </c>
      <c r="L64" s="2">
        <v>-360.67</v>
      </c>
      <c r="M64" s="2">
        <v>-100</v>
      </c>
      <c r="N64" s="2">
        <v>-100</v>
      </c>
      <c r="O64" s="2" t="s">
        <v>278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s="4" customFormat="1" x14ac:dyDescent="0.25">
      <c r="A65" s="2" t="s">
        <v>38</v>
      </c>
      <c r="B65" s="2" t="str">
        <f t="shared" si="4"/>
        <v>1QF3J12QP74OVR</v>
      </c>
      <c r="C65" s="2" t="s">
        <v>211</v>
      </c>
      <c r="D65" s="2" t="s">
        <v>212</v>
      </c>
      <c r="E65" s="2" t="str">
        <f t="shared" si="2"/>
        <v>LESLIE BANE</v>
      </c>
      <c r="F65" s="2" t="s">
        <v>27</v>
      </c>
      <c r="G65" s="2" t="s">
        <v>29</v>
      </c>
      <c r="H65" s="3">
        <v>46143</v>
      </c>
      <c r="I65" s="3">
        <v>46143</v>
      </c>
      <c r="J65" s="2">
        <v>20411454</v>
      </c>
      <c r="K65" s="2" t="s">
        <v>299</v>
      </c>
      <c r="L65" s="2">
        <v>-360.67</v>
      </c>
      <c r="M65" s="2">
        <v>-100</v>
      </c>
      <c r="N65" s="2">
        <v>-100</v>
      </c>
      <c r="O65" s="2" t="s">
        <v>278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s="2" customFormat="1" x14ac:dyDescent="0.25">
      <c r="A66" s="2" t="s">
        <v>54</v>
      </c>
      <c r="B66" s="2" t="str">
        <f t="shared" si="4"/>
        <v>1TU1G24CD16OVR</v>
      </c>
      <c r="C66" s="2" t="s">
        <v>215</v>
      </c>
      <c r="D66" s="2" t="s">
        <v>216</v>
      </c>
      <c r="E66" s="2" t="str">
        <f t="shared" ref="E66:E97" si="5">CONCATENATE(D66," ",C66)</f>
        <v>WALTER BATTLE</v>
      </c>
      <c r="F66" s="2" t="s">
        <v>27</v>
      </c>
      <c r="G66" s="2" t="s">
        <v>29</v>
      </c>
      <c r="H66" s="3">
        <v>46143</v>
      </c>
      <c r="I66" s="3">
        <v>46143</v>
      </c>
      <c r="J66" s="2">
        <v>20411454</v>
      </c>
      <c r="K66" s="2" t="s">
        <v>299</v>
      </c>
      <c r="L66" s="2">
        <v>-360.67</v>
      </c>
      <c r="M66" s="2">
        <v>-100</v>
      </c>
      <c r="N66" s="2">
        <v>-100</v>
      </c>
      <c r="O66" s="2" t="s">
        <v>278</v>
      </c>
    </row>
    <row r="67" spans="1:31" s="4" customFormat="1" x14ac:dyDescent="0.25">
      <c r="A67" s="2" t="s">
        <v>66</v>
      </c>
      <c r="B67" s="2" t="str">
        <f t="shared" si="4"/>
        <v>5Q05TV9EG54OVR</v>
      </c>
      <c r="C67" s="2" t="s">
        <v>221</v>
      </c>
      <c r="D67" s="2" t="s">
        <v>222</v>
      </c>
      <c r="E67" s="2" t="str">
        <f t="shared" si="5"/>
        <v>DEAN CORNELL</v>
      </c>
      <c r="F67" s="2" t="s">
        <v>27</v>
      </c>
      <c r="G67" s="2" t="s">
        <v>29</v>
      </c>
      <c r="H67" s="3">
        <v>46143</v>
      </c>
      <c r="I67" s="3">
        <v>46143</v>
      </c>
      <c r="J67" s="2">
        <v>20411454</v>
      </c>
      <c r="K67" s="2" t="s">
        <v>299</v>
      </c>
      <c r="L67" s="2">
        <v>-360.67</v>
      </c>
      <c r="M67" s="2">
        <v>-100</v>
      </c>
      <c r="N67" s="2">
        <v>-100</v>
      </c>
      <c r="O67" s="2" t="s">
        <v>278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s="4" customFormat="1" x14ac:dyDescent="0.25">
      <c r="A68" s="2" t="s">
        <v>180</v>
      </c>
      <c r="B68" s="2" t="str">
        <f t="shared" si="4"/>
        <v>1G57PT9WT57OVR</v>
      </c>
      <c r="C68" s="2" t="s">
        <v>265</v>
      </c>
      <c r="D68" s="2" t="s">
        <v>266</v>
      </c>
      <c r="E68" s="2" t="str">
        <f t="shared" si="5"/>
        <v>STEVEN SABULSKY</v>
      </c>
      <c r="F68" s="2" t="s">
        <v>27</v>
      </c>
      <c r="G68" s="2" t="s">
        <v>29</v>
      </c>
      <c r="H68" s="3">
        <v>46143</v>
      </c>
      <c r="I68" s="3">
        <v>46143</v>
      </c>
      <c r="J68" s="2">
        <v>20411454</v>
      </c>
      <c r="K68" s="2" t="s">
        <v>299</v>
      </c>
      <c r="L68" s="2">
        <v>-360.67</v>
      </c>
      <c r="M68" s="2">
        <v>-100</v>
      </c>
      <c r="N68" s="2">
        <v>-100</v>
      </c>
      <c r="O68" s="2" t="s">
        <v>278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s="4" customFormat="1" x14ac:dyDescent="0.25">
      <c r="A69" s="2" t="s">
        <v>143</v>
      </c>
      <c r="B69" s="2" t="str">
        <f t="shared" si="4"/>
        <v>6CP4GR0KD72OVR</v>
      </c>
      <c r="C69" s="2" t="s">
        <v>250</v>
      </c>
      <c r="D69" s="2" t="s">
        <v>251</v>
      </c>
      <c r="E69" s="2" t="str">
        <f t="shared" si="5"/>
        <v>CHARLES MCCLERNON</v>
      </c>
      <c r="F69" s="2" t="s">
        <v>49</v>
      </c>
      <c r="G69" s="2" t="s">
        <v>29</v>
      </c>
      <c r="H69" s="3">
        <v>46143</v>
      </c>
      <c r="I69" s="3">
        <v>46143</v>
      </c>
      <c r="J69" s="2">
        <v>20411454</v>
      </c>
      <c r="K69" s="2" t="s">
        <v>299</v>
      </c>
      <c r="L69" s="2">
        <v>-331.33</v>
      </c>
      <c r="M69" s="2">
        <v>-100</v>
      </c>
      <c r="N69" s="2">
        <v>-100</v>
      </c>
      <c r="O69" s="2" t="s">
        <v>278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s="2" customFormat="1" x14ac:dyDescent="0.25">
      <c r="A70" s="2" t="s">
        <v>129</v>
      </c>
      <c r="B70" s="2" t="str">
        <f t="shared" si="4"/>
        <v>2VT1P36TM01OVR</v>
      </c>
      <c r="C70" s="2" t="s">
        <v>245</v>
      </c>
      <c r="D70" s="2" t="s">
        <v>246</v>
      </c>
      <c r="E70" s="2" t="str">
        <f t="shared" si="5"/>
        <v>DANIEL KORNOWSKI</v>
      </c>
      <c r="F70" s="2" t="s">
        <v>132</v>
      </c>
      <c r="G70" s="2" t="s">
        <v>29</v>
      </c>
      <c r="H70" s="3">
        <v>46143</v>
      </c>
      <c r="I70" s="3">
        <v>46143</v>
      </c>
      <c r="J70" s="2">
        <v>20411454</v>
      </c>
      <c r="K70" s="2" t="s">
        <v>299</v>
      </c>
      <c r="L70" s="2">
        <v>-331.33</v>
      </c>
      <c r="M70" s="2">
        <v>-100</v>
      </c>
      <c r="N70" s="2">
        <v>-100</v>
      </c>
      <c r="O70" s="2" t="s">
        <v>278</v>
      </c>
    </row>
    <row r="71" spans="1:31" s="2" customFormat="1" x14ac:dyDescent="0.25">
      <c r="A71" s="2" t="s">
        <v>71</v>
      </c>
      <c r="B71" s="2" t="str">
        <f t="shared" si="4"/>
        <v>9KM4UA0WN80OVR</v>
      </c>
      <c r="C71" s="2" t="s">
        <v>223</v>
      </c>
      <c r="D71" s="2" t="s">
        <v>224</v>
      </c>
      <c r="E71" s="2" t="str">
        <f t="shared" si="5"/>
        <v>REBECCA DICKSON</v>
      </c>
      <c r="F71" s="2" t="s">
        <v>74</v>
      </c>
      <c r="G71" s="2" t="s">
        <v>29</v>
      </c>
      <c r="H71" s="3">
        <v>46143</v>
      </c>
      <c r="I71" s="3">
        <v>46143</v>
      </c>
      <c r="J71" s="2">
        <v>20411454</v>
      </c>
      <c r="K71" s="2" t="s">
        <v>299</v>
      </c>
      <c r="L71" s="2">
        <v>-331.33</v>
      </c>
      <c r="M71" s="2">
        <v>-100</v>
      </c>
      <c r="N71" s="2">
        <v>-100</v>
      </c>
      <c r="O71" s="2" t="s">
        <v>278</v>
      </c>
    </row>
    <row r="72" spans="1:31" s="2" customFormat="1" x14ac:dyDescent="0.25">
      <c r="A72" s="2" t="s">
        <v>94</v>
      </c>
      <c r="B72" s="2" t="str">
        <f t="shared" si="4"/>
        <v>8PW4EF8HN86OVR</v>
      </c>
      <c r="C72" s="2" t="s">
        <v>231</v>
      </c>
      <c r="D72" s="2" t="s">
        <v>232</v>
      </c>
      <c r="E72" s="2" t="str">
        <f t="shared" si="5"/>
        <v>JOHN FOUTTY</v>
      </c>
      <c r="F72" s="2" t="s">
        <v>74</v>
      </c>
      <c r="G72" s="2" t="s">
        <v>29</v>
      </c>
      <c r="H72" s="3">
        <v>46143</v>
      </c>
      <c r="I72" s="3">
        <v>46143</v>
      </c>
      <c r="J72" s="2">
        <v>20411454</v>
      </c>
      <c r="K72" s="2" t="s">
        <v>299</v>
      </c>
      <c r="L72" s="2">
        <v>-331.33</v>
      </c>
      <c r="M72" s="2">
        <v>-100</v>
      </c>
      <c r="N72" s="2">
        <v>-100</v>
      </c>
      <c r="O72" s="2" t="s">
        <v>278</v>
      </c>
    </row>
    <row r="73" spans="1:31" s="4" customFormat="1" x14ac:dyDescent="0.25">
      <c r="A73" s="2" t="s">
        <v>97</v>
      </c>
      <c r="B73" s="2" t="str">
        <f t="shared" si="4"/>
        <v>2WC6NG0QC41OVR</v>
      </c>
      <c r="C73" s="2" t="s">
        <v>233</v>
      </c>
      <c r="D73" s="2" t="s">
        <v>214</v>
      </c>
      <c r="E73" s="2" t="str">
        <f t="shared" si="5"/>
        <v>MARY FRIEND</v>
      </c>
      <c r="F73" s="2" t="s">
        <v>74</v>
      </c>
      <c r="G73" s="2" t="s">
        <v>29</v>
      </c>
      <c r="H73" s="3">
        <v>46143</v>
      </c>
      <c r="I73" s="3">
        <v>46143</v>
      </c>
      <c r="J73" s="2">
        <v>20411454</v>
      </c>
      <c r="K73" s="2" t="s">
        <v>299</v>
      </c>
      <c r="L73" s="2">
        <v>-331.33</v>
      </c>
      <c r="M73" s="2">
        <v>-100</v>
      </c>
      <c r="N73" s="2">
        <v>-100</v>
      </c>
      <c r="O73" s="2" t="s">
        <v>278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s="2" customFormat="1" x14ac:dyDescent="0.25">
      <c r="A74" s="2" t="s">
        <v>117</v>
      </c>
      <c r="B74" s="2" t="str">
        <f t="shared" si="4"/>
        <v>5XY7E09VM66OVR</v>
      </c>
      <c r="C74" s="2" t="s">
        <v>239</v>
      </c>
      <c r="D74" s="2" t="s">
        <v>240</v>
      </c>
      <c r="E74" s="2" t="str">
        <f t="shared" si="5"/>
        <v>KAREN HALLEY</v>
      </c>
      <c r="F74" s="2" t="s">
        <v>74</v>
      </c>
      <c r="G74" s="2" t="s">
        <v>29</v>
      </c>
      <c r="H74" s="3">
        <v>46143</v>
      </c>
      <c r="I74" s="3">
        <v>46143</v>
      </c>
      <c r="J74" s="2">
        <v>20411454</v>
      </c>
      <c r="K74" s="2" t="s">
        <v>299</v>
      </c>
      <c r="L74" s="2">
        <v>-331.33</v>
      </c>
      <c r="M74" s="2">
        <v>-100</v>
      </c>
      <c r="N74" s="2">
        <v>-100</v>
      </c>
      <c r="O74" s="2" t="s">
        <v>278</v>
      </c>
    </row>
    <row r="75" spans="1:31" s="4" customFormat="1" x14ac:dyDescent="0.25">
      <c r="A75" s="2" t="s">
        <v>161</v>
      </c>
      <c r="B75" s="2" t="str">
        <f t="shared" si="4"/>
        <v>8FW1VC0WC07OVR</v>
      </c>
      <c r="C75" s="2" t="s">
        <v>257</v>
      </c>
      <c r="D75" s="2" t="s">
        <v>258</v>
      </c>
      <c r="E75" s="2" t="str">
        <f t="shared" si="5"/>
        <v>MARK NEFF</v>
      </c>
      <c r="F75" s="2" t="s">
        <v>74</v>
      </c>
      <c r="G75" s="2" t="s">
        <v>29</v>
      </c>
      <c r="H75" s="3">
        <v>46143</v>
      </c>
      <c r="I75" s="3">
        <v>46143</v>
      </c>
      <c r="J75" s="2">
        <v>20411454</v>
      </c>
      <c r="K75" s="2" t="s">
        <v>299</v>
      </c>
      <c r="L75" s="2">
        <v>-331.33</v>
      </c>
      <c r="M75" s="2">
        <v>-100</v>
      </c>
      <c r="N75" s="2">
        <v>-100</v>
      </c>
      <c r="O75" s="2" t="s">
        <v>278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s="4" customFormat="1" x14ac:dyDescent="0.25">
      <c r="A76" s="2" t="s">
        <v>164</v>
      </c>
      <c r="B76" s="2" t="str">
        <f t="shared" si="4"/>
        <v>2YU8H05NT30OVR</v>
      </c>
      <c r="C76" s="2" t="s">
        <v>259</v>
      </c>
      <c r="D76" s="2" t="s">
        <v>260</v>
      </c>
      <c r="E76" s="2" t="str">
        <f t="shared" si="5"/>
        <v>LAURIE RAMEY</v>
      </c>
      <c r="F76" s="2" t="s">
        <v>74</v>
      </c>
      <c r="G76" s="2" t="s">
        <v>29</v>
      </c>
      <c r="H76" s="3">
        <v>46143</v>
      </c>
      <c r="I76" s="3">
        <v>46143</v>
      </c>
      <c r="J76" s="2">
        <v>20411454</v>
      </c>
      <c r="K76" s="2" t="s">
        <v>299</v>
      </c>
      <c r="L76" s="2">
        <v>-331.33</v>
      </c>
      <c r="M76" s="2">
        <v>-100</v>
      </c>
      <c r="N76" s="2">
        <v>-100</v>
      </c>
      <c r="O76" s="2" t="s">
        <v>278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s="4" customFormat="1" x14ac:dyDescent="0.25">
      <c r="A77" s="2" t="s">
        <v>89</v>
      </c>
      <c r="B77" s="2" t="str">
        <f t="shared" si="4"/>
        <v>4JQ0U76XX20OVR</v>
      </c>
      <c r="C77" s="2" t="s">
        <v>229</v>
      </c>
      <c r="D77" s="2" t="s">
        <v>230</v>
      </c>
      <c r="E77" s="2" t="str">
        <f t="shared" si="5"/>
        <v>JAMES EZNACK</v>
      </c>
      <c r="F77" s="2" t="s">
        <v>85</v>
      </c>
      <c r="G77" s="2" t="s">
        <v>29</v>
      </c>
      <c r="H77" s="3">
        <v>46143</v>
      </c>
      <c r="I77" s="3">
        <v>46143</v>
      </c>
      <c r="J77" s="2">
        <v>20411454</v>
      </c>
      <c r="K77" s="2" t="s">
        <v>299</v>
      </c>
      <c r="L77" s="2">
        <v>-331.33</v>
      </c>
      <c r="M77" s="2">
        <v>-100</v>
      </c>
      <c r="N77" s="2">
        <v>-100</v>
      </c>
      <c r="O77" s="2" t="s">
        <v>278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s="4" customFormat="1" x14ac:dyDescent="0.25">
      <c r="A78" s="2" t="s">
        <v>185</v>
      </c>
      <c r="B78" s="2" t="str">
        <f t="shared" si="4"/>
        <v>1Y54KT1AK82OVR</v>
      </c>
      <c r="C78" s="2" t="s">
        <v>267</v>
      </c>
      <c r="D78" s="2" t="s">
        <v>268</v>
      </c>
      <c r="E78" s="2" t="str">
        <f t="shared" si="5"/>
        <v>INSANOUK THANADABOUTH</v>
      </c>
      <c r="F78" s="2" t="s">
        <v>49</v>
      </c>
      <c r="G78" s="2" t="s">
        <v>29</v>
      </c>
      <c r="H78" s="3">
        <v>46143</v>
      </c>
      <c r="I78" s="3">
        <v>46143</v>
      </c>
      <c r="J78" s="2">
        <v>20411454</v>
      </c>
      <c r="K78" s="2" t="s">
        <v>299</v>
      </c>
      <c r="L78" s="2">
        <v>-331.33</v>
      </c>
      <c r="M78" s="2">
        <v>-100</v>
      </c>
      <c r="N78" s="2">
        <v>-100</v>
      </c>
      <c r="O78" s="2" t="s">
        <v>278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s="2" customFormat="1" x14ac:dyDescent="0.25">
      <c r="A79" s="2" t="s">
        <v>82</v>
      </c>
      <c r="B79" s="2" t="str">
        <f t="shared" si="4"/>
        <v>3R11DG6UK08OVR</v>
      </c>
      <c r="C79" s="2" t="s">
        <v>227</v>
      </c>
      <c r="D79" s="2" t="s">
        <v>228</v>
      </c>
      <c r="E79" s="2" t="str">
        <f t="shared" si="5"/>
        <v>EDMUND DUFFLEY</v>
      </c>
      <c r="F79" s="2" t="s">
        <v>85</v>
      </c>
      <c r="G79" s="2" t="s">
        <v>29</v>
      </c>
      <c r="H79" s="3">
        <v>46143</v>
      </c>
      <c r="I79" s="3">
        <v>46143</v>
      </c>
      <c r="J79" s="2">
        <v>20411454</v>
      </c>
      <c r="K79" s="2" t="s">
        <v>299</v>
      </c>
      <c r="L79" s="2">
        <v>-331.33</v>
      </c>
      <c r="M79" s="2">
        <v>-100</v>
      </c>
      <c r="N79" s="2">
        <v>-100</v>
      </c>
      <c r="O79" s="2" t="s">
        <v>278</v>
      </c>
    </row>
    <row r="80" spans="1:31" s="2" customFormat="1" x14ac:dyDescent="0.25">
      <c r="A80" s="2" t="s">
        <v>121</v>
      </c>
      <c r="B80" s="2" t="str">
        <f t="shared" si="4"/>
        <v>4VY2EX2TF11OVR</v>
      </c>
      <c r="C80" s="2" t="s">
        <v>241</v>
      </c>
      <c r="D80" s="2" t="s">
        <v>242</v>
      </c>
      <c r="E80" s="2" t="str">
        <f t="shared" si="5"/>
        <v>JODIE HARTUNG</v>
      </c>
      <c r="F80" s="2" t="s">
        <v>74</v>
      </c>
      <c r="G80" s="2" t="s">
        <v>29</v>
      </c>
      <c r="H80" s="3">
        <v>46174</v>
      </c>
      <c r="I80" s="3">
        <v>46174</v>
      </c>
      <c r="J80" s="2">
        <v>20411454</v>
      </c>
      <c r="K80" s="2" t="s">
        <v>299</v>
      </c>
      <c r="L80" s="2">
        <v>-289.92</v>
      </c>
      <c r="M80" s="2">
        <v>-87.5</v>
      </c>
      <c r="N80" s="2">
        <v>-87.5</v>
      </c>
      <c r="O80" s="2" t="s">
        <v>278</v>
      </c>
    </row>
    <row r="81" spans="1:31" s="2" customFormat="1" x14ac:dyDescent="0.25">
      <c r="A81" s="2" t="s">
        <v>124</v>
      </c>
      <c r="B81" s="2" t="str">
        <f t="shared" si="4"/>
        <v>3W80HH1TH33OVR</v>
      </c>
      <c r="C81" s="2" t="s">
        <v>243</v>
      </c>
      <c r="D81" s="2" t="s">
        <v>244</v>
      </c>
      <c r="E81" s="2" t="str">
        <f t="shared" si="5"/>
        <v>MICHAEL HOBACK</v>
      </c>
      <c r="F81" s="2" t="s">
        <v>49</v>
      </c>
      <c r="G81" s="2" t="s">
        <v>29</v>
      </c>
      <c r="H81" s="3">
        <v>46204</v>
      </c>
      <c r="I81" s="3">
        <v>46204</v>
      </c>
      <c r="J81" s="2">
        <v>20411454</v>
      </c>
      <c r="K81" s="2" t="s">
        <v>299</v>
      </c>
      <c r="L81" s="2">
        <v>-248.5</v>
      </c>
      <c r="M81" s="2">
        <v>-75</v>
      </c>
      <c r="N81" s="2">
        <v>-75</v>
      </c>
      <c r="O81" s="2" t="s">
        <v>278</v>
      </c>
    </row>
    <row r="82" spans="1:31" s="2" customFormat="1" x14ac:dyDescent="0.25">
      <c r="A82" s="2" t="s">
        <v>24</v>
      </c>
      <c r="B82" s="2" t="str">
        <f t="shared" si="4"/>
        <v>7J42MG9NP24OVR</v>
      </c>
      <c r="C82" s="2" t="s">
        <v>209</v>
      </c>
      <c r="D82" s="2" t="s">
        <v>210</v>
      </c>
      <c r="E82" s="2" t="str">
        <f t="shared" si="5"/>
        <v>RALPH ALLEN</v>
      </c>
      <c r="F82" s="2" t="s">
        <v>27</v>
      </c>
      <c r="G82" s="2" t="s">
        <v>29</v>
      </c>
      <c r="H82" s="3">
        <v>46023</v>
      </c>
      <c r="I82" s="3">
        <v>46023</v>
      </c>
      <c r="J82" s="2">
        <v>20411454</v>
      </c>
      <c r="K82" s="2" t="s">
        <v>299</v>
      </c>
      <c r="L82" s="2">
        <v>-65</v>
      </c>
      <c r="M82" s="2">
        <v>-65</v>
      </c>
      <c r="N82" s="2">
        <v>-65</v>
      </c>
      <c r="O82" s="2" t="s">
        <v>278</v>
      </c>
    </row>
    <row r="83" spans="1:31" s="4" customFormat="1" x14ac:dyDescent="0.25">
      <c r="A83" s="2" t="s">
        <v>197</v>
      </c>
      <c r="B83" s="2" t="str">
        <f t="shared" si="4"/>
        <v>7DQ0D66DK38OVR</v>
      </c>
      <c r="C83" s="2" t="s">
        <v>273</v>
      </c>
      <c r="D83" s="2" t="s">
        <v>244</v>
      </c>
      <c r="E83" s="2" t="str">
        <f t="shared" si="5"/>
        <v>MICHAEL VRONOSKI</v>
      </c>
      <c r="F83" s="2" t="s">
        <v>27</v>
      </c>
      <c r="G83" s="2" t="s">
        <v>29</v>
      </c>
      <c r="H83" s="3">
        <v>46143</v>
      </c>
      <c r="I83" s="3">
        <v>46143</v>
      </c>
      <c r="J83" s="2">
        <v>20411454</v>
      </c>
      <c r="K83" s="2" t="s">
        <v>299</v>
      </c>
      <c r="L83" s="2">
        <v>-43.34</v>
      </c>
      <c r="M83" s="2">
        <v>-43.34</v>
      </c>
      <c r="N83" s="2">
        <v>-43.34</v>
      </c>
      <c r="O83" s="2" t="s">
        <v>278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s="2" customFormat="1" x14ac:dyDescent="0.25">
      <c r="A84" s="2" t="s">
        <v>190</v>
      </c>
      <c r="B84" s="2" t="str">
        <f t="shared" si="4"/>
        <v>7EN4W94UE62OVR</v>
      </c>
      <c r="C84" s="2" t="s">
        <v>269</v>
      </c>
      <c r="D84" s="2" t="s">
        <v>270</v>
      </c>
      <c r="E84" s="2" t="str">
        <f t="shared" si="5"/>
        <v>KATHRYN THOMAS</v>
      </c>
      <c r="F84" s="2" t="s">
        <v>27</v>
      </c>
      <c r="G84" s="2" t="s">
        <v>29</v>
      </c>
      <c r="H84" s="3">
        <v>46174</v>
      </c>
      <c r="I84" s="3">
        <v>46174</v>
      </c>
      <c r="J84" s="2">
        <v>20411454</v>
      </c>
      <c r="K84" s="2" t="s">
        <v>299</v>
      </c>
      <c r="L84" s="2">
        <v>-37.909999999999997</v>
      </c>
      <c r="M84" s="2">
        <v>-37.909999999999997</v>
      </c>
      <c r="N84" s="2">
        <v>-37.909999999999997</v>
      </c>
      <c r="O84" s="2" t="s">
        <v>278</v>
      </c>
    </row>
    <row r="85" spans="1:31" s="4" customFormat="1" x14ac:dyDescent="0.25">
      <c r="A85" s="2" t="s">
        <v>150</v>
      </c>
      <c r="B85" s="2" t="str">
        <f t="shared" si="4"/>
        <v>4EC7JW7UE53OVR</v>
      </c>
      <c r="C85" s="2" t="s">
        <v>254</v>
      </c>
      <c r="D85" s="2" t="s">
        <v>220</v>
      </c>
      <c r="E85" s="2" t="str">
        <f t="shared" si="5"/>
        <v>JANET MILLER</v>
      </c>
      <c r="F85" s="2" t="s">
        <v>153</v>
      </c>
      <c r="G85" s="2" t="s">
        <v>29</v>
      </c>
      <c r="H85" s="3">
        <v>46054</v>
      </c>
      <c r="I85" s="3">
        <v>46054</v>
      </c>
      <c r="J85" s="2">
        <v>20411454</v>
      </c>
      <c r="K85" s="2" t="s">
        <v>299</v>
      </c>
      <c r="L85" s="2">
        <v>-207.25</v>
      </c>
      <c r="M85" s="2">
        <v>-33.75</v>
      </c>
      <c r="N85" s="2">
        <v>-33.75</v>
      </c>
      <c r="O85" s="2" t="s">
        <v>278</v>
      </c>
      <c r="P85" s="2"/>
      <c r="Q85" s="2"/>
      <c r="R85" s="2"/>
      <c r="S85" s="2">
        <v>33.75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s="2" customFormat="1" x14ac:dyDescent="0.25">
      <c r="A86" s="2" t="s">
        <v>147</v>
      </c>
      <c r="B86" s="2" t="str">
        <f t="shared" si="4"/>
        <v>3MX4P89WW03OVR</v>
      </c>
      <c r="C86" s="2" t="s">
        <v>252</v>
      </c>
      <c r="D86" s="2" t="s">
        <v>253</v>
      </c>
      <c r="E86" s="2" t="str">
        <f t="shared" si="5"/>
        <v>SUSAN MCCLOSKEY</v>
      </c>
      <c r="F86" s="2" t="s">
        <v>27</v>
      </c>
      <c r="G86" s="2" t="s">
        <v>29</v>
      </c>
      <c r="H86" s="3">
        <v>46204</v>
      </c>
      <c r="I86" s="3">
        <v>46204</v>
      </c>
      <c r="J86" s="2">
        <v>20411454</v>
      </c>
      <c r="K86" s="2" t="s">
        <v>299</v>
      </c>
      <c r="L86" s="2">
        <v>-32.5</v>
      </c>
      <c r="M86" s="2">
        <v>-32.5</v>
      </c>
      <c r="N86" s="2">
        <v>-32.5</v>
      </c>
      <c r="O86" s="2" t="s">
        <v>278</v>
      </c>
    </row>
    <row r="87" spans="1:31" s="4" customFormat="1" x14ac:dyDescent="0.25">
      <c r="A87" s="2" t="s">
        <v>200</v>
      </c>
      <c r="B87" s="2" t="str">
        <f t="shared" si="4"/>
        <v>2DM2MN8UR91OVR</v>
      </c>
      <c r="C87" s="2" t="s">
        <v>274</v>
      </c>
      <c r="D87" s="2" t="s">
        <v>275</v>
      </c>
      <c r="E87" s="2" t="str">
        <f t="shared" si="5"/>
        <v>JO WATSON</v>
      </c>
      <c r="F87" s="2" t="s">
        <v>49</v>
      </c>
      <c r="G87" s="2" t="s">
        <v>29</v>
      </c>
      <c r="H87" s="3">
        <v>46113</v>
      </c>
      <c r="I87" s="3">
        <v>46113</v>
      </c>
      <c r="J87" s="2">
        <v>20411454</v>
      </c>
      <c r="K87" s="2" t="s">
        <v>299</v>
      </c>
      <c r="L87" s="2">
        <v>-41.42</v>
      </c>
      <c r="M87" s="2">
        <v>-12.5</v>
      </c>
      <c r="N87" s="2">
        <v>-12.5</v>
      </c>
      <c r="O87" s="2" t="s">
        <v>278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s="4" customFormat="1" x14ac:dyDescent="0.25">
      <c r="A88" s="2" t="s">
        <v>200</v>
      </c>
      <c r="B88" s="2" t="str">
        <f t="shared" si="4"/>
        <v>2DM2MN8UR91OVR</v>
      </c>
      <c r="C88" s="2" t="s">
        <v>274</v>
      </c>
      <c r="D88" s="2" t="s">
        <v>275</v>
      </c>
      <c r="E88" s="2" t="str">
        <f t="shared" si="5"/>
        <v>JO WATSON</v>
      </c>
      <c r="F88" s="2" t="s">
        <v>49</v>
      </c>
      <c r="G88" s="2" t="s">
        <v>29</v>
      </c>
      <c r="H88" s="3">
        <v>46113</v>
      </c>
      <c r="I88" s="3">
        <v>46113</v>
      </c>
      <c r="J88" s="2">
        <v>20411454</v>
      </c>
      <c r="K88" s="2" t="s">
        <v>299</v>
      </c>
      <c r="L88" s="2">
        <v>70.33</v>
      </c>
      <c r="M88" s="2">
        <v>12.5</v>
      </c>
      <c r="N88" s="2">
        <v>12.5</v>
      </c>
      <c r="O88" s="2" t="s">
        <v>278</v>
      </c>
      <c r="P88" s="2"/>
      <c r="Q88" s="2"/>
      <c r="R88" s="2"/>
      <c r="S88" s="2">
        <f>70.33-57.83</f>
        <v>12.5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s="4" customFormat="1" x14ac:dyDescent="0.25">
      <c r="A89" s="2" t="s">
        <v>24</v>
      </c>
      <c r="B89" s="2" t="str">
        <f t="shared" si="4"/>
        <v>7J42MG9NP24OVR</v>
      </c>
      <c r="C89" s="2" t="s">
        <v>209</v>
      </c>
      <c r="D89" s="2" t="s">
        <v>210</v>
      </c>
      <c r="E89" s="2" t="str">
        <f t="shared" si="5"/>
        <v>RALPH ALLEN</v>
      </c>
      <c r="F89" s="2" t="s">
        <v>27</v>
      </c>
      <c r="G89" s="2" t="s">
        <v>29</v>
      </c>
      <c r="H89" s="3">
        <v>46023</v>
      </c>
      <c r="I89" s="3">
        <v>46023</v>
      </c>
      <c r="J89" s="2">
        <v>20411454</v>
      </c>
      <c r="K89" s="2" t="s">
        <v>299</v>
      </c>
      <c r="L89" s="2">
        <v>21.66</v>
      </c>
      <c r="M89" s="2">
        <v>21.66</v>
      </c>
      <c r="N89" s="2">
        <v>21.66</v>
      </c>
      <c r="O89" s="2" t="s">
        <v>278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s="4" customFormat="1" x14ac:dyDescent="0.25">
      <c r="A90" s="2" t="s">
        <v>158</v>
      </c>
      <c r="B90" s="2" t="str">
        <f t="shared" ref="B90:B121" si="6">CONCATENATE(A90,"OVR")</f>
        <v>9W71UE7PR09OVR</v>
      </c>
      <c r="C90" s="2" t="s">
        <v>255</v>
      </c>
      <c r="D90" s="2" t="s">
        <v>256</v>
      </c>
      <c r="E90" s="2" t="str">
        <f t="shared" si="5"/>
        <v>CHRISTINE NAGOWSKI</v>
      </c>
      <c r="F90" s="2" t="s">
        <v>27</v>
      </c>
      <c r="G90" s="2" t="s">
        <v>29</v>
      </c>
      <c r="H90" s="3">
        <v>46235</v>
      </c>
      <c r="I90" s="3">
        <v>46235</v>
      </c>
      <c r="J90" s="2">
        <v>20411454</v>
      </c>
      <c r="K90" s="2" t="s">
        <v>299</v>
      </c>
      <c r="L90" s="2">
        <v>27.09</v>
      </c>
      <c r="M90" s="2">
        <v>27.09</v>
      </c>
      <c r="N90" s="2">
        <v>27.09</v>
      </c>
      <c r="O90" s="2" t="s">
        <v>278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s="4" customFormat="1" x14ac:dyDescent="0.25">
      <c r="A91" s="2" t="s">
        <v>135</v>
      </c>
      <c r="B91" s="2" t="str">
        <f t="shared" si="6"/>
        <v>2ME8XH0GM31OVR</v>
      </c>
      <c r="C91" s="2" t="s">
        <v>247</v>
      </c>
      <c r="D91" s="2" t="s">
        <v>224</v>
      </c>
      <c r="E91" s="2" t="str">
        <f t="shared" si="5"/>
        <v>REBECCA KRIVAK</v>
      </c>
      <c r="F91" s="2" t="s">
        <v>27</v>
      </c>
      <c r="G91" s="2" t="s">
        <v>29</v>
      </c>
      <c r="H91" s="3">
        <v>46235</v>
      </c>
      <c r="I91" s="3">
        <v>46235</v>
      </c>
      <c r="J91" s="2">
        <v>20411454</v>
      </c>
      <c r="K91" s="2" t="s">
        <v>299</v>
      </c>
      <c r="L91" s="2">
        <v>27.09</v>
      </c>
      <c r="M91" s="2">
        <v>27.09</v>
      </c>
      <c r="N91" s="2">
        <v>27.09</v>
      </c>
      <c r="O91" s="2" t="s">
        <v>278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s="4" customFormat="1" x14ac:dyDescent="0.25">
      <c r="A92" s="2" t="s">
        <v>139</v>
      </c>
      <c r="B92" s="2" t="str">
        <f t="shared" si="6"/>
        <v>4F35FX8QV50OVR</v>
      </c>
      <c r="C92" s="2" t="s">
        <v>248</v>
      </c>
      <c r="D92" s="2" t="s">
        <v>249</v>
      </c>
      <c r="E92" s="2" t="str">
        <f t="shared" si="5"/>
        <v>MARTIN LUFFEY</v>
      </c>
      <c r="F92" s="2" t="s">
        <v>27</v>
      </c>
      <c r="G92" s="2" t="s">
        <v>29</v>
      </c>
      <c r="H92" s="3">
        <v>46174</v>
      </c>
      <c r="I92" s="3">
        <v>46174</v>
      </c>
      <c r="J92" s="2">
        <v>20411454</v>
      </c>
      <c r="K92" s="2" t="s">
        <v>299</v>
      </c>
      <c r="L92" s="2">
        <v>37.909999999999997</v>
      </c>
      <c r="M92" s="2">
        <v>37.909999999999997</v>
      </c>
      <c r="N92" s="2">
        <v>37.909999999999997</v>
      </c>
      <c r="O92" s="2" t="s">
        <v>278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s="4" customFormat="1" x14ac:dyDescent="0.25">
      <c r="A93" s="2" t="s">
        <v>167</v>
      </c>
      <c r="B93" s="2" t="str">
        <f t="shared" si="6"/>
        <v>1Q64TH9VD07OVR</v>
      </c>
      <c r="C93" s="2" t="s">
        <v>261</v>
      </c>
      <c r="D93" s="2" t="s">
        <v>262</v>
      </c>
      <c r="E93" s="2" t="str">
        <f t="shared" si="5"/>
        <v>JENNIFER ROCA</v>
      </c>
      <c r="F93" s="2" t="s">
        <v>170</v>
      </c>
      <c r="G93" s="2" t="s">
        <v>29</v>
      </c>
      <c r="H93" s="3">
        <v>46023</v>
      </c>
      <c r="I93" s="3">
        <v>46023</v>
      </c>
      <c r="J93" s="2">
        <v>20411454</v>
      </c>
      <c r="K93" s="2" t="s">
        <v>299</v>
      </c>
      <c r="L93" s="2">
        <v>207.08</v>
      </c>
      <c r="M93" s="2">
        <v>62.5</v>
      </c>
      <c r="N93" s="2">
        <v>62.5</v>
      </c>
      <c r="O93" s="2" t="s">
        <v>278</v>
      </c>
      <c r="P93" s="2"/>
      <c r="Q93" s="2"/>
      <c r="R93" s="2"/>
      <c r="S93" s="2">
        <f>150/12*5</f>
        <v>62.5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s="4" customFormat="1" x14ac:dyDescent="0.25">
      <c r="A94" s="2" t="s">
        <v>112</v>
      </c>
      <c r="B94" s="2" t="str">
        <f t="shared" si="6"/>
        <v>9XT5G24PK71OVR</v>
      </c>
      <c r="C94" s="2" t="s">
        <v>237</v>
      </c>
      <c r="D94" s="2" t="s">
        <v>238</v>
      </c>
      <c r="E94" s="2" t="str">
        <f t="shared" si="5"/>
        <v>LOIS GORFIDO</v>
      </c>
      <c r="F94" s="2" t="s">
        <v>74</v>
      </c>
      <c r="G94" s="2" t="s">
        <v>29</v>
      </c>
      <c r="H94" s="3">
        <v>46023</v>
      </c>
      <c r="I94" s="3">
        <v>46023</v>
      </c>
      <c r="J94" s="2">
        <v>20411454</v>
      </c>
      <c r="K94" s="2" t="s">
        <v>299</v>
      </c>
      <c r="L94" s="2">
        <v>207.08</v>
      </c>
      <c r="M94" s="2">
        <v>62.5</v>
      </c>
      <c r="N94" s="2">
        <v>62.5</v>
      </c>
      <c r="O94" s="2" t="s">
        <v>278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s="4" customFormat="1" x14ac:dyDescent="0.25">
      <c r="A95" s="2" t="s">
        <v>204</v>
      </c>
      <c r="B95" s="2" t="str">
        <f t="shared" si="6"/>
        <v>4N46F42EU30OVR</v>
      </c>
      <c r="C95" s="2" t="s">
        <v>276</v>
      </c>
      <c r="D95" s="2" t="s">
        <v>277</v>
      </c>
      <c r="E95" s="2" t="str">
        <f t="shared" si="5"/>
        <v>JAMIE WEIS</v>
      </c>
      <c r="F95" s="2" t="s">
        <v>49</v>
      </c>
      <c r="G95" s="2" t="s">
        <v>29</v>
      </c>
      <c r="H95" s="3">
        <v>46023</v>
      </c>
      <c r="I95" s="3">
        <v>46023</v>
      </c>
      <c r="J95" s="2">
        <v>20411454</v>
      </c>
      <c r="K95" s="2" t="s">
        <v>299</v>
      </c>
      <c r="L95" s="2">
        <v>207.08</v>
      </c>
      <c r="M95" s="2">
        <v>62.5</v>
      </c>
      <c r="N95" s="2">
        <v>62.5</v>
      </c>
      <c r="O95" s="2" t="s">
        <v>278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s="4" customFormat="1" x14ac:dyDescent="0.25">
      <c r="A96" s="2" t="s">
        <v>78</v>
      </c>
      <c r="B96" s="2" t="str">
        <f t="shared" si="6"/>
        <v>5EK3MF0GC90OVR</v>
      </c>
      <c r="C96" s="2" t="s">
        <v>225</v>
      </c>
      <c r="D96" s="2" t="s">
        <v>226</v>
      </c>
      <c r="E96" s="2" t="str">
        <f t="shared" si="5"/>
        <v>DAVID DREXLER</v>
      </c>
      <c r="F96" s="2" t="s">
        <v>27</v>
      </c>
      <c r="G96" s="2" t="s">
        <v>29</v>
      </c>
      <c r="H96" s="3">
        <v>46023</v>
      </c>
      <c r="I96" s="3">
        <v>46023</v>
      </c>
      <c r="J96" s="2">
        <v>20411454</v>
      </c>
      <c r="K96" s="2" t="s">
        <v>299</v>
      </c>
      <c r="L96" s="2">
        <v>225.42</v>
      </c>
      <c r="M96" s="2">
        <v>62.5</v>
      </c>
      <c r="N96" s="2">
        <v>62.5</v>
      </c>
      <c r="O96" s="2" t="s">
        <v>278</v>
      </c>
      <c r="P96" s="2"/>
      <c r="Q96" s="2"/>
      <c r="R96" s="2"/>
      <c r="S96" s="2">
        <f>150/12*5</f>
        <v>62.5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s="4" customFormat="1" x14ac:dyDescent="0.25">
      <c r="A97" s="2" t="s">
        <v>147</v>
      </c>
      <c r="B97" s="2" t="str">
        <f t="shared" si="6"/>
        <v>3MX4P89WW03OVR</v>
      </c>
      <c r="C97" s="2" t="s">
        <v>252</v>
      </c>
      <c r="D97" s="2" t="s">
        <v>253</v>
      </c>
      <c r="E97" s="2" t="str">
        <f t="shared" si="5"/>
        <v>SUSAN MCCLOSKEY</v>
      </c>
      <c r="F97" s="2" t="s">
        <v>27</v>
      </c>
      <c r="G97" s="2" t="s">
        <v>29</v>
      </c>
      <c r="H97" s="3">
        <v>46204</v>
      </c>
      <c r="I97" s="3">
        <v>46204</v>
      </c>
      <c r="J97" s="2">
        <v>20411454</v>
      </c>
      <c r="K97" s="2" t="s">
        <v>299</v>
      </c>
      <c r="L97" s="2">
        <v>65</v>
      </c>
      <c r="M97" s="2">
        <v>65</v>
      </c>
      <c r="N97" s="2">
        <v>65</v>
      </c>
      <c r="O97" s="2" t="s">
        <v>278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s="4" customFormat="1" x14ac:dyDescent="0.25">
      <c r="A98" s="2" t="s">
        <v>190</v>
      </c>
      <c r="B98" s="2" t="str">
        <f t="shared" si="6"/>
        <v>7EN4W94UE62OVR</v>
      </c>
      <c r="C98" s="2" t="s">
        <v>269</v>
      </c>
      <c r="D98" s="2" t="s">
        <v>270</v>
      </c>
      <c r="E98" s="2" t="str">
        <f t="shared" ref="E98:E129" si="7">CONCATENATE(D98," ",C98)</f>
        <v>KATHRYN THOMAS</v>
      </c>
      <c r="F98" s="2" t="s">
        <v>27</v>
      </c>
      <c r="G98" s="2" t="s">
        <v>29</v>
      </c>
      <c r="H98" s="3">
        <v>46174</v>
      </c>
      <c r="I98" s="3">
        <v>46174</v>
      </c>
      <c r="J98" s="2">
        <v>20411454</v>
      </c>
      <c r="K98" s="2" t="s">
        <v>299</v>
      </c>
      <c r="L98" s="2">
        <v>65</v>
      </c>
      <c r="M98" s="2">
        <v>65</v>
      </c>
      <c r="N98" s="2">
        <v>65</v>
      </c>
      <c r="O98" s="2" t="s">
        <v>278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s="4" customFormat="1" x14ac:dyDescent="0.25">
      <c r="A99" s="2" t="s">
        <v>197</v>
      </c>
      <c r="B99" s="2" t="str">
        <f t="shared" si="6"/>
        <v>7DQ0D66DK38OVR</v>
      </c>
      <c r="C99" s="2" t="s">
        <v>273</v>
      </c>
      <c r="D99" s="2" t="s">
        <v>244</v>
      </c>
      <c r="E99" s="2" t="str">
        <f t="shared" si="7"/>
        <v>MICHAEL VRONOSKI</v>
      </c>
      <c r="F99" s="2" t="s">
        <v>27</v>
      </c>
      <c r="G99" s="2" t="s">
        <v>29</v>
      </c>
      <c r="H99" s="3">
        <v>46143</v>
      </c>
      <c r="I99" s="3">
        <v>46143</v>
      </c>
      <c r="J99" s="2">
        <v>20411454</v>
      </c>
      <c r="K99" s="2" t="s">
        <v>299</v>
      </c>
      <c r="L99" s="2">
        <v>65</v>
      </c>
      <c r="M99" s="2">
        <v>65</v>
      </c>
      <c r="N99" s="2">
        <v>65</v>
      </c>
      <c r="O99" s="2" t="s">
        <v>278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s="4" customFormat="1" x14ac:dyDescent="0.25">
      <c r="A100" s="2" t="s">
        <v>100</v>
      </c>
      <c r="B100" s="2" t="str">
        <f t="shared" si="6"/>
        <v>3QX2QQ2CD00OVR</v>
      </c>
      <c r="C100" s="2" t="s">
        <v>234</v>
      </c>
      <c r="D100" s="2" t="s">
        <v>226</v>
      </c>
      <c r="E100" s="2" t="str">
        <f t="shared" si="7"/>
        <v>DAVID FUNKHOUSER</v>
      </c>
      <c r="F100" s="2" t="s">
        <v>49</v>
      </c>
      <c r="G100" s="2" t="s">
        <v>29</v>
      </c>
      <c r="H100" s="3">
        <v>46174</v>
      </c>
      <c r="I100" s="3">
        <v>46174</v>
      </c>
      <c r="J100" s="2">
        <v>20411454</v>
      </c>
      <c r="K100" s="2" t="s">
        <v>299</v>
      </c>
      <c r="L100" s="2">
        <v>289.92</v>
      </c>
      <c r="M100" s="2">
        <v>87.5</v>
      </c>
      <c r="N100" s="2">
        <v>87.5</v>
      </c>
      <c r="O100" s="2" t="s">
        <v>278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s="2" customFormat="1" x14ac:dyDescent="0.25">
      <c r="A101" s="2" t="s">
        <v>106</v>
      </c>
      <c r="B101" s="2" t="str">
        <f t="shared" si="6"/>
        <v>5QG5J34VR77OVR</v>
      </c>
      <c r="C101" s="2" t="s">
        <v>235</v>
      </c>
      <c r="D101" s="2" t="s">
        <v>236</v>
      </c>
      <c r="E101" s="2" t="str">
        <f t="shared" si="7"/>
        <v>MARQUERITA GOMEZ</v>
      </c>
      <c r="F101" s="2" t="s">
        <v>109</v>
      </c>
      <c r="G101" s="2" t="s">
        <v>29</v>
      </c>
      <c r="H101" s="3">
        <v>46174</v>
      </c>
      <c r="I101" s="3">
        <v>46174</v>
      </c>
      <c r="J101" s="2">
        <v>20411454</v>
      </c>
      <c r="K101" s="2" t="s">
        <v>299</v>
      </c>
      <c r="L101" s="2">
        <v>289.92</v>
      </c>
      <c r="M101" s="2">
        <v>87.5</v>
      </c>
      <c r="N101" s="2">
        <v>87.5</v>
      </c>
      <c r="O101" s="2" t="s">
        <v>278</v>
      </c>
    </row>
    <row r="102" spans="1:31" s="2" customFormat="1" x14ac:dyDescent="0.25">
      <c r="A102" s="2" t="s">
        <v>46</v>
      </c>
      <c r="B102" s="2" t="str">
        <f t="shared" si="6"/>
        <v>7RV7JJ4EA45OVR</v>
      </c>
      <c r="C102" s="2" t="s">
        <v>213</v>
      </c>
      <c r="D102" s="2" t="s">
        <v>214</v>
      </c>
      <c r="E102" s="2" t="str">
        <f t="shared" si="7"/>
        <v>MARY BARRINGER</v>
      </c>
      <c r="F102" s="2" t="s">
        <v>49</v>
      </c>
      <c r="G102" s="2" t="s">
        <v>29</v>
      </c>
      <c r="H102" s="3">
        <v>46174</v>
      </c>
      <c r="I102" s="3">
        <v>46174</v>
      </c>
      <c r="J102" s="2">
        <v>20411454</v>
      </c>
      <c r="K102" s="2" t="s">
        <v>299</v>
      </c>
      <c r="L102" s="2">
        <v>289.92</v>
      </c>
      <c r="M102" s="2">
        <v>87.5</v>
      </c>
      <c r="N102" s="2">
        <v>87.5</v>
      </c>
      <c r="O102" s="2" t="s">
        <v>278</v>
      </c>
    </row>
    <row r="103" spans="1:31" s="2" customFormat="1" x14ac:dyDescent="0.25">
      <c r="A103" s="2" t="s">
        <v>174</v>
      </c>
      <c r="B103" s="2" t="str">
        <f t="shared" si="6"/>
        <v>2JJ4H93QA96OVR</v>
      </c>
      <c r="C103" s="2" t="s">
        <v>263</v>
      </c>
      <c r="D103" s="2" t="s">
        <v>264</v>
      </c>
      <c r="E103" s="2" t="str">
        <f t="shared" si="7"/>
        <v>KEITH RODECK</v>
      </c>
      <c r="F103" s="2" t="s">
        <v>177</v>
      </c>
      <c r="G103" s="2" t="s">
        <v>29</v>
      </c>
      <c r="H103" s="3">
        <v>46174</v>
      </c>
      <c r="I103" s="3">
        <v>46174</v>
      </c>
      <c r="J103" s="2">
        <v>20411454</v>
      </c>
      <c r="K103" s="2" t="s">
        <v>299</v>
      </c>
      <c r="L103" s="2">
        <v>289.92</v>
      </c>
      <c r="M103" s="2">
        <v>87.5</v>
      </c>
      <c r="N103" s="2">
        <v>87.5</v>
      </c>
      <c r="O103" s="2" t="s">
        <v>278</v>
      </c>
    </row>
    <row r="104" spans="1:31" s="2" customFormat="1" x14ac:dyDescent="0.25">
      <c r="A104" s="2" t="s">
        <v>38</v>
      </c>
      <c r="B104" s="2" t="str">
        <f t="shared" si="6"/>
        <v>1QF3J12QP74OVR</v>
      </c>
      <c r="C104" s="2" t="s">
        <v>211</v>
      </c>
      <c r="D104" s="2" t="s">
        <v>212</v>
      </c>
      <c r="E104" s="2" t="str">
        <f t="shared" si="7"/>
        <v>LESLIE BANE</v>
      </c>
      <c r="F104" s="2" t="s">
        <v>27</v>
      </c>
      <c r="G104" s="2" t="s">
        <v>29</v>
      </c>
      <c r="H104" s="3">
        <v>46143</v>
      </c>
      <c r="I104" s="3">
        <v>46143</v>
      </c>
      <c r="J104" s="2">
        <v>20411454</v>
      </c>
      <c r="K104" s="2" t="s">
        <v>299</v>
      </c>
      <c r="L104" s="2">
        <v>620.66999999999996</v>
      </c>
      <c r="M104" s="2">
        <v>100</v>
      </c>
      <c r="N104" s="2">
        <v>100</v>
      </c>
      <c r="O104" s="2" t="s">
        <v>278</v>
      </c>
      <c r="S104" s="2">
        <f>150/12*8</f>
        <v>100</v>
      </c>
    </row>
    <row r="105" spans="1:31" s="2" customFormat="1" x14ac:dyDescent="0.25">
      <c r="A105" s="2" t="s">
        <v>150</v>
      </c>
      <c r="B105" s="2" t="str">
        <f t="shared" si="6"/>
        <v>4EC7JW7UE53OVR</v>
      </c>
      <c r="C105" s="2" t="s">
        <v>254</v>
      </c>
      <c r="D105" s="2" t="s">
        <v>220</v>
      </c>
      <c r="E105" s="2" t="str">
        <f t="shared" si="7"/>
        <v>JANET MILLER</v>
      </c>
      <c r="F105" s="2" t="s">
        <v>153</v>
      </c>
      <c r="G105" s="2" t="s">
        <v>29</v>
      </c>
      <c r="H105" s="3">
        <v>46054</v>
      </c>
      <c r="I105" s="3">
        <v>46054</v>
      </c>
      <c r="J105" s="2">
        <v>20411454</v>
      </c>
      <c r="K105" s="2" t="s">
        <v>299</v>
      </c>
      <c r="L105" s="2">
        <v>829</v>
      </c>
      <c r="M105" s="2">
        <v>135</v>
      </c>
      <c r="N105" s="2">
        <v>135</v>
      </c>
      <c r="O105" s="2" t="s">
        <v>278</v>
      </c>
      <c r="S105" s="2">
        <v>135</v>
      </c>
    </row>
    <row r="106" spans="1:31" s="2" customFormat="1" x14ac:dyDescent="0.25">
      <c r="A106" s="2" t="s">
        <v>124</v>
      </c>
      <c r="B106" s="2" t="str">
        <f t="shared" si="6"/>
        <v>3W80HH1TH33OVR</v>
      </c>
      <c r="C106" s="2" t="s">
        <v>243</v>
      </c>
      <c r="D106" s="2" t="s">
        <v>244</v>
      </c>
      <c r="E106" s="2" t="str">
        <f t="shared" si="7"/>
        <v>MICHAEL HOBACK</v>
      </c>
      <c r="F106" s="2" t="s">
        <v>49</v>
      </c>
      <c r="G106" s="2" t="s">
        <v>29</v>
      </c>
      <c r="H106" s="3">
        <v>46204</v>
      </c>
      <c r="I106" s="3">
        <v>46204</v>
      </c>
      <c r="J106" s="2">
        <v>20411454</v>
      </c>
      <c r="K106" s="2" t="s">
        <v>299</v>
      </c>
      <c r="L106" s="2">
        <v>844</v>
      </c>
      <c r="M106" s="2">
        <v>150</v>
      </c>
      <c r="N106" s="2">
        <v>150</v>
      </c>
      <c r="O106" s="2" t="s">
        <v>278</v>
      </c>
    </row>
    <row r="107" spans="1:31" s="2" customFormat="1" x14ac:dyDescent="0.25">
      <c r="A107" s="2" t="s">
        <v>121</v>
      </c>
      <c r="B107" s="2" t="str">
        <f t="shared" si="6"/>
        <v>4VY2EX2TF11OVR</v>
      </c>
      <c r="C107" s="2" t="s">
        <v>241</v>
      </c>
      <c r="D107" s="2" t="s">
        <v>242</v>
      </c>
      <c r="E107" s="2" t="str">
        <f t="shared" si="7"/>
        <v>JODIE HARTUNG</v>
      </c>
      <c r="F107" s="2" t="s">
        <v>74</v>
      </c>
      <c r="G107" s="2" t="s">
        <v>29</v>
      </c>
      <c r="H107" s="3">
        <v>46174</v>
      </c>
      <c r="I107" s="3">
        <v>46174</v>
      </c>
      <c r="J107" s="2">
        <v>20411454</v>
      </c>
      <c r="K107" s="2" t="s">
        <v>299</v>
      </c>
      <c r="L107" s="2">
        <v>844</v>
      </c>
      <c r="M107" s="2">
        <v>150</v>
      </c>
      <c r="N107" s="2">
        <v>150</v>
      </c>
      <c r="O107" s="2" t="s">
        <v>278</v>
      </c>
    </row>
    <row r="108" spans="1:31" s="2" customFormat="1" x14ac:dyDescent="0.25">
      <c r="A108" s="2" t="s">
        <v>143</v>
      </c>
      <c r="B108" s="2" t="str">
        <f t="shared" si="6"/>
        <v>6CP4GR0KD72OVR</v>
      </c>
      <c r="C108" s="2" t="s">
        <v>250</v>
      </c>
      <c r="D108" s="2" t="s">
        <v>251</v>
      </c>
      <c r="E108" s="2" t="str">
        <f t="shared" si="7"/>
        <v>CHARLES MCCLERNON</v>
      </c>
      <c r="F108" s="2" t="s">
        <v>49</v>
      </c>
      <c r="G108" s="2" t="s">
        <v>29</v>
      </c>
      <c r="H108" s="3">
        <v>46143</v>
      </c>
      <c r="I108" s="3">
        <v>46143</v>
      </c>
      <c r="J108" s="2">
        <v>20411454</v>
      </c>
      <c r="K108" s="2" t="s">
        <v>299</v>
      </c>
      <c r="L108" s="2">
        <v>844</v>
      </c>
      <c r="M108" s="2">
        <v>150</v>
      </c>
      <c r="N108" s="2">
        <v>150</v>
      </c>
      <c r="O108" s="2" t="s">
        <v>278</v>
      </c>
    </row>
    <row r="109" spans="1:31" s="2" customFormat="1" x14ac:dyDescent="0.25">
      <c r="A109" s="2" t="s">
        <v>129</v>
      </c>
      <c r="B109" s="2" t="str">
        <f t="shared" si="6"/>
        <v>2VT1P36TM01OVR</v>
      </c>
      <c r="C109" s="2" t="s">
        <v>245</v>
      </c>
      <c r="D109" s="2" t="s">
        <v>246</v>
      </c>
      <c r="E109" s="2" t="str">
        <f t="shared" si="7"/>
        <v>DANIEL KORNOWSKI</v>
      </c>
      <c r="F109" s="2" t="s">
        <v>132</v>
      </c>
      <c r="G109" s="2" t="s">
        <v>29</v>
      </c>
      <c r="H109" s="3">
        <v>46143</v>
      </c>
      <c r="I109" s="3">
        <v>46143</v>
      </c>
      <c r="J109" s="2">
        <v>20411454</v>
      </c>
      <c r="K109" s="2" t="s">
        <v>299</v>
      </c>
      <c r="L109" s="2">
        <v>844</v>
      </c>
      <c r="M109" s="2">
        <v>150</v>
      </c>
      <c r="N109" s="2">
        <v>150</v>
      </c>
      <c r="O109" s="2" t="s">
        <v>278</v>
      </c>
    </row>
    <row r="110" spans="1:31" s="2" customFormat="1" x14ac:dyDescent="0.25">
      <c r="A110" s="2" t="s">
        <v>71</v>
      </c>
      <c r="B110" s="2" t="str">
        <f t="shared" si="6"/>
        <v>9KM4UA0WN80OVR</v>
      </c>
      <c r="C110" s="2" t="s">
        <v>223</v>
      </c>
      <c r="D110" s="2" t="s">
        <v>224</v>
      </c>
      <c r="E110" s="2" t="str">
        <f t="shared" si="7"/>
        <v>REBECCA DICKSON</v>
      </c>
      <c r="F110" s="2" t="s">
        <v>74</v>
      </c>
      <c r="G110" s="2" t="s">
        <v>29</v>
      </c>
      <c r="H110" s="3">
        <v>46143</v>
      </c>
      <c r="I110" s="3">
        <v>46143</v>
      </c>
      <c r="J110" s="2">
        <v>20411454</v>
      </c>
      <c r="K110" s="2" t="s">
        <v>299</v>
      </c>
      <c r="L110" s="2">
        <v>844</v>
      </c>
      <c r="M110" s="2">
        <v>150</v>
      </c>
      <c r="N110" s="2">
        <v>150</v>
      </c>
      <c r="O110" s="2" t="s">
        <v>278</v>
      </c>
    </row>
    <row r="111" spans="1:31" s="2" customFormat="1" x14ac:dyDescent="0.25">
      <c r="A111" s="2" t="s">
        <v>94</v>
      </c>
      <c r="B111" s="2" t="str">
        <f t="shared" si="6"/>
        <v>8PW4EF8HN86OVR</v>
      </c>
      <c r="C111" s="2" t="s">
        <v>231</v>
      </c>
      <c r="D111" s="2" t="s">
        <v>232</v>
      </c>
      <c r="E111" s="2" t="str">
        <f t="shared" si="7"/>
        <v>JOHN FOUTTY</v>
      </c>
      <c r="F111" s="2" t="s">
        <v>74</v>
      </c>
      <c r="G111" s="2" t="s">
        <v>29</v>
      </c>
      <c r="H111" s="3">
        <v>46143</v>
      </c>
      <c r="I111" s="3">
        <v>46143</v>
      </c>
      <c r="J111" s="2">
        <v>20411454</v>
      </c>
      <c r="K111" s="2" t="s">
        <v>299</v>
      </c>
      <c r="L111" s="2">
        <v>844</v>
      </c>
      <c r="M111" s="2">
        <v>150</v>
      </c>
      <c r="N111" s="2">
        <v>150</v>
      </c>
      <c r="O111" s="2" t="s">
        <v>278</v>
      </c>
    </row>
    <row r="112" spans="1:31" s="2" customFormat="1" x14ac:dyDescent="0.25">
      <c r="A112" s="2" t="s">
        <v>97</v>
      </c>
      <c r="B112" s="2" t="str">
        <f t="shared" si="6"/>
        <v>2WC6NG0QC41OVR</v>
      </c>
      <c r="C112" s="2" t="s">
        <v>233</v>
      </c>
      <c r="D112" s="2" t="s">
        <v>214</v>
      </c>
      <c r="E112" s="2" t="str">
        <f t="shared" si="7"/>
        <v>MARY FRIEND</v>
      </c>
      <c r="F112" s="2" t="s">
        <v>74</v>
      </c>
      <c r="G112" s="2" t="s">
        <v>29</v>
      </c>
      <c r="H112" s="3">
        <v>46143</v>
      </c>
      <c r="I112" s="3">
        <v>46143</v>
      </c>
      <c r="J112" s="2">
        <v>20411454</v>
      </c>
      <c r="K112" s="2" t="s">
        <v>299</v>
      </c>
      <c r="L112" s="2">
        <v>844</v>
      </c>
      <c r="M112" s="2">
        <v>150</v>
      </c>
      <c r="N112" s="2">
        <v>150</v>
      </c>
      <c r="O112" s="2" t="s">
        <v>278</v>
      </c>
    </row>
    <row r="113" spans="1:31" s="2" customFormat="1" x14ac:dyDescent="0.25">
      <c r="A113" s="2" t="s">
        <v>117</v>
      </c>
      <c r="B113" s="2" t="str">
        <f t="shared" si="6"/>
        <v>5XY7E09VM66OVR</v>
      </c>
      <c r="C113" s="2" t="s">
        <v>239</v>
      </c>
      <c r="D113" s="2" t="s">
        <v>240</v>
      </c>
      <c r="E113" s="2" t="str">
        <f t="shared" si="7"/>
        <v>KAREN HALLEY</v>
      </c>
      <c r="F113" s="2" t="s">
        <v>74</v>
      </c>
      <c r="G113" s="2" t="s">
        <v>29</v>
      </c>
      <c r="H113" s="3">
        <v>46143</v>
      </c>
      <c r="I113" s="3">
        <v>46143</v>
      </c>
      <c r="J113" s="2">
        <v>20411454</v>
      </c>
      <c r="K113" s="2" t="s">
        <v>299</v>
      </c>
      <c r="L113" s="2">
        <v>844</v>
      </c>
      <c r="M113" s="2">
        <v>150</v>
      </c>
      <c r="N113" s="2">
        <v>150</v>
      </c>
      <c r="O113" s="2" t="s">
        <v>278</v>
      </c>
    </row>
    <row r="114" spans="1:31" s="2" customFormat="1" x14ac:dyDescent="0.25">
      <c r="A114" s="2" t="s">
        <v>161</v>
      </c>
      <c r="B114" s="2" t="str">
        <f t="shared" si="6"/>
        <v>8FW1VC0WC07OVR</v>
      </c>
      <c r="C114" s="2" t="s">
        <v>257</v>
      </c>
      <c r="D114" s="2" t="s">
        <v>258</v>
      </c>
      <c r="E114" s="2" t="str">
        <f t="shared" si="7"/>
        <v>MARK NEFF</v>
      </c>
      <c r="F114" s="2" t="s">
        <v>74</v>
      </c>
      <c r="G114" s="2" t="s">
        <v>29</v>
      </c>
      <c r="H114" s="3">
        <v>46143</v>
      </c>
      <c r="I114" s="3">
        <v>46143</v>
      </c>
      <c r="J114" s="2">
        <v>20411454</v>
      </c>
      <c r="K114" s="2" t="s">
        <v>299</v>
      </c>
      <c r="L114" s="2">
        <v>844</v>
      </c>
      <c r="M114" s="2">
        <v>150</v>
      </c>
      <c r="N114" s="2">
        <v>150</v>
      </c>
      <c r="O114" s="2" t="s">
        <v>278</v>
      </c>
    </row>
    <row r="115" spans="1:31" s="4" customFormat="1" x14ac:dyDescent="0.25">
      <c r="A115" s="2" t="s">
        <v>164</v>
      </c>
      <c r="B115" s="2" t="str">
        <f t="shared" si="6"/>
        <v>2YU8H05NT30OVR</v>
      </c>
      <c r="C115" s="2" t="s">
        <v>259</v>
      </c>
      <c r="D115" s="2" t="s">
        <v>260</v>
      </c>
      <c r="E115" s="2" t="str">
        <f t="shared" si="7"/>
        <v>LAURIE RAMEY</v>
      </c>
      <c r="F115" s="2" t="s">
        <v>74</v>
      </c>
      <c r="G115" s="2" t="s">
        <v>29</v>
      </c>
      <c r="H115" s="3">
        <v>46143</v>
      </c>
      <c r="I115" s="3">
        <v>46143</v>
      </c>
      <c r="J115" s="2">
        <v>20411454</v>
      </c>
      <c r="K115" s="2" t="s">
        <v>299</v>
      </c>
      <c r="L115" s="2">
        <v>844</v>
      </c>
      <c r="M115" s="2">
        <v>150</v>
      </c>
      <c r="N115" s="2">
        <v>150</v>
      </c>
      <c r="O115" s="2" t="s">
        <v>278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s="4" customFormat="1" x14ac:dyDescent="0.25">
      <c r="A116" s="2" t="s">
        <v>89</v>
      </c>
      <c r="B116" s="2" t="str">
        <f t="shared" si="6"/>
        <v>4JQ0U76XX20OVR</v>
      </c>
      <c r="C116" s="2" t="s">
        <v>229</v>
      </c>
      <c r="D116" s="2" t="s">
        <v>230</v>
      </c>
      <c r="E116" s="2" t="str">
        <f t="shared" si="7"/>
        <v>JAMES EZNACK</v>
      </c>
      <c r="F116" s="2" t="s">
        <v>85</v>
      </c>
      <c r="G116" s="2" t="s">
        <v>29</v>
      </c>
      <c r="H116" s="3">
        <v>46143</v>
      </c>
      <c r="I116" s="3">
        <v>46143</v>
      </c>
      <c r="J116" s="2">
        <v>20411454</v>
      </c>
      <c r="K116" s="2" t="s">
        <v>299</v>
      </c>
      <c r="L116" s="2">
        <v>844</v>
      </c>
      <c r="M116" s="2">
        <v>150</v>
      </c>
      <c r="N116" s="2">
        <v>150</v>
      </c>
      <c r="O116" s="2" t="s">
        <v>278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s="4" customFormat="1" x14ac:dyDescent="0.25">
      <c r="A117" s="2" t="s">
        <v>185</v>
      </c>
      <c r="B117" s="2" t="str">
        <f t="shared" si="6"/>
        <v>1Y54KT1AK82OVR</v>
      </c>
      <c r="C117" s="2" t="s">
        <v>267</v>
      </c>
      <c r="D117" s="2" t="s">
        <v>268</v>
      </c>
      <c r="E117" s="2" t="str">
        <f t="shared" si="7"/>
        <v>INSANOUK THANADABOUTH</v>
      </c>
      <c r="F117" s="2" t="s">
        <v>49</v>
      </c>
      <c r="G117" s="2" t="s">
        <v>29</v>
      </c>
      <c r="H117" s="3">
        <v>46143</v>
      </c>
      <c r="I117" s="3">
        <v>46143</v>
      </c>
      <c r="J117" s="2">
        <v>20411454</v>
      </c>
      <c r="K117" s="2" t="s">
        <v>299</v>
      </c>
      <c r="L117" s="2">
        <v>844</v>
      </c>
      <c r="M117" s="2">
        <v>150</v>
      </c>
      <c r="N117" s="2">
        <v>150</v>
      </c>
      <c r="O117" s="2" t="s">
        <v>278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s="4" customFormat="1" x14ac:dyDescent="0.25">
      <c r="A118" s="2" t="s">
        <v>82</v>
      </c>
      <c r="B118" s="2" t="str">
        <f t="shared" si="6"/>
        <v>3R11DG6UK08OVR</v>
      </c>
      <c r="C118" s="2" t="s">
        <v>227</v>
      </c>
      <c r="D118" s="2" t="s">
        <v>228</v>
      </c>
      <c r="E118" s="2" t="str">
        <f t="shared" si="7"/>
        <v>EDMUND DUFFLEY</v>
      </c>
      <c r="F118" s="2" t="s">
        <v>85</v>
      </c>
      <c r="G118" s="2" t="s">
        <v>29</v>
      </c>
      <c r="H118" s="3">
        <v>46143</v>
      </c>
      <c r="I118" s="3">
        <v>46143</v>
      </c>
      <c r="J118" s="2">
        <v>20411454</v>
      </c>
      <c r="K118" s="2" t="s">
        <v>299</v>
      </c>
      <c r="L118" s="2">
        <v>844</v>
      </c>
      <c r="M118" s="2">
        <v>150</v>
      </c>
      <c r="N118" s="2">
        <v>150</v>
      </c>
      <c r="O118" s="2" t="s">
        <v>278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s="4" customFormat="1" x14ac:dyDescent="0.25">
      <c r="A119" s="2" t="s">
        <v>62</v>
      </c>
      <c r="B119" s="2" t="str">
        <f t="shared" si="6"/>
        <v>7F17V97KX38OVR</v>
      </c>
      <c r="C119" s="2" t="s">
        <v>219</v>
      </c>
      <c r="D119" s="2" t="s">
        <v>220</v>
      </c>
      <c r="E119" s="2" t="str">
        <f t="shared" si="7"/>
        <v>JANET CASCIATO</v>
      </c>
      <c r="F119" s="2" t="s">
        <v>27</v>
      </c>
      <c r="G119" s="2" t="s">
        <v>29</v>
      </c>
      <c r="H119" s="3">
        <v>46143</v>
      </c>
      <c r="I119" s="3">
        <v>46143</v>
      </c>
      <c r="J119" s="2">
        <v>20411454</v>
      </c>
      <c r="K119" s="2" t="s">
        <v>299</v>
      </c>
      <c r="L119" s="2">
        <v>931</v>
      </c>
      <c r="M119" s="2">
        <v>150</v>
      </c>
      <c r="N119" s="2">
        <v>150</v>
      </c>
      <c r="O119" s="2" t="s">
        <v>278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s="2" customFormat="1" x14ac:dyDescent="0.25">
      <c r="A120" s="2" t="s">
        <v>54</v>
      </c>
      <c r="B120" s="2" t="str">
        <f t="shared" si="6"/>
        <v>1TU1G24CD16OVR</v>
      </c>
      <c r="C120" s="2" t="s">
        <v>215</v>
      </c>
      <c r="D120" s="2" t="s">
        <v>216</v>
      </c>
      <c r="E120" s="2" t="str">
        <f t="shared" si="7"/>
        <v>WALTER BATTLE</v>
      </c>
      <c r="F120" s="2" t="s">
        <v>27</v>
      </c>
      <c r="G120" s="2" t="s">
        <v>29</v>
      </c>
      <c r="H120" s="3">
        <v>46143</v>
      </c>
      <c r="I120" s="3">
        <v>46143</v>
      </c>
      <c r="J120" s="2">
        <v>20411454</v>
      </c>
      <c r="K120" s="2" t="s">
        <v>299</v>
      </c>
      <c r="L120" s="2">
        <v>931</v>
      </c>
      <c r="M120" s="2">
        <v>150</v>
      </c>
      <c r="N120" s="2">
        <v>150</v>
      </c>
      <c r="O120" s="2" t="s">
        <v>278</v>
      </c>
    </row>
    <row r="121" spans="1:31" s="2" customFormat="1" x14ac:dyDescent="0.25">
      <c r="A121" s="2" t="s">
        <v>66</v>
      </c>
      <c r="B121" s="2" t="str">
        <f t="shared" si="6"/>
        <v>5Q05TV9EG54OVR</v>
      </c>
      <c r="C121" s="2" t="s">
        <v>221</v>
      </c>
      <c r="D121" s="2" t="s">
        <v>222</v>
      </c>
      <c r="E121" s="2" t="str">
        <f t="shared" si="7"/>
        <v>DEAN CORNELL</v>
      </c>
      <c r="F121" s="2" t="s">
        <v>27</v>
      </c>
      <c r="G121" s="2" t="s">
        <v>29</v>
      </c>
      <c r="H121" s="3">
        <v>46143</v>
      </c>
      <c r="I121" s="3">
        <v>46143</v>
      </c>
      <c r="J121" s="2">
        <v>20411454</v>
      </c>
      <c r="K121" s="2" t="s">
        <v>299</v>
      </c>
      <c r="L121" s="2">
        <v>931</v>
      </c>
      <c r="M121" s="2">
        <v>150</v>
      </c>
      <c r="N121" s="2">
        <v>150</v>
      </c>
      <c r="O121" s="2" t="s">
        <v>278</v>
      </c>
    </row>
    <row r="122" spans="1:31" s="2" customFormat="1" x14ac:dyDescent="0.25">
      <c r="A122" s="2" t="s">
        <v>180</v>
      </c>
      <c r="B122" s="2" t="str">
        <f t="shared" ref="B122:B153" si="8">CONCATENATE(A122,"OVR")</f>
        <v>1G57PT9WT57OVR</v>
      </c>
      <c r="C122" s="2" t="s">
        <v>265</v>
      </c>
      <c r="D122" s="2" t="s">
        <v>266</v>
      </c>
      <c r="E122" s="2" t="str">
        <f t="shared" si="7"/>
        <v>STEVEN SABULSKY</v>
      </c>
      <c r="F122" s="2" t="s">
        <v>27</v>
      </c>
      <c r="G122" s="2" t="s">
        <v>29</v>
      </c>
      <c r="H122" s="3">
        <v>46143</v>
      </c>
      <c r="I122" s="3">
        <v>46143</v>
      </c>
      <c r="J122" s="2">
        <v>20411454</v>
      </c>
      <c r="K122" s="2" t="s">
        <v>299</v>
      </c>
      <c r="L122" s="2">
        <v>931</v>
      </c>
      <c r="M122" s="2">
        <v>150</v>
      </c>
      <c r="N122" s="2">
        <v>150</v>
      </c>
      <c r="O122" s="2" t="s">
        <v>278</v>
      </c>
    </row>
    <row r="123" spans="1:31" s="2" customFormat="1" x14ac:dyDescent="0.25">
      <c r="A123" s="2" t="s">
        <v>193</v>
      </c>
      <c r="B123" s="2" t="str">
        <f t="shared" si="8"/>
        <v>2VM8TX3NN47OVR</v>
      </c>
      <c r="C123" s="2" t="s">
        <v>271</v>
      </c>
      <c r="D123" s="2" t="s">
        <v>272</v>
      </c>
      <c r="E123" s="2" t="str">
        <f t="shared" si="7"/>
        <v>KENNETH TRACY</v>
      </c>
      <c r="F123" s="2" t="s">
        <v>49</v>
      </c>
      <c r="G123" s="2" t="s">
        <v>29</v>
      </c>
      <c r="H123" s="3">
        <v>46113</v>
      </c>
      <c r="I123" s="3">
        <v>46113</v>
      </c>
      <c r="J123" s="2">
        <v>20411454</v>
      </c>
      <c r="K123" s="2" t="s">
        <v>299</v>
      </c>
      <c r="L123" s="2">
        <v>844</v>
      </c>
      <c r="M123" s="2">
        <v>150</v>
      </c>
      <c r="N123" s="2">
        <v>150</v>
      </c>
      <c r="O123" s="2" t="s">
        <v>278</v>
      </c>
    </row>
    <row r="124" spans="1:31" s="2" customFormat="1" x14ac:dyDescent="0.25">
      <c r="A124" s="2" t="s">
        <v>59</v>
      </c>
      <c r="B124" s="2" t="str">
        <f t="shared" si="8"/>
        <v>5FD8TC7CN21OVR</v>
      </c>
      <c r="C124" s="2" t="s">
        <v>217</v>
      </c>
      <c r="D124" s="2" t="s">
        <v>218</v>
      </c>
      <c r="E124" s="2" t="str">
        <f t="shared" si="7"/>
        <v>STEVE BISTARKEY</v>
      </c>
      <c r="F124" s="2" t="s">
        <v>27</v>
      </c>
      <c r="G124" s="2" t="s">
        <v>29</v>
      </c>
      <c r="H124" s="3">
        <v>46113</v>
      </c>
      <c r="I124" s="3">
        <v>46113</v>
      </c>
      <c r="J124" s="2">
        <v>20411454</v>
      </c>
      <c r="K124" s="2" t="s">
        <v>299</v>
      </c>
      <c r="L124" s="2">
        <v>931</v>
      </c>
      <c r="M124" s="2">
        <v>150</v>
      </c>
      <c r="N124" s="2">
        <v>150</v>
      </c>
      <c r="O124" s="2" t="s">
        <v>278</v>
      </c>
    </row>
    <row r="125" spans="1:31" x14ac:dyDescent="0.25">
      <c r="H125" s="1"/>
      <c r="I125" s="1"/>
    </row>
    <row r="126" spans="1:31" x14ac:dyDescent="0.25">
      <c r="H126" s="1"/>
      <c r="I126" s="1"/>
    </row>
    <row r="127" spans="1:31" x14ac:dyDescent="0.25">
      <c r="H127" s="1"/>
      <c r="I127" s="1"/>
    </row>
    <row r="128" spans="1:31" x14ac:dyDescent="0.25">
      <c r="H128" s="1"/>
      <c r="I128" s="1"/>
    </row>
    <row r="129" spans="8:9" x14ac:dyDescent="0.25">
      <c r="H129" s="1"/>
      <c r="I129" s="1"/>
    </row>
    <row r="130" spans="8:9" x14ac:dyDescent="0.25">
      <c r="H130" s="1"/>
      <c r="I130" s="1"/>
    </row>
    <row r="131" spans="8:9" x14ac:dyDescent="0.25">
      <c r="H131" s="1"/>
      <c r="I131" s="1"/>
    </row>
    <row r="132" spans="8:9" x14ac:dyDescent="0.25">
      <c r="H132" s="1"/>
      <c r="I132" s="1"/>
    </row>
    <row r="133" spans="8:9" x14ac:dyDescent="0.25">
      <c r="H133" s="1"/>
      <c r="I133" s="1"/>
    </row>
    <row r="134" spans="8:9" x14ac:dyDescent="0.25">
      <c r="H134" s="1"/>
      <c r="I134" s="1"/>
    </row>
    <row r="135" spans="8:9" x14ac:dyDescent="0.25">
      <c r="H135" s="1"/>
      <c r="I135" s="1"/>
    </row>
    <row r="136" spans="8:9" x14ac:dyDescent="0.25">
      <c r="H136" s="1"/>
      <c r="I136" s="1"/>
    </row>
    <row r="137" spans="8:9" x14ac:dyDescent="0.25">
      <c r="H137" s="1"/>
      <c r="I137" s="1"/>
    </row>
    <row r="138" spans="8:9" x14ac:dyDescent="0.25">
      <c r="H138" s="1"/>
      <c r="I138" s="1"/>
    </row>
    <row r="139" spans="8:9" x14ac:dyDescent="0.25">
      <c r="H139" s="1"/>
      <c r="I139" s="1"/>
    </row>
    <row r="140" spans="8:9" x14ac:dyDescent="0.25">
      <c r="H140" s="1"/>
      <c r="I140" s="1"/>
    </row>
    <row r="141" spans="8:9" x14ac:dyDescent="0.25">
      <c r="H141" s="1"/>
      <c r="I141" s="1"/>
    </row>
    <row r="142" spans="8:9" x14ac:dyDescent="0.25">
      <c r="H142" s="1"/>
      <c r="I142" s="1"/>
    </row>
    <row r="143" spans="8:9" x14ac:dyDescent="0.25">
      <c r="H143" s="1"/>
      <c r="I143" s="1"/>
    </row>
    <row r="144" spans="8:9" x14ac:dyDescent="0.25">
      <c r="H144" s="1"/>
      <c r="I144" s="1"/>
    </row>
    <row r="145" spans="8:9" x14ac:dyDescent="0.25">
      <c r="H145" s="1"/>
      <c r="I145" s="1"/>
    </row>
    <row r="146" spans="8:9" x14ac:dyDescent="0.25">
      <c r="H146" s="1"/>
      <c r="I146" s="1"/>
    </row>
    <row r="147" spans="8:9" x14ac:dyDescent="0.25">
      <c r="H147" s="1"/>
      <c r="I147" s="1"/>
    </row>
    <row r="148" spans="8:9" x14ac:dyDescent="0.25">
      <c r="H148" s="1"/>
      <c r="I148" s="1"/>
    </row>
    <row r="149" spans="8:9" x14ac:dyDescent="0.25">
      <c r="H149" s="1"/>
      <c r="I149" s="1"/>
    </row>
    <row r="150" spans="8:9" x14ac:dyDescent="0.25">
      <c r="H150" s="1"/>
      <c r="I150" s="1"/>
    </row>
    <row r="151" spans="8:9" x14ac:dyDescent="0.25">
      <c r="H151" s="1"/>
      <c r="I151" s="1"/>
    </row>
    <row r="152" spans="8:9" x14ac:dyDescent="0.25">
      <c r="H152" s="1"/>
      <c r="I152" s="1"/>
    </row>
    <row r="153" spans="8:9" x14ac:dyDescent="0.25">
      <c r="H153" s="1"/>
      <c r="I153" s="1"/>
    </row>
    <row r="154" spans="8:9" x14ac:dyDescent="0.25">
      <c r="H154" s="1"/>
      <c r="I154" s="1"/>
    </row>
    <row r="155" spans="8:9" x14ac:dyDescent="0.25">
      <c r="H155" s="1"/>
      <c r="I155" s="1"/>
    </row>
    <row r="156" spans="8:9" x14ac:dyDescent="0.25">
      <c r="H156" s="1"/>
      <c r="I156" s="1"/>
    </row>
    <row r="157" spans="8:9" x14ac:dyDescent="0.25">
      <c r="H157" s="1"/>
      <c r="I157" s="1"/>
    </row>
    <row r="158" spans="8:9" x14ac:dyDescent="0.25">
      <c r="H158" s="1"/>
      <c r="I158" s="1"/>
    </row>
    <row r="159" spans="8:9" x14ac:dyDescent="0.25">
      <c r="H159" s="1"/>
      <c r="I159" s="1"/>
    </row>
    <row r="160" spans="8:9" x14ac:dyDescent="0.25">
      <c r="H160" s="1"/>
      <c r="I160" s="1"/>
    </row>
    <row r="161" spans="8:9" x14ac:dyDescent="0.25">
      <c r="H161" s="1"/>
      <c r="I161" s="1"/>
    </row>
    <row r="162" spans="8:9" x14ac:dyDescent="0.25">
      <c r="H162" s="1"/>
      <c r="I162" s="1"/>
    </row>
    <row r="163" spans="8:9" x14ac:dyDescent="0.25">
      <c r="H163" s="1"/>
      <c r="I163" s="1"/>
    </row>
    <row r="164" spans="8:9" x14ac:dyDescent="0.25">
      <c r="H164" s="1"/>
      <c r="I164" s="1"/>
    </row>
    <row r="165" spans="8:9" x14ac:dyDescent="0.25">
      <c r="H165" s="1"/>
      <c r="I165" s="1"/>
    </row>
    <row r="166" spans="8:9" x14ac:dyDescent="0.25">
      <c r="H166" s="1"/>
      <c r="I166" s="1"/>
    </row>
    <row r="167" spans="8:9" x14ac:dyDescent="0.25">
      <c r="H167" s="1"/>
      <c r="I167" s="1"/>
    </row>
    <row r="168" spans="8:9" x14ac:dyDescent="0.25">
      <c r="H168" s="1"/>
      <c r="I168" s="1"/>
    </row>
    <row r="169" spans="8:9" x14ac:dyDescent="0.25">
      <c r="H169" s="1"/>
      <c r="I169" s="1"/>
    </row>
    <row r="170" spans="8:9" x14ac:dyDescent="0.25">
      <c r="H170" s="1"/>
      <c r="I170" s="1"/>
    </row>
    <row r="171" spans="8:9" x14ac:dyDescent="0.25">
      <c r="H171" s="1"/>
      <c r="I171" s="1"/>
    </row>
    <row r="172" spans="8:9" x14ac:dyDescent="0.25">
      <c r="H172" s="1"/>
      <c r="I172" s="1"/>
    </row>
    <row r="173" spans="8:9" x14ac:dyDescent="0.25">
      <c r="H173" s="1"/>
      <c r="I173" s="1"/>
    </row>
    <row r="174" spans="8:9" x14ac:dyDescent="0.25">
      <c r="H174" s="1"/>
      <c r="I174" s="1"/>
    </row>
    <row r="175" spans="8:9" x14ac:dyDescent="0.25">
      <c r="H175" s="1"/>
      <c r="I175" s="1"/>
    </row>
    <row r="176" spans="8:9" x14ac:dyDescent="0.25">
      <c r="H176" s="1"/>
      <c r="I176" s="1"/>
    </row>
    <row r="177" spans="8:9" x14ac:dyDescent="0.25">
      <c r="H177" s="1"/>
      <c r="I177" s="1"/>
    </row>
    <row r="178" spans="8:9" x14ac:dyDescent="0.25">
      <c r="H178" s="1"/>
      <c r="I178" s="1"/>
    </row>
    <row r="179" spans="8:9" x14ac:dyDescent="0.25">
      <c r="H179" s="1"/>
      <c r="I179" s="1"/>
    </row>
    <row r="180" spans="8:9" x14ac:dyDescent="0.25">
      <c r="H180" s="1"/>
      <c r="I180" s="1"/>
    </row>
    <row r="181" spans="8:9" x14ac:dyDescent="0.25">
      <c r="H181" s="1"/>
      <c r="I181" s="1"/>
    </row>
    <row r="182" spans="8:9" x14ac:dyDescent="0.25">
      <c r="H182" s="1"/>
      <c r="I182" s="1"/>
    </row>
    <row r="183" spans="8:9" x14ac:dyDescent="0.25">
      <c r="H183" s="1"/>
      <c r="I183" s="1"/>
    </row>
    <row r="184" spans="8:9" x14ac:dyDescent="0.25">
      <c r="H184" s="1"/>
      <c r="I184" s="1"/>
    </row>
    <row r="185" spans="8:9" x14ac:dyDescent="0.25">
      <c r="H185" s="1"/>
      <c r="I185" s="1"/>
    </row>
    <row r="186" spans="8:9" x14ac:dyDescent="0.25">
      <c r="H186" s="1"/>
      <c r="I186" s="1"/>
    </row>
    <row r="187" spans="8:9" x14ac:dyDescent="0.25">
      <c r="H187" s="1"/>
      <c r="I187" s="1"/>
    </row>
    <row r="188" spans="8:9" x14ac:dyDescent="0.25">
      <c r="H188" s="1"/>
      <c r="I188" s="1"/>
    </row>
    <row r="189" spans="8:9" x14ac:dyDescent="0.25">
      <c r="H189" s="1"/>
      <c r="I189" s="1"/>
    </row>
    <row r="190" spans="8:9" x14ac:dyDescent="0.25">
      <c r="H190" s="1"/>
      <c r="I190" s="1"/>
    </row>
    <row r="191" spans="8:9" x14ac:dyDescent="0.25">
      <c r="H191" s="1"/>
      <c r="I191" s="1"/>
    </row>
    <row r="192" spans="8:9" x14ac:dyDescent="0.25">
      <c r="H192" s="1"/>
      <c r="I192" s="1"/>
    </row>
    <row r="193" spans="8:9" x14ac:dyDescent="0.25">
      <c r="H193" s="1"/>
      <c r="I193" s="1"/>
    </row>
    <row r="194" spans="8:9" x14ac:dyDescent="0.25">
      <c r="H194" s="1"/>
      <c r="I194" s="1"/>
    </row>
    <row r="195" spans="8:9" x14ac:dyDescent="0.25">
      <c r="H195" s="1"/>
      <c r="I195" s="1"/>
    </row>
    <row r="196" spans="8:9" x14ac:dyDescent="0.25">
      <c r="H196" s="1"/>
      <c r="I196" s="1"/>
    </row>
    <row r="197" spans="8:9" x14ac:dyDescent="0.25">
      <c r="H197" s="1"/>
      <c r="I197" s="1"/>
    </row>
    <row r="198" spans="8:9" x14ac:dyDescent="0.25">
      <c r="H198" s="1"/>
      <c r="I198" s="1"/>
    </row>
    <row r="199" spans="8:9" x14ac:dyDescent="0.25">
      <c r="H199" s="1"/>
      <c r="I199" s="1"/>
    </row>
    <row r="200" spans="8:9" x14ac:dyDescent="0.25">
      <c r="H200" s="1"/>
      <c r="I200" s="1"/>
    </row>
    <row r="201" spans="8:9" x14ac:dyDescent="0.25">
      <c r="H201" s="1"/>
      <c r="I201" s="1"/>
    </row>
    <row r="202" spans="8:9" x14ac:dyDescent="0.25">
      <c r="H202" s="1"/>
      <c r="I202" s="1"/>
    </row>
    <row r="203" spans="8:9" x14ac:dyDescent="0.25">
      <c r="H203" s="1"/>
      <c r="I203" s="1"/>
    </row>
    <row r="204" spans="8:9" x14ac:dyDescent="0.25">
      <c r="H204" s="1"/>
      <c r="I204" s="1"/>
    </row>
    <row r="205" spans="8:9" x14ac:dyDescent="0.25">
      <c r="H205" s="1"/>
      <c r="I205" s="1"/>
    </row>
    <row r="206" spans="8:9" x14ac:dyDescent="0.25">
      <c r="H206" s="1"/>
      <c r="I206" s="1"/>
    </row>
    <row r="207" spans="8:9" x14ac:dyDescent="0.25">
      <c r="H207" s="1"/>
      <c r="I207" s="1"/>
    </row>
    <row r="208" spans="8:9" x14ac:dyDescent="0.25">
      <c r="H208" s="1"/>
      <c r="I208" s="1"/>
    </row>
    <row r="209" spans="8:9" x14ac:dyDescent="0.25">
      <c r="H209" s="1"/>
      <c r="I209" s="1"/>
    </row>
    <row r="210" spans="8:9" x14ac:dyDescent="0.25">
      <c r="H210" s="1"/>
      <c r="I210" s="1"/>
    </row>
    <row r="211" spans="8:9" x14ac:dyDescent="0.25">
      <c r="H211" s="1"/>
      <c r="I211" s="1"/>
    </row>
    <row r="212" spans="8:9" x14ac:dyDescent="0.25">
      <c r="H212" s="1"/>
      <c r="I212" s="1"/>
    </row>
    <row r="213" spans="8:9" x14ac:dyDescent="0.25">
      <c r="H213" s="1"/>
      <c r="I213" s="1"/>
    </row>
    <row r="214" spans="8:9" x14ac:dyDescent="0.25">
      <c r="H214" s="1"/>
      <c r="I214" s="1"/>
    </row>
    <row r="215" spans="8:9" x14ac:dyDescent="0.25">
      <c r="H215" s="1"/>
      <c r="I215" s="1"/>
    </row>
    <row r="216" spans="8:9" x14ac:dyDescent="0.25">
      <c r="H216" s="1"/>
      <c r="I216" s="1"/>
    </row>
    <row r="217" spans="8:9" x14ac:dyDescent="0.25">
      <c r="H217" s="1"/>
      <c r="I217" s="1"/>
    </row>
    <row r="218" spans="8:9" x14ac:dyDescent="0.25">
      <c r="H218" s="1"/>
      <c r="I218" s="1"/>
    </row>
    <row r="219" spans="8:9" x14ac:dyDescent="0.25">
      <c r="H219" s="1"/>
      <c r="I219" s="1"/>
    </row>
    <row r="220" spans="8:9" x14ac:dyDescent="0.25">
      <c r="H220" s="1"/>
      <c r="I220" s="1"/>
    </row>
    <row r="221" spans="8:9" x14ac:dyDescent="0.25">
      <c r="H221" s="1"/>
      <c r="I221" s="1"/>
    </row>
    <row r="222" spans="8:9" x14ac:dyDescent="0.25">
      <c r="H222" s="1"/>
      <c r="I222" s="1"/>
    </row>
    <row r="223" spans="8:9" x14ac:dyDescent="0.25">
      <c r="H223" s="1"/>
      <c r="I223" s="1"/>
    </row>
    <row r="224" spans="8:9" x14ac:dyDescent="0.25">
      <c r="H224" s="1"/>
      <c r="I224" s="1"/>
    </row>
    <row r="225" spans="8:9" x14ac:dyDescent="0.25">
      <c r="H225" s="1"/>
      <c r="I225" s="1"/>
    </row>
    <row r="226" spans="8:9" x14ac:dyDescent="0.25">
      <c r="H226" s="1"/>
      <c r="I226" s="1"/>
    </row>
    <row r="227" spans="8:9" x14ac:dyDescent="0.25">
      <c r="H227" s="1"/>
      <c r="I227" s="1"/>
    </row>
    <row r="228" spans="8:9" x14ac:dyDescent="0.25">
      <c r="H228" s="1"/>
      <c r="I228" s="1"/>
    </row>
    <row r="229" spans="8:9" x14ac:dyDescent="0.25">
      <c r="H229" s="1"/>
      <c r="I229" s="1"/>
    </row>
    <row r="230" spans="8:9" x14ac:dyDescent="0.25">
      <c r="H230" s="1"/>
      <c r="I230" s="1"/>
    </row>
    <row r="231" spans="8:9" x14ac:dyDescent="0.25">
      <c r="H231" s="1"/>
      <c r="I231" s="1"/>
    </row>
    <row r="232" spans="8:9" x14ac:dyDescent="0.25">
      <c r="H232" s="1"/>
      <c r="I232" s="1"/>
    </row>
    <row r="233" spans="8:9" x14ac:dyDescent="0.25">
      <c r="H233" s="1"/>
      <c r="I233" s="1"/>
    </row>
    <row r="234" spans="8:9" x14ac:dyDescent="0.25">
      <c r="H234" s="1"/>
      <c r="I234" s="1"/>
    </row>
    <row r="235" spans="8:9" x14ac:dyDescent="0.25">
      <c r="H235" s="1"/>
      <c r="I235" s="1"/>
    </row>
    <row r="236" spans="8:9" x14ac:dyDescent="0.25">
      <c r="H236" s="1"/>
      <c r="I236" s="1"/>
    </row>
    <row r="237" spans="8:9" x14ac:dyDescent="0.25">
      <c r="H237" s="1"/>
      <c r="I237" s="1"/>
    </row>
    <row r="238" spans="8:9" x14ac:dyDescent="0.25">
      <c r="H238" s="1"/>
      <c r="I238" s="1"/>
    </row>
    <row r="239" spans="8:9" x14ac:dyDescent="0.25">
      <c r="H239" s="1"/>
      <c r="I239" s="1"/>
    </row>
    <row r="240" spans="8:9" x14ac:dyDescent="0.25">
      <c r="H240" s="1"/>
      <c r="I240" s="1"/>
    </row>
    <row r="241" spans="8:9" x14ac:dyDescent="0.25">
      <c r="H241" s="1"/>
      <c r="I241" s="1"/>
    </row>
    <row r="242" spans="8:9" x14ac:dyDescent="0.25">
      <c r="H242" s="1"/>
      <c r="I242" s="1"/>
    </row>
    <row r="243" spans="8:9" x14ac:dyDescent="0.25">
      <c r="H243" s="1"/>
      <c r="I243" s="1"/>
    </row>
    <row r="244" spans="8:9" x14ac:dyDescent="0.25">
      <c r="H244" s="1"/>
      <c r="I244" s="1"/>
    </row>
    <row r="245" spans="8:9" x14ac:dyDescent="0.25">
      <c r="H245" s="1"/>
      <c r="I245" s="1"/>
    </row>
    <row r="246" spans="8:9" x14ac:dyDescent="0.25">
      <c r="H246" s="1"/>
      <c r="I246" s="1"/>
    </row>
    <row r="247" spans="8:9" x14ac:dyDescent="0.25">
      <c r="H247" s="1"/>
      <c r="I247" s="1"/>
    </row>
    <row r="248" spans="8:9" x14ac:dyDescent="0.25">
      <c r="H248" s="1"/>
      <c r="I248" s="1"/>
    </row>
    <row r="249" spans="8:9" x14ac:dyDescent="0.25">
      <c r="H249" s="1"/>
      <c r="I249" s="1"/>
    </row>
    <row r="250" spans="8:9" x14ac:dyDescent="0.25">
      <c r="H250" s="1"/>
      <c r="I250" s="1"/>
    </row>
    <row r="251" spans="8:9" x14ac:dyDescent="0.25">
      <c r="H251" s="1"/>
      <c r="I251" s="1"/>
    </row>
    <row r="252" spans="8:9" x14ac:dyDescent="0.25">
      <c r="H252" s="1"/>
      <c r="I252" s="1"/>
    </row>
    <row r="253" spans="8:9" x14ac:dyDescent="0.25">
      <c r="H253" s="1"/>
      <c r="I253" s="1"/>
    </row>
    <row r="254" spans="8:9" x14ac:dyDescent="0.25">
      <c r="H254" s="1"/>
      <c r="I254" s="1"/>
    </row>
    <row r="255" spans="8:9" x14ac:dyDescent="0.25">
      <c r="H255" s="1"/>
      <c r="I255" s="1"/>
    </row>
    <row r="256" spans="8:9" x14ac:dyDescent="0.25">
      <c r="H256" s="1"/>
      <c r="I256" s="1"/>
    </row>
    <row r="257" spans="8:9" x14ac:dyDescent="0.25">
      <c r="H257" s="1"/>
      <c r="I257" s="1"/>
    </row>
    <row r="258" spans="8:9" x14ac:dyDescent="0.25">
      <c r="H258" s="1"/>
      <c r="I258" s="1"/>
    </row>
    <row r="259" spans="8:9" x14ac:dyDescent="0.25">
      <c r="H259" s="1"/>
      <c r="I259" s="1"/>
    </row>
    <row r="260" spans="8:9" x14ac:dyDescent="0.25">
      <c r="H260" s="1"/>
      <c r="I260" s="1"/>
    </row>
    <row r="261" spans="8:9" x14ac:dyDescent="0.25">
      <c r="H261" s="1"/>
      <c r="I261" s="1"/>
    </row>
    <row r="262" spans="8:9" x14ac:dyDescent="0.25">
      <c r="H262" s="1"/>
      <c r="I262" s="1"/>
    </row>
    <row r="263" spans="8:9" x14ac:dyDescent="0.25">
      <c r="H263" s="1"/>
      <c r="I263" s="1"/>
    </row>
    <row r="264" spans="8:9" x14ac:dyDescent="0.25">
      <c r="H264" s="1"/>
      <c r="I264" s="1"/>
    </row>
    <row r="265" spans="8:9" x14ac:dyDescent="0.25">
      <c r="H265" s="1"/>
      <c r="I265" s="1"/>
    </row>
    <row r="266" spans="8:9" x14ac:dyDescent="0.25">
      <c r="H266" s="1"/>
      <c r="I266" s="1"/>
    </row>
    <row r="267" spans="8:9" x14ac:dyDescent="0.25">
      <c r="H267" s="1"/>
      <c r="I267" s="1"/>
    </row>
    <row r="268" spans="8:9" x14ac:dyDescent="0.25">
      <c r="H268" s="1"/>
      <c r="I268" s="1"/>
    </row>
    <row r="269" spans="8:9" x14ac:dyDescent="0.25">
      <c r="H269" s="1"/>
      <c r="I269" s="1"/>
    </row>
    <row r="270" spans="8:9" x14ac:dyDescent="0.25">
      <c r="H270" s="1"/>
      <c r="I270" s="1"/>
    </row>
    <row r="271" spans="8:9" x14ac:dyDescent="0.25">
      <c r="H271" s="1"/>
      <c r="I271" s="1"/>
    </row>
    <row r="272" spans="8:9" x14ac:dyDescent="0.25">
      <c r="H272" s="1"/>
      <c r="I272" s="1"/>
    </row>
    <row r="273" spans="8:9" x14ac:dyDescent="0.25">
      <c r="H273" s="1"/>
      <c r="I273" s="1"/>
    </row>
    <row r="274" spans="8:9" x14ac:dyDescent="0.25">
      <c r="H274" s="1"/>
      <c r="I274" s="1"/>
    </row>
    <row r="275" spans="8:9" x14ac:dyDescent="0.25">
      <c r="H275" s="1"/>
      <c r="I275" s="1"/>
    </row>
    <row r="276" spans="8:9" x14ac:dyDescent="0.25">
      <c r="H276" s="1"/>
      <c r="I276" s="1"/>
    </row>
    <row r="277" spans="8:9" x14ac:dyDescent="0.25">
      <c r="H277" s="1"/>
      <c r="I277" s="1"/>
    </row>
    <row r="278" spans="8:9" x14ac:dyDescent="0.25">
      <c r="H278" s="1"/>
      <c r="I278" s="1"/>
    </row>
    <row r="279" spans="8:9" x14ac:dyDescent="0.25">
      <c r="H279" s="1"/>
      <c r="I279" s="1"/>
    </row>
    <row r="280" spans="8:9" x14ac:dyDescent="0.25">
      <c r="H280" s="1"/>
      <c r="I280" s="1"/>
    </row>
    <row r="281" spans="8:9" x14ac:dyDescent="0.25">
      <c r="H281" s="1"/>
      <c r="I281" s="1"/>
    </row>
    <row r="282" spans="8:9" x14ac:dyDescent="0.25">
      <c r="H282" s="1"/>
      <c r="I282" s="1"/>
    </row>
    <row r="283" spans="8:9" x14ac:dyDescent="0.25">
      <c r="H283" s="1"/>
      <c r="I283" s="1"/>
    </row>
    <row r="284" spans="8:9" x14ac:dyDescent="0.25">
      <c r="H284" s="1"/>
      <c r="I284" s="1"/>
    </row>
    <row r="285" spans="8:9" x14ac:dyDescent="0.25">
      <c r="H285" s="1"/>
      <c r="I285" s="1"/>
    </row>
    <row r="286" spans="8:9" x14ac:dyDescent="0.25">
      <c r="H286" s="1"/>
      <c r="I286" s="1"/>
    </row>
    <row r="287" spans="8:9" x14ac:dyDescent="0.25">
      <c r="H287" s="1"/>
      <c r="I287" s="1"/>
    </row>
    <row r="288" spans="8:9" x14ac:dyDescent="0.25">
      <c r="H288" s="1"/>
      <c r="I288" s="1"/>
    </row>
    <row r="289" spans="8:9" x14ac:dyDescent="0.25">
      <c r="H289" s="1"/>
      <c r="I289" s="1"/>
    </row>
    <row r="290" spans="8:9" x14ac:dyDescent="0.25">
      <c r="H290" s="1"/>
      <c r="I290" s="1"/>
    </row>
    <row r="291" spans="8:9" x14ac:dyDescent="0.25">
      <c r="H291" s="1"/>
      <c r="I291" s="1"/>
    </row>
    <row r="292" spans="8:9" x14ac:dyDescent="0.25">
      <c r="H292" s="1"/>
      <c r="I292" s="1"/>
    </row>
    <row r="293" spans="8:9" x14ac:dyDescent="0.25">
      <c r="H293" s="1"/>
      <c r="I293" s="1"/>
    </row>
    <row r="294" spans="8:9" x14ac:dyDescent="0.25">
      <c r="H294" s="1"/>
      <c r="I294" s="1"/>
    </row>
    <row r="295" spans="8:9" x14ac:dyDescent="0.25">
      <c r="H295" s="1"/>
      <c r="I295" s="1"/>
    </row>
    <row r="296" spans="8:9" x14ac:dyDescent="0.25">
      <c r="H296" s="1"/>
      <c r="I296" s="1"/>
    </row>
    <row r="297" spans="8:9" x14ac:dyDescent="0.25">
      <c r="H297" s="1"/>
      <c r="I297" s="1"/>
    </row>
    <row r="298" spans="8:9" x14ac:dyDescent="0.25">
      <c r="H298" s="1"/>
      <c r="I298" s="1"/>
    </row>
    <row r="299" spans="8:9" x14ac:dyDescent="0.25">
      <c r="H299" s="1"/>
      <c r="I299" s="1"/>
    </row>
    <row r="300" spans="8:9" x14ac:dyDescent="0.25">
      <c r="H300" s="1"/>
      <c r="I300" s="1"/>
    </row>
    <row r="301" spans="8:9" x14ac:dyDescent="0.25">
      <c r="H301" s="1"/>
      <c r="I301" s="1"/>
    </row>
    <row r="302" spans="8:9" x14ac:dyDescent="0.25">
      <c r="H302" s="1"/>
      <c r="I302" s="1"/>
    </row>
    <row r="303" spans="8:9" x14ac:dyDescent="0.25">
      <c r="H303" s="1"/>
      <c r="I303" s="1"/>
    </row>
    <row r="304" spans="8:9" x14ac:dyDescent="0.25">
      <c r="H304" s="1"/>
      <c r="I304" s="1"/>
    </row>
    <row r="305" spans="8:9" x14ac:dyDescent="0.25">
      <c r="H305" s="1"/>
      <c r="I305" s="1"/>
    </row>
    <row r="306" spans="8:9" x14ac:dyDescent="0.25">
      <c r="H306" s="1"/>
      <c r="I306" s="1"/>
    </row>
    <row r="307" spans="8:9" x14ac:dyDescent="0.25">
      <c r="H307" s="1"/>
      <c r="I307" s="1"/>
    </row>
    <row r="308" spans="8:9" x14ac:dyDescent="0.25">
      <c r="H308" s="1"/>
      <c r="I308" s="1"/>
    </row>
    <row r="309" spans="8:9" x14ac:dyDescent="0.25">
      <c r="H309" s="1"/>
      <c r="I309" s="1"/>
    </row>
    <row r="310" spans="8:9" x14ac:dyDescent="0.25">
      <c r="H310" s="1"/>
      <c r="I310" s="1"/>
    </row>
    <row r="311" spans="8:9" x14ac:dyDescent="0.25">
      <c r="H311" s="1"/>
      <c r="I311" s="1"/>
    </row>
    <row r="312" spans="8:9" x14ac:dyDescent="0.25">
      <c r="H312" s="1"/>
      <c r="I312" s="1"/>
    </row>
    <row r="313" spans="8:9" x14ac:dyDescent="0.25">
      <c r="H313" s="1"/>
      <c r="I313" s="1"/>
    </row>
    <row r="314" spans="8:9" x14ac:dyDescent="0.25">
      <c r="H314" s="1"/>
      <c r="I314" s="1"/>
    </row>
    <row r="315" spans="8:9" x14ac:dyDescent="0.25">
      <c r="H315" s="1"/>
      <c r="I315" s="1"/>
    </row>
    <row r="316" spans="8:9" x14ac:dyDescent="0.25">
      <c r="H316" s="1"/>
      <c r="I316" s="1"/>
    </row>
    <row r="317" spans="8:9" x14ac:dyDescent="0.25">
      <c r="H317" s="1"/>
      <c r="I317" s="1"/>
    </row>
    <row r="318" spans="8:9" x14ac:dyDescent="0.25">
      <c r="H318" s="1"/>
      <c r="I318" s="1"/>
    </row>
    <row r="319" spans="8:9" x14ac:dyDescent="0.25">
      <c r="H319" s="1"/>
      <c r="I319" s="1"/>
    </row>
    <row r="320" spans="8:9" x14ac:dyDescent="0.25">
      <c r="H320" s="1"/>
      <c r="I320" s="1"/>
    </row>
    <row r="321" spans="8:9" x14ac:dyDescent="0.25">
      <c r="H321" s="1"/>
      <c r="I321" s="1"/>
    </row>
    <row r="322" spans="8:9" x14ac:dyDescent="0.25">
      <c r="H322" s="1"/>
      <c r="I322" s="1"/>
    </row>
    <row r="323" spans="8:9" x14ac:dyDescent="0.25">
      <c r="H323" s="1"/>
      <c r="I323" s="1"/>
    </row>
    <row r="324" spans="8:9" x14ac:dyDescent="0.25">
      <c r="H324" s="1"/>
      <c r="I324" s="1"/>
    </row>
    <row r="325" spans="8:9" x14ac:dyDescent="0.25">
      <c r="H325" s="1"/>
      <c r="I325" s="1"/>
    </row>
    <row r="326" spans="8:9" x14ac:dyDescent="0.25">
      <c r="H326" s="1"/>
      <c r="I326" s="1"/>
    </row>
    <row r="327" spans="8:9" x14ac:dyDescent="0.25">
      <c r="H327" s="1"/>
      <c r="I327" s="1"/>
    </row>
    <row r="328" spans="8:9" x14ac:dyDescent="0.25">
      <c r="H328" s="1"/>
      <c r="I328" s="1"/>
    </row>
    <row r="329" spans="8:9" x14ac:dyDescent="0.25">
      <c r="H329" s="1"/>
      <c r="I329" s="1"/>
    </row>
    <row r="330" spans="8:9" x14ac:dyDescent="0.25">
      <c r="H330" s="1"/>
      <c r="I330" s="1"/>
    </row>
    <row r="331" spans="8:9" x14ac:dyDescent="0.25">
      <c r="H331" s="1"/>
      <c r="I331" s="1"/>
    </row>
    <row r="332" spans="8:9" x14ac:dyDescent="0.25">
      <c r="H332" s="1"/>
      <c r="I332" s="1"/>
    </row>
    <row r="333" spans="8:9" x14ac:dyDescent="0.25">
      <c r="H333" s="1"/>
      <c r="I333" s="1"/>
    </row>
    <row r="334" spans="8:9" x14ac:dyDescent="0.25">
      <c r="H334" s="1"/>
      <c r="I334" s="1"/>
    </row>
    <row r="335" spans="8:9" x14ac:dyDescent="0.25">
      <c r="H335" s="1"/>
      <c r="I335" s="1"/>
    </row>
    <row r="336" spans="8:9" x14ac:dyDescent="0.25">
      <c r="H336" s="1"/>
      <c r="I336" s="1"/>
    </row>
    <row r="337" spans="8:9" x14ac:dyDescent="0.25">
      <c r="H337" s="1"/>
      <c r="I337" s="1"/>
    </row>
    <row r="338" spans="8:9" x14ac:dyDescent="0.25">
      <c r="H338" s="1"/>
      <c r="I338" s="1"/>
    </row>
    <row r="339" spans="8:9" x14ac:dyDescent="0.25">
      <c r="H339" s="1"/>
      <c r="I339" s="1"/>
    </row>
    <row r="340" spans="8:9" x14ac:dyDescent="0.25">
      <c r="H340" s="1"/>
      <c r="I340" s="1"/>
    </row>
    <row r="341" spans="8:9" x14ac:dyDescent="0.25">
      <c r="H341" s="1"/>
      <c r="I341" s="1"/>
    </row>
    <row r="342" spans="8:9" x14ac:dyDescent="0.25">
      <c r="H342" s="1"/>
      <c r="I342" s="1"/>
    </row>
    <row r="343" spans="8:9" x14ac:dyDescent="0.25">
      <c r="H343" s="1"/>
      <c r="I343" s="1"/>
    </row>
    <row r="344" spans="8:9" x14ac:dyDescent="0.25">
      <c r="H344" s="1"/>
      <c r="I344" s="1"/>
    </row>
    <row r="345" spans="8:9" x14ac:dyDescent="0.25">
      <c r="H345" s="1"/>
      <c r="I345" s="1"/>
    </row>
    <row r="346" spans="8:9" x14ac:dyDescent="0.25">
      <c r="H346" s="1"/>
      <c r="I346" s="1"/>
    </row>
    <row r="347" spans="8:9" x14ac:dyDescent="0.25">
      <c r="H347" s="1"/>
      <c r="I347" s="1"/>
    </row>
    <row r="348" spans="8:9" x14ac:dyDescent="0.25">
      <c r="H348" s="1"/>
      <c r="I348" s="1"/>
    </row>
    <row r="349" spans="8:9" x14ac:dyDescent="0.25">
      <c r="H349" s="1"/>
      <c r="I349" s="1"/>
    </row>
    <row r="350" spans="8:9" x14ac:dyDescent="0.25">
      <c r="H350" s="1"/>
      <c r="I350" s="1"/>
    </row>
    <row r="351" spans="8:9" x14ac:dyDescent="0.25">
      <c r="H351" s="1"/>
      <c r="I351" s="1"/>
    </row>
    <row r="352" spans="8:9" x14ac:dyDescent="0.25">
      <c r="H352" s="1"/>
      <c r="I352" s="1"/>
    </row>
    <row r="353" spans="8:9" x14ac:dyDescent="0.25">
      <c r="H353" s="1"/>
      <c r="I353" s="1"/>
    </row>
    <row r="354" spans="8:9" x14ac:dyDescent="0.25">
      <c r="H354" s="1"/>
      <c r="I354" s="1"/>
    </row>
    <row r="355" spans="8:9" x14ac:dyDescent="0.25">
      <c r="H355" s="1"/>
      <c r="I355" s="1"/>
    </row>
    <row r="356" spans="8:9" x14ac:dyDescent="0.25">
      <c r="H356" s="1"/>
      <c r="I356" s="1"/>
    </row>
    <row r="357" spans="8:9" x14ac:dyDescent="0.25">
      <c r="H357" s="1"/>
      <c r="I357" s="1"/>
    </row>
    <row r="358" spans="8:9" x14ac:dyDescent="0.25">
      <c r="H358" s="1"/>
      <c r="I358" s="1"/>
    </row>
    <row r="359" spans="8:9" x14ac:dyDescent="0.25">
      <c r="H359" s="1"/>
      <c r="I359" s="1"/>
    </row>
    <row r="360" spans="8:9" x14ac:dyDescent="0.25">
      <c r="H360" s="1"/>
      <c r="I360" s="1"/>
    </row>
    <row r="361" spans="8:9" x14ac:dyDescent="0.25">
      <c r="H361" s="1"/>
      <c r="I361" s="1"/>
    </row>
    <row r="362" spans="8:9" x14ac:dyDescent="0.25">
      <c r="H362" s="1"/>
      <c r="I362" s="1"/>
    </row>
    <row r="363" spans="8:9" x14ac:dyDescent="0.25">
      <c r="H363" s="1"/>
      <c r="I363" s="1"/>
    </row>
    <row r="364" spans="8:9" x14ac:dyDescent="0.25">
      <c r="H364" s="1"/>
      <c r="I364" s="1"/>
    </row>
    <row r="365" spans="8:9" x14ac:dyDescent="0.25">
      <c r="H365" s="1"/>
      <c r="I365" s="1"/>
    </row>
    <row r="366" spans="8:9" x14ac:dyDescent="0.25">
      <c r="H366" s="1"/>
      <c r="I366" s="1"/>
    </row>
    <row r="367" spans="8:9" x14ac:dyDescent="0.25">
      <c r="H367" s="1"/>
      <c r="I367" s="1"/>
    </row>
    <row r="368" spans="8:9" x14ac:dyDescent="0.25">
      <c r="H368" s="1"/>
      <c r="I368" s="1"/>
    </row>
    <row r="369" spans="8:9" x14ac:dyDescent="0.25">
      <c r="H369" s="1"/>
      <c r="I369" s="1"/>
    </row>
    <row r="370" spans="8:9" x14ac:dyDescent="0.25">
      <c r="H370" s="1"/>
      <c r="I370" s="1"/>
    </row>
    <row r="371" spans="8:9" x14ac:dyDescent="0.25">
      <c r="H371" s="1"/>
      <c r="I371" s="1"/>
    </row>
    <row r="372" spans="8:9" x14ac:dyDescent="0.25">
      <c r="H372" s="1"/>
      <c r="I372" s="1"/>
    </row>
    <row r="373" spans="8:9" x14ac:dyDescent="0.25">
      <c r="H373" s="1"/>
      <c r="I373" s="1"/>
    </row>
    <row r="374" spans="8:9" x14ac:dyDescent="0.25">
      <c r="H374" s="1"/>
      <c r="I374" s="1"/>
    </row>
    <row r="375" spans="8:9" x14ac:dyDescent="0.25">
      <c r="H375" s="1"/>
      <c r="I375" s="1"/>
    </row>
    <row r="376" spans="8:9" x14ac:dyDescent="0.25">
      <c r="H376" s="1"/>
      <c r="I376" s="1"/>
    </row>
    <row r="377" spans="8:9" x14ac:dyDescent="0.25">
      <c r="H377" s="1"/>
      <c r="I377" s="1"/>
    </row>
    <row r="378" spans="8:9" x14ac:dyDescent="0.25">
      <c r="H378" s="1"/>
      <c r="I378" s="1"/>
    </row>
    <row r="379" spans="8:9" x14ac:dyDescent="0.25">
      <c r="H379" s="1"/>
      <c r="I379" s="1"/>
    </row>
    <row r="380" spans="8:9" x14ac:dyDescent="0.25">
      <c r="H380" s="1"/>
      <c r="I380" s="1"/>
    </row>
    <row r="381" spans="8:9" x14ac:dyDescent="0.25">
      <c r="H381" s="1"/>
      <c r="I381" s="1"/>
    </row>
    <row r="382" spans="8:9" x14ac:dyDescent="0.25">
      <c r="H382" s="1"/>
      <c r="I382" s="1"/>
    </row>
    <row r="383" spans="8:9" x14ac:dyDescent="0.25">
      <c r="H383" s="1"/>
      <c r="I383" s="1"/>
    </row>
    <row r="384" spans="8:9" x14ac:dyDescent="0.25">
      <c r="H384" s="1"/>
      <c r="I384" s="1"/>
    </row>
    <row r="385" spans="8:9" x14ac:dyDescent="0.25">
      <c r="H385" s="1"/>
      <c r="I385" s="1"/>
    </row>
    <row r="386" spans="8:9" x14ac:dyDescent="0.25">
      <c r="H386" s="1"/>
      <c r="I386" s="1"/>
    </row>
    <row r="387" spans="8:9" x14ac:dyDescent="0.25">
      <c r="H387" s="1"/>
      <c r="I387" s="1"/>
    </row>
    <row r="388" spans="8:9" x14ac:dyDescent="0.25">
      <c r="H388" s="1"/>
      <c r="I388" s="1"/>
    </row>
    <row r="389" spans="8:9" x14ac:dyDescent="0.25">
      <c r="H389" s="1"/>
      <c r="I389" s="1"/>
    </row>
    <row r="390" spans="8:9" x14ac:dyDescent="0.25">
      <c r="H390" s="1"/>
      <c r="I390" s="1"/>
    </row>
    <row r="391" spans="8:9" x14ac:dyDescent="0.25">
      <c r="H391" s="1"/>
      <c r="I391" s="1"/>
    </row>
    <row r="392" spans="8:9" x14ac:dyDescent="0.25">
      <c r="H392" s="1"/>
      <c r="I392" s="1"/>
    </row>
    <row r="393" spans="8:9" x14ac:dyDescent="0.25">
      <c r="H393" s="1"/>
      <c r="I393" s="1"/>
    </row>
    <row r="394" spans="8:9" x14ac:dyDescent="0.25">
      <c r="H394" s="1"/>
      <c r="I394" s="1"/>
    </row>
    <row r="395" spans="8:9" x14ac:dyDescent="0.25">
      <c r="H395" s="1"/>
      <c r="I395" s="1"/>
    </row>
    <row r="396" spans="8:9" x14ac:dyDescent="0.25">
      <c r="H396" s="1"/>
      <c r="I396" s="1"/>
    </row>
    <row r="397" spans="8:9" x14ac:dyDescent="0.25">
      <c r="H397" s="1"/>
      <c r="I397" s="1"/>
    </row>
    <row r="398" spans="8:9" x14ac:dyDescent="0.25">
      <c r="H398" s="1"/>
      <c r="I398" s="1"/>
    </row>
    <row r="399" spans="8:9" x14ac:dyDescent="0.25">
      <c r="H399" s="1"/>
      <c r="I399" s="1"/>
    </row>
    <row r="400" spans="8:9" x14ac:dyDescent="0.25">
      <c r="H400" s="1"/>
      <c r="I400" s="1"/>
    </row>
    <row r="401" spans="8:9" x14ac:dyDescent="0.25">
      <c r="H401" s="1"/>
      <c r="I401" s="1"/>
    </row>
    <row r="402" spans="8:9" x14ac:dyDescent="0.25">
      <c r="H402" s="1"/>
      <c r="I402" s="1"/>
    </row>
    <row r="403" spans="8:9" x14ac:dyDescent="0.25">
      <c r="H403" s="1"/>
      <c r="I403" s="1"/>
    </row>
    <row r="404" spans="8:9" x14ac:dyDescent="0.25">
      <c r="H404" s="1"/>
      <c r="I404" s="1"/>
    </row>
    <row r="405" spans="8:9" x14ac:dyDescent="0.25">
      <c r="H405" s="1"/>
      <c r="I405" s="1"/>
    </row>
    <row r="406" spans="8:9" x14ac:dyDescent="0.25">
      <c r="H406" s="1"/>
      <c r="I406" s="1"/>
    </row>
    <row r="407" spans="8:9" x14ac:dyDescent="0.25">
      <c r="H407" s="1"/>
      <c r="I407" s="1"/>
    </row>
    <row r="408" spans="8:9" x14ac:dyDescent="0.25">
      <c r="H408" s="1"/>
      <c r="I408" s="1"/>
    </row>
    <row r="409" spans="8:9" x14ac:dyDescent="0.25">
      <c r="H409" s="1"/>
      <c r="I409" s="1"/>
    </row>
    <row r="410" spans="8:9" x14ac:dyDescent="0.25">
      <c r="H410" s="1"/>
      <c r="I410" s="1"/>
    </row>
    <row r="411" spans="8:9" x14ac:dyDescent="0.25">
      <c r="H411" s="1"/>
      <c r="I411" s="1"/>
    </row>
    <row r="412" spans="8:9" x14ac:dyDescent="0.25">
      <c r="H412" s="1"/>
      <c r="I412" s="1"/>
    </row>
    <row r="413" spans="8:9" x14ac:dyDescent="0.25">
      <c r="H413" s="1"/>
      <c r="I413" s="1"/>
    </row>
    <row r="414" spans="8:9" x14ac:dyDescent="0.25">
      <c r="H414" s="1"/>
      <c r="I414" s="1"/>
    </row>
    <row r="415" spans="8:9" x14ac:dyDescent="0.25">
      <c r="H415" s="1"/>
      <c r="I415" s="1"/>
    </row>
    <row r="416" spans="8:9" x14ac:dyDescent="0.25">
      <c r="H416" s="1"/>
      <c r="I416" s="1"/>
    </row>
    <row r="417" spans="8:9" x14ac:dyDescent="0.25">
      <c r="H417" s="1"/>
      <c r="I417" s="1"/>
    </row>
    <row r="418" spans="8:9" x14ac:dyDescent="0.25">
      <c r="H418" s="1"/>
      <c r="I418" s="1"/>
    </row>
    <row r="419" spans="8:9" x14ac:dyDescent="0.25">
      <c r="H419" s="1"/>
      <c r="I419" s="1"/>
    </row>
    <row r="420" spans="8:9" x14ac:dyDescent="0.25">
      <c r="H420" s="1"/>
      <c r="I420" s="1"/>
    </row>
    <row r="421" spans="8:9" x14ac:dyDescent="0.25">
      <c r="H421" s="1"/>
      <c r="I421" s="1"/>
    </row>
    <row r="422" spans="8:9" x14ac:dyDescent="0.25">
      <c r="H422" s="1"/>
      <c r="I422" s="1"/>
    </row>
    <row r="423" spans="8:9" x14ac:dyDescent="0.25">
      <c r="H423" s="1"/>
      <c r="I423" s="1"/>
    </row>
    <row r="424" spans="8:9" x14ac:dyDescent="0.25">
      <c r="H424" s="1"/>
      <c r="I424" s="1"/>
    </row>
    <row r="425" spans="8:9" x14ac:dyDescent="0.25">
      <c r="H425" s="1"/>
      <c r="I425" s="1"/>
    </row>
    <row r="426" spans="8:9" x14ac:dyDescent="0.25">
      <c r="H426" s="1"/>
      <c r="I426" s="1"/>
    </row>
    <row r="427" spans="8:9" x14ac:dyDescent="0.25">
      <c r="H427" s="1"/>
      <c r="I427" s="1"/>
    </row>
    <row r="428" spans="8:9" x14ac:dyDescent="0.25">
      <c r="H428" s="1"/>
      <c r="I428" s="1"/>
    </row>
    <row r="429" spans="8:9" x14ac:dyDescent="0.25">
      <c r="H429" s="1"/>
      <c r="I429" s="1"/>
    </row>
    <row r="430" spans="8:9" x14ac:dyDescent="0.25">
      <c r="H430" s="1"/>
      <c r="I430" s="1"/>
    </row>
    <row r="431" spans="8:9" x14ac:dyDescent="0.25">
      <c r="H431" s="1"/>
      <c r="I431" s="1"/>
    </row>
    <row r="432" spans="8:9" x14ac:dyDescent="0.25">
      <c r="H432" s="1"/>
      <c r="I432" s="1"/>
    </row>
    <row r="433" spans="8:9" x14ac:dyDescent="0.25">
      <c r="H433" s="1"/>
      <c r="I433" s="1"/>
    </row>
    <row r="434" spans="8:9" x14ac:dyDescent="0.25">
      <c r="H434" s="1"/>
      <c r="I434" s="1"/>
    </row>
    <row r="435" spans="8:9" x14ac:dyDescent="0.25">
      <c r="H435" s="1"/>
      <c r="I435" s="1"/>
    </row>
    <row r="436" spans="8:9" x14ac:dyDescent="0.25">
      <c r="H436" s="1"/>
      <c r="I436" s="1"/>
    </row>
    <row r="437" spans="8:9" x14ac:dyDescent="0.25">
      <c r="H437" s="1"/>
      <c r="I437" s="1"/>
    </row>
    <row r="438" spans="8:9" x14ac:dyDescent="0.25">
      <c r="H438" s="1"/>
      <c r="I438" s="1"/>
    </row>
    <row r="439" spans="8:9" x14ac:dyDescent="0.25">
      <c r="H439" s="1"/>
      <c r="I439" s="1"/>
    </row>
    <row r="440" spans="8:9" x14ac:dyDescent="0.25">
      <c r="H440" s="1"/>
      <c r="I440" s="1"/>
    </row>
    <row r="441" spans="8:9" x14ac:dyDescent="0.25">
      <c r="H441" s="1"/>
      <c r="I441" s="1"/>
    </row>
    <row r="442" spans="8:9" x14ac:dyDescent="0.25">
      <c r="H442" s="1"/>
      <c r="I442" s="1"/>
    </row>
    <row r="443" spans="8:9" x14ac:dyDescent="0.25">
      <c r="H443" s="1"/>
      <c r="I443" s="1"/>
    </row>
    <row r="444" spans="8:9" x14ac:dyDescent="0.25">
      <c r="H444" s="1"/>
      <c r="I444" s="1"/>
    </row>
    <row r="445" spans="8:9" x14ac:dyDescent="0.25">
      <c r="H445" s="1"/>
      <c r="I445" s="1"/>
    </row>
    <row r="446" spans="8:9" x14ac:dyDescent="0.25">
      <c r="H446" s="1"/>
      <c r="I446" s="1"/>
    </row>
    <row r="447" spans="8:9" x14ac:dyDescent="0.25">
      <c r="H447" s="1"/>
      <c r="I447" s="1"/>
    </row>
    <row r="448" spans="8:9" x14ac:dyDescent="0.25">
      <c r="H448" s="1"/>
      <c r="I448" s="1"/>
    </row>
    <row r="449" spans="8:9" x14ac:dyDescent="0.25">
      <c r="H449" s="1"/>
      <c r="I449" s="1"/>
    </row>
    <row r="450" spans="8:9" x14ac:dyDescent="0.25">
      <c r="H450" s="1"/>
      <c r="I450" s="1"/>
    </row>
    <row r="451" spans="8:9" x14ac:dyDescent="0.25">
      <c r="H451" s="1"/>
      <c r="I451" s="1"/>
    </row>
    <row r="452" spans="8:9" x14ac:dyDescent="0.25">
      <c r="H452" s="1"/>
      <c r="I452" s="1"/>
    </row>
    <row r="453" spans="8:9" x14ac:dyDescent="0.25">
      <c r="H453" s="1"/>
      <c r="I453" s="1"/>
    </row>
    <row r="454" spans="8:9" x14ac:dyDescent="0.25">
      <c r="H454" s="1"/>
      <c r="I454" s="1"/>
    </row>
    <row r="455" spans="8:9" x14ac:dyDescent="0.25">
      <c r="H455" s="1"/>
      <c r="I455" s="1"/>
    </row>
    <row r="456" spans="8:9" x14ac:dyDescent="0.25">
      <c r="H456" s="1"/>
      <c r="I456" s="1"/>
    </row>
    <row r="457" spans="8:9" x14ac:dyDescent="0.25">
      <c r="H457" s="1"/>
      <c r="I457" s="1"/>
    </row>
    <row r="458" spans="8:9" x14ac:dyDescent="0.25">
      <c r="H458" s="1"/>
      <c r="I458" s="1"/>
    </row>
    <row r="459" spans="8:9" x14ac:dyDescent="0.25">
      <c r="H459" s="1"/>
      <c r="I459" s="1"/>
    </row>
    <row r="460" spans="8:9" x14ac:dyDescent="0.25">
      <c r="H460" s="1"/>
      <c r="I460" s="1"/>
    </row>
    <row r="461" spans="8:9" x14ac:dyDescent="0.25">
      <c r="H461" s="1"/>
      <c r="I461" s="1"/>
    </row>
    <row r="462" spans="8:9" x14ac:dyDescent="0.25">
      <c r="H462" s="1"/>
      <c r="I462" s="1"/>
    </row>
    <row r="463" spans="8:9" x14ac:dyDescent="0.25">
      <c r="H463" s="1"/>
      <c r="I463" s="1"/>
    </row>
    <row r="464" spans="8:9" x14ac:dyDescent="0.25">
      <c r="H464" s="1"/>
      <c r="I464" s="1"/>
    </row>
    <row r="465" spans="8:9" x14ac:dyDescent="0.25">
      <c r="H465" s="1"/>
      <c r="I465" s="1"/>
    </row>
    <row r="466" spans="8:9" x14ac:dyDescent="0.25">
      <c r="H466" s="1"/>
      <c r="I466" s="1"/>
    </row>
    <row r="467" spans="8:9" x14ac:dyDescent="0.25">
      <c r="H467" s="1"/>
      <c r="I467" s="1"/>
    </row>
    <row r="468" spans="8:9" x14ac:dyDescent="0.25">
      <c r="H468" s="1"/>
      <c r="I468" s="1"/>
    </row>
    <row r="469" spans="8:9" x14ac:dyDescent="0.25">
      <c r="H469" s="1"/>
      <c r="I469" s="1"/>
    </row>
    <row r="470" spans="8:9" x14ac:dyDescent="0.25">
      <c r="H470" s="1"/>
      <c r="I470" s="1"/>
    </row>
    <row r="471" spans="8:9" x14ac:dyDescent="0.25">
      <c r="H471" s="1"/>
      <c r="I471" s="1"/>
    </row>
    <row r="472" spans="8:9" x14ac:dyDescent="0.25">
      <c r="H472" s="1"/>
      <c r="I472" s="1"/>
    </row>
    <row r="473" spans="8:9" x14ac:dyDescent="0.25">
      <c r="H473" s="1"/>
      <c r="I473" s="1"/>
    </row>
    <row r="474" spans="8:9" x14ac:dyDescent="0.25">
      <c r="H474" s="1"/>
      <c r="I474" s="1"/>
    </row>
    <row r="475" spans="8:9" x14ac:dyDescent="0.25">
      <c r="H475" s="1"/>
      <c r="I475" s="1"/>
    </row>
    <row r="476" spans="8:9" x14ac:dyDescent="0.25">
      <c r="H476" s="1"/>
      <c r="I476" s="1"/>
    </row>
    <row r="477" spans="8:9" x14ac:dyDescent="0.25">
      <c r="H477" s="1"/>
      <c r="I477" s="1"/>
    </row>
    <row r="478" spans="8:9" x14ac:dyDescent="0.25">
      <c r="H478" s="1"/>
      <c r="I478" s="1"/>
    </row>
    <row r="479" spans="8:9" x14ac:dyDescent="0.25">
      <c r="H479" s="1"/>
      <c r="I479" s="1"/>
    </row>
    <row r="480" spans="8:9" x14ac:dyDescent="0.25">
      <c r="H480" s="1"/>
      <c r="I480" s="1"/>
    </row>
    <row r="481" spans="8:9" x14ac:dyDescent="0.25">
      <c r="H481" s="1"/>
      <c r="I481" s="1"/>
    </row>
    <row r="482" spans="8:9" x14ac:dyDescent="0.25">
      <c r="H482" s="1"/>
      <c r="I482" s="1"/>
    </row>
    <row r="483" spans="8:9" x14ac:dyDescent="0.25">
      <c r="H483" s="1"/>
      <c r="I483" s="1"/>
    </row>
    <row r="484" spans="8:9" x14ac:dyDescent="0.25">
      <c r="H484" s="1"/>
      <c r="I484" s="1"/>
    </row>
    <row r="485" spans="8:9" x14ac:dyDescent="0.25">
      <c r="H485" s="1"/>
      <c r="I485" s="1"/>
    </row>
    <row r="486" spans="8:9" x14ac:dyDescent="0.25">
      <c r="H486" s="1"/>
      <c r="I486" s="1"/>
    </row>
    <row r="487" spans="8:9" x14ac:dyDescent="0.25">
      <c r="H487" s="1"/>
      <c r="I487" s="1"/>
    </row>
    <row r="488" spans="8:9" x14ac:dyDescent="0.25">
      <c r="H488" s="1"/>
      <c r="I488" s="1"/>
    </row>
    <row r="489" spans="8:9" x14ac:dyDescent="0.25">
      <c r="H489" s="1"/>
      <c r="I489" s="1"/>
    </row>
    <row r="490" spans="8:9" x14ac:dyDescent="0.25">
      <c r="H490" s="1"/>
      <c r="I490" s="1"/>
    </row>
    <row r="491" spans="8:9" x14ac:dyDescent="0.25">
      <c r="H491" s="1"/>
      <c r="I491" s="1"/>
    </row>
    <row r="492" spans="8:9" x14ac:dyDescent="0.25">
      <c r="H492" s="1"/>
      <c r="I492" s="1"/>
    </row>
    <row r="493" spans="8:9" x14ac:dyDescent="0.25">
      <c r="H493" s="1"/>
      <c r="I493" s="1"/>
    </row>
    <row r="494" spans="8:9" x14ac:dyDescent="0.25">
      <c r="H494" s="1"/>
      <c r="I494" s="1"/>
    </row>
    <row r="495" spans="8:9" x14ac:dyDescent="0.25">
      <c r="H495" s="1"/>
      <c r="I495" s="1"/>
    </row>
    <row r="496" spans="8:9" x14ac:dyDescent="0.25">
      <c r="H496" s="1"/>
      <c r="I496" s="1"/>
    </row>
    <row r="497" spans="8:9" x14ac:dyDescent="0.25">
      <c r="H497" s="1"/>
      <c r="I497" s="1"/>
    </row>
    <row r="498" spans="8:9" x14ac:dyDescent="0.25">
      <c r="H498" s="1"/>
      <c r="I498" s="1"/>
    </row>
    <row r="499" spans="8:9" x14ac:dyDescent="0.25">
      <c r="H499" s="1"/>
      <c r="I499" s="1"/>
    </row>
    <row r="500" spans="8:9" x14ac:dyDescent="0.25">
      <c r="H500" s="1"/>
      <c r="I500" s="1"/>
    </row>
    <row r="501" spans="8:9" x14ac:dyDescent="0.25">
      <c r="H501" s="1"/>
      <c r="I501" s="1"/>
    </row>
    <row r="502" spans="8:9" x14ac:dyDescent="0.25">
      <c r="H502" s="1"/>
      <c r="I502" s="1"/>
    </row>
    <row r="503" spans="8:9" x14ac:dyDescent="0.25">
      <c r="H503" s="1"/>
      <c r="I503" s="1"/>
    </row>
    <row r="504" spans="8:9" x14ac:dyDescent="0.25">
      <c r="H504" s="1"/>
      <c r="I504" s="1"/>
    </row>
    <row r="505" spans="8:9" x14ac:dyDescent="0.25">
      <c r="H505" s="1"/>
      <c r="I505" s="1"/>
    </row>
    <row r="506" spans="8:9" x14ac:dyDescent="0.25">
      <c r="H506" s="1"/>
      <c r="I506" s="1"/>
    </row>
    <row r="507" spans="8:9" x14ac:dyDescent="0.25">
      <c r="H507" s="1"/>
      <c r="I507" s="1"/>
    </row>
    <row r="508" spans="8:9" x14ac:dyDescent="0.25">
      <c r="H508" s="1"/>
      <c r="I508" s="1"/>
    </row>
    <row r="509" spans="8:9" x14ac:dyDescent="0.25">
      <c r="H509" s="1"/>
      <c r="I509" s="1"/>
    </row>
    <row r="510" spans="8:9" x14ac:dyDescent="0.25">
      <c r="H510" s="1"/>
      <c r="I510" s="1"/>
    </row>
    <row r="511" spans="8:9" x14ac:dyDescent="0.25">
      <c r="H511" s="1"/>
      <c r="I511" s="1"/>
    </row>
    <row r="512" spans="8:9" x14ac:dyDescent="0.25">
      <c r="H512" s="1"/>
      <c r="I512" s="1"/>
    </row>
    <row r="513" spans="8:9" x14ac:dyDescent="0.25">
      <c r="H513" s="1"/>
      <c r="I513" s="1"/>
    </row>
    <row r="514" spans="8:9" x14ac:dyDescent="0.25">
      <c r="H514" s="1"/>
      <c r="I514" s="1"/>
    </row>
    <row r="515" spans="8:9" x14ac:dyDescent="0.25">
      <c r="H515" s="1"/>
      <c r="I515" s="1"/>
    </row>
    <row r="516" spans="8:9" x14ac:dyDescent="0.25">
      <c r="H516" s="1"/>
      <c r="I516" s="1"/>
    </row>
    <row r="517" spans="8:9" x14ac:dyDescent="0.25">
      <c r="H517" s="1"/>
      <c r="I517" s="1"/>
    </row>
    <row r="518" spans="8:9" x14ac:dyDescent="0.25">
      <c r="H518" s="1"/>
      <c r="I518" s="1"/>
    </row>
    <row r="519" spans="8:9" x14ac:dyDescent="0.25">
      <c r="H519" s="1"/>
      <c r="I519" s="1"/>
    </row>
    <row r="520" spans="8:9" x14ac:dyDescent="0.25">
      <c r="H520" s="1"/>
      <c r="I520" s="1"/>
    </row>
    <row r="521" spans="8:9" x14ac:dyDescent="0.25">
      <c r="H521" s="1"/>
      <c r="I521" s="1"/>
    </row>
    <row r="522" spans="8:9" x14ac:dyDescent="0.25">
      <c r="H522" s="1"/>
      <c r="I522" s="1"/>
    </row>
    <row r="523" spans="8:9" x14ac:dyDescent="0.25">
      <c r="H523" s="1"/>
      <c r="I523" s="1"/>
    </row>
    <row r="524" spans="8:9" x14ac:dyDescent="0.25">
      <c r="H524" s="1"/>
      <c r="I524" s="1"/>
    </row>
    <row r="525" spans="8:9" x14ac:dyDescent="0.25">
      <c r="H525" s="1"/>
      <c r="I525" s="1"/>
    </row>
    <row r="526" spans="8:9" x14ac:dyDescent="0.25">
      <c r="H526" s="1"/>
      <c r="I526" s="1"/>
    </row>
    <row r="527" spans="8:9" x14ac:dyDescent="0.25">
      <c r="H527" s="1"/>
      <c r="I527" s="1"/>
    </row>
    <row r="528" spans="8:9" x14ac:dyDescent="0.25">
      <c r="H528" s="1"/>
      <c r="I528" s="1"/>
    </row>
    <row r="529" spans="8:9" x14ac:dyDescent="0.25">
      <c r="H529" s="1"/>
      <c r="I529" s="1"/>
    </row>
    <row r="530" spans="8:9" x14ac:dyDescent="0.25">
      <c r="H530" s="1"/>
      <c r="I530" s="1"/>
    </row>
    <row r="531" spans="8:9" x14ac:dyDescent="0.25">
      <c r="H531" s="1"/>
      <c r="I531" s="1"/>
    </row>
    <row r="532" spans="8:9" x14ac:dyDescent="0.25">
      <c r="H532" s="1"/>
      <c r="I532" s="1"/>
    </row>
    <row r="533" spans="8:9" x14ac:dyDescent="0.25">
      <c r="H533" s="1"/>
      <c r="I533" s="1"/>
    </row>
    <row r="534" spans="8:9" x14ac:dyDescent="0.25">
      <c r="H534" s="1"/>
      <c r="I534" s="1"/>
    </row>
    <row r="535" spans="8:9" x14ac:dyDescent="0.25">
      <c r="H535" s="1"/>
      <c r="I535" s="1"/>
    </row>
    <row r="536" spans="8:9" x14ac:dyDescent="0.25">
      <c r="H536" s="1"/>
      <c r="I536" s="1"/>
    </row>
    <row r="537" spans="8:9" x14ac:dyDescent="0.25">
      <c r="H537" s="1"/>
      <c r="I537" s="1"/>
    </row>
    <row r="538" spans="8:9" x14ac:dyDescent="0.25">
      <c r="H538" s="1"/>
      <c r="I538" s="1"/>
    </row>
    <row r="539" spans="8:9" x14ac:dyDescent="0.25">
      <c r="H539" s="1"/>
      <c r="I539" s="1"/>
    </row>
    <row r="540" spans="8:9" x14ac:dyDescent="0.25">
      <c r="H540" s="1"/>
      <c r="I540" s="1"/>
    </row>
    <row r="541" spans="8:9" x14ac:dyDescent="0.25">
      <c r="H541" s="1"/>
      <c r="I541" s="1"/>
    </row>
    <row r="542" spans="8:9" x14ac:dyDescent="0.25">
      <c r="H542" s="1"/>
      <c r="I542" s="1"/>
    </row>
    <row r="543" spans="8:9" x14ac:dyDescent="0.25">
      <c r="H543" s="1"/>
      <c r="I543" s="1"/>
    </row>
    <row r="544" spans="8:9" x14ac:dyDescent="0.25">
      <c r="H544" s="1"/>
      <c r="I544" s="1"/>
    </row>
    <row r="545" spans="8:9" x14ac:dyDescent="0.25">
      <c r="H545" s="1"/>
      <c r="I545" s="1"/>
    </row>
    <row r="546" spans="8:9" x14ac:dyDescent="0.25">
      <c r="H546" s="1"/>
      <c r="I546" s="1"/>
    </row>
    <row r="547" spans="8:9" x14ac:dyDescent="0.25">
      <c r="H547" s="1"/>
      <c r="I547" s="1"/>
    </row>
    <row r="548" spans="8:9" x14ac:dyDescent="0.25">
      <c r="H548" s="1"/>
      <c r="I548" s="1"/>
    </row>
    <row r="549" spans="8:9" x14ac:dyDescent="0.25">
      <c r="H549" s="1"/>
      <c r="I549" s="1"/>
    </row>
    <row r="550" spans="8:9" x14ac:dyDescent="0.25">
      <c r="H550" s="1"/>
      <c r="I550" s="1"/>
    </row>
    <row r="551" spans="8:9" x14ac:dyDescent="0.25">
      <c r="H551" s="1"/>
      <c r="I551" s="1"/>
    </row>
    <row r="552" spans="8:9" x14ac:dyDescent="0.25">
      <c r="H552" s="1"/>
      <c r="I552" s="1"/>
    </row>
    <row r="553" spans="8:9" x14ac:dyDescent="0.25">
      <c r="H553" s="1"/>
      <c r="I553" s="1"/>
    </row>
    <row r="554" spans="8:9" x14ac:dyDescent="0.25">
      <c r="H554" s="1"/>
      <c r="I554" s="1"/>
    </row>
    <row r="555" spans="8:9" x14ac:dyDescent="0.25">
      <c r="H555" s="1"/>
      <c r="I555" s="1"/>
    </row>
    <row r="556" spans="8:9" x14ac:dyDescent="0.25">
      <c r="H556" s="1"/>
      <c r="I556" s="1"/>
    </row>
    <row r="557" spans="8:9" x14ac:dyDescent="0.25">
      <c r="H557" s="1"/>
      <c r="I557" s="1"/>
    </row>
    <row r="558" spans="8:9" x14ac:dyDescent="0.25">
      <c r="H558" s="1"/>
      <c r="I558" s="1"/>
    </row>
    <row r="559" spans="8:9" x14ac:dyDescent="0.25">
      <c r="H559" s="1"/>
      <c r="I559" s="1"/>
    </row>
    <row r="560" spans="8:9" x14ac:dyDescent="0.25">
      <c r="H560" s="1"/>
      <c r="I560" s="1"/>
    </row>
    <row r="561" spans="8:9" x14ac:dyDescent="0.25">
      <c r="H561" s="1"/>
      <c r="I561" s="1"/>
    </row>
    <row r="562" spans="8:9" x14ac:dyDescent="0.25">
      <c r="H562" s="1"/>
      <c r="I562" s="1"/>
    </row>
    <row r="563" spans="8:9" x14ac:dyDescent="0.25">
      <c r="H563" s="1"/>
      <c r="I563" s="1"/>
    </row>
    <row r="564" spans="8:9" x14ac:dyDescent="0.25">
      <c r="H564" s="1"/>
      <c r="I564" s="1"/>
    </row>
    <row r="565" spans="8:9" x14ac:dyDescent="0.25">
      <c r="H565" s="1"/>
      <c r="I565" s="1"/>
    </row>
    <row r="566" spans="8:9" x14ac:dyDescent="0.25">
      <c r="H566" s="1"/>
      <c r="I566" s="1"/>
    </row>
    <row r="567" spans="8:9" x14ac:dyDescent="0.25">
      <c r="H567" s="1"/>
      <c r="I567" s="1"/>
    </row>
    <row r="568" spans="8:9" x14ac:dyDescent="0.25">
      <c r="H568" s="1"/>
      <c r="I568" s="1"/>
    </row>
    <row r="569" spans="8:9" x14ac:dyDescent="0.25">
      <c r="H569" s="1"/>
      <c r="I569" s="1"/>
    </row>
    <row r="570" spans="8:9" x14ac:dyDescent="0.25">
      <c r="H570" s="1"/>
      <c r="I570" s="1"/>
    </row>
    <row r="571" spans="8:9" x14ac:dyDescent="0.25">
      <c r="H571" s="1"/>
      <c r="I571" s="1"/>
    </row>
    <row r="572" spans="8:9" x14ac:dyDescent="0.25">
      <c r="H572" s="1"/>
      <c r="I572" s="1"/>
    </row>
    <row r="573" spans="8:9" x14ac:dyDescent="0.25">
      <c r="H573" s="1"/>
      <c r="I573" s="1"/>
    </row>
    <row r="574" spans="8:9" x14ac:dyDescent="0.25">
      <c r="H574" s="1"/>
      <c r="I574" s="1"/>
    </row>
    <row r="575" spans="8:9" x14ac:dyDescent="0.25">
      <c r="H575" s="1"/>
      <c r="I575" s="1"/>
    </row>
    <row r="576" spans="8:9" x14ac:dyDescent="0.25">
      <c r="H576" s="1"/>
      <c r="I576" s="1"/>
    </row>
    <row r="577" spans="8:9" x14ac:dyDescent="0.25">
      <c r="H577" s="1"/>
      <c r="I577" s="1"/>
    </row>
    <row r="578" spans="8:9" x14ac:dyDescent="0.25">
      <c r="H578" s="1"/>
      <c r="I578" s="1"/>
    </row>
    <row r="579" spans="8:9" x14ac:dyDescent="0.25">
      <c r="H579" s="1"/>
      <c r="I579" s="1"/>
    </row>
    <row r="580" spans="8:9" x14ac:dyDescent="0.25">
      <c r="H580" s="1"/>
      <c r="I580" s="1"/>
    </row>
    <row r="581" spans="8:9" x14ac:dyDescent="0.25">
      <c r="H581" s="1"/>
      <c r="I581" s="1"/>
    </row>
    <row r="582" spans="8:9" x14ac:dyDescent="0.25">
      <c r="H582" s="1"/>
      <c r="I582" s="1"/>
    </row>
    <row r="583" spans="8:9" x14ac:dyDescent="0.25">
      <c r="H583" s="1"/>
      <c r="I583" s="1"/>
    </row>
    <row r="584" spans="8:9" x14ac:dyDescent="0.25">
      <c r="H584" s="1"/>
      <c r="I584" s="1"/>
    </row>
    <row r="585" spans="8:9" x14ac:dyDescent="0.25">
      <c r="H585" s="1"/>
      <c r="I585" s="1"/>
    </row>
    <row r="586" spans="8:9" x14ac:dyDescent="0.25">
      <c r="H586" s="1"/>
      <c r="I586" s="1"/>
    </row>
    <row r="587" spans="8:9" x14ac:dyDescent="0.25">
      <c r="H587" s="1"/>
      <c r="I587" s="1"/>
    </row>
    <row r="588" spans="8:9" x14ac:dyDescent="0.25">
      <c r="H588" s="1"/>
      <c r="I588" s="1"/>
    </row>
    <row r="589" spans="8:9" x14ac:dyDescent="0.25">
      <c r="H589" s="1"/>
      <c r="I589" s="1"/>
    </row>
    <row r="590" spans="8:9" x14ac:dyDescent="0.25">
      <c r="H590" s="1"/>
      <c r="I590" s="1"/>
    </row>
    <row r="591" spans="8:9" x14ac:dyDescent="0.25">
      <c r="H591" s="1"/>
      <c r="I591" s="1"/>
    </row>
    <row r="592" spans="8:9" x14ac:dyDescent="0.25">
      <c r="H592" s="1"/>
      <c r="I592" s="1"/>
    </row>
    <row r="593" spans="8:9" x14ac:dyDescent="0.25">
      <c r="H593" s="1"/>
      <c r="I593" s="1"/>
    </row>
    <row r="594" spans="8:9" x14ac:dyDescent="0.25">
      <c r="H594" s="1"/>
      <c r="I594" s="1"/>
    </row>
    <row r="595" spans="8:9" x14ac:dyDescent="0.25">
      <c r="H595" s="1"/>
      <c r="I595" s="1"/>
    </row>
    <row r="596" spans="8:9" x14ac:dyDescent="0.25">
      <c r="H596" s="1"/>
      <c r="I596" s="1"/>
    </row>
    <row r="597" spans="8:9" x14ac:dyDescent="0.25">
      <c r="H597" s="1"/>
      <c r="I597" s="1"/>
    </row>
    <row r="598" spans="8:9" x14ac:dyDescent="0.25">
      <c r="H598" s="1"/>
      <c r="I598" s="1"/>
    </row>
    <row r="599" spans="8:9" x14ac:dyDescent="0.25">
      <c r="H599" s="1"/>
      <c r="I599" s="1"/>
    </row>
    <row r="600" spans="8:9" x14ac:dyDescent="0.25">
      <c r="H600" s="1"/>
      <c r="I600" s="1"/>
    </row>
    <row r="601" spans="8:9" x14ac:dyDescent="0.25">
      <c r="H601" s="1"/>
      <c r="I601" s="1"/>
    </row>
    <row r="602" spans="8:9" x14ac:dyDescent="0.25">
      <c r="H602" s="1"/>
      <c r="I602" s="1"/>
    </row>
    <row r="603" spans="8:9" x14ac:dyDescent="0.25">
      <c r="H603" s="1"/>
      <c r="I603" s="1"/>
    </row>
    <row r="604" spans="8:9" x14ac:dyDescent="0.25">
      <c r="H604" s="1"/>
      <c r="I604" s="1"/>
    </row>
    <row r="605" spans="8:9" x14ac:dyDescent="0.25">
      <c r="H605" s="1"/>
      <c r="I605" s="1"/>
    </row>
    <row r="606" spans="8:9" x14ac:dyDescent="0.25">
      <c r="H606" s="1"/>
      <c r="I606" s="1"/>
    </row>
    <row r="607" spans="8:9" x14ac:dyDescent="0.25">
      <c r="H607" s="1"/>
      <c r="I607" s="1"/>
    </row>
    <row r="608" spans="8:9" x14ac:dyDescent="0.25">
      <c r="H608" s="1"/>
      <c r="I608" s="1"/>
    </row>
    <row r="609" spans="8:9" x14ac:dyDescent="0.25">
      <c r="H609" s="1"/>
      <c r="I609" s="1"/>
    </row>
    <row r="610" spans="8:9" x14ac:dyDescent="0.25">
      <c r="H610" s="1"/>
      <c r="I610" s="1"/>
    </row>
    <row r="611" spans="8:9" x14ac:dyDescent="0.25">
      <c r="H611" s="1"/>
      <c r="I611" s="1"/>
    </row>
    <row r="612" spans="8:9" x14ac:dyDescent="0.25">
      <c r="H612" s="1"/>
      <c r="I612" s="1"/>
    </row>
    <row r="613" spans="8:9" x14ac:dyDescent="0.25">
      <c r="H613" s="1"/>
      <c r="I613" s="1"/>
    </row>
    <row r="614" spans="8:9" x14ac:dyDescent="0.25">
      <c r="H614" s="1"/>
      <c r="I614" s="1"/>
    </row>
    <row r="615" spans="8:9" x14ac:dyDescent="0.25">
      <c r="H615" s="1"/>
      <c r="I615" s="1"/>
    </row>
    <row r="616" spans="8:9" x14ac:dyDescent="0.25">
      <c r="H616" s="1"/>
      <c r="I616" s="1"/>
    </row>
    <row r="617" spans="8:9" x14ac:dyDescent="0.25">
      <c r="H617" s="1"/>
      <c r="I617" s="1"/>
    </row>
    <row r="618" spans="8:9" x14ac:dyDescent="0.25">
      <c r="H618" s="1"/>
      <c r="I618" s="1"/>
    </row>
    <row r="619" spans="8:9" x14ac:dyDescent="0.25">
      <c r="H619" s="1"/>
      <c r="I619" s="1"/>
    </row>
    <row r="620" spans="8:9" x14ac:dyDescent="0.25">
      <c r="H620" s="1"/>
      <c r="I620" s="1"/>
    </row>
    <row r="621" spans="8:9" x14ac:dyDescent="0.25">
      <c r="H621" s="1"/>
      <c r="I621" s="1"/>
    </row>
    <row r="622" spans="8:9" x14ac:dyDescent="0.25">
      <c r="H622" s="1"/>
      <c r="I622" s="1"/>
    </row>
    <row r="623" spans="8:9" x14ac:dyDescent="0.25">
      <c r="H623" s="1"/>
      <c r="I623" s="1"/>
    </row>
    <row r="624" spans="8:9" x14ac:dyDescent="0.25">
      <c r="H624" s="1"/>
      <c r="I624" s="1"/>
    </row>
    <row r="625" spans="8:9" x14ac:dyDescent="0.25">
      <c r="H625" s="1"/>
      <c r="I625" s="1"/>
    </row>
    <row r="626" spans="8:9" x14ac:dyDescent="0.25">
      <c r="H626" s="1"/>
      <c r="I626" s="1"/>
    </row>
    <row r="627" spans="8:9" x14ac:dyDescent="0.25">
      <c r="H627" s="1"/>
      <c r="I627" s="1"/>
    </row>
    <row r="628" spans="8:9" x14ac:dyDescent="0.25">
      <c r="H628" s="1"/>
      <c r="I628" s="1"/>
    </row>
    <row r="629" spans="8:9" x14ac:dyDescent="0.25">
      <c r="H629" s="1"/>
      <c r="I629" s="1"/>
    </row>
    <row r="630" spans="8:9" x14ac:dyDescent="0.25">
      <c r="H630" s="1"/>
      <c r="I630" s="1"/>
    </row>
    <row r="631" spans="8:9" x14ac:dyDescent="0.25">
      <c r="H631" s="1"/>
      <c r="I631" s="1"/>
    </row>
    <row r="632" spans="8:9" x14ac:dyDescent="0.25">
      <c r="H632" s="1"/>
      <c r="I632" s="1"/>
    </row>
    <row r="633" spans="8:9" x14ac:dyDescent="0.25">
      <c r="H633" s="1"/>
      <c r="I633" s="1"/>
    </row>
    <row r="634" spans="8:9" x14ac:dyDescent="0.25">
      <c r="H634" s="1"/>
      <c r="I634" s="1"/>
    </row>
    <row r="635" spans="8:9" x14ac:dyDescent="0.25">
      <c r="H635" s="1"/>
      <c r="I635" s="1"/>
    </row>
    <row r="636" spans="8:9" x14ac:dyDescent="0.25">
      <c r="H636" s="1"/>
      <c r="I636" s="1"/>
    </row>
    <row r="637" spans="8:9" x14ac:dyDescent="0.25">
      <c r="H637" s="1"/>
      <c r="I637" s="1"/>
    </row>
    <row r="638" spans="8:9" x14ac:dyDescent="0.25">
      <c r="H638" s="1"/>
      <c r="I638" s="1"/>
    </row>
    <row r="639" spans="8:9" x14ac:dyDescent="0.25">
      <c r="H639" s="1"/>
      <c r="I639" s="1"/>
    </row>
    <row r="640" spans="8:9" x14ac:dyDescent="0.25">
      <c r="H640" s="1"/>
      <c r="I640" s="1"/>
    </row>
    <row r="641" spans="8:9" x14ac:dyDescent="0.25">
      <c r="H641" s="1"/>
      <c r="I641" s="1"/>
    </row>
    <row r="642" spans="8:9" x14ac:dyDescent="0.25">
      <c r="H642" s="1"/>
      <c r="I642" s="1"/>
    </row>
    <row r="643" spans="8:9" x14ac:dyDescent="0.25">
      <c r="H643" s="1"/>
      <c r="I643" s="1"/>
    </row>
    <row r="644" spans="8:9" x14ac:dyDescent="0.25">
      <c r="H644" s="1"/>
      <c r="I644" s="1"/>
    </row>
    <row r="645" spans="8:9" x14ac:dyDescent="0.25">
      <c r="H645" s="1"/>
      <c r="I645" s="1"/>
    </row>
    <row r="646" spans="8:9" x14ac:dyDescent="0.25">
      <c r="H646" s="1"/>
      <c r="I646" s="1"/>
    </row>
    <row r="647" spans="8:9" x14ac:dyDescent="0.25">
      <c r="H647" s="1"/>
      <c r="I647" s="1"/>
    </row>
    <row r="648" spans="8:9" x14ac:dyDescent="0.25">
      <c r="H648" s="1"/>
      <c r="I648" s="1"/>
    </row>
    <row r="649" spans="8:9" x14ac:dyDescent="0.25">
      <c r="H649" s="1"/>
      <c r="I649" s="1"/>
    </row>
    <row r="650" spans="8:9" x14ac:dyDescent="0.25">
      <c r="H650" s="1"/>
      <c r="I650" s="1"/>
    </row>
    <row r="651" spans="8:9" x14ac:dyDescent="0.25">
      <c r="H651" s="1"/>
      <c r="I651" s="1"/>
    </row>
    <row r="652" spans="8:9" x14ac:dyDescent="0.25">
      <c r="H652" s="1"/>
      <c r="I652" s="1"/>
    </row>
    <row r="653" spans="8:9" x14ac:dyDescent="0.25">
      <c r="H653" s="1"/>
      <c r="I653" s="1"/>
    </row>
    <row r="654" spans="8:9" x14ac:dyDescent="0.25">
      <c r="H654" s="1"/>
      <c r="I654" s="1"/>
    </row>
    <row r="655" spans="8:9" x14ac:dyDescent="0.25">
      <c r="H655" s="1"/>
      <c r="I655" s="1"/>
    </row>
    <row r="656" spans="8:9" x14ac:dyDescent="0.25">
      <c r="H656" s="1"/>
      <c r="I656" s="1"/>
    </row>
    <row r="657" spans="8:9" x14ac:dyDescent="0.25">
      <c r="H657" s="1"/>
      <c r="I657" s="1"/>
    </row>
    <row r="658" spans="8:9" x14ac:dyDescent="0.25">
      <c r="H658" s="1"/>
      <c r="I658" s="1"/>
    </row>
    <row r="659" spans="8:9" x14ac:dyDescent="0.25">
      <c r="H659" s="1"/>
      <c r="I659" s="1"/>
    </row>
    <row r="660" spans="8:9" x14ac:dyDescent="0.25">
      <c r="H660" s="1"/>
      <c r="I660" s="1"/>
    </row>
    <row r="661" spans="8:9" x14ac:dyDescent="0.25">
      <c r="H661" s="1"/>
      <c r="I661" s="1"/>
    </row>
    <row r="662" spans="8:9" x14ac:dyDescent="0.25">
      <c r="H662" s="1"/>
      <c r="I662" s="1"/>
    </row>
    <row r="663" spans="8:9" x14ac:dyDescent="0.25">
      <c r="H663" s="1"/>
      <c r="I663" s="1"/>
    </row>
    <row r="664" spans="8:9" x14ac:dyDescent="0.25">
      <c r="H664" s="1"/>
      <c r="I664" s="1"/>
    </row>
    <row r="665" spans="8:9" x14ac:dyDescent="0.25">
      <c r="H665" s="1"/>
      <c r="I665" s="1"/>
    </row>
    <row r="666" spans="8:9" x14ac:dyDescent="0.25">
      <c r="H666" s="1"/>
      <c r="I666" s="1"/>
    </row>
    <row r="667" spans="8:9" x14ac:dyDescent="0.25">
      <c r="H667" s="1"/>
      <c r="I667" s="1"/>
    </row>
    <row r="668" spans="8:9" x14ac:dyDescent="0.25">
      <c r="H668" s="1"/>
      <c r="I668" s="1"/>
    </row>
    <row r="669" spans="8:9" x14ac:dyDescent="0.25">
      <c r="H669" s="1"/>
      <c r="I669" s="1"/>
    </row>
    <row r="670" spans="8:9" x14ac:dyDescent="0.25">
      <c r="H670" s="1"/>
      <c r="I670" s="1"/>
    </row>
    <row r="671" spans="8:9" x14ac:dyDescent="0.25">
      <c r="H671" s="1"/>
      <c r="I671" s="1"/>
    </row>
    <row r="672" spans="8:9" x14ac:dyDescent="0.25">
      <c r="H672" s="1"/>
      <c r="I672" s="1"/>
    </row>
    <row r="673" spans="8:9" x14ac:dyDescent="0.25">
      <c r="H673" s="1"/>
      <c r="I673" s="1"/>
    </row>
    <row r="674" spans="8:9" x14ac:dyDescent="0.25">
      <c r="H674" s="1"/>
      <c r="I674" s="1"/>
    </row>
    <row r="675" spans="8:9" x14ac:dyDescent="0.25">
      <c r="H675" s="1"/>
      <c r="I675" s="1"/>
    </row>
    <row r="676" spans="8:9" x14ac:dyDescent="0.25">
      <c r="H676" s="1"/>
      <c r="I676" s="1"/>
    </row>
    <row r="677" spans="8:9" x14ac:dyDescent="0.25">
      <c r="H677" s="1"/>
      <c r="I677" s="1"/>
    </row>
    <row r="678" spans="8:9" x14ac:dyDescent="0.25">
      <c r="H678" s="1"/>
      <c r="I678" s="1"/>
    </row>
    <row r="679" spans="8:9" x14ac:dyDescent="0.25">
      <c r="H679" s="1"/>
      <c r="I679" s="1"/>
    </row>
    <row r="680" spans="8:9" x14ac:dyDescent="0.25">
      <c r="H680" s="1"/>
      <c r="I680" s="1"/>
    </row>
    <row r="681" spans="8:9" x14ac:dyDescent="0.25">
      <c r="H681" s="1"/>
      <c r="I681" s="1"/>
    </row>
    <row r="682" spans="8:9" x14ac:dyDescent="0.25">
      <c r="H682" s="1"/>
      <c r="I682" s="1"/>
    </row>
    <row r="683" spans="8:9" x14ac:dyDescent="0.25">
      <c r="H683" s="1"/>
      <c r="I683" s="1"/>
    </row>
    <row r="684" spans="8:9" x14ac:dyDescent="0.25">
      <c r="H684" s="1"/>
      <c r="I684" s="1"/>
    </row>
    <row r="685" spans="8:9" x14ac:dyDescent="0.25">
      <c r="H685" s="1"/>
      <c r="I685" s="1"/>
    </row>
    <row r="686" spans="8:9" x14ac:dyDescent="0.25">
      <c r="H686" s="1"/>
      <c r="I686" s="1"/>
    </row>
    <row r="687" spans="8:9" x14ac:dyDescent="0.25">
      <c r="H687" s="1"/>
      <c r="I687" s="1"/>
    </row>
    <row r="688" spans="8:9" x14ac:dyDescent="0.25">
      <c r="H688" s="1"/>
      <c r="I688" s="1"/>
    </row>
    <row r="689" spans="8:9" x14ac:dyDescent="0.25">
      <c r="H689" s="1"/>
      <c r="I689" s="1"/>
    </row>
    <row r="690" spans="8:9" x14ac:dyDescent="0.25">
      <c r="H690" s="1"/>
      <c r="I690" s="1"/>
    </row>
    <row r="691" spans="8:9" x14ac:dyDescent="0.25">
      <c r="H691" s="1"/>
      <c r="I691" s="1"/>
    </row>
    <row r="692" spans="8:9" x14ac:dyDescent="0.25">
      <c r="H692" s="1"/>
      <c r="I692" s="1"/>
    </row>
    <row r="693" spans="8:9" x14ac:dyDescent="0.25">
      <c r="H693" s="1"/>
      <c r="I693" s="1"/>
    </row>
    <row r="694" spans="8:9" x14ac:dyDescent="0.25">
      <c r="H694" s="1"/>
      <c r="I694" s="1"/>
    </row>
    <row r="695" spans="8:9" x14ac:dyDescent="0.25">
      <c r="H695" s="1"/>
      <c r="I695" s="1"/>
    </row>
    <row r="696" spans="8:9" x14ac:dyDescent="0.25">
      <c r="H696" s="1"/>
      <c r="I696" s="1"/>
    </row>
    <row r="697" spans="8:9" x14ac:dyDescent="0.25">
      <c r="H697" s="1"/>
      <c r="I697" s="1"/>
    </row>
    <row r="698" spans="8:9" x14ac:dyDescent="0.25">
      <c r="H698" s="1"/>
      <c r="I698" s="1"/>
    </row>
    <row r="699" spans="8:9" x14ac:dyDescent="0.25">
      <c r="H699" s="1"/>
      <c r="I699" s="1"/>
    </row>
    <row r="700" spans="8:9" x14ac:dyDescent="0.25">
      <c r="H700" s="1"/>
      <c r="I700" s="1"/>
    </row>
    <row r="701" spans="8:9" x14ac:dyDescent="0.25">
      <c r="H701" s="1"/>
      <c r="I701" s="1"/>
    </row>
    <row r="702" spans="8:9" x14ac:dyDescent="0.25">
      <c r="H702" s="1"/>
      <c r="I702" s="1"/>
    </row>
    <row r="703" spans="8:9" x14ac:dyDescent="0.25">
      <c r="H703" s="1"/>
      <c r="I703" s="1"/>
    </row>
    <row r="704" spans="8:9" x14ac:dyDescent="0.25">
      <c r="H704" s="1"/>
      <c r="I704" s="1"/>
    </row>
    <row r="705" spans="8:9" x14ac:dyDescent="0.25">
      <c r="H705" s="1"/>
      <c r="I705" s="1"/>
    </row>
    <row r="706" spans="8:9" x14ac:dyDescent="0.25">
      <c r="H706" s="1"/>
      <c r="I706" s="1"/>
    </row>
    <row r="707" spans="8:9" x14ac:dyDescent="0.25">
      <c r="H707" s="1"/>
      <c r="I707" s="1"/>
    </row>
    <row r="708" spans="8:9" x14ac:dyDescent="0.25">
      <c r="H708" s="1"/>
      <c r="I708" s="1"/>
    </row>
    <row r="709" spans="8:9" x14ac:dyDescent="0.25">
      <c r="H709" s="1"/>
      <c r="I709" s="1"/>
    </row>
    <row r="710" spans="8:9" x14ac:dyDescent="0.25">
      <c r="H710" s="1"/>
      <c r="I710" s="1"/>
    </row>
    <row r="711" spans="8:9" x14ac:dyDescent="0.25">
      <c r="H711" s="1"/>
      <c r="I711" s="1"/>
    </row>
    <row r="712" spans="8:9" x14ac:dyDescent="0.25">
      <c r="H712" s="1"/>
      <c r="I712" s="1"/>
    </row>
    <row r="713" spans="8:9" x14ac:dyDescent="0.25">
      <c r="H713" s="1"/>
      <c r="I713" s="1"/>
    </row>
    <row r="714" spans="8:9" x14ac:dyDescent="0.25">
      <c r="H714" s="1"/>
      <c r="I714" s="1"/>
    </row>
    <row r="715" spans="8:9" x14ac:dyDescent="0.25">
      <c r="H715" s="1"/>
      <c r="I715" s="1"/>
    </row>
    <row r="716" spans="8:9" x14ac:dyDescent="0.25">
      <c r="H716" s="1"/>
      <c r="I716" s="1"/>
    </row>
    <row r="717" spans="8:9" x14ac:dyDescent="0.25">
      <c r="H717" s="1"/>
      <c r="I717" s="1"/>
    </row>
    <row r="718" spans="8:9" x14ac:dyDescent="0.25">
      <c r="H718" s="1"/>
      <c r="I718" s="1"/>
    </row>
    <row r="719" spans="8:9" x14ac:dyDescent="0.25">
      <c r="H719" s="1"/>
      <c r="I719" s="1"/>
    </row>
    <row r="720" spans="8:9" x14ac:dyDescent="0.25">
      <c r="H720" s="1"/>
      <c r="I720" s="1"/>
    </row>
    <row r="721" spans="8:9" x14ac:dyDescent="0.25">
      <c r="H721" s="1"/>
      <c r="I721" s="1"/>
    </row>
    <row r="722" spans="8:9" x14ac:dyDescent="0.25">
      <c r="H722" s="1"/>
      <c r="I722" s="1"/>
    </row>
    <row r="723" spans="8:9" x14ac:dyDescent="0.25">
      <c r="H723" s="1"/>
      <c r="I723" s="1"/>
    </row>
    <row r="724" spans="8:9" x14ac:dyDescent="0.25">
      <c r="H724" s="1"/>
      <c r="I724" s="1"/>
    </row>
    <row r="725" spans="8:9" x14ac:dyDescent="0.25">
      <c r="H725" s="1"/>
      <c r="I725" s="1"/>
    </row>
    <row r="726" spans="8:9" x14ac:dyDescent="0.25">
      <c r="H726" s="1"/>
      <c r="I726" s="1"/>
    </row>
    <row r="727" spans="8:9" x14ac:dyDescent="0.25">
      <c r="H727" s="1"/>
      <c r="I727" s="1"/>
    </row>
    <row r="728" spans="8:9" x14ac:dyDescent="0.25">
      <c r="H728" s="1"/>
      <c r="I728" s="1"/>
    </row>
    <row r="729" spans="8:9" x14ac:dyDescent="0.25">
      <c r="H729" s="1"/>
      <c r="I729" s="1"/>
    </row>
    <row r="730" spans="8:9" x14ac:dyDescent="0.25">
      <c r="H730" s="1"/>
      <c r="I730" s="1"/>
    </row>
    <row r="731" spans="8:9" x14ac:dyDescent="0.25">
      <c r="H731" s="1"/>
      <c r="I731" s="1"/>
    </row>
    <row r="732" spans="8:9" x14ac:dyDescent="0.25">
      <c r="H732" s="1"/>
      <c r="I732" s="1"/>
    </row>
    <row r="733" spans="8:9" x14ac:dyDescent="0.25">
      <c r="H733" s="1"/>
      <c r="I733" s="1"/>
    </row>
    <row r="734" spans="8:9" x14ac:dyDescent="0.25">
      <c r="H734" s="1"/>
      <c r="I734" s="1"/>
    </row>
    <row r="735" spans="8:9" x14ac:dyDescent="0.25">
      <c r="H735" s="1"/>
      <c r="I735" s="1"/>
    </row>
    <row r="736" spans="8:9" x14ac:dyDescent="0.25">
      <c r="H736" s="1"/>
      <c r="I736" s="1"/>
    </row>
    <row r="737" spans="8:9" x14ac:dyDescent="0.25">
      <c r="H737" s="1"/>
      <c r="I737" s="1"/>
    </row>
    <row r="738" spans="8:9" x14ac:dyDescent="0.25">
      <c r="H738" s="1"/>
      <c r="I738" s="1"/>
    </row>
    <row r="739" spans="8:9" x14ac:dyDescent="0.25">
      <c r="H739" s="1"/>
      <c r="I739" s="1"/>
    </row>
    <row r="740" spans="8:9" x14ac:dyDescent="0.25">
      <c r="H740" s="1"/>
      <c r="I740" s="1"/>
    </row>
    <row r="741" spans="8:9" x14ac:dyDescent="0.25">
      <c r="H741" s="1"/>
      <c r="I741" s="1"/>
    </row>
    <row r="742" spans="8:9" x14ac:dyDescent="0.25">
      <c r="H742" s="1"/>
      <c r="I742" s="1"/>
    </row>
    <row r="743" spans="8:9" x14ac:dyDescent="0.25">
      <c r="H743" s="1"/>
      <c r="I743" s="1"/>
    </row>
    <row r="744" spans="8:9" x14ac:dyDescent="0.25">
      <c r="H744" s="1"/>
      <c r="I744" s="1"/>
    </row>
    <row r="745" spans="8:9" x14ac:dyDescent="0.25">
      <c r="H745" s="1"/>
      <c r="I745" s="1"/>
    </row>
    <row r="746" spans="8:9" x14ac:dyDescent="0.25">
      <c r="H746" s="1"/>
      <c r="I746" s="1"/>
    </row>
    <row r="747" spans="8:9" x14ac:dyDescent="0.25">
      <c r="H747" s="1"/>
      <c r="I747" s="1"/>
    </row>
    <row r="748" spans="8:9" x14ac:dyDescent="0.25">
      <c r="H748" s="1"/>
      <c r="I748" s="1"/>
    </row>
    <row r="749" spans="8:9" x14ac:dyDescent="0.25">
      <c r="H749" s="1"/>
      <c r="I749" s="1"/>
    </row>
    <row r="750" spans="8:9" x14ac:dyDescent="0.25">
      <c r="H750" s="1"/>
      <c r="I750" s="1"/>
    </row>
    <row r="751" spans="8:9" x14ac:dyDescent="0.25">
      <c r="H751" s="1"/>
      <c r="I751" s="1"/>
    </row>
    <row r="752" spans="8:9" x14ac:dyDescent="0.25">
      <c r="H752" s="1"/>
      <c r="I752" s="1"/>
    </row>
    <row r="753" spans="8:9" x14ac:dyDescent="0.25">
      <c r="H753" s="1"/>
      <c r="I753" s="1"/>
    </row>
    <row r="754" spans="8:9" x14ac:dyDescent="0.25">
      <c r="H754" s="1"/>
      <c r="I754" s="1"/>
    </row>
    <row r="755" spans="8:9" x14ac:dyDescent="0.25">
      <c r="H755" s="1"/>
      <c r="I755" s="1"/>
    </row>
    <row r="756" spans="8:9" x14ac:dyDescent="0.25">
      <c r="H756" s="1"/>
      <c r="I756" s="1"/>
    </row>
    <row r="757" spans="8:9" x14ac:dyDescent="0.25">
      <c r="H757" s="1"/>
      <c r="I757" s="1"/>
    </row>
    <row r="758" spans="8:9" x14ac:dyDescent="0.25">
      <c r="H758" s="1"/>
      <c r="I758" s="1"/>
    </row>
    <row r="759" spans="8:9" x14ac:dyDescent="0.25">
      <c r="H759" s="1"/>
      <c r="I759" s="1"/>
    </row>
    <row r="760" spans="8:9" x14ac:dyDescent="0.25">
      <c r="H760" s="1"/>
      <c r="I760" s="1"/>
    </row>
    <row r="761" spans="8:9" x14ac:dyDescent="0.25">
      <c r="H761" s="1"/>
      <c r="I761" s="1"/>
    </row>
    <row r="762" spans="8:9" x14ac:dyDescent="0.25">
      <c r="H762" s="1"/>
      <c r="I762" s="1"/>
    </row>
    <row r="763" spans="8:9" x14ac:dyDescent="0.25">
      <c r="H763" s="1"/>
      <c r="I763" s="1"/>
    </row>
    <row r="764" spans="8:9" x14ac:dyDescent="0.25">
      <c r="H764" s="1"/>
      <c r="I764" s="1"/>
    </row>
    <row r="765" spans="8:9" x14ac:dyDescent="0.25">
      <c r="H765" s="1"/>
      <c r="I765" s="1"/>
    </row>
    <row r="766" spans="8:9" x14ac:dyDescent="0.25">
      <c r="H766" s="1"/>
      <c r="I766" s="1"/>
    </row>
    <row r="767" spans="8:9" x14ac:dyDescent="0.25">
      <c r="H767" s="1"/>
      <c r="I767" s="1"/>
    </row>
    <row r="768" spans="8:9" x14ac:dyDescent="0.25">
      <c r="H768" s="1"/>
      <c r="I768" s="1"/>
    </row>
    <row r="769" spans="8:9" x14ac:dyDescent="0.25">
      <c r="H769" s="1"/>
      <c r="I769" s="1"/>
    </row>
    <row r="770" spans="8:9" x14ac:dyDescent="0.25">
      <c r="H770" s="1"/>
      <c r="I770" s="1"/>
    </row>
    <row r="771" spans="8:9" x14ac:dyDescent="0.25">
      <c r="H771" s="1"/>
      <c r="I771" s="1"/>
    </row>
    <row r="772" spans="8:9" x14ac:dyDescent="0.25">
      <c r="H772" s="1"/>
      <c r="I772" s="1"/>
    </row>
    <row r="773" spans="8:9" x14ac:dyDescent="0.25">
      <c r="H773" s="1"/>
      <c r="I773" s="1"/>
    </row>
    <row r="774" spans="8:9" x14ac:dyDescent="0.25">
      <c r="H774" s="1"/>
      <c r="I774" s="1"/>
    </row>
    <row r="775" spans="8:9" x14ac:dyDescent="0.25">
      <c r="H775" s="1"/>
      <c r="I775" s="1"/>
    </row>
    <row r="776" spans="8:9" x14ac:dyDescent="0.25">
      <c r="H776" s="1"/>
      <c r="I776" s="1"/>
    </row>
    <row r="777" spans="8:9" x14ac:dyDescent="0.25">
      <c r="H777" s="1"/>
      <c r="I777" s="1"/>
    </row>
    <row r="778" spans="8:9" x14ac:dyDescent="0.25">
      <c r="H778" s="1"/>
      <c r="I778" s="1"/>
    </row>
    <row r="779" spans="8:9" x14ac:dyDescent="0.25">
      <c r="H779" s="1"/>
      <c r="I779" s="1"/>
    </row>
    <row r="780" spans="8:9" x14ac:dyDescent="0.25">
      <c r="H780" s="1"/>
      <c r="I780" s="1"/>
    </row>
    <row r="781" spans="8:9" x14ac:dyDescent="0.25">
      <c r="H781" s="1"/>
      <c r="I781" s="1"/>
    </row>
    <row r="782" spans="8:9" x14ac:dyDescent="0.25">
      <c r="H782" s="1"/>
      <c r="I782" s="1"/>
    </row>
    <row r="783" spans="8:9" x14ac:dyDescent="0.25">
      <c r="H783" s="1"/>
      <c r="I783" s="1"/>
    </row>
    <row r="784" spans="8:9" x14ac:dyDescent="0.25">
      <c r="H784" s="1"/>
      <c r="I784" s="1"/>
    </row>
    <row r="785" spans="8:9" x14ac:dyDescent="0.25">
      <c r="H785" s="1"/>
      <c r="I785" s="1"/>
    </row>
    <row r="786" spans="8:9" x14ac:dyDescent="0.25">
      <c r="H786" s="1"/>
      <c r="I786" s="1"/>
    </row>
    <row r="787" spans="8:9" x14ac:dyDescent="0.25">
      <c r="H787" s="1"/>
      <c r="I787" s="1"/>
    </row>
    <row r="788" spans="8:9" x14ac:dyDescent="0.25">
      <c r="H788" s="1"/>
      <c r="I788" s="1"/>
    </row>
    <row r="789" spans="8:9" x14ac:dyDescent="0.25">
      <c r="H789" s="1"/>
      <c r="I789" s="1"/>
    </row>
    <row r="790" spans="8:9" x14ac:dyDescent="0.25">
      <c r="H790" s="1"/>
      <c r="I790" s="1"/>
    </row>
    <row r="791" spans="8:9" x14ac:dyDescent="0.25">
      <c r="H791" s="1"/>
      <c r="I791" s="1"/>
    </row>
    <row r="792" spans="8:9" x14ac:dyDescent="0.25">
      <c r="H792" s="1"/>
      <c r="I792" s="1"/>
    </row>
    <row r="793" spans="8:9" x14ac:dyDescent="0.25">
      <c r="H793" s="1"/>
      <c r="I793" s="1"/>
    </row>
    <row r="794" spans="8:9" x14ac:dyDescent="0.25">
      <c r="H794" s="1"/>
      <c r="I794" s="1"/>
    </row>
    <row r="795" spans="8:9" x14ac:dyDescent="0.25">
      <c r="H795" s="1"/>
      <c r="I795" s="1"/>
    </row>
    <row r="796" spans="8:9" x14ac:dyDescent="0.25">
      <c r="H796" s="1"/>
      <c r="I796" s="1"/>
    </row>
    <row r="797" spans="8:9" x14ac:dyDescent="0.25">
      <c r="H797" s="1"/>
      <c r="I797" s="1"/>
    </row>
    <row r="798" spans="8:9" x14ac:dyDescent="0.25">
      <c r="H798" s="1"/>
      <c r="I798" s="1"/>
    </row>
    <row r="799" spans="8:9" x14ac:dyDescent="0.25">
      <c r="H799" s="1"/>
      <c r="I799" s="1"/>
    </row>
    <row r="800" spans="8:9" x14ac:dyDescent="0.25">
      <c r="H800" s="1"/>
      <c r="I800" s="1"/>
    </row>
    <row r="801" spans="8:9" x14ac:dyDescent="0.25">
      <c r="H801" s="1"/>
      <c r="I801" s="1"/>
    </row>
    <row r="802" spans="8:9" x14ac:dyDescent="0.25">
      <c r="H802" s="1"/>
      <c r="I802" s="1"/>
    </row>
    <row r="803" spans="8:9" x14ac:dyDescent="0.25">
      <c r="H803" s="1"/>
      <c r="I803" s="1"/>
    </row>
    <row r="804" spans="8:9" x14ac:dyDescent="0.25">
      <c r="H804" s="1"/>
      <c r="I804" s="1"/>
    </row>
    <row r="805" spans="8:9" x14ac:dyDescent="0.25">
      <c r="H805" s="1"/>
      <c r="I805" s="1"/>
    </row>
    <row r="806" spans="8:9" x14ac:dyDescent="0.25">
      <c r="H806" s="1"/>
      <c r="I806" s="1"/>
    </row>
    <row r="807" spans="8:9" x14ac:dyDescent="0.25">
      <c r="H807" s="1"/>
      <c r="I807" s="1"/>
    </row>
    <row r="808" spans="8:9" x14ac:dyDescent="0.25">
      <c r="H808" s="1"/>
      <c r="I808" s="1"/>
    </row>
    <row r="809" spans="8:9" x14ac:dyDescent="0.25">
      <c r="H809" s="1"/>
      <c r="I809" s="1"/>
    </row>
    <row r="810" spans="8:9" x14ac:dyDescent="0.25">
      <c r="H810" s="1"/>
      <c r="I810" s="1"/>
    </row>
    <row r="811" spans="8:9" x14ac:dyDescent="0.25">
      <c r="H811" s="1"/>
      <c r="I811" s="1"/>
    </row>
    <row r="812" spans="8:9" x14ac:dyDescent="0.25">
      <c r="H812" s="1"/>
      <c r="I812" s="1"/>
    </row>
    <row r="813" spans="8:9" x14ac:dyDescent="0.25">
      <c r="H813" s="1"/>
      <c r="I813" s="1"/>
    </row>
    <row r="814" spans="8:9" x14ac:dyDescent="0.25">
      <c r="H814" s="1"/>
      <c r="I814" s="1"/>
    </row>
    <row r="815" spans="8:9" x14ac:dyDescent="0.25">
      <c r="H815" s="1"/>
      <c r="I815" s="1"/>
    </row>
    <row r="816" spans="8:9" x14ac:dyDescent="0.25">
      <c r="H816" s="1"/>
      <c r="I816" s="1"/>
    </row>
    <row r="817" spans="8:9" x14ac:dyDescent="0.25">
      <c r="H817" s="1"/>
      <c r="I817" s="1"/>
    </row>
    <row r="818" spans="8:9" x14ac:dyDescent="0.25">
      <c r="H818" s="1"/>
      <c r="I818" s="1"/>
    </row>
    <row r="819" spans="8:9" x14ac:dyDescent="0.25">
      <c r="H819" s="1"/>
      <c r="I819" s="1"/>
    </row>
    <row r="820" spans="8:9" x14ac:dyDescent="0.25">
      <c r="H820" s="1"/>
      <c r="I820" s="1"/>
    </row>
    <row r="821" spans="8:9" x14ac:dyDescent="0.25">
      <c r="H821" s="1"/>
      <c r="I821" s="1"/>
    </row>
    <row r="822" spans="8:9" x14ac:dyDescent="0.25">
      <c r="H822" s="1"/>
      <c r="I822" s="1"/>
    </row>
    <row r="823" spans="8:9" x14ac:dyDescent="0.25">
      <c r="H823" s="1"/>
      <c r="I823" s="1"/>
    </row>
    <row r="824" spans="8:9" x14ac:dyDescent="0.25">
      <c r="H824" s="1"/>
      <c r="I824" s="1"/>
    </row>
    <row r="825" spans="8:9" x14ac:dyDescent="0.25">
      <c r="H825" s="1"/>
      <c r="I825" s="1"/>
    </row>
    <row r="826" spans="8:9" x14ac:dyDescent="0.25">
      <c r="H826" s="1"/>
      <c r="I826" s="1"/>
    </row>
    <row r="827" spans="8:9" x14ac:dyDescent="0.25">
      <c r="H827" s="1"/>
      <c r="I827" s="1"/>
    </row>
    <row r="828" spans="8:9" x14ac:dyDescent="0.25">
      <c r="H828" s="1"/>
      <c r="I828" s="1"/>
    </row>
    <row r="829" spans="8:9" x14ac:dyDescent="0.25">
      <c r="H829" s="1"/>
      <c r="I829" s="1"/>
    </row>
    <row r="830" spans="8:9" x14ac:dyDescent="0.25">
      <c r="H830" s="1"/>
      <c r="I830" s="1"/>
    </row>
    <row r="831" spans="8:9" x14ac:dyDescent="0.25">
      <c r="H831" s="1"/>
      <c r="I831" s="1"/>
    </row>
    <row r="832" spans="8:9" x14ac:dyDescent="0.25">
      <c r="H832" s="1"/>
      <c r="I832" s="1"/>
    </row>
    <row r="833" spans="8:9" x14ac:dyDescent="0.25">
      <c r="H833" s="1"/>
      <c r="I833" s="1"/>
    </row>
    <row r="834" spans="8:9" x14ac:dyDescent="0.25">
      <c r="H834" s="1"/>
      <c r="I834" s="1"/>
    </row>
    <row r="835" spans="8:9" x14ac:dyDescent="0.25">
      <c r="H835" s="1"/>
      <c r="I835" s="1"/>
    </row>
    <row r="836" spans="8:9" x14ac:dyDescent="0.25">
      <c r="H836" s="1"/>
      <c r="I836" s="1"/>
    </row>
    <row r="837" spans="8:9" x14ac:dyDescent="0.25">
      <c r="H837" s="1"/>
      <c r="I837" s="1"/>
    </row>
    <row r="838" spans="8:9" x14ac:dyDescent="0.25">
      <c r="H838" s="1"/>
      <c r="I838" s="1"/>
    </row>
    <row r="839" spans="8:9" x14ac:dyDescent="0.25">
      <c r="H839" s="1"/>
      <c r="I839" s="1"/>
    </row>
    <row r="840" spans="8:9" x14ac:dyDescent="0.25">
      <c r="H840" s="1"/>
      <c r="I840" s="1"/>
    </row>
    <row r="841" spans="8:9" x14ac:dyDescent="0.25">
      <c r="H841" s="1"/>
      <c r="I841" s="1"/>
    </row>
    <row r="842" spans="8:9" x14ac:dyDescent="0.25">
      <c r="H842" s="1"/>
      <c r="I842" s="1"/>
    </row>
    <row r="843" spans="8:9" x14ac:dyDescent="0.25">
      <c r="H843" s="1"/>
      <c r="I843" s="1"/>
    </row>
    <row r="844" spans="8:9" x14ac:dyDescent="0.25">
      <c r="H844" s="1"/>
      <c r="I844" s="1"/>
    </row>
    <row r="845" spans="8:9" x14ac:dyDescent="0.25">
      <c r="H845" s="1"/>
      <c r="I845" s="1"/>
    </row>
    <row r="846" spans="8:9" x14ac:dyDescent="0.25">
      <c r="H846" s="1"/>
      <c r="I846" s="1"/>
    </row>
    <row r="847" spans="8:9" x14ac:dyDescent="0.25">
      <c r="H847" s="1"/>
      <c r="I847" s="1"/>
    </row>
    <row r="848" spans="8:9" x14ac:dyDescent="0.25">
      <c r="H848" s="1"/>
      <c r="I848" s="1"/>
    </row>
    <row r="849" spans="8:9" x14ac:dyDescent="0.25">
      <c r="H849" s="1"/>
      <c r="I849" s="1"/>
    </row>
    <row r="850" spans="8:9" x14ac:dyDescent="0.25">
      <c r="H850" s="1"/>
      <c r="I850" s="1"/>
    </row>
    <row r="851" spans="8:9" x14ac:dyDescent="0.25">
      <c r="H851" s="1"/>
      <c r="I851" s="1"/>
    </row>
    <row r="852" spans="8:9" x14ac:dyDescent="0.25">
      <c r="H852" s="1"/>
      <c r="I852" s="1"/>
    </row>
    <row r="853" spans="8:9" x14ac:dyDescent="0.25">
      <c r="H853" s="1"/>
      <c r="I853" s="1"/>
    </row>
    <row r="854" spans="8:9" x14ac:dyDescent="0.25">
      <c r="H854" s="1"/>
      <c r="I854" s="1"/>
    </row>
    <row r="855" spans="8:9" x14ac:dyDescent="0.25">
      <c r="H855" s="1"/>
      <c r="I855" s="1"/>
    </row>
    <row r="856" spans="8:9" x14ac:dyDescent="0.25">
      <c r="H856" s="1"/>
      <c r="I856" s="1"/>
    </row>
    <row r="857" spans="8:9" x14ac:dyDescent="0.25">
      <c r="H857" s="1"/>
      <c r="I857" s="1"/>
    </row>
    <row r="858" spans="8:9" x14ac:dyDescent="0.25">
      <c r="H858" s="1"/>
      <c r="I858" s="1"/>
    </row>
    <row r="859" spans="8:9" x14ac:dyDescent="0.25">
      <c r="H859" s="1"/>
      <c r="I859" s="1"/>
    </row>
    <row r="860" spans="8:9" x14ac:dyDescent="0.25">
      <c r="H860" s="1"/>
      <c r="I860" s="1"/>
    </row>
    <row r="861" spans="8:9" x14ac:dyDescent="0.25">
      <c r="H861" s="1"/>
      <c r="I861" s="1"/>
    </row>
    <row r="862" spans="8:9" x14ac:dyDescent="0.25">
      <c r="H862" s="1"/>
      <c r="I862" s="1"/>
    </row>
    <row r="863" spans="8:9" x14ac:dyDescent="0.25">
      <c r="H863" s="1"/>
      <c r="I863" s="1"/>
    </row>
    <row r="864" spans="8:9" x14ac:dyDescent="0.25">
      <c r="H864" s="1"/>
      <c r="I864" s="1"/>
    </row>
    <row r="865" spans="8:9" x14ac:dyDescent="0.25">
      <c r="H865" s="1"/>
      <c r="I865" s="1"/>
    </row>
    <row r="866" spans="8:9" x14ac:dyDescent="0.25">
      <c r="H866" s="1"/>
      <c r="I866" s="1"/>
    </row>
    <row r="867" spans="8:9" x14ac:dyDescent="0.25">
      <c r="H867" s="1"/>
      <c r="I867" s="1"/>
    </row>
    <row r="868" spans="8:9" x14ac:dyDescent="0.25">
      <c r="H868" s="1"/>
      <c r="I868" s="1"/>
    </row>
    <row r="869" spans="8:9" x14ac:dyDescent="0.25">
      <c r="H869" s="1"/>
      <c r="I869" s="1"/>
    </row>
    <row r="870" spans="8:9" x14ac:dyDescent="0.25">
      <c r="H870" s="1"/>
      <c r="I870" s="1"/>
    </row>
    <row r="871" spans="8:9" x14ac:dyDescent="0.25">
      <c r="H871" s="1"/>
      <c r="I871" s="1"/>
    </row>
    <row r="872" spans="8:9" x14ac:dyDescent="0.25">
      <c r="H872" s="1"/>
      <c r="I872" s="1"/>
    </row>
    <row r="873" spans="8:9" x14ac:dyDescent="0.25">
      <c r="H873" s="1"/>
      <c r="I873" s="1"/>
    </row>
    <row r="874" spans="8:9" x14ac:dyDescent="0.25">
      <c r="H874" s="1"/>
      <c r="I874" s="1"/>
    </row>
    <row r="875" spans="8:9" x14ac:dyDescent="0.25">
      <c r="H875" s="1"/>
      <c r="I875" s="1"/>
    </row>
    <row r="876" spans="8:9" x14ac:dyDescent="0.25">
      <c r="H876" s="1"/>
      <c r="I876" s="1"/>
    </row>
    <row r="877" spans="8:9" x14ac:dyDescent="0.25">
      <c r="H877" s="1"/>
      <c r="I877" s="1"/>
    </row>
    <row r="878" spans="8:9" x14ac:dyDescent="0.25">
      <c r="H878" s="1"/>
      <c r="I878" s="1"/>
    </row>
    <row r="879" spans="8:9" x14ac:dyDescent="0.25">
      <c r="H879" s="1"/>
      <c r="I879" s="1"/>
    </row>
    <row r="880" spans="8:9" x14ac:dyDescent="0.25">
      <c r="H880" s="1"/>
      <c r="I880" s="1"/>
    </row>
    <row r="881" spans="8:9" x14ac:dyDescent="0.25">
      <c r="H881" s="1"/>
      <c r="I881" s="1"/>
    </row>
    <row r="882" spans="8:9" x14ac:dyDescent="0.25">
      <c r="H882" s="1"/>
      <c r="I882" s="1"/>
    </row>
    <row r="883" spans="8:9" x14ac:dyDescent="0.25">
      <c r="H883" s="1"/>
      <c r="I883" s="1"/>
    </row>
    <row r="884" spans="8:9" x14ac:dyDescent="0.25">
      <c r="H884" s="1"/>
      <c r="I884" s="1"/>
    </row>
    <row r="885" spans="8:9" x14ac:dyDescent="0.25">
      <c r="H885" s="1"/>
      <c r="I885" s="1"/>
    </row>
    <row r="886" spans="8:9" x14ac:dyDescent="0.25">
      <c r="H886" s="1"/>
      <c r="I886" s="1"/>
    </row>
    <row r="887" spans="8:9" x14ac:dyDescent="0.25">
      <c r="H887" s="1"/>
      <c r="I887" s="1"/>
    </row>
    <row r="888" spans="8:9" x14ac:dyDescent="0.25">
      <c r="H888" s="1"/>
      <c r="I888" s="1"/>
    </row>
    <row r="889" spans="8:9" x14ac:dyDescent="0.25">
      <c r="H889" s="1"/>
      <c r="I889" s="1"/>
    </row>
    <row r="890" spans="8:9" x14ac:dyDescent="0.25">
      <c r="H890" s="1"/>
      <c r="I890" s="1"/>
    </row>
    <row r="891" spans="8:9" x14ac:dyDescent="0.25">
      <c r="H891" s="1"/>
      <c r="I891" s="1"/>
    </row>
    <row r="892" spans="8:9" x14ac:dyDescent="0.25">
      <c r="H892" s="1"/>
      <c r="I892" s="1"/>
    </row>
    <row r="893" spans="8:9" x14ac:dyDescent="0.25">
      <c r="H893" s="1"/>
      <c r="I893" s="1"/>
    </row>
    <row r="894" spans="8:9" x14ac:dyDescent="0.25">
      <c r="H894" s="1"/>
      <c r="I894" s="1"/>
    </row>
    <row r="895" spans="8:9" x14ac:dyDescent="0.25">
      <c r="H895" s="1"/>
      <c r="I895" s="1"/>
    </row>
    <row r="896" spans="8:9" x14ac:dyDescent="0.25">
      <c r="H896" s="1"/>
      <c r="I896" s="1"/>
    </row>
    <row r="897" spans="8:9" x14ac:dyDescent="0.25">
      <c r="H897" s="1"/>
      <c r="I897" s="1"/>
    </row>
    <row r="898" spans="8:9" x14ac:dyDescent="0.25">
      <c r="H898" s="1"/>
      <c r="I898" s="1"/>
    </row>
    <row r="899" spans="8:9" x14ac:dyDescent="0.25">
      <c r="H899" s="1"/>
      <c r="I899" s="1"/>
    </row>
    <row r="900" spans="8:9" x14ac:dyDescent="0.25">
      <c r="H900" s="1"/>
      <c r="I900" s="1"/>
    </row>
    <row r="901" spans="8:9" x14ac:dyDescent="0.25">
      <c r="H901" s="1"/>
      <c r="I901" s="1"/>
    </row>
    <row r="902" spans="8:9" x14ac:dyDescent="0.25">
      <c r="H902" s="1"/>
      <c r="I902" s="1"/>
    </row>
    <row r="903" spans="8:9" x14ac:dyDescent="0.25">
      <c r="H903" s="1"/>
      <c r="I903" s="1"/>
    </row>
    <row r="904" spans="8:9" x14ac:dyDescent="0.25">
      <c r="H904" s="1"/>
      <c r="I904" s="1"/>
    </row>
    <row r="905" spans="8:9" x14ac:dyDescent="0.25">
      <c r="H905" s="1"/>
      <c r="I905" s="1"/>
    </row>
    <row r="906" spans="8:9" x14ac:dyDescent="0.25">
      <c r="H906" s="1"/>
      <c r="I906" s="1"/>
    </row>
    <row r="907" spans="8:9" x14ac:dyDescent="0.25">
      <c r="H907" s="1"/>
      <c r="I907" s="1"/>
    </row>
    <row r="908" spans="8:9" x14ac:dyDescent="0.25">
      <c r="H908" s="1"/>
      <c r="I908" s="1"/>
    </row>
    <row r="909" spans="8:9" x14ac:dyDescent="0.25">
      <c r="H909" s="1"/>
      <c r="I909" s="1"/>
    </row>
    <row r="910" spans="8:9" x14ac:dyDescent="0.25">
      <c r="H910" s="1"/>
      <c r="I910" s="1"/>
    </row>
    <row r="911" spans="8:9" x14ac:dyDescent="0.25">
      <c r="H911" s="1"/>
      <c r="I911" s="1"/>
    </row>
    <row r="912" spans="8:9" x14ac:dyDescent="0.25">
      <c r="H912" s="1"/>
      <c r="I912" s="1"/>
    </row>
    <row r="913" spans="8:9" x14ac:dyDescent="0.25">
      <c r="H913" s="1"/>
      <c r="I913" s="1"/>
    </row>
    <row r="914" spans="8:9" x14ac:dyDescent="0.25">
      <c r="H914" s="1"/>
      <c r="I914" s="1"/>
    </row>
    <row r="915" spans="8:9" x14ac:dyDescent="0.25">
      <c r="H915" s="1"/>
      <c r="I915" s="1"/>
    </row>
    <row r="916" spans="8:9" x14ac:dyDescent="0.25">
      <c r="H916" s="1"/>
      <c r="I916" s="1"/>
    </row>
    <row r="917" spans="8:9" x14ac:dyDescent="0.25">
      <c r="H917" s="1"/>
      <c r="I917" s="1"/>
    </row>
    <row r="918" spans="8:9" x14ac:dyDescent="0.25">
      <c r="H918" s="1"/>
      <c r="I918" s="1"/>
    </row>
    <row r="919" spans="8:9" x14ac:dyDescent="0.25">
      <c r="H919" s="1"/>
      <c r="I919" s="1"/>
    </row>
    <row r="920" spans="8:9" x14ac:dyDescent="0.25">
      <c r="H920" s="1"/>
      <c r="I920" s="1"/>
    </row>
    <row r="921" spans="8:9" x14ac:dyDescent="0.25">
      <c r="H921" s="1"/>
      <c r="I921" s="1"/>
    </row>
    <row r="922" spans="8:9" x14ac:dyDescent="0.25">
      <c r="H922" s="1"/>
      <c r="I922" s="1"/>
    </row>
    <row r="923" spans="8:9" x14ac:dyDescent="0.25">
      <c r="H923" s="1"/>
      <c r="I923" s="1"/>
    </row>
    <row r="924" spans="8:9" x14ac:dyDescent="0.25">
      <c r="H924" s="1"/>
      <c r="I924" s="1"/>
    </row>
    <row r="925" spans="8:9" x14ac:dyDescent="0.25">
      <c r="H925" s="1"/>
      <c r="I925" s="1"/>
    </row>
    <row r="926" spans="8:9" x14ac:dyDescent="0.25">
      <c r="H926" s="1"/>
      <c r="I926" s="1"/>
    </row>
    <row r="927" spans="8:9" x14ac:dyDescent="0.25">
      <c r="H927" s="1"/>
      <c r="I927" s="1"/>
    </row>
    <row r="928" spans="8:9" x14ac:dyDescent="0.25">
      <c r="H928" s="1"/>
      <c r="I928" s="1"/>
    </row>
    <row r="929" spans="8:9" x14ac:dyDescent="0.25">
      <c r="H929" s="1"/>
      <c r="I929" s="1"/>
    </row>
    <row r="930" spans="8:9" x14ac:dyDescent="0.25">
      <c r="H930" s="1"/>
      <c r="I930" s="1"/>
    </row>
    <row r="931" spans="8:9" x14ac:dyDescent="0.25">
      <c r="H931" s="1"/>
      <c r="I931" s="1"/>
    </row>
    <row r="932" spans="8:9" x14ac:dyDescent="0.25">
      <c r="H932" s="1"/>
      <c r="I932" s="1"/>
    </row>
    <row r="933" spans="8:9" x14ac:dyDescent="0.25">
      <c r="H933" s="1"/>
      <c r="I933" s="1"/>
    </row>
    <row r="934" spans="8:9" x14ac:dyDescent="0.25">
      <c r="H934" s="1"/>
      <c r="I934" s="1"/>
    </row>
    <row r="935" spans="8:9" x14ac:dyDescent="0.25">
      <c r="H935" s="1"/>
      <c r="I935" s="1"/>
    </row>
    <row r="936" spans="8:9" x14ac:dyDescent="0.25">
      <c r="H936" s="1"/>
      <c r="I936" s="1"/>
    </row>
    <row r="937" spans="8:9" x14ac:dyDescent="0.25">
      <c r="H937" s="1"/>
      <c r="I937" s="1"/>
    </row>
    <row r="938" spans="8:9" x14ac:dyDescent="0.25">
      <c r="H938" s="1"/>
      <c r="I938" s="1"/>
    </row>
    <row r="939" spans="8:9" x14ac:dyDescent="0.25">
      <c r="H939" s="1"/>
      <c r="I939" s="1"/>
    </row>
    <row r="940" spans="8:9" x14ac:dyDescent="0.25">
      <c r="H940" s="1"/>
      <c r="I940" s="1"/>
    </row>
    <row r="941" spans="8:9" x14ac:dyDescent="0.25">
      <c r="H941" s="1"/>
      <c r="I941" s="1"/>
    </row>
    <row r="942" spans="8:9" x14ac:dyDescent="0.25">
      <c r="H942" s="1"/>
      <c r="I942" s="1"/>
    </row>
    <row r="943" spans="8:9" x14ac:dyDescent="0.25">
      <c r="H943" s="1"/>
      <c r="I943" s="1"/>
    </row>
    <row r="944" spans="8:9" x14ac:dyDescent="0.25">
      <c r="H944" s="1"/>
      <c r="I944" s="1"/>
    </row>
    <row r="945" spans="8:9" x14ac:dyDescent="0.25">
      <c r="H945" s="1"/>
      <c r="I945" s="1"/>
    </row>
    <row r="946" spans="8:9" x14ac:dyDescent="0.25">
      <c r="H946" s="1"/>
      <c r="I946" s="1"/>
    </row>
    <row r="947" spans="8:9" x14ac:dyDescent="0.25">
      <c r="H947" s="1"/>
      <c r="I947" s="1"/>
    </row>
    <row r="948" spans="8:9" x14ac:dyDescent="0.25">
      <c r="H948" s="1"/>
      <c r="I948" s="1"/>
    </row>
    <row r="949" spans="8:9" x14ac:dyDescent="0.25">
      <c r="H949" s="1"/>
      <c r="I949" s="1"/>
    </row>
    <row r="950" spans="8:9" x14ac:dyDescent="0.25">
      <c r="H950" s="1"/>
      <c r="I950" s="1"/>
    </row>
    <row r="951" spans="8:9" x14ac:dyDescent="0.25">
      <c r="H951" s="1"/>
      <c r="I951" s="1"/>
    </row>
    <row r="952" spans="8:9" x14ac:dyDescent="0.25">
      <c r="H952" s="1"/>
      <c r="I952" s="1"/>
    </row>
    <row r="953" spans="8:9" x14ac:dyDescent="0.25">
      <c r="H953" s="1"/>
      <c r="I953" s="1"/>
    </row>
    <row r="954" spans="8:9" x14ac:dyDescent="0.25">
      <c r="H954" s="1"/>
      <c r="I954" s="1"/>
    </row>
    <row r="955" spans="8:9" x14ac:dyDescent="0.25">
      <c r="H955" s="1"/>
      <c r="I955" s="1"/>
    </row>
    <row r="956" spans="8:9" x14ac:dyDescent="0.25">
      <c r="H956" s="1"/>
      <c r="I956" s="1"/>
    </row>
    <row r="957" spans="8:9" x14ac:dyDescent="0.25">
      <c r="H957" s="1"/>
      <c r="I957" s="1"/>
    </row>
    <row r="958" spans="8:9" x14ac:dyDescent="0.25">
      <c r="H958" s="1"/>
      <c r="I958" s="1"/>
    </row>
    <row r="959" spans="8:9" x14ac:dyDescent="0.25">
      <c r="H959" s="1"/>
      <c r="I959" s="1"/>
    </row>
    <row r="960" spans="8:9" x14ac:dyDescent="0.25">
      <c r="H960" s="1"/>
      <c r="I960" s="1"/>
    </row>
    <row r="961" spans="8:9" x14ac:dyDescent="0.25">
      <c r="H961" s="1"/>
      <c r="I961" s="1"/>
    </row>
    <row r="962" spans="8:9" x14ac:dyDescent="0.25">
      <c r="H962" s="1"/>
      <c r="I962" s="1"/>
    </row>
    <row r="963" spans="8:9" x14ac:dyDescent="0.25">
      <c r="H963" s="1"/>
      <c r="I963" s="1"/>
    </row>
    <row r="964" spans="8:9" x14ac:dyDescent="0.25">
      <c r="H964" s="1"/>
      <c r="I964" s="1"/>
    </row>
    <row r="965" spans="8:9" x14ac:dyDescent="0.25">
      <c r="H965" s="1"/>
      <c r="I965" s="1"/>
    </row>
    <row r="966" spans="8:9" x14ac:dyDescent="0.25">
      <c r="H966" s="1"/>
      <c r="I966" s="1"/>
    </row>
    <row r="967" spans="8:9" x14ac:dyDescent="0.25">
      <c r="H967" s="1"/>
      <c r="I967" s="1"/>
    </row>
    <row r="968" spans="8:9" x14ac:dyDescent="0.25">
      <c r="H968" s="1"/>
      <c r="I968" s="1"/>
    </row>
    <row r="969" spans="8:9" x14ac:dyDescent="0.25">
      <c r="H969" s="1"/>
      <c r="I969" s="1"/>
    </row>
    <row r="970" spans="8:9" x14ac:dyDescent="0.25">
      <c r="H970" s="1"/>
      <c r="I970" s="1"/>
    </row>
    <row r="971" spans="8:9" x14ac:dyDescent="0.25">
      <c r="H971" s="1"/>
      <c r="I971" s="1"/>
    </row>
    <row r="972" spans="8:9" x14ac:dyDescent="0.25">
      <c r="H972" s="1"/>
      <c r="I972" s="1"/>
    </row>
    <row r="973" spans="8:9" x14ac:dyDescent="0.25">
      <c r="H973" s="1"/>
      <c r="I973" s="1"/>
    </row>
    <row r="974" spans="8:9" x14ac:dyDescent="0.25">
      <c r="H974" s="1"/>
      <c r="I974" s="1"/>
    </row>
    <row r="975" spans="8:9" x14ac:dyDescent="0.25">
      <c r="H975" s="1"/>
      <c r="I975" s="1"/>
    </row>
    <row r="976" spans="8:9" x14ac:dyDescent="0.25">
      <c r="H976" s="1"/>
      <c r="I976" s="1"/>
    </row>
    <row r="977" spans="8:9" x14ac:dyDescent="0.25">
      <c r="H977" s="1"/>
      <c r="I977" s="1"/>
    </row>
    <row r="978" spans="8:9" x14ac:dyDescent="0.25">
      <c r="H978" s="1"/>
      <c r="I978" s="1"/>
    </row>
    <row r="979" spans="8:9" x14ac:dyDescent="0.25">
      <c r="H979" s="1"/>
      <c r="I979" s="1"/>
    </row>
    <row r="980" spans="8:9" x14ac:dyDescent="0.25">
      <c r="H980" s="1"/>
      <c r="I980" s="1"/>
    </row>
    <row r="981" spans="8:9" x14ac:dyDescent="0.25">
      <c r="H981" s="1"/>
      <c r="I981" s="1"/>
    </row>
    <row r="982" spans="8:9" x14ac:dyDescent="0.25">
      <c r="H982" s="1"/>
      <c r="I982" s="1"/>
    </row>
    <row r="983" spans="8:9" x14ac:dyDescent="0.25">
      <c r="H983" s="1"/>
      <c r="I983" s="1"/>
    </row>
    <row r="984" spans="8:9" x14ac:dyDescent="0.25">
      <c r="H984" s="1"/>
      <c r="I984" s="1"/>
    </row>
    <row r="985" spans="8:9" x14ac:dyDescent="0.25">
      <c r="H985" s="1"/>
      <c r="I985" s="1"/>
    </row>
    <row r="986" spans="8:9" x14ac:dyDescent="0.25">
      <c r="H986" s="1"/>
      <c r="I986" s="1"/>
    </row>
    <row r="987" spans="8:9" x14ac:dyDescent="0.25">
      <c r="H987" s="1"/>
      <c r="I987" s="1"/>
    </row>
    <row r="988" spans="8:9" x14ac:dyDescent="0.25">
      <c r="H988" s="1"/>
      <c r="I988" s="1"/>
    </row>
    <row r="989" spans="8:9" x14ac:dyDescent="0.25">
      <c r="H989" s="1"/>
      <c r="I989" s="1"/>
    </row>
    <row r="990" spans="8:9" x14ac:dyDescent="0.25">
      <c r="H990" s="1"/>
      <c r="I990" s="1"/>
    </row>
    <row r="991" spans="8:9" x14ac:dyDescent="0.25">
      <c r="H991" s="1"/>
      <c r="I991" s="1"/>
    </row>
    <row r="992" spans="8:9" x14ac:dyDescent="0.25">
      <c r="H992" s="1"/>
      <c r="I992" s="1"/>
    </row>
    <row r="993" spans="8:9" x14ac:dyDescent="0.25">
      <c r="H993" s="1"/>
      <c r="I993" s="1"/>
    </row>
    <row r="994" spans="8:9" x14ac:dyDescent="0.25">
      <c r="H994" s="1"/>
      <c r="I994" s="1"/>
    </row>
    <row r="995" spans="8:9" x14ac:dyDescent="0.25">
      <c r="H995" s="1"/>
      <c r="I995" s="1"/>
    </row>
    <row r="996" spans="8:9" x14ac:dyDescent="0.25">
      <c r="H996" s="1"/>
      <c r="I996" s="1"/>
    </row>
    <row r="997" spans="8:9" x14ac:dyDescent="0.25">
      <c r="H997" s="1"/>
      <c r="I997" s="1"/>
    </row>
    <row r="998" spans="8:9" x14ac:dyDescent="0.25">
      <c r="H998" s="1"/>
      <c r="I998" s="1"/>
    </row>
    <row r="999" spans="8:9" x14ac:dyDescent="0.25">
      <c r="H999" s="1"/>
      <c r="I999" s="1"/>
    </row>
    <row r="1000" spans="8:9" x14ac:dyDescent="0.25">
      <c r="H1000" s="1"/>
      <c r="I1000" s="1"/>
    </row>
    <row r="1001" spans="8:9" x14ac:dyDescent="0.25">
      <c r="H1001" s="1"/>
      <c r="I1001" s="1"/>
    </row>
    <row r="1002" spans="8:9" x14ac:dyDescent="0.25">
      <c r="H1002" s="1"/>
      <c r="I1002" s="1"/>
    </row>
    <row r="1003" spans="8:9" x14ac:dyDescent="0.25">
      <c r="H1003" s="1"/>
      <c r="I1003" s="1"/>
    </row>
    <row r="1004" spans="8:9" x14ac:dyDescent="0.25">
      <c r="H1004" s="1"/>
      <c r="I1004" s="1"/>
    </row>
    <row r="1005" spans="8:9" x14ac:dyDescent="0.25">
      <c r="H1005" s="1"/>
      <c r="I1005" s="1"/>
    </row>
    <row r="1006" spans="8:9" x14ac:dyDescent="0.25">
      <c r="H1006" s="1"/>
      <c r="I1006" s="1"/>
    </row>
    <row r="1007" spans="8:9" x14ac:dyDescent="0.25">
      <c r="H1007" s="1"/>
      <c r="I1007" s="1"/>
    </row>
    <row r="1008" spans="8:9" x14ac:dyDescent="0.25">
      <c r="H1008" s="1"/>
      <c r="I1008" s="1"/>
    </row>
    <row r="1009" spans="8:9" x14ac:dyDescent="0.25">
      <c r="H1009" s="1"/>
      <c r="I1009" s="1"/>
    </row>
    <row r="1010" spans="8:9" x14ac:dyDescent="0.25">
      <c r="H1010" s="1"/>
      <c r="I1010" s="1"/>
    </row>
    <row r="1011" spans="8:9" x14ac:dyDescent="0.25">
      <c r="H1011" s="1"/>
      <c r="I1011" s="1"/>
    </row>
    <row r="1012" spans="8:9" x14ac:dyDescent="0.25">
      <c r="H1012" s="1"/>
      <c r="I1012" s="1"/>
    </row>
    <row r="1013" spans="8:9" x14ac:dyDescent="0.25">
      <c r="H1013" s="1"/>
      <c r="I1013" s="1"/>
    </row>
    <row r="1014" spans="8:9" x14ac:dyDescent="0.25">
      <c r="H1014" s="1"/>
      <c r="I1014" s="1"/>
    </row>
    <row r="1015" spans="8:9" x14ac:dyDescent="0.25">
      <c r="H1015" s="1"/>
      <c r="I1015" s="1"/>
    </row>
    <row r="1016" spans="8:9" x14ac:dyDescent="0.25">
      <c r="H1016" s="1"/>
      <c r="I1016" s="1"/>
    </row>
    <row r="1017" spans="8:9" x14ac:dyDescent="0.25">
      <c r="H1017" s="1"/>
      <c r="I1017" s="1"/>
    </row>
    <row r="1018" spans="8:9" x14ac:dyDescent="0.25">
      <c r="H1018" s="1"/>
      <c r="I1018" s="1"/>
    </row>
    <row r="1019" spans="8:9" x14ac:dyDescent="0.25">
      <c r="H1019" s="1"/>
      <c r="I1019" s="1"/>
    </row>
    <row r="1020" spans="8:9" x14ac:dyDescent="0.25">
      <c r="H1020" s="1"/>
      <c r="I1020" s="1"/>
    </row>
    <row r="1021" spans="8:9" x14ac:dyDescent="0.25">
      <c r="H1021" s="1"/>
      <c r="I1021" s="1"/>
    </row>
    <row r="1022" spans="8:9" x14ac:dyDescent="0.25">
      <c r="H1022" s="1"/>
      <c r="I1022" s="1"/>
    </row>
    <row r="1023" spans="8:9" x14ac:dyDescent="0.25">
      <c r="H1023" s="1"/>
      <c r="I1023" s="1"/>
    </row>
    <row r="1024" spans="8:9" x14ac:dyDescent="0.25">
      <c r="H1024" s="1"/>
      <c r="I1024" s="1"/>
    </row>
    <row r="1025" spans="8:9" x14ac:dyDescent="0.25">
      <c r="H1025" s="1"/>
      <c r="I1025" s="1"/>
    </row>
    <row r="1026" spans="8:9" x14ac:dyDescent="0.25">
      <c r="H1026" s="1"/>
      <c r="I1026" s="1"/>
    </row>
    <row r="1027" spans="8:9" x14ac:dyDescent="0.25">
      <c r="H1027" s="1"/>
      <c r="I1027" s="1"/>
    </row>
    <row r="1028" spans="8:9" x14ac:dyDescent="0.25">
      <c r="H1028" s="1"/>
      <c r="I1028" s="1"/>
    </row>
    <row r="1029" spans="8:9" x14ac:dyDescent="0.25">
      <c r="H1029" s="1"/>
      <c r="I1029" s="1"/>
    </row>
    <row r="1030" spans="8:9" x14ac:dyDescent="0.25">
      <c r="H1030" s="1"/>
      <c r="I1030" s="1"/>
    </row>
    <row r="1031" spans="8:9" x14ac:dyDescent="0.25">
      <c r="H1031" s="1"/>
      <c r="I1031" s="1"/>
    </row>
    <row r="1032" spans="8:9" x14ac:dyDescent="0.25">
      <c r="H1032" s="1"/>
      <c r="I1032" s="1"/>
    </row>
    <row r="1033" spans="8:9" x14ac:dyDescent="0.25">
      <c r="H1033" s="1"/>
      <c r="I1033" s="1"/>
    </row>
    <row r="1034" spans="8:9" x14ac:dyDescent="0.25">
      <c r="H1034" s="1"/>
      <c r="I1034" s="1"/>
    </row>
    <row r="1035" spans="8:9" x14ac:dyDescent="0.25">
      <c r="H1035" s="1"/>
      <c r="I1035" s="1"/>
    </row>
    <row r="1036" spans="8:9" x14ac:dyDescent="0.25">
      <c r="H1036" s="1"/>
      <c r="I1036" s="1"/>
    </row>
    <row r="1037" spans="8:9" x14ac:dyDescent="0.25">
      <c r="H1037" s="1"/>
      <c r="I1037" s="1"/>
    </row>
    <row r="1038" spans="8:9" x14ac:dyDescent="0.25">
      <c r="H1038" s="1"/>
      <c r="I1038" s="1"/>
    </row>
    <row r="1039" spans="8:9" x14ac:dyDescent="0.25">
      <c r="H1039" s="1"/>
      <c r="I1039" s="1"/>
    </row>
    <row r="1040" spans="8:9" x14ac:dyDescent="0.25">
      <c r="H1040" s="1"/>
      <c r="I1040" s="1"/>
    </row>
    <row r="1041" spans="8:9" x14ac:dyDescent="0.25">
      <c r="H1041" s="1"/>
      <c r="I1041" s="1"/>
    </row>
    <row r="1042" spans="8:9" x14ac:dyDescent="0.25">
      <c r="H1042" s="1"/>
      <c r="I1042" s="1"/>
    </row>
    <row r="1043" spans="8:9" x14ac:dyDescent="0.25">
      <c r="H1043" s="1"/>
      <c r="I1043" s="1"/>
    </row>
    <row r="1044" spans="8:9" x14ac:dyDescent="0.25">
      <c r="H1044" s="1"/>
      <c r="I1044" s="1"/>
    </row>
    <row r="1045" spans="8:9" x14ac:dyDescent="0.25">
      <c r="H1045" s="1"/>
      <c r="I1045" s="1"/>
    </row>
    <row r="1046" spans="8:9" x14ac:dyDescent="0.25">
      <c r="H1046" s="1"/>
      <c r="I1046" s="1"/>
    </row>
    <row r="1047" spans="8:9" x14ac:dyDescent="0.25">
      <c r="H1047" s="1"/>
      <c r="I1047" s="1"/>
    </row>
    <row r="1048" spans="8:9" x14ac:dyDescent="0.25">
      <c r="H1048" s="1"/>
      <c r="I1048" s="1"/>
    </row>
    <row r="1049" spans="8:9" x14ac:dyDescent="0.25">
      <c r="H1049" s="1"/>
      <c r="I1049" s="1"/>
    </row>
    <row r="1050" spans="8:9" x14ac:dyDescent="0.25">
      <c r="H1050" s="1"/>
      <c r="I1050" s="1"/>
    </row>
    <row r="1051" spans="8:9" x14ac:dyDescent="0.25">
      <c r="H1051" s="1"/>
      <c r="I1051" s="1"/>
    </row>
    <row r="1052" spans="8:9" x14ac:dyDescent="0.25">
      <c r="H1052" s="1"/>
      <c r="I1052" s="1"/>
    </row>
    <row r="1053" spans="8:9" x14ac:dyDescent="0.25">
      <c r="H1053" s="1"/>
      <c r="I1053" s="1"/>
    </row>
    <row r="1054" spans="8:9" x14ac:dyDescent="0.25">
      <c r="H1054" s="1"/>
      <c r="I1054" s="1"/>
    </row>
    <row r="1055" spans="8:9" x14ac:dyDescent="0.25">
      <c r="H1055" s="1"/>
      <c r="I1055" s="1"/>
    </row>
    <row r="1056" spans="8:9" x14ac:dyDescent="0.25">
      <c r="H1056" s="1"/>
      <c r="I1056" s="1"/>
    </row>
    <row r="1057" spans="8:9" x14ac:dyDescent="0.25">
      <c r="H1057" s="1"/>
      <c r="I1057" s="1"/>
    </row>
    <row r="1058" spans="8:9" x14ac:dyDescent="0.25">
      <c r="H1058" s="1"/>
      <c r="I1058" s="1"/>
    </row>
    <row r="1059" spans="8:9" x14ac:dyDescent="0.25">
      <c r="H1059" s="1"/>
      <c r="I1059" s="1"/>
    </row>
    <row r="1060" spans="8:9" x14ac:dyDescent="0.25">
      <c r="H1060" s="1"/>
      <c r="I1060" s="1"/>
    </row>
    <row r="1061" spans="8:9" x14ac:dyDescent="0.25">
      <c r="H1061" s="1"/>
      <c r="I1061" s="1"/>
    </row>
    <row r="1062" spans="8:9" x14ac:dyDescent="0.25">
      <c r="H1062" s="1"/>
      <c r="I1062" s="1"/>
    </row>
    <row r="1063" spans="8:9" x14ac:dyDescent="0.25">
      <c r="H1063" s="1"/>
      <c r="I1063" s="1"/>
    </row>
    <row r="1064" spans="8:9" x14ac:dyDescent="0.25">
      <c r="H1064" s="1"/>
      <c r="I1064" s="1"/>
    </row>
    <row r="1065" spans="8:9" x14ac:dyDescent="0.25">
      <c r="H1065" s="1"/>
      <c r="I1065" s="1"/>
    </row>
    <row r="1066" spans="8:9" x14ac:dyDescent="0.25">
      <c r="H1066" s="1"/>
      <c r="I1066" s="1"/>
    </row>
    <row r="1067" spans="8:9" x14ac:dyDescent="0.25">
      <c r="H1067" s="1"/>
      <c r="I1067" s="1"/>
    </row>
    <row r="1068" spans="8:9" x14ac:dyDescent="0.25">
      <c r="H1068" s="1"/>
      <c r="I1068" s="1"/>
    </row>
    <row r="1069" spans="8:9" x14ac:dyDescent="0.25">
      <c r="H1069" s="1"/>
      <c r="I1069" s="1"/>
    </row>
    <row r="1070" spans="8:9" x14ac:dyDescent="0.25">
      <c r="H1070" s="1"/>
      <c r="I1070" s="1"/>
    </row>
    <row r="1071" spans="8:9" x14ac:dyDescent="0.25">
      <c r="H1071" s="1"/>
      <c r="I1071" s="1"/>
    </row>
    <row r="1072" spans="8:9" x14ac:dyDescent="0.25">
      <c r="H1072" s="1"/>
      <c r="I1072" s="1"/>
    </row>
    <row r="1073" spans="8:9" x14ac:dyDescent="0.25">
      <c r="H1073" s="1"/>
      <c r="I1073" s="1"/>
    </row>
    <row r="1074" spans="8:9" x14ac:dyDescent="0.25">
      <c r="H1074" s="1"/>
      <c r="I1074" s="1"/>
    </row>
    <row r="1075" spans="8:9" x14ac:dyDescent="0.25">
      <c r="H1075" s="1"/>
      <c r="I1075" s="1"/>
    </row>
    <row r="1076" spans="8:9" x14ac:dyDescent="0.25">
      <c r="H1076" s="1"/>
      <c r="I1076" s="1"/>
    </row>
    <row r="1077" spans="8:9" x14ac:dyDescent="0.25">
      <c r="H1077" s="1"/>
      <c r="I1077" s="1"/>
    </row>
    <row r="1078" spans="8:9" x14ac:dyDescent="0.25">
      <c r="H1078" s="1"/>
      <c r="I1078" s="1"/>
    </row>
    <row r="1079" spans="8:9" x14ac:dyDescent="0.25">
      <c r="H1079" s="1"/>
      <c r="I1079" s="1"/>
    </row>
    <row r="1080" spans="8:9" x14ac:dyDescent="0.25">
      <c r="H1080" s="1"/>
      <c r="I1080" s="1"/>
    </row>
    <row r="1081" spans="8:9" x14ac:dyDescent="0.25">
      <c r="H1081" s="1"/>
      <c r="I1081" s="1"/>
    </row>
    <row r="1082" spans="8:9" x14ac:dyDescent="0.25">
      <c r="H1082" s="1"/>
      <c r="I1082" s="1"/>
    </row>
    <row r="1083" spans="8:9" x14ac:dyDescent="0.25">
      <c r="H1083" s="1"/>
      <c r="I1083" s="1"/>
    </row>
    <row r="1084" spans="8:9" x14ac:dyDescent="0.25">
      <c r="H1084" s="1"/>
      <c r="I1084" s="1"/>
    </row>
    <row r="1085" spans="8:9" x14ac:dyDescent="0.25">
      <c r="H1085" s="1"/>
      <c r="I1085" s="1"/>
    </row>
    <row r="1086" spans="8:9" x14ac:dyDescent="0.25">
      <c r="H1086" s="1"/>
      <c r="I1086" s="1"/>
    </row>
    <row r="1087" spans="8:9" x14ac:dyDescent="0.25">
      <c r="H1087" s="1"/>
      <c r="I1087" s="1"/>
    </row>
    <row r="1088" spans="8:9" x14ac:dyDescent="0.25">
      <c r="H1088" s="1"/>
      <c r="I1088" s="1"/>
    </row>
    <row r="1089" spans="8:9" x14ac:dyDescent="0.25">
      <c r="H1089" s="1"/>
      <c r="I1089" s="1"/>
    </row>
    <row r="1090" spans="8:9" x14ac:dyDescent="0.25">
      <c r="H1090" s="1"/>
      <c r="I1090" s="1"/>
    </row>
    <row r="1091" spans="8:9" x14ac:dyDescent="0.25">
      <c r="H1091" s="1"/>
      <c r="I1091" s="1"/>
    </row>
    <row r="1092" spans="8:9" x14ac:dyDescent="0.25">
      <c r="H1092" s="1"/>
      <c r="I1092" s="1"/>
    </row>
    <row r="1093" spans="8:9" x14ac:dyDescent="0.25">
      <c r="H1093" s="1"/>
      <c r="I1093" s="1"/>
    </row>
    <row r="1094" spans="8:9" x14ac:dyDescent="0.25">
      <c r="H1094" s="1"/>
      <c r="I1094" s="1"/>
    </row>
    <row r="1095" spans="8:9" x14ac:dyDescent="0.25">
      <c r="H1095" s="1"/>
      <c r="I1095" s="1"/>
    </row>
    <row r="1096" spans="8:9" x14ac:dyDescent="0.25">
      <c r="H1096" s="1"/>
      <c r="I1096" s="1"/>
    </row>
    <row r="1097" spans="8:9" x14ac:dyDescent="0.25">
      <c r="H1097" s="1"/>
      <c r="I1097" s="1"/>
    </row>
    <row r="1098" spans="8:9" x14ac:dyDescent="0.25">
      <c r="H1098" s="1"/>
      <c r="I1098" s="1"/>
    </row>
    <row r="1099" spans="8:9" x14ac:dyDescent="0.25">
      <c r="H1099" s="1"/>
      <c r="I1099" s="1"/>
    </row>
    <row r="1100" spans="8:9" x14ac:dyDescent="0.25">
      <c r="H1100" s="1"/>
      <c r="I1100" s="1"/>
    </row>
    <row r="1101" spans="8:9" x14ac:dyDescent="0.25">
      <c r="H1101" s="1"/>
      <c r="I1101" s="1"/>
    </row>
    <row r="1102" spans="8:9" x14ac:dyDescent="0.25">
      <c r="H1102" s="1"/>
      <c r="I1102" s="1"/>
    </row>
    <row r="1103" spans="8:9" x14ac:dyDescent="0.25">
      <c r="H1103" s="1"/>
      <c r="I1103" s="1"/>
    </row>
    <row r="1104" spans="8:9" x14ac:dyDescent="0.25">
      <c r="H1104" s="1"/>
      <c r="I1104" s="1"/>
    </row>
    <row r="1105" spans="8:9" x14ac:dyDescent="0.25">
      <c r="H1105" s="1"/>
      <c r="I1105" s="1"/>
    </row>
    <row r="1106" spans="8:9" x14ac:dyDescent="0.25">
      <c r="H1106" s="1"/>
      <c r="I1106" s="1"/>
    </row>
    <row r="1107" spans="8:9" x14ac:dyDescent="0.25">
      <c r="H1107" s="1"/>
      <c r="I1107" s="1"/>
    </row>
    <row r="1108" spans="8:9" x14ac:dyDescent="0.25">
      <c r="H1108" s="1"/>
      <c r="I1108" s="1"/>
    </row>
    <row r="1109" spans="8:9" x14ac:dyDescent="0.25">
      <c r="H1109" s="1"/>
      <c r="I1109" s="1"/>
    </row>
    <row r="1110" spans="8:9" x14ac:dyDescent="0.25">
      <c r="H1110" s="1"/>
      <c r="I1110" s="1"/>
    </row>
    <row r="1111" spans="8:9" x14ac:dyDescent="0.25">
      <c r="H1111" s="1"/>
      <c r="I1111" s="1"/>
    </row>
    <row r="1112" spans="8:9" x14ac:dyDescent="0.25">
      <c r="H1112" s="1"/>
      <c r="I1112" s="1"/>
    </row>
    <row r="1113" spans="8:9" x14ac:dyDescent="0.25">
      <c r="H1113" s="1"/>
      <c r="I1113" s="1"/>
    </row>
    <row r="1114" spans="8:9" x14ac:dyDescent="0.25">
      <c r="H1114" s="1"/>
      <c r="I1114" s="1"/>
    </row>
    <row r="1115" spans="8:9" x14ac:dyDescent="0.25">
      <c r="H1115" s="1"/>
      <c r="I1115" s="1"/>
    </row>
    <row r="1116" spans="8:9" x14ac:dyDescent="0.25">
      <c r="H1116" s="1"/>
      <c r="I1116" s="1"/>
    </row>
    <row r="1117" spans="8:9" x14ac:dyDescent="0.25">
      <c r="H1117" s="1"/>
      <c r="I1117" s="1"/>
    </row>
    <row r="1118" spans="8:9" x14ac:dyDescent="0.25">
      <c r="H1118" s="1"/>
      <c r="I1118" s="1"/>
    </row>
    <row r="1119" spans="8:9" x14ac:dyDescent="0.25">
      <c r="H1119" s="1"/>
      <c r="I1119" s="1"/>
    </row>
    <row r="1120" spans="8:9" x14ac:dyDescent="0.25">
      <c r="H1120" s="1"/>
      <c r="I1120" s="1"/>
    </row>
    <row r="1121" spans="8:9" x14ac:dyDescent="0.25">
      <c r="H1121" s="1"/>
      <c r="I1121" s="1"/>
    </row>
    <row r="1122" spans="8:9" x14ac:dyDescent="0.25">
      <c r="H1122" s="1"/>
      <c r="I1122" s="1"/>
    </row>
    <row r="1123" spans="8:9" x14ac:dyDescent="0.25">
      <c r="H1123" s="1"/>
      <c r="I1123" s="1"/>
    </row>
    <row r="1124" spans="8:9" x14ac:dyDescent="0.25">
      <c r="H1124" s="1"/>
      <c r="I1124" s="1"/>
    </row>
    <row r="1125" spans="8:9" x14ac:dyDescent="0.25">
      <c r="H1125" s="1"/>
      <c r="I1125" s="1"/>
    </row>
    <row r="1126" spans="8:9" x14ac:dyDescent="0.25">
      <c r="H1126" s="1"/>
      <c r="I1126" s="1"/>
    </row>
    <row r="1127" spans="8:9" x14ac:dyDescent="0.25">
      <c r="H1127" s="1"/>
      <c r="I1127" s="1"/>
    </row>
    <row r="1128" spans="8:9" x14ac:dyDescent="0.25">
      <c r="H1128" s="1"/>
      <c r="I1128" s="1"/>
    </row>
    <row r="1129" spans="8:9" x14ac:dyDescent="0.25">
      <c r="H1129" s="1"/>
      <c r="I1129" s="1"/>
    </row>
    <row r="1130" spans="8:9" x14ac:dyDescent="0.25">
      <c r="H1130" s="1"/>
      <c r="I1130" s="1"/>
    </row>
    <row r="1131" spans="8:9" x14ac:dyDescent="0.25">
      <c r="H1131" s="1"/>
      <c r="I1131" s="1"/>
    </row>
    <row r="1132" spans="8:9" x14ac:dyDescent="0.25">
      <c r="H1132" s="1"/>
      <c r="I1132" s="1"/>
    </row>
    <row r="1133" spans="8:9" x14ac:dyDescent="0.25">
      <c r="H1133" s="1"/>
      <c r="I1133" s="1"/>
    </row>
    <row r="1134" spans="8:9" x14ac:dyDescent="0.25">
      <c r="H1134" s="1"/>
      <c r="I1134" s="1"/>
    </row>
    <row r="1135" spans="8:9" x14ac:dyDescent="0.25">
      <c r="H1135" s="1"/>
      <c r="I1135" s="1"/>
    </row>
    <row r="1136" spans="8:9" x14ac:dyDescent="0.25">
      <c r="H1136" s="1"/>
      <c r="I1136" s="1"/>
    </row>
    <row r="1137" spans="8:9" x14ac:dyDescent="0.25">
      <c r="H1137" s="1"/>
      <c r="I1137" s="1"/>
    </row>
    <row r="1138" spans="8:9" x14ac:dyDescent="0.25">
      <c r="H1138" s="1"/>
      <c r="I1138" s="1"/>
    </row>
    <row r="1139" spans="8:9" x14ac:dyDescent="0.25">
      <c r="H1139" s="1"/>
      <c r="I1139" s="1"/>
    </row>
    <row r="1140" spans="8:9" x14ac:dyDescent="0.25">
      <c r="H1140" s="1"/>
      <c r="I1140" s="1"/>
    </row>
    <row r="1141" spans="8:9" x14ac:dyDescent="0.25">
      <c r="H1141" s="1"/>
      <c r="I1141" s="1"/>
    </row>
    <row r="1142" spans="8:9" x14ac:dyDescent="0.25">
      <c r="H1142" s="1"/>
      <c r="I1142" s="1"/>
    </row>
    <row r="1143" spans="8:9" x14ac:dyDescent="0.25">
      <c r="H1143" s="1"/>
      <c r="I1143" s="1"/>
    </row>
    <row r="1144" spans="8:9" x14ac:dyDescent="0.25">
      <c r="H1144" s="1"/>
      <c r="I1144" s="1"/>
    </row>
    <row r="1145" spans="8:9" x14ac:dyDescent="0.25">
      <c r="H1145" s="1"/>
      <c r="I1145" s="1"/>
    </row>
    <row r="1146" spans="8:9" x14ac:dyDescent="0.25">
      <c r="H1146" s="1"/>
      <c r="I1146" s="1"/>
    </row>
    <row r="1147" spans="8:9" x14ac:dyDescent="0.25">
      <c r="H1147" s="1"/>
      <c r="I1147" s="1"/>
    </row>
    <row r="1148" spans="8:9" x14ac:dyDescent="0.25">
      <c r="H1148" s="1"/>
      <c r="I1148" s="1"/>
    </row>
    <row r="1149" spans="8:9" x14ac:dyDescent="0.25">
      <c r="H1149" s="1"/>
      <c r="I1149" s="1"/>
    </row>
    <row r="1150" spans="8:9" x14ac:dyDescent="0.25">
      <c r="H1150" s="1"/>
      <c r="I1150" s="1"/>
    </row>
    <row r="1151" spans="8:9" x14ac:dyDescent="0.25">
      <c r="H1151" s="1"/>
      <c r="I1151" s="1"/>
    </row>
    <row r="1152" spans="8:9" x14ac:dyDescent="0.25">
      <c r="H1152" s="1"/>
      <c r="I1152" s="1"/>
    </row>
    <row r="1153" spans="8:9" x14ac:dyDescent="0.25">
      <c r="H1153" s="1"/>
      <c r="I1153" s="1"/>
    </row>
    <row r="1154" spans="8:9" x14ac:dyDescent="0.25">
      <c r="H1154" s="1"/>
      <c r="I1154" s="1"/>
    </row>
    <row r="1155" spans="8:9" x14ac:dyDescent="0.25">
      <c r="H1155" s="1"/>
      <c r="I1155" s="1"/>
    </row>
    <row r="1156" spans="8:9" x14ac:dyDescent="0.25">
      <c r="H1156" s="1"/>
      <c r="I1156" s="1"/>
    </row>
    <row r="1157" spans="8:9" x14ac:dyDescent="0.25">
      <c r="H1157" s="1"/>
      <c r="I1157" s="1"/>
    </row>
    <row r="1158" spans="8:9" x14ac:dyDescent="0.25">
      <c r="H1158" s="1"/>
      <c r="I1158" s="1"/>
    </row>
    <row r="1159" spans="8:9" x14ac:dyDescent="0.25">
      <c r="H1159" s="1"/>
      <c r="I1159" s="1"/>
    </row>
    <row r="1160" spans="8:9" x14ac:dyDescent="0.25">
      <c r="H1160" s="1"/>
      <c r="I1160" s="1"/>
    </row>
    <row r="1161" spans="8:9" x14ac:dyDescent="0.25">
      <c r="H1161" s="1"/>
      <c r="I1161" s="1"/>
    </row>
    <row r="1162" spans="8:9" x14ac:dyDescent="0.25">
      <c r="H1162" s="1"/>
      <c r="I1162" s="1"/>
    </row>
    <row r="1163" spans="8:9" x14ac:dyDescent="0.25">
      <c r="H1163" s="1"/>
      <c r="I1163" s="1"/>
    </row>
    <row r="1164" spans="8:9" x14ac:dyDescent="0.25">
      <c r="H1164" s="1"/>
      <c r="I1164" s="1"/>
    </row>
    <row r="1165" spans="8:9" x14ac:dyDescent="0.25">
      <c r="H1165" s="1"/>
      <c r="I1165" s="1"/>
    </row>
    <row r="1166" spans="8:9" x14ac:dyDescent="0.25">
      <c r="H1166" s="1"/>
      <c r="I1166" s="1"/>
    </row>
    <row r="1167" spans="8:9" x14ac:dyDescent="0.25">
      <c r="H1167" s="1"/>
      <c r="I1167" s="1"/>
    </row>
    <row r="1168" spans="8:9" x14ac:dyDescent="0.25">
      <c r="H1168" s="1"/>
      <c r="I1168" s="1"/>
    </row>
    <row r="1169" spans="8:9" x14ac:dyDescent="0.25">
      <c r="H1169" s="1"/>
      <c r="I1169" s="1"/>
    </row>
    <row r="1170" spans="8:9" x14ac:dyDescent="0.25">
      <c r="H1170" s="1"/>
      <c r="I1170" s="1"/>
    </row>
    <row r="1171" spans="8:9" x14ac:dyDescent="0.25">
      <c r="H1171" s="1"/>
      <c r="I1171" s="1"/>
    </row>
    <row r="1172" spans="8:9" x14ac:dyDescent="0.25">
      <c r="H1172" s="1"/>
      <c r="I1172" s="1"/>
    </row>
    <row r="1173" spans="8:9" x14ac:dyDescent="0.25">
      <c r="H1173" s="1"/>
      <c r="I1173" s="1"/>
    </row>
    <row r="1174" spans="8:9" x14ac:dyDescent="0.25">
      <c r="H1174" s="1"/>
      <c r="I1174" s="1"/>
    </row>
    <row r="1175" spans="8:9" x14ac:dyDescent="0.25">
      <c r="H1175" s="1"/>
      <c r="I1175" s="1"/>
    </row>
    <row r="1176" spans="8:9" x14ac:dyDescent="0.25">
      <c r="H1176" s="1"/>
      <c r="I1176" s="1"/>
    </row>
    <row r="1177" spans="8:9" x14ac:dyDescent="0.25">
      <c r="H1177" s="1"/>
      <c r="I1177" s="1"/>
    </row>
    <row r="1178" spans="8:9" x14ac:dyDescent="0.25">
      <c r="H1178" s="1"/>
      <c r="I1178" s="1"/>
    </row>
    <row r="1179" spans="8:9" x14ac:dyDescent="0.25">
      <c r="H1179" s="1"/>
      <c r="I1179" s="1"/>
    </row>
    <row r="1180" spans="8:9" x14ac:dyDescent="0.25">
      <c r="H1180" s="1"/>
      <c r="I1180" s="1"/>
    </row>
    <row r="1181" spans="8:9" x14ac:dyDescent="0.25">
      <c r="H1181" s="1"/>
      <c r="I1181" s="1"/>
    </row>
    <row r="1182" spans="8:9" x14ac:dyDescent="0.25">
      <c r="H1182" s="1"/>
      <c r="I1182" s="1"/>
    </row>
    <row r="1183" spans="8:9" x14ac:dyDescent="0.25">
      <c r="H1183" s="1"/>
      <c r="I1183" s="1"/>
    </row>
    <row r="1184" spans="8:9" x14ac:dyDescent="0.25">
      <c r="H1184" s="1"/>
      <c r="I1184" s="1"/>
    </row>
    <row r="1185" spans="8:9" x14ac:dyDescent="0.25">
      <c r="H1185" s="1"/>
      <c r="I1185" s="1"/>
    </row>
    <row r="1186" spans="8:9" x14ac:dyDescent="0.25">
      <c r="H1186" s="1"/>
      <c r="I1186" s="1"/>
    </row>
    <row r="1187" spans="8:9" x14ac:dyDescent="0.25">
      <c r="H1187" s="1"/>
      <c r="I1187" s="1"/>
    </row>
    <row r="1188" spans="8:9" x14ac:dyDescent="0.25">
      <c r="H1188" s="1"/>
      <c r="I1188" s="1"/>
    </row>
    <row r="1189" spans="8:9" x14ac:dyDescent="0.25">
      <c r="H1189" s="1"/>
      <c r="I1189" s="1"/>
    </row>
    <row r="1190" spans="8:9" x14ac:dyDescent="0.25">
      <c r="H1190" s="1"/>
      <c r="I1190" s="1"/>
    </row>
    <row r="1191" spans="8:9" x14ac:dyDescent="0.25">
      <c r="H1191" s="1"/>
      <c r="I1191" s="1"/>
    </row>
    <row r="1192" spans="8:9" x14ac:dyDescent="0.25">
      <c r="H1192" s="1"/>
      <c r="I1192" s="1"/>
    </row>
    <row r="1193" spans="8:9" x14ac:dyDescent="0.25">
      <c r="H1193" s="1"/>
      <c r="I1193" s="1"/>
    </row>
    <row r="1194" spans="8:9" x14ac:dyDescent="0.25">
      <c r="H1194" s="1"/>
      <c r="I1194" s="1"/>
    </row>
    <row r="1195" spans="8:9" x14ac:dyDescent="0.25">
      <c r="H1195" s="1"/>
      <c r="I1195" s="1"/>
    </row>
    <row r="1196" spans="8:9" x14ac:dyDescent="0.25">
      <c r="H1196" s="1"/>
      <c r="I1196" s="1"/>
    </row>
    <row r="1197" spans="8:9" x14ac:dyDescent="0.25">
      <c r="H1197" s="1"/>
      <c r="I1197" s="1"/>
    </row>
    <row r="1198" spans="8:9" x14ac:dyDescent="0.25">
      <c r="H1198" s="1"/>
      <c r="I1198" s="1"/>
    </row>
    <row r="1199" spans="8:9" x14ac:dyDescent="0.25">
      <c r="H1199" s="1"/>
      <c r="I1199" s="1"/>
    </row>
    <row r="1200" spans="8:9" x14ac:dyDescent="0.25">
      <c r="H1200" s="1"/>
      <c r="I1200" s="1"/>
    </row>
    <row r="1201" spans="8:9" x14ac:dyDescent="0.25">
      <c r="H1201" s="1"/>
      <c r="I1201" s="1"/>
    </row>
    <row r="1202" spans="8:9" x14ac:dyDescent="0.25">
      <c r="H1202" s="1"/>
      <c r="I1202" s="1"/>
    </row>
    <row r="1203" spans="8:9" x14ac:dyDescent="0.25">
      <c r="H1203" s="1"/>
      <c r="I1203" s="1"/>
    </row>
    <row r="1204" spans="8:9" x14ac:dyDescent="0.25">
      <c r="H1204" s="1"/>
      <c r="I1204" s="1"/>
    </row>
    <row r="1205" spans="8:9" x14ac:dyDescent="0.25">
      <c r="H1205" s="1"/>
      <c r="I1205" s="1"/>
    </row>
    <row r="1206" spans="8:9" x14ac:dyDescent="0.25">
      <c r="H1206" s="1"/>
      <c r="I1206" s="1"/>
    </row>
    <row r="1207" spans="8:9" x14ac:dyDescent="0.25">
      <c r="H1207" s="1"/>
      <c r="I1207" s="1"/>
    </row>
    <row r="1208" spans="8:9" x14ac:dyDescent="0.25">
      <c r="H1208" s="1"/>
      <c r="I1208" s="1"/>
    </row>
    <row r="1209" spans="8:9" x14ac:dyDescent="0.25">
      <c r="H1209" s="1"/>
      <c r="I1209" s="1"/>
    </row>
    <row r="1210" spans="8:9" x14ac:dyDescent="0.25">
      <c r="H1210" s="1"/>
      <c r="I1210" s="1"/>
    </row>
    <row r="1211" spans="8:9" x14ac:dyDescent="0.25">
      <c r="H1211" s="1"/>
      <c r="I1211" s="1"/>
    </row>
    <row r="1212" spans="8:9" x14ac:dyDescent="0.25">
      <c r="H1212" s="1"/>
      <c r="I1212" s="1"/>
    </row>
    <row r="1213" spans="8:9" x14ac:dyDescent="0.25">
      <c r="H1213" s="1"/>
      <c r="I1213" s="1"/>
    </row>
    <row r="1214" spans="8:9" x14ac:dyDescent="0.25">
      <c r="H1214" s="1"/>
      <c r="I1214" s="1"/>
    </row>
    <row r="1215" spans="8:9" x14ac:dyDescent="0.25">
      <c r="H1215" s="1"/>
      <c r="I1215" s="1"/>
    </row>
    <row r="1216" spans="8:9" x14ac:dyDescent="0.25">
      <c r="H1216" s="1"/>
      <c r="I1216" s="1"/>
    </row>
    <row r="1217" spans="8:9" x14ac:dyDescent="0.25">
      <c r="H1217" s="1"/>
      <c r="I1217" s="1"/>
    </row>
    <row r="1218" spans="8:9" x14ac:dyDescent="0.25">
      <c r="H1218" s="1"/>
      <c r="I1218" s="1"/>
    </row>
    <row r="1219" spans="8:9" x14ac:dyDescent="0.25">
      <c r="H1219" s="1"/>
      <c r="I1219" s="1"/>
    </row>
    <row r="1220" spans="8:9" x14ac:dyDescent="0.25">
      <c r="H1220" s="1"/>
      <c r="I1220" s="1"/>
    </row>
    <row r="1221" spans="8:9" x14ac:dyDescent="0.25">
      <c r="H1221" s="1"/>
      <c r="I1221" s="1"/>
    </row>
    <row r="1222" spans="8:9" x14ac:dyDescent="0.25">
      <c r="H1222" s="1"/>
      <c r="I1222" s="1"/>
    </row>
    <row r="1223" spans="8:9" x14ac:dyDescent="0.25">
      <c r="H1223" s="1"/>
      <c r="I1223" s="1"/>
    </row>
    <row r="1224" spans="8:9" x14ac:dyDescent="0.25">
      <c r="H1224" s="1"/>
      <c r="I1224" s="1"/>
    </row>
    <row r="1225" spans="8:9" x14ac:dyDescent="0.25">
      <c r="H1225" s="1"/>
      <c r="I1225" s="1"/>
    </row>
    <row r="1226" spans="8:9" x14ac:dyDescent="0.25">
      <c r="H1226" s="1"/>
      <c r="I1226" s="1"/>
    </row>
    <row r="1227" spans="8:9" x14ac:dyDescent="0.25">
      <c r="H1227" s="1"/>
      <c r="I1227" s="1"/>
    </row>
    <row r="1228" spans="8:9" x14ac:dyDescent="0.25">
      <c r="H1228" s="1"/>
      <c r="I1228" s="1"/>
    </row>
    <row r="1229" spans="8:9" x14ac:dyDescent="0.25">
      <c r="H1229" s="1"/>
      <c r="I1229" s="1"/>
    </row>
    <row r="1230" spans="8:9" x14ac:dyDescent="0.25">
      <c r="H1230" s="1"/>
      <c r="I1230" s="1"/>
    </row>
    <row r="1231" spans="8:9" x14ac:dyDescent="0.25">
      <c r="H1231" s="1"/>
      <c r="I1231" s="1"/>
    </row>
    <row r="1232" spans="8:9" x14ac:dyDescent="0.25">
      <c r="H1232" s="1"/>
      <c r="I1232" s="1"/>
    </row>
    <row r="1233" spans="8:9" x14ac:dyDescent="0.25">
      <c r="H1233" s="1"/>
      <c r="I1233" s="1"/>
    </row>
    <row r="1234" spans="8:9" x14ac:dyDescent="0.25">
      <c r="H1234" s="1"/>
      <c r="I1234" s="1"/>
    </row>
    <row r="1235" spans="8:9" x14ac:dyDescent="0.25">
      <c r="H1235" s="1"/>
      <c r="I1235" s="1"/>
    </row>
    <row r="1236" spans="8:9" x14ac:dyDescent="0.25">
      <c r="H1236" s="1"/>
      <c r="I1236" s="1"/>
    </row>
    <row r="1237" spans="8:9" x14ac:dyDescent="0.25">
      <c r="H1237" s="1"/>
      <c r="I1237" s="1"/>
    </row>
    <row r="1238" spans="8:9" x14ac:dyDescent="0.25">
      <c r="H1238" s="1"/>
      <c r="I1238" s="1"/>
    </row>
    <row r="1239" spans="8:9" x14ac:dyDescent="0.25">
      <c r="H1239" s="1"/>
      <c r="I1239" s="1"/>
    </row>
    <row r="1240" spans="8:9" x14ac:dyDescent="0.25">
      <c r="H1240" s="1"/>
      <c r="I1240" s="1"/>
    </row>
    <row r="1241" spans="8:9" x14ac:dyDescent="0.25">
      <c r="H1241" s="1"/>
      <c r="I1241" s="1"/>
    </row>
    <row r="1242" spans="8:9" x14ac:dyDescent="0.25">
      <c r="H1242" s="1"/>
      <c r="I1242" s="1"/>
    </row>
    <row r="1243" spans="8:9" x14ac:dyDescent="0.25">
      <c r="H1243" s="1"/>
      <c r="I1243" s="1"/>
    </row>
    <row r="1244" spans="8:9" x14ac:dyDescent="0.25">
      <c r="H1244" s="1"/>
      <c r="I1244" s="1"/>
    </row>
    <row r="1245" spans="8:9" x14ac:dyDescent="0.25">
      <c r="H1245" s="1"/>
      <c r="I1245" s="1"/>
    </row>
    <row r="1246" spans="8:9" x14ac:dyDescent="0.25">
      <c r="H1246" s="1"/>
      <c r="I1246" s="1"/>
    </row>
    <row r="1247" spans="8:9" x14ac:dyDescent="0.25">
      <c r="H1247" s="1"/>
      <c r="I1247" s="1"/>
    </row>
    <row r="1248" spans="8:9" x14ac:dyDescent="0.25">
      <c r="H1248" s="1"/>
      <c r="I1248" s="1"/>
    </row>
    <row r="1249" spans="8:9" x14ac:dyDescent="0.25">
      <c r="H1249" s="1"/>
      <c r="I1249" s="1"/>
    </row>
    <row r="1250" spans="8:9" x14ac:dyDescent="0.25">
      <c r="H1250" s="1"/>
      <c r="I1250" s="1"/>
    </row>
    <row r="1251" spans="8:9" x14ac:dyDescent="0.25">
      <c r="H1251" s="1"/>
      <c r="I1251" s="1"/>
    </row>
    <row r="1252" spans="8:9" x14ac:dyDescent="0.25">
      <c r="H1252" s="1"/>
      <c r="I1252" s="1"/>
    </row>
    <row r="1253" spans="8:9" x14ac:dyDescent="0.25">
      <c r="H1253" s="1"/>
      <c r="I1253" s="1"/>
    </row>
    <row r="1254" spans="8:9" x14ac:dyDescent="0.25">
      <c r="H1254" s="1"/>
      <c r="I1254" s="1"/>
    </row>
    <row r="1255" spans="8:9" x14ac:dyDescent="0.25">
      <c r="H1255" s="1"/>
      <c r="I1255" s="1"/>
    </row>
    <row r="1256" spans="8:9" x14ac:dyDescent="0.25">
      <c r="H1256" s="1"/>
      <c r="I1256" s="1"/>
    </row>
    <row r="1257" spans="8:9" x14ac:dyDescent="0.25">
      <c r="H1257" s="1"/>
      <c r="I1257" s="1"/>
    </row>
    <row r="1258" spans="8:9" x14ac:dyDescent="0.25">
      <c r="H1258" s="1"/>
      <c r="I1258" s="1"/>
    </row>
    <row r="1259" spans="8:9" x14ac:dyDescent="0.25">
      <c r="H1259" s="1"/>
      <c r="I1259" s="1"/>
    </row>
    <row r="1260" spans="8:9" x14ac:dyDescent="0.25">
      <c r="H1260" s="1"/>
      <c r="I1260" s="1"/>
    </row>
    <row r="1261" spans="8:9" x14ac:dyDescent="0.25">
      <c r="H1261" s="1"/>
      <c r="I1261" s="1"/>
    </row>
    <row r="1262" spans="8:9" x14ac:dyDescent="0.25">
      <c r="H1262" s="1"/>
      <c r="I1262" s="1"/>
    </row>
    <row r="1263" spans="8:9" x14ac:dyDescent="0.25">
      <c r="H1263" s="1"/>
      <c r="I1263" s="1"/>
    </row>
    <row r="1264" spans="8:9" x14ac:dyDescent="0.25">
      <c r="H1264" s="1"/>
      <c r="I1264" s="1"/>
    </row>
    <row r="1265" spans="8:9" x14ac:dyDescent="0.25">
      <c r="H1265" s="1"/>
      <c r="I1265" s="1"/>
    </row>
    <row r="1266" spans="8:9" x14ac:dyDescent="0.25">
      <c r="H1266" s="1"/>
      <c r="I1266" s="1"/>
    </row>
    <row r="1267" spans="8:9" x14ac:dyDescent="0.25">
      <c r="H1267" s="1"/>
      <c r="I1267" s="1"/>
    </row>
    <row r="1268" spans="8:9" x14ac:dyDescent="0.25">
      <c r="H1268" s="1"/>
      <c r="I1268" s="1"/>
    </row>
    <row r="1269" spans="8:9" x14ac:dyDescent="0.25">
      <c r="H1269" s="1"/>
      <c r="I1269" s="1"/>
    </row>
    <row r="1270" spans="8:9" x14ac:dyDescent="0.25">
      <c r="H1270" s="1"/>
      <c r="I1270" s="1"/>
    </row>
    <row r="1271" spans="8:9" x14ac:dyDescent="0.25">
      <c r="H1271" s="1"/>
      <c r="I1271" s="1"/>
    </row>
    <row r="1272" spans="8:9" x14ac:dyDescent="0.25">
      <c r="H1272" s="1"/>
      <c r="I1272" s="1"/>
    </row>
    <row r="1273" spans="8:9" x14ac:dyDescent="0.25">
      <c r="H1273" s="1"/>
      <c r="I1273" s="1"/>
    </row>
    <row r="1274" spans="8:9" x14ac:dyDescent="0.25">
      <c r="H1274" s="1"/>
      <c r="I1274" s="1"/>
    </row>
    <row r="1275" spans="8:9" x14ac:dyDescent="0.25">
      <c r="H1275" s="1"/>
      <c r="I1275" s="1"/>
    </row>
    <row r="1276" spans="8:9" x14ac:dyDescent="0.25">
      <c r="H1276" s="1"/>
      <c r="I1276" s="1"/>
    </row>
    <row r="1277" spans="8:9" x14ac:dyDescent="0.25">
      <c r="H1277" s="1"/>
      <c r="I1277" s="1"/>
    </row>
    <row r="1278" spans="8:9" x14ac:dyDescent="0.25">
      <c r="H1278" s="1"/>
      <c r="I1278" s="1"/>
    </row>
    <row r="1279" spans="8:9" x14ac:dyDescent="0.25">
      <c r="H1279" s="1"/>
      <c r="I1279" s="1"/>
    </row>
    <row r="1280" spans="8:9" x14ac:dyDescent="0.25">
      <c r="H1280" s="1"/>
      <c r="I1280" s="1"/>
    </row>
    <row r="1281" spans="8:9" x14ac:dyDescent="0.25">
      <c r="H1281" s="1"/>
      <c r="I1281" s="1"/>
    </row>
    <row r="1282" spans="8:9" x14ac:dyDescent="0.25">
      <c r="H1282" s="1"/>
      <c r="I1282" s="1"/>
    </row>
    <row r="1283" spans="8:9" x14ac:dyDescent="0.25">
      <c r="H1283" s="1"/>
      <c r="I1283" s="1"/>
    </row>
    <row r="1284" spans="8:9" x14ac:dyDescent="0.25">
      <c r="H1284" s="1"/>
      <c r="I1284" s="1"/>
    </row>
    <row r="1285" spans="8:9" x14ac:dyDescent="0.25">
      <c r="H1285" s="1"/>
      <c r="I1285" s="1"/>
    </row>
    <row r="1286" spans="8:9" x14ac:dyDescent="0.25">
      <c r="H1286" s="1"/>
      <c r="I1286" s="1"/>
    </row>
    <row r="1287" spans="8:9" x14ac:dyDescent="0.25">
      <c r="H1287" s="1"/>
      <c r="I1287" s="1"/>
    </row>
    <row r="1288" spans="8:9" x14ac:dyDescent="0.25">
      <c r="H1288" s="1"/>
      <c r="I1288" s="1"/>
    </row>
    <row r="1289" spans="8:9" x14ac:dyDescent="0.25">
      <c r="H1289" s="1"/>
      <c r="I1289" s="1"/>
    </row>
    <row r="1290" spans="8:9" x14ac:dyDescent="0.25">
      <c r="H1290" s="1"/>
      <c r="I1290" s="1"/>
    </row>
    <row r="1291" spans="8:9" x14ac:dyDescent="0.25">
      <c r="H1291" s="1"/>
      <c r="I1291" s="1"/>
    </row>
    <row r="1292" spans="8:9" x14ac:dyDescent="0.25">
      <c r="H1292" s="1"/>
      <c r="I1292" s="1"/>
    </row>
    <row r="1293" spans="8:9" x14ac:dyDescent="0.25">
      <c r="H1293" s="1"/>
      <c r="I1293" s="1"/>
    </row>
    <row r="1294" spans="8:9" x14ac:dyDescent="0.25">
      <c r="H1294" s="1"/>
      <c r="I1294" s="1"/>
    </row>
    <row r="1295" spans="8:9" x14ac:dyDescent="0.25">
      <c r="H1295" s="1"/>
      <c r="I1295" s="1"/>
    </row>
    <row r="1296" spans="8:9" x14ac:dyDescent="0.25">
      <c r="H1296" s="1"/>
      <c r="I1296" s="1"/>
    </row>
    <row r="1297" spans="8:9" x14ac:dyDescent="0.25">
      <c r="H1297" s="1"/>
      <c r="I1297" s="1"/>
    </row>
    <row r="1298" spans="8:9" x14ac:dyDescent="0.25">
      <c r="H1298" s="1"/>
      <c r="I1298" s="1"/>
    </row>
    <row r="1299" spans="8:9" x14ac:dyDescent="0.25">
      <c r="H1299" s="1"/>
      <c r="I1299" s="1"/>
    </row>
    <row r="1300" spans="8:9" x14ac:dyDescent="0.25">
      <c r="H1300" s="1"/>
      <c r="I1300" s="1"/>
    </row>
    <row r="1301" spans="8:9" x14ac:dyDescent="0.25">
      <c r="H1301" s="1"/>
      <c r="I1301" s="1"/>
    </row>
    <row r="1302" spans="8:9" x14ac:dyDescent="0.25">
      <c r="H1302" s="1"/>
      <c r="I1302" s="1"/>
    </row>
    <row r="1303" spans="8:9" x14ac:dyDescent="0.25">
      <c r="H1303" s="1"/>
      <c r="I1303" s="1"/>
    </row>
    <row r="1304" spans="8:9" x14ac:dyDescent="0.25">
      <c r="H1304" s="1"/>
      <c r="I1304" s="1"/>
    </row>
    <row r="1305" spans="8:9" x14ac:dyDescent="0.25">
      <c r="H1305" s="1"/>
      <c r="I1305" s="1"/>
    </row>
    <row r="1306" spans="8:9" x14ac:dyDescent="0.25">
      <c r="H1306" s="1"/>
      <c r="I1306" s="1"/>
    </row>
    <row r="1307" spans="8:9" x14ac:dyDescent="0.25">
      <c r="H1307" s="1"/>
      <c r="I1307" s="1"/>
    </row>
    <row r="1308" spans="8:9" x14ac:dyDescent="0.25">
      <c r="H1308" s="1"/>
      <c r="I1308" s="1"/>
    </row>
    <row r="1309" spans="8:9" x14ac:dyDescent="0.25">
      <c r="H1309" s="1"/>
      <c r="I1309" s="1"/>
    </row>
    <row r="1310" spans="8:9" x14ac:dyDescent="0.25">
      <c r="H1310" s="1"/>
      <c r="I1310" s="1"/>
    </row>
    <row r="1311" spans="8:9" x14ac:dyDescent="0.25">
      <c r="H1311" s="1"/>
      <c r="I1311" s="1"/>
    </row>
    <row r="1312" spans="8:9" x14ac:dyDescent="0.25">
      <c r="H1312" s="1"/>
      <c r="I1312" s="1"/>
    </row>
    <row r="1313" spans="8:9" x14ac:dyDescent="0.25">
      <c r="H1313" s="1"/>
      <c r="I1313" s="1"/>
    </row>
    <row r="1314" spans="8:9" x14ac:dyDescent="0.25">
      <c r="H1314" s="1"/>
      <c r="I1314" s="1"/>
    </row>
    <row r="1315" spans="8:9" x14ac:dyDescent="0.25">
      <c r="H1315" s="1"/>
      <c r="I1315" s="1"/>
    </row>
    <row r="1316" spans="8:9" x14ac:dyDescent="0.25">
      <c r="H1316" s="1"/>
      <c r="I1316" s="1"/>
    </row>
    <row r="1317" spans="8:9" x14ac:dyDescent="0.25">
      <c r="H1317" s="1"/>
      <c r="I1317" s="1"/>
    </row>
    <row r="1318" spans="8:9" x14ac:dyDescent="0.25">
      <c r="H1318" s="1"/>
      <c r="I1318" s="1"/>
    </row>
    <row r="1319" spans="8:9" x14ac:dyDescent="0.25">
      <c r="H1319" s="1"/>
      <c r="I1319" s="1"/>
    </row>
    <row r="1320" spans="8:9" x14ac:dyDescent="0.25">
      <c r="H1320" s="1"/>
      <c r="I1320" s="1"/>
    </row>
    <row r="1321" spans="8:9" x14ac:dyDescent="0.25">
      <c r="H1321" s="1"/>
      <c r="I1321" s="1"/>
    </row>
    <row r="1322" spans="8:9" x14ac:dyDescent="0.25">
      <c r="H1322" s="1"/>
      <c r="I1322" s="1"/>
    </row>
    <row r="1323" spans="8:9" x14ac:dyDescent="0.25">
      <c r="H1323" s="1"/>
      <c r="I1323" s="1"/>
    </row>
    <row r="1324" spans="8:9" x14ac:dyDescent="0.25">
      <c r="H1324" s="1"/>
      <c r="I1324" s="1"/>
    </row>
    <row r="1325" spans="8:9" x14ac:dyDescent="0.25">
      <c r="H1325" s="1"/>
      <c r="I1325" s="1"/>
    </row>
    <row r="1326" spans="8:9" x14ac:dyDescent="0.25">
      <c r="H1326" s="1"/>
      <c r="I1326" s="1"/>
    </row>
    <row r="1327" spans="8:9" x14ac:dyDescent="0.25">
      <c r="H1327" s="1"/>
      <c r="I1327" s="1"/>
    </row>
    <row r="1328" spans="8:9" x14ac:dyDescent="0.25">
      <c r="H1328" s="1"/>
      <c r="I1328" s="1"/>
    </row>
    <row r="1329" spans="8:9" x14ac:dyDescent="0.25">
      <c r="H1329" s="1"/>
      <c r="I1329" s="1"/>
    </row>
    <row r="1330" spans="8:9" x14ac:dyDescent="0.25">
      <c r="H1330" s="1"/>
      <c r="I1330" s="1"/>
    </row>
    <row r="1331" spans="8:9" x14ac:dyDescent="0.25">
      <c r="H1331" s="1"/>
      <c r="I1331" s="1"/>
    </row>
    <row r="1332" spans="8:9" x14ac:dyDescent="0.25">
      <c r="H1332" s="1"/>
      <c r="I1332" s="1"/>
    </row>
  </sheetData>
  <sortState xmlns:xlrd2="http://schemas.microsoft.com/office/spreadsheetml/2017/richdata2" ref="A2:AE57">
    <sortCondition ref="K2:K5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AB66-5B7C-4E09-AAD2-8EF391B030EA}">
  <dimension ref="A1:G67"/>
  <sheetViews>
    <sheetView topLeftCell="A31" workbookViewId="0">
      <selection activeCell="E1" sqref="E1:G67"/>
    </sheetView>
  </sheetViews>
  <sheetFormatPr defaultRowHeight="15" x14ac:dyDescent="0.25"/>
  <cols>
    <col min="1" max="1" width="16.85546875" bestFit="1" customWidth="1"/>
    <col min="2" max="2" width="27.7109375" bestFit="1" customWidth="1"/>
    <col min="3" max="3" width="10.85546875" style="9" bestFit="1" customWidth="1"/>
    <col min="5" max="5" width="14.85546875" bestFit="1" customWidth="1"/>
    <col min="6" max="6" width="10.42578125" bestFit="1" customWidth="1"/>
    <col min="7" max="7" width="27.7109375" bestFit="1" customWidth="1"/>
  </cols>
  <sheetData>
    <row r="1" spans="1:7" x14ac:dyDescent="0.25">
      <c r="A1" t="s">
        <v>78</v>
      </c>
      <c r="B1" t="s">
        <v>303</v>
      </c>
      <c r="C1" s="9" t="s">
        <v>300</v>
      </c>
      <c r="E1" t="s">
        <v>78</v>
      </c>
      <c r="F1" t="str">
        <f>VLOOKUP(E1,A:C,3,FALSE)</f>
        <v>8971826N</v>
      </c>
      <c r="G1" t="str">
        <f>VLOOKUP(E1,A:B,2,FALSE)</f>
        <v>SCOTT  AGUGLIA</v>
      </c>
    </row>
    <row r="2" spans="1:7" x14ac:dyDescent="0.25">
      <c r="A2" t="s">
        <v>78</v>
      </c>
      <c r="B2" t="s">
        <v>303</v>
      </c>
      <c r="C2" s="9" t="s">
        <v>300</v>
      </c>
      <c r="E2" t="s">
        <v>167</v>
      </c>
      <c r="F2" t="str">
        <f t="shared" ref="F2:F65" si="0">VLOOKUP(E2,A:C,3,FALSE)</f>
        <v>17554531O</v>
      </c>
      <c r="G2" t="str">
        <f t="shared" ref="G2:G65" si="1">VLOOKUP(E2,A:B,2,FALSE)</f>
        <v>BRITTANY  OLIVER</v>
      </c>
    </row>
    <row r="3" spans="1:7" x14ac:dyDescent="0.25">
      <c r="A3" t="s">
        <v>100</v>
      </c>
      <c r="B3" t="s">
        <v>304</v>
      </c>
      <c r="C3" s="9">
        <v>7470776</v>
      </c>
      <c r="E3" t="s">
        <v>112</v>
      </c>
      <c r="F3">
        <f t="shared" si="0"/>
        <v>18142208</v>
      </c>
      <c r="G3" t="str">
        <f t="shared" si="1"/>
        <v>JILL  SHEPARD</v>
      </c>
    </row>
    <row r="4" spans="1:7" x14ac:dyDescent="0.25">
      <c r="A4" t="s">
        <v>62</v>
      </c>
      <c r="B4" t="s">
        <v>305</v>
      </c>
      <c r="C4" s="9">
        <v>9544903</v>
      </c>
      <c r="E4" t="s">
        <v>204</v>
      </c>
      <c r="F4">
        <f t="shared" si="0"/>
        <v>8307933</v>
      </c>
      <c r="G4" t="str">
        <f t="shared" si="1"/>
        <v>GREG  TEIPEL</v>
      </c>
    </row>
    <row r="5" spans="1:7" x14ac:dyDescent="0.25">
      <c r="A5" t="s">
        <v>62</v>
      </c>
      <c r="B5" t="s">
        <v>305</v>
      </c>
      <c r="C5" s="9">
        <v>9544903</v>
      </c>
      <c r="E5" t="s">
        <v>59</v>
      </c>
      <c r="F5" t="str">
        <f t="shared" si="0"/>
        <v>17528908N</v>
      </c>
      <c r="G5" t="str">
        <f t="shared" si="1"/>
        <v>DEBORAH  INSKIPT</v>
      </c>
    </row>
    <row r="6" spans="1:7" x14ac:dyDescent="0.25">
      <c r="A6" t="s">
        <v>143</v>
      </c>
      <c r="B6" t="s">
        <v>306</v>
      </c>
      <c r="C6" s="9">
        <v>8244481</v>
      </c>
      <c r="E6" t="s">
        <v>193</v>
      </c>
      <c r="F6">
        <f t="shared" si="0"/>
        <v>19268643</v>
      </c>
      <c r="G6" t="str">
        <f t="shared" si="1"/>
        <v>CAROL  FRITZ</v>
      </c>
    </row>
    <row r="7" spans="1:7" x14ac:dyDescent="0.25">
      <c r="A7" t="s">
        <v>143</v>
      </c>
      <c r="B7" t="s">
        <v>306</v>
      </c>
      <c r="C7" s="9">
        <v>8244481</v>
      </c>
      <c r="E7" t="s">
        <v>62</v>
      </c>
      <c r="F7">
        <f t="shared" si="0"/>
        <v>9544903</v>
      </c>
      <c r="G7" t="str">
        <f t="shared" si="1"/>
        <v>ALAN  COUSAR</v>
      </c>
    </row>
    <row r="8" spans="1:7" x14ac:dyDescent="0.25">
      <c r="A8" t="s">
        <v>124</v>
      </c>
      <c r="B8" t="s">
        <v>307</v>
      </c>
      <c r="C8" s="9">
        <v>18828278</v>
      </c>
      <c r="E8" t="s">
        <v>38</v>
      </c>
      <c r="F8" t="str">
        <f t="shared" si="0"/>
        <v>17528908N</v>
      </c>
      <c r="G8" t="str">
        <f t="shared" si="1"/>
        <v>DEBORAH  INSKIPT</v>
      </c>
    </row>
    <row r="9" spans="1:7" x14ac:dyDescent="0.25">
      <c r="A9" t="s">
        <v>124</v>
      </c>
      <c r="B9" t="s">
        <v>307</v>
      </c>
      <c r="C9" s="9">
        <v>18828278</v>
      </c>
      <c r="E9" t="s">
        <v>54</v>
      </c>
      <c r="F9" t="str">
        <f t="shared" si="0"/>
        <v>17528908N</v>
      </c>
      <c r="G9" t="str">
        <f t="shared" si="1"/>
        <v>DEBORAH  INSKIPT</v>
      </c>
    </row>
    <row r="10" spans="1:7" x14ac:dyDescent="0.25">
      <c r="A10" t="s">
        <v>193</v>
      </c>
      <c r="B10" t="s">
        <v>308</v>
      </c>
      <c r="C10" s="9">
        <v>19268643</v>
      </c>
      <c r="E10" t="s">
        <v>66</v>
      </c>
      <c r="F10">
        <f t="shared" si="0"/>
        <v>19278370</v>
      </c>
      <c r="G10" t="str">
        <f t="shared" si="1"/>
        <v>ANNE MARIE  KOZACHECK</v>
      </c>
    </row>
    <row r="11" spans="1:7" x14ac:dyDescent="0.25">
      <c r="A11" t="s">
        <v>193</v>
      </c>
      <c r="B11" t="s">
        <v>308</v>
      </c>
      <c r="C11" s="9">
        <v>19268643</v>
      </c>
      <c r="E11" t="s">
        <v>180</v>
      </c>
      <c r="F11">
        <f t="shared" si="0"/>
        <v>16212649</v>
      </c>
      <c r="G11" t="str">
        <f t="shared" si="1"/>
        <v>MURRAY  STERNER</v>
      </c>
    </row>
    <row r="12" spans="1:7" x14ac:dyDescent="0.25">
      <c r="A12" t="s">
        <v>323</v>
      </c>
      <c r="B12" t="s">
        <v>309</v>
      </c>
      <c r="C12" s="9">
        <v>17094718</v>
      </c>
      <c r="E12" t="s">
        <v>143</v>
      </c>
      <c r="F12">
        <f t="shared" si="0"/>
        <v>8244481</v>
      </c>
      <c r="G12" t="str">
        <f t="shared" si="1"/>
        <v>PAMELA  DEATON</v>
      </c>
    </row>
    <row r="13" spans="1:7" x14ac:dyDescent="0.25">
      <c r="A13" t="s">
        <v>38</v>
      </c>
      <c r="B13" t="s">
        <v>310</v>
      </c>
      <c r="C13" s="9" t="s">
        <v>301</v>
      </c>
      <c r="E13" t="s">
        <v>129</v>
      </c>
      <c r="F13">
        <f t="shared" si="0"/>
        <v>20490188</v>
      </c>
      <c r="G13" t="str">
        <f t="shared" si="1"/>
        <v>THOMAS  SERIO</v>
      </c>
    </row>
    <row r="14" spans="1:7" x14ac:dyDescent="0.25">
      <c r="A14" t="s">
        <v>54</v>
      </c>
      <c r="B14" t="s">
        <v>310</v>
      </c>
      <c r="C14" s="9" t="s">
        <v>301</v>
      </c>
      <c r="E14" t="s">
        <v>71</v>
      </c>
      <c r="F14">
        <f t="shared" si="0"/>
        <v>16170994</v>
      </c>
      <c r="G14" t="str">
        <f t="shared" si="1"/>
        <v>RYAN  SHEPARD</v>
      </c>
    </row>
    <row r="15" spans="1:7" x14ac:dyDescent="0.25">
      <c r="A15" t="s">
        <v>59</v>
      </c>
      <c r="B15" t="s">
        <v>310</v>
      </c>
      <c r="C15" s="9" t="s">
        <v>301</v>
      </c>
      <c r="E15" t="s">
        <v>94</v>
      </c>
      <c r="F15">
        <f t="shared" si="0"/>
        <v>16170994</v>
      </c>
      <c r="G15" t="str">
        <f t="shared" si="1"/>
        <v>RYAN  SHEPARD</v>
      </c>
    </row>
    <row r="16" spans="1:7" x14ac:dyDescent="0.25">
      <c r="A16" t="s">
        <v>59</v>
      </c>
      <c r="B16" t="s">
        <v>310</v>
      </c>
      <c r="C16" s="9" t="s">
        <v>301</v>
      </c>
      <c r="E16" t="s">
        <v>97</v>
      </c>
      <c r="F16">
        <f t="shared" si="0"/>
        <v>16170994</v>
      </c>
      <c r="G16" t="str">
        <f t="shared" si="1"/>
        <v>RYAN  SHEPARD</v>
      </c>
    </row>
    <row r="17" spans="1:7" x14ac:dyDescent="0.25">
      <c r="A17" t="s">
        <v>38</v>
      </c>
      <c r="B17" t="s">
        <v>310</v>
      </c>
      <c r="C17" s="9" t="s">
        <v>301</v>
      </c>
      <c r="E17" t="s">
        <v>117</v>
      </c>
      <c r="F17">
        <f t="shared" si="0"/>
        <v>16170994</v>
      </c>
      <c r="G17" t="str">
        <f t="shared" si="1"/>
        <v>RYAN  SHEPARD</v>
      </c>
    </row>
    <row r="18" spans="1:7" x14ac:dyDescent="0.25">
      <c r="A18" t="s">
        <v>54</v>
      </c>
      <c r="B18" t="s">
        <v>310</v>
      </c>
      <c r="C18" s="9" t="s">
        <v>301</v>
      </c>
      <c r="E18" t="s">
        <v>161</v>
      </c>
      <c r="F18">
        <f t="shared" si="0"/>
        <v>16170994</v>
      </c>
      <c r="G18" t="str">
        <f t="shared" si="1"/>
        <v>RYAN  SHEPARD</v>
      </c>
    </row>
    <row r="19" spans="1:7" x14ac:dyDescent="0.25">
      <c r="A19" t="s">
        <v>66</v>
      </c>
      <c r="B19" t="s">
        <v>311</v>
      </c>
      <c r="C19" s="9">
        <v>19278370</v>
      </c>
      <c r="E19" t="s">
        <v>164</v>
      </c>
      <c r="F19">
        <f t="shared" si="0"/>
        <v>16170994</v>
      </c>
      <c r="G19" t="str">
        <f t="shared" si="1"/>
        <v>RYAN  SHEPARD</v>
      </c>
    </row>
    <row r="20" spans="1:7" x14ac:dyDescent="0.25">
      <c r="A20" t="s">
        <v>66</v>
      </c>
      <c r="B20" t="s">
        <v>311</v>
      </c>
      <c r="C20" s="9">
        <v>19278370</v>
      </c>
      <c r="E20" t="s">
        <v>89</v>
      </c>
      <c r="F20">
        <f t="shared" si="0"/>
        <v>8307933</v>
      </c>
      <c r="G20" t="str">
        <f t="shared" si="1"/>
        <v>GREG  TEIPEL</v>
      </c>
    </row>
    <row r="21" spans="1:7" x14ac:dyDescent="0.25">
      <c r="A21" t="s">
        <v>167</v>
      </c>
      <c r="B21" t="s">
        <v>312</v>
      </c>
      <c r="C21" s="9" t="s">
        <v>302</v>
      </c>
      <c r="E21" t="s">
        <v>185</v>
      </c>
      <c r="F21">
        <f t="shared" si="0"/>
        <v>8405446</v>
      </c>
      <c r="G21" t="str">
        <f t="shared" si="1"/>
        <v>PATSAMON  THANADABOUTH</v>
      </c>
    </row>
    <row r="22" spans="1:7" x14ac:dyDescent="0.25">
      <c r="A22" t="s">
        <v>167</v>
      </c>
      <c r="B22" t="s">
        <v>312</v>
      </c>
      <c r="C22" s="9" t="s">
        <v>302</v>
      </c>
      <c r="E22" t="s">
        <v>82</v>
      </c>
      <c r="F22">
        <f t="shared" si="0"/>
        <v>8325282</v>
      </c>
      <c r="G22" t="str">
        <f t="shared" si="1"/>
        <v>DALE  WALENGA</v>
      </c>
    </row>
    <row r="23" spans="1:7" x14ac:dyDescent="0.25">
      <c r="A23" t="s">
        <v>200</v>
      </c>
      <c r="B23" t="s">
        <v>313</v>
      </c>
      <c r="C23" s="9">
        <v>19586992</v>
      </c>
      <c r="E23" t="s">
        <v>121</v>
      </c>
      <c r="F23">
        <f t="shared" si="0"/>
        <v>16170994</v>
      </c>
      <c r="G23" t="str">
        <f t="shared" si="1"/>
        <v>RYAN  SHEPARD</v>
      </c>
    </row>
    <row r="24" spans="1:7" x14ac:dyDescent="0.25">
      <c r="A24" t="s">
        <v>200</v>
      </c>
      <c r="B24" t="s">
        <v>313</v>
      </c>
      <c r="C24" s="9">
        <v>19586992</v>
      </c>
      <c r="E24" t="s">
        <v>124</v>
      </c>
      <c r="F24">
        <f t="shared" si="0"/>
        <v>18828278</v>
      </c>
      <c r="G24" t="str">
        <f t="shared" si="1"/>
        <v>MICHAEL  DUNAVANT</v>
      </c>
    </row>
    <row r="25" spans="1:7" x14ac:dyDescent="0.25">
      <c r="A25" t="s">
        <v>129</v>
      </c>
      <c r="B25" t="s">
        <v>314</v>
      </c>
      <c r="C25" s="9">
        <v>20490188</v>
      </c>
      <c r="E25" t="s">
        <v>24</v>
      </c>
      <c r="F25" t="e">
        <f t="shared" si="0"/>
        <v>#N/A</v>
      </c>
      <c r="G25" t="s">
        <v>33</v>
      </c>
    </row>
    <row r="26" spans="1:7" x14ac:dyDescent="0.25">
      <c r="A26" t="s">
        <v>129</v>
      </c>
      <c r="B26" t="s">
        <v>314</v>
      </c>
      <c r="C26" s="9">
        <v>20490188</v>
      </c>
      <c r="E26" t="s">
        <v>197</v>
      </c>
      <c r="F26" t="e">
        <f t="shared" si="0"/>
        <v>#N/A</v>
      </c>
      <c r="G26" t="s">
        <v>138</v>
      </c>
    </row>
    <row r="27" spans="1:7" x14ac:dyDescent="0.25">
      <c r="A27" t="s">
        <v>121</v>
      </c>
      <c r="B27" t="s">
        <v>315</v>
      </c>
      <c r="C27" s="9">
        <v>16170994</v>
      </c>
      <c r="E27" t="s">
        <v>190</v>
      </c>
      <c r="F27" t="e">
        <f t="shared" si="0"/>
        <v>#N/A</v>
      </c>
      <c r="G27" t="s">
        <v>138</v>
      </c>
    </row>
    <row r="28" spans="1:7" x14ac:dyDescent="0.25">
      <c r="A28" t="s">
        <v>71</v>
      </c>
      <c r="B28" t="s">
        <v>315</v>
      </c>
      <c r="C28" s="9">
        <v>16170994</v>
      </c>
      <c r="E28" t="s">
        <v>150</v>
      </c>
      <c r="F28">
        <f t="shared" si="0"/>
        <v>18754354</v>
      </c>
      <c r="G28" t="str">
        <f t="shared" si="1"/>
        <v>JACOB  YALE</v>
      </c>
    </row>
    <row r="29" spans="1:7" x14ac:dyDescent="0.25">
      <c r="A29" t="s">
        <v>94</v>
      </c>
      <c r="B29" t="s">
        <v>315</v>
      </c>
      <c r="C29" s="9">
        <v>16170994</v>
      </c>
      <c r="E29" t="s">
        <v>147</v>
      </c>
      <c r="F29" t="e">
        <f t="shared" si="0"/>
        <v>#N/A</v>
      </c>
      <c r="G29" t="s">
        <v>33</v>
      </c>
    </row>
    <row r="30" spans="1:7" x14ac:dyDescent="0.25">
      <c r="A30" t="s">
        <v>97</v>
      </c>
      <c r="B30" t="s">
        <v>315</v>
      </c>
      <c r="C30" s="9">
        <v>16170994</v>
      </c>
      <c r="E30" t="s">
        <v>200</v>
      </c>
      <c r="F30">
        <f t="shared" si="0"/>
        <v>19586992</v>
      </c>
      <c r="G30" t="str">
        <f t="shared" si="1"/>
        <v>BARRY  SCHUMANN</v>
      </c>
    </row>
    <row r="31" spans="1:7" x14ac:dyDescent="0.25">
      <c r="A31" t="s">
        <v>117</v>
      </c>
      <c r="B31" t="s">
        <v>315</v>
      </c>
      <c r="C31" s="9">
        <v>16170994</v>
      </c>
      <c r="E31" t="s">
        <v>200</v>
      </c>
      <c r="F31">
        <f t="shared" si="0"/>
        <v>19586992</v>
      </c>
      <c r="G31" t="str">
        <f t="shared" si="1"/>
        <v>BARRY  SCHUMANN</v>
      </c>
    </row>
    <row r="32" spans="1:7" x14ac:dyDescent="0.25">
      <c r="A32" t="s">
        <v>161</v>
      </c>
      <c r="B32" t="s">
        <v>315</v>
      </c>
      <c r="C32" s="9">
        <v>16170994</v>
      </c>
      <c r="E32" t="s">
        <v>24</v>
      </c>
      <c r="F32" t="e">
        <f t="shared" si="0"/>
        <v>#N/A</v>
      </c>
      <c r="G32" t="s">
        <v>33</v>
      </c>
    </row>
    <row r="33" spans="1:7" x14ac:dyDescent="0.25">
      <c r="A33" t="s">
        <v>164</v>
      </c>
      <c r="B33" t="s">
        <v>315</v>
      </c>
      <c r="C33" s="9">
        <v>16170994</v>
      </c>
      <c r="E33" t="s">
        <v>158</v>
      </c>
      <c r="F33" t="e">
        <f t="shared" si="0"/>
        <v>#N/A</v>
      </c>
      <c r="G33" t="s">
        <v>33</v>
      </c>
    </row>
    <row r="34" spans="1:7" x14ac:dyDescent="0.25">
      <c r="A34" t="s">
        <v>71</v>
      </c>
      <c r="B34" t="s">
        <v>315</v>
      </c>
      <c r="C34" s="9">
        <v>16170994</v>
      </c>
      <c r="E34" t="s">
        <v>135</v>
      </c>
      <c r="F34" t="e">
        <f t="shared" si="0"/>
        <v>#N/A</v>
      </c>
      <c r="G34" t="s">
        <v>138</v>
      </c>
    </row>
    <row r="35" spans="1:7" x14ac:dyDescent="0.25">
      <c r="A35" t="s">
        <v>94</v>
      </c>
      <c r="B35" t="s">
        <v>315</v>
      </c>
      <c r="C35" s="9">
        <v>16170994</v>
      </c>
      <c r="E35" t="s">
        <v>139</v>
      </c>
      <c r="F35" t="e">
        <f t="shared" si="0"/>
        <v>#N/A</v>
      </c>
      <c r="G35" t="s">
        <v>138</v>
      </c>
    </row>
    <row r="36" spans="1:7" x14ac:dyDescent="0.25">
      <c r="A36" t="s">
        <v>97</v>
      </c>
      <c r="B36" t="s">
        <v>315</v>
      </c>
      <c r="C36" s="9">
        <v>16170994</v>
      </c>
      <c r="E36" t="s">
        <v>167</v>
      </c>
      <c r="F36" t="str">
        <f t="shared" si="0"/>
        <v>17554531O</v>
      </c>
      <c r="G36" t="str">
        <f t="shared" si="1"/>
        <v>BRITTANY  OLIVER</v>
      </c>
    </row>
    <row r="37" spans="1:7" x14ac:dyDescent="0.25">
      <c r="A37" t="s">
        <v>117</v>
      </c>
      <c r="B37" t="s">
        <v>315</v>
      </c>
      <c r="C37" s="9">
        <v>16170994</v>
      </c>
      <c r="E37" t="s">
        <v>112</v>
      </c>
      <c r="F37">
        <f t="shared" si="0"/>
        <v>18142208</v>
      </c>
      <c r="G37" t="str">
        <f t="shared" si="1"/>
        <v>JILL  SHEPARD</v>
      </c>
    </row>
    <row r="38" spans="1:7" x14ac:dyDescent="0.25">
      <c r="A38" t="s">
        <v>161</v>
      </c>
      <c r="B38" t="s">
        <v>315</v>
      </c>
      <c r="C38" s="9">
        <v>16170994</v>
      </c>
      <c r="E38" t="s">
        <v>204</v>
      </c>
      <c r="F38">
        <f t="shared" si="0"/>
        <v>8307933</v>
      </c>
      <c r="G38" t="str">
        <f t="shared" si="1"/>
        <v>GREG  TEIPEL</v>
      </c>
    </row>
    <row r="39" spans="1:7" x14ac:dyDescent="0.25">
      <c r="A39" t="s">
        <v>164</v>
      </c>
      <c r="B39" t="s">
        <v>315</v>
      </c>
      <c r="C39" s="9">
        <v>16170994</v>
      </c>
      <c r="E39" t="s">
        <v>78</v>
      </c>
      <c r="F39" t="str">
        <f t="shared" si="0"/>
        <v>8971826N</v>
      </c>
      <c r="G39" t="str">
        <f t="shared" si="1"/>
        <v>SCOTT  AGUGLIA</v>
      </c>
    </row>
    <row r="40" spans="1:7" x14ac:dyDescent="0.25">
      <c r="A40" t="s">
        <v>121</v>
      </c>
      <c r="B40" t="s">
        <v>315</v>
      </c>
      <c r="C40" s="9">
        <v>16170994</v>
      </c>
      <c r="E40" t="s">
        <v>147</v>
      </c>
      <c r="F40" t="e">
        <f t="shared" si="0"/>
        <v>#N/A</v>
      </c>
      <c r="G40" t="s">
        <v>33</v>
      </c>
    </row>
    <row r="41" spans="1:7" x14ac:dyDescent="0.25">
      <c r="A41" t="s">
        <v>112</v>
      </c>
      <c r="B41" t="s">
        <v>316</v>
      </c>
      <c r="C41" s="9">
        <v>18142208</v>
      </c>
      <c r="E41" t="s">
        <v>190</v>
      </c>
      <c r="F41" t="e">
        <f t="shared" si="0"/>
        <v>#N/A</v>
      </c>
      <c r="G41" t="s">
        <v>138</v>
      </c>
    </row>
    <row r="42" spans="1:7" x14ac:dyDescent="0.25">
      <c r="A42" t="s">
        <v>112</v>
      </c>
      <c r="B42" t="s">
        <v>316</v>
      </c>
      <c r="C42" s="9">
        <v>18142208</v>
      </c>
      <c r="E42" t="s">
        <v>197</v>
      </c>
      <c r="F42" t="e">
        <f t="shared" si="0"/>
        <v>#N/A</v>
      </c>
      <c r="G42" t="s">
        <v>138</v>
      </c>
    </row>
    <row r="43" spans="1:7" x14ac:dyDescent="0.25">
      <c r="A43" t="s">
        <v>46</v>
      </c>
      <c r="B43" t="s">
        <v>317</v>
      </c>
      <c r="C43" s="9">
        <v>8812322</v>
      </c>
      <c r="E43" t="s">
        <v>100</v>
      </c>
      <c r="F43">
        <f t="shared" si="0"/>
        <v>7470776</v>
      </c>
      <c r="G43" t="str">
        <f t="shared" si="1"/>
        <v>ANDREW  CHOI</v>
      </c>
    </row>
    <row r="44" spans="1:7" x14ac:dyDescent="0.25">
      <c r="A44" t="s">
        <v>180</v>
      </c>
      <c r="B44" t="s">
        <v>318</v>
      </c>
      <c r="C44" s="9">
        <v>16212649</v>
      </c>
      <c r="E44" t="s">
        <v>106</v>
      </c>
      <c r="F44" t="e">
        <f t="shared" si="0"/>
        <v>#N/A</v>
      </c>
      <c r="G44" t="s">
        <v>111</v>
      </c>
    </row>
    <row r="45" spans="1:7" x14ac:dyDescent="0.25">
      <c r="A45" t="s">
        <v>180</v>
      </c>
      <c r="B45" t="s">
        <v>318</v>
      </c>
      <c r="C45" s="9">
        <v>16212649</v>
      </c>
      <c r="E45" t="s">
        <v>46</v>
      </c>
      <c r="F45">
        <f t="shared" si="0"/>
        <v>8812322</v>
      </c>
      <c r="G45" t="str">
        <f t="shared" si="1"/>
        <v>MATTHEW  SHERMAN</v>
      </c>
    </row>
    <row r="46" spans="1:7" x14ac:dyDescent="0.25">
      <c r="A46" t="s">
        <v>89</v>
      </c>
      <c r="B46" t="s">
        <v>319</v>
      </c>
      <c r="C46" s="9">
        <v>8307933</v>
      </c>
      <c r="E46" t="s">
        <v>174</v>
      </c>
      <c r="F46">
        <f t="shared" si="0"/>
        <v>8307933</v>
      </c>
      <c r="G46" t="str">
        <f t="shared" si="1"/>
        <v>GREG  TEIPEL</v>
      </c>
    </row>
    <row r="47" spans="1:7" x14ac:dyDescent="0.25">
      <c r="A47" t="s">
        <v>204</v>
      </c>
      <c r="B47" t="s">
        <v>319</v>
      </c>
      <c r="C47" s="9">
        <v>8307933</v>
      </c>
      <c r="E47" t="s">
        <v>38</v>
      </c>
      <c r="F47" t="str">
        <f t="shared" si="0"/>
        <v>17528908N</v>
      </c>
      <c r="G47" t="str">
        <f t="shared" si="1"/>
        <v>DEBORAH  INSKIPT</v>
      </c>
    </row>
    <row r="48" spans="1:7" x14ac:dyDescent="0.25">
      <c r="A48" t="s">
        <v>89</v>
      </c>
      <c r="B48" t="s">
        <v>319</v>
      </c>
      <c r="C48" s="9">
        <v>8307933</v>
      </c>
      <c r="E48" t="s">
        <v>150</v>
      </c>
      <c r="F48">
        <f t="shared" si="0"/>
        <v>18754354</v>
      </c>
      <c r="G48" t="str">
        <f t="shared" si="1"/>
        <v>JACOB  YALE</v>
      </c>
    </row>
    <row r="49" spans="1:7" x14ac:dyDescent="0.25">
      <c r="A49" t="s">
        <v>204</v>
      </c>
      <c r="B49" t="s">
        <v>319</v>
      </c>
      <c r="C49" s="9">
        <v>8307933</v>
      </c>
      <c r="E49" t="s">
        <v>124</v>
      </c>
      <c r="F49">
        <f t="shared" si="0"/>
        <v>18828278</v>
      </c>
      <c r="G49" t="str">
        <f t="shared" si="1"/>
        <v>MICHAEL  DUNAVANT</v>
      </c>
    </row>
    <row r="50" spans="1:7" x14ac:dyDescent="0.25">
      <c r="A50" t="s">
        <v>174</v>
      </c>
      <c r="B50" t="s">
        <v>319</v>
      </c>
      <c r="C50" s="9">
        <v>8307933</v>
      </c>
      <c r="E50" t="s">
        <v>121</v>
      </c>
      <c r="F50">
        <f t="shared" si="0"/>
        <v>16170994</v>
      </c>
      <c r="G50" t="str">
        <f t="shared" si="1"/>
        <v>RYAN  SHEPARD</v>
      </c>
    </row>
    <row r="51" spans="1:7" x14ac:dyDescent="0.25">
      <c r="A51" t="s">
        <v>185</v>
      </c>
      <c r="B51" t="s">
        <v>320</v>
      </c>
      <c r="C51" s="9">
        <v>8405446</v>
      </c>
      <c r="E51" t="s">
        <v>143</v>
      </c>
      <c r="F51">
        <f t="shared" si="0"/>
        <v>8244481</v>
      </c>
      <c r="G51" t="str">
        <f t="shared" si="1"/>
        <v>PAMELA  DEATON</v>
      </c>
    </row>
    <row r="52" spans="1:7" x14ac:dyDescent="0.25">
      <c r="A52" t="s">
        <v>185</v>
      </c>
      <c r="B52" t="s">
        <v>320</v>
      </c>
      <c r="C52" s="9">
        <v>8405446</v>
      </c>
      <c r="E52" t="s">
        <v>129</v>
      </c>
      <c r="F52">
        <f t="shared" si="0"/>
        <v>20490188</v>
      </c>
      <c r="G52" t="str">
        <f t="shared" si="1"/>
        <v>THOMAS  SERIO</v>
      </c>
    </row>
    <row r="53" spans="1:7" x14ac:dyDescent="0.25">
      <c r="A53" t="s">
        <v>82</v>
      </c>
      <c r="B53" t="s">
        <v>321</v>
      </c>
      <c r="C53" s="9">
        <v>8325282</v>
      </c>
      <c r="E53" t="s">
        <v>71</v>
      </c>
      <c r="F53">
        <f t="shared" si="0"/>
        <v>16170994</v>
      </c>
      <c r="G53" t="str">
        <f t="shared" si="1"/>
        <v>RYAN  SHEPARD</v>
      </c>
    </row>
    <row r="54" spans="1:7" x14ac:dyDescent="0.25">
      <c r="A54" t="s">
        <v>82</v>
      </c>
      <c r="B54" t="s">
        <v>321</v>
      </c>
      <c r="C54" s="9">
        <v>8325282</v>
      </c>
      <c r="E54" t="s">
        <v>94</v>
      </c>
      <c r="F54">
        <f t="shared" si="0"/>
        <v>16170994</v>
      </c>
      <c r="G54" t="str">
        <f t="shared" si="1"/>
        <v>RYAN  SHEPARD</v>
      </c>
    </row>
    <row r="55" spans="1:7" x14ac:dyDescent="0.25">
      <c r="A55" t="s">
        <v>150</v>
      </c>
      <c r="B55" t="s">
        <v>322</v>
      </c>
      <c r="C55" s="9">
        <v>18754354</v>
      </c>
      <c r="E55" t="s">
        <v>97</v>
      </c>
      <c r="F55">
        <f t="shared" si="0"/>
        <v>16170994</v>
      </c>
      <c r="G55" t="str">
        <f t="shared" si="1"/>
        <v>RYAN  SHEPARD</v>
      </c>
    </row>
    <row r="56" spans="1:7" x14ac:dyDescent="0.25">
      <c r="A56" t="s">
        <v>150</v>
      </c>
      <c r="B56" t="s">
        <v>322</v>
      </c>
      <c r="C56" s="9">
        <v>18754354</v>
      </c>
      <c r="E56" t="s">
        <v>117</v>
      </c>
      <c r="F56">
        <f t="shared" si="0"/>
        <v>16170994</v>
      </c>
      <c r="G56" t="str">
        <f t="shared" si="1"/>
        <v>RYAN  SHEPARD</v>
      </c>
    </row>
    <row r="57" spans="1:7" x14ac:dyDescent="0.25">
      <c r="E57" t="s">
        <v>161</v>
      </c>
      <c r="F57">
        <f t="shared" si="0"/>
        <v>16170994</v>
      </c>
      <c r="G57" t="str">
        <f t="shared" si="1"/>
        <v>RYAN  SHEPARD</v>
      </c>
    </row>
    <row r="58" spans="1:7" x14ac:dyDescent="0.25">
      <c r="E58" t="s">
        <v>164</v>
      </c>
      <c r="F58">
        <f t="shared" si="0"/>
        <v>16170994</v>
      </c>
      <c r="G58" t="str">
        <f t="shared" si="1"/>
        <v>RYAN  SHEPARD</v>
      </c>
    </row>
    <row r="59" spans="1:7" x14ac:dyDescent="0.25">
      <c r="E59" t="s">
        <v>89</v>
      </c>
      <c r="F59">
        <f t="shared" si="0"/>
        <v>8307933</v>
      </c>
      <c r="G59" t="str">
        <f t="shared" si="1"/>
        <v>GREG  TEIPEL</v>
      </c>
    </row>
    <row r="60" spans="1:7" x14ac:dyDescent="0.25">
      <c r="E60" t="s">
        <v>185</v>
      </c>
      <c r="F60">
        <f t="shared" si="0"/>
        <v>8405446</v>
      </c>
      <c r="G60" t="str">
        <f t="shared" si="1"/>
        <v>PATSAMON  THANADABOUTH</v>
      </c>
    </row>
    <row r="61" spans="1:7" x14ac:dyDescent="0.25">
      <c r="E61" t="s">
        <v>82</v>
      </c>
      <c r="F61">
        <f t="shared" si="0"/>
        <v>8325282</v>
      </c>
      <c r="G61" t="str">
        <f t="shared" si="1"/>
        <v>DALE  WALENGA</v>
      </c>
    </row>
    <row r="62" spans="1:7" x14ac:dyDescent="0.25">
      <c r="E62" t="s">
        <v>62</v>
      </c>
      <c r="F62">
        <f t="shared" si="0"/>
        <v>9544903</v>
      </c>
      <c r="G62" t="str">
        <f t="shared" si="1"/>
        <v>ALAN  COUSAR</v>
      </c>
    </row>
    <row r="63" spans="1:7" x14ac:dyDescent="0.25">
      <c r="E63" t="s">
        <v>54</v>
      </c>
      <c r="F63" t="str">
        <f t="shared" si="0"/>
        <v>17528908N</v>
      </c>
      <c r="G63" t="str">
        <f t="shared" si="1"/>
        <v>DEBORAH  INSKIPT</v>
      </c>
    </row>
    <row r="64" spans="1:7" x14ac:dyDescent="0.25">
      <c r="E64" t="s">
        <v>66</v>
      </c>
      <c r="F64">
        <f t="shared" si="0"/>
        <v>19278370</v>
      </c>
      <c r="G64" t="str">
        <f t="shared" si="1"/>
        <v>ANNE MARIE  KOZACHECK</v>
      </c>
    </row>
    <row r="65" spans="5:7" x14ac:dyDescent="0.25">
      <c r="E65" t="s">
        <v>180</v>
      </c>
      <c r="F65">
        <f t="shared" si="0"/>
        <v>16212649</v>
      </c>
      <c r="G65" t="str">
        <f t="shared" si="1"/>
        <v>MURRAY  STERNER</v>
      </c>
    </row>
    <row r="66" spans="5:7" x14ac:dyDescent="0.25">
      <c r="E66" t="s">
        <v>193</v>
      </c>
      <c r="F66">
        <f t="shared" ref="F66:F67" si="2">VLOOKUP(E66,A:C,3,FALSE)</f>
        <v>19268643</v>
      </c>
      <c r="G66" t="str">
        <f t="shared" ref="G66:G67" si="3">VLOOKUP(E66,A:B,2,FALSE)</f>
        <v>CAROL  FRITZ</v>
      </c>
    </row>
    <row r="67" spans="5:7" x14ac:dyDescent="0.25">
      <c r="E67" t="s">
        <v>59</v>
      </c>
      <c r="F67" t="str">
        <f t="shared" si="2"/>
        <v>17528908N</v>
      </c>
      <c r="G67" t="str">
        <f t="shared" si="3"/>
        <v>DEBORAH  INSKIPT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5801-10E6-4803-B213-B092A786FFF5}">
  <dimension ref="A1:E67"/>
  <sheetViews>
    <sheetView tabSelected="1" workbookViewId="0">
      <selection activeCell="A9" sqref="A9"/>
    </sheetView>
  </sheetViews>
  <sheetFormatPr defaultRowHeight="15" x14ac:dyDescent="0.25"/>
  <cols>
    <col min="1" max="1" width="14.7109375" style="9" customWidth="1"/>
    <col min="2" max="2" width="18.85546875" style="9" bestFit="1" customWidth="1"/>
    <col min="3" max="4" width="15.28515625" style="9" customWidth="1"/>
    <col min="5" max="5" width="27.7109375" style="9" bestFit="1" customWidth="1"/>
    <col min="6" max="6" width="15.85546875" style="9" customWidth="1"/>
    <col min="7" max="16384" width="9.140625" style="9"/>
  </cols>
  <sheetData>
    <row r="1" spans="1:5" x14ac:dyDescent="0.25">
      <c r="A1" s="9" t="s">
        <v>62</v>
      </c>
      <c r="B1" s="9" t="str">
        <f>CONCATENATE(A1,"OVR")</f>
        <v>7F17V97KX38OVR</v>
      </c>
      <c r="C1" s="9">
        <v>9544903</v>
      </c>
      <c r="D1" s="9" t="str">
        <f>CONCATENATE(C1,"OVR")</f>
        <v>9544903OVR</v>
      </c>
      <c r="E1" s="9" t="s">
        <v>305</v>
      </c>
    </row>
    <row r="2" spans="1:5" x14ac:dyDescent="0.25">
      <c r="A2" s="9" t="s">
        <v>62</v>
      </c>
      <c r="B2" s="9" t="str">
        <f t="shared" ref="B2:B65" si="0">CONCATENATE(A2,"OVR")</f>
        <v>7F17V97KX38OVR</v>
      </c>
      <c r="C2" s="9">
        <v>9544903</v>
      </c>
      <c r="D2" s="9" t="str">
        <f t="shared" ref="D2:D65" si="1">CONCATENATE(C2,"OVR")</f>
        <v>9544903OVR</v>
      </c>
      <c r="E2" s="9" t="s">
        <v>305</v>
      </c>
    </row>
    <row r="3" spans="1:5" x14ac:dyDescent="0.25">
      <c r="A3" s="9" t="s">
        <v>100</v>
      </c>
      <c r="B3" s="9" t="str">
        <f t="shared" si="0"/>
        <v>3QX2QQ2CD00OVR</v>
      </c>
      <c r="C3" s="9">
        <v>7470776</v>
      </c>
      <c r="D3" s="9" t="str">
        <f t="shared" si="1"/>
        <v>7470776OVR</v>
      </c>
      <c r="E3" s="9" t="s">
        <v>304</v>
      </c>
    </row>
    <row r="4" spans="1:5" x14ac:dyDescent="0.25">
      <c r="A4" s="9" t="s">
        <v>66</v>
      </c>
      <c r="B4" s="9" t="str">
        <f t="shared" si="0"/>
        <v>5Q05TV9EG54OVR</v>
      </c>
      <c r="C4" s="9">
        <v>19278370</v>
      </c>
      <c r="D4" s="9" t="str">
        <f t="shared" si="1"/>
        <v>19278370OVR</v>
      </c>
      <c r="E4" s="9" t="s">
        <v>311</v>
      </c>
    </row>
    <row r="5" spans="1:5" x14ac:dyDescent="0.25">
      <c r="A5" s="9" t="s">
        <v>66</v>
      </c>
      <c r="B5" s="9" t="str">
        <f t="shared" si="0"/>
        <v>5Q05TV9EG54OVR</v>
      </c>
      <c r="C5" s="9">
        <v>19278370</v>
      </c>
      <c r="D5" s="9" t="str">
        <f t="shared" si="1"/>
        <v>19278370OVR</v>
      </c>
      <c r="E5" s="9" t="s">
        <v>311</v>
      </c>
    </row>
    <row r="6" spans="1:5" x14ac:dyDescent="0.25">
      <c r="A6" s="9" t="s">
        <v>200</v>
      </c>
      <c r="B6" s="9" t="str">
        <f t="shared" si="0"/>
        <v>2DM2MN8UR91OVR</v>
      </c>
      <c r="C6" s="9">
        <v>19586992</v>
      </c>
      <c r="D6" s="9" t="str">
        <f t="shared" si="1"/>
        <v>19586992OVR</v>
      </c>
      <c r="E6" s="9" t="s">
        <v>313</v>
      </c>
    </row>
    <row r="7" spans="1:5" x14ac:dyDescent="0.25">
      <c r="A7" s="9" t="s">
        <v>200</v>
      </c>
      <c r="B7" s="9" t="str">
        <f t="shared" si="0"/>
        <v>2DM2MN8UR91OVR</v>
      </c>
      <c r="C7" s="9">
        <v>19586992</v>
      </c>
      <c r="D7" s="9" t="str">
        <f t="shared" si="1"/>
        <v>19586992OVR</v>
      </c>
      <c r="E7" s="9" t="s">
        <v>313</v>
      </c>
    </row>
    <row r="8" spans="1:5" x14ac:dyDescent="0.25">
      <c r="A8" s="9" t="s">
        <v>167</v>
      </c>
      <c r="B8" s="9" t="str">
        <f t="shared" si="0"/>
        <v>1Q64TH9VD07OVR</v>
      </c>
      <c r="C8" s="9">
        <v>17554531</v>
      </c>
      <c r="D8" s="9" t="str">
        <f t="shared" si="1"/>
        <v>17554531OVR</v>
      </c>
      <c r="E8" s="9" t="s">
        <v>312</v>
      </c>
    </row>
    <row r="9" spans="1:5" x14ac:dyDescent="0.25">
      <c r="A9" s="9" t="s">
        <v>167</v>
      </c>
      <c r="B9" s="9" t="str">
        <f t="shared" si="0"/>
        <v>1Q64TH9VD07OVR</v>
      </c>
      <c r="C9" s="9">
        <v>17554531</v>
      </c>
      <c r="D9" s="9" t="str">
        <f t="shared" si="1"/>
        <v>17554531OVR</v>
      </c>
      <c r="E9" s="9" t="s">
        <v>312</v>
      </c>
    </row>
    <row r="10" spans="1:5" x14ac:dyDescent="0.25">
      <c r="A10" s="9" t="s">
        <v>193</v>
      </c>
      <c r="B10" s="9" t="str">
        <f t="shared" si="0"/>
        <v>2VM8TX3NN47OVR</v>
      </c>
      <c r="C10" s="9">
        <v>19268643</v>
      </c>
      <c r="D10" s="9" t="str">
        <f t="shared" si="1"/>
        <v>19268643OVR</v>
      </c>
      <c r="E10" s="9" t="s">
        <v>308</v>
      </c>
    </row>
    <row r="11" spans="1:5" x14ac:dyDescent="0.25">
      <c r="A11" s="9" t="s">
        <v>193</v>
      </c>
      <c r="B11" s="9" t="str">
        <f t="shared" si="0"/>
        <v>2VM8TX3NN47OVR</v>
      </c>
      <c r="C11" s="9">
        <v>19268643</v>
      </c>
      <c r="D11" s="9" t="str">
        <f t="shared" si="1"/>
        <v>19268643OVR</v>
      </c>
      <c r="E11" s="9" t="s">
        <v>308</v>
      </c>
    </row>
    <row r="12" spans="1:5" x14ac:dyDescent="0.25">
      <c r="A12" s="9" t="s">
        <v>82</v>
      </c>
      <c r="B12" s="9" t="str">
        <f t="shared" si="0"/>
        <v>3R11DG6UK08OVR</v>
      </c>
      <c r="C12" s="9">
        <v>8325282</v>
      </c>
      <c r="D12" s="9" t="str">
        <f t="shared" si="1"/>
        <v>8325282OVR</v>
      </c>
      <c r="E12" s="9" t="s">
        <v>321</v>
      </c>
    </row>
    <row r="13" spans="1:5" x14ac:dyDescent="0.25">
      <c r="A13" s="9" t="s">
        <v>82</v>
      </c>
      <c r="B13" s="9" t="str">
        <f t="shared" si="0"/>
        <v>3R11DG6UK08OVR</v>
      </c>
      <c r="C13" s="9">
        <v>8325282</v>
      </c>
      <c r="D13" s="9" t="str">
        <f t="shared" si="1"/>
        <v>8325282OVR</v>
      </c>
      <c r="E13" s="9" t="s">
        <v>321</v>
      </c>
    </row>
    <row r="14" spans="1:5" x14ac:dyDescent="0.25">
      <c r="A14" s="9" t="s">
        <v>59</v>
      </c>
      <c r="B14" s="9" t="str">
        <f t="shared" si="0"/>
        <v>5FD8TC7CN21OVR</v>
      </c>
      <c r="C14" s="9">
        <v>17528908</v>
      </c>
      <c r="D14" s="9" t="str">
        <f t="shared" si="1"/>
        <v>17528908OVR</v>
      </c>
      <c r="E14" s="9" t="s">
        <v>310</v>
      </c>
    </row>
    <row r="15" spans="1:5" x14ac:dyDescent="0.25">
      <c r="A15" s="9" t="s">
        <v>38</v>
      </c>
      <c r="B15" s="9" t="str">
        <f t="shared" si="0"/>
        <v>1QF3J12QP74OVR</v>
      </c>
      <c r="C15" s="9">
        <v>17528908</v>
      </c>
      <c r="D15" s="9" t="str">
        <f t="shared" si="1"/>
        <v>17528908OVR</v>
      </c>
      <c r="E15" s="9" t="s">
        <v>310</v>
      </c>
    </row>
    <row r="16" spans="1:5" x14ac:dyDescent="0.25">
      <c r="A16" s="9" t="s">
        <v>54</v>
      </c>
      <c r="B16" s="9" t="str">
        <f t="shared" si="0"/>
        <v>1TU1G24CD16OVR</v>
      </c>
      <c r="C16" s="9">
        <v>17528908</v>
      </c>
      <c r="D16" s="9" t="str">
        <f t="shared" si="1"/>
        <v>17528908OVR</v>
      </c>
      <c r="E16" s="9" t="s">
        <v>310</v>
      </c>
    </row>
    <row r="17" spans="1:5" x14ac:dyDescent="0.25">
      <c r="A17" s="9" t="s">
        <v>38</v>
      </c>
      <c r="B17" s="9" t="str">
        <f t="shared" si="0"/>
        <v>1QF3J12QP74OVR</v>
      </c>
      <c r="C17" s="9">
        <v>17528908</v>
      </c>
      <c r="D17" s="9" t="str">
        <f t="shared" si="1"/>
        <v>17528908OVR</v>
      </c>
      <c r="E17" s="9" t="s">
        <v>310</v>
      </c>
    </row>
    <row r="18" spans="1:5" x14ac:dyDescent="0.25">
      <c r="A18" s="9" t="s">
        <v>54</v>
      </c>
      <c r="B18" s="9" t="str">
        <f t="shared" si="0"/>
        <v>1TU1G24CD16OVR</v>
      </c>
      <c r="C18" s="9">
        <v>17528908</v>
      </c>
      <c r="D18" s="9" t="str">
        <f t="shared" si="1"/>
        <v>17528908OVR</v>
      </c>
      <c r="E18" s="9" t="s">
        <v>310</v>
      </c>
    </row>
    <row r="19" spans="1:5" x14ac:dyDescent="0.25">
      <c r="A19" s="9" t="s">
        <v>59</v>
      </c>
      <c r="B19" s="9" t="str">
        <f t="shared" si="0"/>
        <v>5FD8TC7CN21OVR</v>
      </c>
      <c r="C19" s="9">
        <v>17528908</v>
      </c>
      <c r="D19" s="9" t="str">
        <f t="shared" si="1"/>
        <v>17528908OVR</v>
      </c>
      <c r="E19" s="9" t="s">
        <v>310</v>
      </c>
    </row>
    <row r="20" spans="1:5" x14ac:dyDescent="0.25">
      <c r="A20" s="9" t="s">
        <v>204</v>
      </c>
      <c r="B20" s="9" t="str">
        <f t="shared" si="0"/>
        <v>4N46F42EU30OVR</v>
      </c>
      <c r="C20" s="9">
        <v>8307933</v>
      </c>
      <c r="D20" s="9" t="str">
        <f t="shared" si="1"/>
        <v>8307933OVR</v>
      </c>
      <c r="E20" s="9" t="s">
        <v>319</v>
      </c>
    </row>
    <row r="21" spans="1:5" x14ac:dyDescent="0.25">
      <c r="A21" s="9" t="s">
        <v>89</v>
      </c>
      <c r="B21" s="9" t="str">
        <f t="shared" si="0"/>
        <v>4JQ0U76XX20OVR</v>
      </c>
      <c r="C21" s="9">
        <v>8307933</v>
      </c>
      <c r="D21" s="9" t="str">
        <f t="shared" si="1"/>
        <v>8307933OVR</v>
      </c>
      <c r="E21" s="9" t="s">
        <v>319</v>
      </c>
    </row>
    <row r="22" spans="1:5" x14ac:dyDescent="0.25">
      <c r="A22" s="9" t="s">
        <v>204</v>
      </c>
      <c r="B22" s="9" t="str">
        <f t="shared" si="0"/>
        <v>4N46F42EU30OVR</v>
      </c>
      <c r="C22" s="9">
        <v>8307933</v>
      </c>
      <c r="D22" s="9" t="str">
        <f t="shared" si="1"/>
        <v>8307933OVR</v>
      </c>
      <c r="E22" s="9" t="s">
        <v>319</v>
      </c>
    </row>
    <row r="23" spans="1:5" x14ac:dyDescent="0.25">
      <c r="A23" s="9" t="s">
        <v>174</v>
      </c>
      <c r="B23" s="9" t="str">
        <f t="shared" si="0"/>
        <v>2JJ4H93QA96OVR</v>
      </c>
      <c r="C23" s="9">
        <v>8307933</v>
      </c>
      <c r="D23" s="9" t="str">
        <f t="shared" si="1"/>
        <v>8307933OVR</v>
      </c>
      <c r="E23" s="9" t="s">
        <v>319</v>
      </c>
    </row>
    <row r="24" spans="1:5" x14ac:dyDescent="0.25">
      <c r="A24" s="9" t="s">
        <v>89</v>
      </c>
      <c r="B24" s="9" t="str">
        <f t="shared" si="0"/>
        <v>4JQ0U76XX20OVR</v>
      </c>
      <c r="C24" s="9">
        <v>8307933</v>
      </c>
      <c r="D24" s="9" t="str">
        <f t="shared" si="1"/>
        <v>8307933OVR</v>
      </c>
      <c r="E24" s="9" t="s">
        <v>319</v>
      </c>
    </row>
    <row r="25" spans="1:5" x14ac:dyDescent="0.25">
      <c r="A25" s="9" t="s">
        <v>106</v>
      </c>
      <c r="B25" s="9" t="str">
        <f t="shared" si="0"/>
        <v>5QG5J34VR77OVR</v>
      </c>
      <c r="C25" s="9">
        <v>17094718</v>
      </c>
      <c r="D25" s="9" t="str">
        <f t="shared" si="1"/>
        <v>17094718OVR</v>
      </c>
      <c r="E25" s="9" t="s">
        <v>111</v>
      </c>
    </row>
    <row r="26" spans="1:5" x14ac:dyDescent="0.25">
      <c r="A26" s="9" t="s">
        <v>150</v>
      </c>
      <c r="B26" s="9" t="str">
        <f t="shared" si="0"/>
        <v>4EC7JW7UE53OVR</v>
      </c>
      <c r="C26" s="9">
        <v>18754354</v>
      </c>
      <c r="D26" s="9" t="str">
        <f t="shared" si="1"/>
        <v>18754354OVR</v>
      </c>
      <c r="E26" s="9" t="s">
        <v>322</v>
      </c>
    </row>
    <row r="27" spans="1:5" x14ac:dyDescent="0.25">
      <c r="A27" s="9" t="s">
        <v>150</v>
      </c>
      <c r="B27" s="9" t="str">
        <f t="shared" si="0"/>
        <v>4EC7JW7UE53OVR</v>
      </c>
      <c r="C27" s="9">
        <v>18754354</v>
      </c>
      <c r="D27" s="9" t="str">
        <f t="shared" si="1"/>
        <v>18754354OVR</v>
      </c>
      <c r="E27" s="9" t="s">
        <v>322</v>
      </c>
    </row>
    <row r="28" spans="1:5" x14ac:dyDescent="0.25">
      <c r="A28" s="9" t="s">
        <v>112</v>
      </c>
      <c r="B28" s="9" t="str">
        <f t="shared" si="0"/>
        <v>9XT5G24PK71OVR</v>
      </c>
      <c r="C28" s="9">
        <v>18142208</v>
      </c>
      <c r="D28" s="9" t="str">
        <f t="shared" si="1"/>
        <v>18142208OVR</v>
      </c>
      <c r="E28" s="9" t="s">
        <v>316</v>
      </c>
    </row>
    <row r="29" spans="1:5" x14ac:dyDescent="0.25">
      <c r="A29" s="9" t="s">
        <v>112</v>
      </c>
      <c r="B29" s="9" t="str">
        <f t="shared" si="0"/>
        <v>9XT5G24PK71OVR</v>
      </c>
      <c r="C29" s="9">
        <v>18142208</v>
      </c>
      <c r="D29" s="9" t="str">
        <f t="shared" si="1"/>
        <v>18142208OVR</v>
      </c>
      <c r="E29" s="9" t="s">
        <v>316</v>
      </c>
    </row>
    <row r="30" spans="1:5" x14ac:dyDescent="0.25">
      <c r="A30" s="9" t="s">
        <v>46</v>
      </c>
      <c r="B30" s="9" t="str">
        <f t="shared" si="0"/>
        <v>7RV7JJ4EA45OVR</v>
      </c>
      <c r="C30" s="9">
        <v>8812322</v>
      </c>
      <c r="D30" s="9" t="str">
        <f t="shared" si="1"/>
        <v>8812322OVR</v>
      </c>
      <c r="E30" s="9" t="s">
        <v>317</v>
      </c>
    </row>
    <row r="31" spans="1:5" x14ac:dyDescent="0.25">
      <c r="A31" s="9" t="s">
        <v>124</v>
      </c>
      <c r="B31" s="9" t="str">
        <f t="shared" si="0"/>
        <v>3W80HH1TH33OVR</v>
      </c>
      <c r="C31" s="9">
        <v>18828278</v>
      </c>
      <c r="D31" s="9" t="str">
        <f t="shared" si="1"/>
        <v>18828278OVR</v>
      </c>
      <c r="E31" s="9" t="s">
        <v>307</v>
      </c>
    </row>
    <row r="32" spans="1:5" x14ac:dyDescent="0.25">
      <c r="A32" s="9" t="s">
        <v>124</v>
      </c>
      <c r="B32" s="9" t="str">
        <f t="shared" si="0"/>
        <v>3W80HH1TH33OVR</v>
      </c>
      <c r="C32" s="9">
        <v>18828278</v>
      </c>
      <c r="D32" s="9" t="str">
        <f t="shared" si="1"/>
        <v>18828278OVR</v>
      </c>
      <c r="E32" s="9" t="s">
        <v>307</v>
      </c>
    </row>
    <row r="33" spans="1:5" x14ac:dyDescent="0.25">
      <c r="A33" s="9" t="s">
        <v>180</v>
      </c>
      <c r="B33" s="9" t="str">
        <f t="shared" si="0"/>
        <v>1G57PT9WT57OVR</v>
      </c>
      <c r="C33" s="9">
        <v>16212649</v>
      </c>
      <c r="D33" s="9" t="str">
        <f t="shared" si="1"/>
        <v>16212649OVR</v>
      </c>
      <c r="E33" s="9" t="s">
        <v>318</v>
      </c>
    </row>
    <row r="34" spans="1:5" x14ac:dyDescent="0.25">
      <c r="A34" s="9" t="s">
        <v>180</v>
      </c>
      <c r="B34" s="9" t="str">
        <f t="shared" si="0"/>
        <v>1G57PT9WT57OVR</v>
      </c>
      <c r="C34" s="9">
        <v>16212649</v>
      </c>
      <c r="D34" s="9" t="str">
        <f t="shared" si="1"/>
        <v>16212649OVR</v>
      </c>
      <c r="E34" s="9" t="s">
        <v>318</v>
      </c>
    </row>
    <row r="35" spans="1:5" x14ac:dyDescent="0.25">
      <c r="A35" s="9" t="s">
        <v>143</v>
      </c>
      <c r="B35" s="9" t="str">
        <f t="shared" si="0"/>
        <v>6CP4GR0KD72OVR</v>
      </c>
      <c r="C35" s="9">
        <v>8244481</v>
      </c>
      <c r="D35" s="9" t="str">
        <f t="shared" si="1"/>
        <v>8244481OVR</v>
      </c>
      <c r="E35" s="9" t="s">
        <v>306</v>
      </c>
    </row>
    <row r="36" spans="1:5" x14ac:dyDescent="0.25">
      <c r="A36" s="9" t="s">
        <v>143</v>
      </c>
      <c r="B36" s="9" t="str">
        <f t="shared" si="0"/>
        <v>6CP4GR0KD72OVR</v>
      </c>
      <c r="C36" s="9">
        <v>8244481</v>
      </c>
      <c r="D36" s="9" t="str">
        <f t="shared" si="1"/>
        <v>8244481OVR</v>
      </c>
      <c r="E36" s="9" t="s">
        <v>306</v>
      </c>
    </row>
    <row r="37" spans="1:5" x14ac:dyDescent="0.25">
      <c r="A37" s="9" t="s">
        <v>185</v>
      </c>
      <c r="B37" s="9" t="str">
        <f t="shared" si="0"/>
        <v>1Y54KT1AK82OVR</v>
      </c>
      <c r="C37" s="9">
        <v>8405446</v>
      </c>
      <c r="D37" s="9" t="str">
        <f t="shared" si="1"/>
        <v>8405446OVR</v>
      </c>
      <c r="E37" s="9" t="s">
        <v>320</v>
      </c>
    </row>
    <row r="38" spans="1:5" x14ac:dyDescent="0.25">
      <c r="A38" s="9" t="s">
        <v>185</v>
      </c>
      <c r="B38" s="9" t="str">
        <f t="shared" si="0"/>
        <v>1Y54KT1AK82OVR</v>
      </c>
      <c r="C38" s="9">
        <v>8405446</v>
      </c>
      <c r="D38" s="9" t="str">
        <f t="shared" si="1"/>
        <v>8405446OVR</v>
      </c>
      <c r="E38" s="9" t="s">
        <v>320</v>
      </c>
    </row>
    <row r="39" spans="1:5" x14ac:dyDescent="0.25">
      <c r="A39" s="9" t="s">
        <v>24</v>
      </c>
      <c r="B39" s="9" t="str">
        <f t="shared" si="0"/>
        <v>7J42MG9NP24OVR</v>
      </c>
      <c r="C39" s="9">
        <v>17886092</v>
      </c>
      <c r="D39" s="9" t="str">
        <f t="shared" si="1"/>
        <v>17886092OVR</v>
      </c>
      <c r="E39" s="9" t="s">
        <v>33</v>
      </c>
    </row>
    <row r="40" spans="1:5" x14ac:dyDescent="0.25">
      <c r="A40" s="9" t="s">
        <v>147</v>
      </c>
      <c r="B40" s="9" t="str">
        <f t="shared" si="0"/>
        <v>3MX4P89WW03OVR</v>
      </c>
      <c r="C40" s="9">
        <v>17886092</v>
      </c>
      <c r="D40" s="9" t="str">
        <f t="shared" si="1"/>
        <v>17886092OVR</v>
      </c>
      <c r="E40" s="9" t="s">
        <v>33</v>
      </c>
    </row>
    <row r="41" spans="1:5" x14ac:dyDescent="0.25">
      <c r="A41" s="9" t="s">
        <v>24</v>
      </c>
      <c r="B41" s="9" t="str">
        <f t="shared" si="0"/>
        <v>7J42MG9NP24OVR</v>
      </c>
      <c r="C41" s="9">
        <v>17886092</v>
      </c>
      <c r="D41" s="9" t="str">
        <f t="shared" si="1"/>
        <v>17886092OVR</v>
      </c>
      <c r="E41" s="9" t="s">
        <v>33</v>
      </c>
    </row>
    <row r="42" spans="1:5" x14ac:dyDescent="0.25">
      <c r="A42" s="9" t="s">
        <v>158</v>
      </c>
      <c r="B42" s="9" t="str">
        <f t="shared" si="0"/>
        <v>9W71UE7PR09OVR</v>
      </c>
      <c r="C42" s="9">
        <v>17886092</v>
      </c>
      <c r="D42" s="9" t="str">
        <f t="shared" si="1"/>
        <v>17886092OVR</v>
      </c>
      <c r="E42" s="9" t="s">
        <v>33</v>
      </c>
    </row>
    <row r="43" spans="1:5" x14ac:dyDescent="0.25">
      <c r="A43" s="9" t="s">
        <v>147</v>
      </c>
      <c r="B43" s="9" t="str">
        <f t="shared" si="0"/>
        <v>3MX4P89WW03OVR</v>
      </c>
      <c r="C43" s="9">
        <v>17886092</v>
      </c>
      <c r="D43" s="9" t="str">
        <f t="shared" si="1"/>
        <v>17886092OVR</v>
      </c>
      <c r="E43" s="9" t="s">
        <v>33</v>
      </c>
    </row>
    <row r="44" spans="1:5" x14ac:dyDescent="0.25">
      <c r="A44" s="9" t="s">
        <v>71</v>
      </c>
      <c r="B44" s="9" t="str">
        <f t="shared" si="0"/>
        <v>9KM4UA0WN80OVR</v>
      </c>
      <c r="C44" s="9">
        <v>16170994</v>
      </c>
      <c r="D44" s="9" t="str">
        <f t="shared" si="1"/>
        <v>16170994OVR</v>
      </c>
      <c r="E44" s="9" t="s">
        <v>315</v>
      </c>
    </row>
    <row r="45" spans="1:5" x14ac:dyDescent="0.25">
      <c r="A45" s="9" t="s">
        <v>94</v>
      </c>
      <c r="B45" s="9" t="str">
        <f t="shared" si="0"/>
        <v>8PW4EF8HN86OVR</v>
      </c>
      <c r="C45" s="9">
        <v>16170994</v>
      </c>
      <c r="D45" s="9" t="str">
        <f t="shared" si="1"/>
        <v>16170994OVR</v>
      </c>
      <c r="E45" s="9" t="s">
        <v>315</v>
      </c>
    </row>
    <row r="46" spans="1:5" x14ac:dyDescent="0.25">
      <c r="A46" s="9" t="s">
        <v>97</v>
      </c>
      <c r="B46" s="9" t="str">
        <f t="shared" si="0"/>
        <v>2WC6NG0QC41OVR</v>
      </c>
      <c r="C46" s="9">
        <v>16170994</v>
      </c>
      <c r="D46" s="9" t="str">
        <f t="shared" si="1"/>
        <v>16170994OVR</v>
      </c>
      <c r="E46" s="9" t="s">
        <v>315</v>
      </c>
    </row>
    <row r="47" spans="1:5" x14ac:dyDescent="0.25">
      <c r="A47" s="9" t="s">
        <v>117</v>
      </c>
      <c r="B47" s="9" t="str">
        <f t="shared" si="0"/>
        <v>5XY7E09VM66OVR</v>
      </c>
      <c r="C47" s="9">
        <v>16170994</v>
      </c>
      <c r="D47" s="9" t="str">
        <f t="shared" si="1"/>
        <v>16170994OVR</v>
      </c>
      <c r="E47" s="9" t="s">
        <v>315</v>
      </c>
    </row>
    <row r="48" spans="1:5" x14ac:dyDescent="0.25">
      <c r="A48" s="9" t="s">
        <v>161</v>
      </c>
      <c r="B48" s="9" t="str">
        <f t="shared" si="0"/>
        <v>8FW1VC0WC07OVR</v>
      </c>
      <c r="C48" s="9">
        <v>16170994</v>
      </c>
      <c r="D48" s="9" t="str">
        <f t="shared" si="1"/>
        <v>16170994OVR</v>
      </c>
      <c r="E48" s="9" t="s">
        <v>315</v>
      </c>
    </row>
    <row r="49" spans="1:5" x14ac:dyDescent="0.25">
      <c r="A49" s="9" t="s">
        <v>164</v>
      </c>
      <c r="B49" s="9" t="str">
        <f t="shared" si="0"/>
        <v>2YU8H05NT30OVR</v>
      </c>
      <c r="C49" s="9">
        <v>16170994</v>
      </c>
      <c r="D49" s="9" t="str">
        <f t="shared" si="1"/>
        <v>16170994OVR</v>
      </c>
      <c r="E49" s="9" t="s">
        <v>315</v>
      </c>
    </row>
    <row r="50" spans="1:5" x14ac:dyDescent="0.25">
      <c r="A50" s="9" t="s">
        <v>121</v>
      </c>
      <c r="B50" s="9" t="str">
        <f t="shared" si="0"/>
        <v>4VY2EX2TF11OVR</v>
      </c>
      <c r="C50" s="9">
        <v>16170994</v>
      </c>
      <c r="D50" s="9" t="str">
        <f t="shared" si="1"/>
        <v>16170994OVR</v>
      </c>
      <c r="E50" s="9" t="s">
        <v>315</v>
      </c>
    </row>
    <row r="51" spans="1:5" x14ac:dyDescent="0.25">
      <c r="A51" s="9" t="s">
        <v>121</v>
      </c>
      <c r="B51" s="9" t="str">
        <f t="shared" si="0"/>
        <v>4VY2EX2TF11OVR</v>
      </c>
      <c r="C51" s="9">
        <v>16170994</v>
      </c>
      <c r="D51" s="9" t="str">
        <f t="shared" si="1"/>
        <v>16170994OVR</v>
      </c>
      <c r="E51" s="9" t="s">
        <v>315</v>
      </c>
    </row>
    <row r="52" spans="1:5" x14ac:dyDescent="0.25">
      <c r="A52" s="9" t="s">
        <v>71</v>
      </c>
      <c r="B52" s="9" t="str">
        <f t="shared" si="0"/>
        <v>9KM4UA0WN80OVR</v>
      </c>
      <c r="C52" s="9">
        <v>16170994</v>
      </c>
      <c r="D52" s="9" t="str">
        <f t="shared" si="1"/>
        <v>16170994OVR</v>
      </c>
      <c r="E52" s="9" t="s">
        <v>315</v>
      </c>
    </row>
    <row r="53" spans="1:5" x14ac:dyDescent="0.25">
      <c r="A53" s="9" t="s">
        <v>94</v>
      </c>
      <c r="B53" s="9" t="str">
        <f t="shared" si="0"/>
        <v>8PW4EF8HN86OVR</v>
      </c>
      <c r="C53" s="9">
        <v>16170994</v>
      </c>
      <c r="D53" s="9" t="str">
        <f t="shared" si="1"/>
        <v>16170994OVR</v>
      </c>
      <c r="E53" s="9" t="s">
        <v>315</v>
      </c>
    </row>
    <row r="54" spans="1:5" x14ac:dyDescent="0.25">
      <c r="A54" s="9" t="s">
        <v>97</v>
      </c>
      <c r="B54" s="9" t="str">
        <f t="shared" si="0"/>
        <v>2WC6NG0QC41OVR</v>
      </c>
      <c r="C54" s="9">
        <v>16170994</v>
      </c>
      <c r="D54" s="9" t="str">
        <f t="shared" si="1"/>
        <v>16170994OVR</v>
      </c>
      <c r="E54" s="9" t="s">
        <v>315</v>
      </c>
    </row>
    <row r="55" spans="1:5" x14ac:dyDescent="0.25">
      <c r="A55" s="9" t="s">
        <v>117</v>
      </c>
      <c r="B55" s="9" t="str">
        <f t="shared" si="0"/>
        <v>5XY7E09VM66OVR</v>
      </c>
      <c r="C55" s="9">
        <v>16170994</v>
      </c>
      <c r="D55" s="9" t="str">
        <f t="shared" si="1"/>
        <v>16170994OVR</v>
      </c>
      <c r="E55" s="9" t="s">
        <v>315</v>
      </c>
    </row>
    <row r="56" spans="1:5" x14ac:dyDescent="0.25">
      <c r="A56" s="9" t="s">
        <v>161</v>
      </c>
      <c r="B56" s="9" t="str">
        <f t="shared" si="0"/>
        <v>8FW1VC0WC07OVR</v>
      </c>
      <c r="C56" s="9">
        <v>16170994</v>
      </c>
      <c r="D56" s="9" t="str">
        <f t="shared" si="1"/>
        <v>16170994OVR</v>
      </c>
      <c r="E56" s="9" t="s">
        <v>315</v>
      </c>
    </row>
    <row r="57" spans="1:5" x14ac:dyDescent="0.25">
      <c r="A57" s="9" t="s">
        <v>164</v>
      </c>
      <c r="B57" s="9" t="str">
        <f t="shared" si="0"/>
        <v>2YU8H05NT30OVR</v>
      </c>
      <c r="C57" s="9">
        <v>16170994</v>
      </c>
      <c r="D57" s="9" t="str">
        <f t="shared" si="1"/>
        <v>16170994OVR</v>
      </c>
      <c r="E57" s="9" t="s">
        <v>315</v>
      </c>
    </row>
    <row r="58" spans="1:5" x14ac:dyDescent="0.25">
      <c r="A58" s="9" t="s">
        <v>78</v>
      </c>
      <c r="B58" s="9" t="str">
        <f t="shared" si="0"/>
        <v>5EK3MF0GC90OVR</v>
      </c>
      <c r="C58" s="9" t="s">
        <v>300</v>
      </c>
      <c r="D58" s="9" t="str">
        <f t="shared" si="1"/>
        <v>8971826NOVR</v>
      </c>
      <c r="E58" s="9" t="s">
        <v>303</v>
      </c>
    </row>
    <row r="59" spans="1:5" x14ac:dyDescent="0.25">
      <c r="A59" s="9" t="s">
        <v>78</v>
      </c>
      <c r="B59" s="9" t="str">
        <f t="shared" si="0"/>
        <v>5EK3MF0GC90OVR</v>
      </c>
      <c r="C59" s="9" t="s">
        <v>300</v>
      </c>
      <c r="D59" s="9" t="str">
        <f t="shared" si="1"/>
        <v>8971826NOVR</v>
      </c>
      <c r="E59" s="9" t="s">
        <v>303</v>
      </c>
    </row>
    <row r="60" spans="1:5" x14ac:dyDescent="0.25">
      <c r="A60" s="9" t="s">
        <v>197</v>
      </c>
      <c r="B60" s="9" t="str">
        <f t="shared" si="0"/>
        <v>7DQ0D66DK38OVR</v>
      </c>
      <c r="C60" s="9">
        <v>20253958</v>
      </c>
      <c r="D60" s="9" t="str">
        <f t="shared" si="1"/>
        <v>20253958OVR</v>
      </c>
      <c r="E60" s="9" t="s">
        <v>138</v>
      </c>
    </row>
    <row r="61" spans="1:5" x14ac:dyDescent="0.25">
      <c r="A61" s="9" t="s">
        <v>190</v>
      </c>
      <c r="B61" s="9" t="str">
        <f t="shared" si="0"/>
        <v>7EN4W94UE62OVR</v>
      </c>
      <c r="C61" s="9">
        <v>20253958</v>
      </c>
      <c r="D61" s="9" t="str">
        <f t="shared" si="1"/>
        <v>20253958OVR</v>
      </c>
      <c r="E61" s="9" t="s">
        <v>138</v>
      </c>
    </row>
    <row r="62" spans="1:5" x14ac:dyDescent="0.25">
      <c r="A62" s="9" t="s">
        <v>135</v>
      </c>
      <c r="B62" s="9" t="str">
        <f t="shared" si="0"/>
        <v>2ME8XH0GM31OVR</v>
      </c>
      <c r="C62" s="9">
        <v>20253958</v>
      </c>
      <c r="D62" s="9" t="str">
        <f t="shared" si="1"/>
        <v>20253958OVR</v>
      </c>
      <c r="E62" s="9" t="s">
        <v>138</v>
      </c>
    </row>
    <row r="63" spans="1:5" x14ac:dyDescent="0.25">
      <c r="A63" s="9" t="s">
        <v>139</v>
      </c>
      <c r="B63" s="9" t="str">
        <f t="shared" si="0"/>
        <v>4F35FX8QV50OVR</v>
      </c>
      <c r="C63" s="9">
        <v>20253958</v>
      </c>
      <c r="D63" s="9" t="str">
        <f t="shared" si="1"/>
        <v>20253958OVR</v>
      </c>
      <c r="E63" s="9" t="s">
        <v>138</v>
      </c>
    </row>
    <row r="64" spans="1:5" x14ac:dyDescent="0.25">
      <c r="A64" s="9" t="s">
        <v>190</v>
      </c>
      <c r="B64" s="9" t="str">
        <f t="shared" si="0"/>
        <v>7EN4W94UE62OVR</v>
      </c>
      <c r="C64" s="9">
        <v>20253958</v>
      </c>
      <c r="D64" s="9" t="str">
        <f t="shared" si="1"/>
        <v>20253958OVR</v>
      </c>
      <c r="E64" s="9" t="s">
        <v>138</v>
      </c>
    </row>
    <row r="65" spans="1:5" x14ac:dyDescent="0.25">
      <c r="A65" s="9" t="s">
        <v>197</v>
      </c>
      <c r="B65" s="9" t="str">
        <f t="shared" si="0"/>
        <v>7DQ0D66DK38OVR</v>
      </c>
      <c r="C65" s="9">
        <v>20253958</v>
      </c>
      <c r="D65" s="9" t="str">
        <f t="shared" si="1"/>
        <v>20253958OVR</v>
      </c>
      <c r="E65" s="9" t="s">
        <v>138</v>
      </c>
    </row>
    <row r="66" spans="1:5" x14ac:dyDescent="0.25">
      <c r="A66" s="9" t="s">
        <v>129</v>
      </c>
      <c r="B66" s="9" t="str">
        <f t="shared" ref="B66:B67" si="2">CONCATENATE(A66,"OVR")</f>
        <v>2VT1P36TM01OVR</v>
      </c>
      <c r="C66" s="9">
        <v>20490188</v>
      </c>
      <c r="D66" s="9" t="str">
        <f t="shared" ref="D66:D67" si="3">CONCATENATE(C66,"OVR")</f>
        <v>20490188OVR</v>
      </c>
      <c r="E66" s="9" t="s">
        <v>314</v>
      </c>
    </row>
    <row r="67" spans="1:5" x14ac:dyDescent="0.25">
      <c r="A67" s="9" t="s">
        <v>129</v>
      </c>
      <c r="B67" s="9" t="str">
        <f t="shared" si="2"/>
        <v>2VT1P36TM01OVR</v>
      </c>
      <c r="C67" s="9">
        <v>20490188</v>
      </c>
      <c r="D67" s="9" t="str">
        <f t="shared" si="3"/>
        <v>20490188OVR</v>
      </c>
      <c r="E67" s="9" t="s">
        <v>314</v>
      </c>
    </row>
  </sheetData>
  <sortState xmlns:xlrd2="http://schemas.microsoft.com/office/spreadsheetml/2017/richdata2" ref="A1:E67">
    <sortCondition ref="E1:E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Line Benefits LLC_med_comm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2026-05-29T10:27:48Z</dcterms:created>
  <dcterms:modified xsi:type="dcterms:W3CDTF">2026-06-03T17:38:17Z</dcterms:modified>
</cp:coreProperties>
</file>