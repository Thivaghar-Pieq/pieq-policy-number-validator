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3-10-26\"/>
    </mc:Choice>
  </mc:AlternateContent>
  <xr:revisionPtr revIDLastSave="0" documentId="13_ncr:1_{65838C1A-F1A8-4D08-89ED-2CD5E3CBE958}" xr6:coauthVersionLast="47" xr6:coauthVersionMax="47" xr10:uidLastSave="{00000000-0000-0000-0000-000000000000}"/>
  <bookViews>
    <workbookView xWindow="28680" yWindow="-30" windowWidth="29040" windowHeight="16440" activeTab="1" xr2:uid="{E0140644-9266-4942-93E1-147493F803DA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2" l="1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E4" i="2"/>
  <c r="E13" i="2"/>
  <c r="E38" i="2"/>
  <c r="E23" i="2"/>
  <c r="E32" i="2"/>
  <c r="E12" i="2"/>
  <c r="E31" i="2"/>
  <c r="E35" i="2"/>
  <c r="E36" i="2"/>
  <c r="E8" i="2"/>
  <c r="E27" i="2"/>
  <c r="E14" i="2"/>
  <c r="E17" i="2"/>
  <c r="E21" i="2"/>
  <c r="E18" i="2"/>
  <c r="E10" i="2"/>
  <c r="E6" i="2"/>
  <c r="E7" i="2"/>
  <c r="E20" i="2"/>
  <c r="E19" i="2"/>
  <c r="E3" i="2"/>
  <c r="E11" i="2"/>
  <c r="E5" i="2"/>
  <c r="E15" i="2"/>
  <c r="E33" i="2"/>
  <c r="E39" i="2"/>
  <c r="E43" i="2"/>
  <c r="E40" i="2"/>
  <c r="E29" i="2"/>
  <c r="E25" i="2"/>
  <c r="E26" i="2"/>
  <c r="E42" i="2"/>
  <c r="E41" i="2"/>
  <c r="E22" i="2"/>
  <c r="E30" i="2"/>
  <c r="E24" i="2"/>
  <c r="E34" i="2"/>
  <c r="E9" i="2"/>
  <c r="E28" i="2"/>
  <c r="E2" i="2"/>
  <c r="E37" i="2"/>
  <c r="E16" i="2"/>
</calcChain>
</file>

<file path=xl/sharedStrings.xml><?xml version="1.0" encoding="utf-8"?>
<sst xmlns="http://schemas.openxmlformats.org/spreadsheetml/2006/main" count="828" uniqueCount="203">
  <si>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</si>
  <si>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</si>
  <si>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</si>
  <si>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</si>
  <si>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</si>
  <si>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</si>
  <si>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</si>
  <si>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</si>
  <si>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</si>
  <si>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</si>
  <si>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</si>
  <si>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</si>
  <si>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</si>
  <si>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</si>
  <si>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</si>
  <si>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</si>
  <si>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</si>
  <si>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</si>
  <si>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</si>
  <si>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</si>
  <si>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</si>
  <si>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</si>
  <si>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</si>
  <si>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</si>
  <si>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9YJ0YG5PE30</t>
  </si>
  <si>
    <t>NG101391075200</t>
  </si>
  <si>
    <t>BLACKBURN R,IRVIN</t>
  </si>
  <si>
    <t>IL</t>
  </si>
  <si>
    <t>New Business</t>
  </si>
  <si>
    <t>MAPD</t>
  </si>
  <si>
    <t>IMM606</t>
  </si>
  <si>
    <t>H5521-086</t>
  </si>
  <si>
    <t>LOA</t>
  </si>
  <si>
    <t>Portugal, Gary</t>
  </si>
  <si>
    <t>MMO</t>
  </si>
  <si>
    <t>Main Line Benefits LLC</t>
  </si>
  <si>
    <t xml:space="preserve">N  </t>
  </si>
  <si>
    <t>1FK0K18TJ24</t>
  </si>
  <si>
    <t>NG102267819000</t>
  </si>
  <si>
    <t>BURROUGHS L,SUSAN</t>
  </si>
  <si>
    <t>OH</t>
  </si>
  <si>
    <t>IMM617</t>
  </si>
  <si>
    <t>H1608-029</t>
  </si>
  <si>
    <t>Shepard, Jill</t>
  </si>
  <si>
    <t>8A78VV5NW23</t>
  </si>
  <si>
    <t>NG102267666700</t>
  </si>
  <si>
    <t>CRAMER A,DAVID</t>
  </si>
  <si>
    <t>PA</t>
  </si>
  <si>
    <t>IMM608</t>
  </si>
  <si>
    <t>H3959-036</t>
  </si>
  <si>
    <t>Powers, Timothy</t>
  </si>
  <si>
    <t>2PX7HG4QU42</t>
  </si>
  <si>
    <t>NG102267150500</t>
  </si>
  <si>
    <t>CRANE K,LESA</t>
  </si>
  <si>
    <t>IMM619</t>
  </si>
  <si>
    <t>H7301-007</t>
  </si>
  <si>
    <t>Yale, Chad</t>
  </si>
  <si>
    <t>6EX0PK7VV43</t>
  </si>
  <si>
    <t>NG102229390800</t>
  </si>
  <si>
    <t>DEMOR M,AUDREY</t>
  </si>
  <si>
    <t>Voluntarily Rapid Disenroll</t>
  </si>
  <si>
    <t>H0628-036</t>
  </si>
  <si>
    <t>H0628-005</t>
  </si>
  <si>
    <t>4A03C08DH75</t>
  </si>
  <si>
    <t>NG102268067300</t>
  </si>
  <si>
    <t>FERGUSON J,LAURAL</t>
  </si>
  <si>
    <t>IN</t>
  </si>
  <si>
    <t>H5521-099</t>
  </si>
  <si>
    <t>Green, Danna</t>
  </si>
  <si>
    <t>2HG5PD8AM53</t>
  </si>
  <si>
    <t>NG102268022900</t>
  </si>
  <si>
    <t>JOHNSON J,WALTER</t>
  </si>
  <si>
    <t>NJ</t>
  </si>
  <si>
    <t>IMM614</t>
  </si>
  <si>
    <t>H3152-082</t>
  </si>
  <si>
    <t>Roccia, Mark</t>
  </si>
  <si>
    <t>3JR3TQ6UW89</t>
  </si>
  <si>
    <t>NG102261184800</t>
  </si>
  <si>
    <t>KLUKAN L,DAVID</t>
  </si>
  <si>
    <t>H5522-005</t>
  </si>
  <si>
    <t>8HV1E26EC16</t>
  </si>
  <si>
    <t>NG101696157100</t>
  </si>
  <si>
    <t>LALONDE W,VICTORIA</t>
  </si>
  <si>
    <t>NY</t>
  </si>
  <si>
    <t>IMM615</t>
  </si>
  <si>
    <t>H5521-120</t>
  </si>
  <si>
    <t>Brousseau, Christopher</t>
  </si>
  <si>
    <t>7Q47PD5JG78</t>
  </si>
  <si>
    <t>NG101344081200</t>
  </si>
  <si>
    <t>LENTINI V,GUY</t>
  </si>
  <si>
    <t>Drapac, Stephanie</t>
  </si>
  <si>
    <t>3GD7EQ2QJ50</t>
  </si>
  <si>
    <t>NG101258199600</t>
  </si>
  <si>
    <t>LENTINI,MYRA</t>
  </si>
  <si>
    <t>6JX2RN0DX15</t>
  </si>
  <si>
    <t>NG102267811200</t>
  </si>
  <si>
    <t>MCELWEE R,KENNETH</t>
  </si>
  <si>
    <t>MO</t>
  </si>
  <si>
    <t>IMM607</t>
  </si>
  <si>
    <t>H1608-016</t>
  </si>
  <si>
    <t>Teipel, Gregory</t>
  </si>
  <si>
    <t>8TP5N48TK68</t>
  </si>
  <si>
    <t>NG102267302700</t>
  </si>
  <si>
    <t>MILKOVICH,JASMINKA</t>
  </si>
  <si>
    <t>H0628-013</t>
  </si>
  <si>
    <t>1KW3UV9QD88</t>
  </si>
  <si>
    <t>NG102266530400</t>
  </si>
  <si>
    <t>NEWTON J,CLETUS</t>
  </si>
  <si>
    <t>H7301-009</t>
  </si>
  <si>
    <t>DUNAVANT, MICHAEL</t>
  </si>
  <si>
    <t>OH9999999</t>
  </si>
  <si>
    <t>ME0000OH</t>
  </si>
  <si>
    <t>OHIO, JANE</t>
  </si>
  <si>
    <t>HRA</t>
  </si>
  <si>
    <t>PPO</t>
  </si>
  <si>
    <t>H5521-087</t>
  </si>
  <si>
    <t>HRA/T126005887634A/18142208/COUCH_DEBRA</t>
  </si>
  <si>
    <t>MAIN LINE BENEFITS LLC</t>
  </si>
  <si>
    <t>N/A</t>
  </si>
  <si>
    <t>HRA/T12600513428A/18142208/MILKOVICH_JASMINKA</t>
  </si>
  <si>
    <t>9JC7E85YE43</t>
  </si>
  <si>
    <t>NG101978886700</t>
  </si>
  <si>
    <t>POLAND M,TAMMY</t>
  </si>
  <si>
    <t>H2663-064</t>
  </si>
  <si>
    <t>OLIVER, BRITTANY</t>
  </si>
  <si>
    <t>4W67UU9VN35</t>
  </si>
  <si>
    <t>NG102267701900</t>
  </si>
  <si>
    <t>PRIZANT J,JOHN</t>
  </si>
  <si>
    <t>FL</t>
  </si>
  <si>
    <t>IMM604</t>
  </si>
  <si>
    <t>H5521-273</t>
  </si>
  <si>
    <t>Arenson, Gregg</t>
  </si>
  <si>
    <t>8RY1JU7YP10</t>
  </si>
  <si>
    <t>NG102090618000</t>
  </si>
  <si>
    <t>SINGH T,NAYAN</t>
  </si>
  <si>
    <t>H5521-016</t>
  </si>
  <si>
    <t>2QP8M29JM48</t>
  </si>
  <si>
    <t>NG101489898000</t>
  </si>
  <si>
    <t>SINGLEY S,LINDA</t>
  </si>
  <si>
    <t>4XX0MP2FJ04</t>
  </si>
  <si>
    <t>MEQNDVYM00000205630</t>
  </si>
  <si>
    <t>SOLANO,ELVIA</t>
  </si>
  <si>
    <t>H9771-001</t>
  </si>
  <si>
    <t>Herrera-Larsen, Esther</t>
  </si>
  <si>
    <t>9F12VG7WH96</t>
  </si>
  <si>
    <t>NG102267358300</t>
  </si>
  <si>
    <t>TERRICK J,WILLIAM</t>
  </si>
  <si>
    <t>AZ</t>
  </si>
  <si>
    <t>IMM601</t>
  </si>
  <si>
    <t>H5521-554</t>
  </si>
  <si>
    <t>Choi, Andrew</t>
  </si>
  <si>
    <t>7AY6CH7MA60</t>
  </si>
  <si>
    <t>NG102085674800</t>
  </si>
  <si>
    <t>TUMMILLO J,EDWARD</t>
  </si>
  <si>
    <t>Total Payee Amount: $6282.00</t>
  </si>
  <si>
    <t>[%/$=347][prorate=12/12]</t>
  </si>
  <si>
    <t>Aetna MAPD 2026*</t>
  </si>
  <si>
    <t>Aetna MAPD OVR 2026</t>
  </si>
  <si>
    <t>[%/$=347][prorate=10/12]</t>
  </si>
  <si>
    <t>[%/$=347][prorate=8/12]</t>
  </si>
  <si>
    <t>Aetna 2026 CA, NJ*</t>
  </si>
  <si>
    <t>[%/$=432][prorate=10/12]</t>
  </si>
  <si>
    <t>DEMOR</t>
  </si>
  <si>
    <t>AUDREY</t>
  </si>
  <si>
    <t>LALONDE</t>
  </si>
  <si>
    <t>VICTORIA</t>
  </si>
  <si>
    <t>SINGH</t>
  </si>
  <si>
    <t>NAYAN</t>
  </si>
  <si>
    <t>POLAND</t>
  </si>
  <si>
    <t>TAMMY</t>
  </si>
  <si>
    <t>KLUKAN</t>
  </si>
  <si>
    <t>DAVID</t>
  </si>
  <si>
    <t>CRAMER</t>
  </si>
  <si>
    <t>NEWTON</t>
  </si>
  <si>
    <t>CLETUS</t>
  </si>
  <si>
    <t>BLACKBURN</t>
  </si>
  <si>
    <t>IRVIN</t>
  </si>
  <si>
    <t>BURROUGHS</t>
  </si>
  <si>
    <t>SUSAN</t>
  </si>
  <si>
    <t>CRANE</t>
  </si>
  <si>
    <t>LESA</t>
  </si>
  <si>
    <t>FERGUSON</t>
  </si>
  <si>
    <t>LAURAL</t>
  </si>
  <si>
    <t>LENTINI</t>
  </si>
  <si>
    <t>GUY</t>
  </si>
  <si>
    <t>MYRA</t>
  </si>
  <si>
    <t>MCELWEE</t>
  </si>
  <si>
    <t>KENNETH</t>
  </si>
  <si>
    <t>MILKOVICH</t>
  </si>
  <si>
    <t>JASMINKA</t>
  </si>
  <si>
    <t>PRIZANT</t>
  </si>
  <si>
    <t>JOHN</t>
  </si>
  <si>
    <t>SOLANO</t>
  </si>
  <si>
    <t>ELVIA</t>
  </si>
  <si>
    <t>TERRICK</t>
  </si>
  <si>
    <t>WILLIAM</t>
  </si>
  <si>
    <t>TUMMILLO</t>
  </si>
  <si>
    <t>EDWARD</t>
  </si>
  <si>
    <t>SINGLEY</t>
  </si>
  <si>
    <t>LINDA</t>
  </si>
  <si>
    <t>JOHNSON</t>
  </si>
  <si>
    <t>WALTER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</si>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</sst>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0A88-64A9-4CF7-85EE-2EF0DFF0F126}">
  <dimension ref="A1:X49"/>
  <sheetViews>
    <sheetView topLeftCell="J1" workbookViewId="0">
      <selection activeCell="J1" sqref="A1:XFD1048576"/>
    </sheetView>
  </sheetViews>
  <sheetFormatPr defaultRowHeight="14.4" x14ac:dyDescent="0.3"/>
  <cols>
    <col min="1" max="1" width="28" bestFit="1" customWidth="1"/>
    <col min="2" max="2" width="17.33203125" bestFit="1" customWidth="1"/>
    <col min="3" max="3" width="23.33203125" bestFit="1" customWidth="1"/>
    <col min="4" max="4" width="17.44140625" bestFit="1" customWidth="1"/>
    <col min="5" max="5" width="22.44140625" bestFit="1" customWidth="1"/>
    <col min="6" max="6" width="13.6640625" bestFit="1" customWidth="1"/>
    <col min="7" max="7" width="28" bestFit="1" customWidth="1"/>
    <col min="8" max="8" width="7.88671875" bestFit="1" customWidth="1"/>
    <col min="9" max="9" width="8" bestFit="1" customWidth="1"/>
    <col min="10" max="10" width="10" bestFit="1" customWidth="1"/>
    <col min="11" max="11" width="50" bestFit="1" customWidth="1"/>
    <col min="12" max="12" width="15.6640625" bestFit="1" customWidth="1"/>
    <col min="13" max="13" width="13.5546875" bestFit="1" customWidth="1"/>
    <col min="14" max="14" width="10.109375" bestFit="1" customWidth="1"/>
    <col min="15" max="15" width="18" bestFit="1" customWidth="1"/>
    <col min="16" max="16" width="18.6640625" bestFit="1" customWidth="1"/>
    <col min="17" max="17" width="27.88671875" bestFit="1" customWidth="1"/>
    <col min="18" max="18" width="8.6640625" bestFit="1" customWidth="1"/>
    <col min="19" max="19" width="11.5546875" bestFit="1" customWidth="1"/>
    <col min="20" max="20" width="22.5546875" bestFit="1" customWidth="1"/>
    <col min="21" max="21" width="14.109375" bestFit="1" customWidth="1"/>
    <col min="22" max="22" width="9.44140625" bestFit="1" customWidth="1"/>
    <col min="23" max="23" width="14.109375" bestFit="1" customWidth="1"/>
    <col min="24" max="24" width="9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46091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46082</v>
      </c>
      <c r="M2" s="1">
        <v>46082</v>
      </c>
      <c r="O2">
        <v>9213293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414.17</v>
      </c>
      <c r="V2" t="s">
        <v>36</v>
      </c>
      <c r="W2" s="1">
        <v>46076</v>
      </c>
      <c r="X2">
        <v>2026</v>
      </c>
    </row>
    <row r="3" spans="1:24" x14ac:dyDescent="0.3">
      <c r="A3" s="1">
        <v>46091</v>
      </c>
      <c r="B3" t="s">
        <v>37</v>
      </c>
      <c r="C3" t="s">
        <v>38</v>
      </c>
      <c r="E3" t="s">
        <v>39</v>
      </c>
      <c r="F3" t="s">
        <v>40</v>
      </c>
      <c r="G3" t="s">
        <v>28</v>
      </c>
      <c r="H3" t="s">
        <v>29</v>
      </c>
      <c r="I3" t="s">
        <v>41</v>
      </c>
      <c r="J3" t="s">
        <v>42</v>
      </c>
      <c r="L3" s="1">
        <v>46082</v>
      </c>
      <c r="M3" s="1">
        <v>46082</v>
      </c>
      <c r="O3">
        <v>18142208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414.17</v>
      </c>
      <c r="V3" t="s">
        <v>36</v>
      </c>
      <c r="W3" s="1">
        <v>46077</v>
      </c>
      <c r="X3">
        <v>2026</v>
      </c>
    </row>
    <row r="4" spans="1:24" x14ac:dyDescent="0.3">
      <c r="A4" s="1">
        <v>46091</v>
      </c>
      <c r="B4" t="s">
        <v>44</v>
      </c>
      <c r="C4" t="s">
        <v>45</v>
      </c>
      <c r="E4" t="s">
        <v>46</v>
      </c>
      <c r="F4" t="s">
        <v>47</v>
      </c>
      <c r="G4" t="s">
        <v>28</v>
      </c>
      <c r="H4" t="s">
        <v>29</v>
      </c>
      <c r="I4" t="s">
        <v>48</v>
      </c>
      <c r="J4" t="s">
        <v>49</v>
      </c>
      <c r="L4" s="1">
        <v>46082</v>
      </c>
      <c r="M4" s="1">
        <v>46082</v>
      </c>
      <c r="O4">
        <v>17886092</v>
      </c>
      <c r="P4" t="s">
        <v>32</v>
      </c>
      <c r="Q4" t="s">
        <v>50</v>
      </c>
      <c r="R4">
        <v>8192</v>
      </c>
      <c r="S4" t="s">
        <v>34</v>
      </c>
      <c r="T4" t="s">
        <v>35</v>
      </c>
      <c r="U4">
        <v>54.16</v>
      </c>
      <c r="V4" t="s">
        <v>36</v>
      </c>
      <c r="W4" s="1">
        <v>46076</v>
      </c>
      <c r="X4">
        <v>2026</v>
      </c>
    </row>
    <row r="5" spans="1:24" x14ac:dyDescent="0.3">
      <c r="A5" s="1">
        <v>46091</v>
      </c>
      <c r="B5" t="s">
        <v>51</v>
      </c>
      <c r="C5" t="s">
        <v>52</v>
      </c>
      <c r="E5" t="s">
        <v>53</v>
      </c>
      <c r="F5" t="s">
        <v>27</v>
      </c>
      <c r="G5" t="s">
        <v>28</v>
      </c>
      <c r="H5" t="s">
        <v>29</v>
      </c>
      <c r="I5" t="s">
        <v>54</v>
      </c>
      <c r="J5" t="s">
        <v>55</v>
      </c>
      <c r="L5" s="1">
        <v>46082</v>
      </c>
      <c r="M5" s="1">
        <v>46082</v>
      </c>
      <c r="O5">
        <v>20003537</v>
      </c>
      <c r="P5" t="s">
        <v>32</v>
      </c>
      <c r="Q5" t="s">
        <v>56</v>
      </c>
      <c r="R5">
        <v>8192</v>
      </c>
      <c r="S5" t="s">
        <v>34</v>
      </c>
      <c r="T5" t="s">
        <v>35</v>
      </c>
      <c r="U5">
        <v>414.17</v>
      </c>
      <c r="V5" t="s">
        <v>36</v>
      </c>
      <c r="W5" s="1">
        <v>46073</v>
      </c>
      <c r="X5">
        <v>2026</v>
      </c>
    </row>
    <row r="6" spans="1:24" x14ac:dyDescent="0.3">
      <c r="A6" s="1">
        <v>46091</v>
      </c>
      <c r="B6" t="s">
        <v>57</v>
      </c>
      <c r="C6" t="s">
        <v>58</v>
      </c>
      <c r="E6" t="s">
        <v>59</v>
      </c>
      <c r="F6" t="s">
        <v>40</v>
      </c>
      <c r="G6" t="s">
        <v>60</v>
      </c>
      <c r="H6" t="s">
        <v>29</v>
      </c>
      <c r="I6" t="s">
        <v>41</v>
      </c>
      <c r="J6" t="s">
        <v>61</v>
      </c>
      <c r="L6" s="1">
        <v>46023</v>
      </c>
      <c r="M6" s="1">
        <v>46023</v>
      </c>
      <c r="N6" s="1">
        <v>46081</v>
      </c>
      <c r="O6">
        <v>18142208</v>
      </c>
      <c r="P6" t="s">
        <v>32</v>
      </c>
      <c r="Q6" t="s">
        <v>43</v>
      </c>
      <c r="R6">
        <v>8192</v>
      </c>
      <c r="S6" t="s">
        <v>34</v>
      </c>
      <c r="T6" t="s">
        <v>35</v>
      </c>
      <c r="U6">
        <v>-497</v>
      </c>
      <c r="V6" t="s">
        <v>36</v>
      </c>
      <c r="W6" s="1">
        <v>45979</v>
      </c>
      <c r="X6">
        <v>2026</v>
      </c>
    </row>
    <row r="7" spans="1:24" x14ac:dyDescent="0.3">
      <c r="A7" s="1">
        <v>46091</v>
      </c>
      <c r="B7" t="s">
        <v>57</v>
      </c>
      <c r="C7" t="s">
        <v>58</v>
      </c>
      <c r="E7" t="s">
        <v>59</v>
      </c>
      <c r="F7" t="s">
        <v>40</v>
      </c>
      <c r="G7" t="s">
        <v>28</v>
      </c>
      <c r="H7" t="s">
        <v>29</v>
      </c>
      <c r="I7" t="s">
        <v>41</v>
      </c>
      <c r="J7" t="s">
        <v>62</v>
      </c>
      <c r="L7" s="1">
        <v>46082</v>
      </c>
      <c r="M7" s="1">
        <v>46082</v>
      </c>
      <c r="O7">
        <v>18142208</v>
      </c>
      <c r="P7" t="s">
        <v>32</v>
      </c>
      <c r="Q7" t="s">
        <v>43</v>
      </c>
      <c r="R7">
        <v>8192</v>
      </c>
      <c r="S7" t="s">
        <v>34</v>
      </c>
      <c r="T7" t="s">
        <v>35</v>
      </c>
      <c r="U7">
        <v>414.17</v>
      </c>
      <c r="V7" t="s">
        <v>36</v>
      </c>
      <c r="W7" s="1">
        <v>46079</v>
      </c>
      <c r="X7">
        <v>2026</v>
      </c>
    </row>
    <row r="8" spans="1:24" x14ac:dyDescent="0.3">
      <c r="A8" s="1">
        <v>46091</v>
      </c>
      <c r="B8" t="s">
        <v>63</v>
      </c>
      <c r="C8" t="s">
        <v>64</v>
      </c>
      <c r="E8" t="s">
        <v>65</v>
      </c>
      <c r="F8" t="s">
        <v>66</v>
      </c>
      <c r="G8" t="s">
        <v>28</v>
      </c>
      <c r="H8" t="s">
        <v>29</v>
      </c>
      <c r="I8" t="s">
        <v>30</v>
      </c>
      <c r="J8" t="s">
        <v>67</v>
      </c>
      <c r="L8" s="1">
        <v>46082</v>
      </c>
      <c r="M8" s="1">
        <v>46082</v>
      </c>
      <c r="O8">
        <v>16849453</v>
      </c>
      <c r="P8" t="s">
        <v>32</v>
      </c>
      <c r="Q8" t="s">
        <v>68</v>
      </c>
      <c r="R8">
        <v>8192</v>
      </c>
      <c r="S8" t="s">
        <v>34</v>
      </c>
      <c r="T8" t="s">
        <v>35</v>
      </c>
      <c r="U8">
        <v>414.17</v>
      </c>
      <c r="V8" t="s">
        <v>36</v>
      </c>
      <c r="W8" s="1">
        <v>46078</v>
      </c>
      <c r="X8">
        <v>2026</v>
      </c>
    </row>
    <row r="9" spans="1:24" x14ac:dyDescent="0.3">
      <c r="A9" s="1">
        <v>46091</v>
      </c>
      <c r="B9" t="s">
        <v>69</v>
      </c>
      <c r="C9" t="s">
        <v>70</v>
      </c>
      <c r="E9" t="s">
        <v>71</v>
      </c>
      <c r="F9" t="s">
        <v>72</v>
      </c>
      <c r="G9" t="s">
        <v>28</v>
      </c>
      <c r="H9" t="s">
        <v>29</v>
      </c>
      <c r="I9" t="s">
        <v>73</v>
      </c>
      <c r="J9" t="s">
        <v>74</v>
      </c>
      <c r="L9" s="1">
        <v>46082</v>
      </c>
      <c r="M9" s="1">
        <v>46082</v>
      </c>
      <c r="O9">
        <v>21618313</v>
      </c>
      <c r="P9" t="s">
        <v>32</v>
      </c>
      <c r="Q9" t="s">
        <v>75</v>
      </c>
      <c r="R9">
        <v>8192</v>
      </c>
      <c r="S9" t="s">
        <v>34</v>
      </c>
      <c r="T9" t="s">
        <v>35</v>
      </c>
      <c r="U9">
        <v>505.83</v>
      </c>
      <c r="V9" t="s">
        <v>36</v>
      </c>
      <c r="W9" s="1">
        <v>46078</v>
      </c>
      <c r="X9">
        <v>2026</v>
      </c>
    </row>
    <row r="10" spans="1:24" x14ac:dyDescent="0.3">
      <c r="A10" s="1">
        <v>46091</v>
      </c>
      <c r="B10" t="s">
        <v>76</v>
      </c>
      <c r="C10" t="s">
        <v>77</v>
      </c>
      <c r="E10" t="s">
        <v>78</v>
      </c>
      <c r="F10" t="s">
        <v>47</v>
      </c>
      <c r="G10" t="s">
        <v>60</v>
      </c>
      <c r="H10" t="s">
        <v>29</v>
      </c>
      <c r="I10" t="s">
        <v>48</v>
      </c>
      <c r="J10" t="s">
        <v>79</v>
      </c>
      <c r="L10" s="1">
        <v>46054</v>
      </c>
      <c r="M10" s="1">
        <v>46054</v>
      </c>
      <c r="N10" s="1">
        <v>46081</v>
      </c>
      <c r="O10">
        <v>17886092</v>
      </c>
      <c r="P10" t="s">
        <v>32</v>
      </c>
      <c r="Q10" t="s">
        <v>50</v>
      </c>
      <c r="R10">
        <v>8192</v>
      </c>
      <c r="S10" t="s">
        <v>34</v>
      </c>
      <c r="T10" t="s">
        <v>35</v>
      </c>
      <c r="U10">
        <v>-59.59</v>
      </c>
      <c r="V10" t="s">
        <v>36</v>
      </c>
      <c r="W10" s="1">
        <v>46043</v>
      </c>
      <c r="X10">
        <v>2026</v>
      </c>
    </row>
    <row r="11" spans="1:24" x14ac:dyDescent="0.3">
      <c r="A11" s="1">
        <v>46091</v>
      </c>
      <c r="B11" t="s">
        <v>80</v>
      </c>
      <c r="C11" t="s">
        <v>81</v>
      </c>
      <c r="E11" t="s">
        <v>82</v>
      </c>
      <c r="F11" t="s">
        <v>83</v>
      </c>
      <c r="G11" t="s">
        <v>60</v>
      </c>
      <c r="H11" t="s">
        <v>29</v>
      </c>
      <c r="I11" t="s">
        <v>84</v>
      </c>
      <c r="J11" t="s">
        <v>85</v>
      </c>
      <c r="L11" s="1">
        <v>46023</v>
      </c>
      <c r="M11" s="1">
        <v>46023</v>
      </c>
      <c r="N11" s="1">
        <v>46081</v>
      </c>
      <c r="O11">
        <v>21435997</v>
      </c>
      <c r="P11" t="s">
        <v>32</v>
      </c>
      <c r="Q11" t="s">
        <v>86</v>
      </c>
      <c r="R11">
        <v>8192</v>
      </c>
      <c r="S11" t="s">
        <v>34</v>
      </c>
      <c r="T11" t="s">
        <v>35</v>
      </c>
      <c r="U11">
        <v>-497</v>
      </c>
      <c r="V11" t="s">
        <v>36</v>
      </c>
      <c r="W11" s="1">
        <v>45992</v>
      </c>
      <c r="X11">
        <v>2026</v>
      </c>
    </row>
    <row r="12" spans="1:24" x14ac:dyDescent="0.3">
      <c r="A12" s="1">
        <v>46091</v>
      </c>
      <c r="B12" t="s">
        <v>87</v>
      </c>
      <c r="C12" t="s">
        <v>88</v>
      </c>
      <c r="E12" t="s">
        <v>89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L12" s="1">
        <v>46082</v>
      </c>
      <c r="M12" s="1">
        <v>46082</v>
      </c>
      <c r="O12">
        <v>17126004</v>
      </c>
      <c r="P12" t="s">
        <v>32</v>
      </c>
      <c r="Q12" t="s">
        <v>90</v>
      </c>
      <c r="R12">
        <v>8192</v>
      </c>
      <c r="S12" t="s">
        <v>34</v>
      </c>
      <c r="T12" t="s">
        <v>35</v>
      </c>
      <c r="U12">
        <v>414.17</v>
      </c>
      <c r="V12" t="s">
        <v>36</v>
      </c>
      <c r="W12" s="1">
        <v>46072</v>
      </c>
      <c r="X12">
        <v>2026</v>
      </c>
    </row>
    <row r="13" spans="1:24" x14ac:dyDescent="0.3">
      <c r="A13" s="1">
        <v>46091</v>
      </c>
      <c r="B13" t="s">
        <v>91</v>
      </c>
      <c r="C13" t="s">
        <v>92</v>
      </c>
      <c r="E13" t="s">
        <v>93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L13" s="1">
        <v>46082</v>
      </c>
      <c r="M13" s="1">
        <v>46082</v>
      </c>
      <c r="O13">
        <v>17126004</v>
      </c>
      <c r="P13" t="s">
        <v>32</v>
      </c>
      <c r="Q13" t="s">
        <v>90</v>
      </c>
      <c r="R13">
        <v>8192</v>
      </c>
      <c r="S13" t="s">
        <v>34</v>
      </c>
      <c r="T13" t="s">
        <v>35</v>
      </c>
      <c r="U13">
        <v>414.17</v>
      </c>
      <c r="V13" t="s">
        <v>36</v>
      </c>
      <c r="W13" s="1">
        <v>46072</v>
      </c>
      <c r="X13">
        <v>2026</v>
      </c>
    </row>
    <row r="14" spans="1:24" x14ac:dyDescent="0.3">
      <c r="A14" s="1">
        <v>46091</v>
      </c>
      <c r="B14" t="s">
        <v>94</v>
      </c>
      <c r="C14" t="s">
        <v>95</v>
      </c>
      <c r="E14" t="s">
        <v>96</v>
      </c>
      <c r="F14" t="s">
        <v>97</v>
      </c>
      <c r="G14" t="s">
        <v>28</v>
      </c>
      <c r="H14" t="s">
        <v>29</v>
      </c>
      <c r="I14" t="s">
        <v>98</v>
      </c>
      <c r="J14" t="s">
        <v>99</v>
      </c>
      <c r="L14" s="1">
        <v>46082</v>
      </c>
      <c r="M14" s="1">
        <v>46082</v>
      </c>
      <c r="O14">
        <v>8307933</v>
      </c>
      <c r="P14" t="s">
        <v>32</v>
      </c>
      <c r="Q14" t="s">
        <v>100</v>
      </c>
      <c r="R14">
        <v>8192</v>
      </c>
      <c r="S14" t="s">
        <v>34</v>
      </c>
      <c r="T14" t="s">
        <v>35</v>
      </c>
      <c r="U14">
        <v>414.17</v>
      </c>
      <c r="V14" t="s">
        <v>36</v>
      </c>
      <c r="W14" s="1">
        <v>46077</v>
      </c>
      <c r="X14">
        <v>2026</v>
      </c>
    </row>
    <row r="15" spans="1:24" x14ac:dyDescent="0.3">
      <c r="A15" s="1">
        <v>46091</v>
      </c>
      <c r="B15" t="s">
        <v>101</v>
      </c>
      <c r="C15" t="s">
        <v>102</v>
      </c>
      <c r="E15" t="s">
        <v>103</v>
      </c>
      <c r="F15" t="s">
        <v>40</v>
      </c>
      <c r="G15" t="s">
        <v>28</v>
      </c>
      <c r="H15" t="s">
        <v>29</v>
      </c>
      <c r="I15" t="s">
        <v>41</v>
      </c>
      <c r="J15" t="s">
        <v>104</v>
      </c>
      <c r="L15" s="1">
        <v>46082</v>
      </c>
      <c r="M15" s="1">
        <v>46082</v>
      </c>
      <c r="O15">
        <v>18142208</v>
      </c>
      <c r="P15" t="s">
        <v>32</v>
      </c>
      <c r="Q15" t="s">
        <v>43</v>
      </c>
      <c r="R15">
        <v>8192</v>
      </c>
      <c r="S15" t="s">
        <v>34</v>
      </c>
      <c r="T15" t="s">
        <v>35</v>
      </c>
      <c r="U15">
        <v>414.17</v>
      </c>
      <c r="V15" t="s">
        <v>36</v>
      </c>
      <c r="W15" s="1">
        <v>46073</v>
      </c>
      <c r="X15">
        <v>2026</v>
      </c>
    </row>
    <row r="16" spans="1:24" x14ac:dyDescent="0.3">
      <c r="A16" s="1">
        <v>46091</v>
      </c>
      <c r="B16" t="s">
        <v>105</v>
      </c>
      <c r="C16" t="s">
        <v>106</v>
      </c>
      <c r="E16" t="s">
        <v>107</v>
      </c>
      <c r="F16" t="s">
        <v>27</v>
      </c>
      <c r="G16" t="s">
        <v>28</v>
      </c>
      <c r="H16" t="s">
        <v>29</v>
      </c>
      <c r="I16" t="s">
        <v>54</v>
      </c>
      <c r="J16" t="s">
        <v>108</v>
      </c>
      <c r="L16" s="1">
        <v>46143</v>
      </c>
      <c r="M16" s="1">
        <v>46143</v>
      </c>
      <c r="O16">
        <v>18828278</v>
      </c>
      <c r="P16" t="s">
        <v>32</v>
      </c>
      <c r="Q16" t="s">
        <v>109</v>
      </c>
      <c r="R16">
        <v>8192</v>
      </c>
      <c r="S16" t="s">
        <v>34</v>
      </c>
      <c r="T16" t="s">
        <v>35</v>
      </c>
      <c r="U16">
        <v>331.33</v>
      </c>
      <c r="V16" t="s">
        <v>36</v>
      </c>
      <c r="W16" s="1">
        <v>46070</v>
      </c>
      <c r="X16">
        <v>2026</v>
      </c>
    </row>
    <row r="17" spans="1:24" x14ac:dyDescent="0.3">
      <c r="A17" s="1">
        <v>46091</v>
      </c>
      <c r="B17" t="s">
        <v>110</v>
      </c>
      <c r="C17" t="s">
        <v>111</v>
      </c>
      <c r="E17" t="s">
        <v>112</v>
      </c>
      <c r="F17" t="s">
        <v>40</v>
      </c>
      <c r="G17" t="s">
        <v>113</v>
      </c>
      <c r="H17" t="s">
        <v>114</v>
      </c>
      <c r="I17" t="s">
        <v>41</v>
      </c>
      <c r="J17" t="s">
        <v>115</v>
      </c>
      <c r="K17" t="s">
        <v>116</v>
      </c>
      <c r="L17" s="1">
        <v>46082</v>
      </c>
      <c r="M17" s="1">
        <v>44562</v>
      </c>
      <c r="R17">
        <v>8192</v>
      </c>
      <c r="T17" t="s">
        <v>117</v>
      </c>
      <c r="U17">
        <v>55</v>
      </c>
      <c r="V17" t="s">
        <v>118</v>
      </c>
      <c r="W17" s="1">
        <v>44501</v>
      </c>
      <c r="X17">
        <v>2026</v>
      </c>
    </row>
    <row r="18" spans="1:24" x14ac:dyDescent="0.3">
      <c r="A18" s="1">
        <v>46091</v>
      </c>
      <c r="B18" t="s">
        <v>110</v>
      </c>
      <c r="C18" t="s">
        <v>111</v>
      </c>
      <c r="E18" t="s">
        <v>112</v>
      </c>
      <c r="F18" t="s">
        <v>40</v>
      </c>
      <c r="G18" t="s">
        <v>113</v>
      </c>
      <c r="H18" t="s">
        <v>114</v>
      </c>
      <c r="I18" t="s">
        <v>41</v>
      </c>
      <c r="J18" t="s">
        <v>115</v>
      </c>
      <c r="K18" t="s">
        <v>119</v>
      </c>
      <c r="L18" s="1">
        <v>46082</v>
      </c>
      <c r="M18" s="1">
        <v>44562</v>
      </c>
      <c r="R18">
        <v>8192</v>
      </c>
      <c r="T18" t="s">
        <v>117</v>
      </c>
      <c r="U18">
        <v>55</v>
      </c>
      <c r="V18" t="s">
        <v>118</v>
      </c>
      <c r="W18" s="1">
        <v>44501</v>
      </c>
      <c r="X18">
        <v>2026</v>
      </c>
    </row>
    <row r="19" spans="1:24" x14ac:dyDescent="0.3">
      <c r="A19" s="1">
        <v>46091</v>
      </c>
      <c r="B19" t="s">
        <v>120</v>
      </c>
      <c r="C19" t="s">
        <v>121</v>
      </c>
      <c r="E19" t="s">
        <v>122</v>
      </c>
      <c r="F19" t="s">
        <v>97</v>
      </c>
      <c r="G19" t="s">
        <v>60</v>
      </c>
      <c r="H19" t="s">
        <v>29</v>
      </c>
      <c r="I19" t="s">
        <v>98</v>
      </c>
      <c r="J19" t="s">
        <v>123</v>
      </c>
      <c r="L19" s="1">
        <v>46082</v>
      </c>
      <c r="M19" s="1">
        <v>46082</v>
      </c>
      <c r="N19" s="1">
        <v>46082</v>
      </c>
      <c r="O19">
        <v>17554531</v>
      </c>
      <c r="P19" t="s">
        <v>32</v>
      </c>
      <c r="Q19" t="s">
        <v>124</v>
      </c>
      <c r="R19">
        <v>8192</v>
      </c>
      <c r="S19" t="s">
        <v>34</v>
      </c>
      <c r="T19" t="s">
        <v>35</v>
      </c>
      <c r="U19">
        <v>-414.17</v>
      </c>
      <c r="V19" t="s">
        <v>36</v>
      </c>
      <c r="W19" s="1">
        <v>46055</v>
      </c>
      <c r="X19">
        <v>2026</v>
      </c>
    </row>
    <row r="20" spans="1:24" x14ac:dyDescent="0.3">
      <c r="A20" s="1">
        <v>46091</v>
      </c>
      <c r="B20" t="s">
        <v>125</v>
      </c>
      <c r="C20" t="s">
        <v>126</v>
      </c>
      <c r="E20" t="s">
        <v>127</v>
      </c>
      <c r="F20" t="s">
        <v>128</v>
      </c>
      <c r="G20" t="s">
        <v>28</v>
      </c>
      <c r="H20" t="s">
        <v>29</v>
      </c>
      <c r="I20" t="s">
        <v>129</v>
      </c>
      <c r="J20" t="s">
        <v>130</v>
      </c>
      <c r="L20" s="1">
        <v>46082</v>
      </c>
      <c r="M20" s="1">
        <v>46082</v>
      </c>
      <c r="O20">
        <v>20776610</v>
      </c>
      <c r="P20" t="s">
        <v>32</v>
      </c>
      <c r="Q20" t="s">
        <v>131</v>
      </c>
      <c r="R20">
        <v>8192</v>
      </c>
      <c r="S20" t="s">
        <v>34</v>
      </c>
      <c r="T20" t="s">
        <v>35</v>
      </c>
      <c r="U20">
        <v>414.17</v>
      </c>
      <c r="V20" t="s">
        <v>36</v>
      </c>
      <c r="W20" s="1">
        <v>46077</v>
      </c>
      <c r="X20">
        <v>2026</v>
      </c>
    </row>
    <row r="21" spans="1:24" x14ac:dyDescent="0.3">
      <c r="A21" s="1">
        <v>46091</v>
      </c>
      <c r="B21" t="s">
        <v>132</v>
      </c>
      <c r="C21" t="s">
        <v>133</v>
      </c>
      <c r="E21" t="s">
        <v>134</v>
      </c>
      <c r="F21" t="s">
        <v>27</v>
      </c>
      <c r="G21" t="s">
        <v>60</v>
      </c>
      <c r="H21" t="s">
        <v>29</v>
      </c>
      <c r="I21" t="s">
        <v>30</v>
      </c>
      <c r="J21" t="s">
        <v>135</v>
      </c>
      <c r="L21" s="1">
        <v>46023</v>
      </c>
      <c r="M21" s="1">
        <v>46023</v>
      </c>
      <c r="N21" s="1">
        <v>46081</v>
      </c>
      <c r="O21">
        <v>9213293</v>
      </c>
      <c r="P21" t="s">
        <v>32</v>
      </c>
      <c r="Q21" t="s">
        <v>33</v>
      </c>
      <c r="R21">
        <v>8192</v>
      </c>
      <c r="S21" t="s">
        <v>34</v>
      </c>
      <c r="T21" t="s">
        <v>35</v>
      </c>
      <c r="U21">
        <v>-497</v>
      </c>
      <c r="V21" t="s">
        <v>36</v>
      </c>
      <c r="W21" s="1">
        <v>45980</v>
      </c>
      <c r="X21">
        <v>2026</v>
      </c>
    </row>
    <row r="22" spans="1:24" x14ac:dyDescent="0.3">
      <c r="A22" s="1">
        <v>46091</v>
      </c>
      <c r="B22" t="s">
        <v>136</v>
      </c>
      <c r="C22" t="s">
        <v>137</v>
      </c>
      <c r="E22" t="s">
        <v>138</v>
      </c>
      <c r="F22" t="s">
        <v>27</v>
      </c>
      <c r="G22" t="s">
        <v>28</v>
      </c>
      <c r="H22" t="s">
        <v>29</v>
      </c>
      <c r="I22" t="s">
        <v>54</v>
      </c>
      <c r="J22" t="s">
        <v>55</v>
      </c>
      <c r="L22" s="1">
        <v>46023</v>
      </c>
      <c r="M22" s="1">
        <v>46023</v>
      </c>
      <c r="O22">
        <v>18828278</v>
      </c>
      <c r="P22" t="s">
        <v>32</v>
      </c>
      <c r="Q22" t="s">
        <v>109</v>
      </c>
      <c r="R22">
        <v>8192</v>
      </c>
      <c r="S22" t="s">
        <v>34</v>
      </c>
      <c r="T22" t="s">
        <v>35</v>
      </c>
      <c r="U22">
        <v>497</v>
      </c>
      <c r="V22" t="s">
        <v>36</v>
      </c>
      <c r="W22" s="1">
        <v>45979</v>
      </c>
      <c r="X22">
        <v>2026</v>
      </c>
    </row>
    <row r="23" spans="1:24" x14ac:dyDescent="0.3">
      <c r="A23" s="1">
        <v>46091</v>
      </c>
      <c r="B23" t="s">
        <v>139</v>
      </c>
      <c r="C23" t="s">
        <v>140</v>
      </c>
      <c r="E23" t="s">
        <v>141</v>
      </c>
      <c r="F23" t="s">
        <v>27</v>
      </c>
      <c r="G23" t="s">
        <v>28</v>
      </c>
      <c r="H23" t="s">
        <v>29</v>
      </c>
      <c r="I23" t="s">
        <v>30</v>
      </c>
      <c r="J23" t="s">
        <v>142</v>
      </c>
      <c r="L23" s="1">
        <v>46082</v>
      </c>
      <c r="M23" s="1">
        <v>46082</v>
      </c>
      <c r="O23">
        <v>17301495</v>
      </c>
      <c r="P23" t="s">
        <v>32</v>
      </c>
      <c r="Q23" t="s">
        <v>143</v>
      </c>
      <c r="R23">
        <v>8192</v>
      </c>
      <c r="S23" t="s">
        <v>34</v>
      </c>
      <c r="T23" t="s">
        <v>35</v>
      </c>
      <c r="U23">
        <v>414.17</v>
      </c>
      <c r="V23" t="s">
        <v>36</v>
      </c>
      <c r="W23" s="1">
        <v>46070</v>
      </c>
      <c r="X23">
        <v>2026</v>
      </c>
    </row>
    <row r="24" spans="1:24" x14ac:dyDescent="0.3">
      <c r="A24" s="1">
        <v>46091</v>
      </c>
      <c r="B24" t="s">
        <v>144</v>
      </c>
      <c r="C24" t="s">
        <v>145</v>
      </c>
      <c r="E24" t="s">
        <v>146</v>
      </c>
      <c r="F24" t="s">
        <v>147</v>
      </c>
      <c r="G24" t="s">
        <v>28</v>
      </c>
      <c r="H24" t="s">
        <v>29</v>
      </c>
      <c r="I24" t="s">
        <v>148</v>
      </c>
      <c r="J24" t="s">
        <v>149</v>
      </c>
      <c r="L24" s="1">
        <v>46082</v>
      </c>
      <c r="M24" s="1">
        <v>46082</v>
      </c>
      <c r="O24">
        <v>7470776</v>
      </c>
      <c r="P24" t="s">
        <v>32</v>
      </c>
      <c r="Q24" t="s">
        <v>150</v>
      </c>
      <c r="R24">
        <v>8192</v>
      </c>
      <c r="S24" t="s">
        <v>34</v>
      </c>
      <c r="T24" t="s">
        <v>35</v>
      </c>
      <c r="U24">
        <v>414.17</v>
      </c>
      <c r="V24" t="s">
        <v>36</v>
      </c>
      <c r="W24" s="1">
        <v>46074</v>
      </c>
      <c r="X24">
        <v>2026</v>
      </c>
    </row>
    <row r="25" spans="1:24" x14ac:dyDescent="0.3">
      <c r="A25" s="1">
        <v>46091</v>
      </c>
      <c r="B25" t="s">
        <v>151</v>
      </c>
      <c r="C25" t="s">
        <v>152</v>
      </c>
      <c r="E25" t="s">
        <v>153</v>
      </c>
      <c r="F25" t="s">
        <v>27</v>
      </c>
      <c r="G25" t="s">
        <v>28</v>
      </c>
      <c r="H25" t="s">
        <v>29</v>
      </c>
      <c r="I25" t="s">
        <v>30</v>
      </c>
      <c r="J25" t="s">
        <v>135</v>
      </c>
      <c r="L25" s="1">
        <v>46082</v>
      </c>
      <c r="M25" s="1">
        <v>46082</v>
      </c>
      <c r="O25">
        <v>9213293</v>
      </c>
      <c r="P25" t="s">
        <v>32</v>
      </c>
      <c r="Q25" t="s">
        <v>33</v>
      </c>
      <c r="R25">
        <v>8192</v>
      </c>
      <c r="S25" t="s">
        <v>34</v>
      </c>
      <c r="T25" t="s">
        <v>35</v>
      </c>
      <c r="U25">
        <v>414.17</v>
      </c>
      <c r="V25" t="s">
        <v>36</v>
      </c>
      <c r="W25" s="1">
        <v>46078</v>
      </c>
      <c r="X25">
        <v>2026</v>
      </c>
    </row>
    <row r="26" spans="1:24" x14ac:dyDescent="0.3">
      <c r="A26" s="1"/>
      <c r="L26" s="1"/>
      <c r="M26" s="1"/>
      <c r="W26" s="1"/>
    </row>
    <row r="27" spans="1:24" x14ac:dyDescent="0.3">
      <c r="A27" s="1"/>
      <c r="L27" s="1"/>
      <c r="M27" s="1"/>
      <c r="N27" s="1"/>
      <c r="W27" s="1"/>
    </row>
    <row r="28" spans="1:24" x14ac:dyDescent="0.3">
      <c r="A28" s="1"/>
      <c r="L28" s="1"/>
      <c r="M28" s="1"/>
      <c r="N28" s="1"/>
      <c r="W28" s="1"/>
    </row>
    <row r="29" spans="1:24" x14ac:dyDescent="0.3">
      <c r="A29" s="1"/>
      <c r="L29" s="1"/>
      <c r="M29" s="1"/>
      <c r="N29" s="1"/>
      <c r="W29" s="1"/>
    </row>
    <row r="30" spans="1:24" x14ac:dyDescent="0.3">
      <c r="A30" s="1"/>
      <c r="L30" s="1"/>
      <c r="M30" s="1"/>
      <c r="W30" s="1"/>
    </row>
    <row r="31" spans="1:24" x14ac:dyDescent="0.3">
      <c r="A31" s="1"/>
      <c r="L31" s="1"/>
      <c r="M31" s="1"/>
      <c r="W31" s="1"/>
    </row>
    <row r="32" spans="1:24" x14ac:dyDescent="0.3">
      <c r="A32" s="1"/>
      <c r="L32" s="1"/>
      <c r="M32" s="1"/>
      <c r="W32" s="1"/>
    </row>
    <row r="33" spans="1:23" x14ac:dyDescent="0.3">
      <c r="A33" s="1"/>
      <c r="L33" s="1"/>
      <c r="M33" s="1"/>
      <c r="W33" s="1"/>
    </row>
    <row r="34" spans="1:23" x14ac:dyDescent="0.3">
      <c r="A34" s="1"/>
      <c r="L34" s="1"/>
      <c r="M34" s="1"/>
      <c r="W34" s="1"/>
    </row>
    <row r="35" spans="1:23" x14ac:dyDescent="0.3">
      <c r="A35" s="1"/>
      <c r="L35" s="1"/>
      <c r="M35" s="1"/>
      <c r="W35" s="1"/>
    </row>
    <row r="36" spans="1:23" x14ac:dyDescent="0.3">
      <c r="A36" s="1"/>
      <c r="L36" s="1"/>
      <c r="M36" s="1"/>
      <c r="W36" s="1"/>
    </row>
    <row r="37" spans="1:23" x14ac:dyDescent="0.3">
      <c r="A37" s="1"/>
      <c r="L37" s="1"/>
      <c r="M37" s="1"/>
      <c r="W37" s="1"/>
    </row>
    <row r="38" spans="1:23" x14ac:dyDescent="0.3">
      <c r="A38" s="1"/>
      <c r="L38" s="1"/>
      <c r="M38" s="1"/>
      <c r="W38" s="1"/>
    </row>
    <row r="39" spans="1:23" x14ac:dyDescent="0.3">
      <c r="A39" s="1"/>
      <c r="L39" s="1"/>
      <c r="M39" s="1"/>
      <c r="W39" s="1"/>
    </row>
    <row r="40" spans="1:23" x14ac:dyDescent="0.3">
      <c r="A40" s="1"/>
      <c r="L40" s="1"/>
      <c r="M40" s="1"/>
      <c r="W40" s="1"/>
    </row>
    <row r="41" spans="1:23" x14ac:dyDescent="0.3">
      <c r="A41" s="1"/>
      <c r="L41" s="1"/>
      <c r="M41" s="1"/>
      <c r="W41" s="1"/>
    </row>
    <row r="42" spans="1:23" x14ac:dyDescent="0.3">
      <c r="A42" s="1"/>
      <c r="L42" s="1"/>
      <c r="M42" s="1"/>
      <c r="N42" s="1"/>
      <c r="W42" s="1"/>
    </row>
    <row r="43" spans="1:23" x14ac:dyDescent="0.3">
      <c r="A43" s="1"/>
      <c r="L43" s="1"/>
      <c r="M43" s="1"/>
      <c r="W43" s="1"/>
    </row>
    <row r="44" spans="1:23" x14ac:dyDescent="0.3">
      <c r="A44" s="1"/>
      <c r="L44" s="1"/>
      <c r="M44" s="1"/>
      <c r="N44" s="1"/>
      <c r="W44" s="1"/>
    </row>
    <row r="45" spans="1:23" x14ac:dyDescent="0.3">
      <c r="A45" s="1"/>
      <c r="L45" s="1"/>
      <c r="M45" s="1"/>
      <c r="W45" s="1"/>
    </row>
    <row r="46" spans="1:23" x14ac:dyDescent="0.3">
      <c r="A46" s="1"/>
      <c r="L46" s="1"/>
      <c r="M46" s="1"/>
      <c r="W46" s="1"/>
    </row>
    <row r="49" spans="1:1" x14ac:dyDescent="0.3">
      <c r="A49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B2B4-7EC3-40A1-91DB-74F2B4A94340}">
  <dimension ref="A1:AB62"/>
  <sheetViews>
    <sheetView tabSelected="1" topLeftCell="B1" workbookViewId="0">
      <selection activeCell="Q16" sqref="Q16"/>
    </sheetView>
  </sheetViews>
  <sheetFormatPr defaultRowHeight="14.4" x14ac:dyDescent="0.3"/>
  <cols>
    <col min="1" max="1" width="17.33203125" bestFit="1" customWidth="1"/>
    <col min="2" max="2" width="17.33203125" customWidth="1"/>
    <col min="3" max="5" width="20.44140625" customWidth="1"/>
    <col min="6" max="6" width="6.88671875" customWidth="1"/>
    <col min="7" max="7" width="21" customWidth="1"/>
    <col min="8" max="8" width="7.88671875" bestFit="1" customWidth="1"/>
    <col min="9" max="9" width="8" bestFit="1" customWidth="1"/>
    <col min="10" max="10" width="10" bestFit="1" customWidth="1"/>
    <col min="11" max="11" width="10.77734375" customWidth="1"/>
    <col min="12" max="12" width="10.6640625" customWidth="1"/>
    <col min="13" max="13" width="10.77734375" customWidth="1"/>
    <col min="14" max="14" width="15.6640625" customWidth="1"/>
    <col min="15" max="15" width="11.5546875" bestFit="1" customWidth="1"/>
    <col min="16" max="16" width="9.109375" customWidth="1"/>
    <col min="17" max="17" width="10.109375" customWidth="1"/>
    <col min="18" max="18" width="17.33203125" bestFit="1" customWidth="1"/>
  </cols>
  <sheetData>
    <row r="1" spans="1:28" x14ac:dyDescent="0.3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14</v>
      </c>
      <c r="N1" t="s">
        <v>16</v>
      </c>
      <c r="O1" t="s">
        <v>18</v>
      </c>
      <c r="P1" t="s">
        <v>20</v>
      </c>
    </row>
    <row r="2" spans="1:28" s="2" customFormat="1" x14ac:dyDescent="0.3">
      <c r="A2" s="2" t="s">
        <v>69</v>
      </c>
      <c r="B2" s="2" t="str">
        <f>_xlfn.CONCAT(A2,89)</f>
        <v>2HG5PD8AM5389</v>
      </c>
      <c r="C2" s="2" t="s">
        <v>200</v>
      </c>
      <c r="D2" s="2" t="s">
        <v>201</v>
      </c>
      <c r="E2" s="2" t="str">
        <f>_xlfn.CONCAT(D2," ",C2)</f>
        <v>WALTER JOHNSON</v>
      </c>
      <c r="F2" s="2" t="s">
        <v>72</v>
      </c>
      <c r="G2" s="2" t="s">
        <v>28</v>
      </c>
      <c r="H2" s="2" t="s">
        <v>29</v>
      </c>
      <c r="I2" s="2" t="s">
        <v>73</v>
      </c>
      <c r="J2" s="2" t="s">
        <v>74</v>
      </c>
      <c r="K2" s="3">
        <v>46082</v>
      </c>
      <c r="L2" s="3">
        <v>46082</v>
      </c>
      <c r="M2" s="2">
        <v>21618313</v>
      </c>
      <c r="N2" s="2" t="s">
        <v>75</v>
      </c>
      <c r="O2" s="2" t="s">
        <v>34</v>
      </c>
      <c r="P2" s="2">
        <v>505.83</v>
      </c>
      <c r="Q2" s="2">
        <v>360</v>
      </c>
      <c r="R2" s="2" t="s">
        <v>160</v>
      </c>
      <c r="S2" s="2" t="s">
        <v>161</v>
      </c>
    </row>
    <row r="3" spans="1:28" s="2" customFormat="1" x14ac:dyDescent="0.3">
      <c r="A3" s="2" t="s">
        <v>125</v>
      </c>
      <c r="B3" s="2" t="str">
        <f t="shared" ref="B3:B21" si="0">_xlfn.CONCAT(A3,89)</f>
        <v>4W67UU9VN3589</v>
      </c>
      <c r="C3" s="2" t="s">
        <v>190</v>
      </c>
      <c r="D3" s="2" t="s">
        <v>191</v>
      </c>
      <c r="E3" s="2" t="str">
        <f>_xlfn.CONCAT(D3," ",C3)</f>
        <v>JOHN PRIZANT</v>
      </c>
      <c r="F3" s="2" t="s">
        <v>128</v>
      </c>
      <c r="G3" s="2" t="s">
        <v>28</v>
      </c>
      <c r="H3" s="2" t="s">
        <v>29</v>
      </c>
      <c r="I3" s="2" t="s">
        <v>129</v>
      </c>
      <c r="J3" s="2" t="s">
        <v>130</v>
      </c>
      <c r="K3" s="3">
        <v>46082</v>
      </c>
      <c r="L3" s="3">
        <v>46082</v>
      </c>
      <c r="M3" s="2">
        <v>20776610</v>
      </c>
      <c r="N3" s="2" t="s">
        <v>131</v>
      </c>
      <c r="O3" s="2" t="s">
        <v>34</v>
      </c>
      <c r="P3" s="2">
        <v>414.17</v>
      </c>
      <c r="Q3" s="2">
        <v>289.17</v>
      </c>
      <c r="R3" s="2" t="s">
        <v>156</v>
      </c>
      <c r="S3" s="2" t="s">
        <v>158</v>
      </c>
    </row>
    <row r="4" spans="1:28" s="2" customFormat="1" x14ac:dyDescent="0.3">
      <c r="A4" s="2" t="s">
        <v>80</v>
      </c>
      <c r="B4" s="2" t="str">
        <f t="shared" si="0"/>
        <v>8HV1E26EC1689</v>
      </c>
      <c r="C4" s="2" t="s">
        <v>164</v>
      </c>
      <c r="D4" s="2" t="s">
        <v>165</v>
      </c>
      <c r="E4" s="2" t="str">
        <f>_xlfn.CONCAT(D4," ",C4)</f>
        <v>VICTORIA LALONDE</v>
      </c>
      <c r="F4" s="2" t="s">
        <v>83</v>
      </c>
      <c r="G4" s="2" t="s">
        <v>60</v>
      </c>
      <c r="H4" s="2" t="s">
        <v>29</v>
      </c>
      <c r="I4" s="2" t="s">
        <v>84</v>
      </c>
      <c r="J4" s="2" t="s">
        <v>85</v>
      </c>
      <c r="K4" s="3">
        <v>46023</v>
      </c>
      <c r="L4" s="3">
        <v>46023</v>
      </c>
      <c r="M4" s="2">
        <v>21435997</v>
      </c>
      <c r="N4" s="2" t="s">
        <v>86</v>
      </c>
      <c r="O4" s="2" t="s">
        <v>34</v>
      </c>
      <c r="P4" s="2">
        <v>-497</v>
      </c>
      <c r="Q4" s="2">
        <v>-347</v>
      </c>
      <c r="R4" s="2" t="s">
        <v>156</v>
      </c>
      <c r="S4" s="2" t="s">
        <v>155</v>
      </c>
    </row>
    <row r="5" spans="1:28" s="4" customFormat="1" x14ac:dyDescent="0.3">
      <c r="A5" s="2" t="s">
        <v>144</v>
      </c>
      <c r="B5" s="2" t="str">
        <f t="shared" si="0"/>
        <v>9F12VG7WH9689</v>
      </c>
      <c r="C5" s="2" t="s">
        <v>194</v>
      </c>
      <c r="D5" s="2" t="s">
        <v>195</v>
      </c>
      <c r="E5" s="2" t="str">
        <f>_xlfn.CONCAT(D5," ",C5)</f>
        <v>WILLIAM TERRICK</v>
      </c>
      <c r="F5" s="2" t="s">
        <v>147</v>
      </c>
      <c r="G5" s="2" t="s">
        <v>28</v>
      </c>
      <c r="H5" s="2" t="s">
        <v>29</v>
      </c>
      <c r="I5" s="2" t="s">
        <v>148</v>
      </c>
      <c r="J5" s="2" t="s">
        <v>149</v>
      </c>
      <c r="K5" s="3">
        <v>46082</v>
      </c>
      <c r="L5" s="3">
        <v>46082</v>
      </c>
      <c r="M5" s="2">
        <v>7470776</v>
      </c>
      <c r="N5" s="2" t="s">
        <v>150</v>
      </c>
      <c r="O5" s="2" t="s">
        <v>34</v>
      </c>
      <c r="P5" s="2">
        <v>414.17</v>
      </c>
      <c r="Q5" s="2">
        <v>289.17</v>
      </c>
      <c r="R5" s="2" t="s">
        <v>156</v>
      </c>
      <c r="S5" s="2" t="s">
        <v>158</v>
      </c>
      <c r="T5" s="2"/>
      <c r="U5" s="2"/>
      <c r="V5" s="2"/>
      <c r="W5" s="2"/>
      <c r="X5" s="2"/>
      <c r="Y5" s="2"/>
      <c r="Z5" s="2"/>
      <c r="AA5" s="2"/>
      <c r="AB5" s="2"/>
    </row>
    <row r="6" spans="1:28" s="4" customFormat="1" x14ac:dyDescent="0.3">
      <c r="A6" s="2" t="s">
        <v>87</v>
      </c>
      <c r="B6" s="2" t="str">
        <f t="shared" si="0"/>
        <v>7Q47PD5JG7889</v>
      </c>
      <c r="C6" s="2" t="s">
        <v>183</v>
      </c>
      <c r="D6" s="2" t="s">
        <v>184</v>
      </c>
      <c r="E6" s="2" t="str">
        <f>_xlfn.CONCAT(D6," ",C6)</f>
        <v>GUY LENTINI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3">
        <v>46082</v>
      </c>
      <c r="L6" s="3">
        <v>46082</v>
      </c>
      <c r="M6" s="2">
        <v>17126004</v>
      </c>
      <c r="N6" s="2" t="s">
        <v>90</v>
      </c>
      <c r="O6" s="2" t="s">
        <v>34</v>
      </c>
      <c r="P6" s="2">
        <v>414.17</v>
      </c>
      <c r="Q6" s="2">
        <v>289.17</v>
      </c>
      <c r="R6" s="2" t="s">
        <v>156</v>
      </c>
      <c r="S6" s="2" t="s">
        <v>158</v>
      </c>
      <c r="T6" s="2"/>
      <c r="U6" s="2"/>
      <c r="V6" s="2"/>
      <c r="W6" s="2"/>
      <c r="X6" s="2"/>
      <c r="Y6" s="2"/>
      <c r="Z6" s="2"/>
      <c r="AA6" s="2"/>
      <c r="AB6" s="2"/>
    </row>
    <row r="7" spans="1:28" s="4" customFormat="1" x14ac:dyDescent="0.3">
      <c r="A7" s="2" t="s">
        <v>91</v>
      </c>
      <c r="B7" s="2" t="str">
        <f t="shared" si="0"/>
        <v>3GD7EQ2QJ5089</v>
      </c>
      <c r="C7" s="2" t="s">
        <v>183</v>
      </c>
      <c r="D7" s="2" t="s">
        <v>185</v>
      </c>
      <c r="E7" s="2" t="str">
        <f>_xlfn.CONCAT(D7," ",C7)</f>
        <v>MYRA LENTINI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3">
        <v>46082</v>
      </c>
      <c r="L7" s="3">
        <v>46082</v>
      </c>
      <c r="M7" s="2">
        <v>17126004</v>
      </c>
      <c r="N7" s="2" t="s">
        <v>90</v>
      </c>
      <c r="O7" s="2" t="s">
        <v>34</v>
      </c>
      <c r="P7" s="2">
        <v>414.17</v>
      </c>
      <c r="Q7" s="2">
        <v>289.17</v>
      </c>
      <c r="R7" s="2" t="s">
        <v>156</v>
      </c>
      <c r="S7" s="2" t="s">
        <v>158</v>
      </c>
      <c r="T7" s="2"/>
      <c r="U7" s="2"/>
      <c r="V7" s="2"/>
      <c r="W7" s="2"/>
      <c r="X7" s="2"/>
      <c r="Y7" s="2"/>
      <c r="Z7" s="2"/>
      <c r="AA7" s="2"/>
      <c r="AB7" s="2"/>
    </row>
    <row r="8" spans="1:28" s="2" customFormat="1" x14ac:dyDescent="0.3">
      <c r="A8" s="2" t="s">
        <v>105</v>
      </c>
      <c r="B8" s="2" t="str">
        <f t="shared" si="0"/>
        <v>1KW3UV9QD8889</v>
      </c>
      <c r="C8" s="2" t="s">
        <v>173</v>
      </c>
      <c r="D8" s="2" t="s">
        <v>174</v>
      </c>
      <c r="E8" s="2" t="str">
        <f>_xlfn.CONCAT(D8," ",C8)</f>
        <v>CLETUS NEWTON</v>
      </c>
      <c r="F8" s="2" t="s">
        <v>27</v>
      </c>
      <c r="G8" s="2" t="s">
        <v>28</v>
      </c>
      <c r="H8" s="2" t="s">
        <v>29</v>
      </c>
      <c r="I8" s="2" t="s">
        <v>54</v>
      </c>
      <c r="J8" s="2" t="s">
        <v>108</v>
      </c>
      <c r="K8" s="3">
        <v>46143</v>
      </c>
      <c r="L8" s="3">
        <v>46143</v>
      </c>
      <c r="M8" s="2">
        <v>18828278</v>
      </c>
      <c r="N8" s="2" t="s">
        <v>109</v>
      </c>
      <c r="O8" s="2" t="s">
        <v>34</v>
      </c>
      <c r="P8" s="2">
        <v>331.33</v>
      </c>
      <c r="Q8" s="2">
        <v>231.33</v>
      </c>
      <c r="R8" s="2" t="s">
        <v>156</v>
      </c>
      <c r="S8" s="2" t="s">
        <v>159</v>
      </c>
    </row>
    <row r="9" spans="1:28" s="4" customFormat="1" x14ac:dyDescent="0.3">
      <c r="A9" s="2" t="s">
        <v>136</v>
      </c>
      <c r="B9" s="2" t="str">
        <f t="shared" si="0"/>
        <v>2QP8M29JM4889</v>
      </c>
      <c r="C9" s="2" t="s">
        <v>198</v>
      </c>
      <c r="D9" s="2" t="s">
        <v>199</v>
      </c>
      <c r="E9" s="2" t="str">
        <f>_xlfn.CONCAT(D9," ",C9)</f>
        <v>LINDA SINGLEY</v>
      </c>
      <c r="F9" s="2" t="s">
        <v>27</v>
      </c>
      <c r="G9" s="2" t="s">
        <v>28</v>
      </c>
      <c r="H9" s="2" t="s">
        <v>29</v>
      </c>
      <c r="I9" s="2" t="s">
        <v>54</v>
      </c>
      <c r="J9" s="2" t="s">
        <v>55</v>
      </c>
      <c r="K9" s="3">
        <v>46023</v>
      </c>
      <c r="L9" s="3">
        <v>46023</v>
      </c>
      <c r="M9" s="2">
        <v>18828278</v>
      </c>
      <c r="N9" s="2" t="s">
        <v>109</v>
      </c>
      <c r="O9" s="2" t="s">
        <v>34</v>
      </c>
      <c r="P9" s="2">
        <v>497</v>
      </c>
      <c r="Q9" s="2">
        <v>347</v>
      </c>
      <c r="R9" s="2" t="s">
        <v>156</v>
      </c>
      <c r="S9" s="2" t="s">
        <v>155</v>
      </c>
      <c r="T9" s="2"/>
      <c r="U9" s="2"/>
      <c r="V9" s="2"/>
      <c r="W9" s="2"/>
      <c r="X9" s="2"/>
      <c r="Y9" s="2"/>
      <c r="Z9" s="2"/>
      <c r="AA9" s="2"/>
      <c r="AB9" s="2"/>
    </row>
    <row r="10" spans="1:28" s="4" customFormat="1" x14ac:dyDescent="0.3">
      <c r="A10" s="2" t="s">
        <v>63</v>
      </c>
      <c r="B10" s="2" t="str">
        <f t="shared" si="0"/>
        <v>4A03C08DH7589</v>
      </c>
      <c r="C10" s="2" t="s">
        <v>181</v>
      </c>
      <c r="D10" s="2" t="s">
        <v>182</v>
      </c>
      <c r="E10" s="2" t="str">
        <f>_xlfn.CONCAT(D10," ",C10)</f>
        <v>LAURAL FERGUSON</v>
      </c>
      <c r="F10" s="2" t="s">
        <v>66</v>
      </c>
      <c r="G10" s="2" t="s">
        <v>28</v>
      </c>
      <c r="H10" s="2" t="s">
        <v>29</v>
      </c>
      <c r="I10" s="2" t="s">
        <v>30</v>
      </c>
      <c r="J10" s="2" t="s">
        <v>67</v>
      </c>
      <c r="K10" s="3">
        <v>46082</v>
      </c>
      <c r="L10" s="3">
        <v>46082</v>
      </c>
      <c r="M10" s="2">
        <v>16849453</v>
      </c>
      <c r="N10" s="2" t="s">
        <v>68</v>
      </c>
      <c r="O10" s="2" t="s">
        <v>34</v>
      </c>
      <c r="P10" s="2">
        <v>414.17</v>
      </c>
      <c r="Q10" s="2">
        <v>289.17</v>
      </c>
      <c r="R10" s="2" t="s">
        <v>156</v>
      </c>
      <c r="S10" s="2" t="s">
        <v>158</v>
      </c>
      <c r="T10" s="2"/>
      <c r="U10" s="2"/>
      <c r="V10" s="2"/>
      <c r="W10" s="2"/>
      <c r="X10" s="2"/>
      <c r="Y10" s="2"/>
      <c r="Z10" s="2"/>
      <c r="AA10" s="2"/>
      <c r="AB10" s="2"/>
    </row>
    <row r="11" spans="1:28" s="4" customFormat="1" x14ac:dyDescent="0.3">
      <c r="A11" s="2" t="s">
        <v>139</v>
      </c>
      <c r="B11" s="2" t="str">
        <f t="shared" si="0"/>
        <v>4XX0MP2FJ0489</v>
      </c>
      <c r="C11" s="2" t="s">
        <v>192</v>
      </c>
      <c r="D11" s="2" t="s">
        <v>193</v>
      </c>
      <c r="E11" s="2" t="str">
        <f>_xlfn.CONCAT(D11," ",C11)</f>
        <v>ELVIA SOLANO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142</v>
      </c>
      <c r="K11" s="3">
        <v>46082</v>
      </c>
      <c r="L11" s="3">
        <v>46082</v>
      </c>
      <c r="M11" s="2">
        <v>17301495</v>
      </c>
      <c r="N11" s="2" t="s">
        <v>143</v>
      </c>
      <c r="O11" s="2" t="s">
        <v>34</v>
      </c>
      <c r="P11" s="2">
        <v>414.17</v>
      </c>
      <c r="Q11" s="2">
        <v>289.17</v>
      </c>
      <c r="R11" s="2" t="s">
        <v>156</v>
      </c>
      <c r="S11" s="2" t="s">
        <v>158</v>
      </c>
      <c r="T11" s="2"/>
      <c r="U11" s="2"/>
      <c r="V11" s="2"/>
      <c r="W11" s="2"/>
      <c r="X11" s="2"/>
      <c r="Y11" s="2"/>
      <c r="Z11" s="2"/>
      <c r="AA11" s="2"/>
      <c r="AB11" s="2"/>
    </row>
    <row r="12" spans="1:28" s="2" customFormat="1" x14ac:dyDescent="0.3">
      <c r="A12" s="2" t="s">
        <v>120</v>
      </c>
      <c r="B12" s="2" t="str">
        <f t="shared" si="0"/>
        <v>9JC7E85YE4389</v>
      </c>
      <c r="C12" s="2" t="s">
        <v>168</v>
      </c>
      <c r="D12" s="2" t="s">
        <v>169</v>
      </c>
      <c r="E12" s="2" t="str">
        <f>_xlfn.CONCAT(D12," ",C12)</f>
        <v>TAMMY POLAND</v>
      </c>
      <c r="F12" s="2" t="s">
        <v>97</v>
      </c>
      <c r="G12" s="2" t="s">
        <v>60</v>
      </c>
      <c r="H12" s="2" t="s">
        <v>29</v>
      </c>
      <c r="I12" s="2" t="s">
        <v>98</v>
      </c>
      <c r="J12" s="2" t="s">
        <v>123</v>
      </c>
      <c r="K12" s="3">
        <v>46082</v>
      </c>
      <c r="L12" s="3">
        <v>46082</v>
      </c>
      <c r="M12" s="2">
        <v>17554531</v>
      </c>
      <c r="N12" s="2" t="s">
        <v>124</v>
      </c>
      <c r="O12" s="2" t="s">
        <v>34</v>
      </c>
      <c r="P12" s="2">
        <v>-414.17</v>
      </c>
      <c r="Q12" s="2">
        <v>-289.17</v>
      </c>
      <c r="R12" s="2" t="s">
        <v>156</v>
      </c>
      <c r="S12" s="2" t="s">
        <v>158</v>
      </c>
    </row>
    <row r="13" spans="1:28" s="4" customFormat="1" x14ac:dyDescent="0.3">
      <c r="A13" s="2" t="s">
        <v>132</v>
      </c>
      <c r="B13" s="2" t="str">
        <f t="shared" si="0"/>
        <v>8RY1JU7YP1089</v>
      </c>
      <c r="C13" s="2" t="s">
        <v>166</v>
      </c>
      <c r="D13" s="2" t="s">
        <v>167</v>
      </c>
      <c r="E13" s="2" t="str">
        <f>_xlfn.CONCAT(D13," ",C13)</f>
        <v>NAYAN SINGH</v>
      </c>
      <c r="F13" s="2" t="s">
        <v>27</v>
      </c>
      <c r="G13" s="2" t="s">
        <v>60</v>
      </c>
      <c r="H13" s="2" t="s">
        <v>29</v>
      </c>
      <c r="I13" s="2" t="s">
        <v>30</v>
      </c>
      <c r="J13" s="2" t="s">
        <v>135</v>
      </c>
      <c r="K13" s="3">
        <v>46023</v>
      </c>
      <c r="L13" s="3">
        <v>46023</v>
      </c>
      <c r="M13" s="2">
        <v>9213293</v>
      </c>
      <c r="N13" s="2" t="s">
        <v>33</v>
      </c>
      <c r="O13" s="2" t="s">
        <v>34</v>
      </c>
      <c r="P13" s="2">
        <v>-497</v>
      </c>
      <c r="Q13" s="2">
        <v>-347</v>
      </c>
      <c r="R13" s="2" t="s">
        <v>156</v>
      </c>
      <c r="S13" s="2" t="s">
        <v>155</v>
      </c>
      <c r="T13" s="2"/>
      <c r="U13" s="2"/>
      <c r="V13" s="2"/>
      <c r="W13" s="2"/>
      <c r="X13" s="2"/>
      <c r="Y13" s="2"/>
      <c r="Z13" s="2"/>
      <c r="AA13" s="2"/>
      <c r="AB13" s="2"/>
    </row>
    <row r="14" spans="1:28" s="2" customFormat="1" x14ac:dyDescent="0.3">
      <c r="A14" s="2" t="s">
        <v>24</v>
      </c>
      <c r="B14" s="2" t="str">
        <f t="shared" si="0"/>
        <v>9YJ0YG5PE3089</v>
      </c>
      <c r="C14" s="2" t="s">
        <v>175</v>
      </c>
      <c r="D14" s="2" t="s">
        <v>176</v>
      </c>
      <c r="E14" s="2" t="str">
        <f>_xlfn.CONCAT(D14," ",C14)</f>
        <v>IRVIN BLACKBURN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31</v>
      </c>
      <c r="K14" s="3">
        <v>46082</v>
      </c>
      <c r="L14" s="3">
        <v>46082</v>
      </c>
      <c r="M14" s="2">
        <v>9213293</v>
      </c>
      <c r="N14" s="2" t="s">
        <v>33</v>
      </c>
      <c r="O14" s="2" t="s">
        <v>34</v>
      </c>
      <c r="P14" s="2">
        <v>414.17</v>
      </c>
      <c r="Q14" s="2">
        <v>289.17</v>
      </c>
      <c r="R14" s="2" t="s">
        <v>156</v>
      </c>
      <c r="S14" s="2" t="s">
        <v>158</v>
      </c>
    </row>
    <row r="15" spans="1:28" s="2" customFormat="1" x14ac:dyDescent="0.3">
      <c r="A15" s="2" t="s">
        <v>151</v>
      </c>
      <c r="B15" s="2" t="str">
        <f t="shared" si="0"/>
        <v>7AY6CH7MA6089</v>
      </c>
      <c r="C15" s="2" t="s">
        <v>196</v>
      </c>
      <c r="D15" s="2" t="s">
        <v>197</v>
      </c>
      <c r="E15" s="2" t="str">
        <f>_xlfn.CONCAT(D15," ",C15)</f>
        <v>EDWARD TUMMILLO</v>
      </c>
      <c r="F15" s="2" t="s">
        <v>27</v>
      </c>
      <c r="G15" s="2" t="s">
        <v>28</v>
      </c>
      <c r="H15" s="2" t="s">
        <v>29</v>
      </c>
      <c r="I15" s="2" t="s">
        <v>30</v>
      </c>
      <c r="J15" s="2" t="s">
        <v>135</v>
      </c>
      <c r="K15" s="3">
        <v>46082</v>
      </c>
      <c r="L15" s="3">
        <v>46082</v>
      </c>
      <c r="M15" s="2">
        <v>9213293</v>
      </c>
      <c r="N15" s="2" t="s">
        <v>33</v>
      </c>
      <c r="O15" s="2" t="s">
        <v>34</v>
      </c>
      <c r="P15" s="2">
        <v>414.17</v>
      </c>
      <c r="Q15" s="2">
        <v>289.17</v>
      </c>
      <c r="R15" s="2" t="s">
        <v>156</v>
      </c>
      <c r="S15" s="2" t="s">
        <v>158</v>
      </c>
    </row>
    <row r="16" spans="1:28" s="2" customFormat="1" x14ac:dyDescent="0.3">
      <c r="A16" s="2" t="s">
        <v>57</v>
      </c>
      <c r="B16" s="2" t="str">
        <f t="shared" si="0"/>
        <v>6EX0PK7VV4389</v>
      </c>
      <c r="C16" s="2" t="s">
        <v>162</v>
      </c>
      <c r="D16" s="2" t="s">
        <v>163</v>
      </c>
      <c r="E16" s="2" t="str">
        <f>_xlfn.CONCAT(D16," ",C16)</f>
        <v>AUDREY DEMOR</v>
      </c>
      <c r="F16" s="2" t="s">
        <v>40</v>
      </c>
      <c r="G16" s="2" t="s">
        <v>60</v>
      </c>
      <c r="H16" s="2" t="s">
        <v>29</v>
      </c>
      <c r="I16" s="2" t="s">
        <v>41</v>
      </c>
      <c r="J16" s="2" t="s">
        <v>61</v>
      </c>
      <c r="K16" s="3">
        <v>46023</v>
      </c>
      <c r="L16" s="3">
        <v>46023</v>
      </c>
      <c r="M16" s="2">
        <v>18142208</v>
      </c>
      <c r="N16" s="2" t="s">
        <v>43</v>
      </c>
      <c r="O16" s="2" t="s">
        <v>34</v>
      </c>
      <c r="P16" s="2">
        <v>-497</v>
      </c>
      <c r="Q16" s="2">
        <v>-347</v>
      </c>
      <c r="R16" s="2" t="s">
        <v>156</v>
      </c>
      <c r="S16" s="2" t="s">
        <v>155</v>
      </c>
    </row>
    <row r="17" spans="1:19" s="2" customFormat="1" x14ac:dyDescent="0.3">
      <c r="A17" s="2" t="s">
        <v>37</v>
      </c>
      <c r="B17" s="2" t="str">
        <f t="shared" si="0"/>
        <v>1FK0K18TJ2489</v>
      </c>
      <c r="C17" s="2" t="s">
        <v>177</v>
      </c>
      <c r="D17" s="2" t="s">
        <v>178</v>
      </c>
      <c r="E17" s="2" t="str">
        <f>_xlfn.CONCAT(D17," ",C17)</f>
        <v>SUSAN BURROUGHS</v>
      </c>
      <c r="F17" s="2" t="s">
        <v>40</v>
      </c>
      <c r="G17" s="2" t="s">
        <v>28</v>
      </c>
      <c r="H17" s="2" t="s">
        <v>29</v>
      </c>
      <c r="I17" s="2" t="s">
        <v>41</v>
      </c>
      <c r="J17" s="2" t="s">
        <v>42</v>
      </c>
      <c r="K17" s="3">
        <v>46082</v>
      </c>
      <c r="L17" s="3">
        <v>46082</v>
      </c>
      <c r="M17" s="2">
        <v>18142208</v>
      </c>
      <c r="N17" s="2" t="s">
        <v>43</v>
      </c>
      <c r="O17" s="2" t="s">
        <v>34</v>
      </c>
      <c r="P17" s="2">
        <v>414.17</v>
      </c>
      <c r="Q17" s="2">
        <v>289.17</v>
      </c>
      <c r="R17" s="2" t="s">
        <v>156</v>
      </c>
      <c r="S17" s="2" t="s">
        <v>158</v>
      </c>
    </row>
    <row r="18" spans="1:19" s="2" customFormat="1" x14ac:dyDescent="0.3">
      <c r="A18" s="2" t="s">
        <v>57</v>
      </c>
      <c r="B18" s="2" t="str">
        <f t="shared" si="0"/>
        <v>6EX0PK7VV4389</v>
      </c>
      <c r="C18" s="2" t="s">
        <v>162</v>
      </c>
      <c r="D18" s="2" t="s">
        <v>163</v>
      </c>
      <c r="E18" s="2" t="str">
        <f>_xlfn.CONCAT(D18," ",C18)</f>
        <v>AUDREY DEMOR</v>
      </c>
      <c r="F18" s="2" t="s">
        <v>40</v>
      </c>
      <c r="G18" s="2" t="s">
        <v>28</v>
      </c>
      <c r="H18" s="2" t="s">
        <v>29</v>
      </c>
      <c r="I18" s="2" t="s">
        <v>41</v>
      </c>
      <c r="J18" s="2" t="s">
        <v>62</v>
      </c>
      <c r="K18" s="3">
        <v>46082</v>
      </c>
      <c r="L18" s="3">
        <v>46082</v>
      </c>
      <c r="M18" s="2">
        <v>18142208</v>
      </c>
      <c r="N18" s="2" t="s">
        <v>43</v>
      </c>
      <c r="O18" s="2" t="s">
        <v>34</v>
      </c>
      <c r="P18" s="2">
        <v>414.17</v>
      </c>
      <c r="Q18" s="2">
        <v>289.17</v>
      </c>
      <c r="R18" s="2" t="s">
        <v>156</v>
      </c>
      <c r="S18" s="2" t="s">
        <v>158</v>
      </c>
    </row>
    <row r="19" spans="1:19" s="2" customFormat="1" x14ac:dyDescent="0.3">
      <c r="A19" s="2" t="s">
        <v>101</v>
      </c>
      <c r="B19" s="2" t="str">
        <f t="shared" si="0"/>
        <v>8TP5N48TK6889</v>
      </c>
      <c r="C19" s="2" t="s">
        <v>188</v>
      </c>
      <c r="D19" s="2" t="s">
        <v>189</v>
      </c>
      <c r="E19" s="2" t="str">
        <f>_xlfn.CONCAT(D19," ",C19)</f>
        <v>JASMINKA MILKOVICH</v>
      </c>
      <c r="F19" s="2" t="s">
        <v>40</v>
      </c>
      <c r="G19" s="2" t="s">
        <v>28</v>
      </c>
      <c r="H19" s="2" t="s">
        <v>29</v>
      </c>
      <c r="I19" s="2" t="s">
        <v>41</v>
      </c>
      <c r="J19" s="2" t="s">
        <v>104</v>
      </c>
      <c r="K19" s="3">
        <v>46082</v>
      </c>
      <c r="L19" s="3">
        <v>46082</v>
      </c>
      <c r="M19" s="2">
        <v>18142208</v>
      </c>
      <c r="N19" s="2" t="s">
        <v>43</v>
      </c>
      <c r="O19" s="2" t="s">
        <v>34</v>
      </c>
      <c r="P19" s="2">
        <v>414.17</v>
      </c>
      <c r="Q19" s="2">
        <v>289.17</v>
      </c>
      <c r="R19" s="2" t="s">
        <v>156</v>
      </c>
      <c r="S19" s="2" t="s">
        <v>158</v>
      </c>
    </row>
    <row r="20" spans="1:19" s="2" customFormat="1" x14ac:dyDescent="0.3">
      <c r="A20" s="2" t="s">
        <v>94</v>
      </c>
      <c r="B20" s="2" t="str">
        <f t="shared" si="0"/>
        <v>6JX2RN0DX1589</v>
      </c>
      <c r="C20" s="2" t="s">
        <v>186</v>
      </c>
      <c r="D20" s="2" t="s">
        <v>187</v>
      </c>
      <c r="E20" s="2" t="str">
        <f>_xlfn.CONCAT(D20," ",C20)</f>
        <v>KENNETH MCELWEE</v>
      </c>
      <c r="F20" s="2" t="s">
        <v>97</v>
      </c>
      <c r="G20" s="2" t="s">
        <v>28</v>
      </c>
      <c r="H20" s="2" t="s">
        <v>29</v>
      </c>
      <c r="I20" s="2" t="s">
        <v>98</v>
      </c>
      <c r="J20" s="2" t="s">
        <v>99</v>
      </c>
      <c r="K20" s="3">
        <v>46082</v>
      </c>
      <c r="L20" s="3">
        <v>46082</v>
      </c>
      <c r="M20" s="2">
        <v>8307933</v>
      </c>
      <c r="N20" s="2" t="s">
        <v>100</v>
      </c>
      <c r="O20" s="2" t="s">
        <v>34</v>
      </c>
      <c r="P20" s="2">
        <v>414.17</v>
      </c>
      <c r="Q20" s="2">
        <v>289.17</v>
      </c>
      <c r="R20" s="2" t="s">
        <v>156</v>
      </c>
      <c r="S20" s="2" t="s">
        <v>158</v>
      </c>
    </row>
    <row r="21" spans="1:19" s="2" customFormat="1" x14ac:dyDescent="0.3">
      <c r="A21" s="2" t="s">
        <v>51</v>
      </c>
      <c r="B21" s="2" t="str">
        <f t="shared" si="0"/>
        <v>2PX7HG4QU4289</v>
      </c>
      <c r="C21" s="2" t="s">
        <v>179</v>
      </c>
      <c r="D21" s="2" t="s">
        <v>180</v>
      </c>
      <c r="E21" s="2" t="str">
        <f>_xlfn.CONCAT(D21," ",C21)</f>
        <v>LESA CRANE</v>
      </c>
      <c r="F21" s="2" t="s">
        <v>27</v>
      </c>
      <c r="G21" s="2" t="s">
        <v>28</v>
      </c>
      <c r="H21" s="2" t="s">
        <v>29</v>
      </c>
      <c r="I21" s="2" t="s">
        <v>54</v>
      </c>
      <c r="J21" s="2" t="s">
        <v>55</v>
      </c>
      <c r="K21" s="3">
        <v>46082</v>
      </c>
      <c r="L21" s="3">
        <v>46082</v>
      </c>
      <c r="M21" s="2">
        <v>20003537</v>
      </c>
      <c r="N21" s="2" t="s">
        <v>56</v>
      </c>
      <c r="O21" s="2" t="s">
        <v>34</v>
      </c>
      <c r="P21" s="2">
        <v>414.17</v>
      </c>
      <c r="Q21" s="2">
        <v>289.17</v>
      </c>
      <c r="R21" s="2" t="s">
        <v>156</v>
      </c>
      <c r="S21" s="2" t="s">
        <v>158</v>
      </c>
    </row>
    <row r="22" spans="1:19" s="4" customFormat="1" x14ac:dyDescent="0.3">
      <c r="A22" s="4" t="s">
        <v>125</v>
      </c>
      <c r="B22" s="4" t="str">
        <f>_xlfn.CONCAT(A22,"OVR")</f>
        <v>4W67UU9VN35OVR</v>
      </c>
      <c r="C22" s="4" t="s">
        <v>190</v>
      </c>
      <c r="D22" s="4" t="s">
        <v>191</v>
      </c>
      <c r="E22" s="4" t="str">
        <f>_xlfn.CONCAT(D22," ",C22)</f>
        <v>JOHN PRIZANT</v>
      </c>
      <c r="F22" s="4" t="s">
        <v>128</v>
      </c>
      <c r="G22" s="4" t="s">
        <v>28</v>
      </c>
      <c r="H22" s="4" t="s">
        <v>29</v>
      </c>
      <c r="I22" s="4" t="s">
        <v>129</v>
      </c>
      <c r="J22" s="4" t="s">
        <v>130</v>
      </c>
      <c r="K22" s="5">
        <v>46082</v>
      </c>
      <c r="L22" s="5">
        <v>46082</v>
      </c>
      <c r="M22" s="4">
        <v>20411454</v>
      </c>
      <c r="N22" s="4" t="s">
        <v>202</v>
      </c>
      <c r="O22" s="4" t="s">
        <v>34</v>
      </c>
      <c r="P22" s="4">
        <v>414.17</v>
      </c>
      <c r="Q22" s="4">
        <v>125</v>
      </c>
      <c r="R22" s="4" t="s">
        <v>157</v>
      </c>
    </row>
    <row r="23" spans="1:19" s="4" customFormat="1" x14ac:dyDescent="0.3">
      <c r="A23" s="4" t="s">
        <v>80</v>
      </c>
      <c r="B23" s="4" t="str">
        <f t="shared" ref="B23:B43" si="1">_xlfn.CONCAT(A23,"OVR")</f>
        <v>8HV1E26EC16OVR</v>
      </c>
      <c r="C23" s="4" t="s">
        <v>164</v>
      </c>
      <c r="D23" s="4" t="s">
        <v>165</v>
      </c>
      <c r="E23" s="4" t="str">
        <f>_xlfn.CONCAT(D23," ",C23)</f>
        <v>VICTORIA LALONDE</v>
      </c>
      <c r="F23" s="4" t="s">
        <v>83</v>
      </c>
      <c r="G23" s="4" t="s">
        <v>60</v>
      </c>
      <c r="H23" s="4" t="s">
        <v>29</v>
      </c>
      <c r="I23" s="4" t="s">
        <v>84</v>
      </c>
      <c r="J23" s="4" t="s">
        <v>85</v>
      </c>
      <c r="K23" s="5">
        <v>46023</v>
      </c>
      <c r="L23" s="5">
        <v>46023</v>
      </c>
      <c r="M23" s="4">
        <v>20411454</v>
      </c>
      <c r="N23" s="4" t="s">
        <v>202</v>
      </c>
      <c r="O23" s="4" t="s">
        <v>34</v>
      </c>
      <c r="P23" s="4">
        <v>-497</v>
      </c>
      <c r="Q23" s="4">
        <v>-150</v>
      </c>
      <c r="R23" s="4" t="s">
        <v>157</v>
      </c>
    </row>
    <row r="24" spans="1:19" s="4" customFormat="1" x14ac:dyDescent="0.3">
      <c r="A24" s="4" t="s">
        <v>144</v>
      </c>
      <c r="B24" s="4" t="str">
        <f t="shared" si="1"/>
        <v>9F12VG7WH96OVR</v>
      </c>
      <c r="C24" s="4" t="s">
        <v>194</v>
      </c>
      <c r="D24" s="4" t="s">
        <v>195</v>
      </c>
      <c r="E24" s="4" t="str">
        <f>_xlfn.CONCAT(D24," ",C24)</f>
        <v>WILLIAM TERRICK</v>
      </c>
      <c r="F24" s="4" t="s">
        <v>147</v>
      </c>
      <c r="G24" s="4" t="s">
        <v>28</v>
      </c>
      <c r="H24" s="4" t="s">
        <v>29</v>
      </c>
      <c r="I24" s="4" t="s">
        <v>148</v>
      </c>
      <c r="J24" s="4" t="s">
        <v>149</v>
      </c>
      <c r="K24" s="5">
        <v>46082</v>
      </c>
      <c r="L24" s="5">
        <v>46082</v>
      </c>
      <c r="M24" s="4">
        <v>20411454</v>
      </c>
      <c r="N24" s="4" t="s">
        <v>202</v>
      </c>
      <c r="O24" s="4" t="s">
        <v>34</v>
      </c>
      <c r="P24" s="4">
        <v>414.17</v>
      </c>
      <c r="Q24" s="4">
        <v>125</v>
      </c>
      <c r="R24" s="4" t="s">
        <v>157</v>
      </c>
    </row>
    <row r="25" spans="1:19" s="4" customFormat="1" x14ac:dyDescent="0.3">
      <c r="A25" s="4" t="s">
        <v>87</v>
      </c>
      <c r="B25" s="4" t="str">
        <f t="shared" si="1"/>
        <v>7Q47PD5JG78OVR</v>
      </c>
      <c r="C25" s="4" t="s">
        <v>183</v>
      </c>
      <c r="D25" s="4" t="s">
        <v>184</v>
      </c>
      <c r="E25" s="4" t="str">
        <f>_xlfn.CONCAT(D25," ",C25)</f>
        <v>GUY LENTINI</v>
      </c>
      <c r="F25" s="4" t="s">
        <v>27</v>
      </c>
      <c r="G25" s="4" t="s">
        <v>28</v>
      </c>
      <c r="H25" s="4" t="s">
        <v>29</v>
      </c>
      <c r="I25" s="4" t="s">
        <v>30</v>
      </c>
      <c r="J25" s="4" t="s">
        <v>31</v>
      </c>
      <c r="K25" s="5">
        <v>46082</v>
      </c>
      <c r="L25" s="5">
        <v>46082</v>
      </c>
      <c r="M25" s="4">
        <v>20411454</v>
      </c>
      <c r="N25" s="4" t="s">
        <v>202</v>
      </c>
      <c r="O25" s="4" t="s">
        <v>34</v>
      </c>
      <c r="P25" s="4">
        <v>414.17</v>
      </c>
      <c r="Q25" s="4">
        <v>125</v>
      </c>
      <c r="R25" s="4" t="s">
        <v>157</v>
      </c>
    </row>
    <row r="26" spans="1:19" s="4" customFormat="1" x14ac:dyDescent="0.3">
      <c r="A26" s="4" t="s">
        <v>91</v>
      </c>
      <c r="B26" s="4" t="str">
        <f t="shared" si="1"/>
        <v>3GD7EQ2QJ50OVR</v>
      </c>
      <c r="C26" s="4" t="s">
        <v>183</v>
      </c>
      <c r="D26" s="4" t="s">
        <v>185</v>
      </c>
      <c r="E26" s="4" t="str">
        <f>_xlfn.CONCAT(D26," ",C26)</f>
        <v>MYRA LENTINI</v>
      </c>
      <c r="F26" s="4" t="s">
        <v>27</v>
      </c>
      <c r="G26" s="4" t="s">
        <v>28</v>
      </c>
      <c r="H26" s="4" t="s">
        <v>29</v>
      </c>
      <c r="I26" s="4" t="s">
        <v>30</v>
      </c>
      <c r="J26" s="4" t="s">
        <v>31</v>
      </c>
      <c r="K26" s="5">
        <v>46082</v>
      </c>
      <c r="L26" s="5">
        <v>46082</v>
      </c>
      <c r="M26" s="4">
        <v>20411454</v>
      </c>
      <c r="N26" s="4" t="s">
        <v>202</v>
      </c>
      <c r="O26" s="4" t="s">
        <v>34</v>
      </c>
      <c r="P26" s="4">
        <v>414.17</v>
      </c>
      <c r="Q26" s="4">
        <v>125</v>
      </c>
      <c r="R26" s="4" t="s">
        <v>157</v>
      </c>
    </row>
    <row r="27" spans="1:19" s="4" customFormat="1" x14ac:dyDescent="0.3">
      <c r="A27" s="4" t="s">
        <v>105</v>
      </c>
      <c r="B27" s="4" t="str">
        <f t="shared" si="1"/>
        <v>1KW3UV9QD88OVR</v>
      </c>
      <c r="C27" s="4" t="s">
        <v>173</v>
      </c>
      <c r="D27" s="4" t="s">
        <v>174</v>
      </c>
      <c r="E27" s="4" t="str">
        <f>_xlfn.CONCAT(D27," ",C27)</f>
        <v>CLETUS NEWTON</v>
      </c>
      <c r="F27" s="4" t="s">
        <v>27</v>
      </c>
      <c r="G27" s="4" t="s">
        <v>28</v>
      </c>
      <c r="H27" s="4" t="s">
        <v>29</v>
      </c>
      <c r="I27" s="4" t="s">
        <v>54</v>
      </c>
      <c r="J27" s="4" t="s">
        <v>108</v>
      </c>
      <c r="K27" s="5">
        <v>46143</v>
      </c>
      <c r="L27" s="5">
        <v>46143</v>
      </c>
      <c r="M27" s="4">
        <v>20411454</v>
      </c>
      <c r="N27" s="4" t="s">
        <v>202</v>
      </c>
      <c r="O27" s="4" t="s">
        <v>34</v>
      </c>
      <c r="P27" s="4">
        <v>331.33</v>
      </c>
      <c r="Q27" s="4">
        <v>100</v>
      </c>
      <c r="R27" s="4" t="s">
        <v>157</v>
      </c>
    </row>
    <row r="28" spans="1:19" s="4" customFormat="1" x14ac:dyDescent="0.3">
      <c r="A28" s="4" t="s">
        <v>136</v>
      </c>
      <c r="B28" s="4" t="str">
        <f t="shared" si="1"/>
        <v>2QP8M29JM48OVR</v>
      </c>
      <c r="C28" s="4" t="s">
        <v>198</v>
      </c>
      <c r="D28" s="4" t="s">
        <v>199</v>
      </c>
      <c r="E28" s="4" t="str">
        <f>_xlfn.CONCAT(D28," ",C28)</f>
        <v>LINDA SINGLEY</v>
      </c>
      <c r="F28" s="4" t="s">
        <v>27</v>
      </c>
      <c r="G28" s="4" t="s">
        <v>28</v>
      </c>
      <c r="H28" s="4" t="s">
        <v>29</v>
      </c>
      <c r="I28" s="4" t="s">
        <v>54</v>
      </c>
      <c r="J28" s="4" t="s">
        <v>55</v>
      </c>
      <c r="K28" s="5">
        <v>46023</v>
      </c>
      <c r="L28" s="5">
        <v>46023</v>
      </c>
      <c r="M28" s="4">
        <v>20411454</v>
      </c>
      <c r="N28" s="4" t="s">
        <v>202</v>
      </c>
      <c r="O28" s="4" t="s">
        <v>34</v>
      </c>
      <c r="P28" s="4">
        <v>497</v>
      </c>
      <c r="Q28" s="4">
        <v>150</v>
      </c>
      <c r="R28" s="4" t="s">
        <v>157</v>
      </c>
    </row>
    <row r="29" spans="1:19" s="4" customFormat="1" x14ac:dyDescent="0.3">
      <c r="A29" s="4" t="s">
        <v>63</v>
      </c>
      <c r="B29" s="4" t="str">
        <f t="shared" si="1"/>
        <v>4A03C08DH75OVR</v>
      </c>
      <c r="C29" s="4" t="s">
        <v>181</v>
      </c>
      <c r="D29" s="4" t="s">
        <v>182</v>
      </c>
      <c r="E29" s="4" t="str">
        <f>_xlfn.CONCAT(D29," ",C29)</f>
        <v>LAURAL FERGUSON</v>
      </c>
      <c r="F29" s="4" t="s">
        <v>66</v>
      </c>
      <c r="G29" s="4" t="s">
        <v>28</v>
      </c>
      <c r="H29" s="4" t="s">
        <v>29</v>
      </c>
      <c r="I29" s="4" t="s">
        <v>30</v>
      </c>
      <c r="J29" s="4" t="s">
        <v>67</v>
      </c>
      <c r="K29" s="5">
        <v>46082</v>
      </c>
      <c r="L29" s="5">
        <v>46082</v>
      </c>
      <c r="M29" s="4">
        <v>20411454</v>
      </c>
      <c r="N29" s="4" t="s">
        <v>202</v>
      </c>
      <c r="O29" s="4" t="s">
        <v>34</v>
      </c>
      <c r="P29" s="4">
        <v>414.17</v>
      </c>
      <c r="Q29" s="4">
        <v>125</v>
      </c>
      <c r="R29" s="4" t="s">
        <v>157</v>
      </c>
    </row>
    <row r="30" spans="1:19" s="4" customFormat="1" x14ac:dyDescent="0.3">
      <c r="A30" s="4" t="s">
        <v>139</v>
      </c>
      <c r="B30" s="4" t="str">
        <f t="shared" si="1"/>
        <v>4XX0MP2FJ04OVR</v>
      </c>
      <c r="C30" s="4" t="s">
        <v>192</v>
      </c>
      <c r="D30" s="4" t="s">
        <v>193</v>
      </c>
      <c r="E30" s="4" t="str">
        <f>_xlfn.CONCAT(D30," ",C30)</f>
        <v>ELVIA SOLANO</v>
      </c>
      <c r="F30" s="4" t="s">
        <v>27</v>
      </c>
      <c r="G30" s="4" t="s">
        <v>28</v>
      </c>
      <c r="H30" s="4" t="s">
        <v>29</v>
      </c>
      <c r="I30" s="4" t="s">
        <v>30</v>
      </c>
      <c r="J30" s="4" t="s">
        <v>142</v>
      </c>
      <c r="K30" s="5">
        <v>46082</v>
      </c>
      <c r="L30" s="5">
        <v>46082</v>
      </c>
      <c r="M30" s="4">
        <v>20411454</v>
      </c>
      <c r="N30" s="4" t="s">
        <v>202</v>
      </c>
      <c r="O30" s="4" t="s">
        <v>34</v>
      </c>
      <c r="P30" s="4">
        <v>414.17</v>
      </c>
      <c r="Q30" s="4">
        <v>125</v>
      </c>
      <c r="R30" s="4" t="s">
        <v>157</v>
      </c>
    </row>
    <row r="31" spans="1:19" s="4" customFormat="1" x14ac:dyDescent="0.3">
      <c r="A31" s="4" t="s">
        <v>120</v>
      </c>
      <c r="B31" s="4" t="str">
        <f t="shared" si="1"/>
        <v>9JC7E85YE43OVR</v>
      </c>
      <c r="C31" s="4" t="s">
        <v>168</v>
      </c>
      <c r="D31" s="4" t="s">
        <v>169</v>
      </c>
      <c r="E31" s="4" t="str">
        <f>_xlfn.CONCAT(D31," ",C31)</f>
        <v>TAMMY POLAND</v>
      </c>
      <c r="F31" s="4" t="s">
        <v>97</v>
      </c>
      <c r="G31" s="4" t="s">
        <v>60</v>
      </c>
      <c r="H31" s="4" t="s">
        <v>29</v>
      </c>
      <c r="I31" s="4" t="s">
        <v>98</v>
      </c>
      <c r="J31" s="4" t="s">
        <v>123</v>
      </c>
      <c r="K31" s="5">
        <v>46082</v>
      </c>
      <c r="L31" s="5">
        <v>46082</v>
      </c>
      <c r="M31" s="4">
        <v>20411454</v>
      </c>
      <c r="N31" s="4" t="s">
        <v>202</v>
      </c>
      <c r="O31" s="4" t="s">
        <v>34</v>
      </c>
      <c r="P31" s="4">
        <v>-414.17</v>
      </c>
      <c r="Q31" s="4">
        <v>-125</v>
      </c>
      <c r="R31" s="4" t="s">
        <v>157</v>
      </c>
    </row>
    <row r="32" spans="1:19" s="4" customFormat="1" x14ac:dyDescent="0.3">
      <c r="A32" s="4" t="s">
        <v>132</v>
      </c>
      <c r="B32" s="4" t="str">
        <f t="shared" si="1"/>
        <v>8RY1JU7YP10OVR</v>
      </c>
      <c r="C32" s="4" t="s">
        <v>166</v>
      </c>
      <c r="D32" s="4" t="s">
        <v>167</v>
      </c>
      <c r="E32" s="4" t="str">
        <f>_xlfn.CONCAT(D32," ",C32)</f>
        <v>NAYAN SINGH</v>
      </c>
      <c r="F32" s="4" t="s">
        <v>27</v>
      </c>
      <c r="G32" s="4" t="s">
        <v>60</v>
      </c>
      <c r="H32" s="4" t="s">
        <v>29</v>
      </c>
      <c r="I32" s="4" t="s">
        <v>30</v>
      </c>
      <c r="J32" s="4" t="s">
        <v>135</v>
      </c>
      <c r="K32" s="5">
        <v>46023</v>
      </c>
      <c r="L32" s="5">
        <v>46023</v>
      </c>
      <c r="M32" s="4">
        <v>20411454</v>
      </c>
      <c r="N32" s="4" t="s">
        <v>202</v>
      </c>
      <c r="O32" s="4" t="s">
        <v>34</v>
      </c>
      <c r="P32" s="4">
        <v>-497</v>
      </c>
      <c r="Q32" s="4">
        <v>-150</v>
      </c>
      <c r="R32" s="4" t="s">
        <v>157</v>
      </c>
    </row>
    <row r="33" spans="1:18" s="4" customFormat="1" x14ac:dyDescent="0.3">
      <c r="A33" s="4" t="s">
        <v>24</v>
      </c>
      <c r="B33" s="4" t="str">
        <f t="shared" si="1"/>
        <v>9YJ0YG5PE30OVR</v>
      </c>
      <c r="C33" s="4" t="s">
        <v>175</v>
      </c>
      <c r="D33" s="4" t="s">
        <v>176</v>
      </c>
      <c r="E33" s="4" t="str">
        <f>_xlfn.CONCAT(D33," ",C33)</f>
        <v>IRVIN BLACKBURN</v>
      </c>
      <c r="F33" s="4" t="s">
        <v>27</v>
      </c>
      <c r="G33" s="4" t="s">
        <v>28</v>
      </c>
      <c r="H33" s="4" t="s">
        <v>29</v>
      </c>
      <c r="I33" s="4" t="s">
        <v>30</v>
      </c>
      <c r="J33" s="4" t="s">
        <v>31</v>
      </c>
      <c r="K33" s="5">
        <v>46082</v>
      </c>
      <c r="L33" s="5">
        <v>46082</v>
      </c>
      <c r="M33" s="4">
        <v>20411454</v>
      </c>
      <c r="N33" s="4" t="s">
        <v>202</v>
      </c>
      <c r="O33" s="4" t="s">
        <v>34</v>
      </c>
      <c r="P33" s="4">
        <v>414.17</v>
      </c>
      <c r="Q33" s="4">
        <v>125</v>
      </c>
      <c r="R33" s="4" t="s">
        <v>157</v>
      </c>
    </row>
    <row r="34" spans="1:18" s="4" customFormat="1" x14ac:dyDescent="0.3">
      <c r="A34" s="4" t="s">
        <v>151</v>
      </c>
      <c r="B34" s="4" t="str">
        <f t="shared" si="1"/>
        <v>7AY6CH7MA60OVR</v>
      </c>
      <c r="C34" s="4" t="s">
        <v>196</v>
      </c>
      <c r="D34" s="4" t="s">
        <v>197</v>
      </c>
      <c r="E34" s="4" t="str">
        <f>_xlfn.CONCAT(D34," ",C34)</f>
        <v>EDWARD TUMMILLO</v>
      </c>
      <c r="F34" s="4" t="s">
        <v>27</v>
      </c>
      <c r="G34" s="4" t="s">
        <v>28</v>
      </c>
      <c r="H34" s="4" t="s">
        <v>29</v>
      </c>
      <c r="I34" s="4" t="s">
        <v>30</v>
      </c>
      <c r="J34" s="4" t="s">
        <v>135</v>
      </c>
      <c r="K34" s="5">
        <v>46082</v>
      </c>
      <c r="L34" s="5">
        <v>46082</v>
      </c>
      <c r="M34" s="4">
        <v>20411454</v>
      </c>
      <c r="N34" s="4" t="s">
        <v>202</v>
      </c>
      <c r="O34" s="4" t="s">
        <v>34</v>
      </c>
      <c r="P34" s="4">
        <v>414.17</v>
      </c>
      <c r="Q34" s="4">
        <v>125</v>
      </c>
      <c r="R34" s="4" t="s">
        <v>157</v>
      </c>
    </row>
    <row r="35" spans="1:18" s="4" customFormat="1" x14ac:dyDescent="0.3">
      <c r="A35" s="4" t="s">
        <v>76</v>
      </c>
      <c r="B35" s="4" t="str">
        <f t="shared" si="1"/>
        <v>3JR3TQ6UW89OVR</v>
      </c>
      <c r="C35" s="4" t="s">
        <v>170</v>
      </c>
      <c r="D35" s="4" t="s">
        <v>171</v>
      </c>
      <c r="E35" s="4" t="str">
        <f>_xlfn.CONCAT(D35," ",C35)</f>
        <v>DAVID KLUKAN</v>
      </c>
      <c r="F35" s="4" t="s">
        <v>47</v>
      </c>
      <c r="G35" s="4" t="s">
        <v>60</v>
      </c>
      <c r="H35" s="4" t="s">
        <v>29</v>
      </c>
      <c r="I35" s="4" t="s">
        <v>48</v>
      </c>
      <c r="J35" s="4" t="s">
        <v>79</v>
      </c>
      <c r="K35" s="5">
        <v>46054</v>
      </c>
      <c r="L35" s="5">
        <v>46054</v>
      </c>
      <c r="M35" s="4">
        <v>20411454</v>
      </c>
      <c r="N35" s="4" t="s">
        <v>202</v>
      </c>
      <c r="O35" s="4" t="s">
        <v>34</v>
      </c>
      <c r="P35" s="4">
        <v>-59.59</v>
      </c>
      <c r="Q35" s="4">
        <v>-59.59</v>
      </c>
      <c r="R35" s="4" t="s">
        <v>157</v>
      </c>
    </row>
    <row r="36" spans="1:18" s="4" customFormat="1" x14ac:dyDescent="0.3">
      <c r="A36" s="4" t="s">
        <v>44</v>
      </c>
      <c r="B36" s="4" t="str">
        <f t="shared" si="1"/>
        <v>8A78VV5NW23OVR</v>
      </c>
      <c r="C36" s="4" t="s">
        <v>172</v>
      </c>
      <c r="D36" s="4" t="s">
        <v>171</v>
      </c>
      <c r="E36" s="4" t="str">
        <f>_xlfn.CONCAT(D36," ",C36)</f>
        <v>DAVID CRAMER</v>
      </c>
      <c r="F36" s="4" t="s">
        <v>47</v>
      </c>
      <c r="G36" s="4" t="s">
        <v>28</v>
      </c>
      <c r="H36" s="4" t="s">
        <v>29</v>
      </c>
      <c r="I36" s="4" t="s">
        <v>48</v>
      </c>
      <c r="J36" s="4" t="s">
        <v>49</v>
      </c>
      <c r="K36" s="5">
        <v>46082</v>
      </c>
      <c r="L36" s="5">
        <v>46082</v>
      </c>
      <c r="M36" s="4">
        <v>20411454</v>
      </c>
      <c r="N36" s="4" t="s">
        <v>202</v>
      </c>
      <c r="O36" s="4" t="s">
        <v>34</v>
      </c>
      <c r="P36" s="4">
        <v>54.16</v>
      </c>
      <c r="Q36" s="4">
        <v>54.16</v>
      </c>
      <c r="R36" s="4" t="s">
        <v>157</v>
      </c>
    </row>
    <row r="37" spans="1:18" s="4" customFormat="1" x14ac:dyDescent="0.3">
      <c r="A37" s="4" t="s">
        <v>69</v>
      </c>
      <c r="B37" s="4" t="str">
        <f t="shared" si="1"/>
        <v>2HG5PD8AM53OVR</v>
      </c>
      <c r="C37" s="4" t="s">
        <v>200</v>
      </c>
      <c r="D37" s="4" t="s">
        <v>201</v>
      </c>
      <c r="E37" s="4" t="str">
        <f>_xlfn.CONCAT(D37," ",C37)</f>
        <v>WALTER JOHNSON</v>
      </c>
      <c r="F37" s="4" t="s">
        <v>72</v>
      </c>
      <c r="G37" s="4" t="s">
        <v>28</v>
      </c>
      <c r="H37" s="4" t="s">
        <v>29</v>
      </c>
      <c r="I37" s="4" t="s">
        <v>73</v>
      </c>
      <c r="J37" s="4" t="s">
        <v>74</v>
      </c>
      <c r="K37" s="5">
        <v>46082</v>
      </c>
      <c r="L37" s="5">
        <v>46082</v>
      </c>
      <c r="M37" s="4">
        <v>20411454</v>
      </c>
      <c r="N37" s="4" t="s">
        <v>202</v>
      </c>
      <c r="O37" s="4" t="s">
        <v>34</v>
      </c>
      <c r="P37" s="4">
        <v>505.83</v>
      </c>
      <c r="Q37" s="4">
        <v>145.83000000000001</v>
      </c>
      <c r="R37" s="4" t="s">
        <v>157</v>
      </c>
    </row>
    <row r="38" spans="1:18" s="4" customFormat="1" x14ac:dyDescent="0.3">
      <c r="A38" s="4" t="s">
        <v>57</v>
      </c>
      <c r="B38" s="4" t="str">
        <f t="shared" si="1"/>
        <v>6EX0PK7VV43OVR</v>
      </c>
      <c r="C38" s="4" t="s">
        <v>162</v>
      </c>
      <c r="D38" s="4" t="s">
        <v>163</v>
      </c>
      <c r="E38" s="4" t="str">
        <f>_xlfn.CONCAT(D38," ",C38)</f>
        <v>AUDREY DEMOR</v>
      </c>
      <c r="F38" s="4" t="s">
        <v>40</v>
      </c>
      <c r="G38" s="4" t="s">
        <v>60</v>
      </c>
      <c r="H38" s="4" t="s">
        <v>29</v>
      </c>
      <c r="I38" s="4" t="s">
        <v>41</v>
      </c>
      <c r="J38" s="4" t="s">
        <v>61</v>
      </c>
      <c r="K38" s="5">
        <v>46023</v>
      </c>
      <c r="L38" s="5">
        <v>46023</v>
      </c>
      <c r="M38" s="4">
        <v>20411454</v>
      </c>
      <c r="N38" s="4" t="s">
        <v>202</v>
      </c>
      <c r="O38" s="4" t="s">
        <v>34</v>
      </c>
      <c r="P38" s="4">
        <v>-497</v>
      </c>
      <c r="Q38" s="4">
        <v>-150</v>
      </c>
      <c r="R38" s="4" t="s">
        <v>157</v>
      </c>
    </row>
    <row r="39" spans="1:18" s="4" customFormat="1" x14ac:dyDescent="0.3">
      <c r="A39" s="4" t="s">
        <v>37</v>
      </c>
      <c r="B39" s="4" t="str">
        <f t="shared" si="1"/>
        <v>1FK0K18TJ24OVR</v>
      </c>
      <c r="C39" s="4" t="s">
        <v>177</v>
      </c>
      <c r="D39" s="4" t="s">
        <v>178</v>
      </c>
      <c r="E39" s="4" t="str">
        <f>_xlfn.CONCAT(D39," ",C39)</f>
        <v>SUSAN BURROUGHS</v>
      </c>
      <c r="F39" s="4" t="s">
        <v>40</v>
      </c>
      <c r="G39" s="4" t="s">
        <v>28</v>
      </c>
      <c r="H39" s="4" t="s">
        <v>29</v>
      </c>
      <c r="I39" s="4" t="s">
        <v>41</v>
      </c>
      <c r="J39" s="4" t="s">
        <v>42</v>
      </c>
      <c r="K39" s="5">
        <v>46082</v>
      </c>
      <c r="L39" s="5">
        <v>46082</v>
      </c>
      <c r="M39" s="4">
        <v>20411454</v>
      </c>
      <c r="N39" s="4" t="s">
        <v>202</v>
      </c>
      <c r="O39" s="4" t="s">
        <v>34</v>
      </c>
      <c r="P39" s="4">
        <v>414.17</v>
      </c>
      <c r="Q39" s="4">
        <v>125</v>
      </c>
      <c r="R39" s="4" t="s">
        <v>157</v>
      </c>
    </row>
    <row r="40" spans="1:18" s="4" customFormat="1" x14ac:dyDescent="0.3">
      <c r="A40" s="4" t="s">
        <v>57</v>
      </c>
      <c r="B40" s="4" t="str">
        <f t="shared" si="1"/>
        <v>6EX0PK7VV43OVR</v>
      </c>
      <c r="C40" s="4" t="s">
        <v>162</v>
      </c>
      <c r="D40" s="4" t="s">
        <v>163</v>
      </c>
      <c r="E40" s="4" t="str">
        <f>_xlfn.CONCAT(D40," ",C40)</f>
        <v>AUDREY DEMOR</v>
      </c>
      <c r="F40" s="4" t="s">
        <v>40</v>
      </c>
      <c r="G40" s="4" t="s">
        <v>28</v>
      </c>
      <c r="H40" s="4" t="s">
        <v>29</v>
      </c>
      <c r="I40" s="4" t="s">
        <v>41</v>
      </c>
      <c r="J40" s="4" t="s">
        <v>62</v>
      </c>
      <c r="K40" s="5">
        <v>46082</v>
      </c>
      <c r="L40" s="5">
        <v>46082</v>
      </c>
      <c r="M40" s="4">
        <v>20411454</v>
      </c>
      <c r="N40" s="4" t="s">
        <v>202</v>
      </c>
      <c r="O40" s="4" t="s">
        <v>34</v>
      </c>
      <c r="P40" s="4">
        <v>414.17</v>
      </c>
      <c r="Q40" s="4">
        <v>125</v>
      </c>
      <c r="R40" s="4" t="s">
        <v>157</v>
      </c>
    </row>
    <row r="41" spans="1:18" s="4" customFormat="1" x14ac:dyDescent="0.3">
      <c r="A41" s="4" t="s">
        <v>101</v>
      </c>
      <c r="B41" s="4" t="str">
        <f t="shared" si="1"/>
        <v>8TP5N48TK68OVR</v>
      </c>
      <c r="C41" s="4" t="s">
        <v>188</v>
      </c>
      <c r="D41" s="4" t="s">
        <v>189</v>
      </c>
      <c r="E41" s="4" t="str">
        <f>_xlfn.CONCAT(D41," ",C41)</f>
        <v>JASMINKA MILKOVICH</v>
      </c>
      <c r="F41" s="4" t="s">
        <v>40</v>
      </c>
      <c r="G41" s="4" t="s">
        <v>28</v>
      </c>
      <c r="H41" s="4" t="s">
        <v>29</v>
      </c>
      <c r="I41" s="4" t="s">
        <v>41</v>
      </c>
      <c r="J41" s="4" t="s">
        <v>104</v>
      </c>
      <c r="K41" s="5">
        <v>46082</v>
      </c>
      <c r="L41" s="5">
        <v>46082</v>
      </c>
      <c r="M41" s="4">
        <v>20411454</v>
      </c>
      <c r="N41" s="4" t="s">
        <v>202</v>
      </c>
      <c r="O41" s="4" t="s">
        <v>34</v>
      </c>
      <c r="P41" s="4">
        <v>414.17</v>
      </c>
      <c r="Q41" s="4">
        <v>125</v>
      </c>
      <c r="R41" s="4" t="s">
        <v>157</v>
      </c>
    </row>
    <row r="42" spans="1:18" s="4" customFormat="1" x14ac:dyDescent="0.3">
      <c r="A42" s="4" t="s">
        <v>94</v>
      </c>
      <c r="B42" s="4" t="str">
        <f t="shared" si="1"/>
        <v>6JX2RN0DX15OVR</v>
      </c>
      <c r="C42" s="4" t="s">
        <v>186</v>
      </c>
      <c r="D42" s="4" t="s">
        <v>187</v>
      </c>
      <c r="E42" s="4" t="str">
        <f>_xlfn.CONCAT(D42," ",C42)</f>
        <v>KENNETH MCELWEE</v>
      </c>
      <c r="F42" s="4" t="s">
        <v>97</v>
      </c>
      <c r="G42" s="4" t="s">
        <v>28</v>
      </c>
      <c r="H42" s="4" t="s">
        <v>29</v>
      </c>
      <c r="I42" s="4" t="s">
        <v>98</v>
      </c>
      <c r="J42" s="4" t="s">
        <v>99</v>
      </c>
      <c r="K42" s="5">
        <v>46082</v>
      </c>
      <c r="L42" s="5">
        <v>46082</v>
      </c>
      <c r="M42" s="4">
        <v>20411454</v>
      </c>
      <c r="N42" s="4" t="s">
        <v>202</v>
      </c>
      <c r="O42" s="4" t="s">
        <v>34</v>
      </c>
      <c r="P42" s="4">
        <v>414.17</v>
      </c>
      <c r="Q42" s="4">
        <v>125</v>
      </c>
      <c r="R42" s="4" t="s">
        <v>157</v>
      </c>
    </row>
    <row r="43" spans="1:18" s="4" customFormat="1" x14ac:dyDescent="0.3">
      <c r="A43" s="4" t="s">
        <v>51</v>
      </c>
      <c r="B43" s="4" t="str">
        <f t="shared" si="1"/>
        <v>2PX7HG4QU42OVR</v>
      </c>
      <c r="C43" s="4" t="s">
        <v>179</v>
      </c>
      <c r="D43" s="4" t="s">
        <v>180</v>
      </c>
      <c r="E43" s="4" t="str">
        <f>_xlfn.CONCAT(D43," ",C43)</f>
        <v>LESA CRANE</v>
      </c>
      <c r="F43" s="4" t="s">
        <v>27</v>
      </c>
      <c r="G43" s="4" t="s">
        <v>28</v>
      </c>
      <c r="H43" s="4" t="s">
        <v>29</v>
      </c>
      <c r="I43" s="4" t="s">
        <v>54</v>
      </c>
      <c r="J43" s="4" t="s">
        <v>55</v>
      </c>
      <c r="K43" s="5">
        <v>46082</v>
      </c>
      <c r="L43" s="5">
        <v>46082</v>
      </c>
      <c r="M43" s="4">
        <v>20411454</v>
      </c>
      <c r="N43" s="4" t="s">
        <v>202</v>
      </c>
      <c r="O43" s="4" t="s">
        <v>34</v>
      </c>
      <c r="P43" s="4">
        <v>414.17</v>
      </c>
      <c r="Q43" s="4">
        <v>125</v>
      </c>
      <c r="R43" s="4" t="s">
        <v>157</v>
      </c>
    </row>
    <row r="44" spans="1:18" x14ac:dyDescent="0.3">
      <c r="K44" s="1"/>
      <c r="L44" s="1"/>
    </row>
    <row r="45" spans="1:18" x14ac:dyDescent="0.3">
      <c r="K45" s="1"/>
      <c r="L45" s="1"/>
    </row>
    <row r="46" spans="1:18" x14ac:dyDescent="0.3">
      <c r="K46" s="1"/>
      <c r="L46" s="1"/>
    </row>
    <row r="47" spans="1:18" x14ac:dyDescent="0.3">
      <c r="K47" s="1"/>
      <c r="L47" s="1"/>
    </row>
    <row r="48" spans="1:18" x14ac:dyDescent="0.3">
      <c r="K48" s="1"/>
      <c r="L48" s="1"/>
    </row>
    <row r="49" spans="11:12" x14ac:dyDescent="0.3">
      <c r="K49" s="1"/>
      <c r="L49" s="1"/>
    </row>
    <row r="50" spans="11:12" x14ac:dyDescent="0.3">
      <c r="K50" s="1"/>
      <c r="L50" s="1"/>
    </row>
    <row r="51" spans="11:12" x14ac:dyDescent="0.3">
      <c r="K51" s="1"/>
      <c r="L51" s="1"/>
    </row>
    <row r="52" spans="11:12" x14ac:dyDescent="0.3">
      <c r="K52" s="1"/>
      <c r="L52" s="1"/>
    </row>
    <row r="53" spans="11:12" x14ac:dyDescent="0.3">
      <c r="K53" s="1"/>
      <c r="L53" s="1"/>
    </row>
    <row r="54" spans="11:12" x14ac:dyDescent="0.3">
      <c r="K54" s="1"/>
      <c r="L54" s="1"/>
    </row>
    <row r="55" spans="11:12" x14ac:dyDescent="0.3">
      <c r="K55" s="1"/>
      <c r="L55" s="1"/>
    </row>
    <row r="56" spans="11:12" x14ac:dyDescent="0.3">
      <c r="K56" s="1"/>
      <c r="L56" s="1"/>
    </row>
    <row r="57" spans="11:12" x14ac:dyDescent="0.3">
      <c r="K57" s="1"/>
      <c r="L57" s="1"/>
    </row>
    <row r="58" spans="11:12" x14ac:dyDescent="0.3">
      <c r="K58" s="1"/>
      <c r="L58" s="1"/>
    </row>
    <row r="59" spans="11:12" x14ac:dyDescent="0.3">
      <c r="K59" s="1"/>
      <c r="L59" s="1"/>
    </row>
    <row r="60" spans="11:12" x14ac:dyDescent="0.3">
      <c r="K60" s="1"/>
      <c r="L60" s="1"/>
    </row>
    <row r="61" spans="11:12" x14ac:dyDescent="0.3">
      <c r="K61" s="1"/>
      <c r="L61" s="1"/>
    </row>
    <row r="62" spans="11:12" x14ac:dyDescent="0.3">
      <c r="K62" s="1"/>
      <c r="L62" s="1"/>
    </row>
  </sheetData>
  <sortState xmlns:xlrd2="http://schemas.microsoft.com/office/spreadsheetml/2017/richdata2" ref="A2:AB43">
    <sortCondition ref="R2:R43"/>
    <sortCondition ref="N2:N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2026-03-13T11:33:50Z</dcterms:created>
  <dcterms:modified xsi:type="dcterms:W3CDTF">2026-03-13T14:34:06Z</dcterms:modified>
</cp:coreProperties>
</file>