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TL\2026\Weekly\1-28-26\"/>
    </mc:Choice>
  </mc:AlternateContent>
  <xr:revisionPtr revIDLastSave="0" documentId="13_ncr:1_{8B07231E-FC61-494A-B6D6-9F640CA78DF5}" xr6:coauthVersionLast="47" xr6:coauthVersionMax="47" xr10:uidLastSave="{00000000-0000-0000-0000-000000000000}"/>
  <bookViews>
    <workbookView xWindow="28680" yWindow="-120" windowWidth="29040" windowHeight="16440" xr2:uid="{3A9DAD20-5772-4325-BB33-0735F809F496}"/>
  </bookViews>
  <sheets>
    <sheet name="GTL Weekly 1-28-26" sheetId="1" r:id="rId1"/>
  </sheets>
  <calcPr calcId="181029"/>
</workbook>
</file>

<file path=xl/calcChain.xml><?xml version="1.0" encoding="utf-8"?>
<calcChain xmlns="http://schemas.openxmlformats.org/spreadsheetml/2006/main">
  <c r="K13" i="1" l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<sst xmlns="http://schemas.openxmlformats.org/spreadsheetml/2006/main" count="116" uniqueCount="42">
  <si>
    <t>Policy Nbr</t>
  </si>
  <si>
    <t>Issue State</t>
  </si>
  <si>
    <t>Desc</t>
  </si>
  <si>
    <t>Effective Date</t>
  </si>
  <si>
    <t>Paid To Date</t>
  </si>
  <si>
    <t>Mode</t>
  </si>
  <si>
    <t>Day Paid</t>
  </si>
  <si>
    <t>Agent Nbr</t>
  </si>
  <si>
    <t>First Name</t>
  </si>
  <si>
    <t>Last Name</t>
  </si>
  <si>
    <t>Agency</t>
  </si>
  <si>
    <t>Policy Form</t>
  </si>
  <si>
    <t>Trans Type</t>
  </si>
  <si>
    <t>Prem Paid Amt</t>
  </si>
  <si>
    <t>Comm Prem Amt</t>
  </si>
  <si>
    <t>Comm Rate</t>
  </si>
  <si>
    <t xml:space="preserve">Comm Amt </t>
  </si>
  <si>
    <t>Code</t>
  </si>
  <si>
    <t>Retained or Recovery</t>
  </si>
  <si>
    <t>Comm Amt Due</t>
  </si>
  <si>
    <t>GTA6435592</t>
  </si>
  <si>
    <t>WA</t>
  </si>
  <si>
    <t>HILFIKER DAVI</t>
  </si>
  <si>
    <t xml:space="preserve">011I7214    </t>
  </si>
  <si>
    <t xml:space="preserve">JARED               </t>
  </si>
  <si>
    <t xml:space="preserve">KINYUA              </t>
  </si>
  <si>
    <t xml:space="preserve">M19AS </t>
  </si>
  <si>
    <t xml:space="preserve"> </t>
  </si>
  <si>
    <t xml:space="preserve">M19OS </t>
  </si>
  <si>
    <t xml:space="preserve">M19SN </t>
  </si>
  <si>
    <t xml:space="preserve">M19SS </t>
  </si>
  <si>
    <t xml:space="preserve">MAP19 </t>
  </si>
  <si>
    <t>GTA6446244</t>
  </si>
  <si>
    <t>MD</t>
  </si>
  <si>
    <t xml:space="preserve">URICK DIANA  </t>
  </si>
  <si>
    <t xml:space="preserve">M20AS </t>
  </si>
  <si>
    <t xml:space="preserve">M20CA </t>
  </si>
  <si>
    <t xml:space="preserve">M20FE </t>
  </si>
  <si>
    <t xml:space="preserve">M20HL </t>
  </si>
  <si>
    <t xml:space="preserve">M20OS </t>
  </si>
  <si>
    <t xml:space="preserve">M20OT </t>
  </si>
  <si>
    <t xml:space="preserve">MAP20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</si>
</sst>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Fill="1"/>
    <xf numFmtId="14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E1102-8422-4064-B527-99085094EE3C}">
  <dimension ref="A1:T13"/>
  <sheetViews>
    <sheetView tabSelected="1" workbookViewId="0">
      <selection activeCell="B10" sqref="B10"/>
    </sheetView>
  </sheetViews>
  <sheetFormatPr defaultRowHeight="15" x14ac:dyDescent="0.25"/>
  <cols>
    <col min="1" max="1" width="11.5703125" bestFit="1" customWidth="1"/>
    <col min="2" max="2" width="10.5703125" bestFit="1" customWidth="1"/>
    <col min="3" max="4" width="13.5703125" bestFit="1" customWidth="1"/>
    <col min="5" max="5" width="12" bestFit="1" customWidth="1"/>
    <col min="6" max="6" width="6.140625" bestFit="1" customWidth="1"/>
    <col min="7" max="7" width="8.5703125" bestFit="1" customWidth="1"/>
    <col min="8" max="8" width="10.28515625" bestFit="1" customWidth="1"/>
    <col min="9" max="9" width="12.85546875" bestFit="1" customWidth="1"/>
    <col min="10" max="10" width="13.85546875" bestFit="1" customWidth="1"/>
    <col min="11" max="11" width="22.85546875" bestFit="1" customWidth="1"/>
    <col min="12" max="12" width="11.28515625" bestFit="1" customWidth="1"/>
    <col min="13" max="13" width="10.42578125" bestFit="1" customWidth="1"/>
    <col min="14" max="14" width="14.28515625" bestFit="1" customWidth="1"/>
    <col min="15" max="15" width="16.140625" bestFit="1" customWidth="1"/>
    <col min="16" max="16" width="11.140625" bestFit="1" customWidth="1"/>
    <col min="17" max="17" width="11.28515625" bestFit="1" customWidth="1"/>
    <col min="18" max="18" width="5.5703125" bestFit="1" customWidth="1"/>
    <col min="19" max="19" width="20.140625" bestFit="1" customWidth="1"/>
    <col min="20" max="20" width="1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s="1" customFormat="1" x14ac:dyDescent="0.25">
      <c r="A2" s="1" t="s">
        <v>20</v>
      </c>
      <c r="B2" s="1" t="s">
        <v>21</v>
      </c>
      <c r="C2" s="1" t="s">
        <v>22</v>
      </c>
      <c r="D2" s="2">
        <v>46023</v>
      </c>
      <c r="E2" s="2">
        <v>46054</v>
      </c>
      <c r="F2" s="1">
        <v>1</v>
      </c>
      <c r="G2" s="1">
        <v>28</v>
      </c>
      <c r="H2" s="1" t="s">
        <v>23</v>
      </c>
      <c r="I2" s="1" t="s">
        <v>24</v>
      </c>
      <c r="J2" s="1" t="s">
        <v>25</v>
      </c>
      <c r="K2" s="1">
        <f>2.45+0.3+0.93</f>
        <v>3.68</v>
      </c>
      <c r="L2" s="1" t="s">
        <v>26</v>
      </c>
      <c r="M2" s="1">
        <v>1</v>
      </c>
      <c r="N2" s="1">
        <v>0</v>
      </c>
      <c r="O2" s="1">
        <v>6.13</v>
      </c>
      <c r="P2" s="1">
        <v>60</v>
      </c>
      <c r="Q2" s="1">
        <v>3.68</v>
      </c>
      <c r="R2" s="1" t="s">
        <v>27</v>
      </c>
      <c r="S2" s="1">
        <v>0</v>
      </c>
      <c r="T2" s="1">
        <v>3.68</v>
      </c>
    </row>
    <row r="3" spans="1:20" s="1" customFormat="1" x14ac:dyDescent="0.25">
      <c r="A3" s="1" t="s">
        <v>20</v>
      </c>
      <c r="B3" s="1" t="s">
        <v>21</v>
      </c>
      <c r="C3" s="1" t="s">
        <v>22</v>
      </c>
      <c r="D3" s="2">
        <v>46023</v>
      </c>
      <c r="E3" s="2">
        <v>46054</v>
      </c>
      <c r="F3" s="1">
        <v>1</v>
      </c>
      <c r="G3" s="1">
        <v>28</v>
      </c>
      <c r="H3" s="1" t="s">
        <v>23</v>
      </c>
      <c r="I3" s="1" t="s">
        <v>24</v>
      </c>
      <c r="J3" s="1" t="s">
        <v>25</v>
      </c>
      <c r="K3" s="1">
        <f>12.04+1.47+4.55</f>
        <v>18.059999999999999</v>
      </c>
      <c r="L3" s="1" t="s">
        <v>28</v>
      </c>
      <c r="M3" s="1">
        <v>1</v>
      </c>
      <c r="N3" s="1">
        <v>0</v>
      </c>
      <c r="O3" s="1">
        <v>30.11</v>
      </c>
      <c r="P3" s="1">
        <v>60</v>
      </c>
      <c r="Q3" s="1">
        <v>18.07</v>
      </c>
      <c r="R3" s="1" t="s">
        <v>27</v>
      </c>
      <c r="S3" s="1">
        <v>0</v>
      </c>
      <c r="T3" s="1">
        <v>18.07</v>
      </c>
    </row>
    <row r="4" spans="1:20" s="1" customFormat="1" x14ac:dyDescent="0.25">
      <c r="A4" s="1" t="s">
        <v>20</v>
      </c>
      <c r="B4" s="1" t="s">
        <v>21</v>
      </c>
      <c r="C4" s="1" t="s">
        <v>22</v>
      </c>
      <c r="D4" s="2">
        <v>46023</v>
      </c>
      <c r="E4" s="2">
        <v>46054</v>
      </c>
      <c r="F4" s="1">
        <v>1</v>
      </c>
      <c r="G4" s="1">
        <v>28</v>
      </c>
      <c r="H4" s="1" t="s">
        <v>23</v>
      </c>
      <c r="I4" s="1" t="s">
        <v>24</v>
      </c>
      <c r="J4" s="1" t="s">
        <v>25</v>
      </c>
      <c r="K4" s="1">
        <f>4.89+0.6+1.85</f>
        <v>7.34</v>
      </c>
      <c r="L4" s="1" t="s">
        <v>29</v>
      </c>
      <c r="M4" s="1">
        <v>1</v>
      </c>
      <c r="N4" s="1">
        <v>0</v>
      </c>
      <c r="O4" s="1">
        <v>12.23</v>
      </c>
      <c r="P4" s="1">
        <v>60</v>
      </c>
      <c r="Q4" s="1">
        <v>7.34</v>
      </c>
      <c r="R4" s="1" t="s">
        <v>27</v>
      </c>
      <c r="S4" s="1">
        <v>0</v>
      </c>
      <c r="T4" s="1">
        <v>7.34</v>
      </c>
    </row>
    <row r="5" spans="1:20" s="1" customFormat="1" x14ac:dyDescent="0.25">
      <c r="A5" s="1" t="s">
        <v>20</v>
      </c>
      <c r="B5" s="1" t="s">
        <v>21</v>
      </c>
      <c r="C5" s="1" t="s">
        <v>22</v>
      </c>
      <c r="D5" s="2">
        <v>46023</v>
      </c>
      <c r="E5" s="2">
        <v>46054</v>
      </c>
      <c r="F5" s="1">
        <v>1</v>
      </c>
      <c r="G5" s="1">
        <v>28</v>
      </c>
      <c r="H5" s="1" t="s">
        <v>23</v>
      </c>
      <c r="I5" s="1" t="s">
        <v>24</v>
      </c>
      <c r="J5" s="1" t="s">
        <v>25</v>
      </c>
      <c r="K5" s="1">
        <f>0.63+0.08+0.24</f>
        <v>0.95</v>
      </c>
      <c r="L5" s="1" t="s">
        <v>30</v>
      </c>
      <c r="M5" s="1">
        <v>1</v>
      </c>
      <c r="N5" s="1">
        <v>0</v>
      </c>
      <c r="O5" s="1">
        <v>1.57</v>
      </c>
      <c r="P5" s="1">
        <v>60</v>
      </c>
      <c r="Q5" s="1">
        <v>0.94</v>
      </c>
      <c r="R5" s="1" t="s">
        <v>27</v>
      </c>
      <c r="S5" s="1">
        <v>0</v>
      </c>
      <c r="T5" s="1">
        <v>0.94</v>
      </c>
    </row>
    <row r="6" spans="1:20" s="1" customFormat="1" x14ac:dyDescent="0.25">
      <c r="A6" s="1" t="s">
        <v>20</v>
      </c>
      <c r="B6" s="1" t="s">
        <v>21</v>
      </c>
      <c r="C6" s="1" t="s">
        <v>22</v>
      </c>
      <c r="D6" s="2">
        <v>46023</v>
      </c>
      <c r="E6" s="2">
        <v>46054</v>
      </c>
      <c r="F6" s="1">
        <v>1</v>
      </c>
      <c r="G6" s="1">
        <v>28</v>
      </c>
      <c r="H6" s="1" t="s">
        <v>23</v>
      </c>
      <c r="I6" s="1" t="s">
        <v>24</v>
      </c>
      <c r="J6" s="1" t="s">
        <v>25</v>
      </c>
      <c r="K6" s="1">
        <f>16.85+2.06+6.37</f>
        <v>25.28</v>
      </c>
      <c r="L6" s="1" t="s">
        <v>31</v>
      </c>
      <c r="M6" s="1">
        <v>1</v>
      </c>
      <c r="N6" s="1">
        <v>92.17</v>
      </c>
      <c r="O6" s="1">
        <v>42.13</v>
      </c>
      <c r="P6" s="1">
        <v>60</v>
      </c>
      <c r="Q6" s="1">
        <v>25.28</v>
      </c>
      <c r="R6" s="1" t="s">
        <v>27</v>
      </c>
      <c r="S6" s="1">
        <v>0</v>
      </c>
      <c r="T6" s="1">
        <v>25.28</v>
      </c>
    </row>
    <row r="7" spans="1:20" s="1" customFormat="1" x14ac:dyDescent="0.25">
      <c r="A7" s="1" t="s">
        <v>32</v>
      </c>
      <c r="B7" s="1" t="s">
        <v>33</v>
      </c>
      <c r="C7" s="1" t="s">
        <v>34</v>
      </c>
      <c r="D7" s="2">
        <v>46023</v>
      </c>
      <c r="E7" s="2">
        <v>46054</v>
      </c>
      <c r="F7" s="1">
        <v>1</v>
      </c>
      <c r="G7" s="1">
        <v>28</v>
      </c>
      <c r="H7" s="1" t="s">
        <v>23</v>
      </c>
      <c r="I7" s="1" t="s">
        <v>24</v>
      </c>
      <c r="J7" s="1" t="s">
        <v>25</v>
      </c>
      <c r="K7" s="1">
        <f>1.21+0.15+0.6</f>
        <v>1.96</v>
      </c>
      <c r="L7" s="1" t="s">
        <v>35</v>
      </c>
      <c r="M7" s="1">
        <v>1</v>
      </c>
      <c r="N7" s="1">
        <v>0</v>
      </c>
      <c r="O7" s="1">
        <v>2.8</v>
      </c>
      <c r="P7" s="1">
        <v>70</v>
      </c>
      <c r="Q7" s="1">
        <v>1.96</v>
      </c>
      <c r="R7" s="1" t="s">
        <v>27</v>
      </c>
      <c r="S7" s="1">
        <v>0</v>
      </c>
      <c r="T7" s="1">
        <v>1.96</v>
      </c>
    </row>
    <row r="8" spans="1:20" s="1" customFormat="1" x14ac:dyDescent="0.25">
      <c r="A8" s="1" t="s">
        <v>32</v>
      </c>
      <c r="B8" s="1" t="s">
        <v>33</v>
      </c>
      <c r="C8" s="1" t="s">
        <v>34</v>
      </c>
      <c r="D8" s="2">
        <v>46023</v>
      </c>
      <c r="E8" s="2">
        <v>46054</v>
      </c>
      <c r="F8" s="1">
        <v>1</v>
      </c>
      <c r="G8" s="1">
        <v>28</v>
      </c>
      <c r="H8" s="1" t="s">
        <v>23</v>
      </c>
      <c r="I8" s="1" t="s">
        <v>24</v>
      </c>
      <c r="J8" s="1" t="s">
        <v>25</v>
      </c>
      <c r="K8" s="1">
        <f>1.95+0.24+0.96</f>
        <v>3.15</v>
      </c>
      <c r="L8" s="1" t="s">
        <v>36</v>
      </c>
      <c r="M8" s="1">
        <v>1</v>
      </c>
      <c r="N8" s="1">
        <v>0</v>
      </c>
      <c r="O8" s="1">
        <v>4.49</v>
      </c>
      <c r="P8" s="1">
        <v>70</v>
      </c>
      <c r="Q8" s="1">
        <v>3.14</v>
      </c>
      <c r="R8" s="1" t="s">
        <v>27</v>
      </c>
      <c r="S8" s="1">
        <v>0</v>
      </c>
      <c r="T8" s="1">
        <v>3.14</v>
      </c>
    </row>
    <row r="9" spans="1:20" s="1" customFormat="1" x14ac:dyDescent="0.25">
      <c r="A9" s="1" t="s">
        <v>32</v>
      </c>
      <c r="B9" s="1" t="s">
        <v>33</v>
      </c>
      <c r="C9" s="1" t="s">
        <v>34</v>
      </c>
      <c r="D9" s="2">
        <v>46023</v>
      </c>
      <c r="E9" s="2">
        <v>46054</v>
      </c>
      <c r="F9" s="1">
        <v>1</v>
      </c>
      <c r="G9" s="1">
        <v>28</v>
      </c>
      <c r="H9" s="1" t="s">
        <v>23</v>
      </c>
      <c r="I9" s="1" t="s">
        <v>24</v>
      </c>
      <c r="J9" s="1" t="s">
        <v>25</v>
      </c>
      <c r="K9" s="1">
        <f>0.73+0.09+0.36</f>
        <v>1.18</v>
      </c>
      <c r="L9" s="1" t="s">
        <v>37</v>
      </c>
      <c r="M9" s="1">
        <v>1</v>
      </c>
      <c r="N9" s="1">
        <v>0</v>
      </c>
      <c r="O9" s="1">
        <v>1.68</v>
      </c>
      <c r="P9" s="1">
        <v>70</v>
      </c>
      <c r="Q9" s="1">
        <v>1.18</v>
      </c>
      <c r="R9" s="1" t="s">
        <v>27</v>
      </c>
      <c r="S9" s="1">
        <v>0</v>
      </c>
      <c r="T9" s="1">
        <v>1.18</v>
      </c>
    </row>
    <row r="10" spans="1:20" s="1" customFormat="1" x14ac:dyDescent="0.25">
      <c r="A10" s="1" t="s">
        <v>32</v>
      </c>
      <c r="B10" s="1" t="s">
        <v>33</v>
      </c>
      <c r="C10" s="1" t="s">
        <v>34</v>
      </c>
      <c r="D10" s="2">
        <v>46023</v>
      </c>
      <c r="E10" s="2">
        <v>46054</v>
      </c>
      <c r="F10" s="1">
        <v>1</v>
      </c>
      <c r="G10" s="1">
        <v>28</v>
      </c>
      <c r="H10" s="1" t="s">
        <v>23</v>
      </c>
      <c r="I10" s="1" t="s">
        <v>24</v>
      </c>
      <c r="J10" s="1" t="s">
        <v>25</v>
      </c>
      <c r="K10" s="1">
        <f>5+0.61+2.47</f>
        <v>8.08</v>
      </c>
      <c r="L10" s="1" t="s">
        <v>38</v>
      </c>
      <c r="M10" s="1">
        <v>1</v>
      </c>
      <c r="N10" s="1">
        <v>0</v>
      </c>
      <c r="O10" s="1">
        <v>11.55</v>
      </c>
      <c r="P10" s="1">
        <v>70</v>
      </c>
      <c r="Q10" s="1">
        <v>8.09</v>
      </c>
      <c r="R10" s="1" t="s">
        <v>27</v>
      </c>
      <c r="S10" s="1">
        <v>0</v>
      </c>
      <c r="T10" s="1">
        <v>8.09</v>
      </c>
    </row>
    <row r="11" spans="1:20" s="1" customFormat="1" x14ac:dyDescent="0.25">
      <c r="A11" s="1" t="s">
        <v>32</v>
      </c>
      <c r="B11" s="1" t="s">
        <v>33</v>
      </c>
      <c r="C11" s="1" t="s">
        <v>34</v>
      </c>
      <c r="D11" s="2">
        <v>46023</v>
      </c>
      <c r="E11" s="2">
        <v>46054</v>
      </c>
      <c r="F11" s="1">
        <v>1</v>
      </c>
      <c r="G11" s="1">
        <v>28</v>
      </c>
      <c r="H11" s="1" t="s">
        <v>23</v>
      </c>
      <c r="I11" s="1" t="s">
        <v>24</v>
      </c>
      <c r="J11" s="1" t="s">
        <v>25</v>
      </c>
      <c r="K11" s="1">
        <f>7.34+0.9+3.62</f>
        <v>11.86</v>
      </c>
      <c r="L11" s="1" t="s">
        <v>39</v>
      </c>
      <c r="M11" s="1">
        <v>1</v>
      </c>
      <c r="N11" s="1">
        <v>0</v>
      </c>
      <c r="O11" s="1">
        <v>16.95</v>
      </c>
      <c r="P11" s="1">
        <v>70</v>
      </c>
      <c r="Q11" s="1">
        <v>11.87</v>
      </c>
      <c r="R11" s="1" t="s">
        <v>27</v>
      </c>
      <c r="S11" s="1">
        <v>0</v>
      </c>
      <c r="T11" s="1">
        <v>11.87</v>
      </c>
    </row>
    <row r="12" spans="1:20" s="1" customFormat="1" x14ac:dyDescent="0.25">
      <c r="A12" s="1" t="s">
        <v>32</v>
      </c>
      <c r="B12" s="1" t="s">
        <v>33</v>
      </c>
      <c r="C12" s="1" t="s">
        <v>34</v>
      </c>
      <c r="D12" s="2">
        <v>46023</v>
      </c>
      <c r="E12" s="2">
        <v>46054</v>
      </c>
      <c r="F12" s="1">
        <v>1</v>
      </c>
      <c r="G12" s="1">
        <v>28</v>
      </c>
      <c r="H12" s="1" t="s">
        <v>23</v>
      </c>
      <c r="I12" s="1" t="s">
        <v>24</v>
      </c>
      <c r="J12" s="1" t="s">
        <v>25</v>
      </c>
      <c r="K12" s="1">
        <f>2.75+0.34+1.36</f>
        <v>4.45</v>
      </c>
      <c r="L12" s="1" t="s">
        <v>40</v>
      </c>
      <c r="M12" s="1">
        <v>1</v>
      </c>
      <c r="N12" s="1">
        <v>0</v>
      </c>
      <c r="O12" s="1">
        <v>6.35</v>
      </c>
      <c r="P12" s="1">
        <v>70</v>
      </c>
      <c r="Q12" s="1">
        <v>4.45</v>
      </c>
      <c r="R12" s="1" t="s">
        <v>27</v>
      </c>
      <c r="S12" s="1">
        <v>0</v>
      </c>
      <c r="T12" s="1">
        <v>4.45</v>
      </c>
    </row>
    <row r="13" spans="1:20" s="1" customFormat="1" x14ac:dyDescent="0.25">
      <c r="A13" s="1" t="s">
        <v>32</v>
      </c>
      <c r="B13" s="1" t="s">
        <v>33</v>
      </c>
      <c r="C13" s="1" t="s">
        <v>34</v>
      </c>
      <c r="D13" s="2">
        <v>46023</v>
      </c>
      <c r="E13" s="2">
        <v>46054</v>
      </c>
      <c r="F13" s="1">
        <v>1</v>
      </c>
      <c r="G13" s="1">
        <v>28</v>
      </c>
      <c r="H13" s="1" t="s">
        <v>23</v>
      </c>
      <c r="I13" s="1" t="s">
        <v>24</v>
      </c>
      <c r="J13" s="1" t="s">
        <v>25</v>
      </c>
      <c r="K13" s="1">
        <f>13.26+1.62+6.54</f>
        <v>21.419999999999998</v>
      </c>
      <c r="L13" s="1" t="s">
        <v>41</v>
      </c>
      <c r="M13" s="1">
        <v>1</v>
      </c>
      <c r="N13" s="1">
        <v>74.430000000000007</v>
      </c>
      <c r="O13" s="1">
        <v>30.61</v>
      </c>
      <c r="P13" s="1">
        <v>70</v>
      </c>
      <c r="Q13" s="1">
        <v>21.43</v>
      </c>
      <c r="R13" s="1" t="s">
        <v>27</v>
      </c>
      <c r="S13" s="1">
        <v>0</v>
      </c>
      <c r="T13" s="1">
        <v>21.43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GTL Weekly 1-28-26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 Irene Cabel</cp:lastModifiedBy>
  <dcterms:created xsi:type="dcterms:W3CDTF">2026-02-03T15:53:44Z</dcterms:created>
  <dcterms:modified xsi:type="dcterms:W3CDTF">2026-02-03T17:49:18Z</dcterms:modified>
</cp:coreProperties>
</file>