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12-3-25\"/>
    </mc:Choice>
  </mc:AlternateContent>
  <xr:revisionPtr revIDLastSave="0" documentId="13_ncr:1_{DFDB3590-FC9A-43BB-84F6-EACA7B02A4EC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011I7200_WC_11-25-20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nl5hKjTCRRUHnQVdOrcTOe+jZE9AQ3kUwjpnSyC/Qc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" i="2"/>
</calcChain>
</file>

<file path=xl/sharedStrings.xml><?xml version="1.0" encoding="utf-8"?>
<sst xmlns="http://schemas.openxmlformats.org/spreadsheetml/2006/main" count="370" uniqueCount="68">
  <si>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</si>
  <si>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</si>
  <si>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</si>
  <si>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</si>
  <si>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</si>
  <si>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</si>
  <si>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</si>
  <si>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</si>
  <si>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</si>
  <si>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</si>
  <si>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</si>
  <si>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</si>
  <si>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</si>
  <si>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</si>
  <si>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</si>
  <si>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</si>
  <si>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>Comm Amt</t>
  </si>
  <si>
    <t>Code</t>
  </si>
  <si>
    <t>Retained or Recovery</t>
  </si>
  <si>
    <t>Comm Amt Due</t>
  </si>
  <si>
    <t>GTA6425076</t>
  </si>
  <si>
    <t>IL</t>
  </si>
  <si>
    <t>HRONOPOULOS J</t>
  </si>
  <si>
    <t>011I7216</t>
  </si>
  <si>
    <t>ANDREA</t>
  </si>
  <si>
    <t>PETRUNGARO</t>
  </si>
  <si>
    <t>GACAN</t>
  </si>
  <si>
    <t>GRCRC</t>
  </si>
  <si>
    <t>GTA6401122</t>
  </si>
  <si>
    <t>MI</t>
  </si>
  <si>
    <t>EAGLE DAWN M</t>
  </si>
  <si>
    <t>011I7208</t>
  </si>
  <si>
    <t>CAROL</t>
  </si>
  <si>
    <t>FOLEY</t>
  </si>
  <si>
    <t>M20CN</t>
  </si>
  <si>
    <t>M20FE</t>
  </si>
  <si>
    <t>M20OT</t>
  </si>
  <si>
    <t>M20SC</t>
  </si>
  <si>
    <t>MAP20</t>
  </si>
  <si>
    <t>GTA6420348</t>
  </si>
  <si>
    <t>FL</t>
  </si>
  <si>
    <t>SEGERMEISTER</t>
  </si>
  <si>
    <t>G20FE</t>
  </si>
  <si>
    <t>G20OT</t>
  </si>
  <si>
    <t>G20SF</t>
  </si>
  <si>
    <t>GAP20</t>
  </si>
  <si>
    <t>GTA6436645</t>
  </si>
  <si>
    <t>PA</t>
  </si>
  <si>
    <t>SMITH CAROL</t>
  </si>
  <si>
    <t>M20SF</t>
  </si>
  <si>
    <t>GTA6428754</t>
  </si>
  <si>
    <t>TX</t>
  </si>
  <si>
    <t>LEE DEVIN</t>
  </si>
  <si>
    <t>011I7206</t>
  </si>
  <si>
    <t>ADAM</t>
  </si>
  <si>
    <t>RICHTER</t>
  </si>
  <si>
    <t>GNHHC</t>
  </si>
  <si>
    <t>N</t>
  </si>
  <si>
    <t>GTL Short Term Home Health Care (75)</t>
  </si>
  <si>
    <t>GTL ADVANTAGE PLUS Dental Vison(60)</t>
  </si>
  <si>
    <t>GTL ADVANTAGE PLUS(70)</t>
  </si>
  <si>
    <t>16912722AV9</t>
  </si>
  <si>
    <t>HRONOPOULOS</t>
  </si>
  <si>
    <t>EAGLE DAWN</t>
  </si>
  <si>
    <t>NB</t>
  </si>
  <si>
    <t>RN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</si>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</sst>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/>
    <xf numFmtId="1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A3" sqref="A3"/>
    </sheetView>
  </sheetViews>
  <sheetFormatPr defaultColWidth="14.42578125" defaultRowHeight="15" customHeight="1" x14ac:dyDescent="0.25"/>
  <cols>
    <col min="1" max="1" width="12" customWidth="1"/>
    <col min="2" max="2" width="10.28515625" customWidth="1"/>
    <col min="3" max="3" width="15.85546875" customWidth="1"/>
    <col min="4" max="4" width="12.85546875" customWidth="1"/>
    <col min="5" max="5" width="11.7109375" customWidth="1"/>
    <col min="6" max="6" width="6.140625" customWidth="1"/>
    <col min="7" max="7" width="8.42578125" customWidth="1"/>
    <col min="8" max="8" width="9.85546875" customWidth="1"/>
    <col min="9" max="9" width="10.28515625" customWidth="1"/>
    <col min="10" max="10" width="13.140625" customWidth="1"/>
    <col min="11" max="11" width="7.28515625" customWidth="1"/>
    <col min="12" max="12" width="11" customWidth="1"/>
    <col min="13" max="13" width="10.140625" customWidth="1"/>
    <col min="14" max="14" width="13.7109375" customWidth="1"/>
    <col min="15" max="15" width="15.7109375" customWidth="1"/>
    <col min="16" max="16" width="11" customWidth="1"/>
    <col min="17" max="17" width="10.7109375" customWidth="1"/>
    <col min="18" max="18" width="5.5703125" customWidth="1"/>
    <col min="19" max="19" width="19.28515625" customWidth="1"/>
    <col min="20" max="20" width="14.7109375" customWidth="1"/>
    <col min="21" max="26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2">
        <v>45992</v>
      </c>
      <c r="E2" s="2">
        <v>46023</v>
      </c>
      <c r="F2" s="3">
        <v>1</v>
      </c>
      <c r="G2" s="3">
        <v>2</v>
      </c>
      <c r="H2" s="1" t="s">
        <v>23</v>
      </c>
      <c r="I2" s="1" t="s">
        <v>24</v>
      </c>
      <c r="J2" s="1" t="s">
        <v>25</v>
      </c>
      <c r="K2" s="1"/>
      <c r="L2" s="1" t="s">
        <v>26</v>
      </c>
      <c r="M2" s="3">
        <v>1</v>
      </c>
      <c r="N2" s="3">
        <v>136.66</v>
      </c>
      <c r="O2" s="3">
        <v>120.83</v>
      </c>
      <c r="P2" s="3">
        <v>60</v>
      </c>
      <c r="Q2" s="3">
        <v>72.5</v>
      </c>
      <c r="R2" s="1"/>
      <c r="S2" s="3">
        <v>0</v>
      </c>
      <c r="T2" s="3">
        <v>72.5</v>
      </c>
    </row>
    <row r="3" spans="1:20" x14ac:dyDescent="0.25">
      <c r="A3" s="1" t="s">
        <v>20</v>
      </c>
      <c r="B3" s="1" t="s">
        <v>21</v>
      </c>
      <c r="C3" s="1" t="s">
        <v>22</v>
      </c>
      <c r="D3" s="2">
        <v>45992</v>
      </c>
      <c r="E3" s="2">
        <v>46023</v>
      </c>
      <c r="F3" s="3">
        <v>1</v>
      </c>
      <c r="G3" s="3">
        <v>2</v>
      </c>
      <c r="H3" s="1" t="s">
        <v>23</v>
      </c>
      <c r="I3" s="1" t="s">
        <v>24</v>
      </c>
      <c r="J3" s="1" t="s">
        <v>25</v>
      </c>
      <c r="K3" s="1"/>
      <c r="L3" s="1" t="s">
        <v>27</v>
      </c>
      <c r="M3" s="3">
        <v>1</v>
      </c>
      <c r="N3" s="3">
        <v>0</v>
      </c>
      <c r="O3" s="3">
        <v>13.75</v>
      </c>
      <c r="P3" s="3">
        <v>60</v>
      </c>
      <c r="Q3" s="3">
        <v>8.25</v>
      </c>
      <c r="R3" s="1"/>
      <c r="S3" s="3">
        <v>0</v>
      </c>
      <c r="T3" s="3">
        <v>8.25</v>
      </c>
    </row>
    <row r="4" spans="1:20" x14ac:dyDescent="0.25">
      <c r="A4" s="1" t="s">
        <v>28</v>
      </c>
      <c r="B4" s="1" t="s">
        <v>29</v>
      </c>
      <c r="C4" s="1" t="s">
        <v>30</v>
      </c>
      <c r="D4" s="2">
        <v>45992</v>
      </c>
      <c r="E4" s="2">
        <v>46023</v>
      </c>
      <c r="F4" s="3">
        <v>1</v>
      </c>
      <c r="G4" s="3">
        <v>2</v>
      </c>
      <c r="H4" s="1" t="s">
        <v>31</v>
      </c>
      <c r="I4" s="1" t="s">
        <v>32</v>
      </c>
      <c r="J4" s="1" t="s">
        <v>33</v>
      </c>
      <c r="K4" s="1"/>
      <c r="L4" s="1" t="s">
        <v>34</v>
      </c>
      <c r="M4" s="3">
        <v>1</v>
      </c>
      <c r="N4" s="3">
        <v>0</v>
      </c>
      <c r="O4" s="3">
        <v>20.02</v>
      </c>
      <c r="P4" s="3">
        <v>60</v>
      </c>
      <c r="Q4" s="3">
        <v>12.01</v>
      </c>
      <c r="R4" s="1"/>
      <c r="S4" s="3">
        <v>0</v>
      </c>
      <c r="T4" s="3">
        <v>12.01</v>
      </c>
    </row>
    <row r="5" spans="1:20" x14ac:dyDescent="0.25">
      <c r="A5" s="1" t="s">
        <v>28</v>
      </c>
      <c r="B5" s="1" t="s">
        <v>29</v>
      </c>
      <c r="C5" s="1" t="s">
        <v>30</v>
      </c>
      <c r="D5" s="2">
        <v>45992</v>
      </c>
      <c r="E5" s="2">
        <v>46023</v>
      </c>
      <c r="F5" s="3">
        <v>1</v>
      </c>
      <c r="G5" s="3">
        <v>2</v>
      </c>
      <c r="H5" s="1" t="s">
        <v>31</v>
      </c>
      <c r="I5" s="1" t="s">
        <v>32</v>
      </c>
      <c r="J5" s="1" t="s">
        <v>33</v>
      </c>
      <c r="K5" s="1"/>
      <c r="L5" s="1" t="s">
        <v>35</v>
      </c>
      <c r="M5" s="3">
        <v>1</v>
      </c>
      <c r="N5" s="3">
        <v>0</v>
      </c>
      <c r="O5" s="3">
        <v>1.68</v>
      </c>
      <c r="P5" s="3">
        <v>60</v>
      </c>
      <c r="Q5" s="3">
        <v>1.01</v>
      </c>
      <c r="R5" s="1"/>
      <c r="S5" s="3">
        <v>0</v>
      </c>
      <c r="T5" s="3">
        <v>1.01</v>
      </c>
    </row>
    <row r="6" spans="1:20" x14ac:dyDescent="0.25">
      <c r="A6" s="1" t="s">
        <v>28</v>
      </c>
      <c r="B6" s="1" t="s">
        <v>29</v>
      </c>
      <c r="C6" s="1" t="s">
        <v>30</v>
      </c>
      <c r="D6" s="2">
        <v>45992</v>
      </c>
      <c r="E6" s="2">
        <v>46023</v>
      </c>
      <c r="F6" s="3">
        <v>1</v>
      </c>
      <c r="G6" s="3">
        <v>2</v>
      </c>
      <c r="H6" s="1" t="s">
        <v>31</v>
      </c>
      <c r="I6" s="1" t="s">
        <v>32</v>
      </c>
      <c r="J6" s="1" t="s">
        <v>33</v>
      </c>
      <c r="K6" s="1"/>
      <c r="L6" s="1" t="s">
        <v>36</v>
      </c>
      <c r="M6" s="3">
        <v>1</v>
      </c>
      <c r="N6" s="3">
        <v>0</v>
      </c>
      <c r="O6" s="3">
        <v>5.51</v>
      </c>
      <c r="P6" s="3">
        <v>60</v>
      </c>
      <c r="Q6" s="3">
        <v>3.31</v>
      </c>
      <c r="R6" s="1"/>
      <c r="S6" s="3">
        <v>0</v>
      </c>
      <c r="T6" s="3">
        <v>3.31</v>
      </c>
    </row>
    <row r="7" spans="1:20" x14ac:dyDescent="0.25">
      <c r="A7" s="1" t="s">
        <v>28</v>
      </c>
      <c r="B7" s="1" t="s">
        <v>29</v>
      </c>
      <c r="C7" s="1" t="s">
        <v>30</v>
      </c>
      <c r="D7" s="2">
        <v>45992</v>
      </c>
      <c r="E7" s="2">
        <v>46023</v>
      </c>
      <c r="F7" s="3">
        <v>1</v>
      </c>
      <c r="G7" s="3">
        <v>2</v>
      </c>
      <c r="H7" s="1" t="s">
        <v>31</v>
      </c>
      <c r="I7" s="1" t="s">
        <v>32</v>
      </c>
      <c r="J7" s="1" t="s">
        <v>33</v>
      </c>
      <c r="K7" s="1"/>
      <c r="L7" s="1" t="s">
        <v>37</v>
      </c>
      <c r="M7" s="3">
        <v>1</v>
      </c>
      <c r="N7" s="3">
        <v>0</v>
      </c>
      <c r="O7" s="3">
        <v>3.26</v>
      </c>
      <c r="P7" s="3">
        <v>60</v>
      </c>
      <c r="Q7" s="3">
        <v>1.96</v>
      </c>
      <c r="R7" s="1"/>
      <c r="S7" s="3">
        <v>0</v>
      </c>
      <c r="T7" s="3">
        <v>1.96</v>
      </c>
    </row>
    <row r="8" spans="1:20" x14ac:dyDescent="0.25">
      <c r="A8" s="1" t="s">
        <v>28</v>
      </c>
      <c r="B8" s="1" t="s">
        <v>29</v>
      </c>
      <c r="C8" s="1" t="s">
        <v>30</v>
      </c>
      <c r="D8" s="2">
        <v>45992</v>
      </c>
      <c r="E8" s="2">
        <v>46023</v>
      </c>
      <c r="F8" s="3">
        <v>1</v>
      </c>
      <c r="G8" s="3">
        <v>2</v>
      </c>
      <c r="H8" s="1" t="s">
        <v>31</v>
      </c>
      <c r="I8" s="1" t="s">
        <v>32</v>
      </c>
      <c r="J8" s="1" t="s">
        <v>33</v>
      </c>
      <c r="K8" s="1"/>
      <c r="L8" s="1" t="s">
        <v>38</v>
      </c>
      <c r="M8" s="3">
        <v>1</v>
      </c>
      <c r="N8" s="3">
        <v>52.88</v>
      </c>
      <c r="O8" s="3">
        <v>22.41</v>
      </c>
      <c r="P8" s="3">
        <v>60</v>
      </c>
      <c r="Q8" s="3">
        <v>13.45</v>
      </c>
      <c r="R8" s="1"/>
      <c r="S8" s="3">
        <v>0</v>
      </c>
      <c r="T8" s="3">
        <v>13.45</v>
      </c>
    </row>
    <row r="9" spans="1:20" x14ac:dyDescent="0.25">
      <c r="A9" s="1" t="s">
        <v>39</v>
      </c>
      <c r="B9" s="1" t="s">
        <v>40</v>
      </c>
      <c r="C9" s="1" t="s">
        <v>41</v>
      </c>
      <c r="D9" s="2">
        <v>45992</v>
      </c>
      <c r="E9" s="2">
        <v>46023</v>
      </c>
      <c r="F9" s="3">
        <v>1</v>
      </c>
      <c r="G9" s="3">
        <v>2</v>
      </c>
      <c r="H9" s="1" t="s">
        <v>31</v>
      </c>
      <c r="I9" s="1" t="s">
        <v>32</v>
      </c>
      <c r="J9" s="1" t="s">
        <v>33</v>
      </c>
      <c r="K9" s="1"/>
      <c r="L9" s="1" t="s">
        <v>42</v>
      </c>
      <c r="M9" s="3">
        <v>1</v>
      </c>
      <c r="N9" s="3">
        <v>0</v>
      </c>
      <c r="O9" s="3">
        <v>1.68</v>
      </c>
      <c r="P9" s="3">
        <v>70</v>
      </c>
      <c r="Q9" s="3">
        <v>1.18</v>
      </c>
      <c r="R9" s="1"/>
      <c r="S9" s="3">
        <v>0</v>
      </c>
      <c r="T9" s="3">
        <v>1.18</v>
      </c>
    </row>
    <row r="10" spans="1:20" x14ac:dyDescent="0.25">
      <c r="A10" s="1" t="s">
        <v>39</v>
      </c>
      <c r="B10" s="1" t="s">
        <v>40</v>
      </c>
      <c r="C10" s="1" t="s">
        <v>41</v>
      </c>
      <c r="D10" s="2">
        <v>45992</v>
      </c>
      <c r="E10" s="2">
        <v>46023</v>
      </c>
      <c r="F10" s="3">
        <v>1</v>
      </c>
      <c r="G10" s="3">
        <v>2</v>
      </c>
      <c r="H10" s="1" t="s">
        <v>31</v>
      </c>
      <c r="I10" s="1" t="s">
        <v>32</v>
      </c>
      <c r="J10" s="1" t="s">
        <v>33</v>
      </c>
      <c r="K10" s="1"/>
      <c r="L10" s="1" t="s">
        <v>43</v>
      </c>
      <c r="M10" s="3">
        <v>1</v>
      </c>
      <c r="N10" s="3">
        <v>0</v>
      </c>
      <c r="O10" s="3">
        <v>6.99</v>
      </c>
      <c r="P10" s="3">
        <v>70</v>
      </c>
      <c r="Q10" s="3">
        <v>4.8899999999999997</v>
      </c>
      <c r="R10" s="1"/>
      <c r="S10" s="3">
        <v>0</v>
      </c>
      <c r="T10" s="3">
        <v>4.8899999999999997</v>
      </c>
    </row>
    <row r="11" spans="1:20" x14ac:dyDescent="0.25">
      <c r="A11" s="1" t="s">
        <v>39</v>
      </c>
      <c r="B11" s="1" t="s">
        <v>40</v>
      </c>
      <c r="C11" s="1" t="s">
        <v>41</v>
      </c>
      <c r="D11" s="2">
        <v>45992</v>
      </c>
      <c r="E11" s="2">
        <v>46023</v>
      </c>
      <c r="F11" s="3">
        <v>1</v>
      </c>
      <c r="G11" s="3">
        <v>2</v>
      </c>
      <c r="H11" s="1" t="s">
        <v>31</v>
      </c>
      <c r="I11" s="1" t="s">
        <v>32</v>
      </c>
      <c r="J11" s="1" t="s">
        <v>33</v>
      </c>
      <c r="K11" s="1"/>
      <c r="L11" s="1" t="s">
        <v>44</v>
      </c>
      <c r="M11" s="3">
        <v>1</v>
      </c>
      <c r="N11" s="3">
        <v>0</v>
      </c>
      <c r="O11" s="3">
        <v>11.49</v>
      </c>
      <c r="P11" s="3">
        <v>70</v>
      </c>
      <c r="Q11" s="3">
        <v>8.0399999999999991</v>
      </c>
      <c r="R11" s="1"/>
      <c r="S11" s="3">
        <v>0</v>
      </c>
      <c r="T11" s="3">
        <v>8.0399999999999991</v>
      </c>
    </row>
    <row r="12" spans="1:20" x14ac:dyDescent="0.25">
      <c r="A12" s="1" t="s">
        <v>39</v>
      </c>
      <c r="B12" s="1" t="s">
        <v>40</v>
      </c>
      <c r="C12" s="1" t="s">
        <v>41</v>
      </c>
      <c r="D12" s="2">
        <v>45992</v>
      </c>
      <c r="E12" s="2">
        <v>46023</v>
      </c>
      <c r="F12" s="3">
        <v>1</v>
      </c>
      <c r="G12" s="3">
        <v>2</v>
      </c>
      <c r="H12" s="1" t="s">
        <v>31</v>
      </c>
      <c r="I12" s="1" t="s">
        <v>32</v>
      </c>
      <c r="J12" s="1" t="s">
        <v>33</v>
      </c>
      <c r="K12" s="1"/>
      <c r="L12" s="1" t="s">
        <v>45</v>
      </c>
      <c r="M12" s="3">
        <v>1</v>
      </c>
      <c r="N12" s="3">
        <v>42.61</v>
      </c>
      <c r="O12" s="3">
        <v>18.95</v>
      </c>
      <c r="P12" s="3">
        <v>70</v>
      </c>
      <c r="Q12" s="3">
        <v>13.27</v>
      </c>
      <c r="R12" s="1"/>
      <c r="S12" s="3">
        <v>0</v>
      </c>
      <c r="T12" s="3">
        <v>13.27</v>
      </c>
    </row>
    <row r="13" spans="1:20" x14ac:dyDescent="0.25">
      <c r="A13" s="1" t="s">
        <v>46</v>
      </c>
      <c r="B13" s="1" t="s">
        <v>47</v>
      </c>
      <c r="C13" s="1" t="s">
        <v>48</v>
      </c>
      <c r="D13" s="2">
        <v>45992</v>
      </c>
      <c r="E13" s="2">
        <v>46023</v>
      </c>
      <c r="F13" s="3">
        <v>1</v>
      </c>
      <c r="G13" s="3">
        <v>2</v>
      </c>
      <c r="H13" s="1" t="s">
        <v>31</v>
      </c>
      <c r="I13" s="1" t="s">
        <v>32</v>
      </c>
      <c r="J13" s="1" t="s">
        <v>33</v>
      </c>
      <c r="K13" s="1"/>
      <c r="L13" s="1" t="s">
        <v>34</v>
      </c>
      <c r="M13" s="3">
        <v>1</v>
      </c>
      <c r="N13" s="3">
        <v>0</v>
      </c>
      <c r="O13" s="3">
        <v>19.489999999999998</v>
      </c>
      <c r="P13" s="3">
        <v>70</v>
      </c>
      <c r="Q13" s="3">
        <v>13.64</v>
      </c>
      <c r="R13" s="1"/>
      <c r="S13" s="3">
        <v>0</v>
      </c>
      <c r="T13" s="3">
        <v>13.64</v>
      </c>
    </row>
    <row r="14" spans="1:20" x14ac:dyDescent="0.25">
      <c r="A14" s="1" t="s">
        <v>46</v>
      </c>
      <c r="B14" s="1" t="s">
        <v>47</v>
      </c>
      <c r="C14" s="1" t="s">
        <v>48</v>
      </c>
      <c r="D14" s="2">
        <v>45992</v>
      </c>
      <c r="E14" s="2">
        <v>46023</v>
      </c>
      <c r="F14" s="3">
        <v>1</v>
      </c>
      <c r="G14" s="3">
        <v>2</v>
      </c>
      <c r="H14" s="1" t="s">
        <v>31</v>
      </c>
      <c r="I14" s="1" t="s">
        <v>32</v>
      </c>
      <c r="J14" s="1" t="s">
        <v>33</v>
      </c>
      <c r="K14" s="1"/>
      <c r="L14" s="1" t="s">
        <v>35</v>
      </c>
      <c r="M14" s="3">
        <v>1</v>
      </c>
      <c r="N14" s="3">
        <v>0</v>
      </c>
      <c r="O14" s="3">
        <v>1.68</v>
      </c>
      <c r="P14" s="3">
        <v>70</v>
      </c>
      <c r="Q14" s="3">
        <v>1.18</v>
      </c>
      <c r="R14" s="1"/>
      <c r="S14" s="3">
        <v>0</v>
      </c>
      <c r="T14" s="3">
        <v>1.18</v>
      </c>
    </row>
    <row r="15" spans="1:20" x14ac:dyDescent="0.25">
      <c r="A15" s="1" t="s">
        <v>46</v>
      </c>
      <c r="B15" s="1" t="s">
        <v>47</v>
      </c>
      <c r="C15" s="1" t="s">
        <v>48</v>
      </c>
      <c r="D15" s="2">
        <v>45992</v>
      </c>
      <c r="E15" s="2">
        <v>46023</v>
      </c>
      <c r="F15" s="3">
        <v>1</v>
      </c>
      <c r="G15" s="3">
        <v>2</v>
      </c>
      <c r="H15" s="1" t="s">
        <v>31</v>
      </c>
      <c r="I15" s="1" t="s">
        <v>32</v>
      </c>
      <c r="J15" s="1" t="s">
        <v>33</v>
      </c>
      <c r="K15" s="1"/>
      <c r="L15" s="1" t="s">
        <v>36</v>
      </c>
      <c r="M15" s="3">
        <v>1</v>
      </c>
      <c r="N15" s="3">
        <v>0</v>
      </c>
      <c r="O15" s="3">
        <v>6.06</v>
      </c>
      <c r="P15" s="3">
        <v>70</v>
      </c>
      <c r="Q15" s="3">
        <v>4.24</v>
      </c>
      <c r="R15" s="1"/>
      <c r="S15" s="3">
        <v>0</v>
      </c>
      <c r="T15" s="3">
        <v>4.24</v>
      </c>
    </row>
    <row r="16" spans="1:20" x14ac:dyDescent="0.25">
      <c r="A16" s="1" t="s">
        <v>46</v>
      </c>
      <c r="B16" s="1" t="s">
        <v>47</v>
      </c>
      <c r="C16" s="1" t="s">
        <v>48</v>
      </c>
      <c r="D16" s="2">
        <v>45992</v>
      </c>
      <c r="E16" s="2">
        <v>46023</v>
      </c>
      <c r="F16" s="3">
        <v>1</v>
      </c>
      <c r="G16" s="3">
        <v>2</v>
      </c>
      <c r="H16" s="1" t="s">
        <v>31</v>
      </c>
      <c r="I16" s="1" t="s">
        <v>32</v>
      </c>
      <c r="J16" s="1" t="s">
        <v>33</v>
      </c>
      <c r="K16" s="1"/>
      <c r="L16" s="1" t="s">
        <v>37</v>
      </c>
      <c r="M16" s="3">
        <v>1</v>
      </c>
      <c r="N16" s="3">
        <v>0</v>
      </c>
      <c r="O16" s="3">
        <v>2.75</v>
      </c>
      <c r="P16" s="3">
        <v>70</v>
      </c>
      <c r="Q16" s="3">
        <v>1.93</v>
      </c>
      <c r="R16" s="1"/>
      <c r="S16" s="3">
        <v>0</v>
      </c>
      <c r="T16" s="3">
        <v>1.93</v>
      </c>
    </row>
    <row r="17" spans="1:20" x14ac:dyDescent="0.25">
      <c r="A17" s="1" t="s">
        <v>46</v>
      </c>
      <c r="B17" s="1" t="s">
        <v>47</v>
      </c>
      <c r="C17" s="1" t="s">
        <v>48</v>
      </c>
      <c r="D17" s="2">
        <v>45992</v>
      </c>
      <c r="E17" s="2">
        <v>46023</v>
      </c>
      <c r="F17" s="3">
        <v>1</v>
      </c>
      <c r="G17" s="3">
        <v>2</v>
      </c>
      <c r="H17" s="1" t="s">
        <v>31</v>
      </c>
      <c r="I17" s="1" t="s">
        <v>32</v>
      </c>
      <c r="J17" s="1" t="s">
        <v>33</v>
      </c>
      <c r="K17" s="1"/>
      <c r="L17" s="1" t="s">
        <v>49</v>
      </c>
      <c r="M17" s="3">
        <v>1</v>
      </c>
      <c r="N17" s="3">
        <v>0</v>
      </c>
      <c r="O17" s="3">
        <v>9.6999999999999993</v>
      </c>
      <c r="P17" s="3">
        <v>70</v>
      </c>
      <c r="Q17" s="3">
        <v>6.79</v>
      </c>
      <c r="R17" s="1"/>
      <c r="S17" s="3">
        <v>0</v>
      </c>
      <c r="T17" s="3">
        <v>6.79</v>
      </c>
    </row>
    <row r="18" spans="1:20" x14ac:dyDescent="0.25">
      <c r="A18" s="1" t="s">
        <v>46</v>
      </c>
      <c r="B18" s="1" t="s">
        <v>47</v>
      </c>
      <c r="C18" s="1" t="s">
        <v>48</v>
      </c>
      <c r="D18" s="2">
        <v>45992</v>
      </c>
      <c r="E18" s="2">
        <v>46023</v>
      </c>
      <c r="F18" s="3">
        <v>1</v>
      </c>
      <c r="G18" s="3">
        <v>2</v>
      </c>
      <c r="H18" s="1" t="s">
        <v>31</v>
      </c>
      <c r="I18" s="1" t="s">
        <v>32</v>
      </c>
      <c r="J18" s="1" t="s">
        <v>33</v>
      </c>
      <c r="K18" s="1"/>
      <c r="L18" s="1" t="s">
        <v>38</v>
      </c>
      <c r="M18" s="3">
        <v>1</v>
      </c>
      <c r="N18" s="3">
        <v>59.68</v>
      </c>
      <c r="O18" s="3">
        <v>20</v>
      </c>
      <c r="P18" s="3">
        <v>70</v>
      </c>
      <c r="Q18" s="3">
        <v>14</v>
      </c>
      <c r="R18" s="1"/>
      <c r="S18" s="3">
        <v>0</v>
      </c>
      <c r="T18" s="3">
        <v>14</v>
      </c>
    </row>
    <row r="19" spans="1:20" x14ac:dyDescent="0.25">
      <c r="A19" s="1" t="s">
        <v>50</v>
      </c>
      <c r="B19" s="1" t="s">
        <v>51</v>
      </c>
      <c r="C19" s="1" t="s">
        <v>52</v>
      </c>
      <c r="D19" s="2">
        <v>45979</v>
      </c>
      <c r="E19" s="2">
        <v>45979</v>
      </c>
      <c r="F19" s="3">
        <v>1</v>
      </c>
      <c r="G19" s="3">
        <v>1</v>
      </c>
      <c r="H19" s="1" t="s">
        <v>53</v>
      </c>
      <c r="I19" s="1" t="s">
        <v>54</v>
      </c>
      <c r="J19" s="1" t="s">
        <v>55</v>
      </c>
      <c r="K19" s="1"/>
      <c r="L19" s="1" t="s">
        <v>56</v>
      </c>
      <c r="M19" s="1" t="s">
        <v>57</v>
      </c>
      <c r="N19" s="3">
        <v>209.42</v>
      </c>
      <c r="O19" s="3">
        <v>2.33</v>
      </c>
      <c r="P19" s="3">
        <v>75</v>
      </c>
      <c r="Q19" s="3">
        <v>-1.75</v>
      </c>
      <c r="R19" s="1"/>
      <c r="S19" s="3">
        <v>0</v>
      </c>
      <c r="T19" s="3">
        <v>-1.75</v>
      </c>
    </row>
    <row r="20" spans="1:20" x14ac:dyDescent="0.25">
      <c r="A20" s="1" t="s">
        <v>50</v>
      </c>
      <c r="B20" s="1" t="s">
        <v>51</v>
      </c>
      <c r="C20" s="1" t="s">
        <v>52</v>
      </c>
      <c r="D20" s="2">
        <v>45979</v>
      </c>
      <c r="E20" s="2">
        <v>45979</v>
      </c>
      <c r="F20" s="3">
        <v>1</v>
      </c>
      <c r="G20" s="3">
        <v>1</v>
      </c>
      <c r="H20" s="1" t="s">
        <v>53</v>
      </c>
      <c r="I20" s="1" t="s">
        <v>54</v>
      </c>
      <c r="J20" s="1" t="s">
        <v>55</v>
      </c>
      <c r="K20" s="1"/>
      <c r="L20" s="1" t="s">
        <v>56</v>
      </c>
      <c r="M20" s="1" t="s">
        <v>57</v>
      </c>
      <c r="N20" s="3">
        <v>209.42</v>
      </c>
      <c r="O20" s="3">
        <v>20.46</v>
      </c>
      <c r="P20" s="3">
        <v>75</v>
      </c>
      <c r="Q20" s="3">
        <v>-15.35</v>
      </c>
      <c r="R20" s="1"/>
      <c r="S20" s="3">
        <v>0</v>
      </c>
      <c r="T20" s="3">
        <v>-15.35</v>
      </c>
    </row>
    <row r="21" spans="1:20" ht="15.75" customHeight="1" x14ac:dyDescent="0.25">
      <c r="A21" s="1" t="s">
        <v>50</v>
      </c>
      <c r="B21" s="1" t="s">
        <v>51</v>
      </c>
      <c r="C21" s="1" t="s">
        <v>52</v>
      </c>
      <c r="D21" s="2">
        <v>45979</v>
      </c>
      <c r="E21" s="2">
        <v>45979</v>
      </c>
      <c r="F21" s="3">
        <v>1</v>
      </c>
      <c r="G21" s="3">
        <v>1</v>
      </c>
      <c r="H21" s="1" t="s">
        <v>53</v>
      </c>
      <c r="I21" s="1" t="s">
        <v>54</v>
      </c>
      <c r="J21" s="1" t="s">
        <v>55</v>
      </c>
      <c r="K21" s="1"/>
      <c r="L21" s="1" t="s">
        <v>56</v>
      </c>
      <c r="M21" s="1" t="s">
        <v>57</v>
      </c>
      <c r="N21" s="3">
        <v>209.42</v>
      </c>
      <c r="O21" s="3">
        <v>3.11</v>
      </c>
      <c r="P21" s="3">
        <v>75</v>
      </c>
      <c r="Q21" s="3">
        <v>-2.33</v>
      </c>
      <c r="R21" s="1"/>
      <c r="S21" s="3">
        <v>0</v>
      </c>
      <c r="T21" s="3">
        <v>-2.33</v>
      </c>
    </row>
    <row r="22" spans="1:20" ht="15.75" customHeight="1" x14ac:dyDescent="0.25">
      <c r="A22" s="1" t="s">
        <v>50</v>
      </c>
      <c r="B22" s="1" t="s">
        <v>51</v>
      </c>
      <c r="C22" s="1" t="s">
        <v>52</v>
      </c>
      <c r="D22" s="2">
        <v>45979</v>
      </c>
      <c r="E22" s="2">
        <v>45979</v>
      </c>
      <c r="F22" s="3">
        <v>1</v>
      </c>
      <c r="G22" s="3">
        <v>1</v>
      </c>
      <c r="H22" s="1" t="s">
        <v>53</v>
      </c>
      <c r="I22" s="1" t="s">
        <v>54</v>
      </c>
      <c r="J22" s="1" t="s">
        <v>55</v>
      </c>
      <c r="K22" s="1"/>
      <c r="L22" s="1" t="s">
        <v>56</v>
      </c>
      <c r="M22" s="1" t="s">
        <v>57</v>
      </c>
      <c r="N22" s="3">
        <v>209.42</v>
      </c>
      <c r="O22" s="3">
        <v>38.4</v>
      </c>
      <c r="P22" s="3">
        <v>75</v>
      </c>
      <c r="Q22" s="3">
        <v>-28.8</v>
      </c>
      <c r="R22" s="1"/>
      <c r="S22" s="3">
        <v>0</v>
      </c>
      <c r="T22" s="3">
        <v>-28.8</v>
      </c>
    </row>
    <row r="23" spans="1:20" ht="15.75" customHeight="1" x14ac:dyDescent="0.25">
      <c r="A23" s="1" t="s">
        <v>50</v>
      </c>
      <c r="B23" s="1" t="s">
        <v>51</v>
      </c>
      <c r="C23" s="1" t="s">
        <v>52</v>
      </c>
      <c r="D23" s="2">
        <v>45979</v>
      </c>
      <c r="E23" s="2">
        <v>45979</v>
      </c>
      <c r="F23" s="3">
        <v>1</v>
      </c>
      <c r="G23" s="3">
        <v>1</v>
      </c>
      <c r="H23" s="1" t="s">
        <v>53</v>
      </c>
      <c r="I23" s="1" t="s">
        <v>54</v>
      </c>
      <c r="J23" s="1" t="s">
        <v>55</v>
      </c>
      <c r="K23" s="1"/>
      <c r="L23" s="1" t="s">
        <v>56</v>
      </c>
      <c r="M23" s="1" t="s">
        <v>57</v>
      </c>
      <c r="N23" s="3">
        <v>209.42</v>
      </c>
      <c r="O23" s="3">
        <v>3.83</v>
      </c>
      <c r="P23" s="3">
        <v>75</v>
      </c>
      <c r="Q23" s="3">
        <v>-2.87</v>
      </c>
      <c r="R23" s="1"/>
      <c r="S23" s="3">
        <v>0</v>
      </c>
      <c r="T23" s="3">
        <v>-2.87</v>
      </c>
    </row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3F09-2409-4D15-A01C-5B467519CA4A}">
  <dimension ref="A1:Q1000"/>
  <sheetViews>
    <sheetView workbookViewId="0">
      <selection activeCell="A3" sqref="A3"/>
    </sheetView>
  </sheetViews>
  <sheetFormatPr defaultColWidth="14.42578125" defaultRowHeight="15" x14ac:dyDescent="0.25"/>
  <cols>
    <col min="1" max="1" width="12" customWidth="1"/>
    <col min="2" max="2" width="10.28515625" customWidth="1"/>
    <col min="3" max="3" width="15.85546875" customWidth="1"/>
    <col min="4" max="4" width="12.85546875" customWidth="1"/>
    <col min="5" max="5" width="11.7109375" customWidth="1"/>
    <col min="6" max="6" width="9.85546875" customWidth="1"/>
    <col min="7" max="7" width="8.85546875" customWidth="1"/>
    <col min="8" max="8" width="9" customWidth="1"/>
    <col min="9" max="9" width="21.42578125" bestFit="1" customWidth="1"/>
    <col min="10" max="10" width="13.7109375" customWidth="1"/>
    <col min="11" max="11" width="15.7109375" customWidth="1"/>
    <col min="12" max="12" width="11" customWidth="1"/>
    <col min="13" max="13" width="10.7109375" customWidth="1"/>
    <col min="14" max="14" width="14.7109375" customWidth="1"/>
    <col min="15" max="15" width="36.42578125" bestFit="1" customWidth="1"/>
    <col min="16" max="20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/>
      <c r="J1" s="1" t="s">
        <v>13</v>
      </c>
      <c r="K1" s="1" t="s">
        <v>14</v>
      </c>
      <c r="L1" s="1" t="s">
        <v>15</v>
      </c>
      <c r="M1" s="1" t="s">
        <v>16</v>
      </c>
      <c r="N1" s="1" t="s">
        <v>19</v>
      </c>
    </row>
    <row r="2" spans="1:17" s="7" customFormat="1" x14ac:dyDescent="0.25">
      <c r="A2" s="4" t="s">
        <v>20</v>
      </c>
      <c r="B2" s="4" t="s">
        <v>21</v>
      </c>
      <c r="C2" s="4" t="s">
        <v>62</v>
      </c>
      <c r="D2" s="5">
        <v>45992</v>
      </c>
      <c r="E2" s="5">
        <v>46023</v>
      </c>
      <c r="F2" s="4" t="s">
        <v>61</v>
      </c>
      <c r="G2" s="4" t="s">
        <v>24</v>
      </c>
      <c r="H2" s="4" t="s">
        <v>25</v>
      </c>
      <c r="I2" s="4" t="str">
        <f>CONCATENATE(G2," ",H2)</f>
        <v>ANDREA PETRUNGARO</v>
      </c>
      <c r="J2" s="6">
        <v>136.66</v>
      </c>
      <c r="K2" s="6">
        <v>120.83</v>
      </c>
      <c r="L2" s="6">
        <v>60</v>
      </c>
      <c r="M2" s="6">
        <v>72.5</v>
      </c>
      <c r="N2" s="6">
        <v>72.5</v>
      </c>
      <c r="O2" s="7" t="s">
        <v>59</v>
      </c>
      <c r="P2" s="8" t="s">
        <v>64</v>
      </c>
      <c r="Q2" s="8" t="s">
        <v>66</v>
      </c>
    </row>
    <row r="3" spans="1:17" s="7" customFormat="1" x14ac:dyDescent="0.25">
      <c r="A3" s="4" t="s">
        <v>20</v>
      </c>
      <c r="B3" s="4" t="s">
        <v>21</v>
      </c>
      <c r="C3" s="4" t="s">
        <v>62</v>
      </c>
      <c r="D3" s="5">
        <v>45992</v>
      </c>
      <c r="E3" s="5">
        <v>46023</v>
      </c>
      <c r="F3" s="4" t="s">
        <v>61</v>
      </c>
      <c r="G3" s="4" t="s">
        <v>24</v>
      </c>
      <c r="H3" s="4" t="s">
        <v>25</v>
      </c>
      <c r="I3" s="4" t="str">
        <f t="shared" ref="I3:I23" si="0">CONCATENATE(G3," ",H3)</f>
        <v>ANDREA PETRUNGARO</v>
      </c>
      <c r="J3" s="6">
        <v>0</v>
      </c>
      <c r="K3" s="6">
        <v>13.75</v>
      </c>
      <c r="L3" s="6">
        <v>60</v>
      </c>
      <c r="M3" s="6">
        <v>8.25</v>
      </c>
      <c r="N3" s="6">
        <v>8.25</v>
      </c>
      <c r="O3" s="7" t="s">
        <v>59</v>
      </c>
      <c r="P3" s="8" t="s">
        <v>64</v>
      </c>
      <c r="Q3" s="8" t="s">
        <v>66</v>
      </c>
    </row>
    <row r="4" spans="1:17" x14ac:dyDescent="0.25">
      <c r="A4" s="1" t="s">
        <v>28</v>
      </c>
      <c r="B4" s="1" t="s">
        <v>29</v>
      </c>
      <c r="C4" s="1" t="s">
        <v>63</v>
      </c>
      <c r="D4" s="2">
        <v>45992</v>
      </c>
      <c r="E4" s="2">
        <v>46023</v>
      </c>
      <c r="F4" s="1">
        <v>17425766</v>
      </c>
      <c r="G4" s="1" t="s">
        <v>32</v>
      </c>
      <c r="H4" s="1" t="s">
        <v>33</v>
      </c>
      <c r="I4" s="1" t="str">
        <f t="shared" si="0"/>
        <v>CAROL FOLEY</v>
      </c>
      <c r="J4" s="3">
        <v>0</v>
      </c>
      <c r="K4" s="3">
        <v>20.02</v>
      </c>
      <c r="L4" s="3">
        <v>60</v>
      </c>
      <c r="M4" s="3">
        <v>12.01</v>
      </c>
      <c r="N4" s="3">
        <v>12.01</v>
      </c>
      <c r="O4" t="s">
        <v>59</v>
      </c>
      <c r="P4" s="9" t="s">
        <v>65</v>
      </c>
      <c r="Q4" s="9" t="s">
        <v>67</v>
      </c>
    </row>
    <row r="5" spans="1:17" x14ac:dyDescent="0.25">
      <c r="A5" s="1" t="s">
        <v>28</v>
      </c>
      <c r="B5" s="1" t="s">
        <v>29</v>
      </c>
      <c r="C5" s="1" t="s">
        <v>63</v>
      </c>
      <c r="D5" s="2">
        <v>45992</v>
      </c>
      <c r="E5" s="2">
        <v>46023</v>
      </c>
      <c r="F5" s="1">
        <v>17425766</v>
      </c>
      <c r="G5" s="1" t="s">
        <v>32</v>
      </c>
      <c r="H5" s="1" t="s">
        <v>33</v>
      </c>
      <c r="I5" s="1" t="str">
        <f t="shared" si="0"/>
        <v>CAROL FOLEY</v>
      </c>
      <c r="J5" s="3">
        <v>0</v>
      </c>
      <c r="K5" s="3">
        <v>1.68</v>
      </c>
      <c r="L5" s="3">
        <v>60</v>
      </c>
      <c r="M5" s="3">
        <v>1.01</v>
      </c>
      <c r="N5" s="3">
        <v>1.01</v>
      </c>
      <c r="O5" t="s">
        <v>59</v>
      </c>
      <c r="P5" s="9" t="s">
        <v>65</v>
      </c>
      <c r="Q5" s="9" t="s">
        <v>67</v>
      </c>
    </row>
    <row r="6" spans="1:17" x14ac:dyDescent="0.25">
      <c r="A6" s="1" t="s">
        <v>28</v>
      </c>
      <c r="B6" s="1" t="s">
        <v>29</v>
      </c>
      <c r="C6" s="1" t="s">
        <v>63</v>
      </c>
      <c r="D6" s="2">
        <v>45992</v>
      </c>
      <c r="E6" s="2">
        <v>46023</v>
      </c>
      <c r="F6" s="1">
        <v>17425766</v>
      </c>
      <c r="G6" s="1" t="s">
        <v>32</v>
      </c>
      <c r="H6" s="1" t="s">
        <v>33</v>
      </c>
      <c r="I6" s="1" t="str">
        <f t="shared" si="0"/>
        <v>CAROL FOLEY</v>
      </c>
      <c r="J6" s="3">
        <v>0</v>
      </c>
      <c r="K6" s="3">
        <v>5.51</v>
      </c>
      <c r="L6" s="3">
        <v>60</v>
      </c>
      <c r="M6" s="3">
        <v>3.31</v>
      </c>
      <c r="N6" s="3">
        <v>3.31</v>
      </c>
      <c r="O6" t="s">
        <v>59</v>
      </c>
      <c r="P6" s="9" t="s">
        <v>65</v>
      </c>
      <c r="Q6" s="9" t="s">
        <v>67</v>
      </c>
    </row>
    <row r="7" spans="1:17" x14ac:dyDescent="0.25">
      <c r="A7" s="1" t="s">
        <v>28</v>
      </c>
      <c r="B7" s="1" t="s">
        <v>29</v>
      </c>
      <c r="C7" s="1" t="s">
        <v>63</v>
      </c>
      <c r="D7" s="2">
        <v>45992</v>
      </c>
      <c r="E7" s="2">
        <v>46023</v>
      </c>
      <c r="F7" s="1">
        <v>17425766</v>
      </c>
      <c r="G7" s="1" t="s">
        <v>32</v>
      </c>
      <c r="H7" s="1" t="s">
        <v>33</v>
      </c>
      <c r="I7" s="1" t="str">
        <f t="shared" si="0"/>
        <v>CAROL FOLEY</v>
      </c>
      <c r="J7" s="3">
        <v>0</v>
      </c>
      <c r="K7" s="3">
        <v>3.26</v>
      </c>
      <c r="L7" s="3">
        <v>60</v>
      </c>
      <c r="M7" s="3">
        <v>1.96</v>
      </c>
      <c r="N7" s="3">
        <v>1.96</v>
      </c>
      <c r="O7" t="s">
        <v>59</v>
      </c>
      <c r="P7" s="9" t="s">
        <v>65</v>
      </c>
      <c r="Q7" s="9" t="s">
        <v>67</v>
      </c>
    </row>
    <row r="8" spans="1:17" x14ac:dyDescent="0.25">
      <c r="A8" s="1" t="s">
        <v>28</v>
      </c>
      <c r="B8" s="1" t="s">
        <v>29</v>
      </c>
      <c r="C8" s="1" t="s">
        <v>63</v>
      </c>
      <c r="D8" s="2">
        <v>45992</v>
      </c>
      <c r="E8" s="2">
        <v>46023</v>
      </c>
      <c r="F8" s="1">
        <v>17425766</v>
      </c>
      <c r="G8" s="1" t="s">
        <v>32</v>
      </c>
      <c r="H8" s="1" t="s">
        <v>33</v>
      </c>
      <c r="I8" s="1" t="str">
        <f t="shared" si="0"/>
        <v>CAROL FOLEY</v>
      </c>
      <c r="J8" s="3">
        <v>52.88</v>
      </c>
      <c r="K8" s="3">
        <v>22.41</v>
      </c>
      <c r="L8" s="3">
        <v>60</v>
      </c>
      <c r="M8" s="3">
        <v>13.45</v>
      </c>
      <c r="N8" s="3">
        <v>13.45</v>
      </c>
      <c r="O8" t="s">
        <v>59</v>
      </c>
      <c r="P8" s="9" t="s">
        <v>65</v>
      </c>
      <c r="Q8" s="9" t="s">
        <v>67</v>
      </c>
    </row>
    <row r="9" spans="1:17" x14ac:dyDescent="0.25">
      <c r="A9" s="1" t="s">
        <v>39</v>
      </c>
      <c r="B9" s="1" t="s">
        <v>40</v>
      </c>
      <c r="C9" s="1" t="s">
        <v>41</v>
      </c>
      <c r="D9" s="2">
        <v>45992</v>
      </c>
      <c r="E9" s="2">
        <v>46023</v>
      </c>
      <c r="F9" s="1">
        <v>17425766</v>
      </c>
      <c r="G9" s="1" t="s">
        <v>32</v>
      </c>
      <c r="H9" s="1" t="s">
        <v>33</v>
      </c>
      <c r="I9" s="1" t="str">
        <f t="shared" si="0"/>
        <v>CAROL FOLEY</v>
      </c>
      <c r="J9" s="3">
        <v>0</v>
      </c>
      <c r="K9" s="3">
        <v>1.68</v>
      </c>
      <c r="L9" s="3">
        <v>70</v>
      </c>
      <c r="M9" s="3">
        <v>1.18</v>
      </c>
      <c r="N9" s="3">
        <v>1.18</v>
      </c>
      <c r="O9" t="s">
        <v>60</v>
      </c>
      <c r="P9" s="9" t="s">
        <v>65</v>
      </c>
      <c r="Q9" s="9" t="s">
        <v>67</v>
      </c>
    </row>
    <row r="10" spans="1:17" x14ac:dyDescent="0.25">
      <c r="A10" s="1" t="s">
        <v>39</v>
      </c>
      <c r="B10" s="1" t="s">
        <v>40</v>
      </c>
      <c r="C10" s="1" t="s">
        <v>41</v>
      </c>
      <c r="D10" s="2">
        <v>45992</v>
      </c>
      <c r="E10" s="2">
        <v>46023</v>
      </c>
      <c r="F10" s="1">
        <v>17425766</v>
      </c>
      <c r="G10" s="1" t="s">
        <v>32</v>
      </c>
      <c r="H10" s="1" t="s">
        <v>33</v>
      </c>
      <c r="I10" s="1" t="str">
        <f t="shared" si="0"/>
        <v>CAROL FOLEY</v>
      </c>
      <c r="J10" s="3">
        <v>0</v>
      </c>
      <c r="K10" s="3">
        <v>6.99</v>
      </c>
      <c r="L10" s="3">
        <v>70</v>
      </c>
      <c r="M10" s="3">
        <v>4.8899999999999997</v>
      </c>
      <c r="N10" s="3">
        <v>4.8899999999999997</v>
      </c>
      <c r="O10" t="s">
        <v>60</v>
      </c>
      <c r="P10" s="9" t="s">
        <v>65</v>
      </c>
      <c r="Q10" s="9" t="s">
        <v>67</v>
      </c>
    </row>
    <row r="11" spans="1:17" x14ac:dyDescent="0.25">
      <c r="A11" s="1" t="s">
        <v>39</v>
      </c>
      <c r="B11" s="1" t="s">
        <v>40</v>
      </c>
      <c r="C11" s="1" t="s">
        <v>41</v>
      </c>
      <c r="D11" s="2">
        <v>45992</v>
      </c>
      <c r="E11" s="2">
        <v>46023</v>
      </c>
      <c r="F11" s="1">
        <v>17425766</v>
      </c>
      <c r="G11" s="1" t="s">
        <v>32</v>
      </c>
      <c r="H11" s="1" t="s">
        <v>33</v>
      </c>
      <c r="I11" s="1" t="str">
        <f t="shared" si="0"/>
        <v>CAROL FOLEY</v>
      </c>
      <c r="J11" s="3">
        <v>0</v>
      </c>
      <c r="K11" s="3">
        <v>11.49</v>
      </c>
      <c r="L11" s="3">
        <v>70</v>
      </c>
      <c r="M11" s="3">
        <v>8.0399999999999991</v>
      </c>
      <c r="N11" s="3">
        <v>8.0399999999999991</v>
      </c>
      <c r="O11" t="s">
        <v>60</v>
      </c>
      <c r="P11" s="9" t="s">
        <v>65</v>
      </c>
      <c r="Q11" s="9" t="s">
        <v>67</v>
      </c>
    </row>
    <row r="12" spans="1:17" x14ac:dyDescent="0.25">
      <c r="A12" s="1" t="s">
        <v>39</v>
      </c>
      <c r="B12" s="1" t="s">
        <v>40</v>
      </c>
      <c r="C12" s="1" t="s">
        <v>41</v>
      </c>
      <c r="D12" s="2">
        <v>45992</v>
      </c>
      <c r="E12" s="2">
        <v>46023</v>
      </c>
      <c r="F12" s="1">
        <v>17425766</v>
      </c>
      <c r="G12" s="1" t="s">
        <v>32</v>
      </c>
      <c r="H12" s="1" t="s">
        <v>33</v>
      </c>
      <c r="I12" s="1" t="str">
        <f t="shared" si="0"/>
        <v>CAROL FOLEY</v>
      </c>
      <c r="J12" s="3">
        <v>42.61</v>
      </c>
      <c r="K12" s="3">
        <v>18.95</v>
      </c>
      <c r="L12" s="3">
        <v>70</v>
      </c>
      <c r="M12" s="3">
        <v>13.27</v>
      </c>
      <c r="N12" s="3">
        <v>13.27</v>
      </c>
      <c r="O12" t="s">
        <v>60</v>
      </c>
      <c r="P12" s="9" t="s">
        <v>65</v>
      </c>
      <c r="Q12" s="9" t="s">
        <v>67</v>
      </c>
    </row>
    <row r="13" spans="1:17" x14ac:dyDescent="0.25">
      <c r="A13" s="1" t="s">
        <v>46</v>
      </c>
      <c r="B13" s="1" t="s">
        <v>47</v>
      </c>
      <c r="C13" s="1" t="s">
        <v>48</v>
      </c>
      <c r="D13" s="2">
        <v>45992</v>
      </c>
      <c r="E13" s="2">
        <v>46023</v>
      </c>
      <c r="F13" s="1">
        <v>17425766</v>
      </c>
      <c r="G13" s="1" t="s">
        <v>32</v>
      </c>
      <c r="H13" s="1" t="s">
        <v>33</v>
      </c>
      <c r="I13" s="1" t="str">
        <f t="shared" si="0"/>
        <v>CAROL FOLEY</v>
      </c>
      <c r="J13" s="3">
        <v>0</v>
      </c>
      <c r="K13" s="3">
        <v>19.489999999999998</v>
      </c>
      <c r="L13" s="3">
        <v>70</v>
      </c>
      <c r="M13" s="3">
        <v>13.64</v>
      </c>
      <c r="N13" s="3">
        <v>13.64</v>
      </c>
      <c r="O13" t="s">
        <v>60</v>
      </c>
      <c r="P13" s="9" t="s">
        <v>65</v>
      </c>
      <c r="Q13" s="9" t="s">
        <v>67</v>
      </c>
    </row>
    <row r="14" spans="1:17" x14ac:dyDescent="0.25">
      <c r="A14" s="1" t="s">
        <v>46</v>
      </c>
      <c r="B14" s="1" t="s">
        <v>47</v>
      </c>
      <c r="C14" s="1" t="s">
        <v>48</v>
      </c>
      <c r="D14" s="2">
        <v>45992</v>
      </c>
      <c r="E14" s="2">
        <v>46023</v>
      </c>
      <c r="F14" s="1">
        <v>17425766</v>
      </c>
      <c r="G14" s="1" t="s">
        <v>32</v>
      </c>
      <c r="H14" s="1" t="s">
        <v>33</v>
      </c>
      <c r="I14" s="1" t="str">
        <f t="shared" si="0"/>
        <v>CAROL FOLEY</v>
      </c>
      <c r="J14" s="3">
        <v>0</v>
      </c>
      <c r="K14" s="3">
        <v>1.68</v>
      </c>
      <c r="L14" s="3">
        <v>70</v>
      </c>
      <c r="M14" s="3">
        <v>1.18</v>
      </c>
      <c r="N14" s="3">
        <v>1.18</v>
      </c>
      <c r="O14" t="s">
        <v>60</v>
      </c>
      <c r="P14" s="9" t="s">
        <v>65</v>
      </c>
      <c r="Q14" s="9" t="s">
        <v>67</v>
      </c>
    </row>
    <row r="15" spans="1:17" x14ac:dyDescent="0.25">
      <c r="A15" s="1" t="s">
        <v>46</v>
      </c>
      <c r="B15" s="1" t="s">
        <v>47</v>
      </c>
      <c r="C15" s="1" t="s">
        <v>48</v>
      </c>
      <c r="D15" s="2">
        <v>45992</v>
      </c>
      <c r="E15" s="2">
        <v>46023</v>
      </c>
      <c r="F15" s="1">
        <v>17425766</v>
      </c>
      <c r="G15" s="1" t="s">
        <v>32</v>
      </c>
      <c r="H15" s="1" t="s">
        <v>33</v>
      </c>
      <c r="I15" s="1" t="str">
        <f t="shared" si="0"/>
        <v>CAROL FOLEY</v>
      </c>
      <c r="J15" s="3">
        <v>0</v>
      </c>
      <c r="K15" s="3">
        <v>6.06</v>
      </c>
      <c r="L15" s="3">
        <v>70</v>
      </c>
      <c r="M15" s="3">
        <v>4.24</v>
      </c>
      <c r="N15" s="3">
        <v>4.24</v>
      </c>
      <c r="O15" t="s">
        <v>60</v>
      </c>
      <c r="P15" s="9" t="s">
        <v>65</v>
      </c>
      <c r="Q15" s="9" t="s">
        <v>67</v>
      </c>
    </row>
    <row r="16" spans="1:17" x14ac:dyDescent="0.25">
      <c r="A16" s="1" t="s">
        <v>46</v>
      </c>
      <c r="B16" s="1" t="s">
        <v>47</v>
      </c>
      <c r="C16" s="1" t="s">
        <v>48</v>
      </c>
      <c r="D16" s="2">
        <v>45992</v>
      </c>
      <c r="E16" s="2">
        <v>46023</v>
      </c>
      <c r="F16" s="1">
        <v>17425766</v>
      </c>
      <c r="G16" s="1" t="s">
        <v>32</v>
      </c>
      <c r="H16" s="1" t="s">
        <v>33</v>
      </c>
      <c r="I16" s="1" t="str">
        <f t="shared" si="0"/>
        <v>CAROL FOLEY</v>
      </c>
      <c r="J16" s="3">
        <v>0</v>
      </c>
      <c r="K16" s="3">
        <v>2.75</v>
      </c>
      <c r="L16" s="3">
        <v>70</v>
      </c>
      <c r="M16" s="3">
        <v>1.93</v>
      </c>
      <c r="N16" s="3">
        <v>1.93</v>
      </c>
      <c r="O16" t="s">
        <v>60</v>
      </c>
      <c r="P16" s="9" t="s">
        <v>65</v>
      </c>
      <c r="Q16" s="9" t="s">
        <v>67</v>
      </c>
    </row>
    <row r="17" spans="1:17" x14ac:dyDescent="0.25">
      <c r="A17" s="1" t="s">
        <v>46</v>
      </c>
      <c r="B17" s="1" t="s">
        <v>47</v>
      </c>
      <c r="C17" s="1" t="s">
        <v>48</v>
      </c>
      <c r="D17" s="2">
        <v>45992</v>
      </c>
      <c r="E17" s="2">
        <v>46023</v>
      </c>
      <c r="F17" s="1">
        <v>17425766</v>
      </c>
      <c r="G17" s="1" t="s">
        <v>32</v>
      </c>
      <c r="H17" s="1" t="s">
        <v>33</v>
      </c>
      <c r="I17" s="1" t="str">
        <f t="shared" si="0"/>
        <v>CAROL FOLEY</v>
      </c>
      <c r="J17" s="3">
        <v>0</v>
      </c>
      <c r="K17" s="3">
        <v>9.6999999999999993</v>
      </c>
      <c r="L17" s="3">
        <v>70</v>
      </c>
      <c r="M17" s="3">
        <v>6.79</v>
      </c>
      <c r="N17" s="3">
        <v>6.79</v>
      </c>
      <c r="O17" t="s">
        <v>60</v>
      </c>
      <c r="P17" s="9" t="s">
        <v>65</v>
      </c>
      <c r="Q17" s="9" t="s">
        <v>67</v>
      </c>
    </row>
    <row r="18" spans="1:17" x14ac:dyDescent="0.25">
      <c r="A18" s="1" t="s">
        <v>46</v>
      </c>
      <c r="B18" s="1" t="s">
        <v>47</v>
      </c>
      <c r="C18" s="1" t="s">
        <v>48</v>
      </c>
      <c r="D18" s="2">
        <v>45992</v>
      </c>
      <c r="E18" s="2">
        <v>46023</v>
      </c>
      <c r="F18" s="1">
        <v>17425766</v>
      </c>
      <c r="G18" s="1" t="s">
        <v>32</v>
      </c>
      <c r="H18" s="1" t="s">
        <v>33</v>
      </c>
      <c r="I18" s="1" t="str">
        <f t="shared" si="0"/>
        <v>CAROL FOLEY</v>
      </c>
      <c r="J18" s="3">
        <v>59.68</v>
      </c>
      <c r="K18" s="3">
        <v>20</v>
      </c>
      <c r="L18" s="3">
        <v>70</v>
      </c>
      <c r="M18" s="3">
        <v>14</v>
      </c>
      <c r="N18" s="3">
        <v>14</v>
      </c>
      <c r="O18" t="s">
        <v>60</v>
      </c>
      <c r="P18" s="9" t="s">
        <v>65</v>
      </c>
      <c r="Q18" s="9" t="s">
        <v>67</v>
      </c>
    </row>
    <row r="19" spans="1:17" x14ac:dyDescent="0.25">
      <c r="A19" s="1" t="s">
        <v>50</v>
      </c>
      <c r="B19" s="1" t="s">
        <v>51</v>
      </c>
      <c r="C19" s="1" t="s">
        <v>52</v>
      </c>
      <c r="D19" s="2">
        <v>45979</v>
      </c>
      <c r="E19" s="2">
        <v>45979</v>
      </c>
      <c r="F19" s="1">
        <v>9079571</v>
      </c>
      <c r="G19" s="1" t="s">
        <v>54</v>
      </c>
      <c r="H19" s="1" t="s">
        <v>55</v>
      </c>
      <c r="I19" s="1" t="str">
        <f t="shared" si="0"/>
        <v>ADAM RICHTER</v>
      </c>
      <c r="J19" s="3">
        <v>209.42</v>
      </c>
      <c r="K19" s="3">
        <v>2.33</v>
      </c>
      <c r="L19" s="3">
        <v>75</v>
      </c>
      <c r="M19" s="3">
        <v>-1.75</v>
      </c>
      <c r="N19" s="3">
        <v>-1.75</v>
      </c>
      <c r="O19" t="s">
        <v>58</v>
      </c>
      <c r="P19" s="9" t="s">
        <v>65</v>
      </c>
      <c r="Q19" s="9" t="s">
        <v>67</v>
      </c>
    </row>
    <row r="20" spans="1:17" x14ac:dyDescent="0.25">
      <c r="A20" s="1" t="s">
        <v>50</v>
      </c>
      <c r="B20" s="1" t="s">
        <v>51</v>
      </c>
      <c r="C20" s="1" t="s">
        <v>52</v>
      </c>
      <c r="D20" s="2">
        <v>45979</v>
      </c>
      <c r="E20" s="2">
        <v>45979</v>
      </c>
      <c r="F20" s="1">
        <v>9079571</v>
      </c>
      <c r="G20" s="1" t="s">
        <v>54</v>
      </c>
      <c r="H20" s="1" t="s">
        <v>55</v>
      </c>
      <c r="I20" s="1" t="str">
        <f t="shared" si="0"/>
        <v>ADAM RICHTER</v>
      </c>
      <c r="J20" s="3">
        <v>209.42</v>
      </c>
      <c r="K20" s="3">
        <v>20.46</v>
      </c>
      <c r="L20" s="3">
        <v>75</v>
      </c>
      <c r="M20" s="3">
        <v>-15.35</v>
      </c>
      <c r="N20" s="3">
        <v>-15.35</v>
      </c>
      <c r="O20" t="s">
        <v>58</v>
      </c>
      <c r="P20" s="9" t="s">
        <v>65</v>
      </c>
      <c r="Q20" s="9" t="s">
        <v>67</v>
      </c>
    </row>
    <row r="21" spans="1:17" ht="15.75" customHeight="1" x14ac:dyDescent="0.25">
      <c r="A21" s="1" t="s">
        <v>50</v>
      </c>
      <c r="B21" s="1" t="s">
        <v>51</v>
      </c>
      <c r="C21" s="1" t="s">
        <v>52</v>
      </c>
      <c r="D21" s="2">
        <v>45979</v>
      </c>
      <c r="E21" s="2">
        <v>45979</v>
      </c>
      <c r="F21" s="1">
        <v>9079571</v>
      </c>
      <c r="G21" s="1" t="s">
        <v>54</v>
      </c>
      <c r="H21" s="1" t="s">
        <v>55</v>
      </c>
      <c r="I21" s="1" t="str">
        <f t="shared" si="0"/>
        <v>ADAM RICHTER</v>
      </c>
      <c r="J21" s="3">
        <v>209.42</v>
      </c>
      <c r="K21" s="3">
        <v>3.11</v>
      </c>
      <c r="L21" s="3">
        <v>75</v>
      </c>
      <c r="M21" s="3">
        <v>-2.33</v>
      </c>
      <c r="N21" s="3">
        <v>-2.33</v>
      </c>
      <c r="O21" t="s">
        <v>58</v>
      </c>
      <c r="P21" s="9" t="s">
        <v>65</v>
      </c>
      <c r="Q21" s="9" t="s">
        <v>67</v>
      </c>
    </row>
    <row r="22" spans="1:17" ht="15.75" customHeight="1" x14ac:dyDescent="0.25">
      <c r="A22" s="1" t="s">
        <v>50</v>
      </c>
      <c r="B22" s="1" t="s">
        <v>51</v>
      </c>
      <c r="C22" s="1" t="s">
        <v>52</v>
      </c>
      <c r="D22" s="2">
        <v>45979</v>
      </c>
      <c r="E22" s="2">
        <v>45979</v>
      </c>
      <c r="F22" s="1">
        <v>9079571</v>
      </c>
      <c r="G22" s="1" t="s">
        <v>54</v>
      </c>
      <c r="H22" s="1" t="s">
        <v>55</v>
      </c>
      <c r="I22" s="1" t="str">
        <f t="shared" si="0"/>
        <v>ADAM RICHTER</v>
      </c>
      <c r="J22" s="3">
        <v>209.42</v>
      </c>
      <c r="K22" s="3">
        <v>38.4</v>
      </c>
      <c r="L22" s="3">
        <v>75</v>
      </c>
      <c r="M22" s="3">
        <v>-28.8</v>
      </c>
      <c r="N22" s="3">
        <v>-28.8</v>
      </c>
      <c r="O22" t="s">
        <v>58</v>
      </c>
      <c r="P22" s="9" t="s">
        <v>65</v>
      </c>
      <c r="Q22" s="9" t="s">
        <v>67</v>
      </c>
    </row>
    <row r="23" spans="1:17" ht="15.75" customHeight="1" x14ac:dyDescent="0.25">
      <c r="A23" s="1" t="s">
        <v>50</v>
      </c>
      <c r="B23" s="1" t="s">
        <v>51</v>
      </c>
      <c r="C23" s="1" t="s">
        <v>52</v>
      </c>
      <c r="D23" s="2">
        <v>45979</v>
      </c>
      <c r="E23" s="2">
        <v>45979</v>
      </c>
      <c r="F23" s="1">
        <v>9079571</v>
      </c>
      <c r="G23" s="1" t="s">
        <v>54</v>
      </c>
      <c r="H23" s="1" t="s">
        <v>55</v>
      </c>
      <c r="I23" s="1" t="str">
        <f t="shared" si="0"/>
        <v>ADAM RICHTER</v>
      </c>
      <c r="J23" s="3">
        <v>209.42</v>
      </c>
      <c r="K23" s="3">
        <v>3.83</v>
      </c>
      <c r="L23" s="3">
        <v>75</v>
      </c>
      <c r="M23" s="3">
        <v>-2.87</v>
      </c>
      <c r="N23" s="3">
        <v>-2.87</v>
      </c>
      <c r="O23" t="s">
        <v>58</v>
      </c>
      <c r="P23" s="9" t="s">
        <v>65</v>
      </c>
      <c r="Q23" s="9" t="s">
        <v>67</v>
      </c>
    </row>
    <row r="24" spans="1:17" ht="15.75" customHeight="1" x14ac:dyDescent="0.25"/>
    <row r="25" spans="1:17" ht="15.75" customHeight="1" x14ac:dyDescent="0.25"/>
    <row r="26" spans="1:17" ht="15.75" customHeight="1" x14ac:dyDescent="0.25"/>
    <row r="27" spans="1:17" ht="15.75" customHeight="1" x14ac:dyDescent="0.25"/>
    <row r="28" spans="1:17" ht="15.75" customHeight="1" x14ac:dyDescent="0.25"/>
    <row r="29" spans="1:17" ht="15.75" customHeight="1" x14ac:dyDescent="0.25"/>
    <row r="30" spans="1:17" ht="15.75" customHeight="1" x14ac:dyDescent="0.25"/>
    <row r="31" spans="1:17" ht="15.75" customHeight="1" x14ac:dyDescent="0.25"/>
    <row r="32" spans="1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011I7200_WC_11-25-2025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2025-11-27T07:09:56Z</dcterms:created>
  <dcterms:modified xsi:type="dcterms:W3CDTF">2025-12-11T17:07:03Z</dcterms:modified>
</cp:coreProperties>
</file>