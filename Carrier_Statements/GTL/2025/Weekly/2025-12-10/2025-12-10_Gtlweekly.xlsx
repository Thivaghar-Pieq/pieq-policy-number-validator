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TL\weekly\12-10-25\"/>
    </mc:Choice>
  </mc:AlternateContent>
  <xr:revisionPtr revIDLastSave="0" documentId="13_ncr:1_{AD3A3A36-C072-47C5-8F65-D8F21EEE8855}" xr6:coauthVersionLast="47" xr6:coauthVersionMax="47" xr10:uidLastSave="{00000000-0000-0000-0000-000000000000}"/>
  <bookViews>
    <workbookView xWindow="28680" yWindow="-120" windowWidth="29040" windowHeight="16440" xr2:uid="{B18FA9B3-416D-4DBE-ACF7-4327461E369E}"/>
  </bookViews>
  <sheets>
    <sheet name="011I7200_WC_12-10-2025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F2" i="2" l="1"/>
  <c r="F3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44" i="2"/>
  <c r="J2" i="2"/>
  <c r="J3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44" i="2"/>
</calcChain>
</file>

<file path=xl/sharedStrings.xml><?xml version="1.0" encoding="utf-8"?>
<sst xmlns="http://schemas.openxmlformats.org/spreadsheetml/2006/main" count="787" uniqueCount="92">
  <si>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</si>
  <si>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</si>
  <si>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</si>
  <si>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</si>
  <si>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</si>
  <si>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</si>
  <si>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</si>
  <si>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</si>
  <si>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</si>
  <si>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</si>
  <si>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</si>
  <si>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</si>
  <si>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</si>
  <si>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</si>
  <si>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</si>
  <si>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</si>
  <si>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</si>
  <si>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</si>
  <si>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</si>
  <si>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</si>
  <si>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GTA6342255</t>
  </si>
  <si>
    <t>MD</t>
  </si>
  <si>
    <t xml:space="preserve">HONTS SHARON </t>
  </si>
  <si>
    <t xml:space="preserve">011I7206    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</si>
  <si>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</si>
  <si>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</si>
  <si>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</si>
  <si>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GNASH </t>
  </si>
  <si>
    <t xml:space="preserve"> </t>
  </si>
  <si>
    <t>GTA6425075</t>
  </si>
  <si>
    <t>IL</t>
  </si>
  <si>
    <t>HRONOPOULOS J</t>
  </si>
  <si>
    <t xml:space="preserve">011I7216    </t>
  </si>
  <si>
    <t xml:space="preserve">ANDREA              </t>
  </si>
  <si>
    <t xml:space="preserve">PETRUNGARO          </t>
  </si>
  <si>
    <t xml:space="preserve">GCANP </t>
  </si>
  <si>
    <t xml:space="preserve">GPRME </t>
  </si>
  <si>
    <t>GTA6439672</t>
  </si>
  <si>
    <t>PA</t>
  </si>
  <si>
    <t>MCDERMOTT JAM</t>
  </si>
  <si>
    <t xml:space="preserve">011I7208    </t>
  </si>
  <si>
    <t xml:space="preserve">CAROL               </t>
  </si>
  <si>
    <t xml:space="preserve">FOLEY               </t>
  </si>
  <si>
    <t xml:space="preserve">M20AS </t>
  </si>
  <si>
    <t xml:space="preserve">M20CR </t>
  </si>
  <si>
    <t xml:space="preserve">M20FE </t>
  </si>
  <si>
    <t xml:space="preserve">M20OS </t>
  </si>
  <si>
    <t xml:space="preserve">M20OT </t>
  </si>
  <si>
    <t xml:space="preserve">M20SF </t>
  </si>
  <si>
    <t xml:space="preserve">M20SR </t>
  </si>
  <si>
    <t xml:space="preserve">MAP20 </t>
  </si>
  <si>
    <t>GTA6442534</t>
  </si>
  <si>
    <t>FL</t>
  </si>
  <si>
    <t>SEUC BERNARDO</t>
  </si>
  <si>
    <t xml:space="preserve">G20AS </t>
  </si>
  <si>
    <t xml:space="preserve">G20CR </t>
  </si>
  <si>
    <t xml:space="preserve">G20FE </t>
  </si>
  <si>
    <t xml:space="preserve">G20OS </t>
  </si>
  <si>
    <t xml:space="preserve">G20OT </t>
  </si>
  <si>
    <t xml:space="preserve">G20SF </t>
  </si>
  <si>
    <t xml:space="preserve">G20SR </t>
  </si>
  <si>
    <t xml:space="preserve">GAP20 </t>
  </si>
  <si>
    <t>GTA6443146</t>
  </si>
  <si>
    <t>JACKSON CATHE</t>
  </si>
  <si>
    <t>GTA6402588</t>
  </si>
  <si>
    <t>SORENSON SUSA</t>
  </si>
  <si>
    <t xml:space="preserve">011I7213    </t>
  </si>
  <si>
    <t xml:space="preserve">JEFFREY             </t>
  </si>
  <si>
    <t xml:space="preserve">HORN                </t>
  </si>
  <si>
    <t xml:space="preserve">M20CA </t>
  </si>
  <si>
    <t>GTA6415181</t>
  </si>
  <si>
    <t xml:space="preserve">MEEHAN KELLY </t>
  </si>
  <si>
    <t xml:space="preserve">011I720A    </t>
  </si>
  <si>
    <t xml:space="preserve">PETER               </t>
  </si>
  <si>
    <t>GTA6436645</t>
  </si>
  <si>
    <t xml:space="preserve">SMITH CAROL  </t>
  </si>
  <si>
    <t>O</t>
  </si>
  <si>
    <t>ANDREA</t>
  </si>
  <si>
    <t>ADAM</t>
  </si>
  <si>
    <t>CAROL</t>
  </si>
  <si>
    <t>JEFFREY</t>
  </si>
  <si>
    <t>PETER</t>
  </si>
  <si>
    <t>16912722AV9</t>
  </si>
  <si>
    <t>2158366AV9</t>
  </si>
  <si>
    <t>16509456AV9</t>
  </si>
  <si>
    <t>GTL ADVANTAGE PLUS Dental Vison(60)</t>
  </si>
  <si>
    <t>GTL ADVANTAGE PLUS(70)</t>
  </si>
  <si>
    <t>GTL Short Term Home Health Care (75)</t>
  </si>
  <si>
    <t>NB</t>
  </si>
  <si>
    <t>AV</t>
  </si>
  <si>
    <t>RN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</si>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</sst>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Fill="1"/>
    <xf numFmtId="14" fontId="0" fillId="0" borderId="0" xfId="0" applyNumberFormat="1" applyFill="1"/>
    <xf numFmtId="0" fontId="0" fillId="33" borderId="0" xfId="0" applyFill="1"/>
    <xf numFmtId="14" fontId="0" fillId="33" borderId="0" xfId="0" applyNumberFormat="1" applyFill="1"/>
    <xf numFmtId="0" fontId="0" fillId="0" borderId="0" xfId="0" applyAlignment="1">
      <alignment horizontal="right"/>
    </xf>
    <xf numFmtId="0" fontId="0" fillId="33" borderId="0" xfId="0" applyFill="1" applyAlignment="1">
      <alignment horizontal="right"/>
    </xf>
    <xf numFmtId="0" fontId="0" fillId="0" borderId="0" xfId="0" applyFill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AD0AD-69E2-45DE-8815-9D01CE16F143}">
  <dimension ref="A1:T44"/>
  <sheetViews>
    <sheetView tabSelected="1" topLeftCell="A13" workbookViewId="0">
      <selection activeCell="F23" sqref="F23:H23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s="1">
        <v>46000</v>
      </c>
      <c r="E2" s="1">
        <v>46031</v>
      </c>
      <c r="F2">
        <v>1</v>
      </c>
      <c r="G2">
        <v>9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>
        <v>1</v>
      </c>
      <c r="N2">
        <v>0</v>
      </c>
      <c r="O2">
        <v>16.899999999999999</v>
      </c>
      <c r="P2">
        <v>75</v>
      </c>
      <c r="Q2">
        <v>12.68</v>
      </c>
      <c r="R2" t="s">
        <v>28</v>
      </c>
      <c r="S2">
        <v>0</v>
      </c>
      <c r="T2">
        <v>12.68</v>
      </c>
    </row>
    <row r="3" spans="1:20" x14ac:dyDescent="0.25">
      <c r="A3" t="s">
        <v>29</v>
      </c>
      <c r="B3" t="s">
        <v>30</v>
      </c>
      <c r="C3" t="s">
        <v>31</v>
      </c>
      <c r="D3" s="1">
        <v>45992</v>
      </c>
      <c r="E3" s="1">
        <v>46023</v>
      </c>
      <c r="F3">
        <v>1</v>
      </c>
      <c r="G3">
        <v>4</v>
      </c>
      <c r="H3" t="s">
        <v>32</v>
      </c>
      <c r="I3" t="s">
        <v>33</v>
      </c>
      <c r="J3" t="s">
        <v>34</v>
      </c>
      <c r="K3" t="s">
        <v>26</v>
      </c>
      <c r="L3" t="s">
        <v>35</v>
      </c>
      <c r="M3">
        <v>1</v>
      </c>
      <c r="N3">
        <v>23.91</v>
      </c>
      <c r="O3">
        <v>12.08</v>
      </c>
      <c r="P3">
        <v>60</v>
      </c>
      <c r="Q3">
        <v>7.25</v>
      </c>
      <c r="R3" t="s">
        <v>28</v>
      </c>
      <c r="S3">
        <v>0</v>
      </c>
      <c r="T3">
        <v>7.25</v>
      </c>
    </row>
    <row r="4" spans="1:20" x14ac:dyDescent="0.25">
      <c r="A4" t="s">
        <v>29</v>
      </c>
      <c r="B4" t="s">
        <v>30</v>
      </c>
      <c r="C4" t="s">
        <v>31</v>
      </c>
      <c r="D4" s="1">
        <v>45992</v>
      </c>
      <c r="E4" s="1">
        <v>46023</v>
      </c>
      <c r="F4">
        <v>1</v>
      </c>
      <c r="G4">
        <v>4</v>
      </c>
      <c r="H4" t="s">
        <v>32</v>
      </c>
      <c r="I4" t="s">
        <v>33</v>
      </c>
      <c r="J4" t="s">
        <v>34</v>
      </c>
      <c r="K4" t="s">
        <v>26</v>
      </c>
      <c r="L4" t="s">
        <v>36</v>
      </c>
      <c r="M4">
        <v>1</v>
      </c>
      <c r="N4">
        <v>0</v>
      </c>
      <c r="O4">
        <v>9.75</v>
      </c>
      <c r="P4">
        <v>60</v>
      </c>
      <c r="Q4">
        <v>5.85</v>
      </c>
      <c r="R4" t="s">
        <v>28</v>
      </c>
      <c r="S4">
        <v>0</v>
      </c>
      <c r="T4">
        <v>5.85</v>
      </c>
    </row>
    <row r="5" spans="1:20" x14ac:dyDescent="0.25">
      <c r="A5" t="s">
        <v>37</v>
      </c>
      <c r="B5" t="s">
        <v>38</v>
      </c>
      <c r="C5" t="s">
        <v>39</v>
      </c>
      <c r="D5" s="1">
        <v>45994</v>
      </c>
      <c r="E5" s="1">
        <v>46025</v>
      </c>
      <c r="F5">
        <v>1</v>
      </c>
      <c r="G5">
        <v>10</v>
      </c>
      <c r="H5" t="s">
        <v>40</v>
      </c>
      <c r="I5" t="s">
        <v>41</v>
      </c>
      <c r="J5" t="s">
        <v>42</v>
      </c>
      <c r="K5" t="s">
        <v>26</v>
      </c>
      <c r="L5" t="s">
        <v>43</v>
      </c>
      <c r="M5">
        <v>1</v>
      </c>
      <c r="N5">
        <v>0</v>
      </c>
      <c r="O5">
        <v>1.43</v>
      </c>
      <c r="P5">
        <v>70</v>
      </c>
      <c r="Q5">
        <v>1</v>
      </c>
      <c r="R5" t="s">
        <v>28</v>
      </c>
      <c r="S5">
        <v>0</v>
      </c>
      <c r="T5">
        <v>1</v>
      </c>
    </row>
    <row r="6" spans="1:20" x14ac:dyDescent="0.25">
      <c r="A6" t="s">
        <v>37</v>
      </c>
      <c r="B6" t="s">
        <v>38</v>
      </c>
      <c r="C6" t="s">
        <v>39</v>
      </c>
      <c r="D6" s="1">
        <v>45994</v>
      </c>
      <c r="E6" s="1">
        <v>46025</v>
      </c>
      <c r="F6">
        <v>1</v>
      </c>
      <c r="G6">
        <v>10</v>
      </c>
      <c r="H6" t="s">
        <v>40</v>
      </c>
      <c r="I6" t="s">
        <v>41</v>
      </c>
      <c r="J6" t="s">
        <v>42</v>
      </c>
      <c r="K6" t="s">
        <v>26</v>
      </c>
      <c r="L6" t="s">
        <v>44</v>
      </c>
      <c r="M6">
        <v>1</v>
      </c>
      <c r="N6">
        <v>0</v>
      </c>
      <c r="O6">
        <v>48.55</v>
      </c>
      <c r="P6">
        <v>70</v>
      </c>
      <c r="Q6">
        <v>33.99</v>
      </c>
      <c r="R6" t="s">
        <v>28</v>
      </c>
      <c r="S6">
        <v>0</v>
      </c>
      <c r="T6">
        <v>33.99</v>
      </c>
    </row>
    <row r="7" spans="1:20" x14ac:dyDescent="0.25">
      <c r="A7" t="s">
        <v>37</v>
      </c>
      <c r="B7" t="s">
        <v>38</v>
      </c>
      <c r="C7" t="s">
        <v>39</v>
      </c>
      <c r="D7" s="1">
        <v>45994</v>
      </c>
      <c r="E7" s="1">
        <v>46025</v>
      </c>
      <c r="F7">
        <v>1</v>
      </c>
      <c r="G7">
        <v>10</v>
      </c>
      <c r="H7" t="s">
        <v>40</v>
      </c>
      <c r="I7" t="s">
        <v>41</v>
      </c>
      <c r="J7" t="s">
        <v>42</v>
      </c>
      <c r="K7" t="s">
        <v>26</v>
      </c>
      <c r="L7" t="s">
        <v>45</v>
      </c>
      <c r="M7">
        <v>1</v>
      </c>
      <c r="N7">
        <v>0</v>
      </c>
      <c r="O7">
        <v>1.68</v>
      </c>
      <c r="P7">
        <v>70</v>
      </c>
      <c r="Q7">
        <v>1.18</v>
      </c>
      <c r="R7" t="s">
        <v>28</v>
      </c>
      <c r="S7">
        <v>0</v>
      </c>
      <c r="T7">
        <v>1.18</v>
      </c>
    </row>
    <row r="8" spans="1:20" x14ac:dyDescent="0.25">
      <c r="A8" t="s">
        <v>37</v>
      </c>
      <c r="B8" t="s">
        <v>38</v>
      </c>
      <c r="C8" t="s">
        <v>39</v>
      </c>
      <c r="D8" s="1">
        <v>45994</v>
      </c>
      <c r="E8" s="1">
        <v>46025</v>
      </c>
      <c r="F8">
        <v>1</v>
      </c>
      <c r="G8">
        <v>10</v>
      </c>
      <c r="H8" t="s">
        <v>40</v>
      </c>
      <c r="I8" t="s">
        <v>41</v>
      </c>
      <c r="J8" t="s">
        <v>42</v>
      </c>
      <c r="K8" t="s">
        <v>26</v>
      </c>
      <c r="L8" t="s">
        <v>46</v>
      </c>
      <c r="M8">
        <v>1</v>
      </c>
      <c r="N8">
        <v>0</v>
      </c>
      <c r="O8">
        <v>12.43</v>
      </c>
      <c r="P8">
        <v>70</v>
      </c>
      <c r="Q8">
        <v>8.6999999999999993</v>
      </c>
      <c r="R8" t="s">
        <v>28</v>
      </c>
      <c r="S8">
        <v>0</v>
      </c>
      <c r="T8">
        <v>8.6999999999999993</v>
      </c>
    </row>
    <row r="9" spans="1:20" x14ac:dyDescent="0.25">
      <c r="A9" t="s">
        <v>37</v>
      </c>
      <c r="B9" t="s">
        <v>38</v>
      </c>
      <c r="C9" t="s">
        <v>39</v>
      </c>
      <c r="D9" s="1">
        <v>45994</v>
      </c>
      <c r="E9" s="1">
        <v>46025</v>
      </c>
      <c r="F9">
        <v>1</v>
      </c>
      <c r="G9">
        <v>10</v>
      </c>
      <c r="H9" t="s">
        <v>40</v>
      </c>
      <c r="I9" t="s">
        <v>41</v>
      </c>
      <c r="J9" t="s">
        <v>42</v>
      </c>
      <c r="K9" t="s">
        <v>26</v>
      </c>
      <c r="L9" t="s">
        <v>47</v>
      </c>
      <c r="M9">
        <v>1</v>
      </c>
      <c r="N9">
        <v>0</v>
      </c>
      <c r="O9">
        <v>6.99</v>
      </c>
      <c r="P9">
        <v>70</v>
      </c>
      <c r="Q9">
        <v>4.8899999999999997</v>
      </c>
      <c r="R9" t="s">
        <v>28</v>
      </c>
      <c r="S9">
        <v>0</v>
      </c>
      <c r="T9">
        <v>4.8899999999999997</v>
      </c>
    </row>
    <row r="10" spans="1:20" x14ac:dyDescent="0.25">
      <c r="A10" t="s">
        <v>37</v>
      </c>
      <c r="B10" t="s">
        <v>38</v>
      </c>
      <c r="C10" t="s">
        <v>39</v>
      </c>
      <c r="D10" s="1">
        <v>45994</v>
      </c>
      <c r="E10" s="1">
        <v>46025</v>
      </c>
      <c r="F10">
        <v>1</v>
      </c>
      <c r="G10">
        <v>10</v>
      </c>
      <c r="H10" t="s">
        <v>40</v>
      </c>
      <c r="I10" t="s">
        <v>41</v>
      </c>
      <c r="J10" t="s">
        <v>42</v>
      </c>
      <c r="K10" t="s">
        <v>26</v>
      </c>
      <c r="L10" t="s">
        <v>48</v>
      </c>
      <c r="M10">
        <v>1</v>
      </c>
      <c r="N10">
        <v>0</v>
      </c>
      <c r="O10">
        <v>17.63</v>
      </c>
      <c r="P10">
        <v>70</v>
      </c>
      <c r="Q10">
        <v>12.34</v>
      </c>
      <c r="R10" t="s">
        <v>28</v>
      </c>
      <c r="S10">
        <v>0</v>
      </c>
      <c r="T10">
        <v>12.34</v>
      </c>
    </row>
    <row r="11" spans="1:20" x14ac:dyDescent="0.25">
      <c r="A11" t="s">
        <v>37</v>
      </c>
      <c r="B11" t="s">
        <v>38</v>
      </c>
      <c r="C11" t="s">
        <v>39</v>
      </c>
      <c r="D11" s="1">
        <v>45994</v>
      </c>
      <c r="E11" s="1">
        <v>46025</v>
      </c>
      <c r="F11">
        <v>1</v>
      </c>
      <c r="G11">
        <v>10</v>
      </c>
      <c r="H11" t="s">
        <v>40</v>
      </c>
      <c r="I11" t="s">
        <v>41</v>
      </c>
      <c r="J11" t="s">
        <v>42</v>
      </c>
      <c r="K11" t="s">
        <v>26</v>
      </c>
      <c r="L11" t="s">
        <v>49</v>
      </c>
      <c r="M11">
        <v>1</v>
      </c>
      <c r="N11">
        <v>0</v>
      </c>
      <c r="O11">
        <v>3.3</v>
      </c>
      <c r="P11">
        <v>70</v>
      </c>
      <c r="Q11">
        <v>2.31</v>
      </c>
      <c r="R11" t="s">
        <v>28</v>
      </c>
      <c r="S11">
        <v>0</v>
      </c>
      <c r="T11">
        <v>2.31</v>
      </c>
    </row>
    <row r="12" spans="1:20" x14ac:dyDescent="0.25">
      <c r="A12" t="s">
        <v>37</v>
      </c>
      <c r="B12" t="s">
        <v>38</v>
      </c>
      <c r="C12" t="s">
        <v>39</v>
      </c>
      <c r="D12" s="1">
        <v>45994</v>
      </c>
      <c r="E12" s="1">
        <v>46025</v>
      </c>
      <c r="F12">
        <v>1</v>
      </c>
      <c r="G12">
        <v>10</v>
      </c>
      <c r="H12" t="s">
        <v>40</v>
      </c>
      <c r="I12" t="s">
        <v>41</v>
      </c>
      <c r="J12" t="s">
        <v>42</v>
      </c>
      <c r="K12" t="s">
        <v>26</v>
      </c>
      <c r="L12" t="s">
        <v>50</v>
      </c>
      <c r="M12">
        <v>1</v>
      </c>
      <c r="N12">
        <v>121.4</v>
      </c>
      <c r="O12">
        <v>29.39</v>
      </c>
      <c r="P12">
        <v>70</v>
      </c>
      <c r="Q12">
        <v>20.57</v>
      </c>
      <c r="R12" t="s">
        <v>28</v>
      </c>
      <c r="S12">
        <v>0</v>
      </c>
      <c r="T12">
        <v>20.57</v>
      </c>
    </row>
    <row r="13" spans="1:20" x14ac:dyDescent="0.25">
      <c r="A13" t="s">
        <v>51</v>
      </c>
      <c r="B13" t="s">
        <v>52</v>
      </c>
      <c r="C13" t="s">
        <v>53</v>
      </c>
      <c r="D13" s="1">
        <v>45996</v>
      </c>
      <c r="E13" s="1">
        <v>46027</v>
      </c>
      <c r="F13">
        <v>1</v>
      </c>
      <c r="G13">
        <v>8</v>
      </c>
      <c r="H13" t="s">
        <v>40</v>
      </c>
      <c r="I13" t="s">
        <v>41</v>
      </c>
      <c r="J13" t="s">
        <v>42</v>
      </c>
      <c r="K13" t="s">
        <v>26</v>
      </c>
      <c r="L13" t="s">
        <v>54</v>
      </c>
      <c r="M13">
        <v>1</v>
      </c>
      <c r="N13">
        <v>0</v>
      </c>
      <c r="O13">
        <v>2.14</v>
      </c>
      <c r="P13">
        <v>70</v>
      </c>
      <c r="Q13">
        <v>1.5</v>
      </c>
      <c r="R13" t="s">
        <v>28</v>
      </c>
      <c r="S13">
        <v>0</v>
      </c>
      <c r="T13">
        <v>1.5</v>
      </c>
    </row>
    <row r="14" spans="1:20" x14ac:dyDescent="0.25">
      <c r="A14" t="s">
        <v>51</v>
      </c>
      <c r="B14" t="s">
        <v>52</v>
      </c>
      <c r="C14" t="s">
        <v>53</v>
      </c>
      <c r="D14" s="1">
        <v>45996</v>
      </c>
      <c r="E14" s="1">
        <v>46027</v>
      </c>
      <c r="F14">
        <v>1</v>
      </c>
      <c r="G14">
        <v>8</v>
      </c>
      <c r="H14" t="s">
        <v>40</v>
      </c>
      <c r="I14" t="s">
        <v>41</v>
      </c>
      <c r="J14" t="s">
        <v>42</v>
      </c>
      <c r="K14" t="s">
        <v>26</v>
      </c>
      <c r="L14" t="s">
        <v>55</v>
      </c>
      <c r="M14">
        <v>1</v>
      </c>
      <c r="N14">
        <v>0</v>
      </c>
      <c r="O14">
        <v>23.15</v>
      </c>
      <c r="P14">
        <v>70</v>
      </c>
      <c r="Q14">
        <v>16.21</v>
      </c>
      <c r="R14" t="s">
        <v>28</v>
      </c>
      <c r="S14">
        <v>0</v>
      </c>
      <c r="T14">
        <v>16.21</v>
      </c>
    </row>
    <row r="15" spans="1:20" x14ac:dyDescent="0.25">
      <c r="A15" t="s">
        <v>51</v>
      </c>
      <c r="B15" t="s">
        <v>52</v>
      </c>
      <c r="C15" t="s">
        <v>53</v>
      </c>
      <c r="D15" s="1">
        <v>45996</v>
      </c>
      <c r="E15" s="1">
        <v>46027</v>
      </c>
      <c r="F15">
        <v>1</v>
      </c>
      <c r="G15">
        <v>8</v>
      </c>
      <c r="H15" t="s">
        <v>40</v>
      </c>
      <c r="I15" t="s">
        <v>41</v>
      </c>
      <c r="J15" t="s">
        <v>42</v>
      </c>
      <c r="K15" t="s">
        <v>26</v>
      </c>
      <c r="L15" t="s">
        <v>56</v>
      </c>
      <c r="M15">
        <v>1</v>
      </c>
      <c r="N15">
        <v>0</v>
      </c>
      <c r="O15">
        <v>1.68</v>
      </c>
      <c r="P15">
        <v>70</v>
      </c>
      <c r="Q15">
        <v>1.18</v>
      </c>
      <c r="R15" t="s">
        <v>28</v>
      </c>
      <c r="S15">
        <v>0</v>
      </c>
      <c r="T15">
        <v>1.18</v>
      </c>
    </row>
    <row r="16" spans="1:20" x14ac:dyDescent="0.25">
      <c r="A16" t="s">
        <v>51</v>
      </c>
      <c r="B16" t="s">
        <v>52</v>
      </c>
      <c r="C16" t="s">
        <v>53</v>
      </c>
      <c r="D16" s="1">
        <v>45996</v>
      </c>
      <c r="E16" s="1">
        <v>46027</v>
      </c>
      <c r="F16">
        <v>1</v>
      </c>
      <c r="G16">
        <v>8</v>
      </c>
      <c r="H16" t="s">
        <v>40</v>
      </c>
      <c r="I16" t="s">
        <v>41</v>
      </c>
      <c r="J16" t="s">
        <v>42</v>
      </c>
      <c r="K16" t="s">
        <v>26</v>
      </c>
      <c r="L16" t="s">
        <v>57</v>
      </c>
      <c r="M16">
        <v>1</v>
      </c>
      <c r="N16">
        <v>0</v>
      </c>
      <c r="O16">
        <v>6.22</v>
      </c>
      <c r="P16">
        <v>70</v>
      </c>
      <c r="Q16">
        <v>4.3499999999999996</v>
      </c>
      <c r="R16" t="s">
        <v>28</v>
      </c>
      <c r="S16">
        <v>0</v>
      </c>
      <c r="T16">
        <v>4.3499999999999996</v>
      </c>
    </row>
    <row r="17" spans="1:20" x14ac:dyDescent="0.25">
      <c r="A17" t="s">
        <v>51</v>
      </c>
      <c r="B17" t="s">
        <v>52</v>
      </c>
      <c r="C17" t="s">
        <v>53</v>
      </c>
      <c r="D17" s="1">
        <v>45996</v>
      </c>
      <c r="E17" s="1">
        <v>46027</v>
      </c>
      <c r="F17">
        <v>1</v>
      </c>
      <c r="G17">
        <v>8</v>
      </c>
      <c r="H17" t="s">
        <v>40</v>
      </c>
      <c r="I17" t="s">
        <v>41</v>
      </c>
      <c r="J17" t="s">
        <v>42</v>
      </c>
      <c r="K17" t="s">
        <v>26</v>
      </c>
      <c r="L17" t="s">
        <v>58</v>
      </c>
      <c r="M17">
        <v>1</v>
      </c>
      <c r="N17">
        <v>0</v>
      </c>
      <c r="O17">
        <v>6.99</v>
      </c>
      <c r="P17">
        <v>70</v>
      </c>
      <c r="Q17">
        <v>4.8899999999999997</v>
      </c>
      <c r="R17" t="s">
        <v>28</v>
      </c>
      <c r="S17">
        <v>0</v>
      </c>
      <c r="T17">
        <v>4.8899999999999997</v>
      </c>
    </row>
    <row r="18" spans="1:20" x14ac:dyDescent="0.25">
      <c r="A18" t="s">
        <v>51</v>
      </c>
      <c r="B18" t="s">
        <v>52</v>
      </c>
      <c r="C18" t="s">
        <v>53</v>
      </c>
      <c r="D18" s="1">
        <v>45996</v>
      </c>
      <c r="E18" s="1">
        <v>46027</v>
      </c>
      <c r="F18">
        <v>1</v>
      </c>
      <c r="G18">
        <v>8</v>
      </c>
      <c r="H18" t="s">
        <v>40</v>
      </c>
      <c r="I18" t="s">
        <v>41</v>
      </c>
      <c r="J18" t="s">
        <v>42</v>
      </c>
      <c r="K18" t="s">
        <v>26</v>
      </c>
      <c r="L18" t="s">
        <v>59</v>
      </c>
      <c r="M18">
        <v>1</v>
      </c>
      <c r="N18">
        <v>0</v>
      </c>
      <c r="O18">
        <v>11.64</v>
      </c>
      <c r="P18">
        <v>70</v>
      </c>
      <c r="Q18">
        <v>8.15</v>
      </c>
      <c r="R18" t="s">
        <v>28</v>
      </c>
      <c r="S18">
        <v>0</v>
      </c>
      <c r="T18">
        <v>8.15</v>
      </c>
    </row>
    <row r="19" spans="1:20" x14ac:dyDescent="0.25">
      <c r="A19" t="s">
        <v>51</v>
      </c>
      <c r="B19" t="s">
        <v>52</v>
      </c>
      <c r="C19" t="s">
        <v>53</v>
      </c>
      <c r="D19" s="1">
        <v>45996</v>
      </c>
      <c r="E19" s="1">
        <v>46027</v>
      </c>
      <c r="F19">
        <v>1</v>
      </c>
      <c r="G19">
        <v>8</v>
      </c>
      <c r="H19" t="s">
        <v>40</v>
      </c>
      <c r="I19" t="s">
        <v>41</v>
      </c>
      <c r="J19" t="s">
        <v>42</v>
      </c>
      <c r="K19" t="s">
        <v>26</v>
      </c>
      <c r="L19" t="s">
        <v>60</v>
      </c>
      <c r="M19">
        <v>1</v>
      </c>
      <c r="N19">
        <v>0</v>
      </c>
      <c r="O19">
        <v>2.92</v>
      </c>
      <c r="P19">
        <v>70</v>
      </c>
      <c r="Q19">
        <v>2.04</v>
      </c>
      <c r="R19" t="s">
        <v>28</v>
      </c>
      <c r="S19">
        <v>0</v>
      </c>
      <c r="T19">
        <v>2.04</v>
      </c>
    </row>
    <row r="20" spans="1:20" x14ac:dyDescent="0.25">
      <c r="A20" t="s">
        <v>51</v>
      </c>
      <c r="B20" t="s">
        <v>52</v>
      </c>
      <c r="C20" t="s">
        <v>53</v>
      </c>
      <c r="D20" s="1">
        <v>45996</v>
      </c>
      <c r="E20" s="1">
        <v>46027</v>
      </c>
      <c r="F20">
        <v>1</v>
      </c>
      <c r="G20">
        <v>8</v>
      </c>
      <c r="H20" t="s">
        <v>40</v>
      </c>
      <c r="I20" t="s">
        <v>41</v>
      </c>
      <c r="J20" t="s">
        <v>42</v>
      </c>
      <c r="K20" t="s">
        <v>26</v>
      </c>
      <c r="L20" t="s">
        <v>61</v>
      </c>
      <c r="M20">
        <v>1</v>
      </c>
      <c r="N20">
        <v>87.73</v>
      </c>
      <c r="O20">
        <v>29.49</v>
      </c>
      <c r="P20">
        <v>70</v>
      </c>
      <c r="Q20">
        <v>20.64</v>
      </c>
      <c r="R20" t="s">
        <v>28</v>
      </c>
      <c r="S20">
        <v>0</v>
      </c>
      <c r="T20">
        <v>20.64</v>
      </c>
    </row>
    <row r="21" spans="1:20" x14ac:dyDescent="0.25">
      <c r="A21" t="s">
        <v>62</v>
      </c>
      <c r="B21" t="s">
        <v>38</v>
      </c>
      <c r="C21" t="s">
        <v>63</v>
      </c>
      <c r="D21" s="1">
        <v>45997</v>
      </c>
      <c r="E21" s="1">
        <v>46028</v>
      </c>
      <c r="F21">
        <v>1</v>
      </c>
      <c r="G21">
        <v>8</v>
      </c>
      <c r="H21" t="s">
        <v>40</v>
      </c>
      <c r="I21" t="s">
        <v>41</v>
      </c>
      <c r="J21" t="s">
        <v>42</v>
      </c>
      <c r="K21" t="s">
        <v>26</v>
      </c>
      <c r="L21" t="s">
        <v>44</v>
      </c>
      <c r="M21">
        <v>1</v>
      </c>
      <c r="N21">
        <v>0</v>
      </c>
      <c r="O21">
        <v>22.41</v>
      </c>
      <c r="P21">
        <v>70</v>
      </c>
      <c r="Q21">
        <v>15.69</v>
      </c>
      <c r="R21" t="s">
        <v>28</v>
      </c>
      <c r="S21">
        <v>0</v>
      </c>
      <c r="T21">
        <v>15.69</v>
      </c>
    </row>
    <row r="22" spans="1:20" x14ac:dyDescent="0.25">
      <c r="A22" t="s">
        <v>62</v>
      </c>
      <c r="B22" t="s">
        <v>38</v>
      </c>
      <c r="C22" t="s">
        <v>63</v>
      </c>
      <c r="D22" s="1">
        <v>45997</v>
      </c>
      <c r="E22" s="1">
        <v>46028</v>
      </c>
      <c r="F22">
        <v>1</v>
      </c>
      <c r="G22">
        <v>8</v>
      </c>
      <c r="H22" t="s">
        <v>40</v>
      </c>
      <c r="I22" t="s">
        <v>41</v>
      </c>
      <c r="J22" t="s">
        <v>42</v>
      </c>
      <c r="K22" t="s">
        <v>26</v>
      </c>
      <c r="L22" t="s">
        <v>45</v>
      </c>
      <c r="M22">
        <v>1</v>
      </c>
      <c r="N22">
        <v>0</v>
      </c>
      <c r="O22">
        <v>1.68</v>
      </c>
      <c r="P22">
        <v>70</v>
      </c>
      <c r="Q22">
        <v>1.18</v>
      </c>
      <c r="R22" t="s">
        <v>28</v>
      </c>
      <c r="S22">
        <v>0</v>
      </c>
      <c r="T22">
        <v>1.18</v>
      </c>
    </row>
    <row r="23" spans="1:20" x14ac:dyDescent="0.25">
      <c r="A23" t="s">
        <v>62</v>
      </c>
      <c r="B23" t="s">
        <v>38</v>
      </c>
      <c r="C23" t="s">
        <v>63</v>
      </c>
      <c r="D23" s="1">
        <v>45997</v>
      </c>
      <c r="E23" s="1">
        <v>46028</v>
      </c>
      <c r="F23">
        <v>1</v>
      </c>
      <c r="G23">
        <v>8</v>
      </c>
      <c r="H23" t="s">
        <v>40</v>
      </c>
      <c r="I23" t="s">
        <v>41</v>
      </c>
      <c r="J23" t="s">
        <v>42</v>
      </c>
      <c r="K23" t="s">
        <v>26</v>
      </c>
      <c r="L23" t="s">
        <v>48</v>
      </c>
      <c r="M23">
        <v>1</v>
      </c>
      <c r="N23">
        <v>0</v>
      </c>
      <c r="O23">
        <v>12.94</v>
      </c>
      <c r="P23">
        <v>70</v>
      </c>
      <c r="Q23">
        <v>9.06</v>
      </c>
      <c r="R23" t="s">
        <v>28</v>
      </c>
      <c r="S23">
        <v>0</v>
      </c>
      <c r="T23">
        <v>9.06</v>
      </c>
    </row>
    <row r="24" spans="1:20" x14ac:dyDescent="0.25">
      <c r="A24" t="s">
        <v>62</v>
      </c>
      <c r="B24" t="s">
        <v>38</v>
      </c>
      <c r="C24" t="s">
        <v>63</v>
      </c>
      <c r="D24" s="1">
        <v>45997</v>
      </c>
      <c r="E24" s="1">
        <v>46028</v>
      </c>
      <c r="F24">
        <v>1</v>
      </c>
      <c r="G24">
        <v>8</v>
      </c>
      <c r="H24" t="s">
        <v>40</v>
      </c>
      <c r="I24" t="s">
        <v>41</v>
      </c>
      <c r="J24" t="s">
        <v>42</v>
      </c>
      <c r="K24" t="s">
        <v>26</v>
      </c>
      <c r="L24" t="s">
        <v>49</v>
      </c>
      <c r="M24">
        <v>1</v>
      </c>
      <c r="N24">
        <v>0</v>
      </c>
      <c r="O24">
        <v>2.75</v>
      </c>
      <c r="P24">
        <v>70</v>
      </c>
      <c r="Q24">
        <v>1.93</v>
      </c>
      <c r="R24" t="s">
        <v>28</v>
      </c>
      <c r="S24">
        <v>0</v>
      </c>
      <c r="T24">
        <v>1.93</v>
      </c>
    </row>
    <row r="25" spans="1:20" x14ac:dyDescent="0.25">
      <c r="A25" t="s">
        <v>62</v>
      </c>
      <c r="B25" t="s">
        <v>38</v>
      </c>
      <c r="C25" t="s">
        <v>63</v>
      </c>
      <c r="D25" s="1">
        <v>45997</v>
      </c>
      <c r="E25" s="1">
        <v>46028</v>
      </c>
      <c r="F25">
        <v>1</v>
      </c>
      <c r="G25">
        <v>8</v>
      </c>
      <c r="H25" t="s">
        <v>40</v>
      </c>
      <c r="I25" t="s">
        <v>41</v>
      </c>
      <c r="J25" t="s">
        <v>42</v>
      </c>
      <c r="K25" t="s">
        <v>26</v>
      </c>
      <c r="L25" t="s">
        <v>50</v>
      </c>
      <c r="M25">
        <v>1</v>
      </c>
      <c r="N25">
        <v>64.209999999999994</v>
      </c>
      <c r="O25">
        <v>24.43</v>
      </c>
      <c r="P25">
        <v>70</v>
      </c>
      <c r="Q25">
        <v>17.100000000000001</v>
      </c>
      <c r="R25" t="s">
        <v>28</v>
      </c>
      <c r="S25">
        <v>0</v>
      </c>
      <c r="T25">
        <v>17.100000000000001</v>
      </c>
    </row>
    <row r="26" spans="1:20" x14ac:dyDescent="0.25">
      <c r="A26" t="s">
        <v>64</v>
      </c>
      <c r="B26" t="s">
        <v>30</v>
      </c>
      <c r="C26" t="s">
        <v>65</v>
      </c>
      <c r="D26" s="1">
        <v>45992</v>
      </c>
      <c r="E26" s="1">
        <v>46023</v>
      </c>
      <c r="F26">
        <v>1</v>
      </c>
      <c r="G26">
        <v>10</v>
      </c>
      <c r="H26" t="s">
        <v>66</v>
      </c>
      <c r="I26" t="s">
        <v>67</v>
      </c>
      <c r="J26" t="s">
        <v>68</v>
      </c>
      <c r="K26" t="s">
        <v>26</v>
      </c>
      <c r="L26" t="s">
        <v>43</v>
      </c>
      <c r="M26">
        <v>1</v>
      </c>
      <c r="N26">
        <v>0</v>
      </c>
      <c r="O26">
        <v>2.86</v>
      </c>
      <c r="P26">
        <v>70</v>
      </c>
      <c r="Q26">
        <v>2</v>
      </c>
      <c r="R26" t="s">
        <v>28</v>
      </c>
      <c r="S26">
        <v>0</v>
      </c>
      <c r="T26">
        <v>2</v>
      </c>
    </row>
    <row r="27" spans="1:20" x14ac:dyDescent="0.25">
      <c r="A27" t="s">
        <v>64</v>
      </c>
      <c r="B27" t="s">
        <v>30</v>
      </c>
      <c r="C27" t="s">
        <v>65</v>
      </c>
      <c r="D27" s="1">
        <v>45992</v>
      </c>
      <c r="E27" s="1">
        <v>46023</v>
      </c>
      <c r="F27">
        <v>1</v>
      </c>
      <c r="G27">
        <v>10</v>
      </c>
      <c r="H27" t="s">
        <v>66</v>
      </c>
      <c r="I27" t="s">
        <v>67</v>
      </c>
      <c r="J27" t="s">
        <v>68</v>
      </c>
      <c r="K27" t="s">
        <v>26</v>
      </c>
      <c r="L27" t="s">
        <v>69</v>
      </c>
      <c r="M27">
        <v>1</v>
      </c>
      <c r="N27">
        <v>0</v>
      </c>
      <c r="O27">
        <v>4.96</v>
      </c>
      <c r="P27">
        <v>70</v>
      </c>
      <c r="Q27">
        <v>3.47</v>
      </c>
      <c r="R27" t="s">
        <v>28</v>
      </c>
      <c r="S27">
        <v>0</v>
      </c>
      <c r="T27">
        <v>3.47</v>
      </c>
    </row>
    <row r="28" spans="1:20" x14ac:dyDescent="0.25">
      <c r="A28" t="s">
        <v>64</v>
      </c>
      <c r="B28" t="s">
        <v>30</v>
      </c>
      <c r="C28" t="s">
        <v>65</v>
      </c>
      <c r="D28" s="1">
        <v>45992</v>
      </c>
      <c r="E28" s="1">
        <v>46023</v>
      </c>
      <c r="F28">
        <v>1</v>
      </c>
      <c r="G28">
        <v>10</v>
      </c>
      <c r="H28" t="s">
        <v>66</v>
      </c>
      <c r="I28" t="s">
        <v>67</v>
      </c>
      <c r="J28" t="s">
        <v>68</v>
      </c>
      <c r="K28" t="s">
        <v>26</v>
      </c>
      <c r="L28" t="s">
        <v>44</v>
      </c>
      <c r="M28">
        <v>1</v>
      </c>
      <c r="N28">
        <v>0</v>
      </c>
      <c r="O28">
        <v>59.76</v>
      </c>
      <c r="P28">
        <v>70</v>
      </c>
      <c r="Q28">
        <v>41.83</v>
      </c>
      <c r="R28" t="s">
        <v>28</v>
      </c>
      <c r="S28">
        <v>0</v>
      </c>
      <c r="T28">
        <v>41.83</v>
      </c>
    </row>
    <row r="29" spans="1:20" x14ac:dyDescent="0.25">
      <c r="A29" t="s">
        <v>64</v>
      </c>
      <c r="B29" t="s">
        <v>30</v>
      </c>
      <c r="C29" t="s">
        <v>65</v>
      </c>
      <c r="D29" s="1">
        <v>45992</v>
      </c>
      <c r="E29" s="1">
        <v>46023</v>
      </c>
      <c r="F29">
        <v>1</v>
      </c>
      <c r="G29">
        <v>10</v>
      </c>
      <c r="H29" t="s">
        <v>66</v>
      </c>
      <c r="I29" t="s">
        <v>67</v>
      </c>
      <c r="J29" t="s">
        <v>68</v>
      </c>
      <c r="K29" t="s">
        <v>26</v>
      </c>
      <c r="L29" t="s">
        <v>45</v>
      </c>
      <c r="M29">
        <v>1</v>
      </c>
      <c r="N29">
        <v>0</v>
      </c>
      <c r="O29">
        <v>1.68</v>
      </c>
      <c r="P29">
        <v>70</v>
      </c>
      <c r="Q29">
        <v>1.18</v>
      </c>
      <c r="R29" t="s">
        <v>28</v>
      </c>
      <c r="S29">
        <v>0</v>
      </c>
      <c r="T29">
        <v>1.18</v>
      </c>
    </row>
    <row r="30" spans="1:20" x14ac:dyDescent="0.25">
      <c r="A30" t="s">
        <v>64</v>
      </c>
      <c r="B30" t="s">
        <v>30</v>
      </c>
      <c r="C30" t="s">
        <v>65</v>
      </c>
      <c r="D30" s="1">
        <v>45992</v>
      </c>
      <c r="E30" s="1">
        <v>46023</v>
      </c>
      <c r="F30">
        <v>1</v>
      </c>
      <c r="G30">
        <v>10</v>
      </c>
      <c r="H30" t="s">
        <v>66</v>
      </c>
      <c r="I30" t="s">
        <v>67</v>
      </c>
      <c r="J30" t="s">
        <v>68</v>
      </c>
      <c r="K30" t="s">
        <v>26</v>
      </c>
      <c r="L30" t="s">
        <v>46</v>
      </c>
      <c r="M30">
        <v>1</v>
      </c>
      <c r="N30">
        <v>0</v>
      </c>
      <c r="O30">
        <v>18.649999999999999</v>
      </c>
      <c r="P30">
        <v>70</v>
      </c>
      <c r="Q30">
        <v>13.06</v>
      </c>
      <c r="R30" t="s">
        <v>28</v>
      </c>
      <c r="S30">
        <v>0</v>
      </c>
      <c r="T30">
        <v>13.06</v>
      </c>
    </row>
    <row r="31" spans="1:20" x14ac:dyDescent="0.25">
      <c r="A31" t="s">
        <v>64</v>
      </c>
      <c r="B31" t="s">
        <v>30</v>
      </c>
      <c r="C31" t="s">
        <v>65</v>
      </c>
      <c r="D31" s="1">
        <v>45992</v>
      </c>
      <c r="E31" s="1">
        <v>46023</v>
      </c>
      <c r="F31">
        <v>1</v>
      </c>
      <c r="G31">
        <v>10</v>
      </c>
      <c r="H31" t="s">
        <v>66</v>
      </c>
      <c r="I31" t="s">
        <v>67</v>
      </c>
      <c r="J31" t="s">
        <v>68</v>
      </c>
      <c r="K31" t="s">
        <v>26</v>
      </c>
      <c r="L31" t="s">
        <v>47</v>
      </c>
      <c r="M31">
        <v>1</v>
      </c>
      <c r="N31">
        <v>0</v>
      </c>
      <c r="O31">
        <v>6.99</v>
      </c>
      <c r="P31">
        <v>70</v>
      </c>
      <c r="Q31">
        <v>4.8899999999999997</v>
      </c>
      <c r="R31" t="s">
        <v>28</v>
      </c>
      <c r="S31">
        <v>0</v>
      </c>
      <c r="T31">
        <v>4.8899999999999997</v>
      </c>
    </row>
    <row r="32" spans="1:20" x14ac:dyDescent="0.25">
      <c r="A32" t="s">
        <v>64</v>
      </c>
      <c r="B32" t="s">
        <v>30</v>
      </c>
      <c r="C32" t="s">
        <v>65</v>
      </c>
      <c r="D32" s="1">
        <v>45992</v>
      </c>
      <c r="E32" s="1">
        <v>46023</v>
      </c>
      <c r="F32">
        <v>1</v>
      </c>
      <c r="G32">
        <v>10</v>
      </c>
      <c r="H32" t="s">
        <v>66</v>
      </c>
      <c r="I32" t="s">
        <v>67</v>
      </c>
      <c r="J32" t="s">
        <v>68</v>
      </c>
      <c r="K32" t="s">
        <v>26</v>
      </c>
      <c r="L32" t="s">
        <v>48</v>
      </c>
      <c r="M32">
        <v>1</v>
      </c>
      <c r="N32">
        <v>0</v>
      </c>
      <c r="O32">
        <v>14.23</v>
      </c>
      <c r="P32">
        <v>70</v>
      </c>
      <c r="Q32">
        <v>9.9600000000000009</v>
      </c>
      <c r="R32" t="s">
        <v>28</v>
      </c>
      <c r="S32">
        <v>0</v>
      </c>
      <c r="T32">
        <v>9.9600000000000009</v>
      </c>
    </row>
    <row r="33" spans="1:20" x14ac:dyDescent="0.25">
      <c r="A33" t="s">
        <v>64</v>
      </c>
      <c r="B33" t="s">
        <v>30</v>
      </c>
      <c r="C33" t="s">
        <v>65</v>
      </c>
      <c r="D33" s="1">
        <v>45992</v>
      </c>
      <c r="E33" s="1">
        <v>46023</v>
      </c>
      <c r="F33">
        <v>1</v>
      </c>
      <c r="G33">
        <v>10</v>
      </c>
      <c r="H33" t="s">
        <v>66</v>
      </c>
      <c r="I33" t="s">
        <v>67</v>
      </c>
      <c r="J33" t="s">
        <v>68</v>
      </c>
      <c r="K33" t="s">
        <v>26</v>
      </c>
      <c r="L33" t="s">
        <v>49</v>
      </c>
      <c r="M33">
        <v>1</v>
      </c>
      <c r="N33">
        <v>0</v>
      </c>
      <c r="O33">
        <v>2.75</v>
      </c>
      <c r="P33">
        <v>70</v>
      </c>
      <c r="Q33">
        <v>1.93</v>
      </c>
      <c r="R33" t="s">
        <v>28</v>
      </c>
      <c r="S33">
        <v>0</v>
      </c>
      <c r="T33">
        <v>1.93</v>
      </c>
    </row>
    <row r="34" spans="1:20" x14ac:dyDescent="0.25">
      <c r="A34" t="s">
        <v>64</v>
      </c>
      <c r="B34" t="s">
        <v>30</v>
      </c>
      <c r="C34" t="s">
        <v>65</v>
      </c>
      <c r="D34" s="1">
        <v>45992</v>
      </c>
      <c r="E34" s="1">
        <v>46023</v>
      </c>
      <c r="F34">
        <v>1</v>
      </c>
      <c r="G34">
        <v>10</v>
      </c>
      <c r="H34" t="s">
        <v>66</v>
      </c>
      <c r="I34" t="s">
        <v>67</v>
      </c>
      <c r="J34" t="s">
        <v>68</v>
      </c>
      <c r="K34" t="s">
        <v>26</v>
      </c>
      <c r="L34" t="s">
        <v>50</v>
      </c>
      <c r="M34">
        <v>1</v>
      </c>
      <c r="N34">
        <v>149.26</v>
      </c>
      <c r="O34">
        <v>37.380000000000003</v>
      </c>
      <c r="P34">
        <v>70</v>
      </c>
      <c r="Q34">
        <v>26.17</v>
      </c>
      <c r="R34" t="s">
        <v>28</v>
      </c>
      <c r="S34">
        <v>0</v>
      </c>
      <c r="T34">
        <v>26.17</v>
      </c>
    </row>
    <row r="35" spans="1:20" x14ac:dyDescent="0.25">
      <c r="A35" t="s">
        <v>70</v>
      </c>
      <c r="B35" t="s">
        <v>38</v>
      </c>
      <c r="C35" t="s">
        <v>71</v>
      </c>
      <c r="D35" s="1">
        <v>45992</v>
      </c>
      <c r="E35" s="1">
        <v>46023</v>
      </c>
      <c r="F35">
        <v>1</v>
      </c>
      <c r="G35">
        <v>10</v>
      </c>
      <c r="H35" t="s">
        <v>72</v>
      </c>
      <c r="I35" t="s">
        <v>73</v>
      </c>
      <c r="J35" t="s">
        <v>25</v>
      </c>
      <c r="K35" t="s">
        <v>26</v>
      </c>
      <c r="L35" t="s">
        <v>43</v>
      </c>
      <c r="M35">
        <v>1</v>
      </c>
      <c r="N35">
        <v>0</v>
      </c>
      <c r="O35">
        <v>1.79</v>
      </c>
      <c r="P35">
        <v>70</v>
      </c>
      <c r="Q35">
        <v>1.25</v>
      </c>
      <c r="R35" t="s">
        <v>28</v>
      </c>
      <c r="S35">
        <v>0</v>
      </c>
      <c r="T35">
        <v>1.25</v>
      </c>
    </row>
    <row r="36" spans="1:20" x14ac:dyDescent="0.25">
      <c r="A36" t="s">
        <v>70</v>
      </c>
      <c r="B36" t="s">
        <v>38</v>
      </c>
      <c r="C36" t="s">
        <v>71</v>
      </c>
      <c r="D36" s="1">
        <v>45992</v>
      </c>
      <c r="E36" s="1">
        <v>46023</v>
      </c>
      <c r="F36">
        <v>1</v>
      </c>
      <c r="G36">
        <v>10</v>
      </c>
      <c r="H36" t="s">
        <v>72</v>
      </c>
      <c r="I36" t="s">
        <v>73</v>
      </c>
      <c r="J36" t="s">
        <v>25</v>
      </c>
      <c r="K36" t="s">
        <v>26</v>
      </c>
      <c r="L36" t="s">
        <v>45</v>
      </c>
      <c r="M36">
        <v>1</v>
      </c>
      <c r="N36">
        <v>0</v>
      </c>
      <c r="O36">
        <v>1.68</v>
      </c>
      <c r="P36">
        <v>70</v>
      </c>
      <c r="Q36">
        <v>1.18</v>
      </c>
      <c r="R36" t="s">
        <v>28</v>
      </c>
      <c r="S36">
        <v>0</v>
      </c>
      <c r="T36">
        <v>1.18</v>
      </c>
    </row>
    <row r="37" spans="1:20" x14ac:dyDescent="0.25">
      <c r="A37" t="s">
        <v>70</v>
      </c>
      <c r="B37" t="s">
        <v>38</v>
      </c>
      <c r="C37" t="s">
        <v>71</v>
      </c>
      <c r="D37" s="1">
        <v>45992</v>
      </c>
      <c r="E37" s="1">
        <v>46023</v>
      </c>
      <c r="F37">
        <v>1</v>
      </c>
      <c r="G37">
        <v>10</v>
      </c>
      <c r="H37" t="s">
        <v>72</v>
      </c>
      <c r="I37" t="s">
        <v>73</v>
      </c>
      <c r="J37" t="s">
        <v>25</v>
      </c>
      <c r="K37" t="s">
        <v>26</v>
      </c>
      <c r="L37" t="s">
        <v>46</v>
      </c>
      <c r="M37">
        <v>1</v>
      </c>
      <c r="N37">
        <v>0</v>
      </c>
      <c r="O37">
        <v>12.43</v>
      </c>
      <c r="P37">
        <v>70</v>
      </c>
      <c r="Q37">
        <v>8.6999999999999993</v>
      </c>
      <c r="R37" t="s">
        <v>28</v>
      </c>
      <c r="S37">
        <v>0</v>
      </c>
      <c r="T37">
        <v>8.6999999999999993</v>
      </c>
    </row>
    <row r="38" spans="1:20" x14ac:dyDescent="0.25">
      <c r="A38" t="s">
        <v>70</v>
      </c>
      <c r="B38" t="s">
        <v>38</v>
      </c>
      <c r="C38" t="s">
        <v>71</v>
      </c>
      <c r="D38" s="1">
        <v>45992</v>
      </c>
      <c r="E38" s="1">
        <v>46023</v>
      </c>
      <c r="F38">
        <v>1</v>
      </c>
      <c r="G38">
        <v>10</v>
      </c>
      <c r="H38" t="s">
        <v>72</v>
      </c>
      <c r="I38" t="s">
        <v>73</v>
      </c>
      <c r="J38" t="s">
        <v>25</v>
      </c>
      <c r="K38" t="s">
        <v>26</v>
      </c>
      <c r="L38" t="s">
        <v>50</v>
      </c>
      <c r="M38">
        <v>1</v>
      </c>
      <c r="N38">
        <v>43.7</v>
      </c>
      <c r="O38">
        <v>27.8</v>
      </c>
      <c r="P38">
        <v>70</v>
      </c>
      <c r="Q38">
        <v>19.46</v>
      </c>
      <c r="R38" t="s">
        <v>28</v>
      </c>
      <c r="S38">
        <v>0</v>
      </c>
      <c r="T38">
        <v>19.46</v>
      </c>
    </row>
    <row r="39" spans="1:20" x14ac:dyDescent="0.25">
      <c r="A39" t="s">
        <v>74</v>
      </c>
      <c r="B39" t="s">
        <v>38</v>
      </c>
      <c r="C39" t="s">
        <v>75</v>
      </c>
      <c r="D39" s="1">
        <v>45992</v>
      </c>
      <c r="E39" s="1">
        <v>45992</v>
      </c>
      <c r="F39">
        <v>1</v>
      </c>
      <c r="G39">
        <v>5</v>
      </c>
      <c r="H39" t="s">
        <v>40</v>
      </c>
      <c r="I39" t="s">
        <v>41</v>
      </c>
      <c r="J39" t="s">
        <v>42</v>
      </c>
      <c r="K39" t="s">
        <v>26</v>
      </c>
      <c r="L39" t="s">
        <v>50</v>
      </c>
      <c r="M39" t="s">
        <v>76</v>
      </c>
      <c r="N39">
        <v>188.27</v>
      </c>
      <c r="O39">
        <v>1.68</v>
      </c>
      <c r="P39">
        <v>70</v>
      </c>
      <c r="Q39">
        <v>-1.18</v>
      </c>
      <c r="R39" t="s">
        <v>28</v>
      </c>
      <c r="S39">
        <v>0</v>
      </c>
      <c r="T39">
        <v>-1.18</v>
      </c>
    </row>
    <row r="40" spans="1:20" x14ac:dyDescent="0.25">
      <c r="A40" t="s">
        <v>74</v>
      </c>
      <c r="B40" t="s">
        <v>38</v>
      </c>
      <c r="C40" t="s">
        <v>75</v>
      </c>
      <c r="D40" s="1">
        <v>45992</v>
      </c>
      <c r="E40" s="1">
        <v>45992</v>
      </c>
      <c r="F40">
        <v>1</v>
      </c>
      <c r="G40">
        <v>5</v>
      </c>
      <c r="H40" t="s">
        <v>40</v>
      </c>
      <c r="I40" t="s">
        <v>41</v>
      </c>
      <c r="J40" t="s">
        <v>42</v>
      </c>
      <c r="K40" t="s">
        <v>26</v>
      </c>
      <c r="L40" t="s">
        <v>50</v>
      </c>
      <c r="M40" t="s">
        <v>76</v>
      </c>
      <c r="N40">
        <v>188.27</v>
      </c>
      <c r="O40">
        <v>19.489999999999998</v>
      </c>
      <c r="P40">
        <v>70</v>
      </c>
      <c r="Q40">
        <v>-13.64</v>
      </c>
      <c r="R40" t="s">
        <v>28</v>
      </c>
      <c r="S40">
        <v>0</v>
      </c>
      <c r="T40">
        <v>-13.64</v>
      </c>
    </row>
    <row r="41" spans="1:20" x14ac:dyDescent="0.25">
      <c r="A41" t="s">
        <v>74</v>
      </c>
      <c r="B41" t="s">
        <v>38</v>
      </c>
      <c r="C41" t="s">
        <v>75</v>
      </c>
      <c r="D41" s="1">
        <v>45992</v>
      </c>
      <c r="E41" s="1">
        <v>45992</v>
      </c>
      <c r="F41">
        <v>1</v>
      </c>
      <c r="G41">
        <v>5</v>
      </c>
      <c r="H41" t="s">
        <v>40</v>
      </c>
      <c r="I41" t="s">
        <v>41</v>
      </c>
      <c r="J41" t="s">
        <v>42</v>
      </c>
      <c r="K41" t="s">
        <v>26</v>
      </c>
      <c r="L41" t="s">
        <v>50</v>
      </c>
      <c r="M41" t="s">
        <v>76</v>
      </c>
      <c r="N41">
        <v>188.27</v>
      </c>
      <c r="O41">
        <v>20</v>
      </c>
      <c r="P41">
        <v>70</v>
      </c>
      <c r="Q41">
        <v>-14</v>
      </c>
      <c r="R41" t="s">
        <v>28</v>
      </c>
      <c r="S41">
        <v>0</v>
      </c>
      <c r="T41">
        <v>-14</v>
      </c>
    </row>
    <row r="42" spans="1:20" x14ac:dyDescent="0.25">
      <c r="A42" t="s">
        <v>74</v>
      </c>
      <c r="B42" t="s">
        <v>38</v>
      </c>
      <c r="C42" t="s">
        <v>75</v>
      </c>
      <c r="D42" s="1">
        <v>45992</v>
      </c>
      <c r="E42" s="1">
        <v>45992</v>
      </c>
      <c r="F42">
        <v>1</v>
      </c>
      <c r="G42">
        <v>5</v>
      </c>
      <c r="H42" t="s">
        <v>40</v>
      </c>
      <c r="I42" t="s">
        <v>41</v>
      </c>
      <c r="J42" t="s">
        <v>42</v>
      </c>
      <c r="K42" t="s">
        <v>26</v>
      </c>
      <c r="L42" t="s">
        <v>50</v>
      </c>
      <c r="M42" t="s">
        <v>76</v>
      </c>
      <c r="N42">
        <v>188.27</v>
      </c>
      <c r="O42">
        <v>9.6999999999999993</v>
      </c>
      <c r="P42">
        <v>70</v>
      </c>
      <c r="Q42">
        <v>-6.79</v>
      </c>
      <c r="R42" t="s">
        <v>28</v>
      </c>
      <c r="S42">
        <v>0</v>
      </c>
      <c r="T42">
        <v>-6.79</v>
      </c>
    </row>
    <row r="43" spans="1:20" x14ac:dyDescent="0.25">
      <c r="A43" t="s">
        <v>74</v>
      </c>
      <c r="B43" t="s">
        <v>38</v>
      </c>
      <c r="C43" t="s">
        <v>75</v>
      </c>
      <c r="D43" s="1">
        <v>45992</v>
      </c>
      <c r="E43" s="1">
        <v>45992</v>
      </c>
      <c r="F43">
        <v>1</v>
      </c>
      <c r="G43">
        <v>5</v>
      </c>
      <c r="H43" t="s">
        <v>40</v>
      </c>
      <c r="I43" t="s">
        <v>41</v>
      </c>
      <c r="J43" t="s">
        <v>42</v>
      </c>
      <c r="K43" t="s">
        <v>26</v>
      </c>
      <c r="L43" t="s">
        <v>50</v>
      </c>
      <c r="M43" t="s">
        <v>76</v>
      </c>
      <c r="N43">
        <v>188.27</v>
      </c>
      <c r="O43">
        <v>6.06</v>
      </c>
      <c r="P43">
        <v>70</v>
      </c>
      <c r="Q43">
        <v>-4.24</v>
      </c>
      <c r="R43" t="s">
        <v>28</v>
      </c>
      <c r="S43">
        <v>0</v>
      </c>
      <c r="T43">
        <v>-4.24</v>
      </c>
    </row>
    <row r="44" spans="1:20" x14ac:dyDescent="0.25">
      <c r="A44" t="s">
        <v>74</v>
      </c>
      <c r="B44" t="s">
        <v>38</v>
      </c>
      <c r="C44" t="s">
        <v>75</v>
      </c>
      <c r="D44" s="1">
        <v>45992</v>
      </c>
      <c r="E44" s="1">
        <v>45992</v>
      </c>
      <c r="F44">
        <v>1</v>
      </c>
      <c r="G44">
        <v>5</v>
      </c>
      <c r="H44" t="s">
        <v>40</v>
      </c>
      <c r="I44" t="s">
        <v>41</v>
      </c>
      <c r="J44" t="s">
        <v>42</v>
      </c>
      <c r="K44" t="s">
        <v>26</v>
      </c>
      <c r="L44" t="s">
        <v>50</v>
      </c>
      <c r="M44" t="s">
        <v>76</v>
      </c>
      <c r="N44">
        <v>188.27</v>
      </c>
      <c r="O44">
        <v>2.75</v>
      </c>
      <c r="P44">
        <v>70</v>
      </c>
      <c r="Q44">
        <v>-1.93</v>
      </c>
      <c r="R44" t="s">
        <v>28</v>
      </c>
      <c r="S44">
        <v>0</v>
      </c>
      <c r="T44">
        <v>-1.93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964D1-9CEC-4E63-A61A-807081C9C405}">
  <dimension ref="A1:V45"/>
  <sheetViews>
    <sheetView topLeftCell="A5" workbookViewId="0">
      <selection activeCell="Q2" sqref="Q2:Q44"/>
    </sheetView>
  </sheetViews>
  <sheetFormatPr defaultRowHeight="15" x14ac:dyDescent="0.25"/>
  <cols>
    <col min="1" max="1" width="11.5703125" bestFit="1" customWidth="1"/>
    <col min="4" max="4" width="13.5703125" bestFit="1" customWidth="1"/>
    <col min="5" max="5" width="10.7109375" customWidth="1"/>
    <col min="7" max="7" width="12.5703125" style="6" bestFit="1" customWidth="1"/>
    <col min="10" max="10" width="21.140625" customWidth="1"/>
    <col min="11" max="11" width="8.140625" customWidth="1"/>
    <col min="12" max="12" width="7.4257812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s="6" t="s">
        <v>7</v>
      </c>
      <c r="H1" t="s">
        <v>8</v>
      </c>
      <c r="I1" t="s">
        <v>9</v>
      </c>
      <c r="J1" t="s">
        <v>10</v>
      </c>
      <c r="M1" t="s">
        <v>13</v>
      </c>
      <c r="N1" t="s">
        <v>14</v>
      </c>
      <c r="O1" t="s">
        <v>15</v>
      </c>
      <c r="P1" t="s">
        <v>16</v>
      </c>
      <c r="Q1" t="s">
        <v>19</v>
      </c>
    </row>
    <row r="2" spans="1:18" s="4" customFormat="1" x14ac:dyDescent="0.25">
      <c r="A2" s="4" t="s">
        <v>29</v>
      </c>
      <c r="B2" s="4" t="s">
        <v>30</v>
      </c>
      <c r="C2" s="4" t="s">
        <v>31</v>
      </c>
      <c r="D2" s="5">
        <v>45992</v>
      </c>
      <c r="E2" s="5">
        <v>46023</v>
      </c>
      <c r="F2" s="4">
        <f>DATEDIF(D2,E2,"M")</f>
        <v>1</v>
      </c>
      <c r="G2" s="7" t="s">
        <v>82</v>
      </c>
      <c r="H2" s="4" t="s">
        <v>77</v>
      </c>
      <c r="I2" s="4" t="s">
        <v>34</v>
      </c>
      <c r="J2" s="4" t="str">
        <f>CONCATENATE(H2," ",I2)</f>
        <v xml:space="preserve">ANDREA PETRUNGARO          </v>
      </c>
      <c r="K2" s="4" t="s">
        <v>88</v>
      </c>
      <c r="L2" s="4" t="s">
        <v>89</v>
      </c>
      <c r="M2" s="4">
        <v>23.91</v>
      </c>
      <c r="N2" s="4">
        <v>12.08</v>
      </c>
      <c r="O2" s="4">
        <v>60</v>
      </c>
      <c r="P2" s="4">
        <v>7.25</v>
      </c>
      <c r="Q2" s="4">
        <v>7.25</v>
      </c>
      <c r="R2" s="4" t="s">
        <v>85</v>
      </c>
    </row>
    <row r="3" spans="1:18" s="4" customFormat="1" x14ac:dyDescent="0.25">
      <c r="A3" s="4" t="s">
        <v>29</v>
      </c>
      <c r="B3" s="4" t="s">
        <v>30</v>
      </c>
      <c r="C3" s="4" t="s">
        <v>31</v>
      </c>
      <c r="D3" s="5">
        <v>45992</v>
      </c>
      <c r="E3" s="5">
        <v>46023</v>
      </c>
      <c r="F3" s="4">
        <f>DATEDIF(D3,E3,"M")</f>
        <v>1</v>
      </c>
      <c r="G3" s="7" t="s">
        <v>82</v>
      </c>
      <c r="H3" s="4" t="s">
        <v>77</v>
      </c>
      <c r="I3" s="4" t="s">
        <v>34</v>
      </c>
      <c r="J3" s="4" t="str">
        <f>CONCATENATE(H3," ",I3)</f>
        <v xml:space="preserve">ANDREA PETRUNGARO          </v>
      </c>
      <c r="K3" s="4" t="s">
        <v>88</v>
      </c>
      <c r="L3" s="4" t="s">
        <v>89</v>
      </c>
      <c r="M3" s="4">
        <v>0</v>
      </c>
      <c r="N3" s="4">
        <v>9.75</v>
      </c>
      <c r="O3" s="4">
        <v>60</v>
      </c>
      <c r="P3" s="4">
        <v>5.85</v>
      </c>
      <c r="Q3" s="4">
        <v>5.85</v>
      </c>
      <c r="R3" s="4" t="s">
        <v>85</v>
      </c>
    </row>
    <row r="4" spans="1:18" s="4" customFormat="1" x14ac:dyDescent="0.25">
      <c r="A4" s="4" t="s">
        <v>64</v>
      </c>
      <c r="B4" s="4" t="s">
        <v>30</v>
      </c>
      <c r="C4" s="4" t="s">
        <v>65</v>
      </c>
      <c r="D4" s="5">
        <v>45992</v>
      </c>
      <c r="E4" s="5">
        <v>46023</v>
      </c>
      <c r="F4" s="4">
        <f>DATEDIF(D4,E4,"M")</f>
        <v>1</v>
      </c>
      <c r="G4" s="7" t="s">
        <v>83</v>
      </c>
      <c r="H4" s="4" t="s">
        <v>80</v>
      </c>
      <c r="I4" s="4" t="s">
        <v>68</v>
      </c>
      <c r="J4" s="4" t="str">
        <f>CONCATENATE(H4," ",I4)</f>
        <v xml:space="preserve">JEFFREY HORN                </v>
      </c>
      <c r="K4" s="4" t="s">
        <v>88</v>
      </c>
      <c r="L4" s="4" t="s">
        <v>89</v>
      </c>
      <c r="M4" s="4">
        <v>0</v>
      </c>
      <c r="N4" s="4">
        <v>2.86</v>
      </c>
      <c r="O4" s="4">
        <v>70</v>
      </c>
      <c r="P4" s="4">
        <v>2</v>
      </c>
      <c r="Q4" s="4">
        <v>2</v>
      </c>
      <c r="R4" s="4" t="s">
        <v>86</v>
      </c>
    </row>
    <row r="5" spans="1:18" s="4" customFormat="1" x14ac:dyDescent="0.25">
      <c r="A5" s="4" t="s">
        <v>64</v>
      </c>
      <c r="B5" s="4" t="s">
        <v>30</v>
      </c>
      <c r="C5" s="4" t="s">
        <v>65</v>
      </c>
      <c r="D5" s="5">
        <v>45992</v>
      </c>
      <c r="E5" s="5">
        <v>46023</v>
      </c>
      <c r="F5" s="4">
        <f>DATEDIF(D5,E5,"M")</f>
        <v>1</v>
      </c>
      <c r="G5" s="7" t="s">
        <v>83</v>
      </c>
      <c r="H5" s="4" t="s">
        <v>80</v>
      </c>
      <c r="I5" s="4" t="s">
        <v>68</v>
      </c>
      <c r="J5" s="4" t="str">
        <f>CONCATENATE(H5," ",I5)</f>
        <v xml:space="preserve">JEFFREY HORN                </v>
      </c>
      <c r="K5" s="4" t="s">
        <v>88</v>
      </c>
      <c r="L5" s="4" t="s">
        <v>89</v>
      </c>
      <c r="M5" s="4">
        <v>0</v>
      </c>
      <c r="N5" s="4">
        <v>4.96</v>
      </c>
      <c r="O5" s="4">
        <v>70</v>
      </c>
      <c r="P5" s="4">
        <v>3.47</v>
      </c>
      <c r="Q5" s="4">
        <v>3.47</v>
      </c>
      <c r="R5" s="4" t="s">
        <v>86</v>
      </c>
    </row>
    <row r="6" spans="1:18" s="4" customFormat="1" x14ac:dyDescent="0.25">
      <c r="A6" s="4" t="s">
        <v>64</v>
      </c>
      <c r="B6" s="4" t="s">
        <v>30</v>
      </c>
      <c r="C6" s="4" t="s">
        <v>65</v>
      </c>
      <c r="D6" s="5">
        <v>45992</v>
      </c>
      <c r="E6" s="5">
        <v>46023</v>
      </c>
      <c r="F6" s="4">
        <f>DATEDIF(D6,E6,"M")</f>
        <v>1</v>
      </c>
      <c r="G6" s="7" t="s">
        <v>83</v>
      </c>
      <c r="H6" s="4" t="s">
        <v>80</v>
      </c>
      <c r="I6" s="4" t="s">
        <v>68</v>
      </c>
      <c r="J6" s="4" t="str">
        <f>CONCATENATE(H6," ",I6)</f>
        <v xml:space="preserve">JEFFREY HORN                </v>
      </c>
      <c r="K6" s="4" t="s">
        <v>88</v>
      </c>
      <c r="L6" s="4" t="s">
        <v>89</v>
      </c>
      <c r="M6" s="4">
        <v>0</v>
      </c>
      <c r="N6" s="4">
        <v>59.76</v>
      </c>
      <c r="O6" s="4">
        <v>70</v>
      </c>
      <c r="P6" s="4">
        <v>41.83</v>
      </c>
      <c r="Q6" s="4">
        <v>41.83</v>
      </c>
      <c r="R6" s="4" t="s">
        <v>86</v>
      </c>
    </row>
    <row r="7" spans="1:18" s="4" customFormat="1" x14ac:dyDescent="0.25">
      <c r="A7" s="4" t="s">
        <v>64</v>
      </c>
      <c r="B7" s="4" t="s">
        <v>30</v>
      </c>
      <c r="C7" s="4" t="s">
        <v>65</v>
      </c>
      <c r="D7" s="5">
        <v>45992</v>
      </c>
      <c r="E7" s="5">
        <v>46023</v>
      </c>
      <c r="F7" s="4">
        <f>DATEDIF(D7,E7,"M")</f>
        <v>1</v>
      </c>
      <c r="G7" s="7" t="s">
        <v>83</v>
      </c>
      <c r="H7" s="4" t="s">
        <v>80</v>
      </c>
      <c r="I7" s="4" t="s">
        <v>68</v>
      </c>
      <c r="J7" s="4" t="str">
        <f>CONCATENATE(H7," ",I7)</f>
        <v xml:space="preserve">JEFFREY HORN                </v>
      </c>
      <c r="K7" s="4" t="s">
        <v>88</v>
      </c>
      <c r="L7" s="4" t="s">
        <v>89</v>
      </c>
      <c r="M7" s="4">
        <v>0</v>
      </c>
      <c r="N7" s="4">
        <v>1.68</v>
      </c>
      <c r="O7" s="4">
        <v>70</v>
      </c>
      <c r="P7" s="4">
        <v>1.18</v>
      </c>
      <c r="Q7" s="4">
        <v>1.18</v>
      </c>
      <c r="R7" s="4" t="s">
        <v>86</v>
      </c>
    </row>
    <row r="8" spans="1:18" s="4" customFormat="1" x14ac:dyDescent="0.25">
      <c r="A8" s="4" t="s">
        <v>64</v>
      </c>
      <c r="B8" s="4" t="s">
        <v>30</v>
      </c>
      <c r="C8" s="4" t="s">
        <v>65</v>
      </c>
      <c r="D8" s="5">
        <v>45992</v>
      </c>
      <c r="E8" s="5">
        <v>46023</v>
      </c>
      <c r="F8" s="4">
        <f>DATEDIF(D8,E8,"M")</f>
        <v>1</v>
      </c>
      <c r="G8" s="7" t="s">
        <v>83</v>
      </c>
      <c r="H8" s="4" t="s">
        <v>80</v>
      </c>
      <c r="I8" s="4" t="s">
        <v>68</v>
      </c>
      <c r="J8" s="4" t="str">
        <f>CONCATENATE(H8," ",I8)</f>
        <v xml:space="preserve">JEFFREY HORN                </v>
      </c>
      <c r="K8" s="4" t="s">
        <v>88</v>
      </c>
      <c r="L8" s="4" t="s">
        <v>89</v>
      </c>
      <c r="M8" s="4">
        <v>0</v>
      </c>
      <c r="N8" s="4">
        <v>18.649999999999999</v>
      </c>
      <c r="O8" s="4">
        <v>70</v>
      </c>
      <c r="P8" s="4">
        <v>13.06</v>
      </c>
      <c r="Q8" s="4">
        <v>13.06</v>
      </c>
      <c r="R8" s="4" t="s">
        <v>86</v>
      </c>
    </row>
    <row r="9" spans="1:18" s="4" customFormat="1" x14ac:dyDescent="0.25">
      <c r="A9" s="4" t="s">
        <v>64</v>
      </c>
      <c r="B9" s="4" t="s">
        <v>30</v>
      </c>
      <c r="C9" s="4" t="s">
        <v>65</v>
      </c>
      <c r="D9" s="5">
        <v>45992</v>
      </c>
      <c r="E9" s="5">
        <v>46023</v>
      </c>
      <c r="F9" s="4">
        <f>DATEDIF(D9,E9,"M")</f>
        <v>1</v>
      </c>
      <c r="G9" s="7" t="s">
        <v>83</v>
      </c>
      <c r="H9" s="4" t="s">
        <v>80</v>
      </c>
      <c r="I9" s="4" t="s">
        <v>68</v>
      </c>
      <c r="J9" s="4" t="str">
        <f>CONCATENATE(H9," ",I9)</f>
        <v xml:space="preserve">JEFFREY HORN                </v>
      </c>
      <c r="K9" s="4" t="s">
        <v>88</v>
      </c>
      <c r="L9" s="4" t="s">
        <v>89</v>
      </c>
      <c r="M9" s="4">
        <v>0</v>
      </c>
      <c r="N9" s="4">
        <v>6.99</v>
      </c>
      <c r="O9" s="4">
        <v>70</v>
      </c>
      <c r="P9" s="4">
        <v>4.8899999999999997</v>
      </c>
      <c r="Q9" s="4">
        <v>4.8899999999999997</v>
      </c>
      <c r="R9" s="4" t="s">
        <v>86</v>
      </c>
    </row>
    <row r="10" spans="1:18" s="4" customFormat="1" x14ac:dyDescent="0.25">
      <c r="A10" s="4" t="s">
        <v>64</v>
      </c>
      <c r="B10" s="4" t="s">
        <v>30</v>
      </c>
      <c r="C10" s="4" t="s">
        <v>65</v>
      </c>
      <c r="D10" s="5">
        <v>45992</v>
      </c>
      <c r="E10" s="5">
        <v>46023</v>
      </c>
      <c r="F10" s="4">
        <f>DATEDIF(D10,E10,"M")</f>
        <v>1</v>
      </c>
      <c r="G10" s="7" t="s">
        <v>83</v>
      </c>
      <c r="H10" s="4" t="s">
        <v>80</v>
      </c>
      <c r="I10" s="4" t="s">
        <v>68</v>
      </c>
      <c r="J10" s="4" t="str">
        <f>CONCATENATE(H10," ",I10)</f>
        <v xml:space="preserve">JEFFREY HORN                </v>
      </c>
      <c r="K10" s="4" t="s">
        <v>88</v>
      </c>
      <c r="L10" s="4" t="s">
        <v>89</v>
      </c>
      <c r="M10" s="4">
        <v>0</v>
      </c>
      <c r="N10" s="4">
        <v>14.23</v>
      </c>
      <c r="O10" s="4">
        <v>70</v>
      </c>
      <c r="P10" s="4">
        <v>9.9600000000000009</v>
      </c>
      <c r="Q10" s="4">
        <v>9.9600000000000009</v>
      </c>
      <c r="R10" s="4" t="s">
        <v>86</v>
      </c>
    </row>
    <row r="11" spans="1:18" s="4" customFormat="1" x14ac:dyDescent="0.25">
      <c r="A11" s="4" t="s">
        <v>64</v>
      </c>
      <c r="B11" s="4" t="s">
        <v>30</v>
      </c>
      <c r="C11" s="4" t="s">
        <v>65</v>
      </c>
      <c r="D11" s="5">
        <v>45992</v>
      </c>
      <c r="E11" s="5">
        <v>46023</v>
      </c>
      <c r="F11" s="4">
        <f>DATEDIF(D11,E11,"M")</f>
        <v>1</v>
      </c>
      <c r="G11" s="7" t="s">
        <v>83</v>
      </c>
      <c r="H11" s="4" t="s">
        <v>80</v>
      </c>
      <c r="I11" s="4" t="s">
        <v>68</v>
      </c>
      <c r="J11" s="4" t="str">
        <f>CONCATENATE(H11," ",I11)</f>
        <v xml:space="preserve">JEFFREY HORN                </v>
      </c>
      <c r="K11" s="4" t="s">
        <v>88</v>
      </c>
      <c r="L11" s="4" t="s">
        <v>89</v>
      </c>
      <c r="M11" s="4">
        <v>0</v>
      </c>
      <c r="N11" s="4">
        <v>2.75</v>
      </c>
      <c r="O11" s="4">
        <v>70</v>
      </c>
      <c r="P11" s="4">
        <v>1.93</v>
      </c>
      <c r="Q11" s="4">
        <v>1.93</v>
      </c>
      <c r="R11" s="4" t="s">
        <v>86</v>
      </c>
    </row>
    <row r="12" spans="1:18" s="4" customFormat="1" x14ac:dyDescent="0.25">
      <c r="A12" s="4" t="s">
        <v>64</v>
      </c>
      <c r="B12" s="4" t="s">
        <v>30</v>
      </c>
      <c r="C12" s="4" t="s">
        <v>65</v>
      </c>
      <c r="D12" s="5">
        <v>45992</v>
      </c>
      <c r="E12" s="5">
        <v>46023</v>
      </c>
      <c r="F12" s="4">
        <f>DATEDIF(D12,E12,"M")</f>
        <v>1</v>
      </c>
      <c r="G12" s="7" t="s">
        <v>83</v>
      </c>
      <c r="H12" s="4" t="s">
        <v>80</v>
      </c>
      <c r="I12" s="4" t="s">
        <v>68</v>
      </c>
      <c r="J12" s="4" t="str">
        <f>CONCATENATE(H12," ",I12)</f>
        <v xml:space="preserve">JEFFREY HORN                </v>
      </c>
      <c r="K12" s="4" t="s">
        <v>88</v>
      </c>
      <c r="L12" s="4" t="s">
        <v>89</v>
      </c>
      <c r="M12" s="4">
        <v>149.26</v>
      </c>
      <c r="N12" s="4">
        <v>37.380000000000003</v>
      </c>
      <c r="O12" s="4">
        <v>70</v>
      </c>
      <c r="P12" s="4">
        <v>26.17</v>
      </c>
      <c r="Q12" s="4">
        <v>26.17</v>
      </c>
      <c r="R12" s="4" t="s">
        <v>86</v>
      </c>
    </row>
    <row r="13" spans="1:18" s="4" customFormat="1" x14ac:dyDescent="0.25">
      <c r="A13" s="4" t="s">
        <v>70</v>
      </c>
      <c r="B13" s="4" t="s">
        <v>38</v>
      </c>
      <c r="C13" s="4" t="s">
        <v>71</v>
      </c>
      <c r="D13" s="5">
        <v>45992</v>
      </c>
      <c r="E13" s="5">
        <v>46023</v>
      </c>
      <c r="F13" s="4">
        <f>DATEDIF(D13,E13,"M")</f>
        <v>1</v>
      </c>
      <c r="G13" s="7" t="s">
        <v>84</v>
      </c>
      <c r="H13" s="4" t="s">
        <v>81</v>
      </c>
      <c r="I13" s="4" t="s">
        <v>25</v>
      </c>
      <c r="J13" s="4" t="str">
        <f>CONCATENATE(H13," ",I13)</f>
        <v xml:space="preserve">PETER RICHTER             </v>
      </c>
      <c r="K13" s="4" t="s">
        <v>88</v>
      </c>
      <c r="L13" s="4" t="s">
        <v>89</v>
      </c>
      <c r="M13" s="4">
        <v>0</v>
      </c>
      <c r="N13" s="4">
        <v>1.79</v>
      </c>
      <c r="O13" s="4">
        <v>70</v>
      </c>
      <c r="P13" s="4">
        <v>1.25</v>
      </c>
      <c r="Q13" s="4">
        <v>1.25</v>
      </c>
      <c r="R13" s="4" t="s">
        <v>86</v>
      </c>
    </row>
    <row r="14" spans="1:18" s="4" customFormat="1" x14ac:dyDescent="0.25">
      <c r="A14" s="4" t="s">
        <v>70</v>
      </c>
      <c r="B14" s="4" t="s">
        <v>38</v>
      </c>
      <c r="C14" s="4" t="s">
        <v>71</v>
      </c>
      <c r="D14" s="5">
        <v>45992</v>
      </c>
      <c r="E14" s="5">
        <v>46023</v>
      </c>
      <c r="F14" s="4">
        <f>DATEDIF(D14,E14,"M")</f>
        <v>1</v>
      </c>
      <c r="G14" s="7" t="s">
        <v>84</v>
      </c>
      <c r="H14" s="4" t="s">
        <v>81</v>
      </c>
      <c r="I14" s="4" t="s">
        <v>25</v>
      </c>
      <c r="J14" s="4" t="str">
        <f>CONCATENATE(H14," ",I14)</f>
        <v xml:space="preserve">PETER RICHTER             </v>
      </c>
      <c r="K14" s="4" t="s">
        <v>88</v>
      </c>
      <c r="L14" s="4" t="s">
        <v>89</v>
      </c>
      <c r="M14" s="4">
        <v>0</v>
      </c>
      <c r="N14" s="4">
        <v>1.68</v>
      </c>
      <c r="O14" s="4">
        <v>70</v>
      </c>
      <c r="P14" s="4">
        <v>1.18</v>
      </c>
      <c r="Q14" s="4">
        <v>1.18</v>
      </c>
      <c r="R14" s="4" t="s">
        <v>86</v>
      </c>
    </row>
    <row r="15" spans="1:18" s="4" customFormat="1" x14ac:dyDescent="0.25">
      <c r="A15" s="4" t="s">
        <v>70</v>
      </c>
      <c r="B15" s="4" t="s">
        <v>38</v>
      </c>
      <c r="C15" s="4" t="s">
        <v>71</v>
      </c>
      <c r="D15" s="5">
        <v>45992</v>
      </c>
      <c r="E15" s="5">
        <v>46023</v>
      </c>
      <c r="F15" s="4">
        <f>DATEDIF(D15,E15,"M")</f>
        <v>1</v>
      </c>
      <c r="G15" s="7" t="s">
        <v>84</v>
      </c>
      <c r="H15" s="4" t="s">
        <v>81</v>
      </c>
      <c r="I15" s="4" t="s">
        <v>25</v>
      </c>
      <c r="J15" s="4" t="str">
        <f>CONCATENATE(H15," ",I15)</f>
        <v xml:space="preserve">PETER RICHTER             </v>
      </c>
      <c r="K15" s="4" t="s">
        <v>88</v>
      </c>
      <c r="L15" s="4" t="s">
        <v>89</v>
      </c>
      <c r="M15" s="4">
        <v>0</v>
      </c>
      <c r="N15" s="4">
        <v>12.43</v>
      </c>
      <c r="O15" s="4">
        <v>70</v>
      </c>
      <c r="P15" s="4">
        <v>8.6999999999999993</v>
      </c>
      <c r="Q15" s="4">
        <v>8.6999999999999993</v>
      </c>
      <c r="R15" s="4" t="s">
        <v>86</v>
      </c>
    </row>
    <row r="16" spans="1:18" s="4" customFormat="1" x14ac:dyDescent="0.25">
      <c r="A16" s="4" t="s">
        <v>70</v>
      </c>
      <c r="B16" s="4" t="s">
        <v>38</v>
      </c>
      <c r="C16" s="4" t="s">
        <v>71</v>
      </c>
      <c r="D16" s="5">
        <v>45992</v>
      </c>
      <c r="E16" s="5">
        <v>46023</v>
      </c>
      <c r="F16" s="4">
        <f>DATEDIF(D16,E16,"M")</f>
        <v>1</v>
      </c>
      <c r="G16" s="7" t="s">
        <v>84</v>
      </c>
      <c r="H16" s="4" t="s">
        <v>81</v>
      </c>
      <c r="I16" s="4" t="s">
        <v>25</v>
      </c>
      <c r="J16" s="4" t="str">
        <f>CONCATENATE(H16," ",I16)</f>
        <v xml:space="preserve">PETER RICHTER             </v>
      </c>
      <c r="K16" s="4" t="s">
        <v>88</v>
      </c>
      <c r="L16" s="4" t="s">
        <v>89</v>
      </c>
      <c r="M16" s="4">
        <v>43.7</v>
      </c>
      <c r="N16" s="4">
        <v>27.8</v>
      </c>
      <c r="O16" s="4">
        <v>70</v>
      </c>
      <c r="P16" s="4">
        <v>19.46</v>
      </c>
      <c r="Q16" s="4">
        <v>19.46</v>
      </c>
      <c r="R16" s="4" t="s">
        <v>86</v>
      </c>
    </row>
    <row r="17" spans="1:22" s="2" customFormat="1" x14ac:dyDescent="0.25">
      <c r="A17" s="2" t="s">
        <v>37</v>
      </c>
      <c r="B17" s="2" t="s">
        <v>38</v>
      </c>
      <c r="C17" s="2" t="s">
        <v>39</v>
      </c>
      <c r="D17" s="3">
        <v>45994</v>
      </c>
      <c r="E17" s="3">
        <v>46025</v>
      </c>
      <c r="F17" s="2">
        <f>DATEDIF(D17,E17,"M")</f>
        <v>1</v>
      </c>
      <c r="G17" s="8">
        <v>17425766</v>
      </c>
      <c r="H17" s="2" t="s">
        <v>79</v>
      </c>
      <c r="I17" s="2" t="s">
        <v>42</v>
      </c>
      <c r="J17" s="2" t="str">
        <f>CONCATENATE(H17," ",I17)</f>
        <v xml:space="preserve">CAROL FOLEY               </v>
      </c>
      <c r="K17" s="2" t="s">
        <v>90</v>
      </c>
      <c r="L17" s="2" t="s">
        <v>91</v>
      </c>
      <c r="M17" s="2">
        <v>0</v>
      </c>
      <c r="N17" s="2">
        <v>1.43</v>
      </c>
      <c r="O17" s="2">
        <v>70</v>
      </c>
      <c r="P17" s="2">
        <v>1</v>
      </c>
      <c r="Q17" s="2">
        <v>1</v>
      </c>
      <c r="R17" s="2" t="s">
        <v>86</v>
      </c>
    </row>
    <row r="18" spans="1:22" x14ac:dyDescent="0.25">
      <c r="A18" t="s">
        <v>37</v>
      </c>
      <c r="B18" t="s">
        <v>38</v>
      </c>
      <c r="C18" t="s">
        <v>39</v>
      </c>
      <c r="D18" s="1">
        <v>45994</v>
      </c>
      <c r="E18" s="1">
        <v>46025</v>
      </c>
      <c r="F18">
        <f>DATEDIF(D18,E18,"M")</f>
        <v>1</v>
      </c>
      <c r="G18" s="6">
        <v>17425766</v>
      </c>
      <c r="H18" t="s">
        <v>79</v>
      </c>
      <c r="I18" t="s">
        <v>42</v>
      </c>
      <c r="J18" t="str">
        <f>CONCATENATE(H18," ",I18)</f>
        <v xml:space="preserve">CAROL FOLEY               </v>
      </c>
      <c r="K18" s="2" t="s">
        <v>90</v>
      </c>
      <c r="L18" s="2" t="s">
        <v>91</v>
      </c>
      <c r="M18">
        <v>0</v>
      </c>
      <c r="N18">
        <v>48.55</v>
      </c>
      <c r="O18">
        <v>70</v>
      </c>
      <c r="P18">
        <v>33.99</v>
      </c>
      <c r="Q18">
        <v>33.99</v>
      </c>
      <c r="R18" t="s">
        <v>86</v>
      </c>
    </row>
    <row r="19" spans="1:22" x14ac:dyDescent="0.25">
      <c r="A19" t="s">
        <v>37</v>
      </c>
      <c r="B19" t="s">
        <v>38</v>
      </c>
      <c r="C19" t="s">
        <v>39</v>
      </c>
      <c r="D19" s="1">
        <v>45994</v>
      </c>
      <c r="E19" s="1">
        <v>46025</v>
      </c>
      <c r="F19">
        <f>DATEDIF(D19,E19,"M")</f>
        <v>1</v>
      </c>
      <c r="G19" s="6">
        <v>17425766</v>
      </c>
      <c r="H19" t="s">
        <v>79</v>
      </c>
      <c r="I19" t="s">
        <v>42</v>
      </c>
      <c r="J19" t="str">
        <f>CONCATENATE(H19," ",I19)</f>
        <v xml:space="preserve">CAROL FOLEY               </v>
      </c>
      <c r="K19" s="2" t="s">
        <v>90</v>
      </c>
      <c r="L19" s="2" t="s">
        <v>91</v>
      </c>
      <c r="M19">
        <v>0</v>
      </c>
      <c r="N19">
        <v>1.68</v>
      </c>
      <c r="O19">
        <v>70</v>
      </c>
      <c r="P19">
        <v>1.18</v>
      </c>
      <c r="Q19">
        <v>1.18</v>
      </c>
      <c r="R19" t="s">
        <v>86</v>
      </c>
    </row>
    <row r="20" spans="1:22" x14ac:dyDescent="0.25">
      <c r="A20" t="s">
        <v>37</v>
      </c>
      <c r="B20" t="s">
        <v>38</v>
      </c>
      <c r="C20" t="s">
        <v>39</v>
      </c>
      <c r="D20" s="1">
        <v>45994</v>
      </c>
      <c r="E20" s="1">
        <v>46025</v>
      </c>
      <c r="F20">
        <f>DATEDIF(D20,E20,"M")</f>
        <v>1</v>
      </c>
      <c r="G20" s="6">
        <v>17425766</v>
      </c>
      <c r="H20" t="s">
        <v>79</v>
      </c>
      <c r="I20" t="s">
        <v>42</v>
      </c>
      <c r="J20" t="str">
        <f>CONCATENATE(H20," ",I20)</f>
        <v xml:space="preserve">CAROL FOLEY               </v>
      </c>
      <c r="K20" s="2" t="s">
        <v>90</v>
      </c>
      <c r="L20" s="2" t="s">
        <v>91</v>
      </c>
      <c r="M20">
        <v>0</v>
      </c>
      <c r="N20">
        <v>12.43</v>
      </c>
      <c r="O20">
        <v>70</v>
      </c>
      <c r="P20">
        <v>8.6999999999999993</v>
      </c>
      <c r="Q20">
        <v>8.6999999999999993</v>
      </c>
      <c r="R20" t="s">
        <v>86</v>
      </c>
    </row>
    <row r="21" spans="1:22" x14ac:dyDescent="0.25">
      <c r="A21" t="s">
        <v>37</v>
      </c>
      <c r="B21" t="s">
        <v>38</v>
      </c>
      <c r="C21" t="s">
        <v>39</v>
      </c>
      <c r="D21" s="1">
        <v>45994</v>
      </c>
      <c r="E21" s="1">
        <v>46025</v>
      </c>
      <c r="F21">
        <f>DATEDIF(D21,E21,"M")</f>
        <v>1</v>
      </c>
      <c r="G21" s="6">
        <v>17425766</v>
      </c>
      <c r="H21" t="s">
        <v>79</v>
      </c>
      <c r="I21" t="s">
        <v>42</v>
      </c>
      <c r="J21" t="str">
        <f>CONCATENATE(H21," ",I21)</f>
        <v xml:space="preserve">CAROL FOLEY               </v>
      </c>
      <c r="K21" s="2" t="s">
        <v>90</v>
      </c>
      <c r="L21" s="2" t="s">
        <v>91</v>
      </c>
      <c r="M21">
        <v>0</v>
      </c>
      <c r="N21">
        <v>6.99</v>
      </c>
      <c r="O21">
        <v>70</v>
      </c>
      <c r="P21">
        <v>4.8899999999999997</v>
      </c>
      <c r="Q21">
        <v>4.8899999999999997</v>
      </c>
      <c r="R21" t="s">
        <v>86</v>
      </c>
    </row>
    <row r="22" spans="1:22" x14ac:dyDescent="0.25">
      <c r="A22" t="s">
        <v>37</v>
      </c>
      <c r="B22" t="s">
        <v>38</v>
      </c>
      <c r="C22" t="s">
        <v>39</v>
      </c>
      <c r="D22" s="1">
        <v>45994</v>
      </c>
      <c r="E22" s="1">
        <v>46025</v>
      </c>
      <c r="F22">
        <f>DATEDIF(D22,E22,"M")</f>
        <v>1</v>
      </c>
      <c r="G22" s="6">
        <v>17425766</v>
      </c>
      <c r="H22" t="s">
        <v>79</v>
      </c>
      <c r="I22" t="s">
        <v>42</v>
      </c>
      <c r="J22" t="str">
        <f>CONCATENATE(H22," ",I22)</f>
        <v xml:space="preserve">CAROL FOLEY               </v>
      </c>
      <c r="K22" s="2" t="s">
        <v>90</v>
      </c>
      <c r="L22" s="2" t="s">
        <v>91</v>
      </c>
      <c r="M22">
        <v>0</v>
      </c>
      <c r="N22">
        <v>17.63</v>
      </c>
      <c r="O22">
        <v>70</v>
      </c>
      <c r="P22">
        <v>12.34</v>
      </c>
      <c r="Q22">
        <v>12.34</v>
      </c>
      <c r="R22" t="s">
        <v>86</v>
      </c>
    </row>
    <row r="23" spans="1:22" x14ac:dyDescent="0.25">
      <c r="A23" t="s">
        <v>37</v>
      </c>
      <c r="B23" t="s">
        <v>38</v>
      </c>
      <c r="C23" t="s">
        <v>39</v>
      </c>
      <c r="D23" s="1">
        <v>45994</v>
      </c>
      <c r="E23" s="1">
        <v>46025</v>
      </c>
      <c r="F23">
        <f>DATEDIF(D23,E23,"M")</f>
        <v>1</v>
      </c>
      <c r="G23" s="6">
        <v>17425766</v>
      </c>
      <c r="H23" t="s">
        <v>79</v>
      </c>
      <c r="I23" t="s">
        <v>42</v>
      </c>
      <c r="J23" t="str">
        <f>CONCATENATE(H23," ",I23)</f>
        <v xml:space="preserve">CAROL FOLEY               </v>
      </c>
      <c r="K23" s="2" t="s">
        <v>90</v>
      </c>
      <c r="L23" s="2" t="s">
        <v>91</v>
      </c>
      <c r="M23">
        <v>0</v>
      </c>
      <c r="N23">
        <v>3.3</v>
      </c>
      <c r="O23">
        <v>70</v>
      </c>
      <c r="P23">
        <v>2.31</v>
      </c>
      <c r="Q23">
        <v>2.31</v>
      </c>
      <c r="R23" t="s">
        <v>86</v>
      </c>
    </row>
    <row r="24" spans="1:22" x14ac:dyDescent="0.25">
      <c r="A24" t="s">
        <v>37</v>
      </c>
      <c r="B24" t="s">
        <v>38</v>
      </c>
      <c r="C24" t="s">
        <v>39</v>
      </c>
      <c r="D24" s="1">
        <v>45994</v>
      </c>
      <c r="E24" s="1">
        <v>46025</v>
      </c>
      <c r="F24">
        <f>DATEDIF(D24,E24,"M")</f>
        <v>1</v>
      </c>
      <c r="G24" s="6">
        <v>17425766</v>
      </c>
      <c r="H24" t="s">
        <v>79</v>
      </c>
      <c r="I24" t="s">
        <v>42</v>
      </c>
      <c r="J24" t="str">
        <f>CONCATENATE(H24," ",I24)</f>
        <v xml:space="preserve">CAROL FOLEY               </v>
      </c>
      <c r="K24" s="2" t="s">
        <v>90</v>
      </c>
      <c r="L24" s="2" t="s">
        <v>91</v>
      </c>
      <c r="M24">
        <v>121.4</v>
      </c>
      <c r="N24">
        <v>29.39</v>
      </c>
      <c r="O24">
        <v>70</v>
      </c>
      <c r="P24">
        <v>20.57</v>
      </c>
      <c r="Q24">
        <v>20.57</v>
      </c>
      <c r="R24" t="s">
        <v>86</v>
      </c>
    </row>
    <row r="25" spans="1:22" x14ac:dyDescent="0.25">
      <c r="A25" t="s">
        <v>51</v>
      </c>
      <c r="B25" t="s">
        <v>52</v>
      </c>
      <c r="C25" t="s">
        <v>53</v>
      </c>
      <c r="D25" s="1">
        <v>45996</v>
      </c>
      <c r="E25" s="1">
        <v>46027</v>
      </c>
      <c r="F25">
        <f>DATEDIF(D25,E25,"M")</f>
        <v>1</v>
      </c>
      <c r="G25" s="6">
        <v>17425766</v>
      </c>
      <c r="H25" t="s">
        <v>79</v>
      </c>
      <c r="I25" t="s">
        <v>42</v>
      </c>
      <c r="J25" t="str">
        <f>CONCATENATE(H25," ",I25)</f>
        <v xml:space="preserve">CAROL FOLEY               </v>
      </c>
      <c r="K25" s="2" t="s">
        <v>90</v>
      </c>
      <c r="L25" s="2" t="s">
        <v>91</v>
      </c>
      <c r="M25">
        <v>0</v>
      </c>
      <c r="N25">
        <v>2.14</v>
      </c>
      <c r="O25">
        <v>70</v>
      </c>
      <c r="P25">
        <v>1.5</v>
      </c>
      <c r="Q25">
        <v>1.5</v>
      </c>
      <c r="R25" t="s">
        <v>86</v>
      </c>
    </row>
    <row r="26" spans="1:22" x14ac:dyDescent="0.25">
      <c r="A26" t="s">
        <v>51</v>
      </c>
      <c r="B26" t="s">
        <v>52</v>
      </c>
      <c r="C26" t="s">
        <v>53</v>
      </c>
      <c r="D26" s="1">
        <v>45996</v>
      </c>
      <c r="E26" s="1">
        <v>46027</v>
      </c>
      <c r="F26">
        <f>DATEDIF(D26,E26,"M")</f>
        <v>1</v>
      </c>
      <c r="G26" s="6">
        <v>17425766</v>
      </c>
      <c r="H26" t="s">
        <v>79</v>
      </c>
      <c r="I26" t="s">
        <v>42</v>
      </c>
      <c r="J26" t="str">
        <f>CONCATENATE(H26," ",I26)</f>
        <v xml:space="preserve">CAROL FOLEY               </v>
      </c>
      <c r="K26" s="2" t="s">
        <v>90</v>
      </c>
      <c r="L26" s="2" t="s">
        <v>91</v>
      </c>
      <c r="M26">
        <v>0</v>
      </c>
      <c r="N26">
        <v>23.15</v>
      </c>
      <c r="O26">
        <v>70</v>
      </c>
      <c r="P26">
        <v>16.21</v>
      </c>
      <c r="Q26">
        <v>16.21</v>
      </c>
      <c r="R26" t="s">
        <v>86</v>
      </c>
    </row>
    <row r="27" spans="1:22" x14ac:dyDescent="0.25">
      <c r="A27" t="s">
        <v>51</v>
      </c>
      <c r="B27" t="s">
        <v>52</v>
      </c>
      <c r="C27" t="s">
        <v>53</v>
      </c>
      <c r="D27" s="1">
        <v>45996</v>
      </c>
      <c r="E27" s="1">
        <v>46027</v>
      </c>
      <c r="F27">
        <f>DATEDIF(D27,E27,"M")</f>
        <v>1</v>
      </c>
      <c r="G27" s="6">
        <v>17425766</v>
      </c>
      <c r="H27" t="s">
        <v>79</v>
      </c>
      <c r="I27" t="s">
        <v>42</v>
      </c>
      <c r="J27" t="str">
        <f>CONCATENATE(H27," ",I27)</f>
        <v xml:space="preserve">CAROL FOLEY               </v>
      </c>
      <c r="K27" s="2" t="s">
        <v>90</v>
      </c>
      <c r="L27" s="2" t="s">
        <v>91</v>
      </c>
      <c r="M27">
        <v>0</v>
      </c>
      <c r="N27">
        <v>1.68</v>
      </c>
      <c r="O27">
        <v>70</v>
      </c>
      <c r="P27">
        <v>1.18</v>
      </c>
      <c r="Q27">
        <v>1.18</v>
      </c>
      <c r="R27" t="s">
        <v>86</v>
      </c>
    </row>
    <row r="28" spans="1:22" x14ac:dyDescent="0.25">
      <c r="A28" t="s">
        <v>51</v>
      </c>
      <c r="B28" t="s">
        <v>52</v>
      </c>
      <c r="C28" t="s">
        <v>53</v>
      </c>
      <c r="D28" s="1">
        <v>45996</v>
      </c>
      <c r="E28" s="1">
        <v>46027</v>
      </c>
      <c r="F28">
        <f>DATEDIF(D28,E28,"M")</f>
        <v>1</v>
      </c>
      <c r="G28" s="6">
        <v>17425766</v>
      </c>
      <c r="H28" t="s">
        <v>79</v>
      </c>
      <c r="I28" t="s">
        <v>42</v>
      </c>
      <c r="J28" t="str">
        <f>CONCATENATE(H28," ",I28)</f>
        <v xml:space="preserve">CAROL FOLEY               </v>
      </c>
      <c r="K28" s="2" t="s">
        <v>90</v>
      </c>
      <c r="L28" s="2" t="s">
        <v>91</v>
      </c>
      <c r="M28">
        <v>0</v>
      </c>
      <c r="N28">
        <v>6.22</v>
      </c>
      <c r="O28">
        <v>70</v>
      </c>
      <c r="P28">
        <v>4.3499999999999996</v>
      </c>
      <c r="Q28">
        <v>4.3499999999999996</v>
      </c>
      <c r="R28" t="s">
        <v>86</v>
      </c>
    </row>
    <row r="29" spans="1:22" x14ac:dyDescent="0.25">
      <c r="A29" t="s">
        <v>51</v>
      </c>
      <c r="B29" t="s">
        <v>52</v>
      </c>
      <c r="C29" t="s">
        <v>53</v>
      </c>
      <c r="D29" s="1">
        <v>45996</v>
      </c>
      <c r="E29" s="1">
        <v>46027</v>
      </c>
      <c r="F29">
        <f>DATEDIF(D29,E29,"M")</f>
        <v>1</v>
      </c>
      <c r="G29" s="6">
        <v>17425766</v>
      </c>
      <c r="H29" t="s">
        <v>79</v>
      </c>
      <c r="I29" t="s">
        <v>42</v>
      </c>
      <c r="J29" t="str">
        <f>CONCATENATE(H29," ",I29)</f>
        <v xml:space="preserve">CAROL FOLEY               </v>
      </c>
      <c r="K29" s="2" t="s">
        <v>90</v>
      </c>
      <c r="L29" s="2" t="s">
        <v>91</v>
      </c>
      <c r="M29">
        <v>0</v>
      </c>
      <c r="N29">
        <v>6.99</v>
      </c>
      <c r="O29">
        <v>70</v>
      </c>
      <c r="P29">
        <v>4.8899999999999997</v>
      </c>
      <c r="Q29">
        <v>4.8899999999999997</v>
      </c>
      <c r="R29" t="s">
        <v>86</v>
      </c>
    </row>
    <row r="30" spans="1:22" x14ac:dyDescent="0.25">
      <c r="A30" s="2" t="s">
        <v>51</v>
      </c>
      <c r="B30" s="2" t="s">
        <v>52</v>
      </c>
      <c r="C30" s="2" t="s">
        <v>53</v>
      </c>
      <c r="D30" s="3">
        <v>45996</v>
      </c>
      <c r="E30" s="3">
        <v>46027</v>
      </c>
      <c r="F30" s="2">
        <f>DATEDIF(D30,E30,"M")</f>
        <v>1</v>
      </c>
      <c r="G30" s="8">
        <v>17425766</v>
      </c>
      <c r="H30" s="2" t="s">
        <v>79</v>
      </c>
      <c r="I30" s="2" t="s">
        <v>42</v>
      </c>
      <c r="J30" s="2" t="str">
        <f>CONCATENATE(H30," ",I30)</f>
        <v xml:space="preserve">CAROL FOLEY               </v>
      </c>
      <c r="K30" s="2" t="s">
        <v>90</v>
      </c>
      <c r="L30" s="2" t="s">
        <v>91</v>
      </c>
      <c r="M30" s="2">
        <v>0</v>
      </c>
      <c r="N30" s="2">
        <v>11.64</v>
      </c>
      <c r="O30" s="2">
        <v>70</v>
      </c>
      <c r="P30" s="2">
        <v>8.15</v>
      </c>
      <c r="Q30" s="2">
        <v>8.15</v>
      </c>
      <c r="R30" s="2" t="s">
        <v>86</v>
      </c>
      <c r="S30" s="2"/>
      <c r="T30" s="2"/>
      <c r="U30" s="2"/>
      <c r="V30" s="2"/>
    </row>
    <row r="31" spans="1:22" s="2" customFormat="1" x14ac:dyDescent="0.25">
      <c r="A31" s="2" t="s">
        <v>51</v>
      </c>
      <c r="B31" s="2" t="s">
        <v>52</v>
      </c>
      <c r="C31" s="2" t="s">
        <v>53</v>
      </c>
      <c r="D31" s="3">
        <v>45996</v>
      </c>
      <c r="E31" s="3">
        <v>46027</v>
      </c>
      <c r="F31" s="2">
        <f>DATEDIF(D31,E31,"M")</f>
        <v>1</v>
      </c>
      <c r="G31" s="8">
        <v>17425766</v>
      </c>
      <c r="H31" s="2" t="s">
        <v>79</v>
      </c>
      <c r="I31" s="2" t="s">
        <v>42</v>
      </c>
      <c r="J31" s="2" t="str">
        <f>CONCATENATE(H31," ",I31)</f>
        <v xml:space="preserve">CAROL FOLEY               </v>
      </c>
      <c r="K31" s="2" t="s">
        <v>90</v>
      </c>
      <c r="L31" s="2" t="s">
        <v>91</v>
      </c>
      <c r="M31" s="2">
        <v>0</v>
      </c>
      <c r="N31" s="2">
        <v>2.92</v>
      </c>
      <c r="O31" s="2">
        <v>70</v>
      </c>
      <c r="P31" s="2">
        <v>2.04</v>
      </c>
      <c r="Q31" s="2">
        <v>2.04</v>
      </c>
      <c r="R31" s="2" t="s">
        <v>86</v>
      </c>
    </row>
    <row r="32" spans="1:22" s="2" customFormat="1" x14ac:dyDescent="0.25">
      <c r="A32" s="2" t="s">
        <v>51</v>
      </c>
      <c r="B32" s="2" t="s">
        <v>52</v>
      </c>
      <c r="C32" s="2" t="s">
        <v>53</v>
      </c>
      <c r="D32" s="3">
        <v>45996</v>
      </c>
      <c r="E32" s="3">
        <v>46027</v>
      </c>
      <c r="F32" s="2">
        <f>DATEDIF(D32,E32,"M")</f>
        <v>1</v>
      </c>
      <c r="G32" s="8">
        <v>17425766</v>
      </c>
      <c r="H32" s="2" t="s">
        <v>79</v>
      </c>
      <c r="I32" s="2" t="s">
        <v>42</v>
      </c>
      <c r="J32" s="2" t="str">
        <f>CONCATENATE(H32," ",I32)</f>
        <v xml:space="preserve">CAROL FOLEY               </v>
      </c>
      <c r="K32" s="2" t="s">
        <v>90</v>
      </c>
      <c r="L32" s="2" t="s">
        <v>91</v>
      </c>
      <c r="M32" s="2">
        <v>87.73</v>
      </c>
      <c r="N32" s="2">
        <v>29.49</v>
      </c>
      <c r="O32" s="2">
        <v>70</v>
      </c>
      <c r="P32" s="2">
        <v>20.64</v>
      </c>
      <c r="Q32" s="2">
        <v>20.64</v>
      </c>
      <c r="R32" s="2" t="s">
        <v>86</v>
      </c>
    </row>
    <row r="33" spans="1:22" s="2" customFormat="1" x14ac:dyDescent="0.25">
      <c r="A33" s="2" t="s">
        <v>62</v>
      </c>
      <c r="B33" s="2" t="s">
        <v>38</v>
      </c>
      <c r="C33" s="2" t="s">
        <v>63</v>
      </c>
      <c r="D33" s="3">
        <v>45997</v>
      </c>
      <c r="E33" s="3">
        <v>46028</v>
      </c>
      <c r="F33" s="2">
        <f>DATEDIF(D33,E33,"M")</f>
        <v>1</v>
      </c>
      <c r="G33" s="8">
        <v>17425766</v>
      </c>
      <c r="H33" s="2" t="s">
        <v>79</v>
      </c>
      <c r="I33" s="2" t="s">
        <v>42</v>
      </c>
      <c r="J33" s="2" t="str">
        <f>CONCATENATE(H33," ",I33)</f>
        <v xml:space="preserve">CAROL FOLEY               </v>
      </c>
      <c r="K33" s="2" t="s">
        <v>90</v>
      </c>
      <c r="L33" s="2" t="s">
        <v>91</v>
      </c>
      <c r="M33" s="2">
        <v>0</v>
      </c>
      <c r="N33" s="2">
        <v>22.41</v>
      </c>
      <c r="O33" s="2">
        <v>70</v>
      </c>
      <c r="P33" s="2">
        <v>15.69</v>
      </c>
      <c r="Q33" s="2">
        <v>15.69</v>
      </c>
      <c r="R33" s="2" t="s">
        <v>86</v>
      </c>
    </row>
    <row r="34" spans="1:22" s="2" customFormat="1" x14ac:dyDescent="0.25">
      <c r="A34" s="2" t="s">
        <v>62</v>
      </c>
      <c r="B34" s="2" t="s">
        <v>38</v>
      </c>
      <c r="C34" s="2" t="s">
        <v>63</v>
      </c>
      <c r="D34" s="3">
        <v>45997</v>
      </c>
      <c r="E34" s="3">
        <v>46028</v>
      </c>
      <c r="F34" s="2">
        <f>DATEDIF(D34,E34,"M")</f>
        <v>1</v>
      </c>
      <c r="G34" s="8">
        <v>17425766</v>
      </c>
      <c r="H34" s="2" t="s">
        <v>79</v>
      </c>
      <c r="I34" s="2" t="s">
        <v>42</v>
      </c>
      <c r="J34" s="2" t="str">
        <f>CONCATENATE(H34," ",I34)</f>
        <v xml:space="preserve">CAROL FOLEY               </v>
      </c>
      <c r="K34" s="2" t="s">
        <v>90</v>
      </c>
      <c r="L34" s="2" t="s">
        <v>91</v>
      </c>
      <c r="M34" s="2">
        <v>0</v>
      </c>
      <c r="N34" s="2">
        <v>1.68</v>
      </c>
      <c r="O34" s="2">
        <v>70</v>
      </c>
      <c r="P34" s="2">
        <v>1.18</v>
      </c>
      <c r="Q34" s="2">
        <v>1.18</v>
      </c>
      <c r="R34" s="2" t="s">
        <v>86</v>
      </c>
    </row>
    <row r="35" spans="1:22" s="2" customFormat="1" x14ac:dyDescent="0.25">
      <c r="A35" s="2" t="s">
        <v>62</v>
      </c>
      <c r="B35" s="2" t="s">
        <v>38</v>
      </c>
      <c r="C35" s="2" t="s">
        <v>63</v>
      </c>
      <c r="D35" s="3">
        <v>45997</v>
      </c>
      <c r="E35" s="3">
        <v>46028</v>
      </c>
      <c r="F35" s="2">
        <f>DATEDIF(D35,E35,"M")</f>
        <v>1</v>
      </c>
      <c r="G35" s="8">
        <v>17425766</v>
      </c>
      <c r="H35" s="2" t="s">
        <v>79</v>
      </c>
      <c r="I35" s="2" t="s">
        <v>42</v>
      </c>
      <c r="J35" s="2" t="str">
        <f>CONCATENATE(H35," ",I35)</f>
        <v xml:space="preserve">CAROL FOLEY               </v>
      </c>
      <c r="K35" s="2" t="s">
        <v>90</v>
      </c>
      <c r="L35" s="2" t="s">
        <v>91</v>
      </c>
      <c r="M35" s="2">
        <v>0</v>
      </c>
      <c r="N35" s="2">
        <v>12.94</v>
      </c>
      <c r="O35" s="2">
        <v>70</v>
      </c>
      <c r="P35" s="2">
        <v>9.06</v>
      </c>
      <c r="Q35" s="2">
        <v>9.06</v>
      </c>
      <c r="R35" s="2" t="s">
        <v>86</v>
      </c>
    </row>
    <row r="36" spans="1:22" s="2" customFormat="1" x14ac:dyDescent="0.25">
      <c r="A36" s="2" t="s">
        <v>62</v>
      </c>
      <c r="B36" s="2" t="s">
        <v>38</v>
      </c>
      <c r="C36" s="2" t="s">
        <v>63</v>
      </c>
      <c r="D36" s="3">
        <v>45997</v>
      </c>
      <c r="E36" s="3">
        <v>46028</v>
      </c>
      <c r="F36" s="2">
        <f>DATEDIF(D36,E36,"M")</f>
        <v>1</v>
      </c>
      <c r="G36" s="8">
        <v>17425766</v>
      </c>
      <c r="H36" s="2" t="s">
        <v>79</v>
      </c>
      <c r="I36" s="2" t="s">
        <v>42</v>
      </c>
      <c r="J36" s="2" t="str">
        <f>CONCATENATE(H36," ",I36)</f>
        <v xml:space="preserve">CAROL FOLEY               </v>
      </c>
      <c r="K36" s="2" t="s">
        <v>90</v>
      </c>
      <c r="L36" s="2" t="s">
        <v>91</v>
      </c>
      <c r="M36" s="2">
        <v>0</v>
      </c>
      <c r="N36" s="2">
        <v>2.75</v>
      </c>
      <c r="O36" s="2">
        <v>70</v>
      </c>
      <c r="P36" s="2">
        <v>1.93</v>
      </c>
      <c r="Q36" s="2">
        <v>1.93</v>
      </c>
      <c r="R36" s="2" t="s">
        <v>86</v>
      </c>
    </row>
    <row r="37" spans="1:22" s="2" customFormat="1" x14ac:dyDescent="0.25">
      <c r="A37" s="2" t="s">
        <v>62</v>
      </c>
      <c r="B37" s="2" t="s">
        <v>38</v>
      </c>
      <c r="C37" s="2" t="s">
        <v>63</v>
      </c>
      <c r="D37" s="3">
        <v>45997</v>
      </c>
      <c r="E37" s="3">
        <v>46028</v>
      </c>
      <c r="F37" s="2">
        <f>DATEDIF(D37,E37,"M")</f>
        <v>1</v>
      </c>
      <c r="G37" s="8">
        <v>17425766</v>
      </c>
      <c r="H37" s="2" t="s">
        <v>79</v>
      </c>
      <c r="I37" s="2" t="s">
        <v>42</v>
      </c>
      <c r="J37" s="2" t="str">
        <f>CONCATENATE(H37," ",I37)</f>
        <v xml:space="preserve">CAROL FOLEY               </v>
      </c>
      <c r="K37" s="2" t="s">
        <v>90</v>
      </c>
      <c r="L37" s="2" t="s">
        <v>91</v>
      </c>
      <c r="M37" s="2">
        <v>64.209999999999994</v>
      </c>
      <c r="N37" s="2">
        <v>24.43</v>
      </c>
      <c r="O37" s="2">
        <v>70</v>
      </c>
      <c r="P37" s="2">
        <v>17.100000000000001</v>
      </c>
      <c r="Q37" s="2">
        <v>17.100000000000001</v>
      </c>
      <c r="R37" s="2" t="s">
        <v>86</v>
      </c>
    </row>
    <row r="38" spans="1:22" s="2" customFormat="1" x14ac:dyDescent="0.25">
      <c r="A38" s="2" t="s">
        <v>74</v>
      </c>
      <c r="B38" s="2" t="s">
        <v>38</v>
      </c>
      <c r="C38" s="2" t="s">
        <v>75</v>
      </c>
      <c r="D38" s="3">
        <v>45992</v>
      </c>
      <c r="E38" s="3">
        <v>45992</v>
      </c>
      <c r="F38" s="2">
        <f>DATEDIF(D38,E38,"M")</f>
        <v>0</v>
      </c>
      <c r="G38" s="8">
        <v>17425766</v>
      </c>
      <c r="H38" s="2" t="s">
        <v>79</v>
      </c>
      <c r="I38" s="2" t="s">
        <v>42</v>
      </c>
      <c r="J38" s="2" t="str">
        <f>CONCATENATE(H38," ",I38)</f>
        <v xml:space="preserve">CAROL FOLEY               </v>
      </c>
      <c r="K38" s="2" t="s">
        <v>90</v>
      </c>
      <c r="L38" s="2" t="s">
        <v>91</v>
      </c>
      <c r="M38" s="2">
        <v>188.27</v>
      </c>
      <c r="N38" s="2">
        <v>1.68</v>
      </c>
      <c r="O38" s="2">
        <v>70</v>
      </c>
      <c r="P38" s="2">
        <v>-1.18</v>
      </c>
      <c r="Q38" s="2">
        <v>-1.18</v>
      </c>
      <c r="R38" s="2" t="s">
        <v>86</v>
      </c>
    </row>
    <row r="39" spans="1:22" s="2" customFormat="1" x14ac:dyDescent="0.25">
      <c r="A39" s="2" t="s">
        <v>74</v>
      </c>
      <c r="B39" s="2" t="s">
        <v>38</v>
      </c>
      <c r="C39" s="2" t="s">
        <v>75</v>
      </c>
      <c r="D39" s="3">
        <v>45992</v>
      </c>
      <c r="E39" s="3">
        <v>45992</v>
      </c>
      <c r="F39" s="2">
        <f>DATEDIF(D39,E39,"M")</f>
        <v>0</v>
      </c>
      <c r="G39" s="8">
        <v>17425766</v>
      </c>
      <c r="H39" s="2" t="s">
        <v>79</v>
      </c>
      <c r="I39" s="2" t="s">
        <v>42</v>
      </c>
      <c r="J39" s="2" t="str">
        <f>CONCATENATE(H39," ",I39)</f>
        <v xml:space="preserve">CAROL FOLEY               </v>
      </c>
      <c r="K39" s="2" t="s">
        <v>90</v>
      </c>
      <c r="L39" s="2" t="s">
        <v>91</v>
      </c>
      <c r="M39" s="2">
        <v>188.27</v>
      </c>
      <c r="N39" s="2">
        <v>19.489999999999998</v>
      </c>
      <c r="O39" s="2">
        <v>70</v>
      </c>
      <c r="P39" s="2">
        <v>-13.64</v>
      </c>
      <c r="Q39" s="2">
        <v>-13.64</v>
      </c>
      <c r="R39" s="2" t="s">
        <v>86</v>
      </c>
    </row>
    <row r="40" spans="1:22" s="2" customFormat="1" x14ac:dyDescent="0.25">
      <c r="A40" s="2" t="s">
        <v>74</v>
      </c>
      <c r="B40" s="2" t="s">
        <v>38</v>
      </c>
      <c r="C40" s="2" t="s">
        <v>75</v>
      </c>
      <c r="D40" s="3">
        <v>45992</v>
      </c>
      <c r="E40" s="3">
        <v>45992</v>
      </c>
      <c r="F40" s="2">
        <f>DATEDIF(D40,E40,"M")</f>
        <v>0</v>
      </c>
      <c r="G40" s="8">
        <v>17425766</v>
      </c>
      <c r="H40" s="2" t="s">
        <v>79</v>
      </c>
      <c r="I40" s="2" t="s">
        <v>42</v>
      </c>
      <c r="J40" s="2" t="str">
        <f>CONCATENATE(H40," ",I40)</f>
        <v xml:space="preserve">CAROL FOLEY               </v>
      </c>
      <c r="K40" s="2" t="s">
        <v>90</v>
      </c>
      <c r="L40" s="2" t="s">
        <v>91</v>
      </c>
      <c r="M40" s="2">
        <v>188.27</v>
      </c>
      <c r="N40" s="2">
        <v>20</v>
      </c>
      <c r="O40" s="2">
        <v>70</v>
      </c>
      <c r="P40" s="2">
        <v>-14</v>
      </c>
      <c r="Q40" s="2">
        <v>-14</v>
      </c>
      <c r="R40" s="2" t="s">
        <v>86</v>
      </c>
    </row>
    <row r="41" spans="1:22" s="2" customFormat="1" x14ac:dyDescent="0.25">
      <c r="A41" s="2" t="s">
        <v>74</v>
      </c>
      <c r="B41" s="2" t="s">
        <v>38</v>
      </c>
      <c r="C41" s="2" t="s">
        <v>75</v>
      </c>
      <c r="D41" s="3">
        <v>45992</v>
      </c>
      <c r="E41" s="3">
        <v>45992</v>
      </c>
      <c r="F41" s="2">
        <f>DATEDIF(D41,E41,"M")</f>
        <v>0</v>
      </c>
      <c r="G41" s="8">
        <v>17425766</v>
      </c>
      <c r="H41" s="2" t="s">
        <v>79</v>
      </c>
      <c r="I41" s="2" t="s">
        <v>42</v>
      </c>
      <c r="J41" s="2" t="str">
        <f>CONCATENATE(H41," ",I41)</f>
        <v xml:space="preserve">CAROL FOLEY               </v>
      </c>
      <c r="K41" s="2" t="s">
        <v>90</v>
      </c>
      <c r="L41" s="2" t="s">
        <v>91</v>
      </c>
      <c r="M41" s="2">
        <v>188.27</v>
      </c>
      <c r="N41" s="2">
        <v>9.6999999999999993</v>
      </c>
      <c r="O41" s="2">
        <v>70</v>
      </c>
      <c r="P41" s="2">
        <v>-6.79</v>
      </c>
      <c r="Q41" s="2">
        <v>-6.79</v>
      </c>
      <c r="R41" s="2" t="s">
        <v>86</v>
      </c>
    </row>
    <row r="42" spans="1:22" s="2" customFormat="1" x14ac:dyDescent="0.25">
      <c r="A42" s="2" t="s">
        <v>74</v>
      </c>
      <c r="B42" s="2" t="s">
        <v>38</v>
      </c>
      <c r="C42" s="2" t="s">
        <v>75</v>
      </c>
      <c r="D42" s="3">
        <v>45992</v>
      </c>
      <c r="E42" s="3">
        <v>45992</v>
      </c>
      <c r="F42" s="2">
        <f>DATEDIF(D42,E42,"M")</f>
        <v>0</v>
      </c>
      <c r="G42" s="8">
        <v>17425766</v>
      </c>
      <c r="H42" s="2" t="s">
        <v>79</v>
      </c>
      <c r="I42" s="2" t="s">
        <v>42</v>
      </c>
      <c r="J42" s="2" t="str">
        <f>CONCATENATE(H42," ",I42)</f>
        <v xml:space="preserve">CAROL FOLEY               </v>
      </c>
      <c r="K42" s="2" t="s">
        <v>90</v>
      </c>
      <c r="L42" s="2" t="s">
        <v>91</v>
      </c>
      <c r="M42" s="2">
        <v>188.27</v>
      </c>
      <c r="N42" s="2">
        <v>6.06</v>
      </c>
      <c r="O42" s="2">
        <v>70</v>
      </c>
      <c r="P42" s="2">
        <v>-4.24</v>
      </c>
      <c r="Q42" s="2">
        <v>-4.24</v>
      </c>
      <c r="R42" s="2" t="s">
        <v>86</v>
      </c>
    </row>
    <row r="43" spans="1:22" s="2" customFormat="1" x14ac:dyDescent="0.25">
      <c r="A43" s="2" t="s">
        <v>74</v>
      </c>
      <c r="B43" s="2" t="s">
        <v>38</v>
      </c>
      <c r="C43" s="2" t="s">
        <v>75</v>
      </c>
      <c r="D43" s="3">
        <v>45992</v>
      </c>
      <c r="E43" s="3">
        <v>45992</v>
      </c>
      <c r="F43" s="2">
        <f>DATEDIF(D43,E43,"M")</f>
        <v>0</v>
      </c>
      <c r="G43" s="8">
        <v>17425766</v>
      </c>
      <c r="H43" s="2" t="s">
        <v>79</v>
      </c>
      <c r="I43" s="2" t="s">
        <v>42</v>
      </c>
      <c r="J43" s="2" t="str">
        <f>CONCATENATE(H43," ",I43)</f>
        <v xml:space="preserve">CAROL FOLEY               </v>
      </c>
      <c r="K43" s="2" t="s">
        <v>90</v>
      </c>
      <c r="L43" s="2" t="s">
        <v>91</v>
      </c>
      <c r="M43" s="2">
        <v>188.27</v>
      </c>
      <c r="N43" s="2">
        <v>2.75</v>
      </c>
      <c r="O43" s="2">
        <v>70</v>
      </c>
      <c r="P43" s="2">
        <v>-1.93</v>
      </c>
      <c r="Q43" s="2">
        <v>-1.93</v>
      </c>
      <c r="R43" s="2" t="s">
        <v>86</v>
      </c>
    </row>
    <row r="44" spans="1:22" s="2" customFormat="1" x14ac:dyDescent="0.25">
      <c r="A44" t="s">
        <v>20</v>
      </c>
      <c r="B44" t="s">
        <v>21</v>
      </c>
      <c r="C44" t="s">
        <v>22</v>
      </c>
      <c r="D44" s="1">
        <v>46000</v>
      </c>
      <c r="E44" s="1">
        <v>46031</v>
      </c>
      <c r="F44">
        <f>DATEDIF(D44,E44,"M")</f>
        <v>1</v>
      </c>
      <c r="G44" s="6">
        <v>9079571</v>
      </c>
      <c r="H44" t="s">
        <v>78</v>
      </c>
      <c r="I44" t="s">
        <v>25</v>
      </c>
      <c r="J44" t="str">
        <f>CONCATENATE(H44," ",I44)</f>
        <v xml:space="preserve">ADAM RICHTER             </v>
      </c>
      <c r="K44" s="2" t="s">
        <v>90</v>
      </c>
      <c r="L44" s="2" t="s">
        <v>91</v>
      </c>
      <c r="M44">
        <v>0</v>
      </c>
      <c r="N44">
        <v>16.899999999999999</v>
      </c>
      <c r="O44">
        <v>75</v>
      </c>
      <c r="P44">
        <v>12.68</v>
      </c>
      <c r="Q44">
        <v>12.68</v>
      </c>
      <c r="R44" t="s">
        <v>87</v>
      </c>
      <c r="S44"/>
      <c r="T44"/>
      <c r="U44"/>
      <c r="V44"/>
    </row>
    <row r="45" spans="1:22" s="2" customFormat="1" x14ac:dyDescent="0.25">
      <c r="G45" s="8"/>
    </row>
  </sheetData>
  <sortState xmlns:xlrd2="http://schemas.microsoft.com/office/spreadsheetml/2017/richdata2" ref="A2:V44">
    <sortCondition ref="O2:O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011I7200_WC_12-10-2025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2025-12-12T06:08:27Z</dcterms:created>
  <dcterms:modified xsi:type="dcterms:W3CDTF">2025-12-12T20:41:47Z</dcterms:modified>
</cp:coreProperties>
</file>