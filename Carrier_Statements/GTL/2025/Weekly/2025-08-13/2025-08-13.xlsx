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8-13-25\"/>
    </mc:Choice>
  </mc:AlternateContent>
  <xr:revisionPtr revIDLastSave="0" documentId="13_ncr:1_{AC48F9A2-4CCA-473C-8A51-8D2874737714}" xr6:coauthVersionLast="47" xr6:coauthVersionMax="47" xr10:uidLastSave="{00000000-0000-0000-0000-000000000000}"/>
  <bookViews>
    <workbookView xWindow="28680" yWindow="-120" windowWidth="29040" windowHeight="16440" activeTab="1" xr2:uid="{F48CF63B-E1CA-4744-84D8-34C28E1BBC63}"/>
  </bookViews>
  <sheets>
    <sheet name="011I7200_WC_08-13-2025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L3" i="2" l="1"/>
  <c r="L4" i="2"/>
  <c r="L5" i="2"/>
  <c r="L2" i="2"/>
  <c r="J3" i="2"/>
  <c r="J4" i="2"/>
  <c r="J5" i="2"/>
  <c r="J2" i="2"/>
</calcChain>
</file>

<file path=xl/sharedStrings.xml><?xml version="1.0" encoding="utf-8"?>
<sst xmlns="http://schemas.openxmlformats.org/spreadsheetml/2006/main" count="104" uniqueCount="35">
  <si>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</si>
  <si>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</si>
  <si>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</si>
  <si>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</si>
  <si>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</si>
  <si>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</si>
  <si>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</si>
  <si>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</si>
  <si>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</si>
  <si>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</si>
  <si>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</si>
  <si>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</si>
  <si>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</si>
  <si>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</si>
  <si>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</si>
  <si>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</si>
  <si>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</si>
  <si>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</si>
  <si>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</si>
  <si>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</si>
  <si>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GTA6385844</t>
  </si>
  <si>
    <t>PA</t>
  </si>
  <si>
    <t xml:space="preserve">SCHWAB DAVID </t>
  </si>
  <si>
    <t xml:space="preserve">011I720A    </t>
  </si>
  <si>
    <t xml:space="preserve">PETER               </t>
  </si>
  <si>
    <t xml:space="preserve">RICHTER             </t>
  </si>
  <si>
    <t xml:space="preserve">                                                  </t>
  </si>
  <si>
    <t xml:space="preserve">M20FE </t>
  </si>
  <si>
    <t xml:space="preserve"> </t>
  </si>
  <si>
    <t xml:space="preserve">M20OS </t>
  </si>
  <si>
    <t xml:space="preserve">M20SF </t>
  </si>
  <si>
    <t xml:space="preserve">MAP20 </t>
  </si>
  <si>
    <t>GTL ADVANTAGE PLUS(65)</t>
  </si>
  <si>
    <t>PETER</t>
  </si>
  <si>
    <t>16509456AV9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</si>
</sst>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B824-6A90-453F-B371-FCF67FA5B71E}">
  <dimension ref="A1:T5"/>
  <sheetViews>
    <sheetView workbookViewId="0">
      <selection activeCell="V2" sqref="V2"/>
    </sheetView>
  </sheetViews>
  <sheetFormatPr defaultRowHeight="15" x14ac:dyDescent="0.25"/>
  <cols>
    <col min="1" max="1" width="11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45870</v>
      </c>
      <c r="E2" s="1">
        <v>45901</v>
      </c>
      <c r="F2">
        <v>1</v>
      </c>
      <c r="G2">
        <v>13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1.68</v>
      </c>
      <c r="P2">
        <v>65</v>
      </c>
      <c r="Q2">
        <v>1.0900000000000001</v>
      </c>
      <c r="R2" t="s">
        <v>28</v>
      </c>
      <c r="S2">
        <v>0</v>
      </c>
      <c r="T2">
        <v>1.0900000000000001</v>
      </c>
    </row>
    <row r="3" spans="1:20" x14ac:dyDescent="0.25">
      <c r="A3" t="s">
        <v>20</v>
      </c>
      <c r="B3" t="s">
        <v>21</v>
      </c>
      <c r="C3" t="s">
        <v>22</v>
      </c>
      <c r="D3" s="1">
        <v>45870</v>
      </c>
      <c r="E3" s="1">
        <v>45901</v>
      </c>
      <c r="F3">
        <v>1</v>
      </c>
      <c r="G3">
        <v>13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12.43</v>
      </c>
      <c r="P3">
        <v>65</v>
      </c>
      <c r="Q3">
        <v>8.08</v>
      </c>
      <c r="R3" t="s">
        <v>28</v>
      </c>
      <c r="S3">
        <v>0</v>
      </c>
      <c r="T3">
        <v>8.08</v>
      </c>
    </row>
    <row r="4" spans="1:20" x14ac:dyDescent="0.25">
      <c r="A4" t="s">
        <v>20</v>
      </c>
      <c r="B4" t="s">
        <v>21</v>
      </c>
      <c r="C4" t="s">
        <v>22</v>
      </c>
      <c r="D4" s="1">
        <v>45870</v>
      </c>
      <c r="E4" s="1">
        <v>45901</v>
      </c>
      <c r="F4">
        <v>1</v>
      </c>
      <c r="G4">
        <v>13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13.58</v>
      </c>
      <c r="P4">
        <v>65</v>
      </c>
      <c r="Q4">
        <v>8.83</v>
      </c>
      <c r="R4" t="s">
        <v>28</v>
      </c>
      <c r="S4">
        <v>0</v>
      </c>
      <c r="T4">
        <v>8.83</v>
      </c>
    </row>
    <row r="5" spans="1:20" x14ac:dyDescent="0.25">
      <c r="A5" t="s">
        <v>20</v>
      </c>
      <c r="B5" t="s">
        <v>21</v>
      </c>
      <c r="C5" t="s">
        <v>22</v>
      </c>
      <c r="D5" s="1">
        <v>45870</v>
      </c>
      <c r="E5" s="1">
        <v>45901</v>
      </c>
      <c r="F5">
        <v>1</v>
      </c>
      <c r="G5">
        <v>13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33.94</v>
      </c>
      <c r="O5">
        <v>6.25</v>
      </c>
      <c r="P5">
        <v>65</v>
      </c>
      <c r="Q5">
        <v>4.0599999999999996</v>
      </c>
      <c r="R5" t="s">
        <v>28</v>
      </c>
      <c r="S5">
        <v>0</v>
      </c>
      <c r="T5">
        <v>4.0599999999999996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4AA67-7FE7-4567-BE15-7DEE0AB4333C}">
  <dimension ref="A1:S5"/>
  <sheetViews>
    <sheetView tabSelected="1" workbookViewId="0">
      <selection activeCell="Q2" sqref="Q2:Q5"/>
    </sheetView>
  </sheetViews>
  <sheetFormatPr defaultRowHeight="15" x14ac:dyDescent="0.25"/>
  <cols>
    <col min="1" max="1" width="11.42578125" bestFit="1" customWidth="1"/>
    <col min="7" max="7" width="12.28515625" bestFit="1" customWidth="1"/>
    <col min="10" max="10" width="26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9" x14ac:dyDescent="0.25">
      <c r="A2" t="s">
        <v>20</v>
      </c>
      <c r="B2" t="s">
        <v>21</v>
      </c>
      <c r="C2" t="s">
        <v>22</v>
      </c>
      <c r="D2" s="1">
        <v>45870</v>
      </c>
      <c r="E2" s="1">
        <v>45901</v>
      </c>
      <c r="F2">
        <v>1</v>
      </c>
      <c r="G2" t="s">
        <v>34</v>
      </c>
      <c r="H2" t="s">
        <v>33</v>
      </c>
      <c r="I2" t="s">
        <v>25</v>
      </c>
      <c r="J2" t="str">
        <f>CONCATENATE(H2, " ",I2)</f>
        <v xml:space="preserve">PETER RICHTER             </v>
      </c>
      <c r="K2">
        <v>1.68</v>
      </c>
      <c r="L2" s="2">
        <f>K2/12</f>
        <v>0.13999999999999999</v>
      </c>
      <c r="M2">
        <v>65</v>
      </c>
      <c r="N2">
        <v>1.0900000000000001</v>
      </c>
      <c r="O2" t="s">
        <v>28</v>
      </c>
      <c r="P2">
        <v>0</v>
      </c>
      <c r="Q2">
        <v>1.0900000000000001</v>
      </c>
      <c r="S2" t="s">
        <v>32</v>
      </c>
    </row>
    <row r="3" spans="1:19" x14ac:dyDescent="0.25">
      <c r="A3" t="s">
        <v>20</v>
      </c>
      <c r="B3" t="s">
        <v>21</v>
      </c>
      <c r="C3" t="s">
        <v>22</v>
      </c>
      <c r="D3" s="1">
        <v>45870</v>
      </c>
      <c r="E3" s="1">
        <v>45901</v>
      </c>
      <c r="F3">
        <v>1</v>
      </c>
      <c r="G3" t="s">
        <v>34</v>
      </c>
      <c r="H3" t="s">
        <v>33</v>
      </c>
      <c r="I3" t="s">
        <v>25</v>
      </c>
      <c r="J3" t="str">
        <f t="shared" ref="J3:J5" si="0">CONCATENATE(H3, " ",I3)</f>
        <v xml:space="preserve">PETER RICHTER             </v>
      </c>
      <c r="K3">
        <v>12.43</v>
      </c>
      <c r="L3" s="2">
        <f t="shared" ref="L3:L5" si="1">K3/12</f>
        <v>1.0358333333333334</v>
      </c>
      <c r="M3">
        <v>65</v>
      </c>
      <c r="N3">
        <v>8.08</v>
      </c>
      <c r="O3" t="s">
        <v>28</v>
      </c>
      <c r="P3">
        <v>0</v>
      </c>
      <c r="Q3">
        <v>8.08</v>
      </c>
      <c r="S3" t="s">
        <v>32</v>
      </c>
    </row>
    <row r="4" spans="1:19" x14ac:dyDescent="0.25">
      <c r="A4" t="s">
        <v>20</v>
      </c>
      <c r="B4" t="s">
        <v>21</v>
      </c>
      <c r="C4" t="s">
        <v>22</v>
      </c>
      <c r="D4" s="1">
        <v>45870</v>
      </c>
      <c r="E4" s="1">
        <v>45901</v>
      </c>
      <c r="F4">
        <v>1</v>
      </c>
      <c r="G4" t="s">
        <v>34</v>
      </c>
      <c r="H4" t="s">
        <v>33</v>
      </c>
      <c r="I4" t="s">
        <v>25</v>
      </c>
      <c r="J4" t="str">
        <f t="shared" si="0"/>
        <v xml:space="preserve">PETER RICHTER             </v>
      </c>
      <c r="K4">
        <v>13.58</v>
      </c>
      <c r="L4" s="2">
        <f t="shared" si="1"/>
        <v>1.1316666666666666</v>
      </c>
      <c r="M4">
        <v>65</v>
      </c>
      <c r="N4">
        <v>8.83</v>
      </c>
      <c r="O4" t="s">
        <v>28</v>
      </c>
      <c r="P4">
        <v>0</v>
      </c>
      <c r="Q4">
        <v>8.83</v>
      </c>
      <c r="S4" t="s">
        <v>32</v>
      </c>
    </row>
    <row r="5" spans="1:19" x14ac:dyDescent="0.25">
      <c r="A5" t="s">
        <v>20</v>
      </c>
      <c r="B5" t="s">
        <v>21</v>
      </c>
      <c r="C5" t="s">
        <v>22</v>
      </c>
      <c r="D5" s="1">
        <v>45870</v>
      </c>
      <c r="E5" s="1">
        <v>45901</v>
      </c>
      <c r="F5">
        <v>1</v>
      </c>
      <c r="G5" t="s">
        <v>34</v>
      </c>
      <c r="H5" t="s">
        <v>33</v>
      </c>
      <c r="I5" t="s">
        <v>25</v>
      </c>
      <c r="J5" t="str">
        <f t="shared" si="0"/>
        <v xml:space="preserve">PETER RICHTER             </v>
      </c>
      <c r="K5">
        <v>6.25</v>
      </c>
      <c r="L5" s="2">
        <f t="shared" si="1"/>
        <v>0.52083333333333337</v>
      </c>
      <c r="M5">
        <v>65</v>
      </c>
      <c r="N5">
        <v>4.0599999999999996</v>
      </c>
      <c r="O5" t="s">
        <v>28</v>
      </c>
      <c r="P5">
        <v>0</v>
      </c>
      <c r="Q5">
        <v>4.0599999999999996</v>
      </c>
      <c r="S5" t="s">
        <v>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011I7200_WC_08-13-2025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2025-08-15T17:16:45Z</dcterms:created>
  <dcterms:modified xsi:type="dcterms:W3CDTF">2025-08-18T20:26:53Z</dcterms:modified>
</cp:coreProperties>
</file>