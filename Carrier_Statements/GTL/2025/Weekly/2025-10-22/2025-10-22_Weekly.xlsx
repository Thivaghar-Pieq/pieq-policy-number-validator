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10-22-25\"/>
    </mc:Choice>
  </mc:AlternateContent>
  <xr:revisionPtr revIDLastSave="0" documentId="13_ncr:1_{BD76EDB3-D83D-4D5F-9229-705752AD903D}" xr6:coauthVersionLast="47" xr6:coauthVersionMax="47" xr10:uidLastSave="{00000000-0000-0000-0000-000000000000}"/>
  <bookViews>
    <workbookView xWindow="28680" yWindow="-120" windowWidth="29040" windowHeight="16440" activeTab="1" xr2:uid="{32FAB0DD-CC89-4D4A-865A-5C5FF9B65880}"/>
  </bookViews>
  <sheets>
    <sheet name="011I7200_WC_10-22-20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2" i="2"/>
  <c r="J3" i="2"/>
  <c r="J4" i="2"/>
  <c r="J5" i="2"/>
  <c r="J6" i="2"/>
  <c r="J7" i="2"/>
  <c r="J8" i="2"/>
  <c r="J9" i="2"/>
  <c r="J10" i="2"/>
  <c r="J11" i="2"/>
  <c r="J12" i="2"/>
  <c r="J13" i="2"/>
  <c r="J14" i="2"/>
  <c r="J2" i="2"/>
</calcChain>
</file>

<file path=xl/sharedStrings.xml><?xml version="1.0" encoding="utf-8"?>
<sst xmlns="http://schemas.openxmlformats.org/spreadsheetml/2006/main" count="285" uniqueCount="64">
  <si>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</si>
  <si>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</si>
  <si>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</si>
  <si>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</si>
  <si>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</si>
  <si>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</si>
  <si>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</si>
  <si>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</si>
  <si>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</si>
  <si>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</si>
  <si>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</si>
  <si>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</si>
  <si>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</si>
  <si>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</si>
  <si>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</si>
  <si>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</si>
  <si>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</si>
  <si>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</si>
  <si>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</si>
  <si>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</si>
  <si>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GTA6407259</t>
  </si>
  <si>
    <t>MD</t>
  </si>
  <si>
    <t>LEWKIEWICZ MA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</si>
  <si>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</si>
  <si>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</si>
  <si>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</si>
  <si>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</si>
  <si>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</si>
  <si>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</si>
  <si>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</si>
  <si>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</si>
  <si>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</si>
  <si>
    <t>GTA6404104</t>
  </si>
  <si>
    <t>PA</t>
  </si>
  <si>
    <t>KUDDAR MITCHE</t>
  </si>
  <si>
    <t xml:space="preserve">011I7208    </t>
  </si>
  <si>
    <t xml:space="preserve">CAROL               </t>
  </si>
  <si>
    <t xml:space="preserve">FOLEY               </t>
  </si>
  <si>
    <t xml:space="preserve">M20CN </t>
  </si>
  <si>
    <t xml:space="preserve">M20FE </t>
  </si>
  <si>
    <t xml:space="preserve">M20SC </t>
  </si>
  <si>
    <t xml:space="preserve">M20SF </t>
  </si>
  <si>
    <t xml:space="preserve">MAP20 </t>
  </si>
  <si>
    <t>GTA6393360</t>
  </si>
  <si>
    <t xml:space="preserve">TROFFO FRANK </t>
  </si>
  <si>
    <t xml:space="preserve">011I720A    </t>
  </si>
  <si>
    <t xml:space="preserve">PETER               </t>
  </si>
  <si>
    <t xml:space="preserve">M20OS </t>
  </si>
  <si>
    <t>GTL ADVANTAGE PLUS(70)</t>
  </si>
  <si>
    <t>GTL Short Term Home Health Care (75)</t>
  </si>
  <si>
    <t>ADAM</t>
  </si>
  <si>
    <t>CAROL</t>
  </si>
  <si>
    <t>PETER</t>
  </si>
  <si>
    <t>AE</t>
  </si>
  <si>
    <t>RN</t>
  </si>
  <si>
    <t>AV</t>
  </si>
  <si>
    <t>NB</t>
  </si>
  <si>
    <t>16509456AV9</t>
  </si>
  <si>
    <t>LEWKIEWICZ</t>
  </si>
  <si>
    <t>MA</t>
  </si>
  <si>
    <t>KUDDAR</t>
  </si>
  <si>
    <t>MITCHE</t>
  </si>
  <si>
    <t>TROFFO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</si>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</sst>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B91B-67E3-4E44-83B7-F55A49876D7D}">
  <dimension ref="A1:T14"/>
  <sheetViews>
    <sheetView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5.710937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5703125" bestFit="1" customWidth="1"/>
    <col min="9" max="9" width="13.57031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45949</v>
      </c>
      <c r="E2" s="1">
        <v>45980</v>
      </c>
      <c r="F2">
        <v>1</v>
      </c>
      <c r="G2">
        <v>20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4.83</v>
      </c>
      <c r="P2">
        <v>75</v>
      </c>
      <c r="Q2">
        <v>3.62</v>
      </c>
      <c r="R2" t="s">
        <v>28</v>
      </c>
      <c r="S2">
        <v>0</v>
      </c>
      <c r="T2">
        <v>3.62</v>
      </c>
    </row>
    <row r="3" spans="1:20" x14ac:dyDescent="0.25">
      <c r="A3" t="s">
        <v>20</v>
      </c>
      <c r="B3" t="s">
        <v>21</v>
      </c>
      <c r="C3" t="s">
        <v>22</v>
      </c>
      <c r="D3" s="1">
        <v>45949</v>
      </c>
      <c r="E3" s="1">
        <v>45980</v>
      </c>
      <c r="F3">
        <v>1</v>
      </c>
      <c r="G3">
        <v>20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29.35</v>
      </c>
      <c r="P3">
        <v>75</v>
      </c>
      <c r="Q3">
        <v>22.01</v>
      </c>
      <c r="R3" t="s">
        <v>28</v>
      </c>
      <c r="S3">
        <v>0</v>
      </c>
      <c r="T3">
        <v>22.01</v>
      </c>
    </row>
    <row r="4" spans="1:20" x14ac:dyDescent="0.25">
      <c r="A4" t="s">
        <v>20</v>
      </c>
      <c r="B4" t="s">
        <v>21</v>
      </c>
      <c r="C4" t="s">
        <v>22</v>
      </c>
      <c r="D4" s="1">
        <v>45949</v>
      </c>
      <c r="E4" s="1">
        <v>45980</v>
      </c>
      <c r="F4">
        <v>1</v>
      </c>
      <c r="G4">
        <v>20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12.13</v>
      </c>
      <c r="P4">
        <v>75</v>
      </c>
      <c r="Q4">
        <v>9.1</v>
      </c>
      <c r="R4" t="s">
        <v>28</v>
      </c>
      <c r="S4">
        <v>0</v>
      </c>
      <c r="T4">
        <v>9.1</v>
      </c>
    </row>
    <row r="5" spans="1:20" x14ac:dyDescent="0.25">
      <c r="A5" t="s">
        <v>20</v>
      </c>
      <c r="B5" t="s">
        <v>21</v>
      </c>
      <c r="C5" t="s">
        <v>22</v>
      </c>
      <c r="D5" s="1">
        <v>45949</v>
      </c>
      <c r="E5" s="1">
        <v>45980</v>
      </c>
      <c r="F5">
        <v>1</v>
      </c>
      <c r="G5">
        <v>20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145.74</v>
      </c>
      <c r="O5">
        <v>97.76</v>
      </c>
      <c r="P5">
        <v>75</v>
      </c>
      <c r="Q5">
        <v>73.319999999999993</v>
      </c>
      <c r="R5" t="s">
        <v>28</v>
      </c>
      <c r="S5">
        <v>0</v>
      </c>
      <c r="T5">
        <v>73.319999999999993</v>
      </c>
    </row>
    <row r="6" spans="1:20" x14ac:dyDescent="0.25">
      <c r="A6" t="s">
        <v>32</v>
      </c>
      <c r="B6" t="s">
        <v>33</v>
      </c>
      <c r="C6" t="s">
        <v>34</v>
      </c>
      <c r="D6" s="1">
        <v>45945</v>
      </c>
      <c r="E6" s="1">
        <v>45976</v>
      </c>
      <c r="F6">
        <v>1</v>
      </c>
      <c r="G6">
        <v>22</v>
      </c>
      <c r="H6" t="s">
        <v>35</v>
      </c>
      <c r="I6" t="s">
        <v>36</v>
      </c>
      <c r="J6" t="s">
        <v>37</v>
      </c>
      <c r="K6" t="s">
        <v>26</v>
      </c>
      <c r="L6" t="s">
        <v>38</v>
      </c>
      <c r="M6">
        <v>1</v>
      </c>
      <c r="N6">
        <v>0</v>
      </c>
      <c r="O6">
        <v>19.489999999999998</v>
      </c>
      <c r="P6">
        <v>70</v>
      </c>
      <c r="Q6">
        <v>13.64</v>
      </c>
      <c r="R6" t="s">
        <v>28</v>
      </c>
      <c r="S6">
        <v>0</v>
      </c>
      <c r="T6">
        <v>13.64</v>
      </c>
    </row>
    <row r="7" spans="1:20" x14ac:dyDescent="0.25">
      <c r="A7" t="s">
        <v>32</v>
      </c>
      <c r="B7" t="s">
        <v>33</v>
      </c>
      <c r="C7" t="s">
        <v>34</v>
      </c>
      <c r="D7" s="1">
        <v>45945</v>
      </c>
      <c r="E7" s="1">
        <v>45976</v>
      </c>
      <c r="F7">
        <v>1</v>
      </c>
      <c r="G7">
        <v>22</v>
      </c>
      <c r="H7" t="s">
        <v>35</v>
      </c>
      <c r="I7" t="s">
        <v>36</v>
      </c>
      <c r="J7" t="s">
        <v>37</v>
      </c>
      <c r="K7" t="s">
        <v>26</v>
      </c>
      <c r="L7" t="s">
        <v>39</v>
      </c>
      <c r="M7">
        <v>1</v>
      </c>
      <c r="N7">
        <v>0</v>
      </c>
      <c r="O7">
        <v>1.68</v>
      </c>
      <c r="P7">
        <v>70</v>
      </c>
      <c r="Q7">
        <v>1.18</v>
      </c>
      <c r="R7" t="s">
        <v>28</v>
      </c>
      <c r="S7">
        <v>0</v>
      </c>
      <c r="T7">
        <v>1.18</v>
      </c>
    </row>
    <row r="8" spans="1:20" x14ac:dyDescent="0.25">
      <c r="A8" t="s">
        <v>32</v>
      </c>
      <c r="B8" t="s">
        <v>33</v>
      </c>
      <c r="C8" t="s">
        <v>34</v>
      </c>
      <c r="D8" s="1">
        <v>45945</v>
      </c>
      <c r="E8" s="1">
        <v>45976</v>
      </c>
      <c r="F8">
        <v>1</v>
      </c>
      <c r="G8">
        <v>22</v>
      </c>
      <c r="H8" t="s">
        <v>35</v>
      </c>
      <c r="I8" t="s">
        <v>36</v>
      </c>
      <c r="J8" t="s">
        <v>37</v>
      </c>
      <c r="K8" t="s">
        <v>26</v>
      </c>
      <c r="L8" t="s">
        <v>40</v>
      </c>
      <c r="M8">
        <v>1</v>
      </c>
      <c r="N8">
        <v>0</v>
      </c>
      <c r="O8">
        <v>2.75</v>
      </c>
      <c r="P8">
        <v>70</v>
      </c>
      <c r="Q8">
        <v>1.93</v>
      </c>
      <c r="R8" t="s">
        <v>28</v>
      </c>
      <c r="S8">
        <v>0</v>
      </c>
      <c r="T8">
        <v>1.93</v>
      </c>
    </row>
    <row r="9" spans="1:20" x14ac:dyDescent="0.25">
      <c r="A9" t="s">
        <v>32</v>
      </c>
      <c r="B9" t="s">
        <v>33</v>
      </c>
      <c r="C9" t="s">
        <v>34</v>
      </c>
      <c r="D9" s="1">
        <v>45945</v>
      </c>
      <c r="E9" s="1">
        <v>45976</v>
      </c>
      <c r="F9">
        <v>1</v>
      </c>
      <c r="G9">
        <v>22</v>
      </c>
      <c r="H9" t="s">
        <v>35</v>
      </c>
      <c r="I9" t="s">
        <v>36</v>
      </c>
      <c r="J9" t="s">
        <v>37</v>
      </c>
      <c r="K9" t="s">
        <v>26</v>
      </c>
      <c r="L9" t="s">
        <v>41</v>
      </c>
      <c r="M9">
        <v>1</v>
      </c>
      <c r="N9">
        <v>0</v>
      </c>
      <c r="O9">
        <v>12.94</v>
      </c>
      <c r="P9">
        <v>70</v>
      </c>
      <c r="Q9">
        <v>9.06</v>
      </c>
      <c r="R9" t="s">
        <v>28</v>
      </c>
      <c r="S9">
        <v>0</v>
      </c>
      <c r="T9">
        <v>9.06</v>
      </c>
    </row>
    <row r="10" spans="1:20" x14ac:dyDescent="0.25">
      <c r="A10" t="s">
        <v>32</v>
      </c>
      <c r="B10" t="s">
        <v>33</v>
      </c>
      <c r="C10" t="s">
        <v>34</v>
      </c>
      <c r="D10" s="1">
        <v>45945</v>
      </c>
      <c r="E10" s="1">
        <v>45976</v>
      </c>
      <c r="F10">
        <v>1</v>
      </c>
      <c r="G10">
        <v>22</v>
      </c>
      <c r="H10" t="s">
        <v>35</v>
      </c>
      <c r="I10" t="s">
        <v>36</v>
      </c>
      <c r="J10" t="s">
        <v>37</v>
      </c>
      <c r="K10" t="s">
        <v>26</v>
      </c>
      <c r="L10" t="s">
        <v>42</v>
      </c>
      <c r="M10">
        <v>1</v>
      </c>
      <c r="N10">
        <v>58.73</v>
      </c>
      <c r="O10">
        <v>21.87</v>
      </c>
      <c r="P10">
        <v>70</v>
      </c>
      <c r="Q10">
        <v>15.31</v>
      </c>
      <c r="R10" t="s">
        <v>28</v>
      </c>
      <c r="S10">
        <v>0</v>
      </c>
      <c r="T10">
        <v>15.31</v>
      </c>
    </row>
    <row r="11" spans="1:20" x14ac:dyDescent="0.25">
      <c r="A11" t="s">
        <v>43</v>
      </c>
      <c r="B11" t="s">
        <v>33</v>
      </c>
      <c r="C11" t="s">
        <v>44</v>
      </c>
      <c r="D11" s="1">
        <v>45931</v>
      </c>
      <c r="E11" s="1">
        <v>45962</v>
      </c>
      <c r="F11">
        <v>1</v>
      </c>
      <c r="G11">
        <v>22</v>
      </c>
      <c r="H11" t="s">
        <v>45</v>
      </c>
      <c r="I11" t="s">
        <v>46</v>
      </c>
      <c r="J11" t="s">
        <v>25</v>
      </c>
      <c r="K11" t="s">
        <v>26</v>
      </c>
      <c r="L11" t="s">
        <v>39</v>
      </c>
      <c r="M11">
        <v>1</v>
      </c>
      <c r="N11">
        <v>0</v>
      </c>
      <c r="O11">
        <v>1.68</v>
      </c>
      <c r="P11">
        <v>70</v>
      </c>
      <c r="Q11">
        <v>1.18</v>
      </c>
      <c r="R11" t="s">
        <v>28</v>
      </c>
      <c r="S11">
        <v>0</v>
      </c>
      <c r="T11">
        <v>1.18</v>
      </c>
    </row>
    <row r="12" spans="1:20" x14ac:dyDescent="0.25">
      <c r="A12" t="s">
        <v>43</v>
      </c>
      <c r="B12" t="s">
        <v>33</v>
      </c>
      <c r="C12" t="s">
        <v>44</v>
      </c>
      <c r="D12" s="1">
        <v>45931</v>
      </c>
      <c r="E12" s="1">
        <v>45962</v>
      </c>
      <c r="F12">
        <v>1</v>
      </c>
      <c r="G12">
        <v>22</v>
      </c>
      <c r="H12" t="s">
        <v>45</v>
      </c>
      <c r="I12" t="s">
        <v>46</v>
      </c>
      <c r="J12" t="s">
        <v>25</v>
      </c>
      <c r="K12" t="s">
        <v>26</v>
      </c>
      <c r="L12" t="s">
        <v>47</v>
      </c>
      <c r="M12">
        <v>1</v>
      </c>
      <c r="N12">
        <v>0</v>
      </c>
      <c r="O12">
        <v>12.43</v>
      </c>
      <c r="P12">
        <v>70</v>
      </c>
      <c r="Q12">
        <v>8.6999999999999993</v>
      </c>
      <c r="R12" t="s">
        <v>28</v>
      </c>
      <c r="S12">
        <v>0</v>
      </c>
      <c r="T12">
        <v>8.6999999999999993</v>
      </c>
    </row>
    <row r="13" spans="1:20" x14ac:dyDescent="0.25">
      <c r="A13" t="s">
        <v>43</v>
      </c>
      <c r="B13" t="s">
        <v>33</v>
      </c>
      <c r="C13" t="s">
        <v>44</v>
      </c>
      <c r="D13" s="1">
        <v>45931</v>
      </c>
      <c r="E13" s="1">
        <v>45962</v>
      </c>
      <c r="F13">
        <v>1</v>
      </c>
      <c r="G13">
        <v>22</v>
      </c>
      <c r="H13" t="s">
        <v>45</v>
      </c>
      <c r="I13" t="s">
        <v>46</v>
      </c>
      <c r="J13" t="s">
        <v>25</v>
      </c>
      <c r="K13" t="s">
        <v>26</v>
      </c>
      <c r="L13" t="s">
        <v>41</v>
      </c>
      <c r="M13">
        <v>1</v>
      </c>
      <c r="N13">
        <v>0</v>
      </c>
      <c r="O13">
        <v>14.23</v>
      </c>
      <c r="P13">
        <v>70</v>
      </c>
      <c r="Q13">
        <v>9.9600000000000009</v>
      </c>
      <c r="R13" t="s">
        <v>28</v>
      </c>
      <c r="S13">
        <v>0</v>
      </c>
      <c r="T13">
        <v>9.9600000000000009</v>
      </c>
    </row>
    <row r="14" spans="1:20" x14ac:dyDescent="0.25">
      <c r="A14" t="s">
        <v>43</v>
      </c>
      <c r="B14" t="s">
        <v>33</v>
      </c>
      <c r="C14" t="s">
        <v>44</v>
      </c>
      <c r="D14" s="1">
        <v>45931</v>
      </c>
      <c r="E14" s="1">
        <v>45962</v>
      </c>
      <c r="F14">
        <v>1</v>
      </c>
      <c r="G14">
        <v>22</v>
      </c>
      <c r="H14" t="s">
        <v>45</v>
      </c>
      <c r="I14" t="s">
        <v>46</v>
      </c>
      <c r="J14" t="s">
        <v>25</v>
      </c>
      <c r="K14" t="s">
        <v>26</v>
      </c>
      <c r="L14" t="s">
        <v>42</v>
      </c>
      <c r="M14">
        <v>1</v>
      </c>
      <c r="N14">
        <v>49.4</v>
      </c>
      <c r="O14">
        <v>21.06</v>
      </c>
      <c r="P14">
        <v>70</v>
      </c>
      <c r="Q14">
        <v>14.74</v>
      </c>
      <c r="R14" t="s">
        <v>28</v>
      </c>
      <c r="S14">
        <v>0</v>
      </c>
      <c r="T14">
        <v>14.74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E360-28BD-491E-B0A9-DF12620D32AD}">
  <dimension ref="A1:U14"/>
  <sheetViews>
    <sheetView tabSelected="1" topLeftCell="D1" workbookViewId="0">
      <selection activeCell="P1" sqref="P1:P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5.710937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3.5703125" bestFit="1" customWidth="1"/>
    <col min="9" max="9" width="14" bestFit="1" customWidth="1"/>
    <col min="10" max="11" width="17.7109375" customWidth="1"/>
    <col min="12" max="12" width="6.7109375" customWidth="1"/>
    <col min="13" max="13" width="7.42578125" customWidth="1"/>
    <col min="14" max="14" width="16.140625" bestFit="1" customWidth="1"/>
    <col min="15" max="15" width="11.140625" bestFit="1" customWidth="1"/>
    <col min="16" max="16" width="11.28515625" bestFit="1" customWidth="1"/>
    <col min="17" max="17" width="15" bestFit="1" customWidth="1"/>
    <col min="18" max="18" width="35.42578125" bestFit="1" customWidth="1"/>
    <col min="19" max="19" width="12" bestFit="1" customWidth="1"/>
    <col min="21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N1" t="s">
        <v>14</v>
      </c>
      <c r="O1" t="s">
        <v>15</v>
      </c>
      <c r="P1" t="s">
        <v>16</v>
      </c>
      <c r="Q1" t="s">
        <v>19</v>
      </c>
    </row>
    <row r="2" spans="1:21" x14ac:dyDescent="0.25">
      <c r="A2" t="s">
        <v>20</v>
      </c>
      <c r="B2" t="s">
        <v>21</v>
      </c>
      <c r="C2" t="s">
        <v>22</v>
      </c>
      <c r="D2" s="1">
        <v>45949</v>
      </c>
      <c r="E2" s="1">
        <v>45980</v>
      </c>
      <c r="F2">
        <v>1</v>
      </c>
      <c r="G2">
        <v>20</v>
      </c>
      <c r="H2" t="s">
        <v>50</v>
      </c>
      <c r="I2" t="s">
        <v>25</v>
      </c>
      <c r="J2" t="str">
        <f>CONCATENATE(H2, "  ",I2)</f>
        <v xml:space="preserve">ADAM  RICHTER             </v>
      </c>
      <c r="K2">
        <v>9079571</v>
      </c>
      <c r="L2" t="s">
        <v>53</v>
      </c>
      <c r="M2" t="s">
        <v>54</v>
      </c>
      <c r="N2">
        <v>4.83</v>
      </c>
      <c r="O2">
        <v>75</v>
      </c>
      <c r="P2">
        <v>3.62</v>
      </c>
      <c r="Q2">
        <v>3.62</v>
      </c>
      <c r="R2" t="s">
        <v>49</v>
      </c>
      <c r="S2" t="s">
        <v>58</v>
      </c>
      <c r="T2" t="s">
        <v>59</v>
      </c>
      <c r="U2" t="str">
        <f>CONCATENATE(T2, " ",S2)</f>
        <v>MA LEWKIEWICZ</v>
      </c>
    </row>
    <row r="3" spans="1:21" x14ac:dyDescent="0.25">
      <c r="A3" t="s">
        <v>20</v>
      </c>
      <c r="B3" t="s">
        <v>21</v>
      </c>
      <c r="C3" t="s">
        <v>22</v>
      </c>
      <c r="D3" s="1">
        <v>45949</v>
      </c>
      <c r="E3" s="1">
        <v>45980</v>
      </c>
      <c r="F3">
        <v>1</v>
      </c>
      <c r="G3">
        <v>20</v>
      </c>
      <c r="H3" t="s">
        <v>50</v>
      </c>
      <c r="I3" t="s">
        <v>25</v>
      </c>
      <c r="J3" t="str">
        <f t="shared" ref="J3:J14" si="0">CONCATENATE(H3, "  ",I3)</f>
        <v xml:space="preserve">ADAM  RICHTER             </v>
      </c>
      <c r="K3">
        <v>9079571</v>
      </c>
      <c r="L3" t="s">
        <v>53</v>
      </c>
      <c r="M3" t="s">
        <v>54</v>
      </c>
      <c r="N3">
        <v>29.35</v>
      </c>
      <c r="O3">
        <v>75</v>
      </c>
      <c r="P3">
        <v>22.01</v>
      </c>
      <c r="Q3">
        <v>22.01</v>
      </c>
      <c r="R3" t="s">
        <v>49</v>
      </c>
      <c r="S3" t="s">
        <v>58</v>
      </c>
      <c r="T3" t="s">
        <v>59</v>
      </c>
      <c r="U3" t="str">
        <f t="shared" ref="U3:U14" si="1">CONCATENATE(T3, " ",S3)</f>
        <v>MA LEWKIEWICZ</v>
      </c>
    </row>
    <row r="4" spans="1:21" x14ac:dyDescent="0.25">
      <c r="A4" t="s">
        <v>20</v>
      </c>
      <c r="B4" t="s">
        <v>21</v>
      </c>
      <c r="C4" t="s">
        <v>22</v>
      </c>
      <c r="D4" s="1">
        <v>45949</v>
      </c>
      <c r="E4" s="1">
        <v>45980</v>
      </c>
      <c r="F4">
        <v>1</v>
      </c>
      <c r="G4">
        <v>20</v>
      </c>
      <c r="H4" t="s">
        <v>50</v>
      </c>
      <c r="I4" t="s">
        <v>25</v>
      </c>
      <c r="J4" t="str">
        <f t="shared" si="0"/>
        <v xml:space="preserve">ADAM  RICHTER             </v>
      </c>
      <c r="K4">
        <v>9079571</v>
      </c>
      <c r="L4" t="s">
        <v>53</v>
      </c>
      <c r="M4" t="s">
        <v>54</v>
      </c>
      <c r="N4">
        <v>12.13</v>
      </c>
      <c r="O4">
        <v>75</v>
      </c>
      <c r="P4">
        <v>9.1</v>
      </c>
      <c r="Q4">
        <v>9.1</v>
      </c>
      <c r="R4" t="s">
        <v>49</v>
      </c>
      <c r="S4" t="s">
        <v>58</v>
      </c>
      <c r="T4" t="s">
        <v>59</v>
      </c>
      <c r="U4" t="str">
        <f t="shared" si="1"/>
        <v>MA LEWKIEWICZ</v>
      </c>
    </row>
    <row r="5" spans="1:21" x14ac:dyDescent="0.25">
      <c r="A5" t="s">
        <v>20</v>
      </c>
      <c r="B5" t="s">
        <v>21</v>
      </c>
      <c r="C5" t="s">
        <v>22</v>
      </c>
      <c r="D5" s="1">
        <v>45949</v>
      </c>
      <c r="E5" s="1">
        <v>45980</v>
      </c>
      <c r="F5">
        <v>1</v>
      </c>
      <c r="G5">
        <v>20</v>
      </c>
      <c r="H5" t="s">
        <v>50</v>
      </c>
      <c r="I5" t="s">
        <v>25</v>
      </c>
      <c r="J5" t="str">
        <f t="shared" si="0"/>
        <v xml:space="preserve">ADAM  RICHTER             </v>
      </c>
      <c r="K5">
        <v>9079571</v>
      </c>
      <c r="L5" t="s">
        <v>53</v>
      </c>
      <c r="M5" t="s">
        <v>54</v>
      </c>
      <c r="N5">
        <v>97.76</v>
      </c>
      <c r="O5">
        <v>75</v>
      </c>
      <c r="P5">
        <v>73.319999999999993</v>
      </c>
      <c r="Q5">
        <v>73.319999999999993</v>
      </c>
      <c r="R5" t="s">
        <v>49</v>
      </c>
      <c r="S5" t="s">
        <v>58</v>
      </c>
      <c r="T5" t="s">
        <v>59</v>
      </c>
      <c r="U5" t="str">
        <f t="shared" si="1"/>
        <v>MA LEWKIEWICZ</v>
      </c>
    </row>
    <row r="6" spans="1:21" x14ac:dyDescent="0.25">
      <c r="A6" t="s">
        <v>32</v>
      </c>
      <c r="B6" t="s">
        <v>33</v>
      </c>
      <c r="C6" t="s">
        <v>34</v>
      </c>
      <c r="D6" s="1">
        <v>45945</v>
      </c>
      <c r="E6" s="1">
        <v>45976</v>
      </c>
      <c r="F6">
        <v>1</v>
      </c>
      <c r="G6">
        <v>22</v>
      </c>
      <c r="H6" t="s">
        <v>51</v>
      </c>
      <c r="I6" t="s">
        <v>37</v>
      </c>
      <c r="J6" t="str">
        <f t="shared" si="0"/>
        <v xml:space="preserve">CAROL  FOLEY               </v>
      </c>
      <c r="K6">
        <v>17425766</v>
      </c>
      <c r="L6" t="s">
        <v>53</v>
      </c>
      <c r="M6" t="s">
        <v>54</v>
      </c>
      <c r="N6">
        <v>19.489999999999998</v>
      </c>
      <c r="O6">
        <v>70</v>
      </c>
      <c r="P6">
        <v>13.64</v>
      </c>
      <c r="Q6">
        <v>13.64</v>
      </c>
      <c r="R6" t="s">
        <v>48</v>
      </c>
      <c r="S6" t="s">
        <v>60</v>
      </c>
      <c r="T6" t="s">
        <v>61</v>
      </c>
      <c r="U6" t="str">
        <f t="shared" si="1"/>
        <v>MITCHE KUDDAR</v>
      </c>
    </row>
    <row r="7" spans="1:21" x14ac:dyDescent="0.25">
      <c r="A7" t="s">
        <v>32</v>
      </c>
      <c r="B7" t="s">
        <v>33</v>
      </c>
      <c r="C7" t="s">
        <v>34</v>
      </c>
      <c r="D7" s="1">
        <v>45945</v>
      </c>
      <c r="E7" s="1">
        <v>45976</v>
      </c>
      <c r="F7">
        <v>1</v>
      </c>
      <c r="G7">
        <v>22</v>
      </c>
      <c r="H7" t="s">
        <v>51</v>
      </c>
      <c r="I7" t="s">
        <v>37</v>
      </c>
      <c r="J7" t="str">
        <f t="shared" si="0"/>
        <v xml:space="preserve">CAROL  FOLEY               </v>
      </c>
      <c r="K7">
        <v>17425766</v>
      </c>
      <c r="L7" t="s">
        <v>53</v>
      </c>
      <c r="M7" t="s">
        <v>54</v>
      </c>
      <c r="N7">
        <v>1.68</v>
      </c>
      <c r="O7">
        <v>70</v>
      </c>
      <c r="P7">
        <v>1.18</v>
      </c>
      <c r="Q7">
        <v>1.18</v>
      </c>
      <c r="R7" t="s">
        <v>48</v>
      </c>
      <c r="S7" t="s">
        <v>60</v>
      </c>
      <c r="T7" t="s">
        <v>61</v>
      </c>
      <c r="U7" t="str">
        <f t="shared" si="1"/>
        <v>MITCHE KUDDAR</v>
      </c>
    </row>
    <row r="8" spans="1:21" x14ac:dyDescent="0.25">
      <c r="A8" t="s">
        <v>32</v>
      </c>
      <c r="B8" t="s">
        <v>33</v>
      </c>
      <c r="C8" t="s">
        <v>34</v>
      </c>
      <c r="D8" s="1">
        <v>45945</v>
      </c>
      <c r="E8" s="1">
        <v>45976</v>
      </c>
      <c r="F8">
        <v>1</v>
      </c>
      <c r="G8">
        <v>22</v>
      </c>
      <c r="H8" t="s">
        <v>51</v>
      </c>
      <c r="I8" t="s">
        <v>37</v>
      </c>
      <c r="J8" t="str">
        <f t="shared" si="0"/>
        <v xml:space="preserve">CAROL  FOLEY               </v>
      </c>
      <c r="K8">
        <v>17425766</v>
      </c>
      <c r="L8" t="s">
        <v>53</v>
      </c>
      <c r="M8" t="s">
        <v>54</v>
      </c>
      <c r="N8">
        <v>2.75</v>
      </c>
      <c r="O8">
        <v>70</v>
      </c>
      <c r="P8">
        <v>1.93</v>
      </c>
      <c r="Q8">
        <v>1.93</v>
      </c>
      <c r="R8" t="s">
        <v>48</v>
      </c>
      <c r="S8" t="s">
        <v>60</v>
      </c>
      <c r="T8" t="s">
        <v>61</v>
      </c>
      <c r="U8" t="str">
        <f t="shared" si="1"/>
        <v>MITCHE KUDDAR</v>
      </c>
    </row>
    <row r="9" spans="1:21" x14ac:dyDescent="0.25">
      <c r="A9" t="s">
        <v>32</v>
      </c>
      <c r="B9" t="s">
        <v>33</v>
      </c>
      <c r="C9" t="s">
        <v>34</v>
      </c>
      <c r="D9" s="1">
        <v>45945</v>
      </c>
      <c r="E9" s="1">
        <v>45976</v>
      </c>
      <c r="F9">
        <v>1</v>
      </c>
      <c r="G9">
        <v>22</v>
      </c>
      <c r="H9" t="s">
        <v>51</v>
      </c>
      <c r="I9" t="s">
        <v>37</v>
      </c>
      <c r="J9" t="str">
        <f t="shared" si="0"/>
        <v xml:space="preserve">CAROL  FOLEY               </v>
      </c>
      <c r="K9">
        <v>17425766</v>
      </c>
      <c r="L9" t="s">
        <v>53</v>
      </c>
      <c r="M9" t="s">
        <v>54</v>
      </c>
      <c r="N9">
        <v>12.94</v>
      </c>
      <c r="O9">
        <v>70</v>
      </c>
      <c r="P9">
        <v>9.06</v>
      </c>
      <c r="Q9">
        <v>9.06</v>
      </c>
      <c r="R9" t="s">
        <v>48</v>
      </c>
      <c r="S9" t="s">
        <v>60</v>
      </c>
      <c r="T9" t="s">
        <v>61</v>
      </c>
      <c r="U9" t="str">
        <f t="shared" si="1"/>
        <v>MITCHE KUDDAR</v>
      </c>
    </row>
    <row r="10" spans="1:21" x14ac:dyDescent="0.25">
      <c r="A10" t="s">
        <v>32</v>
      </c>
      <c r="B10" t="s">
        <v>33</v>
      </c>
      <c r="C10" t="s">
        <v>34</v>
      </c>
      <c r="D10" s="1">
        <v>45945</v>
      </c>
      <c r="E10" s="1">
        <v>45976</v>
      </c>
      <c r="F10">
        <v>1</v>
      </c>
      <c r="G10">
        <v>22</v>
      </c>
      <c r="H10" t="s">
        <v>51</v>
      </c>
      <c r="I10" t="s">
        <v>37</v>
      </c>
      <c r="J10" t="str">
        <f t="shared" si="0"/>
        <v xml:space="preserve">CAROL  FOLEY               </v>
      </c>
      <c r="K10">
        <v>17425766</v>
      </c>
      <c r="L10" t="s">
        <v>53</v>
      </c>
      <c r="M10" t="s">
        <v>54</v>
      </c>
      <c r="N10">
        <v>21.87</v>
      </c>
      <c r="O10">
        <v>70</v>
      </c>
      <c r="P10">
        <v>15.31</v>
      </c>
      <c r="Q10">
        <v>15.31</v>
      </c>
      <c r="R10" t="s">
        <v>48</v>
      </c>
      <c r="S10" t="s">
        <v>60</v>
      </c>
      <c r="T10" t="s">
        <v>61</v>
      </c>
      <c r="U10" t="str">
        <f t="shared" si="1"/>
        <v>MITCHE KUDDAR</v>
      </c>
    </row>
    <row r="11" spans="1:21" s="2" customFormat="1" x14ac:dyDescent="0.25">
      <c r="A11" s="2" t="s">
        <v>43</v>
      </c>
      <c r="B11" s="2" t="s">
        <v>33</v>
      </c>
      <c r="C11" s="2" t="s">
        <v>44</v>
      </c>
      <c r="D11" s="3">
        <v>45931</v>
      </c>
      <c r="E11" s="3">
        <v>45962</v>
      </c>
      <c r="F11" s="2">
        <v>1</v>
      </c>
      <c r="G11" s="2">
        <v>22</v>
      </c>
      <c r="H11" s="2" t="s">
        <v>52</v>
      </c>
      <c r="I11" s="2" t="s">
        <v>25</v>
      </c>
      <c r="J11" t="str">
        <f t="shared" si="0"/>
        <v xml:space="preserve">PETER  RICHTER             </v>
      </c>
      <c r="K11" t="s">
        <v>57</v>
      </c>
      <c r="L11" t="s">
        <v>55</v>
      </c>
      <c r="M11" s="2" t="s">
        <v>56</v>
      </c>
      <c r="N11" s="2">
        <v>1.68</v>
      </c>
      <c r="O11" s="2">
        <v>70</v>
      </c>
      <c r="P11" s="2">
        <v>1.18</v>
      </c>
      <c r="Q11" s="2">
        <v>1.18</v>
      </c>
      <c r="R11" s="2" t="s">
        <v>48</v>
      </c>
      <c r="S11" s="2" t="s">
        <v>62</v>
      </c>
      <c r="T11" s="2" t="s">
        <v>63</v>
      </c>
      <c r="U11" t="str">
        <f t="shared" si="1"/>
        <v>FRANK TROFFO</v>
      </c>
    </row>
    <row r="12" spans="1:21" s="2" customFormat="1" x14ac:dyDescent="0.25">
      <c r="A12" s="2" t="s">
        <v>43</v>
      </c>
      <c r="B12" s="2" t="s">
        <v>33</v>
      </c>
      <c r="C12" s="2" t="s">
        <v>44</v>
      </c>
      <c r="D12" s="3">
        <v>45931</v>
      </c>
      <c r="E12" s="3">
        <v>45962</v>
      </c>
      <c r="F12" s="2">
        <v>1</v>
      </c>
      <c r="G12" s="2">
        <v>22</v>
      </c>
      <c r="H12" s="2" t="s">
        <v>52</v>
      </c>
      <c r="I12" s="2" t="s">
        <v>25</v>
      </c>
      <c r="J12" t="str">
        <f t="shared" si="0"/>
        <v xml:space="preserve">PETER  RICHTER             </v>
      </c>
      <c r="K12" t="s">
        <v>57</v>
      </c>
      <c r="L12" t="s">
        <v>55</v>
      </c>
      <c r="M12" s="2" t="s">
        <v>56</v>
      </c>
      <c r="N12" s="2">
        <v>12.43</v>
      </c>
      <c r="O12" s="2">
        <v>70</v>
      </c>
      <c r="P12" s="2">
        <v>8.6999999999999993</v>
      </c>
      <c r="Q12" s="2">
        <v>8.6999999999999993</v>
      </c>
      <c r="R12" s="2" t="s">
        <v>48</v>
      </c>
      <c r="S12" s="2" t="s">
        <v>62</v>
      </c>
      <c r="T12" s="2" t="s">
        <v>63</v>
      </c>
      <c r="U12" t="str">
        <f t="shared" si="1"/>
        <v>FRANK TROFFO</v>
      </c>
    </row>
    <row r="13" spans="1:21" s="2" customFormat="1" x14ac:dyDescent="0.25">
      <c r="A13" s="2" t="s">
        <v>43</v>
      </c>
      <c r="B13" s="2" t="s">
        <v>33</v>
      </c>
      <c r="C13" s="2" t="s">
        <v>44</v>
      </c>
      <c r="D13" s="3">
        <v>45931</v>
      </c>
      <c r="E13" s="3">
        <v>45962</v>
      </c>
      <c r="F13" s="2">
        <v>1</v>
      </c>
      <c r="G13" s="2">
        <v>22</v>
      </c>
      <c r="H13" s="2" t="s">
        <v>52</v>
      </c>
      <c r="I13" s="2" t="s">
        <v>25</v>
      </c>
      <c r="J13" t="str">
        <f t="shared" si="0"/>
        <v xml:space="preserve">PETER  RICHTER             </v>
      </c>
      <c r="K13" t="s">
        <v>57</v>
      </c>
      <c r="L13" t="s">
        <v>55</v>
      </c>
      <c r="M13" s="2" t="s">
        <v>56</v>
      </c>
      <c r="N13" s="2">
        <v>14.23</v>
      </c>
      <c r="O13" s="2">
        <v>70</v>
      </c>
      <c r="P13" s="2">
        <v>9.9600000000000009</v>
      </c>
      <c r="Q13" s="2">
        <v>9.9600000000000009</v>
      </c>
      <c r="R13" s="2" t="s">
        <v>48</v>
      </c>
      <c r="S13" s="2" t="s">
        <v>62</v>
      </c>
      <c r="T13" s="2" t="s">
        <v>63</v>
      </c>
      <c r="U13" t="str">
        <f t="shared" si="1"/>
        <v>FRANK TROFFO</v>
      </c>
    </row>
    <row r="14" spans="1:21" s="2" customFormat="1" x14ac:dyDescent="0.25">
      <c r="A14" s="2" t="s">
        <v>43</v>
      </c>
      <c r="B14" s="2" t="s">
        <v>33</v>
      </c>
      <c r="C14" s="2" t="s">
        <v>44</v>
      </c>
      <c r="D14" s="3">
        <v>45931</v>
      </c>
      <c r="E14" s="3">
        <v>45962</v>
      </c>
      <c r="F14" s="2">
        <v>1</v>
      </c>
      <c r="G14" s="2">
        <v>22</v>
      </c>
      <c r="H14" s="2" t="s">
        <v>52</v>
      </c>
      <c r="I14" s="2" t="s">
        <v>25</v>
      </c>
      <c r="J14" t="str">
        <f t="shared" si="0"/>
        <v xml:space="preserve">PETER  RICHTER             </v>
      </c>
      <c r="K14" t="s">
        <v>57</v>
      </c>
      <c r="L14" t="s">
        <v>55</v>
      </c>
      <c r="M14" s="2" t="s">
        <v>56</v>
      </c>
      <c r="N14" s="2">
        <v>21.06</v>
      </c>
      <c r="O14" s="2">
        <v>70</v>
      </c>
      <c r="P14" s="2">
        <v>14.74</v>
      </c>
      <c r="Q14" s="2">
        <v>14.74</v>
      </c>
      <c r="R14" s="2" t="s">
        <v>48</v>
      </c>
      <c r="S14" s="2" t="s">
        <v>62</v>
      </c>
      <c r="T14" s="2" t="s">
        <v>63</v>
      </c>
      <c r="U14" t="str">
        <f t="shared" si="1"/>
        <v>FRANK TROFFO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011I7200_WC_10-22-2025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2025-10-27T16:58:41Z</dcterms:created>
  <dcterms:modified xsi:type="dcterms:W3CDTF">2025-10-27T19:43:13Z</dcterms:modified>
</cp:coreProperties>
</file>