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GTL\weekly\10-29-25\"/>
    </mc:Choice>
  </mc:AlternateContent>
  <xr:revisionPtr revIDLastSave="0" documentId="13_ncr:1_{87F6579E-425E-4204-A4A1-F94DAA8EE7D9}" xr6:coauthVersionLast="47" xr6:coauthVersionMax="47" xr10:uidLastSave="{00000000-0000-0000-0000-000000000000}"/>
  <bookViews>
    <workbookView xWindow="28680" yWindow="-120" windowWidth="29040" windowHeight="16440" xr2:uid="{CB609292-74AD-4FE2-807A-59BE0052EEA2}"/>
  </bookViews>
  <sheets>
    <sheet name="011I7200_WC_10-29-2025" sheetId="1" r:id="rId1"/>
  </sheets>
  <calcPr calcId="181029"/>
</workbook>
</file>

<file path=xl/calcChain.xml><?xml version="1.0" encoding="utf-8"?>
<calcChain xmlns="http://schemas.openxmlformats.org/spreadsheetml/2006/main">
  <c r="K7" i="1" l="1"/>
  <c r="K6" i="1"/>
  <c r="K5" i="1"/>
  <c r="K4" i="1"/>
  <c r="K3" i="1"/>
  <c r="K2" i="1"/>
</calcChain>
</file>

<file path=xl/sharedStrings.xml><?xml version="1.0" encoding="utf-8"?>
<sst xmlns="http://schemas.openxmlformats.org/spreadsheetml/2006/main" count="68" uniqueCount="33">
  <si>
    <t>Policy Nbr</t>
  </si>
  <si>
    <t>Issue State</t>
  </si>
  <si>
    <t>Desc</t>
  </si>
  <si>
    <t>Effective Date</t>
  </si>
  <si>
    <t>Paid To Date</t>
  </si>
  <si>
    <t>Mode</t>
  </si>
  <si>
    <t>Day Paid</t>
  </si>
  <si>
    <t>Agent Nbr</t>
  </si>
  <si>
    <t>First Name</t>
  </si>
  <si>
    <t>Last Name</t>
  </si>
  <si>
    <t>Agency</t>
  </si>
  <si>
    <t>Policy Form</t>
  </si>
  <si>
    <t>Trans Type</t>
  </si>
  <si>
    <t>Prem Paid Amt</t>
  </si>
  <si>
    <t>Comm Prem Amt</t>
  </si>
  <si>
    <t>Comm Rate</t>
  </si>
  <si>
    <t xml:space="preserve">Comm Amt </t>
  </si>
  <si>
    <t>Code</t>
  </si>
  <si>
    <t>Retained or Recovery</t>
  </si>
  <si>
    <t>Comm Amt Due</t>
  </si>
  <si>
    <t>GTA6400261</t>
  </si>
  <si>
    <t>FL</t>
  </si>
  <si>
    <t>SETRON STEVEN</t>
  </si>
  <si>
    <t xml:space="preserve">011I7208    </t>
  </si>
  <si>
    <t xml:space="preserve">CAROL               </t>
  </si>
  <si>
    <t xml:space="preserve">FOLEY               </t>
  </si>
  <si>
    <t xml:space="preserve">G20CN </t>
  </si>
  <si>
    <t xml:space="preserve"> </t>
  </si>
  <si>
    <t xml:space="preserve">G20FE </t>
  </si>
  <si>
    <t xml:space="preserve">G20OS </t>
  </si>
  <si>
    <t xml:space="preserve">G20SC </t>
  </si>
  <si>
    <t xml:space="preserve">G20SF </t>
  </si>
  <si>
    <t xml:space="preserve">GAP20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</si>
</sst>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72FFF-1980-4A0E-A882-02CAD2B1F96B}">
  <dimension ref="A1:T7"/>
  <sheetViews>
    <sheetView tabSelected="1" workbookViewId="0">
      <selection activeCell="K8" sqref="K8"/>
    </sheetView>
  </sheetViews>
  <sheetFormatPr defaultRowHeight="15" x14ac:dyDescent="0.25"/>
  <cols>
    <col min="1" max="1" width="11.28515625" bestFit="1" customWidth="1"/>
    <col min="2" max="2" width="9.7109375" bestFit="1" customWidth="1"/>
    <col min="3" max="3" width="14.5703125" bestFit="1" customWidth="1"/>
    <col min="4" max="4" width="12.5703125" bestFit="1" customWidth="1"/>
    <col min="5" max="5" width="11.28515625" bestFit="1" customWidth="1"/>
    <col min="6" max="6" width="5.7109375" bestFit="1" customWidth="1"/>
    <col min="7" max="7" width="8" bestFit="1" customWidth="1"/>
    <col min="8" max="8" width="10.28515625" bestFit="1" customWidth="1"/>
    <col min="9" max="9" width="13.28515625" bestFit="1" customWidth="1"/>
    <col min="10" max="10" width="12.7109375" bestFit="1" customWidth="1"/>
    <col min="11" max="11" width="23.5703125" bestFit="1" customWidth="1"/>
    <col min="12" max="12" width="10.42578125" bestFit="1" customWidth="1"/>
    <col min="13" max="13" width="9.7109375" bestFit="1" customWidth="1"/>
    <col min="14" max="14" width="12.85546875" bestFit="1" customWidth="1"/>
    <col min="15" max="15" width="14.85546875" bestFit="1" customWidth="1"/>
    <col min="16" max="17" width="10.5703125" bestFit="1" customWidth="1"/>
    <col min="18" max="18" width="5.28515625" bestFit="1" customWidth="1"/>
    <col min="19" max="19" width="18.7109375" bestFit="1" customWidth="1"/>
    <col min="20" max="20" width="13.8554687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 s="1">
        <v>45757</v>
      </c>
      <c r="E2" s="1">
        <v>45758</v>
      </c>
      <c r="F2">
        <v>1</v>
      </c>
      <c r="G2">
        <v>28</v>
      </c>
      <c r="H2" t="s">
        <v>23</v>
      </c>
      <c r="I2" t="s">
        <v>24</v>
      </c>
      <c r="J2" t="s">
        <v>25</v>
      </c>
      <c r="K2">
        <f>9.68+1.07+3.34</f>
        <v>14.09</v>
      </c>
      <c r="L2" t="s">
        <v>26</v>
      </c>
      <c r="M2">
        <v>1</v>
      </c>
      <c r="N2">
        <v>0</v>
      </c>
      <c r="O2">
        <v>20.13</v>
      </c>
      <c r="P2">
        <v>70</v>
      </c>
      <c r="Q2">
        <v>14.09</v>
      </c>
      <c r="R2" t="s">
        <v>27</v>
      </c>
      <c r="S2">
        <v>0</v>
      </c>
      <c r="T2">
        <v>14.09</v>
      </c>
    </row>
    <row r="3" spans="1:20" x14ac:dyDescent="0.25">
      <c r="A3" t="s">
        <v>20</v>
      </c>
      <c r="B3" t="s">
        <v>21</v>
      </c>
      <c r="C3" t="s">
        <v>22</v>
      </c>
      <c r="D3" s="1">
        <v>45757</v>
      </c>
      <c r="E3" s="1">
        <v>45758</v>
      </c>
      <c r="F3">
        <v>1</v>
      </c>
      <c r="G3">
        <v>28</v>
      </c>
      <c r="H3" t="s">
        <v>23</v>
      </c>
      <c r="I3" t="s">
        <v>24</v>
      </c>
      <c r="J3" t="s">
        <v>25</v>
      </c>
      <c r="K3">
        <f>0.81+0.09+0.28</f>
        <v>1.1800000000000002</v>
      </c>
      <c r="L3" t="s">
        <v>28</v>
      </c>
      <c r="M3">
        <v>1</v>
      </c>
      <c r="N3">
        <v>0</v>
      </c>
      <c r="O3">
        <v>1.68</v>
      </c>
      <c r="P3">
        <v>70</v>
      </c>
      <c r="Q3">
        <v>1.18</v>
      </c>
      <c r="R3" t="s">
        <v>27</v>
      </c>
      <c r="S3">
        <v>0</v>
      </c>
      <c r="T3">
        <v>1.18</v>
      </c>
    </row>
    <row r="4" spans="1:20" x14ac:dyDescent="0.25">
      <c r="A4" t="s">
        <v>20</v>
      </c>
      <c r="B4" t="s">
        <v>21</v>
      </c>
      <c r="C4" t="s">
        <v>22</v>
      </c>
      <c r="D4" s="1">
        <v>45757</v>
      </c>
      <c r="E4" s="1">
        <v>45758</v>
      </c>
      <c r="F4">
        <v>1</v>
      </c>
      <c r="G4">
        <v>28</v>
      </c>
      <c r="H4" t="s">
        <v>23</v>
      </c>
      <c r="I4" t="s">
        <v>24</v>
      </c>
      <c r="J4" t="s">
        <v>25</v>
      </c>
      <c r="K4">
        <f>2.99+0.33+1.03</f>
        <v>4.3500000000000005</v>
      </c>
      <c r="L4" t="s">
        <v>29</v>
      </c>
      <c r="M4">
        <v>1</v>
      </c>
      <c r="N4">
        <v>0</v>
      </c>
      <c r="O4">
        <v>6.22</v>
      </c>
      <c r="P4">
        <v>70</v>
      </c>
      <c r="Q4">
        <v>4.3499999999999996</v>
      </c>
      <c r="R4" t="s">
        <v>27</v>
      </c>
      <c r="S4">
        <v>0</v>
      </c>
      <c r="T4">
        <v>4.3499999999999996</v>
      </c>
    </row>
    <row r="5" spans="1:20" x14ac:dyDescent="0.25">
      <c r="A5" t="s">
        <v>20</v>
      </c>
      <c r="B5" t="s">
        <v>21</v>
      </c>
      <c r="C5" t="s">
        <v>22</v>
      </c>
      <c r="D5" s="1">
        <v>45757</v>
      </c>
      <c r="E5" s="1">
        <v>45758</v>
      </c>
      <c r="F5">
        <v>1</v>
      </c>
      <c r="G5">
        <v>28</v>
      </c>
      <c r="H5" t="s">
        <v>23</v>
      </c>
      <c r="I5" t="s">
        <v>24</v>
      </c>
      <c r="J5" t="s">
        <v>25</v>
      </c>
      <c r="K5">
        <f>1.4+0.15+0.48</f>
        <v>2.0299999999999998</v>
      </c>
      <c r="L5" t="s">
        <v>30</v>
      </c>
      <c r="M5">
        <v>1</v>
      </c>
      <c r="N5">
        <v>0</v>
      </c>
      <c r="O5">
        <v>2.92</v>
      </c>
      <c r="P5">
        <v>70</v>
      </c>
      <c r="Q5">
        <v>2.04</v>
      </c>
      <c r="R5" t="s">
        <v>27</v>
      </c>
      <c r="S5">
        <v>0</v>
      </c>
      <c r="T5">
        <v>2.04</v>
      </c>
    </row>
    <row r="6" spans="1:20" x14ac:dyDescent="0.25">
      <c r="A6" t="s">
        <v>20</v>
      </c>
      <c r="B6" t="s">
        <v>21</v>
      </c>
      <c r="C6" t="s">
        <v>22</v>
      </c>
      <c r="D6" s="1">
        <v>45757</v>
      </c>
      <c r="E6" s="1">
        <v>45758</v>
      </c>
      <c r="F6">
        <v>1</v>
      </c>
      <c r="G6">
        <v>28</v>
      </c>
      <c r="H6" t="s">
        <v>23</v>
      </c>
      <c r="I6" t="s">
        <v>24</v>
      </c>
      <c r="J6" t="s">
        <v>25</v>
      </c>
      <c r="K6">
        <f>3.11+0.34+1.07</f>
        <v>4.5199999999999996</v>
      </c>
      <c r="L6" t="s">
        <v>31</v>
      </c>
      <c r="M6">
        <v>1</v>
      </c>
      <c r="N6">
        <v>0</v>
      </c>
      <c r="O6">
        <v>6.47</v>
      </c>
      <c r="P6">
        <v>70</v>
      </c>
      <c r="Q6">
        <v>4.53</v>
      </c>
      <c r="R6" t="s">
        <v>27</v>
      </c>
      <c r="S6">
        <v>0</v>
      </c>
      <c r="T6">
        <v>4.53</v>
      </c>
    </row>
    <row r="7" spans="1:20" x14ac:dyDescent="0.25">
      <c r="A7" t="s">
        <v>20</v>
      </c>
      <c r="B7" t="s">
        <v>21</v>
      </c>
      <c r="C7" t="s">
        <v>22</v>
      </c>
      <c r="D7" s="1">
        <v>45757</v>
      </c>
      <c r="E7" s="1">
        <v>45758</v>
      </c>
      <c r="F7">
        <v>1</v>
      </c>
      <c r="G7">
        <v>28</v>
      </c>
      <c r="H7" t="s">
        <v>23</v>
      </c>
      <c r="I7" t="s">
        <v>24</v>
      </c>
      <c r="J7" t="s">
        <v>25</v>
      </c>
      <c r="K7">
        <f>11.43+1.26+3.94</f>
        <v>16.63</v>
      </c>
      <c r="L7" t="s">
        <v>32</v>
      </c>
      <c r="M7">
        <v>1</v>
      </c>
      <c r="N7">
        <v>64.680000000000007</v>
      </c>
      <c r="O7">
        <v>23.76</v>
      </c>
      <c r="P7">
        <v>70</v>
      </c>
      <c r="Q7">
        <v>16.63</v>
      </c>
      <c r="R7" t="s">
        <v>27</v>
      </c>
      <c r="S7">
        <v>0</v>
      </c>
      <c r="T7">
        <v>16.63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011I7200_WC_10-29-2025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Parmar</dc:creator>
  <cp:lastModifiedBy>Loula Irene Cabel</cp:lastModifiedBy>
  <dcterms:created xsi:type="dcterms:W3CDTF">2025-11-03T18:20:48Z</dcterms:created>
  <dcterms:modified xsi:type="dcterms:W3CDTF">2025-11-04T13:13:57Z</dcterms:modified>
</cp:coreProperties>
</file>