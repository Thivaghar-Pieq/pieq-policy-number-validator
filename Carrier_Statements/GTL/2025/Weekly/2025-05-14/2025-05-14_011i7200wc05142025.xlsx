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5-14-25\"/>
    </mc:Choice>
  </mc:AlternateContent>
  <xr:revisionPtr revIDLastSave="0" documentId="13_ncr:1_{F322018F-2A34-477E-A489-856BF8FA5E57}" xr6:coauthVersionLast="47" xr6:coauthVersionMax="47" xr10:uidLastSave="{00000000-0000-0000-0000-000000000000}"/>
  <bookViews>
    <workbookView xWindow="28680" yWindow="-120" windowWidth="29040" windowHeight="16440" activeTab="1" xr2:uid="{DF9A62D8-C350-4D49-B1CD-6FD4D01D18D9}"/>
  </bookViews>
  <sheets>
    <sheet name="011I7200_WC_05-14-20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P11" i="2" l="1"/>
  <c r="K3" i="2"/>
  <c r="K4" i="2"/>
  <c r="K5" i="2"/>
  <c r="K6" i="2"/>
  <c r="K7" i="2"/>
  <c r="K8" i="2"/>
  <c r="K9" i="2"/>
  <c r="K2" i="2"/>
</calcChain>
</file>

<file path=xl/sharedStrings.xml><?xml version="1.0" encoding="utf-8"?>
<sst xmlns="http://schemas.openxmlformats.org/spreadsheetml/2006/main" count="176" uniqueCount="36">
  <si>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</si>
  <si>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</si>
  <si>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</si>
  <si>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</si>
  <si>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</si>
  <si>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</si>
  <si>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</si>
  <si>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</si>
  <si>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</si>
  <si>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</si>
  <si>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</si>
  <si>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</si>
  <si>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</si>
  <si>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</si>
  <si>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</si>
  <si>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</si>
  <si>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</si>
  <si>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</si>
  <si>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</si>
  <si>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</si>
  <si>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GTA6369394</t>
  </si>
  <si>
    <t>MD</t>
  </si>
  <si>
    <t xml:space="preserve">AHMED ALEYA  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</si>
  <si>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</si>
  <si>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</si>
  <si>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</si>
  <si>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</si>
  <si>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</si>
  <si>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</si>
  <si>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</si>
  <si>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GNCGB </t>
  </si>
  <si>
    <t xml:space="preserve">GNHHC </t>
  </si>
  <si>
    <t>GTA6369406</t>
  </si>
  <si>
    <t xml:space="preserve">BROOKS DAVID </t>
  </si>
  <si>
    <t>ADAM</t>
  </si>
  <si>
    <t>GTL Short Term Home Health Care (75)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</si>
</sst>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3595-EE60-4E66-993E-7EBDA9A92091}">
  <dimension ref="A1:T9"/>
  <sheetViews>
    <sheetView workbookViewId="0">
      <selection sqref="A1:XFD1048576"/>
    </sheetView>
  </sheetViews>
  <sheetFormatPr defaultRowHeight="15" x14ac:dyDescent="0.25"/>
  <cols>
    <col min="1" max="1" width="11.42578125" bestFit="1" customWidth="1"/>
    <col min="3" max="3" width="14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45785</v>
      </c>
      <c r="E2" s="1">
        <v>45816</v>
      </c>
      <c r="F2">
        <v>1</v>
      </c>
      <c r="G2">
        <v>8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4.83</v>
      </c>
      <c r="P2">
        <v>75</v>
      </c>
      <c r="Q2">
        <v>3.62</v>
      </c>
      <c r="R2" t="s">
        <v>28</v>
      </c>
      <c r="S2">
        <v>0</v>
      </c>
      <c r="T2">
        <v>3.62</v>
      </c>
    </row>
    <row r="3" spans="1:20" x14ac:dyDescent="0.25">
      <c r="A3" t="s">
        <v>20</v>
      </c>
      <c r="B3" t="s">
        <v>21</v>
      </c>
      <c r="C3" t="s">
        <v>22</v>
      </c>
      <c r="D3" s="1">
        <v>45785</v>
      </c>
      <c r="E3" s="1">
        <v>45816</v>
      </c>
      <c r="F3">
        <v>1</v>
      </c>
      <c r="G3">
        <v>8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29.35</v>
      </c>
      <c r="P3">
        <v>75</v>
      </c>
      <c r="Q3">
        <v>22.01</v>
      </c>
      <c r="R3" t="s">
        <v>28</v>
      </c>
      <c r="S3">
        <v>0</v>
      </c>
      <c r="T3">
        <v>22.01</v>
      </c>
    </row>
    <row r="4" spans="1:20" x14ac:dyDescent="0.25">
      <c r="A4" t="s">
        <v>20</v>
      </c>
      <c r="B4" t="s">
        <v>21</v>
      </c>
      <c r="C4" t="s">
        <v>22</v>
      </c>
      <c r="D4" s="1">
        <v>45785</v>
      </c>
      <c r="E4" s="1">
        <v>45816</v>
      </c>
      <c r="F4">
        <v>1</v>
      </c>
      <c r="G4">
        <v>8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11.4</v>
      </c>
      <c r="P4">
        <v>75</v>
      </c>
      <c r="Q4">
        <v>8.5500000000000007</v>
      </c>
      <c r="R4" t="s">
        <v>28</v>
      </c>
      <c r="S4">
        <v>0</v>
      </c>
      <c r="T4">
        <v>8.5500000000000007</v>
      </c>
    </row>
    <row r="5" spans="1:20" x14ac:dyDescent="0.25">
      <c r="A5" t="s">
        <v>20</v>
      </c>
      <c r="B5" t="s">
        <v>21</v>
      </c>
      <c r="C5" t="s">
        <v>22</v>
      </c>
      <c r="D5" s="1">
        <v>45785</v>
      </c>
      <c r="E5" s="1">
        <v>45816</v>
      </c>
      <c r="F5">
        <v>1</v>
      </c>
      <c r="G5">
        <v>8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145.01</v>
      </c>
      <c r="O5">
        <v>97.76</v>
      </c>
      <c r="P5">
        <v>75</v>
      </c>
      <c r="Q5">
        <v>73.319999999999993</v>
      </c>
      <c r="R5" t="s">
        <v>28</v>
      </c>
      <c r="S5">
        <v>0</v>
      </c>
      <c r="T5">
        <v>73.319999999999993</v>
      </c>
    </row>
    <row r="6" spans="1:20" x14ac:dyDescent="0.25">
      <c r="A6" t="s">
        <v>32</v>
      </c>
      <c r="B6" t="s">
        <v>21</v>
      </c>
      <c r="C6" t="s">
        <v>33</v>
      </c>
      <c r="D6" s="1">
        <v>45785</v>
      </c>
      <c r="E6" s="1">
        <v>45816</v>
      </c>
      <c r="F6">
        <v>1</v>
      </c>
      <c r="G6">
        <v>8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>
        <v>1</v>
      </c>
      <c r="N6">
        <v>0</v>
      </c>
      <c r="O6">
        <v>3.08</v>
      </c>
      <c r="P6">
        <v>75</v>
      </c>
      <c r="Q6">
        <v>2.31</v>
      </c>
      <c r="R6" t="s">
        <v>28</v>
      </c>
      <c r="S6">
        <v>0</v>
      </c>
      <c r="T6">
        <v>2.31</v>
      </c>
    </row>
    <row r="7" spans="1:20" x14ac:dyDescent="0.25">
      <c r="A7" t="s">
        <v>32</v>
      </c>
      <c r="B7" t="s">
        <v>21</v>
      </c>
      <c r="C7" t="s">
        <v>33</v>
      </c>
      <c r="D7" s="1">
        <v>45785</v>
      </c>
      <c r="E7" s="1">
        <v>45816</v>
      </c>
      <c r="F7">
        <v>1</v>
      </c>
      <c r="G7">
        <v>8</v>
      </c>
      <c r="H7" t="s">
        <v>23</v>
      </c>
      <c r="I7" t="s">
        <v>24</v>
      </c>
      <c r="J7" t="s">
        <v>25</v>
      </c>
      <c r="K7" t="s">
        <v>26</v>
      </c>
      <c r="L7" t="s">
        <v>29</v>
      </c>
      <c r="M7">
        <v>1</v>
      </c>
      <c r="N7">
        <v>0</v>
      </c>
      <c r="O7">
        <v>22.5</v>
      </c>
      <c r="P7">
        <v>75</v>
      </c>
      <c r="Q7">
        <v>16.88</v>
      </c>
      <c r="R7" t="s">
        <v>28</v>
      </c>
      <c r="S7">
        <v>0</v>
      </c>
      <c r="T7">
        <v>16.88</v>
      </c>
    </row>
    <row r="8" spans="1:20" x14ac:dyDescent="0.25">
      <c r="A8" t="s">
        <v>32</v>
      </c>
      <c r="B8" t="s">
        <v>21</v>
      </c>
      <c r="C8" t="s">
        <v>33</v>
      </c>
      <c r="D8" s="1">
        <v>45785</v>
      </c>
      <c r="E8" s="1">
        <v>45816</v>
      </c>
      <c r="F8">
        <v>1</v>
      </c>
      <c r="G8">
        <v>8</v>
      </c>
      <c r="H8" t="s">
        <v>23</v>
      </c>
      <c r="I8" t="s">
        <v>24</v>
      </c>
      <c r="J8" t="s">
        <v>25</v>
      </c>
      <c r="K8" t="s">
        <v>26</v>
      </c>
      <c r="L8" t="s">
        <v>30</v>
      </c>
      <c r="M8">
        <v>1</v>
      </c>
      <c r="N8">
        <v>0</v>
      </c>
      <c r="O8">
        <v>5.53</v>
      </c>
      <c r="P8">
        <v>75</v>
      </c>
      <c r="Q8">
        <v>4.1500000000000004</v>
      </c>
      <c r="R8" t="s">
        <v>28</v>
      </c>
      <c r="S8">
        <v>0</v>
      </c>
      <c r="T8">
        <v>4.1500000000000004</v>
      </c>
    </row>
    <row r="9" spans="1:20" x14ac:dyDescent="0.25">
      <c r="A9" t="s">
        <v>32</v>
      </c>
      <c r="B9" t="s">
        <v>21</v>
      </c>
      <c r="C9" t="s">
        <v>33</v>
      </c>
      <c r="D9" s="1">
        <v>45785</v>
      </c>
      <c r="E9" s="1">
        <v>45816</v>
      </c>
      <c r="F9">
        <v>1</v>
      </c>
      <c r="G9">
        <v>8</v>
      </c>
      <c r="H9" t="s">
        <v>23</v>
      </c>
      <c r="I9" t="s">
        <v>24</v>
      </c>
      <c r="J9" t="s">
        <v>25</v>
      </c>
      <c r="K9" t="s">
        <v>26</v>
      </c>
      <c r="L9" t="s">
        <v>31</v>
      </c>
      <c r="M9">
        <v>1</v>
      </c>
      <c r="N9">
        <v>92.54</v>
      </c>
      <c r="O9">
        <v>59.76</v>
      </c>
      <c r="P9">
        <v>75</v>
      </c>
      <c r="Q9">
        <v>44.82</v>
      </c>
      <c r="R9" t="s">
        <v>28</v>
      </c>
      <c r="S9">
        <v>0</v>
      </c>
      <c r="T9">
        <v>44.82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1110-9F89-45BA-9DA4-821A26EC106B}">
  <dimension ref="A1:U11"/>
  <sheetViews>
    <sheetView tabSelected="1" workbookViewId="0">
      <selection activeCell="A2" sqref="A2:A9"/>
    </sheetView>
  </sheetViews>
  <sheetFormatPr defaultRowHeight="15" x14ac:dyDescent="0.25"/>
  <cols>
    <col min="1" max="1" width="11.42578125" bestFit="1" customWidth="1"/>
    <col min="3" max="3" width="14.7109375" bestFit="1" customWidth="1"/>
    <col min="11" max="11" width="12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25">
      <c r="A2" t="s">
        <v>20</v>
      </c>
      <c r="B2" t="s">
        <v>21</v>
      </c>
      <c r="C2" t="s">
        <v>22</v>
      </c>
      <c r="D2" s="1">
        <v>45785</v>
      </c>
      <c r="E2" s="1">
        <v>45816</v>
      </c>
      <c r="F2">
        <v>1</v>
      </c>
      <c r="G2">
        <v>8</v>
      </c>
      <c r="H2">
        <v>9079571</v>
      </c>
      <c r="I2" t="s">
        <v>34</v>
      </c>
      <c r="J2" t="s">
        <v>25</v>
      </c>
      <c r="K2" t="str">
        <f>CONCATENATE(I2, " ",J2)</f>
        <v xml:space="preserve">ADAM RICHTER             </v>
      </c>
      <c r="L2" t="s">
        <v>27</v>
      </c>
      <c r="M2">
        <v>1</v>
      </c>
      <c r="N2">
        <v>0</v>
      </c>
      <c r="O2">
        <v>4.83</v>
      </c>
      <c r="P2">
        <v>75</v>
      </c>
      <c r="Q2">
        <v>3.62</v>
      </c>
      <c r="R2" t="s">
        <v>28</v>
      </c>
      <c r="S2">
        <v>0</v>
      </c>
      <c r="T2">
        <v>3.62</v>
      </c>
      <c r="U2" t="s">
        <v>35</v>
      </c>
    </row>
    <row r="3" spans="1:21" x14ac:dyDescent="0.25">
      <c r="A3" t="s">
        <v>20</v>
      </c>
      <c r="B3" t="s">
        <v>21</v>
      </c>
      <c r="C3" t="s">
        <v>22</v>
      </c>
      <c r="D3" s="1">
        <v>45785</v>
      </c>
      <c r="E3" s="1">
        <v>45816</v>
      </c>
      <c r="F3">
        <v>1</v>
      </c>
      <c r="G3">
        <v>8</v>
      </c>
      <c r="H3">
        <v>9079571</v>
      </c>
      <c r="I3" t="s">
        <v>34</v>
      </c>
      <c r="J3" t="s">
        <v>25</v>
      </c>
      <c r="K3" t="str">
        <f t="shared" ref="K3:K9" si="0">CONCATENATE(I3, " ",J3)</f>
        <v xml:space="preserve">ADAM RICHTER             </v>
      </c>
      <c r="L3" t="s">
        <v>29</v>
      </c>
      <c r="M3">
        <v>1</v>
      </c>
      <c r="N3">
        <v>0</v>
      </c>
      <c r="O3">
        <v>29.35</v>
      </c>
      <c r="P3">
        <v>75</v>
      </c>
      <c r="Q3">
        <v>22.01</v>
      </c>
      <c r="R3" t="s">
        <v>28</v>
      </c>
      <c r="S3">
        <v>0</v>
      </c>
      <c r="T3">
        <v>22.01</v>
      </c>
      <c r="U3" t="s">
        <v>35</v>
      </c>
    </row>
    <row r="4" spans="1:21" x14ac:dyDescent="0.25">
      <c r="A4" t="s">
        <v>20</v>
      </c>
      <c r="B4" t="s">
        <v>21</v>
      </c>
      <c r="C4" t="s">
        <v>22</v>
      </c>
      <c r="D4" s="1">
        <v>45785</v>
      </c>
      <c r="E4" s="1">
        <v>45816</v>
      </c>
      <c r="F4">
        <v>1</v>
      </c>
      <c r="G4">
        <v>8</v>
      </c>
      <c r="H4">
        <v>9079571</v>
      </c>
      <c r="I4" t="s">
        <v>34</v>
      </c>
      <c r="J4" t="s">
        <v>25</v>
      </c>
      <c r="K4" t="str">
        <f t="shared" si="0"/>
        <v xml:space="preserve">ADAM RICHTER             </v>
      </c>
      <c r="L4" t="s">
        <v>30</v>
      </c>
      <c r="M4">
        <v>1</v>
      </c>
      <c r="N4">
        <v>0</v>
      </c>
      <c r="O4">
        <v>11.4</v>
      </c>
      <c r="P4">
        <v>75</v>
      </c>
      <c r="Q4">
        <v>8.5500000000000007</v>
      </c>
      <c r="R4" t="s">
        <v>28</v>
      </c>
      <c r="S4">
        <v>0</v>
      </c>
      <c r="T4">
        <v>8.5500000000000007</v>
      </c>
      <c r="U4" t="s">
        <v>35</v>
      </c>
    </row>
    <row r="5" spans="1:21" x14ac:dyDescent="0.25">
      <c r="A5" t="s">
        <v>20</v>
      </c>
      <c r="B5" t="s">
        <v>21</v>
      </c>
      <c r="C5" t="s">
        <v>22</v>
      </c>
      <c r="D5" s="1">
        <v>45785</v>
      </c>
      <c r="E5" s="1">
        <v>45816</v>
      </c>
      <c r="F5">
        <v>1</v>
      </c>
      <c r="G5">
        <v>8</v>
      </c>
      <c r="H5">
        <v>9079571</v>
      </c>
      <c r="I5" t="s">
        <v>34</v>
      </c>
      <c r="J5" t="s">
        <v>25</v>
      </c>
      <c r="K5" t="str">
        <f t="shared" si="0"/>
        <v xml:space="preserve">ADAM RICHTER             </v>
      </c>
      <c r="L5" t="s">
        <v>31</v>
      </c>
      <c r="M5">
        <v>1</v>
      </c>
      <c r="N5">
        <v>145.01</v>
      </c>
      <c r="O5">
        <v>97.76</v>
      </c>
      <c r="P5">
        <v>75</v>
      </c>
      <c r="Q5">
        <v>73.319999999999993</v>
      </c>
      <c r="R5" t="s">
        <v>28</v>
      </c>
      <c r="S5">
        <v>0</v>
      </c>
      <c r="T5">
        <v>73.319999999999993</v>
      </c>
      <c r="U5" t="s">
        <v>35</v>
      </c>
    </row>
    <row r="6" spans="1:21" x14ac:dyDescent="0.25">
      <c r="A6" t="s">
        <v>32</v>
      </c>
      <c r="B6" t="s">
        <v>21</v>
      </c>
      <c r="C6" t="s">
        <v>33</v>
      </c>
      <c r="D6" s="1">
        <v>45785</v>
      </c>
      <c r="E6" s="1">
        <v>45816</v>
      </c>
      <c r="F6">
        <v>1</v>
      </c>
      <c r="G6">
        <v>8</v>
      </c>
      <c r="H6">
        <v>9079571</v>
      </c>
      <c r="I6" t="s">
        <v>34</v>
      </c>
      <c r="J6" t="s">
        <v>25</v>
      </c>
      <c r="K6" t="str">
        <f t="shared" si="0"/>
        <v xml:space="preserve">ADAM RICHTER             </v>
      </c>
      <c r="L6" t="s">
        <v>27</v>
      </c>
      <c r="M6">
        <v>1</v>
      </c>
      <c r="N6">
        <v>0</v>
      </c>
      <c r="O6">
        <v>3.08</v>
      </c>
      <c r="P6">
        <v>75</v>
      </c>
      <c r="Q6">
        <v>2.31</v>
      </c>
      <c r="R6" t="s">
        <v>28</v>
      </c>
      <c r="S6">
        <v>0</v>
      </c>
      <c r="T6">
        <v>2.31</v>
      </c>
      <c r="U6" t="s">
        <v>35</v>
      </c>
    </row>
    <row r="7" spans="1:21" x14ac:dyDescent="0.25">
      <c r="A7" t="s">
        <v>32</v>
      </c>
      <c r="B7" t="s">
        <v>21</v>
      </c>
      <c r="C7" t="s">
        <v>33</v>
      </c>
      <c r="D7" s="1">
        <v>45785</v>
      </c>
      <c r="E7" s="1">
        <v>45816</v>
      </c>
      <c r="F7">
        <v>1</v>
      </c>
      <c r="G7">
        <v>8</v>
      </c>
      <c r="H7">
        <v>9079571</v>
      </c>
      <c r="I7" t="s">
        <v>34</v>
      </c>
      <c r="J7" t="s">
        <v>25</v>
      </c>
      <c r="K7" t="str">
        <f t="shared" si="0"/>
        <v xml:space="preserve">ADAM RICHTER             </v>
      </c>
      <c r="L7" t="s">
        <v>29</v>
      </c>
      <c r="M7">
        <v>1</v>
      </c>
      <c r="N7">
        <v>0</v>
      </c>
      <c r="O7">
        <v>22.5</v>
      </c>
      <c r="P7">
        <v>75</v>
      </c>
      <c r="Q7">
        <v>16.88</v>
      </c>
      <c r="R7" t="s">
        <v>28</v>
      </c>
      <c r="S7">
        <v>0</v>
      </c>
      <c r="T7">
        <v>16.88</v>
      </c>
      <c r="U7" t="s">
        <v>35</v>
      </c>
    </row>
    <row r="8" spans="1:21" x14ac:dyDescent="0.25">
      <c r="A8" t="s">
        <v>32</v>
      </c>
      <c r="B8" t="s">
        <v>21</v>
      </c>
      <c r="C8" t="s">
        <v>33</v>
      </c>
      <c r="D8" s="1">
        <v>45785</v>
      </c>
      <c r="E8" s="1">
        <v>45816</v>
      </c>
      <c r="F8">
        <v>1</v>
      </c>
      <c r="G8">
        <v>8</v>
      </c>
      <c r="H8">
        <v>9079571</v>
      </c>
      <c r="I8" t="s">
        <v>34</v>
      </c>
      <c r="J8" t="s">
        <v>25</v>
      </c>
      <c r="K8" t="str">
        <f t="shared" si="0"/>
        <v xml:space="preserve">ADAM RICHTER             </v>
      </c>
      <c r="L8" t="s">
        <v>30</v>
      </c>
      <c r="M8">
        <v>1</v>
      </c>
      <c r="N8">
        <v>0</v>
      </c>
      <c r="O8">
        <v>5.53</v>
      </c>
      <c r="P8">
        <v>75</v>
      </c>
      <c r="Q8">
        <v>4.1500000000000004</v>
      </c>
      <c r="R8" t="s">
        <v>28</v>
      </c>
      <c r="S8">
        <v>0</v>
      </c>
      <c r="T8">
        <v>4.1500000000000004</v>
      </c>
      <c r="U8" t="s">
        <v>35</v>
      </c>
    </row>
    <row r="9" spans="1:21" x14ac:dyDescent="0.25">
      <c r="A9" t="s">
        <v>32</v>
      </c>
      <c r="B9" t="s">
        <v>21</v>
      </c>
      <c r="C9" t="s">
        <v>33</v>
      </c>
      <c r="D9" s="1">
        <v>45785</v>
      </c>
      <c r="E9" s="1">
        <v>45816</v>
      </c>
      <c r="F9">
        <v>1</v>
      </c>
      <c r="G9">
        <v>8</v>
      </c>
      <c r="H9">
        <v>9079571</v>
      </c>
      <c r="I9" t="s">
        <v>34</v>
      </c>
      <c r="J9" t="s">
        <v>25</v>
      </c>
      <c r="K9" t="str">
        <f t="shared" si="0"/>
        <v xml:space="preserve">ADAM RICHTER             </v>
      </c>
      <c r="L9" t="s">
        <v>31</v>
      </c>
      <c r="M9">
        <v>1</v>
      </c>
      <c r="N9">
        <v>92.54</v>
      </c>
      <c r="O9">
        <v>59.76</v>
      </c>
      <c r="P9">
        <v>75</v>
      </c>
      <c r="Q9">
        <v>44.82</v>
      </c>
      <c r="R9" t="s">
        <v>28</v>
      </c>
      <c r="S9">
        <v>0</v>
      </c>
      <c r="T9">
        <v>44.82</v>
      </c>
      <c r="U9" t="s">
        <v>35</v>
      </c>
    </row>
    <row r="11" spans="1:21" x14ac:dyDescent="0.25">
      <c r="P11">
        <f>59.76*75%</f>
        <v>44.82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011I7200_WC_05-14-2025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2025-05-15T16:23:09Z</dcterms:created>
  <dcterms:modified xsi:type="dcterms:W3CDTF">2025-05-16T18:26:15Z</dcterms:modified>
</cp:coreProperties>
</file>