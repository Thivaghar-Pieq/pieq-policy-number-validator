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GTL\weekly\9-3-25\"/>
    </mc:Choice>
  </mc:AlternateContent>
  <xr:revisionPtr revIDLastSave="0" documentId="13_ncr:1_{4B6FA3B3-F3B7-429F-93E4-EDD0D7B407C5}" xr6:coauthVersionLast="47" xr6:coauthVersionMax="47" xr10:uidLastSave="{00000000-0000-0000-0000-000000000000}"/>
  <bookViews>
    <workbookView xWindow="28680" yWindow="-120" windowWidth="29040" windowHeight="16440" activeTab="1" xr2:uid="{CCEF91C4-FE1A-48B3-AE35-94400B311467}"/>
  </bookViews>
  <sheets>
    <sheet name="011I7200_WC_09-03-2025" sheetId="1" r:id="rId1"/>
    <sheet name="Sheet1" sheetId="2" r:id="rId2"/>
  </sheets>
  <calcPr calcId="181029"/>
</workbook>
</file>

<file path=xl/calcChain.xml><?xml version="1.0" encoding="utf-8"?>
<calcChain xmlns="http://schemas.openxmlformats.org/spreadsheetml/2006/main">
  <c r="E3" i="2" l="1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3" i="2"/>
  <c r="M4" i="2"/>
  <c r="M5" i="2"/>
  <c r="M2" i="2"/>
</calcChain>
</file>

<file path=xl/sharedStrings.xml><?xml version="1.0" encoding="utf-8"?>
<sst xmlns="http://schemas.openxmlformats.org/spreadsheetml/2006/main" count="320" uniqueCount="72">
  <si>
    <t>Policy Nbr</t>
  </si>
  <si>
    <t>Issue State</t>
  </si>
  <si>
    <t>Desc</t>
  </si>
  <si>
    <t>Effective Date</t>
  </si>
  <si>
    <t>Paid To Date</t>
  </si>
  <si>
    <t>Mode</t>
  </si>
  <si>
    <t>Day Paid</t>
  </si>
  <si>
    <t>Agent Nbr</t>
  </si>
  <si>
    <t>First Name</t>
  </si>
  <si>
    <t>Last Name</t>
  </si>
  <si>
    <t>Agency</t>
  </si>
  <si>
    <t>Policy Form</t>
  </si>
  <si>
    <t>Trans Type</t>
  </si>
  <si>
    <t>Prem Paid Amt</t>
  </si>
  <si>
    <t>Comm Prem Amt</t>
  </si>
  <si>
    <t>Comm Rate</t>
  </si>
  <si>
    <t xml:space="preserve">Comm Amt </t>
  </si>
  <si>
    <t>Code</t>
  </si>
  <si>
    <t>Retained or Recovery</t>
  </si>
  <si>
    <t>Comm Amt Due</t>
  </si>
  <si>
    <t>GTA6392199</t>
  </si>
  <si>
    <t>MD</t>
  </si>
  <si>
    <t>LYSIC MACHELL</t>
  </si>
  <si>
    <t xml:space="preserve">011I7206    </t>
  </si>
  <si>
    <t xml:space="preserve">ADAM                </t>
  </si>
  <si>
    <t xml:space="preserve">RICHTER             </t>
  </si>
  <si>
    <t xml:space="preserve">                                                  </t>
  </si>
  <si>
    <t xml:space="preserve">GNASB </t>
  </si>
  <si>
    <t xml:space="preserve"> </t>
  </si>
  <si>
    <t xml:space="preserve">GNASH </t>
  </si>
  <si>
    <t xml:space="preserve">GNCGB </t>
  </si>
  <si>
    <t xml:space="preserve">GNHHC </t>
  </si>
  <si>
    <t>GTA6386727</t>
  </si>
  <si>
    <t>PA</t>
  </si>
  <si>
    <t>LENGYEL DONNA</t>
  </si>
  <si>
    <t xml:space="preserve">011I7208    </t>
  </si>
  <si>
    <t xml:space="preserve">CAROL               </t>
  </si>
  <si>
    <t xml:space="preserve">FOLEY               </t>
  </si>
  <si>
    <t xml:space="preserve">M20CA </t>
  </si>
  <si>
    <t xml:space="preserve">M20FE </t>
  </si>
  <si>
    <t xml:space="preserve">M20OS </t>
  </si>
  <si>
    <t xml:space="preserve">MAP20 </t>
  </si>
  <si>
    <t>GTA6392742</t>
  </si>
  <si>
    <t>WA</t>
  </si>
  <si>
    <t xml:space="preserve">POPE THERESA </t>
  </si>
  <si>
    <t xml:space="preserve">011I7214    </t>
  </si>
  <si>
    <t xml:space="preserve">JARED               </t>
  </si>
  <si>
    <t xml:space="preserve">KINYUA              </t>
  </si>
  <si>
    <t xml:space="preserve">M19AS </t>
  </si>
  <si>
    <t xml:space="preserve">M19OS </t>
  </si>
  <si>
    <t xml:space="preserve">M19SN </t>
  </si>
  <si>
    <t xml:space="preserve">M19SS </t>
  </si>
  <si>
    <t xml:space="preserve">MAP19 </t>
  </si>
  <si>
    <t>GTA6392743</t>
  </si>
  <si>
    <t xml:space="preserve">GCANP </t>
  </si>
  <si>
    <t xml:space="preserve">GPRME </t>
  </si>
  <si>
    <t xml:space="preserve">GRCBB </t>
  </si>
  <si>
    <t xml:space="preserve">GRSCR </t>
  </si>
  <si>
    <t xml:space="preserve">GRWEL </t>
  </si>
  <si>
    <t>ADAM</t>
  </si>
  <si>
    <t>CAROL</t>
  </si>
  <si>
    <t>JARED</t>
  </si>
  <si>
    <t>GTL Short Term Home Health Care (75)</t>
  </si>
  <si>
    <t>GTL ADVANTAGE PLUS(65)</t>
  </si>
  <si>
    <t>GTL ADVANTAGE PLUS Dental Vison(60)</t>
  </si>
  <si>
    <t>GTL ADVANTAGE PLUS Dental Vison(55)</t>
  </si>
  <si>
    <t>LYSIC</t>
  </si>
  <si>
    <t>MACHELL</t>
  </si>
  <si>
    <t>LENGYEL</t>
  </si>
  <si>
    <t>DONNA</t>
  </si>
  <si>
    <t>POPE</t>
  </si>
  <si>
    <t>THERESA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</si>
</sst>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B96EA-010D-47B1-B50F-BF631DAEA6BE}">
  <dimension ref="A1:T19"/>
  <sheetViews>
    <sheetView workbookViewId="0">
      <selection sqref="A1:XFD1048576"/>
    </sheetView>
  </sheetViews>
  <sheetFormatPr defaultRowHeight="15" x14ac:dyDescent="0.25"/>
  <cols>
    <col min="1" max="1" width="11.4257812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t="s">
        <v>20</v>
      </c>
      <c r="B2" t="s">
        <v>21</v>
      </c>
      <c r="C2" t="s">
        <v>22</v>
      </c>
      <c r="D2" s="1">
        <v>45898</v>
      </c>
      <c r="E2" s="1">
        <v>45929</v>
      </c>
      <c r="F2">
        <v>1</v>
      </c>
      <c r="G2">
        <v>1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>
        <v>1</v>
      </c>
      <c r="N2">
        <v>0</v>
      </c>
      <c r="O2">
        <v>3.08</v>
      </c>
      <c r="P2">
        <v>75</v>
      </c>
      <c r="Q2">
        <v>2.31</v>
      </c>
      <c r="R2" t="s">
        <v>28</v>
      </c>
      <c r="S2">
        <v>0</v>
      </c>
      <c r="T2">
        <v>2.31</v>
      </c>
    </row>
    <row r="3" spans="1:20" x14ac:dyDescent="0.25">
      <c r="A3" t="s">
        <v>20</v>
      </c>
      <c r="B3" t="s">
        <v>21</v>
      </c>
      <c r="C3" t="s">
        <v>22</v>
      </c>
      <c r="D3" s="1">
        <v>45898</v>
      </c>
      <c r="E3" s="1">
        <v>45929</v>
      </c>
      <c r="F3">
        <v>1</v>
      </c>
      <c r="G3">
        <v>1</v>
      </c>
      <c r="H3" t="s">
        <v>23</v>
      </c>
      <c r="I3" t="s">
        <v>24</v>
      </c>
      <c r="J3" t="s">
        <v>25</v>
      </c>
      <c r="K3" t="s">
        <v>26</v>
      </c>
      <c r="L3" t="s">
        <v>29</v>
      </c>
      <c r="M3">
        <v>1</v>
      </c>
      <c r="N3">
        <v>0</v>
      </c>
      <c r="O3">
        <v>22.5</v>
      </c>
      <c r="P3">
        <v>75</v>
      </c>
      <c r="Q3">
        <v>16.88</v>
      </c>
      <c r="R3" t="s">
        <v>28</v>
      </c>
      <c r="S3">
        <v>0</v>
      </c>
      <c r="T3">
        <v>16.88</v>
      </c>
    </row>
    <row r="4" spans="1:20" x14ac:dyDescent="0.25">
      <c r="A4" t="s">
        <v>20</v>
      </c>
      <c r="B4" t="s">
        <v>21</v>
      </c>
      <c r="C4" t="s">
        <v>22</v>
      </c>
      <c r="D4" s="1">
        <v>45898</v>
      </c>
      <c r="E4" s="1">
        <v>45929</v>
      </c>
      <c r="F4">
        <v>1</v>
      </c>
      <c r="G4">
        <v>1</v>
      </c>
      <c r="H4" t="s">
        <v>23</v>
      </c>
      <c r="I4" t="s">
        <v>24</v>
      </c>
      <c r="J4" t="s">
        <v>25</v>
      </c>
      <c r="K4" t="s">
        <v>26</v>
      </c>
      <c r="L4" t="s">
        <v>30</v>
      </c>
      <c r="M4">
        <v>1</v>
      </c>
      <c r="N4">
        <v>0</v>
      </c>
      <c r="O4">
        <v>5.53</v>
      </c>
      <c r="P4">
        <v>75</v>
      </c>
      <c r="Q4">
        <v>4.1500000000000004</v>
      </c>
      <c r="R4" t="s">
        <v>28</v>
      </c>
      <c r="S4">
        <v>0</v>
      </c>
      <c r="T4">
        <v>4.1500000000000004</v>
      </c>
    </row>
    <row r="5" spans="1:20" x14ac:dyDescent="0.25">
      <c r="A5" t="s">
        <v>20</v>
      </c>
      <c r="B5" t="s">
        <v>21</v>
      </c>
      <c r="C5" t="s">
        <v>22</v>
      </c>
      <c r="D5" s="1">
        <v>45898</v>
      </c>
      <c r="E5" s="1">
        <v>45929</v>
      </c>
      <c r="F5">
        <v>1</v>
      </c>
      <c r="G5">
        <v>1</v>
      </c>
      <c r="H5" t="s">
        <v>23</v>
      </c>
      <c r="I5" t="s">
        <v>24</v>
      </c>
      <c r="J5" t="s">
        <v>25</v>
      </c>
      <c r="K5" t="s">
        <v>26</v>
      </c>
      <c r="L5" t="s">
        <v>31</v>
      </c>
      <c r="M5">
        <v>1</v>
      </c>
      <c r="N5">
        <v>92.54</v>
      </c>
      <c r="O5">
        <v>59.76</v>
      </c>
      <c r="P5">
        <v>75</v>
      </c>
      <c r="Q5">
        <v>44.82</v>
      </c>
      <c r="R5" t="s">
        <v>28</v>
      </c>
      <c r="S5">
        <v>0</v>
      </c>
      <c r="T5">
        <v>44.82</v>
      </c>
    </row>
    <row r="6" spans="1:20" x14ac:dyDescent="0.25">
      <c r="A6" t="s">
        <v>32</v>
      </c>
      <c r="B6" t="s">
        <v>33</v>
      </c>
      <c r="C6" t="s">
        <v>34</v>
      </c>
      <c r="D6" s="1">
        <v>45901</v>
      </c>
      <c r="E6" s="1">
        <v>45931</v>
      </c>
      <c r="F6">
        <v>1</v>
      </c>
      <c r="G6">
        <v>1</v>
      </c>
      <c r="H6" t="s">
        <v>35</v>
      </c>
      <c r="I6" t="s">
        <v>36</v>
      </c>
      <c r="J6" t="s">
        <v>37</v>
      </c>
      <c r="K6" t="s">
        <v>26</v>
      </c>
      <c r="L6" t="s">
        <v>38</v>
      </c>
      <c r="M6">
        <v>1</v>
      </c>
      <c r="N6">
        <v>0</v>
      </c>
      <c r="O6">
        <v>4.96</v>
      </c>
      <c r="P6">
        <v>65</v>
      </c>
      <c r="Q6">
        <v>3.22</v>
      </c>
      <c r="R6" t="s">
        <v>28</v>
      </c>
      <c r="S6">
        <v>0</v>
      </c>
      <c r="T6">
        <v>3.22</v>
      </c>
    </row>
    <row r="7" spans="1:20" x14ac:dyDescent="0.25">
      <c r="A7" t="s">
        <v>32</v>
      </c>
      <c r="B7" t="s">
        <v>33</v>
      </c>
      <c r="C7" t="s">
        <v>34</v>
      </c>
      <c r="D7" s="1">
        <v>45901</v>
      </c>
      <c r="E7" s="1">
        <v>45931</v>
      </c>
      <c r="F7">
        <v>1</v>
      </c>
      <c r="G7">
        <v>1</v>
      </c>
      <c r="H7" t="s">
        <v>35</v>
      </c>
      <c r="I7" t="s">
        <v>36</v>
      </c>
      <c r="J7" t="s">
        <v>37</v>
      </c>
      <c r="K7" t="s">
        <v>26</v>
      </c>
      <c r="L7" t="s">
        <v>39</v>
      </c>
      <c r="M7">
        <v>1</v>
      </c>
      <c r="N7">
        <v>0</v>
      </c>
      <c r="O7">
        <v>1.68</v>
      </c>
      <c r="P7">
        <v>65</v>
      </c>
      <c r="Q7">
        <v>1.0900000000000001</v>
      </c>
      <c r="R7" t="s">
        <v>28</v>
      </c>
      <c r="S7">
        <v>0</v>
      </c>
      <c r="T7">
        <v>1.0900000000000001</v>
      </c>
    </row>
    <row r="8" spans="1:20" x14ac:dyDescent="0.25">
      <c r="A8" t="s">
        <v>32</v>
      </c>
      <c r="B8" t="s">
        <v>33</v>
      </c>
      <c r="C8" t="s">
        <v>34</v>
      </c>
      <c r="D8" s="1">
        <v>45901</v>
      </c>
      <c r="E8" s="1">
        <v>45931</v>
      </c>
      <c r="F8">
        <v>1</v>
      </c>
      <c r="G8">
        <v>1</v>
      </c>
      <c r="H8" t="s">
        <v>35</v>
      </c>
      <c r="I8" t="s">
        <v>36</v>
      </c>
      <c r="J8" t="s">
        <v>37</v>
      </c>
      <c r="K8" t="s">
        <v>26</v>
      </c>
      <c r="L8" t="s">
        <v>40</v>
      </c>
      <c r="M8">
        <v>1</v>
      </c>
      <c r="N8">
        <v>0</v>
      </c>
      <c r="O8">
        <v>12.43</v>
      </c>
      <c r="P8">
        <v>65</v>
      </c>
      <c r="Q8">
        <v>8.08</v>
      </c>
      <c r="R8" t="s">
        <v>28</v>
      </c>
      <c r="S8">
        <v>0</v>
      </c>
      <c r="T8">
        <v>8.08</v>
      </c>
    </row>
    <row r="9" spans="1:20" x14ac:dyDescent="0.25">
      <c r="A9" t="s">
        <v>32</v>
      </c>
      <c r="B9" t="s">
        <v>33</v>
      </c>
      <c r="C9" t="s">
        <v>34</v>
      </c>
      <c r="D9" s="1">
        <v>45901</v>
      </c>
      <c r="E9" s="1">
        <v>45931</v>
      </c>
      <c r="F9">
        <v>1</v>
      </c>
      <c r="G9">
        <v>1</v>
      </c>
      <c r="H9" t="s">
        <v>35</v>
      </c>
      <c r="I9" t="s">
        <v>36</v>
      </c>
      <c r="J9" t="s">
        <v>37</v>
      </c>
      <c r="K9" t="s">
        <v>26</v>
      </c>
      <c r="L9" t="s">
        <v>41</v>
      </c>
      <c r="M9">
        <v>1</v>
      </c>
      <c r="N9">
        <v>55.78</v>
      </c>
      <c r="O9">
        <v>36.71</v>
      </c>
      <c r="P9">
        <v>65</v>
      </c>
      <c r="Q9">
        <v>23.86</v>
      </c>
      <c r="R9" t="s">
        <v>28</v>
      </c>
      <c r="S9">
        <v>0</v>
      </c>
      <c r="T9">
        <v>23.86</v>
      </c>
    </row>
    <row r="10" spans="1:20" x14ac:dyDescent="0.25">
      <c r="A10" t="s">
        <v>42</v>
      </c>
      <c r="B10" t="s">
        <v>43</v>
      </c>
      <c r="C10" t="s">
        <v>44</v>
      </c>
      <c r="D10" s="1">
        <v>45902</v>
      </c>
      <c r="E10" s="1">
        <v>45932</v>
      </c>
      <c r="F10">
        <v>1</v>
      </c>
      <c r="G10">
        <v>3</v>
      </c>
      <c r="H10" t="s">
        <v>45</v>
      </c>
      <c r="I10" t="s">
        <v>46</v>
      </c>
      <c r="J10" t="s">
        <v>47</v>
      </c>
      <c r="K10" t="s">
        <v>26</v>
      </c>
      <c r="L10" t="s">
        <v>48</v>
      </c>
      <c r="M10">
        <v>1</v>
      </c>
      <c r="N10">
        <v>0</v>
      </c>
      <c r="O10">
        <v>4.38</v>
      </c>
      <c r="P10">
        <v>55</v>
      </c>
      <c r="Q10">
        <v>2.41</v>
      </c>
      <c r="R10" t="s">
        <v>28</v>
      </c>
      <c r="S10">
        <v>0</v>
      </c>
      <c r="T10">
        <v>2.41</v>
      </c>
    </row>
    <row r="11" spans="1:20" x14ac:dyDescent="0.25">
      <c r="A11" t="s">
        <v>42</v>
      </c>
      <c r="B11" t="s">
        <v>43</v>
      </c>
      <c r="C11" t="s">
        <v>44</v>
      </c>
      <c r="D11" s="1">
        <v>45902</v>
      </c>
      <c r="E11" s="1">
        <v>45932</v>
      </c>
      <c r="F11">
        <v>1</v>
      </c>
      <c r="G11">
        <v>3</v>
      </c>
      <c r="H11" t="s">
        <v>45</v>
      </c>
      <c r="I11" t="s">
        <v>46</v>
      </c>
      <c r="J11" t="s">
        <v>47</v>
      </c>
      <c r="K11" t="s">
        <v>26</v>
      </c>
      <c r="L11" t="s">
        <v>49</v>
      </c>
      <c r="M11">
        <v>1</v>
      </c>
      <c r="N11">
        <v>0</v>
      </c>
      <c r="O11">
        <v>14.91</v>
      </c>
      <c r="P11">
        <v>55</v>
      </c>
      <c r="Q11">
        <v>8.1999999999999993</v>
      </c>
      <c r="R11" t="s">
        <v>28</v>
      </c>
      <c r="S11">
        <v>0</v>
      </c>
      <c r="T11">
        <v>8.1999999999999993</v>
      </c>
    </row>
    <row r="12" spans="1:20" x14ac:dyDescent="0.25">
      <c r="A12" t="s">
        <v>42</v>
      </c>
      <c r="B12" t="s">
        <v>43</v>
      </c>
      <c r="C12" t="s">
        <v>44</v>
      </c>
      <c r="D12" s="1">
        <v>45902</v>
      </c>
      <c r="E12" s="1">
        <v>45932</v>
      </c>
      <c r="F12">
        <v>1</v>
      </c>
      <c r="G12">
        <v>3</v>
      </c>
      <c r="H12" t="s">
        <v>45</v>
      </c>
      <c r="I12" t="s">
        <v>46</v>
      </c>
      <c r="J12" t="s">
        <v>47</v>
      </c>
      <c r="K12" t="s">
        <v>26</v>
      </c>
      <c r="L12" t="s">
        <v>50</v>
      </c>
      <c r="M12">
        <v>1</v>
      </c>
      <c r="N12">
        <v>0</v>
      </c>
      <c r="O12">
        <v>8.15</v>
      </c>
      <c r="P12">
        <v>55</v>
      </c>
      <c r="Q12">
        <v>4.4800000000000004</v>
      </c>
      <c r="R12" t="s">
        <v>28</v>
      </c>
      <c r="S12">
        <v>0</v>
      </c>
      <c r="T12">
        <v>4.4800000000000004</v>
      </c>
    </row>
    <row r="13" spans="1:20" x14ac:dyDescent="0.25">
      <c r="A13" t="s">
        <v>42</v>
      </c>
      <c r="B13" t="s">
        <v>43</v>
      </c>
      <c r="C13" t="s">
        <v>44</v>
      </c>
      <c r="D13" s="1">
        <v>45902</v>
      </c>
      <c r="E13" s="1">
        <v>45932</v>
      </c>
      <c r="F13">
        <v>1</v>
      </c>
      <c r="G13">
        <v>3</v>
      </c>
      <c r="H13" t="s">
        <v>45</v>
      </c>
      <c r="I13" t="s">
        <v>46</v>
      </c>
      <c r="J13" t="s">
        <v>47</v>
      </c>
      <c r="K13" t="s">
        <v>26</v>
      </c>
      <c r="L13" t="s">
        <v>51</v>
      </c>
      <c r="M13">
        <v>1</v>
      </c>
      <c r="N13">
        <v>0</v>
      </c>
      <c r="O13">
        <v>0.98</v>
      </c>
      <c r="P13">
        <v>55</v>
      </c>
      <c r="Q13">
        <v>0.54</v>
      </c>
      <c r="R13" t="s">
        <v>28</v>
      </c>
      <c r="S13">
        <v>0</v>
      </c>
      <c r="T13">
        <v>0.54</v>
      </c>
    </row>
    <row r="14" spans="1:20" x14ac:dyDescent="0.25">
      <c r="A14" t="s">
        <v>42</v>
      </c>
      <c r="B14" t="s">
        <v>43</v>
      </c>
      <c r="C14" t="s">
        <v>44</v>
      </c>
      <c r="D14" s="1">
        <v>45902</v>
      </c>
      <c r="E14" s="1">
        <v>45932</v>
      </c>
      <c r="F14">
        <v>1</v>
      </c>
      <c r="G14">
        <v>3</v>
      </c>
      <c r="H14" t="s">
        <v>45</v>
      </c>
      <c r="I14" t="s">
        <v>46</v>
      </c>
      <c r="J14" t="s">
        <v>47</v>
      </c>
      <c r="K14" t="s">
        <v>26</v>
      </c>
      <c r="L14" t="s">
        <v>52</v>
      </c>
      <c r="M14">
        <v>1</v>
      </c>
      <c r="N14">
        <v>51.83</v>
      </c>
      <c r="O14">
        <v>23.41</v>
      </c>
      <c r="P14">
        <v>55</v>
      </c>
      <c r="Q14">
        <v>12.88</v>
      </c>
      <c r="R14" t="s">
        <v>28</v>
      </c>
      <c r="S14">
        <v>0</v>
      </c>
      <c r="T14">
        <v>12.88</v>
      </c>
    </row>
    <row r="15" spans="1:20" x14ac:dyDescent="0.25">
      <c r="A15" t="s">
        <v>53</v>
      </c>
      <c r="B15" t="s">
        <v>43</v>
      </c>
      <c r="C15" t="s">
        <v>44</v>
      </c>
      <c r="D15" s="1">
        <v>45902</v>
      </c>
      <c r="E15" s="1">
        <v>45932</v>
      </c>
      <c r="F15">
        <v>1</v>
      </c>
      <c r="G15">
        <v>3</v>
      </c>
      <c r="H15" t="s">
        <v>45</v>
      </c>
      <c r="I15" t="s">
        <v>46</v>
      </c>
      <c r="J15" t="s">
        <v>47</v>
      </c>
      <c r="K15" t="s">
        <v>26</v>
      </c>
      <c r="L15" t="s">
        <v>54</v>
      </c>
      <c r="M15">
        <v>1</v>
      </c>
      <c r="N15">
        <v>41.88</v>
      </c>
      <c r="O15">
        <v>21.67</v>
      </c>
      <c r="P15">
        <v>60</v>
      </c>
      <c r="Q15">
        <v>13</v>
      </c>
      <c r="R15" t="s">
        <v>28</v>
      </c>
      <c r="S15">
        <v>0</v>
      </c>
      <c r="T15">
        <v>13</v>
      </c>
    </row>
    <row r="16" spans="1:20" x14ac:dyDescent="0.25">
      <c r="A16" t="s">
        <v>53</v>
      </c>
      <c r="B16" t="s">
        <v>43</v>
      </c>
      <c r="C16" t="s">
        <v>44</v>
      </c>
      <c r="D16" s="1">
        <v>45902</v>
      </c>
      <c r="E16" s="1">
        <v>45932</v>
      </c>
      <c r="F16">
        <v>1</v>
      </c>
      <c r="G16">
        <v>3</v>
      </c>
      <c r="H16" t="s">
        <v>45</v>
      </c>
      <c r="I16" t="s">
        <v>46</v>
      </c>
      <c r="J16" t="s">
        <v>47</v>
      </c>
      <c r="K16" t="s">
        <v>26</v>
      </c>
      <c r="L16" t="s">
        <v>55</v>
      </c>
      <c r="M16">
        <v>1</v>
      </c>
      <c r="N16">
        <v>0</v>
      </c>
      <c r="O16">
        <v>9.2100000000000009</v>
      </c>
      <c r="P16">
        <v>60</v>
      </c>
      <c r="Q16">
        <v>5.53</v>
      </c>
      <c r="R16" t="s">
        <v>28</v>
      </c>
      <c r="S16">
        <v>0</v>
      </c>
      <c r="T16">
        <v>5.53</v>
      </c>
    </row>
    <row r="17" spans="1:20" x14ac:dyDescent="0.25">
      <c r="A17" t="s">
        <v>53</v>
      </c>
      <c r="B17" t="s">
        <v>43</v>
      </c>
      <c r="C17" t="s">
        <v>44</v>
      </c>
      <c r="D17" s="1">
        <v>45902</v>
      </c>
      <c r="E17" s="1">
        <v>45932</v>
      </c>
      <c r="F17">
        <v>1</v>
      </c>
      <c r="G17">
        <v>3</v>
      </c>
      <c r="H17" t="s">
        <v>45</v>
      </c>
      <c r="I17" t="s">
        <v>46</v>
      </c>
      <c r="J17" t="s">
        <v>47</v>
      </c>
      <c r="K17" t="s">
        <v>26</v>
      </c>
      <c r="L17" t="s">
        <v>56</v>
      </c>
      <c r="M17">
        <v>1</v>
      </c>
      <c r="N17">
        <v>0</v>
      </c>
      <c r="O17">
        <v>2.92</v>
      </c>
      <c r="P17">
        <v>60</v>
      </c>
      <c r="Q17">
        <v>1.75</v>
      </c>
      <c r="R17" t="s">
        <v>28</v>
      </c>
      <c r="S17">
        <v>0</v>
      </c>
      <c r="T17">
        <v>1.75</v>
      </c>
    </row>
    <row r="18" spans="1:20" x14ac:dyDescent="0.25">
      <c r="A18" t="s">
        <v>53</v>
      </c>
      <c r="B18" t="s">
        <v>43</v>
      </c>
      <c r="C18" t="s">
        <v>44</v>
      </c>
      <c r="D18" s="1">
        <v>45902</v>
      </c>
      <c r="E18" s="1">
        <v>45932</v>
      </c>
      <c r="F18">
        <v>1</v>
      </c>
      <c r="G18">
        <v>3</v>
      </c>
      <c r="H18" t="s">
        <v>45</v>
      </c>
      <c r="I18" t="s">
        <v>46</v>
      </c>
      <c r="J18" t="s">
        <v>47</v>
      </c>
      <c r="K18" t="s">
        <v>26</v>
      </c>
      <c r="L18" t="s">
        <v>57</v>
      </c>
      <c r="M18">
        <v>1</v>
      </c>
      <c r="N18">
        <v>0</v>
      </c>
      <c r="O18">
        <v>1.58</v>
      </c>
      <c r="P18">
        <v>60</v>
      </c>
      <c r="Q18">
        <v>0.95</v>
      </c>
      <c r="R18" t="s">
        <v>28</v>
      </c>
      <c r="S18">
        <v>0</v>
      </c>
      <c r="T18">
        <v>0.95</v>
      </c>
    </row>
    <row r="19" spans="1:20" x14ac:dyDescent="0.25">
      <c r="A19" t="s">
        <v>53</v>
      </c>
      <c r="B19" t="s">
        <v>43</v>
      </c>
      <c r="C19" t="s">
        <v>44</v>
      </c>
      <c r="D19" s="1">
        <v>45902</v>
      </c>
      <c r="E19" s="1">
        <v>45932</v>
      </c>
      <c r="F19">
        <v>1</v>
      </c>
      <c r="G19">
        <v>3</v>
      </c>
      <c r="H19" t="s">
        <v>45</v>
      </c>
      <c r="I19" t="s">
        <v>46</v>
      </c>
      <c r="J19" t="s">
        <v>47</v>
      </c>
      <c r="K19" t="s">
        <v>26</v>
      </c>
      <c r="L19" t="s">
        <v>58</v>
      </c>
      <c r="M19">
        <v>1</v>
      </c>
      <c r="N19">
        <v>0</v>
      </c>
      <c r="O19">
        <v>4.42</v>
      </c>
      <c r="P19">
        <v>60</v>
      </c>
      <c r="Q19">
        <v>2.65</v>
      </c>
      <c r="R19" t="s">
        <v>28</v>
      </c>
      <c r="S19">
        <v>0</v>
      </c>
      <c r="T19">
        <v>2.65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7DADD-14E4-496D-9B6A-F2EEA4C1BC3A}">
  <dimension ref="A1:Q19"/>
  <sheetViews>
    <sheetView tabSelected="1" workbookViewId="0">
      <selection activeCell="P2" sqref="P2:P19"/>
    </sheetView>
  </sheetViews>
  <sheetFormatPr defaultRowHeight="15" x14ac:dyDescent="0.25"/>
  <cols>
    <col min="1" max="1" width="11.42578125" bestFit="1" customWidth="1"/>
    <col min="3" max="3" width="15.7109375" bestFit="1" customWidth="1"/>
    <col min="4" max="6" width="15.7109375" customWidth="1"/>
    <col min="7" max="7" width="12.5703125" bestFit="1" customWidth="1"/>
    <col min="8" max="8" width="12" bestFit="1" customWidth="1"/>
    <col min="10" max="10" width="13" customWidth="1"/>
    <col min="13" max="13" width="26.85546875" bestFit="1" customWidth="1"/>
  </cols>
  <sheetData>
    <row r="1" spans="1:17" x14ac:dyDescent="0.25">
      <c r="A1" t="s">
        <v>0</v>
      </c>
      <c r="B1" t="s">
        <v>1</v>
      </c>
      <c r="C1" t="s">
        <v>2</v>
      </c>
      <c r="G1" t="s">
        <v>3</v>
      </c>
      <c r="H1" t="s">
        <v>4</v>
      </c>
      <c r="I1" t="s">
        <v>5</v>
      </c>
      <c r="J1" t="s">
        <v>7</v>
      </c>
      <c r="K1" t="s">
        <v>8</v>
      </c>
      <c r="L1" t="s">
        <v>9</v>
      </c>
      <c r="N1" t="s">
        <v>14</v>
      </c>
      <c r="O1" t="s">
        <v>15</v>
      </c>
      <c r="P1" t="s">
        <v>16</v>
      </c>
    </row>
    <row r="2" spans="1:17" x14ac:dyDescent="0.25">
      <c r="A2" t="s">
        <v>20</v>
      </c>
      <c r="B2" t="s">
        <v>21</v>
      </c>
      <c r="C2" t="s">
        <v>66</v>
      </c>
      <c r="D2" t="s">
        <v>67</v>
      </c>
      <c r="E2" t="str">
        <f>CONCATENATE(D2, " ",C2)</f>
        <v>MACHELL LYSIC</v>
      </c>
      <c r="G2" s="1">
        <v>45898</v>
      </c>
      <c r="H2" s="1">
        <v>45929</v>
      </c>
      <c r="I2">
        <v>1</v>
      </c>
      <c r="J2">
        <v>9079571</v>
      </c>
      <c r="K2" t="s">
        <v>59</v>
      </c>
      <c r="L2" t="s">
        <v>25</v>
      </c>
      <c r="M2" t="str">
        <f>CONCATENATE(K2, " ",L2)</f>
        <v xml:space="preserve">ADAM RICHTER             </v>
      </c>
      <c r="N2">
        <v>3.08</v>
      </c>
      <c r="O2">
        <v>75</v>
      </c>
      <c r="P2">
        <v>2.31</v>
      </c>
      <c r="Q2" t="s">
        <v>62</v>
      </c>
    </row>
    <row r="3" spans="1:17" x14ac:dyDescent="0.25">
      <c r="A3" t="s">
        <v>20</v>
      </c>
      <c r="B3" t="s">
        <v>21</v>
      </c>
      <c r="C3" t="s">
        <v>66</v>
      </c>
      <c r="D3" t="s">
        <v>67</v>
      </c>
      <c r="E3" t="str">
        <f t="shared" ref="E3:E19" si="0">CONCATENATE(D3, " ",C3)</f>
        <v>MACHELL LYSIC</v>
      </c>
      <c r="G3" s="1">
        <v>45898</v>
      </c>
      <c r="H3" s="1">
        <v>45929</v>
      </c>
      <c r="I3">
        <v>1</v>
      </c>
      <c r="J3">
        <v>9079571</v>
      </c>
      <c r="K3" t="s">
        <v>59</v>
      </c>
      <c r="L3" t="s">
        <v>25</v>
      </c>
      <c r="M3" t="str">
        <f t="shared" ref="M3:M19" si="1">CONCATENATE(K3, " ",L3)</f>
        <v xml:space="preserve">ADAM RICHTER             </v>
      </c>
      <c r="N3">
        <v>22.5</v>
      </c>
      <c r="O3">
        <v>75</v>
      </c>
      <c r="P3">
        <v>16.88</v>
      </c>
      <c r="Q3" t="s">
        <v>62</v>
      </c>
    </row>
    <row r="4" spans="1:17" x14ac:dyDescent="0.25">
      <c r="A4" t="s">
        <v>20</v>
      </c>
      <c r="B4" t="s">
        <v>21</v>
      </c>
      <c r="C4" t="s">
        <v>66</v>
      </c>
      <c r="D4" t="s">
        <v>67</v>
      </c>
      <c r="E4" t="str">
        <f t="shared" si="0"/>
        <v>MACHELL LYSIC</v>
      </c>
      <c r="G4" s="1">
        <v>45898</v>
      </c>
      <c r="H4" s="1">
        <v>45929</v>
      </c>
      <c r="I4">
        <v>1</v>
      </c>
      <c r="J4">
        <v>9079571</v>
      </c>
      <c r="K4" t="s">
        <v>59</v>
      </c>
      <c r="L4" t="s">
        <v>25</v>
      </c>
      <c r="M4" t="str">
        <f t="shared" si="1"/>
        <v xml:space="preserve">ADAM RICHTER             </v>
      </c>
      <c r="N4">
        <v>5.53</v>
      </c>
      <c r="O4">
        <v>75</v>
      </c>
      <c r="P4">
        <v>4.1500000000000004</v>
      </c>
      <c r="Q4" t="s">
        <v>62</v>
      </c>
    </row>
    <row r="5" spans="1:17" x14ac:dyDescent="0.25">
      <c r="A5" t="s">
        <v>20</v>
      </c>
      <c r="B5" t="s">
        <v>21</v>
      </c>
      <c r="C5" t="s">
        <v>66</v>
      </c>
      <c r="D5" t="s">
        <v>67</v>
      </c>
      <c r="E5" t="str">
        <f t="shared" si="0"/>
        <v>MACHELL LYSIC</v>
      </c>
      <c r="G5" s="1">
        <v>45898</v>
      </c>
      <c r="H5" s="1">
        <v>45929</v>
      </c>
      <c r="I5">
        <v>1</v>
      </c>
      <c r="J5">
        <v>9079571</v>
      </c>
      <c r="K5" t="s">
        <v>59</v>
      </c>
      <c r="L5" t="s">
        <v>25</v>
      </c>
      <c r="M5" t="str">
        <f t="shared" si="1"/>
        <v xml:space="preserve">ADAM RICHTER             </v>
      </c>
      <c r="N5">
        <v>59.76</v>
      </c>
      <c r="O5">
        <v>75</v>
      </c>
      <c r="P5">
        <v>44.82</v>
      </c>
      <c r="Q5" t="s">
        <v>62</v>
      </c>
    </row>
    <row r="6" spans="1:17" x14ac:dyDescent="0.25">
      <c r="A6" t="s">
        <v>32</v>
      </c>
      <c r="B6" t="s">
        <v>33</v>
      </c>
      <c r="C6" t="s">
        <v>68</v>
      </c>
      <c r="D6" t="s">
        <v>69</v>
      </c>
      <c r="E6" t="str">
        <f t="shared" si="0"/>
        <v>DONNA LENGYEL</v>
      </c>
      <c r="G6" s="1">
        <v>45901</v>
      </c>
      <c r="H6" s="1">
        <v>45931</v>
      </c>
      <c r="I6">
        <v>1</v>
      </c>
      <c r="J6">
        <v>17425766</v>
      </c>
      <c r="K6" t="s">
        <v>60</v>
      </c>
      <c r="L6" t="s">
        <v>37</v>
      </c>
      <c r="M6" t="str">
        <f t="shared" si="1"/>
        <v xml:space="preserve">CAROL FOLEY               </v>
      </c>
      <c r="N6">
        <v>4.96</v>
      </c>
      <c r="O6">
        <v>65</v>
      </c>
      <c r="P6">
        <v>3.22</v>
      </c>
      <c r="Q6" t="s">
        <v>63</v>
      </c>
    </row>
    <row r="7" spans="1:17" x14ac:dyDescent="0.25">
      <c r="A7" t="s">
        <v>32</v>
      </c>
      <c r="B7" t="s">
        <v>33</v>
      </c>
      <c r="C7" t="s">
        <v>68</v>
      </c>
      <c r="D7" t="s">
        <v>69</v>
      </c>
      <c r="E7" t="str">
        <f t="shared" si="0"/>
        <v>DONNA LENGYEL</v>
      </c>
      <c r="G7" s="1">
        <v>45901</v>
      </c>
      <c r="H7" s="1">
        <v>45931</v>
      </c>
      <c r="I7">
        <v>1</v>
      </c>
      <c r="J7">
        <v>17425766</v>
      </c>
      <c r="K7" t="s">
        <v>60</v>
      </c>
      <c r="L7" t="s">
        <v>37</v>
      </c>
      <c r="M7" t="str">
        <f t="shared" si="1"/>
        <v xml:space="preserve">CAROL FOLEY               </v>
      </c>
      <c r="N7">
        <v>1.68</v>
      </c>
      <c r="O7">
        <v>65</v>
      </c>
      <c r="P7">
        <v>1.0900000000000001</v>
      </c>
      <c r="Q7" t="s">
        <v>63</v>
      </c>
    </row>
    <row r="8" spans="1:17" x14ac:dyDescent="0.25">
      <c r="A8" t="s">
        <v>32</v>
      </c>
      <c r="B8" t="s">
        <v>33</v>
      </c>
      <c r="C8" t="s">
        <v>68</v>
      </c>
      <c r="D8" t="s">
        <v>69</v>
      </c>
      <c r="E8" t="str">
        <f t="shared" si="0"/>
        <v>DONNA LENGYEL</v>
      </c>
      <c r="G8" s="1">
        <v>45901</v>
      </c>
      <c r="H8" s="1">
        <v>45931</v>
      </c>
      <c r="I8">
        <v>1</v>
      </c>
      <c r="J8">
        <v>17425766</v>
      </c>
      <c r="K8" t="s">
        <v>60</v>
      </c>
      <c r="L8" t="s">
        <v>37</v>
      </c>
      <c r="M8" t="str">
        <f t="shared" si="1"/>
        <v xml:space="preserve">CAROL FOLEY               </v>
      </c>
      <c r="N8">
        <v>12.43</v>
      </c>
      <c r="O8">
        <v>65</v>
      </c>
      <c r="P8">
        <v>8.08</v>
      </c>
      <c r="Q8" t="s">
        <v>63</v>
      </c>
    </row>
    <row r="9" spans="1:17" x14ac:dyDescent="0.25">
      <c r="A9" t="s">
        <v>32</v>
      </c>
      <c r="B9" t="s">
        <v>33</v>
      </c>
      <c r="C9" t="s">
        <v>68</v>
      </c>
      <c r="D9" t="s">
        <v>69</v>
      </c>
      <c r="E9" t="str">
        <f t="shared" si="0"/>
        <v>DONNA LENGYEL</v>
      </c>
      <c r="G9" s="1">
        <v>45901</v>
      </c>
      <c r="H9" s="1">
        <v>45931</v>
      </c>
      <c r="I9">
        <v>1</v>
      </c>
      <c r="J9">
        <v>17425766</v>
      </c>
      <c r="K9" t="s">
        <v>60</v>
      </c>
      <c r="L9" t="s">
        <v>37</v>
      </c>
      <c r="M9" t="str">
        <f t="shared" si="1"/>
        <v xml:space="preserve">CAROL FOLEY               </v>
      </c>
      <c r="N9">
        <v>36.71</v>
      </c>
      <c r="O9">
        <v>65</v>
      </c>
      <c r="P9">
        <v>23.86</v>
      </c>
      <c r="Q9" t="s">
        <v>63</v>
      </c>
    </row>
    <row r="10" spans="1:17" x14ac:dyDescent="0.25">
      <c r="A10" t="s">
        <v>42</v>
      </c>
      <c r="B10" t="s">
        <v>43</v>
      </c>
      <c r="C10" t="s">
        <v>70</v>
      </c>
      <c r="D10" t="s">
        <v>71</v>
      </c>
      <c r="E10" t="str">
        <f t="shared" si="0"/>
        <v>THERESA POPE</v>
      </c>
      <c r="G10" s="1">
        <v>45902</v>
      </c>
      <c r="H10" s="1">
        <v>45932</v>
      </c>
      <c r="I10">
        <v>1</v>
      </c>
      <c r="J10">
        <v>19279958</v>
      </c>
      <c r="K10" t="s">
        <v>61</v>
      </c>
      <c r="L10" t="s">
        <v>47</v>
      </c>
      <c r="M10" t="str">
        <f t="shared" si="1"/>
        <v xml:space="preserve">JARED KINYUA              </v>
      </c>
      <c r="N10">
        <v>4.38</v>
      </c>
      <c r="O10">
        <v>55</v>
      </c>
      <c r="P10">
        <v>2.41</v>
      </c>
      <c r="Q10" t="s">
        <v>65</v>
      </c>
    </row>
    <row r="11" spans="1:17" x14ac:dyDescent="0.25">
      <c r="A11" t="s">
        <v>42</v>
      </c>
      <c r="B11" t="s">
        <v>43</v>
      </c>
      <c r="C11" t="s">
        <v>70</v>
      </c>
      <c r="D11" t="s">
        <v>71</v>
      </c>
      <c r="E11" t="str">
        <f t="shared" si="0"/>
        <v>THERESA POPE</v>
      </c>
      <c r="G11" s="1">
        <v>45902</v>
      </c>
      <c r="H11" s="1">
        <v>45932</v>
      </c>
      <c r="I11">
        <v>1</v>
      </c>
      <c r="J11">
        <v>19279958</v>
      </c>
      <c r="K11" t="s">
        <v>61</v>
      </c>
      <c r="L11" t="s">
        <v>47</v>
      </c>
      <c r="M11" t="str">
        <f t="shared" si="1"/>
        <v xml:space="preserve">JARED KINYUA              </v>
      </c>
      <c r="N11">
        <v>14.91</v>
      </c>
      <c r="O11">
        <v>55</v>
      </c>
      <c r="P11">
        <v>8.1999999999999993</v>
      </c>
      <c r="Q11" t="s">
        <v>65</v>
      </c>
    </row>
    <row r="12" spans="1:17" x14ac:dyDescent="0.25">
      <c r="A12" t="s">
        <v>42</v>
      </c>
      <c r="B12" t="s">
        <v>43</v>
      </c>
      <c r="C12" t="s">
        <v>70</v>
      </c>
      <c r="D12" t="s">
        <v>71</v>
      </c>
      <c r="E12" t="str">
        <f t="shared" si="0"/>
        <v>THERESA POPE</v>
      </c>
      <c r="G12" s="1">
        <v>45902</v>
      </c>
      <c r="H12" s="1">
        <v>45932</v>
      </c>
      <c r="I12">
        <v>1</v>
      </c>
      <c r="J12">
        <v>19279958</v>
      </c>
      <c r="K12" t="s">
        <v>61</v>
      </c>
      <c r="L12" t="s">
        <v>47</v>
      </c>
      <c r="M12" t="str">
        <f t="shared" si="1"/>
        <v xml:space="preserve">JARED KINYUA              </v>
      </c>
      <c r="N12">
        <v>8.15</v>
      </c>
      <c r="O12">
        <v>55</v>
      </c>
      <c r="P12">
        <v>4.4800000000000004</v>
      </c>
      <c r="Q12" t="s">
        <v>65</v>
      </c>
    </row>
    <row r="13" spans="1:17" x14ac:dyDescent="0.25">
      <c r="A13" t="s">
        <v>42</v>
      </c>
      <c r="B13" t="s">
        <v>43</v>
      </c>
      <c r="C13" t="s">
        <v>70</v>
      </c>
      <c r="D13" t="s">
        <v>71</v>
      </c>
      <c r="E13" t="str">
        <f t="shared" si="0"/>
        <v>THERESA POPE</v>
      </c>
      <c r="G13" s="1">
        <v>45902</v>
      </c>
      <c r="H13" s="1">
        <v>45932</v>
      </c>
      <c r="I13">
        <v>1</v>
      </c>
      <c r="J13">
        <v>19279958</v>
      </c>
      <c r="K13" t="s">
        <v>61</v>
      </c>
      <c r="L13" t="s">
        <v>47</v>
      </c>
      <c r="M13" t="str">
        <f t="shared" si="1"/>
        <v xml:space="preserve">JARED KINYUA              </v>
      </c>
      <c r="N13">
        <v>0.98</v>
      </c>
      <c r="O13">
        <v>55</v>
      </c>
      <c r="P13">
        <v>0.54</v>
      </c>
      <c r="Q13" t="s">
        <v>65</v>
      </c>
    </row>
    <row r="14" spans="1:17" x14ac:dyDescent="0.25">
      <c r="A14" t="s">
        <v>42</v>
      </c>
      <c r="B14" t="s">
        <v>43</v>
      </c>
      <c r="C14" t="s">
        <v>70</v>
      </c>
      <c r="D14" t="s">
        <v>71</v>
      </c>
      <c r="E14" t="str">
        <f t="shared" si="0"/>
        <v>THERESA POPE</v>
      </c>
      <c r="G14" s="1">
        <v>45902</v>
      </c>
      <c r="H14" s="1">
        <v>45932</v>
      </c>
      <c r="I14">
        <v>1</v>
      </c>
      <c r="J14">
        <v>19279958</v>
      </c>
      <c r="K14" t="s">
        <v>61</v>
      </c>
      <c r="L14" t="s">
        <v>47</v>
      </c>
      <c r="M14" t="str">
        <f t="shared" si="1"/>
        <v xml:space="preserve">JARED KINYUA              </v>
      </c>
      <c r="N14">
        <v>23.41</v>
      </c>
      <c r="O14">
        <v>55</v>
      </c>
      <c r="P14">
        <v>12.88</v>
      </c>
      <c r="Q14" t="s">
        <v>65</v>
      </c>
    </row>
    <row r="15" spans="1:17" x14ac:dyDescent="0.25">
      <c r="A15" t="s">
        <v>53</v>
      </c>
      <c r="B15" t="s">
        <v>43</v>
      </c>
      <c r="C15" t="s">
        <v>70</v>
      </c>
      <c r="D15" t="s">
        <v>71</v>
      </c>
      <c r="E15" t="str">
        <f t="shared" si="0"/>
        <v>THERESA POPE</v>
      </c>
      <c r="G15" s="1">
        <v>45902</v>
      </c>
      <c r="H15" s="1">
        <v>45932</v>
      </c>
      <c r="I15">
        <v>1</v>
      </c>
      <c r="J15">
        <v>19279958</v>
      </c>
      <c r="K15" t="s">
        <v>61</v>
      </c>
      <c r="L15" t="s">
        <v>47</v>
      </c>
      <c r="M15" t="str">
        <f t="shared" si="1"/>
        <v xml:space="preserve">JARED KINYUA              </v>
      </c>
      <c r="N15">
        <v>21.67</v>
      </c>
      <c r="O15">
        <v>60</v>
      </c>
      <c r="P15">
        <v>13</v>
      </c>
      <c r="Q15" t="s">
        <v>64</v>
      </c>
    </row>
    <row r="16" spans="1:17" x14ac:dyDescent="0.25">
      <c r="A16" t="s">
        <v>53</v>
      </c>
      <c r="B16" t="s">
        <v>43</v>
      </c>
      <c r="C16" t="s">
        <v>70</v>
      </c>
      <c r="D16" t="s">
        <v>71</v>
      </c>
      <c r="E16" t="str">
        <f t="shared" si="0"/>
        <v>THERESA POPE</v>
      </c>
      <c r="G16" s="1">
        <v>45902</v>
      </c>
      <c r="H16" s="1">
        <v>45932</v>
      </c>
      <c r="I16">
        <v>1</v>
      </c>
      <c r="J16">
        <v>19279958</v>
      </c>
      <c r="K16" t="s">
        <v>61</v>
      </c>
      <c r="L16" t="s">
        <v>47</v>
      </c>
      <c r="M16" t="str">
        <f t="shared" si="1"/>
        <v xml:space="preserve">JARED KINYUA              </v>
      </c>
      <c r="N16">
        <v>9.2100000000000009</v>
      </c>
      <c r="O16">
        <v>60</v>
      </c>
      <c r="P16">
        <v>5.53</v>
      </c>
      <c r="Q16" t="s">
        <v>64</v>
      </c>
    </row>
    <row r="17" spans="1:17" x14ac:dyDescent="0.25">
      <c r="A17" t="s">
        <v>53</v>
      </c>
      <c r="B17" t="s">
        <v>43</v>
      </c>
      <c r="C17" t="s">
        <v>70</v>
      </c>
      <c r="D17" t="s">
        <v>71</v>
      </c>
      <c r="E17" t="str">
        <f t="shared" si="0"/>
        <v>THERESA POPE</v>
      </c>
      <c r="G17" s="1">
        <v>45902</v>
      </c>
      <c r="H17" s="1">
        <v>45932</v>
      </c>
      <c r="I17">
        <v>1</v>
      </c>
      <c r="J17">
        <v>19279958</v>
      </c>
      <c r="K17" t="s">
        <v>61</v>
      </c>
      <c r="L17" t="s">
        <v>47</v>
      </c>
      <c r="M17" t="str">
        <f t="shared" si="1"/>
        <v xml:space="preserve">JARED KINYUA              </v>
      </c>
      <c r="N17">
        <v>2.92</v>
      </c>
      <c r="O17">
        <v>60</v>
      </c>
      <c r="P17">
        <v>1.75</v>
      </c>
      <c r="Q17" t="s">
        <v>64</v>
      </c>
    </row>
    <row r="18" spans="1:17" x14ac:dyDescent="0.25">
      <c r="A18" t="s">
        <v>53</v>
      </c>
      <c r="B18" t="s">
        <v>43</v>
      </c>
      <c r="C18" t="s">
        <v>70</v>
      </c>
      <c r="D18" t="s">
        <v>71</v>
      </c>
      <c r="E18" t="str">
        <f t="shared" si="0"/>
        <v>THERESA POPE</v>
      </c>
      <c r="G18" s="1">
        <v>45902</v>
      </c>
      <c r="H18" s="1">
        <v>45932</v>
      </c>
      <c r="I18">
        <v>1</v>
      </c>
      <c r="J18">
        <v>19279958</v>
      </c>
      <c r="K18" t="s">
        <v>61</v>
      </c>
      <c r="L18" t="s">
        <v>47</v>
      </c>
      <c r="M18" t="str">
        <f t="shared" si="1"/>
        <v xml:space="preserve">JARED KINYUA              </v>
      </c>
      <c r="N18">
        <v>1.58</v>
      </c>
      <c r="O18">
        <v>60</v>
      </c>
      <c r="P18">
        <v>0.95</v>
      </c>
      <c r="Q18" t="s">
        <v>64</v>
      </c>
    </row>
    <row r="19" spans="1:17" x14ac:dyDescent="0.25">
      <c r="A19" t="s">
        <v>53</v>
      </c>
      <c r="B19" t="s">
        <v>43</v>
      </c>
      <c r="C19" t="s">
        <v>70</v>
      </c>
      <c r="D19" t="s">
        <v>71</v>
      </c>
      <c r="E19" t="str">
        <f t="shared" si="0"/>
        <v>THERESA POPE</v>
      </c>
      <c r="G19" s="1">
        <v>45902</v>
      </c>
      <c r="H19" s="1">
        <v>45932</v>
      </c>
      <c r="I19">
        <v>1</v>
      </c>
      <c r="J19">
        <v>19279958</v>
      </c>
      <c r="K19" t="s">
        <v>61</v>
      </c>
      <c r="L19" t="s">
        <v>47</v>
      </c>
      <c r="M19" t="str">
        <f t="shared" si="1"/>
        <v xml:space="preserve">JARED KINYUA              </v>
      </c>
      <c r="N19">
        <v>4.42</v>
      </c>
      <c r="O19">
        <v>60</v>
      </c>
      <c r="P19">
        <v>2.65</v>
      </c>
      <c r="Q19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011I7200_WC_09-03-2025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Loula Irene Cabel</cp:lastModifiedBy>
  <dcterms:created xsi:type="dcterms:W3CDTF">2025-09-05T17:52:08Z</dcterms:created>
  <dcterms:modified xsi:type="dcterms:W3CDTF">2025-09-08T21:28:17Z</dcterms:modified>
</cp:coreProperties>
</file>