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\9-30-25\"/>
    </mc:Choice>
  </mc:AlternateContent>
  <xr:revisionPtr revIDLastSave="0" documentId="13_ncr:1_{40AB9289-73D1-4FD6-BCDE-440743A49137}" xr6:coauthVersionLast="47" xr6:coauthVersionMax="47" xr10:uidLastSave="{00000000-0000-0000-0000-000000000000}"/>
  <bookViews>
    <workbookView xWindow="28680" yWindow="-120" windowWidth="29040" windowHeight="16440" xr2:uid="{9E1B3874-7D37-4CAA-9BE7-2F6A0D9E9CDC}"/>
  </bookViews>
  <sheets>
    <sheet name="011I7200_WC_09-30-2025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2" i="2"/>
</calcChain>
</file>

<file path=xl/sharedStrings.xml><?xml version="1.0" encoding="utf-8"?>
<sst xmlns="http://schemas.openxmlformats.org/spreadsheetml/2006/main" count="291" uniqueCount="50">
  <si>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</si>
  <si>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</si>
  <si>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</si>
  <si>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</si>
  <si>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</si>
  <si>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</si>
  <si>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</si>
  <si>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</si>
  <si>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</si>
  <si>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</si>
  <si>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</si>
  <si>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</si>
  <si>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</si>
  <si>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</si>
  <si>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</si>
  <si>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</si>
  <si>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</si>
  <si>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</si>
  <si>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</si>
  <si>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</si>
  <si>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GTA6383356</t>
  </si>
  <si>
    <t>IL</t>
  </si>
  <si>
    <t>KAITSCHUCK ST</t>
  </si>
  <si>
    <t xml:space="preserve">011I7213    </t>
  </si>
  <si>
    <t xml:space="preserve">JEFFREY             </t>
  </si>
  <si>
    <t xml:space="preserve">HORN                </t>
  </si>
  <si>
    <t xml:space="preserve">                                                  </t>
  </si>
  <si>
    <t xml:space="preserve">M20AS </t>
  </si>
  <si>
    <t xml:space="preserve"> </t>
  </si>
  <si>
    <t xml:space="preserve">M20CR </t>
  </si>
  <si>
    <t xml:space="preserve">M20FE </t>
  </si>
  <si>
    <t xml:space="preserve">M20HL </t>
  </si>
  <si>
    <t xml:space="preserve">M20OS </t>
  </si>
  <si>
    <t xml:space="preserve">M20OT </t>
  </si>
  <si>
    <t xml:space="preserve">M20SF </t>
  </si>
  <si>
    <t xml:space="preserve">M20SR </t>
  </si>
  <si>
    <t xml:space="preserve">MAP20 </t>
  </si>
  <si>
    <t>GTA6392199</t>
  </si>
  <si>
    <t>MD</t>
  </si>
  <si>
    <t>LYSIC MACHELL</t>
  </si>
  <si>
    <t xml:space="preserve">011I7206    </t>
  </si>
  <si>
    <t xml:space="preserve">ADAM                </t>
  </si>
  <si>
    <t xml:space="preserve">RICHTER             </t>
  </si>
  <si>
    <t xml:space="preserve">GNHHC </t>
  </si>
  <si>
    <t>R</t>
  </si>
  <si>
    <t>GTL ADVANTAGE PLUS(65)</t>
  </si>
  <si>
    <t>2158366AV9</t>
  </si>
  <si>
    <t>JEFFREY</t>
  </si>
  <si>
    <t>ADAM</t>
  </si>
  <si>
    <t>GTL Short Term Home Health Care (75)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</si>
</sst>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0" borderId="0" xfId="0" applyFill="1"/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FC89-86E0-4283-ADDF-0FE830265F41}">
  <dimension ref="A1:T14"/>
  <sheetViews>
    <sheetView tabSelected="1" workbookViewId="0">
      <selection activeCell="Q14" sqref="Q14"/>
    </sheetView>
  </sheetViews>
  <sheetFormatPr defaultRowHeight="15" x14ac:dyDescent="0.25"/>
  <cols>
    <col min="1" max="1" width="11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45901</v>
      </c>
      <c r="E2" s="1">
        <v>45992</v>
      </c>
      <c r="F2">
        <v>3</v>
      </c>
      <c r="G2">
        <v>29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0</v>
      </c>
      <c r="O2">
        <v>5.63</v>
      </c>
      <c r="P2">
        <v>65</v>
      </c>
      <c r="Q2">
        <v>3.66</v>
      </c>
      <c r="R2" t="s">
        <v>28</v>
      </c>
      <c r="S2">
        <v>0</v>
      </c>
      <c r="T2">
        <v>3.66</v>
      </c>
    </row>
    <row r="3" spans="1:20" x14ac:dyDescent="0.25">
      <c r="A3" t="s">
        <v>20</v>
      </c>
      <c r="B3" t="s">
        <v>21</v>
      </c>
      <c r="C3" t="s">
        <v>22</v>
      </c>
      <c r="D3" s="1">
        <v>45901</v>
      </c>
      <c r="E3" s="1">
        <v>45992</v>
      </c>
      <c r="F3">
        <v>3</v>
      </c>
      <c r="G3">
        <v>29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47.13</v>
      </c>
      <c r="P3">
        <v>65</v>
      </c>
      <c r="Q3">
        <v>30.63</v>
      </c>
      <c r="R3" t="s">
        <v>28</v>
      </c>
      <c r="S3">
        <v>0</v>
      </c>
      <c r="T3">
        <v>30.63</v>
      </c>
    </row>
    <row r="4" spans="1:20" x14ac:dyDescent="0.25">
      <c r="A4" t="s">
        <v>20</v>
      </c>
      <c r="B4" t="s">
        <v>21</v>
      </c>
      <c r="C4" t="s">
        <v>22</v>
      </c>
      <c r="D4" s="1">
        <v>45901</v>
      </c>
      <c r="E4" s="1">
        <v>45992</v>
      </c>
      <c r="F4">
        <v>3</v>
      </c>
      <c r="G4">
        <v>29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5.3</v>
      </c>
      <c r="P4">
        <v>65</v>
      </c>
      <c r="Q4">
        <v>3.45</v>
      </c>
      <c r="R4" t="s">
        <v>28</v>
      </c>
      <c r="S4">
        <v>0</v>
      </c>
      <c r="T4">
        <v>3.45</v>
      </c>
    </row>
    <row r="5" spans="1:20" x14ac:dyDescent="0.25">
      <c r="A5" t="s">
        <v>20</v>
      </c>
      <c r="B5" t="s">
        <v>21</v>
      </c>
      <c r="C5" t="s">
        <v>22</v>
      </c>
      <c r="D5" s="1">
        <v>45901</v>
      </c>
      <c r="E5" s="1">
        <v>45992</v>
      </c>
      <c r="F5">
        <v>3</v>
      </c>
      <c r="G5">
        <v>29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0</v>
      </c>
      <c r="O5">
        <v>55.65</v>
      </c>
      <c r="P5">
        <v>65</v>
      </c>
      <c r="Q5">
        <v>36.17</v>
      </c>
      <c r="R5" t="s">
        <v>28</v>
      </c>
      <c r="S5">
        <v>0</v>
      </c>
      <c r="T5">
        <v>36.17</v>
      </c>
    </row>
    <row r="6" spans="1:20" x14ac:dyDescent="0.25">
      <c r="A6" t="s">
        <v>20</v>
      </c>
      <c r="B6" t="s">
        <v>21</v>
      </c>
      <c r="C6" t="s">
        <v>22</v>
      </c>
      <c r="D6" s="1">
        <v>45901</v>
      </c>
      <c r="E6" s="1">
        <v>45992</v>
      </c>
      <c r="F6">
        <v>3</v>
      </c>
      <c r="G6">
        <v>29</v>
      </c>
      <c r="H6" t="s">
        <v>23</v>
      </c>
      <c r="I6" t="s">
        <v>24</v>
      </c>
      <c r="J6" t="s">
        <v>25</v>
      </c>
      <c r="K6" t="s">
        <v>26</v>
      </c>
      <c r="L6" t="s">
        <v>32</v>
      </c>
      <c r="M6">
        <v>1</v>
      </c>
      <c r="N6">
        <v>0</v>
      </c>
      <c r="O6">
        <v>78.44</v>
      </c>
      <c r="P6">
        <v>65</v>
      </c>
      <c r="Q6">
        <v>50.99</v>
      </c>
      <c r="R6" t="s">
        <v>28</v>
      </c>
      <c r="S6">
        <v>0</v>
      </c>
      <c r="T6">
        <v>50.99</v>
      </c>
    </row>
    <row r="7" spans="1:20" x14ac:dyDescent="0.25">
      <c r="A7" t="s">
        <v>20</v>
      </c>
      <c r="B7" t="s">
        <v>21</v>
      </c>
      <c r="C7" t="s">
        <v>22</v>
      </c>
      <c r="D7" s="1">
        <v>45901</v>
      </c>
      <c r="E7" s="1">
        <v>45992</v>
      </c>
      <c r="F7">
        <v>3</v>
      </c>
      <c r="G7">
        <v>29</v>
      </c>
      <c r="H7" t="s">
        <v>23</v>
      </c>
      <c r="I7" t="s">
        <v>24</v>
      </c>
      <c r="J7" t="s">
        <v>25</v>
      </c>
      <c r="K7" t="s">
        <v>26</v>
      </c>
      <c r="L7" t="s">
        <v>33</v>
      </c>
      <c r="M7">
        <v>1</v>
      </c>
      <c r="N7">
        <v>0</v>
      </c>
      <c r="O7">
        <v>19.13</v>
      </c>
      <c r="P7">
        <v>65</v>
      </c>
      <c r="Q7">
        <v>12.43</v>
      </c>
      <c r="R7" t="s">
        <v>28</v>
      </c>
      <c r="S7">
        <v>0</v>
      </c>
      <c r="T7">
        <v>12.43</v>
      </c>
    </row>
    <row r="8" spans="1:20" x14ac:dyDescent="0.25">
      <c r="A8" t="s">
        <v>20</v>
      </c>
      <c r="B8" t="s">
        <v>21</v>
      </c>
      <c r="C8" t="s">
        <v>22</v>
      </c>
      <c r="D8" s="1">
        <v>45901</v>
      </c>
      <c r="E8" s="1">
        <v>45992</v>
      </c>
      <c r="F8">
        <v>3</v>
      </c>
      <c r="G8">
        <v>29</v>
      </c>
      <c r="H8" t="s">
        <v>23</v>
      </c>
      <c r="I8" t="s">
        <v>24</v>
      </c>
      <c r="J8" t="s">
        <v>25</v>
      </c>
      <c r="K8" t="s">
        <v>26</v>
      </c>
      <c r="L8" t="s">
        <v>34</v>
      </c>
      <c r="M8">
        <v>1</v>
      </c>
      <c r="N8">
        <v>0</v>
      </c>
      <c r="O8">
        <v>24.49</v>
      </c>
      <c r="P8">
        <v>65</v>
      </c>
      <c r="Q8">
        <v>15.92</v>
      </c>
      <c r="R8" t="s">
        <v>28</v>
      </c>
      <c r="S8">
        <v>0</v>
      </c>
      <c r="T8">
        <v>15.92</v>
      </c>
    </row>
    <row r="9" spans="1:20" x14ac:dyDescent="0.25">
      <c r="A9" t="s">
        <v>20</v>
      </c>
      <c r="B9" t="s">
        <v>21</v>
      </c>
      <c r="C9" t="s">
        <v>22</v>
      </c>
      <c r="D9" s="1">
        <v>45901</v>
      </c>
      <c r="E9" s="1">
        <v>45992</v>
      </c>
      <c r="F9">
        <v>3</v>
      </c>
      <c r="G9">
        <v>29</v>
      </c>
      <c r="H9" t="s">
        <v>23</v>
      </c>
      <c r="I9" t="s">
        <v>24</v>
      </c>
      <c r="J9" t="s">
        <v>25</v>
      </c>
      <c r="K9" t="s">
        <v>26</v>
      </c>
      <c r="L9" t="s">
        <v>35</v>
      </c>
      <c r="M9">
        <v>1</v>
      </c>
      <c r="N9">
        <v>0</v>
      </c>
      <c r="O9">
        <v>8.67</v>
      </c>
      <c r="P9">
        <v>65</v>
      </c>
      <c r="Q9">
        <v>5.64</v>
      </c>
      <c r="R9" t="s">
        <v>28</v>
      </c>
      <c r="S9">
        <v>0</v>
      </c>
      <c r="T9">
        <v>5.64</v>
      </c>
    </row>
    <row r="10" spans="1:20" x14ac:dyDescent="0.25">
      <c r="A10" t="s">
        <v>20</v>
      </c>
      <c r="B10" t="s">
        <v>21</v>
      </c>
      <c r="C10" t="s">
        <v>22</v>
      </c>
      <c r="D10" s="1">
        <v>45901</v>
      </c>
      <c r="E10" s="1">
        <v>45992</v>
      </c>
      <c r="F10">
        <v>3</v>
      </c>
      <c r="G10">
        <v>29</v>
      </c>
      <c r="H10" t="s">
        <v>23</v>
      </c>
      <c r="I10" t="s">
        <v>24</v>
      </c>
      <c r="J10" t="s">
        <v>25</v>
      </c>
      <c r="K10" t="s">
        <v>26</v>
      </c>
      <c r="L10" t="s">
        <v>36</v>
      </c>
      <c r="M10">
        <v>1</v>
      </c>
      <c r="N10">
        <v>341.83</v>
      </c>
      <c r="O10">
        <v>97.39</v>
      </c>
      <c r="P10">
        <v>65</v>
      </c>
      <c r="Q10">
        <v>63.3</v>
      </c>
      <c r="R10" t="s">
        <v>28</v>
      </c>
      <c r="S10">
        <v>0</v>
      </c>
      <c r="T10">
        <v>63.3</v>
      </c>
    </row>
    <row r="11" spans="1:20" x14ac:dyDescent="0.25">
      <c r="A11" t="s">
        <v>37</v>
      </c>
      <c r="B11" t="s">
        <v>38</v>
      </c>
      <c r="C11" t="s">
        <v>39</v>
      </c>
      <c r="D11" s="1">
        <v>45898</v>
      </c>
      <c r="E11" s="1">
        <v>45898</v>
      </c>
      <c r="F11">
        <v>1</v>
      </c>
      <c r="G11">
        <v>25</v>
      </c>
      <c r="H11" t="s">
        <v>40</v>
      </c>
      <c r="I11" t="s">
        <v>41</v>
      </c>
      <c r="J11" t="s">
        <v>42</v>
      </c>
      <c r="K11" t="s">
        <v>26</v>
      </c>
      <c r="L11" t="s">
        <v>43</v>
      </c>
      <c r="M11" t="s">
        <v>44</v>
      </c>
      <c r="N11">
        <v>92.54</v>
      </c>
      <c r="O11">
        <v>22.5</v>
      </c>
      <c r="P11">
        <v>75</v>
      </c>
      <c r="Q11">
        <v>-16.88</v>
      </c>
      <c r="R11" t="s">
        <v>28</v>
      </c>
      <c r="S11">
        <v>0</v>
      </c>
      <c r="T11">
        <v>-16.88</v>
      </c>
    </row>
    <row r="12" spans="1:20" x14ac:dyDescent="0.25">
      <c r="A12" t="s">
        <v>37</v>
      </c>
      <c r="B12" t="s">
        <v>38</v>
      </c>
      <c r="C12" t="s">
        <v>39</v>
      </c>
      <c r="D12" s="1">
        <v>45898</v>
      </c>
      <c r="E12" s="1">
        <v>45898</v>
      </c>
      <c r="F12">
        <v>1</v>
      </c>
      <c r="G12">
        <v>25</v>
      </c>
      <c r="H12" t="s">
        <v>40</v>
      </c>
      <c r="I12" t="s">
        <v>41</v>
      </c>
      <c r="J12" t="s">
        <v>42</v>
      </c>
      <c r="K12" t="s">
        <v>26</v>
      </c>
      <c r="L12" t="s">
        <v>43</v>
      </c>
      <c r="M12" t="s">
        <v>44</v>
      </c>
      <c r="N12">
        <v>92.54</v>
      </c>
      <c r="O12">
        <v>5.53</v>
      </c>
      <c r="P12">
        <v>75</v>
      </c>
      <c r="Q12">
        <v>-4.1500000000000004</v>
      </c>
      <c r="R12" t="s">
        <v>28</v>
      </c>
      <c r="S12">
        <v>0</v>
      </c>
      <c r="T12">
        <v>-4.1500000000000004</v>
      </c>
    </row>
    <row r="13" spans="1:20" x14ac:dyDescent="0.25">
      <c r="A13" t="s">
        <v>37</v>
      </c>
      <c r="B13" t="s">
        <v>38</v>
      </c>
      <c r="C13" t="s">
        <v>39</v>
      </c>
      <c r="D13" s="1">
        <v>45898</v>
      </c>
      <c r="E13" s="1">
        <v>45898</v>
      </c>
      <c r="F13">
        <v>1</v>
      </c>
      <c r="G13">
        <v>25</v>
      </c>
      <c r="H13" t="s">
        <v>40</v>
      </c>
      <c r="I13" t="s">
        <v>41</v>
      </c>
      <c r="J13" t="s">
        <v>42</v>
      </c>
      <c r="K13" t="s">
        <v>26</v>
      </c>
      <c r="L13" t="s">
        <v>43</v>
      </c>
      <c r="M13" t="s">
        <v>44</v>
      </c>
      <c r="N13">
        <v>92.54</v>
      </c>
      <c r="O13">
        <v>3.08</v>
      </c>
      <c r="P13">
        <v>75</v>
      </c>
      <c r="Q13">
        <v>-2.31</v>
      </c>
      <c r="R13" t="s">
        <v>28</v>
      </c>
      <c r="S13">
        <v>0</v>
      </c>
      <c r="T13">
        <v>-2.31</v>
      </c>
    </row>
    <row r="14" spans="1:20" x14ac:dyDescent="0.25">
      <c r="A14" t="s">
        <v>37</v>
      </c>
      <c r="B14" t="s">
        <v>38</v>
      </c>
      <c r="C14" t="s">
        <v>39</v>
      </c>
      <c r="D14" s="1">
        <v>45898</v>
      </c>
      <c r="E14" s="1">
        <v>45898</v>
      </c>
      <c r="F14">
        <v>1</v>
      </c>
      <c r="G14">
        <v>25</v>
      </c>
      <c r="H14" t="s">
        <v>40</v>
      </c>
      <c r="I14" t="s">
        <v>41</v>
      </c>
      <c r="J14" t="s">
        <v>42</v>
      </c>
      <c r="K14" t="s">
        <v>26</v>
      </c>
      <c r="L14" t="s">
        <v>43</v>
      </c>
      <c r="M14" t="s">
        <v>44</v>
      </c>
      <c r="N14">
        <v>92.54</v>
      </c>
      <c r="O14">
        <v>59.76</v>
      </c>
      <c r="P14">
        <v>75</v>
      </c>
      <c r="Q14">
        <v>-44.82</v>
      </c>
      <c r="R14" t="s">
        <v>28</v>
      </c>
      <c r="S14">
        <v>0</v>
      </c>
      <c r="T14">
        <v>-44.82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93F-7BF2-4C3F-9F1A-1E54B61B4F55}">
  <dimension ref="A1:V14"/>
  <sheetViews>
    <sheetView workbookViewId="0">
      <selection activeCell="U2" sqref="U2:U14"/>
    </sheetView>
  </sheetViews>
  <sheetFormatPr defaultRowHeight="15" x14ac:dyDescent="0.25"/>
  <cols>
    <col min="1" max="1" width="11.42578125" bestFit="1" customWidth="1"/>
    <col min="5" max="5" width="9.42578125" bestFit="1" customWidth="1"/>
    <col min="8" max="8" width="11.28515625" bestFit="1" customWidth="1"/>
    <col min="11" max="11" width="26.5703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2" s="2" customFormat="1" x14ac:dyDescent="0.25">
      <c r="A2" s="2" t="s">
        <v>20</v>
      </c>
      <c r="B2" s="2" t="s">
        <v>21</v>
      </c>
      <c r="C2" s="2" t="s">
        <v>22</v>
      </c>
      <c r="D2" s="3">
        <v>45901</v>
      </c>
      <c r="E2" s="3">
        <v>45931</v>
      </c>
      <c r="F2" s="2">
        <v>3</v>
      </c>
      <c r="G2" s="2">
        <v>29</v>
      </c>
      <c r="H2" s="2" t="s">
        <v>46</v>
      </c>
      <c r="I2" s="2" t="s">
        <v>47</v>
      </c>
      <c r="J2" s="2" t="s">
        <v>25</v>
      </c>
      <c r="K2" s="2" t="str">
        <f>CONCATENATE(I2, " ",J2)</f>
        <v xml:space="preserve">JEFFREY HORN                </v>
      </c>
      <c r="L2" s="2" t="s">
        <v>26</v>
      </c>
      <c r="M2" s="2" t="s">
        <v>27</v>
      </c>
      <c r="N2" s="2">
        <v>1</v>
      </c>
      <c r="O2" s="2">
        <v>0</v>
      </c>
      <c r="P2" s="2">
        <v>5.63</v>
      </c>
      <c r="Q2" s="2">
        <v>65</v>
      </c>
      <c r="R2" s="2">
        <v>3.66</v>
      </c>
      <c r="S2" s="2" t="s">
        <v>28</v>
      </c>
      <c r="T2" s="2">
        <v>0</v>
      </c>
      <c r="U2" s="2">
        <v>3.66</v>
      </c>
      <c r="V2" s="2" t="s">
        <v>45</v>
      </c>
    </row>
    <row r="3" spans="1:22" s="2" customFormat="1" x14ac:dyDescent="0.25">
      <c r="A3" s="2" t="s">
        <v>20</v>
      </c>
      <c r="B3" s="2" t="s">
        <v>21</v>
      </c>
      <c r="C3" s="2" t="s">
        <v>22</v>
      </c>
      <c r="D3" s="3">
        <v>45901</v>
      </c>
      <c r="E3" s="3">
        <v>45931</v>
      </c>
      <c r="F3" s="2">
        <v>3</v>
      </c>
      <c r="G3" s="2">
        <v>29</v>
      </c>
      <c r="H3" s="2" t="s">
        <v>46</v>
      </c>
      <c r="I3" s="2" t="s">
        <v>47</v>
      </c>
      <c r="J3" s="2" t="s">
        <v>25</v>
      </c>
      <c r="K3" s="2" t="str">
        <f t="shared" ref="K3:K14" si="0">CONCATENATE(I3, " ",J3)</f>
        <v xml:space="preserve">JEFFREY HORN                </v>
      </c>
      <c r="L3" s="2" t="s">
        <v>26</v>
      </c>
      <c r="M3" s="2" t="s">
        <v>29</v>
      </c>
      <c r="N3" s="2">
        <v>1</v>
      </c>
      <c r="O3" s="2">
        <v>0</v>
      </c>
      <c r="P3" s="2">
        <v>47.13</v>
      </c>
      <c r="Q3" s="2">
        <v>65</v>
      </c>
      <c r="R3" s="2">
        <v>30.63</v>
      </c>
      <c r="S3" s="2" t="s">
        <v>28</v>
      </c>
      <c r="T3" s="2">
        <v>0</v>
      </c>
      <c r="U3" s="2">
        <v>30.63</v>
      </c>
      <c r="V3" s="2" t="s">
        <v>45</v>
      </c>
    </row>
    <row r="4" spans="1:22" s="2" customFormat="1" x14ac:dyDescent="0.25">
      <c r="A4" s="2" t="s">
        <v>20</v>
      </c>
      <c r="B4" s="2" t="s">
        <v>21</v>
      </c>
      <c r="C4" s="2" t="s">
        <v>22</v>
      </c>
      <c r="D4" s="3">
        <v>45901</v>
      </c>
      <c r="E4" s="3">
        <v>45931</v>
      </c>
      <c r="F4" s="2">
        <v>3</v>
      </c>
      <c r="G4" s="2">
        <v>29</v>
      </c>
      <c r="H4" s="2" t="s">
        <v>46</v>
      </c>
      <c r="I4" s="2" t="s">
        <v>47</v>
      </c>
      <c r="J4" s="2" t="s">
        <v>25</v>
      </c>
      <c r="K4" s="2" t="str">
        <f t="shared" si="0"/>
        <v xml:space="preserve">JEFFREY HORN                </v>
      </c>
      <c r="L4" s="2" t="s">
        <v>26</v>
      </c>
      <c r="M4" s="2" t="s">
        <v>30</v>
      </c>
      <c r="N4" s="2">
        <v>1</v>
      </c>
      <c r="O4" s="2">
        <v>0</v>
      </c>
      <c r="P4" s="2">
        <v>5.3</v>
      </c>
      <c r="Q4" s="2">
        <v>65</v>
      </c>
      <c r="R4" s="2">
        <v>3.45</v>
      </c>
      <c r="S4" s="2" t="s">
        <v>28</v>
      </c>
      <c r="T4" s="2">
        <v>0</v>
      </c>
      <c r="U4" s="2">
        <v>3.45</v>
      </c>
      <c r="V4" s="2" t="s">
        <v>45</v>
      </c>
    </row>
    <row r="5" spans="1:22" s="2" customFormat="1" x14ac:dyDescent="0.25">
      <c r="A5" s="2" t="s">
        <v>20</v>
      </c>
      <c r="B5" s="2" t="s">
        <v>21</v>
      </c>
      <c r="C5" s="2" t="s">
        <v>22</v>
      </c>
      <c r="D5" s="3">
        <v>45901</v>
      </c>
      <c r="E5" s="3">
        <v>45931</v>
      </c>
      <c r="F5" s="2">
        <v>3</v>
      </c>
      <c r="G5" s="2">
        <v>29</v>
      </c>
      <c r="H5" s="2" t="s">
        <v>46</v>
      </c>
      <c r="I5" s="2" t="s">
        <v>47</v>
      </c>
      <c r="J5" s="2" t="s">
        <v>25</v>
      </c>
      <c r="K5" s="2" t="str">
        <f t="shared" si="0"/>
        <v xml:space="preserve">JEFFREY HORN                </v>
      </c>
      <c r="L5" s="2" t="s">
        <v>26</v>
      </c>
      <c r="M5" s="2" t="s">
        <v>31</v>
      </c>
      <c r="N5" s="2">
        <v>1</v>
      </c>
      <c r="O5" s="2">
        <v>0</v>
      </c>
      <c r="P5" s="2">
        <v>55.65</v>
      </c>
      <c r="Q5" s="2">
        <v>65</v>
      </c>
      <c r="R5" s="2">
        <v>36.17</v>
      </c>
      <c r="S5" s="2" t="s">
        <v>28</v>
      </c>
      <c r="T5" s="2">
        <v>0</v>
      </c>
      <c r="U5" s="2">
        <v>36.17</v>
      </c>
      <c r="V5" s="2" t="s">
        <v>45</v>
      </c>
    </row>
    <row r="6" spans="1:22" s="2" customFormat="1" x14ac:dyDescent="0.25">
      <c r="A6" s="2" t="s">
        <v>20</v>
      </c>
      <c r="B6" s="2" t="s">
        <v>21</v>
      </c>
      <c r="C6" s="2" t="s">
        <v>22</v>
      </c>
      <c r="D6" s="3">
        <v>45901</v>
      </c>
      <c r="E6" s="3">
        <v>45931</v>
      </c>
      <c r="F6" s="2">
        <v>3</v>
      </c>
      <c r="G6" s="2">
        <v>29</v>
      </c>
      <c r="H6" s="2" t="s">
        <v>46</v>
      </c>
      <c r="I6" s="2" t="s">
        <v>47</v>
      </c>
      <c r="J6" s="2" t="s">
        <v>25</v>
      </c>
      <c r="K6" s="2" t="str">
        <f t="shared" si="0"/>
        <v xml:space="preserve">JEFFREY HORN                </v>
      </c>
      <c r="L6" s="2" t="s">
        <v>26</v>
      </c>
      <c r="M6" s="2" t="s">
        <v>32</v>
      </c>
      <c r="N6" s="2">
        <v>1</v>
      </c>
      <c r="O6" s="2">
        <v>0</v>
      </c>
      <c r="P6" s="2">
        <v>78.44</v>
      </c>
      <c r="Q6" s="2">
        <v>65</v>
      </c>
      <c r="R6" s="2">
        <v>50.99</v>
      </c>
      <c r="S6" s="2" t="s">
        <v>28</v>
      </c>
      <c r="T6" s="2">
        <v>0</v>
      </c>
      <c r="U6" s="2">
        <v>50.99</v>
      </c>
      <c r="V6" s="2" t="s">
        <v>45</v>
      </c>
    </row>
    <row r="7" spans="1:22" s="2" customFormat="1" x14ac:dyDescent="0.25">
      <c r="A7" s="2" t="s">
        <v>20</v>
      </c>
      <c r="B7" s="2" t="s">
        <v>21</v>
      </c>
      <c r="C7" s="2" t="s">
        <v>22</v>
      </c>
      <c r="D7" s="3">
        <v>45901</v>
      </c>
      <c r="E7" s="3">
        <v>45931</v>
      </c>
      <c r="F7" s="2">
        <v>3</v>
      </c>
      <c r="G7" s="2">
        <v>29</v>
      </c>
      <c r="H7" s="2" t="s">
        <v>46</v>
      </c>
      <c r="I7" s="2" t="s">
        <v>47</v>
      </c>
      <c r="J7" s="2" t="s">
        <v>25</v>
      </c>
      <c r="K7" s="2" t="str">
        <f t="shared" si="0"/>
        <v xml:space="preserve">JEFFREY HORN                </v>
      </c>
      <c r="L7" s="2" t="s">
        <v>26</v>
      </c>
      <c r="M7" s="2" t="s">
        <v>33</v>
      </c>
      <c r="N7" s="2">
        <v>1</v>
      </c>
      <c r="O7" s="2">
        <v>0</v>
      </c>
      <c r="P7" s="2">
        <v>19.13</v>
      </c>
      <c r="Q7" s="2">
        <v>65</v>
      </c>
      <c r="R7" s="2">
        <v>12.43</v>
      </c>
      <c r="S7" s="2" t="s">
        <v>28</v>
      </c>
      <c r="T7" s="2">
        <v>0</v>
      </c>
      <c r="U7" s="2">
        <v>12.43</v>
      </c>
      <c r="V7" s="2" t="s">
        <v>45</v>
      </c>
    </row>
    <row r="8" spans="1:22" s="2" customFormat="1" x14ac:dyDescent="0.25">
      <c r="A8" s="2" t="s">
        <v>20</v>
      </c>
      <c r="B8" s="2" t="s">
        <v>21</v>
      </c>
      <c r="C8" s="2" t="s">
        <v>22</v>
      </c>
      <c r="D8" s="3">
        <v>45901</v>
      </c>
      <c r="E8" s="3">
        <v>45931</v>
      </c>
      <c r="F8" s="2">
        <v>3</v>
      </c>
      <c r="G8" s="2">
        <v>29</v>
      </c>
      <c r="H8" s="2" t="s">
        <v>46</v>
      </c>
      <c r="I8" s="2" t="s">
        <v>47</v>
      </c>
      <c r="J8" s="2" t="s">
        <v>25</v>
      </c>
      <c r="K8" s="2" t="str">
        <f t="shared" si="0"/>
        <v xml:space="preserve">JEFFREY HORN                </v>
      </c>
      <c r="L8" s="2" t="s">
        <v>26</v>
      </c>
      <c r="M8" s="2" t="s">
        <v>34</v>
      </c>
      <c r="N8" s="2">
        <v>1</v>
      </c>
      <c r="O8" s="2">
        <v>0</v>
      </c>
      <c r="P8" s="2">
        <v>24.49</v>
      </c>
      <c r="Q8" s="2">
        <v>65</v>
      </c>
      <c r="R8" s="2">
        <v>15.92</v>
      </c>
      <c r="S8" s="2" t="s">
        <v>28</v>
      </c>
      <c r="T8" s="2">
        <v>0</v>
      </c>
      <c r="U8" s="2">
        <v>15.92</v>
      </c>
      <c r="V8" s="2" t="s">
        <v>45</v>
      </c>
    </row>
    <row r="9" spans="1:22" s="2" customFormat="1" x14ac:dyDescent="0.25">
      <c r="A9" s="2" t="s">
        <v>20</v>
      </c>
      <c r="B9" s="2" t="s">
        <v>21</v>
      </c>
      <c r="C9" s="2" t="s">
        <v>22</v>
      </c>
      <c r="D9" s="3">
        <v>45901</v>
      </c>
      <c r="E9" s="3">
        <v>45931</v>
      </c>
      <c r="F9" s="2">
        <v>3</v>
      </c>
      <c r="G9" s="2">
        <v>29</v>
      </c>
      <c r="H9" s="2" t="s">
        <v>46</v>
      </c>
      <c r="I9" s="2" t="s">
        <v>47</v>
      </c>
      <c r="J9" s="2" t="s">
        <v>25</v>
      </c>
      <c r="K9" s="2" t="str">
        <f t="shared" si="0"/>
        <v xml:space="preserve">JEFFREY HORN                </v>
      </c>
      <c r="L9" s="2" t="s">
        <v>26</v>
      </c>
      <c r="M9" s="2" t="s">
        <v>35</v>
      </c>
      <c r="N9" s="2">
        <v>1</v>
      </c>
      <c r="O9" s="2">
        <v>0</v>
      </c>
      <c r="P9" s="2">
        <v>8.67</v>
      </c>
      <c r="Q9" s="2">
        <v>65</v>
      </c>
      <c r="R9" s="2">
        <v>5.64</v>
      </c>
      <c r="S9" s="2" t="s">
        <v>28</v>
      </c>
      <c r="T9" s="2">
        <v>0</v>
      </c>
      <c r="U9" s="2">
        <v>5.64</v>
      </c>
      <c r="V9" s="2" t="s">
        <v>45</v>
      </c>
    </row>
    <row r="10" spans="1:22" s="2" customFormat="1" x14ac:dyDescent="0.25">
      <c r="A10" s="2" t="s">
        <v>20</v>
      </c>
      <c r="B10" s="2" t="s">
        <v>21</v>
      </c>
      <c r="C10" s="2" t="s">
        <v>22</v>
      </c>
      <c r="D10" s="3">
        <v>45901</v>
      </c>
      <c r="E10" s="3">
        <v>45931</v>
      </c>
      <c r="F10" s="2">
        <v>3</v>
      </c>
      <c r="G10" s="2">
        <v>29</v>
      </c>
      <c r="H10" s="2" t="s">
        <v>46</v>
      </c>
      <c r="I10" s="2" t="s">
        <v>47</v>
      </c>
      <c r="J10" s="2" t="s">
        <v>25</v>
      </c>
      <c r="K10" s="2" t="str">
        <f t="shared" si="0"/>
        <v xml:space="preserve">JEFFREY HORN                </v>
      </c>
      <c r="L10" s="2" t="s">
        <v>26</v>
      </c>
      <c r="M10" s="2" t="s">
        <v>36</v>
      </c>
      <c r="N10" s="2">
        <v>1</v>
      </c>
      <c r="O10" s="2">
        <v>341.83</v>
      </c>
      <c r="P10" s="2">
        <v>97.39</v>
      </c>
      <c r="Q10" s="2">
        <v>65</v>
      </c>
      <c r="R10" s="2">
        <v>63.3</v>
      </c>
      <c r="S10" s="2" t="s">
        <v>28</v>
      </c>
      <c r="T10" s="2">
        <v>0</v>
      </c>
      <c r="U10" s="2">
        <v>63.3</v>
      </c>
      <c r="V10" s="2" t="s">
        <v>45</v>
      </c>
    </row>
    <row r="11" spans="1:22" s="4" customFormat="1" x14ac:dyDescent="0.25">
      <c r="A11" s="4" t="s">
        <v>37</v>
      </c>
      <c r="B11" s="4" t="s">
        <v>38</v>
      </c>
      <c r="C11" s="4" t="s">
        <v>39</v>
      </c>
      <c r="D11" s="5">
        <v>45898</v>
      </c>
      <c r="E11" s="5">
        <v>45898</v>
      </c>
      <c r="F11" s="4">
        <v>1</v>
      </c>
      <c r="G11" s="4">
        <v>25</v>
      </c>
      <c r="H11" s="4">
        <v>9079571</v>
      </c>
      <c r="I11" s="4" t="s">
        <v>48</v>
      </c>
      <c r="J11" s="4" t="s">
        <v>42</v>
      </c>
      <c r="K11" s="4" t="str">
        <f t="shared" si="0"/>
        <v xml:space="preserve">ADAM RICHTER             </v>
      </c>
      <c r="L11" s="4" t="s">
        <v>26</v>
      </c>
      <c r="M11" s="4" t="s">
        <v>43</v>
      </c>
      <c r="N11" s="4" t="s">
        <v>44</v>
      </c>
      <c r="O11" s="4">
        <v>92.54</v>
      </c>
      <c r="P11" s="4">
        <v>22.5</v>
      </c>
      <c r="Q11" s="4">
        <v>75</v>
      </c>
      <c r="R11" s="4">
        <v>-16.88</v>
      </c>
      <c r="S11" s="4" t="s">
        <v>28</v>
      </c>
      <c r="T11" s="4">
        <v>0</v>
      </c>
      <c r="U11" s="4">
        <v>-16.88</v>
      </c>
      <c r="V11" s="4" t="s">
        <v>49</v>
      </c>
    </row>
    <row r="12" spans="1:22" s="4" customFormat="1" x14ac:dyDescent="0.25">
      <c r="A12" s="4" t="s">
        <v>37</v>
      </c>
      <c r="B12" s="4" t="s">
        <v>38</v>
      </c>
      <c r="C12" s="4" t="s">
        <v>39</v>
      </c>
      <c r="D12" s="5">
        <v>45898</v>
      </c>
      <c r="E12" s="5">
        <v>45898</v>
      </c>
      <c r="F12" s="4">
        <v>1</v>
      </c>
      <c r="G12" s="4">
        <v>25</v>
      </c>
      <c r="H12" s="4">
        <v>9079571</v>
      </c>
      <c r="I12" s="4" t="s">
        <v>48</v>
      </c>
      <c r="J12" s="4" t="s">
        <v>42</v>
      </c>
      <c r="K12" s="4" t="str">
        <f t="shared" si="0"/>
        <v xml:space="preserve">ADAM RICHTER             </v>
      </c>
      <c r="L12" s="4" t="s">
        <v>26</v>
      </c>
      <c r="M12" s="4" t="s">
        <v>43</v>
      </c>
      <c r="N12" s="4" t="s">
        <v>44</v>
      </c>
      <c r="O12" s="4">
        <v>92.54</v>
      </c>
      <c r="P12" s="4">
        <v>5.53</v>
      </c>
      <c r="Q12" s="4">
        <v>75</v>
      </c>
      <c r="R12" s="4">
        <v>-4.1500000000000004</v>
      </c>
      <c r="S12" s="4" t="s">
        <v>28</v>
      </c>
      <c r="T12" s="4">
        <v>0</v>
      </c>
      <c r="U12" s="4">
        <v>-4.1500000000000004</v>
      </c>
      <c r="V12" s="4" t="s">
        <v>49</v>
      </c>
    </row>
    <row r="13" spans="1:22" s="4" customFormat="1" x14ac:dyDescent="0.25">
      <c r="A13" s="4" t="s">
        <v>37</v>
      </c>
      <c r="B13" s="4" t="s">
        <v>38</v>
      </c>
      <c r="C13" s="4" t="s">
        <v>39</v>
      </c>
      <c r="D13" s="5">
        <v>45898</v>
      </c>
      <c r="E13" s="5">
        <v>45898</v>
      </c>
      <c r="F13" s="4">
        <v>1</v>
      </c>
      <c r="G13" s="4">
        <v>25</v>
      </c>
      <c r="H13" s="4">
        <v>9079571</v>
      </c>
      <c r="I13" s="4" t="s">
        <v>48</v>
      </c>
      <c r="J13" s="4" t="s">
        <v>42</v>
      </c>
      <c r="K13" s="4" t="str">
        <f t="shared" si="0"/>
        <v xml:space="preserve">ADAM RICHTER             </v>
      </c>
      <c r="L13" s="4" t="s">
        <v>26</v>
      </c>
      <c r="M13" s="4" t="s">
        <v>43</v>
      </c>
      <c r="N13" s="4" t="s">
        <v>44</v>
      </c>
      <c r="O13" s="4">
        <v>92.54</v>
      </c>
      <c r="P13" s="4">
        <v>3.08</v>
      </c>
      <c r="Q13" s="4">
        <v>75</v>
      </c>
      <c r="R13" s="4">
        <v>-2.31</v>
      </c>
      <c r="S13" s="4" t="s">
        <v>28</v>
      </c>
      <c r="T13" s="4">
        <v>0</v>
      </c>
      <c r="U13" s="4">
        <v>-2.31</v>
      </c>
      <c r="V13" s="4" t="s">
        <v>49</v>
      </c>
    </row>
    <row r="14" spans="1:22" s="4" customFormat="1" x14ac:dyDescent="0.25">
      <c r="A14" s="4" t="s">
        <v>37</v>
      </c>
      <c r="B14" s="4" t="s">
        <v>38</v>
      </c>
      <c r="C14" s="4" t="s">
        <v>39</v>
      </c>
      <c r="D14" s="5">
        <v>45898</v>
      </c>
      <c r="E14" s="5">
        <v>45898</v>
      </c>
      <c r="F14" s="4">
        <v>1</v>
      </c>
      <c r="G14" s="4">
        <v>25</v>
      </c>
      <c r="H14" s="4">
        <v>9079571</v>
      </c>
      <c r="I14" s="4" t="s">
        <v>48</v>
      </c>
      <c r="J14" s="4" t="s">
        <v>42</v>
      </c>
      <c r="K14" s="4" t="str">
        <f t="shared" si="0"/>
        <v xml:space="preserve">ADAM RICHTER             </v>
      </c>
      <c r="L14" s="4" t="s">
        <v>26</v>
      </c>
      <c r="M14" s="4" t="s">
        <v>43</v>
      </c>
      <c r="N14" s="4" t="s">
        <v>44</v>
      </c>
      <c r="O14" s="4">
        <v>92.54</v>
      </c>
      <c r="P14" s="4">
        <v>59.76</v>
      </c>
      <c r="Q14" s="4">
        <v>75</v>
      </c>
      <c r="R14" s="4">
        <v>-44.82</v>
      </c>
      <c r="S14" s="4" t="s">
        <v>28</v>
      </c>
      <c r="T14" s="4">
        <v>0</v>
      </c>
      <c r="U14" s="4">
        <v>-44.82</v>
      </c>
      <c r="V14" s="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011I7200_WC_09-30-2025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2025-10-03T20:13:41Z</dcterms:created>
  <dcterms:modified xsi:type="dcterms:W3CDTF">2025-10-04T19:13:24Z</dcterms:modified>
</cp:coreProperties>
</file>