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 advances\4-16-25\"/>
    </mc:Choice>
  </mc:AlternateContent>
  <xr:revisionPtr revIDLastSave="0" documentId="13_ncr:1_{A5CFC0A2-F03F-4C80-8C0B-26EE7D33ECB2}" xr6:coauthVersionLast="47" xr6:coauthVersionMax="47" xr10:uidLastSave="{00000000-0000-0000-0000-000000000000}"/>
  <bookViews>
    <workbookView xWindow="-57720" yWindow="-45" windowWidth="29040" windowHeight="15720" xr2:uid="{221458CF-021D-4726-828D-945244239207}"/>
  </bookViews>
  <sheets>
    <sheet name="011I7200_WA_04-16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2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<sst xmlns="http://schemas.openxmlformats.org/spreadsheetml/2006/main" count="60" uniqueCount="25">
  <si>
    <t>Policy Nbr</t>
  </si>
  <si>
    <t>Desc</t>
  </si>
  <si>
    <t>Agent Nbr</t>
  </si>
  <si>
    <t>First Name</t>
  </si>
  <si>
    <t>Last Name</t>
  </si>
  <si>
    <t>Agency</t>
  </si>
  <si>
    <t>Trans Type</t>
  </si>
  <si>
    <t>Plan</t>
  </si>
  <si>
    <t>Prem Paid Amt</t>
  </si>
  <si>
    <t>Comm Rate</t>
  </si>
  <si>
    <t xml:space="preserve">Comm Prem Amt </t>
  </si>
  <si>
    <t>Adv Per</t>
  </si>
  <si>
    <t>Effective Date</t>
  </si>
  <si>
    <t>Paid To Date</t>
  </si>
  <si>
    <t>Last Activity Date</t>
  </si>
  <si>
    <t>GTA6363523</t>
  </si>
  <si>
    <t>011I7208</t>
  </si>
  <si>
    <t xml:space="preserve">CAROL               </t>
  </si>
  <si>
    <t xml:space="preserve">FOLEY               </t>
  </si>
  <si>
    <t xml:space="preserve">DELIVERED           </t>
  </si>
  <si>
    <t>Monthlyamount</t>
  </si>
  <si>
    <t>Monthly premium</t>
  </si>
  <si>
    <t>GTL ADVANTAGE PLUS(65)</t>
  </si>
  <si>
    <t>FELL  ANA</t>
  </si>
  <si>
    <t xml:space="preserve">9 months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</si>
</sst>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33CB-955C-494E-867B-459EBEC21FCA}">
  <dimension ref="A1:R7"/>
  <sheetViews>
    <sheetView tabSelected="1" workbookViewId="0">
      <selection activeCell="I2" sqref="I2:I7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9.5703125" bestFit="1" customWidth="1"/>
    <col min="4" max="4" width="13.28515625" bestFit="1" customWidth="1"/>
    <col min="5" max="5" width="12.7109375" bestFit="1" customWidth="1"/>
    <col min="6" max="6" width="22.85546875" bestFit="1" customWidth="1"/>
    <col min="7" max="7" width="15.140625" bestFit="1" customWidth="1"/>
    <col min="8" max="8" width="23.7109375" bestFit="1" customWidth="1"/>
    <col min="9" max="9" width="14" bestFit="1" customWidth="1"/>
    <col min="10" max="10" width="14" customWidth="1"/>
    <col min="11" max="11" width="11" bestFit="1" customWidth="1"/>
    <col min="12" max="12" width="16.140625" bestFit="1" customWidth="1"/>
    <col min="13" max="13" width="7.42578125" bestFit="1" customWidth="1"/>
    <col min="14" max="14" width="17" bestFit="1" customWidth="1"/>
    <col min="15" max="15" width="15" bestFit="1" customWidth="1"/>
    <col min="16" max="16" width="12.5703125" bestFit="1" customWidth="1"/>
    <col min="17" max="17" width="12" bestFit="1" customWidth="1"/>
    <col min="18" max="18" width="1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24</v>
      </c>
      <c r="O1" t="s">
        <v>20</v>
      </c>
      <c r="P1" t="s">
        <v>12</v>
      </c>
      <c r="Q1" t="s">
        <v>13</v>
      </c>
      <c r="R1" t="s">
        <v>14</v>
      </c>
    </row>
    <row r="2" spans="1:18" x14ac:dyDescent="0.25">
      <c r="A2" t="s">
        <v>15</v>
      </c>
      <c r="B2" t="s">
        <v>23</v>
      </c>
      <c r="C2" t="s">
        <v>16</v>
      </c>
      <c r="D2" t="s">
        <v>17</v>
      </c>
      <c r="E2" t="s">
        <v>18</v>
      </c>
      <c r="F2">
        <v>17425766</v>
      </c>
      <c r="G2" t="s">
        <v>19</v>
      </c>
      <c r="H2" t="s">
        <v>22</v>
      </c>
      <c r="I2">
        <v>300</v>
      </c>
      <c r="J2">
        <f>SUM(I2/12)</f>
        <v>25</v>
      </c>
      <c r="K2">
        <v>65</v>
      </c>
      <c r="L2">
        <v>195</v>
      </c>
      <c r="M2">
        <v>75</v>
      </c>
      <c r="N2">
        <v>146.25</v>
      </c>
      <c r="O2">
        <f>SUM(L2/12)</f>
        <v>16.25</v>
      </c>
      <c r="P2" s="1">
        <v>45778</v>
      </c>
      <c r="Q2" s="1">
        <v>45757</v>
      </c>
      <c r="R2" s="1">
        <v>45757</v>
      </c>
    </row>
    <row r="3" spans="1:18" x14ac:dyDescent="0.25">
      <c r="A3" t="s">
        <v>15</v>
      </c>
      <c r="B3" t="s">
        <v>23</v>
      </c>
      <c r="C3" t="s">
        <v>16</v>
      </c>
      <c r="D3" t="s">
        <v>17</v>
      </c>
      <c r="E3" t="s">
        <v>18</v>
      </c>
      <c r="F3">
        <v>17425766</v>
      </c>
      <c r="G3" t="s">
        <v>19</v>
      </c>
      <c r="H3" t="s">
        <v>22</v>
      </c>
      <c r="I3">
        <v>20.16</v>
      </c>
      <c r="J3">
        <f t="shared" ref="J3:J7" si="0">SUM(I3/12)</f>
        <v>1.68</v>
      </c>
      <c r="K3">
        <v>65</v>
      </c>
      <c r="L3">
        <v>13.1</v>
      </c>
      <c r="M3">
        <v>75</v>
      </c>
      <c r="N3">
        <v>9.82</v>
      </c>
      <c r="O3">
        <f t="shared" ref="O3:O7" si="1">SUM(L3/12)</f>
        <v>1.0916666666666666</v>
      </c>
      <c r="P3" s="1">
        <v>45778</v>
      </c>
      <c r="Q3" s="1">
        <v>45757</v>
      </c>
      <c r="R3" s="1">
        <v>45757</v>
      </c>
    </row>
    <row r="4" spans="1:18" x14ac:dyDescent="0.25">
      <c r="A4" t="s">
        <v>15</v>
      </c>
      <c r="B4" t="s">
        <v>23</v>
      </c>
      <c r="C4" t="s">
        <v>16</v>
      </c>
      <c r="D4" t="s">
        <v>17</v>
      </c>
      <c r="E4" t="s">
        <v>18</v>
      </c>
      <c r="F4">
        <v>17425766</v>
      </c>
      <c r="G4" t="s">
        <v>19</v>
      </c>
      <c r="H4" t="s">
        <v>22</v>
      </c>
      <c r="I4">
        <v>155.28</v>
      </c>
      <c r="J4">
        <f t="shared" si="0"/>
        <v>12.94</v>
      </c>
      <c r="K4">
        <v>65</v>
      </c>
      <c r="L4">
        <v>100.93</v>
      </c>
      <c r="M4">
        <v>75</v>
      </c>
      <c r="N4">
        <v>75.69</v>
      </c>
      <c r="O4">
        <f t="shared" si="1"/>
        <v>8.4108333333333345</v>
      </c>
      <c r="P4" s="1">
        <v>45778</v>
      </c>
      <c r="Q4" s="1">
        <v>45757</v>
      </c>
      <c r="R4" s="1">
        <v>45757</v>
      </c>
    </row>
    <row r="5" spans="1:18" x14ac:dyDescent="0.25">
      <c r="A5" t="s">
        <v>15</v>
      </c>
      <c r="B5" t="s">
        <v>23</v>
      </c>
      <c r="C5" t="s">
        <v>16</v>
      </c>
      <c r="D5" t="s">
        <v>17</v>
      </c>
      <c r="E5" t="s">
        <v>18</v>
      </c>
      <c r="F5">
        <v>17425766</v>
      </c>
      <c r="G5" t="s">
        <v>19</v>
      </c>
      <c r="H5" t="s">
        <v>22</v>
      </c>
      <c r="I5">
        <v>233.88</v>
      </c>
      <c r="J5">
        <f t="shared" si="0"/>
        <v>19.489999999999998</v>
      </c>
      <c r="K5">
        <v>65</v>
      </c>
      <c r="L5">
        <v>152.02000000000001</v>
      </c>
      <c r="M5">
        <v>75</v>
      </c>
      <c r="N5">
        <v>114.01</v>
      </c>
      <c r="O5">
        <f t="shared" si="1"/>
        <v>12.668333333333335</v>
      </c>
      <c r="P5" s="1">
        <v>45778</v>
      </c>
      <c r="Q5" s="1">
        <v>45757</v>
      </c>
      <c r="R5" s="1">
        <v>45757</v>
      </c>
    </row>
    <row r="6" spans="1:18" x14ac:dyDescent="0.25">
      <c r="A6" t="s">
        <v>15</v>
      </c>
      <c r="B6" t="s">
        <v>23</v>
      </c>
      <c r="C6" t="s">
        <v>16</v>
      </c>
      <c r="D6" t="s">
        <v>17</v>
      </c>
      <c r="E6" t="s">
        <v>18</v>
      </c>
      <c r="F6">
        <v>17425766</v>
      </c>
      <c r="G6" t="s">
        <v>19</v>
      </c>
      <c r="H6" t="s">
        <v>22</v>
      </c>
      <c r="I6">
        <v>33</v>
      </c>
      <c r="J6">
        <f t="shared" si="0"/>
        <v>2.75</v>
      </c>
      <c r="K6">
        <v>65</v>
      </c>
      <c r="L6">
        <v>21.45</v>
      </c>
      <c r="M6">
        <v>75</v>
      </c>
      <c r="N6">
        <v>16.079999999999998</v>
      </c>
      <c r="O6">
        <f t="shared" si="1"/>
        <v>1.7874999999999999</v>
      </c>
      <c r="P6" s="1">
        <v>45778</v>
      </c>
      <c r="Q6" s="1">
        <v>45757</v>
      </c>
      <c r="R6" s="1">
        <v>45757</v>
      </c>
    </row>
    <row r="7" spans="1:18" x14ac:dyDescent="0.25">
      <c r="A7" t="s">
        <v>15</v>
      </c>
      <c r="B7" t="s">
        <v>23</v>
      </c>
      <c r="C7" t="s">
        <v>16</v>
      </c>
      <c r="D7" t="s">
        <v>17</v>
      </c>
      <c r="E7" t="s">
        <v>18</v>
      </c>
      <c r="F7">
        <v>17425766</v>
      </c>
      <c r="G7" t="s">
        <v>19</v>
      </c>
      <c r="H7" t="s">
        <v>22</v>
      </c>
      <c r="I7">
        <v>149.16</v>
      </c>
      <c r="J7">
        <f t="shared" si="0"/>
        <v>12.43</v>
      </c>
      <c r="K7">
        <v>65</v>
      </c>
      <c r="L7">
        <v>96.95</v>
      </c>
      <c r="M7">
        <v>75</v>
      </c>
      <c r="N7">
        <v>72.709999999999994</v>
      </c>
      <c r="O7">
        <f t="shared" si="1"/>
        <v>8.0791666666666675</v>
      </c>
      <c r="P7" s="1">
        <v>45778</v>
      </c>
      <c r="Q7" s="1">
        <v>45757</v>
      </c>
      <c r="R7" s="1">
        <v>45757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011I7200_WA_04-16-2025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2025-04-20T16:03:53Z</dcterms:created>
  <dcterms:modified xsi:type="dcterms:W3CDTF">2025-04-22T20:43:52Z</dcterms:modified>
</cp:coreProperties>
</file>