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GTL\weekly advances\4-2-25\"/>
    </mc:Choice>
  </mc:AlternateContent>
  <xr:revisionPtr revIDLastSave="0" documentId="13_ncr:1_{8B1EE1D8-653D-4542-AE43-29DAE40AB07C}" xr6:coauthVersionLast="47" xr6:coauthVersionMax="47" xr10:uidLastSave="{00000000-0000-0000-0000-000000000000}"/>
  <bookViews>
    <workbookView xWindow="-57720" yWindow="-45" windowWidth="29040" windowHeight="15720" xr2:uid="{F7163FAF-94F1-420B-9860-EC5D3CFCF480}"/>
  </bookViews>
  <sheets>
    <sheet name="011I7200_WA_04-02-20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1" l="1"/>
  <c r="K5" i="1"/>
  <c r="K3" i="1"/>
  <c r="K4" i="1"/>
  <c r="K2" i="1"/>
  <c r="Q5" i="1"/>
  <c r="Q3" i="1"/>
  <c r="Q4" i="1"/>
  <c r="Q2" i="1"/>
  <c r="J3" i="1"/>
  <c r="J4" i="1"/>
  <c r="J5" i="1"/>
  <c r="J2" i="1"/>
  <c r="F3" i="1"/>
  <c r="F4" i="1"/>
  <c r="F5" i="1"/>
  <c r="F6" i="1"/>
  <c r="F7" i="1"/>
  <c r="F8" i="1"/>
  <c r="F9" i="1"/>
  <c r="F2" i="1"/>
</calcChain>
</file>

<file path=xl/sharedStrings.xml><?xml version="1.0" encoding="utf-8"?>
<sst xmlns="http://schemas.openxmlformats.org/spreadsheetml/2006/main" count="77" uniqueCount="35">
  <si>
    <t>Policy Nbr</t>
  </si>
  <si>
    <t>Desc</t>
  </si>
  <si>
    <t>Agent Nbr</t>
  </si>
  <si>
    <t>First Name</t>
  </si>
  <si>
    <t>Last Name</t>
  </si>
  <si>
    <t>Agency</t>
  </si>
  <si>
    <t>Trans Type</t>
  </si>
  <si>
    <t>Plan</t>
  </si>
  <si>
    <t>Prem Paid Amt</t>
  </si>
  <si>
    <t xml:space="preserve">Comm Prem Amt </t>
  </si>
  <si>
    <t>Amount</t>
  </si>
  <si>
    <t>Effective Date</t>
  </si>
  <si>
    <t>Paid To Date</t>
  </si>
  <si>
    <t>Last Activity Date</t>
  </si>
  <si>
    <t>GTA6361813</t>
  </si>
  <si>
    <t xml:space="preserve">DEWEY  JEFF   </t>
  </si>
  <si>
    <t>011I720S</t>
  </si>
  <si>
    <t xml:space="preserve">DELIVERED           </t>
  </si>
  <si>
    <t xml:space="preserve">MAP20 </t>
  </si>
  <si>
    <t xml:space="preserve">M20FE </t>
  </si>
  <si>
    <t xml:space="preserve">M20AS </t>
  </si>
  <si>
    <t xml:space="preserve">M20CA </t>
  </si>
  <si>
    <t>GTA6340192</t>
  </si>
  <si>
    <t>WIRTZ  MICHELL</t>
  </si>
  <si>
    <t>011I720A</t>
  </si>
  <si>
    <t xml:space="preserve">LAPSED              </t>
  </si>
  <si>
    <t xml:space="preserve">       </t>
  </si>
  <si>
    <t>PETER</t>
  </si>
  <si>
    <t xml:space="preserve">STACEY </t>
  </si>
  <si>
    <t>RICHTER</t>
  </si>
  <si>
    <t>PORTUGAL</t>
  </si>
  <si>
    <t>premium /12</t>
  </si>
  <si>
    <t>6months</t>
  </si>
  <si>
    <t>1 month</t>
  </si>
  <si>
    <t>commison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</si>
</sst>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475D3-FBDF-45DD-9A52-296083F0D72C}">
  <dimension ref="A1:R9"/>
  <sheetViews>
    <sheetView tabSelected="1" workbookViewId="0">
      <selection activeCell="I6" sqref="I6"/>
    </sheetView>
  </sheetViews>
  <sheetFormatPr defaultRowHeight="15" x14ac:dyDescent="0.25"/>
  <cols>
    <col min="1" max="1" width="11.42578125" bestFit="1" customWidth="1"/>
    <col min="2" max="2" width="14.7109375" bestFit="1" customWidth="1"/>
    <col min="3" max="3" width="9.5703125" bestFit="1" customWidth="1"/>
    <col min="4" max="4" width="13.42578125" bestFit="1" customWidth="1"/>
    <col min="5" max="5" width="15.5703125" bestFit="1" customWidth="1"/>
    <col min="6" max="6" width="22.85546875" bestFit="1" customWidth="1"/>
    <col min="7" max="7" width="15.140625" bestFit="1" customWidth="1"/>
    <col min="8" max="8" width="7.28515625" bestFit="1" customWidth="1"/>
    <col min="9" max="9" width="14" bestFit="1" customWidth="1"/>
    <col min="10" max="10" width="14" customWidth="1"/>
    <col min="11" max="11" width="12.5703125" bestFit="1" customWidth="1"/>
    <col min="12" max="12" width="16.140625" bestFit="1" customWidth="1"/>
    <col min="13" max="13" width="7.85546875" bestFit="1" customWidth="1"/>
    <col min="14" max="14" width="12.5703125" bestFit="1" customWidth="1"/>
    <col min="15" max="15" width="12" bestFit="1" customWidth="1"/>
    <col min="16" max="16" width="15.710937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31</v>
      </c>
      <c r="K1" t="s">
        <v>34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32</v>
      </c>
      <c r="R1" t="s">
        <v>33</v>
      </c>
    </row>
    <row r="2" spans="1:18" x14ac:dyDescent="0.25">
      <c r="A2" t="s">
        <v>14</v>
      </c>
      <c r="B2" t="s">
        <v>15</v>
      </c>
      <c r="C2" t="s">
        <v>16</v>
      </c>
      <c r="D2" t="s">
        <v>28</v>
      </c>
      <c r="E2" t="s">
        <v>30</v>
      </c>
      <c r="F2" t="str">
        <f>CONCATENATE(D2, " ",E2)</f>
        <v>STACEY  PORTUGAL</v>
      </c>
      <c r="G2" t="s">
        <v>17</v>
      </c>
      <c r="H2" t="s">
        <v>18</v>
      </c>
      <c r="I2" s="2">
        <v>281.52</v>
      </c>
      <c r="J2">
        <f>SUM(I2/12)</f>
        <v>23.459999999999997</v>
      </c>
      <c r="K2">
        <f>SUM(L2/12*6)</f>
        <v>91.49</v>
      </c>
      <c r="L2">
        <v>182.98</v>
      </c>
      <c r="M2" s="2">
        <v>137.24</v>
      </c>
      <c r="N2" s="1">
        <v>45749</v>
      </c>
      <c r="O2" s="1">
        <v>45748</v>
      </c>
      <c r="P2" s="1">
        <v>45748</v>
      </c>
      <c r="Q2">
        <f>SUM(L2/12)</f>
        <v>15.248333333333333</v>
      </c>
    </row>
    <row r="3" spans="1:18" x14ac:dyDescent="0.25">
      <c r="A3" t="s">
        <v>14</v>
      </c>
      <c r="B3" t="s">
        <v>15</v>
      </c>
      <c r="C3" t="s">
        <v>16</v>
      </c>
      <c r="D3" t="s">
        <v>28</v>
      </c>
      <c r="E3" t="s">
        <v>30</v>
      </c>
      <c r="F3" t="str">
        <f t="shared" ref="F3:F9" si="0">CONCATENATE(D3, " ",E3)</f>
        <v>STACEY  PORTUGAL</v>
      </c>
      <c r="G3" t="s">
        <v>17</v>
      </c>
      <c r="H3" t="s">
        <v>19</v>
      </c>
      <c r="I3" s="2">
        <v>20.16</v>
      </c>
      <c r="J3">
        <f t="shared" ref="J3:J5" si="1">SUM(I3/12)</f>
        <v>1.68</v>
      </c>
      <c r="K3">
        <f t="shared" ref="K3:K4" si="2">SUM(L3/12*6)</f>
        <v>6.5499999999999989</v>
      </c>
      <c r="L3">
        <v>13.1</v>
      </c>
      <c r="M3" s="2">
        <v>9.82</v>
      </c>
      <c r="N3" s="1">
        <v>45749</v>
      </c>
      <c r="O3" s="1">
        <v>45748</v>
      </c>
      <c r="P3" s="1">
        <v>45748</v>
      </c>
      <c r="Q3">
        <f t="shared" ref="Q3:Q4" si="3">SUM(L3/12)</f>
        <v>1.0916666666666666</v>
      </c>
    </row>
    <row r="4" spans="1:18" x14ac:dyDescent="0.25">
      <c r="A4" t="s">
        <v>14</v>
      </c>
      <c r="B4" t="s">
        <v>15</v>
      </c>
      <c r="C4" t="s">
        <v>16</v>
      </c>
      <c r="D4" t="s">
        <v>28</v>
      </c>
      <c r="E4" t="s">
        <v>30</v>
      </c>
      <c r="F4" t="str">
        <f t="shared" si="0"/>
        <v>STACEY  PORTUGAL</v>
      </c>
      <c r="G4" t="s">
        <v>17</v>
      </c>
      <c r="H4" t="s">
        <v>20</v>
      </c>
      <c r="I4" s="2">
        <v>25.68</v>
      </c>
      <c r="J4">
        <f t="shared" si="1"/>
        <v>2.14</v>
      </c>
      <c r="K4">
        <f t="shared" si="2"/>
        <v>8.3450000000000006</v>
      </c>
      <c r="L4">
        <v>16.690000000000001</v>
      </c>
      <c r="M4" s="2">
        <v>12.51</v>
      </c>
      <c r="N4" s="1">
        <v>45749</v>
      </c>
      <c r="O4" s="1">
        <v>45748</v>
      </c>
      <c r="P4" s="1">
        <v>45748</v>
      </c>
      <c r="Q4">
        <f t="shared" si="3"/>
        <v>1.3908333333333334</v>
      </c>
    </row>
    <row r="5" spans="1:18" x14ac:dyDescent="0.25">
      <c r="A5" t="s">
        <v>14</v>
      </c>
      <c r="B5" t="s">
        <v>15</v>
      </c>
      <c r="C5" t="s">
        <v>16</v>
      </c>
      <c r="D5" t="s">
        <v>28</v>
      </c>
      <c r="E5" t="s">
        <v>30</v>
      </c>
      <c r="F5" t="str">
        <f t="shared" si="0"/>
        <v>STACEY  PORTUGAL</v>
      </c>
      <c r="G5" t="s">
        <v>17</v>
      </c>
      <c r="H5" t="s">
        <v>21</v>
      </c>
      <c r="I5" s="2">
        <v>21.72</v>
      </c>
      <c r="J5">
        <f t="shared" si="1"/>
        <v>1.8099999999999998</v>
      </c>
      <c r="K5">
        <f>SUM(L5/12*6)</f>
        <v>7.0549999999999997</v>
      </c>
      <c r="L5">
        <v>14.11</v>
      </c>
      <c r="M5" s="2">
        <v>10.59</v>
      </c>
      <c r="N5" s="1">
        <v>45749</v>
      </c>
      <c r="O5" s="1">
        <v>45748</v>
      </c>
      <c r="P5" s="1">
        <v>45748</v>
      </c>
      <c r="Q5">
        <f>SUM(L5/12)</f>
        <v>1.1758333333333333</v>
      </c>
    </row>
    <row r="6" spans="1:18" x14ac:dyDescent="0.25">
      <c r="A6" t="s">
        <v>22</v>
      </c>
      <c r="B6" t="s">
        <v>23</v>
      </c>
      <c r="C6" t="s">
        <v>24</v>
      </c>
      <c r="D6" t="s">
        <v>27</v>
      </c>
      <c r="E6" t="s">
        <v>29</v>
      </c>
      <c r="F6" t="str">
        <f t="shared" si="0"/>
        <v>PETER RICHTER</v>
      </c>
      <c r="G6" t="s">
        <v>25</v>
      </c>
      <c r="H6" t="s">
        <v>18</v>
      </c>
      <c r="I6" s="2">
        <v>10.29</v>
      </c>
      <c r="K6" s="3">
        <f>SUM(K2:K5)</f>
        <v>113.44</v>
      </c>
      <c r="M6" s="2">
        <v>-6.69</v>
      </c>
      <c r="N6" s="1">
        <v>45658</v>
      </c>
      <c r="O6" s="1">
        <v>45748</v>
      </c>
      <c r="P6" s="1">
        <v>45735</v>
      </c>
    </row>
    <row r="7" spans="1:18" x14ac:dyDescent="0.25">
      <c r="A7" t="s">
        <v>22</v>
      </c>
      <c r="B7" t="s">
        <v>23</v>
      </c>
      <c r="C7" t="s">
        <v>24</v>
      </c>
      <c r="D7" t="s">
        <v>27</v>
      </c>
      <c r="E7" t="s">
        <v>29</v>
      </c>
      <c r="F7" t="str">
        <f t="shared" si="0"/>
        <v>PETER RICHTER</v>
      </c>
      <c r="G7" t="s">
        <v>25</v>
      </c>
      <c r="H7" t="s">
        <v>18</v>
      </c>
      <c r="I7" s="2">
        <v>15.11</v>
      </c>
      <c r="K7" t="s">
        <v>26</v>
      </c>
      <c r="M7" s="2">
        <v>-9.82</v>
      </c>
      <c r="N7" s="1">
        <v>45658</v>
      </c>
      <c r="O7" s="1">
        <v>45748</v>
      </c>
      <c r="P7" s="1">
        <v>45735</v>
      </c>
    </row>
    <row r="8" spans="1:18" x14ac:dyDescent="0.25">
      <c r="A8" t="s">
        <v>22</v>
      </c>
      <c r="B8" t="s">
        <v>23</v>
      </c>
      <c r="C8" t="s">
        <v>24</v>
      </c>
      <c r="D8" t="s">
        <v>27</v>
      </c>
      <c r="E8" t="s">
        <v>29</v>
      </c>
      <c r="F8" t="str">
        <f t="shared" si="0"/>
        <v>PETER RICHTER</v>
      </c>
      <c r="G8" t="s">
        <v>25</v>
      </c>
      <c r="H8" t="s">
        <v>18</v>
      </c>
      <c r="I8" s="2">
        <v>37.92</v>
      </c>
      <c r="K8" t="s">
        <v>26</v>
      </c>
      <c r="M8" s="2">
        <v>-24.65</v>
      </c>
      <c r="N8" s="1">
        <v>45658</v>
      </c>
      <c r="O8" s="1">
        <v>45748</v>
      </c>
      <c r="P8" s="1">
        <v>45735</v>
      </c>
    </row>
    <row r="9" spans="1:18" x14ac:dyDescent="0.25">
      <c r="A9" t="s">
        <v>22</v>
      </c>
      <c r="B9" t="s">
        <v>23</v>
      </c>
      <c r="C9" t="s">
        <v>24</v>
      </c>
      <c r="D9" t="s">
        <v>27</v>
      </c>
      <c r="E9" t="s">
        <v>29</v>
      </c>
      <c r="F9" t="str">
        <f t="shared" si="0"/>
        <v>PETER RICHTER</v>
      </c>
      <c r="G9" t="s">
        <v>25</v>
      </c>
      <c r="H9" t="s">
        <v>18</v>
      </c>
      <c r="I9" s="2">
        <v>122.21</v>
      </c>
      <c r="K9" t="s">
        <v>26</v>
      </c>
      <c r="M9" s="2">
        <v>-79.44</v>
      </c>
      <c r="N9" s="1">
        <v>45658</v>
      </c>
      <c r="O9" s="1">
        <v>45748</v>
      </c>
      <c r="P9" s="1">
        <v>45735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011I7200_WA_04-02-2025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2025-04-10T22:47:35Z</dcterms:created>
  <dcterms:modified xsi:type="dcterms:W3CDTF">2025-04-15T18:32:18Z</dcterms:modified>
</cp:coreProperties>
</file>