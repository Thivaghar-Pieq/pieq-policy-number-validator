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GTL\weekly advances\3-12-25\"/>
    </mc:Choice>
  </mc:AlternateContent>
  <xr:revisionPtr revIDLastSave="0" documentId="13_ncr:1_{710F99EB-DAB1-4BB4-9B68-8F83D3CCECFF}" xr6:coauthVersionLast="47" xr6:coauthVersionMax="47" xr10:uidLastSave="{00000000-0000-0000-0000-000000000000}"/>
  <bookViews>
    <workbookView xWindow="-28920" yWindow="-120" windowWidth="29040" windowHeight="15720" xr2:uid="{5BEE9393-4449-4BD0-A99C-8D4BABF251A0}"/>
  </bookViews>
  <sheets>
    <sheet name="011I7200_WA_03-12-2025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1" l="1"/>
  <c r="F4" i="1"/>
  <c r="F5" i="1"/>
  <c r="F2" i="1"/>
</calcChain>
</file>

<file path=xl/sharedStrings.xml><?xml version="1.0" encoding="utf-8"?>
<sst xmlns="http://schemas.openxmlformats.org/spreadsheetml/2006/main" count="45" uniqueCount="33">
  <si>
    <t>Policy Nbr</t>
  </si>
  <si>
    <t>Desc</t>
  </si>
  <si>
    <t>Agent Nbr</t>
  </si>
  <si>
    <t>First Name</t>
  </si>
  <si>
    <t>Last Name</t>
  </si>
  <si>
    <t>Agency</t>
  </si>
  <si>
    <t>Trans Type</t>
  </si>
  <si>
    <t>Plan</t>
  </si>
  <si>
    <t>Prem Paid Amt</t>
  </si>
  <si>
    <t>Comm Rate</t>
  </si>
  <si>
    <t xml:space="preserve">Comm Prem Amt </t>
  </si>
  <si>
    <t>Adv Per</t>
  </si>
  <si>
    <t>Amount</t>
  </si>
  <si>
    <t>Effective Date</t>
  </si>
  <si>
    <t>Paid To Date</t>
  </si>
  <si>
    <t>Last Activity Date</t>
  </si>
  <si>
    <t>GTA6355862</t>
  </si>
  <si>
    <t>JOHNSON  DONAL</t>
  </si>
  <si>
    <t>011I720S</t>
  </si>
  <si>
    <t xml:space="preserve">PORTUGAL            </t>
  </si>
  <si>
    <t xml:space="preserve">DELIVERED           </t>
  </si>
  <si>
    <t xml:space="preserve">MAP20 </t>
  </si>
  <si>
    <t xml:space="preserve">M20FE </t>
  </si>
  <si>
    <t xml:space="preserve">M20HL </t>
  </si>
  <si>
    <t>GTA6342476</t>
  </si>
  <si>
    <t>GRIFFITH  DEBO</t>
  </si>
  <si>
    <t>011I7206</t>
  </si>
  <si>
    <t xml:space="preserve">RICHTER             </t>
  </si>
  <si>
    <t xml:space="preserve">NOT TAKEN PD        </t>
  </si>
  <si>
    <t xml:space="preserve">GNHHC </t>
  </si>
  <si>
    <t xml:space="preserve">       </t>
  </si>
  <si>
    <t>STACEY</t>
  </si>
  <si>
    <t>ADAM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</si>
</sst>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0" fontId="0" fillId="33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EF06FE-57AF-4A60-A28D-9AA74BB5D1FB}">
  <dimension ref="A1:P5"/>
  <sheetViews>
    <sheetView tabSelected="1" workbookViewId="0">
      <selection activeCell="G17" sqref="G17"/>
    </sheetView>
  </sheetViews>
  <sheetFormatPr defaultRowHeight="15" x14ac:dyDescent="0.25"/>
  <cols>
    <col min="1" max="1" width="11.42578125" bestFit="1" customWidth="1"/>
    <col min="2" max="2" width="16.85546875" bestFit="1" customWidth="1"/>
    <col min="3" max="3" width="9.5703125" bestFit="1" customWidth="1"/>
    <col min="4" max="4" width="10.5703125" bestFit="1" customWidth="1"/>
    <col min="5" max="5" width="15.5703125" bestFit="1" customWidth="1"/>
    <col min="6" max="6" width="22.5703125" bestFit="1" customWidth="1"/>
    <col min="7" max="7" width="17.5703125" bestFit="1" customWidth="1"/>
    <col min="8" max="8" width="7.85546875" bestFit="1" customWidth="1"/>
    <col min="9" max="9" width="14" bestFit="1" customWidth="1"/>
    <col min="10" max="10" width="11" bestFit="1" customWidth="1"/>
    <col min="11" max="11" width="16.140625" bestFit="1" customWidth="1"/>
    <col min="12" max="12" width="7.42578125" bestFit="1" customWidth="1"/>
    <col min="13" max="13" width="7.85546875" style="2" bestFit="1" customWidth="1"/>
    <col min="14" max="14" width="12.5703125" bestFit="1" customWidth="1"/>
    <col min="15" max="15" width="12" bestFit="1" customWidth="1"/>
    <col min="16" max="16" width="15.7109375" bestFit="1" customWidth="1"/>
  </cols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s="2" t="s">
        <v>12</v>
      </c>
      <c r="N1" t="s">
        <v>13</v>
      </c>
      <c r="O1" t="s">
        <v>14</v>
      </c>
      <c r="P1" t="s">
        <v>15</v>
      </c>
    </row>
    <row r="2" spans="1:16" x14ac:dyDescent="0.25">
      <c r="A2" t="s">
        <v>16</v>
      </c>
      <c r="B2" t="s">
        <v>17</v>
      </c>
      <c r="C2" t="s">
        <v>18</v>
      </c>
      <c r="D2" t="s">
        <v>31</v>
      </c>
      <c r="E2" t="s">
        <v>19</v>
      </c>
      <c r="F2" t="str">
        <f>CONCATENATE(D2, " ",E2)</f>
        <v xml:space="preserve">STACEY PORTUGAL            </v>
      </c>
      <c r="G2" t="s">
        <v>20</v>
      </c>
      <c r="H2" t="s">
        <v>21</v>
      </c>
      <c r="I2">
        <v>281.52</v>
      </c>
      <c r="J2">
        <v>65</v>
      </c>
      <c r="K2">
        <v>182.98</v>
      </c>
      <c r="L2">
        <v>75</v>
      </c>
      <c r="M2" s="2">
        <v>137.24</v>
      </c>
      <c r="N2" s="1">
        <v>45809</v>
      </c>
      <c r="O2" s="1">
        <v>45722</v>
      </c>
      <c r="P2" s="1">
        <v>45722</v>
      </c>
    </row>
    <row r="3" spans="1:16" x14ac:dyDescent="0.25">
      <c r="A3" t="s">
        <v>16</v>
      </c>
      <c r="B3" t="s">
        <v>17</v>
      </c>
      <c r="C3" t="s">
        <v>18</v>
      </c>
      <c r="D3" t="s">
        <v>31</v>
      </c>
      <c r="E3" t="s">
        <v>19</v>
      </c>
      <c r="F3" t="str">
        <f t="shared" ref="F3:F5" si="0">CONCATENATE(D3, " ",E3)</f>
        <v xml:space="preserve">STACEY PORTUGAL            </v>
      </c>
      <c r="G3" t="s">
        <v>20</v>
      </c>
      <c r="H3" t="s">
        <v>22</v>
      </c>
      <c r="I3">
        <v>20.16</v>
      </c>
      <c r="J3">
        <v>65</v>
      </c>
      <c r="K3">
        <v>13.1</v>
      </c>
      <c r="L3">
        <v>75</v>
      </c>
      <c r="M3" s="2">
        <v>9.82</v>
      </c>
      <c r="N3" s="1">
        <v>45809</v>
      </c>
      <c r="O3" s="1">
        <v>45722</v>
      </c>
      <c r="P3" s="1">
        <v>45722</v>
      </c>
    </row>
    <row r="4" spans="1:16" x14ac:dyDescent="0.25">
      <c r="A4" t="s">
        <v>16</v>
      </c>
      <c r="B4" t="s">
        <v>17</v>
      </c>
      <c r="C4" t="s">
        <v>18</v>
      </c>
      <c r="D4" t="s">
        <v>31</v>
      </c>
      <c r="E4" t="s">
        <v>19</v>
      </c>
      <c r="F4" t="str">
        <f t="shared" si="0"/>
        <v xml:space="preserve">STACEY PORTUGAL            </v>
      </c>
      <c r="G4" t="s">
        <v>20</v>
      </c>
      <c r="H4" t="s">
        <v>23</v>
      </c>
      <c r="I4">
        <v>211.68</v>
      </c>
      <c r="J4">
        <v>65</v>
      </c>
      <c r="K4">
        <v>137.59</v>
      </c>
      <c r="L4">
        <v>75</v>
      </c>
      <c r="M4" s="2">
        <v>103.19</v>
      </c>
      <c r="N4" s="1">
        <v>45809</v>
      </c>
      <c r="O4" s="1">
        <v>45722</v>
      </c>
      <c r="P4" s="1">
        <v>45722</v>
      </c>
    </row>
    <row r="5" spans="1:16" x14ac:dyDescent="0.25">
      <c r="A5" t="s">
        <v>24</v>
      </c>
      <c r="B5" t="s">
        <v>25</v>
      </c>
      <c r="C5" t="s">
        <v>26</v>
      </c>
      <c r="D5" t="s">
        <v>32</v>
      </c>
      <c r="E5" t="s">
        <v>27</v>
      </c>
      <c r="F5" t="str">
        <f t="shared" si="0"/>
        <v xml:space="preserve">ADAM RICHTER             </v>
      </c>
      <c r="G5" t="s">
        <v>28</v>
      </c>
      <c r="H5" t="s">
        <v>29</v>
      </c>
      <c r="I5">
        <v>0</v>
      </c>
      <c r="J5">
        <v>75</v>
      </c>
      <c r="K5">
        <v>43.14</v>
      </c>
      <c r="L5" t="s">
        <v>30</v>
      </c>
      <c r="M5" s="2">
        <v>-32.36</v>
      </c>
      <c r="N5" s="1">
        <v>45689</v>
      </c>
      <c r="O5" s="1">
        <v>45722</v>
      </c>
      <c r="P5" s="1">
        <v>45709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011I7200_WA_03-12-2025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Janki Patel</dc:creator>
  <cp:lastModifiedBy>Janki Patel</cp:lastModifiedBy>
  <dcterms:created xsi:type="dcterms:W3CDTF">2025-03-20T18:48:57Z</dcterms:created>
  <dcterms:modified xsi:type="dcterms:W3CDTF">2025-03-25T23:10:17Z</dcterms:modified>
</cp:coreProperties>
</file>