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7-31-25\"/>
    </mc:Choice>
  </mc:AlternateContent>
  <xr:revisionPtr revIDLastSave="0" documentId="13_ncr:1_{7B1928F5-323F-4168-BE0F-B8E10431DED4}" xr6:coauthVersionLast="47" xr6:coauthVersionMax="47" xr10:uidLastSave="{00000000-0000-0000-0000-000000000000}"/>
  <bookViews>
    <workbookView minimized="1" xWindow="5280" yWindow="1110" windowWidth="21585" windowHeight="13230" firstSheet="1" activeTab="1" xr2:uid="{04FAA30C-4018-4B29-8C43-87E170C1792F}"/>
  </bookViews>
  <sheets>
    <sheet name="011I7200_MC_07-31-2025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4" i="3" l="1"/>
  <c r="M352" i="3"/>
  <c r="M353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36" i="3"/>
  <c r="M37" i="3"/>
  <c r="M38" i="3"/>
  <c r="M39" i="3"/>
  <c r="M40" i="3"/>
  <c r="M41" i="3"/>
  <c r="M42" i="3"/>
  <c r="M43" i="3"/>
  <c r="M44" i="3"/>
  <c r="M45" i="3"/>
  <c r="M175" i="3"/>
  <c r="M176" i="3"/>
  <c r="M177" i="3"/>
  <c r="M16" i="3"/>
  <c r="M17" i="3"/>
  <c r="M18" i="3"/>
  <c r="M19" i="3"/>
  <c r="M20" i="3"/>
  <c r="M21" i="3"/>
  <c r="M22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23" i="3"/>
  <c r="M24" i="3"/>
  <c r="M25" i="3"/>
  <c r="M26" i="3"/>
  <c r="M190" i="3"/>
  <c r="M191" i="3"/>
  <c r="M192" i="3"/>
  <c r="M193" i="3"/>
  <c r="M194" i="3"/>
  <c r="M195" i="3"/>
  <c r="M27" i="3"/>
  <c r="M28" i="3"/>
  <c r="M29" i="3"/>
  <c r="M30" i="3"/>
  <c r="M31" i="3"/>
  <c r="M32" i="3"/>
  <c r="M33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34" i="3"/>
  <c r="M35" i="3"/>
  <c r="G176" i="3"/>
  <c r="G177" i="3"/>
  <c r="G449" i="3"/>
  <c r="G450" i="3"/>
  <c r="G451" i="3"/>
  <c r="G452" i="3"/>
  <c r="G453" i="3"/>
  <c r="G454" i="3"/>
  <c r="G455" i="3"/>
  <c r="G456" i="3"/>
  <c r="G457" i="3"/>
  <c r="G458" i="3"/>
  <c r="G244" i="3"/>
  <c r="G245" i="3"/>
  <c r="G246" i="3"/>
  <c r="G247" i="3"/>
  <c r="G248" i="3"/>
  <c r="G249" i="3"/>
  <c r="G250" i="3"/>
  <c r="G445" i="3"/>
  <c r="G446" i="3"/>
  <c r="G447" i="3"/>
  <c r="G448" i="3"/>
  <c r="G441" i="3"/>
  <c r="G442" i="3"/>
  <c r="G443" i="3"/>
  <c r="G444" i="3"/>
  <c r="G437" i="3"/>
  <c r="G438" i="3"/>
  <c r="G439" i="3"/>
  <c r="G440" i="3"/>
  <c r="G251" i="3"/>
  <c r="G252" i="3"/>
  <c r="G253" i="3"/>
  <c r="G254" i="3"/>
  <c r="G255" i="3"/>
  <c r="G256" i="3"/>
  <c r="G257" i="3"/>
  <c r="G196" i="3"/>
  <c r="G197" i="3"/>
  <c r="G198" i="3"/>
  <c r="G199" i="3"/>
  <c r="G200" i="3"/>
  <c r="G429" i="3"/>
  <c r="G430" i="3"/>
  <c r="G431" i="3"/>
  <c r="G432" i="3"/>
  <c r="G433" i="3"/>
  <c r="G434" i="3"/>
  <c r="G435" i="3"/>
  <c r="G436" i="3"/>
  <c r="G425" i="3"/>
  <c r="G426" i="3"/>
  <c r="G427" i="3"/>
  <c r="G428" i="3"/>
  <c r="G417" i="3"/>
  <c r="G418" i="3"/>
  <c r="G419" i="3"/>
  <c r="G420" i="3"/>
  <c r="G421" i="3"/>
  <c r="G422" i="3"/>
  <c r="G423" i="3"/>
  <c r="G424" i="3"/>
  <c r="G413" i="3"/>
  <c r="G414" i="3"/>
  <c r="G415" i="3"/>
  <c r="G416" i="3"/>
  <c r="G178" i="3"/>
  <c r="G179" i="3"/>
  <c r="G180" i="3"/>
  <c r="G181" i="3"/>
  <c r="G182" i="3"/>
  <c r="G183" i="3"/>
  <c r="G409" i="3"/>
  <c r="G410" i="3"/>
  <c r="G411" i="3"/>
  <c r="G412" i="3"/>
  <c r="G401" i="3"/>
  <c r="G402" i="3"/>
  <c r="G403" i="3"/>
  <c r="G404" i="3"/>
  <c r="G405" i="3"/>
  <c r="G406" i="3"/>
  <c r="G407" i="3"/>
  <c r="G408" i="3"/>
  <c r="G489" i="3"/>
  <c r="G490" i="3"/>
  <c r="G491" i="3"/>
  <c r="G492" i="3"/>
  <c r="G493" i="3"/>
  <c r="G494" i="3"/>
  <c r="G495" i="3"/>
  <c r="G496" i="3"/>
  <c r="G497" i="3"/>
  <c r="G486" i="3"/>
  <c r="G487" i="3"/>
  <c r="G488" i="3"/>
  <c r="G483" i="3"/>
  <c r="G484" i="3"/>
  <c r="G485" i="3"/>
  <c r="G480" i="3"/>
  <c r="G481" i="3"/>
  <c r="G482" i="3"/>
  <c r="G477" i="3"/>
  <c r="G478" i="3"/>
  <c r="G479" i="3"/>
  <c r="G474" i="3"/>
  <c r="G475" i="3"/>
  <c r="G476" i="3"/>
  <c r="G465" i="3"/>
  <c r="G466" i="3"/>
  <c r="G467" i="3"/>
  <c r="G468" i="3"/>
  <c r="G469" i="3"/>
  <c r="G470" i="3"/>
  <c r="G471" i="3"/>
  <c r="G472" i="3"/>
  <c r="G294" i="3"/>
  <c r="G295" i="3"/>
  <c r="G296" i="3"/>
  <c r="G459" i="3"/>
  <c r="G460" i="3"/>
  <c r="G461" i="3"/>
  <c r="G462" i="3"/>
  <c r="G463" i="3"/>
  <c r="G464" i="3"/>
  <c r="G2" i="3"/>
  <c r="G3" i="3"/>
  <c r="G4" i="3"/>
  <c r="G5" i="3"/>
  <c r="G95" i="3"/>
  <c r="G96" i="3"/>
  <c r="G97" i="3"/>
  <c r="G98" i="3"/>
  <c r="G99" i="3"/>
  <c r="G354" i="3"/>
  <c r="G277" i="3"/>
  <c r="G278" i="3"/>
  <c r="G279" i="3"/>
  <c r="G280" i="3"/>
  <c r="G281" i="3"/>
  <c r="G282" i="3"/>
  <c r="G283" i="3"/>
  <c r="G284" i="3"/>
  <c r="G268" i="3"/>
  <c r="G269" i="3"/>
  <c r="G270" i="3"/>
  <c r="G271" i="3"/>
  <c r="G272" i="3"/>
  <c r="G273" i="3"/>
  <c r="G258" i="3"/>
  <c r="G259" i="3"/>
  <c r="G260" i="3"/>
  <c r="G261" i="3"/>
  <c r="G262" i="3"/>
  <c r="G263" i="3"/>
  <c r="G264" i="3"/>
  <c r="G265" i="3"/>
  <c r="G266" i="3"/>
  <c r="G267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190" i="3"/>
  <c r="G191" i="3"/>
  <c r="G192" i="3"/>
  <c r="G193" i="3"/>
  <c r="G194" i="3"/>
  <c r="G195" i="3"/>
  <c r="G184" i="3"/>
  <c r="G185" i="3"/>
  <c r="G186" i="3"/>
  <c r="G187" i="3"/>
  <c r="G188" i="3"/>
  <c r="G189" i="3"/>
  <c r="G400" i="3"/>
  <c r="G396" i="3"/>
  <c r="G397" i="3"/>
  <c r="G398" i="3"/>
  <c r="G399" i="3"/>
  <c r="G376" i="3"/>
  <c r="G377" i="3"/>
  <c r="G378" i="3"/>
  <c r="G391" i="3"/>
  <c r="G392" i="3"/>
  <c r="G393" i="3"/>
  <c r="G394" i="3"/>
  <c r="G395" i="3"/>
  <c r="G386" i="3"/>
  <c r="G387" i="3"/>
  <c r="G388" i="3"/>
  <c r="G389" i="3"/>
  <c r="G390" i="3"/>
  <c r="G379" i="3"/>
  <c r="G380" i="3"/>
  <c r="G381" i="3"/>
  <c r="G382" i="3"/>
  <c r="G372" i="3"/>
  <c r="G373" i="3"/>
  <c r="G374" i="3"/>
  <c r="G375" i="3"/>
  <c r="G367" i="3"/>
  <c r="G368" i="3"/>
  <c r="G369" i="3"/>
  <c r="G370" i="3"/>
  <c r="G371" i="3"/>
  <c r="G362" i="3"/>
  <c r="G363" i="3"/>
  <c r="G364" i="3"/>
  <c r="G365" i="3"/>
  <c r="G366" i="3"/>
  <c r="G355" i="3"/>
  <c r="G356" i="3"/>
  <c r="G357" i="3"/>
  <c r="G358" i="3"/>
  <c r="G359" i="3"/>
  <c r="G360" i="3"/>
  <c r="G361" i="3"/>
  <c r="G473" i="3"/>
  <c r="G316" i="3"/>
  <c r="G317" i="3"/>
  <c r="G318" i="3"/>
  <c r="G319" i="3"/>
  <c r="G41" i="3"/>
  <c r="G42" i="3"/>
  <c r="G43" i="3"/>
  <c r="G44" i="3"/>
  <c r="G45" i="3"/>
  <c r="G36" i="3"/>
  <c r="G37" i="3"/>
  <c r="G38" i="3"/>
  <c r="G39" i="3"/>
  <c r="G40" i="3"/>
  <c r="G11" i="3"/>
  <c r="G12" i="3"/>
  <c r="G13" i="3"/>
  <c r="G14" i="3"/>
  <c r="G15" i="3"/>
  <c r="G6" i="3"/>
  <c r="G7" i="3"/>
  <c r="G8" i="3"/>
  <c r="G9" i="3"/>
  <c r="G10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61" i="3"/>
  <c r="G62" i="3"/>
  <c r="G63" i="3"/>
  <c r="G64" i="3"/>
  <c r="G65" i="3"/>
  <c r="G56" i="3"/>
  <c r="G57" i="3"/>
  <c r="G58" i="3"/>
  <c r="G59" i="3"/>
  <c r="G60" i="3"/>
  <c r="G46" i="3"/>
  <c r="G47" i="3"/>
  <c r="G48" i="3"/>
  <c r="G49" i="3"/>
  <c r="G50" i="3"/>
  <c r="G51" i="3"/>
  <c r="G52" i="3"/>
  <c r="G53" i="3"/>
  <c r="G54" i="3"/>
  <c r="G55" i="3"/>
  <c r="G324" i="3"/>
  <c r="G325" i="3"/>
  <c r="G326" i="3"/>
  <c r="G327" i="3"/>
  <c r="G348" i="3"/>
  <c r="G349" i="3"/>
  <c r="G350" i="3"/>
  <c r="G351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20" i="3"/>
  <c r="G321" i="3"/>
  <c r="G322" i="3"/>
  <c r="G323" i="3"/>
  <c r="G352" i="3"/>
  <c r="G353" i="3"/>
  <c r="G149" i="3"/>
  <c r="G150" i="3"/>
  <c r="G151" i="3"/>
  <c r="G152" i="3"/>
  <c r="G153" i="3"/>
  <c r="G525" i="3"/>
  <c r="G526" i="3"/>
  <c r="G142" i="3"/>
  <c r="G138" i="3"/>
  <c r="G139" i="3"/>
  <c r="G140" i="3"/>
  <c r="G141" i="3"/>
  <c r="G134" i="3"/>
  <c r="G135" i="3"/>
  <c r="G136" i="3"/>
  <c r="G137" i="3"/>
  <c r="G104" i="3"/>
  <c r="G105" i="3"/>
  <c r="G106" i="3"/>
  <c r="G556" i="3"/>
  <c r="G557" i="3"/>
  <c r="G558" i="3"/>
  <c r="G527" i="3"/>
  <c r="G528" i="3"/>
  <c r="G529" i="3"/>
  <c r="G530" i="3"/>
  <c r="G531" i="3"/>
  <c r="G154" i="3"/>
  <c r="G155" i="3"/>
  <c r="G156" i="3"/>
  <c r="G157" i="3"/>
  <c r="G158" i="3"/>
  <c r="G159" i="3"/>
  <c r="G160" i="3"/>
  <c r="G161" i="3"/>
  <c r="G162" i="3"/>
  <c r="G163" i="3"/>
  <c r="G553" i="3"/>
  <c r="G554" i="3"/>
  <c r="G555" i="3"/>
  <c r="G550" i="3"/>
  <c r="G551" i="3"/>
  <c r="G552" i="3"/>
  <c r="G547" i="3"/>
  <c r="G548" i="3"/>
  <c r="G549" i="3"/>
  <c r="G541" i="3"/>
  <c r="G542" i="3"/>
  <c r="G543" i="3"/>
  <c r="G544" i="3"/>
  <c r="G545" i="3"/>
  <c r="G546" i="3"/>
  <c r="G532" i="3"/>
  <c r="G533" i="3"/>
  <c r="G534" i="3"/>
  <c r="G535" i="3"/>
  <c r="G536" i="3"/>
  <c r="G537" i="3"/>
  <c r="G164" i="3"/>
  <c r="G165" i="3"/>
  <c r="G166" i="3"/>
  <c r="G167" i="3"/>
  <c r="G168" i="3"/>
  <c r="G169" i="3"/>
  <c r="G170" i="3"/>
  <c r="G171" i="3"/>
  <c r="G172" i="3"/>
  <c r="G173" i="3"/>
  <c r="G174" i="3"/>
  <c r="G538" i="3"/>
  <c r="G539" i="3"/>
  <c r="G540" i="3"/>
  <c r="G145" i="3"/>
  <c r="G146" i="3"/>
  <c r="G147" i="3"/>
  <c r="G148" i="3"/>
  <c r="G522" i="3"/>
  <c r="G523" i="3"/>
  <c r="G524" i="3"/>
  <c r="G519" i="3"/>
  <c r="G520" i="3"/>
  <c r="G521" i="3"/>
  <c r="G516" i="3"/>
  <c r="G517" i="3"/>
  <c r="G518" i="3"/>
  <c r="G143" i="3"/>
  <c r="G144" i="3"/>
  <c r="G513" i="3"/>
  <c r="G514" i="3"/>
  <c r="G515" i="3"/>
  <c r="G510" i="3"/>
  <c r="G511" i="3"/>
  <c r="G512" i="3"/>
  <c r="G504" i="3"/>
  <c r="G505" i="3"/>
  <c r="G506" i="3"/>
  <c r="G507" i="3"/>
  <c r="G508" i="3"/>
  <c r="G509" i="3"/>
  <c r="G498" i="3"/>
  <c r="G499" i="3"/>
  <c r="G500" i="3"/>
  <c r="G501" i="3"/>
  <c r="G502" i="3"/>
  <c r="G503" i="3"/>
  <c r="G383" i="3"/>
  <c r="G384" i="3"/>
  <c r="G385" i="3"/>
  <c r="G16" i="3"/>
  <c r="G17" i="3"/>
  <c r="G18" i="3"/>
  <c r="G19" i="3"/>
  <c r="G285" i="3"/>
  <c r="G286" i="3"/>
  <c r="G287" i="3"/>
  <c r="G288" i="3"/>
  <c r="G289" i="3"/>
  <c r="G290" i="3"/>
  <c r="G291" i="3"/>
  <c r="G292" i="3"/>
  <c r="G293" i="3"/>
  <c r="G27" i="3"/>
  <c r="G28" i="3"/>
  <c r="G29" i="3"/>
  <c r="G30" i="3"/>
  <c r="G31" i="3"/>
  <c r="G32" i="3"/>
  <c r="G33" i="3"/>
  <c r="G107" i="3"/>
  <c r="G108" i="3"/>
  <c r="G109" i="3"/>
  <c r="G110" i="3"/>
  <c r="G130" i="3"/>
  <c r="G131" i="3"/>
  <c r="G132" i="3"/>
  <c r="G133" i="3"/>
  <c r="G111" i="3"/>
  <c r="G112" i="3"/>
  <c r="G113" i="3"/>
  <c r="G114" i="3"/>
  <c r="G123" i="3"/>
  <c r="G124" i="3"/>
  <c r="G125" i="3"/>
  <c r="G126" i="3"/>
  <c r="G127" i="3"/>
  <c r="G128" i="3"/>
  <c r="G129" i="3"/>
  <c r="G115" i="3"/>
  <c r="G116" i="3"/>
  <c r="G117" i="3"/>
  <c r="G118" i="3"/>
  <c r="G119" i="3"/>
  <c r="G120" i="3"/>
  <c r="G121" i="3"/>
  <c r="G122" i="3"/>
  <c r="G100" i="3"/>
  <c r="G101" i="3"/>
  <c r="G102" i="3"/>
  <c r="G103" i="3"/>
  <c r="G297" i="3"/>
  <c r="G298" i="3"/>
  <c r="G299" i="3"/>
  <c r="G300" i="3"/>
  <c r="G301" i="3"/>
  <c r="G302" i="3"/>
  <c r="G303" i="3"/>
  <c r="G304" i="3"/>
  <c r="G305" i="3"/>
  <c r="G274" i="3"/>
  <c r="G275" i="3"/>
  <c r="G276" i="3"/>
  <c r="G20" i="3"/>
  <c r="G21" i="3"/>
  <c r="G22" i="3"/>
  <c r="G23" i="3"/>
  <c r="G24" i="3"/>
  <c r="G25" i="3"/>
  <c r="G26" i="3"/>
  <c r="G34" i="3"/>
  <c r="G35" i="3"/>
  <c r="G306" i="3"/>
  <c r="G307" i="3"/>
  <c r="G308" i="3"/>
  <c r="G309" i="3"/>
  <c r="G310" i="3"/>
  <c r="G311" i="3"/>
  <c r="G312" i="3"/>
  <c r="G313" i="3"/>
  <c r="G314" i="3"/>
  <c r="G315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87" i="3"/>
  <c r="G88" i="3"/>
  <c r="G89" i="3"/>
  <c r="G90" i="3"/>
  <c r="G91" i="3"/>
  <c r="G92" i="3"/>
  <c r="G93" i="3"/>
  <c r="G94" i="3"/>
  <c r="G175" i="3"/>
</calcChain>
</file>

<file path=xl/sharedStrings.xml><?xml version="1.0" encoding="utf-8"?>
<sst xmlns="http://schemas.openxmlformats.org/spreadsheetml/2006/main" count="9572" uniqueCount="434">
  <si>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</si>
  <si>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</si>
  <si>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</si>
  <si>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</si>
  <si>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</si>
  <si>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</si>
  <si>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</si>
  <si>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</si>
  <si>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</si>
  <si>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</si>
  <si>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</si>
  <si>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</si>
  <si>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</si>
  <si>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</si>
  <si>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</si>
  <si>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</si>
  <si>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</si>
  <si>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</si>
  <si>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</si>
  <si>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GTA6375228</t>
  </si>
  <si>
    <t>MD</t>
  </si>
  <si>
    <t>MCDONALD BETT</t>
  </si>
  <si>
    <t>011I7206</t>
  </si>
  <si>
    <t xml:space="preserve">ADAM                </t>
  </si>
  <si>
    <t xml:space="preserve">RICHTER             </t>
  </si>
  <si>
    <t xml:space="preserve">MAP20 </t>
  </si>
  <si>
    <t>P</t>
  </si>
  <si>
    <t xml:space="preserve">M20OS </t>
  </si>
  <si>
    <t xml:space="preserve">M20FE </t>
  </si>
  <si>
    <t>GTA6379587</t>
  </si>
  <si>
    <t>PA</t>
  </si>
  <si>
    <t>GOLATO CHERYL</t>
  </si>
  <si>
    <t>011I720A</t>
  </si>
  <si>
    <t xml:space="preserve">PETER               </t>
  </si>
  <si>
    <t xml:space="preserve">M20SF </t>
  </si>
  <si>
    <t>GTA6299526</t>
  </si>
  <si>
    <t>HOGGA KATHLEE</t>
  </si>
  <si>
    <t>011I7203</t>
  </si>
  <si>
    <t xml:space="preserve">ANNE MARIE          </t>
  </si>
  <si>
    <t xml:space="preserve">KOZACHECK           </t>
  </si>
  <si>
    <t xml:space="preserve"> </t>
  </si>
  <si>
    <t xml:space="preserve">M20CN </t>
  </si>
  <si>
    <t xml:space="preserve">M20SC </t>
  </si>
  <si>
    <t>GTA6310915</t>
  </si>
  <si>
    <t xml:space="preserve">LUCE DAVID   </t>
  </si>
  <si>
    <t>GTA6319011</t>
  </si>
  <si>
    <t>DE</t>
  </si>
  <si>
    <t>CONLIN JOSEPH</t>
  </si>
  <si>
    <t xml:space="preserve">GNHHC </t>
  </si>
  <si>
    <t xml:space="preserve">GNASB </t>
  </si>
  <si>
    <t xml:space="preserve">GNCGB </t>
  </si>
  <si>
    <t xml:space="preserve">GNASH </t>
  </si>
  <si>
    <t xml:space="preserve">GNCAB </t>
  </si>
  <si>
    <t>GTA6319012</t>
  </si>
  <si>
    <t xml:space="preserve">CONLIN LINDA </t>
  </si>
  <si>
    <t>GTA6322713</t>
  </si>
  <si>
    <t>FL</t>
  </si>
  <si>
    <t xml:space="preserve">RIDDLEBERGER </t>
  </si>
  <si>
    <t xml:space="preserve">G20AS </t>
  </si>
  <si>
    <t>A</t>
  </si>
  <si>
    <t xml:space="preserve">G20SF </t>
  </si>
  <si>
    <t xml:space="preserve">G20CA </t>
  </si>
  <si>
    <t xml:space="preserve">G20FE </t>
  </si>
  <si>
    <t xml:space="preserve">GAP20 </t>
  </si>
  <si>
    <t xml:space="preserve">G20OT </t>
  </si>
  <si>
    <t xml:space="preserve">G20OS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</si>
  <si>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</si>
  <si>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</si>
  <si>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</si>
  <si>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</si>
  <si>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</si>
  <si>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</si>
  <si>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</si>
  <si>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</si>
  <si>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M20OT </t>
  </si>
  <si>
    <t xml:space="preserve">M20CA </t>
  </si>
  <si>
    <t xml:space="preserve">M20AS </t>
  </si>
  <si>
    <t xml:space="preserve">M20HL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</si>
  <si>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</si>
  <si>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</si>
  <si>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</si>
  <si>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</si>
  <si>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</si>
  <si>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</si>
  <si>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</si>
  <si>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</si>
  <si>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</si>
  <si>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</si>
  <si>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</si>
  <si>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</si>
  <si>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</si>
  <si>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</si>
  <si>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</si>
  <si>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</si>
  <si>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</si>
  <si>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</si>
  <si>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</si>
  <si>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</si>
  <si>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</si>
  <si>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</si>
  <si>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GTA6322333</t>
  </si>
  <si>
    <t>FITZPATRICK T</t>
  </si>
  <si>
    <t>011I7208</t>
  </si>
  <si>
    <t xml:space="preserve">CAROL               </t>
  </si>
  <si>
    <t xml:space="preserve">FOLEY               </t>
  </si>
  <si>
    <t xml:space="preserve">M20SR </t>
  </si>
  <si>
    <t xml:space="preserve">M20CR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</si>
  <si>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</si>
  <si>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</si>
  <si>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</si>
  <si>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</si>
  <si>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</si>
  <si>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</si>
  <si>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</si>
  <si>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</si>
  <si>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</si>
  <si>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</si>
  <si>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</si>
  <si>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</si>
  <si>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</si>
  <si>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</si>
  <si>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</si>
  <si>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</si>
  <si>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</si>
  <si>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</si>
  <si>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</si>
  <si>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</si>
  <si>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GTA6305177</t>
  </si>
  <si>
    <t>WI</t>
  </si>
  <si>
    <t>LILLA JEFFREY</t>
  </si>
  <si>
    <t>011I720O</t>
  </si>
  <si>
    <t xml:space="preserve">TIMOTHY             </t>
  </si>
  <si>
    <t xml:space="preserve">HODGMAN             </t>
  </si>
  <si>
    <t xml:space="preserve">M20DV </t>
  </si>
  <si>
    <t>GTA6318015</t>
  </si>
  <si>
    <t>SAYLES PAULIN</t>
  </si>
  <si>
    <t xml:space="preserve">GPOMA </t>
  </si>
  <si>
    <t xml:space="preserve">WELMA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</si>
  <si>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</si>
  <si>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</si>
  <si>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</si>
  <si>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</si>
  <si>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</si>
  <si>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</si>
  <si>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011I720S</t>
  </si>
  <si>
    <t xml:space="preserve">STACEY              </t>
  </si>
  <si>
    <t xml:space="preserve">PORTUGAL            </t>
  </si>
  <si>
    <t>GTA6355862</t>
  </si>
  <si>
    <t>JOHNSON DONAL</t>
  </si>
  <si>
    <t>GTA6361813</t>
  </si>
  <si>
    <t xml:space="preserve">DEWEY JEFF   </t>
  </si>
  <si>
    <t>GTA6300277</t>
  </si>
  <si>
    <t>IL</t>
  </si>
  <si>
    <t>HAXHI PERIKLI</t>
  </si>
  <si>
    <t>011I720T</t>
  </si>
  <si>
    <t xml:space="preserve">ANDREW              </t>
  </si>
  <si>
    <t xml:space="preserve">CHOI                </t>
  </si>
  <si>
    <t xml:space="preserve">GNRDL </t>
  </si>
  <si>
    <t>GTA6339425</t>
  </si>
  <si>
    <t>WILDEBOER CAR</t>
  </si>
  <si>
    <t xml:space="preserve">GACAN </t>
  </si>
  <si>
    <t xml:space="preserve">GRHAS </t>
  </si>
  <si>
    <t xml:space="preserve">GRICU </t>
  </si>
  <si>
    <t xml:space="preserve">GRCAR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</si>
  <si>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</si>
  <si>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</si>
  <si>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</si>
  <si>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</si>
  <si>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</si>
  <si>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GTA6305705</t>
  </si>
  <si>
    <t>TN</t>
  </si>
  <si>
    <t xml:space="preserve">MALONE MARK  </t>
  </si>
  <si>
    <t>011I720X</t>
  </si>
  <si>
    <t xml:space="preserve">CHRISTIAN           </t>
  </si>
  <si>
    <t xml:space="preserve">TAUGNER             </t>
  </si>
  <si>
    <t>GTA6305706</t>
  </si>
  <si>
    <t xml:space="preserve">GRSCR </t>
  </si>
  <si>
    <t xml:space="preserve">GRHBB </t>
  </si>
  <si>
    <t xml:space="preserve">GRCBB </t>
  </si>
  <si>
    <t>GTA6305942</t>
  </si>
  <si>
    <t>KARLINSKI DEB</t>
  </si>
  <si>
    <t xml:space="preserve">GCANP </t>
  </si>
  <si>
    <t xml:space="preserve">GPRME </t>
  </si>
  <si>
    <t xml:space="preserve">GRWEL </t>
  </si>
  <si>
    <t>GTA6325597</t>
  </si>
  <si>
    <t>SWIDERSKI MAR</t>
  </si>
  <si>
    <t>GTA6331362</t>
  </si>
  <si>
    <t>OKERNS PATRIC</t>
  </si>
  <si>
    <t>GTA6310060</t>
  </si>
  <si>
    <t xml:space="preserve">APELIAN JANE </t>
  </si>
  <si>
    <t>011I7216</t>
  </si>
  <si>
    <t xml:space="preserve">ANDREA              </t>
  </si>
  <si>
    <t xml:space="preserve">PETRUNGARO          </t>
  </si>
  <si>
    <t xml:space="preserve">G20HL 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</si>
  <si>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</si>
  <si>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</si>
  <si>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</si>
  <si>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</si>
  <si>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</si>
  <si>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</si>
  <si>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</si>
  <si>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</si>
  <si>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 xml:space="preserve">GTHHC </t>
  </si>
  <si>
    <t>GTA6195121</t>
  </si>
  <si>
    <t xml:space="preserve">DENT JAMES   </t>
  </si>
  <si>
    <t xml:space="preserve">G20CR </t>
  </si>
  <si>
    <t xml:space="preserve">G20SR </t>
  </si>
  <si>
    <t>GTA6196515</t>
  </si>
  <si>
    <t>DINIELLI JOHN</t>
  </si>
  <si>
    <t xml:space="preserve">G20SC </t>
  </si>
  <si>
    <t xml:space="preserve">G20CN 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</si>
  <si>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</si>
  <si>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</si>
  <si>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</si>
  <si>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</si>
  <si>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</si>
  <si>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</si>
  <si>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</si>
  <si>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</si>
  <si>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</si>
  <si>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</si>
  <si>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</si>
  <si>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</si>
  <si>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</si>
  <si>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</si>
  <si>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</si>
  <si>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</si>
  <si>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</si>
  <si>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</si>
  <si>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</si>
  <si>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</si>
  <si>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</si>
  <si>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</si>
  <si>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</si>
  <si>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</si>
  <si>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</si>
  <si>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</si>
  <si>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</si>
  <si>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</si>
  <si>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</si>
  <si>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</si>
  <si>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</si>
  <si>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</si>
  <si>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</si>
  <si>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</si>
  <si>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</si>
  <si>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</si>
  <si>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GRCRC </t>
  </si>
  <si>
    <t>GTA6212110</t>
  </si>
  <si>
    <t>BEVILACQUA DE</t>
  </si>
  <si>
    <t>GTA6212868</t>
  </si>
  <si>
    <t>SCHULTE GERAL</t>
  </si>
  <si>
    <t>GTA6215652</t>
  </si>
  <si>
    <t xml:space="preserve">CLYDE SAMUEL </t>
  </si>
  <si>
    <t xml:space="preserve">GTASH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</si>
  <si>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</si>
  <si>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</si>
  <si>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</si>
  <si>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</si>
  <si>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</si>
  <si>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</si>
  <si>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</si>
  <si>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</si>
  <si>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</si>
  <si>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</si>
  <si>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>011I7204</t>
  </si>
  <si>
    <t xml:space="preserve">KIMBERLY            </t>
  </si>
  <si>
    <t xml:space="preserve">DICKERSON           </t>
  </si>
  <si>
    <t xml:space="preserve">GTASB </t>
  </si>
  <si>
    <t>GTA6210964</t>
  </si>
  <si>
    <t>SCHESTAG MARY</t>
  </si>
  <si>
    <t>GTA6210965</t>
  </si>
  <si>
    <t>SCHESTAG ROBE</t>
  </si>
  <si>
    <t>GTA6210966</t>
  </si>
  <si>
    <t xml:space="preserve">GAHAS </t>
  </si>
  <si>
    <t xml:space="preserve">GRRHS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</si>
  <si>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</si>
  <si>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</si>
  <si>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</si>
  <si>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</si>
  <si>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</si>
  <si>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</si>
  <si>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</si>
  <si>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</si>
  <si>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</si>
  <si>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</si>
  <si>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</si>
  <si>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</si>
  <si>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</si>
  <si>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</si>
  <si>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</si>
  <si>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</si>
  <si>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</si>
  <si>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</si>
  <si>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</si>
  <si>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</si>
  <si>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GTA6219411</t>
  </si>
  <si>
    <t>BROSTROM JEAN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</si>
  <si>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</si>
  <si>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</si>
  <si>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</si>
  <si>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</si>
  <si>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</si>
  <si>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</si>
  <si>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</si>
  <si>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</si>
  <si>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</si>
  <si>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</si>
  <si>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</si>
  <si>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</si>
  <si>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</si>
  <si>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</si>
  <si>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</si>
  <si>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</si>
  <si>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</si>
  <si>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</si>
  <si>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</si>
  <si>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</si>
  <si>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</si>
  <si>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</si>
  <si>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</si>
  <si>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</si>
  <si>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</si>
  <si>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</si>
  <si>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</si>
  <si>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</si>
  <si>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</si>
  <si>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</si>
  <si>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</si>
  <si>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</si>
  <si>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</si>
  <si>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</si>
  <si>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</si>
  <si>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</si>
  <si>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</si>
  <si>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GTA6289152</t>
  </si>
  <si>
    <t>TISSERAND CAR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</si>
  <si>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</si>
  <si>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</si>
  <si>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</si>
  <si>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</si>
  <si>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</si>
  <si>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</si>
  <si>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</si>
  <si>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</si>
  <si>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</si>
  <si>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</si>
  <si>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</si>
  <si>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</si>
  <si>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</si>
  <si>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</si>
  <si>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</si>
  <si>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</si>
  <si>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GTA6296703</t>
  </si>
  <si>
    <t>SAMUEL KENNET</t>
  </si>
  <si>
    <t>GTA6292142</t>
  </si>
  <si>
    <t>IA</t>
  </si>
  <si>
    <t xml:space="preserve">ROCHA SONIA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</si>
  <si>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</si>
  <si>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</si>
  <si>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</si>
  <si>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</si>
  <si>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</si>
  <si>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</si>
  <si>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</si>
  <si>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GTA6299294</t>
  </si>
  <si>
    <t>TAUGNER KELLY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</si>
  <si>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</si>
  <si>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</si>
  <si>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</si>
  <si>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</si>
  <si>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</si>
  <si>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</si>
  <si>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</si>
  <si>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</si>
  <si>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GTL6170203</t>
  </si>
  <si>
    <t>OK</t>
  </si>
  <si>
    <t xml:space="preserve">WRIGHT LINDA </t>
  </si>
  <si>
    <t>011I721I</t>
  </si>
  <si>
    <t xml:space="preserve">THOMAS              </t>
  </si>
  <si>
    <t xml:space="preserve">PARDUE              </t>
  </si>
  <si>
    <t xml:space="preserve">FEG24 </t>
  </si>
  <si>
    <t>GTL6107048</t>
  </si>
  <si>
    <t xml:space="preserve">FEGWE </t>
  </si>
  <si>
    <t>N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</si>
  <si>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</si>
  <si>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</si>
  <si>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</si>
  <si>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</si>
  <si>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</si>
  <si>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</si>
  <si>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      </t>
  </si>
  <si>
    <t xml:space="preserve">       </t>
  </si>
  <si>
    <t>17425766old</t>
  </si>
  <si>
    <t>AE</t>
  </si>
  <si>
    <t>RN</t>
  </si>
  <si>
    <t>AV1</t>
  </si>
  <si>
    <t>GTL OVR</t>
  </si>
  <si>
    <t>GTL LIFE SELECT WHOLE LIFE (85)</t>
  </si>
  <si>
    <t>GTL Cancer, Heart Attack &amp; Stroke Age 0-75 (50)</t>
  </si>
  <si>
    <t>GTL ADVANTAGE PLUS(65)</t>
  </si>
  <si>
    <t>GTL ADVANTAGE PLUS Dental Vison(60)</t>
  </si>
  <si>
    <t>GTL Short Term Home Health Care (75)</t>
  </si>
  <si>
    <t>CAROL</t>
  </si>
  <si>
    <t>FOLEY</t>
  </si>
  <si>
    <t xml:space="preserve">STERNER   </t>
  </si>
  <si>
    <t xml:space="preserve">CHOI </t>
  </si>
  <si>
    <t>JASON</t>
  </si>
  <si>
    <t xml:space="preserve">HOFFMANN  </t>
  </si>
  <si>
    <t xml:space="preserve">CHRISTIAN </t>
  </si>
  <si>
    <t xml:space="preserve">TAUGNER   </t>
  </si>
  <si>
    <t xml:space="preserve">HODGMAN   </t>
  </si>
  <si>
    <t>PETER</t>
  </si>
  <si>
    <t xml:space="preserve">RICHTER   </t>
  </si>
  <si>
    <t xml:space="preserve">DICKERSON </t>
  </si>
  <si>
    <t xml:space="preserve">ADAM </t>
  </si>
  <si>
    <t xml:space="preserve">PORTUGAL  </t>
  </si>
  <si>
    <t>ANNE MARIE</t>
  </si>
  <si>
    <t xml:space="preserve">KOZACHECK </t>
  </si>
  <si>
    <t>PETRUNGARO</t>
  </si>
  <si>
    <t xml:space="preserve">YALE </t>
  </si>
  <si>
    <t>MURRAY</t>
  </si>
  <si>
    <t>ANDREW</t>
  </si>
  <si>
    <t>STACEY</t>
  </si>
  <si>
    <t>ANDREA</t>
  </si>
  <si>
    <t>THOMAS</t>
  </si>
  <si>
    <t>PARDUE</t>
  </si>
  <si>
    <t>TIMOTHY</t>
  </si>
  <si>
    <t>ADAM</t>
  </si>
  <si>
    <t>RICHARD</t>
  </si>
  <si>
    <t>CHRISTIAN</t>
  </si>
  <si>
    <t>KIMBERLY</t>
  </si>
  <si>
    <t xml:space="preserve">KIMBERLY 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</si>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</sst>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6A68-4EF1-4AF1-8ECD-0ABFBFF1C0B3}">
  <dimension ref="A1:S560"/>
  <sheetViews>
    <sheetView workbookViewId="0">
      <selection activeCell="A27" sqref="A27:XFD33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9.5703125" bestFit="1" customWidth="1"/>
    <col min="9" max="9" width="16.28515625" bestFit="1" customWidth="1"/>
    <col min="10" max="10" width="17.5703125" bestFit="1" customWidth="1"/>
    <col min="11" max="11" width="11.28515625" bestFit="1" customWidth="1"/>
    <col min="12" max="12" width="10.42578125" bestFit="1" customWidth="1"/>
    <col min="13" max="13" width="14" bestFit="1" customWidth="1"/>
    <col min="14" max="14" width="15.7109375" bestFit="1" customWidth="1"/>
    <col min="15" max="16" width="11" bestFit="1" customWidth="1"/>
    <col min="17" max="17" width="5.42578125" bestFit="1" customWidth="1"/>
    <col min="18" max="18" width="19.42578125" bestFit="1" customWidth="1"/>
    <col min="19" max="19" width="14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s="1">
        <v>45839</v>
      </c>
      <c r="E2" s="1">
        <v>45870</v>
      </c>
      <c r="F2">
        <v>1</v>
      </c>
      <c r="G2">
        <v>2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>
        <v>53.93</v>
      </c>
      <c r="N2">
        <v>40.950000000000003</v>
      </c>
      <c r="O2">
        <v>0.65</v>
      </c>
      <c r="P2">
        <v>26.62</v>
      </c>
      <c r="Q2" t="s">
        <v>26</v>
      </c>
      <c r="R2">
        <v>0</v>
      </c>
      <c r="S2">
        <v>26.62</v>
      </c>
    </row>
    <row r="3" spans="1:19" x14ac:dyDescent="0.25">
      <c r="A3" t="s">
        <v>19</v>
      </c>
      <c r="B3" t="s">
        <v>20</v>
      </c>
      <c r="C3" t="s">
        <v>21</v>
      </c>
      <c r="D3" s="1">
        <v>45839</v>
      </c>
      <c r="E3" s="1">
        <v>45870</v>
      </c>
      <c r="F3">
        <v>1</v>
      </c>
      <c r="G3">
        <v>2</v>
      </c>
      <c r="H3" t="s">
        <v>22</v>
      </c>
      <c r="I3" t="s">
        <v>23</v>
      </c>
      <c r="J3" t="s">
        <v>24</v>
      </c>
      <c r="K3" t="s">
        <v>27</v>
      </c>
      <c r="L3">
        <v>1</v>
      </c>
      <c r="M3">
        <v>53.93</v>
      </c>
      <c r="N3">
        <v>11.3</v>
      </c>
      <c r="O3">
        <v>0.65</v>
      </c>
      <c r="P3">
        <v>7.35</v>
      </c>
      <c r="Q3" t="s">
        <v>26</v>
      </c>
      <c r="R3">
        <v>0</v>
      </c>
      <c r="S3">
        <v>7.35</v>
      </c>
    </row>
    <row r="4" spans="1:19" x14ac:dyDescent="0.25">
      <c r="A4" t="s">
        <v>19</v>
      </c>
      <c r="B4" t="s">
        <v>20</v>
      </c>
      <c r="C4" t="s">
        <v>21</v>
      </c>
      <c r="D4" s="1">
        <v>45839</v>
      </c>
      <c r="E4" s="1">
        <v>45870</v>
      </c>
      <c r="F4">
        <v>1</v>
      </c>
      <c r="G4">
        <v>2</v>
      </c>
      <c r="H4" t="s">
        <v>22</v>
      </c>
      <c r="I4" t="s">
        <v>23</v>
      </c>
      <c r="J4" t="s">
        <v>24</v>
      </c>
      <c r="K4" t="s">
        <v>28</v>
      </c>
      <c r="L4">
        <v>1</v>
      </c>
      <c r="M4">
        <v>53.93</v>
      </c>
      <c r="N4">
        <v>1.68</v>
      </c>
      <c r="O4">
        <v>0.65</v>
      </c>
      <c r="P4">
        <v>1.0900000000000001</v>
      </c>
      <c r="Q4" t="s">
        <v>26</v>
      </c>
      <c r="R4">
        <v>0</v>
      </c>
      <c r="S4">
        <v>1.0900000000000001</v>
      </c>
    </row>
    <row r="5" spans="1:19" x14ac:dyDescent="0.25">
      <c r="A5" t="s">
        <v>29</v>
      </c>
      <c r="B5" t="s">
        <v>30</v>
      </c>
      <c r="C5" t="s">
        <v>31</v>
      </c>
      <c r="D5" s="1">
        <v>45839</v>
      </c>
      <c r="E5" s="1">
        <v>45870</v>
      </c>
      <c r="F5">
        <v>1</v>
      </c>
      <c r="G5">
        <v>2</v>
      </c>
      <c r="H5" t="s">
        <v>32</v>
      </c>
      <c r="I5" t="s">
        <v>33</v>
      </c>
      <c r="J5" t="s">
        <v>24</v>
      </c>
      <c r="K5" t="s">
        <v>28</v>
      </c>
      <c r="L5">
        <v>1</v>
      </c>
      <c r="M5">
        <v>48.75</v>
      </c>
      <c r="N5">
        <v>1.68</v>
      </c>
      <c r="O5">
        <v>0.65</v>
      </c>
      <c r="P5">
        <v>1.0900000000000001</v>
      </c>
      <c r="Q5" t="s">
        <v>26</v>
      </c>
      <c r="R5">
        <v>0</v>
      </c>
      <c r="S5">
        <v>1.0900000000000001</v>
      </c>
    </row>
    <row r="6" spans="1:19" x14ac:dyDescent="0.25">
      <c r="A6" t="s">
        <v>29</v>
      </c>
      <c r="B6" t="s">
        <v>30</v>
      </c>
      <c r="C6" t="s">
        <v>31</v>
      </c>
      <c r="D6" s="1">
        <v>45839</v>
      </c>
      <c r="E6" s="1">
        <v>45870</v>
      </c>
      <c r="F6">
        <v>1</v>
      </c>
      <c r="G6">
        <v>2</v>
      </c>
      <c r="H6" t="s">
        <v>32</v>
      </c>
      <c r="I6" t="s">
        <v>33</v>
      </c>
      <c r="J6" t="s">
        <v>24</v>
      </c>
      <c r="K6" t="s">
        <v>27</v>
      </c>
      <c r="L6">
        <v>1</v>
      </c>
      <c r="M6">
        <v>48.75</v>
      </c>
      <c r="N6">
        <v>12.43</v>
      </c>
      <c r="O6">
        <v>0.65</v>
      </c>
      <c r="P6">
        <v>8.08</v>
      </c>
      <c r="Q6" t="s">
        <v>26</v>
      </c>
      <c r="R6">
        <v>0</v>
      </c>
      <c r="S6">
        <v>8.08</v>
      </c>
    </row>
    <row r="7" spans="1:19" x14ac:dyDescent="0.25">
      <c r="A7" t="s">
        <v>29</v>
      </c>
      <c r="B7" t="s">
        <v>30</v>
      </c>
      <c r="C7" t="s">
        <v>31</v>
      </c>
      <c r="D7" s="1">
        <v>45839</v>
      </c>
      <c r="E7" s="1">
        <v>45870</v>
      </c>
      <c r="F7">
        <v>1</v>
      </c>
      <c r="G7">
        <v>2</v>
      </c>
      <c r="H7" t="s">
        <v>32</v>
      </c>
      <c r="I7" t="s">
        <v>33</v>
      </c>
      <c r="J7" t="s">
        <v>24</v>
      </c>
      <c r="K7" t="s">
        <v>25</v>
      </c>
      <c r="L7">
        <v>1</v>
      </c>
      <c r="M7">
        <v>48.75</v>
      </c>
      <c r="N7">
        <v>21.06</v>
      </c>
      <c r="O7">
        <v>0.65</v>
      </c>
      <c r="P7">
        <v>13.69</v>
      </c>
      <c r="Q7" t="s">
        <v>26</v>
      </c>
      <c r="R7">
        <v>0</v>
      </c>
      <c r="S7">
        <v>13.69</v>
      </c>
    </row>
    <row r="8" spans="1:19" x14ac:dyDescent="0.25">
      <c r="A8" t="s">
        <v>29</v>
      </c>
      <c r="B8" t="s">
        <v>30</v>
      </c>
      <c r="C8" t="s">
        <v>31</v>
      </c>
      <c r="D8" s="1">
        <v>45839</v>
      </c>
      <c r="E8" s="1">
        <v>45870</v>
      </c>
      <c r="F8">
        <v>1</v>
      </c>
      <c r="G8">
        <v>2</v>
      </c>
      <c r="H8" t="s">
        <v>32</v>
      </c>
      <c r="I8" t="s">
        <v>33</v>
      </c>
      <c r="J8" t="s">
        <v>24</v>
      </c>
      <c r="K8" t="s">
        <v>34</v>
      </c>
      <c r="L8">
        <v>1</v>
      </c>
      <c r="M8">
        <v>48.75</v>
      </c>
      <c r="N8">
        <v>13.58</v>
      </c>
      <c r="O8">
        <v>0.65</v>
      </c>
      <c r="P8">
        <v>8.83</v>
      </c>
      <c r="Q8" t="s">
        <v>26</v>
      </c>
      <c r="R8">
        <v>0</v>
      </c>
      <c r="S8">
        <v>8.83</v>
      </c>
    </row>
    <row r="9" spans="1:19" x14ac:dyDescent="0.25">
      <c r="A9" t="s">
        <v>35</v>
      </c>
      <c r="B9" t="s">
        <v>30</v>
      </c>
      <c r="C9" t="s">
        <v>36</v>
      </c>
      <c r="D9" s="1">
        <v>45566</v>
      </c>
      <c r="E9" s="1">
        <v>45870</v>
      </c>
      <c r="F9">
        <v>1</v>
      </c>
      <c r="G9">
        <v>2</v>
      </c>
      <c r="H9" t="s">
        <v>37</v>
      </c>
      <c r="I9" t="s">
        <v>38</v>
      </c>
      <c r="J9" t="s">
        <v>39</v>
      </c>
      <c r="K9" t="s">
        <v>25</v>
      </c>
      <c r="L9">
        <v>1</v>
      </c>
      <c r="M9">
        <v>64.41</v>
      </c>
      <c r="N9">
        <v>21.06</v>
      </c>
      <c r="O9">
        <v>0.65</v>
      </c>
      <c r="P9">
        <v>13.69</v>
      </c>
      <c r="Q9" t="s">
        <v>40</v>
      </c>
      <c r="R9">
        <v>0</v>
      </c>
      <c r="S9">
        <v>13.69</v>
      </c>
    </row>
    <row r="10" spans="1:19" x14ac:dyDescent="0.25">
      <c r="A10" t="s">
        <v>35</v>
      </c>
      <c r="B10" t="s">
        <v>30</v>
      </c>
      <c r="C10" t="s">
        <v>36</v>
      </c>
      <c r="D10" s="1">
        <v>45566</v>
      </c>
      <c r="E10" s="1">
        <v>45870</v>
      </c>
      <c r="F10">
        <v>1</v>
      </c>
      <c r="G10">
        <v>2</v>
      </c>
      <c r="H10" t="s">
        <v>37</v>
      </c>
      <c r="I10" t="s">
        <v>38</v>
      </c>
      <c r="J10" t="s">
        <v>39</v>
      </c>
      <c r="K10" t="s">
        <v>41</v>
      </c>
      <c r="L10">
        <v>1</v>
      </c>
      <c r="M10">
        <v>64.41</v>
      </c>
      <c r="N10">
        <v>25.98</v>
      </c>
      <c r="O10">
        <v>0.65</v>
      </c>
      <c r="P10">
        <v>16.89</v>
      </c>
      <c r="Q10" t="s">
        <v>40</v>
      </c>
      <c r="R10">
        <v>0</v>
      </c>
      <c r="S10">
        <v>16.89</v>
      </c>
    </row>
    <row r="11" spans="1:19" x14ac:dyDescent="0.25">
      <c r="A11" t="s">
        <v>35</v>
      </c>
      <c r="B11" t="s">
        <v>30</v>
      </c>
      <c r="C11" t="s">
        <v>36</v>
      </c>
      <c r="D11" s="1">
        <v>45566</v>
      </c>
      <c r="E11" s="1">
        <v>45870</v>
      </c>
      <c r="F11">
        <v>1</v>
      </c>
      <c r="G11">
        <v>2</v>
      </c>
      <c r="H11" t="s">
        <v>37</v>
      </c>
      <c r="I11" t="s">
        <v>38</v>
      </c>
      <c r="J11" t="s">
        <v>39</v>
      </c>
      <c r="K11" t="s">
        <v>28</v>
      </c>
      <c r="L11">
        <v>1</v>
      </c>
      <c r="M11">
        <v>64.41</v>
      </c>
      <c r="N11">
        <v>1.68</v>
      </c>
      <c r="O11">
        <v>0.65</v>
      </c>
      <c r="P11">
        <v>1.0900000000000001</v>
      </c>
      <c r="Q11" t="s">
        <v>40</v>
      </c>
      <c r="R11">
        <v>0</v>
      </c>
      <c r="S11">
        <v>1.0900000000000001</v>
      </c>
    </row>
    <row r="12" spans="1:19" x14ac:dyDescent="0.25">
      <c r="A12" t="s">
        <v>35</v>
      </c>
      <c r="B12" t="s">
        <v>30</v>
      </c>
      <c r="C12" t="s">
        <v>36</v>
      </c>
      <c r="D12" s="1">
        <v>45566</v>
      </c>
      <c r="E12" s="1">
        <v>45870</v>
      </c>
      <c r="F12">
        <v>1</v>
      </c>
      <c r="G12">
        <v>2</v>
      </c>
      <c r="H12" t="s">
        <v>37</v>
      </c>
      <c r="I12" t="s">
        <v>38</v>
      </c>
      <c r="J12" t="s">
        <v>39</v>
      </c>
      <c r="K12" t="s">
        <v>34</v>
      </c>
      <c r="L12">
        <v>1</v>
      </c>
      <c r="M12">
        <v>64.41</v>
      </c>
      <c r="N12">
        <v>12.94</v>
      </c>
      <c r="O12">
        <v>0.65</v>
      </c>
      <c r="P12">
        <v>8.41</v>
      </c>
      <c r="Q12" t="s">
        <v>40</v>
      </c>
      <c r="R12">
        <v>0</v>
      </c>
      <c r="S12">
        <v>8.41</v>
      </c>
    </row>
    <row r="13" spans="1:19" x14ac:dyDescent="0.25">
      <c r="A13" t="s">
        <v>35</v>
      </c>
      <c r="B13" t="s">
        <v>30</v>
      </c>
      <c r="C13" t="s">
        <v>36</v>
      </c>
      <c r="D13" s="1">
        <v>45566</v>
      </c>
      <c r="E13" s="1">
        <v>45870</v>
      </c>
      <c r="F13">
        <v>1</v>
      </c>
      <c r="G13">
        <v>2</v>
      </c>
      <c r="H13" t="s">
        <v>37</v>
      </c>
      <c r="I13" t="s">
        <v>38</v>
      </c>
      <c r="J13" t="s">
        <v>39</v>
      </c>
      <c r="K13" t="s">
        <v>42</v>
      </c>
      <c r="L13">
        <v>1</v>
      </c>
      <c r="M13">
        <v>64.41</v>
      </c>
      <c r="N13">
        <v>2.75</v>
      </c>
      <c r="O13">
        <v>0.65</v>
      </c>
      <c r="P13">
        <v>1.79</v>
      </c>
      <c r="Q13" t="s">
        <v>40</v>
      </c>
      <c r="R13">
        <v>0</v>
      </c>
      <c r="S13">
        <v>1.79</v>
      </c>
    </row>
    <row r="14" spans="1:19" x14ac:dyDescent="0.25">
      <c r="A14" t="s">
        <v>43</v>
      </c>
      <c r="B14" t="s">
        <v>30</v>
      </c>
      <c r="C14" t="s">
        <v>44</v>
      </c>
      <c r="D14" s="1">
        <v>45566</v>
      </c>
      <c r="E14" s="1">
        <v>45870</v>
      </c>
      <c r="F14">
        <v>1</v>
      </c>
      <c r="G14">
        <v>16</v>
      </c>
      <c r="H14" t="s">
        <v>37</v>
      </c>
      <c r="I14" t="s">
        <v>38</v>
      </c>
      <c r="J14" t="s">
        <v>39</v>
      </c>
      <c r="K14" t="s">
        <v>25</v>
      </c>
      <c r="L14">
        <v>1</v>
      </c>
      <c r="M14">
        <v>37.17</v>
      </c>
      <c r="N14">
        <v>21.91</v>
      </c>
      <c r="O14">
        <v>0.65</v>
      </c>
      <c r="P14">
        <v>14.24</v>
      </c>
      <c r="Q14" t="s">
        <v>40</v>
      </c>
      <c r="R14">
        <v>0</v>
      </c>
      <c r="S14">
        <v>14.24</v>
      </c>
    </row>
    <row r="15" spans="1:19" x14ac:dyDescent="0.25">
      <c r="A15" t="s">
        <v>43</v>
      </c>
      <c r="B15" t="s">
        <v>30</v>
      </c>
      <c r="C15" t="s">
        <v>44</v>
      </c>
      <c r="D15" s="1">
        <v>45566</v>
      </c>
      <c r="E15" s="1">
        <v>45870</v>
      </c>
      <c r="F15">
        <v>1</v>
      </c>
      <c r="G15">
        <v>16</v>
      </c>
      <c r="H15" t="s">
        <v>37</v>
      </c>
      <c r="I15" t="s">
        <v>38</v>
      </c>
      <c r="J15" t="s">
        <v>39</v>
      </c>
      <c r="K15" t="s">
        <v>28</v>
      </c>
      <c r="L15">
        <v>1</v>
      </c>
      <c r="M15">
        <v>0</v>
      </c>
      <c r="N15">
        <v>1.68</v>
      </c>
      <c r="O15">
        <v>0.65</v>
      </c>
      <c r="P15">
        <v>1.0900000000000001</v>
      </c>
      <c r="Q15" t="s">
        <v>40</v>
      </c>
      <c r="R15">
        <v>0</v>
      </c>
      <c r="S15">
        <v>1.0900000000000001</v>
      </c>
    </row>
    <row r="16" spans="1:19" x14ac:dyDescent="0.25">
      <c r="A16" t="s">
        <v>43</v>
      </c>
      <c r="B16" t="s">
        <v>30</v>
      </c>
      <c r="C16" t="s">
        <v>44</v>
      </c>
      <c r="D16" s="1">
        <v>45566</v>
      </c>
      <c r="E16" s="1">
        <v>45870</v>
      </c>
      <c r="F16">
        <v>1</v>
      </c>
      <c r="G16">
        <v>16</v>
      </c>
      <c r="H16" t="s">
        <v>37</v>
      </c>
      <c r="I16" t="s">
        <v>38</v>
      </c>
      <c r="J16" t="s">
        <v>39</v>
      </c>
      <c r="K16" t="s">
        <v>34</v>
      </c>
      <c r="L16">
        <v>1</v>
      </c>
      <c r="M16">
        <v>0</v>
      </c>
      <c r="N16">
        <v>13.58</v>
      </c>
      <c r="O16">
        <v>0.65</v>
      </c>
      <c r="P16">
        <v>8.83</v>
      </c>
      <c r="Q16" t="s">
        <v>40</v>
      </c>
      <c r="R16">
        <v>0</v>
      </c>
      <c r="S16">
        <v>8.83</v>
      </c>
    </row>
    <row r="17" spans="1:19" x14ac:dyDescent="0.25">
      <c r="A17" t="s">
        <v>45</v>
      </c>
      <c r="B17" t="s">
        <v>46</v>
      </c>
      <c r="C17" t="s">
        <v>47</v>
      </c>
      <c r="D17" s="1">
        <v>45589</v>
      </c>
      <c r="E17" s="1">
        <v>45893</v>
      </c>
      <c r="F17">
        <v>1</v>
      </c>
      <c r="G17">
        <v>24</v>
      </c>
      <c r="H17" t="s">
        <v>22</v>
      </c>
      <c r="I17" t="s">
        <v>23</v>
      </c>
      <c r="J17" t="s">
        <v>24</v>
      </c>
      <c r="K17" t="s">
        <v>48</v>
      </c>
      <c r="L17">
        <v>1</v>
      </c>
      <c r="M17">
        <v>62.89</v>
      </c>
      <c r="N17">
        <v>31.18</v>
      </c>
      <c r="O17">
        <v>0.75</v>
      </c>
      <c r="P17">
        <v>23.39</v>
      </c>
      <c r="Q17" t="s">
        <v>40</v>
      </c>
      <c r="R17">
        <v>0</v>
      </c>
      <c r="S17">
        <v>23.39</v>
      </c>
    </row>
    <row r="18" spans="1:19" x14ac:dyDescent="0.25">
      <c r="A18" t="s">
        <v>45</v>
      </c>
      <c r="B18" t="s">
        <v>46</v>
      </c>
      <c r="C18" t="s">
        <v>47</v>
      </c>
      <c r="D18" s="1">
        <v>45589</v>
      </c>
      <c r="E18" s="1">
        <v>45893</v>
      </c>
      <c r="F18">
        <v>1</v>
      </c>
      <c r="G18">
        <v>24</v>
      </c>
      <c r="H18" t="s">
        <v>22</v>
      </c>
      <c r="I18" t="s">
        <v>23</v>
      </c>
      <c r="J18" t="s">
        <v>24</v>
      </c>
      <c r="K18" t="s">
        <v>49</v>
      </c>
      <c r="L18">
        <v>1</v>
      </c>
      <c r="M18">
        <v>0</v>
      </c>
      <c r="N18">
        <v>4.83</v>
      </c>
      <c r="O18">
        <v>0.75</v>
      </c>
      <c r="P18">
        <v>3.62</v>
      </c>
      <c r="Q18" t="s">
        <v>40</v>
      </c>
      <c r="R18">
        <v>0</v>
      </c>
      <c r="S18">
        <v>3.62</v>
      </c>
    </row>
    <row r="19" spans="1:19" x14ac:dyDescent="0.25">
      <c r="A19" t="s">
        <v>45</v>
      </c>
      <c r="B19" t="s">
        <v>46</v>
      </c>
      <c r="C19" t="s">
        <v>47</v>
      </c>
      <c r="D19" s="1">
        <v>45589</v>
      </c>
      <c r="E19" s="1">
        <v>45893</v>
      </c>
      <c r="F19">
        <v>1</v>
      </c>
      <c r="G19">
        <v>24</v>
      </c>
      <c r="H19" t="s">
        <v>22</v>
      </c>
      <c r="I19" t="s">
        <v>23</v>
      </c>
      <c r="J19" t="s">
        <v>24</v>
      </c>
      <c r="K19" t="s">
        <v>50</v>
      </c>
      <c r="L19">
        <v>1</v>
      </c>
      <c r="M19">
        <v>0</v>
      </c>
      <c r="N19">
        <v>9.26</v>
      </c>
      <c r="O19">
        <v>0.75</v>
      </c>
      <c r="P19">
        <v>6.95</v>
      </c>
      <c r="Q19" t="s">
        <v>40</v>
      </c>
      <c r="R19">
        <v>0</v>
      </c>
      <c r="S19">
        <v>6.95</v>
      </c>
    </row>
    <row r="20" spans="1:19" x14ac:dyDescent="0.25">
      <c r="A20" t="s">
        <v>45</v>
      </c>
      <c r="B20" t="s">
        <v>46</v>
      </c>
      <c r="C20" t="s">
        <v>47</v>
      </c>
      <c r="D20" s="1">
        <v>45589</v>
      </c>
      <c r="E20" s="1">
        <v>45893</v>
      </c>
      <c r="F20">
        <v>1</v>
      </c>
      <c r="G20">
        <v>24</v>
      </c>
      <c r="H20" t="s">
        <v>22</v>
      </c>
      <c r="I20" t="s">
        <v>23</v>
      </c>
      <c r="J20" t="s">
        <v>24</v>
      </c>
      <c r="K20" t="s">
        <v>51</v>
      </c>
      <c r="L20">
        <v>1</v>
      </c>
      <c r="M20">
        <v>0</v>
      </c>
      <c r="N20">
        <v>9.7799999999999994</v>
      </c>
      <c r="O20">
        <v>0.75</v>
      </c>
      <c r="P20">
        <v>7.34</v>
      </c>
      <c r="Q20" t="s">
        <v>40</v>
      </c>
      <c r="R20">
        <v>0</v>
      </c>
      <c r="S20">
        <v>7.34</v>
      </c>
    </row>
    <row r="21" spans="1:19" x14ac:dyDescent="0.25">
      <c r="A21" t="s">
        <v>45</v>
      </c>
      <c r="B21" t="s">
        <v>46</v>
      </c>
      <c r="C21" t="s">
        <v>47</v>
      </c>
      <c r="D21" s="1">
        <v>45589</v>
      </c>
      <c r="E21" s="1">
        <v>45893</v>
      </c>
      <c r="F21">
        <v>1</v>
      </c>
      <c r="G21">
        <v>24</v>
      </c>
      <c r="H21" t="s">
        <v>22</v>
      </c>
      <c r="I21" t="s">
        <v>23</v>
      </c>
      <c r="J21" t="s">
        <v>24</v>
      </c>
      <c r="K21" t="s">
        <v>52</v>
      </c>
      <c r="L21">
        <v>1</v>
      </c>
      <c r="M21">
        <v>0</v>
      </c>
      <c r="N21">
        <v>6.17</v>
      </c>
      <c r="O21">
        <v>0.75</v>
      </c>
      <c r="P21">
        <v>4.63</v>
      </c>
      <c r="Q21" t="s">
        <v>40</v>
      </c>
      <c r="R21">
        <v>0</v>
      </c>
      <c r="S21">
        <v>4.63</v>
      </c>
    </row>
    <row r="22" spans="1:19" x14ac:dyDescent="0.25">
      <c r="A22" t="s">
        <v>53</v>
      </c>
      <c r="B22" t="s">
        <v>46</v>
      </c>
      <c r="C22" t="s">
        <v>54</v>
      </c>
      <c r="D22" s="1">
        <v>45589</v>
      </c>
      <c r="E22" s="1">
        <v>45893</v>
      </c>
      <c r="F22">
        <v>1</v>
      </c>
      <c r="G22">
        <v>24</v>
      </c>
      <c r="H22" t="s">
        <v>22</v>
      </c>
      <c r="I22" t="s">
        <v>23</v>
      </c>
      <c r="J22" t="s">
        <v>24</v>
      </c>
      <c r="K22" t="s">
        <v>48</v>
      </c>
      <c r="L22">
        <v>1</v>
      </c>
      <c r="M22">
        <v>65.64</v>
      </c>
      <c r="N22">
        <v>31.18</v>
      </c>
      <c r="O22">
        <v>0.75</v>
      </c>
      <c r="P22">
        <v>23.39</v>
      </c>
      <c r="Q22" t="s">
        <v>40</v>
      </c>
      <c r="R22">
        <v>0</v>
      </c>
      <c r="S22">
        <v>23.39</v>
      </c>
    </row>
    <row r="23" spans="1:19" x14ac:dyDescent="0.25">
      <c r="A23" t="s">
        <v>53</v>
      </c>
      <c r="B23" t="s">
        <v>46</v>
      </c>
      <c r="C23" t="s">
        <v>54</v>
      </c>
      <c r="D23" s="1">
        <v>45589</v>
      </c>
      <c r="E23" s="1">
        <v>45893</v>
      </c>
      <c r="F23">
        <v>1</v>
      </c>
      <c r="G23">
        <v>24</v>
      </c>
      <c r="H23" t="s">
        <v>22</v>
      </c>
      <c r="I23" t="s">
        <v>23</v>
      </c>
      <c r="J23" t="s">
        <v>24</v>
      </c>
      <c r="K23" t="s">
        <v>52</v>
      </c>
      <c r="L23">
        <v>1</v>
      </c>
      <c r="M23">
        <v>0</v>
      </c>
      <c r="N23">
        <v>8.92</v>
      </c>
      <c r="O23">
        <v>0.75</v>
      </c>
      <c r="P23">
        <v>6.69</v>
      </c>
      <c r="Q23" t="s">
        <v>40</v>
      </c>
      <c r="R23">
        <v>0</v>
      </c>
      <c r="S23">
        <v>6.69</v>
      </c>
    </row>
    <row r="24" spans="1:19" x14ac:dyDescent="0.25">
      <c r="A24" t="s">
        <v>53</v>
      </c>
      <c r="B24" t="s">
        <v>46</v>
      </c>
      <c r="C24" t="s">
        <v>54</v>
      </c>
      <c r="D24" s="1">
        <v>45589</v>
      </c>
      <c r="E24" s="1">
        <v>45893</v>
      </c>
      <c r="F24">
        <v>1</v>
      </c>
      <c r="G24">
        <v>24</v>
      </c>
      <c r="H24" t="s">
        <v>22</v>
      </c>
      <c r="I24" t="s">
        <v>23</v>
      </c>
      <c r="J24" t="s">
        <v>24</v>
      </c>
      <c r="K24" t="s">
        <v>51</v>
      </c>
      <c r="L24">
        <v>1</v>
      </c>
      <c r="M24">
        <v>0</v>
      </c>
      <c r="N24">
        <v>9.7799999999999994</v>
      </c>
      <c r="O24">
        <v>0.75</v>
      </c>
      <c r="P24">
        <v>7.34</v>
      </c>
      <c r="Q24" t="s">
        <v>40</v>
      </c>
      <c r="R24">
        <v>0</v>
      </c>
      <c r="S24">
        <v>7.34</v>
      </c>
    </row>
    <row r="25" spans="1:19" x14ac:dyDescent="0.25">
      <c r="A25" t="s">
        <v>53</v>
      </c>
      <c r="B25" t="s">
        <v>46</v>
      </c>
      <c r="C25" t="s">
        <v>54</v>
      </c>
      <c r="D25" s="1">
        <v>45589</v>
      </c>
      <c r="E25" s="1">
        <v>45893</v>
      </c>
      <c r="F25">
        <v>1</v>
      </c>
      <c r="G25">
        <v>24</v>
      </c>
      <c r="H25" t="s">
        <v>22</v>
      </c>
      <c r="I25" t="s">
        <v>23</v>
      </c>
      <c r="J25" t="s">
        <v>24</v>
      </c>
      <c r="K25" t="s">
        <v>50</v>
      </c>
      <c r="L25">
        <v>1</v>
      </c>
      <c r="M25">
        <v>0</v>
      </c>
      <c r="N25">
        <v>9.26</v>
      </c>
      <c r="O25">
        <v>0.75</v>
      </c>
      <c r="P25">
        <v>6.95</v>
      </c>
      <c r="Q25" t="s">
        <v>40</v>
      </c>
      <c r="R25">
        <v>0</v>
      </c>
      <c r="S25">
        <v>6.95</v>
      </c>
    </row>
    <row r="26" spans="1:19" x14ac:dyDescent="0.25">
      <c r="A26" t="s">
        <v>53</v>
      </c>
      <c r="B26" t="s">
        <v>46</v>
      </c>
      <c r="C26" t="s">
        <v>54</v>
      </c>
      <c r="D26" s="1">
        <v>45589</v>
      </c>
      <c r="E26" s="1">
        <v>45893</v>
      </c>
      <c r="F26">
        <v>1</v>
      </c>
      <c r="G26">
        <v>24</v>
      </c>
      <c r="H26" t="s">
        <v>22</v>
      </c>
      <c r="I26" t="s">
        <v>23</v>
      </c>
      <c r="J26" t="s">
        <v>24</v>
      </c>
      <c r="K26" t="s">
        <v>49</v>
      </c>
      <c r="L26">
        <v>1</v>
      </c>
      <c r="M26">
        <v>0</v>
      </c>
      <c r="N26">
        <v>4.83</v>
      </c>
      <c r="O26">
        <v>0.75</v>
      </c>
      <c r="P26">
        <v>3.62</v>
      </c>
      <c r="Q26" t="s">
        <v>40</v>
      </c>
      <c r="R26">
        <v>0</v>
      </c>
      <c r="S26">
        <v>3.62</v>
      </c>
    </row>
    <row r="27" spans="1:19" s="4" customFormat="1" x14ac:dyDescent="0.25">
      <c r="A27" s="4" t="s">
        <v>55</v>
      </c>
      <c r="B27" s="4" t="s">
        <v>56</v>
      </c>
      <c r="C27" s="4" t="s">
        <v>57</v>
      </c>
      <c r="D27" s="5">
        <v>45627</v>
      </c>
      <c r="E27" s="5">
        <v>45870</v>
      </c>
      <c r="F27" s="4">
        <v>1</v>
      </c>
      <c r="G27" s="4">
        <v>2</v>
      </c>
      <c r="H27" s="4" t="s">
        <v>22</v>
      </c>
      <c r="I27" s="4" t="s">
        <v>23</v>
      </c>
      <c r="J27" s="4" t="s">
        <v>24</v>
      </c>
      <c r="K27" s="4" t="s">
        <v>58</v>
      </c>
      <c r="L27" s="4">
        <v>1</v>
      </c>
      <c r="M27" s="4">
        <v>109.73</v>
      </c>
      <c r="N27" s="4">
        <v>1.07</v>
      </c>
      <c r="O27" s="4">
        <v>0.65</v>
      </c>
      <c r="P27" s="4">
        <v>0.7</v>
      </c>
      <c r="Q27" s="4" t="s">
        <v>59</v>
      </c>
      <c r="R27" s="4">
        <v>-0.7</v>
      </c>
      <c r="S27" s="4">
        <v>0</v>
      </c>
    </row>
    <row r="28" spans="1:19" s="4" customFormat="1" x14ac:dyDescent="0.25">
      <c r="A28" s="4" t="s">
        <v>55</v>
      </c>
      <c r="B28" s="4" t="s">
        <v>56</v>
      </c>
      <c r="C28" s="4" t="s">
        <v>57</v>
      </c>
      <c r="D28" s="5">
        <v>45627</v>
      </c>
      <c r="E28" s="5">
        <v>45870</v>
      </c>
      <c r="F28" s="4">
        <v>1</v>
      </c>
      <c r="G28" s="4">
        <v>2</v>
      </c>
      <c r="H28" s="4" t="s">
        <v>22</v>
      </c>
      <c r="I28" s="4" t="s">
        <v>23</v>
      </c>
      <c r="J28" s="4" t="s">
        <v>24</v>
      </c>
      <c r="K28" s="4" t="s">
        <v>60</v>
      </c>
      <c r="L28" s="4">
        <v>1</v>
      </c>
      <c r="M28" s="4">
        <v>109.73</v>
      </c>
      <c r="N28" s="4">
        <v>6.47</v>
      </c>
      <c r="O28" s="4">
        <v>0.65</v>
      </c>
      <c r="P28" s="4">
        <v>4.21</v>
      </c>
      <c r="Q28" s="4" t="s">
        <v>59</v>
      </c>
      <c r="R28" s="4">
        <v>-4.21</v>
      </c>
      <c r="S28" s="4">
        <v>0</v>
      </c>
    </row>
    <row r="29" spans="1:19" s="4" customFormat="1" x14ac:dyDescent="0.25">
      <c r="A29" s="4" t="s">
        <v>55</v>
      </c>
      <c r="B29" s="4" t="s">
        <v>56</v>
      </c>
      <c r="C29" s="4" t="s">
        <v>57</v>
      </c>
      <c r="D29" s="5">
        <v>45627</v>
      </c>
      <c r="E29" s="5">
        <v>45870</v>
      </c>
      <c r="F29" s="4">
        <v>1</v>
      </c>
      <c r="G29" s="4">
        <v>2</v>
      </c>
      <c r="H29" s="4" t="s">
        <v>22</v>
      </c>
      <c r="I29" s="4" t="s">
        <v>23</v>
      </c>
      <c r="J29" s="4" t="s">
        <v>24</v>
      </c>
      <c r="K29" s="4" t="s">
        <v>61</v>
      </c>
      <c r="L29" s="4">
        <v>1</v>
      </c>
      <c r="M29" s="4">
        <v>109.73</v>
      </c>
      <c r="N29" s="4">
        <v>4.96</v>
      </c>
      <c r="O29" s="4">
        <v>0.65</v>
      </c>
      <c r="P29" s="4">
        <v>3.22</v>
      </c>
      <c r="Q29" s="4" t="s">
        <v>59</v>
      </c>
      <c r="R29" s="4">
        <v>-3.22</v>
      </c>
      <c r="S29" s="4">
        <v>0</v>
      </c>
    </row>
    <row r="30" spans="1:19" s="4" customFormat="1" x14ac:dyDescent="0.25">
      <c r="A30" s="4" t="s">
        <v>55</v>
      </c>
      <c r="B30" s="4" t="s">
        <v>56</v>
      </c>
      <c r="C30" s="4" t="s">
        <v>57</v>
      </c>
      <c r="D30" s="5">
        <v>45627</v>
      </c>
      <c r="E30" s="5">
        <v>45870</v>
      </c>
      <c r="F30" s="4">
        <v>1</v>
      </c>
      <c r="G30" s="4">
        <v>2</v>
      </c>
      <c r="H30" s="4" t="s">
        <v>22</v>
      </c>
      <c r="I30" s="4" t="s">
        <v>23</v>
      </c>
      <c r="J30" s="4" t="s">
        <v>24</v>
      </c>
      <c r="K30" s="4" t="s">
        <v>62</v>
      </c>
      <c r="L30" s="4">
        <v>1</v>
      </c>
      <c r="M30" s="4">
        <v>109.73</v>
      </c>
      <c r="N30" s="4">
        <v>1.68</v>
      </c>
      <c r="O30" s="4">
        <v>0.65</v>
      </c>
      <c r="P30" s="4">
        <v>1.0900000000000001</v>
      </c>
      <c r="Q30" s="4" t="s">
        <v>59</v>
      </c>
      <c r="R30" s="4">
        <v>-1.0900000000000001</v>
      </c>
      <c r="S30" s="4">
        <v>0</v>
      </c>
    </row>
    <row r="31" spans="1:19" s="4" customFormat="1" x14ac:dyDescent="0.25">
      <c r="A31" s="4" t="s">
        <v>55</v>
      </c>
      <c r="B31" s="4" t="s">
        <v>56</v>
      </c>
      <c r="C31" s="4" t="s">
        <v>57</v>
      </c>
      <c r="D31" s="5">
        <v>45627</v>
      </c>
      <c r="E31" s="5">
        <v>45870</v>
      </c>
      <c r="F31" s="4">
        <v>1</v>
      </c>
      <c r="G31" s="4">
        <v>2</v>
      </c>
      <c r="H31" s="4" t="s">
        <v>22</v>
      </c>
      <c r="I31" s="4" t="s">
        <v>23</v>
      </c>
      <c r="J31" s="4" t="s">
        <v>24</v>
      </c>
      <c r="K31" s="4" t="s">
        <v>63</v>
      </c>
      <c r="L31" s="4">
        <v>1</v>
      </c>
      <c r="M31" s="4">
        <v>109.73</v>
      </c>
      <c r="N31" s="4">
        <v>78.84</v>
      </c>
      <c r="O31" s="4">
        <v>0.65</v>
      </c>
      <c r="P31" s="4">
        <v>51.25</v>
      </c>
      <c r="Q31" s="4" t="s">
        <v>59</v>
      </c>
      <c r="R31" s="4">
        <v>-51.25</v>
      </c>
      <c r="S31" s="4">
        <v>0</v>
      </c>
    </row>
    <row r="32" spans="1:19" s="4" customFormat="1" x14ac:dyDescent="0.25">
      <c r="A32" s="4" t="s">
        <v>55</v>
      </c>
      <c r="B32" s="4" t="s">
        <v>56</v>
      </c>
      <c r="C32" s="4" t="s">
        <v>57</v>
      </c>
      <c r="D32" s="5">
        <v>45627</v>
      </c>
      <c r="E32" s="5">
        <v>45870</v>
      </c>
      <c r="F32" s="4">
        <v>1</v>
      </c>
      <c r="G32" s="4">
        <v>2</v>
      </c>
      <c r="H32" s="4" t="s">
        <v>22</v>
      </c>
      <c r="I32" s="4" t="s">
        <v>23</v>
      </c>
      <c r="J32" s="4" t="s">
        <v>24</v>
      </c>
      <c r="K32" s="4" t="s">
        <v>64</v>
      </c>
      <c r="L32" s="4">
        <v>1</v>
      </c>
      <c r="M32" s="4">
        <v>109.73</v>
      </c>
      <c r="N32" s="4">
        <v>6.99</v>
      </c>
      <c r="O32" s="4">
        <v>0.65</v>
      </c>
      <c r="P32" s="4">
        <v>4.54</v>
      </c>
      <c r="Q32" s="4" t="s">
        <v>59</v>
      </c>
      <c r="R32" s="4">
        <v>-4.54</v>
      </c>
      <c r="S32" s="4">
        <v>0</v>
      </c>
    </row>
    <row r="33" spans="1:19" s="4" customFormat="1" x14ac:dyDescent="0.25">
      <c r="A33" s="4" t="s">
        <v>55</v>
      </c>
      <c r="B33" s="4" t="s">
        <v>56</v>
      </c>
      <c r="C33" s="4" t="s">
        <v>57</v>
      </c>
      <c r="D33" s="5">
        <v>45627</v>
      </c>
      <c r="E33" s="5">
        <v>45870</v>
      </c>
      <c r="F33" s="4">
        <v>1</v>
      </c>
      <c r="G33" s="4">
        <v>2</v>
      </c>
      <c r="H33" s="4" t="s">
        <v>22</v>
      </c>
      <c r="I33" s="4" t="s">
        <v>23</v>
      </c>
      <c r="J33" s="4" t="s">
        <v>24</v>
      </c>
      <c r="K33" s="4" t="s">
        <v>65</v>
      </c>
      <c r="L33" s="4">
        <v>1</v>
      </c>
      <c r="M33" s="4">
        <v>109.73</v>
      </c>
      <c r="N33" s="4">
        <v>6.22</v>
      </c>
      <c r="O33" s="4">
        <v>0.65</v>
      </c>
      <c r="P33" s="4">
        <v>4.04</v>
      </c>
      <c r="Q33" s="4" t="s">
        <v>59</v>
      </c>
      <c r="R33" s="4">
        <v>-4.04</v>
      </c>
      <c r="S33" s="4">
        <v>0</v>
      </c>
    </row>
    <row r="34" spans="1:19" x14ac:dyDescent="0.25">
      <c r="A34" t="s">
        <v>66</v>
      </c>
      <c r="B34" t="s">
        <v>20</v>
      </c>
      <c r="C34" t="s">
        <v>67</v>
      </c>
      <c r="D34" s="1">
        <v>45604</v>
      </c>
      <c r="E34" s="1">
        <v>45877</v>
      </c>
      <c r="F34">
        <v>1</v>
      </c>
      <c r="G34">
        <v>8</v>
      </c>
      <c r="H34" t="s">
        <v>22</v>
      </c>
      <c r="I34" t="s">
        <v>23</v>
      </c>
      <c r="J34" t="s">
        <v>24</v>
      </c>
      <c r="K34" t="s">
        <v>48</v>
      </c>
      <c r="L34">
        <v>1</v>
      </c>
      <c r="M34">
        <v>142.87</v>
      </c>
      <c r="N34">
        <v>97.76</v>
      </c>
      <c r="O34">
        <v>0.75</v>
      </c>
      <c r="P34">
        <v>73.319999999999993</v>
      </c>
      <c r="Q34" t="s">
        <v>59</v>
      </c>
      <c r="R34">
        <v>-73.31</v>
      </c>
      <c r="S34">
        <v>0.01</v>
      </c>
    </row>
    <row r="35" spans="1:19" x14ac:dyDescent="0.25">
      <c r="A35" t="s">
        <v>66</v>
      </c>
      <c r="B35" t="s">
        <v>20</v>
      </c>
      <c r="C35" t="s">
        <v>67</v>
      </c>
      <c r="D35" s="1">
        <v>45604</v>
      </c>
      <c r="E35" s="1">
        <v>45877</v>
      </c>
      <c r="F35">
        <v>1</v>
      </c>
      <c r="G35">
        <v>8</v>
      </c>
      <c r="H35" t="s">
        <v>22</v>
      </c>
      <c r="I35" t="s">
        <v>23</v>
      </c>
      <c r="J35" t="s">
        <v>24</v>
      </c>
      <c r="K35" t="s">
        <v>51</v>
      </c>
      <c r="L35">
        <v>1</v>
      </c>
      <c r="M35">
        <v>142.87</v>
      </c>
      <c r="N35">
        <v>29.35</v>
      </c>
      <c r="O35">
        <v>0.75</v>
      </c>
      <c r="P35">
        <v>22.01</v>
      </c>
      <c r="Q35" t="s">
        <v>59</v>
      </c>
      <c r="R35">
        <v>-22.01</v>
      </c>
      <c r="S35">
        <v>0</v>
      </c>
    </row>
    <row r="36" spans="1:19" x14ac:dyDescent="0.25">
      <c r="A36" t="s">
        <v>66</v>
      </c>
      <c r="B36" t="s">
        <v>20</v>
      </c>
      <c r="C36" t="s">
        <v>67</v>
      </c>
      <c r="D36" s="1">
        <v>45604</v>
      </c>
      <c r="E36" s="1">
        <v>45877</v>
      </c>
      <c r="F36">
        <v>1</v>
      </c>
      <c r="G36">
        <v>8</v>
      </c>
      <c r="H36" t="s">
        <v>22</v>
      </c>
      <c r="I36" t="s">
        <v>23</v>
      </c>
      <c r="J36" t="s">
        <v>24</v>
      </c>
      <c r="K36" t="s">
        <v>49</v>
      </c>
      <c r="L36">
        <v>1</v>
      </c>
      <c r="M36">
        <v>142.87</v>
      </c>
      <c r="N36">
        <v>4.83</v>
      </c>
      <c r="O36">
        <v>0.75</v>
      </c>
      <c r="P36">
        <v>3.62</v>
      </c>
      <c r="Q36" t="s">
        <v>59</v>
      </c>
      <c r="R36">
        <v>-3.62</v>
      </c>
      <c r="S36">
        <v>0</v>
      </c>
    </row>
    <row r="37" spans="1:19" x14ac:dyDescent="0.25">
      <c r="A37" t="s">
        <v>66</v>
      </c>
      <c r="B37" t="s">
        <v>20</v>
      </c>
      <c r="C37" t="s">
        <v>67</v>
      </c>
      <c r="D37" s="1">
        <v>45604</v>
      </c>
      <c r="E37" s="1">
        <v>45877</v>
      </c>
      <c r="F37">
        <v>1</v>
      </c>
      <c r="G37">
        <v>8</v>
      </c>
      <c r="H37" t="s">
        <v>22</v>
      </c>
      <c r="I37" t="s">
        <v>23</v>
      </c>
      <c r="J37" t="s">
        <v>24</v>
      </c>
      <c r="K37" t="s">
        <v>50</v>
      </c>
      <c r="L37">
        <v>1</v>
      </c>
      <c r="M37">
        <v>142.87</v>
      </c>
      <c r="N37">
        <v>9.26</v>
      </c>
      <c r="O37">
        <v>0.75</v>
      </c>
      <c r="P37">
        <v>6.95</v>
      </c>
      <c r="Q37" t="s">
        <v>59</v>
      </c>
      <c r="R37">
        <v>-6.95</v>
      </c>
      <c r="S37">
        <v>0</v>
      </c>
    </row>
    <row r="38" spans="1:19" x14ac:dyDescent="0.25">
      <c r="A38" t="s">
        <v>68</v>
      </c>
      <c r="B38" t="s">
        <v>20</v>
      </c>
      <c r="C38" t="s">
        <v>69</v>
      </c>
      <c r="D38" s="1">
        <v>45613</v>
      </c>
      <c r="E38" s="1">
        <v>45886</v>
      </c>
      <c r="F38">
        <v>1</v>
      </c>
      <c r="G38">
        <v>17</v>
      </c>
      <c r="H38" t="s">
        <v>22</v>
      </c>
      <c r="I38" t="s">
        <v>23</v>
      </c>
      <c r="J38" t="s">
        <v>24</v>
      </c>
      <c r="K38" t="s">
        <v>48</v>
      </c>
      <c r="L38">
        <v>1</v>
      </c>
      <c r="M38">
        <v>105.9</v>
      </c>
      <c r="N38">
        <v>70.84</v>
      </c>
      <c r="O38">
        <v>0.75</v>
      </c>
      <c r="P38">
        <v>53.13</v>
      </c>
      <c r="Q38" t="s">
        <v>59</v>
      </c>
      <c r="R38">
        <v>-53.05</v>
      </c>
      <c r="S38">
        <v>0.08</v>
      </c>
    </row>
    <row r="39" spans="1:19" x14ac:dyDescent="0.25">
      <c r="A39" t="s">
        <v>68</v>
      </c>
      <c r="B39" t="s">
        <v>20</v>
      </c>
      <c r="C39" t="s">
        <v>69</v>
      </c>
      <c r="D39" s="1">
        <v>45613</v>
      </c>
      <c r="E39" s="1">
        <v>45886</v>
      </c>
      <c r="F39">
        <v>1</v>
      </c>
      <c r="G39">
        <v>17</v>
      </c>
      <c r="H39" t="s">
        <v>22</v>
      </c>
      <c r="I39" t="s">
        <v>23</v>
      </c>
      <c r="J39" t="s">
        <v>24</v>
      </c>
      <c r="K39" t="s">
        <v>51</v>
      </c>
      <c r="L39">
        <v>1</v>
      </c>
      <c r="M39">
        <v>0</v>
      </c>
      <c r="N39">
        <v>24.37</v>
      </c>
      <c r="O39">
        <v>0.75</v>
      </c>
      <c r="P39">
        <v>18.28</v>
      </c>
      <c r="Q39" t="s">
        <v>59</v>
      </c>
      <c r="R39">
        <v>-18.28</v>
      </c>
      <c r="S39">
        <v>0</v>
      </c>
    </row>
    <row r="40" spans="1:19" x14ac:dyDescent="0.25">
      <c r="A40" t="s">
        <v>68</v>
      </c>
      <c r="B40" t="s">
        <v>20</v>
      </c>
      <c r="C40" t="s">
        <v>69</v>
      </c>
      <c r="D40" s="1">
        <v>45613</v>
      </c>
      <c r="E40" s="1">
        <v>45886</v>
      </c>
      <c r="F40">
        <v>1</v>
      </c>
      <c r="G40">
        <v>17</v>
      </c>
      <c r="H40" t="s">
        <v>22</v>
      </c>
      <c r="I40" t="s">
        <v>23</v>
      </c>
      <c r="J40" t="s">
        <v>24</v>
      </c>
      <c r="K40" t="s">
        <v>50</v>
      </c>
      <c r="L40">
        <v>1</v>
      </c>
      <c r="M40">
        <v>0</v>
      </c>
      <c r="N40">
        <v>5.94</v>
      </c>
      <c r="O40">
        <v>0.75</v>
      </c>
      <c r="P40">
        <v>4.46</v>
      </c>
      <c r="Q40" t="s">
        <v>59</v>
      </c>
      <c r="R40">
        <v>-4.46</v>
      </c>
      <c r="S40">
        <v>0</v>
      </c>
    </row>
    <row r="41" spans="1:19" x14ac:dyDescent="0.25">
      <c r="A41" t="s">
        <v>68</v>
      </c>
      <c r="B41" t="s">
        <v>20</v>
      </c>
      <c r="C41" t="s">
        <v>69</v>
      </c>
      <c r="D41" s="1">
        <v>45613</v>
      </c>
      <c r="E41" s="1">
        <v>45886</v>
      </c>
      <c r="F41">
        <v>1</v>
      </c>
      <c r="G41">
        <v>17</v>
      </c>
      <c r="H41" t="s">
        <v>22</v>
      </c>
      <c r="I41" t="s">
        <v>23</v>
      </c>
      <c r="J41" t="s">
        <v>24</v>
      </c>
      <c r="K41" t="s">
        <v>49</v>
      </c>
      <c r="L41">
        <v>1</v>
      </c>
      <c r="M41">
        <v>0</v>
      </c>
      <c r="N41">
        <v>3.08</v>
      </c>
      <c r="O41">
        <v>0.75</v>
      </c>
      <c r="P41">
        <v>2.31</v>
      </c>
      <c r="Q41" t="s">
        <v>59</v>
      </c>
      <c r="R41">
        <v>-2.31</v>
      </c>
      <c r="S41">
        <v>0</v>
      </c>
    </row>
    <row r="42" spans="1:19" x14ac:dyDescent="0.25">
      <c r="A42" t="s">
        <v>70</v>
      </c>
      <c r="B42" t="s">
        <v>20</v>
      </c>
      <c r="C42" t="s">
        <v>71</v>
      </c>
      <c r="D42" s="1">
        <v>45627</v>
      </c>
      <c r="E42" s="1">
        <v>45870</v>
      </c>
      <c r="F42">
        <v>1</v>
      </c>
      <c r="G42">
        <v>2</v>
      </c>
      <c r="H42" t="s">
        <v>22</v>
      </c>
      <c r="I42" t="s">
        <v>23</v>
      </c>
      <c r="J42" t="s">
        <v>24</v>
      </c>
      <c r="K42" t="s">
        <v>50</v>
      </c>
      <c r="L42">
        <v>1</v>
      </c>
      <c r="M42">
        <v>144.27000000000001</v>
      </c>
      <c r="N42">
        <v>10.66</v>
      </c>
      <c r="O42">
        <v>0.75</v>
      </c>
      <c r="P42">
        <v>8</v>
      </c>
      <c r="Q42" t="s">
        <v>59</v>
      </c>
      <c r="R42">
        <v>-8</v>
      </c>
      <c r="S42">
        <v>0</v>
      </c>
    </row>
    <row r="43" spans="1:19" x14ac:dyDescent="0.25">
      <c r="A43" t="s">
        <v>70</v>
      </c>
      <c r="B43" t="s">
        <v>20</v>
      </c>
      <c r="C43" t="s">
        <v>71</v>
      </c>
      <c r="D43" s="1">
        <v>45627</v>
      </c>
      <c r="E43" s="1">
        <v>45870</v>
      </c>
      <c r="F43">
        <v>1</v>
      </c>
      <c r="G43">
        <v>2</v>
      </c>
      <c r="H43" t="s">
        <v>22</v>
      </c>
      <c r="I43" t="s">
        <v>23</v>
      </c>
      <c r="J43" t="s">
        <v>24</v>
      </c>
      <c r="K43" t="s">
        <v>48</v>
      </c>
      <c r="L43">
        <v>1</v>
      </c>
      <c r="M43">
        <v>144.27000000000001</v>
      </c>
      <c r="N43">
        <v>97.76</v>
      </c>
      <c r="O43">
        <v>0.75</v>
      </c>
      <c r="P43">
        <v>73.319999999999993</v>
      </c>
      <c r="Q43" t="s">
        <v>59</v>
      </c>
      <c r="R43">
        <v>-73.319999999999993</v>
      </c>
      <c r="S43">
        <v>0</v>
      </c>
    </row>
    <row r="44" spans="1:19" x14ac:dyDescent="0.25">
      <c r="A44" t="s">
        <v>70</v>
      </c>
      <c r="B44" t="s">
        <v>20</v>
      </c>
      <c r="C44" t="s">
        <v>71</v>
      </c>
      <c r="D44" s="1">
        <v>45627</v>
      </c>
      <c r="E44" s="1">
        <v>45870</v>
      </c>
      <c r="F44">
        <v>1</v>
      </c>
      <c r="G44">
        <v>2</v>
      </c>
      <c r="H44" t="s">
        <v>22</v>
      </c>
      <c r="I44" t="s">
        <v>23</v>
      </c>
      <c r="J44" t="s">
        <v>24</v>
      </c>
      <c r="K44" t="s">
        <v>49</v>
      </c>
      <c r="L44">
        <v>1</v>
      </c>
      <c r="M44">
        <v>144.27000000000001</v>
      </c>
      <c r="N44">
        <v>4.83</v>
      </c>
      <c r="O44">
        <v>0.75</v>
      </c>
      <c r="P44">
        <v>3.62</v>
      </c>
      <c r="Q44" t="s">
        <v>59</v>
      </c>
      <c r="R44">
        <v>-3.62</v>
      </c>
      <c r="S44">
        <v>0</v>
      </c>
    </row>
    <row r="45" spans="1:19" x14ac:dyDescent="0.25">
      <c r="A45" t="s">
        <v>70</v>
      </c>
      <c r="B45" t="s">
        <v>20</v>
      </c>
      <c r="C45" t="s">
        <v>71</v>
      </c>
      <c r="D45" s="1">
        <v>45627</v>
      </c>
      <c r="E45" s="1">
        <v>45870</v>
      </c>
      <c r="F45">
        <v>1</v>
      </c>
      <c r="G45">
        <v>2</v>
      </c>
      <c r="H45" t="s">
        <v>22</v>
      </c>
      <c r="I45" t="s">
        <v>23</v>
      </c>
      <c r="J45" t="s">
        <v>24</v>
      </c>
      <c r="K45" t="s">
        <v>51</v>
      </c>
      <c r="L45">
        <v>1</v>
      </c>
      <c r="M45">
        <v>144.27000000000001</v>
      </c>
      <c r="N45">
        <v>29.35</v>
      </c>
      <c r="O45">
        <v>0.75</v>
      </c>
      <c r="P45">
        <v>22.01</v>
      </c>
      <c r="Q45" t="s">
        <v>59</v>
      </c>
      <c r="R45">
        <v>-22.01</v>
      </c>
      <c r="S45">
        <v>0</v>
      </c>
    </row>
    <row r="46" spans="1:19" x14ac:dyDescent="0.25">
      <c r="A46" t="s">
        <v>72</v>
      </c>
      <c r="B46" t="s">
        <v>20</v>
      </c>
      <c r="C46" t="s">
        <v>73</v>
      </c>
      <c r="D46" s="1">
        <v>45627</v>
      </c>
      <c r="E46" s="1">
        <v>45870</v>
      </c>
      <c r="F46">
        <v>1</v>
      </c>
      <c r="G46">
        <v>2</v>
      </c>
      <c r="H46" t="s">
        <v>22</v>
      </c>
      <c r="I46" t="s">
        <v>23</v>
      </c>
      <c r="J46" t="s">
        <v>24</v>
      </c>
      <c r="K46" t="s">
        <v>28</v>
      </c>
      <c r="L46">
        <v>1</v>
      </c>
      <c r="M46">
        <v>67.91</v>
      </c>
      <c r="N46">
        <v>1.68</v>
      </c>
      <c r="O46">
        <v>0.65</v>
      </c>
      <c r="P46">
        <v>1.0900000000000001</v>
      </c>
      <c r="Q46" t="s">
        <v>59</v>
      </c>
      <c r="R46">
        <v>-1.0900000000000001</v>
      </c>
      <c r="S46">
        <v>0</v>
      </c>
    </row>
    <row r="47" spans="1:19" x14ac:dyDescent="0.25">
      <c r="A47" t="s">
        <v>72</v>
      </c>
      <c r="B47" t="s">
        <v>20</v>
      </c>
      <c r="C47" t="s">
        <v>73</v>
      </c>
      <c r="D47" s="1">
        <v>45627</v>
      </c>
      <c r="E47" s="1">
        <v>45870</v>
      </c>
      <c r="F47">
        <v>1</v>
      </c>
      <c r="G47">
        <v>2</v>
      </c>
      <c r="H47" t="s">
        <v>22</v>
      </c>
      <c r="I47" t="s">
        <v>23</v>
      </c>
      <c r="J47" t="s">
        <v>24</v>
      </c>
      <c r="K47" t="s">
        <v>27</v>
      </c>
      <c r="L47">
        <v>1</v>
      </c>
      <c r="M47">
        <v>67.91</v>
      </c>
      <c r="N47">
        <v>11.3</v>
      </c>
      <c r="O47">
        <v>0.65</v>
      </c>
      <c r="P47">
        <v>7.35</v>
      </c>
      <c r="Q47" t="s">
        <v>59</v>
      </c>
      <c r="R47">
        <v>-7.35</v>
      </c>
      <c r="S47">
        <v>0</v>
      </c>
    </row>
    <row r="48" spans="1:19" x14ac:dyDescent="0.25">
      <c r="A48" t="s">
        <v>72</v>
      </c>
      <c r="B48" t="s">
        <v>20</v>
      </c>
      <c r="C48" t="s">
        <v>73</v>
      </c>
      <c r="D48" s="1">
        <v>45627</v>
      </c>
      <c r="E48" s="1">
        <v>45870</v>
      </c>
      <c r="F48">
        <v>1</v>
      </c>
      <c r="G48">
        <v>2</v>
      </c>
      <c r="H48" t="s">
        <v>22</v>
      </c>
      <c r="I48" t="s">
        <v>23</v>
      </c>
      <c r="J48" t="s">
        <v>24</v>
      </c>
      <c r="K48" t="s">
        <v>74</v>
      </c>
      <c r="L48">
        <v>1</v>
      </c>
      <c r="M48">
        <v>67.91</v>
      </c>
      <c r="N48">
        <v>5.51</v>
      </c>
      <c r="O48">
        <v>0.65</v>
      </c>
      <c r="P48">
        <v>3.58</v>
      </c>
      <c r="Q48" t="s">
        <v>59</v>
      </c>
      <c r="R48">
        <v>-3.58</v>
      </c>
      <c r="S48">
        <v>0</v>
      </c>
    </row>
    <row r="49" spans="1:19" x14ac:dyDescent="0.25">
      <c r="A49" t="s">
        <v>72</v>
      </c>
      <c r="B49" t="s">
        <v>20</v>
      </c>
      <c r="C49" t="s">
        <v>73</v>
      </c>
      <c r="D49" s="1">
        <v>45627</v>
      </c>
      <c r="E49" s="1">
        <v>45870</v>
      </c>
      <c r="F49">
        <v>1</v>
      </c>
      <c r="G49">
        <v>2</v>
      </c>
      <c r="H49" t="s">
        <v>22</v>
      </c>
      <c r="I49" t="s">
        <v>23</v>
      </c>
      <c r="J49" t="s">
        <v>24</v>
      </c>
      <c r="K49" t="s">
        <v>75</v>
      </c>
      <c r="L49">
        <v>1</v>
      </c>
      <c r="M49">
        <v>67.91</v>
      </c>
      <c r="N49">
        <v>4.62</v>
      </c>
      <c r="O49">
        <v>0.65</v>
      </c>
      <c r="P49">
        <v>3</v>
      </c>
      <c r="Q49" t="s">
        <v>59</v>
      </c>
      <c r="R49">
        <v>-3</v>
      </c>
      <c r="S49">
        <v>0</v>
      </c>
    </row>
    <row r="50" spans="1:19" x14ac:dyDescent="0.25">
      <c r="A50" t="s">
        <v>72</v>
      </c>
      <c r="B50" t="s">
        <v>20</v>
      </c>
      <c r="C50" t="s">
        <v>73</v>
      </c>
      <c r="D50" s="1">
        <v>45627</v>
      </c>
      <c r="E50" s="1">
        <v>45870</v>
      </c>
      <c r="F50">
        <v>1</v>
      </c>
      <c r="G50">
        <v>2</v>
      </c>
      <c r="H50" t="s">
        <v>22</v>
      </c>
      <c r="I50" t="s">
        <v>23</v>
      </c>
      <c r="J50" t="s">
        <v>24</v>
      </c>
      <c r="K50" t="s">
        <v>76</v>
      </c>
      <c r="L50">
        <v>1</v>
      </c>
      <c r="M50">
        <v>67.91</v>
      </c>
      <c r="N50">
        <v>2.59</v>
      </c>
      <c r="O50">
        <v>0.65</v>
      </c>
      <c r="P50">
        <v>1.68</v>
      </c>
      <c r="Q50" t="s">
        <v>59</v>
      </c>
      <c r="R50">
        <v>-1.68</v>
      </c>
      <c r="S50">
        <v>0</v>
      </c>
    </row>
    <row r="51" spans="1:19" x14ac:dyDescent="0.25">
      <c r="A51" t="s">
        <v>72</v>
      </c>
      <c r="B51" t="s">
        <v>20</v>
      </c>
      <c r="C51" t="s">
        <v>73</v>
      </c>
      <c r="D51" s="1">
        <v>45627</v>
      </c>
      <c r="E51" s="1">
        <v>45870</v>
      </c>
      <c r="F51">
        <v>1</v>
      </c>
      <c r="G51">
        <v>2</v>
      </c>
      <c r="H51" t="s">
        <v>22</v>
      </c>
      <c r="I51" t="s">
        <v>23</v>
      </c>
      <c r="J51" t="s">
        <v>24</v>
      </c>
      <c r="K51" t="s">
        <v>77</v>
      </c>
      <c r="L51">
        <v>1</v>
      </c>
      <c r="M51">
        <v>67.91</v>
      </c>
      <c r="N51">
        <v>16.07</v>
      </c>
      <c r="O51">
        <v>0.65</v>
      </c>
      <c r="P51">
        <v>10.45</v>
      </c>
      <c r="Q51" t="s">
        <v>59</v>
      </c>
      <c r="R51">
        <v>-10.45</v>
      </c>
      <c r="S51">
        <v>0</v>
      </c>
    </row>
    <row r="52" spans="1:19" x14ac:dyDescent="0.25">
      <c r="A52" t="s">
        <v>72</v>
      </c>
      <c r="B52" t="s">
        <v>20</v>
      </c>
      <c r="C52" t="s">
        <v>73</v>
      </c>
      <c r="D52" s="1">
        <v>45627</v>
      </c>
      <c r="E52" s="1">
        <v>45870</v>
      </c>
      <c r="F52">
        <v>1</v>
      </c>
      <c r="G52">
        <v>2</v>
      </c>
      <c r="H52" t="s">
        <v>22</v>
      </c>
      <c r="I52" t="s">
        <v>23</v>
      </c>
      <c r="J52" t="s">
        <v>24</v>
      </c>
      <c r="K52" t="s">
        <v>25</v>
      </c>
      <c r="L52">
        <v>1</v>
      </c>
      <c r="M52">
        <v>67.91</v>
      </c>
      <c r="N52">
        <v>26.14</v>
      </c>
      <c r="O52">
        <v>0.65</v>
      </c>
      <c r="P52">
        <v>16.989999999999998</v>
      </c>
      <c r="Q52" t="s">
        <v>59</v>
      </c>
      <c r="R52">
        <v>-16.989999999999998</v>
      </c>
      <c r="S52">
        <v>0</v>
      </c>
    </row>
    <row r="53" spans="1:19" x14ac:dyDescent="0.25">
      <c r="A53" t="s">
        <v>78</v>
      </c>
      <c r="B53" t="s">
        <v>20</v>
      </c>
      <c r="C53" t="s">
        <v>79</v>
      </c>
      <c r="D53" s="1">
        <v>45658</v>
      </c>
      <c r="E53" s="1">
        <v>45870</v>
      </c>
      <c r="F53">
        <v>1</v>
      </c>
      <c r="G53">
        <v>2</v>
      </c>
      <c r="H53" t="s">
        <v>22</v>
      </c>
      <c r="I53" t="s">
        <v>23</v>
      </c>
      <c r="J53" t="s">
        <v>24</v>
      </c>
      <c r="K53" t="s">
        <v>25</v>
      </c>
      <c r="L53">
        <v>1</v>
      </c>
      <c r="M53">
        <v>38.53</v>
      </c>
      <c r="N53">
        <v>23.99</v>
      </c>
      <c r="O53">
        <v>0.65</v>
      </c>
      <c r="P53">
        <v>15.59</v>
      </c>
      <c r="Q53" t="s">
        <v>59</v>
      </c>
      <c r="R53">
        <v>-15.59</v>
      </c>
      <c r="S53">
        <v>0</v>
      </c>
    </row>
    <row r="54" spans="1:19" x14ac:dyDescent="0.25">
      <c r="A54" t="s">
        <v>78</v>
      </c>
      <c r="B54" t="s">
        <v>20</v>
      </c>
      <c r="C54" t="s">
        <v>79</v>
      </c>
      <c r="D54" s="1">
        <v>45658</v>
      </c>
      <c r="E54" s="1">
        <v>45870</v>
      </c>
      <c r="F54">
        <v>1</v>
      </c>
      <c r="G54">
        <v>2</v>
      </c>
      <c r="H54" t="s">
        <v>22</v>
      </c>
      <c r="I54" t="s">
        <v>23</v>
      </c>
      <c r="J54" t="s">
        <v>24</v>
      </c>
      <c r="K54" t="s">
        <v>76</v>
      </c>
      <c r="L54">
        <v>1</v>
      </c>
      <c r="M54">
        <v>38.53</v>
      </c>
      <c r="N54">
        <v>2.59</v>
      </c>
      <c r="O54">
        <v>0.65</v>
      </c>
      <c r="P54">
        <v>1.68</v>
      </c>
      <c r="Q54" t="s">
        <v>59</v>
      </c>
      <c r="R54">
        <v>-1.68</v>
      </c>
      <c r="S54">
        <v>0</v>
      </c>
    </row>
    <row r="55" spans="1:19" x14ac:dyDescent="0.25">
      <c r="A55" t="s">
        <v>78</v>
      </c>
      <c r="B55" t="s">
        <v>20</v>
      </c>
      <c r="C55" t="s">
        <v>79</v>
      </c>
      <c r="D55" s="1">
        <v>45658</v>
      </c>
      <c r="E55" s="1">
        <v>45870</v>
      </c>
      <c r="F55">
        <v>1</v>
      </c>
      <c r="G55">
        <v>2</v>
      </c>
      <c r="H55" t="s">
        <v>22</v>
      </c>
      <c r="I55" t="s">
        <v>23</v>
      </c>
      <c r="J55" t="s">
        <v>24</v>
      </c>
      <c r="K55" t="s">
        <v>27</v>
      </c>
      <c r="L55">
        <v>1</v>
      </c>
      <c r="M55">
        <v>38.53</v>
      </c>
      <c r="N55">
        <v>5.65</v>
      </c>
      <c r="O55">
        <v>0.65</v>
      </c>
      <c r="P55">
        <v>3.67</v>
      </c>
      <c r="Q55" t="s">
        <v>59</v>
      </c>
      <c r="R55">
        <v>-3.67</v>
      </c>
      <c r="S55">
        <v>0</v>
      </c>
    </row>
    <row r="56" spans="1:19" x14ac:dyDescent="0.25">
      <c r="A56" t="s">
        <v>78</v>
      </c>
      <c r="B56" t="s">
        <v>20</v>
      </c>
      <c r="C56" t="s">
        <v>79</v>
      </c>
      <c r="D56" s="1">
        <v>45658</v>
      </c>
      <c r="E56" s="1">
        <v>45870</v>
      </c>
      <c r="F56">
        <v>1</v>
      </c>
      <c r="G56">
        <v>2</v>
      </c>
      <c r="H56" t="s">
        <v>22</v>
      </c>
      <c r="I56" t="s">
        <v>23</v>
      </c>
      <c r="J56" t="s">
        <v>24</v>
      </c>
      <c r="K56" t="s">
        <v>28</v>
      </c>
      <c r="L56">
        <v>1</v>
      </c>
      <c r="M56">
        <v>38.53</v>
      </c>
      <c r="N56">
        <v>1.68</v>
      </c>
      <c r="O56">
        <v>0.65</v>
      </c>
      <c r="P56">
        <v>1.0900000000000001</v>
      </c>
      <c r="Q56" t="s">
        <v>59</v>
      </c>
      <c r="R56">
        <v>-1.0900000000000001</v>
      </c>
      <c r="S56">
        <v>0</v>
      </c>
    </row>
    <row r="57" spans="1:19" x14ac:dyDescent="0.25">
      <c r="A57" t="s">
        <v>78</v>
      </c>
      <c r="B57" t="s">
        <v>20</v>
      </c>
      <c r="C57" t="s">
        <v>79</v>
      </c>
      <c r="D57" s="1">
        <v>45658</v>
      </c>
      <c r="E57" s="1">
        <v>45870</v>
      </c>
      <c r="F57">
        <v>1</v>
      </c>
      <c r="G57">
        <v>2</v>
      </c>
      <c r="H57" t="s">
        <v>22</v>
      </c>
      <c r="I57" t="s">
        <v>23</v>
      </c>
      <c r="J57" t="s">
        <v>24</v>
      </c>
      <c r="K57" t="s">
        <v>75</v>
      </c>
      <c r="L57">
        <v>1</v>
      </c>
      <c r="M57">
        <v>38.53</v>
      </c>
      <c r="N57">
        <v>4.62</v>
      </c>
      <c r="O57">
        <v>0.65</v>
      </c>
      <c r="P57">
        <v>3</v>
      </c>
      <c r="Q57" t="s">
        <v>59</v>
      </c>
      <c r="R57">
        <v>-3</v>
      </c>
      <c r="S57">
        <v>0</v>
      </c>
    </row>
    <row r="58" spans="1:19" x14ac:dyDescent="0.25">
      <c r="A58" t="s">
        <v>80</v>
      </c>
      <c r="B58" t="s">
        <v>20</v>
      </c>
      <c r="C58" t="s">
        <v>81</v>
      </c>
      <c r="D58" s="1">
        <v>45658</v>
      </c>
      <c r="E58" s="1">
        <v>45870</v>
      </c>
      <c r="F58">
        <v>1</v>
      </c>
      <c r="G58">
        <v>2</v>
      </c>
      <c r="H58" t="s">
        <v>22</v>
      </c>
      <c r="I58" t="s">
        <v>23</v>
      </c>
      <c r="J58" t="s">
        <v>24</v>
      </c>
      <c r="K58" t="s">
        <v>48</v>
      </c>
      <c r="L58">
        <v>1</v>
      </c>
      <c r="M58">
        <v>105.9</v>
      </c>
      <c r="N58">
        <v>70.84</v>
      </c>
      <c r="O58">
        <v>0.75</v>
      </c>
      <c r="P58">
        <v>53.13</v>
      </c>
      <c r="Q58" t="s">
        <v>59</v>
      </c>
      <c r="R58">
        <v>-53.13</v>
      </c>
      <c r="S58">
        <v>0</v>
      </c>
    </row>
    <row r="59" spans="1:19" x14ac:dyDescent="0.25">
      <c r="A59" t="s">
        <v>80</v>
      </c>
      <c r="B59" t="s">
        <v>20</v>
      </c>
      <c r="C59" t="s">
        <v>81</v>
      </c>
      <c r="D59" s="1">
        <v>45658</v>
      </c>
      <c r="E59" s="1">
        <v>45870</v>
      </c>
      <c r="F59">
        <v>1</v>
      </c>
      <c r="G59">
        <v>2</v>
      </c>
      <c r="H59" t="s">
        <v>22</v>
      </c>
      <c r="I59" t="s">
        <v>23</v>
      </c>
      <c r="J59" t="s">
        <v>24</v>
      </c>
      <c r="K59" t="s">
        <v>49</v>
      </c>
      <c r="L59">
        <v>1</v>
      </c>
      <c r="M59">
        <v>105.9</v>
      </c>
      <c r="N59">
        <v>3.08</v>
      </c>
      <c r="O59">
        <v>0.75</v>
      </c>
      <c r="P59">
        <v>2.31</v>
      </c>
      <c r="Q59" t="s">
        <v>59</v>
      </c>
      <c r="R59">
        <v>-2.31</v>
      </c>
      <c r="S59">
        <v>0</v>
      </c>
    </row>
    <row r="60" spans="1:19" x14ac:dyDescent="0.25">
      <c r="A60" t="s">
        <v>80</v>
      </c>
      <c r="B60" t="s">
        <v>20</v>
      </c>
      <c r="C60" t="s">
        <v>81</v>
      </c>
      <c r="D60" s="1">
        <v>45658</v>
      </c>
      <c r="E60" s="1">
        <v>45870</v>
      </c>
      <c r="F60">
        <v>1</v>
      </c>
      <c r="G60">
        <v>2</v>
      </c>
      <c r="H60" t="s">
        <v>22</v>
      </c>
      <c r="I60" t="s">
        <v>23</v>
      </c>
      <c r="J60" t="s">
        <v>24</v>
      </c>
      <c r="K60" t="s">
        <v>51</v>
      </c>
      <c r="L60">
        <v>1</v>
      </c>
      <c r="M60">
        <v>105.9</v>
      </c>
      <c r="N60">
        <v>24.37</v>
      </c>
      <c r="O60">
        <v>0.75</v>
      </c>
      <c r="P60">
        <v>18.28</v>
      </c>
      <c r="Q60" t="s">
        <v>59</v>
      </c>
      <c r="R60">
        <v>-18.28</v>
      </c>
      <c r="S60">
        <v>0</v>
      </c>
    </row>
    <row r="61" spans="1:19" x14ac:dyDescent="0.25">
      <c r="A61" t="s">
        <v>80</v>
      </c>
      <c r="B61" t="s">
        <v>20</v>
      </c>
      <c r="C61" t="s">
        <v>81</v>
      </c>
      <c r="D61" s="1">
        <v>45658</v>
      </c>
      <c r="E61" s="1">
        <v>45870</v>
      </c>
      <c r="F61">
        <v>1</v>
      </c>
      <c r="G61">
        <v>2</v>
      </c>
      <c r="H61" t="s">
        <v>22</v>
      </c>
      <c r="I61" t="s">
        <v>23</v>
      </c>
      <c r="J61" t="s">
        <v>24</v>
      </c>
      <c r="K61" t="s">
        <v>50</v>
      </c>
      <c r="L61">
        <v>1</v>
      </c>
      <c r="M61">
        <v>105.9</v>
      </c>
      <c r="N61">
        <v>5.94</v>
      </c>
      <c r="O61">
        <v>0.75</v>
      </c>
      <c r="P61">
        <v>4.46</v>
      </c>
      <c r="Q61" t="s">
        <v>59</v>
      </c>
      <c r="R61">
        <v>-4.46</v>
      </c>
      <c r="S61">
        <v>0</v>
      </c>
    </row>
    <row r="62" spans="1:19" x14ac:dyDescent="0.25">
      <c r="A62" t="s">
        <v>82</v>
      </c>
      <c r="B62" t="s">
        <v>20</v>
      </c>
      <c r="C62" t="s">
        <v>83</v>
      </c>
      <c r="D62" s="1">
        <v>45658</v>
      </c>
      <c r="E62" s="1">
        <v>45870</v>
      </c>
      <c r="F62">
        <v>1</v>
      </c>
      <c r="G62">
        <v>2</v>
      </c>
      <c r="H62" t="s">
        <v>22</v>
      </c>
      <c r="I62" t="s">
        <v>23</v>
      </c>
      <c r="J62" t="s">
        <v>24</v>
      </c>
      <c r="K62" t="s">
        <v>50</v>
      </c>
      <c r="L62">
        <v>1</v>
      </c>
      <c r="M62">
        <v>92.54</v>
      </c>
      <c r="N62">
        <v>5.53</v>
      </c>
      <c r="O62">
        <v>0.75</v>
      </c>
      <c r="P62">
        <v>4.1500000000000004</v>
      </c>
      <c r="Q62" t="s">
        <v>59</v>
      </c>
      <c r="R62">
        <v>-4.1500000000000004</v>
      </c>
      <c r="S62">
        <v>0</v>
      </c>
    </row>
    <row r="63" spans="1:19" x14ac:dyDescent="0.25">
      <c r="A63" t="s">
        <v>82</v>
      </c>
      <c r="B63" t="s">
        <v>20</v>
      </c>
      <c r="C63" t="s">
        <v>83</v>
      </c>
      <c r="D63" s="1">
        <v>45658</v>
      </c>
      <c r="E63" s="1">
        <v>45870</v>
      </c>
      <c r="F63">
        <v>1</v>
      </c>
      <c r="G63">
        <v>2</v>
      </c>
      <c r="H63" t="s">
        <v>22</v>
      </c>
      <c r="I63" t="s">
        <v>23</v>
      </c>
      <c r="J63" t="s">
        <v>24</v>
      </c>
      <c r="K63" t="s">
        <v>51</v>
      </c>
      <c r="L63">
        <v>1</v>
      </c>
      <c r="M63">
        <v>92.54</v>
      </c>
      <c r="N63">
        <v>22.5</v>
      </c>
      <c r="O63">
        <v>0.75</v>
      </c>
      <c r="P63">
        <v>16.88</v>
      </c>
      <c r="Q63" t="s">
        <v>59</v>
      </c>
      <c r="R63">
        <v>-16.88</v>
      </c>
      <c r="S63">
        <v>0</v>
      </c>
    </row>
    <row r="64" spans="1:19" x14ac:dyDescent="0.25">
      <c r="A64" t="s">
        <v>82</v>
      </c>
      <c r="B64" t="s">
        <v>20</v>
      </c>
      <c r="C64" t="s">
        <v>83</v>
      </c>
      <c r="D64" s="1">
        <v>45658</v>
      </c>
      <c r="E64" s="1">
        <v>45870</v>
      </c>
      <c r="F64">
        <v>1</v>
      </c>
      <c r="G64">
        <v>2</v>
      </c>
      <c r="H64" t="s">
        <v>22</v>
      </c>
      <c r="I64" t="s">
        <v>23</v>
      </c>
      <c r="J64" t="s">
        <v>24</v>
      </c>
      <c r="K64" t="s">
        <v>49</v>
      </c>
      <c r="L64">
        <v>1</v>
      </c>
      <c r="M64">
        <v>92.54</v>
      </c>
      <c r="N64">
        <v>3.08</v>
      </c>
      <c r="O64">
        <v>0.75</v>
      </c>
      <c r="P64">
        <v>2.31</v>
      </c>
      <c r="Q64" t="s">
        <v>59</v>
      </c>
      <c r="R64">
        <v>-2.31</v>
      </c>
      <c r="S64">
        <v>0</v>
      </c>
    </row>
    <row r="65" spans="1:19" x14ac:dyDescent="0.25">
      <c r="A65" t="s">
        <v>82</v>
      </c>
      <c r="B65" t="s">
        <v>20</v>
      </c>
      <c r="C65" t="s">
        <v>83</v>
      </c>
      <c r="D65" s="1">
        <v>45658</v>
      </c>
      <c r="E65" s="1">
        <v>45870</v>
      </c>
      <c r="F65">
        <v>1</v>
      </c>
      <c r="G65">
        <v>2</v>
      </c>
      <c r="H65" t="s">
        <v>22</v>
      </c>
      <c r="I65" t="s">
        <v>23</v>
      </c>
      <c r="J65" t="s">
        <v>24</v>
      </c>
      <c r="K65" t="s">
        <v>48</v>
      </c>
      <c r="L65">
        <v>1</v>
      </c>
      <c r="M65">
        <v>92.54</v>
      </c>
      <c r="N65">
        <v>59.76</v>
      </c>
      <c r="O65">
        <v>0.75</v>
      </c>
      <c r="P65">
        <v>44.82</v>
      </c>
      <c r="Q65" t="s">
        <v>59</v>
      </c>
      <c r="R65">
        <v>-44.82</v>
      </c>
      <c r="S65">
        <v>0</v>
      </c>
    </row>
    <row r="66" spans="1:19" x14ac:dyDescent="0.25">
      <c r="A66" t="s">
        <v>84</v>
      </c>
      <c r="B66" t="s">
        <v>20</v>
      </c>
      <c r="C66" t="s">
        <v>85</v>
      </c>
      <c r="D66" s="1">
        <v>45666</v>
      </c>
      <c r="E66" s="1">
        <v>45878</v>
      </c>
      <c r="F66">
        <v>1</v>
      </c>
      <c r="G66">
        <v>10</v>
      </c>
      <c r="H66" t="s">
        <v>22</v>
      </c>
      <c r="I66" t="s">
        <v>23</v>
      </c>
      <c r="J66" t="s">
        <v>24</v>
      </c>
      <c r="K66" t="s">
        <v>48</v>
      </c>
      <c r="L66">
        <v>1</v>
      </c>
      <c r="M66">
        <v>74.16</v>
      </c>
      <c r="N66">
        <v>45.74</v>
      </c>
      <c r="O66">
        <v>0.75</v>
      </c>
      <c r="P66">
        <v>34.31</v>
      </c>
      <c r="Q66" t="s">
        <v>59</v>
      </c>
      <c r="R66">
        <v>-34.31</v>
      </c>
      <c r="S66">
        <v>0</v>
      </c>
    </row>
    <row r="67" spans="1:19" x14ac:dyDescent="0.25">
      <c r="A67" t="s">
        <v>84</v>
      </c>
      <c r="B67" t="s">
        <v>20</v>
      </c>
      <c r="C67" t="s">
        <v>85</v>
      </c>
      <c r="D67" s="1">
        <v>45666</v>
      </c>
      <c r="E67" s="1">
        <v>45878</v>
      </c>
      <c r="F67">
        <v>1</v>
      </c>
      <c r="G67">
        <v>10</v>
      </c>
      <c r="H67" t="s">
        <v>22</v>
      </c>
      <c r="I67" t="s">
        <v>23</v>
      </c>
      <c r="J67" t="s">
        <v>24</v>
      </c>
      <c r="K67" t="s">
        <v>49</v>
      </c>
      <c r="L67">
        <v>1</v>
      </c>
      <c r="M67">
        <v>0</v>
      </c>
      <c r="N67">
        <v>3.08</v>
      </c>
      <c r="O67">
        <v>0.75</v>
      </c>
      <c r="P67">
        <v>2.31</v>
      </c>
      <c r="Q67" t="s">
        <v>59</v>
      </c>
      <c r="R67">
        <v>-2.31</v>
      </c>
      <c r="S67">
        <v>0</v>
      </c>
    </row>
    <row r="68" spans="1:19" x14ac:dyDescent="0.25">
      <c r="A68" t="s">
        <v>84</v>
      </c>
      <c r="B68" t="s">
        <v>20</v>
      </c>
      <c r="C68" t="s">
        <v>85</v>
      </c>
      <c r="D68" s="1">
        <v>45666</v>
      </c>
      <c r="E68" s="1">
        <v>45878</v>
      </c>
      <c r="F68">
        <v>1</v>
      </c>
      <c r="G68">
        <v>10</v>
      </c>
      <c r="H68" t="s">
        <v>22</v>
      </c>
      <c r="I68" t="s">
        <v>23</v>
      </c>
      <c r="J68" t="s">
        <v>24</v>
      </c>
      <c r="K68" t="s">
        <v>50</v>
      </c>
      <c r="L68">
        <v>1</v>
      </c>
      <c r="M68">
        <v>0</v>
      </c>
      <c r="N68">
        <v>7.42</v>
      </c>
      <c r="O68">
        <v>0.75</v>
      </c>
      <c r="P68">
        <v>5.57</v>
      </c>
      <c r="Q68" t="s">
        <v>59</v>
      </c>
      <c r="R68">
        <v>-5.57</v>
      </c>
      <c r="S68">
        <v>0</v>
      </c>
    </row>
    <row r="69" spans="1:19" x14ac:dyDescent="0.25">
      <c r="A69" t="s">
        <v>84</v>
      </c>
      <c r="B69" t="s">
        <v>20</v>
      </c>
      <c r="C69" t="s">
        <v>85</v>
      </c>
      <c r="D69" s="1">
        <v>45666</v>
      </c>
      <c r="E69" s="1">
        <v>45878</v>
      </c>
      <c r="F69">
        <v>1</v>
      </c>
      <c r="G69">
        <v>10</v>
      </c>
      <c r="H69" t="s">
        <v>22</v>
      </c>
      <c r="I69" t="s">
        <v>23</v>
      </c>
      <c r="J69" t="s">
        <v>24</v>
      </c>
      <c r="K69" t="s">
        <v>51</v>
      </c>
      <c r="L69">
        <v>1</v>
      </c>
      <c r="M69">
        <v>0</v>
      </c>
      <c r="N69">
        <v>16.25</v>
      </c>
      <c r="O69">
        <v>0.75</v>
      </c>
      <c r="P69">
        <v>12.19</v>
      </c>
      <c r="Q69" t="s">
        <v>59</v>
      </c>
      <c r="R69">
        <v>-12.19</v>
      </c>
      <c r="S69">
        <v>0</v>
      </c>
    </row>
    <row r="70" spans="1:19" x14ac:dyDescent="0.25">
      <c r="A70" t="s">
        <v>86</v>
      </c>
      <c r="B70" t="s">
        <v>20</v>
      </c>
      <c r="C70" t="s">
        <v>87</v>
      </c>
      <c r="D70" s="1">
        <v>45689</v>
      </c>
      <c r="E70" s="1">
        <v>45870</v>
      </c>
      <c r="F70">
        <v>1</v>
      </c>
      <c r="G70">
        <v>2</v>
      </c>
      <c r="H70" t="s">
        <v>22</v>
      </c>
      <c r="I70" t="s">
        <v>23</v>
      </c>
      <c r="J70" t="s">
        <v>24</v>
      </c>
      <c r="K70" t="s">
        <v>50</v>
      </c>
      <c r="L70">
        <v>1</v>
      </c>
      <c r="M70">
        <v>102.86</v>
      </c>
      <c r="N70">
        <v>8.6199999999999992</v>
      </c>
      <c r="O70">
        <v>0.75</v>
      </c>
      <c r="P70">
        <v>6.47</v>
      </c>
      <c r="Q70" t="s">
        <v>59</v>
      </c>
      <c r="R70">
        <v>-6.47</v>
      </c>
      <c r="S70">
        <v>0</v>
      </c>
    </row>
    <row r="71" spans="1:19" x14ac:dyDescent="0.25">
      <c r="A71" t="s">
        <v>86</v>
      </c>
      <c r="B71" t="s">
        <v>20</v>
      </c>
      <c r="C71" t="s">
        <v>87</v>
      </c>
      <c r="D71" s="1">
        <v>45689</v>
      </c>
      <c r="E71" s="1">
        <v>45870</v>
      </c>
      <c r="F71">
        <v>1</v>
      </c>
      <c r="G71">
        <v>2</v>
      </c>
      <c r="H71" t="s">
        <v>22</v>
      </c>
      <c r="I71" t="s">
        <v>23</v>
      </c>
      <c r="J71" t="s">
        <v>24</v>
      </c>
      <c r="K71" t="s">
        <v>48</v>
      </c>
      <c r="L71">
        <v>1</v>
      </c>
      <c r="M71">
        <v>102.86</v>
      </c>
      <c r="N71">
        <v>70.84</v>
      </c>
      <c r="O71">
        <v>0.75</v>
      </c>
      <c r="P71">
        <v>53.13</v>
      </c>
      <c r="Q71" t="s">
        <v>59</v>
      </c>
      <c r="R71">
        <v>-53.13</v>
      </c>
      <c r="S71">
        <v>0</v>
      </c>
    </row>
    <row r="72" spans="1:19" x14ac:dyDescent="0.25">
      <c r="A72" t="s">
        <v>86</v>
      </c>
      <c r="B72" t="s">
        <v>20</v>
      </c>
      <c r="C72" t="s">
        <v>87</v>
      </c>
      <c r="D72" s="1">
        <v>45689</v>
      </c>
      <c r="E72" s="1">
        <v>45870</v>
      </c>
      <c r="F72">
        <v>1</v>
      </c>
      <c r="G72">
        <v>2</v>
      </c>
      <c r="H72" t="s">
        <v>22</v>
      </c>
      <c r="I72" t="s">
        <v>23</v>
      </c>
      <c r="J72" t="s">
        <v>24</v>
      </c>
      <c r="K72" t="s">
        <v>51</v>
      </c>
      <c r="L72">
        <v>1</v>
      </c>
      <c r="M72">
        <v>102.86</v>
      </c>
      <c r="N72">
        <v>16.899999999999999</v>
      </c>
      <c r="O72">
        <v>0.75</v>
      </c>
      <c r="P72">
        <v>12.68</v>
      </c>
      <c r="Q72" t="s">
        <v>59</v>
      </c>
      <c r="R72">
        <v>-12.68</v>
      </c>
      <c r="S72">
        <v>0</v>
      </c>
    </row>
    <row r="73" spans="1:19" x14ac:dyDescent="0.25">
      <c r="A73" t="s">
        <v>86</v>
      </c>
      <c r="B73" t="s">
        <v>20</v>
      </c>
      <c r="C73" t="s">
        <v>87</v>
      </c>
      <c r="D73" s="1">
        <v>45689</v>
      </c>
      <c r="E73" s="1">
        <v>45870</v>
      </c>
      <c r="F73">
        <v>1</v>
      </c>
      <c r="G73">
        <v>2</v>
      </c>
      <c r="H73" t="s">
        <v>22</v>
      </c>
      <c r="I73" t="s">
        <v>23</v>
      </c>
      <c r="J73" t="s">
        <v>24</v>
      </c>
      <c r="K73" t="s">
        <v>49</v>
      </c>
      <c r="L73">
        <v>1</v>
      </c>
      <c r="M73">
        <v>102.86</v>
      </c>
      <c r="N73">
        <v>4.83</v>
      </c>
      <c r="O73">
        <v>0.75</v>
      </c>
      <c r="P73">
        <v>3.62</v>
      </c>
      <c r="Q73" t="s">
        <v>59</v>
      </c>
      <c r="R73">
        <v>-3.62</v>
      </c>
      <c r="S73">
        <v>0</v>
      </c>
    </row>
    <row r="74" spans="1:19" x14ac:dyDescent="0.25">
      <c r="A74" t="s">
        <v>88</v>
      </c>
      <c r="B74" t="s">
        <v>20</v>
      </c>
      <c r="C74" t="s">
        <v>89</v>
      </c>
      <c r="D74" s="1">
        <v>45689</v>
      </c>
      <c r="E74" s="1">
        <v>45870</v>
      </c>
      <c r="F74">
        <v>1</v>
      </c>
      <c r="G74">
        <v>2</v>
      </c>
      <c r="H74" t="s">
        <v>22</v>
      </c>
      <c r="I74" t="s">
        <v>23</v>
      </c>
      <c r="J74" t="s">
        <v>24</v>
      </c>
      <c r="K74" t="s">
        <v>51</v>
      </c>
      <c r="L74">
        <v>1</v>
      </c>
      <c r="M74">
        <v>105.9</v>
      </c>
      <c r="N74">
        <v>24.37</v>
      </c>
      <c r="O74">
        <v>0.75</v>
      </c>
      <c r="P74">
        <v>18.28</v>
      </c>
      <c r="Q74" t="s">
        <v>59</v>
      </c>
      <c r="R74">
        <v>-18.28</v>
      </c>
      <c r="S74">
        <v>0</v>
      </c>
    </row>
    <row r="75" spans="1:19" x14ac:dyDescent="0.25">
      <c r="A75" t="s">
        <v>88</v>
      </c>
      <c r="B75" t="s">
        <v>20</v>
      </c>
      <c r="C75" t="s">
        <v>89</v>
      </c>
      <c r="D75" s="1">
        <v>45689</v>
      </c>
      <c r="E75" s="1">
        <v>45870</v>
      </c>
      <c r="F75">
        <v>1</v>
      </c>
      <c r="G75">
        <v>2</v>
      </c>
      <c r="H75" t="s">
        <v>22</v>
      </c>
      <c r="I75" t="s">
        <v>23</v>
      </c>
      <c r="J75" t="s">
        <v>24</v>
      </c>
      <c r="K75" t="s">
        <v>48</v>
      </c>
      <c r="L75">
        <v>1</v>
      </c>
      <c r="M75">
        <v>105.9</v>
      </c>
      <c r="N75">
        <v>70.84</v>
      </c>
      <c r="O75">
        <v>0.75</v>
      </c>
      <c r="P75">
        <v>53.13</v>
      </c>
      <c r="Q75" t="s">
        <v>59</v>
      </c>
      <c r="R75">
        <v>-53.13</v>
      </c>
      <c r="S75">
        <v>0</v>
      </c>
    </row>
    <row r="76" spans="1:19" x14ac:dyDescent="0.25">
      <c r="A76" t="s">
        <v>88</v>
      </c>
      <c r="B76" t="s">
        <v>20</v>
      </c>
      <c r="C76" t="s">
        <v>89</v>
      </c>
      <c r="D76" s="1">
        <v>45689</v>
      </c>
      <c r="E76" s="1">
        <v>45870</v>
      </c>
      <c r="F76">
        <v>1</v>
      </c>
      <c r="G76">
        <v>2</v>
      </c>
      <c r="H76" t="s">
        <v>22</v>
      </c>
      <c r="I76" t="s">
        <v>23</v>
      </c>
      <c r="J76" t="s">
        <v>24</v>
      </c>
      <c r="K76" t="s">
        <v>49</v>
      </c>
      <c r="L76">
        <v>1</v>
      </c>
      <c r="M76">
        <v>105.9</v>
      </c>
      <c r="N76">
        <v>3.08</v>
      </c>
      <c r="O76">
        <v>0.75</v>
      </c>
      <c r="P76">
        <v>2.31</v>
      </c>
      <c r="Q76" t="s">
        <v>59</v>
      </c>
      <c r="R76">
        <v>-2.31</v>
      </c>
      <c r="S76">
        <v>0</v>
      </c>
    </row>
    <row r="77" spans="1:19" x14ac:dyDescent="0.25">
      <c r="A77" t="s">
        <v>88</v>
      </c>
      <c r="B77" t="s">
        <v>20</v>
      </c>
      <c r="C77" t="s">
        <v>89</v>
      </c>
      <c r="D77" s="1">
        <v>45689</v>
      </c>
      <c r="E77" s="1">
        <v>45870</v>
      </c>
      <c r="F77">
        <v>1</v>
      </c>
      <c r="G77">
        <v>2</v>
      </c>
      <c r="H77" t="s">
        <v>22</v>
      </c>
      <c r="I77" t="s">
        <v>23</v>
      </c>
      <c r="J77" t="s">
        <v>24</v>
      </c>
      <c r="K77" t="s">
        <v>50</v>
      </c>
      <c r="L77">
        <v>1</v>
      </c>
      <c r="M77">
        <v>105.9</v>
      </c>
      <c r="N77">
        <v>5.94</v>
      </c>
      <c r="O77">
        <v>0.75</v>
      </c>
      <c r="P77">
        <v>4.46</v>
      </c>
      <c r="Q77" t="s">
        <v>59</v>
      </c>
      <c r="R77">
        <v>-4.46</v>
      </c>
      <c r="S77">
        <v>0</v>
      </c>
    </row>
    <row r="78" spans="1:19" x14ac:dyDescent="0.25">
      <c r="A78" t="s">
        <v>90</v>
      </c>
      <c r="B78" t="s">
        <v>20</v>
      </c>
      <c r="C78" t="s">
        <v>91</v>
      </c>
      <c r="D78" s="1">
        <v>45778</v>
      </c>
      <c r="E78" s="1">
        <v>45870</v>
      </c>
      <c r="F78">
        <v>1</v>
      </c>
      <c r="G78">
        <v>2</v>
      </c>
      <c r="H78" t="s">
        <v>22</v>
      </c>
      <c r="I78" t="s">
        <v>23</v>
      </c>
      <c r="J78" t="s">
        <v>24</v>
      </c>
      <c r="K78" t="s">
        <v>50</v>
      </c>
      <c r="L78">
        <v>1</v>
      </c>
      <c r="M78">
        <v>64.12</v>
      </c>
      <c r="N78">
        <v>5.53</v>
      </c>
      <c r="O78">
        <v>0.75</v>
      </c>
      <c r="P78">
        <v>4.1500000000000004</v>
      </c>
      <c r="Q78" t="s">
        <v>40</v>
      </c>
      <c r="R78">
        <v>0</v>
      </c>
      <c r="S78">
        <v>4.1500000000000004</v>
      </c>
    </row>
    <row r="79" spans="1:19" x14ac:dyDescent="0.25">
      <c r="A79" t="s">
        <v>90</v>
      </c>
      <c r="B79" t="s">
        <v>20</v>
      </c>
      <c r="C79" t="s">
        <v>91</v>
      </c>
      <c r="D79" s="1">
        <v>45778</v>
      </c>
      <c r="E79" s="1">
        <v>45870</v>
      </c>
      <c r="F79">
        <v>1</v>
      </c>
      <c r="G79">
        <v>2</v>
      </c>
      <c r="H79" t="s">
        <v>22</v>
      </c>
      <c r="I79" t="s">
        <v>23</v>
      </c>
      <c r="J79" t="s">
        <v>24</v>
      </c>
      <c r="K79" t="s">
        <v>49</v>
      </c>
      <c r="L79">
        <v>1</v>
      </c>
      <c r="M79">
        <v>64.12</v>
      </c>
      <c r="N79">
        <v>3.08</v>
      </c>
      <c r="O79">
        <v>0.75</v>
      </c>
      <c r="P79">
        <v>2.31</v>
      </c>
      <c r="Q79" t="s">
        <v>40</v>
      </c>
      <c r="R79">
        <v>0</v>
      </c>
      <c r="S79">
        <v>2.31</v>
      </c>
    </row>
    <row r="80" spans="1:19" x14ac:dyDescent="0.25">
      <c r="A80" t="s">
        <v>90</v>
      </c>
      <c r="B80" t="s">
        <v>20</v>
      </c>
      <c r="C80" t="s">
        <v>91</v>
      </c>
      <c r="D80" s="1">
        <v>45778</v>
      </c>
      <c r="E80" s="1">
        <v>45870</v>
      </c>
      <c r="F80">
        <v>1</v>
      </c>
      <c r="G80">
        <v>2</v>
      </c>
      <c r="H80" t="s">
        <v>22</v>
      </c>
      <c r="I80" t="s">
        <v>23</v>
      </c>
      <c r="J80" t="s">
        <v>24</v>
      </c>
      <c r="K80" t="s">
        <v>48</v>
      </c>
      <c r="L80">
        <v>1</v>
      </c>
      <c r="M80">
        <v>64.12</v>
      </c>
      <c r="N80">
        <v>38.840000000000003</v>
      </c>
      <c r="O80">
        <v>0.75</v>
      </c>
      <c r="P80">
        <v>29.13</v>
      </c>
      <c r="Q80" t="s">
        <v>40</v>
      </c>
      <c r="R80">
        <v>0</v>
      </c>
      <c r="S80">
        <v>29.13</v>
      </c>
    </row>
    <row r="81" spans="1:19" x14ac:dyDescent="0.25">
      <c r="A81" t="s">
        <v>90</v>
      </c>
      <c r="B81" t="s">
        <v>20</v>
      </c>
      <c r="C81" t="s">
        <v>91</v>
      </c>
      <c r="D81" s="1">
        <v>45778</v>
      </c>
      <c r="E81" s="1">
        <v>45870</v>
      </c>
      <c r="F81">
        <v>1</v>
      </c>
      <c r="G81">
        <v>2</v>
      </c>
      <c r="H81" t="s">
        <v>22</v>
      </c>
      <c r="I81" t="s">
        <v>23</v>
      </c>
      <c r="J81" t="s">
        <v>24</v>
      </c>
      <c r="K81" t="s">
        <v>51</v>
      </c>
      <c r="L81">
        <v>1</v>
      </c>
      <c r="M81">
        <v>64.12</v>
      </c>
      <c r="N81">
        <v>15</v>
      </c>
      <c r="O81">
        <v>0.75</v>
      </c>
      <c r="P81">
        <v>11.25</v>
      </c>
      <c r="Q81" t="s">
        <v>40</v>
      </c>
      <c r="R81">
        <v>0</v>
      </c>
      <c r="S81">
        <v>11.25</v>
      </c>
    </row>
    <row r="82" spans="1:19" x14ac:dyDescent="0.25">
      <c r="A82" t="s">
        <v>92</v>
      </c>
      <c r="B82" t="s">
        <v>20</v>
      </c>
      <c r="C82" t="s">
        <v>93</v>
      </c>
      <c r="D82" s="1">
        <v>45778</v>
      </c>
      <c r="E82" s="1">
        <v>45870</v>
      </c>
      <c r="F82">
        <v>1</v>
      </c>
      <c r="G82">
        <v>2</v>
      </c>
      <c r="H82" t="s">
        <v>22</v>
      </c>
      <c r="I82" t="s">
        <v>23</v>
      </c>
      <c r="J82" t="s">
        <v>24</v>
      </c>
      <c r="K82" t="s">
        <v>75</v>
      </c>
      <c r="L82">
        <v>1</v>
      </c>
      <c r="M82">
        <v>50.43</v>
      </c>
      <c r="N82">
        <v>6.55</v>
      </c>
      <c r="O82">
        <v>0.65</v>
      </c>
      <c r="P82">
        <v>4.26</v>
      </c>
      <c r="Q82" t="s">
        <v>40</v>
      </c>
      <c r="R82">
        <v>0</v>
      </c>
      <c r="S82">
        <v>4.26</v>
      </c>
    </row>
    <row r="83" spans="1:19" x14ac:dyDescent="0.25">
      <c r="A83" t="s">
        <v>92</v>
      </c>
      <c r="B83" t="s">
        <v>20</v>
      </c>
      <c r="C83" t="s">
        <v>93</v>
      </c>
      <c r="D83" s="1">
        <v>45778</v>
      </c>
      <c r="E83" s="1">
        <v>45870</v>
      </c>
      <c r="F83">
        <v>1</v>
      </c>
      <c r="G83">
        <v>2</v>
      </c>
      <c r="H83" t="s">
        <v>22</v>
      </c>
      <c r="I83" t="s">
        <v>23</v>
      </c>
      <c r="J83" t="s">
        <v>24</v>
      </c>
      <c r="K83" t="s">
        <v>28</v>
      </c>
      <c r="L83">
        <v>1</v>
      </c>
      <c r="M83">
        <v>50.43</v>
      </c>
      <c r="N83">
        <v>1.68</v>
      </c>
      <c r="O83">
        <v>0.65</v>
      </c>
      <c r="P83">
        <v>1.0900000000000001</v>
      </c>
      <c r="Q83" t="s">
        <v>40</v>
      </c>
      <c r="R83">
        <v>0</v>
      </c>
      <c r="S83">
        <v>1.0900000000000001</v>
      </c>
    </row>
    <row r="84" spans="1:19" x14ac:dyDescent="0.25">
      <c r="A84" t="s">
        <v>92</v>
      </c>
      <c r="B84" t="s">
        <v>20</v>
      </c>
      <c r="C84" t="s">
        <v>93</v>
      </c>
      <c r="D84" s="1">
        <v>45778</v>
      </c>
      <c r="E84" s="1">
        <v>45870</v>
      </c>
      <c r="F84">
        <v>1</v>
      </c>
      <c r="G84">
        <v>2</v>
      </c>
      <c r="H84" t="s">
        <v>22</v>
      </c>
      <c r="I84" t="s">
        <v>23</v>
      </c>
      <c r="J84" t="s">
        <v>24</v>
      </c>
      <c r="K84" t="s">
        <v>77</v>
      </c>
      <c r="L84">
        <v>1</v>
      </c>
      <c r="M84">
        <v>50.43</v>
      </c>
      <c r="N84">
        <v>16.38</v>
      </c>
      <c r="O84">
        <v>0.65</v>
      </c>
      <c r="P84">
        <v>10.65</v>
      </c>
      <c r="Q84" t="s">
        <v>40</v>
      </c>
      <c r="R84">
        <v>0</v>
      </c>
      <c r="S84">
        <v>10.65</v>
      </c>
    </row>
    <row r="85" spans="1:19" x14ac:dyDescent="0.25">
      <c r="A85" t="s">
        <v>92</v>
      </c>
      <c r="B85" t="s">
        <v>20</v>
      </c>
      <c r="C85" t="s">
        <v>93</v>
      </c>
      <c r="D85" s="1">
        <v>45778</v>
      </c>
      <c r="E85" s="1">
        <v>45870</v>
      </c>
      <c r="F85">
        <v>1</v>
      </c>
      <c r="G85">
        <v>2</v>
      </c>
      <c r="H85" t="s">
        <v>22</v>
      </c>
      <c r="I85" t="s">
        <v>23</v>
      </c>
      <c r="J85" t="s">
        <v>24</v>
      </c>
      <c r="K85" t="s">
        <v>76</v>
      </c>
      <c r="L85">
        <v>1</v>
      </c>
      <c r="M85">
        <v>50.43</v>
      </c>
      <c r="N85">
        <v>0.97</v>
      </c>
      <c r="O85">
        <v>0.65</v>
      </c>
      <c r="P85">
        <v>0.63</v>
      </c>
      <c r="Q85" t="s">
        <v>40</v>
      </c>
      <c r="R85">
        <v>0</v>
      </c>
      <c r="S85">
        <v>0.63</v>
      </c>
    </row>
    <row r="86" spans="1:19" x14ac:dyDescent="0.25">
      <c r="A86" t="s">
        <v>92</v>
      </c>
      <c r="B86" t="s">
        <v>20</v>
      </c>
      <c r="C86" t="s">
        <v>93</v>
      </c>
      <c r="D86" s="1">
        <v>45778</v>
      </c>
      <c r="E86" s="1">
        <v>45870</v>
      </c>
      <c r="F86">
        <v>1</v>
      </c>
      <c r="G86">
        <v>2</v>
      </c>
      <c r="H86" t="s">
        <v>22</v>
      </c>
      <c r="I86" t="s">
        <v>23</v>
      </c>
      <c r="J86" t="s">
        <v>24</v>
      </c>
      <c r="K86" t="s">
        <v>27</v>
      </c>
      <c r="L86">
        <v>1</v>
      </c>
      <c r="M86">
        <v>50.43</v>
      </c>
      <c r="N86">
        <v>5.65</v>
      </c>
      <c r="O86">
        <v>0.65</v>
      </c>
      <c r="P86">
        <v>3.67</v>
      </c>
      <c r="Q86" t="s">
        <v>40</v>
      </c>
      <c r="R86">
        <v>0</v>
      </c>
      <c r="S86">
        <v>3.67</v>
      </c>
    </row>
    <row r="87" spans="1:19" x14ac:dyDescent="0.25">
      <c r="A87" t="s">
        <v>92</v>
      </c>
      <c r="B87" t="s">
        <v>20</v>
      </c>
      <c r="C87" t="s">
        <v>93</v>
      </c>
      <c r="D87" s="1">
        <v>45778</v>
      </c>
      <c r="E87" s="1">
        <v>45870</v>
      </c>
      <c r="F87">
        <v>1</v>
      </c>
      <c r="G87">
        <v>2</v>
      </c>
      <c r="H87" t="s">
        <v>22</v>
      </c>
      <c r="I87" t="s">
        <v>23</v>
      </c>
      <c r="J87" t="s">
        <v>24</v>
      </c>
      <c r="K87" t="s">
        <v>25</v>
      </c>
      <c r="L87">
        <v>1</v>
      </c>
      <c r="M87">
        <v>50.43</v>
      </c>
      <c r="N87">
        <v>19.2</v>
      </c>
      <c r="O87">
        <v>0.65</v>
      </c>
      <c r="P87">
        <v>12.48</v>
      </c>
      <c r="Q87" t="s">
        <v>40</v>
      </c>
      <c r="R87">
        <v>0</v>
      </c>
      <c r="S87">
        <v>12.48</v>
      </c>
    </row>
    <row r="88" spans="1:19" x14ac:dyDescent="0.25">
      <c r="A88" t="s">
        <v>94</v>
      </c>
      <c r="B88" t="s">
        <v>20</v>
      </c>
      <c r="C88" t="s">
        <v>95</v>
      </c>
      <c r="D88" s="1">
        <v>45783</v>
      </c>
      <c r="E88" s="1">
        <v>45875</v>
      </c>
      <c r="F88">
        <v>1</v>
      </c>
      <c r="G88">
        <v>3</v>
      </c>
      <c r="H88" t="s">
        <v>22</v>
      </c>
      <c r="I88" t="s">
        <v>23</v>
      </c>
      <c r="J88" t="s">
        <v>24</v>
      </c>
      <c r="K88" t="s">
        <v>49</v>
      </c>
      <c r="L88">
        <v>1</v>
      </c>
      <c r="M88">
        <v>105.9</v>
      </c>
      <c r="N88">
        <v>3.08</v>
      </c>
      <c r="O88">
        <v>0.75</v>
      </c>
      <c r="P88">
        <v>2.31</v>
      </c>
      <c r="Q88" t="s">
        <v>40</v>
      </c>
      <c r="R88">
        <v>0</v>
      </c>
      <c r="S88">
        <v>2.31</v>
      </c>
    </row>
    <row r="89" spans="1:19" x14ac:dyDescent="0.25">
      <c r="A89" t="s">
        <v>94</v>
      </c>
      <c r="B89" t="s">
        <v>20</v>
      </c>
      <c r="C89" t="s">
        <v>95</v>
      </c>
      <c r="D89" s="1">
        <v>45783</v>
      </c>
      <c r="E89" s="1">
        <v>45875</v>
      </c>
      <c r="F89">
        <v>1</v>
      </c>
      <c r="G89">
        <v>3</v>
      </c>
      <c r="H89" t="s">
        <v>22</v>
      </c>
      <c r="I89" t="s">
        <v>23</v>
      </c>
      <c r="J89" t="s">
        <v>24</v>
      </c>
      <c r="K89" t="s">
        <v>51</v>
      </c>
      <c r="L89">
        <v>1</v>
      </c>
      <c r="M89">
        <v>105.9</v>
      </c>
      <c r="N89">
        <v>24.37</v>
      </c>
      <c r="O89">
        <v>0.75</v>
      </c>
      <c r="P89">
        <v>18.28</v>
      </c>
      <c r="Q89" t="s">
        <v>40</v>
      </c>
      <c r="R89">
        <v>0</v>
      </c>
      <c r="S89">
        <v>18.28</v>
      </c>
    </row>
    <row r="90" spans="1:19" x14ac:dyDescent="0.25">
      <c r="A90" t="s">
        <v>94</v>
      </c>
      <c r="B90" t="s">
        <v>20</v>
      </c>
      <c r="C90" t="s">
        <v>95</v>
      </c>
      <c r="D90" s="1">
        <v>45783</v>
      </c>
      <c r="E90" s="1">
        <v>45875</v>
      </c>
      <c r="F90">
        <v>1</v>
      </c>
      <c r="G90">
        <v>3</v>
      </c>
      <c r="H90" t="s">
        <v>22</v>
      </c>
      <c r="I90" t="s">
        <v>23</v>
      </c>
      <c r="J90" t="s">
        <v>24</v>
      </c>
      <c r="K90" t="s">
        <v>48</v>
      </c>
      <c r="L90">
        <v>1</v>
      </c>
      <c r="M90">
        <v>105.9</v>
      </c>
      <c r="N90">
        <v>70.84</v>
      </c>
      <c r="O90">
        <v>0.75</v>
      </c>
      <c r="P90">
        <v>53.13</v>
      </c>
      <c r="Q90" t="s">
        <v>40</v>
      </c>
      <c r="R90">
        <v>0</v>
      </c>
      <c r="S90">
        <v>53.13</v>
      </c>
    </row>
    <row r="91" spans="1:19" x14ac:dyDescent="0.25">
      <c r="A91" t="s">
        <v>94</v>
      </c>
      <c r="B91" t="s">
        <v>20</v>
      </c>
      <c r="C91" t="s">
        <v>95</v>
      </c>
      <c r="D91" s="1">
        <v>45783</v>
      </c>
      <c r="E91" s="1">
        <v>45875</v>
      </c>
      <c r="F91">
        <v>1</v>
      </c>
      <c r="G91">
        <v>3</v>
      </c>
      <c r="H91" t="s">
        <v>22</v>
      </c>
      <c r="I91" t="s">
        <v>23</v>
      </c>
      <c r="J91" t="s">
        <v>24</v>
      </c>
      <c r="K91" t="s">
        <v>50</v>
      </c>
      <c r="L91">
        <v>1</v>
      </c>
      <c r="M91">
        <v>105.9</v>
      </c>
      <c r="N91">
        <v>5.94</v>
      </c>
      <c r="O91">
        <v>0.75</v>
      </c>
      <c r="P91">
        <v>4.46</v>
      </c>
      <c r="Q91" t="s">
        <v>40</v>
      </c>
      <c r="R91">
        <v>0</v>
      </c>
      <c r="S91">
        <v>4.46</v>
      </c>
    </row>
    <row r="92" spans="1:19" x14ac:dyDescent="0.25">
      <c r="A92" t="s">
        <v>96</v>
      </c>
      <c r="B92" t="s">
        <v>20</v>
      </c>
      <c r="C92" t="s">
        <v>97</v>
      </c>
      <c r="D92" s="1">
        <v>45785</v>
      </c>
      <c r="E92" s="1">
        <v>45877</v>
      </c>
      <c r="F92">
        <v>1</v>
      </c>
      <c r="G92">
        <v>8</v>
      </c>
      <c r="H92" t="s">
        <v>22</v>
      </c>
      <c r="I92" t="s">
        <v>23</v>
      </c>
      <c r="J92" t="s">
        <v>24</v>
      </c>
      <c r="K92" t="s">
        <v>50</v>
      </c>
      <c r="L92">
        <v>1</v>
      </c>
      <c r="M92">
        <v>145.01</v>
      </c>
      <c r="N92">
        <v>11.4</v>
      </c>
      <c r="O92">
        <v>0.75</v>
      </c>
      <c r="P92">
        <v>8.5500000000000007</v>
      </c>
      <c r="Q92" t="s">
        <v>40</v>
      </c>
      <c r="R92">
        <v>0</v>
      </c>
      <c r="S92">
        <v>8.5500000000000007</v>
      </c>
    </row>
    <row r="93" spans="1:19" x14ac:dyDescent="0.25">
      <c r="A93" t="s">
        <v>96</v>
      </c>
      <c r="B93" t="s">
        <v>20</v>
      </c>
      <c r="C93" t="s">
        <v>97</v>
      </c>
      <c r="D93" s="1">
        <v>45785</v>
      </c>
      <c r="E93" s="1">
        <v>45877</v>
      </c>
      <c r="F93">
        <v>1</v>
      </c>
      <c r="G93">
        <v>8</v>
      </c>
      <c r="H93" t="s">
        <v>22</v>
      </c>
      <c r="I93" t="s">
        <v>23</v>
      </c>
      <c r="J93" t="s">
        <v>24</v>
      </c>
      <c r="K93" t="s">
        <v>48</v>
      </c>
      <c r="L93">
        <v>1</v>
      </c>
      <c r="M93">
        <v>145.01</v>
      </c>
      <c r="N93">
        <v>97.76</v>
      </c>
      <c r="O93">
        <v>0.75</v>
      </c>
      <c r="P93">
        <v>73.319999999999993</v>
      </c>
      <c r="Q93" t="s">
        <v>40</v>
      </c>
      <c r="R93">
        <v>0</v>
      </c>
      <c r="S93">
        <v>73.319999999999993</v>
      </c>
    </row>
    <row r="94" spans="1:19" x14ac:dyDescent="0.25">
      <c r="A94" t="s">
        <v>96</v>
      </c>
      <c r="B94" t="s">
        <v>20</v>
      </c>
      <c r="C94" t="s">
        <v>97</v>
      </c>
      <c r="D94" s="1">
        <v>45785</v>
      </c>
      <c r="E94" s="1">
        <v>45877</v>
      </c>
      <c r="F94">
        <v>1</v>
      </c>
      <c r="G94">
        <v>8</v>
      </c>
      <c r="H94" t="s">
        <v>22</v>
      </c>
      <c r="I94" t="s">
        <v>23</v>
      </c>
      <c r="J94" t="s">
        <v>24</v>
      </c>
      <c r="K94" t="s">
        <v>51</v>
      </c>
      <c r="L94">
        <v>1</v>
      </c>
      <c r="M94">
        <v>145.01</v>
      </c>
      <c r="N94">
        <v>29.35</v>
      </c>
      <c r="O94">
        <v>0.75</v>
      </c>
      <c r="P94">
        <v>22.01</v>
      </c>
      <c r="Q94" t="s">
        <v>40</v>
      </c>
      <c r="R94">
        <v>0</v>
      </c>
      <c r="S94">
        <v>22.01</v>
      </c>
    </row>
    <row r="95" spans="1:19" x14ac:dyDescent="0.25">
      <c r="A95" t="s">
        <v>96</v>
      </c>
      <c r="B95" t="s">
        <v>20</v>
      </c>
      <c r="C95" t="s">
        <v>97</v>
      </c>
      <c r="D95" s="1">
        <v>45785</v>
      </c>
      <c r="E95" s="1">
        <v>45877</v>
      </c>
      <c r="F95">
        <v>1</v>
      </c>
      <c r="G95">
        <v>8</v>
      </c>
      <c r="H95" t="s">
        <v>22</v>
      </c>
      <c r="I95" t="s">
        <v>23</v>
      </c>
      <c r="J95" t="s">
        <v>24</v>
      </c>
      <c r="K95" t="s">
        <v>49</v>
      </c>
      <c r="L95">
        <v>1</v>
      </c>
      <c r="M95">
        <v>145.01</v>
      </c>
      <c r="N95">
        <v>4.83</v>
      </c>
      <c r="O95">
        <v>0.75</v>
      </c>
      <c r="P95">
        <v>3.62</v>
      </c>
      <c r="Q95" t="s">
        <v>40</v>
      </c>
      <c r="R95">
        <v>0</v>
      </c>
      <c r="S95">
        <v>3.62</v>
      </c>
    </row>
    <row r="96" spans="1:19" x14ac:dyDescent="0.25">
      <c r="A96" t="s">
        <v>98</v>
      </c>
      <c r="B96" t="s">
        <v>20</v>
      </c>
      <c r="C96" t="s">
        <v>99</v>
      </c>
      <c r="D96" s="1">
        <v>45785</v>
      </c>
      <c r="E96" s="1">
        <v>45877</v>
      </c>
      <c r="F96">
        <v>1</v>
      </c>
      <c r="G96">
        <v>8</v>
      </c>
      <c r="H96" t="s">
        <v>22</v>
      </c>
      <c r="I96" t="s">
        <v>23</v>
      </c>
      <c r="J96" t="s">
        <v>24</v>
      </c>
      <c r="K96" t="s">
        <v>51</v>
      </c>
      <c r="L96">
        <v>1</v>
      </c>
      <c r="M96">
        <v>92.54</v>
      </c>
      <c r="N96">
        <v>22.5</v>
      </c>
      <c r="O96">
        <v>0.75</v>
      </c>
      <c r="P96">
        <v>16.88</v>
      </c>
      <c r="Q96" t="s">
        <v>40</v>
      </c>
      <c r="R96">
        <v>0</v>
      </c>
      <c r="S96">
        <v>16.88</v>
      </c>
    </row>
    <row r="97" spans="1:19" x14ac:dyDescent="0.25">
      <c r="A97" t="s">
        <v>98</v>
      </c>
      <c r="B97" t="s">
        <v>20</v>
      </c>
      <c r="C97" t="s">
        <v>99</v>
      </c>
      <c r="D97" s="1">
        <v>45785</v>
      </c>
      <c r="E97" s="1">
        <v>45877</v>
      </c>
      <c r="F97">
        <v>1</v>
      </c>
      <c r="G97">
        <v>8</v>
      </c>
      <c r="H97" t="s">
        <v>22</v>
      </c>
      <c r="I97" t="s">
        <v>23</v>
      </c>
      <c r="J97" t="s">
        <v>24</v>
      </c>
      <c r="K97" t="s">
        <v>50</v>
      </c>
      <c r="L97">
        <v>1</v>
      </c>
      <c r="M97">
        <v>92.54</v>
      </c>
      <c r="N97">
        <v>5.53</v>
      </c>
      <c r="O97">
        <v>0.75</v>
      </c>
      <c r="P97">
        <v>4.1500000000000004</v>
      </c>
      <c r="Q97" t="s">
        <v>40</v>
      </c>
      <c r="R97">
        <v>0</v>
      </c>
      <c r="S97">
        <v>4.1500000000000004</v>
      </c>
    </row>
    <row r="98" spans="1:19" x14ac:dyDescent="0.25">
      <c r="A98" t="s">
        <v>98</v>
      </c>
      <c r="B98" t="s">
        <v>20</v>
      </c>
      <c r="C98" t="s">
        <v>99</v>
      </c>
      <c r="D98" s="1">
        <v>45785</v>
      </c>
      <c r="E98" s="1">
        <v>45877</v>
      </c>
      <c r="F98">
        <v>1</v>
      </c>
      <c r="G98">
        <v>8</v>
      </c>
      <c r="H98" t="s">
        <v>22</v>
      </c>
      <c r="I98" t="s">
        <v>23</v>
      </c>
      <c r="J98" t="s">
        <v>24</v>
      </c>
      <c r="K98" t="s">
        <v>48</v>
      </c>
      <c r="L98">
        <v>1</v>
      </c>
      <c r="M98">
        <v>92.54</v>
      </c>
      <c r="N98">
        <v>59.76</v>
      </c>
      <c r="O98">
        <v>0.75</v>
      </c>
      <c r="P98">
        <v>44.82</v>
      </c>
      <c r="Q98" t="s">
        <v>40</v>
      </c>
      <c r="R98">
        <v>0</v>
      </c>
      <c r="S98">
        <v>44.82</v>
      </c>
    </row>
    <row r="99" spans="1:19" x14ac:dyDescent="0.25">
      <c r="A99" t="s">
        <v>98</v>
      </c>
      <c r="B99" t="s">
        <v>20</v>
      </c>
      <c r="C99" t="s">
        <v>99</v>
      </c>
      <c r="D99" s="1">
        <v>45785</v>
      </c>
      <c r="E99" s="1">
        <v>45877</v>
      </c>
      <c r="F99">
        <v>1</v>
      </c>
      <c r="G99">
        <v>8</v>
      </c>
      <c r="H99" t="s">
        <v>22</v>
      </c>
      <c r="I99" t="s">
        <v>23</v>
      </c>
      <c r="J99" t="s">
        <v>24</v>
      </c>
      <c r="K99" t="s">
        <v>49</v>
      </c>
      <c r="L99">
        <v>1</v>
      </c>
      <c r="M99">
        <v>92.54</v>
      </c>
      <c r="N99">
        <v>3.08</v>
      </c>
      <c r="O99">
        <v>0.75</v>
      </c>
      <c r="P99">
        <v>2.31</v>
      </c>
      <c r="Q99" t="s">
        <v>40</v>
      </c>
      <c r="R99">
        <v>0</v>
      </c>
      <c r="S99">
        <v>2.31</v>
      </c>
    </row>
    <row r="100" spans="1:19" x14ac:dyDescent="0.25">
      <c r="A100" t="s">
        <v>100</v>
      </c>
      <c r="B100" t="s">
        <v>30</v>
      </c>
      <c r="C100" t="s">
        <v>101</v>
      </c>
      <c r="D100" s="1">
        <v>45597</v>
      </c>
      <c r="E100" s="1">
        <v>45870</v>
      </c>
      <c r="F100">
        <v>1</v>
      </c>
      <c r="G100">
        <v>2</v>
      </c>
      <c r="H100" t="s">
        <v>102</v>
      </c>
      <c r="I100" t="s">
        <v>103</v>
      </c>
      <c r="J100" t="s">
        <v>104</v>
      </c>
      <c r="K100" t="s">
        <v>25</v>
      </c>
      <c r="L100">
        <v>1</v>
      </c>
      <c r="M100">
        <v>68.61</v>
      </c>
      <c r="N100">
        <v>21.06</v>
      </c>
      <c r="O100">
        <v>0.65</v>
      </c>
      <c r="P100">
        <v>13.69</v>
      </c>
      <c r="Q100" t="s">
        <v>59</v>
      </c>
      <c r="R100">
        <v>-13.64</v>
      </c>
      <c r="S100">
        <v>0.05</v>
      </c>
    </row>
    <row r="101" spans="1:19" x14ac:dyDescent="0.25">
      <c r="A101" t="s">
        <v>100</v>
      </c>
      <c r="B101" t="s">
        <v>30</v>
      </c>
      <c r="C101" t="s">
        <v>101</v>
      </c>
      <c r="D101" s="1">
        <v>45597</v>
      </c>
      <c r="E101" s="1">
        <v>45870</v>
      </c>
      <c r="F101">
        <v>1</v>
      </c>
      <c r="G101">
        <v>2</v>
      </c>
      <c r="H101" t="s">
        <v>102</v>
      </c>
      <c r="I101" t="s">
        <v>103</v>
      </c>
      <c r="J101" t="s">
        <v>104</v>
      </c>
      <c r="K101" t="s">
        <v>27</v>
      </c>
      <c r="L101">
        <v>1</v>
      </c>
      <c r="M101">
        <v>68.61</v>
      </c>
      <c r="N101">
        <v>6.22</v>
      </c>
      <c r="O101">
        <v>0.65</v>
      </c>
      <c r="P101">
        <v>4.04</v>
      </c>
      <c r="Q101" t="s">
        <v>59</v>
      </c>
      <c r="R101">
        <v>-4.04</v>
      </c>
      <c r="S101">
        <v>0</v>
      </c>
    </row>
    <row r="102" spans="1:19" x14ac:dyDescent="0.25">
      <c r="A102" t="s">
        <v>100</v>
      </c>
      <c r="B102" t="s">
        <v>30</v>
      </c>
      <c r="C102" t="s">
        <v>101</v>
      </c>
      <c r="D102" s="1">
        <v>45597</v>
      </c>
      <c r="E102" s="1">
        <v>45870</v>
      </c>
      <c r="F102">
        <v>1</v>
      </c>
      <c r="G102">
        <v>2</v>
      </c>
      <c r="H102" t="s">
        <v>102</v>
      </c>
      <c r="I102" t="s">
        <v>103</v>
      </c>
      <c r="J102" t="s">
        <v>104</v>
      </c>
      <c r="K102" t="s">
        <v>28</v>
      </c>
      <c r="L102">
        <v>1</v>
      </c>
      <c r="M102">
        <v>68.61</v>
      </c>
      <c r="N102">
        <v>1.68</v>
      </c>
      <c r="O102">
        <v>0.65</v>
      </c>
      <c r="P102">
        <v>1.0900000000000001</v>
      </c>
      <c r="Q102" t="s">
        <v>59</v>
      </c>
      <c r="R102">
        <v>-1.0900000000000001</v>
      </c>
      <c r="S102">
        <v>0</v>
      </c>
    </row>
    <row r="103" spans="1:19" x14ac:dyDescent="0.25">
      <c r="A103" t="s">
        <v>100</v>
      </c>
      <c r="B103" t="s">
        <v>30</v>
      </c>
      <c r="C103" t="s">
        <v>101</v>
      </c>
      <c r="D103" s="1">
        <v>45597</v>
      </c>
      <c r="E103" s="1">
        <v>45870</v>
      </c>
      <c r="F103">
        <v>1</v>
      </c>
      <c r="G103">
        <v>2</v>
      </c>
      <c r="H103" t="s">
        <v>102</v>
      </c>
      <c r="I103" t="s">
        <v>103</v>
      </c>
      <c r="J103" t="s">
        <v>104</v>
      </c>
      <c r="K103" t="s">
        <v>34</v>
      </c>
      <c r="L103">
        <v>1</v>
      </c>
      <c r="M103">
        <v>68.61</v>
      </c>
      <c r="N103">
        <v>13.58</v>
      </c>
      <c r="O103">
        <v>0.65</v>
      </c>
      <c r="P103">
        <v>8.83</v>
      </c>
      <c r="Q103" t="s">
        <v>59</v>
      </c>
      <c r="R103">
        <v>-8.83</v>
      </c>
      <c r="S103">
        <v>0</v>
      </c>
    </row>
    <row r="104" spans="1:19" x14ac:dyDescent="0.25">
      <c r="A104" t="s">
        <v>100</v>
      </c>
      <c r="B104" t="s">
        <v>30</v>
      </c>
      <c r="C104" t="s">
        <v>101</v>
      </c>
      <c r="D104" s="1">
        <v>45597</v>
      </c>
      <c r="E104" s="1">
        <v>45870</v>
      </c>
      <c r="F104">
        <v>1</v>
      </c>
      <c r="G104">
        <v>2</v>
      </c>
      <c r="H104" t="s">
        <v>102</v>
      </c>
      <c r="I104" t="s">
        <v>103</v>
      </c>
      <c r="J104" t="s">
        <v>104</v>
      </c>
      <c r="K104" t="s">
        <v>105</v>
      </c>
      <c r="L104">
        <v>1</v>
      </c>
      <c r="M104">
        <v>68.61</v>
      </c>
      <c r="N104">
        <v>2.92</v>
      </c>
      <c r="O104">
        <v>0.65</v>
      </c>
      <c r="P104">
        <v>1.9</v>
      </c>
      <c r="Q104" t="s">
        <v>59</v>
      </c>
      <c r="R104">
        <v>-1.9</v>
      </c>
      <c r="S104">
        <v>0</v>
      </c>
    </row>
    <row r="105" spans="1:19" x14ac:dyDescent="0.25">
      <c r="A105" t="s">
        <v>100</v>
      </c>
      <c r="B105" t="s">
        <v>30</v>
      </c>
      <c r="C105" t="s">
        <v>101</v>
      </c>
      <c r="D105" s="1">
        <v>45597</v>
      </c>
      <c r="E105" s="1">
        <v>45870</v>
      </c>
      <c r="F105">
        <v>1</v>
      </c>
      <c r="G105">
        <v>2</v>
      </c>
      <c r="H105" t="s">
        <v>102</v>
      </c>
      <c r="I105" t="s">
        <v>103</v>
      </c>
      <c r="J105" t="s">
        <v>104</v>
      </c>
      <c r="K105" t="s">
        <v>106</v>
      </c>
      <c r="L105">
        <v>1</v>
      </c>
      <c r="M105">
        <v>68.61</v>
      </c>
      <c r="N105">
        <v>23.15</v>
      </c>
      <c r="O105">
        <v>0.65</v>
      </c>
      <c r="P105">
        <v>15.05</v>
      </c>
      <c r="Q105" t="s">
        <v>59</v>
      </c>
      <c r="R105">
        <v>-15.05</v>
      </c>
      <c r="S105">
        <v>0</v>
      </c>
    </row>
    <row r="106" spans="1:19" x14ac:dyDescent="0.25">
      <c r="A106" t="s">
        <v>107</v>
      </c>
      <c r="B106" t="s">
        <v>30</v>
      </c>
      <c r="C106" t="s">
        <v>108</v>
      </c>
      <c r="D106" s="1">
        <v>45627</v>
      </c>
      <c r="E106" s="1">
        <v>45870</v>
      </c>
      <c r="F106">
        <v>1</v>
      </c>
      <c r="G106">
        <v>2</v>
      </c>
      <c r="H106" t="s">
        <v>102</v>
      </c>
      <c r="I106" t="s">
        <v>103</v>
      </c>
      <c r="J106" t="s">
        <v>104</v>
      </c>
      <c r="K106" t="s">
        <v>41</v>
      </c>
      <c r="L106">
        <v>1</v>
      </c>
      <c r="M106">
        <v>47.85</v>
      </c>
      <c r="N106">
        <v>14.07</v>
      </c>
      <c r="O106">
        <v>0.65</v>
      </c>
      <c r="P106">
        <v>9.15</v>
      </c>
      <c r="Q106" t="s">
        <v>59</v>
      </c>
      <c r="R106">
        <v>-9.15</v>
      </c>
      <c r="S106">
        <v>0</v>
      </c>
    </row>
    <row r="107" spans="1:19" x14ac:dyDescent="0.25">
      <c r="A107" t="s">
        <v>107</v>
      </c>
      <c r="B107" t="s">
        <v>30</v>
      </c>
      <c r="C107" t="s">
        <v>108</v>
      </c>
      <c r="D107" s="1">
        <v>45627</v>
      </c>
      <c r="E107" s="1">
        <v>45870</v>
      </c>
      <c r="F107">
        <v>1</v>
      </c>
      <c r="G107">
        <v>2</v>
      </c>
      <c r="H107" t="s">
        <v>102</v>
      </c>
      <c r="I107" t="s">
        <v>103</v>
      </c>
      <c r="J107" t="s">
        <v>104</v>
      </c>
      <c r="K107" t="s">
        <v>28</v>
      </c>
      <c r="L107">
        <v>1</v>
      </c>
      <c r="M107">
        <v>47.85</v>
      </c>
      <c r="N107">
        <v>1.68</v>
      </c>
      <c r="O107">
        <v>0.65</v>
      </c>
      <c r="P107">
        <v>1.0900000000000001</v>
      </c>
      <c r="Q107" t="s">
        <v>59</v>
      </c>
      <c r="R107">
        <v>-1.0900000000000001</v>
      </c>
      <c r="S107">
        <v>0</v>
      </c>
    </row>
    <row r="108" spans="1:19" x14ac:dyDescent="0.25">
      <c r="A108" t="s">
        <v>107</v>
      </c>
      <c r="B108" t="s">
        <v>30</v>
      </c>
      <c r="C108" t="s">
        <v>108</v>
      </c>
      <c r="D108" s="1">
        <v>45627</v>
      </c>
      <c r="E108" s="1">
        <v>45870</v>
      </c>
      <c r="F108">
        <v>1</v>
      </c>
      <c r="G108">
        <v>2</v>
      </c>
      <c r="H108" t="s">
        <v>102</v>
      </c>
      <c r="I108" t="s">
        <v>103</v>
      </c>
      <c r="J108" t="s">
        <v>104</v>
      </c>
      <c r="K108" t="s">
        <v>25</v>
      </c>
      <c r="L108">
        <v>1</v>
      </c>
      <c r="M108">
        <v>47.85</v>
      </c>
      <c r="N108">
        <v>19.18</v>
      </c>
      <c r="O108">
        <v>0.65</v>
      </c>
      <c r="P108">
        <v>12.47</v>
      </c>
      <c r="Q108" t="s">
        <v>59</v>
      </c>
      <c r="R108">
        <v>-12.47</v>
      </c>
      <c r="S108">
        <v>0</v>
      </c>
    </row>
    <row r="109" spans="1:19" x14ac:dyDescent="0.25">
      <c r="A109" t="s">
        <v>107</v>
      </c>
      <c r="B109" t="s">
        <v>30</v>
      </c>
      <c r="C109" t="s">
        <v>108</v>
      </c>
      <c r="D109" s="1">
        <v>45627</v>
      </c>
      <c r="E109" s="1">
        <v>45870</v>
      </c>
      <c r="F109">
        <v>1</v>
      </c>
      <c r="G109">
        <v>2</v>
      </c>
      <c r="H109" t="s">
        <v>102</v>
      </c>
      <c r="I109" t="s">
        <v>103</v>
      </c>
      <c r="J109" t="s">
        <v>104</v>
      </c>
      <c r="K109" t="s">
        <v>42</v>
      </c>
      <c r="L109">
        <v>1</v>
      </c>
      <c r="M109">
        <v>47.85</v>
      </c>
      <c r="N109">
        <v>3.3</v>
      </c>
      <c r="O109">
        <v>0.65</v>
      </c>
      <c r="P109">
        <v>2.15</v>
      </c>
      <c r="Q109" t="s">
        <v>59</v>
      </c>
      <c r="R109">
        <v>-2.15</v>
      </c>
      <c r="S109">
        <v>0</v>
      </c>
    </row>
    <row r="110" spans="1:19" x14ac:dyDescent="0.25">
      <c r="A110" t="s">
        <v>107</v>
      </c>
      <c r="B110" t="s">
        <v>30</v>
      </c>
      <c r="C110" t="s">
        <v>108</v>
      </c>
      <c r="D110" s="1">
        <v>45627</v>
      </c>
      <c r="E110" s="1">
        <v>45870</v>
      </c>
      <c r="F110">
        <v>1</v>
      </c>
      <c r="G110">
        <v>2</v>
      </c>
      <c r="H110" t="s">
        <v>102</v>
      </c>
      <c r="I110" t="s">
        <v>103</v>
      </c>
      <c r="J110" t="s">
        <v>104</v>
      </c>
      <c r="K110" t="s">
        <v>34</v>
      </c>
      <c r="L110">
        <v>1</v>
      </c>
      <c r="M110">
        <v>47.85</v>
      </c>
      <c r="N110">
        <v>9.6199999999999992</v>
      </c>
      <c r="O110">
        <v>0.65</v>
      </c>
      <c r="P110">
        <v>6.25</v>
      </c>
      <c r="Q110" t="s">
        <v>59</v>
      </c>
      <c r="R110">
        <v>-6.25</v>
      </c>
      <c r="S110">
        <v>0</v>
      </c>
    </row>
    <row r="111" spans="1:19" x14ac:dyDescent="0.25">
      <c r="A111" t="s">
        <v>109</v>
      </c>
      <c r="B111" t="s">
        <v>30</v>
      </c>
      <c r="C111" t="s">
        <v>110</v>
      </c>
      <c r="D111" s="1">
        <v>45627</v>
      </c>
      <c r="E111" s="1">
        <v>45870</v>
      </c>
      <c r="F111">
        <v>1</v>
      </c>
      <c r="G111">
        <v>2</v>
      </c>
      <c r="H111" t="s">
        <v>102</v>
      </c>
      <c r="I111" t="s">
        <v>103</v>
      </c>
      <c r="J111" t="s">
        <v>104</v>
      </c>
      <c r="K111" t="s">
        <v>34</v>
      </c>
      <c r="L111">
        <v>1</v>
      </c>
      <c r="M111">
        <v>46.03</v>
      </c>
      <c r="N111">
        <v>8.6199999999999992</v>
      </c>
      <c r="O111">
        <v>0.65</v>
      </c>
      <c r="P111">
        <v>5.6</v>
      </c>
      <c r="Q111" t="s">
        <v>59</v>
      </c>
      <c r="R111">
        <v>-5.6</v>
      </c>
      <c r="S111">
        <v>0</v>
      </c>
    </row>
    <row r="112" spans="1:19" x14ac:dyDescent="0.25">
      <c r="A112" t="s">
        <v>109</v>
      </c>
      <c r="B112" t="s">
        <v>30</v>
      </c>
      <c r="C112" t="s">
        <v>110</v>
      </c>
      <c r="D112" s="1">
        <v>45627</v>
      </c>
      <c r="E112" s="1">
        <v>45870</v>
      </c>
      <c r="F112">
        <v>1</v>
      </c>
      <c r="G112">
        <v>2</v>
      </c>
      <c r="H112" t="s">
        <v>102</v>
      </c>
      <c r="I112" t="s">
        <v>103</v>
      </c>
      <c r="J112" t="s">
        <v>104</v>
      </c>
      <c r="K112" t="s">
        <v>42</v>
      </c>
      <c r="L112">
        <v>1</v>
      </c>
      <c r="M112">
        <v>46.03</v>
      </c>
      <c r="N112">
        <v>3.1</v>
      </c>
      <c r="O112">
        <v>0.65</v>
      </c>
      <c r="P112">
        <v>2.02</v>
      </c>
      <c r="Q112" t="s">
        <v>59</v>
      </c>
      <c r="R112">
        <v>-2.02</v>
      </c>
      <c r="S112">
        <v>0</v>
      </c>
    </row>
    <row r="113" spans="1:19" x14ac:dyDescent="0.25">
      <c r="A113" t="s">
        <v>109</v>
      </c>
      <c r="B113" t="s">
        <v>30</v>
      </c>
      <c r="C113" t="s">
        <v>110</v>
      </c>
      <c r="D113" s="1">
        <v>45627</v>
      </c>
      <c r="E113" s="1">
        <v>45870</v>
      </c>
      <c r="F113">
        <v>1</v>
      </c>
      <c r="G113">
        <v>2</v>
      </c>
      <c r="H113" t="s">
        <v>102</v>
      </c>
      <c r="I113" t="s">
        <v>103</v>
      </c>
      <c r="J113" t="s">
        <v>104</v>
      </c>
      <c r="K113" t="s">
        <v>25</v>
      </c>
      <c r="L113">
        <v>1</v>
      </c>
      <c r="M113">
        <v>46.03</v>
      </c>
      <c r="N113">
        <v>18.95</v>
      </c>
      <c r="O113">
        <v>0.65</v>
      </c>
      <c r="P113">
        <v>12.32</v>
      </c>
      <c r="Q113" t="s">
        <v>59</v>
      </c>
      <c r="R113">
        <v>-12.32</v>
      </c>
      <c r="S113">
        <v>0</v>
      </c>
    </row>
    <row r="114" spans="1:19" x14ac:dyDescent="0.25">
      <c r="A114" t="s">
        <v>109</v>
      </c>
      <c r="B114" t="s">
        <v>30</v>
      </c>
      <c r="C114" t="s">
        <v>110</v>
      </c>
      <c r="D114" s="1">
        <v>45627</v>
      </c>
      <c r="E114" s="1">
        <v>45870</v>
      </c>
      <c r="F114">
        <v>1</v>
      </c>
      <c r="G114">
        <v>2</v>
      </c>
      <c r="H114" t="s">
        <v>102</v>
      </c>
      <c r="I114" t="s">
        <v>103</v>
      </c>
      <c r="J114" t="s">
        <v>104</v>
      </c>
      <c r="K114" t="s">
        <v>28</v>
      </c>
      <c r="L114">
        <v>1</v>
      </c>
      <c r="M114">
        <v>46.03</v>
      </c>
      <c r="N114">
        <v>1.68</v>
      </c>
      <c r="O114">
        <v>0.65</v>
      </c>
      <c r="P114">
        <v>1.0900000000000001</v>
      </c>
      <c r="Q114" t="s">
        <v>59</v>
      </c>
      <c r="R114">
        <v>-1.0900000000000001</v>
      </c>
      <c r="S114">
        <v>0</v>
      </c>
    </row>
    <row r="115" spans="1:19" x14ac:dyDescent="0.25">
      <c r="A115" t="s">
        <v>109</v>
      </c>
      <c r="B115" t="s">
        <v>30</v>
      </c>
      <c r="C115" t="s">
        <v>110</v>
      </c>
      <c r="D115" s="1">
        <v>45627</v>
      </c>
      <c r="E115" s="1">
        <v>45870</v>
      </c>
      <c r="F115">
        <v>1</v>
      </c>
      <c r="G115">
        <v>2</v>
      </c>
      <c r="H115" t="s">
        <v>102</v>
      </c>
      <c r="I115" t="s">
        <v>103</v>
      </c>
      <c r="J115" t="s">
        <v>104</v>
      </c>
      <c r="K115" t="s">
        <v>41</v>
      </c>
      <c r="L115">
        <v>1</v>
      </c>
      <c r="M115">
        <v>46.03</v>
      </c>
      <c r="N115">
        <v>13.68</v>
      </c>
      <c r="O115">
        <v>0.65</v>
      </c>
      <c r="P115">
        <v>8.89</v>
      </c>
      <c r="Q115" t="s">
        <v>59</v>
      </c>
      <c r="R115">
        <v>-8.89</v>
      </c>
      <c r="S115">
        <v>0</v>
      </c>
    </row>
    <row r="116" spans="1:19" x14ac:dyDescent="0.25">
      <c r="A116" t="s">
        <v>111</v>
      </c>
      <c r="B116" t="s">
        <v>30</v>
      </c>
      <c r="C116" t="s">
        <v>112</v>
      </c>
      <c r="D116" s="1">
        <v>45658</v>
      </c>
      <c r="E116" s="1">
        <v>45870</v>
      </c>
      <c r="F116">
        <v>1</v>
      </c>
      <c r="G116">
        <v>2</v>
      </c>
      <c r="H116" t="s">
        <v>102</v>
      </c>
      <c r="I116" t="s">
        <v>103</v>
      </c>
      <c r="J116" t="s">
        <v>104</v>
      </c>
      <c r="K116" t="s">
        <v>41</v>
      </c>
      <c r="L116">
        <v>1</v>
      </c>
      <c r="M116">
        <v>80.64</v>
      </c>
      <c r="N116">
        <v>20.13</v>
      </c>
      <c r="O116">
        <v>0.65</v>
      </c>
      <c r="P116">
        <v>13.08</v>
      </c>
      <c r="Q116" t="s">
        <v>59</v>
      </c>
      <c r="R116">
        <v>-13.08</v>
      </c>
      <c r="S116">
        <v>0</v>
      </c>
    </row>
    <row r="117" spans="1:19" x14ac:dyDescent="0.25">
      <c r="A117" t="s">
        <v>111</v>
      </c>
      <c r="B117" t="s">
        <v>30</v>
      </c>
      <c r="C117" t="s">
        <v>112</v>
      </c>
      <c r="D117" s="1">
        <v>45658</v>
      </c>
      <c r="E117" s="1">
        <v>45870</v>
      </c>
      <c r="F117">
        <v>1</v>
      </c>
      <c r="G117">
        <v>2</v>
      </c>
      <c r="H117" t="s">
        <v>102</v>
      </c>
      <c r="I117" t="s">
        <v>103</v>
      </c>
      <c r="J117" t="s">
        <v>104</v>
      </c>
      <c r="K117" t="s">
        <v>28</v>
      </c>
      <c r="L117">
        <v>1</v>
      </c>
      <c r="M117">
        <v>80.64</v>
      </c>
      <c r="N117">
        <v>1.68</v>
      </c>
      <c r="O117">
        <v>0.65</v>
      </c>
      <c r="P117">
        <v>1.0900000000000001</v>
      </c>
      <c r="Q117" t="s">
        <v>59</v>
      </c>
      <c r="R117">
        <v>-1.0900000000000001</v>
      </c>
      <c r="S117">
        <v>0</v>
      </c>
    </row>
    <row r="118" spans="1:19" x14ac:dyDescent="0.25">
      <c r="A118" t="s">
        <v>111</v>
      </c>
      <c r="B118" t="s">
        <v>30</v>
      </c>
      <c r="C118" t="s">
        <v>112</v>
      </c>
      <c r="D118" s="1">
        <v>45658</v>
      </c>
      <c r="E118" s="1">
        <v>45870</v>
      </c>
      <c r="F118">
        <v>1</v>
      </c>
      <c r="G118">
        <v>2</v>
      </c>
      <c r="H118" t="s">
        <v>102</v>
      </c>
      <c r="I118" t="s">
        <v>103</v>
      </c>
      <c r="J118" t="s">
        <v>104</v>
      </c>
      <c r="K118" t="s">
        <v>27</v>
      </c>
      <c r="L118">
        <v>1</v>
      </c>
      <c r="M118">
        <v>80.64</v>
      </c>
      <c r="N118">
        <v>12.43</v>
      </c>
      <c r="O118">
        <v>0.65</v>
      </c>
      <c r="P118">
        <v>8.08</v>
      </c>
      <c r="Q118" t="s">
        <v>59</v>
      </c>
      <c r="R118">
        <v>-8.08</v>
      </c>
      <c r="S118">
        <v>0</v>
      </c>
    </row>
    <row r="119" spans="1:19" x14ac:dyDescent="0.25">
      <c r="A119" t="s">
        <v>111</v>
      </c>
      <c r="B119" t="s">
        <v>30</v>
      </c>
      <c r="C119" t="s">
        <v>112</v>
      </c>
      <c r="D119" s="1">
        <v>45658</v>
      </c>
      <c r="E119" s="1">
        <v>45870</v>
      </c>
      <c r="F119">
        <v>1</v>
      </c>
      <c r="G119">
        <v>2</v>
      </c>
      <c r="H119" t="s">
        <v>102</v>
      </c>
      <c r="I119" t="s">
        <v>103</v>
      </c>
      <c r="J119" t="s">
        <v>104</v>
      </c>
      <c r="K119" t="s">
        <v>25</v>
      </c>
      <c r="L119">
        <v>1</v>
      </c>
      <c r="M119">
        <v>80.64</v>
      </c>
      <c r="N119">
        <v>30.54</v>
      </c>
      <c r="O119">
        <v>0.65</v>
      </c>
      <c r="P119">
        <v>19.850000000000001</v>
      </c>
      <c r="Q119" t="s">
        <v>59</v>
      </c>
      <c r="R119">
        <v>-19.850000000000001</v>
      </c>
      <c r="S119">
        <v>0</v>
      </c>
    </row>
    <row r="120" spans="1:19" x14ac:dyDescent="0.25">
      <c r="A120" t="s">
        <v>111</v>
      </c>
      <c r="B120" t="s">
        <v>30</v>
      </c>
      <c r="C120" t="s">
        <v>112</v>
      </c>
      <c r="D120" s="1">
        <v>45658</v>
      </c>
      <c r="E120" s="1">
        <v>45870</v>
      </c>
      <c r="F120">
        <v>1</v>
      </c>
      <c r="G120">
        <v>2</v>
      </c>
      <c r="H120" t="s">
        <v>102</v>
      </c>
      <c r="I120" t="s">
        <v>103</v>
      </c>
      <c r="J120" t="s">
        <v>104</v>
      </c>
      <c r="K120" t="s">
        <v>42</v>
      </c>
      <c r="L120">
        <v>1</v>
      </c>
      <c r="M120">
        <v>80.64</v>
      </c>
      <c r="N120">
        <v>2.92</v>
      </c>
      <c r="O120">
        <v>0.65</v>
      </c>
      <c r="P120">
        <v>1.9</v>
      </c>
      <c r="Q120" t="s">
        <v>59</v>
      </c>
      <c r="R120">
        <v>-1.9</v>
      </c>
      <c r="S120">
        <v>0</v>
      </c>
    </row>
    <row r="121" spans="1:19" x14ac:dyDescent="0.25">
      <c r="A121" t="s">
        <v>111</v>
      </c>
      <c r="B121" t="s">
        <v>30</v>
      </c>
      <c r="C121" t="s">
        <v>112</v>
      </c>
      <c r="D121" s="1">
        <v>45658</v>
      </c>
      <c r="E121" s="1">
        <v>45870</v>
      </c>
      <c r="F121">
        <v>1</v>
      </c>
      <c r="G121">
        <v>2</v>
      </c>
      <c r="H121" t="s">
        <v>102</v>
      </c>
      <c r="I121" t="s">
        <v>103</v>
      </c>
      <c r="J121" t="s">
        <v>104</v>
      </c>
      <c r="K121" t="s">
        <v>34</v>
      </c>
      <c r="L121">
        <v>1</v>
      </c>
      <c r="M121">
        <v>80.64</v>
      </c>
      <c r="N121">
        <v>12.94</v>
      </c>
      <c r="O121">
        <v>0.65</v>
      </c>
      <c r="P121">
        <v>8.41</v>
      </c>
      <c r="Q121" t="s">
        <v>59</v>
      </c>
      <c r="R121">
        <v>-8.41</v>
      </c>
      <c r="S121">
        <v>0</v>
      </c>
    </row>
    <row r="122" spans="1:19" x14ac:dyDescent="0.25">
      <c r="A122" t="s">
        <v>113</v>
      </c>
      <c r="B122" t="s">
        <v>30</v>
      </c>
      <c r="C122" t="s">
        <v>114</v>
      </c>
      <c r="D122" s="1">
        <v>45658</v>
      </c>
      <c r="E122" s="1">
        <v>45870</v>
      </c>
      <c r="F122">
        <v>1</v>
      </c>
      <c r="G122">
        <v>2</v>
      </c>
      <c r="H122" t="s">
        <v>102</v>
      </c>
      <c r="I122" t="s">
        <v>103</v>
      </c>
      <c r="J122" t="s">
        <v>104</v>
      </c>
      <c r="K122" t="s">
        <v>42</v>
      </c>
      <c r="L122">
        <v>1</v>
      </c>
      <c r="M122">
        <v>75.7</v>
      </c>
      <c r="N122">
        <v>2.92</v>
      </c>
      <c r="O122">
        <v>0.65</v>
      </c>
      <c r="P122">
        <v>1.9</v>
      </c>
      <c r="Q122" t="s">
        <v>59</v>
      </c>
      <c r="R122">
        <v>-1.9</v>
      </c>
      <c r="S122">
        <v>0</v>
      </c>
    </row>
    <row r="123" spans="1:19" x14ac:dyDescent="0.25">
      <c r="A123" t="s">
        <v>113</v>
      </c>
      <c r="B123" t="s">
        <v>30</v>
      </c>
      <c r="C123" t="s">
        <v>114</v>
      </c>
      <c r="D123" s="1">
        <v>45658</v>
      </c>
      <c r="E123" s="1">
        <v>45870</v>
      </c>
      <c r="F123">
        <v>1</v>
      </c>
      <c r="G123">
        <v>2</v>
      </c>
      <c r="H123" t="s">
        <v>102</v>
      </c>
      <c r="I123" t="s">
        <v>103</v>
      </c>
      <c r="J123" t="s">
        <v>104</v>
      </c>
      <c r="K123" t="s">
        <v>25</v>
      </c>
      <c r="L123">
        <v>1</v>
      </c>
      <c r="M123">
        <v>75.7</v>
      </c>
      <c r="N123">
        <v>31.17</v>
      </c>
      <c r="O123">
        <v>0.65</v>
      </c>
      <c r="P123">
        <v>20.260000000000002</v>
      </c>
      <c r="Q123" t="s">
        <v>59</v>
      </c>
      <c r="R123">
        <v>-20.260000000000002</v>
      </c>
      <c r="S123">
        <v>0</v>
      </c>
    </row>
    <row r="124" spans="1:19" x14ac:dyDescent="0.25">
      <c r="A124" t="s">
        <v>113</v>
      </c>
      <c r="B124" t="s">
        <v>30</v>
      </c>
      <c r="C124" t="s">
        <v>114</v>
      </c>
      <c r="D124" s="1">
        <v>45658</v>
      </c>
      <c r="E124" s="1">
        <v>45870</v>
      </c>
      <c r="F124">
        <v>1</v>
      </c>
      <c r="G124">
        <v>2</v>
      </c>
      <c r="H124" t="s">
        <v>102</v>
      </c>
      <c r="I124" t="s">
        <v>103</v>
      </c>
      <c r="J124" t="s">
        <v>104</v>
      </c>
      <c r="K124" t="s">
        <v>27</v>
      </c>
      <c r="L124">
        <v>1</v>
      </c>
      <c r="M124">
        <v>75.7</v>
      </c>
      <c r="N124">
        <v>6.22</v>
      </c>
      <c r="O124">
        <v>0.65</v>
      </c>
      <c r="P124">
        <v>4.04</v>
      </c>
      <c r="Q124" t="s">
        <v>59</v>
      </c>
      <c r="R124">
        <v>-4.04</v>
      </c>
      <c r="S124">
        <v>0</v>
      </c>
    </row>
    <row r="125" spans="1:19" x14ac:dyDescent="0.25">
      <c r="A125" t="s">
        <v>113</v>
      </c>
      <c r="B125" t="s">
        <v>30</v>
      </c>
      <c r="C125" t="s">
        <v>114</v>
      </c>
      <c r="D125" s="1">
        <v>45658</v>
      </c>
      <c r="E125" s="1">
        <v>45870</v>
      </c>
      <c r="F125">
        <v>1</v>
      </c>
      <c r="G125">
        <v>2</v>
      </c>
      <c r="H125" t="s">
        <v>102</v>
      </c>
      <c r="I125" t="s">
        <v>103</v>
      </c>
      <c r="J125" t="s">
        <v>104</v>
      </c>
      <c r="K125" t="s">
        <v>28</v>
      </c>
      <c r="L125">
        <v>1</v>
      </c>
      <c r="M125">
        <v>75.7</v>
      </c>
      <c r="N125">
        <v>1.68</v>
      </c>
      <c r="O125">
        <v>0.65</v>
      </c>
      <c r="P125">
        <v>1.0900000000000001</v>
      </c>
      <c r="Q125" t="s">
        <v>59</v>
      </c>
      <c r="R125">
        <v>-1.0900000000000001</v>
      </c>
      <c r="S125">
        <v>0</v>
      </c>
    </row>
    <row r="126" spans="1:19" x14ac:dyDescent="0.25">
      <c r="A126" t="s">
        <v>113</v>
      </c>
      <c r="B126" t="s">
        <v>30</v>
      </c>
      <c r="C126" t="s">
        <v>114</v>
      </c>
      <c r="D126" s="1">
        <v>45658</v>
      </c>
      <c r="E126" s="1">
        <v>45870</v>
      </c>
      <c r="F126">
        <v>1</v>
      </c>
      <c r="G126">
        <v>2</v>
      </c>
      <c r="H126" t="s">
        <v>102</v>
      </c>
      <c r="I126" t="s">
        <v>103</v>
      </c>
      <c r="J126" t="s">
        <v>104</v>
      </c>
      <c r="K126" t="s">
        <v>41</v>
      </c>
      <c r="L126">
        <v>1</v>
      </c>
      <c r="M126">
        <v>75.7</v>
      </c>
      <c r="N126">
        <v>20.13</v>
      </c>
      <c r="O126">
        <v>0.65</v>
      </c>
      <c r="P126">
        <v>13.08</v>
      </c>
      <c r="Q126" t="s">
        <v>59</v>
      </c>
      <c r="R126">
        <v>-13.08</v>
      </c>
      <c r="S126">
        <v>0</v>
      </c>
    </row>
    <row r="127" spans="1:19" x14ac:dyDescent="0.25">
      <c r="A127" t="s">
        <v>113</v>
      </c>
      <c r="B127" t="s">
        <v>30</v>
      </c>
      <c r="C127" t="s">
        <v>114</v>
      </c>
      <c r="D127" s="1">
        <v>45658</v>
      </c>
      <c r="E127" s="1">
        <v>45870</v>
      </c>
      <c r="F127">
        <v>1</v>
      </c>
      <c r="G127">
        <v>2</v>
      </c>
      <c r="H127" t="s">
        <v>102</v>
      </c>
      <c r="I127" t="s">
        <v>103</v>
      </c>
      <c r="J127" t="s">
        <v>104</v>
      </c>
      <c r="K127" t="s">
        <v>34</v>
      </c>
      <c r="L127">
        <v>1</v>
      </c>
      <c r="M127">
        <v>75.7</v>
      </c>
      <c r="N127">
        <v>13.58</v>
      </c>
      <c r="O127">
        <v>0.65</v>
      </c>
      <c r="P127">
        <v>8.83</v>
      </c>
      <c r="Q127" t="s">
        <v>59</v>
      </c>
      <c r="R127">
        <v>-8.83</v>
      </c>
      <c r="S127">
        <v>0</v>
      </c>
    </row>
    <row r="128" spans="1:19" x14ac:dyDescent="0.25">
      <c r="A128" t="s">
        <v>115</v>
      </c>
      <c r="B128" t="s">
        <v>30</v>
      </c>
      <c r="C128" t="s">
        <v>116</v>
      </c>
      <c r="D128" s="1">
        <v>45658</v>
      </c>
      <c r="E128" s="1">
        <v>45870</v>
      </c>
      <c r="F128">
        <v>1</v>
      </c>
      <c r="G128">
        <v>2</v>
      </c>
      <c r="H128" t="s">
        <v>102</v>
      </c>
      <c r="I128" t="s">
        <v>103</v>
      </c>
      <c r="J128" t="s">
        <v>104</v>
      </c>
      <c r="K128" t="s">
        <v>41</v>
      </c>
      <c r="L128">
        <v>1</v>
      </c>
      <c r="M128">
        <v>55.89</v>
      </c>
      <c r="N128">
        <v>22.08</v>
      </c>
      <c r="O128">
        <v>0.65</v>
      </c>
      <c r="P128">
        <v>14.35</v>
      </c>
      <c r="Q128" t="s">
        <v>59</v>
      </c>
      <c r="R128">
        <v>-14.35</v>
      </c>
      <c r="S128">
        <v>0</v>
      </c>
    </row>
    <row r="129" spans="1:19" x14ac:dyDescent="0.25">
      <c r="A129" t="s">
        <v>115</v>
      </c>
      <c r="B129" t="s">
        <v>30</v>
      </c>
      <c r="C129" t="s">
        <v>116</v>
      </c>
      <c r="D129" s="1">
        <v>45658</v>
      </c>
      <c r="E129" s="1">
        <v>45870</v>
      </c>
      <c r="F129">
        <v>1</v>
      </c>
      <c r="G129">
        <v>2</v>
      </c>
      <c r="H129" t="s">
        <v>102</v>
      </c>
      <c r="I129" t="s">
        <v>103</v>
      </c>
      <c r="J129" t="s">
        <v>104</v>
      </c>
      <c r="K129" t="s">
        <v>28</v>
      </c>
      <c r="L129">
        <v>1</v>
      </c>
      <c r="M129">
        <v>55.89</v>
      </c>
      <c r="N129">
        <v>1.68</v>
      </c>
      <c r="O129">
        <v>0.65</v>
      </c>
      <c r="P129">
        <v>1.0900000000000001</v>
      </c>
      <c r="Q129" t="s">
        <v>59</v>
      </c>
      <c r="R129">
        <v>-1.0900000000000001</v>
      </c>
      <c r="S129">
        <v>0</v>
      </c>
    </row>
    <row r="130" spans="1:19" x14ac:dyDescent="0.25">
      <c r="A130" t="s">
        <v>115</v>
      </c>
      <c r="B130" t="s">
        <v>30</v>
      </c>
      <c r="C130" t="s">
        <v>116</v>
      </c>
      <c r="D130" s="1">
        <v>45658</v>
      </c>
      <c r="E130" s="1">
        <v>45870</v>
      </c>
      <c r="F130">
        <v>1</v>
      </c>
      <c r="G130">
        <v>2</v>
      </c>
      <c r="H130" t="s">
        <v>102</v>
      </c>
      <c r="I130" t="s">
        <v>103</v>
      </c>
      <c r="J130" t="s">
        <v>104</v>
      </c>
      <c r="K130" t="s">
        <v>42</v>
      </c>
      <c r="L130">
        <v>1</v>
      </c>
      <c r="M130">
        <v>55.89</v>
      </c>
      <c r="N130">
        <v>3.78</v>
      </c>
      <c r="O130">
        <v>0.65</v>
      </c>
      <c r="P130">
        <v>2.46</v>
      </c>
      <c r="Q130" t="s">
        <v>59</v>
      </c>
      <c r="R130">
        <v>-2.46</v>
      </c>
      <c r="S130">
        <v>0</v>
      </c>
    </row>
    <row r="131" spans="1:19" x14ac:dyDescent="0.25">
      <c r="A131" t="s">
        <v>115</v>
      </c>
      <c r="B131" t="s">
        <v>30</v>
      </c>
      <c r="C131" t="s">
        <v>116</v>
      </c>
      <c r="D131" s="1">
        <v>45658</v>
      </c>
      <c r="E131" s="1">
        <v>45870</v>
      </c>
      <c r="F131">
        <v>1</v>
      </c>
      <c r="G131">
        <v>2</v>
      </c>
      <c r="H131" t="s">
        <v>102</v>
      </c>
      <c r="I131" t="s">
        <v>103</v>
      </c>
      <c r="J131" t="s">
        <v>104</v>
      </c>
      <c r="K131" t="s">
        <v>27</v>
      </c>
      <c r="L131">
        <v>1</v>
      </c>
      <c r="M131">
        <v>55.89</v>
      </c>
      <c r="N131">
        <v>6.22</v>
      </c>
      <c r="O131">
        <v>0.65</v>
      </c>
      <c r="P131">
        <v>4.04</v>
      </c>
      <c r="Q131" t="s">
        <v>59</v>
      </c>
      <c r="R131">
        <v>-4.04</v>
      </c>
      <c r="S131">
        <v>0</v>
      </c>
    </row>
    <row r="132" spans="1:19" x14ac:dyDescent="0.25">
      <c r="A132" t="s">
        <v>115</v>
      </c>
      <c r="B132" t="s">
        <v>30</v>
      </c>
      <c r="C132" t="s">
        <v>116</v>
      </c>
      <c r="D132" s="1">
        <v>45658</v>
      </c>
      <c r="E132" s="1">
        <v>45870</v>
      </c>
      <c r="F132">
        <v>1</v>
      </c>
      <c r="G132">
        <v>2</v>
      </c>
      <c r="H132" t="s">
        <v>102</v>
      </c>
      <c r="I132" t="s">
        <v>103</v>
      </c>
      <c r="J132" t="s">
        <v>104</v>
      </c>
      <c r="K132" t="s">
        <v>25</v>
      </c>
      <c r="L132">
        <v>1</v>
      </c>
      <c r="M132">
        <v>55.89</v>
      </c>
      <c r="N132">
        <v>22.13</v>
      </c>
      <c r="O132">
        <v>0.65</v>
      </c>
      <c r="P132">
        <v>14.38</v>
      </c>
      <c r="Q132" t="s">
        <v>59</v>
      </c>
      <c r="R132">
        <v>-14.38</v>
      </c>
      <c r="S132">
        <v>0</v>
      </c>
    </row>
    <row r="133" spans="1:19" x14ac:dyDescent="0.25">
      <c r="A133" t="s">
        <v>117</v>
      </c>
      <c r="B133" t="s">
        <v>30</v>
      </c>
      <c r="C133" t="s">
        <v>118</v>
      </c>
      <c r="D133" s="1">
        <v>45689</v>
      </c>
      <c r="E133" s="1">
        <v>45870</v>
      </c>
      <c r="F133">
        <v>1</v>
      </c>
      <c r="G133">
        <v>2</v>
      </c>
      <c r="H133" t="s">
        <v>102</v>
      </c>
      <c r="I133" t="s">
        <v>103</v>
      </c>
      <c r="J133" t="s">
        <v>104</v>
      </c>
      <c r="K133" t="s">
        <v>27</v>
      </c>
      <c r="L133">
        <v>1</v>
      </c>
      <c r="M133">
        <v>53.36</v>
      </c>
      <c r="N133">
        <v>6.22</v>
      </c>
      <c r="O133">
        <v>0.65</v>
      </c>
      <c r="P133">
        <v>4.04</v>
      </c>
      <c r="Q133" t="s">
        <v>59</v>
      </c>
      <c r="R133">
        <v>-4.04</v>
      </c>
      <c r="S133">
        <v>0</v>
      </c>
    </row>
    <row r="134" spans="1:19" x14ac:dyDescent="0.25">
      <c r="A134" t="s">
        <v>117</v>
      </c>
      <c r="B134" t="s">
        <v>30</v>
      </c>
      <c r="C134" t="s">
        <v>118</v>
      </c>
      <c r="D134" s="1">
        <v>45689</v>
      </c>
      <c r="E134" s="1">
        <v>45870</v>
      </c>
      <c r="F134">
        <v>1</v>
      </c>
      <c r="G134">
        <v>2</v>
      </c>
      <c r="H134" t="s">
        <v>102</v>
      </c>
      <c r="I134" t="s">
        <v>103</v>
      </c>
      <c r="J134" t="s">
        <v>104</v>
      </c>
      <c r="K134" t="s">
        <v>74</v>
      </c>
      <c r="L134">
        <v>1</v>
      </c>
      <c r="M134">
        <v>53.36</v>
      </c>
      <c r="N134">
        <v>6.99</v>
      </c>
      <c r="O134">
        <v>0.65</v>
      </c>
      <c r="P134">
        <v>4.54</v>
      </c>
      <c r="Q134" t="s">
        <v>59</v>
      </c>
      <c r="R134">
        <v>-4.54</v>
      </c>
      <c r="S134">
        <v>0</v>
      </c>
    </row>
    <row r="135" spans="1:19" x14ac:dyDescent="0.25">
      <c r="A135" t="s">
        <v>117</v>
      </c>
      <c r="B135" t="s">
        <v>30</v>
      </c>
      <c r="C135" t="s">
        <v>118</v>
      </c>
      <c r="D135" s="1">
        <v>45689</v>
      </c>
      <c r="E135" s="1">
        <v>45870</v>
      </c>
      <c r="F135">
        <v>1</v>
      </c>
      <c r="G135">
        <v>2</v>
      </c>
      <c r="H135" t="s">
        <v>102</v>
      </c>
      <c r="I135" t="s">
        <v>103</v>
      </c>
      <c r="J135" t="s">
        <v>104</v>
      </c>
      <c r="K135" t="s">
        <v>28</v>
      </c>
      <c r="L135">
        <v>1</v>
      </c>
      <c r="M135">
        <v>53.36</v>
      </c>
      <c r="N135">
        <v>1.68</v>
      </c>
      <c r="O135">
        <v>0.65</v>
      </c>
      <c r="P135">
        <v>1.0900000000000001</v>
      </c>
      <c r="Q135" t="s">
        <v>59</v>
      </c>
      <c r="R135">
        <v>-1.0900000000000001</v>
      </c>
      <c r="S135">
        <v>0</v>
      </c>
    </row>
    <row r="136" spans="1:19" x14ac:dyDescent="0.25">
      <c r="A136" t="s">
        <v>117</v>
      </c>
      <c r="B136" t="s">
        <v>30</v>
      </c>
      <c r="C136" t="s">
        <v>118</v>
      </c>
      <c r="D136" s="1">
        <v>45689</v>
      </c>
      <c r="E136" s="1">
        <v>45870</v>
      </c>
      <c r="F136">
        <v>1</v>
      </c>
      <c r="G136">
        <v>2</v>
      </c>
      <c r="H136" t="s">
        <v>102</v>
      </c>
      <c r="I136" t="s">
        <v>103</v>
      </c>
      <c r="J136" t="s">
        <v>104</v>
      </c>
      <c r="K136" t="s">
        <v>41</v>
      </c>
      <c r="L136">
        <v>1</v>
      </c>
      <c r="M136">
        <v>53.36</v>
      </c>
      <c r="N136">
        <v>21.11</v>
      </c>
      <c r="O136">
        <v>0.65</v>
      </c>
      <c r="P136">
        <v>13.72</v>
      </c>
      <c r="Q136" t="s">
        <v>59</v>
      </c>
      <c r="R136">
        <v>-13.72</v>
      </c>
      <c r="S136">
        <v>0</v>
      </c>
    </row>
    <row r="137" spans="1:19" x14ac:dyDescent="0.25">
      <c r="A137" t="s">
        <v>117</v>
      </c>
      <c r="B137" t="s">
        <v>30</v>
      </c>
      <c r="C137" t="s">
        <v>118</v>
      </c>
      <c r="D137" s="1">
        <v>45689</v>
      </c>
      <c r="E137" s="1">
        <v>45870</v>
      </c>
      <c r="F137">
        <v>1</v>
      </c>
      <c r="G137">
        <v>2</v>
      </c>
      <c r="H137" t="s">
        <v>102</v>
      </c>
      <c r="I137" t="s">
        <v>103</v>
      </c>
      <c r="J137" t="s">
        <v>104</v>
      </c>
      <c r="K137" t="s">
        <v>25</v>
      </c>
      <c r="L137">
        <v>1</v>
      </c>
      <c r="M137">
        <v>53.36</v>
      </c>
      <c r="N137">
        <v>14.06</v>
      </c>
      <c r="O137">
        <v>0.65</v>
      </c>
      <c r="P137">
        <v>9.14</v>
      </c>
      <c r="Q137" t="s">
        <v>59</v>
      </c>
      <c r="R137">
        <v>-9.14</v>
      </c>
      <c r="S137">
        <v>0</v>
      </c>
    </row>
    <row r="138" spans="1:19" x14ac:dyDescent="0.25">
      <c r="A138" t="s">
        <v>117</v>
      </c>
      <c r="B138" t="s">
        <v>30</v>
      </c>
      <c r="C138" t="s">
        <v>118</v>
      </c>
      <c r="D138" s="1">
        <v>45689</v>
      </c>
      <c r="E138" s="1">
        <v>45870</v>
      </c>
      <c r="F138">
        <v>1</v>
      </c>
      <c r="G138">
        <v>2</v>
      </c>
      <c r="H138" t="s">
        <v>102</v>
      </c>
      <c r="I138" t="s">
        <v>103</v>
      </c>
      <c r="J138" t="s">
        <v>104</v>
      </c>
      <c r="K138" t="s">
        <v>42</v>
      </c>
      <c r="L138">
        <v>1</v>
      </c>
      <c r="M138">
        <v>53.36</v>
      </c>
      <c r="N138">
        <v>3.3</v>
      </c>
      <c r="O138">
        <v>0.65</v>
      </c>
      <c r="P138">
        <v>2.15</v>
      </c>
      <c r="Q138" t="s">
        <v>59</v>
      </c>
      <c r="R138">
        <v>-2.15</v>
      </c>
      <c r="S138">
        <v>0</v>
      </c>
    </row>
    <row r="139" spans="1:19" x14ac:dyDescent="0.25">
      <c r="A139" t="s">
        <v>119</v>
      </c>
      <c r="B139" t="s">
        <v>30</v>
      </c>
      <c r="C139" t="s">
        <v>120</v>
      </c>
      <c r="D139" s="1">
        <v>45778</v>
      </c>
      <c r="E139" s="1">
        <v>45870</v>
      </c>
      <c r="F139">
        <v>1</v>
      </c>
      <c r="G139">
        <v>10</v>
      </c>
      <c r="H139" t="s">
        <v>102</v>
      </c>
      <c r="I139" t="s">
        <v>103</v>
      </c>
      <c r="J139" t="s">
        <v>104</v>
      </c>
      <c r="K139" t="s">
        <v>25</v>
      </c>
      <c r="L139">
        <v>1</v>
      </c>
      <c r="M139">
        <v>74.290000000000006</v>
      </c>
      <c r="N139">
        <v>25</v>
      </c>
      <c r="O139">
        <v>0.65</v>
      </c>
      <c r="P139">
        <v>16.25</v>
      </c>
      <c r="Q139" t="s">
        <v>59</v>
      </c>
      <c r="R139">
        <v>-16.25</v>
      </c>
      <c r="S139">
        <v>0</v>
      </c>
    </row>
    <row r="140" spans="1:19" x14ac:dyDescent="0.25">
      <c r="A140" t="s">
        <v>119</v>
      </c>
      <c r="B140" t="s">
        <v>30</v>
      </c>
      <c r="C140" t="s">
        <v>120</v>
      </c>
      <c r="D140" s="1">
        <v>45778</v>
      </c>
      <c r="E140" s="1">
        <v>45870</v>
      </c>
      <c r="F140">
        <v>1</v>
      </c>
      <c r="G140">
        <v>10</v>
      </c>
      <c r="H140" t="s">
        <v>102</v>
      </c>
      <c r="I140" t="s">
        <v>103</v>
      </c>
      <c r="J140" t="s">
        <v>104</v>
      </c>
      <c r="K140" t="s">
        <v>27</v>
      </c>
      <c r="L140">
        <v>1</v>
      </c>
      <c r="M140">
        <v>0</v>
      </c>
      <c r="N140">
        <v>12.43</v>
      </c>
      <c r="O140">
        <v>0.65</v>
      </c>
      <c r="P140">
        <v>8.08</v>
      </c>
      <c r="Q140" t="s">
        <v>59</v>
      </c>
      <c r="R140">
        <v>-8.08</v>
      </c>
      <c r="S140">
        <v>0</v>
      </c>
    </row>
    <row r="141" spans="1:19" x14ac:dyDescent="0.25">
      <c r="A141" t="s">
        <v>119</v>
      </c>
      <c r="B141" t="s">
        <v>30</v>
      </c>
      <c r="C141" t="s">
        <v>120</v>
      </c>
      <c r="D141" s="1">
        <v>45778</v>
      </c>
      <c r="E141" s="1">
        <v>45870</v>
      </c>
      <c r="F141">
        <v>1</v>
      </c>
      <c r="G141">
        <v>10</v>
      </c>
      <c r="H141" t="s">
        <v>102</v>
      </c>
      <c r="I141" t="s">
        <v>103</v>
      </c>
      <c r="J141" t="s">
        <v>104</v>
      </c>
      <c r="K141" t="s">
        <v>42</v>
      </c>
      <c r="L141">
        <v>1</v>
      </c>
      <c r="M141">
        <v>0</v>
      </c>
      <c r="N141">
        <v>2.75</v>
      </c>
      <c r="O141">
        <v>0.65</v>
      </c>
      <c r="P141">
        <v>1.79</v>
      </c>
      <c r="Q141" t="s">
        <v>59</v>
      </c>
      <c r="R141">
        <v>-1.79</v>
      </c>
      <c r="S141">
        <v>0</v>
      </c>
    </row>
    <row r="142" spans="1:19" x14ac:dyDescent="0.25">
      <c r="A142" t="s">
        <v>119</v>
      </c>
      <c r="B142" t="s">
        <v>30</v>
      </c>
      <c r="C142" t="s">
        <v>120</v>
      </c>
      <c r="D142" s="1">
        <v>45778</v>
      </c>
      <c r="E142" s="1">
        <v>45870</v>
      </c>
      <c r="F142">
        <v>1</v>
      </c>
      <c r="G142">
        <v>10</v>
      </c>
      <c r="H142" t="s">
        <v>102</v>
      </c>
      <c r="I142" t="s">
        <v>103</v>
      </c>
      <c r="J142" t="s">
        <v>104</v>
      </c>
      <c r="K142" t="s">
        <v>34</v>
      </c>
      <c r="L142">
        <v>1</v>
      </c>
      <c r="M142">
        <v>0</v>
      </c>
      <c r="N142">
        <v>12.94</v>
      </c>
      <c r="O142">
        <v>0.65</v>
      </c>
      <c r="P142">
        <v>8.41</v>
      </c>
      <c r="Q142" t="s">
        <v>59</v>
      </c>
      <c r="R142">
        <v>-8.41</v>
      </c>
      <c r="S142">
        <v>0</v>
      </c>
    </row>
    <row r="143" spans="1:19" x14ac:dyDescent="0.25">
      <c r="A143" t="s">
        <v>119</v>
      </c>
      <c r="B143" t="s">
        <v>30</v>
      </c>
      <c r="C143" t="s">
        <v>120</v>
      </c>
      <c r="D143" s="1">
        <v>45778</v>
      </c>
      <c r="E143" s="1">
        <v>45870</v>
      </c>
      <c r="F143">
        <v>1</v>
      </c>
      <c r="G143">
        <v>10</v>
      </c>
      <c r="H143" t="s">
        <v>102</v>
      </c>
      <c r="I143" t="s">
        <v>103</v>
      </c>
      <c r="J143" t="s">
        <v>104</v>
      </c>
      <c r="K143" t="s">
        <v>41</v>
      </c>
      <c r="L143">
        <v>1</v>
      </c>
      <c r="M143">
        <v>0</v>
      </c>
      <c r="N143">
        <v>19.489999999999998</v>
      </c>
      <c r="O143">
        <v>0.65</v>
      </c>
      <c r="P143">
        <v>12.67</v>
      </c>
      <c r="Q143" t="s">
        <v>59</v>
      </c>
      <c r="R143">
        <v>-12.67</v>
      </c>
      <c r="S143">
        <v>0</v>
      </c>
    </row>
    <row r="144" spans="1:19" x14ac:dyDescent="0.25">
      <c r="A144" t="s">
        <v>119</v>
      </c>
      <c r="B144" t="s">
        <v>30</v>
      </c>
      <c r="C144" t="s">
        <v>120</v>
      </c>
      <c r="D144" s="1">
        <v>45778</v>
      </c>
      <c r="E144" s="1">
        <v>45870</v>
      </c>
      <c r="F144">
        <v>1</v>
      </c>
      <c r="G144">
        <v>10</v>
      </c>
      <c r="H144" t="s">
        <v>102</v>
      </c>
      <c r="I144" t="s">
        <v>103</v>
      </c>
      <c r="J144" t="s">
        <v>104</v>
      </c>
      <c r="K144" t="s">
        <v>28</v>
      </c>
      <c r="L144">
        <v>1</v>
      </c>
      <c r="M144">
        <v>0</v>
      </c>
      <c r="N144">
        <v>1.68</v>
      </c>
      <c r="O144">
        <v>0.65</v>
      </c>
      <c r="P144">
        <v>1.0900000000000001</v>
      </c>
      <c r="Q144" t="s">
        <v>59</v>
      </c>
      <c r="R144">
        <v>-1.0900000000000001</v>
      </c>
      <c r="S144">
        <v>0</v>
      </c>
    </row>
    <row r="145" spans="1:19" x14ac:dyDescent="0.25">
      <c r="A145" t="s">
        <v>121</v>
      </c>
      <c r="B145" t="s">
        <v>30</v>
      </c>
      <c r="C145" t="s">
        <v>122</v>
      </c>
      <c r="D145" s="1">
        <v>45566</v>
      </c>
      <c r="E145" s="1">
        <v>45870</v>
      </c>
      <c r="F145">
        <v>1</v>
      </c>
      <c r="G145">
        <v>10</v>
      </c>
      <c r="H145" t="s">
        <v>32</v>
      </c>
      <c r="I145" t="s">
        <v>33</v>
      </c>
      <c r="J145" t="s">
        <v>24</v>
      </c>
      <c r="K145" t="s">
        <v>25</v>
      </c>
      <c r="L145">
        <v>1</v>
      </c>
      <c r="M145">
        <v>43.9</v>
      </c>
      <c r="N145">
        <v>27.65</v>
      </c>
      <c r="O145">
        <v>0.65</v>
      </c>
      <c r="P145">
        <v>17.97</v>
      </c>
      <c r="Q145" t="s">
        <v>40</v>
      </c>
      <c r="R145">
        <v>0</v>
      </c>
      <c r="S145">
        <v>17.97</v>
      </c>
    </row>
    <row r="146" spans="1:19" x14ac:dyDescent="0.25">
      <c r="A146" t="s">
        <v>121</v>
      </c>
      <c r="B146" t="s">
        <v>30</v>
      </c>
      <c r="C146" t="s">
        <v>122</v>
      </c>
      <c r="D146" s="1">
        <v>45566</v>
      </c>
      <c r="E146" s="1">
        <v>45870</v>
      </c>
      <c r="F146">
        <v>1</v>
      </c>
      <c r="G146">
        <v>10</v>
      </c>
      <c r="H146" t="s">
        <v>32</v>
      </c>
      <c r="I146" t="s">
        <v>33</v>
      </c>
      <c r="J146" t="s">
        <v>24</v>
      </c>
      <c r="K146" t="s">
        <v>28</v>
      </c>
      <c r="L146">
        <v>1</v>
      </c>
      <c r="M146">
        <v>0</v>
      </c>
      <c r="N146">
        <v>1.68</v>
      </c>
      <c r="O146">
        <v>0.65</v>
      </c>
      <c r="P146">
        <v>1.0900000000000001</v>
      </c>
      <c r="Q146" t="s">
        <v>40</v>
      </c>
      <c r="R146">
        <v>0</v>
      </c>
      <c r="S146">
        <v>1.0900000000000001</v>
      </c>
    </row>
    <row r="147" spans="1:19" x14ac:dyDescent="0.25">
      <c r="A147" t="s">
        <v>121</v>
      </c>
      <c r="B147" t="s">
        <v>30</v>
      </c>
      <c r="C147" t="s">
        <v>122</v>
      </c>
      <c r="D147" s="1">
        <v>45566</v>
      </c>
      <c r="E147" s="1">
        <v>45870</v>
      </c>
      <c r="F147">
        <v>1</v>
      </c>
      <c r="G147">
        <v>10</v>
      </c>
      <c r="H147" t="s">
        <v>32</v>
      </c>
      <c r="I147" t="s">
        <v>33</v>
      </c>
      <c r="J147" t="s">
        <v>24</v>
      </c>
      <c r="K147" t="s">
        <v>27</v>
      </c>
      <c r="L147">
        <v>1</v>
      </c>
      <c r="M147">
        <v>0</v>
      </c>
      <c r="N147">
        <v>12.43</v>
      </c>
      <c r="O147">
        <v>0.65</v>
      </c>
      <c r="P147">
        <v>8.08</v>
      </c>
      <c r="Q147" t="s">
        <v>40</v>
      </c>
      <c r="R147">
        <v>0</v>
      </c>
      <c r="S147">
        <v>8.08</v>
      </c>
    </row>
    <row r="148" spans="1:19" x14ac:dyDescent="0.25">
      <c r="A148" t="s">
        <v>121</v>
      </c>
      <c r="B148" t="s">
        <v>30</v>
      </c>
      <c r="C148" t="s">
        <v>122</v>
      </c>
      <c r="D148" s="1">
        <v>45566</v>
      </c>
      <c r="E148" s="1">
        <v>45870</v>
      </c>
      <c r="F148">
        <v>1</v>
      </c>
      <c r="G148">
        <v>10</v>
      </c>
      <c r="H148" t="s">
        <v>32</v>
      </c>
      <c r="I148" t="s">
        <v>33</v>
      </c>
      <c r="J148" t="s">
        <v>24</v>
      </c>
      <c r="K148" t="s">
        <v>76</v>
      </c>
      <c r="L148">
        <v>1</v>
      </c>
      <c r="M148">
        <v>0</v>
      </c>
      <c r="N148">
        <v>2.14</v>
      </c>
      <c r="O148">
        <v>0.65</v>
      </c>
      <c r="P148">
        <v>1.39</v>
      </c>
      <c r="Q148" t="s">
        <v>40</v>
      </c>
      <c r="R148">
        <v>0</v>
      </c>
      <c r="S148">
        <v>1.39</v>
      </c>
    </row>
    <row r="149" spans="1:19" x14ac:dyDescent="0.25">
      <c r="A149" t="s">
        <v>123</v>
      </c>
      <c r="B149" t="s">
        <v>30</v>
      </c>
      <c r="C149" t="s">
        <v>124</v>
      </c>
      <c r="D149" s="1">
        <v>45566</v>
      </c>
      <c r="E149" s="1">
        <v>45870</v>
      </c>
      <c r="F149">
        <v>1</v>
      </c>
      <c r="G149">
        <v>2</v>
      </c>
      <c r="H149" t="s">
        <v>32</v>
      </c>
      <c r="I149" t="s">
        <v>33</v>
      </c>
      <c r="J149" t="s">
        <v>24</v>
      </c>
      <c r="K149" t="s">
        <v>76</v>
      </c>
      <c r="L149">
        <v>1</v>
      </c>
      <c r="M149">
        <v>49.9</v>
      </c>
      <c r="N149">
        <v>1.79</v>
      </c>
      <c r="O149">
        <v>0.65</v>
      </c>
      <c r="P149">
        <v>1.1599999999999999</v>
      </c>
      <c r="Q149" t="s">
        <v>40</v>
      </c>
      <c r="R149">
        <v>0</v>
      </c>
      <c r="S149">
        <v>1.1599999999999999</v>
      </c>
    </row>
    <row r="150" spans="1:19" x14ac:dyDescent="0.25">
      <c r="A150" t="s">
        <v>123</v>
      </c>
      <c r="B150" t="s">
        <v>30</v>
      </c>
      <c r="C150" t="s">
        <v>124</v>
      </c>
      <c r="D150" s="1">
        <v>45566</v>
      </c>
      <c r="E150" s="1">
        <v>45870</v>
      </c>
      <c r="F150">
        <v>1</v>
      </c>
      <c r="G150">
        <v>2</v>
      </c>
      <c r="H150" t="s">
        <v>32</v>
      </c>
      <c r="I150" t="s">
        <v>33</v>
      </c>
      <c r="J150" t="s">
        <v>24</v>
      </c>
      <c r="K150" t="s">
        <v>25</v>
      </c>
      <c r="L150">
        <v>1</v>
      </c>
      <c r="M150">
        <v>49.9</v>
      </c>
      <c r="N150">
        <v>21.06</v>
      </c>
      <c r="O150">
        <v>0.65</v>
      </c>
      <c r="P150">
        <v>13.69</v>
      </c>
      <c r="Q150" t="s">
        <v>40</v>
      </c>
      <c r="R150">
        <v>0</v>
      </c>
      <c r="S150">
        <v>13.69</v>
      </c>
    </row>
    <row r="151" spans="1:19" x14ac:dyDescent="0.25">
      <c r="A151" t="s">
        <v>123</v>
      </c>
      <c r="B151" t="s">
        <v>30</v>
      </c>
      <c r="C151" t="s">
        <v>124</v>
      </c>
      <c r="D151" s="1">
        <v>45566</v>
      </c>
      <c r="E151" s="1">
        <v>45870</v>
      </c>
      <c r="F151">
        <v>1</v>
      </c>
      <c r="G151">
        <v>2</v>
      </c>
      <c r="H151" t="s">
        <v>32</v>
      </c>
      <c r="I151" t="s">
        <v>33</v>
      </c>
      <c r="J151" t="s">
        <v>24</v>
      </c>
      <c r="K151" t="s">
        <v>34</v>
      </c>
      <c r="L151">
        <v>1</v>
      </c>
      <c r="M151">
        <v>49.9</v>
      </c>
      <c r="N151">
        <v>12.94</v>
      </c>
      <c r="O151">
        <v>0.65</v>
      </c>
      <c r="P151">
        <v>8.41</v>
      </c>
      <c r="Q151" t="s">
        <v>40</v>
      </c>
      <c r="R151">
        <v>0</v>
      </c>
      <c r="S151">
        <v>8.41</v>
      </c>
    </row>
    <row r="152" spans="1:19" x14ac:dyDescent="0.25">
      <c r="A152" t="s">
        <v>123</v>
      </c>
      <c r="B152" t="s">
        <v>30</v>
      </c>
      <c r="C152" t="s">
        <v>124</v>
      </c>
      <c r="D152" s="1">
        <v>45566</v>
      </c>
      <c r="E152" s="1">
        <v>45870</v>
      </c>
      <c r="F152">
        <v>1</v>
      </c>
      <c r="G152">
        <v>2</v>
      </c>
      <c r="H152" t="s">
        <v>32</v>
      </c>
      <c r="I152" t="s">
        <v>33</v>
      </c>
      <c r="J152" t="s">
        <v>24</v>
      </c>
      <c r="K152" t="s">
        <v>27</v>
      </c>
      <c r="L152">
        <v>1</v>
      </c>
      <c r="M152">
        <v>49.9</v>
      </c>
      <c r="N152">
        <v>12.43</v>
      </c>
      <c r="O152">
        <v>0.65</v>
      </c>
      <c r="P152">
        <v>8.08</v>
      </c>
      <c r="Q152" t="s">
        <v>40</v>
      </c>
      <c r="R152">
        <v>0</v>
      </c>
      <c r="S152">
        <v>8.08</v>
      </c>
    </row>
    <row r="153" spans="1:19" x14ac:dyDescent="0.25">
      <c r="A153" t="s">
        <v>123</v>
      </c>
      <c r="B153" t="s">
        <v>30</v>
      </c>
      <c r="C153" t="s">
        <v>124</v>
      </c>
      <c r="D153" s="1">
        <v>45566</v>
      </c>
      <c r="E153" s="1">
        <v>45870</v>
      </c>
      <c r="F153">
        <v>1</v>
      </c>
      <c r="G153">
        <v>2</v>
      </c>
      <c r="H153" t="s">
        <v>32</v>
      </c>
      <c r="I153" t="s">
        <v>33</v>
      </c>
      <c r="J153" t="s">
        <v>24</v>
      </c>
      <c r="K153" t="s">
        <v>28</v>
      </c>
      <c r="L153">
        <v>1</v>
      </c>
      <c r="M153">
        <v>49.9</v>
      </c>
      <c r="N153">
        <v>1.68</v>
      </c>
      <c r="O153">
        <v>0.65</v>
      </c>
      <c r="P153">
        <v>1.0900000000000001</v>
      </c>
      <c r="Q153" t="s">
        <v>40</v>
      </c>
      <c r="R153">
        <v>0</v>
      </c>
      <c r="S153">
        <v>1.0900000000000001</v>
      </c>
    </row>
    <row r="154" spans="1:19" x14ac:dyDescent="0.25">
      <c r="A154" t="s">
        <v>125</v>
      </c>
      <c r="B154" t="s">
        <v>30</v>
      </c>
      <c r="C154" t="s">
        <v>126</v>
      </c>
      <c r="D154" s="1">
        <v>45689</v>
      </c>
      <c r="E154" s="1">
        <v>45870</v>
      </c>
      <c r="F154">
        <v>1</v>
      </c>
      <c r="G154">
        <v>2</v>
      </c>
      <c r="H154" t="s">
        <v>32</v>
      </c>
      <c r="I154" t="s">
        <v>33</v>
      </c>
      <c r="J154" t="s">
        <v>24</v>
      </c>
      <c r="K154" t="s">
        <v>28</v>
      </c>
      <c r="L154">
        <v>1</v>
      </c>
      <c r="M154">
        <v>86.34</v>
      </c>
      <c r="N154">
        <v>1.68</v>
      </c>
      <c r="O154">
        <v>0.65</v>
      </c>
      <c r="P154">
        <v>1.0900000000000001</v>
      </c>
      <c r="Q154" t="s">
        <v>59</v>
      </c>
      <c r="R154">
        <v>-1.0900000000000001</v>
      </c>
      <c r="S154">
        <v>0</v>
      </c>
    </row>
    <row r="155" spans="1:19" x14ac:dyDescent="0.25">
      <c r="A155" t="s">
        <v>125</v>
      </c>
      <c r="B155" t="s">
        <v>30</v>
      </c>
      <c r="C155" t="s">
        <v>126</v>
      </c>
      <c r="D155" s="1">
        <v>45689</v>
      </c>
      <c r="E155" s="1">
        <v>45870</v>
      </c>
      <c r="F155">
        <v>1</v>
      </c>
      <c r="G155">
        <v>2</v>
      </c>
      <c r="H155" t="s">
        <v>32</v>
      </c>
      <c r="I155" t="s">
        <v>33</v>
      </c>
      <c r="J155" t="s">
        <v>24</v>
      </c>
      <c r="K155" t="s">
        <v>27</v>
      </c>
      <c r="L155">
        <v>1</v>
      </c>
      <c r="M155">
        <v>86.34</v>
      </c>
      <c r="N155">
        <v>6.22</v>
      </c>
      <c r="O155">
        <v>0.65</v>
      </c>
      <c r="P155">
        <v>4.04</v>
      </c>
      <c r="Q155" t="s">
        <v>59</v>
      </c>
      <c r="R155">
        <v>-4.04</v>
      </c>
      <c r="S155">
        <v>0</v>
      </c>
    </row>
    <row r="156" spans="1:19" x14ac:dyDescent="0.25">
      <c r="A156" t="s">
        <v>125</v>
      </c>
      <c r="B156" t="s">
        <v>30</v>
      </c>
      <c r="C156" t="s">
        <v>126</v>
      </c>
      <c r="D156" s="1">
        <v>45689</v>
      </c>
      <c r="E156" s="1">
        <v>45870</v>
      </c>
      <c r="F156">
        <v>1</v>
      </c>
      <c r="G156">
        <v>2</v>
      </c>
      <c r="H156" t="s">
        <v>32</v>
      </c>
      <c r="I156" t="s">
        <v>33</v>
      </c>
      <c r="J156" t="s">
        <v>24</v>
      </c>
      <c r="K156" t="s">
        <v>41</v>
      </c>
      <c r="L156">
        <v>1</v>
      </c>
      <c r="M156">
        <v>86.34</v>
      </c>
      <c r="N156">
        <v>38.97</v>
      </c>
      <c r="O156">
        <v>0.65</v>
      </c>
      <c r="P156">
        <v>25.33</v>
      </c>
      <c r="Q156" t="s">
        <v>59</v>
      </c>
      <c r="R156">
        <v>-25.33</v>
      </c>
      <c r="S156">
        <v>0</v>
      </c>
    </row>
    <row r="157" spans="1:19" x14ac:dyDescent="0.25">
      <c r="A157" t="s">
        <v>125</v>
      </c>
      <c r="B157" t="s">
        <v>30</v>
      </c>
      <c r="C157" t="s">
        <v>126</v>
      </c>
      <c r="D157" s="1">
        <v>45689</v>
      </c>
      <c r="E157" s="1">
        <v>45870</v>
      </c>
      <c r="F157">
        <v>1</v>
      </c>
      <c r="G157">
        <v>2</v>
      </c>
      <c r="H157" t="s">
        <v>32</v>
      </c>
      <c r="I157" t="s">
        <v>33</v>
      </c>
      <c r="J157" t="s">
        <v>24</v>
      </c>
      <c r="K157" t="s">
        <v>25</v>
      </c>
      <c r="L157">
        <v>1</v>
      </c>
      <c r="M157">
        <v>86.34</v>
      </c>
      <c r="N157">
        <v>21.06</v>
      </c>
      <c r="O157">
        <v>0.65</v>
      </c>
      <c r="P157">
        <v>13.69</v>
      </c>
      <c r="Q157" t="s">
        <v>59</v>
      </c>
      <c r="R157">
        <v>-13.69</v>
      </c>
      <c r="S157">
        <v>0</v>
      </c>
    </row>
    <row r="158" spans="1:19" x14ac:dyDescent="0.25">
      <c r="A158" t="s">
        <v>125</v>
      </c>
      <c r="B158" t="s">
        <v>30</v>
      </c>
      <c r="C158" t="s">
        <v>126</v>
      </c>
      <c r="D158" s="1">
        <v>45689</v>
      </c>
      <c r="E158" s="1">
        <v>45870</v>
      </c>
      <c r="F158">
        <v>1</v>
      </c>
      <c r="G158">
        <v>2</v>
      </c>
      <c r="H158" t="s">
        <v>32</v>
      </c>
      <c r="I158" t="s">
        <v>33</v>
      </c>
      <c r="J158" t="s">
        <v>24</v>
      </c>
      <c r="K158" t="s">
        <v>76</v>
      </c>
      <c r="L158">
        <v>1</v>
      </c>
      <c r="M158">
        <v>86.34</v>
      </c>
      <c r="N158">
        <v>1.43</v>
      </c>
      <c r="O158">
        <v>0.65</v>
      </c>
      <c r="P158">
        <v>0.93</v>
      </c>
      <c r="Q158" t="s">
        <v>59</v>
      </c>
      <c r="R158">
        <v>-0.93</v>
      </c>
      <c r="S158">
        <v>0</v>
      </c>
    </row>
    <row r="159" spans="1:19" x14ac:dyDescent="0.25">
      <c r="A159" t="s">
        <v>125</v>
      </c>
      <c r="B159" t="s">
        <v>30</v>
      </c>
      <c r="C159" t="s">
        <v>126</v>
      </c>
      <c r="D159" s="1">
        <v>45689</v>
      </c>
      <c r="E159" s="1">
        <v>45870</v>
      </c>
      <c r="F159">
        <v>1</v>
      </c>
      <c r="G159">
        <v>2</v>
      </c>
      <c r="H159" t="s">
        <v>32</v>
      </c>
      <c r="I159" t="s">
        <v>33</v>
      </c>
      <c r="J159" t="s">
        <v>24</v>
      </c>
      <c r="K159" t="s">
        <v>34</v>
      </c>
      <c r="L159">
        <v>1</v>
      </c>
      <c r="M159">
        <v>86.34</v>
      </c>
      <c r="N159">
        <v>14.23</v>
      </c>
      <c r="O159">
        <v>0.65</v>
      </c>
      <c r="P159">
        <v>9.25</v>
      </c>
      <c r="Q159" t="s">
        <v>59</v>
      </c>
      <c r="R159">
        <v>-9.25</v>
      </c>
      <c r="S159">
        <v>0</v>
      </c>
    </row>
    <row r="160" spans="1:19" x14ac:dyDescent="0.25">
      <c r="A160" t="s">
        <v>125</v>
      </c>
      <c r="B160" t="s">
        <v>30</v>
      </c>
      <c r="C160" t="s">
        <v>126</v>
      </c>
      <c r="D160" s="1">
        <v>45689</v>
      </c>
      <c r="E160" s="1">
        <v>45870</v>
      </c>
      <c r="F160">
        <v>1</v>
      </c>
      <c r="G160">
        <v>2</v>
      </c>
      <c r="H160" t="s">
        <v>32</v>
      </c>
      <c r="I160" t="s">
        <v>33</v>
      </c>
      <c r="J160" t="s">
        <v>24</v>
      </c>
      <c r="K160" t="s">
        <v>42</v>
      </c>
      <c r="L160">
        <v>1</v>
      </c>
      <c r="M160">
        <v>86.34</v>
      </c>
      <c r="N160">
        <v>2.75</v>
      </c>
      <c r="O160">
        <v>0.65</v>
      </c>
      <c r="P160">
        <v>1.79</v>
      </c>
      <c r="Q160" t="s">
        <v>59</v>
      </c>
      <c r="R160">
        <v>-1.79</v>
      </c>
      <c r="S160">
        <v>0</v>
      </c>
    </row>
    <row r="161" spans="1:19" x14ac:dyDescent="0.25">
      <c r="A161" t="s">
        <v>127</v>
      </c>
      <c r="B161" t="s">
        <v>128</v>
      </c>
      <c r="C161" t="s">
        <v>129</v>
      </c>
      <c r="D161" s="1">
        <v>45536</v>
      </c>
      <c r="E161" s="1">
        <v>45870</v>
      </c>
      <c r="F161">
        <v>1</v>
      </c>
      <c r="G161">
        <v>10</v>
      </c>
      <c r="H161" t="s">
        <v>130</v>
      </c>
      <c r="I161" t="s">
        <v>131</v>
      </c>
      <c r="J161" t="s">
        <v>132</v>
      </c>
      <c r="K161" t="s">
        <v>25</v>
      </c>
      <c r="L161">
        <v>1</v>
      </c>
      <c r="M161">
        <v>156.69999999999999</v>
      </c>
      <c r="N161">
        <v>24.37</v>
      </c>
      <c r="O161">
        <v>0.65</v>
      </c>
      <c r="P161">
        <v>15.84</v>
      </c>
      <c r="Q161" t="s">
        <v>40</v>
      </c>
      <c r="R161">
        <v>0</v>
      </c>
      <c r="S161">
        <v>15.84</v>
      </c>
    </row>
    <row r="162" spans="1:19" x14ac:dyDescent="0.25">
      <c r="A162" t="s">
        <v>127</v>
      </c>
      <c r="B162" t="s">
        <v>128</v>
      </c>
      <c r="C162" t="s">
        <v>129</v>
      </c>
      <c r="D162" s="1">
        <v>45536</v>
      </c>
      <c r="E162" s="1">
        <v>45870</v>
      </c>
      <c r="F162">
        <v>1</v>
      </c>
      <c r="G162">
        <v>10</v>
      </c>
      <c r="H162" t="s">
        <v>130</v>
      </c>
      <c r="I162" t="s">
        <v>131</v>
      </c>
      <c r="J162" t="s">
        <v>132</v>
      </c>
      <c r="K162" t="s">
        <v>133</v>
      </c>
      <c r="L162">
        <v>1</v>
      </c>
      <c r="M162">
        <v>0</v>
      </c>
      <c r="N162">
        <v>38.47</v>
      </c>
      <c r="O162">
        <v>0.65</v>
      </c>
      <c r="P162">
        <v>25.01</v>
      </c>
      <c r="Q162" t="s">
        <v>40</v>
      </c>
      <c r="R162">
        <v>0</v>
      </c>
      <c r="S162">
        <v>25.01</v>
      </c>
    </row>
    <row r="163" spans="1:19" x14ac:dyDescent="0.25">
      <c r="A163" t="s">
        <v>127</v>
      </c>
      <c r="B163" t="s">
        <v>128</v>
      </c>
      <c r="C163" t="s">
        <v>129</v>
      </c>
      <c r="D163" s="1">
        <v>45536</v>
      </c>
      <c r="E163" s="1">
        <v>45870</v>
      </c>
      <c r="F163">
        <v>1</v>
      </c>
      <c r="G163">
        <v>10</v>
      </c>
      <c r="H163" t="s">
        <v>130</v>
      </c>
      <c r="I163" t="s">
        <v>131</v>
      </c>
      <c r="J163" t="s">
        <v>132</v>
      </c>
      <c r="K163" t="s">
        <v>27</v>
      </c>
      <c r="L163">
        <v>1</v>
      </c>
      <c r="M163">
        <v>0</v>
      </c>
      <c r="N163">
        <v>18.649999999999999</v>
      </c>
      <c r="O163">
        <v>0.65</v>
      </c>
      <c r="P163">
        <v>12.12</v>
      </c>
      <c r="Q163" t="s">
        <v>40</v>
      </c>
      <c r="R163">
        <v>0</v>
      </c>
      <c r="S163">
        <v>12.12</v>
      </c>
    </row>
    <row r="164" spans="1:19" x14ac:dyDescent="0.25">
      <c r="A164" t="s">
        <v>127</v>
      </c>
      <c r="B164" t="s">
        <v>128</v>
      </c>
      <c r="C164" t="s">
        <v>129</v>
      </c>
      <c r="D164" s="1">
        <v>45536</v>
      </c>
      <c r="E164" s="1">
        <v>45870</v>
      </c>
      <c r="F164">
        <v>1</v>
      </c>
      <c r="G164">
        <v>10</v>
      </c>
      <c r="H164" t="s">
        <v>130</v>
      </c>
      <c r="I164" t="s">
        <v>131</v>
      </c>
      <c r="J164" t="s">
        <v>132</v>
      </c>
      <c r="K164" t="s">
        <v>76</v>
      </c>
      <c r="L164">
        <v>1</v>
      </c>
      <c r="M164">
        <v>0</v>
      </c>
      <c r="N164">
        <v>1.79</v>
      </c>
      <c r="O164">
        <v>0.65</v>
      </c>
      <c r="P164">
        <v>1.1599999999999999</v>
      </c>
      <c r="Q164" t="s">
        <v>40</v>
      </c>
      <c r="R164">
        <v>0</v>
      </c>
      <c r="S164">
        <v>1.1599999999999999</v>
      </c>
    </row>
    <row r="165" spans="1:19" x14ac:dyDescent="0.25">
      <c r="A165" t="s">
        <v>127</v>
      </c>
      <c r="B165" t="s">
        <v>128</v>
      </c>
      <c r="C165" t="s">
        <v>129</v>
      </c>
      <c r="D165" s="1">
        <v>45536</v>
      </c>
      <c r="E165" s="1">
        <v>45870</v>
      </c>
      <c r="F165">
        <v>1</v>
      </c>
      <c r="G165">
        <v>10</v>
      </c>
      <c r="H165" t="s">
        <v>130</v>
      </c>
      <c r="I165" t="s">
        <v>131</v>
      </c>
      <c r="J165" t="s">
        <v>132</v>
      </c>
      <c r="K165" t="s">
        <v>28</v>
      </c>
      <c r="L165">
        <v>1</v>
      </c>
      <c r="M165">
        <v>0</v>
      </c>
      <c r="N165">
        <v>1.68</v>
      </c>
      <c r="O165">
        <v>0.65</v>
      </c>
      <c r="P165">
        <v>1.0900000000000001</v>
      </c>
      <c r="Q165" t="s">
        <v>40</v>
      </c>
      <c r="R165">
        <v>0</v>
      </c>
      <c r="S165">
        <v>1.0900000000000001</v>
      </c>
    </row>
    <row r="166" spans="1:19" x14ac:dyDescent="0.25">
      <c r="A166" t="s">
        <v>127</v>
      </c>
      <c r="B166" t="s">
        <v>128</v>
      </c>
      <c r="C166" t="s">
        <v>129</v>
      </c>
      <c r="D166" s="1">
        <v>45536</v>
      </c>
      <c r="E166" s="1">
        <v>45870</v>
      </c>
      <c r="F166">
        <v>1</v>
      </c>
      <c r="G166">
        <v>10</v>
      </c>
      <c r="H166" t="s">
        <v>130</v>
      </c>
      <c r="I166" t="s">
        <v>131</v>
      </c>
      <c r="J166" t="s">
        <v>132</v>
      </c>
      <c r="K166" t="s">
        <v>34</v>
      </c>
      <c r="L166">
        <v>1</v>
      </c>
      <c r="M166">
        <v>0</v>
      </c>
      <c r="N166">
        <v>17.96</v>
      </c>
      <c r="O166">
        <v>0.65</v>
      </c>
      <c r="P166">
        <v>11.67</v>
      </c>
      <c r="Q166" t="s">
        <v>40</v>
      </c>
      <c r="R166">
        <v>0</v>
      </c>
      <c r="S166">
        <v>11.67</v>
      </c>
    </row>
    <row r="167" spans="1:19" x14ac:dyDescent="0.25">
      <c r="A167" t="s">
        <v>127</v>
      </c>
      <c r="B167" t="s">
        <v>128</v>
      </c>
      <c r="C167" t="s">
        <v>129</v>
      </c>
      <c r="D167" s="1">
        <v>45536</v>
      </c>
      <c r="E167" s="1">
        <v>45870</v>
      </c>
      <c r="F167">
        <v>1</v>
      </c>
      <c r="G167">
        <v>10</v>
      </c>
      <c r="H167" t="s">
        <v>130</v>
      </c>
      <c r="I167" t="s">
        <v>131</v>
      </c>
      <c r="J167" t="s">
        <v>132</v>
      </c>
      <c r="K167" t="s">
        <v>106</v>
      </c>
      <c r="L167">
        <v>1</v>
      </c>
      <c r="M167">
        <v>0</v>
      </c>
      <c r="N167">
        <v>33.159999999999997</v>
      </c>
      <c r="O167">
        <v>0.65</v>
      </c>
      <c r="P167">
        <v>21.55</v>
      </c>
      <c r="Q167" t="s">
        <v>40</v>
      </c>
      <c r="R167">
        <v>0</v>
      </c>
      <c r="S167">
        <v>21.55</v>
      </c>
    </row>
    <row r="168" spans="1:19" x14ac:dyDescent="0.25">
      <c r="A168" t="s">
        <v>127</v>
      </c>
      <c r="B168" t="s">
        <v>128</v>
      </c>
      <c r="C168" t="s">
        <v>129</v>
      </c>
      <c r="D168" s="1">
        <v>45536</v>
      </c>
      <c r="E168" s="1">
        <v>45870</v>
      </c>
      <c r="F168">
        <v>1</v>
      </c>
      <c r="G168">
        <v>10</v>
      </c>
      <c r="H168" t="s">
        <v>130</v>
      </c>
      <c r="I168" t="s">
        <v>131</v>
      </c>
      <c r="J168" t="s">
        <v>132</v>
      </c>
      <c r="K168" t="s">
        <v>105</v>
      </c>
      <c r="L168">
        <v>1</v>
      </c>
      <c r="M168">
        <v>0</v>
      </c>
      <c r="N168">
        <v>3.53</v>
      </c>
      <c r="O168">
        <v>0.65</v>
      </c>
      <c r="P168">
        <v>2.29</v>
      </c>
      <c r="Q168" t="s">
        <v>40</v>
      </c>
      <c r="R168">
        <v>0</v>
      </c>
      <c r="S168">
        <v>2.29</v>
      </c>
    </row>
    <row r="169" spans="1:19" x14ac:dyDescent="0.25">
      <c r="A169" t="s">
        <v>127</v>
      </c>
      <c r="B169" t="s">
        <v>128</v>
      </c>
      <c r="C169" t="s">
        <v>129</v>
      </c>
      <c r="D169" s="1">
        <v>45536</v>
      </c>
      <c r="E169" s="1">
        <v>45870</v>
      </c>
      <c r="F169">
        <v>1</v>
      </c>
      <c r="G169">
        <v>10</v>
      </c>
      <c r="H169" t="s">
        <v>130</v>
      </c>
      <c r="I169" t="s">
        <v>131</v>
      </c>
      <c r="J169" t="s">
        <v>132</v>
      </c>
      <c r="K169" t="s">
        <v>77</v>
      </c>
      <c r="L169">
        <v>1</v>
      </c>
      <c r="M169">
        <v>0</v>
      </c>
      <c r="N169">
        <v>12.47</v>
      </c>
      <c r="O169">
        <v>0.65</v>
      </c>
      <c r="P169">
        <v>8.11</v>
      </c>
      <c r="Q169" t="s">
        <v>40</v>
      </c>
      <c r="R169">
        <v>0</v>
      </c>
      <c r="S169">
        <v>8.11</v>
      </c>
    </row>
    <row r="170" spans="1:19" x14ac:dyDescent="0.25">
      <c r="A170" t="s">
        <v>127</v>
      </c>
      <c r="B170" t="s">
        <v>128</v>
      </c>
      <c r="C170" t="s">
        <v>129</v>
      </c>
      <c r="D170" s="1">
        <v>45536</v>
      </c>
      <c r="E170" s="1">
        <v>45870</v>
      </c>
      <c r="F170">
        <v>1</v>
      </c>
      <c r="G170">
        <v>10</v>
      </c>
      <c r="H170" t="s">
        <v>130</v>
      </c>
      <c r="I170" t="s">
        <v>131</v>
      </c>
      <c r="J170" t="s">
        <v>132</v>
      </c>
      <c r="K170" t="s">
        <v>75</v>
      </c>
      <c r="L170">
        <v>1</v>
      </c>
      <c r="M170">
        <v>0</v>
      </c>
      <c r="N170">
        <v>4.62</v>
      </c>
      <c r="O170">
        <v>0.65</v>
      </c>
      <c r="P170">
        <v>3</v>
      </c>
      <c r="Q170" t="s">
        <v>40</v>
      </c>
      <c r="R170">
        <v>0</v>
      </c>
      <c r="S170">
        <v>3</v>
      </c>
    </row>
    <row r="171" spans="1:19" x14ac:dyDescent="0.25">
      <c r="A171" t="s">
        <v>134</v>
      </c>
      <c r="B171" t="s">
        <v>128</v>
      </c>
      <c r="C171" t="s">
        <v>135</v>
      </c>
      <c r="D171" s="1">
        <v>45658</v>
      </c>
      <c r="E171" s="1">
        <v>45870</v>
      </c>
      <c r="F171">
        <v>1</v>
      </c>
      <c r="G171">
        <v>10</v>
      </c>
      <c r="H171" t="s">
        <v>130</v>
      </c>
      <c r="I171" t="s">
        <v>131</v>
      </c>
      <c r="J171" t="s">
        <v>132</v>
      </c>
      <c r="K171" t="s">
        <v>25</v>
      </c>
      <c r="L171">
        <v>1</v>
      </c>
      <c r="M171">
        <v>78.73</v>
      </c>
      <c r="N171">
        <v>33.67</v>
      </c>
      <c r="O171">
        <v>0.65</v>
      </c>
      <c r="P171">
        <v>21.89</v>
      </c>
      <c r="Q171" t="s">
        <v>59</v>
      </c>
      <c r="R171">
        <v>-21.89</v>
      </c>
      <c r="S171">
        <v>0</v>
      </c>
    </row>
    <row r="172" spans="1:19" x14ac:dyDescent="0.25">
      <c r="A172" t="s">
        <v>134</v>
      </c>
      <c r="B172" t="s">
        <v>128</v>
      </c>
      <c r="C172" t="s">
        <v>135</v>
      </c>
      <c r="D172" s="1">
        <v>45658</v>
      </c>
      <c r="E172" s="1">
        <v>45870</v>
      </c>
      <c r="F172">
        <v>1</v>
      </c>
      <c r="G172">
        <v>10</v>
      </c>
      <c r="H172" t="s">
        <v>130</v>
      </c>
      <c r="I172" t="s">
        <v>131</v>
      </c>
      <c r="J172" t="s">
        <v>132</v>
      </c>
      <c r="K172" t="s">
        <v>76</v>
      </c>
      <c r="L172">
        <v>1</v>
      </c>
      <c r="M172">
        <v>0</v>
      </c>
      <c r="N172">
        <v>3.53</v>
      </c>
      <c r="O172">
        <v>0.65</v>
      </c>
      <c r="P172">
        <v>2.29</v>
      </c>
      <c r="Q172" t="s">
        <v>59</v>
      </c>
      <c r="R172">
        <v>-2.29</v>
      </c>
      <c r="S172">
        <v>0</v>
      </c>
    </row>
    <row r="173" spans="1:19" x14ac:dyDescent="0.25">
      <c r="A173" t="s">
        <v>134</v>
      </c>
      <c r="B173" t="s">
        <v>128</v>
      </c>
      <c r="C173" t="s">
        <v>135</v>
      </c>
      <c r="D173" s="1">
        <v>45658</v>
      </c>
      <c r="E173" s="1">
        <v>45870</v>
      </c>
      <c r="F173">
        <v>1</v>
      </c>
      <c r="G173">
        <v>10</v>
      </c>
      <c r="H173" t="s">
        <v>130</v>
      </c>
      <c r="I173" t="s">
        <v>131</v>
      </c>
      <c r="J173" t="s">
        <v>132</v>
      </c>
      <c r="K173" t="s">
        <v>136</v>
      </c>
      <c r="L173">
        <v>1</v>
      </c>
      <c r="M173">
        <v>0</v>
      </c>
      <c r="N173">
        <v>3.2</v>
      </c>
      <c r="O173">
        <v>0.65</v>
      </c>
      <c r="P173">
        <v>2.08</v>
      </c>
      <c r="Q173" t="s">
        <v>59</v>
      </c>
      <c r="R173">
        <v>-2.08</v>
      </c>
      <c r="S173">
        <v>0</v>
      </c>
    </row>
    <row r="174" spans="1:19" x14ac:dyDescent="0.25">
      <c r="A174" t="s">
        <v>134</v>
      </c>
      <c r="B174" t="s">
        <v>128</v>
      </c>
      <c r="C174" t="s">
        <v>135</v>
      </c>
      <c r="D174" s="1">
        <v>45658</v>
      </c>
      <c r="E174" s="1">
        <v>45870</v>
      </c>
      <c r="F174">
        <v>1</v>
      </c>
      <c r="G174">
        <v>10</v>
      </c>
      <c r="H174" t="s">
        <v>130</v>
      </c>
      <c r="I174" t="s">
        <v>131</v>
      </c>
      <c r="J174" t="s">
        <v>132</v>
      </c>
      <c r="K174" t="s">
        <v>28</v>
      </c>
      <c r="L174">
        <v>1</v>
      </c>
      <c r="M174">
        <v>0</v>
      </c>
      <c r="N174">
        <v>1.68</v>
      </c>
      <c r="O174">
        <v>0.65</v>
      </c>
      <c r="P174">
        <v>1.0900000000000001</v>
      </c>
      <c r="Q174" t="s">
        <v>59</v>
      </c>
      <c r="R174">
        <v>-1.0900000000000001</v>
      </c>
      <c r="S174">
        <v>0</v>
      </c>
    </row>
    <row r="175" spans="1:19" x14ac:dyDescent="0.25">
      <c r="A175" t="s">
        <v>134</v>
      </c>
      <c r="B175" t="s">
        <v>128</v>
      </c>
      <c r="C175" t="s">
        <v>135</v>
      </c>
      <c r="D175" s="1">
        <v>45658</v>
      </c>
      <c r="E175" s="1">
        <v>45870</v>
      </c>
      <c r="F175">
        <v>1</v>
      </c>
      <c r="G175">
        <v>10</v>
      </c>
      <c r="H175" t="s">
        <v>130</v>
      </c>
      <c r="I175" t="s">
        <v>131</v>
      </c>
      <c r="J175" t="s">
        <v>132</v>
      </c>
      <c r="K175" t="s">
        <v>137</v>
      </c>
      <c r="L175">
        <v>1</v>
      </c>
      <c r="M175">
        <v>0</v>
      </c>
      <c r="N175">
        <v>5.88</v>
      </c>
      <c r="O175">
        <v>0.65</v>
      </c>
      <c r="P175">
        <v>3.82</v>
      </c>
      <c r="Q175" t="s">
        <v>59</v>
      </c>
      <c r="R175">
        <v>-3.82</v>
      </c>
      <c r="S175">
        <v>0</v>
      </c>
    </row>
    <row r="176" spans="1:19" x14ac:dyDescent="0.25">
      <c r="A176" t="s">
        <v>134</v>
      </c>
      <c r="B176" t="s">
        <v>128</v>
      </c>
      <c r="C176" t="s">
        <v>135</v>
      </c>
      <c r="D176" s="1">
        <v>45658</v>
      </c>
      <c r="E176" s="1">
        <v>45870</v>
      </c>
      <c r="F176">
        <v>1</v>
      </c>
      <c r="G176">
        <v>10</v>
      </c>
      <c r="H176" t="s">
        <v>130</v>
      </c>
      <c r="I176" t="s">
        <v>131</v>
      </c>
      <c r="J176" t="s">
        <v>132</v>
      </c>
      <c r="K176" t="s">
        <v>34</v>
      </c>
      <c r="L176">
        <v>1</v>
      </c>
      <c r="M176">
        <v>0</v>
      </c>
      <c r="N176">
        <v>23.78</v>
      </c>
      <c r="O176">
        <v>0.65</v>
      </c>
      <c r="P176">
        <v>15.46</v>
      </c>
      <c r="Q176" t="s">
        <v>59</v>
      </c>
      <c r="R176">
        <v>-15.46</v>
      </c>
      <c r="S176">
        <v>0</v>
      </c>
    </row>
    <row r="177" spans="1:19" x14ac:dyDescent="0.25">
      <c r="A177" t="s">
        <v>134</v>
      </c>
      <c r="B177" t="s">
        <v>128</v>
      </c>
      <c r="C177" t="s">
        <v>135</v>
      </c>
      <c r="D177" s="1">
        <v>45658</v>
      </c>
      <c r="E177" s="1">
        <v>45870</v>
      </c>
      <c r="F177">
        <v>1</v>
      </c>
      <c r="G177">
        <v>10</v>
      </c>
      <c r="H177" t="s">
        <v>130</v>
      </c>
      <c r="I177" t="s">
        <v>131</v>
      </c>
      <c r="J177" t="s">
        <v>132</v>
      </c>
      <c r="K177" t="s">
        <v>74</v>
      </c>
      <c r="L177">
        <v>1</v>
      </c>
      <c r="M177">
        <v>0</v>
      </c>
      <c r="N177">
        <v>6.99</v>
      </c>
      <c r="O177">
        <v>0.65</v>
      </c>
      <c r="P177">
        <v>4.54</v>
      </c>
      <c r="Q177" t="s">
        <v>59</v>
      </c>
      <c r="R177">
        <v>-4.54</v>
      </c>
      <c r="S177">
        <v>0</v>
      </c>
    </row>
    <row r="178" spans="1:19" x14ac:dyDescent="0.25">
      <c r="A178" t="s">
        <v>138</v>
      </c>
      <c r="B178" t="s">
        <v>128</v>
      </c>
      <c r="C178" t="s">
        <v>139</v>
      </c>
      <c r="D178" s="1">
        <v>45658</v>
      </c>
      <c r="E178" s="1">
        <v>45870</v>
      </c>
      <c r="F178">
        <v>1</v>
      </c>
      <c r="G178">
        <v>10</v>
      </c>
      <c r="H178" t="s">
        <v>130</v>
      </c>
      <c r="I178" t="s">
        <v>131</v>
      </c>
      <c r="J178" t="s">
        <v>132</v>
      </c>
      <c r="K178" t="s">
        <v>25</v>
      </c>
      <c r="L178">
        <v>1</v>
      </c>
      <c r="M178">
        <v>143.74</v>
      </c>
      <c r="N178">
        <v>31.28</v>
      </c>
      <c r="O178">
        <v>0.65</v>
      </c>
      <c r="P178">
        <v>20.329999999999998</v>
      </c>
      <c r="Q178" t="s">
        <v>59</v>
      </c>
      <c r="R178">
        <v>-20.329999999999998</v>
      </c>
      <c r="S178">
        <v>0</v>
      </c>
    </row>
    <row r="179" spans="1:19" x14ac:dyDescent="0.25">
      <c r="A179" t="s">
        <v>138</v>
      </c>
      <c r="B179" t="s">
        <v>128</v>
      </c>
      <c r="C179" t="s">
        <v>139</v>
      </c>
      <c r="D179" s="1">
        <v>45658</v>
      </c>
      <c r="E179" s="1">
        <v>45870</v>
      </c>
      <c r="F179">
        <v>1</v>
      </c>
      <c r="G179">
        <v>10</v>
      </c>
      <c r="H179" t="s">
        <v>130</v>
      </c>
      <c r="I179" t="s">
        <v>131</v>
      </c>
      <c r="J179" t="s">
        <v>132</v>
      </c>
      <c r="K179" t="s">
        <v>27</v>
      </c>
      <c r="L179">
        <v>1</v>
      </c>
      <c r="M179">
        <v>0</v>
      </c>
      <c r="N179">
        <v>12.43</v>
      </c>
      <c r="O179">
        <v>0.65</v>
      </c>
      <c r="P179">
        <v>8.08</v>
      </c>
      <c r="Q179" t="s">
        <v>59</v>
      </c>
      <c r="R179">
        <v>-8.08</v>
      </c>
      <c r="S179">
        <v>0</v>
      </c>
    </row>
    <row r="180" spans="1:19" x14ac:dyDescent="0.25">
      <c r="A180" t="s">
        <v>138</v>
      </c>
      <c r="B180" t="s">
        <v>128</v>
      </c>
      <c r="C180" t="s">
        <v>139</v>
      </c>
      <c r="D180" s="1">
        <v>45658</v>
      </c>
      <c r="E180" s="1">
        <v>45870</v>
      </c>
      <c r="F180">
        <v>1</v>
      </c>
      <c r="G180">
        <v>10</v>
      </c>
      <c r="H180" t="s">
        <v>130</v>
      </c>
      <c r="I180" t="s">
        <v>131</v>
      </c>
      <c r="J180" t="s">
        <v>132</v>
      </c>
      <c r="K180" t="s">
        <v>133</v>
      </c>
      <c r="L180">
        <v>1</v>
      </c>
      <c r="M180">
        <v>0</v>
      </c>
      <c r="N180">
        <v>37.21</v>
      </c>
      <c r="O180">
        <v>0.65</v>
      </c>
      <c r="P180">
        <v>24.19</v>
      </c>
      <c r="Q180" t="s">
        <v>59</v>
      </c>
      <c r="R180">
        <v>-24.19</v>
      </c>
      <c r="S180">
        <v>0</v>
      </c>
    </row>
    <row r="181" spans="1:19" x14ac:dyDescent="0.25">
      <c r="A181" t="s">
        <v>138</v>
      </c>
      <c r="B181" t="s">
        <v>128</v>
      </c>
      <c r="C181" t="s">
        <v>139</v>
      </c>
      <c r="D181" s="1">
        <v>45658</v>
      </c>
      <c r="E181" s="1">
        <v>45870</v>
      </c>
      <c r="F181">
        <v>1</v>
      </c>
      <c r="G181">
        <v>10</v>
      </c>
      <c r="H181" t="s">
        <v>130</v>
      </c>
      <c r="I181" t="s">
        <v>131</v>
      </c>
      <c r="J181" t="s">
        <v>132</v>
      </c>
      <c r="K181" t="s">
        <v>34</v>
      </c>
      <c r="L181">
        <v>1</v>
      </c>
      <c r="M181">
        <v>0</v>
      </c>
      <c r="N181">
        <v>14.23</v>
      </c>
      <c r="O181">
        <v>0.65</v>
      </c>
      <c r="P181">
        <v>9.25</v>
      </c>
      <c r="Q181" t="s">
        <v>59</v>
      </c>
      <c r="R181">
        <v>-9.25</v>
      </c>
      <c r="S181">
        <v>0</v>
      </c>
    </row>
    <row r="182" spans="1:19" x14ac:dyDescent="0.25">
      <c r="A182" t="s">
        <v>138</v>
      </c>
      <c r="B182" t="s">
        <v>128</v>
      </c>
      <c r="C182" t="s">
        <v>139</v>
      </c>
      <c r="D182" s="1">
        <v>45658</v>
      </c>
      <c r="E182" s="1">
        <v>45870</v>
      </c>
      <c r="F182">
        <v>1</v>
      </c>
      <c r="G182">
        <v>10</v>
      </c>
      <c r="H182" t="s">
        <v>130</v>
      </c>
      <c r="I182" t="s">
        <v>131</v>
      </c>
      <c r="J182" t="s">
        <v>132</v>
      </c>
      <c r="K182" t="s">
        <v>76</v>
      </c>
      <c r="L182">
        <v>1</v>
      </c>
      <c r="M182">
        <v>0</v>
      </c>
      <c r="N182">
        <v>2.86</v>
      </c>
      <c r="O182">
        <v>0.65</v>
      </c>
      <c r="P182">
        <v>1.86</v>
      </c>
      <c r="Q182" t="s">
        <v>59</v>
      </c>
      <c r="R182">
        <v>-1.86</v>
      </c>
      <c r="S182">
        <v>0</v>
      </c>
    </row>
    <row r="183" spans="1:19" x14ac:dyDescent="0.25">
      <c r="A183" t="s">
        <v>138</v>
      </c>
      <c r="B183" t="s">
        <v>128</v>
      </c>
      <c r="C183" t="s">
        <v>139</v>
      </c>
      <c r="D183" s="1">
        <v>45658</v>
      </c>
      <c r="E183" s="1">
        <v>45870</v>
      </c>
      <c r="F183">
        <v>1</v>
      </c>
      <c r="G183">
        <v>10</v>
      </c>
      <c r="H183" t="s">
        <v>130</v>
      </c>
      <c r="I183" t="s">
        <v>131</v>
      </c>
      <c r="J183" t="s">
        <v>132</v>
      </c>
      <c r="K183" t="s">
        <v>28</v>
      </c>
      <c r="L183">
        <v>1</v>
      </c>
      <c r="M183">
        <v>0</v>
      </c>
      <c r="N183">
        <v>1.68</v>
      </c>
      <c r="O183">
        <v>0.65</v>
      </c>
      <c r="P183">
        <v>1.0900000000000001</v>
      </c>
      <c r="Q183" t="s">
        <v>59</v>
      </c>
      <c r="R183">
        <v>-1.0900000000000001</v>
      </c>
      <c r="S183">
        <v>0</v>
      </c>
    </row>
    <row r="184" spans="1:19" x14ac:dyDescent="0.25">
      <c r="A184" t="s">
        <v>138</v>
      </c>
      <c r="B184" t="s">
        <v>128</v>
      </c>
      <c r="C184" t="s">
        <v>139</v>
      </c>
      <c r="D184" s="1">
        <v>45658</v>
      </c>
      <c r="E184" s="1">
        <v>45870</v>
      </c>
      <c r="F184">
        <v>1</v>
      </c>
      <c r="G184">
        <v>10</v>
      </c>
      <c r="H184" t="s">
        <v>130</v>
      </c>
      <c r="I184" t="s">
        <v>131</v>
      </c>
      <c r="J184" t="s">
        <v>132</v>
      </c>
      <c r="K184" t="s">
        <v>106</v>
      </c>
      <c r="L184">
        <v>1</v>
      </c>
      <c r="M184">
        <v>0</v>
      </c>
      <c r="N184">
        <v>30.86</v>
      </c>
      <c r="O184">
        <v>0.65</v>
      </c>
      <c r="P184">
        <v>20.059999999999999</v>
      </c>
      <c r="Q184" t="s">
        <v>59</v>
      </c>
      <c r="R184">
        <v>-20.059999999999999</v>
      </c>
      <c r="S184">
        <v>0</v>
      </c>
    </row>
    <row r="185" spans="1:19" x14ac:dyDescent="0.25">
      <c r="A185" t="s">
        <v>138</v>
      </c>
      <c r="B185" t="s">
        <v>128</v>
      </c>
      <c r="C185" t="s">
        <v>139</v>
      </c>
      <c r="D185" s="1">
        <v>45658</v>
      </c>
      <c r="E185" s="1">
        <v>45870</v>
      </c>
      <c r="F185">
        <v>1</v>
      </c>
      <c r="G185">
        <v>10</v>
      </c>
      <c r="H185" t="s">
        <v>130</v>
      </c>
      <c r="I185" t="s">
        <v>131</v>
      </c>
      <c r="J185" t="s">
        <v>132</v>
      </c>
      <c r="K185" t="s">
        <v>74</v>
      </c>
      <c r="L185">
        <v>1</v>
      </c>
      <c r="M185">
        <v>0</v>
      </c>
      <c r="N185">
        <v>6.99</v>
      </c>
      <c r="O185">
        <v>0.65</v>
      </c>
      <c r="P185">
        <v>4.54</v>
      </c>
      <c r="Q185" t="s">
        <v>59</v>
      </c>
      <c r="R185">
        <v>-4.54</v>
      </c>
      <c r="S185">
        <v>0</v>
      </c>
    </row>
    <row r="186" spans="1:19" x14ac:dyDescent="0.25">
      <c r="A186" t="s">
        <v>138</v>
      </c>
      <c r="B186" t="s">
        <v>128</v>
      </c>
      <c r="C186" t="s">
        <v>139</v>
      </c>
      <c r="D186" s="1">
        <v>45658</v>
      </c>
      <c r="E186" s="1">
        <v>45870</v>
      </c>
      <c r="F186">
        <v>1</v>
      </c>
      <c r="G186">
        <v>10</v>
      </c>
      <c r="H186" t="s">
        <v>130</v>
      </c>
      <c r="I186" t="s">
        <v>131</v>
      </c>
      <c r="J186" t="s">
        <v>132</v>
      </c>
      <c r="K186" t="s">
        <v>105</v>
      </c>
      <c r="L186">
        <v>1</v>
      </c>
      <c r="M186">
        <v>0</v>
      </c>
      <c r="N186">
        <v>2.92</v>
      </c>
      <c r="O186">
        <v>0.65</v>
      </c>
      <c r="P186">
        <v>1.9</v>
      </c>
      <c r="Q186" t="s">
        <v>59</v>
      </c>
      <c r="R186">
        <v>-1.9</v>
      </c>
      <c r="S186">
        <v>0</v>
      </c>
    </row>
    <row r="187" spans="1:19" x14ac:dyDescent="0.25">
      <c r="A187" t="s">
        <v>138</v>
      </c>
      <c r="B187" t="s">
        <v>128</v>
      </c>
      <c r="C187" t="s">
        <v>139</v>
      </c>
      <c r="D187" s="1">
        <v>45658</v>
      </c>
      <c r="E187" s="1">
        <v>45870</v>
      </c>
      <c r="F187">
        <v>1</v>
      </c>
      <c r="G187">
        <v>10</v>
      </c>
      <c r="H187" t="s">
        <v>130</v>
      </c>
      <c r="I187" t="s">
        <v>131</v>
      </c>
      <c r="J187" t="s">
        <v>132</v>
      </c>
      <c r="K187" t="s">
        <v>75</v>
      </c>
      <c r="L187">
        <v>1</v>
      </c>
      <c r="M187">
        <v>0</v>
      </c>
      <c r="N187">
        <v>3.28</v>
      </c>
      <c r="O187">
        <v>0.65</v>
      </c>
      <c r="P187">
        <v>2.13</v>
      </c>
      <c r="Q187" t="s">
        <v>59</v>
      </c>
      <c r="R187">
        <v>-2.13</v>
      </c>
      <c r="S187">
        <v>0</v>
      </c>
    </row>
    <row r="188" spans="1:19" x14ac:dyDescent="0.25">
      <c r="A188" t="s">
        <v>140</v>
      </c>
      <c r="B188" t="s">
        <v>128</v>
      </c>
      <c r="C188" t="s">
        <v>141</v>
      </c>
      <c r="D188" s="1">
        <v>45658</v>
      </c>
      <c r="E188" s="1">
        <v>45870</v>
      </c>
      <c r="F188">
        <v>1</v>
      </c>
      <c r="G188">
        <v>10</v>
      </c>
      <c r="H188" t="s">
        <v>130</v>
      </c>
      <c r="I188" t="s">
        <v>131</v>
      </c>
      <c r="J188" t="s">
        <v>132</v>
      </c>
      <c r="K188" t="s">
        <v>25</v>
      </c>
      <c r="L188">
        <v>1</v>
      </c>
      <c r="M188">
        <v>113.97</v>
      </c>
      <c r="N188">
        <v>32.090000000000003</v>
      </c>
      <c r="O188">
        <v>0.65</v>
      </c>
      <c r="P188">
        <v>20.86</v>
      </c>
      <c r="Q188" t="s">
        <v>59</v>
      </c>
      <c r="R188">
        <v>-20.86</v>
      </c>
      <c r="S188">
        <v>0</v>
      </c>
    </row>
    <row r="189" spans="1:19" x14ac:dyDescent="0.25">
      <c r="A189" t="s">
        <v>140</v>
      </c>
      <c r="B189" t="s">
        <v>128</v>
      </c>
      <c r="C189" t="s">
        <v>141</v>
      </c>
      <c r="D189" s="1">
        <v>45658</v>
      </c>
      <c r="E189" s="1">
        <v>45870</v>
      </c>
      <c r="F189">
        <v>1</v>
      </c>
      <c r="G189">
        <v>10</v>
      </c>
      <c r="H189" t="s">
        <v>130</v>
      </c>
      <c r="I189" t="s">
        <v>131</v>
      </c>
      <c r="J189" t="s">
        <v>132</v>
      </c>
      <c r="K189" t="s">
        <v>76</v>
      </c>
      <c r="L189">
        <v>1</v>
      </c>
      <c r="M189">
        <v>0</v>
      </c>
      <c r="N189">
        <v>2.86</v>
      </c>
      <c r="O189">
        <v>0.65</v>
      </c>
      <c r="P189">
        <v>1.86</v>
      </c>
      <c r="Q189" t="s">
        <v>59</v>
      </c>
      <c r="R189">
        <v>-1.86</v>
      </c>
      <c r="S189">
        <v>0</v>
      </c>
    </row>
    <row r="190" spans="1:19" x14ac:dyDescent="0.25">
      <c r="A190" t="s">
        <v>140</v>
      </c>
      <c r="B190" t="s">
        <v>128</v>
      </c>
      <c r="C190" t="s">
        <v>141</v>
      </c>
      <c r="D190" s="1">
        <v>45658</v>
      </c>
      <c r="E190" s="1">
        <v>45870</v>
      </c>
      <c r="F190">
        <v>1</v>
      </c>
      <c r="G190">
        <v>10</v>
      </c>
      <c r="H190" t="s">
        <v>130</v>
      </c>
      <c r="I190" t="s">
        <v>131</v>
      </c>
      <c r="J190" t="s">
        <v>132</v>
      </c>
      <c r="K190" t="s">
        <v>27</v>
      </c>
      <c r="L190">
        <v>1</v>
      </c>
      <c r="M190">
        <v>0</v>
      </c>
      <c r="N190">
        <v>12.43</v>
      </c>
      <c r="O190">
        <v>0.65</v>
      </c>
      <c r="P190">
        <v>8.08</v>
      </c>
      <c r="Q190" t="s">
        <v>59</v>
      </c>
      <c r="R190">
        <v>-8.08</v>
      </c>
      <c r="S190">
        <v>0</v>
      </c>
    </row>
    <row r="191" spans="1:19" x14ac:dyDescent="0.25">
      <c r="A191" t="s">
        <v>140</v>
      </c>
      <c r="B191" t="s">
        <v>128</v>
      </c>
      <c r="C191" t="s">
        <v>141</v>
      </c>
      <c r="D191" s="1">
        <v>45658</v>
      </c>
      <c r="E191" s="1">
        <v>45870</v>
      </c>
      <c r="F191">
        <v>1</v>
      </c>
      <c r="G191">
        <v>10</v>
      </c>
      <c r="H191" t="s">
        <v>130</v>
      </c>
      <c r="I191" t="s">
        <v>131</v>
      </c>
      <c r="J191" t="s">
        <v>132</v>
      </c>
      <c r="K191" t="s">
        <v>105</v>
      </c>
      <c r="L191">
        <v>1</v>
      </c>
      <c r="M191">
        <v>0</v>
      </c>
      <c r="N191">
        <v>3.3</v>
      </c>
      <c r="O191">
        <v>0.65</v>
      </c>
      <c r="P191">
        <v>2.15</v>
      </c>
      <c r="Q191" t="s">
        <v>59</v>
      </c>
      <c r="R191">
        <v>-2.15</v>
      </c>
      <c r="S191">
        <v>0</v>
      </c>
    </row>
    <row r="192" spans="1:19" x14ac:dyDescent="0.25">
      <c r="A192" t="s">
        <v>140</v>
      </c>
      <c r="B192" t="s">
        <v>128</v>
      </c>
      <c r="C192" t="s">
        <v>141</v>
      </c>
      <c r="D192" s="1">
        <v>45658</v>
      </c>
      <c r="E192" s="1">
        <v>45870</v>
      </c>
      <c r="F192">
        <v>1</v>
      </c>
      <c r="G192">
        <v>10</v>
      </c>
      <c r="H192" t="s">
        <v>130</v>
      </c>
      <c r="I192" t="s">
        <v>131</v>
      </c>
      <c r="J192" t="s">
        <v>132</v>
      </c>
      <c r="K192" t="s">
        <v>28</v>
      </c>
      <c r="L192">
        <v>1</v>
      </c>
      <c r="M192">
        <v>0</v>
      </c>
      <c r="N192">
        <v>1.68</v>
      </c>
      <c r="O192">
        <v>0.65</v>
      </c>
      <c r="P192">
        <v>1.0900000000000001</v>
      </c>
      <c r="Q192" t="s">
        <v>59</v>
      </c>
      <c r="R192">
        <v>-1.0900000000000001</v>
      </c>
      <c r="S192">
        <v>0</v>
      </c>
    </row>
    <row r="193" spans="1:19" x14ac:dyDescent="0.25">
      <c r="A193" t="s">
        <v>140</v>
      </c>
      <c r="B193" t="s">
        <v>128</v>
      </c>
      <c r="C193" t="s">
        <v>141</v>
      </c>
      <c r="D193" s="1">
        <v>45658</v>
      </c>
      <c r="E193" s="1">
        <v>45870</v>
      </c>
      <c r="F193">
        <v>1</v>
      </c>
      <c r="G193">
        <v>10</v>
      </c>
      <c r="H193" t="s">
        <v>130</v>
      </c>
      <c r="I193" t="s">
        <v>131</v>
      </c>
      <c r="J193" t="s">
        <v>132</v>
      </c>
      <c r="K193" t="s">
        <v>34</v>
      </c>
      <c r="L193">
        <v>1</v>
      </c>
      <c r="M193">
        <v>0</v>
      </c>
      <c r="N193">
        <v>17.63</v>
      </c>
      <c r="O193">
        <v>0.65</v>
      </c>
      <c r="P193">
        <v>11.46</v>
      </c>
      <c r="Q193" t="s">
        <v>59</v>
      </c>
      <c r="R193">
        <v>-11.46</v>
      </c>
      <c r="S193">
        <v>0</v>
      </c>
    </row>
    <row r="194" spans="1:19" x14ac:dyDescent="0.25">
      <c r="A194" t="s">
        <v>140</v>
      </c>
      <c r="B194" t="s">
        <v>128</v>
      </c>
      <c r="C194" t="s">
        <v>141</v>
      </c>
      <c r="D194" s="1">
        <v>45658</v>
      </c>
      <c r="E194" s="1">
        <v>45870</v>
      </c>
      <c r="F194">
        <v>1</v>
      </c>
      <c r="G194">
        <v>10</v>
      </c>
      <c r="H194" t="s">
        <v>130</v>
      </c>
      <c r="I194" t="s">
        <v>131</v>
      </c>
      <c r="J194" t="s">
        <v>132</v>
      </c>
      <c r="K194" t="s">
        <v>74</v>
      </c>
      <c r="L194">
        <v>1</v>
      </c>
      <c r="M194">
        <v>0</v>
      </c>
      <c r="N194">
        <v>6.99</v>
      </c>
      <c r="O194">
        <v>0.65</v>
      </c>
      <c r="P194">
        <v>4.54</v>
      </c>
      <c r="Q194" t="s">
        <v>59</v>
      </c>
      <c r="R194">
        <v>-4.54</v>
      </c>
      <c r="S194">
        <v>0</v>
      </c>
    </row>
    <row r="195" spans="1:19" x14ac:dyDescent="0.25">
      <c r="A195" t="s">
        <v>140</v>
      </c>
      <c r="B195" t="s">
        <v>128</v>
      </c>
      <c r="C195" t="s">
        <v>141</v>
      </c>
      <c r="D195" s="1">
        <v>45658</v>
      </c>
      <c r="E195" s="1">
        <v>45870</v>
      </c>
      <c r="F195">
        <v>1</v>
      </c>
      <c r="G195">
        <v>10</v>
      </c>
      <c r="H195" t="s">
        <v>130</v>
      </c>
      <c r="I195" t="s">
        <v>131</v>
      </c>
      <c r="J195" t="s">
        <v>132</v>
      </c>
      <c r="K195" t="s">
        <v>75</v>
      </c>
      <c r="L195">
        <v>1</v>
      </c>
      <c r="M195">
        <v>0</v>
      </c>
      <c r="N195">
        <v>4.62</v>
      </c>
      <c r="O195">
        <v>0.65</v>
      </c>
      <c r="P195">
        <v>3</v>
      </c>
      <c r="Q195" t="s">
        <v>59</v>
      </c>
      <c r="R195">
        <v>-3</v>
      </c>
      <c r="S195">
        <v>0</v>
      </c>
    </row>
    <row r="196" spans="1:19" x14ac:dyDescent="0.25">
      <c r="A196" t="s">
        <v>140</v>
      </c>
      <c r="B196" t="s">
        <v>128</v>
      </c>
      <c r="C196" t="s">
        <v>141</v>
      </c>
      <c r="D196" s="1">
        <v>45658</v>
      </c>
      <c r="E196" s="1">
        <v>45870</v>
      </c>
      <c r="F196">
        <v>1</v>
      </c>
      <c r="G196">
        <v>10</v>
      </c>
      <c r="H196" t="s">
        <v>130</v>
      </c>
      <c r="I196" t="s">
        <v>131</v>
      </c>
      <c r="J196" t="s">
        <v>132</v>
      </c>
      <c r="K196" t="s">
        <v>106</v>
      </c>
      <c r="L196">
        <v>1</v>
      </c>
      <c r="M196">
        <v>0</v>
      </c>
      <c r="N196">
        <v>32.369999999999997</v>
      </c>
      <c r="O196">
        <v>0.65</v>
      </c>
      <c r="P196">
        <v>21.04</v>
      </c>
      <c r="Q196" t="s">
        <v>59</v>
      </c>
      <c r="R196">
        <v>-21.04</v>
      </c>
      <c r="S196">
        <v>0</v>
      </c>
    </row>
    <row r="197" spans="1:19" x14ac:dyDescent="0.25">
      <c r="A197" t="s">
        <v>142</v>
      </c>
      <c r="B197" t="s">
        <v>128</v>
      </c>
      <c r="C197" t="s">
        <v>143</v>
      </c>
      <c r="D197" s="1">
        <v>45581</v>
      </c>
      <c r="E197" s="1">
        <v>45885</v>
      </c>
      <c r="F197">
        <v>1</v>
      </c>
      <c r="G197">
        <v>23</v>
      </c>
      <c r="H197" t="s">
        <v>144</v>
      </c>
      <c r="I197" t="s">
        <v>145</v>
      </c>
      <c r="J197" t="s">
        <v>146</v>
      </c>
      <c r="K197" t="s">
        <v>25</v>
      </c>
      <c r="L197">
        <v>1</v>
      </c>
      <c r="M197">
        <v>40.08</v>
      </c>
      <c r="N197">
        <v>35</v>
      </c>
      <c r="O197">
        <v>0.65</v>
      </c>
      <c r="P197">
        <v>22.75</v>
      </c>
      <c r="Q197" t="s">
        <v>40</v>
      </c>
      <c r="R197">
        <v>0</v>
      </c>
      <c r="S197">
        <v>22.75</v>
      </c>
    </row>
    <row r="198" spans="1:19" x14ac:dyDescent="0.25">
      <c r="A198" t="s">
        <v>142</v>
      </c>
      <c r="B198" t="s">
        <v>128</v>
      </c>
      <c r="C198" t="s">
        <v>143</v>
      </c>
      <c r="D198" s="1">
        <v>45581</v>
      </c>
      <c r="E198" s="1">
        <v>45885</v>
      </c>
      <c r="F198">
        <v>1</v>
      </c>
      <c r="G198">
        <v>23</v>
      </c>
      <c r="H198" t="s">
        <v>144</v>
      </c>
      <c r="I198" t="s">
        <v>145</v>
      </c>
      <c r="J198" t="s">
        <v>146</v>
      </c>
      <c r="K198" t="s">
        <v>76</v>
      </c>
      <c r="L198">
        <v>1</v>
      </c>
      <c r="M198">
        <v>0</v>
      </c>
      <c r="N198">
        <v>3.4</v>
      </c>
      <c r="O198">
        <v>0.65</v>
      </c>
      <c r="P198">
        <v>2.21</v>
      </c>
      <c r="Q198" t="s">
        <v>40</v>
      </c>
      <c r="R198">
        <v>0</v>
      </c>
      <c r="S198">
        <v>2.21</v>
      </c>
    </row>
    <row r="199" spans="1:19" x14ac:dyDescent="0.25">
      <c r="A199" t="s">
        <v>142</v>
      </c>
      <c r="B199" t="s">
        <v>128</v>
      </c>
      <c r="C199" t="s">
        <v>143</v>
      </c>
      <c r="D199" s="1">
        <v>45581</v>
      </c>
      <c r="E199" s="1">
        <v>45885</v>
      </c>
      <c r="F199">
        <v>1</v>
      </c>
      <c r="G199">
        <v>23</v>
      </c>
      <c r="H199" t="s">
        <v>144</v>
      </c>
      <c r="I199" t="s">
        <v>145</v>
      </c>
      <c r="J199" t="s">
        <v>146</v>
      </c>
      <c r="K199" t="s">
        <v>28</v>
      </c>
      <c r="L199">
        <v>1</v>
      </c>
      <c r="M199">
        <v>0</v>
      </c>
      <c r="N199">
        <v>1.68</v>
      </c>
      <c r="O199">
        <v>0.65</v>
      </c>
      <c r="P199">
        <v>1.0900000000000001</v>
      </c>
      <c r="Q199" t="s">
        <v>40</v>
      </c>
      <c r="R199">
        <v>0</v>
      </c>
      <c r="S199">
        <v>1.0900000000000001</v>
      </c>
    </row>
    <row r="200" spans="1:19" x14ac:dyDescent="0.25">
      <c r="A200" t="s">
        <v>147</v>
      </c>
      <c r="B200" t="s">
        <v>128</v>
      </c>
      <c r="C200" t="s">
        <v>148</v>
      </c>
      <c r="D200" s="1">
        <v>45809</v>
      </c>
      <c r="E200" s="1">
        <v>45870</v>
      </c>
      <c r="F200">
        <v>1</v>
      </c>
      <c r="G200">
        <v>2</v>
      </c>
      <c r="H200" t="s">
        <v>144</v>
      </c>
      <c r="I200" t="s">
        <v>145</v>
      </c>
      <c r="J200" t="s">
        <v>146</v>
      </c>
      <c r="K200" t="s">
        <v>77</v>
      </c>
      <c r="L200">
        <v>1</v>
      </c>
      <c r="M200">
        <v>42.78</v>
      </c>
      <c r="N200">
        <v>17.64</v>
      </c>
      <c r="O200">
        <v>0.65</v>
      </c>
      <c r="P200">
        <v>11.47</v>
      </c>
      <c r="Q200" t="s">
        <v>59</v>
      </c>
      <c r="R200">
        <v>-11.47</v>
      </c>
      <c r="S200">
        <v>0</v>
      </c>
    </row>
    <row r="201" spans="1:19" x14ac:dyDescent="0.25">
      <c r="A201" t="s">
        <v>147</v>
      </c>
      <c r="B201" t="s">
        <v>128</v>
      </c>
      <c r="C201" t="s">
        <v>148</v>
      </c>
      <c r="D201" s="1">
        <v>45809</v>
      </c>
      <c r="E201" s="1">
        <v>45870</v>
      </c>
      <c r="F201">
        <v>1</v>
      </c>
      <c r="G201">
        <v>2</v>
      </c>
      <c r="H201" t="s">
        <v>144</v>
      </c>
      <c r="I201" t="s">
        <v>145</v>
      </c>
      <c r="J201" t="s">
        <v>146</v>
      </c>
      <c r="K201" t="s">
        <v>25</v>
      </c>
      <c r="L201">
        <v>1</v>
      </c>
      <c r="M201">
        <v>42.78</v>
      </c>
      <c r="N201">
        <v>23.46</v>
      </c>
      <c r="O201">
        <v>0.65</v>
      </c>
      <c r="P201">
        <v>15.25</v>
      </c>
      <c r="Q201" t="s">
        <v>59</v>
      </c>
      <c r="R201">
        <v>-15.25</v>
      </c>
      <c r="S201">
        <v>0</v>
      </c>
    </row>
    <row r="202" spans="1:19" x14ac:dyDescent="0.25">
      <c r="A202" t="s">
        <v>147</v>
      </c>
      <c r="B202" t="s">
        <v>128</v>
      </c>
      <c r="C202" t="s">
        <v>148</v>
      </c>
      <c r="D202" s="1">
        <v>45809</v>
      </c>
      <c r="E202" s="1">
        <v>45870</v>
      </c>
      <c r="F202">
        <v>1</v>
      </c>
      <c r="G202">
        <v>2</v>
      </c>
      <c r="H202" t="s">
        <v>144</v>
      </c>
      <c r="I202" t="s">
        <v>145</v>
      </c>
      <c r="J202" t="s">
        <v>146</v>
      </c>
      <c r="K202" t="s">
        <v>28</v>
      </c>
      <c r="L202">
        <v>1</v>
      </c>
      <c r="M202">
        <v>42.78</v>
      </c>
      <c r="N202">
        <v>1.68</v>
      </c>
      <c r="O202">
        <v>0.65</v>
      </c>
      <c r="P202">
        <v>1.0900000000000001</v>
      </c>
      <c r="Q202" t="s">
        <v>59</v>
      </c>
      <c r="R202">
        <v>-1.0900000000000001</v>
      </c>
      <c r="S202">
        <v>0</v>
      </c>
    </row>
    <row r="203" spans="1:19" x14ac:dyDescent="0.25">
      <c r="A203" t="s">
        <v>149</v>
      </c>
      <c r="B203" t="s">
        <v>128</v>
      </c>
      <c r="C203" t="s">
        <v>150</v>
      </c>
      <c r="D203" s="1">
        <v>45749</v>
      </c>
      <c r="E203" s="1">
        <v>45871</v>
      </c>
      <c r="F203">
        <v>1</v>
      </c>
      <c r="G203">
        <v>16</v>
      </c>
      <c r="H203" t="s">
        <v>144</v>
      </c>
      <c r="I203" t="s">
        <v>145</v>
      </c>
      <c r="J203" t="s">
        <v>146</v>
      </c>
      <c r="K203" t="s">
        <v>25</v>
      </c>
      <c r="L203">
        <v>1</v>
      </c>
      <c r="M203">
        <v>29.09</v>
      </c>
      <c r="N203">
        <v>23.46</v>
      </c>
      <c r="O203">
        <v>0.65</v>
      </c>
      <c r="P203">
        <v>15.25</v>
      </c>
      <c r="Q203" t="s">
        <v>59</v>
      </c>
      <c r="R203">
        <v>-15.25</v>
      </c>
      <c r="S203">
        <v>0</v>
      </c>
    </row>
    <row r="204" spans="1:19" x14ac:dyDescent="0.25">
      <c r="A204" t="s">
        <v>149</v>
      </c>
      <c r="B204" t="s">
        <v>128</v>
      </c>
      <c r="C204" t="s">
        <v>150</v>
      </c>
      <c r="D204" s="1">
        <v>45749</v>
      </c>
      <c r="E204" s="1">
        <v>45871</v>
      </c>
      <c r="F204">
        <v>1</v>
      </c>
      <c r="G204">
        <v>16</v>
      </c>
      <c r="H204" t="s">
        <v>144</v>
      </c>
      <c r="I204" t="s">
        <v>145</v>
      </c>
      <c r="J204" t="s">
        <v>146</v>
      </c>
      <c r="K204" t="s">
        <v>28</v>
      </c>
      <c r="L204">
        <v>1</v>
      </c>
      <c r="M204">
        <v>0</v>
      </c>
      <c r="N204">
        <v>1.68</v>
      </c>
      <c r="O204">
        <v>0.65</v>
      </c>
      <c r="P204">
        <v>1.0900000000000001</v>
      </c>
      <c r="Q204" t="s">
        <v>59</v>
      </c>
      <c r="R204">
        <v>-1.0900000000000001</v>
      </c>
      <c r="S204">
        <v>0</v>
      </c>
    </row>
    <row r="205" spans="1:19" x14ac:dyDescent="0.25">
      <c r="A205" t="s">
        <v>149</v>
      </c>
      <c r="B205" t="s">
        <v>128</v>
      </c>
      <c r="C205" t="s">
        <v>150</v>
      </c>
      <c r="D205" s="1">
        <v>45749</v>
      </c>
      <c r="E205" s="1">
        <v>45871</v>
      </c>
      <c r="F205">
        <v>1</v>
      </c>
      <c r="G205">
        <v>16</v>
      </c>
      <c r="H205" t="s">
        <v>144</v>
      </c>
      <c r="I205" t="s">
        <v>145</v>
      </c>
      <c r="J205" t="s">
        <v>146</v>
      </c>
      <c r="K205" t="s">
        <v>75</v>
      </c>
      <c r="L205">
        <v>1</v>
      </c>
      <c r="M205">
        <v>0</v>
      </c>
      <c r="N205">
        <v>1.81</v>
      </c>
      <c r="O205">
        <v>0.65</v>
      </c>
      <c r="P205">
        <v>1.18</v>
      </c>
      <c r="Q205" t="s">
        <v>59</v>
      </c>
      <c r="R205">
        <v>-1.18</v>
      </c>
      <c r="S205">
        <v>0</v>
      </c>
    </row>
    <row r="206" spans="1:19" x14ac:dyDescent="0.25">
      <c r="A206" t="s">
        <v>149</v>
      </c>
      <c r="B206" t="s">
        <v>128</v>
      </c>
      <c r="C206" t="s">
        <v>150</v>
      </c>
      <c r="D206" s="1">
        <v>45749</v>
      </c>
      <c r="E206" s="1">
        <v>45871</v>
      </c>
      <c r="F206">
        <v>1</v>
      </c>
      <c r="G206">
        <v>16</v>
      </c>
      <c r="H206" t="s">
        <v>144</v>
      </c>
      <c r="I206" t="s">
        <v>145</v>
      </c>
      <c r="J206" t="s">
        <v>146</v>
      </c>
      <c r="K206" t="s">
        <v>76</v>
      </c>
      <c r="L206">
        <v>1</v>
      </c>
      <c r="M206">
        <v>0</v>
      </c>
      <c r="N206">
        <v>2.14</v>
      </c>
      <c r="O206">
        <v>0.65</v>
      </c>
      <c r="P206">
        <v>1.39</v>
      </c>
      <c r="Q206" t="s">
        <v>59</v>
      </c>
      <c r="R206">
        <v>-1.39</v>
      </c>
      <c r="S206">
        <v>0</v>
      </c>
    </row>
    <row r="207" spans="1:19" x14ac:dyDescent="0.25">
      <c r="A207" t="s">
        <v>151</v>
      </c>
      <c r="B207" t="s">
        <v>152</v>
      </c>
      <c r="C207" t="s">
        <v>153</v>
      </c>
      <c r="D207" s="1">
        <v>45505</v>
      </c>
      <c r="E207" s="1">
        <v>45870</v>
      </c>
      <c r="F207">
        <v>1</v>
      </c>
      <c r="G207">
        <v>2</v>
      </c>
      <c r="H207" t="s">
        <v>154</v>
      </c>
      <c r="I207" t="s">
        <v>155</v>
      </c>
      <c r="J207" t="s">
        <v>156</v>
      </c>
      <c r="K207" t="s">
        <v>51</v>
      </c>
      <c r="L207">
        <v>1</v>
      </c>
      <c r="M207">
        <v>146.1</v>
      </c>
      <c r="N207">
        <v>8.1199999999999992</v>
      </c>
      <c r="O207">
        <v>0.75</v>
      </c>
      <c r="P207">
        <v>6.09</v>
      </c>
      <c r="Q207" t="s">
        <v>40</v>
      </c>
      <c r="R207">
        <v>0</v>
      </c>
      <c r="S207">
        <v>6.09</v>
      </c>
    </row>
    <row r="208" spans="1:19" x14ac:dyDescent="0.25">
      <c r="A208" t="s">
        <v>151</v>
      </c>
      <c r="B208" t="s">
        <v>152</v>
      </c>
      <c r="C208" t="s">
        <v>153</v>
      </c>
      <c r="D208" s="1">
        <v>45505</v>
      </c>
      <c r="E208" s="1">
        <v>45870</v>
      </c>
      <c r="F208">
        <v>1</v>
      </c>
      <c r="G208">
        <v>2</v>
      </c>
      <c r="H208" t="s">
        <v>154</v>
      </c>
      <c r="I208" t="s">
        <v>155</v>
      </c>
      <c r="J208" t="s">
        <v>156</v>
      </c>
      <c r="K208" t="s">
        <v>49</v>
      </c>
      <c r="L208">
        <v>1</v>
      </c>
      <c r="M208">
        <v>146.1</v>
      </c>
      <c r="N208">
        <v>3.08</v>
      </c>
      <c r="O208">
        <v>0.75</v>
      </c>
      <c r="P208">
        <v>2.31</v>
      </c>
      <c r="Q208" t="s">
        <v>40</v>
      </c>
      <c r="R208">
        <v>0</v>
      </c>
      <c r="S208">
        <v>2.31</v>
      </c>
    </row>
    <row r="209" spans="1:19" x14ac:dyDescent="0.25">
      <c r="A209" t="s">
        <v>151</v>
      </c>
      <c r="B209" t="s">
        <v>152</v>
      </c>
      <c r="C209" t="s">
        <v>153</v>
      </c>
      <c r="D209" s="1">
        <v>45505</v>
      </c>
      <c r="E209" s="1">
        <v>45870</v>
      </c>
      <c r="F209">
        <v>1</v>
      </c>
      <c r="G209">
        <v>2</v>
      </c>
      <c r="H209" t="s">
        <v>154</v>
      </c>
      <c r="I209" t="s">
        <v>155</v>
      </c>
      <c r="J209" t="s">
        <v>156</v>
      </c>
      <c r="K209" t="s">
        <v>50</v>
      </c>
      <c r="L209">
        <v>1</v>
      </c>
      <c r="M209">
        <v>146.1</v>
      </c>
      <c r="N209">
        <v>5.94</v>
      </c>
      <c r="O209">
        <v>0.75</v>
      </c>
      <c r="P209">
        <v>4.46</v>
      </c>
      <c r="Q209" t="s">
        <v>40</v>
      </c>
      <c r="R209">
        <v>0</v>
      </c>
      <c r="S209">
        <v>4.46</v>
      </c>
    </row>
    <row r="210" spans="1:19" x14ac:dyDescent="0.25">
      <c r="A210" t="s">
        <v>151</v>
      </c>
      <c r="B210" t="s">
        <v>152</v>
      </c>
      <c r="C210" t="s">
        <v>153</v>
      </c>
      <c r="D210" s="1">
        <v>45505</v>
      </c>
      <c r="E210" s="1">
        <v>45870</v>
      </c>
      <c r="F210">
        <v>1</v>
      </c>
      <c r="G210">
        <v>2</v>
      </c>
      <c r="H210" t="s">
        <v>154</v>
      </c>
      <c r="I210" t="s">
        <v>155</v>
      </c>
      <c r="J210" t="s">
        <v>156</v>
      </c>
      <c r="K210" t="s">
        <v>157</v>
      </c>
      <c r="L210">
        <v>1</v>
      </c>
      <c r="M210">
        <v>146.1</v>
      </c>
      <c r="N210">
        <v>54.16</v>
      </c>
      <c r="O210">
        <v>0.75</v>
      </c>
      <c r="P210">
        <v>40.619999999999997</v>
      </c>
      <c r="Q210" t="s">
        <v>40</v>
      </c>
      <c r="R210">
        <v>0</v>
      </c>
      <c r="S210">
        <v>40.619999999999997</v>
      </c>
    </row>
    <row r="211" spans="1:19" x14ac:dyDescent="0.25">
      <c r="A211" t="s">
        <v>151</v>
      </c>
      <c r="B211" t="s">
        <v>152</v>
      </c>
      <c r="C211" t="s">
        <v>153</v>
      </c>
      <c r="D211" s="1">
        <v>45505</v>
      </c>
      <c r="E211" s="1">
        <v>45870</v>
      </c>
      <c r="F211">
        <v>1</v>
      </c>
      <c r="G211">
        <v>2</v>
      </c>
      <c r="H211" t="s">
        <v>154</v>
      </c>
      <c r="I211" t="s">
        <v>155</v>
      </c>
      <c r="J211" t="s">
        <v>156</v>
      </c>
      <c r="K211" t="s">
        <v>48</v>
      </c>
      <c r="L211">
        <v>1</v>
      </c>
      <c r="M211">
        <v>146.1</v>
      </c>
      <c r="N211">
        <v>70.84</v>
      </c>
      <c r="O211">
        <v>0.75</v>
      </c>
      <c r="P211">
        <v>53.13</v>
      </c>
      <c r="Q211" t="s">
        <v>40</v>
      </c>
      <c r="R211">
        <v>0</v>
      </c>
      <c r="S211">
        <v>53.13</v>
      </c>
    </row>
    <row r="212" spans="1:19" x14ac:dyDescent="0.25">
      <c r="A212" t="s">
        <v>151</v>
      </c>
      <c r="B212" t="s">
        <v>152</v>
      </c>
      <c r="C212" t="s">
        <v>153</v>
      </c>
      <c r="D212" s="1">
        <v>45505</v>
      </c>
      <c r="E212" s="1">
        <v>45870</v>
      </c>
      <c r="F212">
        <v>1</v>
      </c>
      <c r="G212">
        <v>2</v>
      </c>
      <c r="H212" t="s">
        <v>154</v>
      </c>
      <c r="I212" t="s">
        <v>155</v>
      </c>
      <c r="J212" t="s">
        <v>156</v>
      </c>
      <c r="K212" t="s">
        <v>52</v>
      </c>
      <c r="L212">
        <v>1</v>
      </c>
      <c r="M212">
        <v>146.1</v>
      </c>
      <c r="N212">
        <v>2.29</v>
      </c>
      <c r="O212">
        <v>0.75</v>
      </c>
      <c r="P212">
        <v>1.72</v>
      </c>
      <c r="Q212" t="s">
        <v>40</v>
      </c>
      <c r="R212">
        <v>0</v>
      </c>
      <c r="S212">
        <v>1.72</v>
      </c>
    </row>
    <row r="213" spans="1:19" x14ac:dyDescent="0.25">
      <c r="A213" t="s">
        <v>158</v>
      </c>
      <c r="B213" t="s">
        <v>152</v>
      </c>
      <c r="C213" t="s">
        <v>159</v>
      </c>
      <c r="D213" s="1">
        <v>45658</v>
      </c>
      <c r="E213" s="1">
        <v>45870</v>
      </c>
      <c r="F213">
        <v>1</v>
      </c>
      <c r="G213">
        <v>2</v>
      </c>
      <c r="H213" t="s">
        <v>154</v>
      </c>
      <c r="I213" t="s">
        <v>155</v>
      </c>
      <c r="J213" t="s">
        <v>156</v>
      </c>
      <c r="K213" t="s">
        <v>160</v>
      </c>
      <c r="L213">
        <v>1</v>
      </c>
      <c r="M213">
        <v>65.489999999999995</v>
      </c>
      <c r="N213">
        <v>18.329999999999998</v>
      </c>
      <c r="O213">
        <v>0.6</v>
      </c>
      <c r="P213">
        <v>11</v>
      </c>
      <c r="Q213" t="s">
        <v>59</v>
      </c>
      <c r="R213">
        <v>-11</v>
      </c>
      <c r="S213">
        <v>0</v>
      </c>
    </row>
    <row r="214" spans="1:19" x14ac:dyDescent="0.25">
      <c r="A214" t="s">
        <v>158</v>
      </c>
      <c r="B214" t="s">
        <v>152</v>
      </c>
      <c r="C214" t="s">
        <v>159</v>
      </c>
      <c r="D214" s="1">
        <v>45658</v>
      </c>
      <c r="E214" s="1">
        <v>45870</v>
      </c>
      <c r="F214">
        <v>1</v>
      </c>
      <c r="G214">
        <v>2</v>
      </c>
      <c r="H214" t="s">
        <v>154</v>
      </c>
      <c r="I214" t="s">
        <v>155</v>
      </c>
      <c r="J214" t="s">
        <v>156</v>
      </c>
      <c r="K214" t="s">
        <v>161</v>
      </c>
      <c r="L214">
        <v>1</v>
      </c>
      <c r="M214">
        <v>65.489999999999995</v>
      </c>
      <c r="N214">
        <v>27.5</v>
      </c>
      <c r="O214">
        <v>0.6</v>
      </c>
      <c r="P214">
        <v>16.5</v>
      </c>
      <c r="Q214" t="s">
        <v>59</v>
      </c>
      <c r="R214">
        <v>-16.5</v>
      </c>
      <c r="S214">
        <v>0</v>
      </c>
    </row>
    <row r="215" spans="1:19" x14ac:dyDescent="0.25">
      <c r="A215" t="s">
        <v>158</v>
      </c>
      <c r="B215" t="s">
        <v>152</v>
      </c>
      <c r="C215" t="s">
        <v>159</v>
      </c>
      <c r="D215" s="1">
        <v>45658</v>
      </c>
      <c r="E215" s="1">
        <v>45870</v>
      </c>
      <c r="F215">
        <v>1</v>
      </c>
      <c r="G215">
        <v>2</v>
      </c>
      <c r="H215" t="s">
        <v>154</v>
      </c>
      <c r="I215" t="s">
        <v>155</v>
      </c>
      <c r="J215" t="s">
        <v>156</v>
      </c>
      <c r="K215" t="s">
        <v>162</v>
      </c>
      <c r="L215">
        <v>1</v>
      </c>
      <c r="M215">
        <v>65.489999999999995</v>
      </c>
      <c r="N215">
        <v>6.25</v>
      </c>
      <c r="O215">
        <v>0.6</v>
      </c>
      <c r="P215">
        <v>3.75</v>
      </c>
      <c r="Q215" t="s">
        <v>59</v>
      </c>
      <c r="R215">
        <v>-3.75</v>
      </c>
      <c r="S215">
        <v>0</v>
      </c>
    </row>
    <row r="216" spans="1:19" x14ac:dyDescent="0.25">
      <c r="A216" t="s">
        <v>158</v>
      </c>
      <c r="B216" t="s">
        <v>152</v>
      </c>
      <c r="C216" t="s">
        <v>159</v>
      </c>
      <c r="D216" s="1">
        <v>45658</v>
      </c>
      <c r="E216" s="1">
        <v>45870</v>
      </c>
      <c r="F216">
        <v>1</v>
      </c>
      <c r="G216">
        <v>2</v>
      </c>
      <c r="H216" t="s">
        <v>154</v>
      </c>
      <c r="I216" t="s">
        <v>155</v>
      </c>
      <c r="J216" t="s">
        <v>156</v>
      </c>
      <c r="K216" t="s">
        <v>163</v>
      </c>
      <c r="L216">
        <v>1</v>
      </c>
      <c r="M216">
        <v>65.489999999999995</v>
      </c>
      <c r="N216">
        <v>11.33</v>
      </c>
      <c r="O216">
        <v>0.6</v>
      </c>
      <c r="P216">
        <v>6.8</v>
      </c>
      <c r="Q216" t="s">
        <v>59</v>
      </c>
      <c r="R216">
        <v>-6.8</v>
      </c>
      <c r="S216">
        <v>0</v>
      </c>
    </row>
    <row r="217" spans="1:19" x14ac:dyDescent="0.25">
      <c r="A217" t="s">
        <v>164</v>
      </c>
      <c r="B217" t="s">
        <v>128</v>
      </c>
      <c r="C217" t="s">
        <v>165</v>
      </c>
      <c r="D217" s="1">
        <v>45536</v>
      </c>
      <c r="E217" s="1">
        <v>45870</v>
      </c>
      <c r="F217">
        <v>1</v>
      </c>
      <c r="G217">
        <v>10</v>
      </c>
      <c r="H217" t="s">
        <v>166</v>
      </c>
      <c r="I217" t="s">
        <v>167</v>
      </c>
      <c r="J217" t="s">
        <v>168</v>
      </c>
      <c r="K217" t="s">
        <v>25</v>
      </c>
      <c r="L217">
        <v>1</v>
      </c>
      <c r="M217">
        <v>133.81</v>
      </c>
      <c r="N217">
        <v>33.229999999999997</v>
      </c>
      <c r="O217">
        <v>0.65</v>
      </c>
      <c r="P217">
        <v>21.6</v>
      </c>
      <c r="Q217" t="s">
        <v>40</v>
      </c>
      <c r="R217">
        <v>0</v>
      </c>
      <c r="S217">
        <v>21.6</v>
      </c>
    </row>
    <row r="218" spans="1:19" x14ac:dyDescent="0.25">
      <c r="A218" t="s">
        <v>164</v>
      </c>
      <c r="B218" t="s">
        <v>128</v>
      </c>
      <c r="C218" t="s">
        <v>165</v>
      </c>
      <c r="D218" s="1">
        <v>45536</v>
      </c>
      <c r="E218" s="1">
        <v>45870</v>
      </c>
      <c r="F218">
        <v>1</v>
      </c>
      <c r="G218">
        <v>10</v>
      </c>
      <c r="H218" t="s">
        <v>166</v>
      </c>
      <c r="I218" t="s">
        <v>167</v>
      </c>
      <c r="J218" t="s">
        <v>168</v>
      </c>
      <c r="K218" t="s">
        <v>75</v>
      </c>
      <c r="L218">
        <v>1</v>
      </c>
      <c r="M218">
        <v>0</v>
      </c>
      <c r="N218">
        <v>2.31</v>
      </c>
      <c r="O218">
        <v>0.65</v>
      </c>
      <c r="P218">
        <v>1.5</v>
      </c>
      <c r="Q218" t="s">
        <v>40</v>
      </c>
      <c r="R218">
        <v>0</v>
      </c>
      <c r="S218">
        <v>1.5</v>
      </c>
    </row>
    <row r="219" spans="1:19" x14ac:dyDescent="0.25">
      <c r="A219" t="s">
        <v>164</v>
      </c>
      <c r="B219" t="s">
        <v>128</v>
      </c>
      <c r="C219" t="s">
        <v>165</v>
      </c>
      <c r="D219" s="1">
        <v>45536</v>
      </c>
      <c r="E219" s="1">
        <v>45870</v>
      </c>
      <c r="F219">
        <v>1</v>
      </c>
      <c r="G219">
        <v>10</v>
      </c>
      <c r="H219" t="s">
        <v>166</v>
      </c>
      <c r="I219" t="s">
        <v>167</v>
      </c>
      <c r="J219" t="s">
        <v>168</v>
      </c>
      <c r="K219" t="s">
        <v>77</v>
      </c>
      <c r="L219">
        <v>1</v>
      </c>
      <c r="M219">
        <v>0</v>
      </c>
      <c r="N219">
        <v>11.76</v>
      </c>
      <c r="O219">
        <v>0.65</v>
      </c>
      <c r="P219">
        <v>7.64</v>
      </c>
      <c r="Q219" t="s">
        <v>40</v>
      </c>
      <c r="R219">
        <v>0</v>
      </c>
      <c r="S219">
        <v>7.64</v>
      </c>
    </row>
    <row r="220" spans="1:19" x14ac:dyDescent="0.25">
      <c r="A220" t="s">
        <v>164</v>
      </c>
      <c r="B220" t="s">
        <v>128</v>
      </c>
      <c r="C220" t="s">
        <v>165</v>
      </c>
      <c r="D220" s="1">
        <v>45536</v>
      </c>
      <c r="E220" s="1">
        <v>45870</v>
      </c>
      <c r="F220">
        <v>1</v>
      </c>
      <c r="G220">
        <v>10</v>
      </c>
      <c r="H220" t="s">
        <v>166</v>
      </c>
      <c r="I220" t="s">
        <v>167</v>
      </c>
      <c r="J220" t="s">
        <v>168</v>
      </c>
      <c r="K220" t="s">
        <v>41</v>
      </c>
      <c r="L220">
        <v>1</v>
      </c>
      <c r="M220">
        <v>0</v>
      </c>
      <c r="N220">
        <v>53.68</v>
      </c>
      <c r="O220">
        <v>0.65</v>
      </c>
      <c r="P220">
        <v>34.89</v>
      </c>
      <c r="Q220" t="s">
        <v>40</v>
      </c>
      <c r="R220">
        <v>0</v>
      </c>
      <c r="S220">
        <v>34.89</v>
      </c>
    </row>
    <row r="221" spans="1:19" x14ac:dyDescent="0.25">
      <c r="A221" t="s">
        <v>164</v>
      </c>
      <c r="B221" t="s">
        <v>128</v>
      </c>
      <c r="C221" t="s">
        <v>165</v>
      </c>
      <c r="D221" s="1">
        <v>45536</v>
      </c>
      <c r="E221" s="1">
        <v>45870</v>
      </c>
      <c r="F221">
        <v>1</v>
      </c>
      <c r="G221">
        <v>10</v>
      </c>
      <c r="H221" t="s">
        <v>166</v>
      </c>
      <c r="I221" t="s">
        <v>167</v>
      </c>
      <c r="J221" t="s">
        <v>168</v>
      </c>
      <c r="K221" t="s">
        <v>28</v>
      </c>
      <c r="L221">
        <v>1</v>
      </c>
      <c r="M221">
        <v>0</v>
      </c>
      <c r="N221">
        <v>1.68</v>
      </c>
      <c r="O221">
        <v>0.65</v>
      </c>
      <c r="P221">
        <v>1.0900000000000001</v>
      </c>
      <c r="Q221" t="s">
        <v>40</v>
      </c>
      <c r="R221">
        <v>0</v>
      </c>
      <c r="S221">
        <v>1.0900000000000001</v>
      </c>
    </row>
    <row r="222" spans="1:19" x14ac:dyDescent="0.25">
      <c r="A222" t="s">
        <v>164</v>
      </c>
      <c r="B222" t="s">
        <v>128</v>
      </c>
      <c r="C222" t="s">
        <v>165</v>
      </c>
      <c r="D222" s="1">
        <v>45536</v>
      </c>
      <c r="E222" s="1">
        <v>45870</v>
      </c>
      <c r="F222">
        <v>1</v>
      </c>
      <c r="G222">
        <v>10</v>
      </c>
      <c r="H222" t="s">
        <v>166</v>
      </c>
      <c r="I222" t="s">
        <v>167</v>
      </c>
      <c r="J222" t="s">
        <v>168</v>
      </c>
      <c r="K222" t="s">
        <v>34</v>
      </c>
      <c r="L222">
        <v>1</v>
      </c>
      <c r="M222">
        <v>0</v>
      </c>
      <c r="N222">
        <v>12.94</v>
      </c>
      <c r="O222">
        <v>0.65</v>
      </c>
      <c r="P222">
        <v>8.41</v>
      </c>
      <c r="Q222" t="s">
        <v>40</v>
      </c>
      <c r="R222">
        <v>0</v>
      </c>
      <c r="S222">
        <v>8.41</v>
      </c>
    </row>
    <row r="223" spans="1:19" x14ac:dyDescent="0.25">
      <c r="A223" t="s">
        <v>164</v>
      </c>
      <c r="B223" t="s">
        <v>128</v>
      </c>
      <c r="C223" t="s">
        <v>165</v>
      </c>
      <c r="D223" s="1">
        <v>45536</v>
      </c>
      <c r="E223" s="1">
        <v>45870</v>
      </c>
      <c r="F223">
        <v>1</v>
      </c>
      <c r="G223">
        <v>10</v>
      </c>
      <c r="H223" t="s">
        <v>166</v>
      </c>
      <c r="I223" t="s">
        <v>167</v>
      </c>
      <c r="J223" t="s">
        <v>168</v>
      </c>
      <c r="K223" t="s">
        <v>42</v>
      </c>
      <c r="L223">
        <v>1</v>
      </c>
      <c r="M223">
        <v>0</v>
      </c>
      <c r="N223">
        <v>2.92</v>
      </c>
      <c r="O223">
        <v>0.65</v>
      </c>
      <c r="P223">
        <v>1.9</v>
      </c>
      <c r="Q223" t="s">
        <v>40</v>
      </c>
      <c r="R223">
        <v>0</v>
      </c>
      <c r="S223">
        <v>1.9</v>
      </c>
    </row>
    <row r="224" spans="1:19" x14ac:dyDescent="0.25">
      <c r="A224" t="s">
        <v>164</v>
      </c>
      <c r="B224" t="s">
        <v>128</v>
      </c>
      <c r="C224" t="s">
        <v>165</v>
      </c>
      <c r="D224" s="1">
        <v>45536</v>
      </c>
      <c r="E224" s="1">
        <v>45870</v>
      </c>
      <c r="F224">
        <v>1</v>
      </c>
      <c r="G224">
        <v>10</v>
      </c>
      <c r="H224" t="s">
        <v>166</v>
      </c>
      <c r="I224" t="s">
        <v>167</v>
      </c>
      <c r="J224" t="s">
        <v>168</v>
      </c>
      <c r="K224" t="s">
        <v>27</v>
      </c>
      <c r="L224">
        <v>1</v>
      </c>
      <c r="M224">
        <v>0</v>
      </c>
      <c r="N224">
        <v>12.43</v>
      </c>
      <c r="O224">
        <v>0.65</v>
      </c>
      <c r="P224">
        <v>8.08</v>
      </c>
      <c r="Q224" t="s">
        <v>40</v>
      </c>
      <c r="R224">
        <v>0</v>
      </c>
      <c r="S224">
        <v>8.08</v>
      </c>
    </row>
    <row r="225" spans="1:19" x14ac:dyDescent="0.25">
      <c r="A225" t="s">
        <v>164</v>
      </c>
      <c r="B225" t="s">
        <v>128</v>
      </c>
      <c r="C225" t="s">
        <v>165</v>
      </c>
      <c r="D225" s="1">
        <v>45536</v>
      </c>
      <c r="E225" s="1">
        <v>45870</v>
      </c>
      <c r="F225">
        <v>1</v>
      </c>
      <c r="G225">
        <v>10</v>
      </c>
      <c r="H225" t="s">
        <v>166</v>
      </c>
      <c r="I225" t="s">
        <v>167</v>
      </c>
      <c r="J225" t="s">
        <v>168</v>
      </c>
      <c r="K225" t="s">
        <v>76</v>
      </c>
      <c r="L225">
        <v>1</v>
      </c>
      <c r="M225">
        <v>0</v>
      </c>
      <c r="N225">
        <v>2.86</v>
      </c>
      <c r="O225">
        <v>0.65</v>
      </c>
      <c r="P225">
        <v>1.86</v>
      </c>
      <c r="Q225" t="s">
        <v>40</v>
      </c>
      <c r="R225">
        <v>0</v>
      </c>
      <c r="S225">
        <v>1.86</v>
      </c>
    </row>
    <row r="226" spans="1:19" x14ac:dyDescent="0.25">
      <c r="A226" t="s">
        <v>169</v>
      </c>
      <c r="B226" t="s">
        <v>170</v>
      </c>
      <c r="C226" t="s">
        <v>171</v>
      </c>
      <c r="D226" s="1">
        <v>45523</v>
      </c>
      <c r="E226" s="1">
        <v>45888</v>
      </c>
      <c r="F226">
        <v>1</v>
      </c>
      <c r="G226">
        <v>10</v>
      </c>
      <c r="H226" t="s">
        <v>172</v>
      </c>
      <c r="I226" t="s">
        <v>173</v>
      </c>
      <c r="J226" t="s">
        <v>174</v>
      </c>
      <c r="K226" t="s">
        <v>25</v>
      </c>
      <c r="L226">
        <v>1</v>
      </c>
      <c r="M226">
        <v>84.24</v>
      </c>
      <c r="N226">
        <v>77.28</v>
      </c>
      <c r="O226">
        <v>0.65</v>
      </c>
      <c r="P226">
        <v>50.23</v>
      </c>
      <c r="Q226" t="s">
        <v>40</v>
      </c>
      <c r="R226">
        <v>0</v>
      </c>
      <c r="S226">
        <v>50.23</v>
      </c>
    </row>
    <row r="227" spans="1:19" x14ac:dyDescent="0.25">
      <c r="A227" t="s">
        <v>169</v>
      </c>
      <c r="B227" t="s">
        <v>170</v>
      </c>
      <c r="C227" t="s">
        <v>171</v>
      </c>
      <c r="D227" s="1">
        <v>45523</v>
      </c>
      <c r="E227" s="1">
        <v>45888</v>
      </c>
      <c r="F227">
        <v>1</v>
      </c>
      <c r="G227">
        <v>10</v>
      </c>
      <c r="H227" t="s">
        <v>172</v>
      </c>
      <c r="I227" t="s">
        <v>173</v>
      </c>
      <c r="J227" t="s">
        <v>174</v>
      </c>
      <c r="K227" t="s">
        <v>28</v>
      </c>
      <c r="L227">
        <v>1</v>
      </c>
      <c r="M227">
        <v>0</v>
      </c>
      <c r="N227">
        <v>1.68</v>
      </c>
      <c r="O227">
        <v>0.65</v>
      </c>
      <c r="P227">
        <v>1.0900000000000001</v>
      </c>
      <c r="Q227" t="s">
        <v>40</v>
      </c>
      <c r="R227">
        <v>0</v>
      </c>
      <c r="S227">
        <v>1.0900000000000001</v>
      </c>
    </row>
    <row r="228" spans="1:19" x14ac:dyDescent="0.25">
      <c r="A228" t="s">
        <v>169</v>
      </c>
      <c r="B228" t="s">
        <v>170</v>
      </c>
      <c r="C228" t="s">
        <v>171</v>
      </c>
      <c r="D228" s="1">
        <v>45523</v>
      </c>
      <c r="E228" s="1">
        <v>45888</v>
      </c>
      <c r="F228">
        <v>1</v>
      </c>
      <c r="G228">
        <v>10</v>
      </c>
      <c r="H228" t="s">
        <v>172</v>
      </c>
      <c r="I228" t="s">
        <v>173</v>
      </c>
      <c r="J228" t="s">
        <v>174</v>
      </c>
      <c r="K228" t="s">
        <v>75</v>
      </c>
      <c r="L228">
        <v>1</v>
      </c>
      <c r="M228">
        <v>0</v>
      </c>
      <c r="N228">
        <v>2.69</v>
      </c>
      <c r="O228">
        <v>0.65</v>
      </c>
      <c r="P228">
        <v>1.75</v>
      </c>
      <c r="Q228" t="s">
        <v>40</v>
      </c>
      <c r="R228">
        <v>0</v>
      </c>
      <c r="S228">
        <v>1.75</v>
      </c>
    </row>
    <row r="229" spans="1:19" x14ac:dyDescent="0.25">
      <c r="A229" t="s">
        <v>169</v>
      </c>
      <c r="B229" t="s">
        <v>170</v>
      </c>
      <c r="C229" t="s">
        <v>171</v>
      </c>
      <c r="D229" s="1">
        <v>45523</v>
      </c>
      <c r="E229" s="1">
        <v>45888</v>
      </c>
      <c r="F229">
        <v>1</v>
      </c>
      <c r="G229">
        <v>10</v>
      </c>
      <c r="H229" t="s">
        <v>172</v>
      </c>
      <c r="I229" t="s">
        <v>173</v>
      </c>
      <c r="J229" t="s">
        <v>174</v>
      </c>
      <c r="K229" t="s">
        <v>76</v>
      </c>
      <c r="L229">
        <v>1</v>
      </c>
      <c r="M229">
        <v>0</v>
      </c>
      <c r="N229">
        <v>2.59</v>
      </c>
      <c r="O229">
        <v>0.65</v>
      </c>
      <c r="P229">
        <v>1.68</v>
      </c>
      <c r="Q229" t="s">
        <v>40</v>
      </c>
      <c r="R229">
        <v>0</v>
      </c>
      <c r="S229">
        <v>1.68</v>
      </c>
    </row>
    <row r="230" spans="1:19" x14ac:dyDescent="0.25">
      <c r="A230" t="s">
        <v>175</v>
      </c>
      <c r="B230" t="s">
        <v>170</v>
      </c>
      <c r="C230" t="s">
        <v>171</v>
      </c>
      <c r="D230" s="1">
        <v>45523</v>
      </c>
      <c r="E230" s="1">
        <v>45888</v>
      </c>
      <c r="F230">
        <v>1</v>
      </c>
      <c r="G230">
        <v>10</v>
      </c>
      <c r="H230" t="s">
        <v>172</v>
      </c>
      <c r="I230" t="s">
        <v>173</v>
      </c>
      <c r="J230" t="s">
        <v>174</v>
      </c>
      <c r="K230" t="s">
        <v>160</v>
      </c>
      <c r="L230">
        <v>1</v>
      </c>
      <c r="M230">
        <v>103.45</v>
      </c>
      <c r="N230">
        <v>50</v>
      </c>
      <c r="O230">
        <v>0.6</v>
      </c>
      <c r="P230">
        <v>30</v>
      </c>
      <c r="Q230" t="s">
        <v>40</v>
      </c>
      <c r="R230">
        <v>0</v>
      </c>
      <c r="S230">
        <v>30</v>
      </c>
    </row>
    <row r="231" spans="1:19" x14ac:dyDescent="0.25">
      <c r="A231" t="s">
        <v>175</v>
      </c>
      <c r="B231" t="s">
        <v>170</v>
      </c>
      <c r="C231" t="s">
        <v>171</v>
      </c>
      <c r="D231" s="1">
        <v>45523</v>
      </c>
      <c r="E231" s="1">
        <v>45888</v>
      </c>
      <c r="F231">
        <v>1</v>
      </c>
      <c r="G231">
        <v>10</v>
      </c>
      <c r="H231" t="s">
        <v>172</v>
      </c>
      <c r="I231" t="s">
        <v>173</v>
      </c>
      <c r="J231" t="s">
        <v>174</v>
      </c>
      <c r="K231" t="s">
        <v>176</v>
      </c>
      <c r="L231">
        <v>1</v>
      </c>
      <c r="M231">
        <v>0</v>
      </c>
      <c r="N231">
        <v>1.83</v>
      </c>
      <c r="O231">
        <v>0.6</v>
      </c>
      <c r="P231">
        <v>1.1000000000000001</v>
      </c>
      <c r="Q231" t="s">
        <v>40</v>
      </c>
      <c r="R231">
        <v>0</v>
      </c>
      <c r="S231">
        <v>1.1000000000000001</v>
      </c>
    </row>
    <row r="232" spans="1:19" x14ac:dyDescent="0.25">
      <c r="A232" t="s">
        <v>175</v>
      </c>
      <c r="B232" t="s">
        <v>170</v>
      </c>
      <c r="C232" t="s">
        <v>171</v>
      </c>
      <c r="D232" s="1">
        <v>45523</v>
      </c>
      <c r="E232" s="1">
        <v>45888</v>
      </c>
      <c r="F232">
        <v>1</v>
      </c>
      <c r="G232">
        <v>10</v>
      </c>
      <c r="H232" t="s">
        <v>172</v>
      </c>
      <c r="I232" t="s">
        <v>173</v>
      </c>
      <c r="J232" t="s">
        <v>174</v>
      </c>
      <c r="K232" t="s">
        <v>177</v>
      </c>
      <c r="L232">
        <v>1</v>
      </c>
      <c r="M232">
        <v>0</v>
      </c>
      <c r="N232">
        <v>7.29</v>
      </c>
      <c r="O232">
        <v>0.6</v>
      </c>
      <c r="P232">
        <v>4.37</v>
      </c>
      <c r="Q232" t="s">
        <v>40</v>
      </c>
      <c r="R232">
        <v>0</v>
      </c>
      <c r="S232">
        <v>4.37</v>
      </c>
    </row>
    <row r="233" spans="1:19" x14ac:dyDescent="0.25">
      <c r="A233" t="s">
        <v>175</v>
      </c>
      <c r="B233" t="s">
        <v>170</v>
      </c>
      <c r="C233" t="s">
        <v>171</v>
      </c>
      <c r="D233" s="1">
        <v>45523</v>
      </c>
      <c r="E233" s="1">
        <v>45888</v>
      </c>
      <c r="F233">
        <v>1</v>
      </c>
      <c r="G233">
        <v>10</v>
      </c>
      <c r="H233" t="s">
        <v>172</v>
      </c>
      <c r="I233" t="s">
        <v>173</v>
      </c>
      <c r="J233" t="s">
        <v>174</v>
      </c>
      <c r="K233" t="s">
        <v>178</v>
      </c>
      <c r="L233">
        <v>1</v>
      </c>
      <c r="M233">
        <v>0</v>
      </c>
      <c r="N233">
        <v>7.25</v>
      </c>
      <c r="O233">
        <v>0.6</v>
      </c>
      <c r="P233">
        <v>4.3499999999999996</v>
      </c>
      <c r="Q233" t="s">
        <v>40</v>
      </c>
      <c r="R233">
        <v>0</v>
      </c>
      <c r="S233">
        <v>4.3499999999999996</v>
      </c>
    </row>
    <row r="234" spans="1:19" x14ac:dyDescent="0.25">
      <c r="A234" t="s">
        <v>175</v>
      </c>
      <c r="B234" t="s">
        <v>170</v>
      </c>
      <c r="C234" t="s">
        <v>171</v>
      </c>
      <c r="D234" s="1">
        <v>45523</v>
      </c>
      <c r="E234" s="1">
        <v>45888</v>
      </c>
      <c r="F234">
        <v>1</v>
      </c>
      <c r="G234">
        <v>10</v>
      </c>
      <c r="H234" t="s">
        <v>172</v>
      </c>
      <c r="I234" t="s">
        <v>173</v>
      </c>
      <c r="J234" t="s">
        <v>174</v>
      </c>
      <c r="K234" t="s">
        <v>161</v>
      </c>
      <c r="L234">
        <v>1</v>
      </c>
      <c r="M234">
        <v>0</v>
      </c>
      <c r="N234">
        <v>35</v>
      </c>
      <c r="O234">
        <v>0.6</v>
      </c>
      <c r="P234">
        <v>21</v>
      </c>
      <c r="Q234" t="s">
        <v>40</v>
      </c>
      <c r="R234">
        <v>0</v>
      </c>
      <c r="S234">
        <v>21</v>
      </c>
    </row>
    <row r="235" spans="1:19" x14ac:dyDescent="0.25">
      <c r="A235" t="s">
        <v>179</v>
      </c>
      <c r="B235" t="s">
        <v>152</v>
      </c>
      <c r="C235" t="s">
        <v>180</v>
      </c>
      <c r="D235" s="1">
        <v>45524</v>
      </c>
      <c r="E235" s="1">
        <v>45889</v>
      </c>
      <c r="F235">
        <v>1</v>
      </c>
      <c r="G235">
        <v>18</v>
      </c>
      <c r="H235" t="s">
        <v>172</v>
      </c>
      <c r="I235" t="s">
        <v>173</v>
      </c>
      <c r="J235" t="s">
        <v>174</v>
      </c>
      <c r="K235" t="s">
        <v>181</v>
      </c>
      <c r="L235">
        <v>1</v>
      </c>
      <c r="M235">
        <v>86.74</v>
      </c>
      <c r="N235">
        <v>60.41</v>
      </c>
      <c r="O235">
        <v>0.6</v>
      </c>
      <c r="P235">
        <v>36.25</v>
      </c>
      <c r="Q235" t="s">
        <v>40</v>
      </c>
      <c r="R235">
        <v>0</v>
      </c>
      <c r="S235">
        <v>36.25</v>
      </c>
    </row>
    <row r="236" spans="1:19" x14ac:dyDescent="0.25">
      <c r="A236" t="s">
        <v>179</v>
      </c>
      <c r="B236" t="s">
        <v>152</v>
      </c>
      <c r="C236" t="s">
        <v>180</v>
      </c>
      <c r="D236" s="1">
        <v>45524</v>
      </c>
      <c r="E236" s="1">
        <v>45889</v>
      </c>
      <c r="F236">
        <v>1</v>
      </c>
      <c r="G236">
        <v>18</v>
      </c>
      <c r="H236" t="s">
        <v>172</v>
      </c>
      <c r="I236" t="s">
        <v>173</v>
      </c>
      <c r="J236" t="s">
        <v>174</v>
      </c>
      <c r="K236" t="s">
        <v>182</v>
      </c>
      <c r="L236">
        <v>1</v>
      </c>
      <c r="M236">
        <v>0</v>
      </c>
      <c r="N236">
        <v>9.75</v>
      </c>
      <c r="O236">
        <v>0.6</v>
      </c>
      <c r="P236">
        <v>5.85</v>
      </c>
      <c r="Q236" t="s">
        <v>40</v>
      </c>
      <c r="R236">
        <v>0</v>
      </c>
      <c r="S236">
        <v>5.85</v>
      </c>
    </row>
    <row r="237" spans="1:19" x14ac:dyDescent="0.25">
      <c r="A237" t="s">
        <v>179</v>
      </c>
      <c r="B237" t="s">
        <v>152</v>
      </c>
      <c r="C237" t="s">
        <v>180</v>
      </c>
      <c r="D237" s="1">
        <v>45524</v>
      </c>
      <c r="E237" s="1">
        <v>45889</v>
      </c>
      <c r="F237">
        <v>1</v>
      </c>
      <c r="G237">
        <v>18</v>
      </c>
      <c r="H237" t="s">
        <v>172</v>
      </c>
      <c r="I237" t="s">
        <v>173</v>
      </c>
      <c r="J237" t="s">
        <v>174</v>
      </c>
      <c r="K237" t="s">
        <v>178</v>
      </c>
      <c r="L237">
        <v>1</v>
      </c>
      <c r="M237">
        <v>0</v>
      </c>
      <c r="N237">
        <v>7.92</v>
      </c>
      <c r="O237">
        <v>0.6</v>
      </c>
      <c r="P237">
        <v>4.75</v>
      </c>
      <c r="Q237" t="s">
        <v>40</v>
      </c>
      <c r="R237">
        <v>0</v>
      </c>
      <c r="S237">
        <v>4.75</v>
      </c>
    </row>
    <row r="238" spans="1:19" x14ac:dyDescent="0.25">
      <c r="A238" t="s">
        <v>179</v>
      </c>
      <c r="B238" t="s">
        <v>152</v>
      </c>
      <c r="C238" t="s">
        <v>180</v>
      </c>
      <c r="D238" s="1">
        <v>45524</v>
      </c>
      <c r="E238" s="1">
        <v>45889</v>
      </c>
      <c r="F238">
        <v>1</v>
      </c>
      <c r="G238">
        <v>18</v>
      </c>
      <c r="H238" t="s">
        <v>172</v>
      </c>
      <c r="I238" t="s">
        <v>173</v>
      </c>
      <c r="J238" t="s">
        <v>174</v>
      </c>
      <c r="K238" t="s">
        <v>176</v>
      </c>
      <c r="L238">
        <v>1</v>
      </c>
      <c r="M238">
        <v>0</v>
      </c>
      <c r="N238">
        <v>2</v>
      </c>
      <c r="O238">
        <v>0.6</v>
      </c>
      <c r="P238">
        <v>1.2</v>
      </c>
      <c r="Q238" t="s">
        <v>40</v>
      </c>
      <c r="R238">
        <v>0</v>
      </c>
      <c r="S238">
        <v>1.2</v>
      </c>
    </row>
    <row r="239" spans="1:19" x14ac:dyDescent="0.25">
      <c r="A239" t="s">
        <v>179</v>
      </c>
      <c r="B239" t="s">
        <v>152</v>
      </c>
      <c r="C239" t="s">
        <v>180</v>
      </c>
      <c r="D239" s="1">
        <v>45524</v>
      </c>
      <c r="E239" s="1">
        <v>45889</v>
      </c>
      <c r="F239">
        <v>1</v>
      </c>
      <c r="G239">
        <v>18</v>
      </c>
      <c r="H239" t="s">
        <v>172</v>
      </c>
      <c r="I239" t="s">
        <v>173</v>
      </c>
      <c r="J239" t="s">
        <v>174</v>
      </c>
      <c r="K239" t="s">
        <v>183</v>
      </c>
      <c r="L239">
        <v>1</v>
      </c>
      <c r="M239">
        <v>0</v>
      </c>
      <c r="N239">
        <v>4.58</v>
      </c>
      <c r="O239">
        <v>0.6</v>
      </c>
      <c r="P239">
        <v>2.75</v>
      </c>
      <c r="Q239" t="s">
        <v>40</v>
      </c>
      <c r="R239">
        <v>0</v>
      </c>
      <c r="S239">
        <v>2.75</v>
      </c>
    </row>
    <row r="240" spans="1:19" x14ac:dyDescent="0.25">
      <c r="A240" t="s">
        <v>184</v>
      </c>
      <c r="B240" t="s">
        <v>128</v>
      </c>
      <c r="C240" t="s">
        <v>185</v>
      </c>
      <c r="D240" s="1">
        <v>45606</v>
      </c>
      <c r="E240" s="1">
        <v>45879</v>
      </c>
      <c r="F240">
        <v>1</v>
      </c>
      <c r="G240">
        <v>10</v>
      </c>
      <c r="H240" t="s">
        <v>172</v>
      </c>
      <c r="I240" t="s">
        <v>173</v>
      </c>
      <c r="J240" t="s">
        <v>174</v>
      </c>
      <c r="K240" t="s">
        <v>181</v>
      </c>
      <c r="L240">
        <v>1</v>
      </c>
      <c r="M240">
        <v>54.57</v>
      </c>
      <c r="N240">
        <v>30.83</v>
      </c>
      <c r="O240">
        <v>0.6</v>
      </c>
      <c r="P240">
        <v>18.5</v>
      </c>
      <c r="Q240" t="s">
        <v>40</v>
      </c>
      <c r="R240">
        <v>0</v>
      </c>
      <c r="S240">
        <v>18.5</v>
      </c>
    </row>
    <row r="241" spans="1:19" x14ac:dyDescent="0.25">
      <c r="A241" t="s">
        <v>184</v>
      </c>
      <c r="B241" t="s">
        <v>128</v>
      </c>
      <c r="C241" t="s">
        <v>185</v>
      </c>
      <c r="D241" s="1">
        <v>45606</v>
      </c>
      <c r="E241" s="1">
        <v>45879</v>
      </c>
      <c r="F241">
        <v>1</v>
      </c>
      <c r="G241">
        <v>10</v>
      </c>
      <c r="H241" t="s">
        <v>172</v>
      </c>
      <c r="I241" t="s">
        <v>173</v>
      </c>
      <c r="J241" t="s">
        <v>174</v>
      </c>
      <c r="K241" t="s">
        <v>178</v>
      </c>
      <c r="L241">
        <v>1</v>
      </c>
      <c r="M241">
        <v>0</v>
      </c>
      <c r="N241">
        <v>3.5</v>
      </c>
      <c r="O241">
        <v>0.6</v>
      </c>
      <c r="P241">
        <v>2.1</v>
      </c>
      <c r="Q241" t="s">
        <v>40</v>
      </c>
      <c r="R241">
        <v>0</v>
      </c>
      <c r="S241">
        <v>2.1</v>
      </c>
    </row>
    <row r="242" spans="1:19" x14ac:dyDescent="0.25">
      <c r="A242" t="s">
        <v>184</v>
      </c>
      <c r="B242" t="s">
        <v>128</v>
      </c>
      <c r="C242" t="s">
        <v>185</v>
      </c>
      <c r="D242" s="1">
        <v>45606</v>
      </c>
      <c r="E242" s="1">
        <v>45879</v>
      </c>
      <c r="F242">
        <v>1</v>
      </c>
      <c r="G242">
        <v>10</v>
      </c>
      <c r="H242" t="s">
        <v>172</v>
      </c>
      <c r="I242" t="s">
        <v>173</v>
      </c>
      <c r="J242" t="s">
        <v>174</v>
      </c>
      <c r="K242" t="s">
        <v>182</v>
      </c>
      <c r="L242">
        <v>1</v>
      </c>
      <c r="M242">
        <v>0</v>
      </c>
      <c r="N242">
        <v>9.75</v>
      </c>
      <c r="O242">
        <v>0.6</v>
      </c>
      <c r="P242">
        <v>5.85</v>
      </c>
      <c r="Q242" t="s">
        <v>40</v>
      </c>
      <c r="R242">
        <v>0</v>
      </c>
      <c r="S242">
        <v>5.85</v>
      </c>
    </row>
    <row r="243" spans="1:19" x14ac:dyDescent="0.25">
      <c r="A243" t="s">
        <v>184</v>
      </c>
      <c r="B243" t="s">
        <v>128</v>
      </c>
      <c r="C243" t="s">
        <v>185</v>
      </c>
      <c r="D243" s="1">
        <v>45606</v>
      </c>
      <c r="E243" s="1">
        <v>45879</v>
      </c>
      <c r="F243">
        <v>1</v>
      </c>
      <c r="G243">
        <v>10</v>
      </c>
      <c r="H243" t="s">
        <v>172</v>
      </c>
      <c r="I243" t="s">
        <v>173</v>
      </c>
      <c r="J243" t="s">
        <v>174</v>
      </c>
      <c r="K243" t="s">
        <v>176</v>
      </c>
      <c r="L243">
        <v>1</v>
      </c>
      <c r="M243">
        <v>0</v>
      </c>
      <c r="N243">
        <v>3.58</v>
      </c>
      <c r="O243">
        <v>0.6</v>
      </c>
      <c r="P243">
        <v>2.15</v>
      </c>
      <c r="Q243" t="s">
        <v>40</v>
      </c>
      <c r="R243">
        <v>0</v>
      </c>
      <c r="S243">
        <v>2.15</v>
      </c>
    </row>
    <row r="244" spans="1:19" x14ac:dyDescent="0.25">
      <c r="A244" t="s">
        <v>184</v>
      </c>
      <c r="B244" t="s">
        <v>128</v>
      </c>
      <c r="C244" t="s">
        <v>185</v>
      </c>
      <c r="D244" s="1">
        <v>45606</v>
      </c>
      <c r="E244" s="1">
        <v>45879</v>
      </c>
      <c r="F244">
        <v>1</v>
      </c>
      <c r="G244">
        <v>10</v>
      </c>
      <c r="H244" t="s">
        <v>172</v>
      </c>
      <c r="I244" t="s">
        <v>173</v>
      </c>
      <c r="J244" t="s">
        <v>174</v>
      </c>
      <c r="K244" t="s">
        <v>183</v>
      </c>
      <c r="L244">
        <v>1</v>
      </c>
      <c r="M244">
        <v>0</v>
      </c>
      <c r="N244">
        <v>4.83</v>
      </c>
      <c r="O244">
        <v>0.6</v>
      </c>
      <c r="P244">
        <v>2.9</v>
      </c>
      <c r="Q244" t="s">
        <v>40</v>
      </c>
      <c r="R244">
        <v>0</v>
      </c>
      <c r="S244">
        <v>2.9</v>
      </c>
    </row>
    <row r="245" spans="1:19" x14ac:dyDescent="0.25">
      <c r="A245" t="s">
        <v>186</v>
      </c>
      <c r="B245" t="s">
        <v>152</v>
      </c>
      <c r="C245" t="s">
        <v>187</v>
      </c>
      <c r="D245" s="1">
        <v>45619</v>
      </c>
      <c r="E245" s="1">
        <v>45892</v>
      </c>
      <c r="F245">
        <v>1</v>
      </c>
      <c r="G245">
        <v>23</v>
      </c>
      <c r="H245" t="s">
        <v>172</v>
      </c>
      <c r="I245" t="s">
        <v>173</v>
      </c>
      <c r="J245" t="s">
        <v>174</v>
      </c>
      <c r="K245" t="s">
        <v>181</v>
      </c>
      <c r="L245">
        <v>1</v>
      </c>
      <c r="M245">
        <v>45.87</v>
      </c>
      <c r="N245">
        <v>29.17</v>
      </c>
      <c r="O245">
        <v>0.6</v>
      </c>
      <c r="P245">
        <v>17.5</v>
      </c>
      <c r="Q245" t="s">
        <v>59</v>
      </c>
      <c r="R245">
        <v>-17.5</v>
      </c>
      <c r="S245">
        <v>0</v>
      </c>
    </row>
    <row r="246" spans="1:19" x14ac:dyDescent="0.25">
      <c r="A246" t="s">
        <v>186</v>
      </c>
      <c r="B246" t="s">
        <v>152</v>
      </c>
      <c r="C246" t="s">
        <v>187</v>
      </c>
      <c r="D246" s="1">
        <v>45619</v>
      </c>
      <c r="E246" s="1">
        <v>45892</v>
      </c>
      <c r="F246">
        <v>1</v>
      </c>
      <c r="G246">
        <v>23</v>
      </c>
      <c r="H246" t="s">
        <v>172</v>
      </c>
      <c r="I246" t="s">
        <v>173</v>
      </c>
      <c r="J246" t="s">
        <v>174</v>
      </c>
      <c r="K246" t="s">
        <v>183</v>
      </c>
      <c r="L246">
        <v>1</v>
      </c>
      <c r="M246">
        <v>0</v>
      </c>
      <c r="N246">
        <v>4</v>
      </c>
      <c r="O246">
        <v>0.6</v>
      </c>
      <c r="P246">
        <v>2.4</v>
      </c>
      <c r="Q246" t="s">
        <v>59</v>
      </c>
      <c r="R246">
        <v>-2.4</v>
      </c>
      <c r="S246">
        <v>0</v>
      </c>
    </row>
    <row r="247" spans="1:19" x14ac:dyDescent="0.25">
      <c r="A247" t="s">
        <v>186</v>
      </c>
      <c r="B247" t="s">
        <v>152</v>
      </c>
      <c r="C247" t="s">
        <v>187</v>
      </c>
      <c r="D247" s="1">
        <v>45619</v>
      </c>
      <c r="E247" s="1">
        <v>45892</v>
      </c>
      <c r="F247">
        <v>1</v>
      </c>
      <c r="G247">
        <v>23</v>
      </c>
      <c r="H247" t="s">
        <v>172</v>
      </c>
      <c r="I247" t="s">
        <v>173</v>
      </c>
      <c r="J247" t="s">
        <v>174</v>
      </c>
      <c r="K247" t="s">
        <v>176</v>
      </c>
      <c r="L247">
        <v>1</v>
      </c>
      <c r="M247">
        <v>0</v>
      </c>
      <c r="N247">
        <v>0.83</v>
      </c>
      <c r="O247">
        <v>0.6</v>
      </c>
      <c r="P247">
        <v>0.5</v>
      </c>
      <c r="Q247" t="s">
        <v>59</v>
      </c>
      <c r="R247">
        <v>-0.5</v>
      </c>
      <c r="S247">
        <v>0</v>
      </c>
    </row>
    <row r="248" spans="1:19" x14ac:dyDescent="0.25">
      <c r="A248" t="s">
        <v>186</v>
      </c>
      <c r="B248" t="s">
        <v>152</v>
      </c>
      <c r="C248" t="s">
        <v>187</v>
      </c>
      <c r="D248" s="1">
        <v>45619</v>
      </c>
      <c r="E248" s="1">
        <v>45892</v>
      </c>
      <c r="F248">
        <v>1</v>
      </c>
      <c r="G248">
        <v>23</v>
      </c>
      <c r="H248" t="s">
        <v>172</v>
      </c>
      <c r="I248" t="s">
        <v>173</v>
      </c>
      <c r="J248" t="s">
        <v>174</v>
      </c>
      <c r="K248" t="s">
        <v>182</v>
      </c>
      <c r="L248">
        <v>1</v>
      </c>
      <c r="M248">
        <v>0</v>
      </c>
      <c r="N248">
        <v>5.42</v>
      </c>
      <c r="O248">
        <v>0.6</v>
      </c>
      <c r="P248">
        <v>3.25</v>
      </c>
      <c r="Q248" t="s">
        <v>59</v>
      </c>
      <c r="R248">
        <v>-3.25</v>
      </c>
      <c r="S248">
        <v>0</v>
      </c>
    </row>
    <row r="249" spans="1:19" x14ac:dyDescent="0.25">
      <c r="A249" t="s">
        <v>186</v>
      </c>
      <c r="B249" t="s">
        <v>152</v>
      </c>
      <c r="C249" t="s">
        <v>187</v>
      </c>
      <c r="D249" s="1">
        <v>45619</v>
      </c>
      <c r="E249" s="1">
        <v>45892</v>
      </c>
      <c r="F249">
        <v>1</v>
      </c>
      <c r="G249">
        <v>23</v>
      </c>
      <c r="H249" t="s">
        <v>172</v>
      </c>
      <c r="I249" t="s">
        <v>173</v>
      </c>
      <c r="J249" t="s">
        <v>174</v>
      </c>
      <c r="K249" t="s">
        <v>178</v>
      </c>
      <c r="L249">
        <v>1</v>
      </c>
      <c r="M249">
        <v>0</v>
      </c>
      <c r="N249">
        <v>4.37</v>
      </c>
      <c r="O249">
        <v>0.6</v>
      </c>
      <c r="P249">
        <v>2.62</v>
      </c>
      <c r="Q249" t="s">
        <v>59</v>
      </c>
      <c r="R249">
        <v>-2.62</v>
      </c>
      <c r="S249">
        <v>0</v>
      </c>
    </row>
    <row r="250" spans="1:19" x14ac:dyDescent="0.25">
      <c r="A250" t="s">
        <v>188</v>
      </c>
      <c r="B250" t="s">
        <v>56</v>
      </c>
      <c r="C250" t="s">
        <v>189</v>
      </c>
      <c r="D250" s="1">
        <v>45552</v>
      </c>
      <c r="E250" s="1">
        <v>45886</v>
      </c>
      <c r="F250">
        <v>1</v>
      </c>
      <c r="G250">
        <v>18</v>
      </c>
      <c r="H250" t="s">
        <v>190</v>
      </c>
      <c r="I250" t="s">
        <v>191</v>
      </c>
      <c r="J250" t="s">
        <v>192</v>
      </c>
      <c r="K250" t="s">
        <v>63</v>
      </c>
      <c r="L250">
        <v>1</v>
      </c>
      <c r="M250">
        <v>104.12</v>
      </c>
      <c r="N250">
        <v>78.59</v>
      </c>
      <c r="O250">
        <v>0.65</v>
      </c>
      <c r="P250">
        <v>51.08</v>
      </c>
      <c r="Q250" t="s">
        <v>40</v>
      </c>
      <c r="R250">
        <v>0</v>
      </c>
      <c r="S250">
        <v>51.08</v>
      </c>
    </row>
    <row r="251" spans="1:19" x14ac:dyDescent="0.25">
      <c r="A251" t="s">
        <v>188</v>
      </c>
      <c r="B251" t="s">
        <v>56</v>
      </c>
      <c r="C251" t="s">
        <v>189</v>
      </c>
      <c r="D251" s="1">
        <v>45552</v>
      </c>
      <c r="E251" s="1">
        <v>45886</v>
      </c>
      <c r="F251">
        <v>1</v>
      </c>
      <c r="G251">
        <v>18</v>
      </c>
      <c r="H251" t="s">
        <v>190</v>
      </c>
      <c r="I251" t="s">
        <v>191</v>
      </c>
      <c r="J251" t="s">
        <v>192</v>
      </c>
      <c r="K251" t="s">
        <v>193</v>
      </c>
      <c r="L251">
        <v>1</v>
      </c>
      <c r="M251">
        <v>0</v>
      </c>
      <c r="N251">
        <v>20.350000000000001</v>
      </c>
      <c r="O251">
        <v>0.65</v>
      </c>
      <c r="P251">
        <v>13.23</v>
      </c>
      <c r="Q251" t="s">
        <v>40</v>
      </c>
      <c r="R251">
        <v>0</v>
      </c>
      <c r="S251">
        <v>13.23</v>
      </c>
    </row>
    <row r="252" spans="1:19" x14ac:dyDescent="0.25">
      <c r="A252" t="s">
        <v>188</v>
      </c>
      <c r="B252" t="s">
        <v>56</v>
      </c>
      <c r="C252" t="s">
        <v>189</v>
      </c>
      <c r="D252" s="1">
        <v>45552</v>
      </c>
      <c r="E252" s="1">
        <v>45886</v>
      </c>
      <c r="F252">
        <v>1</v>
      </c>
      <c r="G252">
        <v>18</v>
      </c>
      <c r="H252" t="s">
        <v>190</v>
      </c>
      <c r="I252" t="s">
        <v>191</v>
      </c>
      <c r="J252" t="s">
        <v>192</v>
      </c>
      <c r="K252" t="s">
        <v>62</v>
      </c>
      <c r="L252">
        <v>1</v>
      </c>
      <c r="M252">
        <v>0</v>
      </c>
      <c r="N252">
        <v>1.68</v>
      </c>
      <c r="O252">
        <v>0.65</v>
      </c>
      <c r="P252">
        <v>1.0900000000000001</v>
      </c>
      <c r="Q252" t="s">
        <v>40</v>
      </c>
      <c r="R252">
        <v>0</v>
      </c>
      <c r="S252">
        <v>1.0900000000000001</v>
      </c>
    </row>
    <row r="253" spans="1:19" x14ac:dyDescent="0.25">
      <c r="A253" t="s">
        <v>194</v>
      </c>
      <c r="B253" t="s">
        <v>30</v>
      </c>
      <c r="C253" t="s">
        <v>195</v>
      </c>
      <c r="D253" s="1">
        <v>44851</v>
      </c>
      <c r="E253" s="1">
        <v>45886</v>
      </c>
      <c r="F253">
        <v>1</v>
      </c>
      <c r="G253">
        <v>16</v>
      </c>
      <c r="H253" t="s">
        <v>196</v>
      </c>
      <c r="I253" t="s">
        <v>197</v>
      </c>
      <c r="J253" t="s">
        <v>198</v>
      </c>
      <c r="K253" t="s">
        <v>25</v>
      </c>
      <c r="L253">
        <v>1</v>
      </c>
      <c r="M253">
        <v>40.03</v>
      </c>
      <c r="N253">
        <v>21.61</v>
      </c>
      <c r="O253">
        <v>0.04</v>
      </c>
      <c r="P253">
        <v>0.86</v>
      </c>
      <c r="Q253" t="s">
        <v>40</v>
      </c>
      <c r="R253">
        <v>0</v>
      </c>
      <c r="S253">
        <v>0.86</v>
      </c>
    </row>
    <row r="254" spans="1:19" x14ac:dyDescent="0.25">
      <c r="A254" t="s">
        <v>194</v>
      </c>
      <c r="B254" t="s">
        <v>30</v>
      </c>
      <c r="C254" t="s">
        <v>195</v>
      </c>
      <c r="D254" s="1">
        <v>44851</v>
      </c>
      <c r="E254" s="1">
        <v>45886</v>
      </c>
      <c r="F254">
        <v>1</v>
      </c>
      <c r="G254">
        <v>16</v>
      </c>
      <c r="H254" t="s">
        <v>196</v>
      </c>
      <c r="I254" t="s">
        <v>197</v>
      </c>
      <c r="J254" t="s">
        <v>198</v>
      </c>
      <c r="K254" t="s">
        <v>76</v>
      </c>
      <c r="L254">
        <v>1</v>
      </c>
      <c r="M254">
        <v>0</v>
      </c>
      <c r="N254">
        <v>0.71</v>
      </c>
      <c r="O254">
        <v>0.04</v>
      </c>
      <c r="P254">
        <v>0.03</v>
      </c>
      <c r="Q254" t="s">
        <v>40</v>
      </c>
      <c r="R254">
        <v>0</v>
      </c>
      <c r="S254">
        <v>0.03</v>
      </c>
    </row>
    <row r="255" spans="1:19" x14ac:dyDescent="0.25">
      <c r="A255" t="s">
        <v>194</v>
      </c>
      <c r="B255" t="s">
        <v>30</v>
      </c>
      <c r="C255" t="s">
        <v>195</v>
      </c>
      <c r="D255" s="1">
        <v>44851</v>
      </c>
      <c r="E255" s="1">
        <v>45886</v>
      </c>
      <c r="F255">
        <v>1</v>
      </c>
      <c r="G255">
        <v>16</v>
      </c>
      <c r="H255" t="s">
        <v>196</v>
      </c>
      <c r="I255" t="s">
        <v>197</v>
      </c>
      <c r="J255" t="s">
        <v>198</v>
      </c>
      <c r="K255" t="s">
        <v>34</v>
      </c>
      <c r="L255">
        <v>1</v>
      </c>
      <c r="M255">
        <v>0</v>
      </c>
      <c r="N255">
        <v>16.03</v>
      </c>
      <c r="O255">
        <v>0.04</v>
      </c>
      <c r="P255">
        <v>0.64</v>
      </c>
      <c r="Q255" t="s">
        <v>40</v>
      </c>
      <c r="R255">
        <v>0</v>
      </c>
      <c r="S255">
        <v>0.64</v>
      </c>
    </row>
    <row r="256" spans="1:19" x14ac:dyDescent="0.25">
      <c r="A256" t="s">
        <v>199</v>
      </c>
      <c r="B256" t="s">
        <v>30</v>
      </c>
      <c r="C256" t="s">
        <v>200</v>
      </c>
      <c r="D256" s="1">
        <v>44734</v>
      </c>
      <c r="E256" s="1">
        <v>45860</v>
      </c>
      <c r="F256">
        <v>1</v>
      </c>
      <c r="G256">
        <v>8</v>
      </c>
      <c r="H256" t="s">
        <v>201</v>
      </c>
      <c r="I256" t="s">
        <v>103</v>
      </c>
      <c r="J256" t="s">
        <v>104</v>
      </c>
      <c r="K256" t="s">
        <v>202</v>
      </c>
      <c r="L256">
        <v>1</v>
      </c>
      <c r="M256">
        <v>76.94</v>
      </c>
      <c r="N256">
        <v>52.55</v>
      </c>
      <c r="O256">
        <v>0.01</v>
      </c>
      <c r="P256">
        <v>0.53</v>
      </c>
      <c r="Q256" t="s">
        <v>40</v>
      </c>
      <c r="R256">
        <v>0</v>
      </c>
      <c r="S256">
        <v>0.53</v>
      </c>
    </row>
    <row r="257" spans="1:19" x14ac:dyDescent="0.25">
      <c r="A257" t="s">
        <v>203</v>
      </c>
      <c r="B257" t="s">
        <v>56</v>
      </c>
      <c r="C257" t="s">
        <v>204</v>
      </c>
      <c r="D257" s="1">
        <v>44805</v>
      </c>
      <c r="E257" s="1">
        <v>45870</v>
      </c>
      <c r="F257">
        <v>1</v>
      </c>
      <c r="G257">
        <v>2</v>
      </c>
      <c r="H257" t="s">
        <v>201</v>
      </c>
      <c r="I257" t="s">
        <v>103</v>
      </c>
      <c r="J257" t="s">
        <v>104</v>
      </c>
      <c r="K257" t="s">
        <v>205</v>
      </c>
      <c r="L257">
        <v>1</v>
      </c>
      <c r="M257">
        <v>74.819999999999993</v>
      </c>
      <c r="N257">
        <v>25.4</v>
      </c>
      <c r="O257">
        <v>0.02</v>
      </c>
      <c r="P257">
        <v>0.51</v>
      </c>
      <c r="Q257" t="s">
        <v>40</v>
      </c>
      <c r="R257">
        <v>0</v>
      </c>
      <c r="S257">
        <v>0.51</v>
      </c>
    </row>
    <row r="258" spans="1:19" x14ac:dyDescent="0.25">
      <c r="A258" t="s">
        <v>203</v>
      </c>
      <c r="B258" t="s">
        <v>56</v>
      </c>
      <c r="C258" t="s">
        <v>204</v>
      </c>
      <c r="D258" s="1">
        <v>44805</v>
      </c>
      <c r="E258" s="1">
        <v>45870</v>
      </c>
      <c r="F258">
        <v>1</v>
      </c>
      <c r="G258">
        <v>2</v>
      </c>
      <c r="H258" t="s">
        <v>201</v>
      </c>
      <c r="I258" t="s">
        <v>103</v>
      </c>
      <c r="J258" t="s">
        <v>104</v>
      </c>
      <c r="K258" t="s">
        <v>63</v>
      </c>
      <c r="L258">
        <v>1</v>
      </c>
      <c r="M258">
        <v>74.819999999999993</v>
      </c>
      <c r="N258">
        <v>21.31</v>
      </c>
      <c r="O258">
        <v>0.02</v>
      </c>
      <c r="P258">
        <v>0.43</v>
      </c>
      <c r="Q258" t="s">
        <v>40</v>
      </c>
      <c r="R258">
        <v>0</v>
      </c>
      <c r="S258">
        <v>0.43</v>
      </c>
    </row>
    <row r="259" spans="1:19" x14ac:dyDescent="0.25">
      <c r="A259" t="s">
        <v>203</v>
      </c>
      <c r="B259" t="s">
        <v>56</v>
      </c>
      <c r="C259" t="s">
        <v>204</v>
      </c>
      <c r="D259" s="1">
        <v>44805</v>
      </c>
      <c r="E259" s="1">
        <v>45870</v>
      </c>
      <c r="F259">
        <v>1</v>
      </c>
      <c r="G259">
        <v>2</v>
      </c>
      <c r="H259" t="s">
        <v>201</v>
      </c>
      <c r="I259" t="s">
        <v>103</v>
      </c>
      <c r="J259" t="s">
        <v>104</v>
      </c>
      <c r="K259" t="s">
        <v>206</v>
      </c>
      <c r="L259">
        <v>1</v>
      </c>
      <c r="M259">
        <v>74.819999999999993</v>
      </c>
      <c r="N259">
        <v>3.78</v>
      </c>
      <c r="O259">
        <v>0.02</v>
      </c>
      <c r="P259">
        <v>0.08</v>
      </c>
      <c r="Q259" t="s">
        <v>40</v>
      </c>
      <c r="R259">
        <v>0</v>
      </c>
      <c r="S259">
        <v>0.08</v>
      </c>
    </row>
    <row r="260" spans="1:19" x14ac:dyDescent="0.25">
      <c r="A260" t="s">
        <v>203</v>
      </c>
      <c r="B260" t="s">
        <v>56</v>
      </c>
      <c r="C260" t="s">
        <v>204</v>
      </c>
      <c r="D260" s="1">
        <v>44805</v>
      </c>
      <c r="E260" s="1">
        <v>45870</v>
      </c>
      <c r="F260">
        <v>1</v>
      </c>
      <c r="G260">
        <v>2</v>
      </c>
      <c r="H260" t="s">
        <v>201</v>
      </c>
      <c r="I260" t="s">
        <v>103</v>
      </c>
      <c r="J260" t="s">
        <v>104</v>
      </c>
      <c r="K260" t="s">
        <v>60</v>
      </c>
      <c r="L260">
        <v>1</v>
      </c>
      <c r="M260">
        <v>74.819999999999993</v>
      </c>
      <c r="N260">
        <v>19.149999999999999</v>
      </c>
      <c r="O260">
        <v>0.02</v>
      </c>
      <c r="P260">
        <v>0.38</v>
      </c>
      <c r="Q260" t="s">
        <v>40</v>
      </c>
      <c r="R260">
        <v>0</v>
      </c>
      <c r="S260">
        <v>0.38</v>
      </c>
    </row>
    <row r="261" spans="1:19" x14ac:dyDescent="0.25">
      <c r="A261" t="s">
        <v>207</v>
      </c>
      <c r="B261" t="s">
        <v>56</v>
      </c>
      <c r="C261" t="s">
        <v>208</v>
      </c>
      <c r="D261" s="1">
        <v>44896</v>
      </c>
      <c r="E261" s="1">
        <v>45870</v>
      </c>
      <c r="F261">
        <v>1</v>
      </c>
      <c r="G261">
        <v>2</v>
      </c>
      <c r="H261" t="s">
        <v>201</v>
      </c>
      <c r="I261" t="s">
        <v>103</v>
      </c>
      <c r="J261" t="s">
        <v>104</v>
      </c>
      <c r="K261" t="s">
        <v>209</v>
      </c>
      <c r="L261">
        <v>1</v>
      </c>
      <c r="M261">
        <v>33.659999999999997</v>
      </c>
      <c r="N261">
        <v>2.75</v>
      </c>
      <c r="O261">
        <v>0.02</v>
      </c>
      <c r="P261">
        <v>0.06</v>
      </c>
      <c r="Q261" t="s">
        <v>40</v>
      </c>
      <c r="R261">
        <v>0</v>
      </c>
      <c r="S261">
        <v>0.06</v>
      </c>
    </row>
    <row r="262" spans="1:19" x14ac:dyDescent="0.25">
      <c r="A262" t="s">
        <v>207</v>
      </c>
      <c r="B262" t="s">
        <v>56</v>
      </c>
      <c r="C262" t="s">
        <v>208</v>
      </c>
      <c r="D262" s="1">
        <v>44896</v>
      </c>
      <c r="E262" s="1">
        <v>45870</v>
      </c>
      <c r="F262">
        <v>1</v>
      </c>
      <c r="G262">
        <v>2</v>
      </c>
      <c r="H262" t="s">
        <v>201</v>
      </c>
      <c r="I262" t="s">
        <v>103</v>
      </c>
      <c r="J262" t="s">
        <v>104</v>
      </c>
      <c r="K262" t="s">
        <v>63</v>
      </c>
      <c r="L262">
        <v>1</v>
      </c>
      <c r="M262">
        <v>33.659999999999997</v>
      </c>
      <c r="N262">
        <v>6.24</v>
      </c>
      <c r="O262">
        <v>0.02</v>
      </c>
      <c r="P262">
        <v>0.12</v>
      </c>
      <c r="Q262" t="s">
        <v>40</v>
      </c>
      <c r="R262">
        <v>0</v>
      </c>
      <c r="S262">
        <v>0.12</v>
      </c>
    </row>
    <row r="263" spans="1:19" x14ac:dyDescent="0.25">
      <c r="A263" t="s">
        <v>207</v>
      </c>
      <c r="B263" t="s">
        <v>56</v>
      </c>
      <c r="C263" t="s">
        <v>208</v>
      </c>
      <c r="D263" s="1">
        <v>44896</v>
      </c>
      <c r="E263" s="1">
        <v>45870</v>
      </c>
      <c r="F263">
        <v>1</v>
      </c>
      <c r="G263">
        <v>2</v>
      </c>
      <c r="H263" t="s">
        <v>201</v>
      </c>
      <c r="I263" t="s">
        <v>103</v>
      </c>
      <c r="J263" t="s">
        <v>104</v>
      </c>
      <c r="K263" t="s">
        <v>210</v>
      </c>
      <c r="L263">
        <v>1</v>
      </c>
      <c r="M263">
        <v>33.659999999999997</v>
      </c>
      <c r="N263">
        <v>19.489999999999998</v>
      </c>
      <c r="O263">
        <v>0.02</v>
      </c>
      <c r="P263">
        <v>0.39</v>
      </c>
      <c r="Q263" t="s">
        <v>40</v>
      </c>
      <c r="R263">
        <v>0</v>
      </c>
      <c r="S263">
        <v>0.39</v>
      </c>
    </row>
    <row r="264" spans="1:19" x14ac:dyDescent="0.25">
      <c r="A264" t="s">
        <v>211</v>
      </c>
      <c r="B264" t="s">
        <v>56</v>
      </c>
      <c r="C264" t="s">
        <v>212</v>
      </c>
      <c r="D264" s="1">
        <v>44818</v>
      </c>
      <c r="E264" s="1">
        <v>45883</v>
      </c>
      <c r="F264">
        <v>1</v>
      </c>
      <c r="G264">
        <v>2</v>
      </c>
      <c r="H264" t="s">
        <v>201</v>
      </c>
      <c r="I264" t="s">
        <v>103</v>
      </c>
      <c r="J264" t="s">
        <v>104</v>
      </c>
      <c r="K264" t="s">
        <v>205</v>
      </c>
      <c r="L264">
        <v>1</v>
      </c>
      <c r="M264">
        <v>76.14</v>
      </c>
      <c r="N264">
        <v>24.87</v>
      </c>
      <c r="O264">
        <v>0.02</v>
      </c>
      <c r="P264">
        <v>0.5</v>
      </c>
      <c r="Q264" t="s">
        <v>40</v>
      </c>
      <c r="R264">
        <v>0</v>
      </c>
      <c r="S264">
        <v>0.5</v>
      </c>
    </row>
    <row r="265" spans="1:19" x14ac:dyDescent="0.25">
      <c r="A265" t="s">
        <v>211</v>
      </c>
      <c r="B265" t="s">
        <v>56</v>
      </c>
      <c r="C265" t="s">
        <v>212</v>
      </c>
      <c r="D265" s="1">
        <v>44818</v>
      </c>
      <c r="E265" s="1">
        <v>45883</v>
      </c>
      <c r="F265">
        <v>1</v>
      </c>
      <c r="G265">
        <v>2</v>
      </c>
      <c r="H265" t="s">
        <v>201</v>
      </c>
      <c r="I265" t="s">
        <v>103</v>
      </c>
      <c r="J265" t="s">
        <v>104</v>
      </c>
      <c r="K265" t="s">
        <v>63</v>
      </c>
      <c r="L265">
        <v>1</v>
      </c>
      <c r="M265">
        <v>76.14</v>
      </c>
      <c r="N265">
        <v>19.27</v>
      </c>
      <c r="O265">
        <v>0.02</v>
      </c>
      <c r="P265">
        <v>0.39</v>
      </c>
      <c r="Q265" t="s">
        <v>40</v>
      </c>
      <c r="R265">
        <v>0</v>
      </c>
      <c r="S265">
        <v>0.39</v>
      </c>
    </row>
    <row r="266" spans="1:19" x14ac:dyDescent="0.25">
      <c r="A266" t="s">
        <v>211</v>
      </c>
      <c r="B266" t="s">
        <v>56</v>
      </c>
      <c r="C266" t="s">
        <v>212</v>
      </c>
      <c r="D266" s="1">
        <v>44818</v>
      </c>
      <c r="E266" s="1">
        <v>45883</v>
      </c>
      <c r="F266">
        <v>1</v>
      </c>
      <c r="G266">
        <v>2</v>
      </c>
      <c r="H266" t="s">
        <v>201</v>
      </c>
      <c r="I266" t="s">
        <v>103</v>
      </c>
      <c r="J266" t="s">
        <v>104</v>
      </c>
      <c r="K266" t="s">
        <v>65</v>
      </c>
      <c r="L266">
        <v>1</v>
      </c>
      <c r="M266">
        <v>76.14</v>
      </c>
      <c r="N266">
        <v>6.22</v>
      </c>
      <c r="O266">
        <v>0.02</v>
      </c>
      <c r="P266">
        <v>0.12</v>
      </c>
      <c r="Q266" t="s">
        <v>40</v>
      </c>
      <c r="R266">
        <v>0</v>
      </c>
      <c r="S266">
        <v>0.12</v>
      </c>
    </row>
    <row r="267" spans="1:19" x14ac:dyDescent="0.25">
      <c r="A267" t="s">
        <v>211</v>
      </c>
      <c r="B267" t="s">
        <v>56</v>
      </c>
      <c r="C267" t="s">
        <v>212</v>
      </c>
      <c r="D267" s="1">
        <v>44818</v>
      </c>
      <c r="E267" s="1">
        <v>45883</v>
      </c>
      <c r="F267">
        <v>1</v>
      </c>
      <c r="G267">
        <v>2</v>
      </c>
      <c r="H267" t="s">
        <v>201</v>
      </c>
      <c r="I267" t="s">
        <v>103</v>
      </c>
      <c r="J267" t="s">
        <v>104</v>
      </c>
      <c r="K267" t="s">
        <v>60</v>
      </c>
      <c r="L267">
        <v>1</v>
      </c>
      <c r="M267">
        <v>76.14</v>
      </c>
      <c r="N267">
        <v>17.059999999999999</v>
      </c>
      <c r="O267">
        <v>0.02</v>
      </c>
      <c r="P267">
        <v>0.34</v>
      </c>
      <c r="Q267" t="s">
        <v>40</v>
      </c>
      <c r="R267">
        <v>0</v>
      </c>
      <c r="S267">
        <v>0.34</v>
      </c>
    </row>
    <row r="268" spans="1:19" x14ac:dyDescent="0.25">
      <c r="A268" t="s">
        <v>211</v>
      </c>
      <c r="B268" t="s">
        <v>56</v>
      </c>
      <c r="C268" t="s">
        <v>212</v>
      </c>
      <c r="D268" s="1">
        <v>44818</v>
      </c>
      <c r="E268" s="1">
        <v>45883</v>
      </c>
      <c r="F268">
        <v>1</v>
      </c>
      <c r="G268">
        <v>2</v>
      </c>
      <c r="H268" t="s">
        <v>201</v>
      </c>
      <c r="I268" t="s">
        <v>103</v>
      </c>
      <c r="J268" t="s">
        <v>104</v>
      </c>
      <c r="K268" t="s">
        <v>206</v>
      </c>
      <c r="L268">
        <v>1</v>
      </c>
      <c r="M268">
        <v>76.14</v>
      </c>
      <c r="N268">
        <v>3.53</v>
      </c>
      <c r="O268">
        <v>0.02</v>
      </c>
      <c r="P268">
        <v>7.0000000000000007E-2</v>
      </c>
      <c r="Q268" t="s">
        <v>40</v>
      </c>
      <c r="R268">
        <v>0</v>
      </c>
      <c r="S268">
        <v>7.0000000000000007E-2</v>
      </c>
    </row>
    <row r="269" spans="1:19" x14ac:dyDescent="0.25">
      <c r="A269" t="s">
        <v>213</v>
      </c>
      <c r="B269" t="s">
        <v>30</v>
      </c>
      <c r="C269" t="s">
        <v>214</v>
      </c>
      <c r="D269" s="1">
        <v>44824</v>
      </c>
      <c r="E269" s="1">
        <v>45889</v>
      </c>
      <c r="F269">
        <v>1</v>
      </c>
      <c r="G269">
        <v>10</v>
      </c>
      <c r="H269" t="s">
        <v>201</v>
      </c>
      <c r="I269" t="s">
        <v>103</v>
      </c>
      <c r="J269" t="s">
        <v>104</v>
      </c>
      <c r="K269" t="s">
        <v>25</v>
      </c>
      <c r="L269">
        <v>1</v>
      </c>
      <c r="M269">
        <v>54.57</v>
      </c>
      <c r="N269">
        <v>10.11</v>
      </c>
      <c r="O269">
        <v>0.02</v>
      </c>
      <c r="P269">
        <v>0.2</v>
      </c>
      <c r="Q269" t="s">
        <v>40</v>
      </c>
      <c r="R269">
        <v>0</v>
      </c>
      <c r="S269">
        <v>0.2</v>
      </c>
    </row>
    <row r="270" spans="1:19" x14ac:dyDescent="0.25">
      <c r="A270" t="s">
        <v>213</v>
      </c>
      <c r="B270" t="s">
        <v>30</v>
      </c>
      <c r="C270" t="s">
        <v>214</v>
      </c>
      <c r="D270" s="1">
        <v>44824</v>
      </c>
      <c r="E270" s="1">
        <v>45889</v>
      </c>
      <c r="F270">
        <v>1</v>
      </c>
      <c r="G270">
        <v>10</v>
      </c>
      <c r="H270" t="s">
        <v>201</v>
      </c>
      <c r="I270" t="s">
        <v>103</v>
      </c>
      <c r="J270" t="s">
        <v>104</v>
      </c>
      <c r="K270" t="s">
        <v>27</v>
      </c>
      <c r="L270">
        <v>1</v>
      </c>
      <c r="M270">
        <v>0</v>
      </c>
      <c r="N270">
        <v>6.22</v>
      </c>
      <c r="O270">
        <v>0.02</v>
      </c>
      <c r="P270">
        <v>0.12</v>
      </c>
      <c r="Q270" t="s">
        <v>40</v>
      </c>
      <c r="R270">
        <v>0</v>
      </c>
      <c r="S270">
        <v>0.12</v>
      </c>
    </row>
    <row r="271" spans="1:19" x14ac:dyDescent="0.25">
      <c r="A271" t="s">
        <v>213</v>
      </c>
      <c r="B271" t="s">
        <v>30</v>
      </c>
      <c r="C271" t="s">
        <v>214</v>
      </c>
      <c r="D271" s="1">
        <v>44824</v>
      </c>
      <c r="E271" s="1">
        <v>45889</v>
      </c>
      <c r="F271">
        <v>1</v>
      </c>
      <c r="G271">
        <v>10</v>
      </c>
      <c r="H271" t="s">
        <v>201</v>
      </c>
      <c r="I271" t="s">
        <v>103</v>
      </c>
      <c r="J271" t="s">
        <v>104</v>
      </c>
      <c r="K271" t="s">
        <v>41</v>
      </c>
      <c r="L271">
        <v>1</v>
      </c>
      <c r="M271">
        <v>0</v>
      </c>
      <c r="N271">
        <v>20.53</v>
      </c>
      <c r="O271">
        <v>0.02</v>
      </c>
      <c r="P271">
        <v>0.41</v>
      </c>
      <c r="Q271" t="s">
        <v>40</v>
      </c>
      <c r="R271">
        <v>0</v>
      </c>
      <c r="S271">
        <v>0.41</v>
      </c>
    </row>
    <row r="272" spans="1:19" x14ac:dyDescent="0.25">
      <c r="A272" t="s">
        <v>213</v>
      </c>
      <c r="B272" t="s">
        <v>30</v>
      </c>
      <c r="C272" t="s">
        <v>214</v>
      </c>
      <c r="D272" s="1">
        <v>44824</v>
      </c>
      <c r="E272" s="1">
        <v>45889</v>
      </c>
      <c r="F272">
        <v>1</v>
      </c>
      <c r="G272">
        <v>10</v>
      </c>
      <c r="H272" t="s">
        <v>201</v>
      </c>
      <c r="I272" t="s">
        <v>103</v>
      </c>
      <c r="J272" t="s">
        <v>104</v>
      </c>
      <c r="K272" t="s">
        <v>34</v>
      </c>
      <c r="L272">
        <v>1</v>
      </c>
      <c r="M272">
        <v>0</v>
      </c>
      <c r="N272">
        <v>12.93</v>
      </c>
      <c r="O272">
        <v>0.02</v>
      </c>
      <c r="P272">
        <v>0.26</v>
      </c>
      <c r="Q272" t="s">
        <v>40</v>
      </c>
      <c r="R272">
        <v>0</v>
      </c>
      <c r="S272">
        <v>0.26</v>
      </c>
    </row>
    <row r="273" spans="1:19" x14ac:dyDescent="0.25">
      <c r="A273" t="s">
        <v>213</v>
      </c>
      <c r="B273" t="s">
        <v>30</v>
      </c>
      <c r="C273" t="s">
        <v>214</v>
      </c>
      <c r="D273" s="1">
        <v>44824</v>
      </c>
      <c r="E273" s="1">
        <v>45889</v>
      </c>
      <c r="F273">
        <v>1</v>
      </c>
      <c r="G273">
        <v>10</v>
      </c>
      <c r="H273" t="s">
        <v>201</v>
      </c>
      <c r="I273" t="s">
        <v>103</v>
      </c>
      <c r="J273" t="s">
        <v>104</v>
      </c>
      <c r="K273" t="s">
        <v>42</v>
      </c>
      <c r="L273">
        <v>1</v>
      </c>
      <c r="M273">
        <v>0</v>
      </c>
      <c r="N273">
        <v>3.1</v>
      </c>
      <c r="O273">
        <v>0.02</v>
      </c>
      <c r="P273">
        <v>0.06</v>
      </c>
      <c r="Q273" t="s">
        <v>40</v>
      </c>
      <c r="R273">
        <v>0</v>
      </c>
      <c r="S273">
        <v>0.06</v>
      </c>
    </row>
    <row r="274" spans="1:19" x14ac:dyDescent="0.25">
      <c r="A274" t="s">
        <v>215</v>
      </c>
      <c r="B274" t="s">
        <v>30</v>
      </c>
      <c r="C274" t="s">
        <v>216</v>
      </c>
      <c r="D274" s="1">
        <v>44858</v>
      </c>
      <c r="E274" s="1">
        <v>45893</v>
      </c>
      <c r="F274">
        <v>1</v>
      </c>
      <c r="G274">
        <v>10</v>
      </c>
      <c r="H274" t="s">
        <v>201</v>
      </c>
      <c r="I274" t="s">
        <v>103</v>
      </c>
      <c r="J274" t="s">
        <v>104</v>
      </c>
      <c r="K274" t="s">
        <v>25</v>
      </c>
      <c r="L274">
        <v>1</v>
      </c>
      <c r="M274">
        <v>62.68</v>
      </c>
      <c r="N274">
        <v>26.47</v>
      </c>
      <c r="O274">
        <v>0.02</v>
      </c>
      <c r="P274">
        <v>0.53</v>
      </c>
      <c r="Q274" t="s">
        <v>40</v>
      </c>
      <c r="R274">
        <v>0</v>
      </c>
      <c r="S274">
        <v>0.53</v>
      </c>
    </row>
    <row r="275" spans="1:19" x14ac:dyDescent="0.25">
      <c r="A275" t="s">
        <v>215</v>
      </c>
      <c r="B275" t="s">
        <v>30</v>
      </c>
      <c r="C275" t="s">
        <v>216</v>
      </c>
      <c r="D275" s="1">
        <v>44858</v>
      </c>
      <c r="E275" s="1">
        <v>45893</v>
      </c>
      <c r="F275">
        <v>1</v>
      </c>
      <c r="G275">
        <v>10</v>
      </c>
      <c r="H275" t="s">
        <v>201</v>
      </c>
      <c r="I275" t="s">
        <v>103</v>
      </c>
      <c r="J275" t="s">
        <v>104</v>
      </c>
      <c r="K275" t="s">
        <v>42</v>
      </c>
      <c r="L275">
        <v>1</v>
      </c>
      <c r="M275">
        <v>0</v>
      </c>
      <c r="N275">
        <v>2.75</v>
      </c>
      <c r="O275">
        <v>0.02</v>
      </c>
      <c r="P275">
        <v>0.06</v>
      </c>
      <c r="Q275" t="s">
        <v>40</v>
      </c>
      <c r="R275">
        <v>0</v>
      </c>
      <c r="S275">
        <v>0.06</v>
      </c>
    </row>
    <row r="276" spans="1:19" x14ac:dyDescent="0.25">
      <c r="A276" t="s">
        <v>215</v>
      </c>
      <c r="B276" t="s">
        <v>30</v>
      </c>
      <c r="C276" t="s">
        <v>216</v>
      </c>
      <c r="D276" s="1">
        <v>44858</v>
      </c>
      <c r="E276" s="1">
        <v>45893</v>
      </c>
      <c r="F276">
        <v>1</v>
      </c>
      <c r="G276">
        <v>10</v>
      </c>
      <c r="H276" t="s">
        <v>201</v>
      </c>
      <c r="I276" t="s">
        <v>103</v>
      </c>
      <c r="J276" t="s">
        <v>104</v>
      </c>
      <c r="K276" t="s">
        <v>41</v>
      </c>
      <c r="L276">
        <v>1</v>
      </c>
      <c r="M276">
        <v>0</v>
      </c>
      <c r="N276">
        <v>19.489999999999998</v>
      </c>
      <c r="O276">
        <v>0.02</v>
      </c>
      <c r="P276">
        <v>0.39</v>
      </c>
      <c r="Q276" t="s">
        <v>40</v>
      </c>
      <c r="R276">
        <v>0</v>
      </c>
      <c r="S276">
        <v>0.39</v>
      </c>
    </row>
    <row r="277" spans="1:19" x14ac:dyDescent="0.25">
      <c r="A277" t="s">
        <v>215</v>
      </c>
      <c r="B277" t="s">
        <v>30</v>
      </c>
      <c r="C277" t="s">
        <v>216</v>
      </c>
      <c r="D277" s="1">
        <v>44858</v>
      </c>
      <c r="E277" s="1">
        <v>45893</v>
      </c>
      <c r="F277">
        <v>1</v>
      </c>
      <c r="G277">
        <v>10</v>
      </c>
      <c r="H277" t="s">
        <v>201</v>
      </c>
      <c r="I277" t="s">
        <v>103</v>
      </c>
      <c r="J277" t="s">
        <v>104</v>
      </c>
      <c r="K277" t="s">
        <v>34</v>
      </c>
      <c r="L277">
        <v>1</v>
      </c>
      <c r="M277">
        <v>0</v>
      </c>
      <c r="N277">
        <v>12.29</v>
      </c>
      <c r="O277">
        <v>0.02</v>
      </c>
      <c r="P277">
        <v>0.25</v>
      </c>
      <c r="Q277" t="s">
        <v>40</v>
      </c>
      <c r="R277">
        <v>0</v>
      </c>
      <c r="S277">
        <v>0.25</v>
      </c>
    </row>
    <row r="278" spans="1:19" x14ac:dyDescent="0.25">
      <c r="A278" t="s">
        <v>217</v>
      </c>
      <c r="B278" t="s">
        <v>30</v>
      </c>
      <c r="C278" t="s">
        <v>218</v>
      </c>
      <c r="D278" s="1">
        <v>44910</v>
      </c>
      <c r="E278" s="1">
        <v>45884</v>
      </c>
      <c r="F278">
        <v>1</v>
      </c>
      <c r="G278">
        <v>10</v>
      </c>
      <c r="H278" t="s">
        <v>201</v>
      </c>
      <c r="I278" t="s">
        <v>103</v>
      </c>
      <c r="J278" t="s">
        <v>104</v>
      </c>
      <c r="K278" t="s">
        <v>25</v>
      </c>
      <c r="L278">
        <v>1</v>
      </c>
      <c r="M278">
        <v>64.7</v>
      </c>
      <c r="N278">
        <v>17.559999999999999</v>
      </c>
      <c r="O278">
        <v>0.02</v>
      </c>
      <c r="P278">
        <v>0.35</v>
      </c>
      <c r="Q278" t="s">
        <v>40</v>
      </c>
      <c r="R278">
        <v>0</v>
      </c>
      <c r="S278">
        <v>0.35</v>
      </c>
    </row>
    <row r="279" spans="1:19" x14ac:dyDescent="0.25">
      <c r="A279" t="s">
        <v>217</v>
      </c>
      <c r="B279" t="s">
        <v>30</v>
      </c>
      <c r="C279" t="s">
        <v>218</v>
      </c>
      <c r="D279" s="1">
        <v>44910</v>
      </c>
      <c r="E279" s="1">
        <v>45884</v>
      </c>
      <c r="F279">
        <v>1</v>
      </c>
      <c r="G279">
        <v>10</v>
      </c>
      <c r="H279" t="s">
        <v>201</v>
      </c>
      <c r="I279" t="s">
        <v>103</v>
      </c>
      <c r="J279" t="s">
        <v>104</v>
      </c>
      <c r="K279" t="s">
        <v>34</v>
      </c>
      <c r="L279">
        <v>1</v>
      </c>
      <c r="M279">
        <v>0</v>
      </c>
      <c r="N279">
        <v>17.059999999999999</v>
      </c>
      <c r="O279">
        <v>0.02</v>
      </c>
      <c r="P279">
        <v>0.34</v>
      </c>
      <c r="Q279" t="s">
        <v>40</v>
      </c>
      <c r="R279">
        <v>0</v>
      </c>
      <c r="S279">
        <v>0.34</v>
      </c>
    </row>
    <row r="280" spans="1:19" x14ac:dyDescent="0.25">
      <c r="A280" t="s">
        <v>217</v>
      </c>
      <c r="B280" t="s">
        <v>30</v>
      </c>
      <c r="C280" t="s">
        <v>218</v>
      </c>
      <c r="D280" s="1">
        <v>44910</v>
      </c>
      <c r="E280" s="1">
        <v>45884</v>
      </c>
      <c r="F280">
        <v>1</v>
      </c>
      <c r="G280">
        <v>10</v>
      </c>
      <c r="H280" t="s">
        <v>201</v>
      </c>
      <c r="I280" t="s">
        <v>103</v>
      </c>
      <c r="J280" t="s">
        <v>104</v>
      </c>
      <c r="K280" t="s">
        <v>105</v>
      </c>
      <c r="L280">
        <v>1</v>
      </c>
      <c r="M280">
        <v>0</v>
      </c>
      <c r="N280">
        <v>3.53</v>
      </c>
      <c r="O280">
        <v>0.02</v>
      </c>
      <c r="P280">
        <v>7.0000000000000007E-2</v>
      </c>
      <c r="Q280" t="s">
        <v>40</v>
      </c>
      <c r="R280">
        <v>0</v>
      </c>
      <c r="S280">
        <v>7.0000000000000007E-2</v>
      </c>
    </row>
    <row r="281" spans="1:19" x14ac:dyDescent="0.25">
      <c r="A281" t="s">
        <v>217</v>
      </c>
      <c r="B281" t="s">
        <v>30</v>
      </c>
      <c r="C281" t="s">
        <v>218</v>
      </c>
      <c r="D281" s="1">
        <v>44910</v>
      </c>
      <c r="E281" s="1">
        <v>45884</v>
      </c>
      <c r="F281">
        <v>1</v>
      </c>
      <c r="G281">
        <v>10</v>
      </c>
      <c r="H281" t="s">
        <v>201</v>
      </c>
      <c r="I281" t="s">
        <v>103</v>
      </c>
      <c r="J281" t="s">
        <v>104</v>
      </c>
      <c r="K281" t="s">
        <v>106</v>
      </c>
      <c r="L281">
        <v>1</v>
      </c>
      <c r="M281">
        <v>0</v>
      </c>
      <c r="N281">
        <v>24.87</v>
      </c>
      <c r="O281">
        <v>0.02</v>
      </c>
      <c r="P281">
        <v>0.5</v>
      </c>
      <c r="Q281" t="s">
        <v>40</v>
      </c>
      <c r="R281">
        <v>0</v>
      </c>
      <c r="S281">
        <v>0.5</v>
      </c>
    </row>
    <row r="282" spans="1:19" x14ac:dyDescent="0.25">
      <c r="A282" t="s">
        <v>219</v>
      </c>
      <c r="B282" t="s">
        <v>30</v>
      </c>
      <c r="C282" t="s">
        <v>220</v>
      </c>
      <c r="D282" s="1">
        <v>44988</v>
      </c>
      <c r="E282" s="1">
        <v>45872</v>
      </c>
      <c r="F282">
        <v>1</v>
      </c>
      <c r="G282">
        <v>3</v>
      </c>
      <c r="H282" t="s">
        <v>201</v>
      </c>
      <c r="I282" t="s">
        <v>103</v>
      </c>
      <c r="J282" t="s">
        <v>104</v>
      </c>
      <c r="K282" t="s">
        <v>34</v>
      </c>
      <c r="L282">
        <v>1</v>
      </c>
      <c r="M282">
        <v>79.87</v>
      </c>
      <c r="N282">
        <v>24.35</v>
      </c>
      <c r="O282">
        <v>0.02</v>
      </c>
      <c r="P282">
        <v>0.49</v>
      </c>
      <c r="Q282" t="s">
        <v>40</v>
      </c>
      <c r="R282">
        <v>0</v>
      </c>
      <c r="S282">
        <v>0.49</v>
      </c>
    </row>
    <row r="283" spans="1:19" x14ac:dyDescent="0.25">
      <c r="A283" t="s">
        <v>219</v>
      </c>
      <c r="B283" t="s">
        <v>30</v>
      </c>
      <c r="C283" t="s">
        <v>220</v>
      </c>
      <c r="D283" s="1">
        <v>44988</v>
      </c>
      <c r="E283" s="1">
        <v>45872</v>
      </c>
      <c r="F283">
        <v>1</v>
      </c>
      <c r="G283">
        <v>3</v>
      </c>
      <c r="H283" t="s">
        <v>201</v>
      </c>
      <c r="I283" t="s">
        <v>103</v>
      </c>
      <c r="J283" t="s">
        <v>104</v>
      </c>
      <c r="K283" t="s">
        <v>106</v>
      </c>
      <c r="L283">
        <v>1</v>
      </c>
      <c r="M283">
        <v>79.87</v>
      </c>
      <c r="N283">
        <v>26.28</v>
      </c>
      <c r="O283">
        <v>0.02</v>
      </c>
      <c r="P283">
        <v>0.53</v>
      </c>
      <c r="Q283" t="s">
        <v>40</v>
      </c>
      <c r="R283">
        <v>0</v>
      </c>
      <c r="S283">
        <v>0.53</v>
      </c>
    </row>
    <row r="284" spans="1:19" x14ac:dyDescent="0.25">
      <c r="A284" t="s">
        <v>219</v>
      </c>
      <c r="B284" t="s">
        <v>30</v>
      </c>
      <c r="C284" t="s">
        <v>220</v>
      </c>
      <c r="D284" s="1">
        <v>44988</v>
      </c>
      <c r="E284" s="1">
        <v>45872</v>
      </c>
      <c r="F284">
        <v>1</v>
      </c>
      <c r="G284">
        <v>3</v>
      </c>
      <c r="H284" t="s">
        <v>201</v>
      </c>
      <c r="I284" t="s">
        <v>103</v>
      </c>
      <c r="J284" t="s">
        <v>104</v>
      </c>
      <c r="K284" t="s">
        <v>27</v>
      </c>
      <c r="L284">
        <v>1</v>
      </c>
      <c r="M284">
        <v>79.87</v>
      </c>
      <c r="N284">
        <v>6.22</v>
      </c>
      <c r="O284">
        <v>0.02</v>
      </c>
      <c r="P284">
        <v>0.12</v>
      </c>
      <c r="Q284" t="s">
        <v>40</v>
      </c>
      <c r="R284">
        <v>0</v>
      </c>
      <c r="S284">
        <v>0.12</v>
      </c>
    </row>
    <row r="285" spans="1:19" x14ac:dyDescent="0.25">
      <c r="A285" t="s">
        <v>219</v>
      </c>
      <c r="B285" t="s">
        <v>30</v>
      </c>
      <c r="C285" t="s">
        <v>220</v>
      </c>
      <c r="D285" s="1">
        <v>44988</v>
      </c>
      <c r="E285" s="1">
        <v>45872</v>
      </c>
      <c r="F285">
        <v>1</v>
      </c>
      <c r="G285">
        <v>3</v>
      </c>
      <c r="H285" t="s">
        <v>201</v>
      </c>
      <c r="I285" t="s">
        <v>103</v>
      </c>
      <c r="J285" t="s">
        <v>104</v>
      </c>
      <c r="K285" t="s">
        <v>105</v>
      </c>
      <c r="L285">
        <v>1</v>
      </c>
      <c r="M285">
        <v>79.87</v>
      </c>
      <c r="N285">
        <v>4.41</v>
      </c>
      <c r="O285">
        <v>0.02</v>
      </c>
      <c r="P285">
        <v>0.09</v>
      </c>
      <c r="Q285" t="s">
        <v>40</v>
      </c>
      <c r="R285">
        <v>0</v>
      </c>
      <c r="S285">
        <v>0.09</v>
      </c>
    </row>
    <row r="286" spans="1:19" x14ac:dyDescent="0.25">
      <c r="A286" t="s">
        <v>219</v>
      </c>
      <c r="B286" t="s">
        <v>30</v>
      </c>
      <c r="C286" t="s">
        <v>220</v>
      </c>
      <c r="D286" s="1">
        <v>44988</v>
      </c>
      <c r="E286" s="1">
        <v>45872</v>
      </c>
      <c r="F286">
        <v>1</v>
      </c>
      <c r="G286">
        <v>3</v>
      </c>
      <c r="H286" t="s">
        <v>201</v>
      </c>
      <c r="I286" t="s">
        <v>103</v>
      </c>
      <c r="J286" t="s">
        <v>104</v>
      </c>
      <c r="K286" t="s">
        <v>25</v>
      </c>
      <c r="L286">
        <v>1</v>
      </c>
      <c r="M286">
        <v>79.87</v>
      </c>
      <c r="N286">
        <v>16.93</v>
      </c>
      <c r="O286">
        <v>0.02</v>
      </c>
      <c r="P286">
        <v>0.34</v>
      </c>
      <c r="Q286" t="s">
        <v>40</v>
      </c>
      <c r="R286">
        <v>0</v>
      </c>
      <c r="S286">
        <v>0.34</v>
      </c>
    </row>
    <row r="287" spans="1:19" x14ac:dyDescent="0.25">
      <c r="A287" t="s">
        <v>221</v>
      </c>
      <c r="B287" t="s">
        <v>30</v>
      </c>
      <c r="C287" t="s">
        <v>222</v>
      </c>
      <c r="D287" s="1">
        <v>44991</v>
      </c>
      <c r="E287" s="1">
        <v>45875</v>
      </c>
      <c r="F287">
        <v>1</v>
      </c>
      <c r="G287">
        <v>3</v>
      </c>
      <c r="H287" t="s">
        <v>201</v>
      </c>
      <c r="I287" t="s">
        <v>103</v>
      </c>
      <c r="J287" t="s">
        <v>104</v>
      </c>
      <c r="K287" t="s">
        <v>25</v>
      </c>
      <c r="L287">
        <v>1</v>
      </c>
      <c r="M287">
        <v>60.97</v>
      </c>
      <c r="N287">
        <v>15.62</v>
      </c>
      <c r="O287">
        <v>0.02</v>
      </c>
      <c r="P287">
        <v>0.31</v>
      </c>
      <c r="Q287" t="s">
        <v>40</v>
      </c>
      <c r="R287">
        <v>0</v>
      </c>
      <c r="S287">
        <v>0.31</v>
      </c>
    </row>
    <row r="288" spans="1:19" x14ac:dyDescent="0.25">
      <c r="A288" t="s">
        <v>221</v>
      </c>
      <c r="B288" t="s">
        <v>30</v>
      </c>
      <c r="C288" t="s">
        <v>222</v>
      </c>
      <c r="D288" s="1">
        <v>44991</v>
      </c>
      <c r="E288" s="1">
        <v>45875</v>
      </c>
      <c r="F288">
        <v>1</v>
      </c>
      <c r="G288">
        <v>3</v>
      </c>
      <c r="H288" t="s">
        <v>201</v>
      </c>
      <c r="I288" t="s">
        <v>103</v>
      </c>
      <c r="J288" t="s">
        <v>104</v>
      </c>
      <c r="K288" t="s">
        <v>105</v>
      </c>
      <c r="L288">
        <v>1</v>
      </c>
      <c r="M288">
        <v>60.97</v>
      </c>
      <c r="N288">
        <v>2.75</v>
      </c>
      <c r="O288">
        <v>0.02</v>
      </c>
      <c r="P288">
        <v>0.06</v>
      </c>
      <c r="Q288" t="s">
        <v>40</v>
      </c>
      <c r="R288">
        <v>0</v>
      </c>
      <c r="S288">
        <v>0.06</v>
      </c>
    </row>
    <row r="289" spans="1:19" x14ac:dyDescent="0.25">
      <c r="A289" t="s">
        <v>221</v>
      </c>
      <c r="B289" t="s">
        <v>30</v>
      </c>
      <c r="C289" t="s">
        <v>222</v>
      </c>
      <c r="D289" s="1">
        <v>44991</v>
      </c>
      <c r="E289" s="1">
        <v>45875</v>
      </c>
      <c r="F289">
        <v>1</v>
      </c>
      <c r="G289">
        <v>3</v>
      </c>
      <c r="H289" t="s">
        <v>201</v>
      </c>
      <c r="I289" t="s">
        <v>103</v>
      </c>
      <c r="J289" t="s">
        <v>104</v>
      </c>
      <c r="K289" t="s">
        <v>27</v>
      </c>
      <c r="L289">
        <v>1</v>
      </c>
      <c r="M289">
        <v>60.97</v>
      </c>
      <c r="N289">
        <v>6.22</v>
      </c>
      <c r="O289">
        <v>0.02</v>
      </c>
      <c r="P289">
        <v>0.12</v>
      </c>
      <c r="Q289" t="s">
        <v>40</v>
      </c>
      <c r="R289">
        <v>0</v>
      </c>
      <c r="S289">
        <v>0.12</v>
      </c>
    </row>
    <row r="290" spans="1:19" x14ac:dyDescent="0.25">
      <c r="A290" t="s">
        <v>221</v>
      </c>
      <c r="B290" t="s">
        <v>30</v>
      </c>
      <c r="C290" t="s">
        <v>222</v>
      </c>
      <c r="D290" s="1">
        <v>44991</v>
      </c>
      <c r="E290" s="1">
        <v>45875</v>
      </c>
      <c r="F290">
        <v>1</v>
      </c>
      <c r="G290">
        <v>3</v>
      </c>
      <c r="H290" t="s">
        <v>201</v>
      </c>
      <c r="I290" t="s">
        <v>103</v>
      </c>
      <c r="J290" t="s">
        <v>104</v>
      </c>
      <c r="K290" t="s">
        <v>34</v>
      </c>
      <c r="L290">
        <v>1</v>
      </c>
      <c r="M290">
        <v>60.97</v>
      </c>
      <c r="N290">
        <v>12.29</v>
      </c>
      <c r="O290">
        <v>0.02</v>
      </c>
      <c r="P290">
        <v>0.25</v>
      </c>
      <c r="Q290" t="s">
        <v>40</v>
      </c>
      <c r="R290">
        <v>0</v>
      </c>
      <c r="S290">
        <v>0.25</v>
      </c>
    </row>
    <row r="291" spans="1:19" x14ac:dyDescent="0.25">
      <c r="A291" t="s">
        <v>221</v>
      </c>
      <c r="B291" t="s">
        <v>30</v>
      </c>
      <c r="C291" t="s">
        <v>222</v>
      </c>
      <c r="D291" s="1">
        <v>44991</v>
      </c>
      <c r="E291" s="1">
        <v>45875</v>
      </c>
      <c r="F291">
        <v>1</v>
      </c>
      <c r="G291">
        <v>3</v>
      </c>
      <c r="H291" t="s">
        <v>201</v>
      </c>
      <c r="I291" t="s">
        <v>103</v>
      </c>
      <c r="J291" t="s">
        <v>104</v>
      </c>
      <c r="K291" t="s">
        <v>106</v>
      </c>
      <c r="L291">
        <v>1</v>
      </c>
      <c r="M291">
        <v>60.97</v>
      </c>
      <c r="N291">
        <v>22.41</v>
      </c>
      <c r="O291">
        <v>0.02</v>
      </c>
      <c r="P291">
        <v>0.45</v>
      </c>
      <c r="Q291" t="s">
        <v>40</v>
      </c>
      <c r="R291">
        <v>0</v>
      </c>
      <c r="S291">
        <v>0.45</v>
      </c>
    </row>
    <row r="292" spans="1:19" x14ac:dyDescent="0.25">
      <c r="A292" t="s">
        <v>223</v>
      </c>
      <c r="B292" t="s">
        <v>30</v>
      </c>
      <c r="C292" t="s">
        <v>224</v>
      </c>
      <c r="D292" s="1">
        <v>45017</v>
      </c>
      <c r="E292" s="1">
        <v>45870</v>
      </c>
      <c r="F292">
        <v>1</v>
      </c>
      <c r="G292">
        <v>2</v>
      </c>
      <c r="H292" t="s">
        <v>201</v>
      </c>
      <c r="I292" t="s">
        <v>103</v>
      </c>
      <c r="J292" t="s">
        <v>104</v>
      </c>
      <c r="K292" t="s">
        <v>76</v>
      </c>
      <c r="L292">
        <v>1</v>
      </c>
      <c r="M292">
        <v>74.180000000000007</v>
      </c>
      <c r="N292">
        <v>1.43</v>
      </c>
      <c r="O292">
        <v>0.02</v>
      </c>
      <c r="P292">
        <v>0.03</v>
      </c>
      <c r="Q292" t="s">
        <v>40</v>
      </c>
      <c r="R292">
        <v>0</v>
      </c>
      <c r="S292">
        <v>0.03</v>
      </c>
    </row>
    <row r="293" spans="1:19" x14ac:dyDescent="0.25">
      <c r="A293" t="s">
        <v>223</v>
      </c>
      <c r="B293" t="s">
        <v>30</v>
      </c>
      <c r="C293" t="s">
        <v>224</v>
      </c>
      <c r="D293" s="1">
        <v>45017</v>
      </c>
      <c r="E293" s="1">
        <v>45870</v>
      </c>
      <c r="F293">
        <v>1</v>
      </c>
      <c r="G293">
        <v>2</v>
      </c>
      <c r="H293" t="s">
        <v>201</v>
      </c>
      <c r="I293" t="s">
        <v>103</v>
      </c>
      <c r="J293" t="s">
        <v>104</v>
      </c>
      <c r="K293" t="s">
        <v>27</v>
      </c>
      <c r="L293">
        <v>1</v>
      </c>
      <c r="M293">
        <v>74.180000000000007</v>
      </c>
      <c r="N293">
        <v>6.22</v>
      </c>
      <c r="O293">
        <v>0.02</v>
      </c>
      <c r="P293">
        <v>0.12</v>
      </c>
      <c r="Q293" t="s">
        <v>40</v>
      </c>
      <c r="R293">
        <v>0</v>
      </c>
      <c r="S293">
        <v>0.12</v>
      </c>
    </row>
    <row r="294" spans="1:19" x14ac:dyDescent="0.25">
      <c r="A294" t="s">
        <v>223</v>
      </c>
      <c r="B294" t="s">
        <v>30</v>
      </c>
      <c r="C294" t="s">
        <v>224</v>
      </c>
      <c r="D294" s="1">
        <v>45017</v>
      </c>
      <c r="E294" s="1">
        <v>45870</v>
      </c>
      <c r="F294">
        <v>1</v>
      </c>
      <c r="G294">
        <v>2</v>
      </c>
      <c r="H294" t="s">
        <v>201</v>
      </c>
      <c r="I294" t="s">
        <v>103</v>
      </c>
      <c r="J294" t="s">
        <v>104</v>
      </c>
      <c r="K294" t="s">
        <v>74</v>
      </c>
      <c r="L294">
        <v>1</v>
      </c>
      <c r="M294">
        <v>74.180000000000007</v>
      </c>
      <c r="N294">
        <v>6.06</v>
      </c>
      <c r="O294">
        <v>0.02</v>
      </c>
      <c r="P294">
        <v>0.12</v>
      </c>
      <c r="Q294" t="s">
        <v>40</v>
      </c>
      <c r="R294">
        <v>0</v>
      </c>
      <c r="S294">
        <v>0.12</v>
      </c>
    </row>
    <row r="295" spans="1:19" x14ac:dyDescent="0.25">
      <c r="A295" t="s">
        <v>223</v>
      </c>
      <c r="B295" t="s">
        <v>30</v>
      </c>
      <c r="C295" t="s">
        <v>224</v>
      </c>
      <c r="D295" s="1">
        <v>45017</v>
      </c>
      <c r="E295" s="1">
        <v>45870</v>
      </c>
      <c r="F295">
        <v>1</v>
      </c>
      <c r="G295">
        <v>2</v>
      </c>
      <c r="H295" t="s">
        <v>201</v>
      </c>
      <c r="I295" t="s">
        <v>103</v>
      </c>
      <c r="J295" t="s">
        <v>104</v>
      </c>
      <c r="K295" t="s">
        <v>34</v>
      </c>
      <c r="L295">
        <v>1</v>
      </c>
      <c r="M295">
        <v>74.180000000000007</v>
      </c>
      <c r="N295">
        <v>12.29</v>
      </c>
      <c r="O295">
        <v>0.02</v>
      </c>
      <c r="P295">
        <v>0.25</v>
      </c>
      <c r="Q295" t="s">
        <v>40</v>
      </c>
      <c r="R295">
        <v>0</v>
      </c>
      <c r="S295">
        <v>0.25</v>
      </c>
    </row>
    <row r="296" spans="1:19" x14ac:dyDescent="0.25">
      <c r="A296" t="s">
        <v>223</v>
      </c>
      <c r="B296" t="s">
        <v>30</v>
      </c>
      <c r="C296" t="s">
        <v>224</v>
      </c>
      <c r="D296" s="1">
        <v>45017</v>
      </c>
      <c r="E296" s="1">
        <v>45870</v>
      </c>
      <c r="F296">
        <v>1</v>
      </c>
      <c r="G296">
        <v>2</v>
      </c>
      <c r="H296" t="s">
        <v>201</v>
      </c>
      <c r="I296" t="s">
        <v>103</v>
      </c>
      <c r="J296" t="s">
        <v>104</v>
      </c>
      <c r="K296" t="s">
        <v>105</v>
      </c>
      <c r="L296">
        <v>1</v>
      </c>
      <c r="M296">
        <v>74.180000000000007</v>
      </c>
      <c r="N296">
        <v>2.75</v>
      </c>
      <c r="O296">
        <v>0.02</v>
      </c>
      <c r="P296">
        <v>0.06</v>
      </c>
      <c r="Q296" t="s">
        <v>40</v>
      </c>
      <c r="R296">
        <v>0</v>
      </c>
      <c r="S296">
        <v>0.06</v>
      </c>
    </row>
    <row r="297" spans="1:19" x14ac:dyDescent="0.25">
      <c r="A297" t="s">
        <v>223</v>
      </c>
      <c r="B297" t="s">
        <v>30</v>
      </c>
      <c r="C297" t="s">
        <v>224</v>
      </c>
      <c r="D297" s="1">
        <v>45017</v>
      </c>
      <c r="E297" s="1">
        <v>45870</v>
      </c>
      <c r="F297">
        <v>1</v>
      </c>
      <c r="G297">
        <v>2</v>
      </c>
      <c r="H297" t="s">
        <v>201</v>
      </c>
      <c r="I297" t="s">
        <v>103</v>
      </c>
      <c r="J297" t="s">
        <v>104</v>
      </c>
      <c r="K297" t="s">
        <v>106</v>
      </c>
      <c r="L297">
        <v>1</v>
      </c>
      <c r="M297">
        <v>74.180000000000007</v>
      </c>
      <c r="N297">
        <v>22.41</v>
      </c>
      <c r="O297">
        <v>0.02</v>
      </c>
      <c r="P297">
        <v>0.45</v>
      </c>
      <c r="Q297" t="s">
        <v>40</v>
      </c>
      <c r="R297">
        <v>0</v>
      </c>
      <c r="S297">
        <v>0.45</v>
      </c>
    </row>
    <row r="298" spans="1:19" x14ac:dyDescent="0.25">
      <c r="A298" t="s">
        <v>223</v>
      </c>
      <c r="B298" t="s">
        <v>30</v>
      </c>
      <c r="C298" t="s">
        <v>224</v>
      </c>
      <c r="D298" s="1">
        <v>45017</v>
      </c>
      <c r="E298" s="1">
        <v>45870</v>
      </c>
      <c r="F298">
        <v>1</v>
      </c>
      <c r="G298">
        <v>2</v>
      </c>
      <c r="H298" t="s">
        <v>201</v>
      </c>
      <c r="I298" t="s">
        <v>103</v>
      </c>
      <c r="J298" t="s">
        <v>104</v>
      </c>
      <c r="K298" t="s">
        <v>25</v>
      </c>
      <c r="L298">
        <v>1</v>
      </c>
      <c r="M298">
        <v>74.180000000000007</v>
      </c>
      <c r="N298">
        <v>21.34</v>
      </c>
      <c r="O298">
        <v>0.02</v>
      </c>
      <c r="P298">
        <v>0.43</v>
      </c>
      <c r="Q298" t="s">
        <v>40</v>
      </c>
      <c r="R298">
        <v>0</v>
      </c>
      <c r="S298">
        <v>0.43</v>
      </c>
    </row>
    <row r="299" spans="1:19" x14ac:dyDescent="0.25">
      <c r="A299" t="s">
        <v>225</v>
      </c>
      <c r="B299" t="s">
        <v>30</v>
      </c>
      <c r="C299" t="s">
        <v>226</v>
      </c>
      <c r="D299" s="1">
        <v>44562</v>
      </c>
      <c r="E299" s="1">
        <v>45870</v>
      </c>
      <c r="F299">
        <v>1</v>
      </c>
      <c r="G299">
        <v>2</v>
      </c>
      <c r="H299" t="s">
        <v>227</v>
      </c>
      <c r="I299" t="s">
        <v>228</v>
      </c>
      <c r="J299" t="s">
        <v>229</v>
      </c>
      <c r="K299" t="s">
        <v>25</v>
      </c>
      <c r="L299">
        <v>1</v>
      </c>
      <c r="M299">
        <v>53.75</v>
      </c>
      <c r="N299">
        <v>9.3699999999999992</v>
      </c>
      <c r="O299">
        <v>0.08</v>
      </c>
      <c r="P299">
        <v>0.75</v>
      </c>
      <c r="Q299" t="s">
        <v>40</v>
      </c>
      <c r="R299">
        <v>0</v>
      </c>
      <c r="S299">
        <v>0.75</v>
      </c>
    </row>
    <row r="300" spans="1:19" x14ac:dyDescent="0.25">
      <c r="A300" t="s">
        <v>225</v>
      </c>
      <c r="B300" t="s">
        <v>30</v>
      </c>
      <c r="C300" t="s">
        <v>226</v>
      </c>
      <c r="D300" s="1">
        <v>44562</v>
      </c>
      <c r="E300" s="1">
        <v>45870</v>
      </c>
      <c r="F300">
        <v>1</v>
      </c>
      <c r="G300">
        <v>2</v>
      </c>
      <c r="H300" t="s">
        <v>227</v>
      </c>
      <c r="I300" t="s">
        <v>228</v>
      </c>
      <c r="J300" t="s">
        <v>229</v>
      </c>
      <c r="K300" t="s">
        <v>34</v>
      </c>
      <c r="L300">
        <v>1</v>
      </c>
      <c r="M300">
        <v>53.75</v>
      </c>
      <c r="N300">
        <v>12.94</v>
      </c>
      <c r="O300">
        <v>0.08</v>
      </c>
      <c r="P300">
        <v>1.04</v>
      </c>
      <c r="Q300" t="s">
        <v>40</v>
      </c>
      <c r="R300">
        <v>0</v>
      </c>
      <c r="S300">
        <v>1.04</v>
      </c>
    </row>
    <row r="301" spans="1:19" x14ac:dyDescent="0.25">
      <c r="A301" t="s">
        <v>225</v>
      </c>
      <c r="B301" t="s">
        <v>30</v>
      </c>
      <c r="C301" t="s">
        <v>226</v>
      </c>
      <c r="D301" s="1">
        <v>44562</v>
      </c>
      <c r="E301" s="1">
        <v>45870</v>
      </c>
      <c r="F301">
        <v>1</v>
      </c>
      <c r="G301">
        <v>2</v>
      </c>
      <c r="H301" t="s">
        <v>227</v>
      </c>
      <c r="I301" t="s">
        <v>228</v>
      </c>
      <c r="J301" t="s">
        <v>229</v>
      </c>
      <c r="K301" t="s">
        <v>42</v>
      </c>
      <c r="L301">
        <v>1</v>
      </c>
      <c r="M301">
        <v>53.75</v>
      </c>
      <c r="N301">
        <v>2.92</v>
      </c>
      <c r="O301">
        <v>0.08</v>
      </c>
      <c r="P301">
        <v>0.23</v>
      </c>
      <c r="Q301" t="s">
        <v>40</v>
      </c>
      <c r="R301">
        <v>0</v>
      </c>
      <c r="S301">
        <v>0.23</v>
      </c>
    </row>
    <row r="302" spans="1:19" x14ac:dyDescent="0.25">
      <c r="A302" t="s">
        <v>225</v>
      </c>
      <c r="B302" t="s">
        <v>30</v>
      </c>
      <c r="C302" t="s">
        <v>226</v>
      </c>
      <c r="D302" s="1">
        <v>44562</v>
      </c>
      <c r="E302" s="1">
        <v>45870</v>
      </c>
      <c r="F302">
        <v>1</v>
      </c>
      <c r="G302">
        <v>2</v>
      </c>
      <c r="H302" t="s">
        <v>227</v>
      </c>
      <c r="I302" t="s">
        <v>228</v>
      </c>
      <c r="J302" t="s">
        <v>229</v>
      </c>
      <c r="K302" t="s">
        <v>41</v>
      </c>
      <c r="L302">
        <v>1</v>
      </c>
      <c r="M302">
        <v>53.75</v>
      </c>
      <c r="N302">
        <v>26.84</v>
      </c>
      <c r="O302">
        <v>0.08</v>
      </c>
      <c r="P302">
        <v>2.15</v>
      </c>
      <c r="Q302" t="s">
        <v>40</v>
      </c>
      <c r="R302">
        <v>0</v>
      </c>
      <c r="S302">
        <v>2.15</v>
      </c>
    </row>
    <row r="303" spans="1:19" x14ac:dyDescent="0.25">
      <c r="A303" t="s">
        <v>230</v>
      </c>
      <c r="B303" t="s">
        <v>30</v>
      </c>
      <c r="C303" t="s">
        <v>231</v>
      </c>
      <c r="D303" s="1">
        <v>44501</v>
      </c>
      <c r="E303" s="1">
        <v>45870</v>
      </c>
      <c r="F303">
        <v>1</v>
      </c>
      <c r="G303">
        <v>2</v>
      </c>
      <c r="H303" t="s">
        <v>227</v>
      </c>
      <c r="I303" t="s">
        <v>228</v>
      </c>
      <c r="J303" t="s">
        <v>229</v>
      </c>
      <c r="K303" t="s">
        <v>25</v>
      </c>
      <c r="L303">
        <v>1</v>
      </c>
      <c r="M303">
        <v>63.5</v>
      </c>
      <c r="N303">
        <v>21.06</v>
      </c>
      <c r="O303">
        <v>0.08</v>
      </c>
      <c r="P303">
        <v>1.68</v>
      </c>
      <c r="Q303" t="s">
        <v>40</v>
      </c>
      <c r="R303">
        <v>0</v>
      </c>
      <c r="S303">
        <v>1.68</v>
      </c>
    </row>
    <row r="304" spans="1:19" x14ac:dyDescent="0.25">
      <c r="A304" t="s">
        <v>230</v>
      </c>
      <c r="B304" t="s">
        <v>30</v>
      </c>
      <c r="C304" t="s">
        <v>231</v>
      </c>
      <c r="D304" s="1">
        <v>44501</v>
      </c>
      <c r="E304" s="1">
        <v>45870</v>
      </c>
      <c r="F304">
        <v>1</v>
      </c>
      <c r="G304">
        <v>2</v>
      </c>
      <c r="H304" t="s">
        <v>227</v>
      </c>
      <c r="I304" t="s">
        <v>228</v>
      </c>
      <c r="J304" t="s">
        <v>229</v>
      </c>
      <c r="K304" t="s">
        <v>34</v>
      </c>
      <c r="L304">
        <v>1</v>
      </c>
      <c r="M304">
        <v>63.5</v>
      </c>
      <c r="N304">
        <v>10.42</v>
      </c>
      <c r="O304">
        <v>0.08</v>
      </c>
      <c r="P304">
        <v>0.83</v>
      </c>
      <c r="Q304" t="s">
        <v>40</v>
      </c>
      <c r="R304">
        <v>0</v>
      </c>
      <c r="S304">
        <v>0.83</v>
      </c>
    </row>
    <row r="305" spans="1:19" x14ac:dyDescent="0.25">
      <c r="A305" t="s">
        <v>230</v>
      </c>
      <c r="B305" t="s">
        <v>30</v>
      </c>
      <c r="C305" t="s">
        <v>231</v>
      </c>
      <c r="D305" s="1">
        <v>44501</v>
      </c>
      <c r="E305" s="1">
        <v>45870</v>
      </c>
      <c r="F305">
        <v>1</v>
      </c>
      <c r="G305">
        <v>2</v>
      </c>
      <c r="H305" t="s">
        <v>227</v>
      </c>
      <c r="I305" t="s">
        <v>228</v>
      </c>
      <c r="J305" t="s">
        <v>229</v>
      </c>
      <c r="K305" t="s">
        <v>106</v>
      </c>
      <c r="L305">
        <v>1</v>
      </c>
      <c r="M305">
        <v>63.5</v>
      </c>
      <c r="N305">
        <v>27.9</v>
      </c>
      <c r="O305">
        <v>0.08</v>
      </c>
      <c r="P305">
        <v>2.23</v>
      </c>
      <c r="Q305" t="s">
        <v>40</v>
      </c>
      <c r="R305">
        <v>0</v>
      </c>
      <c r="S305">
        <v>2.23</v>
      </c>
    </row>
    <row r="306" spans="1:19" x14ac:dyDescent="0.25">
      <c r="A306" t="s">
        <v>230</v>
      </c>
      <c r="B306" t="s">
        <v>30</v>
      </c>
      <c r="C306" t="s">
        <v>231</v>
      </c>
      <c r="D306" s="1">
        <v>44501</v>
      </c>
      <c r="E306" s="1">
        <v>45870</v>
      </c>
      <c r="F306">
        <v>1</v>
      </c>
      <c r="G306">
        <v>2</v>
      </c>
      <c r="H306" t="s">
        <v>227</v>
      </c>
      <c r="I306" t="s">
        <v>228</v>
      </c>
      <c r="J306" t="s">
        <v>229</v>
      </c>
      <c r="K306" t="s">
        <v>105</v>
      </c>
      <c r="L306">
        <v>1</v>
      </c>
      <c r="M306">
        <v>63.5</v>
      </c>
      <c r="N306">
        <v>2.44</v>
      </c>
      <c r="O306">
        <v>0.08</v>
      </c>
      <c r="P306">
        <v>0.2</v>
      </c>
      <c r="Q306" t="s">
        <v>40</v>
      </c>
      <c r="R306">
        <v>0</v>
      </c>
      <c r="S306">
        <v>0.2</v>
      </c>
    </row>
    <row r="307" spans="1:19" x14ac:dyDescent="0.25">
      <c r="A307" t="s">
        <v>232</v>
      </c>
      <c r="B307" t="s">
        <v>20</v>
      </c>
      <c r="C307" t="s">
        <v>233</v>
      </c>
      <c r="D307" s="1">
        <v>44562</v>
      </c>
      <c r="E307" s="1">
        <v>45870</v>
      </c>
      <c r="F307">
        <v>1</v>
      </c>
      <c r="G307">
        <v>2</v>
      </c>
      <c r="H307" t="s">
        <v>227</v>
      </c>
      <c r="I307" t="s">
        <v>228</v>
      </c>
      <c r="J307" t="s">
        <v>229</v>
      </c>
      <c r="K307" t="s">
        <v>105</v>
      </c>
      <c r="L307">
        <v>1</v>
      </c>
      <c r="M307">
        <v>53.48</v>
      </c>
      <c r="N307">
        <v>2.99</v>
      </c>
      <c r="O307">
        <v>0.08</v>
      </c>
      <c r="P307">
        <v>0.24</v>
      </c>
      <c r="Q307" t="s">
        <v>40</v>
      </c>
      <c r="R307">
        <v>0</v>
      </c>
      <c r="S307">
        <v>0.24</v>
      </c>
    </row>
    <row r="308" spans="1:19" x14ac:dyDescent="0.25">
      <c r="A308" t="s">
        <v>232</v>
      </c>
      <c r="B308" t="s">
        <v>20</v>
      </c>
      <c r="C308" t="s">
        <v>233</v>
      </c>
      <c r="D308" s="1">
        <v>44562</v>
      </c>
      <c r="E308" s="1">
        <v>45870</v>
      </c>
      <c r="F308">
        <v>1</v>
      </c>
      <c r="G308">
        <v>2</v>
      </c>
      <c r="H308" t="s">
        <v>227</v>
      </c>
      <c r="I308" t="s">
        <v>228</v>
      </c>
      <c r="J308" t="s">
        <v>229</v>
      </c>
      <c r="K308" t="s">
        <v>234</v>
      </c>
      <c r="L308">
        <v>1</v>
      </c>
      <c r="M308">
        <v>53.48</v>
      </c>
      <c r="N308">
        <v>11.67</v>
      </c>
      <c r="O308">
        <v>0.08</v>
      </c>
      <c r="P308">
        <v>0.93</v>
      </c>
      <c r="Q308" t="s">
        <v>40</v>
      </c>
      <c r="R308">
        <v>0</v>
      </c>
      <c r="S308">
        <v>0.93</v>
      </c>
    </row>
    <row r="309" spans="1:19" x14ac:dyDescent="0.25">
      <c r="A309" t="s">
        <v>232</v>
      </c>
      <c r="B309" t="s">
        <v>20</v>
      </c>
      <c r="C309" t="s">
        <v>233</v>
      </c>
      <c r="D309" s="1">
        <v>44562</v>
      </c>
      <c r="E309" s="1">
        <v>45870</v>
      </c>
      <c r="F309">
        <v>1</v>
      </c>
      <c r="G309">
        <v>2</v>
      </c>
      <c r="H309" t="s">
        <v>227</v>
      </c>
      <c r="I309" t="s">
        <v>228</v>
      </c>
      <c r="J309" t="s">
        <v>229</v>
      </c>
      <c r="K309" t="s">
        <v>25</v>
      </c>
      <c r="L309">
        <v>1</v>
      </c>
      <c r="M309">
        <v>53.48</v>
      </c>
      <c r="N309">
        <v>22.15</v>
      </c>
      <c r="O309">
        <v>0.08</v>
      </c>
      <c r="P309">
        <v>1.77</v>
      </c>
      <c r="Q309" t="s">
        <v>40</v>
      </c>
      <c r="R309">
        <v>0</v>
      </c>
      <c r="S309">
        <v>1.77</v>
      </c>
    </row>
    <row r="310" spans="1:19" x14ac:dyDescent="0.25">
      <c r="A310" t="s">
        <v>232</v>
      </c>
      <c r="B310" t="s">
        <v>20</v>
      </c>
      <c r="C310" t="s">
        <v>233</v>
      </c>
      <c r="D310" s="1">
        <v>44562</v>
      </c>
      <c r="E310" s="1">
        <v>45870</v>
      </c>
      <c r="F310">
        <v>1</v>
      </c>
      <c r="G310">
        <v>2</v>
      </c>
      <c r="H310" t="s">
        <v>227</v>
      </c>
      <c r="I310" t="s">
        <v>228</v>
      </c>
      <c r="J310" t="s">
        <v>229</v>
      </c>
      <c r="K310" t="s">
        <v>106</v>
      </c>
      <c r="L310">
        <v>1</v>
      </c>
      <c r="M310">
        <v>53.48</v>
      </c>
      <c r="N310">
        <v>14.99</v>
      </c>
      <c r="O310">
        <v>0.08</v>
      </c>
      <c r="P310">
        <v>1.2</v>
      </c>
      <c r="Q310" t="s">
        <v>40</v>
      </c>
      <c r="R310">
        <v>0</v>
      </c>
      <c r="S310">
        <v>1.2</v>
      </c>
    </row>
    <row r="311" spans="1:19" x14ac:dyDescent="0.25">
      <c r="A311" t="s">
        <v>235</v>
      </c>
      <c r="B311" t="s">
        <v>30</v>
      </c>
      <c r="C311" t="s">
        <v>236</v>
      </c>
      <c r="D311" s="1">
        <v>44562</v>
      </c>
      <c r="E311" s="1">
        <v>45870</v>
      </c>
      <c r="F311">
        <v>1</v>
      </c>
      <c r="G311">
        <v>2</v>
      </c>
      <c r="H311" t="s">
        <v>227</v>
      </c>
      <c r="I311" t="s">
        <v>228</v>
      </c>
      <c r="J311" t="s">
        <v>229</v>
      </c>
      <c r="K311" t="s">
        <v>106</v>
      </c>
      <c r="L311">
        <v>1</v>
      </c>
      <c r="M311">
        <v>61.75</v>
      </c>
      <c r="N311">
        <v>23.15</v>
      </c>
      <c r="O311">
        <v>0.08</v>
      </c>
      <c r="P311">
        <v>1.85</v>
      </c>
      <c r="Q311" t="s">
        <v>40</v>
      </c>
      <c r="R311">
        <v>0</v>
      </c>
      <c r="S311">
        <v>1.85</v>
      </c>
    </row>
    <row r="312" spans="1:19" x14ac:dyDescent="0.25">
      <c r="A312" t="s">
        <v>235</v>
      </c>
      <c r="B312" t="s">
        <v>30</v>
      </c>
      <c r="C312" t="s">
        <v>236</v>
      </c>
      <c r="D312" s="1">
        <v>44562</v>
      </c>
      <c r="E312" s="1">
        <v>45870</v>
      </c>
      <c r="F312">
        <v>1</v>
      </c>
      <c r="G312">
        <v>2</v>
      </c>
      <c r="H312" t="s">
        <v>227</v>
      </c>
      <c r="I312" t="s">
        <v>228</v>
      </c>
      <c r="J312" t="s">
        <v>229</v>
      </c>
      <c r="K312" t="s">
        <v>25</v>
      </c>
      <c r="L312">
        <v>1</v>
      </c>
      <c r="M312">
        <v>61.75</v>
      </c>
      <c r="N312">
        <v>21.06</v>
      </c>
      <c r="O312">
        <v>0.08</v>
      </c>
      <c r="P312">
        <v>1.68</v>
      </c>
      <c r="Q312" t="s">
        <v>40</v>
      </c>
      <c r="R312">
        <v>0</v>
      </c>
      <c r="S312">
        <v>1.68</v>
      </c>
    </row>
    <row r="313" spans="1:19" x14ac:dyDescent="0.25">
      <c r="A313" t="s">
        <v>235</v>
      </c>
      <c r="B313" t="s">
        <v>30</v>
      </c>
      <c r="C313" t="s">
        <v>236</v>
      </c>
      <c r="D313" s="1">
        <v>44562</v>
      </c>
      <c r="E313" s="1">
        <v>45870</v>
      </c>
      <c r="F313">
        <v>1</v>
      </c>
      <c r="G313">
        <v>2</v>
      </c>
      <c r="H313" t="s">
        <v>227</v>
      </c>
      <c r="I313" t="s">
        <v>228</v>
      </c>
      <c r="J313" t="s">
        <v>229</v>
      </c>
      <c r="K313" t="s">
        <v>105</v>
      </c>
      <c r="L313">
        <v>1</v>
      </c>
      <c r="M313">
        <v>61.75</v>
      </c>
      <c r="N313">
        <v>2.92</v>
      </c>
      <c r="O313">
        <v>0.08</v>
      </c>
      <c r="P313">
        <v>0.23</v>
      </c>
      <c r="Q313" t="s">
        <v>40</v>
      </c>
      <c r="R313">
        <v>0</v>
      </c>
      <c r="S313">
        <v>0.23</v>
      </c>
    </row>
    <row r="314" spans="1:19" x14ac:dyDescent="0.25">
      <c r="A314" t="s">
        <v>235</v>
      </c>
      <c r="B314" t="s">
        <v>30</v>
      </c>
      <c r="C314" t="s">
        <v>236</v>
      </c>
      <c r="D314" s="1">
        <v>44562</v>
      </c>
      <c r="E314" s="1">
        <v>45870</v>
      </c>
      <c r="F314">
        <v>1</v>
      </c>
      <c r="G314">
        <v>2</v>
      </c>
      <c r="H314" t="s">
        <v>227</v>
      </c>
      <c r="I314" t="s">
        <v>228</v>
      </c>
      <c r="J314" t="s">
        <v>229</v>
      </c>
      <c r="K314" t="s">
        <v>34</v>
      </c>
      <c r="L314">
        <v>1</v>
      </c>
      <c r="M314">
        <v>61.75</v>
      </c>
      <c r="N314">
        <v>12.94</v>
      </c>
      <c r="O314">
        <v>0.08</v>
      </c>
      <c r="P314">
        <v>1.04</v>
      </c>
      <c r="Q314" t="s">
        <v>40</v>
      </c>
      <c r="R314">
        <v>0</v>
      </c>
      <c r="S314">
        <v>1.04</v>
      </c>
    </row>
    <row r="315" spans="1:19" x14ac:dyDescent="0.25">
      <c r="A315" t="s">
        <v>237</v>
      </c>
      <c r="B315" t="s">
        <v>30</v>
      </c>
      <c r="C315" t="s">
        <v>238</v>
      </c>
      <c r="D315" s="1">
        <v>44562</v>
      </c>
      <c r="E315" s="1">
        <v>45870</v>
      </c>
      <c r="F315">
        <v>1</v>
      </c>
      <c r="G315">
        <v>2</v>
      </c>
      <c r="H315" t="s">
        <v>227</v>
      </c>
      <c r="I315" t="s">
        <v>228</v>
      </c>
      <c r="J315" t="s">
        <v>229</v>
      </c>
      <c r="K315" t="s">
        <v>105</v>
      </c>
      <c r="L315">
        <v>1</v>
      </c>
      <c r="M315">
        <v>60.84</v>
      </c>
      <c r="N315">
        <v>2.75</v>
      </c>
      <c r="O315">
        <v>0.08</v>
      </c>
      <c r="P315">
        <v>0.22</v>
      </c>
      <c r="Q315" t="s">
        <v>40</v>
      </c>
      <c r="R315">
        <v>0</v>
      </c>
      <c r="S315">
        <v>0.22</v>
      </c>
    </row>
    <row r="316" spans="1:19" x14ac:dyDescent="0.25">
      <c r="A316" t="s">
        <v>237</v>
      </c>
      <c r="B316" t="s">
        <v>30</v>
      </c>
      <c r="C316" t="s">
        <v>238</v>
      </c>
      <c r="D316" s="1">
        <v>44562</v>
      </c>
      <c r="E316" s="1">
        <v>45870</v>
      </c>
      <c r="F316">
        <v>1</v>
      </c>
      <c r="G316">
        <v>2</v>
      </c>
      <c r="H316" t="s">
        <v>227</v>
      </c>
      <c r="I316" t="s">
        <v>228</v>
      </c>
      <c r="J316" t="s">
        <v>229</v>
      </c>
      <c r="K316" t="s">
        <v>34</v>
      </c>
      <c r="L316">
        <v>1</v>
      </c>
      <c r="M316">
        <v>60.84</v>
      </c>
      <c r="N316">
        <v>12.94</v>
      </c>
      <c r="O316">
        <v>0.08</v>
      </c>
      <c r="P316">
        <v>1.04</v>
      </c>
      <c r="Q316" t="s">
        <v>40</v>
      </c>
      <c r="R316">
        <v>0</v>
      </c>
      <c r="S316">
        <v>1.04</v>
      </c>
    </row>
    <row r="317" spans="1:19" x14ac:dyDescent="0.25">
      <c r="A317" t="s">
        <v>237</v>
      </c>
      <c r="B317" t="s">
        <v>30</v>
      </c>
      <c r="C317" t="s">
        <v>238</v>
      </c>
      <c r="D317" s="1">
        <v>44562</v>
      </c>
      <c r="E317" s="1">
        <v>45870</v>
      </c>
      <c r="F317">
        <v>1</v>
      </c>
      <c r="G317">
        <v>2</v>
      </c>
      <c r="H317" t="s">
        <v>227</v>
      </c>
      <c r="I317" t="s">
        <v>228</v>
      </c>
      <c r="J317" t="s">
        <v>229</v>
      </c>
      <c r="K317" t="s">
        <v>106</v>
      </c>
      <c r="L317">
        <v>1</v>
      </c>
      <c r="M317">
        <v>60.84</v>
      </c>
      <c r="N317">
        <v>22.41</v>
      </c>
      <c r="O317">
        <v>0.08</v>
      </c>
      <c r="P317">
        <v>1.79</v>
      </c>
      <c r="Q317" t="s">
        <v>40</v>
      </c>
      <c r="R317">
        <v>0</v>
      </c>
      <c r="S317">
        <v>1.79</v>
      </c>
    </row>
    <row r="318" spans="1:19" x14ac:dyDescent="0.25">
      <c r="A318" t="s">
        <v>237</v>
      </c>
      <c r="B318" t="s">
        <v>30</v>
      </c>
      <c r="C318" t="s">
        <v>238</v>
      </c>
      <c r="D318" s="1">
        <v>44562</v>
      </c>
      <c r="E318" s="1">
        <v>45870</v>
      </c>
      <c r="F318">
        <v>1</v>
      </c>
      <c r="G318">
        <v>2</v>
      </c>
      <c r="H318" t="s">
        <v>227</v>
      </c>
      <c r="I318" t="s">
        <v>228</v>
      </c>
      <c r="J318" t="s">
        <v>229</v>
      </c>
      <c r="K318" t="s">
        <v>25</v>
      </c>
      <c r="L318">
        <v>1</v>
      </c>
      <c r="M318">
        <v>60.84</v>
      </c>
      <c r="N318">
        <v>21.06</v>
      </c>
      <c r="O318">
        <v>0.08</v>
      </c>
      <c r="P318">
        <v>1.68</v>
      </c>
      <c r="Q318" t="s">
        <v>40</v>
      </c>
      <c r="R318">
        <v>0</v>
      </c>
      <c r="S318">
        <v>1.68</v>
      </c>
    </row>
    <row r="319" spans="1:19" x14ac:dyDescent="0.25">
      <c r="A319" t="s">
        <v>239</v>
      </c>
      <c r="B319" t="s">
        <v>30</v>
      </c>
      <c r="C319" t="s">
        <v>240</v>
      </c>
      <c r="D319" s="1">
        <v>44562</v>
      </c>
      <c r="E319" s="1">
        <v>45870</v>
      </c>
      <c r="F319">
        <v>1</v>
      </c>
      <c r="G319">
        <v>2</v>
      </c>
      <c r="H319" t="s">
        <v>227</v>
      </c>
      <c r="I319" t="s">
        <v>228</v>
      </c>
      <c r="J319" t="s">
        <v>229</v>
      </c>
      <c r="K319" t="s">
        <v>25</v>
      </c>
      <c r="L319">
        <v>1</v>
      </c>
      <c r="M319">
        <v>64.09</v>
      </c>
      <c r="N319">
        <v>21.34</v>
      </c>
      <c r="O319">
        <v>0.08</v>
      </c>
      <c r="P319">
        <v>1.71</v>
      </c>
      <c r="Q319" t="s">
        <v>40</v>
      </c>
      <c r="R319">
        <v>0</v>
      </c>
      <c r="S319">
        <v>1.71</v>
      </c>
    </row>
    <row r="320" spans="1:19" x14ac:dyDescent="0.25">
      <c r="A320" t="s">
        <v>239</v>
      </c>
      <c r="B320" t="s">
        <v>30</v>
      </c>
      <c r="C320" t="s">
        <v>240</v>
      </c>
      <c r="D320" s="1">
        <v>44562</v>
      </c>
      <c r="E320" s="1">
        <v>45870</v>
      </c>
      <c r="F320">
        <v>1</v>
      </c>
      <c r="G320">
        <v>2</v>
      </c>
      <c r="H320" t="s">
        <v>227</v>
      </c>
      <c r="I320" t="s">
        <v>228</v>
      </c>
      <c r="J320" t="s">
        <v>229</v>
      </c>
      <c r="K320" t="s">
        <v>34</v>
      </c>
      <c r="L320">
        <v>1</v>
      </c>
      <c r="M320">
        <v>64.09</v>
      </c>
      <c r="N320">
        <v>14.36</v>
      </c>
      <c r="O320">
        <v>0.08</v>
      </c>
      <c r="P320">
        <v>1.1499999999999999</v>
      </c>
      <c r="Q320" t="s">
        <v>40</v>
      </c>
      <c r="R320">
        <v>0</v>
      </c>
      <c r="S320">
        <v>1.1499999999999999</v>
      </c>
    </row>
    <row r="321" spans="1:19" x14ac:dyDescent="0.25">
      <c r="A321" t="s">
        <v>239</v>
      </c>
      <c r="B321" t="s">
        <v>30</v>
      </c>
      <c r="C321" t="s">
        <v>240</v>
      </c>
      <c r="D321" s="1">
        <v>44562</v>
      </c>
      <c r="E321" s="1">
        <v>45870</v>
      </c>
      <c r="F321">
        <v>1</v>
      </c>
      <c r="G321">
        <v>2</v>
      </c>
      <c r="H321" t="s">
        <v>227</v>
      </c>
      <c r="I321" t="s">
        <v>228</v>
      </c>
      <c r="J321" t="s">
        <v>229</v>
      </c>
      <c r="K321" t="s">
        <v>106</v>
      </c>
      <c r="L321">
        <v>1</v>
      </c>
      <c r="M321">
        <v>64.09</v>
      </c>
      <c r="N321">
        <v>23.61</v>
      </c>
      <c r="O321">
        <v>0.08</v>
      </c>
      <c r="P321">
        <v>1.89</v>
      </c>
      <c r="Q321" t="s">
        <v>40</v>
      </c>
      <c r="R321">
        <v>0</v>
      </c>
      <c r="S321">
        <v>1.89</v>
      </c>
    </row>
    <row r="322" spans="1:19" x14ac:dyDescent="0.25">
      <c r="A322" t="s">
        <v>239</v>
      </c>
      <c r="B322" t="s">
        <v>30</v>
      </c>
      <c r="C322" t="s">
        <v>240</v>
      </c>
      <c r="D322" s="1">
        <v>44562</v>
      </c>
      <c r="E322" s="1">
        <v>45870</v>
      </c>
      <c r="F322">
        <v>1</v>
      </c>
      <c r="G322">
        <v>2</v>
      </c>
      <c r="H322" t="s">
        <v>227</v>
      </c>
      <c r="I322" t="s">
        <v>228</v>
      </c>
      <c r="J322" t="s">
        <v>229</v>
      </c>
      <c r="K322" t="s">
        <v>105</v>
      </c>
      <c r="L322">
        <v>1</v>
      </c>
      <c r="M322">
        <v>64.09</v>
      </c>
      <c r="N322">
        <v>3.1</v>
      </c>
      <c r="O322">
        <v>0.08</v>
      </c>
      <c r="P322">
        <v>0.25</v>
      </c>
      <c r="Q322" t="s">
        <v>40</v>
      </c>
      <c r="R322">
        <v>0</v>
      </c>
      <c r="S322">
        <v>0.25</v>
      </c>
    </row>
    <row r="323" spans="1:19" x14ac:dyDescent="0.25">
      <c r="A323" t="s">
        <v>241</v>
      </c>
      <c r="B323" t="s">
        <v>30</v>
      </c>
      <c r="C323" t="s">
        <v>242</v>
      </c>
      <c r="D323" s="1">
        <v>44562</v>
      </c>
      <c r="E323" s="1">
        <v>45870</v>
      </c>
      <c r="F323">
        <v>1</v>
      </c>
      <c r="G323">
        <v>2</v>
      </c>
      <c r="H323" t="s">
        <v>227</v>
      </c>
      <c r="I323" t="s">
        <v>228</v>
      </c>
      <c r="J323" t="s">
        <v>229</v>
      </c>
      <c r="K323" t="s">
        <v>25</v>
      </c>
      <c r="L323">
        <v>1</v>
      </c>
      <c r="M323">
        <v>69.260000000000005</v>
      </c>
      <c r="N323">
        <v>24.21</v>
      </c>
      <c r="O323">
        <v>0.08</v>
      </c>
      <c r="P323">
        <v>1.94</v>
      </c>
      <c r="Q323" t="s">
        <v>40</v>
      </c>
      <c r="R323">
        <v>0</v>
      </c>
      <c r="S323">
        <v>1.94</v>
      </c>
    </row>
    <row r="324" spans="1:19" x14ac:dyDescent="0.25">
      <c r="A324" t="s">
        <v>241</v>
      </c>
      <c r="B324" t="s">
        <v>30</v>
      </c>
      <c r="C324" t="s">
        <v>242</v>
      </c>
      <c r="D324" s="1">
        <v>44562</v>
      </c>
      <c r="E324" s="1">
        <v>45870</v>
      </c>
      <c r="F324">
        <v>1</v>
      </c>
      <c r="G324">
        <v>2</v>
      </c>
      <c r="H324" t="s">
        <v>227</v>
      </c>
      <c r="I324" t="s">
        <v>228</v>
      </c>
      <c r="J324" t="s">
        <v>229</v>
      </c>
      <c r="K324" t="s">
        <v>105</v>
      </c>
      <c r="L324">
        <v>1</v>
      </c>
      <c r="M324">
        <v>69.260000000000005</v>
      </c>
      <c r="N324">
        <v>5.17</v>
      </c>
      <c r="O324">
        <v>0.08</v>
      </c>
      <c r="P324">
        <v>0.41</v>
      </c>
      <c r="Q324" t="s">
        <v>40</v>
      </c>
      <c r="R324">
        <v>0</v>
      </c>
      <c r="S324">
        <v>0.41</v>
      </c>
    </row>
    <row r="325" spans="1:19" x14ac:dyDescent="0.25">
      <c r="A325" t="s">
        <v>241</v>
      </c>
      <c r="B325" t="s">
        <v>30</v>
      </c>
      <c r="C325" t="s">
        <v>242</v>
      </c>
      <c r="D325" s="1">
        <v>44562</v>
      </c>
      <c r="E325" s="1">
        <v>45870</v>
      </c>
      <c r="F325">
        <v>1</v>
      </c>
      <c r="G325">
        <v>2</v>
      </c>
      <c r="H325" t="s">
        <v>227</v>
      </c>
      <c r="I325" t="s">
        <v>228</v>
      </c>
      <c r="J325" t="s">
        <v>229</v>
      </c>
      <c r="K325" t="s">
        <v>106</v>
      </c>
      <c r="L325">
        <v>1</v>
      </c>
      <c r="M325">
        <v>69.260000000000005</v>
      </c>
      <c r="N325">
        <v>9.18</v>
      </c>
      <c r="O325">
        <v>0.08</v>
      </c>
      <c r="P325">
        <v>0.73</v>
      </c>
      <c r="Q325" t="s">
        <v>40</v>
      </c>
      <c r="R325">
        <v>0</v>
      </c>
      <c r="S325">
        <v>0.73</v>
      </c>
    </row>
    <row r="326" spans="1:19" x14ac:dyDescent="0.25">
      <c r="A326" t="s">
        <v>241</v>
      </c>
      <c r="B326" t="s">
        <v>30</v>
      </c>
      <c r="C326" t="s">
        <v>242</v>
      </c>
      <c r="D326" s="1">
        <v>44562</v>
      </c>
      <c r="E326" s="1">
        <v>45870</v>
      </c>
      <c r="F326">
        <v>1</v>
      </c>
      <c r="G326">
        <v>2</v>
      </c>
      <c r="H326" t="s">
        <v>227</v>
      </c>
      <c r="I326" t="s">
        <v>228</v>
      </c>
      <c r="J326" t="s">
        <v>229</v>
      </c>
      <c r="K326" t="s">
        <v>34</v>
      </c>
      <c r="L326">
        <v>1</v>
      </c>
      <c r="M326">
        <v>69.260000000000005</v>
      </c>
      <c r="N326">
        <v>29.02</v>
      </c>
      <c r="O326">
        <v>0.08</v>
      </c>
      <c r="P326">
        <v>2.3199999999999998</v>
      </c>
      <c r="Q326" t="s">
        <v>40</v>
      </c>
      <c r="R326">
        <v>0</v>
      </c>
      <c r="S326">
        <v>2.3199999999999998</v>
      </c>
    </row>
    <row r="327" spans="1:19" x14ac:dyDescent="0.25">
      <c r="A327" t="s">
        <v>243</v>
      </c>
      <c r="B327" t="s">
        <v>30</v>
      </c>
      <c r="C327" t="s">
        <v>244</v>
      </c>
      <c r="D327" s="1">
        <v>44593</v>
      </c>
      <c r="E327" s="1">
        <v>45870</v>
      </c>
      <c r="F327">
        <v>1</v>
      </c>
      <c r="G327">
        <v>2</v>
      </c>
      <c r="H327" t="s">
        <v>227</v>
      </c>
      <c r="I327" t="s">
        <v>228</v>
      </c>
      <c r="J327" t="s">
        <v>229</v>
      </c>
      <c r="K327" t="s">
        <v>106</v>
      </c>
      <c r="L327">
        <v>1</v>
      </c>
      <c r="M327">
        <v>60.84</v>
      </c>
      <c r="N327">
        <v>22.41</v>
      </c>
      <c r="O327">
        <v>0.08</v>
      </c>
      <c r="P327">
        <v>1.79</v>
      </c>
      <c r="Q327" t="s">
        <v>40</v>
      </c>
      <c r="R327">
        <v>0</v>
      </c>
      <c r="S327">
        <v>1.79</v>
      </c>
    </row>
    <row r="328" spans="1:19" x14ac:dyDescent="0.25">
      <c r="A328" t="s">
        <v>243</v>
      </c>
      <c r="B328" t="s">
        <v>30</v>
      </c>
      <c r="C328" t="s">
        <v>244</v>
      </c>
      <c r="D328" s="1">
        <v>44593</v>
      </c>
      <c r="E328" s="1">
        <v>45870</v>
      </c>
      <c r="F328">
        <v>1</v>
      </c>
      <c r="G328">
        <v>2</v>
      </c>
      <c r="H328" t="s">
        <v>227</v>
      </c>
      <c r="I328" t="s">
        <v>228</v>
      </c>
      <c r="J328" t="s">
        <v>229</v>
      </c>
      <c r="K328" t="s">
        <v>105</v>
      </c>
      <c r="L328">
        <v>1</v>
      </c>
      <c r="M328">
        <v>60.84</v>
      </c>
      <c r="N328">
        <v>2.75</v>
      </c>
      <c r="O328">
        <v>0.08</v>
      </c>
      <c r="P328">
        <v>0.22</v>
      </c>
      <c r="Q328" t="s">
        <v>40</v>
      </c>
      <c r="R328">
        <v>0</v>
      </c>
      <c r="S328">
        <v>0.22</v>
      </c>
    </row>
    <row r="329" spans="1:19" x14ac:dyDescent="0.25">
      <c r="A329" t="s">
        <v>243</v>
      </c>
      <c r="B329" t="s">
        <v>30</v>
      </c>
      <c r="C329" t="s">
        <v>244</v>
      </c>
      <c r="D329" s="1">
        <v>44593</v>
      </c>
      <c r="E329" s="1">
        <v>45870</v>
      </c>
      <c r="F329">
        <v>1</v>
      </c>
      <c r="G329">
        <v>2</v>
      </c>
      <c r="H329" t="s">
        <v>227</v>
      </c>
      <c r="I329" t="s">
        <v>228</v>
      </c>
      <c r="J329" t="s">
        <v>229</v>
      </c>
      <c r="K329" t="s">
        <v>25</v>
      </c>
      <c r="L329">
        <v>1</v>
      </c>
      <c r="M329">
        <v>60.84</v>
      </c>
      <c r="N329">
        <v>21.06</v>
      </c>
      <c r="O329">
        <v>0.08</v>
      </c>
      <c r="P329">
        <v>1.68</v>
      </c>
      <c r="Q329" t="s">
        <v>40</v>
      </c>
      <c r="R329">
        <v>0</v>
      </c>
      <c r="S329">
        <v>1.68</v>
      </c>
    </row>
    <row r="330" spans="1:19" x14ac:dyDescent="0.25">
      <c r="A330" t="s">
        <v>243</v>
      </c>
      <c r="B330" t="s">
        <v>30</v>
      </c>
      <c r="C330" t="s">
        <v>244</v>
      </c>
      <c r="D330" s="1">
        <v>44593</v>
      </c>
      <c r="E330" s="1">
        <v>45870</v>
      </c>
      <c r="F330">
        <v>1</v>
      </c>
      <c r="G330">
        <v>2</v>
      </c>
      <c r="H330" t="s">
        <v>227</v>
      </c>
      <c r="I330" t="s">
        <v>228</v>
      </c>
      <c r="J330" t="s">
        <v>229</v>
      </c>
      <c r="K330" t="s">
        <v>34</v>
      </c>
      <c r="L330">
        <v>1</v>
      </c>
      <c r="M330">
        <v>60.84</v>
      </c>
      <c r="N330">
        <v>12.94</v>
      </c>
      <c r="O330">
        <v>0.08</v>
      </c>
      <c r="P330">
        <v>1.04</v>
      </c>
      <c r="Q330" t="s">
        <v>40</v>
      </c>
      <c r="R330">
        <v>0</v>
      </c>
      <c r="S330">
        <v>1.04</v>
      </c>
    </row>
    <row r="331" spans="1:19" x14ac:dyDescent="0.25">
      <c r="A331" t="s">
        <v>245</v>
      </c>
      <c r="B331" t="s">
        <v>30</v>
      </c>
      <c r="C331" t="s">
        <v>246</v>
      </c>
      <c r="D331" s="1">
        <v>44593</v>
      </c>
      <c r="E331" s="1">
        <v>45870</v>
      </c>
      <c r="F331">
        <v>1</v>
      </c>
      <c r="G331">
        <v>2</v>
      </c>
      <c r="H331" t="s">
        <v>227</v>
      </c>
      <c r="I331" t="s">
        <v>228</v>
      </c>
      <c r="J331" t="s">
        <v>229</v>
      </c>
      <c r="K331" t="s">
        <v>247</v>
      </c>
      <c r="L331">
        <v>1</v>
      </c>
      <c r="M331">
        <v>26.32</v>
      </c>
      <c r="N331">
        <v>3.62</v>
      </c>
      <c r="O331">
        <v>0.06</v>
      </c>
      <c r="P331">
        <v>0.22</v>
      </c>
      <c r="Q331" t="s">
        <v>40</v>
      </c>
      <c r="R331">
        <v>0</v>
      </c>
      <c r="S331">
        <v>0.22</v>
      </c>
    </row>
    <row r="332" spans="1:19" x14ac:dyDescent="0.25">
      <c r="A332" t="s">
        <v>245</v>
      </c>
      <c r="B332" t="s">
        <v>30</v>
      </c>
      <c r="C332" t="s">
        <v>246</v>
      </c>
      <c r="D332" s="1">
        <v>44593</v>
      </c>
      <c r="E332" s="1">
        <v>45870</v>
      </c>
      <c r="F332">
        <v>1</v>
      </c>
      <c r="G332">
        <v>2</v>
      </c>
      <c r="H332" t="s">
        <v>227</v>
      </c>
      <c r="I332" t="s">
        <v>228</v>
      </c>
      <c r="J332" t="s">
        <v>229</v>
      </c>
      <c r="K332" t="s">
        <v>160</v>
      </c>
      <c r="L332">
        <v>1</v>
      </c>
      <c r="M332">
        <v>26.32</v>
      </c>
      <c r="N332">
        <v>20.62</v>
      </c>
      <c r="O332">
        <v>0.06</v>
      </c>
      <c r="P332">
        <v>1.24</v>
      </c>
      <c r="Q332" t="s">
        <v>40</v>
      </c>
      <c r="R332">
        <v>0</v>
      </c>
      <c r="S332">
        <v>1.24</v>
      </c>
    </row>
    <row r="333" spans="1:19" x14ac:dyDescent="0.25">
      <c r="A333" t="s">
        <v>248</v>
      </c>
      <c r="B333" t="s">
        <v>30</v>
      </c>
      <c r="C333" t="s">
        <v>249</v>
      </c>
      <c r="D333" s="1">
        <v>44927</v>
      </c>
      <c r="E333" s="1">
        <v>45870</v>
      </c>
      <c r="F333">
        <v>1</v>
      </c>
      <c r="G333">
        <v>2</v>
      </c>
      <c r="H333" t="s">
        <v>227</v>
      </c>
      <c r="I333" t="s">
        <v>228</v>
      </c>
      <c r="J333" t="s">
        <v>229</v>
      </c>
      <c r="K333" t="s">
        <v>25</v>
      </c>
      <c r="L333">
        <v>1</v>
      </c>
      <c r="M333">
        <v>54.37</v>
      </c>
      <c r="N333">
        <v>22.72</v>
      </c>
      <c r="O333">
        <v>0.1</v>
      </c>
      <c r="P333">
        <v>2.27</v>
      </c>
      <c r="Q333" t="s">
        <v>40</v>
      </c>
      <c r="R333">
        <v>0</v>
      </c>
      <c r="S333">
        <v>2.27</v>
      </c>
    </row>
    <row r="334" spans="1:19" x14ac:dyDescent="0.25">
      <c r="A334" t="s">
        <v>248</v>
      </c>
      <c r="B334" t="s">
        <v>30</v>
      </c>
      <c r="C334" t="s">
        <v>249</v>
      </c>
      <c r="D334" s="1">
        <v>44927</v>
      </c>
      <c r="E334" s="1">
        <v>45870</v>
      </c>
      <c r="F334">
        <v>1</v>
      </c>
      <c r="G334">
        <v>2</v>
      </c>
      <c r="H334" t="s">
        <v>227</v>
      </c>
      <c r="I334" t="s">
        <v>228</v>
      </c>
      <c r="J334" t="s">
        <v>229</v>
      </c>
      <c r="K334" t="s">
        <v>105</v>
      </c>
      <c r="L334">
        <v>1</v>
      </c>
      <c r="M334">
        <v>54.37</v>
      </c>
      <c r="N334">
        <v>4.07</v>
      </c>
      <c r="O334">
        <v>0.1</v>
      </c>
      <c r="P334">
        <v>0.41</v>
      </c>
      <c r="Q334" t="s">
        <v>40</v>
      </c>
      <c r="R334">
        <v>0</v>
      </c>
      <c r="S334">
        <v>0.41</v>
      </c>
    </row>
    <row r="335" spans="1:19" x14ac:dyDescent="0.25">
      <c r="A335" t="s">
        <v>248</v>
      </c>
      <c r="B335" t="s">
        <v>30</v>
      </c>
      <c r="C335" t="s">
        <v>249</v>
      </c>
      <c r="D335" s="1">
        <v>44927</v>
      </c>
      <c r="E335" s="1">
        <v>45870</v>
      </c>
      <c r="F335">
        <v>1</v>
      </c>
      <c r="G335">
        <v>2</v>
      </c>
      <c r="H335" t="s">
        <v>227</v>
      </c>
      <c r="I335" t="s">
        <v>228</v>
      </c>
      <c r="J335" t="s">
        <v>229</v>
      </c>
      <c r="K335" t="s">
        <v>106</v>
      </c>
      <c r="L335">
        <v>1</v>
      </c>
      <c r="M335">
        <v>54.37</v>
      </c>
      <c r="N335">
        <v>25.9</v>
      </c>
      <c r="O335">
        <v>0.1</v>
      </c>
      <c r="P335">
        <v>2.59</v>
      </c>
      <c r="Q335" t="s">
        <v>40</v>
      </c>
      <c r="R335">
        <v>0</v>
      </c>
      <c r="S335">
        <v>2.59</v>
      </c>
    </row>
    <row r="336" spans="1:19" x14ac:dyDescent="0.25">
      <c r="A336" t="s">
        <v>250</v>
      </c>
      <c r="B336" t="s">
        <v>56</v>
      </c>
      <c r="C336" t="s">
        <v>251</v>
      </c>
      <c r="D336" s="1">
        <v>44927</v>
      </c>
      <c r="E336" s="1">
        <v>45870</v>
      </c>
      <c r="F336">
        <v>1</v>
      </c>
      <c r="G336">
        <v>2</v>
      </c>
      <c r="H336" t="s">
        <v>227</v>
      </c>
      <c r="I336" t="s">
        <v>228</v>
      </c>
      <c r="J336" t="s">
        <v>229</v>
      </c>
      <c r="K336" t="s">
        <v>60</v>
      </c>
      <c r="L336">
        <v>1</v>
      </c>
      <c r="M336">
        <v>64.53</v>
      </c>
      <c r="N336">
        <v>32.24</v>
      </c>
      <c r="O336">
        <v>0.1</v>
      </c>
      <c r="P336">
        <v>3.22</v>
      </c>
      <c r="Q336" t="s">
        <v>40</v>
      </c>
      <c r="R336">
        <v>0</v>
      </c>
      <c r="S336">
        <v>3.22</v>
      </c>
    </row>
    <row r="337" spans="1:19" x14ac:dyDescent="0.25">
      <c r="A337" t="s">
        <v>250</v>
      </c>
      <c r="B337" t="s">
        <v>56</v>
      </c>
      <c r="C337" t="s">
        <v>251</v>
      </c>
      <c r="D337" s="1">
        <v>44927</v>
      </c>
      <c r="E337" s="1">
        <v>45870</v>
      </c>
      <c r="F337">
        <v>1</v>
      </c>
      <c r="G337">
        <v>2</v>
      </c>
      <c r="H337" t="s">
        <v>227</v>
      </c>
      <c r="I337" t="s">
        <v>228</v>
      </c>
      <c r="J337" t="s">
        <v>229</v>
      </c>
      <c r="K337" t="s">
        <v>63</v>
      </c>
      <c r="L337">
        <v>1</v>
      </c>
      <c r="M337">
        <v>64.53</v>
      </c>
      <c r="N337">
        <v>27.11</v>
      </c>
      <c r="O337">
        <v>0.1</v>
      </c>
      <c r="P337">
        <v>2.71</v>
      </c>
      <c r="Q337" t="s">
        <v>40</v>
      </c>
      <c r="R337">
        <v>0</v>
      </c>
      <c r="S337">
        <v>2.71</v>
      </c>
    </row>
    <row r="338" spans="1:19" x14ac:dyDescent="0.25">
      <c r="A338" t="s">
        <v>252</v>
      </c>
      <c r="B338" t="s">
        <v>30</v>
      </c>
      <c r="C338" t="s">
        <v>253</v>
      </c>
      <c r="D338" s="1">
        <v>44927</v>
      </c>
      <c r="E338" s="1">
        <v>45870</v>
      </c>
      <c r="F338">
        <v>1</v>
      </c>
      <c r="G338">
        <v>2</v>
      </c>
      <c r="H338" t="s">
        <v>227</v>
      </c>
      <c r="I338" t="s">
        <v>228</v>
      </c>
      <c r="J338" t="s">
        <v>229</v>
      </c>
      <c r="K338" t="s">
        <v>202</v>
      </c>
      <c r="L338">
        <v>1</v>
      </c>
      <c r="M338">
        <v>110.85</v>
      </c>
      <c r="N338">
        <v>83.63</v>
      </c>
      <c r="O338">
        <v>0.13</v>
      </c>
      <c r="P338">
        <v>10.87</v>
      </c>
      <c r="Q338" t="s">
        <v>40</v>
      </c>
      <c r="R338">
        <v>0</v>
      </c>
      <c r="S338">
        <v>10.87</v>
      </c>
    </row>
    <row r="339" spans="1:19" x14ac:dyDescent="0.25">
      <c r="A339" t="s">
        <v>252</v>
      </c>
      <c r="B339" t="s">
        <v>30</v>
      </c>
      <c r="C339" t="s">
        <v>253</v>
      </c>
      <c r="D339" s="1">
        <v>44927</v>
      </c>
      <c r="E339" s="1">
        <v>45870</v>
      </c>
      <c r="F339">
        <v>1</v>
      </c>
      <c r="G339">
        <v>2</v>
      </c>
      <c r="H339" t="s">
        <v>227</v>
      </c>
      <c r="I339" t="s">
        <v>228</v>
      </c>
      <c r="J339" t="s">
        <v>229</v>
      </c>
      <c r="K339" t="s">
        <v>254</v>
      </c>
      <c r="L339">
        <v>1</v>
      </c>
      <c r="M339">
        <v>110.85</v>
      </c>
      <c r="N339">
        <v>25.55</v>
      </c>
      <c r="O339">
        <v>0.13</v>
      </c>
      <c r="P339">
        <v>3.32</v>
      </c>
      <c r="Q339" t="s">
        <v>40</v>
      </c>
      <c r="R339">
        <v>0</v>
      </c>
      <c r="S339">
        <v>3.32</v>
      </c>
    </row>
    <row r="340" spans="1:19" x14ac:dyDescent="0.25">
      <c r="A340" t="s">
        <v>255</v>
      </c>
      <c r="B340" t="s">
        <v>30</v>
      </c>
      <c r="C340" t="s">
        <v>256</v>
      </c>
      <c r="D340" s="1">
        <v>44986</v>
      </c>
      <c r="E340" s="1">
        <v>45870</v>
      </c>
      <c r="F340">
        <v>1</v>
      </c>
      <c r="G340">
        <v>2</v>
      </c>
      <c r="H340" t="s">
        <v>227</v>
      </c>
      <c r="I340" t="s">
        <v>228</v>
      </c>
      <c r="J340" t="s">
        <v>229</v>
      </c>
      <c r="K340" t="s">
        <v>25</v>
      </c>
      <c r="L340">
        <v>1</v>
      </c>
      <c r="M340">
        <v>22.74</v>
      </c>
      <c r="N340">
        <v>21.06</v>
      </c>
      <c r="O340">
        <v>0.1</v>
      </c>
      <c r="P340">
        <v>2.11</v>
      </c>
      <c r="Q340" t="s">
        <v>40</v>
      </c>
      <c r="R340">
        <v>0</v>
      </c>
      <c r="S340">
        <v>2.11</v>
      </c>
    </row>
    <row r="341" spans="1:19" x14ac:dyDescent="0.25">
      <c r="A341" t="s">
        <v>257</v>
      </c>
      <c r="B341" t="s">
        <v>30</v>
      </c>
      <c r="C341" t="s">
        <v>258</v>
      </c>
      <c r="D341" s="1">
        <v>45017</v>
      </c>
      <c r="E341" s="1">
        <v>45870</v>
      </c>
      <c r="F341">
        <v>1</v>
      </c>
      <c r="G341">
        <v>2</v>
      </c>
      <c r="H341" t="s">
        <v>227</v>
      </c>
      <c r="I341" t="s">
        <v>228</v>
      </c>
      <c r="J341" t="s">
        <v>229</v>
      </c>
      <c r="K341" t="s">
        <v>106</v>
      </c>
      <c r="L341">
        <v>1</v>
      </c>
      <c r="M341">
        <v>54.1</v>
      </c>
      <c r="N341">
        <v>22.41</v>
      </c>
      <c r="O341">
        <v>0.1</v>
      </c>
      <c r="P341">
        <v>2.2400000000000002</v>
      </c>
      <c r="Q341" t="s">
        <v>40</v>
      </c>
      <c r="R341">
        <v>0</v>
      </c>
      <c r="S341">
        <v>2.2400000000000002</v>
      </c>
    </row>
    <row r="342" spans="1:19" x14ac:dyDescent="0.25">
      <c r="A342" t="s">
        <v>257</v>
      </c>
      <c r="B342" t="s">
        <v>30</v>
      </c>
      <c r="C342" t="s">
        <v>258</v>
      </c>
      <c r="D342" s="1">
        <v>45017</v>
      </c>
      <c r="E342" s="1">
        <v>45870</v>
      </c>
      <c r="F342">
        <v>1</v>
      </c>
      <c r="G342">
        <v>2</v>
      </c>
      <c r="H342" t="s">
        <v>227</v>
      </c>
      <c r="I342" t="s">
        <v>228</v>
      </c>
      <c r="J342" t="s">
        <v>229</v>
      </c>
      <c r="K342" t="s">
        <v>105</v>
      </c>
      <c r="L342">
        <v>1</v>
      </c>
      <c r="M342">
        <v>54.1</v>
      </c>
      <c r="N342">
        <v>2.75</v>
      </c>
      <c r="O342">
        <v>0.1</v>
      </c>
      <c r="P342">
        <v>0.28000000000000003</v>
      </c>
      <c r="Q342" t="s">
        <v>40</v>
      </c>
      <c r="R342">
        <v>0</v>
      </c>
      <c r="S342">
        <v>0.28000000000000003</v>
      </c>
    </row>
    <row r="343" spans="1:19" x14ac:dyDescent="0.25">
      <c r="A343" t="s">
        <v>257</v>
      </c>
      <c r="B343" t="s">
        <v>30</v>
      </c>
      <c r="C343" t="s">
        <v>258</v>
      </c>
      <c r="D343" s="1">
        <v>45017</v>
      </c>
      <c r="E343" s="1">
        <v>45870</v>
      </c>
      <c r="F343">
        <v>1</v>
      </c>
      <c r="G343">
        <v>2</v>
      </c>
      <c r="H343" t="s">
        <v>227</v>
      </c>
      <c r="I343" t="s">
        <v>228</v>
      </c>
      <c r="J343" t="s">
        <v>229</v>
      </c>
      <c r="K343" t="s">
        <v>25</v>
      </c>
      <c r="L343">
        <v>1</v>
      </c>
      <c r="M343">
        <v>54.1</v>
      </c>
      <c r="N343">
        <v>14.32</v>
      </c>
      <c r="O343">
        <v>0.1</v>
      </c>
      <c r="P343">
        <v>1.43</v>
      </c>
      <c r="Q343" t="s">
        <v>40</v>
      </c>
      <c r="R343">
        <v>0</v>
      </c>
      <c r="S343">
        <v>1.43</v>
      </c>
    </row>
    <row r="344" spans="1:19" x14ac:dyDescent="0.25">
      <c r="A344" t="s">
        <v>257</v>
      </c>
      <c r="B344" t="s">
        <v>30</v>
      </c>
      <c r="C344" t="s">
        <v>258</v>
      </c>
      <c r="D344" s="1">
        <v>45017</v>
      </c>
      <c r="E344" s="1">
        <v>45870</v>
      </c>
      <c r="F344">
        <v>1</v>
      </c>
      <c r="G344">
        <v>2</v>
      </c>
      <c r="H344" t="s">
        <v>227</v>
      </c>
      <c r="I344" t="s">
        <v>228</v>
      </c>
      <c r="J344" t="s">
        <v>229</v>
      </c>
      <c r="K344" t="s">
        <v>34</v>
      </c>
      <c r="L344">
        <v>1</v>
      </c>
      <c r="M344">
        <v>54.1</v>
      </c>
      <c r="N344">
        <v>12.94</v>
      </c>
      <c r="O344">
        <v>0.1</v>
      </c>
      <c r="P344">
        <v>1.29</v>
      </c>
      <c r="Q344" t="s">
        <v>40</v>
      </c>
      <c r="R344">
        <v>0</v>
      </c>
      <c r="S344">
        <v>1.29</v>
      </c>
    </row>
    <row r="345" spans="1:19" x14ac:dyDescent="0.25">
      <c r="A345" t="s">
        <v>259</v>
      </c>
      <c r="B345" t="s">
        <v>30</v>
      </c>
      <c r="C345" t="s">
        <v>260</v>
      </c>
      <c r="D345" s="1">
        <v>45108</v>
      </c>
      <c r="E345" s="1">
        <v>45870</v>
      </c>
      <c r="F345">
        <v>1</v>
      </c>
      <c r="G345">
        <v>2</v>
      </c>
      <c r="H345" t="s">
        <v>227</v>
      </c>
      <c r="I345" t="s">
        <v>228</v>
      </c>
      <c r="J345" t="s">
        <v>229</v>
      </c>
      <c r="K345" t="s">
        <v>34</v>
      </c>
      <c r="L345">
        <v>1</v>
      </c>
      <c r="M345">
        <v>60.84</v>
      </c>
      <c r="N345">
        <v>12.94</v>
      </c>
      <c r="O345">
        <v>0.1</v>
      </c>
      <c r="P345">
        <v>1.29</v>
      </c>
      <c r="Q345" t="s">
        <v>40</v>
      </c>
      <c r="R345">
        <v>0</v>
      </c>
      <c r="S345">
        <v>1.29</v>
      </c>
    </row>
    <row r="346" spans="1:19" x14ac:dyDescent="0.25">
      <c r="A346" t="s">
        <v>259</v>
      </c>
      <c r="B346" t="s">
        <v>30</v>
      </c>
      <c r="C346" t="s">
        <v>260</v>
      </c>
      <c r="D346" s="1">
        <v>45108</v>
      </c>
      <c r="E346" s="1">
        <v>45870</v>
      </c>
      <c r="F346">
        <v>1</v>
      </c>
      <c r="G346">
        <v>2</v>
      </c>
      <c r="H346" t="s">
        <v>227</v>
      </c>
      <c r="I346" t="s">
        <v>228</v>
      </c>
      <c r="J346" t="s">
        <v>229</v>
      </c>
      <c r="K346" t="s">
        <v>105</v>
      </c>
      <c r="L346">
        <v>1</v>
      </c>
      <c r="M346">
        <v>60.84</v>
      </c>
      <c r="N346">
        <v>2.75</v>
      </c>
      <c r="O346">
        <v>0.1</v>
      </c>
      <c r="P346">
        <v>0.28000000000000003</v>
      </c>
      <c r="Q346" t="s">
        <v>40</v>
      </c>
      <c r="R346">
        <v>0</v>
      </c>
      <c r="S346">
        <v>0.28000000000000003</v>
      </c>
    </row>
    <row r="347" spans="1:19" x14ac:dyDescent="0.25">
      <c r="A347" t="s">
        <v>259</v>
      </c>
      <c r="B347" t="s">
        <v>30</v>
      </c>
      <c r="C347" t="s">
        <v>260</v>
      </c>
      <c r="D347" s="1">
        <v>45108</v>
      </c>
      <c r="E347" s="1">
        <v>45870</v>
      </c>
      <c r="F347">
        <v>1</v>
      </c>
      <c r="G347">
        <v>2</v>
      </c>
      <c r="H347" t="s">
        <v>227</v>
      </c>
      <c r="I347" t="s">
        <v>228</v>
      </c>
      <c r="J347" t="s">
        <v>229</v>
      </c>
      <c r="K347" t="s">
        <v>106</v>
      </c>
      <c r="L347">
        <v>1</v>
      </c>
      <c r="M347">
        <v>60.84</v>
      </c>
      <c r="N347">
        <v>22.41</v>
      </c>
      <c r="O347">
        <v>0.1</v>
      </c>
      <c r="P347">
        <v>2.2400000000000002</v>
      </c>
      <c r="Q347" t="s">
        <v>40</v>
      </c>
      <c r="R347">
        <v>0</v>
      </c>
      <c r="S347">
        <v>2.2400000000000002</v>
      </c>
    </row>
    <row r="348" spans="1:19" x14ac:dyDescent="0.25">
      <c r="A348" t="s">
        <v>259</v>
      </c>
      <c r="B348" t="s">
        <v>30</v>
      </c>
      <c r="C348" t="s">
        <v>260</v>
      </c>
      <c r="D348" s="1">
        <v>45108</v>
      </c>
      <c r="E348" s="1">
        <v>45870</v>
      </c>
      <c r="F348">
        <v>1</v>
      </c>
      <c r="G348">
        <v>2</v>
      </c>
      <c r="H348" t="s">
        <v>227</v>
      </c>
      <c r="I348" t="s">
        <v>228</v>
      </c>
      <c r="J348" t="s">
        <v>229</v>
      </c>
      <c r="K348" t="s">
        <v>25</v>
      </c>
      <c r="L348">
        <v>1</v>
      </c>
      <c r="M348">
        <v>60.84</v>
      </c>
      <c r="N348">
        <v>21.06</v>
      </c>
      <c r="O348">
        <v>0.1</v>
      </c>
      <c r="P348">
        <v>2.11</v>
      </c>
      <c r="Q348" t="s">
        <v>40</v>
      </c>
      <c r="R348">
        <v>0</v>
      </c>
      <c r="S348">
        <v>2.11</v>
      </c>
    </row>
    <row r="349" spans="1:19" x14ac:dyDescent="0.25">
      <c r="A349" t="s">
        <v>261</v>
      </c>
      <c r="B349" t="s">
        <v>30</v>
      </c>
      <c r="C349" t="s">
        <v>262</v>
      </c>
      <c r="D349" s="1">
        <v>45292</v>
      </c>
      <c r="E349" s="1">
        <v>45870</v>
      </c>
      <c r="F349">
        <v>1</v>
      </c>
      <c r="G349">
        <v>2</v>
      </c>
      <c r="H349" t="s">
        <v>227</v>
      </c>
      <c r="I349" t="s">
        <v>228</v>
      </c>
      <c r="J349" t="s">
        <v>229</v>
      </c>
      <c r="K349" t="s">
        <v>106</v>
      </c>
      <c r="L349">
        <v>1</v>
      </c>
      <c r="M349">
        <v>64.09</v>
      </c>
      <c r="N349">
        <v>28.6</v>
      </c>
      <c r="O349">
        <v>0.1</v>
      </c>
      <c r="P349">
        <v>2.86</v>
      </c>
      <c r="Q349" t="s">
        <v>40</v>
      </c>
      <c r="R349">
        <v>0</v>
      </c>
      <c r="S349">
        <v>2.86</v>
      </c>
    </row>
    <row r="350" spans="1:19" x14ac:dyDescent="0.25">
      <c r="A350" t="s">
        <v>261</v>
      </c>
      <c r="B350" t="s">
        <v>30</v>
      </c>
      <c r="C350" t="s">
        <v>262</v>
      </c>
      <c r="D350" s="1">
        <v>45292</v>
      </c>
      <c r="E350" s="1">
        <v>45870</v>
      </c>
      <c r="F350">
        <v>1</v>
      </c>
      <c r="G350">
        <v>2</v>
      </c>
      <c r="H350" t="s">
        <v>227</v>
      </c>
      <c r="I350" t="s">
        <v>228</v>
      </c>
      <c r="J350" t="s">
        <v>229</v>
      </c>
      <c r="K350" t="s">
        <v>105</v>
      </c>
      <c r="L350">
        <v>1</v>
      </c>
      <c r="M350">
        <v>64.09</v>
      </c>
      <c r="N350">
        <v>6.03</v>
      </c>
      <c r="O350">
        <v>0.1</v>
      </c>
      <c r="P350">
        <v>0.6</v>
      </c>
      <c r="Q350" t="s">
        <v>40</v>
      </c>
      <c r="R350">
        <v>0</v>
      </c>
      <c r="S350">
        <v>0.6</v>
      </c>
    </row>
    <row r="351" spans="1:19" x14ac:dyDescent="0.25">
      <c r="A351" t="s">
        <v>261</v>
      </c>
      <c r="B351" t="s">
        <v>30</v>
      </c>
      <c r="C351" t="s">
        <v>262</v>
      </c>
      <c r="D351" s="1">
        <v>45292</v>
      </c>
      <c r="E351" s="1">
        <v>45870</v>
      </c>
      <c r="F351">
        <v>1</v>
      </c>
      <c r="G351">
        <v>2</v>
      </c>
      <c r="H351" t="s">
        <v>227</v>
      </c>
      <c r="I351" t="s">
        <v>228</v>
      </c>
      <c r="J351" t="s">
        <v>229</v>
      </c>
      <c r="K351" t="s">
        <v>25</v>
      </c>
      <c r="L351">
        <v>1</v>
      </c>
      <c r="M351">
        <v>64.09</v>
      </c>
      <c r="N351">
        <v>27.78</v>
      </c>
      <c r="O351">
        <v>0.1</v>
      </c>
      <c r="P351">
        <v>2.78</v>
      </c>
      <c r="Q351" t="s">
        <v>40</v>
      </c>
      <c r="R351">
        <v>0</v>
      </c>
      <c r="S351">
        <v>2.78</v>
      </c>
    </row>
    <row r="352" spans="1:19" x14ac:dyDescent="0.25">
      <c r="A352" t="s">
        <v>263</v>
      </c>
      <c r="B352" t="s">
        <v>20</v>
      </c>
      <c r="C352" t="s">
        <v>264</v>
      </c>
      <c r="D352" s="1">
        <v>44882</v>
      </c>
      <c r="E352" s="1">
        <v>45886</v>
      </c>
      <c r="F352">
        <v>1</v>
      </c>
      <c r="G352">
        <v>17</v>
      </c>
      <c r="H352" t="s">
        <v>265</v>
      </c>
      <c r="I352" t="s">
        <v>266</v>
      </c>
      <c r="J352" t="s">
        <v>267</v>
      </c>
      <c r="K352" t="s">
        <v>202</v>
      </c>
      <c r="L352">
        <v>1</v>
      </c>
      <c r="M352">
        <v>73.55</v>
      </c>
      <c r="N352">
        <v>43.44</v>
      </c>
      <c r="O352">
        <v>0.13</v>
      </c>
      <c r="P352">
        <v>5.65</v>
      </c>
      <c r="Q352" t="s">
        <v>40</v>
      </c>
      <c r="R352">
        <v>0</v>
      </c>
      <c r="S352">
        <v>5.65</v>
      </c>
    </row>
    <row r="353" spans="1:19" x14ac:dyDescent="0.25">
      <c r="A353" t="s">
        <v>263</v>
      </c>
      <c r="B353" t="s">
        <v>20</v>
      </c>
      <c r="C353" t="s">
        <v>264</v>
      </c>
      <c r="D353" s="1">
        <v>44882</v>
      </c>
      <c r="E353" s="1">
        <v>45886</v>
      </c>
      <c r="F353">
        <v>1</v>
      </c>
      <c r="G353">
        <v>17</v>
      </c>
      <c r="H353" t="s">
        <v>265</v>
      </c>
      <c r="I353" t="s">
        <v>266</v>
      </c>
      <c r="J353" t="s">
        <v>267</v>
      </c>
      <c r="K353" t="s">
        <v>268</v>
      </c>
      <c r="L353">
        <v>1</v>
      </c>
      <c r="M353">
        <v>0</v>
      </c>
      <c r="N353">
        <v>3.08</v>
      </c>
      <c r="O353">
        <v>0.13</v>
      </c>
      <c r="P353">
        <v>0.4</v>
      </c>
      <c r="Q353" t="s">
        <v>40</v>
      </c>
      <c r="R353">
        <v>0</v>
      </c>
      <c r="S353">
        <v>0.4</v>
      </c>
    </row>
    <row r="354" spans="1:19" x14ac:dyDescent="0.25">
      <c r="A354" t="s">
        <v>263</v>
      </c>
      <c r="B354" t="s">
        <v>20</v>
      </c>
      <c r="C354" t="s">
        <v>264</v>
      </c>
      <c r="D354" s="1">
        <v>44882</v>
      </c>
      <c r="E354" s="1">
        <v>45886</v>
      </c>
      <c r="F354">
        <v>1</v>
      </c>
      <c r="G354">
        <v>17</v>
      </c>
      <c r="H354" t="s">
        <v>265</v>
      </c>
      <c r="I354" t="s">
        <v>266</v>
      </c>
      <c r="J354" t="s">
        <v>267</v>
      </c>
      <c r="K354" t="s">
        <v>254</v>
      </c>
      <c r="L354">
        <v>1</v>
      </c>
      <c r="M354">
        <v>0</v>
      </c>
      <c r="N354">
        <v>15</v>
      </c>
      <c r="O354">
        <v>0.13</v>
      </c>
      <c r="P354">
        <v>1.95</v>
      </c>
      <c r="Q354" t="s">
        <v>40</v>
      </c>
      <c r="R354">
        <v>0</v>
      </c>
      <c r="S354">
        <v>1.95</v>
      </c>
    </row>
    <row r="355" spans="1:19" x14ac:dyDescent="0.25">
      <c r="A355" t="s">
        <v>269</v>
      </c>
      <c r="B355" t="s">
        <v>20</v>
      </c>
      <c r="C355" t="s">
        <v>270</v>
      </c>
      <c r="D355" s="1">
        <v>44927</v>
      </c>
      <c r="E355" s="1">
        <v>45870</v>
      </c>
      <c r="F355">
        <v>1</v>
      </c>
      <c r="G355">
        <v>2</v>
      </c>
      <c r="H355" t="s">
        <v>265</v>
      </c>
      <c r="I355" t="s">
        <v>266</v>
      </c>
      <c r="J355" t="s">
        <v>267</v>
      </c>
      <c r="K355" t="s">
        <v>268</v>
      </c>
      <c r="L355">
        <v>1</v>
      </c>
      <c r="M355">
        <v>57.3</v>
      </c>
      <c r="N355">
        <v>3.08</v>
      </c>
      <c r="O355">
        <v>0.13</v>
      </c>
      <c r="P355">
        <v>0.4</v>
      </c>
      <c r="Q355" t="s">
        <v>40</v>
      </c>
      <c r="R355">
        <v>0</v>
      </c>
      <c r="S355">
        <v>0.4</v>
      </c>
    </row>
    <row r="356" spans="1:19" x14ac:dyDescent="0.25">
      <c r="A356" t="s">
        <v>269</v>
      </c>
      <c r="B356" t="s">
        <v>20</v>
      </c>
      <c r="C356" t="s">
        <v>270</v>
      </c>
      <c r="D356" s="1">
        <v>44927</v>
      </c>
      <c r="E356" s="1">
        <v>45870</v>
      </c>
      <c r="F356">
        <v>1</v>
      </c>
      <c r="G356">
        <v>2</v>
      </c>
      <c r="H356" t="s">
        <v>265</v>
      </c>
      <c r="I356" t="s">
        <v>266</v>
      </c>
      <c r="J356" t="s">
        <v>267</v>
      </c>
      <c r="K356" t="s">
        <v>202</v>
      </c>
      <c r="L356">
        <v>1</v>
      </c>
      <c r="M356">
        <v>57.3</v>
      </c>
      <c r="N356">
        <v>52.55</v>
      </c>
      <c r="O356">
        <v>0.13</v>
      </c>
      <c r="P356">
        <v>6.83</v>
      </c>
      <c r="Q356" t="s">
        <v>40</v>
      </c>
      <c r="R356">
        <v>0</v>
      </c>
      <c r="S356">
        <v>6.83</v>
      </c>
    </row>
    <row r="357" spans="1:19" x14ac:dyDescent="0.25">
      <c r="A357" t="s">
        <v>271</v>
      </c>
      <c r="B357" t="s">
        <v>20</v>
      </c>
      <c r="C357" t="s">
        <v>272</v>
      </c>
      <c r="D357" s="1">
        <v>44927</v>
      </c>
      <c r="E357" s="1">
        <v>45870</v>
      </c>
      <c r="F357">
        <v>1</v>
      </c>
      <c r="G357">
        <v>2</v>
      </c>
      <c r="H357" t="s">
        <v>265</v>
      </c>
      <c r="I357" t="s">
        <v>266</v>
      </c>
      <c r="J357" t="s">
        <v>267</v>
      </c>
      <c r="K357" t="s">
        <v>254</v>
      </c>
      <c r="L357">
        <v>1</v>
      </c>
      <c r="M357">
        <v>111.12</v>
      </c>
      <c r="N357">
        <v>29.35</v>
      </c>
      <c r="O357">
        <v>0.13</v>
      </c>
      <c r="P357">
        <v>3.82</v>
      </c>
      <c r="Q357" t="s">
        <v>40</v>
      </c>
      <c r="R357">
        <v>0</v>
      </c>
      <c r="S357">
        <v>3.82</v>
      </c>
    </row>
    <row r="358" spans="1:19" x14ac:dyDescent="0.25">
      <c r="A358" t="s">
        <v>271</v>
      </c>
      <c r="B358" t="s">
        <v>20</v>
      </c>
      <c r="C358" t="s">
        <v>272</v>
      </c>
      <c r="D358" s="1">
        <v>44927</v>
      </c>
      <c r="E358" s="1">
        <v>45870</v>
      </c>
      <c r="F358">
        <v>1</v>
      </c>
      <c r="G358">
        <v>2</v>
      </c>
      <c r="H358" t="s">
        <v>265</v>
      </c>
      <c r="I358" t="s">
        <v>266</v>
      </c>
      <c r="J358" t="s">
        <v>267</v>
      </c>
      <c r="K358" t="s">
        <v>202</v>
      </c>
      <c r="L358">
        <v>1</v>
      </c>
      <c r="M358">
        <v>111.12</v>
      </c>
      <c r="N358">
        <v>75.27</v>
      </c>
      <c r="O358">
        <v>0.13</v>
      </c>
      <c r="P358">
        <v>9.7899999999999991</v>
      </c>
      <c r="Q358" t="s">
        <v>40</v>
      </c>
      <c r="R358">
        <v>0</v>
      </c>
      <c r="S358">
        <v>9.7899999999999991</v>
      </c>
    </row>
    <row r="359" spans="1:19" x14ac:dyDescent="0.25">
      <c r="A359" t="s">
        <v>271</v>
      </c>
      <c r="B359" t="s">
        <v>20</v>
      </c>
      <c r="C359" t="s">
        <v>272</v>
      </c>
      <c r="D359" s="1">
        <v>44927</v>
      </c>
      <c r="E359" s="1">
        <v>45870</v>
      </c>
      <c r="F359">
        <v>1</v>
      </c>
      <c r="G359">
        <v>2</v>
      </c>
      <c r="H359" t="s">
        <v>265</v>
      </c>
      <c r="I359" t="s">
        <v>266</v>
      </c>
      <c r="J359" t="s">
        <v>267</v>
      </c>
      <c r="K359" t="s">
        <v>268</v>
      </c>
      <c r="L359">
        <v>1</v>
      </c>
      <c r="M359">
        <v>111.12</v>
      </c>
      <c r="N359">
        <v>4.83</v>
      </c>
      <c r="O359">
        <v>0.13</v>
      </c>
      <c r="P359">
        <v>0.63</v>
      </c>
      <c r="Q359" t="s">
        <v>40</v>
      </c>
      <c r="R359">
        <v>0</v>
      </c>
      <c r="S359">
        <v>0.63</v>
      </c>
    </row>
    <row r="360" spans="1:19" x14ac:dyDescent="0.25">
      <c r="A360" t="s">
        <v>273</v>
      </c>
      <c r="B360" t="s">
        <v>20</v>
      </c>
      <c r="C360" t="s">
        <v>270</v>
      </c>
      <c r="D360" s="1">
        <v>44927</v>
      </c>
      <c r="E360" s="1">
        <v>45870</v>
      </c>
      <c r="F360">
        <v>1</v>
      </c>
      <c r="G360">
        <v>2</v>
      </c>
      <c r="H360" t="s">
        <v>265</v>
      </c>
      <c r="I360" t="s">
        <v>266</v>
      </c>
      <c r="J360" t="s">
        <v>267</v>
      </c>
      <c r="K360" t="s">
        <v>163</v>
      </c>
      <c r="L360">
        <v>1</v>
      </c>
      <c r="M360">
        <v>40.36</v>
      </c>
      <c r="N360">
        <v>5.33</v>
      </c>
      <c r="O360">
        <v>0.1</v>
      </c>
      <c r="P360">
        <v>0.53</v>
      </c>
      <c r="Q360" t="s">
        <v>40</v>
      </c>
      <c r="R360">
        <v>0</v>
      </c>
      <c r="S360">
        <v>0.53</v>
      </c>
    </row>
    <row r="361" spans="1:19" x14ac:dyDescent="0.25">
      <c r="A361" t="s">
        <v>273</v>
      </c>
      <c r="B361" t="s">
        <v>20</v>
      </c>
      <c r="C361" t="s">
        <v>270</v>
      </c>
      <c r="D361" s="1">
        <v>44927</v>
      </c>
      <c r="E361" s="1">
        <v>45870</v>
      </c>
      <c r="F361">
        <v>1</v>
      </c>
      <c r="G361">
        <v>2</v>
      </c>
      <c r="H361" t="s">
        <v>265</v>
      </c>
      <c r="I361" t="s">
        <v>266</v>
      </c>
      <c r="J361" t="s">
        <v>267</v>
      </c>
      <c r="K361" t="s">
        <v>177</v>
      </c>
      <c r="L361">
        <v>1</v>
      </c>
      <c r="M361">
        <v>40.36</v>
      </c>
      <c r="N361">
        <v>2.5</v>
      </c>
      <c r="O361">
        <v>0.1</v>
      </c>
      <c r="P361">
        <v>0.25</v>
      </c>
      <c r="Q361" t="s">
        <v>40</v>
      </c>
      <c r="R361">
        <v>0</v>
      </c>
      <c r="S361">
        <v>0.25</v>
      </c>
    </row>
    <row r="362" spans="1:19" x14ac:dyDescent="0.25">
      <c r="A362" t="s">
        <v>273</v>
      </c>
      <c r="B362" t="s">
        <v>20</v>
      </c>
      <c r="C362" t="s">
        <v>270</v>
      </c>
      <c r="D362" s="1">
        <v>44927</v>
      </c>
      <c r="E362" s="1">
        <v>45870</v>
      </c>
      <c r="F362">
        <v>1</v>
      </c>
      <c r="G362">
        <v>2</v>
      </c>
      <c r="H362" t="s">
        <v>265</v>
      </c>
      <c r="I362" t="s">
        <v>266</v>
      </c>
      <c r="J362" t="s">
        <v>267</v>
      </c>
      <c r="K362" t="s">
        <v>162</v>
      </c>
      <c r="L362">
        <v>1</v>
      </c>
      <c r="M362">
        <v>40.36</v>
      </c>
      <c r="N362">
        <v>4.53</v>
      </c>
      <c r="O362">
        <v>0.1</v>
      </c>
      <c r="P362">
        <v>0.45</v>
      </c>
      <c r="Q362" t="s">
        <v>40</v>
      </c>
      <c r="R362">
        <v>0</v>
      </c>
      <c r="S362">
        <v>0.45</v>
      </c>
    </row>
    <row r="363" spans="1:19" x14ac:dyDescent="0.25">
      <c r="A363" t="s">
        <v>273</v>
      </c>
      <c r="B363" t="s">
        <v>20</v>
      </c>
      <c r="C363" t="s">
        <v>270</v>
      </c>
      <c r="D363" s="1">
        <v>44927</v>
      </c>
      <c r="E363" s="1">
        <v>45870</v>
      </c>
      <c r="F363">
        <v>1</v>
      </c>
      <c r="G363">
        <v>2</v>
      </c>
      <c r="H363" t="s">
        <v>265</v>
      </c>
      <c r="I363" t="s">
        <v>266</v>
      </c>
      <c r="J363" t="s">
        <v>267</v>
      </c>
      <c r="K363" t="s">
        <v>274</v>
      </c>
      <c r="L363">
        <v>1</v>
      </c>
      <c r="M363">
        <v>40.36</v>
      </c>
      <c r="N363">
        <v>21.67</v>
      </c>
      <c r="O363">
        <v>0.1</v>
      </c>
      <c r="P363">
        <v>2.17</v>
      </c>
      <c r="Q363" t="s">
        <v>40</v>
      </c>
      <c r="R363">
        <v>0</v>
      </c>
      <c r="S363">
        <v>2.17</v>
      </c>
    </row>
    <row r="364" spans="1:19" x14ac:dyDescent="0.25">
      <c r="A364" t="s">
        <v>273</v>
      </c>
      <c r="B364" t="s">
        <v>20</v>
      </c>
      <c r="C364" t="s">
        <v>270</v>
      </c>
      <c r="D364" s="1">
        <v>44927</v>
      </c>
      <c r="E364" s="1">
        <v>45870</v>
      </c>
      <c r="F364">
        <v>1</v>
      </c>
      <c r="G364">
        <v>2</v>
      </c>
      <c r="H364" t="s">
        <v>265</v>
      </c>
      <c r="I364" t="s">
        <v>266</v>
      </c>
      <c r="J364" t="s">
        <v>267</v>
      </c>
      <c r="K364" t="s">
        <v>275</v>
      </c>
      <c r="L364">
        <v>1</v>
      </c>
      <c r="M364">
        <v>40.36</v>
      </c>
      <c r="N364">
        <v>4.25</v>
      </c>
      <c r="O364">
        <v>0.1</v>
      </c>
      <c r="P364">
        <v>0.43</v>
      </c>
      <c r="Q364" t="s">
        <v>40</v>
      </c>
      <c r="R364">
        <v>0</v>
      </c>
      <c r="S364">
        <v>0.43</v>
      </c>
    </row>
    <row r="365" spans="1:19" x14ac:dyDescent="0.25">
      <c r="A365" t="s">
        <v>276</v>
      </c>
      <c r="B365" t="s">
        <v>20</v>
      </c>
      <c r="C365" t="s">
        <v>272</v>
      </c>
      <c r="D365" s="1">
        <v>44927</v>
      </c>
      <c r="E365" s="1">
        <v>45870</v>
      </c>
      <c r="F365">
        <v>1</v>
      </c>
      <c r="G365">
        <v>2</v>
      </c>
      <c r="H365" t="s">
        <v>265</v>
      </c>
      <c r="I365" t="s">
        <v>266</v>
      </c>
      <c r="J365" t="s">
        <v>267</v>
      </c>
      <c r="K365" t="s">
        <v>162</v>
      </c>
      <c r="L365">
        <v>1</v>
      </c>
      <c r="M365">
        <v>53.36</v>
      </c>
      <c r="N365">
        <v>5.2</v>
      </c>
      <c r="O365">
        <v>0.1</v>
      </c>
      <c r="P365">
        <v>0.52</v>
      </c>
      <c r="Q365" t="s">
        <v>40</v>
      </c>
      <c r="R365">
        <v>0</v>
      </c>
      <c r="S365">
        <v>0.52</v>
      </c>
    </row>
    <row r="366" spans="1:19" x14ac:dyDescent="0.25">
      <c r="A366" t="s">
        <v>276</v>
      </c>
      <c r="B366" t="s">
        <v>20</v>
      </c>
      <c r="C366" t="s">
        <v>272</v>
      </c>
      <c r="D366" s="1">
        <v>44927</v>
      </c>
      <c r="E366" s="1">
        <v>45870</v>
      </c>
      <c r="F366">
        <v>1</v>
      </c>
      <c r="G366">
        <v>2</v>
      </c>
      <c r="H366" t="s">
        <v>265</v>
      </c>
      <c r="I366" t="s">
        <v>266</v>
      </c>
      <c r="J366" t="s">
        <v>267</v>
      </c>
      <c r="K366" t="s">
        <v>177</v>
      </c>
      <c r="L366">
        <v>1</v>
      </c>
      <c r="M366">
        <v>53.36</v>
      </c>
      <c r="N366">
        <v>5.75</v>
      </c>
      <c r="O366">
        <v>0.1</v>
      </c>
      <c r="P366">
        <v>0.57999999999999996</v>
      </c>
      <c r="Q366" t="s">
        <v>40</v>
      </c>
      <c r="R366">
        <v>0</v>
      </c>
      <c r="S366">
        <v>0.57999999999999996</v>
      </c>
    </row>
    <row r="367" spans="1:19" x14ac:dyDescent="0.25">
      <c r="A367" t="s">
        <v>276</v>
      </c>
      <c r="B367" t="s">
        <v>20</v>
      </c>
      <c r="C367" t="s">
        <v>272</v>
      </c>
      <c r="D367" s="1">
        <v>44927</v>
      </c>
      <c r="E367" s="1">
        <v>45870</v>
      </c>
      <c r="F367">
        <v>1</v>
      </c>
      <c r="G367">
        <v>2</v>
      </c>
      <c r="H367" t="s">
        <v>265</v>
      </c>
      <c r="I367" t="s">
        <v>266</v>
      </c>
      <c r="J367" t="s">
        <v>267</v>
      </c>
      <c r="K367" t="s">
        <v>275</v>
      </c>
      <c r="L367">
        <v>1</v>
      </c>
      <c r="M367">
        <v>53.36</v>
      </c>
      <c r="N367">
        <v>4.42</v>
      </c>
      <c r="O367">
        <v>0.1</v>
      </c>
      <c r="P367">
        <v>0.44</v>
      </c>
      <c r="Q367" t="s">
        <v>40</v>
      </c>
      <c r="R367">
        <v>0</v>
      </c>
      <c r="S367">
        <v>0.44</v>
      </c>
    </row>
    <row r="368" spans="1:19" x14ac:dyDescent="0.25">
      <c r="A368" t="s">
        <v>276</v>
      </c>
      <c r="B368" t="s">
        <v>20</v>
      </c>
      <c r="C368" t="s">
        <v>272</v>
      </c>
      <c r="D368" s="1">
        <v>44927</v>
      </c>
      <c r="E368" s="1">
        <v>45870</v>
      </c>
      <c r="F368">
        <v>1</v>
      </c>
      <c r="G368">
        <v>2</v>
      </c>
      <c r="H368" t="s">
        <v>265</v>
      </c>
      <c r="I368" t="s">
        <v>266</v>
      </c>
      <c r="J368" t="s">
        <v>267</v>
      </c>
      <c r="K368" t="s">
        <v>163</v>
      </c>
      <c r="L368">
        <v>1</v>
      </c>
      <c r="M368">
        <v>53.36</v>
      </c>
      <c r="N368">
        <v>5.08</v>
      </c>
      <c r="O368">
        <v>0.1</v>
      </c>
      <c r="P368">
        <v>0.51</v>
      </c>
      <c r="Q368" t="s">
        <v>40</v>
      </c>
      <c r="R368">
        <v>0</v>
      </c>
      <c r="S368">
        <v>0.51</v>
      </c>
    </row>
    <row r="369" spans="1:19" x14ac:dyDescent="0.25">
      <c r="A369" t="s">
        <v>276</v>
      </c>
      <c r="B369" t="s">
        <v>20</v>
      </c>
      <c r="C369" t="s">
        <v>272</v>
      </c>
      <c r="D369" s="1">
        <v>44927</v>
      </c>
      <c r="E369" s="1">
        <v>45870</v>
      </c>
      <c r="F369">
        <v>1</v>
      </c>
      <c r="G369">
        <v>2</v>
      </c>
      <c r="H369" t="s">
        <v>265</v>
      </c>
      <c r="I369" t="s">
        <v>266</v>
      </c>
      <c r="J369" t="s">
        <v>267</v>
      </c>
      <c r="K369" t="s">
        <v>274</v>
      </c>
      <c r="L369">
        <v>1</v>
      </c>
      <c r="M369">
        <v>53.36</v>
      </c>
      <c r="N369">
        <v>30.83</v>
      </c>
      <c r="O369">
        <v>0.1</v>
      </c>
      <c r="P369">
        <v>3.08</v>
      </c>
      <c r="Q369" t="s">
        <v>40</v>
      </c>
      <c r="R369">
        <v>0</v>
      </c>
      <c r="S369">
        <v>3.08</v>
      </c>
    </row>
    <row r="370" spans="1:19" x14ac:dyDescent="0.25">
      <c r="A370" t="s">
        <v>277</v>
      </c>
      <c r="B370" t="s">
        <v>20</v>
      </c>
      <c r="C370" t="s">
        <v>278</v>
      </c>
      <c r="D370" s="1">
        <v>44888</v>
      </c>
      <c r="E370" s="1">
        <v>45861</v>
      </c>
      <c r="F370">
        <v>1</v>
      </c>
      <c r="G370">
        <v>2</v>
      </c>
      <c r="H370" t="s">
        <v>265</v>
      </c>
      <c r="I370" t="s">
        <v>266</v>
      </c>
      <c r="J370" t="s">
        <v>267</v>
      </c>
      <c r="K370" t="s">
        <v>268</v>
      </c>
      <c r="L370">
        <v>1</v>
      </c>
      <c r="M370">
        <v>81.67</v>
      </c>
      <c r="N370">
        <v>3.08</v>
      </c>
      <c r="O370">
        <v>0.13</v>
      </c>
      <c r="P370">
        <v>0.4</v>
      </c>
      <c r="Q370" t="s">
        <v>40</v>
      </c>
      <c r="R370">
        <v>0</v>
      </c>
      <c r="S370">
        <v>0.4</v>
      </c>
    </row>
    <row r="371" spans="1:19" x14ac:dyDescent="0.25">
      <c r="A371" t="s">
        <v>277</v>
      </c>
      <c r="B371" t="s">
        <v>20</v>
      </c>
      <c r="C371" t="s">
        <v>278</v>
      </c>
      <c r="D371" s="1">
        <v>44888</v>
      </c>
      <c r="E371" s="1">
        <v>45861</v>
      </c>
      <c r="F371">
        <v>1</v>
      </c>
      <c r="G371">
        <v>2</v>
      </c>
      <c r="H371" t="s">
        <v>265</v>
      </c>
      <c r="I371" t="s">
        <v>266</v>
      </c>
      <c r="J371" t="s">
        <v>267</v>
      </c>
      <c r="K371" t="s">
        <v>202</v>
      </c>
      <c r="L371">
        <v>1</v>
      </c>
      <c r="M371">
        <v>81.67</v>
      </c>
      <c r="N371">
        <v>52.55</v>
      </c>
      <c r="O371">
        <v>0.13</v>
      </c>
      <c r="P371">
        <v>6.83</v>
      </c>
      <c r="Q371" t="s">
        <v>40</v>
      </c>
      <c r="R371">
        <v>0</v>
      </c>
      <c r="S371">
        <v>6.83</v>
      </c>
    </row>
    <row r="372" spans="1:19" x14ac:dyDescent="0.25">
      <c r="A372" t="s">
        <v>277</v>
      </c>
      <c r="B372" t="s">
        <v>20</v>
      </c>
      <c r="C372" t="s">
        <v>278</v>
      </c>
      <c r="D372" s="1">
        <v>44888</v>
      </c>
      <c r="E372" s="1">
        <v>45861</v>
      </c>
      <c r="F372">
        <v>1</v>
      </c>
      <c r="G372">
        <v>2</v>
      </c>
      <c r="H372" t="s">
        <v>265</v>
      </c>
      <c r="I372" t="s">
        <v>266</v>
      </c>
      <c r="J372" t="s">
        <v>267</v>
      </c>
      <c r="K372" t="s">
        <v>254</v>
      </c>
      <c r="L372">
        <v>1</v>
      </c>
      <c r="M372">
        <v>81.67</v>
      </c>
      <c r="N372">
        <v>24.37</v>
      </c>
      <c r="O372">
        <v>0.13</v>
      </c>
      <c r="P372">
        <v>3.17</v>
      </c>
      <c r="Q372" t="s">
        <v>40</v>
      </c>
      <c r="R372">
        <v>0</v>
      </c>
      <c r="S372">
        <v>3.17</v>
      </c>
    </row>
    <row r="373" spans="1:19" x14ac:dyDescent="0.25">
      <c r="A373" t="s">
        <v>279</v>
      </c>
      <c r="B373" t="s">
        <v>20</v>
      </c>
      <c r="C373" t="s">
        <v>280</v>
      </c>
      <c r="D373" s="1">
        <v>44896</v>
      </c>
      <c r="E373" s="1">
        <v>45870</v>
      </c>
      <c r="F373">
        <v>1</v>
      </c>
      <c r="G373">
        <v>2</v>
      </c>
      <c r="H373" t="s">
        <v>265</v>
      </c>
      <c r="I373" t="s">
        <v>266</v>
      </c>
      <c r="J373" t="s">
        <v>267</v>
      </c>
      <c r="K373" t="s">
        <v>254</v>
      </c>
      <c r="L373">
        <v>1</v>
      </c>
      <c r="M373">
        <v>81.67</v>
      </c>
      <c r="N373">
        <v>24.37</v>
      </c>
      <c r="O373">
        <v>0.13</v>
      </c>
      <c r="P373">
        <v>3.17</v>
      </c>
      <c r="Q373" t="s">
        <v>40</v>
      </c>
      <c r="R373">
        <v>0</v>
      </c>
      <c r="S373">
        <v>3.17</v>
      </c>
    </row>
    <row r="374" spans="1:19" x14ac:dyDescent="0.25">
      <c r="A374" t="s">
        <v>279</v>
      </c>
      <c r="B374" t="s">
        <v>20</v>
      </c>
      <c r="C374" t="s">
        <v>280</v>
      </c>
      <c r="D374" s="1">
        <v>44896</v>
      </c>
      <c r="E374" s="1">
        <v>45870</v>
      </c>
      <c r="F374">
        <v>1</v>
      </c>
      <c r="G374">
        <v>2</v>
      </c>
      <c r="H374" t="s">
        <v>265</v>
      </c>
      <c r="I374" t="s">
        <v>266</v>
      </c>
      <c r="J374" t="s">
        <v>267</v>
      </c>
      <c r="K374" t="s">
        <v>202</v>
      </c>
      <c r="L374">
        <v>1</v>
      </c>
      <c r="M374">
        <v>81.67</v>
      </c>
      <c r="N374">
        <v>52.55</v>
      </c>
      <c r="O374">
        <v>0.13</v>
      </c>
      <c r="P374">
        <v>6.83</v>
      </c>
      <c r="Q374" t="s">
        <v>40</v>
      </c>
      <c r="R374">
        <v>0</v>
      </c>
      <c r="S374">
        <v>6.83</v>
      </c>
    </row>
    <row r="375" spans="1:19" x14ac:dyDescent="0.25">
      <c r="A375" t="s">
        <v>279</v>
      </c>
      <c r="B375" t="s">
        <v>20</v>
      </c>
      <c r="C375" t="s">
        <v>280</v>
      </c>
      <c r="D375" s="1">
        <v>44896</v>
      </c>
      <c r="E375" s="1">
        <v>45870</v>
      </c>
      <c r="F375">
        <v>1</v>
      </c>
      <c r="G375">
        <v>2</v>
      </c>
      <c r="H375" t="s">
        <v>265</v>
      </c>
      <c r="I375" t="s">
        <v>266</v>
      </c>
      <c r="J375" t="s">
        <v>267</v>
      </c>
      <c r="K375" t="s">
        <v>268</v>
      </c>
      <c r="L375">
        <v>1</v>
      </c>
      <c r="M375">
        <v>81.67</v>
      </c>
      <c r="N375">
        <v>3.08</v>
      </c>
      <c r="O375">
        <v>0.13</v>
      </c>
      <c r="P375">
        <v>0.4</v>
      </c>
      <c r="Q375" t="s">
        <v>40</v>
      </c>
      <c r="R375">
        <v>0</v>
      </c>
      <c r="S375">
        <v>0.4</v>
      </c>
    </row>
    <row r="376" spans="1:19" x14ac:dyDescent="0.25">
      <c r="A376" t="s">
        <v>281</v>
      </c>
      <c r="B376" t="s">
        <v>20</v>
      </c>
      <c r="C376" t="s">
        <v>282</v>
      </c>
      <c r="D376" s="1">
        <v>44900</v>
      </c>
      <c r="E376" s="1">
        <v>45874</v>
      </c>
      <c r="F376">
        <v>1</v>
      </c>
      <c r="G376">
        <v>3</v>
      </c>
      <c r="H376" t="s">
        <v>265</v>
      </c>
      <c r="I376" t="s">
        <v>266</v>
      </c>
      <c r="J376" t="s">
        <v>267</v>
      </c>
      <c r="K376" t="s">
        <v>254</v>
      </c>
      <c r="L376">
        <v>1</v>
      </c>
      <c r="M376">
        <v>88.43</v>
      </c>
      <c r="N376">
        <v>19.57</v>
      </c>
      <c r="O376">
        <v>0.13</v>
      </c>
      <c r="P376">
        <v>2.54</v>
      </c>
      <c r="Q376" t="s">
        <v>40</v>
      </c>
      <c r="R376">
        <v>0</v>
      </c>
      <c r="S376">
        <v>2.54</v>
      </c>
    </row>
    <row r="377" spans="1:19" x14ac:dyDescent="0.25">
      <c r="A377" t="s">
        <v>281</v>
      </c>
      <c r="B377" t="s">
        <v>20</v>
      </c>
      <c r="C377" t="s">
        <v>282</v>
      </c>
      <c r="D377" s="1">
        <v>44900</v>
      </c>
      <c r="E377" s="1">
        <v>45874</v>
      </c>
      <c r="F377">
        <v>1</v>
      </c>
      <c r="G377">
        <v>3</v>
      </c>
      <c r="H377" t="s">
        <v>265</v>
      </c>
      <c r="I377" t="s">
        <v>266</v>
      </c>
      <c r="J377" t="s">
        <v>267</v>
      </c>
      <c r="K377" t="s">
        <v>202</v>
      </c>
      <c r="L377">
        <v>1</v>
      </c>
      <c r="M377">
        <v>88.43</v>
      </c>
      <c r="N377">
        <v>62.36</v>
      </c>
      <c r="O377">
        <v>0.13</v>
      </c>
      <c r="P377">
        <v>8.11</v>
      </c>
      <c r="Q377" t="s">
        <v>40</v>
      </c>
      <c r="R377">
        <v>0</v>
      </c>
      <c r="S377">
        <v>8.11</v>
      </c>
    </row>
    <row r="378" spans="1:19" x14ac:dyDescent="0.25">
      <c r="A378" t="s">
        <v>281</v>
      </c>
      <c r="B378" t="s">
        <v>20</v>
      </c>
      <c r="C378" t="s">
        <v>282</v>
      </c>
      <c r="D378" s="1">
        <v>44900</v>
      </c>
      <c r="E378" s="1">
        <v>45874</v>
      </c>
      <c r="F378">
        <v>1</v>
      </c>
      <c r="G378">
        <v>3</v>
      </c>
      <c r="H378" t="s">
        <v>265</v>
      </c>
      <c r="I378" t="s">
        <v>266</v>
      </c>
      <c r="J378" t="s">
        <v>267</v>
      </c>
      <c r="K378" t="s">
        <v>268</v>
      </c>
      <c r="L378">
        <v>1</v>
      </c>
      <c r="M378">
        <v>88.43</v>
      </c>
      <c r="N378">
        <v>4.83</v>
      </c>
      <c r="O378">
        <v>0.13</v>
      </c>
      <c r="P378">
        <v>0.63</v>
      </c>
      <c r="Q378" t="s">
        <v>40</v>
      </c>
      <c r="R378">
        <v>0</v>
      </c>
      <c r="S378">
        <v>0.63</v>
      </c>
    </row>
    <row r="379" spans="1:19" x14ac:dyDescent="0.25">
      <c r="A379" t="s">
        <v>283</v>
      </c>
      <c r="B379" t="s">
        <v>20</v>
      </c>
      <c r="C379" t="s">
        <v>284</v>
      </c>
      <c r="D379" s="1">
        <v>44902</v>
      </c>
      <c r="E379" s="1">
        <v>45876</v>
      </c>
      <c r="F379">
        <v>1</v>
      </c>
      <c r="G379">
        <v>8</v>
      </c>
      <c r="H379" t="s">
        <v>265</v>
      </c>
      <c r="I379" t="s">
        <v>266</v>
      </c>
      <c r="J379" t="s">
        <v>267</v>
      </c>
      <c r="K379" t="s">
        <v>254</v>
      </c>
      <c r="L379">
        <v>1</v>
      </c>
      <c r="M379">
        <v>81.67</v>
      </c>
      <c r="N379">
        <v>24.37</v>
      </c>
      <c r="O379">
        <v>0.13</v>
      </c>
      <c r="P379">
        <v>3.17</v>
      </c>
      <c r="Q379" t="s">
        <v>40</v>
      </c>
      <c r="R379">
        <v>0</v>
      </c>
      <c r="S379">
        <v>3.17</v>
      </c>
    </row>
    <row r="380" spans="1:19" x14ac:dyDescent="0.25">
      <c r="A380" t="s">
        <v>283</v>
      </c>
      <c r="B380" t="s">
        <v>20</v>
      </c>
      <c r="C380" t="s">
        <v>284</v>
      </c>
      <c r="D380" s="1">
        <v>44902</v>
      </c>
      <c r="E380" s="1">
        <v>45876</v>
      </c>
      <c r="F380">
        <v>1</v>
      </c>
      <c r="G380">
        <v>8</v>
      </c>
      <c r="H380" t="s">
        <v>265</v>
      </c>
      <c r="I380" t="s">
        <v>266</v>
      </c>
      <c r="J380" t="s">
        <v>267</v>
      </c>
      <c r="K380" t="s">
        <v>202</v>
      </c>
      <c r="L380">
        <v>1</v>
      </c>
      <c r="M380">
        <v>81.67</v>
      </c>
      <c r="N380">
        <v>52.55</v>
      </c>
      <c r="O380">
        <v>0.13</v>
      </c>
      <c r="P380">
        <v>6.83</v>
      </c>
      <c r="Q380" t="s">
        <v>40</v>
      </c>
      <c r="R380">
        <v>0</v>
      </c>
      <c r="S380">
        <v>6.83</v>
      </c>
    </row>
    <row r="381" spans="1:19" x14ac:dyDescent="0.25">
      <c r="A381" t="s">
        <v>283</v>
      </c>
      <c r="B381" t="s">
        <v>20</v>
      </c>
      <c r="C381" t="s">
        <v>284</v>
      </c>
      <c r="D381" s="1">
        <v>44902</v>
      </c>
      <c r="E381" s="1">
        <v>45876</v>
      </c>
      <c r="F381">
        <v>1</v>
      </c>
      <c r="G381">
        <v>8</v>
      </c>
      <c r="H381" t="s">
        <v>265</v>
      </c>
      <c r="I381" t="s">
        <v>266</v>
      </c>
      <c r="J381" t="s">
        <v>267</v>
      </c>
      <c r="K381" t="s">
        <v>268</v>
      </c>
      <c r="L381">
        <v>1</v>
      </c>
      <c r="M381">
        <v>81.67</v>
      </c>
      <c r="N381">
        <v>3.08</v>
      </c>
      <c r="O381">
        <v>0.13</v>
      </c>
      <c r="P381">
        <v>0.4</v>
      </c>
      <c r="Q381" t="s">
        <v>40</v>
      </c>
      <c r="R381">
        <v>0</v>
      </c>
      <c r="S381">
        <v>0.4</v>
      </c>
    </row>
    <row r="382" spans="1:19" x14ac:dyDescent="0.25">
      <c r="A382" t="s">
        <v>285</v>
      </c>
      <c r="B382" t="s">
        <v>20</v>
      </c>
      <c r="C382" t="s">
        <v>286</v>
      </c>
      <c r="D382" s="1">
        <v>44902</v>
      </c>
      <c r="E382" s="1">
        <v>45876</v>
      </c>
      <c r="F382">
        <v>1</v>
      </c>
      <c r="G382">
        <v>8</v>
      </c>
      <c r="H382" t="s">
        <v>265</v>
      </c>
      <c r="I382" t="s">
        <v>266</v>
      </c>
      <c r="J382" t="s">
        <v>267</v>
      </c>
      <c r="K382" t="s">
        <v>268</v>
      </c>
      <c r="L382">
        <v>1</v>
      </c>
      <c r="M382">
        <v>81.67</v>
      </c>
      <c r="N382">
        <v>3.08</v>
      </c>
      <c r="O382">
        <v>0.13</v>
      </c>
      <c r="P382">
        <v>0.4</v>
      </c>
      <c r="Q382" t="s">
        <v>40</v>
      </c>
      <c r="R382">
        <v>0</v>
      </c>
      <c r="S382">
        <v>0.4</v>
      </c>
    </row>
    <row r="383" spans="1:19" x14ac:dyDescent="0.25">
      <c r="A383" t="s">
        <v>285</v>
      </c>
      <c r="B383" t="s">
        <v>20</v>
      </c>
      <c r="C383" t="s">
        <v>286</v>
      </c>
      <c r="D383" s="1">
        <v>44902</v>
      </c>
      <c r="E383" s="1">
        <v>45876</v>
      </c>
      <c r="F383">
        <v>1</v>
      </c>
      <c r="G383">
        <v>8</v>
      </c>
      <c r="H383" t="s">
        <v>265</v>
      </c>
      <c r="I383" t="s">
        <v>266</v>
      </c>
      <c r="J383" t="s">
        <v>267</v>
      </c>
      <c r="K383" t="s">
        <v>254</v>
      </c>
      <c r="L383">
        <v>1</v>
      </c>
      <c r="M383">
        <v>81.67</v>
      </c>
      <c r="N383">
        <v>24.37</v>
      </c>
      <c r="O383">
        <v>0.13</v>
      </c>
      <c r="P383">
        <v>3.17</v>
      </c>
      <c r="Q383" t="s">
        <v>40</v>
      </c>
      <c r="R383">
        <v>0</v>
      </c>
      <c r="S383">
        <v>3.17</v>
      </c>
    </row>
    <row r="384" spans="1:19" x14ac:dyDescent="0.25">
      <c r="A384" t="s">
        <v>285</v>
      </c>
      <c r="B384" t="s">
        <v>20</v>
      </c>
      <c r="C384" t="s">
        <v>286</v>
      </c>
      <c r="D384" s="1">
        <v>44902</v>
      </c>
      <c r="E384" s="1">
        <v>45876</v>
      </c>
      <c r="F384">
        <v>1</v>
      </c>
      <c r="G384">
        <v>8</v>
      </c>
      <c r="H384" t="s">
        <v>265</v>
      </c>
      <c r="I384" t="s">
        <v>266</v>
      </c>
      <c r="J384" t="s">
        <v>267</v>
      </c>
      <c r="K384" t="s">
        <v>202</v>
      </c>
      <c r="L384">
        <v>1</v>
      </c>
      <c r="M384">
        <v>81.67</v>
      </c>
      <c r="N384">
        <v>52.55</v>
      </c>
      <c r="O384">
        <v>0.13</v>
      </c>
      <c r="P384">
        <v>6.83</v>
      </c>
      <c r="Q384" t="s">
        <v>40</v>
      </c>
      <c r="R384">
        <v>0</v>
      </c>
      <c r="S384">
        <v>6.83</v>
      </c>
    </row>
    <row r="385" spans="1:19" x14ac:dyDescent="0.25">
      <c r="A385" t="s">
        <v>287</v>
      </c>
      <c r="B385" t="s">
        <v>20</v>
      </c>
      <c r="C385" t="s">
        <v>288</v>
      </c>
      <c r="D385" s="1">
        <v>44927</v>
      </c>
      <c r="E385" s="1">
        <v>45870</v>
      </c>
      <c r="F385">
        <v>1</v>
      </c>
      <c r="G385">
        <v>2</v>
      </c>
      <c r="H385" t="s">
        <v>265</v>
      </c>
      <c r="I385" t="s">
        <v>266</v>
      </c>
      <c r="J385" t="s">
        <v>267</v>
      </c>
      <c r="K385" t="s">
        <v>268</v>
      </c>
      <c r="L385">
        <v>1</v>
      </c>
      <c r="M385">
        <v>109.37</v>
      </c>
      <c r="N385">
        <v>3.08</v>
      </c>
      <c r="O385">
        <v>0.13</v>
      </c>
      <c r="P385">
        <v>0.4</v>
      </c>
      <c r="Q385" t="s">
        <v>40</v>
      </c>
      <c r="R385">
        <v>0</v>
      </c>
      <c r="S385">
        <v>0.4</v>
      </c>
    </row>
    <row r="386" spans="1:19" x14ac:dyDescent="0.25">
      <c r="A386" t="s">
        <v>287</v>
      </c>
      <c r="B386" t="s">
        <v>20</v>
      </c>
      <c r="C386" t="s">
        <v>288</v>
      </c>
      <c r="D386" s="1">
        <v>44927</v>
      </c>
      <c r="E386" s="1">
        <v>45870</v>
      </c>
      <c r="F386">
        <v>1</v>
      </c>
      <c r="G386">
        <v>2</v>
      </c>
      <c r="H386" t="s">
        <v>265</v>
      </c>
      <c r="I386" t="s">
        <v>266</v>
      </c>
      <c r="J386" t="s">
        <v>267</v>
      </c>
      <c r="K386" t="s">
        <v>254</v>
      </c>
      <c r="L386">
        <v>1</v>
      </c>
      <c r="M386">
        <v>109.37</v>
      </c>
      <c r="N386">
        <v>24.37</v>
      </c>
      <c r="O386">
        <v>0.13</v>
      </c>
      <c r="P386">
        <v>3.17</v>
      </c>
      <c r="Q386" t="s">
        <v>40</v>
      </c>
      <c r="R386">
        <v>0</v>
      </c>
      <c r="S386">
        <v>3.17</v>
      </c>
    </row>
    <row r="387" spans="1:19" x14ac:dyDescent="0.25">
      <c r="A387" t="s">
        <v>287</v>
      </c>
      <c r="B387" t="s">
        <v>20</v>
      </c>
      <c r="C387" t="s">
        <v>288</v>
      </c>
      <c r="D387" s="1">
        <v>44927</v>
      </c>
      <c r="E387" s="1">
        <v>45870</v>
      </c>
      <c r="F387">
        <v>1</v>
      </c>
      <c r="G387">
        <v>2</v>
      </c>
      <c r="H387" t="s">
        <v>265</v>
      </c>
      <c r="I387" t="s">
        <v>266</v>
      </c>
      <c r="J387" t="s">
        <v>267</v>
      </c>
      <c r="K387" t="s">
        <v>202</v>
      </c>
      <c r="L387">
        <v>1</v>
      </c>
      <c r="M387">
        <v>109.37</v>
      </c>
      <c r="N387">
        <v>52.55</v>
      </c>
      <c r="O387">
        <v>0.13</v>
      </c>
      <c r="P387">
        <v>6.83</v>
      </c>
      <c r="Q387" t="s">
        <v>40</v>
      </c>
      <c r="R387">
        <v>0</v>
      </c>
      <c r="S387">
        <v>6.83</v>
      </c>
    </row>
    <row r="388" spans="1:19" x14ac:dyDescent="0.25">
      <c r="A388" t="s">
        <v>289</v>
      </c>
      <c r="B388" t="s">
        <v>20</v>
      </c>
      <c r="C388" t="s">
        <v>290</v>
      </c>
      <c r="D388" s="1">
        <v>44927</v>
      </c>
      <c r="E388" s="1">
        <v>45870</v>
      </c>
      <c r="F388">
        <v>1</v>
      </c>
      <c r="G388">
        <v>2</v>
      </c>
      <c r="H388" t="s">
        <v>265</v>
      </c>
      <c r="I388" t="s">
        <v>266</v>
      </c>
      <c r="J388" t="s">
        <v>267</v>
      </c>
      <c r="K388" t="s">
        <v>254</v>
      </c>
      <c r="L388">
        <v>1</v>
      </c>
      <c r="M388">
        <v>81.67</v>
      </c>
      <c r="N388">
        <v>24.37</v>
      </c>
      <c r="O388">
        <v>0.13</v>
      </c>
      <c r="P388">
        <v>3.17</v>
      </c>
      <c r="Q388" t="s">
        <v>40</v>
      </c>
      <c r="R388">
        <v>0</v>
      </c>
      <c r="S388">
        <v>3.17</v>
      </c>
    </row>
    <row r="389" spans="1:19" x14ac:dyDescent="0.25">
      <c r="A389" t="s">
        <v>289</v>
      </c>
      <c r="B389" t="s">
        <v>20</v>
      </c>
      <c r="C389" t="s">
        <v>290</v>
      </c>
      <c r="D389" s="1">
        <v>44927</v>
      </c>
      <c r="E389" s="1">
        <v>45870</v>
      </c>
      <c r="F389">
        <v>1</v>
      </c>
      <c r="G389">
        <v>2</v>
      </c>
      <c r="H389" t="s">
        <v>265</v>
      </c>
      <c r="I389" t="s">
        <v>266</v>
      </c>
      <c r="J389" t="s">
        <v>267</v>
      </c>
      <c r="K389" t="s">
        <v>268</v>
      </c>
      <c r="L389">
        <v>1</v>
      </c>
      <c r="M389">
        <v>81.67</v>
      </c>
      <c r="N389">
        <v>3.08</v>
      </c>
      <c r="O389">
        <v>0.13</v>
      </c>
      <c r="P389">
        <v>0.4</v>
      </c>
      <c r="Q389" t="s">
        <v>40</v>
      </c>
      <c r="R389">
        <v>0</v>
      </c>
      <c r="S389">
        <v>0.4</v>
      </c>
    </row>
    <row r="390" spans="1:19" x14ac:dyDescent="0.25">
      <c r="A390" t="s">
        <v>289</v>
      </c>
      <c r="B390" t="s">
        <v>20</v>
      </c>
      <c r="C390" t="s">
        <v>290</v>
      </c>
      <c r="D390" s="1">
        <v>44927</v>
      </c>
      <c r="E390" s="1">
        <v>45870</v>
      </c>
      <c r="F390">
        <v>1</v>
      </c>
      <c r="G390">
        <v>2</v>
      </c>
      <c r="H390" t="s">
        <v>265</v>
      </c>
      <c r="I390" t="s">
        <v>266</v>
      </c>
      <c r="J390" t="s">
        <v>267</v>
      </c>
      <c r="K390" t="s">
        <v>202</v>
      </c>
      <c r="L390">
        <v>1</v>
      </c>
      <c r="M390">
        <v>81.67</v>
      </c>
      <c r="N390">
        <v>52.55</v>
      </c>
      <c r="O390">
        <v>0.13</v>
      </c>
      <c r="P390">
        <v>6.83</v>
      </c>
      <c r="Q390" t="s">
        <v>40</v>
      </c>
      <c r="R390">
        <v>0</v>
      </c>
      <c r="S390">
        <v>6.83</v>
      </c>
    </row>
    <row r="391" spans="1:19" x14ac:dyDescent="0.25">
      <c r="A391" t="s">
        <v>291</v>
      </c>
      <c r="B391" t="s">
        <v>20</v>
      </c>
      <c r="C391" t="s">
        <v>288</v>
      </c>
      <c r="D391" s="1">
        <v>44927</v>
      </c>
      <c r="E391" s="1">
        <v>45870</v>
      </c>
      <c r="F391">
        <v>1</v>
      </c>
      <c r="G391">
        <v>2</v>
      </c>
      <c r="H391" t="s">
        <v>265</v>
      </c>
      <c r="I391" t="s">
        <v>266</v>
      </c>
      <c r="J391" t="s">
        <v>267</v>
      </c>
      <c r="K391" t="s">
        <v>25</v>
      </c>
      <c r="L391">
        <v>1</v>
      </c>
      <c r="M391">
        <v>57.7</v>
      </c>
      <c r="N391">
        <v>19.88</v>
      </c>
      <c r="O391">
        <v>0.1</v>
      </c>
      <c r="P391">
        <v>1.99</v>
      </c>
      <c r="Q391" t="s">
        <v>40</v>
      </c>
      <c r="R391">
        <v>0</v>
      </c>
      <c r="S391">
        <v>1.99</v>
      </c>
    </row>
    <row r="392" spans="1:19" x14ac:dyDescent="0.25">
      <c r="A392" t="s">
        <v>291</v>
      </c>
      <c r="B392" t="s">
        <v>20</v>
      </c>
      <c r="C392" t="s">
        <v>288</v>
      </c>
      <c r="D392" s="1">
        <v>44927</v>
      </c>
      <c r="E392" s="1">
        <v>45870</v>
      </c>
      <c r="F392">
        <v>1</v>
      </c>
      <c r="G392">
        <v>2</v>
      </c>
      <c r="H392" t="s">
        <v>265</v>
      </c>
      <c r="I392" t="s">
        <v>266</v>
      </c>
      <c r="J392" t="s">
        <v>267</v>
      </c>
      <c r="K392" t="s">
        <v>27</v>
      </c>
      <c r="L392">
        <v>1</v>
      </c>
      <c r="M392">
        <v>57.7</v>
      </c>
      <c r="N392">
        <v>5.65</v>
      </c>
      <c r="O392">
        <v>0.1</v>
      </c>
      <c r="P392">
        <v>0.56999999999999995</v>
      </c>
      <c r="Q392" t="s">
        <v>40</v>
      </c>
      <c r="R392">
        <v>0</v>
      </c>
      <c r="S392">
        <v>0.56999999999999995</v>
      </c>
    </row>
    <row r="393" spans="1:19" x14ac:dyDescent="0.25">
      <c r="A393" t="s">
        <v>291</v>
      </c>
      <c r="B393" t="s">
        <v>20</v>
      </c>
      <c r="C393" t="s">
        <v>288</v>
      </c>
      <c r="D393" s="1">
        <v>44927</v>
      </c>
      <c r="E393" s="1">
        <v>45870</v>
      </c>
      <c r="F393">
        <v>1</v>
      </c>
      <c r="G393">
        <v>2</v>
      </c>
      <c r="H393" t="s">
        <v>265</v>
      </c>
      <c r="I393" t="s">
        <v>266</v>
      </c>
      <c r="J393" t="s">
        <v>267</v>
      </c>
      <c r="K393" t="s">
        <v>75</v>
      </c>
      <c r="L393">
        <v>1</v>
      </c>
      <c r="M393">
        <v>57.7</v>
      </c>
      <c r="N393">
        <v>2.31</v>
      </c>
      <c r="O393">
        <v>0.1</v>
      </c>
      <c r="P393">
        <v>0.23</v>
      </c>
      <c r="Q393" t="s">
        <v>40</v>
      </c>
      <c r="R393">
        <v>0</v>
      </c>
      <c r="S393">
        <v>0.23</v>
      </c>
    </row>
    <row r="394" spans="1:19" x14ac:dyDescent="0.25">
      <c r="A394" t="s">
        <v>291</v>
      </c>
      <c r="B394" t="s">
        <v>20</v>
      </c>
      <c r="C394" t="s">
        <v>288</v>
      </c>
      <c r="D394" s="1">
        <v>44927</v>
      </c>
      <c r="E394" s="1">
        <v>45870</v>
      </c>
      <c r="F394">
        <v>1</v>
      </c>
      <c r="G394">
        <v>2</v>
      </c>
      <c r="H394" t="s">
        <v>265</v>
      </c>
      <c r="I394" t="s">
        <v>266</v>
      </c>
      <c r="J394" t="s">
        <v>267</v>
      </c>
      <c r="K394" t="s">
        <v>41</v>
      </c>
      <c r="L394">
        <v>1</v>
      </c>
      <c r="M394">
        <v>57.7</v>
      </c>
      <c r="N394">
        <v>24.97</v>
      </c>
      <c r="O394">
        <v>0.1</v>
      </c>
      <c r="P394">
        <v>2.5</v>
      </c>
      <c r="Q394" t="s">
        <v>40</v>
      </c>
      <c r="R394">
        <v>0</v>
      </c>
      <c r="S394">
        <v>2.5</v>
      </c>
    </row>
    <row r="395" spans="1:19" x14ac:dyDescent="0.25">
      <c r="A395" t="s">
        <v>291</v>
      </c>
      <c r="B395" t="s">
        <v>20</v>
      </c>
      <c r="C395" t="s">
        <v>288</v>
      </c>
      <c r="D395" s="1">
        <v>44927</v>
      </c>
      <c r="E395" s="1">
        <v>45870</v>
      </c>
      <c r="F395">
        <v>1</v>
      </c>
      <c r="G395">
        <v>2</v>
      </c>
      <c r="H395" t="s">
        <v>265</v>
      </c>
      <c r="I395" t="s">
        <v>266</v>
      </c>
      <c r="J395" t="s">
        <v>267</v>
      </c>
      <c r="K395" t="s">
        <v>42</v>
      </c>
      <c r="L395">
        <v>1</v>
      </c>
      <c r="M395">
        <v>57.7</v>
      </c>
      <c r="N395">
        <v>3.21</v>
      </c>
      <c r="O395">
        <v>0.1</v>
      </c>
      <c r="P395">
        <v>0.32</v>
      </c>
      <c r="Q395" t="s">
        <v>40</v>
      </c>
      <c r="R395">
        <v>0</v>
      </c>
      <c r="S395">
        <v>0.32</v>
      </c>
    </row>
    <row r="396" spans="1:19" x14ac:dyDescent="0.25">
      <c r="A396" t="s">
        <v>292</v>
      </c>
      <c r="B396" t="s">
        <v>20</v>
      </c>
      <c r="C396" t="s">
        <v>290</v>
      </c>
      <c r="D396" s="1">
        <v>44927</v>
      </c>
      <c r="E396" s="1">
        <v>45870</v>
      </c>
      <c r="F396">
        <v>1</v>
      </c>
      <c r="G396">
        <v>2</v>
      </c>
      <c r="H396" t="s">
        <v>265</v>
      </c>
      <c r="I396" t="s">
        <v>266</v>
      </c>
      <c r="J396" t="s">
        <v>267</v>
      </c>
      <c r="K396" t="s">
        <v>42</v>
      </c>
      <c r="L396">
        <v>1</v>
      </c>
      <c r="M396">
        <v>63.25</v>
      </c>
      <c r="N396">
        <v>2.99</v>
      </c>
      <c r="O396">
        <v>0.1</v>
      </c>
      <c r="P396">
        <v>0.3</v>
      </c>
      <c r="Q396" t="s">
        <v>40</v>
      </c>
      <c r="R396">
        <v>0</v>
      </c>
      <c r="S396">
        <v>0.3</v>
      </c>
    </row>
    <row r="397" spans="1:19" x14ac:dyDescent="0.25">
      <c r="A397" t="s">
        <v>292</v>
      </c>
      <c r="B397" t="s">
        <v>20</v>
      </c>
      <c r="C397" t="s">
        <v>290</v>
      </c>
      <c r="D397" s="1">
        <v>44927</v>
      </c>
      <c r="E397" s="1">
        <v>45870</v>
      </c>
      <c r="F397">
        <v>1</v>
      </c>
      <c r="G397">
        <v>2</v>
      </c>
      <c r="H397" t="s">
        <v>265</v>
      </c>
      <c r="I397" t="s">
        <v>266</v>
      </c>
      <c r="J397" t="s">
        <v>267</v>
      </c>
      <c r="K397" t="s">
        <v>27</v>
      </c>
      <c r="L397">
        <v>1</v>
      </c>
      <c r="M397">
        <v>63.25</v>
      </c>
      <c r="N397">
        <v>5.65</v>
      </c>
      <c r="O397">
        <v>0.1</v>
      </c>
      <c r="P397">
        <v>0.56999999999999995</v>
      </c>
      <c r="Q397" t="s">
        <v>40</v>
      </c>
      <c r="R397">
        <v>0</v>
      </c>
      <c r="S397">
        <v>0.56999999999999995</v>
      </c>
    </row>
    <row r="398" spans="1:19" x14ac:dyDescent="0.25">
      <c r="A398" t="s">
        <v>292</v>
      </c>
      <c r="B398" t="s">
        <v>20</v>
      </c>
      <c r="C398" t="s">
        <v>290</v>
      </c>
      <c r="D398" s="1">
        <v>44927</v>
      </c>
      <c r="E398" s="1">
        <v>45870</v>
      </c>
      <c r="F398">
        <v>1</v>
      </c>
      <c r="G398">
        <v>2</v>
      </c>
      <c r="H398" t="s">
        <v>265</v>
      </c>
      <c r="I398" t="s">
        <v>266</v>
      </c>
      <c r="J398" t="s">
        <v>267</v>
      </c>
      <c r="K398" t="s">
        <v>74</v>
      </c>
      <c r="L398">
        <v>1</v>
      </c>
      <c r="M398">
        <v>63.25</v>
      </c>
      <c r="N398">
        <v>5.51</v>
      </c>
      <c r="O398">
        <v>0.1</v>
      </c>
      <c r="P398">
        <v>0.55000000000000004</v>
      </c>
      <c r="Q398" t="s">
        <v>40</v>
      </c>
      <c r="R398">
        <v>0</v>
      </c>
      <c r="S398">
        <v>0.55000000000000004</v>
      </c>
    </row>
    <row r="399" spans="1:19" x14ac:dyDescent="0.25">
      <c r="A399" t="s">
        <v>292</v>
      </c>
      <c r="B399" t="s">
        <v>20</v>
      </c>
      <c r="C399" t="s">
        <v>290</v>
      </c>
      <c r="D399" s="1">
        <v>44927</v>
      </c>
      <c r="E399" s="1">
        <v>45870</v>
      </c>
      <c r="F399">
        <v>1</v>
      </c>
      <c r="G399">
        <v>2</v>
      </c>
      <c r="H399" t="s">
        <v>265</v>
      </c>
      <c r="I399" t="s">
        <v>266</v>
      </c>
      <c r="J399" t="s">
        <v>267</v>
      </c>
      <c r="K399" t="s">
        <v>41</v>
      </c>
      <c r="L399">
        <v>1</v>
      </c>
      <c r="M399">
        <v>63.25</v>
      </c>
      <c r="N399">
        <v>24.46</v>
      </c>
      <c r="O399">
        <v>0.1</v>
      </c>
      <c r="P399">
        <v>2.4500000000000002</v>
      </c>
      <c r="Q399" t="s">
        <v>40</v>
      </c>
      <c r="R399">
        <v>0</v>
      </c>
      <c r="S399">
        <v>2.4500000000000002</v>
      </c>
    </row>
    <row r="400" spans="1:19" x14ac:dyDescent="0.25">
      <c r="A400" t="s">
        <v>292</v>
      </c>
      <c r="B400" t="s">
        <v>20</v>
      </c>
      <c r="C400" t="s">
        <v>290</v>
      </c>
      <c r="D400" s="1">
        <v>44927</v>
      </c>
      <c r="E400" s="1">
        <v>45870</v>
      </c>
      <c r="F400">
        <v>1</v>
      </c>
      <c r="G400">
        <v>2</v>
      </c>
      <c r="H400" t="s">
        <v>265</v>
      </c>
      <c r="I400" t="s">
        <v>266</v>
      </c>
      <c r="J400" t="s">
        <v>267</v>
      </c>
      <c r="K400" t="s">
        <v>75</v>
      </c>
      <c r="L400">
        <v>1</v>
      </c>
      <c r="M400">
        <v>63.25</v>
      </c>
      <c r="N400">
        <v>3.28</v>
      </c>
      <c r="O400">
        <v>0.1</v>
      </c>
      <c r="P400">
        <v>0.33</v>
      </c>
      <c r="Q400" t="s">
        <v>40</v>
      </c>
      <c r="R400">
        <v>0</v>
      </c>
      <c r="S400">
        <v>0.33</v>
      </c>
    </row>
    <row r="401" spans="1:19" x14ac:dyDescent="0.25">
      <c r="A401" t="s">
        <v>292</v>
      </c>
      <c r="B401" t="s">
        <v>20</v>
      </c>
      <c r="C401" t="s">
        <v>290</v>
      </c>
      <c r="D401" s="1">
        <v>44927</v>
      </c>
      <c r="E401" s="1">
        <v>45870</v>
      </c>
      <c r="F401">
        <v>1</v>
      </c>
      <c r="G401">
        <v>2</v>
      </c>
      <c r="H401" t="s">
        <v>265</v>
      </c>
      <c r="I401" t="s">
        <v>266</v>
      </c>
      <c r="J401" t="s">
        <v>267</v>
      </c>
      <c r="K401" t="s">
        <v>25</v>
      </c>
      <c r="L401">
        <v>1</v>
      </c>
      <c r="M401">
        <v>63.25</v>
      </c>
      <c r="N401">
        <v>19.68</v>
      </c>
      <c r="O401">
        <v>0.1</v>
      </c>
      <c r="P401">
        <v>1.97</v>
      </c>
      <c r="Q401" t="s">
        <v>40</v>
      </c>
      <c r="R401">
        <v>0</v>
      </c>
      <c r="S401">
        <v>1.97</v>
      </c>
    </row>
    <row r="402" spans="1:19" x14ac:dyDescent="0.25">
      <c r="A402" t="s">
        <v>293</v>
      </c>
      <c r="B402" t="s">
        <v>20</v>
      </c>
      <c r="C402" t="s">
        <v>294</v>
      </c>
      <c r="D402" s="1">
        <v>44927</v>
      </c>
      <c r="E402" s="1">
        <v>45870</v>
      </c>
      <c r="F402">
        <v>1</v>
      </c>
      <c r="G402">
        <v>2</v>
      </c>
      <c r="H402" t="s">
        <v>265</v>
      </c>
      <c r="I402" t="s">
        <v>266</v>
      </c>
      <c r="J402" t="s">
        <v>267</v>
      </c>
      <c r="K402" t="s">
        <v>202</v>
      </c>
      <c r="L402">
        <v>1</v>
      </c>
      <c r="M402">
        <v>111.12</v>
      </c>
      <c r="N402">
        <v>52.55</v>
      </c>
      <c r="O402">
        <v>0.13</v>
      </c>
      <c r="P402">
        <v>6.83</v>
      </c>
      <c r="Q402" t="s">
        <v>40</v>
      </c>
      <c r="R402">
        <v>0</v>
      </c>
      <c r="S402">
        <v>6.83</v>
      </c>
    </row>
    <row r="403" spans="1:19" x14ac:dyDescent="0.25">
      <c r="A403" t="s">
        <v>293</v>
      </c>
      <c r="B403" t="s">
        <v>20</v>
      </c>
      <c r="C403" t="s">
        <v>294</v>
      </c>
      <c r="D403" s="1">
        <v>44927</v>
      </c>
      <c r="E403" s="1">
        <v>45870</v>
      </c>
      <c r="F403">
        <v>1</v>
      </c>
      <c r="G403">
        <v>2</v>
      </c>
      <c r="H403" t="s">
        <v>265</v>
      </c>
      <c r="I403" t="s">
        <v>266</v>
      </c>
      <c r="J403" t="s">
        <v>267</v>
      </c>
      <c r="K403" t="s">
        <v>254</v>
      </c>
      <c r="L403">
        <v>1</v>
      </c>
      <c r="M403">
        <v>111.12</v>
      </c>
      <c r="N403">
        <v>24.37</v>
      </c>
      <c r="O403">
        <v>0.13</v>
      </c>
      <c r="P403">
        <v>3.17</v>
      </c>
      <c r="Q403" t="s">
        <v>40</v>
      </c>
      <c r="R403">
        <v>0</v>
      </c>
      <c r="S403">
        <v>3.17</v>
      </c>
    </row>
    <row r="404" spans="1:19" x14ac:dyDescent="0.25">
      <c r="A404" t="s">
        <v>293</v>
      </c>
      <c r="B404" t="s">
        <v>20</v>
      </c>
      <c r="C404" t="s">
        <v>294</v>
      </c>
      <c r="D404" s="1">
        <v>44927</v>
      </c>
      <c r="E404" s="1">
        <v>45870</v>
      </c>
      <c r="F404">
        <v>1</v>
      </c>
      <c r="G404">
        <v>2</v>
      </c>
      <c r="H404" t="s">
        <v>265</v>
      </c>
      <c r="I404" t="s">
        <v>266</v>
      </c>
      <c r="J404" t="s">
        <v>267</v>
      </c>
      <c r="K404" t="s">
        <v>268</v>
      </c>
      <c r="L404">
        <v>1</v>
      </c>
      <c r="M404">
        <v>111.12</v>
      </c>
      <c r="N404">
        <v>4.83</v>
      </c>
      <c r="O404">
        <v>0.13</v>
      </c>
      <c r="P404">
        <v>0.63</v>
      </c>
      <c r="Q404" t="s">
        <v>40</v>
      </c>
      <c r="R404">
        <v>0</v>
      </c>
      <c r="S404">
        <v>0.63</v>
      </c>
    </row>
    <row r="405" spans="1:19" x14ac:dyDescent="0.25">
      <c r="A405" t="s">
        <v>295</v>
      </c>
      <c r="B405" t="s">
        <v>20</v>
      </c>
      <c r="C405" t="s">
        <v>278</v>
      </c>
      <c r="D405" s="1">
        <v>44931</v>
      </c>
      <c r="E405" s="1">
        <v>45874</v>
      </c>
      <c r="F405">
        <v>1</v>
      </c>
      <c r="G405">
        <v>3</v>
      </c>
      <c r="H405" t="s">
        <v>265</v>
      </c>
      <c r="I405" t="s">
        <v>266</v>
      </c>
      <c r="J405" t="s">
        <v>267</v>
      </c>
      <c r="K405" t="s">
        <v>76</v>
      </c>
      <c r="L405">
        <v>1</v>
      </c>
      <c r="M405">
        <v>120.44</v>
      </c>
      <c r="N405">
        <v>1.3</v>
      </c>
      <c r="O405">
        <v>0.1</v>
      </c>
      <c r="P405">
        <v>0.13</v>
      </c>
      <c r="Q405" t="s">
        <v>40</v>
      </c>
      <c r="R405">
        <v>0</v>
      </c>
      <c r="S405">
        <v>0.13</v>
      </c>
    </row>
    <row r="406" spans="1:19" x14ac:dyDescent="0.25">
      <c r="A406" t="s">
        <v>295</v>
      </c>
      <c r="B406" t="s">
        <v>20</v>
      </c>
      <c r="C406" t="s">
        <v>278</v>
      </c>
      <c r="D406" s="1">
        <v>44931</v>
      </c>
      <c r="E406" s="1">
        <v>45874</v>
      </c>
      <c r="F406">
        <v>1</v>
      </c>
      <c r="G406">
        <v>3</v>
      </c>
      <c r="H406" t="s">
        <v>265</v>
      </c>
      <c r="I406" t="s">
        <v>266</v>
      </c>
      <c r="J406" t="s">
        <v>267</v>
      </c>
      <c r="K406" t="s">
        <v>74</v>
      </c>
      <c r="L406">
        <v>1</v>
      </c>
      <c r="M406">
        <v>120.44</v>
      </c>
      <c r="N406">
        <v>6.35</v>
      </c>
      <c r="O406">
        <v>0.1</v>
      </c>
      <c r="P406">
        <v>0.64</v>
      </c>
      <c r="Q406" t="s">
        <v>40</v>
      </c>
      <c r="R406">
        <v>0</v>
      </c>
      <c r="S406">
        <v>0.64</v>
      </c>
    </row>
    <row r="407" spans="1:19" x14ac:dyDescent="0.25">
      <c r="A407" t="s">
        <v>295</v>
      </c>
      <c r="B407" t="s">
        <v>20</v>
      </c>
      <c r="C407" t="s">
        <v>278</v>
      </c>
      <c r="D407" s="1">
        <v>44931</v>
      </c>
      <c r="E407" s="1">
        <v>45874</v>
      </c>
      <c r="F407">
        <v>1</v>
      </c>
      <c r="G407">
        <v>3</v>
      </c>
      <c r="H407" t="s">
        <v>265</v>
      </c>
      <c r="I407" t="s">
        <v>266</v>
      </c>
      <c r="J407" t="s">
        <v>267</v>
      </c>
      <c r="K407" t="s">
        <v>25</v>
      </c>
      <c r="L407">
        <v>1</v>
      </c>
      <c r="M407">
        <v>120.44</v>
      </c>
      <c r="N407">
        <v>88.14</v>
      </c>
      <c r="O407">
        <v>0.1</v>
      </c>
      <c r="P407">
        <v>8.81</v>
      </c>
      <c r="Q407" t="s">
        <v>40</v>
      </c>
      <c r="R407">
        <v>0</v>
      </c>
      <c r="S407">
        <v>8.81</v>
      </c>
    </row>
    <row r="408" spans="1:19" x14ac:dyDescent="0.25">
      <c r="A408" t="s">
        <v>295</v>
      </c>
      <c r="B408" t="s">
        <v>20</v>
      </c>
      <c r="C408" t="s">
        <v>278</v>
      </c>
      <c r="D408" s="1">
        <v>44931</v>
      </c>
      <c r="E408" s="1">
        <v>45874</v>
      </c>
      <c r="F408">
        <v>1</v>
      </c>
      <c r="G408">
        <v>3</v>
      </c>
      <c r="H408" t="s">
        <v>265</v>
      </c>
      <c r="I408" t="s">
        <v>266</v>
      </c>
      <c r="J408" t="s">
        <v>267</v>
      </c>
      <c r="K408" t="s">
        <v>234</v>
      </c>
      <c r="L408">
        <v>1</v>
      </c>
      <c r="M408">
        <v>120.44</v>
      </c>
      <c r="N408">
        <v>22.97</v>
      </c>
      <c r="O408">
        <v>0.1</v>
      </c>
      <c r="P408">
        <v>2.2999999999999998</v>
      </c>
      <c r="Q408" t="s">
        <v>40</v>
      </c>
      <c r="R408">
        <v>0</v>
      </c>
      <c r="S408">
        <v>2.2999999999999998</v>
      </c>
    </row>
    <row r="409" spans="1:19" x14ac:dyDescent="0.25">
      <c r="A409" t="s">
        <v>296</v>
      </c>
      <c r="B409" t="s">
        <v>20</v>
      </c>
      <c r="C409" t="s">
        <v>297</v>
      </c>
      <c r="D409" s="1">
        <v>44936</v>
      </c>
      <c r="E409" s="1">
        <v>45879</v>
      </c>
      <c r="F409">
        <v>1</v>
      </c>
      <c r="G409">
        <v>10</v>
      </c>
      <c r="H409" t="s">
        <v>265</v>
      </c>
      <c r="I409" t="s">
        <v>266</v>
      </c>
      <c r="J409" t="s">
        <v>267</v>
      </c>
      <c r="K409" t="s">
        <v>202</v>
      </c>
      <c r="L409">
        <v>1</v>
      </c>
      <c r="M409">
        <v>111.12</v>
      </c>
      <c r="N409">
        <v>52.55</v>
      </c>
      <c r="O409">
        <v>0.13</v>
      </c>
      <c r="P409">
        <v>6.83</v>
      </c>
      <c r="Q409" t="s">
        <v>40</v>
      </c>
      <c r="R409">
        <v>0</v>
      </c>
      <c r="S409">
        <v>6.83</v>
      </c>
    </row>
    <row r="410" spans="1:19" x14ac:dyDescent="0.25">
      <c r="A410" t="s">
        <v>296</v>
      </c>
      <c r="B410" t="s">
        <v>20</v>
      </c>
      <c r="C410" t="s">
        <v>297</v>
      </c>
      <c r="D410" s="1">
        <v>44936</v>
      </c>
      <c r="E410" s="1">
        <v>45879</v>
      </c>
      <c r="F410">
        <v>1</v>
      </c>
      <c r="G410">
        <v>10</v>
      </c>
      <c r="H410" t="s">
        <v>265</v>
      </c>
      <c r="I410" t="s">
        <v>266</v>
      </c>
      <c r="J410" t="s">
        <v>267</v>
      </c>
      <c r="K410" t="s">
        <v>254</v>
      </c>
      <c r="L410">
        <v>1</v>
      </c>
      <c r="M410">
        <v>0</v>
      </c>
      <c r="N410">
        <v>24.37</v>
      </c>
      <c r="O410">
        <v>0.13</v>
      </c>
      <c r="P410">
        <v>3.17</v>
      </c>
      <c r="Q410" t="s">
        <v>40</v>
      </c>
      <c r="R410">
        <v>0</v>
      </c>
      <c r="S410">
        <v>3.17</v>
      </c>
    </row>
    <row r="411" spans="1:19" x14ac:dyDescent="0.25">
      <c r="A411" t="s">
        <v>296</v>
      </c>
      <c r="B411" t="s">
        <v>20</v>
      </c>
      <c r="C411" t="s">
        <v>297</v>
      </c>
      <c r="D411" s="1">
        <v>44936</v>
      </c>
      <c r="E411" s="1">
        <v>45879</v>
      </c>
      <c r="F411">
        <v>1</v>
      </c>
      <c r="G411">
        <v>10</v>
      </c>
      <c r="H411" t="s">
        <v>265</v>
      </c>
      <c r="I411" t="s">
        <v>266</v>
      </c>
      <c r="J411" t="s">
        <v>267</v>
      </c>
      <c r="K411" t="s">
        <v>268</v>
      </c>
      <c r="L411">
        <v>1</v>
      </c>
      <c r="M411">
        <v>0</v>
      </c>
      <c r="N411">
        <v>4.83</v>
      </c>
      <c r="O411">
        <v>0.13</v>
      </c>
      <c r="P411">
        <v>0.63</v>
      </c>
      <c r="Q411" t="s">
        <v>40</v>
      </c>
      <c r="R411">
        <v>0</v>
      </c>
      <c r="S411">
        <v>0.63</v>
      </c>
    </row>
    <row r="412" spans="1:19" x14ac:dyDescent="0.25">
      <c r="A412" t="s">
        <v>298</v>
      </c>
      <c r="B412" t="s">
        <v>20</v>
      </c>
      <c r="C412" t="s">
        <v>299</v>
      </c>
      <c r="D412" s="1">
        <v>44972</v>
      </c>
      <c r="E412" s="1">
        <v>45884</v>
      </c>
      <c r="F412">
        <v>1</v>
      </c>
      <c r="G412">
        <v>15</v>
      </c>
      <c r="H412" t="s">
        <v>265</v>
      </c>
      <c r="I412" t="s">
        <v>266</v>
      </c>
      <c r="J412" t="s">
        <v>267</v>
      </c>
      <c r="K412" t="s">
        <v>202</v>
      </c>
      <c r="L412">
        <v>1</v>
      </c>
      <c r="M412">
        <v>81.67</v>
      </c>
      <c r="N412">
        <v>43.44</v>
      </c>
      <c r="O412">
        <v>0.13</v>
      </c>
      <c r="P412">
        <v>5.65</v>
      </c>
      <c r="Q412" t="s">
        <v>40</v>
      </c>
      <c r="R412">
        <v>0</v>
      </c>
      <c r="S412">
        <v>5.65</v>
      </c>
    </row>
    <row r="413" spans="1:19" x14ac:dyDescent="0.25">
      <c r="A413" t="s">
        <v>298</v>
      </c>
      <c r="B413" t="s">
        <v>20</v>
      </c>
      <c r="C413" t="s">
        <v>299</v>
      </c>
      <c r="D413" s="1">
        <v>44972</v>
      </c>
      <c r="E413" s="1">
        <v>45884</v>
      </c>
      <c r="F413">
        <v>1</v>
      </c>
      <c r="G413">
        <v>15</v>
      </c>
      <c r="H413" t="s">
        <v>265</v>
      </c>
      <c r="I413" t="s">
        <v>266</v>
      </c>
      <c r="J413" t="s">
        <v>267</v>
      </c>
      <c r="K413" t="s">
        <v>268</v>
      </c>
      <c r="L413">
        <v>1</v>
      </c>
      <c r="M413">
        <v>0</v>
      </c>
      <c r="N413">
        <v>3.08</v>
      </c>
      <c r="O413">
        <v>0.13</v>
      </c>
      <c r="P413">
        <v>0.4</v>
      </c>
      <c r="Q413" t="s">
        <v>40</v>
      </c>
      <c r="R413">
        <v>0</v>
      </c>
      <c r="S413">
        <v>0.4</v>
      </c>
    </row>
    <row r="414" spans="1:19" x14ac:dyDescent="0.25">
      <c r="A414" t="s">
        <v>298</v>
      </c>
      <c r="B414" t="s">
        <v>20</v>
      </c>
      <c r="C414" t="s">
        <v>299</v>
      </c>
      <c r="D414" s="1">
        <v>44972</v>
      </c>
      <c r="E414" s="1">
        <v>45884</v>
      </c>
      <c r="F414">
        <v>1</v>
      </c>
      <c r="G414">
        <v>15</v>
      </c>
      <c r="H414" t="s">
        <v>265</v>
      </c>
      <c r="I414" t="s">
        <v>266</v>
      </c>
      <c r="J414" t="s">
        <v>267</v>
      </c>
      <c r="K414" t="s">
        <v>254</v>
      </c>
      <c r="L414">
        <v>1</v>
      </c>
      <c r="M414">
        <v>0</v>
      </c>
      <c r="N414">
        <v>22.5</v>
      </c>
      <c r="O414">
        <v>0.13</v>
      </c>
      <c r="P414">
        <v>2.93</v>
      </c>
      <c r="Q414" t="s">
        <v>40</v>
      </c>
      <c r="R414">
        <v>0</v>
      </c>
      <c r="S414">
        <v>2.93</v>
      </c>
    </row>
    <row r="415" spans="1:19" x14ac:dyDescent="0.25">
      <c r="A415" t="s">
        <v>300</v>
      </c>
      <c r="B415" t="s">
        <v>20</v>
      </c>
      <c r="C415" t="s">
        <v>301</v>
      </c>
      <c r="D415" s="1">
        <v>44981</v>
      </c>
      <c r="E415" s="1">
        <v>45862</v>
      </c>
      <c r="F415">
        <v>1</v>
      </c>
      <c r="G415">
        <v>2</v>
      </c>
      <c r="H415" t="s">
        <v>265</v>
      </c>
      <c r="I415" t="s">
        <v>266</v>
      </c>
      <c r="J415" t="s">
        <v>267</v>
      </c>
      <c r="K415" t="s">
        <v>268</v>
      </c>
      <c r="L415">
        <v>1</v>
      </c>
      <c r="M415">
        <v>81.67</v>
      </c>
      <c r="N415">
        <v>3.08</v>
      </c>
      <c r="O415">
        <v>0.13</v>
      </c>
      <c r="P415">
        <v>0.4</v>
      </c>
      <c r="Q415" t="s">
        <v>40</v>
      </c>
      <c r="R415">
        <v>0</v>
      </c>
      <c r="S415">
        <v>0.4</v>
      </c>
    </row>
    <row r="416" spans="1:19" x14ac:dyDescent="0.25">
      <c r="A416" t="s">
        <v>300</v>
      </c>
      <c r="B416" t="s">
        <v>20</v>
      </c>
      <c r="C416" t="s">
        <v>301</v>
      </c>
      <c r="D416" s="1">
        <v>44981</v>
      </c>
      <c r="E416" s="1">
        <v>45862</v>
      </c>
      <c r="F416">
        <v>1</v>
      </c>
      <c r="G416">
        <v>2</v>
      </c>
      <c r="H416" t="s">
        <v>265</v>
      </c>
      <c r="I416" t="s">
        <v>266</v>
      </c>
      <c r="J416" t="s">
        <v>267</v>
      </c>
      <c r="K416" t="s">
        <v>254</v>
      </c>
      <c r="L416">
        <v>1</v>
      </c>
      <c r="M416">
        <v>81.67</v>
      </c>
      <c r="N416">
        <v>22.5</v>
      </c>
      <c r="O416">
        <v>0.13</v>
      </c>
      <c r="P416">
        <v>2.93</v>
      </c>
      <c r="Q416" t="s">
        <v>40</v>
      </c>
      <c r="R416">
        <v>0</v>
      </c>
      <c r="S416">
        <v>2.93</v>
      </c>
    </row>
    <row r="417" spans="1:19" x14ac:dyDescent="0.25">
      <c r="A417" t="s">
        <v>300</v>
      </c>
      <c r="B417" t="s">
        <v>20</v>
      </c>
      <c r="C417" t="s">
        <v>301</v>
      </c>
      <c r="D417" s="1">
        <v>44981</v>
      </c>
      <c r="E417" s="1">
        <v>45862</v>
      </c>
      <c r="F417">
        <v>1</v>
      </c>
      <c r="G417">
        <v>2</v>
      </c>
      <c r="H417" t="s">
        <v>265</v>
      </c>
      <c r="I417" t="s">
        <v>266</v>
      </c>
      <c r="J417" t="s">
        <v>267</v>
      </c>
      <c r="K417" t="s">
        <v>202</v>
      </c>
      <c r="L417">
        <v>1</v>
      </c>
      <c r="M417">
        <v>81.67</v>
      </c>
      <c r="N417">
        <v>43.44</v>
      </c>
      <c r="O417">
        <v>0.13</v>
      </c>
      <c r="P417">
        <v>5.65</v>
      </c>
      <c r="Q417" t="s">
        <v>40</v>
      </c>
      <c r="R417">
        <v>0</v>
      </c>
      <c r="S417">
        <v>5.65</v>
      </c>
    </row>
    <row r="418" spans="1:19" x14ac:dyDescent="0.25">
      <c r="A418" t="s">
        <v>302</v>
      </c>
      <c r="B418" t="s">
        <v>20</v>
      </c>
      <c r="C418" t="s">
        <v>301</v>
      </c>
      <c r="D418" s="1">
        <v>44981</v>
      </c>
      <c r="E418" s="1">
        <v>45862</v>
      </c>
      <c r="F418">
        <v>1</v>
      </c>
      <c r="G418">
        <v>2</v>
      </c>
      <c r="H418" t="s">
        <v>265</v>
      </c>
      <c r="I418" t="s">
        <v>266</v>
      </c>
      <c r="J418" t="s">
        <v>267</v>
      </c>
      <c r="K418" t="s">
        <v>181</v>
      </c>
      <c r="L418">
        <v>1</v>
      </c>
      <c r="M418">
        <v>21.71</v>
      </c>
      <c r="N418">
        <v>10.42</v>
      </c>
      <c r="O418">
        <v>0.1</v>
      </c>
      <c r="P418">
        <v>1.04</v>
      </c>
      <c r="Q418" t="s">
        <v>40</v>
      </c>
      <c r="R418">
        <v>0</v>
      </c>
      <c r="S418">
        <v>1.04</v>
      </c>
    </row>
    <row r="419" spans="1:19" x14ac:dyDescent="0.25">
      <c r="A419" t="s">
        <v>302</v>
      </c>
      <c r="B419" t="s">
        <v>20</v>
      </c>
      <c r="C419" t="s">
        <v>301</v>
      </c>
      <c r="D419" s="1">
        <v>44981</v>
      </c>
      <c r="E419" s="1">
        <v>45862</v>
      </c>
      <c r="F419">
        <v>1</v>
      </c>
      <c r="G419">
        <v>2</v>
      </c>
      <c r="H419" t="s">
        <v>265</v>
      </c>
      <c r="I419" t="s">
        <v>266</v>
      </c>
      <c r="J419" t="s">
        <v>267</v>
      </c>
      <c r="K419" t="s">
        <v>182</v>
      </c>
      <c r="L419">
        <v>1</v>
      </c>
      <c r="M419">
        <v>21.71</v>
      </c>
      <c r="N419">
        <v>9.2100000000000009</v>
      </c>
      <c r="O419">
        <v>0.1</v>
      </c>
      <c r="P419">
        <v>0.92</v>
      </c>
      <c r="Q419" t="s">
        <v>40</v>
      </c>
      <c r="R419">
        <v>0</v>
      </c>
      <c r="S419">
        <v>0.92</v>
      </c>
    </row>
    <row r="420" spans="1:19" x14ac:dyDescent="0.25">
      <c r="A420" t="s">
        <v>303</v>
      </c>
      <c r="B420" t="s">
        <v>20</v>
      </c>
      <c r="C420" t="s">
        <v>304</v>
      </c>
      <c r="D420" s="1">
        <v>45017</v>
      </c>
      <c r="E420" s="1">
        <v>45870</v>
      </c>
      <c r="F420">
        <v>1</v>
      </c>
      <c r="G420">
        <v>2</v>
      </c>
      <c r="H420" t="s">
        <v>265</v>
      </c>
      <c r="I420" t="s">
        <v>266</v>
      </c>
      <c r="J420" t="s">
        <v>267</v>
      </c>
      <c r="K420" t="s">
        <v>268</v>
      </c>
      <c r="L420">
        <v>1</v>
      </c>
      <c r="M420">
        <v>109.37</v>
      </c>
      <c r="N420">
        <v>3.08</v>
      </c>
      <c r="O420">
        <v>0.13</v>
      </c>
      <c r="P420">
        <v>0.4</v>
      </c>
      <c r="Q420" t="s">
        <v>40</v>
      </c>
      <c r="R420">
        <v>0</v>
      </c>
      <c r="S420">
        <v>0.4</v>
      </c>
    </row>
    <row r="421" spans="1:19" x14ac:dyDescent="0.25">
      <c r="A421" t="s">
        <v>303</v>
      </c>
      <c r="B421" t="s">
        <v>20</v>
      </c>
      <c r="C421" t="s">
        <v>304</v>
      </c>
      <c r="D421" s="1">
        <v>45017</v>
      </c>
      <c r="E421" s="1">
        <v>45870</v>
      </c>
      <c r="F421">
        <v>1</v>
      </c>
      <c r="G421">
        <v>2</v>
      </c>
      <c r="H421" t="s">
        <v>265</v>
      </c>
      <c r="I421" t="s">
        <v>266</v>
      </c>
      <c r="J421" t="s">
        <v>267</v>
      </c>
      <c r="K421" t="s">
        <v>254</v>
      </c>
      <c r="L421">
        <v>1</v>
      </c>
      <c r="M421">
        <v>109.37</v>
      </c>
      <c r="N421">
        <v>24.37</v>
      </c>
      <c r="O421">
        <v>0.13</v>
      </c>
      <c r="P421">
        <v>3.17</v>
      </c>
      <c r="Q421" t="s">
        <v>40</v>
      </c>
      <c r="R421">
        <v>0</v>
      </c>
      <c r="S421">
        <v>3.17</v>
      </c>
    </row>
    <row r="422" spans="1:19" x14ac:dyDescent="0.25">
      <c r="A422" t="s">
        <v>303</v>
      </c>
      <c r="B422" t="s">
        <v>20</v>
      </c>
      <c r="C422" t="s">
        <v>304</v>
      </c>
      <c r="D422" s="1">
        <v>45017</v>
      </c>
      <c r="E422" s="1">
        <v>45870</v>
      </c>
      <c r="F422">
        <v>1</v>
      </c>
      <c r="G422">
        <v>2</v>
      </c>
      <c r="H422" t="s">
        <v>265</v>
      </c>
      <c r="I422" t="s">
        <v>266</v>
      </c>
      <c r="J422" t="s">
        <v>267</v>
      </c>
      <c r="K422" t="s">
        <v>202</v>
      </c>
      <c r="L422">
        <v>1</v>
      </c>
      <c r="M422">
        <v>109.37</v>
      </c>
      <c r="N422">
        <v>52.55</v>
      </c>
      <c r="O422">
        <v>0.13</v>
      </c>
      <c r="P422">
        <v>6.83</v>
      </c>
      <c r="Q422" t="s">
        <v>40</v>
      </c>
      <c r="R422">
        <v>0</v>
      </c>
      <c r="S422">
        <v>6.83</v>
      </c>
    </row>
    <row r="423" spans="1:19" x14ac:dyDescent="0.25">
      <c r="A423" t="s">
        <v>305</v>
      </c>
      <c r="B423" t="s">
        <v>20</v>
      </c>
      <c r="C423" t="s">
        <v>306</v>
      </c>
      <c r="D423" s="1">
        <v>45030</v>
      </c>
      <c r="E423" s="1">
        <v>45883</v>
      </c>
      <c r="F423">
        <v>1</v>
      </c>
      <c r="G423">
        <v>15</v>
      </c>
      <c r="H423" t="s">
        <v>265</v>
      </c>
      <c r="I423" t="s">
        <v>266</v>
      </c>
      <c r="J423" t="s">
        <v>267</v>
      </c>
      <c r="K423" t="s">
        <v>202</v>
      </c>
      <c r="L423">
        <v>1</v>
      </c>
      <c r="M423">
        <v>81.67</v>
      </c>
      <c r="N423">
        <v>43.44</v>
      </c>
      <c r="O423">
        <v>0.13</v>
      </c>
      <c r="P423">
        <v>5.65</v>
      </c>
      <c r="Q423" t="s">
        <v>40</v>
      </c>
      <c r="R423">
        <v>0</v>
      </c>
      <c r="S423">
        <v>5.65</v>
      </c>
    </row>
    <row r="424" spans="1:19" x14ac:dyDescent="0.25">
      <c r="A424" t="s">
        <v>305</v>
      </c>
      <c r="B424" t="s">
        <v>20</v>
      </c>
      <c r="C424" t="s">
        <v>306</v>
      </c>
      <c r="D424" s="1">
        <v>45030</v>
      </c>
      <c r="E424" s="1">
        <v>45883</v>
      </c>
      <c r="F424">
        <v>1</v>
      </c>
      <c r="G424">
        <v>15</v>
      </c>
      <c r="H424" t="s">
        <v>265</v>
      </c>
      <c r="I424" t="s">
        <v>266</v>
      </c>
      <c r="J424" t="s">
        <v>267</v>
      </c>
      <c r="K424" t="s">
        <v>268</v>
      </c>
      <c r="L424">
        <v>1</v>
      </c>
      <c r="M424">
        <v>0</v>
      </c>
      <c r="N424">
        <v>3.08</v>
      </c>
      <c r="O424">
        <v>0.13</v>
      </c>
      <c r="P424">
        <v>0.4</v>
      </c>
      <c r="Q424" t="s">
        <v>40</v>
      </c>
      <c r="R424">
        <v>0</v>
      </c>
      <c r="S424">
        <v>0.4</v>
      </c>
    </row>
    <row r="425" spans="1:19" x14ac:dyDescent="0.25">
      <c r="A425" t="s">
        <v>305</v>
      </c>
      <c r="B425" t="s">
        <v>20</v>
      </c>
      <c r="C425" t="s">
        <v>306</v>
      </c>
      <c r="D425" s="1">
        <v>45030</v>
      </c>
      <c r="E425" s="1">
        <v>45883</v>
      </c>
      <c r="F425">
        <v>1</v>
      </c>
      <c r="G425">
        <v>15</v>
      </c>
      <c r="H425" t="s">
        <v>265</v>
      </c>
      <c r="I425" t="s">
        <v>266</v>
      </c>
      <c r="J425" t="s">
        <v>267</v>
      </c>
      <c r="K425" t="s">
        <v>254</v>
      </c>
      <c r="L425">
        <v>1</v>
      </c>
      <c r="M425">
        <v>0</v>
      </c>
      <c r="N425">
        <v>22.5</v>
      </c>
      <c r="O425">
        <v>0.13</v>
      </c>
      <c r="P425">
        <v>2.93</v>
      </c>
      <c r="Q425" t="s">
        <v>40</v>
      </c>
      <c r="R425">
        <v>0</v>
      </c>
      <c r="S425">
        <v>2.93</v>
      </c>
    </row>
    <row r="426" spans="1:19" x14ac:dyDescent="0.25">
      <c r="A426" t="s">
        <v>307</v>
      </c>
      <c r="B426" t="s">
        <v>20</v>
      </c>
      <c r="C426" t="s">
        <v>308</v>
      </c>
      <c r="D426" s="1">
        <v>45047</v>
      </c>
      <c r="E426" s="1">
        <v>45870</v>
      </c>
      <c r="F426">
        <v>1</v>
      </c>
      <c r="G426">
        <v>2</v>
      </c>
      <c r="H426" t="s">
        <v>265</v>
      </c>
      <c r="I426" t="s">
        <v>266</v>
      </c>
      <c r="J426" t="s">
        <v>267</v>
      </c>
      <c r="K426" t="s">
        <v>268</v>
      </c>
      <c r="L426">
        <v>1</v>
      </c>
      <c r="M426">
        <v>81.67</v>
      </c>
      <c r="N426">
        <v>3.08</v>
      </c>
      <c r="O426">
        <v>0.13</v>
      </c>
      <c r="P426">
        <v>0.4</v>
      </c>
      <c r="Q426" t="s">
        <v>40</v>
      </c>
      <c r="R426">
        <v>0</v>
      </c>
      <c r="S426">
        <v>0.4</v>
      </c>
    </row>
    <row r="427" spans="1:19" x14ac:dyDescent="0.25">
      <c r="A427" t="s">
        <v>307</v>
      </c>
      <c r="B427" t="s">
        <v>20</v>
      </c>
      <c r="C427" t="s">
        <v>308</v>
      </c>
      <c r="D427" s="1">
        <v>45047</v>
      </c>
      <c r="E427" s="1">
        <v>45870</v>
      </c>
      <c r="F427">
        <v>1</v>
      </c>
      <c r="G427">
        <v>2</v>
      </c>
      <c r="H427" t="s">
        <v>265</v>
      </c>
      <c r="I427" t="s">
        <v>266</v>
      </c>
      <c r="J427" t="s">
        <v>267</v>
      </c>
      <c r="K427" t="s">
        <v>202</v>
      </c>
      <c r="L427">
        <v>1</v>
      </c>
      <c r="M427">
        <v>81.67</v>
      </c>
      <c r="N427">
        <v>52.55</v>
      </c>
      <c r="O427">
        <v>0.13</v>
      </c>
      <c r="P427">
        <v>6.83</v>
      </c>
      <c r="Q427" t="s">
        <v>40</v>
      </c>
      <c r="R427">
        <v>0</v>
      </c>
      <c r="S427">
        <v>6.83</v>
      </c>
    </row>
    <row r="428" spans="1:19" x14ac:dyDescent="0.25">
      <c r="A428" t="s">
        <v>307</v>
      </c>
      <c r="B428" t="s">
        <v>20</v>
      </c>
      <c r="C428" t="s">
        <v>308</v>
      </c>
      <c r="D428" s="1">
        <v>45047</v>
      </c>
      <c r="E428" s="1">
        <v>45870</v>
      </c>
      <c r="F428">
        <v>1</v>
      </c>
      <c r="G428">
        <v>2</v>
      </c>
      <c r="H428" t="s">
        <v>265</v>
      </c>
      <c r="I428" t="s">
        <v>266</v>
      </c>
      <c r="J428" t="s">
        <v>267</v>
      </c>
      <c r="K428" t="s">
        <v>254</v>
      </c>
      <c r="L428">
        <v>1</v>
      </c>
      <c r="M428">
        <v>81.67</v>
      </c>
      <c r="N428">
        <v>24.37</v>
      </c>
      <c r="O428">
        <v>0.13</v>
      </c>
      <c r="P428">
        <v>3.17</v>
      </c>
      <c r="Q428" t="s">
        <v>40</v>
      </c>
      <c r="R428">
        <v>0</v>
      </c>
      <c r="S428">
        <v>3.17</v>
      </c>
    </row>
    <row r="429" spans="1:19" x14ac:dyDescent="0.25">
      <c r="A429" t="s">
        <v>309</v>
      </c>
      <c r="B429" t="s">
        <v>20</v>
      </c>
      <c r="C429" t="s">
        <v>310</v>
      </c>
      <c r="D429" s="1">
        <v>45047</v>
      </c>
      <c r="E429" s="1">
        <v>45870</v>
      </c>
      <c r="F429">
        <v>1</v>
      </c>
      <c r="G429">
        <v>2</v>
      </c>
      <c r="H429" t="s">
        <v>265</v>
      </c>
      <c r="I429" t="s">
        <v>266</v>
      </c>
      <c r="J429" t="s">
        <v>267</v>
      </c>
      <c r="K429" t="s">
        <v>254</v>
      </c>
      <c r="L429">
        <v>1</v>
      </c>
      <c r="M429">
        <v>81.67</v>
      </c>
      <c r="N429">
        <v>22.5</v>
      </c>
      <c r="O429">
        <v>0.13</v>
      </c>
      <c r="P429">
        <v>2.93</v>
      </c>
      <c r="Q429" t="s">
        <v>40</v>
      </c>
      <c r="R429">
        <v>0</v>
      </c>
      <c r="S429">
        <v>2.93</v>
      </c>
    </row>
    <row r="430" spans="1:19" x14ac:dyDescent="0.25">
      <c r="A430" t="s">
        <v>309</v>
      </c>
      <c r="B430" t="s">
        <v>20</v>
      </c>
      <c r="C430" t="s">
        <v>310</v>
      </c>
      <c r="D430" s="1">
        <v>45047</v>
      </c>
      <c r="E430" s="1">
        <v>45870</v>
      </c>
      <c r="F430">
        <v>1</v>
      </c>
      <c r="G430">
        <v>2</v>
      </c>
      <c r="H430" t="s">
        <v>265</v>
      </c>
      <c r="I430" t="s">
        <v>266</v>
      </c>
      <c r="J430" t="s">
        <v>267</v>
      </c>
      <c r="K430" t="s">
        <v>202</v>
      </c>
      <c r="L430">
        <v>1</v>
      </c>
      <c r="M430">
        <v>81.67</v>
      </c>
      <c r="N430">
        <v>43.44</v>
      </c>
      <c r="O430">
        <v>0.13</v>
      </c>
      <c r="P430">
        <v>5.65</v>
      </c>
      <c r="Q430" t="s">
        <v>40</v>
      </c>
      <c r="R430">
        <v>0</v>
      </c>
      <c r="S430">
        <v>5.65</v>
      </c>
    </row>
    <row r="431" spans="1:19" x14ac:dyDescent="0.25">
      <c r="A431" t="s">
        <v>309</v>
      </c>
      <c r="B431" t="s">
        <v>20</v>
      </c>
      <c r="C431" t="s">
        <v>310</v>
      </c>
      <c r="D431" s="1">
        <v>45047</v>
      </c>
      <c r="E431" s="1">
        <v>45870</v>
      </c>
      <c r="F431">
        <v>1</v>
      </c>
      <c r="G431">
        <v>2</v>
      </c>
      <c r="H431" t="s">
        <v>265</v>
      </c>
      <c r="I431" t="s">
        <v>266</v>
      </c>
      <c r="J431" t="s">
        <v>267</v>
      </c>
      <c r="K431" t="s">
        <v>268</v>
      </c>
      <c r="L431">
        <v>1</v>
      </c>
      <c r="M431">
        <v>81.67</v>
      </c>
      <c r="N431">
        <v>3.08</v>
      </c>
      <c r="O431">
        <v>0.13</v>
      </c>
      <c r="P431">
        <v>0.4</v>
      </c>
      <c r="Q431" t="s">
        <v>40</v>
      </c>
      <c r="R431">
        <v>0</v>
      </c>
      <c r="S431">
        <v>0.4</v>
      </c>
    </row>
    <row r="432" spans="1:19" x14ac:dyDescent="0.25">
      <c r="A432" t="s">
        <v>311</v>
      </c>
      <c r="B432" t="s">
        <v>20</v>
      </c>
      <c r="C432" t="s">
        <v>312</v>
      </c>
      <c r="D432" s="1">
        <v>45078</v>
      </c>
      <c r="E432" s="1">
        <v>45870</v>
      </c>
      <c r="F432">
        <v>1</v>
      </c>
      <c r="G432">
        <v>2</v>
      </c>
      <c r="H432" t="s">
        <v>265</v>
      </c>
      <c r="I432" t="s">
        <v>266</v>
      </c>
      <c r="J432" t="s">
        <v>267</v>
      </c>
      <c r="K432" t="s">
        <v>268</v>
      </c>
      <c r="L432">
        <v>1</v>
      </c>
      <c r="M432">
        <v>81.67</v>
      </c>
      <c r="N432">
        <v>3.08</v>
      </c>
      <c r="O432">
        <v>0.13</v>
      </c>
      <c r="P432">
        <v>0.4</v>
      </c>
      <c r="Q432" t="s">
        <v>40</v>
      </c>
      <c r="R432">
        <v>0</v>
      </c>
      <c r="S432">
        <v>0.4</v>
      </c>
    </row>
    <row r="433" spans="1:19" x14ac:dyDescent="0.25">
      <c r="A433" t="s">
        <v>311</v>
      </c>
      <c r="B433" t="s">
        <v>20</v>
      </c>
      <c r="C433" t="s">
        <v>312</v>
      </c>
      <c r="D433" s="1">
        <v>45078</v>
      </c>
      <c r="E433" s="1">
        <v>45870</v>
      </c>
      <c r="F433">
        <v>1</v>
      </c>
      <c r="G433">
        <v>2</v>
      </c>
      <c r="H433" t="s">
        <v>265</v>
      </c>
      <c r="I433" t="s">
        <v>266</v>
      </c>
      <c r="J433" t="s">
        <v>267</v>
      </c>
      <c r="K433" t="s">
        <v>202</v>
      </c>
      <c r="L433">
        <v>1</v>
      </c>
      <c r="M433">
        <v>81.67</v>
      </c>
      <c r="N433">
        <v>43.44</v>
      </c>
      <c r="O433">
        <v>0.13</v>
      </c>
      <c r="P433">
        <v>5.65</v>
      </c>
      <c r="Q433" t="s">
        <v>40</v>
      </c>
      <c r="R433">
        <v>0</v>
      </c>
      <c r="S433">
        <v>5.65</v>
      </c>
    </row>
    <row r="434" spans="1:19" x14ac:dyDescent="0.25">
      <c r="A434" t="s">
        <v>311</v>
      </c>
      <c r="B434" t="s">
        <v>20</v>
      </c>
      <c r="C434" t="s">
        <v>312</v>
      </c>
      <c r="D434" s="1">
        <v>45078</v>
      </c>
      <c r="E434" s="1">
        <v>45870</v>
      </c>
      <c r="F434">
        <v>1</v>
      </c>
      <c r="G434">
        <v>2</v>
      </c>
      <c r="H434" t="s">
        <v>265</v>
      </c>
      <c r="I434" t="s">
        <v>266</v>
      </c>
      <c r="J434" t="s">
        <v>267</v>
      </c>
      <c r="K434" t="s">
        <v>254</v>
      </c>
      <c r="L434">
        <v>1</v>
      </c>
      <c r="M434">
        <v>81.67</v>
      </c>
      <c r="N434">
        <v>22.5</v>
      </c>
      <c r="O434">
        <v>0.13</v>
      </c>
      <c r="P434">
        <v>2.93</v>
      </c>
      <c r="Q434" t="s">
        <v>40</v>
      </c>
      <c r="R434">
        <v>0</v>
      </c>
      <c r="S434">
        <v>2.93</v>
      </c>
    </row>
    <row r="435" spans="1:19" x14ac:dyDescent="0.25">
      <c r="A435" t="s">
        <v>313</v>
      </c>
      <c r="B435" t="s">
        <v>20</v>
      </c>
      <c r="C435" t="s">
        <v>314</v>
      </c>
      <c r="D435" s="1">
        <v>45078</v>
      </c>
      <c r="E435" s="1">
        <v>45870</v>
      </c>
      <c r="F435">
        <v>1</v>
      </c>
      <c r="G435">
        <v>2</v>
      </c>
      <c r="H435" t="s">
        <v>265</v>
      </c>
      <c r="I435" t="s">
        <v>266</v>
      </c>
      <c r="J435" t="s">
        <v>267</v>
      </c>
      <c r="K435" t="s">
        <v>254</v>
      </c>
      <c r="L435">
        <v>1</v>
      </c>
      <c r="M435">
        <v>70.69</v>
      </c>
      <c r="N435">
        <v>22.5</v>
      </c>
      <c r="O435">
        <v>0.13</v>
      </c>
      <c r="P435">
        <v>2.93</v>
      </c>
      <c r="Q435" t="s">
        <v>40</v>
      </c>
      <c r="R435">
        <v>0</v>
      </c>
      <c r="S435">
        <v>2.93</v>
      </c>
    </row>
    <row r="436" spans="1:19" x14ac:dyDescent="0.25">
      <c r="A436" t="s">
        <v>313</v>
      </c>
      <c r="B436" t="s">
        <v>20</v>
      </c>
      <c r="C436" t="s">
        <v>314</v>
      </c>
      <c r="D436" s="1">
        <v>45078</v>
      </c>
      <c r="E436" s="1">
        <v>45870</v>
      </c>
      <c r="F436">
        <v>1</v>
      </c>
      <c r="G436">
        <v>2</v>
      </c>
      <c r="H436" t="s">
        <v>265</v>
      </c>
      <c r="I436" t="s">
        <v>266</v>
      </c>
      <c r="J436" t="s">
        <v>267</v>
      </c>
      <c r="K436" t="s">
        <v>202</v>
      </c>
      <c r="L436">
        <v>1</v>
      </c>
      <c r="M436">
        <v>70.69</v>
      </c>
      <c r="N436">
        <v>43.44</v>
      </c>
      <c r="O436">
        <v>0.13</v>
      </c>
      <c r="P436">
        <v>5.65</v>
      </c>
      <c r="Q436" t="s">
        <v>40</v>
      </c>
      <c r="R436">
        <v>0</v>
      </c>
      <c r="S436">
        <v>5.65</v>
      </c>
    </row>
    <row r="437" spans="1:19" x14ac:dyDescent="0.25">
      <c r="A437" t="s">
        <v>313</v>
      </c>
      <c r="B437" t="s">
        <v>20</v>
      </c>
      <c r="C437" t="s">
        <v>314</v>
      </c>
      <c r="D437" s="1">
        <v>45078</v>
      </c>
      <c r="E437" s="1">
        <v>45870</v>
      </c>
      <c r="F437">
        <v>1</v>
      </c>
      <c r="G437">
        <v>2</v>
      </c>
      <c r="H437" t="s">
        <v>265</v>
      </c>
      <c r="I437" t="s">
        <v>266</v>
      </c>
      <c r="J437" t="s">
        <v>267</v>
      </c>
      <c r="K437" t="s">
        <v>268</v>
      </c>
      <c r="L437">
        <v>1</v>
      </c>
      <c r="M437">
        <v>70.69</v>
      </c>
      <c r="N437">
        <v>3.08</v>
      </c>
      <c r="O437">
        <v>0.13</v>
      </c>
      <c r="P437">
        <v>0.4</v>
      </c>
      <c r="Q437" t="s">
        <v>40</v>
      </c>
      <c r="R437">
        <v>0</v>
      </c>
      <c r="S437">
        <v>0.4</v>
      </c>
    </row>
    <row r="438" spans="1:19" x14ac:dyDescent="0.25">
      <c r="A438" t="s">
        <v>315</v>
      </c>
      <c r="B438" t="s">
        <v>20</v>
      </c>
      <c r="C438" t="s">
        <v>316</v>
      </c>
      <c r="D438" s="1">
        <v>45139</v>
      </c>
      <c r="E438" s="1">
        <v>45870</v>
      </c>
      <c r="F438">
        <v>1</v>
      </c>
      <c r="G438">
        <v>2</v>
      </c>
      <c r="H438" t="s">
        <v>22</v>
      </c>
      <c r="I438" t="s">
        <v>23</v>
      </c>
      <c r="J438" t="s">
        <v>24</v>
      </c>
      <c r="K438" t="s">
        <v>268</v>
      </c>
      <c r="L438">
        <v>1</v>
      </c>
      <c r="M438">
        <v>99.96</v>
      </c>
      <c r="N438">
        <v>3.08</v>
      </c>
      <c r="O438">
        <v>0.13</v>
      </c>
      <c r="P438">
        <v>0.4</v>
      </c>
      <c r="Q438" t="s">
        <v>40</v>
      </c>
      <c r="R438">
        <v>0</v>
      </c>
      <c r="S438">
        <v>0.4</v>
      </c>
    </row>
    <row r="439" spans="1:19" x14ac:dyDescent="0.25">
      <c r="A439" t="s">
        <v>315</v>
      </c>
      <c r="B439" t="s">
        <v>20</v>
      </c>
      <c r="C439" t="s">
        <v>316</v>
      </c>
      <c r="D439" s="1">
        <v>45139</v>
      </c>
      <c r="E439" s="1">
        <v>45870</v>
      </c>
      <c r="F439">
        <v>1</v>
      </c>
      <c r="G439">
        <v>2</v>
      </c>
      <c r="H439" t="s">
        <v>22</v>
      </c>
      <c r="I439" t="s">
        <v>23</v>
      </c>
      <c r="J439" t="s">
        <v>24</v>
      </c>
      <c r="K439" t="s">
        <v>254</v>
      </c>
      <c r="L439">
        <v>1</v>
      </c>
      <c r="M439">
        <v>99.96</v>
      </c>
      <c r="N439">
        <v>22.5</v>
      </c>
      <c r="O439">
        <v>0.13</v>
      </c>
      <c r="P439">
        <v>2.93</v>
      </c>
      <c r="Q439" t="s">
        <v>40</v>
      </c>
      <c r="R439">
        <v>0</v>
      </c>
      <c r="S439">
        <v>2.93</v>
      </c>
    </row>
    <row r="440" spans="1:19" x14ac:dyDescent="0.25">
      <c r="A440" t="s">
        <v>315</v>
      </c>
      <c r="B440" t="s">
        <v>20</v>
      </c>
      <c r="C440" t="s">
        <v>316</v>
      </c>
      <c r="D440" s="1">
        <v>45139</v>
      </c>
      <c r="E440" s="1">
        <v>45870</v>
      </c>
      <c r="F440">
        <v>1</v>
      </c>
      <c r="G440">
        <v>2</v>
      </c>
      <c r="H440" t="s">
        <v>22</v>
      </c>
      <c r="I440" t="s">
        <v>23</v>
      </c>
      <c r="J440" t="s">
        <v>24</v>
      </c>
      <c r="K440" t="s">
        <v>202</v>
      </c>
      <c r="L440">
        <v>1</v>
      </c>
      <c r="M440">
        <v>99.96</v>
      </c>
      <c r="N440">
        <v>59.76</v>
      </c>
      <c r="O440">
        <v>0.13</v>
      </c>
      <c r="P440">
        <v>7.77</v>
      </c>
      <c r="Q440" t="s">
        <v>40</v>
      </c>
      <c r="R440">
        <v>0</v>
      </c>
      <c r="S440">
        <v>7.77</v>
      </c>
    </row>
    <row r="441" spans="1:19" x14ac:dyDescent="0.25">
      <c r="A441" t="s">
        <v>317</v>
      </c>
      <c r="B441" t="s">
        <v>20</v>
      </c>
      <c r="C441" t="s">
        <v>318</v>
      </c>
      <c r="D441" s="1">
        <v>45139</v>
      </c>
      <c r="E441" s="1">
        <v>45870</v>
      </c>
      <c r="F441">
        <v>1</v>
      </c>
      <c r="G441">
        <v>2</v>
      </c>
      <c r="H441" t="s">
        <v>22</v>
      </c>
      <c r="I441" t="s">
        <v>23</v>
      </c>
      <c r="J441" t="s">
        <v>24</v>
      </c>
      <c r="K441" t="s">
        <v>202</v>
      </c>
      <c r="L441">
        <v>1</v>
      </c>
      <c r="M441">
        <v>99.96</v>
      </c>
      <c r="N441">
        <v>59.76</v>
      </c>
      <c r="O441">
        <v>0.13</v>
      </c>
      <c r="P441">
        <v>7.77</v>
      </c>
      <c r="Q441" t="s">
        <v>40</v>
      </c>
      <c r="R441">
        <v>0</v>
      </c>
      <c r="S441">
        <v>7.77</v>
      </c>
    </row>
    <row r="442" spans="1:19" x14ac:dyDescent="0.25">
      <c r="A442" t="s">
        <v>317</v>
      </c>
      <c r="B442" t="s">
        <v>20</v>
      </c>
      <c r="C442" t="s">
        <v>318</v>
      </c>
      <c r="D442" s="1">
        <v>45139</v>
      </c>
      <c r="E442" s="1">
        <v>45870</v>
      </c>
      <c r="F442">
        <v>1</v>
      </c>
      <c r="G442">
        <v>2</v>
      </c>
      <c r="H442" t="s">
        <v>22</v>
      </c>
      <c r="I442" t="s">
        <v>23</v>
      </c>
      <c r="J442" t="s">
        <v>24</v>
      </c>
      <c r="K442" t="s">
        <v>254</v>
      </c>
      <c r="L442">
        <v>1</v>
      </c>
      <c r="M442">
        <v>99.96</v>
      </c>
      <c r="N442">
        <v>22.5</v>
      </c>
      <c r="O442">
        <v>0.13</v>
      </c>
      <c r="P442">
        <v>2.93</v>
      </c>
      <c r="Q442" t="s">
        <v>40</v>
      </c>
      <c r="R442">
        <v>0</v>
      </c>
      <c r="S442">
        <v>2.93</v>
      </c>
    </row>
    <row r="443" spans="1:19" x14ac:dyDescent="0.25">
      <c r="A443" t="s">
        <v>317</v>
      </c>
      <c r="B443" t="s">
        <v>20</v>
      </c>
      <c r="C443" t="s">
        <v>318</v>
      </c>
      <c r="D443" s="1">
        <v>45139</v>
      </c>
      <c r="E443" s="1">
        <v>45870</v>
      </c>
      <c r="F443">
        <v>1</v>
      </c>
      <c r="G443">
        <v>2</v>
      </c>
      <c r="H443" t="s">
        <v>22</v>
      </c>
      <c r="I443" t="s">
        <v>23</v>
      </c>
      <c r="J443" t="s">
        <v>24</v>
      </c>
      <c r="K443" t="s">
        <v>268</v>
      </c>
      <c r="L443">
        <v>1</v>
      </c>
      <c r="M443">
        <v>99.96</v>
      </c>
      <c r="N443">
        <v>3.08</v>
      </c>
      <c r="O443">
        <v>0.13</v>
      </c>
      <c r="P443">
        <v>0.4</v>
      </c>
      <c r="Q443" t="s">
        <v>40</v>
      </c>
      <c r="R443">
        <v>0</v>
      </c>
      <c r="S443">
        <v>0.4</v>
      </c>
    </row>
    <row r="444" spans="1:19" x14ac:dyDescent="0.25">
      <c r="A444" t="s">
        <v>319</v>
      </c>
      <c r="B444" t="s">
        <v>20</v>
      </c>
      <c r="C444" t="s">
        <v>320</v>
      </c>
      <c r="D444" s="1">
        <v>45139</v>
      </c>
      <c r="E444" s="1">
        <v>45870</v>
      </c>
      <c r="F444">
        <v>1</v>
      </c>
      <c r="G444">
        <v>2</v>
      </c>
      <c r="H444" t="s">
        <v>22</v>
      </c>
      <c r="I444" t="s">
        <v>23</v>
      </c>
      <c r="J444" t="s">
        <v>24</v>
      </c>
      <c r="K444" t="s">
        <v>268</v>
      </c>
      <c r="L444">
        <v>1</v>
      </c>
      <c r="M444">
        <v>99.96</v>
      </c>
      <c r="N444">
        <v>3.08</v>
      </c>
      <c r="O444">
        <v>0.13</v>
      </c>
      <c r="P444">
        <v>0.4</v>
      </c>
      <c r="Q444" t="s">
        <v>40</v>
      </c>
      <c r="R444">
        <v>0</v>
      </c>
      <c r="S444">
        <v>0.4</v>
      </c>
    </row>
    <row r="445" spans="1:19" x14ac:dyDescent="0.25">
      <c r="A445" t="s">
        <v>319</v>
      </c>
      <c r="B445" t="s">
        <v>20</v>
      </c>
      <c r="C445" t="s">
        <v>320</v>
      </c>
      <c r="D445" s="1">
        <v>45139</v>
      </c>
      <c r="E445" s="1">
        <v>45870</v>
      </c>
      <c r="F445">
        <v>1</v>
      </c>
      <c r="G445">
        <v>2</v>
      </c>
      <c r="H445" t="s">
        <v>22</v>
      </c>
      <c r="I445" t="s">
        <v>23</v>
      </c>
      <c r="J445" t="s">
        <v>24</v>
      </c>
      <c r="K445" t="s">
        <v>254</v>
      </c>
      <c r="L445">
        <v>1</v>
      </c>
      <c r="M445">
        <v>99.96</v>
      </c>
      <c r="N445">
        <v>22.5</v>
      </c>
      <c r="O445">
        <v>0.13</v>
      </c>
      <c r="P445">
        <v>2.93</v>
      </c>
      <c r="Q445" t="s">
        <v>40</v>
      </c>
      <c r="R445">
        <v>0</v>
      </c>
      <c r="S445">
        <v>2.93</v>
      </c>
    </row>
    <row r="446" spans="1:19" x14ac:dyDescent="0.25">
      <c r="A446" t="s">
        <v>319</v>
      </c>
      <c r="B446" t="s">
        <v>20</v>
      </c>
      <c r="C446" t="s">
        <v>320</v>
      </c>
      <c r="D446" s="1">
        <v>45139</v>
      </c>
      <c r="E446" s="1">
        <v>45870</v>
      </c>
      <c r="F446">
        <v>1</v>
      </c>
      <c r="G446">
        <v>2</v>
      </c>
      <c r="H446" t="s">
        <v>22</v>
      </c>
      <c r="I446" t="s">
        <v>23</v>
      </c>
      <c r="J446" t="s">
        <v>24</v>
      </c>
      <c r="K446" t="s">
        <v>202</v>
      </c>
      <c r="L446">
        <v>1</v>
      </c>
      <c r="M446">
        <v>99.96</v>
      </c>
      <c r="N446">
        <v>59.76</v>
      </c>
      <c r="O446">
        <v>0.13</v>
      </c>
      <c r="P446">
        <v>7.77</v>
      </c>
      <c r="Q446" t="s">
        <v>40</v>
      </c>
      <c r="R446">
        <v>0</v>
      </c>
      <c r="S446">
        <v>7.77</v>
      </c>
    </row>
    <row r="447" spans="1:19" x14ac:dyDescent="0.25">
      <c r="A447" t="s">
        <v>321</v>
      </c>
      <c r="B447" t="s">
        <v>20</v>
      </c>
      <c r="C447" t="s">
        <v>322</v>
      </c>
      <c r="D447" s="1">
        <v>45145</v>
      </c>
      <c r="E447" s="1">
        <v>45876</v>
      </c>
      <c r="F447">
        <v>1</v>
      </c>
      <c r="G447">
        <v>8</v>
      </c>
      <c r="H447" t="s">
        <v>22</v>
      </c>
      <c r="I447" t="s">
        <v>23</v>
      </c>
      <c r="J447" t="s">
        <v>24</v>
      </c>
      <c r="K447" t="s">
        <v>254</v>
      </c>
      <c r="L447">
        <v>1</v>
      </c>
      <c r="M447">
        <v>91.84</v>
      </c>
      <c r="N447">
        <v>15</v>
      </c>
      <c r="O447">
        <v>0.13</v>
      </c>
      <c r="P447">
        <v>1.95</v>
      </c>
      <c r="Q447" t="s">
        <v>40</v>
      </c>
      <c r="R447">
        <v>0</v>
      </c>
      <c r="S447">
        <v>1.95</v>
      </c>
    </row>
    <row r="448" spans="1:19" x14ac:dyDescent="0.25">
      <c r="A448" t="s">
        <v>321</v>
      </c>
      <c r="B448" t="s">
        <v>20</v>
      </c>
      <c r="C448" t="s">
        <v>322</v>
      </c>
      <c r="D448" s="1">
        <v>45145</v>
      </c>
      <c r="E448" s="1">
        <v>45876</v>
      </c>
      <c r="F448">
        <v>1</v>
      </c>
      <c r="G448">
        <v>8</v>
      </c>
      <c r="H448" t="s">
        <v>22</v>
      </c>
      <c r="I448" t="s">
        <v>23</v>
      </c>
      <c r="J448" t="s">
        <v>24</v>
      </c>
      <c r="K448" t="s">
        <v>202</v>
      </c>
      <c r="L448">
        <v>1</v>
      </c>
      <c r="M448">
        <v>91.84</v>
      </c>
      <c r="N448">
        <v>59.76</v>
      </c>
      <c r="O448">
        <v>0.13</v>
      </c>
      <c r="P448">
        <v>7.77</v>
      </c>
      <c r="Q448" t="s">
        <v>40</v>
      </c>
      <c r="R448">
        <v>0</v>
      </c>
      <c r="S448">
        <v>7.77</v>
      </c>
    </row>
    <row r="449" spans="1:19" x14ac:dyDescent="0.25">
      <c r="A449" t="s">
        <v>321</v>
      </c>
      <c r="B449" t="s">
        <v>20</v>
      </c>
      <c r="C449" t="s">
        <v>322</v>
      </c>
      <c r="D449" s="1">
        <v>45145</v>
      </c>
      <c r="E449" s="1">
        <v>45876</v>
      </c>
      <c r="F449">
        <v>1</v>
      </c>
      <c r="G449">
        <v>8</v>
      </c>
      <c r="H449" t="s">
        <v>22</v>
      </c>
      <c r="I449" t="s">
        <v>23</v>
      </c>
      <c r="J449" t="s">
        <v>24</v>
      </c>
      <c r="K449" t="s">
        <v>268</v>
      </c>
      <c r="L449">
        <v>1</v>
      </c>
      <c r="M449">
        <v>91.84</v>
      </c>
      <c r="N449">
        <v>3.08</v>
      </c>
      <c r="O449">
        <v>0.13</v>
      </c>
      <c r="P449">
        <v>0.4</v>
      </c>
      <c r="Q449" t="s">
        <v>40</v>
      </c>
      <c r="R449">
        <v>0</v>
      </c>
      <c r="S449">
        <v>0.4</v>
      </c>
    </row>
    <row r="450" spans="1:19" x14ac:dyDescent="0.25">
      <c r="A450" t="s">
        <v>323</v>
      </c>
      <c r="B450" t="s">
        <v>20</v>
      </c>
      <c r="C450" t="s">
        <v>324</v>
      </c>
      <c r="D450" s="1">
        <v>45200</v>
      </c>
      <c r="E450" s="1">
        <v>45870</v>
      </c>
      <c r="F450">
        <v>1</v>
      </c>
      <c r="G450">
        <v>2</v>
      </c>
      <c r="H450" t="s">
        <v>22</v>
      </c>
      <c r="I450" t="s">
        <v>23</v>
      </c>
      <c r="J450" t="s">
        <v>24</v>
      </c>
      <c r="K450" t="s">
        <v>268</v>
      </c>
      <c r="L450">
        <v>1</v>
      </c>
      <c r="M450">
        <v>87.01</v>
      </c>
      <c r="N450">
        <v>3.08</v>
      </c>
      <c r="O450">
        <v>0.13</v>
      </c>
      <c r="P450">
        <v>0.4</v>
      </c>
      <c r="Q450" t="s">
        <v>40</v>
      </c>
      <c r="R450">
        <v>0</v>
      </c>
      <c r="S450">
        <v>0.4</v>
      </c>
    </row>
    <row r="451" spans="1:19" x14ac:dyDescent="0.25">
      <c r="A451" t="s">
        <v>323</v>
      </c>
      <c r="B451" t="s">
        <v>20</v>
      </c>
      <c r="C451" t="s">
        <v>324</v>
      </c>
      <c r="D451" s="1">
        <v>45200</v>
      </c>
      <c r="E451" s="1">
        <v>45870</v>
      </c>
      <c r="F451">
        <v>1</v>
      </c>
      <c r="G451">
        <v>2</v>
      </c>
      <c r="H451" t="s">
        <v>22</v>
      </c>
      <c r="I451" t="s">
        <v>23</v>
      </c>
      <c r="J451" t="s">
        <v>24</v>
      </c>
      <c r="K451" t="s">
        <v>254</v>
      </c>
      <c r="L451">
        <v>1</v>
      </c>
      <c r="M451">
        <v>87.01</v>
      </c>
      <c r="N451">
        <v>22.5</v>
      </c>
      <c r="O451">
        <v>0.13</v>
      </c>
      <c r="P451">
        <v>2.93</v>
      </c>
      <c r="Q451" t="s">
        <v>40</v>
      </c>
      <c r="R451">
        <v>0</v>
      </c>
      <c r="S451">
        <v>2.93</v>
      </c>
    </row>
    <row r="452" spans="1:19" x14ac:dyDescent="0.25">
      <c r="A452" t="s">
        <v>323</v>
      </c>
      <c r="B452" t="s">
        <v>20</v>
      </c>
      <c r="C452" t="s">
        <v>324</v>
      </c>
      <c r="D452" s="1">
        <v>45200</v>
      </c>
      <c r="E452" s="1">
        <v>45870</v>
      </c>
      <c r="F452">
        <v>1</v>
      </c>
      <c r="G452">
        <v>2</v>
      </c>
      <c r="H452" t="s">
        <v>22</v>
      </c>
      <c r="I452" t="s">
        <v>23</v>
      </c>
      <c r="J452" t="s">
        <v>24</v>
      </c>
      <c r="K452" t="s">
        <v>202</v>
      </c>
      <c r="L452">
        <v>1</v>
      </c>
      <c r="M452">
        <v>87.01</v>
      </c>
      <c r="N452">
        <v>59.76</v>
      </c>
      <c r="O452">
        <v>0.13</v>
      </c>
      <c r="P452">
        <v>7.77</v>
      </c>
      <c r="Q452" t="s">
        <v>40</v>
      </c>
      <c r="R452">
        <v>0</v>
      </c>
      <c r="S452">
        <v>7.77</v>
      </c>
    </row>
    <row r="453" spans="1:19" x14ac:dyDescent="0.25">
      <c r="A453" t="s">
        <v>325</v>
      </c>
      <c r="B453" t="s">
        <v>20</v>
      </c>
      <c r="C453" t="s">
        <v>326</v>
      </c>
      <c r="D453" s="1">
        <v>45231</v>
      </c>
      <c r="E453" s="1">
        <v>45870</v>
      </c>
      <c r="F453">
        <v>1</v>
      </c>
      <c r="G453">
        <v>2</v>
      </c>
      <c r="H453" t="s">
        <v>22</v>
      </c>
      <c r="I453" t="s">
        <v>23</v>
      </c>
      <c r="J453" t="s">
        <v>24</v>
      </c>
      <c r="K453" t="s">
        <v>254</v>
      </c>
      <c r="L453">
        <v>1</v>
      </c>
      <c r="M453">
        <v>99.96</v>
      </c>
      <c r="N453">
        <v>24.37</v>
      </c>
      <c r="O453">
        <v>0.13</v>
      </c>
      <c r="P453">
        <v>3.17</v>
      </c>
      <c r="Q453" t="s">
        <v>40</v>
      </c>
      <c r="R453">
        <v>0</v>
      </c>
      <c r="S453">
        <v>3.17</v>
      </c>
    </row>
    <row r="454" spans="1:19" x14ac:dyDescent="0.25">
      <c r="A454" t="s">
        <v>325</v>
      </c>
      <c r="B454" t="s">
        <v>20</v>
      </c>
      <c r="C454" t="s">
        <v>326</v>
      </c>
      <c r="D454" s="1">
        <v>45231</v>
      </c>
      <c r="E454" s="1">
        <v>45870</v>
      </c>
      <c r="F454">
        <v>1</v>
      </c>
      <c r="G454">
        <v>2</v>
      </c>
      <c r="H454" t="s">
        <v>22</v>
      </c>
      <c r="I454" t="s">
        <v>23</v>
      </c>
      <c r="J454" t="s">
        <v>24</v>
      </c>
      <c r="K454" t="s">
        <v>202</v>
      </c>
      <c r="L454">
        <v>1</v>
      </c>
      <c r="M454">
        <v>99.96</v>
      </c>
      <c r="N454">
        <v>70.84</v>
      </c>
      <c r="O454">
        <v>0.13</v>
      </c>
      <c r="P454">
        <v>9.2100000000000009</v>
      </c>
      <c r="Q454" t="s">
        <v>40</v>
      </c>
      <c r="R454">
        <v>0</v>
      </c>
      <c r="S454">
        <v>9.2100000000000009</v>
      </c>
    </row>
    <row r="455" spans="1:19" x14ac:dyDescent="0.25">
      <c r="A455" t="s">
        <v>325</v>
      </c>
      <c r="B455" t="s">
        <v>20</v>
      </c>
      <c r="C455" t="s">
        <v>326</v>
      </c>
      <c r="D455" s="1">
        <v>45231</v>
      </c>
      <c r="E455" s="1">
        <v>45870</v>
      </c>
      <c r="F455">
        <v>1</v>
      </c>
      <c r="G455">
        <v>2</v>
      </c>
      <c r="H455" t="s">
        <v>22</v>
      </c>
      <c r="I455" t="s">
        <v>23</v>
      </c>
      <c r="J455" t="s">
        <v>24</v>
      </c>
      <c r="K455" t="s">
        <v>268</v>
      </c>
      <c r="L455">
        <v>1</v>
      </c>
      <c r="M455">
        <v>99.96</v>
      </c>
      <c r="N455">
        <v>3.08</v>
      </c>
      <c r="O455">
        <v>0.13</v>
      </c>
      <c r="P455">
        <v>0.4</v>
      </c>
      <c r="Q455" t="s">
        <v>40</v>
      </c>
      <c r="R455">
        <v>0</v>
      </c>
      <c r="S455">
        <v>0.4</v>
      </c>
    </row>
    <row r="456" spans="1:19" x14ac:dyDescent="0.25">
      <c r="A456" t="s">
        <v>327</v>
      </c>
      <c r="B456" t="s">
        <v>20</v>
      </c>
      <c r="C456" t="s">
        <v>328</v>
      </c>
      <c r="D456" s="1">
        <v>45261</v>
      </c>
      <c r="E456" s="1">
        <v>45870</v>
      </c>
      <c r="F456">
        <v>1</v>
      </c>
      <c r="G456">
        <v>2</v>
      </c>
      <c r="H456" t="s">
        <v>22</v>
      </c>
      <c r="I456" t="s">
        <v>23</v>
      </c>
      <c r="J456" t="s">
        <v>24</v>
      </c>
      <c r="K456" t="s">
        <v>268</v>
      </c>
      <c r="L456">
        <v>1</v>
      </c>
      <c r="M456">
        <v>87.01</v>
      </c>
      <c r="N456">
        <v>3.08</v>
      </c>
      <c r="O456">
        <v>0.13</v>
      </c>
      <c r="P456">
        <v>0.4</v>
      </c>
      <c r="Q456" t="s">
        <v>40</v>
      </c>
      <c r="R456">
        <v>0</v>
      </c>
      <c r="S456">
        <v>0.4</v>
      </c>
    </row>
    <row r="457" spans="1:19" x14ac:dyDescent="0.25">
      <c r="A457" t="s">
        <v>327</v>
      </c>
      <c r="B457" t="s">
        <v>20</v>
      </c>
      <c r="C457" t="s">
        <v>328</v>
      </c>
      <c r="D457" s="1">
        <v>45261</v>
      </c>
      <c r="E457" s="1">
        <v>45870</v>
      </c>
      <c r="F457">
        <v>1</v>
      </c>
      <c r="G457">
        <v>2</v>
      </c>
      <c r="H457" t="s">
        <v>22</v>
      </c>
      <c r="I457" t="s">
        <v>23</v>
      </c>
      <c r="J457" t="s">
        <v>24</v>
      </c>
      <c r="K457" t="s">
        <v>202</v>
      </c>
      <c r="L457">
        <v>1</v>
      </c>
      <c r="M457">
        <v>87.01</v>
      </c>
      <c r="N457">
        <v>59.76</v>
      </c>
      <c r="O457">
        <v>0.13</v>
      </c>
      <c r="P457">
        <v>7.77</v>
      </c>
      <c r="Q457" t="s">
        <v>40</v>
      </c>
      <c r="R457">
        <v>0</v>
      </c>
      <c r="S457">
        <v>7.77</v>
      </c>
    </row>
    <row r="458" spans="1:19" x14ac:dyDescent="0.25">
      <c r="A458" t="s">
        <v>327</v>
      </c>
      <c r="B458" t="s">
        <v>20</v>
      </c>
      <c r="C458" t="s">
        <v>328</v>
      </c>
      <c r="D458" s="1">
        <v>45261</v>
      </c>
      <c r="E458" s="1">
        <v>45870</v>
      </c>
      <c r="F458">
        <v>1</v>
      </c>
      <c r="G458">
        <v>2</v>
      </c>
      <c r="H458" t="s">
        <v>22</v>
      </c>
      <c r="I458" t="s">
        <v>23</v>
      </c>
      <c r="J458" t="s">
        <v>24</v>
      </c>
      <c r="K458" t="s">
        <v>254</v>
      </c>
      <c r="L458">
        <v>1</v>
      </c>
      <c r="M458">
        <v>87.01</v>
      </c>
      <c r="N458">
        <v>22.5</v>
      </c>
      <c r="O458">
        <v>0.13</v>
      </c>
      <c r="P458">
        <v>2.93</v>
      </c>
      <c r="Q458" t="s">
        <v>40</v>
      </c>
      <c r="R458">
        <v>0</v>
      </c>
      <c r="S458">
        <v>2.93</v>
      </c>
    </row>
    <row r="459" spans="1:19" x14ac:dyDescent="0.25">
      <c r="A459" t="s">
        <v>329</v>
      </c>
      <c r="B459" t="s">
        <v>20</v>
      </c>
      <c r="C459" t="s">
        <v>330</v>
      </c>
      <c r="D459" s="1">
        <v>45289</v>
      </c>
      <c r="E459" s="1">
        <v>45867</v>
      </c>
      <c r="F459">
        <v>1</v>
      </c>
      <c r="G459">
        <v>2</v>
      </c>
      <c r="H459" t="s">
        <v>22</v>
      </c>
      <c r="I459" t="s">
        <v>23</v>
      </c>
      <c r="J459" t="s">
        <v>24</v>
      </c>
      <c r="K459" t="s">
        <v>254</v>
      </c>
      <c r="L459">
        <v>1</v>
      </c>
      <c r="M459">
        <v>56.86</v>
      </c>
      <c r="N459">
        <v>8.5500000000000007</v>
      </c>
      <c r="O459">
        <v>0.13</v>
      </c>
      <c r="P459">
        <v>1.1100000000000001</v>
      </c>
      <c r="Q459" t="s">
        <v>40</v>
      </c>
      <c r="R459">
        <v>0</v>
      </c>
      <c r="S459">
        <v>1.1100000000000001</v>
      </c>
    </row>
    <row r="460" spans="1:19" x14ac:dyDescent="0.25">
      <c r="A460" t="s">
        <v>329</v>
      </c>
      <c r="B460" t="s">
        <v>20</v>
      </c>
      <c r="C460" t="s">
        <v>330</v>
      </c>
      <c r="D460" s="1">
        <v>45289</v>
      </c>
      <c r="E460" s="1">
        <v>45867</v>
      </c>
      <c r="F460">
        <v>1</v>
      </c>
      <c r="G460">
        <v>2</v>
      </c>
      <c r="H460" t="s">
        <v>22</v>
      </c>
      <c r="I460" t="s">
        <v>23</v>
      </c>
      <c r="J460" t="s">
        <v>24</v>
      </c>
      <c r="K460" t="s">
        <v>202</v>
      </c>
      <c r="L460">
        <v>1</v>
      </c>
      <c r="M460">
        <v>56.86</v>
      </c>
      <c r="N460">
        <v>41.81</v>
      </c>
      <c r="O460">
        <v>0.13</v>
      </c>
      <c r="P460">
        <v>5.44</v>
      </c>
      <c r="Q460" t="s">
        <v>40</v>
      </c>
      <c r="R460">
        <v>0</v>
      </c>
      <c r="S460">
        <v>5.44</v>
      </c>
    </row>
    <row r="461" spans="1:19" x14ac:dyDescent="0.25">
      <c r="A461" t="s">
        <v>329</v>
      </c>
      <c r="B461" t="s">
        <v>20</v>
      </c>
      <c r="C461" t="s">
        <v>330</v>
      </c>
      <c r="D461" s="1">
        <v>45289</v>
      </c>
      <c r="E461" s="1">
        <v>45867</v>
      </c>
      <c r="F461">
        <v>1</v>
      </c>
      <c r="G461">
        <v>2</v>
      </c>
      <c r="H461" t="s">
        <v>22</v>
      </c>
      <c r="I461" t="s">
        <v>23</v>
      </c>
      <c r="J461" t="s">
        <v>24</v>
      </c>
      <c r="K461" t="s">
        <v>268</v>
      </c>
      <c r="L461">
        <v>1</v>
      </c>
      <c r="M461">
        <v>56.86</v>
      </c>
      <c r="N461">
        <v>4.83</v>
      </c>
      <c r="O461">
        <v>0.13</v>
      </c>
      <c r="P461">
        <v>0.63</v>
      </c>
      <c r="Q461" t="s">
        <v>40</v>
      </c>
      <c r="R461">
        <v>0</v>
      </c>
      <c r="S461">
        <v>0.63</v>
      </c>
    </row>
    <row r="462" spans="1:19" x14ac:dyDescent="0.25">
      <c r="A462" t="s">
        <v>331</v>
      </c>
      <c r="B462" t="s">
        <v>20</v>
      </c>
      <c r="C462" t="s">
        <v>332</v>
      </c>
      <c r="D462" s="1">
        <v>45413</v>
      </c>
      <c r="E462" s="1">
        <v>45870</v>
      </c>
      <c r="F462">
        <v>1</v>
      </c>
      <c r="G462">
        <v>2</v>
      </c>
      <c r="H462" t="s">
        <v>22</v>
      </c>
      <c r="I462" t="s">
        <v>23</v>
      </c>
      <c r="J462" t="s">
        <v>24</v>
      </c>
      <c r="K462" t="s">
        <v>50</v>
      </c>
      <c r="L462">
        <v>1</v>
      </c>
      <c r="M462">
        <v>98.72</v>
      </c>
      <c r="N462">
        <v>6.88</v>
      </c>
      <c r="O462">
        <v>0.13</v>
      </c>
      <c r="P462">
        <v>0.89</v>
      </c>
      <c r="Q462" t="s">
        <v>40</v>
      </c>
      <c r="R462">
        <v>0</v>
      </c>
      <c r="S462">
        <v>0.89</v>
      </c>
    </row>
    <row r="463" spans="1:19" x14ac:dyDescent="0.25">
      <c r="A463" t="s">
        <v>331</v>
      </c>
      <c r="B463" t="s">
        <v>20</v>
      </c>
      <c r="C463" t="s">
        <v>332</v>
      </c>
      <c r="D463" s="1">
        <v>45413</v>
      </c>
      <c r="E463" s="1">
        <v>45870</v>
      </c>
      <c r="F463">
        <v>1</v>
      </c>
      <c r="G463">
        <v>2</v>
      </c>
      <c r="H463" t="s">
        <v>22</v>
      </c>
      <c r="I463" t="s">
        <v>23</v>
      </c>
      <c r="J463" t="s">
        <v>24</v>
      </c>
      <c r="K463" t="s">
        <v>51</v>
      </c>
      <c r="L463">
        <v>1</v>
      </c>
      <c r="M463">
        <v>98.72</v>
      </c>
      <c r="N463">
        <v>16.25</v>
      </c>
      <c r="O463">
        <v>0.13</v>
      </c>
      <c r="P463">
        <v>2.11</v>
      </c>
      <c r="Q463" t="s">
        <v>40</v>
      </c>
      <c r="R463">
        <v>0</v>
      </c>
      <c r="S463">
        <v>2.11</v>
      </c>
    </row>
    <row r="464" spans="1:19" x14ac:dyDescent="0.25">
      <c r="A464" t="s">
        <v>331</v>
      </c>
      <c r="B464" t="s">
        <v>20</v>
      </c>
      <c r="C464" t="s">
        <v>332</v>
      </c>
      <c r="D464" s="1">
        <v>45413</v>
      </c>
      <c r="E464" s="1">
        <v>45870</v>
      </c>
      <c r="F464">
        <v>1</v>
      </c>
      <c r="G464">
        <v>2</v>
      </c>
      <c r="H464" t="s">
        <v>22</v>
      </c>
      <c r="I464" t="s">
        <v>23</v>
      </c>
      <c r="J464" t="s">
        <v>24</v>
      </c>
      <c r="K464" t="s">
        <v>48</v>
      </c>
      <c r="L464">
        <v>1</v>
      </c>
      <c r="M464">
        <v>98.72</v>
      </c>
      <c r="N464">
        <v>70.84</v>
      </c>
      <c r="O464">
        <v>0.13</v>
      </c>
      <c r="P464">
        <v>9.2100000000000009</v>
      </c>
      <c r="Q464" t="s">
        <v>40</v>
      </c>
      <c r="R464">
        <v>0</v>
      </c>
      <c r="S464">
        <v>9.2100000000000009</v>
      </c>
    </row>
    <row r="465" spans="1:19" x14ac:dyDescent="0.25">
      <c r="A465" t="s">
        <v>331</v>
      </c>
      <c r="B465" t="s">
        <v>20</v>
      </c>
      <c r="C465" t="s">
        <v>332</v>
      </c>
      <c r="D465" s="1">
        <v>45413</v>
      </c>
      <c r="E465" s="1">
        <v>45870</v>
      </c>
      <c r="F465">
        <v>1</v>
      </c>
      <c r="G465">
        <v>2</v>
      </c>
      <c r="H465" t="s">
        <v>22</v>
      </c>
      <c r="I465" t="s">
        <v>23</v>
      </c>
      <c r="J465" t="s">
        <v>24</v>
      </c>
      <c r="K465" t="s">
        <v>49</v>
      </c>
      <c r="L465">
        <v>1</v>
      </c>
      <c r="M465">
        <v>98.72</v>
      </c>
      <c r="N465">
        <v>3.08</v>
      </c>
      <c r="O465">
        <v>0.13</v>
      </c>
      <c r="P465">
        <v>0.4</v>
      </c>
      <c r="Q465" t="s">
        <v>40</v>
      </c>
      <c r="R465">
        <v>0</v>
      </c>
      <c r="S465">
        <v>0.4</v>
      </c>
    </row>
    <row r="466" spans="1:19" x14ac:dyDescent="0.25">
      <c r="A466" t="s">
        <v>333</v>
      </c>
      <c r="B466" t="s">
        <v>20</v>
      </c>
      <c r="C466" t="s">
        <v>334</v>
      </c>
      <c r="D466" s="1">
        <v>45413</v>
      </c>
      <c r="E466" s="1">
        <v>45870</v>
      </c>
      <c r="F466">
        <v>1</v>
      </c>
      <c r="G466">
        <v>2</v>
      </c>
      <c r="H466" t="s">
        <v>22</v>
      </c>
      <c r="I466" t="s">
        <v>23</v>
      </c>
      <c r="J466" t="s">
        <v>24</v>
      </c>
      <c r="K466" t="s">
        <v>48</v>
      </c>
      <c r="L466">
        <v>1</v>
      </c>
      <c r="M466">
        <v>97.37</v>
      </c>
      <c r="N466">
        <v>59.76</v>
      </c>
      <c r="O466">
        <v>0.13</v>
      </c>
      <c r="P466">
        <v>7.77</v>
      </c>
      <c r="Q466" t="s">
        <v>40</v>
      </c>
      <c r="R466">
        <v>0</v>
      </c>
      <c r="S466">
        <v>7.77</v>
      </c>
    </row>
    <row r="467" spans="1:19" x14ac:dyDescent="0.25">
      <c r="A467" t="s">
        <v>333</v>
      </c>
      <c r="B467" t="s">
        <v>20</v>
      </c>
      <c r="C467" t="s">
        <v>334</v>
      </c>
      <c r="D467" s="1">
        <v>45413</v>
      </c>
      <c r="E467" s="1">
        <v>45870</v>
      </c>
      <c r="F467">
        <v>1</v>
      </c>
      <c r="G467">
        <v>2</v>
      </c>
      <c r="H467" t="s">
        <v>22</v>
      </c>
      <c r="I467" t="s">
        <v>23</v>
      </c>
      <c r="J467" t="s">
        <v>24</v>
      </c>
      <c r="K467" t="s">
        <v>49</v>
      </c>
      <c r="L467">
        <v>1</v>
      </c>
      <c r="M467">
        <v>97.37</v>
      </c>
      <c r="N467">
        <v>3.08</v>
      </c>
      <c r="O467">
        <v>0.13</v>
      </c>
      <c r="P467">
        <v>0.4</v>
      </c>
      <c r="Q467" t="s">
        <v>40</v>
      </c>
      <c r="R467">
        <v>0</v>
      </c>
      <c r="S467">
        <v>0.4</v>
      </c>
    </row>
    <row r="468" spans="1:19" x14ac:dyDescent="0.25">
      <c r="A468" t="s">
        <v>333</v>
      </c>
      <c r="B468" t="s">
        <v>20</v>
      </c>
      <c r="C468" t="s">
        <v>334</v>
      </c>
      <c r="D468" s="1">
        <v>45413</v>
      </c>
      <c r="E468" s="1">
        <v>45870</v>
      </c>
      <c r="F468">
        <v>1</v>
      </c>
      <c r="G468">
        <v>2</v>
      </c>
      <c r="H468" t="s">
        <v>22</v>
      </c>
      <c r="I468" t="s">
        <v>23</v>
      </c>
      <c r="J468" t="s">
        <v>24</v>
      </c>
      <c r="K468" t="s">
        <v>51</v>
      </c>
      <c r="L468">
        <v>1</v>
      </c>
      <c r="M468">
        <v>97.37</v>
      </c>
      <c r="N468">
        <v>15</v>
      </c>
      <c r="O468">
        <v>0.13</v>
      </c>
      <c r="P468">
        <v>1.95</v>
      </c>
      <c r="Q468" t="s">
        <v>40</v>
      </c>
      <c r="R468">
        <v>0</v>
      </c>
      <c r="S468">
        <v>1.95</v>
      </c>
    </row>
    <row r="469" spans="1:19" x14ac:dyDescent="0.25">
      <c r="A469" t="s">
        <v>333</v>
      </c>
      <c r="B469" t="s">
        <v>20</v>
      </c>
      <c r="C469" t="s">
        <v>334</v>
      </c>
      <c r="D469" s="1">
        <v>45413</v>
      </c>
      <c r="E469" s="1">
        <v>45870</v>
      </c>
      <c r="F469">
        <v>1</v>
      </c>
      <c r="G469">
        <v>2</v>
      </c>
      <c r="H469" t="s">
        <v>22</v>
      </c>
      <c r="I469" t="s">
        <v>23</v>
      </c>
      <c r="J469" t="s">
        <v>24</v>
      </c>
      <c r="K469" t="s">
        <v>50</v>
      </c>
      <c r="L469">
        <v>1</v>
      </c>
      <c r="M469">
        <v>97.37</v>
      </c>
      <c r="N469">
        <v>5.53</v>
      </c>
      <c r="O469">
        <v>0.13</v>
      </c>
      <c r="P469">
        <v>0.72</v>
      </c>
      <c r="Q469" t="s">
        <v>40</v>
      </c>
      <c r="R469">
        <v>0</v>
      </c>
      <c r="S469">
        <v>0.72</v>
      </c>
    </row>
    <row r="470" spans="1:19" x14ac:dyDescent="0.25">
      <c r="A470" t="s">
        <v>335</v>
      </c>
      <c r="B470" t="s">
        <v>30</v>
      </c>
      <c r="C470" t="s">
        <v>336</v>
      </c>
      <c r="D470" s="1">
        <v>45413</v>
      </c>
      <c r="E470" s="1">
        <v>45870</v>
      </c>
      <c r="F470">
        <v>1</v>
      </c>
      <c r="G470">
        <v>2</v>
      </c>
      <c r="H470" t="s">
        <v>102</v>
      </c>
      <c r="I470" t="s">
        <v>103</v>
      </c>
      <c r="J470" t="s">
        <v>104</v>
      </c>
      <c r="K470" t="s">
        <v>202</v>
      </c>
      <c r="L470">
        <v>1</v>
      </c>
      <c r="M470">
        <v>64.03</v>
      </c>
      <c r="N470">
        <v>62.36</v>
      </c>
      <c r="O470">
        <v>0.13</v>
      </c>
      <c r="P470">
        <v>8.11</v>
      </c>
      <c r="Q470" t="s">
        <v>40</v>
      </c>
      <c r="R470">
        <v>0</v>
      </c>
      <c r="S470">
        <v>8.11</v>
      </c>
    </row>
    <row r="471" spans="1:19" x14ac:dyDescent="0.25">
      <c r="A471" t="s">
        <v>337</v>
      </c>
      <c r="B471" t="s">
        <v>30</v>
      </c>
      <c r="C471" t="s">
        <v>338</v>
      </c>
      <c r="D471" s="1">
        <v>45292</v>
      </c>
      <c r="E471" s="1">
        <v>45870</v>
      </c>
      <c r="F471">
        <v>1</v>
      </c>
      <c r="G471">
        <v>2</v>
      </c>
      <c r="H471" t="s">
        <v>32</v>
      </c>
      <c r="I471" t="s">
        <v>33</v>
      </c>
      <c r="J471" t="s">
        <v>24</v>
      </c>
      <c r="K471" t="s">
        <v>34</v>
      </c>
      <c r="L471">
        <v>1</v>
      </c>
      <c r="M471">
        <v>49.9</v>
      </c>
      <c r="N471">
        <v>12.94</v>
      </c>
      <c r="O471">
        <v>0.1</v>
      </c>
      <c r="P471">
        <v>1.29</v>
      </c>
      <c r="Q471" t="s">
        <v>40</v>
      </c>
      <c r="R471">
        <v>0</v>
      </c>
      <c r="S471">
        <v>1.29</v>
      </c>
    </row>
    <row r="472" spans="1:19" x14ac:dyDescent="0.25">
      <c r="A472" t="s">
        <v>337</v>
      </c>
      <c r="B472" t="s">
        <v>30</v>
      </c>
      <c r="C472" t="s">
        <v>338</v>
      </c>
      <c r="D472" s="1">
        <v>45292</v>
      </c>
      <c r="E472" s="1">
        <v>45870</v>
      </c>
      <c r="F472">
        <v>1</v>
      </c>
      <c r="G472">
        <v>2</v>
      </c>
      <c r="H472" t="s">
        <v>32</v>
      </c>
      <c r="I472" t="s">
        <v>33</v>
      </c>
      <c r="J472" t="s">
        <v>24</v>
      </c>
      <c r="K472" t="s">
        <v>27</v>
      </c>
      <c r="L472">
        <v>1</v>
      </c>
      <c r="M472">
        <v>49.9</v>
      </c>
      <c r="N472">
        <v>12.43</v>
      </c>
      <c r="O472">
        <v>0.1</v>
      </c>
      <c r="P472">
        <v>1.24</v>
      </c>
      <c r="Q472" t="s">
        <v>40</v>
      </c>
      <c r="R472">
        <v>0</v>
      </c>
      <c r="S472">
        <v>1.24</v>
      </c>
    </row>
    <row r="473" spans="1:19" x14ac:dyDescent="0.25">
      <c r="A473" t="s">
        <v>337</v>
      </c>
      <c r="B473" t="s">
        <v>30</v>
      </c>
      <c r="C473" t="s">
        <v>338</v>
      </c>
      <c r="D473" s="1">
        <v>45292</v>
      </c>
      <c r="E473" s="1">
        <v>45870</v>
      </c>
      <c r="F473">
        <v>1</v>
      </c>
      <c r="G473">
        <v>2</v>
      </c>
      <c r="H473" t="s">
        <v>32</v>
      </c>
      <c r="I473" t="s">
        <v>33</v>
      </c>
      <c r="J473" t="s">
        <v>24</v>
      </c>
      <c r="K473" t="s">
        <v>76</v>
      </c>
      <c r="L473">
        <v>1</v>
      </c>
      <c r="M473">
        <v>49.9</v>
      </c>
      <c r="N473">
        <v>1.79</v>
      </c>
      <c r="O473">
        <v>0.1</v>
      </c>
      <c r="P473">
        <v>0.18</v>
      </c>
      <c r="Q473" t="s">
        <v>40</v>
      </c>
      <c r="R473">
        <v>0</v>
      </c>
      <c r="S473">
        <v>0.18</v>
      </c>
    </row>
    <row r="474" spans="1:19" x14ac:dyDescent="0.25">
      <c r="A474" t="s">
        <v>337</v>
      </c>
      <c r="B474" t="s">
        <v>30</v>
      </c>
      <c r="C474" t="s">
        <v>338</v>
      </c>
      <c r="D474" s="1">
        <v>45292</v>
      </c>
      <c r="E474" s="1">
        <v>45870</v>
      </c>
      <c r="F474">
        <v>1</v>
      </c>
      <c r="G474">
        <v>2</v>
      </c>
      <c r="H474" t="s">
        <v>32</v>
      </c>
      <c r="I474" t="s">
        <v>33</v>
      </c>
      <c r="J474" t="s">
        <v>24</v>
      </c>
      <c r="K474" t="s">
        <v>25</v>
      </c>
      <c r="L474">
        <v>1</v>
      </c>
      <c r="M474">
        <v>49.9</v>
      </c>
      <c r="N474">
        <v>21.06</v>
      </c>
      <c r="O474">
        <v>0.1</v>
      </c>
      <c r="P474">
        <v>2.11</v>
      </c>
      <c r="Q474" t="s">
        <v>40</v>
      </c>
      <c r="R474">
        <v>0</v>
      </c>
      <c r="S474">
        <v>2.11</v>
      </c>
    </row>
    <row r="475" spans="1:19" x14ac:dyDescent="0.25">
      <c r="A475" t="s">
        <v>339</v>
      </c>
      <c r="B475" t="s">
        <v>30</v>
      </c>
      <c r="C475" t="s">
        <v>340</v>
      </c>
      <c r="D475" s="1">
        <v>45231</v>
      </c>
      <c r="E475" s="1">
        <v>45870</v>
      </c>
      <c r="F475">
        <v>1</v>
      </c>
      <c r="G475">
        <v>2</v>
      </c>
      <c r="H475" t="s">
        <v>32</v>
      </c>
      <c r="I475" t="s">
        <v>33</v>
      </c>
      <c r="J475" t="s">
        <v>24</v>
      </c>
      <c r="K475" t="s">
        <v>25</v>
      </c>
      <c r="L475">
        <v>1</v>
      </c>
      <c r="M475">
        <v>49.9</v>
      </c>
      <c r="N475">
        <v>21.06</v>
      </c>
      <c r="O475">
        <v>0.1</v>
      </c>
      <c r="P475">
        <v>2.11</v>
      </c>
      <c r="Q475" t="s">
        <v>40</v>
      </c>
      <c r="R475">
        <v>0</v>
      </c>
      <c r="S475">
        <v>2.11</v>
      </c>
    </row>
    <row r="476" spans="1:19" x14ac:dyDescent="0.25">
      <c r="A476" t="s">
        <v>339</v>
      </c>
      <c r="B476" t="s">
        <v>30</v>
      </c>
      <c r="C476" t="s">
        <v>340</v>
      </c>
      <c r="D476" s="1">
        <v>45231</v>
      </c>
      <c r="E476" s="1">
        <v>45870</v>
      </c>
      <c r="F476">
        <v>1</v>
      </c>
      <c r="G476">
        <v>2</v>
      </c>
      <c r="H476" t="s">
        <v>32</v>
      </c>
      <c r="I476" t="s">
        <v>33</v>
      </c>
      <c r="J476" t="s">
        <v>24</v>
      </c>
      <c r="K476" t="s">
        <v>76</v>
      </c>
      <c r="L476">
        <v>1</v>
      </c>
      <c r="M476">
        <v>49.9</v>
      </c>
      <c r="N476">
        <v>1.79</v>
      </c>
      <c r="O476">
        <v>0.1</v>
      </c>
      <c r="P476">
        <v>0.18</v>
      </c>
      <c r="Q476" t="s">
        <v>40</v>
      </c>
      <c r="R476">
        <v>0</v>
      </c>
      <c r="S476">
        <v>0.18</v>
      </c>
    </row>
    <row r="477" spans="1:19" x14ac:dyDescent="0.25">
      <c r="A477" t="s">
        <v>339</v>
      </c>
      <c r="B477" t="s">
        <v>30</v>
      </c>
      <c r="C477" t="s">
        <v>340</v>
      </c>
      <c r="D477" s="1">
        <v>45231</v>
      </c>
      <c r="E477" s="1">
        <v>45870</v>
      </c>
      <c r="F477">
        <v>1</v>
      </c>
      <c r="G477">
        <v>2</v>
      </c>
      <c r="H477" t="s">
        <v>32</v>
      </c>
      <c r="I477" t="s">
        <v>33</v>
      </c>
      <c r="J477" t="s">
        <v>24</v>
      </c>
      <c r="K477" t="s">
        <v>27</v>
      </c>
      <c r="L477">
        <v>1</v>
      </c>
      <c r="M477">
        <v>49.9</v>
      </c>
      <c r="N477">
        <v>12.43</v>
      </c>
      <c r="O477">
        <v>0.1</v>
      </c>
      <c r="P477">
        <v>1.24</v>
      </c>
      <c r="Q477" t="s">
        <v>40</v>
      </c>
      <c r="R477">
        <v>0</v>
      </c>
      <c r="S477">
        <v>1.24</v>
      </c>
    </row>
    <row r="478" spans="1:19" x14ac:dyDescent="0.25">
      <c r="A478" t="s">
        <v>339</v>
      </c>
      <c r="B478" t="s">
        <v>30</v>
      </c>
      <c r="C478" t="s">
        <v>340</v>
      </c>
      <c r="D478" s="1">
        <v>45231</v>
      </c>
      <c r="E478" s="1">
        <v>45870</v>
      </c>
      <c r="F478">
        <v>1</v>
      </c>
      <c r="G478">
        <v>2</v>
      </c>
      <c r="H478" t="s">
        <v>32</v>
      </c>
      <c r="I478" t="s">
        <v>33</v>
      </c>
      <c r="J478" t="s">
        <v>24</v>
      </c>
      <c r="K478" t="s">
        <v>34</v>
      </c>
      <c r="L478">
        <v>1</v>
      </c>
      <c r="M478">
        <v>49.9</v>
      </c>
      <c r="N478">
        <v>12.94</v>
      </c>
      <c r="O478">
        <v>0.1</v>
      </c>
      <c r="P478">
        <v>1.29</v>
      </c>
      <c r="Q478" t="s">
        <v>40</v>
      </c>
      <c r="R478">
        <v>0</v>
      </c>
      <c r="S478">
        <v>1.29</v>
      </c>
    </row>
    <row r="479" spans="1:19" x14ac:dyDescent="0.25">
      <c r="A479" t="s">
        <v>341</v>
      </c>
      <c r="B479" t="s">
        <v>30</v>
      </c>
      <c r="C479" t="s">
        <v>342</v>
      </c>
      <c r="D479" s="1">
        <v>45292</v>
      </c>
      <c r="E479" s="1">
        <v>45870</v>
      </c>
      <c r="F479">
        <v>1</v>
      </c>
      <c r="G479">
        <v>2</v>
      </c>
      <c r="H479" t="s">
        <v>32</v>
      </c>
      <c r="I479" t="s">
        <v>33</v>
      </c>
      <c r="J479" t="s">
        <v>24</v>
      </c>
      <c r="K479" t="s">
        <v>34</v>
      </c>
      <c r="L479">
        <v>1</v>
      </c>
      <c r="M479">
        <v>50.89</v>
      </c>
      <c r="N479">
        <v>13.58</v>
      </c>
      <c r="O479">
        <v>0.1</v>
      </c>
      <c r="P479">
        <v>1.36</v>
      </c>
      <c r="Q479" t="s">
        <v>40</v>
      </c>
      <c r="R479">
        <v>0</v>
      </c>
      <c r="S479">
        <v>1.36</v>
      </c>
    </row>
    <row r="480" spans="1:19" x14ac:dyDescent="0.25">
      <c r="A480" t="s">
        <v>341</v>
      </c>
      <c r="B480" t="s">
        <v>30</v>
      </c>
      <c r="C480" t="s">
        <v>342</v>
      </c>
      <c r="D480" s="1">
        <v>45292</v>
      </c>
      <c r="E480" s="1">
        <v>45870</v>
      </c>
      <c r="F480">
        <v>1</v>
      </c>
      <c r="G480">
        <v>2</v>
      </c>
      <c r="H480" t="s">
        <v>32</v>
      </c>
      <c r="I480" t="s">
        <v>33</v>
      </c>
      <c r="J480" t="s">
        <v>24</v>
      </c>
      <c r="K480" t="s">
        <v>76</v>
      </c>
      <c r="L480">
        <v>1</v>
      </c>
      <c r="M480">
        <v>50.89</v>
      </c>
      <c r="N480">
        <v>2.14</v>
      </c>
      <c r="O480">
        <v>0.1</v>
      </c>
      <c r="P480">
        <v>0.21</v>
      </c>
      <c r="Q480" t="s">
        <v>40</v>
      </c>
      <c r="R480">
        <v>0</v>
      </c>
      <c r="S480">
        <v>0.21</v>
      </c>
    </row>
    <row r="481" spans="1:19" x14ac:dyDescent="0.25">
      <c r="A481" t="s">
        <v>341</v>
      </c>
      <c r="B481" t="s">
        <v>30</v>
      </c>
      <c r="C481" t="s">
        <v>342</v>
      </c>
      <c r="D481" s="1">
        <v>45292</v>
      </c>
      <c r="E481" s="1">
        <v>45870</v>
      </c>
      <c r="F481">
        <v>1</v>
      </c>
      <c r="G481">
        <v>2</v>
      </c>
      <c r="H481" t="s">
        <v>32</v>
      </c>
      <c r="I481" t="s">
        <v>33</v>
      </c>
      <c r="J481" t="s">
        <v>24</v>
      </c>
      <c r="K481" t="s">
        <v>25</v>
      </c>
      <c r="L481">
        <v>1</v>
      </c>
      <c r="M481">
        <v>50.89</v>
      </c>
      <c r="N481">
        <v>21.06</v>
      </c>
      <c r="O481">
        <v>0.1</v>
      </c>
      <c r="P481">
        <v>2.11</v>
      </c>
      <c r="Q481" t="s">
        <v>40</v>
      </c>
      <c r="R481">
        <v>0</v>
      </c>
      <c r="S481">
        <v>2.11</v>
      </c>
    </row>
    <row r="482" spans="1:19" x14ac:dyDescent="0.25">
      <c r="A482" t="s">
        <v>341</v>
      </c>
      <c r="B482" t="s">
        <v>30</v>
      </c>
      <c r="C482" t="s">
        <v>342</v>
      </c>
      <c r="D482" s="1">
        <v>45292</v>
      </c>
      <c r="E482" s="1">
        <v>45870</v>
      </c>
      <c r="F482">
        <v>1</v>
      </c>
      <c r="G482">
        <v>2</v>
      </c>
      <c r="H482" t="s">
        <v>32</v>
      </c>
      <c r="I482" t="s">
        <v>33</v>
      </c>
      <c r="J482" t="s">
        <v>24</v>
      </c>
      <c r="K482" t="s">
        <v>27</v>
      </c>
      <c r="L482">
        <v>1</v>
      </c>
      <c r="M482">
        <v>50.89</v>
      </c>
      <c r="N482">
        <v>12.43</v>
      </c>
      <c r="O482">
        <v>0.1</v>
      </c>
      <c r="P482">
        <v>1.24</v>
      </c>
      <c r="Q482" t="s">
        <v>40</v>
      </c>
      <c r="R482">
        <v>0</v>
      </c>
      <c r="S482">
        <v>1.24</v>
      </c>
    </row>
    <row r="483" spans="1:19" x14ac:dyDescent="0.25">
      <c r="A483" t="s">
        <v>343</v>
      </c>
      <c r="B483" t="s">
        <v>30</v>
      </c>
      <c r="C483" t="s">
        <v>344</v>
      </c>
      <c r="D483" s="1">
        <v>45261</v>
      </c>
      <c r="E483" s="1">
        <v>45870</v>
      </c>
      <c r="F483">
        <v>1</v>
      </c>
      <c r="G483">
        <v>2</v>
      </c>
      <c r="H483" t="s">
        <v>32</v>
      </c>
      <c r="I483" t="s">
        <v>33</v>
      </c>
      <c r="J483" t="s">
        <v>24</v>
      </c>
      <c r="K483" t="s">
        <v>27</v>
      </c>
      <c r="L483">
        <v>1</v>
      </c>
      <c r="M483">
        <v>51.95</v>
      </c>
      <c r="N483">
        <v>12.43</v>
      </c>
      <c r="O483">
        <v>0.1</v>
      </c>
      <c r="P483">
        <v>1.24</v>
      </c>
      <c r="Q483" t="s">
        <v>40</v>
      </c>
      <c r="R483">
        <v>0</v>
      </c>
      <c r="S483">
        <v>1.24</v>
      </c>
    </row>
    <row r="484" spans="1:19" x14ac:dyDescent="0.25">
      <c r="A484" t="s">
        <v>343</v>
      </c>
      <c r="B484" t="s">
        <v>30</v>
      </c>
      <c r="C484" t="s">
        <v>344</v>
      </c>
      <c r="D484" s="1">
        <v>45261</v>
      </c>
      <c r="E484" s="1">
        <v>45870</v>
      </c>
      <c r="F484">
        <v>1</v>
      </c>
      <c r="G484">
        <v>2</v>
      </c>
      <c r="H484" t="s">
        <v>32</v>
      </c>
      <c r="I484" t="s">
        <v>33</v>
      </c>
      <c r="J484" t="s">
        <v>24</v>
      </c>
      <c r="K484" t="s">
        <v>25</v>
      </c>
      <c r="L484">
        <v>1</v>
      </c>
      <c r="M484">
        <v>51.95</v>
      </c>
      <c r="N484">
        <v>21.34</v>
      </c>
      <c r="O484">
        <v>0.1</v>
      </c>
      <c r="P484">
        <v>2.13</v>
      </c>
      <c r="Q484" t="s">
        <v>40</v>
      </c>
      <c r="R484">
        <v>0</v>
      </c>
      <c r="S484">
        <v>2.13</v>
      </c>
    </row>
    <row r="485" spans="1:19" x14ac:dyDescent="0.25">
      <c r="A485" t="s">
        <v>343</v>
      </c>
      <c r="B485" t="s">
        <v>30</v>
      </c>
      <c r="C485" t="s">
        <v>344</v>
      </c>
      <c r="D485" s="1">
        <v>45261</v>
      </c>
      <c r="E485" s="1">
        <v>45870</v>
      </c>
      <c r="F485">
        <v>1</v>
      </c>
      <c r="G485">
        <v>2</v>
      </c>
      <c r="H485" t="s">
        <v>32</v>
      </c>
      <c r="I485" t="s">
        <v>33</v>
      </c>
      <c r="J485" t="s">
        <v>24</v>
      </c>
      <c r="K485" t="s">
        <v>76</v>
      </c>
      <c r="L485">
        <v>1</v>
      </c>
      <c r="M485">
        <v>51.95</v>
      </c>
      <c r="N485">
        <v>2.14</v>
      </c>
      <c r="O485">
        <v>0.1</v>
      </c>
      <c r="P485">
        <v>0.21</v>
      </c>
      <c r="Q485" t="s">
        <v>40</v>
      </c>
      <c r="R485">
        <v>0</v>
      </c>
      <c r="S485">
        <v>0.21</v>
      </c>
    </row>
    <row r="486" spans="1:19" x14ac:dyDescent="0.25">
      <c r="A486" t="s">
        <v>343</v>
      </c>
      <c r="B486" t="s">
        <v>30</v>
      </c>
      <c r="C486" t="s">
        <v>344</v>
      </c>
      <c r="D486" s="1">
        <v>45261</v>
      </c>
      <c r="E486" s="1">
        <v>45870</v>
      </c>
      <c r="F486">
        <v>1</v>
      </c>
      <c r="G486">
        <v>2</v>
      </c>
      <c r="H486" t="s">
        <v>32</v>
      </c>
      <c r="I486" t="s">
        <v>33</v>
      </c>
      <c r="J486" t="s">
        <v>24</v>
      </c>
      <c r="K486" t="s">
        <v>34</v>
      </c>
      <c r="L486">
        <v>1</v>
      </c>
      <c r="M486">
        <v>51.95</v>
      </c>
      <c r="N486">
        <v>14.36</v>
      </c>
      <c r="O486">
        <v>0.1</v>
      </c>
      <c r="P486">
        <v>1.44</v>
      </c>
      <c r="Q486" t="s">
        <v>40</v>
      </c>
      <c r="R486">
        <v>0</v>
      </c>
      <c r="S486">
        <v>1.44</v>
      </c>
    </row>
    <row r="487" spans="1:19" x14ac:dyDescent="0.25">
      <c r="A487" t="s">
        <v>345</v>
      </c>
      <c r="B487" t="s">
        <v>30</v>
      </c>
      <c r="C487" t="s">
        <v>346</v>
      </c>
      <c r="D487" s="1">
        <v>45261</v>
      </c>
      <c r="E487" s="1">
        <v>45870</v>
      </c>
      <c r="F487">
        <v>1</v>
      </c>
      <c r="G487">
        <v>2</v>
      </c>
      <c r="H487" t="s">
        <v>32</v>
      </c>
      <c r="I487" t="s">
        <v>33</v>
      </c>
      <c r="J487" t="s">
        <v>24</v>
      </c>
      <c r="K487" t="s">
        <v>27</v>
      </c>
      <c r="L487">
        <v>1</v>
      </c>
      <c r="M487">
        <v>56.85</v>
      </c>
      <c r="N487">
        <v>24.86</v>
      </c>
      <c r="O487">
        <v>0.1</v>
      </c>
      <c r="P487">
        <v>2.4900000000000002</v>
      </c>
      <c r="Q487" t="s">
        <v>40</v>
      </c>
      <c r="R487">
        <v>0</v>
      </c>
      <c r="S487">
        <v>2.4900000000000002</v>
      </c>
    </row>
    <row r="488" spans="1:19" x14ac:dyDescent="0.25">
      <c r="A488" t="s">
        <v>345</v>
      </c>
      <c r="B488" t="s">
        <v>30</v>
      </c>
      <c r="C488" t="s">
        <v>346</v>
      </c>
      <c r="D488" s="1">
        <v>45261</v>
      </c>
      <c r="E488" s="1">
        <v>45870</v>
      </c>
      <c r="F488">
        <v>1</v>
      </c>
      <c r="G488">
        <v>2</v>
      </c>
      <c r="H488" t="s">
        <v>32</v>
      </c>
      <c r="I488" t="s">
        <v>33</v>
      </c>
      <c r="J488" t="s">
        <v>24</v>
      </c>
      <c r="K488" t="s">
        <v>76</v>
      </c>
      <c r="L488">
        <v>1</v>
      </c>
      <c r="M488">
        <v>56.85</v>
      </c>
      <c r="N488">
        <v>3.53</v>
      </c>
      <c r="O488">
        <v>0.1</v>
      </c>
      <c r="P488">
        <v>0.35</v>
      </c>
      <c r="Q488" t="s">
        <v>40</v>
      </c>
      <c r="R488">
        <v>0</v>
      </c>
      <c r="S488">
        <v>0.35</v>
      </c>
    </row>
    <row r="489" spans="1:19" x14ac:dyDescent="0.25">
      <c r="A489" t="s">
        <v>345</v>
      </c>
      <c r="B489" t="s">
        <v>30</v>
      </c>
      <c r="C489" t="s">
        <v>346</v>
      </c>
      <c r="D489" s="1">
        <v>45261</v>
      </c>
      <c r="E489" s="1">
        <v>45870</v>
      </c>
      <c r="F489">
        <v>1</v>
      </c>
      <c r="G489">
        <v>2</v>
      </c>
      <c r="H489" t="s">
        <v>32</v>
      </c>
      <c r="I489" t="s">
        <v>33</v>
      </c>
      <c r="J489" t="s">
        <v>24</v>
      </c>
      <c r="K489" t="s">
        <v>25</v>
      </c>
      <c r="L489">
        <v>1</v>
      </c>
      <c r="M489">
        <v>56.85</v>
      </c>
      <c r="N489">
        <v>26.78</v>
      </c>
      <c r="O489">
        <v>0.1</v>
      </c>
      <c r="P489">
        <v>2.68</v>
      </c>
      <c r="Q489" t="s">
        <v>40</v>
      </c>
      <c r="R489">
        <v>0</v>
      </c>
      <c r="S489">
        <v>2.68</v>
      </c>
    </row>
    <row r="490" spans="1:19" x14ac:dyDescent="0.25">
      <c r="A490" t="s">
        <v>347</v>
      </c>
      <c r="B490" t="s">
        <v>30</v>
      </c>
      <c r="C490" t="s">
        <v>348</v>
      </c>
      <c r="D490" s="1">
        <v>45292</v>
      </c>
      <c r="E490" s="1">
        <v>45870</v>
      </c>
      <c r="F490">
        <v>1</v>
      </c>
      <c r="G490">
        <v>2</v>
      </c>
      <c r="H490" t="s">
        <v>32</v>
      </c>
      <c r="I490" t="s">
        <v>33</v>
      </c>
      <c r="J490" t="s">
        <v>24</v>
      </c>
      <c r="K490" t="s">
        <v>25</v>
      </c>
      <c r="L490">
        <v>1</v>
      </c>
      <c r="M490">
        <v>67.91</v>
      </c>
      <c r="N490">
        <v>22.34</v>
      </c>
      <c r="O490">
        <v>0.1</v>
      </c>
      <c r="P490">
        <v>2.23</v>
      </c>
      <c r="Q490" t="s">
        <v>40</v>
      </c>
      <c r="R490">
        <v>0</v>
      </c>
      <c r="S490">
        <v>2.23</v>
      </c>
    </row>
    <row r="491" spans="1:19" x14ac:dyDescent="0.25">
      <c r="A491" t="s">
        <v>347</v>
      </c>
      <c r="B491" t="s">
        <v>30</v>
      </c>
      <c r="C491" t="s">
        <v>348</v>
      </c>
      <c r="D491" s="1">
        <v>45292</v>
      </c>
      <c r="E491" s="1">
        <v>45870</v>
      </c>
      <c r="F491">
        <v>1</v>
      </c>
      <c r="G491">
        <v>2</v>
      </c>
      <c r="H491" t="s">
        <v>32</v>
      </c>
      <c r="I491" t="s">
        <v>33</v>
      </c>
      <c r="J491" t="s">
        <v>24</v>
      </c>
      <c r="K491" t="s">
        <v>76</v>
      </c>
      <c r="L491">
        <v>1</v>
      </c>
      <c r="M491">
        <v>67.91</v>
      </c>
      <c r="N491">
        <v>2.65</v>
      </c>
      <c r="O491">
        <v>0.1</v>
      </c>
      <c r="P491">
        <v>0.27</v>
      </c>
      <c r="Q491" t="s">
        <v>40</v>
      </c>
      <c r="R491">
        <v>0</v>
      </c>
      <c r="S491">
        <v>0.27</v>
      </c>
    </row>
    <row r="492" spans="1:19" x14ac:dyDescent="0.25">
      <c r="A492" t="s">
        <v>347</v>
      </c>
      <c r="B492" t="s">
        <v>30</v>
      </c>
      <c r="C492" t="s">
        <v>348</v>
      </c>
      <c r="D492" s="1">
        <v>45292</v>
      </c>
      <c r="E492" s="1">
        <v>45870</v>
      </c>
      <c r="F492">
        <v>1</v>
      </c>
      <c r="G492">
        <v>2</v>
      </c>
      <c r="H492" t="s">
        <v>32</v>
      </c>
      <c r="I492" t="s">
        <v>33</v>
      </c>
      <c r="J492" t="s">
        <v>24</v>
      </c>
      <c r="K492" t="s">
        <v>34</v>
      </c>
      <c r="L492">
        <v>1</v>
      </c>
      <c r="M492">
        <v>67.91</v>
      </c>
      <c r="N492">
        <v>28.81</v>
      </c>
      <c r="O492">
        <v>0.1</v>
      </c>
      <c r="P492">
        <v>2.88</v>
      </c>
      <c r="Q492" t="s">
        <v>40</v>
      </c>
      <c r="R492">
        <v>0</v>
      </c>
      <c r="S492">
        <v>2.88</v>
      </c>
    </row>
    <row r="493" spans="1:19" x14ac:dyDescent="0.25">
      <c r="A493" t="s">
        <v>347</v>
      </c>
      <c r="B493" t="s">
        <v>30</v>
      </c>
      <c r="C493" t="s">
        <v>348</v>
      </c>
      <c r="D493" s="1">
        <v>45292</v>
      </c>
      <c r="E493" s="1">
        <v>45870</v>
      </c>
      <c r="F493">
        <v>1</v>
      </c>
      <c r="G493">
        <v>2</v>
      </c>
      <c r="H493" t="s">
        <v>32</v>
      </c>
      <c r="I493" t="s">
        <v>33</v>
      </c>
      <c r="J493" t="s">
        <v>24</v>
      </c>
      <c r="K493" t="s">
        <v>27</v>
      </c>
      <c r="L493">
        <v>1</v>
      </c>
      <c r="M493">
        <v>67.91</v>
      </c>
      <c r="N493">
        <v>12.43</v>
      </c>
      <c r="O493">
        <v>0.1</v>
      </c>
      <c r="P493">
        <v>1.24</v>
      </c>
      <c r="Q493" t="s">
        <v>40</v>
      </c>
      <c r="R493">
        <v>0</v>
      </c>
      <c r="S493">
        <v>1.24</v>
      </c>
    </row>
    <row r="494" spans="1:19" x14ac:dyDescent="0.25">
      <c r="A494" t="s">
        <v>349</v>
      </c>
      <c r="B494" t="s">
        <v>30</v>
      </c>
      <c r="C494" t="s">
        <v>350</v>
      </c>
      <c r="D494" s="1">
        <v>45292</v>
      </c>
      <c r="E494" s="1">
        <v>45870</v>
      </c>
      <c r="F494">
        <v>1</v>
      </c>
      <c r="G494">
        <v>2</v>
      </c>
      <c r="H494" t="s">
        <v>32</v>
      </c>
      <c r="I494" t="s">
        <v>33</v>
      </c>
      <c r="J494" t="s">
        <v>24</v>
      </c>
      <c r="K494" t="s">
        <v>34</v>
      </c>
      <c r="L494">
        <v>1</v>
      </c>
      <c r="M494">
        <v>49.9</v>
      </c>
      <c r="N494">
        <v>12.94</v>
      </c>
      <c r="O494">
        <v>0.1</v>
      </c>
      <c r="P494">
        <v>1.29</v>
      </c>
      <c r="Q494" t="s">
        <v>40</v>
      </c>
      <c r="R494">
        <v>0</v>
      </c>
      <c r="S494">
        <v>1.29</v>
      </c>
    </row>
    <row r="495" spans="1:19" x14ac:dyDescent="0.25">
      <c r="A495" t="s">
        <v>349</v>
      </c>
      <c r="B495" t="s">
        <v>30</v>
      </c>
      <c r="C495" t="s">
        <v>350</v>
      </c>
      <c r="D495" s="1">
        <v>45292</v>
      </c>
      <c r="E495" s="1">
        <v>45870</v>
      </c>
      <c r="F495">
        <v>1</v>
      </c>
      <c r="G495">
        <v>2</v>
      </c>
      <c r="H495" t="s">
        <v>32</v>
      </c>
      <c r="I495" t="s">
        <v>33</v>
      </c>
      <c r="J495" t="s">
        <v>24</v>
      </c>
      <c r="K495" t="s">
        <v>25</v>
      </c>
      <c r="L495">
        <v>1</v>
      </c>
      <c r="M495">
        <v>49.9</v>
      </c>
      <c r="N495">
        <v>21.06</v>
      </c>
      <c r="O495">
        <v>0.1</v>
      </c>
      <c r="P495">
        <v>2.11</v>
      </c>
      <c r="Q495" t="s">
        <v>40</v>
      </c>
      <c r="R495">
        <v>0</v>
      </c>
      <c r="S495">
        <v>2.11</v>
      </c>
    </row>
    <row r="496" spans="1:19" x14ac:dyDescent="0.25">
      <c r="A496" t="s">
        <v>349</v>
      </c>
      <c r="B496" t="s">
        <v>30</v>
      </c>
      <c r="C496" t="s">
        <v>350</v>
      </c>
      <c r="D496" s="1">
        <v>45292</v>
      </c>
      <c r="E496" s="1">
        <v>45870</v>
      </c>
      <c r="F496">
        <v>1</v>
      </c>
      <c r="G496">
        <v>2</v>
      </c>
      <c r="H496" t="s">
        <v>32</v>
      </c>
      <c r="I496" t="s">
        <v>33</v>
      </c>
      <c r="J496" t="s">
        <v>24</v>
      </c>
      <c r="K496" t="s">
        <v>76</v>
      </c>
      <c r="L496">
        <v>1</v>
      </c>
      <c r="M496">
        <v>49.9</v>
      </c>
      <c r="N496">
        <v>1.79</v>
      </c>
      <c r="O496">
        <v>0.1</v>
      </c>
      <c r="P496">
        <v>0.18</v>
      </c>
      <c r="Q496" t="s">
        <v>40</v>
      </c>
      <c r="R496">
        <v>0</v>
      </c>
      <c r="S496">
        <v>0.18</v>
      </c>
    </row>
    <row r="497" spans="1:19" x14ac:dyDescent="0.25">
      <c r="A497" t="s">
        <v>349</v>
      </c>
      <c r="B497" t="s">
        <v>30</v>
      </c>
      <c r="C497" t="s">
        <v>350</v>
      </c>
      <c r="D497" s="1">
        <v>45292</v>
      </c>
      <c r="E497" s="1">
        <v>45870</v>
      </c>
      <c r="F497">
        <v>1</v>
      </c>
      <c r="G497">
        <v>2</v>
      </c>
      <c r="H497" t="s">
        <v>32</v>
      </c>
      <c r="I497" t="s">
        <v>33</v>
      </c>
      <c r="J497" t="s">
        <v>24</v>
      </c>
      <c r="K497" t="s">
        <v>27</v>
      </c>
      <c r="L497">
        <v>1</v>
      </c>
      <c r="M497">
        <v>49.9</v>
      </c>
      <c r="N497">
        <v>12.43</v>
      </c>
      <c r="O497">
        <v>0.1</v>
      </c>
      <c r="P497">
        <v>1.24</v>
      </c>
      <c r="Q497" t="s">
        <v>40</v>
      </c>
      <c r="R497">
        <v>0</v>
      </c>
      <c r="S497">
        <v>1.24</v>
      </c>
    </row>
    <row r="498" spans="1:19" x14ac:dyDescent="0.25">
      <c r="A498" t="s">
        <v>351</v>
      </c>
      <c r="B498" t="s">
        <v>30</v>
      </c>
      <c r="C498" t="s">
        <v>352</v>
      </c>
      <c r="D498" s="1">
        <v>45383</v>
      </c>
      <c r="E498" s="1">
        <v>45870</v>
      </c>
      <c r="F498">
        <v>1</v>
      </c>
      <c r="G498">
        <v>2</v>
      </c>
      <c r="H498" t="s">
        <v>32</v>
      </c>
      <c r="I498" t="s">
        <v>33</v>
      </c>
      <c r="J498" t="s">
        <v>24</v>
      </c>
      <c r="K498" t="s">
        <v>27</v>
      </c>
      <c r="L498">
        <v>1</v>
      </c>
      <c r="M498">
        <v>49.9</v>
      </c>
      <c r="N498">
        <v>12.43</v>
      </c>
      <c r="O498">
        <v>0.1</v>
      </c>
      <c r="P498">
        <v>1.24</v>
      </c>
      <c r="Q498" t="s">
        <v>40</v>
      </c>
      <c r="R498">
        <v>0</v>
      </c>
      <c r="S498">
        <v>1.24</v>
      </c>
    </row>
    <row r="499" spans="1:19" x14ac:dyDescent="0.25">
      <c r="A499" t="s">
        <v>351</v>
      </c>
      <c r="B499" t="s">
        <v>30</v>
      </c>
      <c r="C499" t="s">
        <v>352</v>
      </c>
      <c r="D499" s="1">
        <v>45383</v>
      </c>
      <c r="E499" s="1">
        <v>45870</v>
      </c>
      <c r="F499">
        <v>1</v>
      </c>
      <c r="G499">
        <v>2</v>
      </c>
      <c r="H499" t="s">
        <v>32</v>
      </c>
      <c r="I499" t="s">
        <v>33</v>
      </c>
      <c r="J499" t="s">
        <v>24</v>
      </c>
      <c r="K499" t="s">
        <v>76</v>
      </c>
      <c r="L499">
        <v>1</v>
      </c>
      <c r="M499">
        <v>49.9</v>
      </c>
      <c r="N499">
        <v>1.79</v>
      </c>
      <c r="O499">
        <v>0.1</v>
      </c>
      <c r="P499">
        <v>0.18</v>
      </c>
      <c r="Q499" t="s">
        <v>40</v>
      </c>
      <c r="R499">
        <v>0</v>
      </c>
      <c r="S499">
        <v>0.18</v>
      </c>
    </row>
    <row r="500" spans="1:19" x14ac:dyDescent="0.25">
      <c r="A500" t="s">
        <v>351</v>
      </c>
      <c r="B500" t="s">
        <v>30</v>
      </c>
      <c r="C500" t="s">
        <v>352</v>
      </c>
      <c r="D500" s="1">
        <v>45383</v>
      </c>
      <c r="E500" s="1">
        <v>45870</v>
      </c>
      <c r="F500">
        <v>1</v>
      </c>
      <c r="G500">
        <v>2</v>
      </c>
      <c r="H500" t="s">
        <v>32</v>
      </c>
      <c r="I500" t="s">
        <v>33</v>
      </c>
      <c r="J500" t="s">
        <v>24</v>
      </c>
      <c r="K500" t="s">
        <v>34</v>
      </c>
      <c r="L500">
        <v>1</v>
      </c>
      <c r="M500">
        <v>49.9</v>
      </c>
      <c r="N500">
        <v>12.94</v>
      </c>
      <c r="O500">
        <v>0.1</v>
      </c>
      <c r="P500">
        <v>1.29</v>
      </c>
      <c r="Q500" t="s">
        <v>40</v>
      </c>
      <c r="R500">
        <v>0</v>
      </c>
      <c r="S500">
        <v>1.29</v>
      </c>
    </row>
    <row r="501" spans="1:19" x14ac:dyDescent="0.25">
      <c r="A501" t="s">
        <v>351</v>
      </c>
      <c r="B501" t="s">
        <v>30</v>
      </c>
      <c r="C501" t="s">
        <v>352</v>
      </c>
      <c r="D501" s="1">
        <v>45383</v>
      </c>
      <c r="E501" s="1">
        <v>45870</v>
      </c>
      <c r="F501">
        <v>1</v>
      </c>
      <c r="G501">
        <v>2</v>
      </c>
      <c r="H501" t="s">
        <v>32</v>
      </c>
      <c r="I501" t="s">
        <v>33</v>
      </c>
      <c r="J501" t="s">
        <v>24</v>
      </c>
      <c r="K501" t="s">
        <v>25</v>
      </c>
      <c r="L501">
        <v>1</v>
      </c>
      <c r="M501">
        <v>49.9</v>
      </c>
      <c r="N501">
        <v>21.06</v>
      </c>
      <c r="O501">
        <v>0.1</v>
      </c>
      <c r="P501">
        <v>2.11</v>
      </c>
      <c r="Q501" t="s">
        <v>40</v>
      </c>
      <c r="R501">
        <v>0</v>
      </c>
      <c r="S501">
        <v>2.11</v>
      </c>
    </row>
    <row r="502" spans="1:19" x14ac:dyDescent="0.25">
      <c r="A502" t="s">
        <v>353</v>
      </c>
      <c r="B502" t="s">
        <v>128</v>
      </c>
      <c r="C502" t="s">
        <v>354</v>
      </c>
      <c r="D502" s="1">
        <v>45474</v>
      </c>
      <c r="E502" s="1">
        <v>45870</v>
      </c>
      <c r="F502">
        <v>1</v>
      </c>
      <c r="G502">
        <v>2</v>
      </c>
      <c r="H502" t="s">
        <v>130</v>
      </c>
      <c r="I502" t="s">
        <v>131</v>
      </c>
      <c r="J502" t="s">
        <v>132</v>
      </c>
      <c r="K502" t="s">
        <v>74</v>
      </c>
      <c r="L502">
        <v>1</v>
      </c>
      <c r="M502">
        <v>141.33000000000001</v>
      </c>
      <c r="N502">
        <v>6.99</v>
      </c>
      <c r="O502">
        <v>0.1</v>
      </c>
      <c r="P502">
        <v>0.7</v>
      </c>
      <c r="Q502" t="s">
        <v>40</v>
      </c>
      <c r="R502">
        <v>0</v>
      </c>
      <c r="S502">
        <v>0.7</v>
      </c>
    </row>
    <row r="503" spans="1:19" x14ac:dyDescent="0.25">
      <c r="A503" t="s">
        <v>353</v>
      </c>
      <c r="B503" t="s">
        <v>128</v>
      </c>
      <c r="C503" t="s">
        <v>354</v>
      </c>
      <c r="D503" s="1">
        <v>45474</v>
      </c>
      <c r="E503" s="1">
        <v>45870</v>
      </c>
      <c r="F503">
        <v>1</v>
      </c>
      <c r="G503">
        <v>2</v>
      </c>
      <c r="H503" t="s">
        <v>130</v>
      </c>
      <c r="I503" t="s">
        <v>131</v>
      </c>
      <c r="J503" t="s">
        <v>132</v>
      </c>
      <c r="K503" t="s">
        <v>76</v>
      </c>
      <c r="L503">
        <v>1</v>
      </c>
      <c r="M503">
        <v>141.33000000000001</v>
      </c>
      <c r="N503">
        <v>2.14</v>
      </c>
      <c r="O503">
        <v>0.1</v>
      </c>
      <c r="P503">
        <v>0.21</v>
      </c>
      <c r="Q503" t="s">
        <v>40</v>
      </c>
      <c r="R503">
        <v>0</v>
      </c>
      <c r="S503">
        <v>0.21</v>
      </c>
    </row>
    <row r="504" spans="1:19" x14ac:dyDescent="0.25">
      <c r="A504" t="s">
        <v>353</v>
      </c>
      <c r="B504" t="s">
        <v>128</v>
      </c>
      <c r="C504" t="s">
        <v>354</v>
      </c>
      <c r="D504" s="1">
        <v>45474</v>
      </c>
      <c r="E504" s="1">
        <v>45870</v>
      </c>
      <c r="F504">
        <v>1</v>
      </c>
      <c r="G504">
        <v>2</v>
      </c>
      <c r="H504" t="s">
        <v>130</v>
      </c>
      <c r="I504" t="s">
        <v>131</v>
      </c>
      <c r="J504" t="s">
        <v>132</v>
      </c>
      <c r="K504" t="s">
        <v>25</v>
      </c>
      <c r="L504">
        <v>1</v>
      </c>
      <c r="M504">
        <v>141.33000000000001</v>
      </c>
      <c r="N504">
        <v>23.46</v>
      </c>
      <c r="O504">
        <v>0.1</v>
      </c>
      <c r="P504">
        <v>2.35</v>
      </c>
      <c r="Q504" t="s">
        <v>40</v>
      </c>
      <c r="R504">
        <v>0</v>
      </c>
      <c r="S504">
        <v>2.35</v>
      </c>
    </row>
    <row r="505" spans="1:19" x14ac:dyDescent="0.25">
      <c r="A505" t="s">
        <v>353</v>
      </c>
      <c r="B505" t="s">
        <v>128</v>
      </c>
      <c r="C505" t="s">
        <v>354</v>
      </c>
      <c r="D505" s="1">
        <v>45474</v>
      </c>
      <c r="E505" s="1">
        <v>45870</v>
      </c>
      <c r="F505">
        <v>1</v>
      </c>
      <c r="G505">
        <v>2</v>
      </c>
      <c r="H505" t="s">
        <v>130</v>
      </c>
      <c r="I505" t="s">
        <v>131</v>
      </c>
      <c r="J505" t="s">
        <v>132</v>
      </c>
      <c r="K505" t="s">
        <v>34</v>
      </c>
      <c r="L505">
        <v>1</v>
      </c>
      <c r="M505">
        <v>141.33000000000001</v>
      </c>
      <c r="N505">
        <v>12.94</v>
      </c>
      <c r="O505">
        <v>0.1</v>
      </c>
      <c r="P505">
        <v>1.29</v>
      </c>
      <c r="Q505" t="s">
        <v>40</v>
      </c>
      <c r="R505">
        <v>0</v>
      </c>
      <c r="S505">
        <v>1.29</v>
      </c>
    </row>
    <row r="506" spans="1:19" x14ac:dyDescent="0.25">
      <c r="A506" t="s">
        <v>353</v>
      </c>
      <c r="B506" t="s">
        <v>128</v>
      </c>
      <c r="C506" t="s">
        <v>354</v>
      </c>
      <c r="D506" s="1">
        <v>45474</v>
      </c>
      <c r="E506" s="1">
        <v>45870</v>
      </c>
      <c r="F506">
        <v>1</v>
      </c>
      <c r="G506">
        <v>2</v>
      </c>
      <c r="H506" t="s">
        <v>130</v>
      </c>
      <c r="I506" t="s">
        <v>131</v>
      </c>
      <c r="J506" t="s">
        <v>132</v>
      </c>
      <c r="K506" t="s">
        <v>105</v>
      </c>
      <c r="L506">
        <v>1</v>
      </c>
      <c r="M506">
        <v>141.33000000000001</v>
      </c>
      <c r="N506">
        <v>2.92</v>
      </c>
      <c r="O506">
        <v>0.1</v>
      </c>
      <c r="P506">
        <v>0.28999999999999998</v>
      </c>
      <c r="Q506" t="s">
        <v>40</v>
      </c>
      <c r="R506">
        <v>0</v>
      </c>
      <c r="S506">
        <v>0.28999999999999998</v>
      </c>
    </row>
    <row r="507" spans="1:19" x14ac:dyDescent="0.25">
      <c r="A507" t="s">
        <v>353</v>
      </c>
      <c r="B507" t="s">
        <v>128</v>
      </c>
      <c r="C507" t="s">
        <v>354</v>
      </c>
      <c r="D507" s="1">
        <v>45474</v>
      </c>
      <c r="E507" s="1">
        <v>45870</v>
      </c>
      <c r="F507">
        <v>1</v>
      </c>
      <c r="G507">
        <v>2</v>
      </c>
      <c r="H507" t="s">
        <v>130</v>
      </c>
      <c r="I507" t="s">
        <v>131</v>
      </c>
      <c r="J507" t="s">
        <v>132</v>
      </c>
      <c r="K507" t="s">
        <v>106</v>
      </c>
      <c r="L507">
        <v>1</v>
      </c>
      <c r="M507">
        <v>141.33000000000001</v>
      </c>
      <c r="N507">
        <v>61.72</v>
      </c>
      <c r="O507">
        <v>0.1</v>
      </c>
      <c r="P507">
        <v>6.17</v>
      </c>
      <c r="Q507" t="s">
        <v>40</v>
      </c>
      <c r="R507">
        <v>0</v>
      </c>
      <c r="S507">
        <v>6.17</v>
      </c>
    </row>
    <row r="508" spans="1:19" x14ac:dyDescent="0.25">
      <c r="A508" t="s">
        <v>353</v>
      </c>
      <c r="B508" t="s">
        <v>128</v>
      </c>
      <c r="C508" t="s">
        <v>354</v>
      </c>
      <c r="D508" s="1">
        <v>45474</v>
      </c>
      <c r="E508" s="1">
        <v>45870</v>
      </c>
      <c r="F508">
        <v>1</v>
      </c>
      <c r="G508">
        <v>2</v>
      </c>
      <c r="H508" t="s">
        <v>130</v>
      </c>
      <c r="I508" t="s">
        <v>131</v>
      </c>
      <c r="J508" t="s">
        <v>132</v>
      </c>
      <c r="K508" t="s">
        <v>75</v>
      </c>
      <c r="L508">
        <v>1</v>
      </c>
      <c r="M508">
        <v>141.33000000000001</v>
      </c>
      <c r="N508">
        <v>4.62</v>
      </c>
      <c r="O508">
        <v>0.1</v>
      </c>
      <c r="P508">
        <v>0.46</v>
      </c>
      <c r="Q508" t="s">
        <v>40</v>
      </c>
      <c r="R508">
        <v>0</v>
      </c>
      <c r="S508">
        <v>0.46</v>
      </c>
    </row>
    <row r="509" spans="1:19" x14ac:dyDescent="0.25">
      <c r="A509" t="s">
        <v>353</v>
      </c>
      <c r="B509" t="s">
        <v>128</v>
      </c>
      <c r="C509" t="s">
        <v>354</v>
      </c>
      <c r="D509" s="1">
        <v>45474</v>
      </c>
      <c r="E509" s="1">
        <v>45870</v>
      </c>
      <c r="F509">
        <v>1</v>
      </c>
      <c r="G509">
        <v>2</v>
      </c>
      <c r="H509" t="s">
        <v>130</v>
      </c>
      <c r="I509" t="s">
        <v>131</v>
      </c>
      <c r="J509" t="s">
        <v>132</v>
      </c>
      <c r="K509" t="s">
        <v>27</v>
      </c>
      <c r="L509">
        <v>1</v>
      </c>
      <c r="M509">
        <v>141.33000000000001</v>
      </c>
      <c r="N509">
        <v>24.86</v>
      </c>
      <c r="O509">
        <v>0.1</v>
      </c>
      <c r="P509">
        <v>2.4900000000000002</v>
      </c>
      <c r="Q509" t="s">
        <v>40</v>
      </c>
      <c r="R509">
        <v>0</v>
      </c>
      <c r="S509">
        <v>2.4900000000000002</v>
      </c>
    </row>
    <row r="510" spans="1:19" x14ac:dyDescent="0.25">
      <c r="A510" t="s">
        <v>355</v>
      </c>
      <c r="B510" t="s">
        <v>356</v>
      </c>
      <c r="C510" t="s">
        <v>357</v>
      </c>
      <c r="D510" s="1">
        <v>45444</v>
      </c>
      <c r="E510" s="1">
        <v>45870</v>
      </c>
      <c r="F510">
        <v>1</v>
      </c>
      <c r="G510">
        <v>2</v>
      </c>
      <c r="H510" t="s">
        <v>154</v>
      </c>
      <c r="I510" t="s">
        <v>155</v>
      </c>
      <c r="J510" t="s">
        <v>156</v>
      </c>
      <c r="K510" t="s">
        <v>25</v>
      </c>
      <c r="L510">
        <v>1</v>
      </c>
      <c r="M510">
        <v>72.150000000000006</v>
      </c>
      <c r="N510">
        <v>34.020000000000003</v>
      </c>
      <c r="O510">
        <v>0.1</v>
      </c>
      <c r="P510">
        <v>3.4</v>
      </c>
      <c r="Q510" t="s">
        <v>40</v>
      </c>
      <c r="R510">
        <v>0</v>
      </c>
      <c r="S510">
        <v>3.4</v>
      </c>
    </row>
    <row r="511" spans="1:19" x14ac:dyDescent="0.25">
      <c r="A511" t="s">
        <v>355</v>
      </c>
      <c r="B511" t="s">
        <v>356</v>
      </c>
      <c r="C511" t="s">
        <v>357</v>
      </c>
      <c r="D511" s="1">
        <v>45444</v>
      </c>
      <c r="E511" s="1">
        <v>45870</v>
      </c>
      <c r="F511">
        <v>1</v>
      </c>
      <c r="G511">
        <v>2</v>
      </c>
      <c r="H511" t="s">
        <v>154</v>
      </c>
      <c r="I511" t="s">
        <v>155</v>
      </c>
      <c r="J511" t="s">
        <v>156</v>
      </c>
      <c r="K511" t="s">
        <v>133</v>
      </c>
      <c r="L511">
        <v>1</v>
      </c>
      <c r="M511">
        <v>72.150000000000006</v>
      </c>
      <c r="N511">
        <v>31.5</v>
      </c>
      <c r="O511">
        <v>0.1</v>
      </c>
      <c r="P511">
        <v>3.15</v>
      </c>
      <c r="Q511" t="s">
        <v>40</v>
      </c>
      <c r="R511">
        <v>0</v>
      </c>
      <c r="S511">
        <v>3.15</v>
      </c>
    </row>
    <row r="512" spans="1:19" x14ac:dyDescent="0.25">
      <c r="A512" t="s">
        <v>355</v>
      </c>
      <c r="B512" t="s">
        <v>356</v>
      </c>
      <c r="C512" t="s">
        <v>357</v>
      </c>
      <c r="D512" s="1">
        <v>45444</v>
      </c>
      <c r="E512" s="1">
        <v>45870</v>
      </c>
      <c r="F512">
        <v>1</v>
      </c>
      <c r="G512">
        <v>2</v>
      </c>
      <c r="H512" t="s">
        <v>154</v>
      </c>
      <c r="I512" t="s">
        <v>155</v>
      </c>
      <c r="J512" t="s">
        <v>156</v>
      </c>
      <c r="K512" t="s">
        <v>41</v>
      </c>
      <c r="L512">
        <v>1</v>
      </c>
      <c r="M512">
        <v>72.150000000000006</v>
      </c>
      <c r="N512">
        <v>2.81</v>
      </c>
      <c r="O512">
        <v>0.1</v>
      </c>
      <c r="P512">
        <v>0.28000000000000003</v>
      </c>
      <c r="Q512" t="s">
        <v>40</v>
      </c>
      <c r="R512">
        <v>0</v>
      </c>
      <c r="S512">
        <v>0.28000000000000003</v>
      </c>
    </row>
    <row r="513" spans="1:19" x14ac:dyDescent="0.25">
      <c r="A513" t="s">
        <v>355</v>
      </c>
      <c r="B513" t="s">
        <v>356</v>
      </c>
      <c r="C513" t="s">
        <v>357</v>
      </c>
      <c r="D513" s="1">
        <v>45444</v>
      </c>
      <c r="E513" s="1">
        <v>45870</v>
      </c>
      <c r="F513">
        <v>1</v>
      </c>
      <c r="G513">
        <v>2</v>
      </c>
      <c r="H513" t="s">
        <v>154</v>
      </c>
      <c r="I513" t="s">
        <v>155</v>
      </c>
      <c r="J513" t="s">
        <v>156</v>
      </c>
      <c r="K513" t="s">
        <v>42</v>
      </c>
      <c r="L513">
        <v>1</v>
      </c>
      <c r="M513">
        <v>72.150000000000006</v>
      </c>
      <c r="N513">
        <v>0.96</v>
      </c>
      <c r="O513">
        <v>0.1</v>
      </c>
      <c r="P513">
        <v>0.1</v>
      </c>
      <c r="Q513" t="s">
        <v>40</v>
      </c>
      <c r="R513">
        <v>0</v>
      </c>
      <c r="S513">
        <v>0.1</v>
      </c>
    </row>
    <row r="514" spans="1:19" x14ac:dyDescent="0.25">
      <c r="A514" t="s">
        <v>355</v>
      </c>
      <c r="B514" t="s">
        <v>356</v>
      </c>
      <c r="C514" t="s">
        <v>357</v>
      </c>
      <c r="D514" s="1">
        <v>45444</v>
      </c>
      <c r="E514" s="1">
        <v>45870</v>
      </c>
      <c r="F514">
        <v>1</v>
      </c>
      <c r="G514">
        <v>2</v>
      </c>
      <c r="H514" t="s">
        <v>154</v>
      </c>
      <c r="I514" t="s">
        <v>155</v>
      </c>
      <c r="J514" t="s">
        <v>156</v>
      </c>
      <c r="K514" t="s">
        <v>75</v>
      </c>
      <c r="L514">
        <v>1</v>
      </c>
      <c r="M514">
        <v>72.150000000000006</v>
      </c>
      <c r="N514">
        <v>1.18</v>
      </c>
      <c r="O514">
        <v>0.1</v>
      </c>
      <c r="P514">
        <v>0.12</v>
      </c>
      <c r="Q514" t="s">
        <v>40</v>
      </c>
      <c r="R514">
        <v>0</v>
      </c>
      <c r="S514">
        <v>0.12</v>
      </c>
    </row>
    <row r="515" spans="1:19" x14ac:dyDescent="0.25">
      <c r="A515" t="s">
        <v>358</v>
      </c>
      <c r="B515" t="s">
        <v>128</v>
      </c>
      <c r="C515" t="s">
        <v>359</v>
      </c>
      <c r="D515" s="1">
        <v>45474</v>
      </c>
      <c r="E515" s="1">
        <v>45870</v>
      </c>
      <c r="F515">
        <v>1</v>
      </c>
      <c r="G515">
        <v>2</v>
      </c>
      <c r="H515" t="s">
        <v>172</v>
      </c>
      <c r="I515" t="s">
        <v>173</v>
      </c>
      <c r="J515" t="s">
        <v>174</v>
      </c>
      <c r="K515" t="s">
        <v>176</v>
      </c>
      <c r="L515">
        <v>1</v>
      </c>
      <c r="M515">
        <v>31.45</v>
      </c>
      <c r="N515">
        <v>2.5</v>
      </c>
      <c r="O515">
        <v>0.1</v>
      </c>
      <c r="P515">
        <v>0.25</v>
      </c>
      <c r="Q515" t="s">
        <v>40</v>
      </c>
      <c r="R515">
        <v>0</v>
      </c>
      <c r="S515">
        <v>0.25</v>
      </c>
    </row>
    <row r="516" spans="1:19" x14ac:dyDescent="0.25">
      <c r="A516" t="s">
        <v>358</v>
      </c>
      <c r="B516" t="s">
        <v>128</v>
      </c>
      <c r="C516" t="s">
        <v>359</v>
      </c>
      <c r="D516" s="1">
        <v>45474</v>
      </c>
      <c r="E516" s="1">
        <v>45870</v>
      </c>
      <c r="F516">
        <v>1</v>
      </c>
      <c r="G516">
        <v>2</v>
      </c>
      <c r="H516" t="s">
        <v>172</v>
      </c>
      <c r="I516" t="s">
        <v>173</v>
      </c>
      <c r="J516" t="s">
        <v>174</v>
      </c>
      <c r="K516" t="s">
        <v>183</v>
      </c>
      <c r="L516">
        <v>1</v>
      </c>
      <c r="M516">
        <v>31.45</v>
      </c>
      <c r="N516">
        <v>4.25</v>
      </c>
      <c r="O516">
        <v>0.1</v>
      </c>
      <c r="P516">
        <v>0.43</v>
      </c>
      <c r="Q516" t="s">
        <v>40</v>
      </c>
      <c r="R516">
        <v>0</v>
      </c>
      <c r="S516">
        <v>0.43</v>
      </c>
    </row>
    <row r="517" spans="1:19" x14ac:dyDescent="0.25">
      <c r="A517" t="s">
        <v>358</v>
      </c>
      <c r="B517" t="s">
        <v>128</v>
      </c>
      <c r="C517" t="s">
        <v>359</v>
      </c>
      <c r="D517" s="1">
        <v>45474</v>
      </c>
      <c r="E517" s="1">
        <v>45870</v>
      </c>
      <c r="F517">
        <v>1</v>
      </c>
      <c r="G517">
        <v>2</v>
      </c>
      <c r="H517" t="s">
        <v>172</v>
      </c>
      <c r="I517" t="s">
        <v>173</v>
      </c>
      <c r="J517" t="s">
        <v>174</v>
      </c>
      <c r="K517" t="s">
        <v>178</v>
      </c>
      <c r="L517">
        <v>1</v>
      </c>
      <c r="M517">
        <v>31.45</v>
      </c>
      <c r="N517">
        <v>1.62</v>
      </c>
      <c r="O517">
        <v>0.1</v>
      </c>
      <c r="P517">
        <v>0.16</v>
      </c>
      <c r="Q517" t="s">
        <v>40</v>
      </c>
      <c r="R517">
        <v>0</v>
      </c>
      <c r="S517">
        <v>0.16</v>
      </c>
    </row>
    <row r="518" spans="1:19" x14ac:dyDescent="0.25">
      <c r="A518" t="s">
        <v>358</v>
      </c>
      <c r="B518" t="s">
        <v>128</v>
      </c>
      <c r="C518" t="s">
        <v>359</v>
      </c>
      <c r="D518" s="1">
        <v>45474</v>
      </c>
      <c r="E518" s="1">
        <v>45870</v>
      </c>
      <c r="F518">
        <v>1</v>
      </c>
      <c r="G518">
        <v>2</v>
      </c>
      <c r="H518" t="s">
        <v>172</v>
      </c>
      <c r="I518" t="s">
        <v>173</v>
      </c>
      <c r="J518" t="s">
        <v>174</v>
      </c>
      <c r="K518" t="s">
        <v>181</v>
      </c>
      <c r="L518">
        <v>1</v>
      </c>
      <c r="M518">
        <v>31.45</v>
      </c>
      <c r="N518">
        <v>11.25</v>
      </c>
      <c r="O518">
        <v>0.1</v>
      </c>
      <c r="P518">
        <v>1.1299999999999999</v>
      </c>
      <c r="Q518" t="s">
        <v>40</v>
      </c>
      <c r="R518">
        <v>0</v>
      </c>
      <c r="S518">
        <v>1.1299999999999999</v>
      </c>
    </row>
    <row r="519" spans="1:19" x14ac:dyDescent="0.25">
      <c r="A519" t="s">
        <v>358</v>
      </c>
      <c r="B519" t="s">
        <v>128</v>
      </c>
      <c r="C519" t="s">
        <v>359</v>
      </c>
      <c r="D519" s="1">
        <v>45474</v>
      </c>
      <c r="E519" s="1">
        <v>45870</v>
      </c>
      <c r="F519">
        <v>1</v>
      </c>
      <c r="G519">
        <v>2</v>
      </c>
      <c r="H519" t="s">
        <v>172</v>
      </c>
      <c r="I519" t="s">
        <v>173</v>
      </c>
      <c r="J519" t="s">
        <v>174</v>
      </c>
      <c r="K519" t="s">
        <v>182</v>
      </c>
      <c r="L519">
        <v>1</v>
      </c>
      <c r="M519">
        <v>31.45</v>
      </c>
      <c r="N519">
        <v>9.75</v>
      </c>
      <c r="O519">
        <v>0.1</v>
      </c>
      <c r="P519">
        <v>0.98</v>
      </c>
      <c r="Q519" t="s">
        <v>40</v>
      </c>
      <c r="R519">
        <v>0</v>
      </c>
      <c r="S519">
        <v>0.98</v>
      </c>
    </row>
    <row r="520" spans="1:19" x14ac:dyDescent="0.25">
      <c r="A520" t="s">
        <v>360</v>
      </c>
      <c r="B520" t="s">
        <v>128</v>
      </c>
      <c r="C520" t="s">
        <v>361</v>
      </c>
      <c r="D520" s="1">
        <v>45474</v>
      </c>
      <c r="E520" s="1">
        <v>45870</v>
      </c>
      <c r="F520">
        <v>1</v>
      </c>
      <c r="G520">
        <v>2</v>
      </c>
      <c r="H520" t="s">
        <v>172</v>
      </c>
      <c r="I520" t="s">
        <v>173</v>
      </c>
      <c r="J520" t="s">
        <v>174</v>
      </c>
      <c r="K520" t="s">
        <v>182</v>
      </c>
      <c r="L520">
        <v>1</v>
      </c>
      <c r="M520">
        <v>20.39</v>
      </c>
      <c r="N520">
        <v>7.58</v>
      </c>
      <c r="O520">
        <v>0.1</v>
      </c>
      <c r="P520">
        <v>0.76</v>
      </c>
      <c r="Q520" t="s">
        <v>40</v>
      </c>
      <c r="R520">
        <v>0</v>
      </c>
      <c r="S520">
        <v>0.76</v>
      </c>
    </row>
    <row r="521" spans="1:19" x14ac:dyDescent="0.25">
      <c r="A521" t="s">
        <v>360</v>
      </c>
      <c r="B521" t="s">
        <v>128</v>
      </c>
      <c r="C521" t="s">
        <v>361</v>
      </c>
      <c r="D521" s="1">
        <v>45474</v>
      </c>
      <c r="E521" s="1">
        <v>45870</v>
      </c>
      <c r="F521">
        <v>1</v>
      </c>
      <c r="G521">
        <v>2</v>
      </c>
      <c r="H521" t="s">
        <v>172</v>
      </c>
      <c r="I521" t="s">
        <v>173</v>
      </c>
      <c r="J521" t="s">
        <v>174</v>
      </c>
      <c r="K521" t="s">
        <v>178</v>
      </c>
      <c r="L521">
        <v>1</v>
      </c>
      <c r="M521">
        <v>20.39</v>
      </c>
      <c r="N521">
        <v>0.65</v>
      </c>
      <c r="O521">
        <v>0.1</v>
      </c>
      <c r="P521">
        <v>7.0000000000000007E-2</v>
      </c>
      <c r="Q521" t="s">
        <v>40</v>
      </c>
      <c r="R521">
        <v>0</v>
      </c>
      <c r="S521">
        <v>7.0000000000000007E-2</v>
      </c>
    </row>
    <row r="522" spans="1:19" x14ac:dyDescent="0.25">
      <c r="A522" t="s">
        <v>360</v>
      </c>
      <c r="B522" t="s">
        <v>128</v>
      </c>
      <c r="C522" t="s">
        <v>361</v>
      </c>
      <c r="D522" s="1">
        <v>45474</v>
      </c>
      <c r="E522" s="1">
        <v>45870</v>
      </c>
      <c r="F522">
        <v>1</v>
      </c>
      <c r="G522">
        <v>2</v>
      </c>
      <c r="H522" t="s">
        <v>172</v>
      </c>
      <c r="I522" t="s">
        <v>173</v>
      </c>
      <c r="J522" t="s">
        <v>174</v>
      </c>
      <c r="K522" t="s">
        <v>181</v>
      </c>
      <c r="L522">
        <v>1</v>
      </c>
      <c r="M522">
        <v>20.39</v>
      </c>
      <c r="N522">
        <v>4.58</v>
      </c>
      <c r="O522">
        <v>0.1</v>
      </c>
      <c r="P522">
        <v>0.46</v>
      </c>
      <c r="Q522" t="s">
        <v>40</v>
      </c>
      <c r="R522">
        <v>0</v>
      </c>
      <c r="S522">
        <v>0.46</v>
      </c>
    </row>
    <row r="523" spans="1:19" x14ac:dyDescent="0.25">
      <c r="A523" t="s">
        <v>360</v>
      </c>
      <c r="B523" t="s">
        <v>128</v>
      </c>
      <c r="C523" t="s">
        <v>361</v>
      </c>
      <c r="D523" s="1">
        <v>45474</v>
      </c>
      <c r="E523" s="1">
        <v>45870</v>
      </c>
      <c r="F523">
        <v>1</v>
      </c>
      <c r="G523">
        <v>2</v>
      </c>
      <c r="H523" t="s">
        <v>172</v>
      </c>
      <c r="I523" t="s">
        <v>173</v>
      </c>
      <c r="J523" t="s">
        <v>174</v>
      </c>
      <c r="K523" t="s">
        <v>183</v>
      </c>
      <c r="L523">
        <v>1</v>
      </c>
      <c r="M523">
        <v>20.39</v>
      </c>
      <c r="N523">
        <v>4.25</v>
      </c>
      <c r="O523">
        <v>0.1</v>
      </c>
      <c r="P523">
        <v>0.43</v>
      </c>
      <c r="Q523" t="s">
        <v>40</v>
      </c>
      <c r="R523">
        <v>0</v>
      </c>
      <c r="S523">
        <v>0.43</v>
      </c>
    </row>
    <row r="524" spans="1:19" x14ac:dyDescent="0.25">
      <c r="A524" t="s">
        <v>360</v>
      </c>
      <c r="B524" t="s">
        <v>128</v>
      </c>
      <c r="C524" t="s">
        <v>361</v>
      </c>
      <c r="D524" s="1">
        <v>45474</v>
      </c>
      <c r="E524" s="1">
        <v>45870</v>
      </c>
      <c r="F524">
        <v>1</v>
      </c>
      <c r="G524">
        <v>2</v>
      </c>
      <c r="H524" t="s">
        <v>172</v>
      </c>
      <c r="I524" t="s">
        <v>173</v>
      </c>
      <c r="J524" t="s">
        <v>174</v>
      </c>
      <c r="K524" t="s">
        <v>176</v>
      </c>
      <c r="L524">
        <v>1</v>
      </c>
      <c r="M524">
        <v>20.39</v>
      </c>
      <c r="N524">
        <v>1.25</v>
      </c>
      <c r="O524">
        <v>0.1</v>
      </c>
      <c r="P524">
        <v>0.13</v>
      </c>
      <c r="Q524" t="s">
        <v>40</v>
      </c>
      <c r="R524">
        <v>0</v>
      </c>
      <c r="S524">
        <v>0.13</v>
      </c>
    </row>
    <row r="525" spans="1:19" x14ac:dyDescent="0.25">
      <c r="A525" t="s">
        <v>362</v>
      </c>
      <c r="B525" t="s">
        <v>152</v>
      </c>
      <c r="C525" t="s">
        <v>363</v>
      </c>
      <c r="D525" s="1">
        <v>45474</v>
      </c>
      <c r="E525" s="1">
        <v>45870</v>
      </c>
      <c r="F525">
        <v>1</v>
      </c>
      <c r="G525">
        <v>2</v>
      </c>
      <c r="H525" t="s">
        <v>172</v>
      </c>
      <c r="I525" t="s">
        <v>173</v>
      </c>
      <c r="J525" t="s">
        <v>174</v>
      </c>
      <c r="K525" t="s">
        <v>176</v>
      </c>
      <c r="L525">
        <v>1</v>
      </c>
      <c r="M525">
        <v>15.58</v>
      </c>
      <c r="N525">
        <v>0.25</v>
      </c>
      <c r="O525">
        <v>0.1</v>
      </c>
      <c r="P525">
        <v>0.03</v>
      </c>
      <c r="Q525" t="s">
        <v>40</v>
      </c>
      <c r="R525">
        <v>0</v>
      </c>
      <c r="S525">
        <v>0.03</v>
      </c>
    </row>
    <row r="526" spans="1:19" x14ac:dyDescent="0.25">
      <c r="A526" t="s">
        <v>362</v>
      </c>
      <c r="B526" t="s">
        <v>152</v>
      </c>
      <c r="C526" t="s">
        <v>363</v>
      </c>
      <c r="D526" s="1">
        <v>45474</v>
      </c>
      <c r="E526" s="1">
        <v>45870</v>
      </c>
      <c r="F526">
        <v>1</v>
      </c>
      <c r="G526">
        <v>2</v>
      </c>
      <c r="H526" t="s">
        <v>172</v>
      </c>
      <c r="I526" t="s">
        <v>173</v>
      </c>
      <c r="J526" t="s">
        <v>174</v>
      </c>
      <c r="K526" t="s">
        <v>183</v>
      </c>
      <c r="L526">
        <v>1</v>
      </c>
      <c r="M526">
        <v>15.58</v>
      </c>
      <c r="N526">
        <v>3.42</v>
      </c>
      <c r="O526">
        <v>0.1</v>
      </c>
      <c r="P526">
        <v>0.34</v>
      </c>
      <c r="Q526" t="s">
        <v>40</v>
      </c>
      <c r="R526">
        <v>0</v>
      </c>
      <c r="S526">
        <v>0.34</v>
      </c>
    </row>
    <row r="527" spans="1:19" x14ac:dyDescent="0.25">
      <c r="A527" t="s">
        <v>362</v>
      </c>
      <c r="B527" t="s">
        <v>152</v>
      </c>
      <c r="C527" t="s">
        <v>363</v>
      </c>
      <c r="D527" s="1">
        <v>45474</v>
      </c>
      <c r="E527" s="1">
        <v>45870</v>
      </c>
      <c r="F527">
        <v>1</v>
      </c>
      <c r="G527">
        <v>2</v>
      </c>
      <c r="H527" t="s">
        <v>172</v>
      </c>
      <c r="I527" t="s">
        <v>173</v>
      </c>
      <c r="J527" t="s">
        <v>174</v>
      </c>
      <c r="K527" t="s">
        <v>181</v>
      </c>
      <c r="L527">
        <v>1</v>
      </c>
      <c r="M527">
        <v>15.58</v>
      </c>
      <c r="N527">
        <v>5.83</v>
      </c>
      <c r="O527">
        <v>0.1</v>
      </c>
      <c r="P527">
        <v>0.57999999999999996</v>
      </c>
      <c r="Q527" t="s">
        <v>40</v>
      </c>
      <c r="R527">
        <v>0</v>
      </c>
      <c r="S527">
        <v>0.57999999999999996</v>
      </c>
    </row>
    <row r="528" spans="1:19" x14ac:dyDescent="0.25">
      <c r="A528" t="s">
        <v>362</v>
      </c>
      <c r="B528" t="s">
        <v>152</v>
      </c>
      <c r="C528" t="s">
        <v>363</v>
      </c>
      <c r="D528" s="1">
        <v>45474</v>
      </c>
      <c r="E528" s="1">
        <v>45870</v>
      </c>
      <c r="F528">
        <v>1</v>
      </c>
      <c r="G528">
        <v>2</v>
      </c>
      <c r="H528" t="s">
        <v>172</v>
      </c>
      <c r="I528" t="s">
        <v>173</v>
      </c>
      <c r="J528" t="s">
        <v>174</v>
      </c>
      <c r="K528" t="s">
        <v>178</v>
      </c>
      <c r="L528">
        <v>1</v>
      </c>
      <c r="M528">
        <v>15.58</v>
      </c>
      <c r="N528">
        <v>0.57999999999999996</v>
      </c>
      <c r="O528">
        <v>0.1</v>
      </c>
      <c r="P528">
        <v>0.06</v>
      </c>
      <c r="Q528" t="s">
        <v>40</v>
      </c>
      <c r="R528">
        <v>0</v>
      </c>
      <c r="S528">
        <v>0.06</v>
      </c>
    </row>
    <row r="529" spans="1:19" x14ac:dyDescent="0.25">
      <c r="A529" t="s">
        <v>362</v>
      </c>
      <c r="B529" t="s">
        <v>152</v>
      </c>
      <c r="C529" t="s">
        <v>363</v>
      </c>
      <c r="D529" s="1">
        <v>45474</v>
      </c>
      <c r="E529" s="1">
        <v>45870</v>
      </c>
      <c r="F529">
        <v>1</v>
      </c>
      <c r="G529">
        <v>2</v>
      </c>
      <c r="H529" t="s">
        <v>172</v>
      </c>
      <c r="I529" t="s">
        <v>173</v>
      </c>
      <c r="J529" t="s">
        <v>174</v>
      </c>
      <c r="K529" t="s">
        <v>364</v>
      </c>
      <c r="L529">
        <v>1</v>
      </c>
      <c r="M529">
        <v>15.58</v>
      </c>
      <c r="N529">
        <v>1.25</v>
      </c>
      <c r="O529">
        <v>0.1</v>
      </c>
      <c r="P529">
        <v>0.13</v>
      </c>
      <c r="Q529" t="s">
        <v>40</v>
      </c>
      <c r="R529">
        <v>0</v>
      </c>
      <c r="S529">
        <v>0.13</v>
      </c>
    </row>
    <row r="530" spans="1:19" x14ac:dyDescent="0.25">
      <c r="A530" t="s">
        <v>362</v>
      </c>
      <c r="B530" t="s">
        <v>152</v>
      </c>
      <c r="C530" t="s">
        <v>363</v>
      </c>
      <c r="D530" s="1">
        <v>45474</v>
      </c>
      <c r="E530" s="1">
        <v>45870</v>
      </c>
      <c r="F530">
        <v>1</v>
      </c>
      <c r="G530">
        <v>2</v>
      </c>
      <c r="H530" t="s">
        <v>172</v>
      </c>
      <c r="I530" t="s">
        <v>173</v>
      </c>
      <c r="J530" t="s">
        <v>174</v>
      </c>
      <c r="K530" t="s">
        <v>182</v>
      </c>
      <c r="L530">
        <v>1</v>
      </c>
      <c r="M530">
        <v>15.58</v>
      </c>
      <c r="N530">
        <v>2.17</v>
      </c>
      <c r="O530">
        <v>0.1</v>
      </c>
      <c r="P530">
        <v>0.22</v>
      </c>
      <c r="Q530" t="s">
        <v>40</v>
      </c>
      <c r="R530">
        <v>0</v>
      </c>
      <c r="S530">
        <v>0.22</v>
      </c>
    </row>
    <row r="531" spans="1:19" x14ac:dyDescent="0.25">
      <c r="A531" t="s">
        <v>365</v>
      </c>
      <c r="B531" t="s">
        <v>128</v>
      </c>
      <c r="C531" t="s">
        <v>366</v>
      </c>
      <c r="D531" s="1">
        <v>45474</v>
      </c>
      <c r="E531" s="1">
        <v>46204</v>
      </c>
      <c r="F531">
        <v>12</v>
      </c>
      <c r="G531">
        <v>2</v>
      </c>
      <c r="H531" t="s">
        <v>172</v>
      </c>
      <c r="I531" t="s">
        <v>173</v>
      </c>
      <c r="J531" t="s">
        <v>174</v>
      </c>
      <c r="K531" t="s">
        <v>181</v>
      </c>
      <c r="L531">
        <v>1</v>
      </c>
      <c r="M531">
        <v>210.5</v>
      </c>
      <c r="N531">
        <v>105</v>
      </c>
      <c r="O531">
        <v>0.1</v>
      </c>
      <c r="P531">
        <v>10.5</v>
      </c>
      <c r="Q531" t="s">
        <v>40</v>
      </c>
      <c r="R531">
        <v>0</v>
      </c>
      <c r="S531">
        <v>10.5</v>
      </c>
    </row>
    <row r="532" spans="1:19" x14ac:dyDescent="0.25">
      <c r="A532" t="s">
        <v>365</v>
      </c>
      <c r="B532" t="s">
        <v>128</v>
      </c>
      <c r="C532" t="s">
        <v>366</v>
      </c>
      <c r="D532" s="1">
        <v>45474</v>
      </c>
      <c r="E532" s="1">
        <v>46204</v>
      </c>
      <c r="F532">
        <v>12</v>
      </c>
      <c r="G532">
        <v>2</v>
      </c>
      <c r="H532" t="s">
        <v>172</v>
      </c>
      <c r="I532" t="s">
        <v>173</v>
      </c>
      <c r="J532" t="s">
        <v>174</v>
      </c>
      <c r="K532" t="s">
        <v>178</v>
      </c>
      <c r="L532">
        <v>1</v>
      </c>
      <c r="M532">
        <v>210.5</v>
      </c>
      <c r="N532">
        <v>10.5</v>
      </c>
      <c r="O532">
        <v>0.1</v>
      </c>
      <c r="P532">
        <v>1.05</v>
      </c>
      <c r="Q532" t="s">
        <v>40</v>
      </c>
      <c r="R532">
        <v>0</v>
      </c>
      <c r="S532">
        <v>1.05</v>
      </c>
    </row>
    <row r="533" spans="1:19" x14ac:dyDescent="0.25">
      <c r="A533" t="s">
        <v>365</v>
      </c>
      <c r="B533" t="s">
        <v>128</v>
      </c>
      <c r="C533" t="s">
        <v>366</v>
      </c>
      <c r="D533" s="1">
        <v>45474</v>
      </c>
      <c r="E533" s="1">
        <v>46204</v>
      </c>
      <c r="F533">
        <v>12</v>
      </c>
      <c r="G533">
        <v>2</v>
      </c>
      <c r="H533" t="s">
        <v>172</v>
      </c>
      <c r="I533" t="s">
        <v>173</v>
      </c>
      <c r="J533" t="s">
        <v>174</v>
      </c>
      <c r="K533" t="s">
        <v>182</v>
      </c>
      <c r="L533">
        <v>1</v>
      </c>
      <c r="M533">
        <v>210.5</v>
      </c>
      <c r="N533">
        <v>26</v>
      </c>
      <c r="O533">
        <v>0.1</v>
      </c>
      <c r="P533">
        <v>2.6</v>
      </c>
      <c r="Q533" t="s">
        <v>40</v>
      </c>
      <c r="R533">
        <v>0</v>
      </c>
      <c r="S533">
        <v>2.6</v>
      </c>
    </row>
    <row r="534" spans="1:19" x14ac:dyDescent="0.25">
      <c r="A534" t="s">
        <v>365</v>
      </c>
      <c r="B534" t="s">
        <v>128</v>
      </c>
      <c r="C534" t="s">
        <v>366</v>
      </c>
      <c r="D534" s="1">
        <v>45474</v>
      </c>
      <c r="E534" s="1">
        <v>46204</v>
      </c>
      <c r="F534">
        <v>12</v>
      </c>
      <c r="G534">
        <v>2</v>
      </c>
      <c r="H534" t="s">
        <v>172</v>
      </c>
      <c r="I534" t="s">
        <v>173</v>
      </c>
      <c r="J534" t="s">
        <v>174</v>
      </c>
      <c r="K534" t="s">
        <v>183</v>
      </c>
      <c r="L534">
        <v>1</v>
      </c>
      <c r="M534">
        <v>210.5</v>
      </c>
      <c r="N534">
        <v>41</v>
      </c>
      <c r="O534">
        <v>0.1</v>
      </c>
      <c r="P534">
        <v>4.0999999999999996</v>
      </c>
      <c r="Q534" t="s">
        <v>40</v>
      </c>
      <c r="R534">
        <v>0</v>
      </c>
      <c r="S534">
        <v>4.0999999999999996</v>
      </c>
    </row>
    <row r="535" spans="1:19" x14ac:dyDescent="0.25">
      <c r="A535" t="s">
        <v>365</v>
      </c>
      <c r="B535" t="s">
        <v>128</v>
      </c>
      <c r="C535" t="s">
        <v>366</v>
      </c>
      <c r="D535" s="1">
        <v>45474</v>
      </c>
      <c r="E535" s="1">
        <v>46204</v>
      </c>
      <c r="F535">
        <v>12</v>
      </c>
      <c r="G535">
        <v>2</v>
      </c>
      <c r="H535" t="s">
        <v>172</v>
      </c>
      <c r="I535" t="s">
        <v>173</v>
      </c>
      <c r="J535" t="s">
        <v>174</v>
      </c>
      <c r="K535" t="s">
        <v>176</v>
      </c>
      <c r="L535">
        <v>1</v>
      </c>
      <c r="M535">
        <v>210.5</v>
      </c>
      <c r="N535">
        <v>3</v>
      </c>
      <c r="O535">
        <v>0.1</v>
      </c>
      <c r="P535">
        <v>0.3</v>
      </c>
      <c r="Q535" t="s">
        <v>40</v>
      </c>
      <c r="R535">
        <v>0</v>
      </c>
      <c r="S535">
        <v>0.3</v>
      </c>
    </row>
    <row r="536" spans="1:19" x14ac:dyDescent="0.25">
      <c r="A536" t="s">
        <v>367</v>
      </c>
      <c r="B536" t="s">
        <v>152</v>
      </c>
      <c r="C536" t="s">
        <v>368</v>
      </c>
      <c r="D536" s="1">
        <v>45480</v>
      </c>
      <c r="E536" s="1">
        <v>45876</v>
      </c>
      <c r="F536">
        <v>1</v>
      </c>
      <c r="G536">
        <v>8</v>
      </c>
      <c r="H536" t="s">
        <v>172</v>
      </c>
      <c r="I536" t="s">
        <v>173</v>
      </c>
      <c r="J536" t="s">
        <v>174</v>
      </c>
      <c r="K536" t="s">
        <v>183</v>
      </c>
      <c r="L536">
        <v>1</v>
      </c>
      <c r="M536">
        <v>29.58</v>
      </c>
      <c r="N536">
        <v>4.42</v>
      </c>
      <c r="O536">
        <v>0.1</v>
      </c>
      <c r="P536">
        <v>0.44</v>
      </c>
      <c r="Q536" t="s">
        <v>40</v>
      </c>
      <c r="R536">
        <v>0</v>
      </c>
      <c r="S536">
        <v>0.44</v>
      </c>
    </row>
    <row r="537" spans="1:19" x14ac:dyDescent="0.25">
      <c r="A537" t="s">
        <v>367</v>
      </c>
      <c r="B537" t="s">
        <v>152</v>
      </c>
      <c r="C537" t="s">
        <v>368</v>
      </c>
      <c r="D537" s="1">
        <v>45480</v>
      </c>
      <c r="E537" s="1">
        <v>45876</v>
      </c>
      <c r="F537">
        <v>1</v>
      </c>
      <c r="G537">
        <v>8</v>
      </c>
      <c r="H537" t="s">
        <v>172</v>
      </c>
      <c r="I537" t="s">
        <v>173</v>
      </c>
      <c r="J537" t="s">
        <v>174</v>
      </c>
      <c r="K537" t="s">
        <v>182</v>
      </c>
      <c r="L537">
        <v>1</v>
      </c>
      <c r="M537">
        <v>29.58</v>
      </c>
      <c r="N537">
        <v>9.2100000000000009</v>
      </c>
      <c r="O537">
        <v>0.1</v>
      </c>
      <c r="P537">
        <v>0.92</v>
      </c>
      <c r="Q537" t="s">
        <v>40</v>
      </c>
      <c r="R537">
        <v>0</v>
      </c>
      <c r="S537">
        <v>0.92</v>
      </c>
    </row>
    <row r="538" spans="1:19" x14ac:dyDescent="0.25">
      <c r="A538" t="s">
        <v>367</v>
      </c>
      <c r="B538" t="s">
        <v>152</v>
      </c>
      <c r="C538" t="s">
        <v>368</v>
      </c>
      <c r="D538" s="1">
        <v>45480</v>
      </c>
      <c r="E538" s="1">
        <v>45876</v>
      </c>
      <c r="F538">
        <v>1</v>
      </c>
      <c r="G538">
        <v>8</v>
      </c>
      <c r="H538" t="s">
        <v>172</v>
      </c>
      <c r="I538" t="s">
        <v>173</v>
      </c>
      <c r="J538" t="s">
        <v>174</v>
      </c>
      <c r="K538" t="s">
        <v>178</v>
      </c>
      <c r="L538">
        <v>1</v>
      </c>
      <c r="M538">
        <v>29.58</v>
      </c>
      <c r="N538">
        <v>1.46</v>
      </c>
      <c r="O538">
        <v>0.1</v>
      </c>
      <c r="P538">
        <v>0.15</v>
      </c>
      <c r="Q538" t="s">
        <v>40</v>
      </c>
      <c r="R538">
        <v>0</v>
      </c>
      <c r="S538">
        <v>0.15</v>
      </c>
    </row>
    <row r="539" spans="1:19" x14ac:dyDescent="0.25">
      <c r="A539" t="s">
        <v>367</v>
      </c>
      <c r="B539" t="s">
        <v>152</v>
      </c>
      <c r="C539" t="s">
        <v>368</v>
      </c>
      <c r="D539" s="1">
        <v>45480</v>
      </c>
      <c r="E539" s="1">
        <v>45876</v>
      </c>
      <c r="F539">
        <v>1</v>
      </c>
      <c r="G539">
        <v>8</v>
      </c>
      <c r="H539" t="s">
        <v>172</v>
      </c>
      <c r="I539" t="s">
        <v>173</v>
      </c>
      <c r="J539" t="s">
        <v>174</v>
      </c>
      <c r="K539" t="s">
        <v>176</v>
      </c>
      <c r="L539">
        <v>1</v>
      </c>
      <c r="M539">
        <v>29.58</v>
      </c>
      <c r="N539">
        <v>1.58</v>
      </c>
      <c r="O539">
        <v>0.1</v>
      </c>
      <c r="P539">
        <v>0.16</v>
      </c>
      <c r="Q539" t="s">
        <v>40</v>
      </c>
      <c r="R539">
        <v>0</v>
      </c>
      <c r="S539">
        <v>0.16</v>
      </c>
    </row>
    <row r="540" spans="1:19" x14ac:dyDescent="0.25">
      <c r="A540" t="s">
        <v>367</v>
      </c>
      <c r="B540" t="s">
        <v>152</v>
      </c>
      <c r="C540" t="s">
        <v>368</v>
      </c>
      <c r="D540" s="1">
        <v>45480</v>
      </c>
      <c r="E540" s="1">
        <v>45876</v>
      </c>
      <c r="F540">
        <v>1</v>
      </c>
      <c r="G540">
        <v>8</v>
      </c>
      <c r="H540" t="s">
        <v>172</v>
      </c>
      <c r="I540" t="s">
        <v>173</v>
      </c>
      <c r="J540" t="s">
        <v>174</v>
      </c>
      <c r="K540" t="s">
        <v>181</v>
      </c>
      <c r="L540">
        <v>1</v>
      </c>
      <c r="M540">
        <v>29.58</v>
      </c>
      <c r="N540">
        <v>10.83</v>
      </c>
      <c r="O540">
        <v>0.1</v>
      </c>
      <c r="P540">
        <v>1.08</v>
      </c>
      <c r="Q540" t="s">
        <v>40</v>
      </c>
      <c r="R540">
        <v>0</v>
      </c>
      <c r="S540">
        <v>1.08</v>
      </c>
    </row>
    <row r="541" spans="1:19" x14ac:dyDescent="0.25">
      <c r="A541" t="s">
        <v>369</v>
      </c>
      <c r="B541" t="s">
        <v>152</v>
      </c>
      <c r="C541" t="s">
        <v>370</v>
      </c>
      <c r="D541" s="1">
        <v>45481</v>
      </c>
      <c r="E541" s="1">
        <v>45877</v>
      </c>
      <c r="F541">
        <v>1</v>
      </c>
      <c r="G541">
        <v>8</v>
      </c>
      <c r="H541" t="s">
        <v>172</v>
      </c>
      <c r="I541" t="s">
        <v>173</v>
      </c>
      <c r="J541" t="s">
        <v>174</v>
      </c>
      <c r="K541" t="s">
        <v>182</v>
      </c>
      <c r="L541">
        <v>1</v>
      </c>
      <c r="M541">
        <v>78.08</v>
      </c>
      <c r="N541">
        <v>13</v>
      </c>
      <c r="O541">
        <v>0.1</v>
      </c>
      <c r="P541">
        <v>1.3</v>
      </c>
      <c r="Q541" t="s">
        <v>40</v>
      </c>
      <c r="R541">
        <v>0</v>
      </c>
      <c r="S541">
        <v>1.3</v>
      </c>
    </row>
    <row r="542" spans="1:19" x14ac:dyDescent="0.25">
      <c r="A542" t="s">
        <v>369</v>
      </c>
      <c r="B542" t="s">
        <v>152</v>
      </c>
      <c r="C542" t="s">
        <v>370</v>
      </c>
      <c r="D542" s="1">
        <v>45481</v>
      </c>
      <c r="E542" s="1">
        <v>45877</v>
      </c>
      <c r="F542">
        <v>1</v>
      </c>
      <c r="G542">
        <v>8</v>
      </c>
      <c r="H542" t="s">
        <v>172</v>
      </c>
      <c r="I542" t="s">
        <v>173</v>
      </c>
      <c r="J542" t="s">
        <v>174</v>
      </c>
      <c r="K542" t="s">
        <v>183</v>
      </c>
      <c r="L542">
        <v>1</v>
      </c>
      <c r="M542">
        <v>78.08</v>
      </c>
      <c r="N542">
        <v>4.58</v>
      </c>
      <c r="O542">
        <v>0.1</v>
      </c>
      <c r="P542">
        <v>0.46</v>
      </c>
      <c r="Q542" t="s">
        <v>40</v>
      </c>
      <c r="R542">
        <v>0</v>
      </c>
      <c r="S542">
        <v>0.46</v>
      </c>
    </row>
    <row r="543" spans="1:19" x14ac:dyDescent="0.25">
      <c r="A543" t="s">
        <v>369</v>
      </c>
      <c r="B543" t="s">
        <v>152</v>
      </c>
      <c r="C543" t="s">
        <v>370</v>
      </c>
      <c r="D543" s="1">
        <v>45481</v>
      </c>
      <c r="E543" s="1">
        <v>45877</v>
      </c>
      <c r="F543">
        <v>1</v>
      </c>
      <c r="G543">
        <v>8</v>
      </c>
      <c r="H543" t="s">
        <v>172</v>
      </c>
      <c r="I543" t="s">
        <v>173</v>
      </c>
      <c r="J543" t="s">
        <v>174</v>
      </c>
      <c r="K543" t="s">
        <v>181</v>
      </c>
      <c r="L543">
        <v>1</v>
      </c>
      <c r="M543">
        <v>78.08</v>
      </c>
      <c r="N543">
        <v>47.5</v>
      </c>
      <c r="O543">
        <v>0.1</v>
      </c>
      <c r="P543">
        <v>4.75</v>
      </c>
      <c r="Q543" t="s">
        <v>40</v>
      </c>
      <c r="R543">
        <v>0</v>
      </c>
      <c r="S543">
        <v>4.75</v>
      </c>
    </row>
    <row r="544" spans="1:19" x14ac:dyDescent="0.25">
      <c r="A544" t="s">
        <v>369</v>
      </c>
      <c r="B544" t="s">
        <v>152</v>
      </c>
      <c r="C544" t="s">
        <v>370</v>
      </c>
      <c r="D544" s="1">
        <v>45481</v>
      </c>
      <c r="E544" s="1">
        <v>45877</v>
      </c>
      <c r="F544">
        <v>1</v>
      </c>
      <c r="G544">
        <v>8</v>
      </c>
      <c r="H544" t="s">
        <v>172</v>
      </c>
      <c r="I544" t="s">
        <v>173</v>
      </c>
      <c r="J544" t="s">
        <v>174</v>
      </c>
      <c r="K544" t="s">
        <v>178</v>
      </c>
      <c r="L544">
        <v>1</v>
      </c>
      <c r="M544">
        <v>78.08</v>
      </c>
      <c r="N544">
        <v>6.5</v>
      </c>
      <c r="O544">
        <v>0.1</v>
      </c>
      <c r="P544">
        <v>0.65</v>
      </c>
      <c r="Q544" t="s">
        <v>40</v>
      </c>
      <c r="R544">
        <v>0</v>
      </c>
      <c r="S544">
        <v>0.65</v>
      </c>
    </row>
    <row r="545" spans="1:19" x14ac:dyDescent="0.25">
      <c r="A545" t="s">
        <v>369</v>
      </c>
      <c r="B545" t="s">
        <v>152</v>
      </c>
      <c r="C545" t="s">
        <v>370</v>
      </c>
      <c r="D545" s="1">
        <v>45481</v>
      </c>
      <c r="E545" s="1">
        <v>45877</v>
      </c>
      <c r="F545">
        <v>1</v>
      </c>
      <c r="G545">
        <v>8</v>
      </c>
      <c r="H545" t="s">
        <v>172</v>
      </c>
      <c r="I545" t="s">
        <v>173</v>
      </c>
      <c r="J545" t="s">
        <v>174</v>
      </c>
      <c r="K545" t="s">
        <v>176</v>
      </c>
      <c r="L545">
        <v>1</v>
      </c>
      <c r="M545">
        <v>78.08</v>
      </c>
      <c r="N545">
        <v>4.42</v>
      </c>
      <c r="O545">
        <v>0.1</v>
      </c>
      <c r="P545">
        <v>0.44</v>
      </c>
      <c r="Q545" t="s">
        <v>40</v>
      </c>
      <c r="R545">
        <v>0</v>
      </c>
      <c r="S545">
        <v>0.44</v>
      </c>
    </row>
    <row r="546" spans="1:19" x14ac:dyDescent="0.25">
      <c r="A546" t="s">
        <v>371</v>
      </c>
      <c r="B546" t="s">
        <v>152</v>
      </c>
      <c r="C546" t="s">
        <v>372</v>
      </c>
      <c r="D546" s="1">
        <v>45488</v>
      </c>
      <c r="E546" s="1">
        <v>45884</v>
      </c>
      <c r="F546">
        <v>1</v>
      </c>
      <c r="G546">
        <v>15</v>
      </c>
      <c r="H546" t="s">
        <v>172</v>
      </c>
      <c r="I546" t="s">
        <v>173</v>
      </c>
      <c r="J546" t="s">
        <v>174</v>
      </c>
      <c r="K546" t="s">
        <v>181</v>
      </c>
      <c r="L546">
        <v>1</v>
      </c>
      <c r="M546">
        <v>33.08</v>
      </c>
      <c r="N546">
        <v>7.92</v>
      </c>
      <c r="O546">
        <v>0.1</v>
      </c>
      <c r="P546">
        <v>0.79</v>
      </c>
      <c r="Q546" t="s">
        <v>40</v>
      </c>
      <c r="R546">
        <v>0</v>
      </c>
      <c r="S546">
        <v>0.79</v>
      </c>
    </row>
    <row r="547" spans="1:19" x14ac:dyDescent="0.25">
      <c r="A547" t="s">
        <v>371</v>
      </c>
      <c r="B547" t="s">
        <v>152</v>
      </c>
      <c r="C547" t="s">
        <v>372</v>
      </c>
      <c r="D547" s="1">
        <v>45488</v>
      </c>
      <c r="E547" s="1">
        <v>45884</v>
      </c>
      <c r="F547">
        <v>1</v>
      </c>
      <c r="G547">
        <v>15</v>
      </c>
      <c r="H547" t="s">
        <v>172</v>
      </c>
      <c r="I547" t="s">
        <v>173</v>
      </c>
      <c r="J547" t="s">
        <v>174</v>
      </c>
      <c r="K547" t="s">
        <v>182</v>
      </c>
      <c r="L547">
        <v>1</v>
      </c>
      <c r="M547">
        <v>0</v>
      </c>
      <c r="N547">
        <v>13</v>
      </c>
      <c r="O547">
        <v>0.1</v>
      </c>
      <c r="P547">
        <v>1.3</v>
      </c>
      <c r="Q547" t="s">
        <v>40</v>
      </c>
      <c r="R547">
        <v>0</v>
      </c>
      <c r="S547">
        <v>1.3</v>
      </c>
    </row>
    <row r="548" spans="1:19" x14ac:dyDescent="0.25">
      <c r="A548" t="s">
        <v>371</v>
      </c>
      <c r="B548" t="s">
        <v>152</v>
      </c>
      <c r="C548" t="s">
        <v>372</v>
      </c>
      <c r="D548" s="1">
        <v>45488</v>
      </c>
      <c r="E548" s="1">
        <v>45884</v>
      </c>
      <c r="F548">
        <v>1</v>
      </c>
      <c r="G548">
        <v>15</v>
      </c>
      <c r="H548" t="s">
        <v>172</v>
      </c>
      <c r="I548" t="s">
        <v>173</v>
      </c>
      <c r="J548" t="s">
        <v>174</v>
      </c>
      <c r="K548" t="s">
        <v>183</v>
      </c>
      <c r="L548">
        <v>1</v>
      </c>
      <c r="M548">
        <v>0</v>
      </c>
      <c r="N548">
        <v>4.58</v>
      </c>
      <c r="O548">
        <v>0.1</v>
      </c>
      <c r="P548">
        <v>0.46</v>
      </c>
      <c r="Q548" t="s">
        <v>40</v>
      </c>
      <c r="R548">
        <v>0</v>
      </c>
      <c r="S548">
        <v>0.46</v>
      </c>
    </row>
    <row r="549" spans="1:19" x14ac:dyDescent="0.25">
      <c r="A549" t="s">
        <v>371</v>
      </c>
      <c r="B549" t="s">
        <v>152</v>
      </c>
      <c r="C549" t="s">
        <v>372</v>
      </c>
      <c r="D549" s="1">
        <v>45488</v>
      </c>
      <c r="E549" s="1">
        <v>45884</v>
      </c>
      <c r="F549">
        <v>1</v>
      </c>
      <c r="G549">
        <v>15</v>
      </c>
      <c r="H549" t="s">
        <v>172</v>
      </c>
      <c r="I549" t="s">
        <v>173</v>
      </c>
      <c r="J549" t="s">
        <v>174</v>
      </c>
      <c r="K549" t="s">
        <v>178</v>
      </c>
      <c r="L549">
        <v>1</v>
      </c>
      <c r="M549">
        <v>0</v>
      </c>
      <c r="N549">
        <v>1.08</v>
      </c>
      <c r="O549">
        <v>0.1</v>
      </c>
      <c r="P549">
        <v>0.11</v>
      </c>
      <c r="Q549" t="s">
        <v>40</v>
      </c>
      <c r="R549">
        <v>0</v>
      </c>
      <c r="S549">
        <v>0.11</v>
      </c>
    </row>
    <row r="550" spans="1:19" x14ac:dyDescent="0.25">
      <c r="A550" t="s">
        <v>371</v>
      </c>
      <c r="B550" t="s">
        <v>152</v>
      </c>
      <c r="C550" t="s">
        <v>372</v>
      </c>
      <c r="D550" s="1">
        <v>45488</v>
      </c>
      <c r="E550" s="1">
        <v>45884</v>
      </c>
      <c r="F550">
        <v>1</v>
      </c>
      <c r="G550">
        <v>15</v>
      </c>
      <c r="H550" t="s">
        <v>172</v>
      </c>
      <c r="I550" t="s">
        <v>173</v>
      </c>
      <c r="J550" t="s">
        <v>174</v>
      </c>
      <c r="K550" t="s">
        <v>176</v>
      </c>
      <c r="L550">
        <v>1</v>
      </c>
      <c r="M550">
        <v>0</v>
      </c>
      <c r="N550">
        <v>4.42</v>
      </c>
      <c r="O550">
        <v>0.1</v>
      </c>
      <c r="P550">
        <v>0.44</v>
      </c>
      <c r="Q550" t="s">
        <v>40</v>
      </c>
      <c r="R550">
        <v>0</v>
      </c>
      <c r="S550">
        <v>0.44</v>
      </c>
    </row>
    <row r="551" spans="1:19" x14ac:dyDescent="0.25">
      <c r="A551" t="s">
        <v>373</v>
      </c>
      <c r="B551" t="s">
        <v>152</v>
      </c>
      <c r="C551" t="s">
        <v>374</v>
      </c>
      <c r="D551" s="1">
        <v>45488</v>
      </c>
      <c r="E551" s="1">
        <v>45884</v>
      </c>
      <c r="F551">
        <v>1</v>
      </c>
      <c r="G551">
        <v>15</v>
      </c>
      <c r="H551" t="s">
        <v>172</v>
      </c>
      <c r="I551" t="s">
        <v>173</v>
      </c>
      <c r="J551" t="s">
        <v>174</v>
      </c>
      <c r="K551" t="s">
        <v>181</v>
      </c>
      <c r="L551">
        <v>1</v>
      </c>
      <c r="M551">
        <v>25.24</v>
      </c>
      <c r="N551">
        <v>6.04</v>
      </c>
      <c r="O551">
        <v>0.1</v>
      </c>
      <c r="P551">
        <v>0.6</v>
      </c>
      <c r="Q551" t="s">
        <v>40</v>
      </c>
      <c r="R551">
        <v>0</v>
      </c>
      <c r="S551">
        <v>0.6</v>
      </c>
    </row>
    <row r="552" spans="1:19" x14ac:dyDescent="0.25">
      <c r="A552" t="s">
        <v>373</v>
      </c>
      <c r="B552" t="s">
        <v>152</v>
      </c>
      <c r="C552" t="s">
        <v>374</v>
      </c>
      <c r="D552" s="1">
        <v>45488</v>
      </c>
      <c r="E552" s="1">
        <v>45884</v>
      </c>
      <c r="F552">
        <v>1</v>
      </c>
      <c r="G552">
        <v>15</v>
      </c>
      <c r="H552" t="s">
        <v>172</v>
      </c>
      <c r="I552" t="s">
        <v>173</v>
      </c>
      <c r="J552" t="s">
        <v>174</v>
      </c>
      <c r="K552" t="s">
        <v>182</v>
      </c>
      <c r="L552">
        <v>1</v>
      </c>
      <c r="M552">
        <v>0</v>
      </c>
      <c r="N552">
        <v>9.75</v>
      </c>
      <c r="O552">
        <v>0.1</v>
      </c>
      <c r="P552">
        <v>0.98</v>
      </c>
      <c r="Q552" t="s">
        <v>40</v>
      </c>
      <c r="R552">
        <v>0</v>
      </c>
      <c r="S552">
        <v>0.98</v>
      </c>
    </row>
    <row r="553" spans="1:19" x14ac:dyDescent="0.25">
      <c r="A553" t="s">
        <v>373</v>
      </c>
      <c r="B553" t="s">
        <v>152</v>
      </c>
      <c r="C553" t="s">
        <v>374</v>
      </c>
      <c r="D553" s="1">
        <v>45488</v>
      </c>
      <c r="E553" s="1">
        <v>45884</v>
      </c>
      <c r="F553">
        <v>1</v>
      </c>
      <c r="G553">
        <v>15</v>
      </c>
      <c r="H553" t="s">
        <v>172</v>
      </c>
      <c r="I553" t="s">
        <v>173</v>
      </c>
      <c r="J553" t="s">
        <v>174</v>
      </c>
      <c r="K553" t="s">
        <v>183</v>
      </c>
      <c r="L553">
        <v>1</v>
      </c>
      <c r="M553">
        <v>0</v>
      </c>
      <c r="N553">
        <v>4.58</v>
      </c>
      <c r="O553">
        <v>0.1</v>
      </c>
      <c r="P553">
        <v>0.46</v>
      </c>
      <c r="Q553" t="s">
        <v>40</v>
      </c>
      <c r="R553">
        <v>0</v>
      </c>
      <c r="S553">
        <v>0.46</v>
      </c>
    </row>
    <row r="554" spans="1:19" x14ac:dyDescent="0.25">
      <c r="A554" t="s">
        <v>373</v>
      </c>
      <c r="B554" t="s">
        <v>152</v>
      </c>
      <c r="C554" t="s">
        <v>374</v>
      </c>
      <c r="D554" s="1">
        <v>45488</v>
      </c>
      <c r="E554" s="1">
        <v>45884</v>
      </c>
      <c r="F554">
        <v>1</v>
      </c>
      <c r="G554">
        <v>15</v>
      </c>
      <c r="H554" t="s">
        <v>172</v>
      </c>
      <c r="I554" t="s">
        <v>173</v>
      </c>
      <c r="J554" t="s">
        <v>174</v>
      </c>
      <c r="K554" t="s">
        <v>176</v>
      </c>
      <c r="L554">
        <v>1</v>
      </c>
      <c r="M554">
        <v>0</v>
      </c>
      <c r="N554">
        <v>2</v>
      </c>
      <c r="O554">
        <v>0.1</v>
      </c>
      <c r="P554">
        <v>0.2</v>
      </c>
      <c r="Q554" t="s">
        <v>40</v>
      </c>
      <c r="R554">
        <v>0</v>
      </c>
      <c r="S554">
        <v>0.2</v>
      </c>
    </row>
    <row r="555" spans="1:19" x14ac:dyDescent="0.25">
      <c r="A555" t="s">
        <v>373</v>
      </c>
      <c r="B555" t="s">
        <v>152</v>
      </c>
      <c r="C555" t="s">
        <v>374</v>
      </c>
      <c r="D555" s="1">
        <v>45488</v>
      </c>
      <c r="E555" s="1">
        <v>45884</v>
      </c>
      <c r="F555">
        <v>1</v>
      </c>
      <c r="G555">
        <v>15</v>
      </c>
      <c r="H555" t="s">
        <v>172</v>
      </c>
      <c r="I555" t="s">
        <v>173</v>
      </c>
      <c r="J555" t="s">
        <v>174</v>
      </c>
      <c r="K555" t="s">
        <v>178</v>
      </c>
      <c r="L555">
        <v>1</v>
      </c>
      <c r="M555">
        <v>0</v>
      </c>
      <c r="N555">
        <v>0.79</v>
      </c>
      <c r="O555">
        <v>0.1</v>
      </c>
      <c r="P555">
        <v>0.08</v>
      </c>
      <c r="Q555" t="s">
        <v>40</v>
      </c>
      <c r="R555">
        <v>0</v>
      </c>
      <c r="S555">
        <v>0.08</v>
      </c>
    </row>
    <row r="556" spans="1:19" x14ac:dyDescent="0.25">
      <c r="A556" t="s">
        <v>375</v>
      </c>
      <c r="B556" t="s">
        <v>376</v>
      </c>
      <c r="C556" t="s">
        <v>377</v>
      </c>
      <c r="D556" s="1">
        <v>45859</v>
      </c>
      <c r="E556" s="1">
        <v>45890</v>
      </c>
      <c r="F556">
        <v>1</v>
      </c>
      <c r="G556">
        <v>24</v>
      </c>
      <c r="H556" t="s">
        <v>378</v>
      </c>
      <c r="I556" t="s">
        <v>379</v>
      </c>
      <c r="J556" t="s">
        <v>380</v>
      </c>
      <c r="K556" t="s">
        <v>381</v>
      </c>
      <c r="L556">
        <v>1</v>
      </c>
      <c r="M556">
        <v>88.66</v>
      </c>
      <c r="N556">
        <v>84.16</v>
      </c>
      <c r="O556">
        <v>0.85</v>
      </c>
      <c r="P556">
        <v>71.540000000000006</v>
      </c>
      <c r="Q556" t="s">
        <v>26</v>
      </c>
      <c r="R556">
        <v>0</v>
      </c>
      <c r="S556">
        <v>71.540000000000006</v>
      </c>
    </row>
    <row r="557" spans="1:19" x14ac:dyDescent="0.25">
      <c r="A557" t="s">
        <v>382</v>
      </c>
      <c r="B557" t="s">
        <v>356</v>
      </c>
      <c r="C557" t="s">
        <v>357</v>
      </c>
      <c r="D557" s="1">
        <v>45444</v>
      </c>
      <c r="E557" s="1">
        <v>45870</v>
      </c>
      <c r="F557">
        <v>1</v>
      </c>
      <c r="G557">
        <v>2</v>
      </c>
      <c r="H557" t="s">
        <v>154</v>
      </c>
      <c r="I557" t="s">
        <v>155</v>
      </c>
      <c r="J557" t="s">
        <v>156</v>
      </c>
      <c r="K557" t="s">
        <v>383</v>
      </c>
      <c r="L557">
        <v>1</v>
      </c>
      <c r="M557">
        <v>12.83</v>
      </c>
      <c r="N557">
        <v>8.33</v>
      </c>
      <c r="O557">
        <v>0.05</v>
      </c>
      <c r="P557">
        <v>0.42</v>
      </c>
      <c r="Q557" t="s">
        <v>40</v>
      </c>
      <c r="R557">
        <v>0</v>
      </c>
      <c r="S557">
        <v>0.42</v>
      </c>
    </row>
    <row r="558" spans="1:19" x14ac:dyDescent="0.25">
      <c r="A558" t="s">
        <v>375</v>
      </c>
      <c r="B558" t="s">
        <v>376</v>
      </c>
      <c r="C558" t="s">
        <v>377</v>
      </c>
      <c r="D558" s="1">
        <v>45859</v>
      </c>
      <c r="E558" s="1">
        <v>45859</v>
      </c>
      <c r="F558">
        <v>1</v>
      </c>
      <c r="G558">
        <v>29</v>
      </c>
      <c r="H558" t="s">
        <v>378</v>
      </c>
      <c r="I558" t="s">
        <v>379</v>
      </c>
      <c r="J558" t="s">
        <v>380</v>
      </c>
      <c r="K558" t="s">
        <v>381</v>
      </c>
      <c r="L558" t="s">
        <v>384</v>
      </c>
      <c r="M558">
        <v>266</v>
      </c>
      <c r="N558">
        <v>-84.16</v>
      </c>
      <c r="O558">
        <v>0.85</v>
      </c>
      <c r="P558">
        <v>-71.540000000000006</v>
      </c>
      <c r="Q558" t="s">
        <v>26</v>
      </c>
      <c r="R558">
        <v>0</v>
      </c>
      <c r="S558">
        <v>-71.540000000000006</v>
      </c>
    </row>
    <row r="559" spans="1:19" x14ac:dyDescent="0.25">
      <c r="A559" t="s">
        <v>385</v>
      </c>
      <c r="B559" t="s">
        <v>386</v>
      </c>
      <c r="C559" t="s">
        <v>387</v>
      </c>
      <c r="D559" s="1">
        <v>45840</v>
      </c>
      <c r="E559" t="s">
        <v>388</v>
      </c>
      <c r="F559">
        <v>0</v>
      </c>
      <c r="G559">
        <v>2</v>
      </c>
      <c r="H559" t="s">
        <v>389</v>
      </c>
      <c r="I559" t="s">
        <v>390</v>
      </c>
      <c r="J559" t="s">
        <v>390</v>
      </c>
      <c r="K559" t="s">
        <v>391</v>
      </c>
      <c r="L559" t="s">
        <v>40</v>
      </c>
      <c r="M559">
        <v>-66.75</v>
      </c>
      <c r="N559">
        <v>0</v>
      </c>
      <c r="O559" t="s">
        <v>392</v>
      </c>
      <c r="P559">
        <v>0</v>
      </c>
      <c r="Q559" t="s">
        <v>40</v>
      </c>
      <c r="R559">
        <v>0</v>
      </c>
      <c r="S559">
        <v>0</v>
      </c>
    </row>
    <row r="560" spans="1:19" x14ac:dyDescent="0.25">
      <c r="A560" t="s">
        <v>385</v>
      </c>
      <c r="B560" t="s">
        <v>386</v>
      </c>
      <c r="C560" t="s">
        <v>387</v>
      </c>
      <c r="D560" s="1">
        <v>45839</v>
      </c>
      <c r="E560" t="s">
        <v>388</v>
      </c>
      <c r="F560">
        <v>0</v>
      </c>
      <c r="G560">
        <v>1</v>
      </c>
      <c r="H560" t="s">
        <v>388</v>
      </c>
      <c r="K560" t="s">
        <v>391</v>
      </c>
      <c r="L560" t="s">
        <v>40</v>
      </c>
      <c r="M560">
        <v>-1608.52</v>
      </c>
      <c r="N560">
        <v>0</v>
      </c>
      <c r="O560" t="s">
        <v>392</v>
      </c>
      <c r="P560">
        <v>0</v>
      </c>
      <c r="Q560" t="s">
        <v>40</v>
      </c>
      <c r="R560">
        <v>0</v>
      </c>
      <c r="S5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C56C-84CD-429A-B078-57815CA680D3}">
  <dimension ref="A1:S558"/>
  <sheetViews>
    <sheetView tabSelected="1" workbookViewId="0">
      <selection activeCell="A244" sqref="A244:XFD250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4.28515625" bestFit="1" customWidth="1"/>
    <col min="9" max="9" width="3.5703125" bestFit="1" customWidth="1"/>
    <col min="10" max="11" width="11.85546875" bestFit="1" customWidth="1"/>
    <col min="12" max="12" width="13.140625" bestFit="1" customWidth="1"/>
    <col min="13" max="13" width="23.5703125" bestFit="1" customWidth="1"/>
    <col min="14" max="14" width="11.28515625" bestFit="1" customWidth="1"/>
    <col min="15" max="15" width="10.42578125" bestFit="1" customWidth="1"/>
    <col min="16" max="16" width="15.7109375" bestFit="1" customWidth="1"/>
    <col min="17" max="18" width="11" bestFit="1" customWidth="1"/>
    <col min="19" max="19" width="42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  <c r="L1" t="s">
        <v>9</v>
      </c>
      <c r="N1" t="s">
        <v>10</v>
      </c>
      <c r="O1" t="s">
        <v>11</v>
      </c>
      <c r="P1" t="s">
        <v>13</v>
      </c>
      <c r="Q1" t="s">
        <v>14</v>
      </c>
      <c r="R1" t="s">
        <v>15</v>
      </c>
    </row>
    <row r="2" spans="1:19" x14ac:dyDescent="0.25">
      <c r="A2" t="s">
        <v>158</v>
      </c>
      <c r="B2" t="s">
        <v>152</v>
      </c>
      <c r="C2" t="s">
        <v>159</v>
      </c>
      <c r="D2" s="1">
        <v>45658</v>
      </c>
      <c r="E2" s="1">
        <v>45870</v>
      </c>
      <c r="F2">
        <v>1</v>
      </c>
      <c r="G2">
        <f t="shared" ref="G2:G65" si="0">MONTH(E2-D2)</f>
        <v>7</v>
      </c>
      <c r="H2" t="s">
        <v>396</v>
      </c>
      <c r="I2" t="s">
        <v>395</v>
      </c>
      <c r="J2">
        <v>7470776</v>
      </c>
      <c r="K2" t="s">
        <v>422</v>
      </c>
      <c r="L2" t="s">
        <v>406</v>
      </c>
      <c r="M2" t="str">
        <f t="shared" ref="M2:M65" si="1">CONCATENATE(K2, " ",L2)</f>
        <v xml:space="preserve">ANDREW CHOI </v>
      </c>
      <c r="N2" t="s">
        <v>160</v>
      </c>
      <c r="O2">
        <v>1</v>
      </c>
      <c r="P2">
        <v>18.329999999999998</v>
      </c>
      <c r="Q2">
        <v>0.6</v>
      </c>
      <c r="R2">
        <v>11</v>
      </c>
      <c r="S2" t="s">
        <v>401</v>
      </c>
    </row>
    <row r="3" spans="1:19" x14ac:dyDescent="0.25">
      <c r="A3" t="s">
        <v>158</v>
      </c>
      <c r="B3" t="s">
        <v>152</v>
      </c>
      <c r="C3" t="s">
        <v>159</v>
      </c>
      <c r="D3" s="1">
        <v>45658</v>
      </c>
      <c r="E3" s="1">
        <v>45870</v>
      </c>
      <c r="F3">
        <v>1</v>
      </c>
      <c r="G3">
        <f t="shared" si="0"/>
        <v>7</v>
      </c>
      <c r="H3" t="s">
        <v>396</v>
      </c>
      <c r="I3" t="s">
        <v>395</v>
      </c>
      <c r="J3">
        <v>7470776</v>
      </c>
      <c r="K3" t="s">
        <v>422</v>
      </c>
      <c r="L3" t="s">
        <v>406</v>
      </c>
      <c r="M3" t="str">
        <f t="shared" si="1"/>
        <v xml:space="preserve">ANDREW CHOI </v>
      </c>
      <c r="N3" t="s">
        <v>161</v>
      </c>
      <c r="O3">
        <v>1</v>
      </c>
      <c r="P3">
        <v>27.5</v>
      </c>
      <c r="Q3">
        <v>0.6</v>
      </c>
      <c r="R3">
        <v>16.5</v>
      </c>
      <c r="S3" t="s">
        <v>401</v>
      </c>
    </row>
    <row r="4" spans="1:19" x14ac:dyDescent="0.25">
      <c r="A4" t="s">
        <v>158</v>
      </c>
      <c r="B4" t="s">
        <v>152</v>
      </c>
      <c r="C4" t="s">
        <v>159</v>
      </c>
      <c r="D4" s="1">
        <v>45658</v>
      </c>
      <c r="E4" s="1">
        <v>45870</v>
      </c>
      <c r="F4">
        <v>1</v>
      </c>
      <c r="G4">
        <f t="shared" si="0"/>
        <v>7</v>
      </c>
      <c r="H4" t="s">
        <v>396</v>
      </c>
      <c r="I4" t="s">
        <v>395</v>
      </c>
      <c r="J4">
        <v>7470776</v>
      </c>
      <c r="K4" t="s">
        <v>422</v>
      </c>
      <c r="L4" t="s">
        <v>406</v>
      </c>
      <c r="M4" t="str">
        <f t="shared" si="1"/>
        <v xml:space="preserve">ANDREW CHOI </v>
      </c>
      <c r="N4" t="s">
        <v>162</v>
      </c>
      <c r="O4">
        <v>1</v>
      </c>
      <c r="P4">
        <v>6.25</v>
      </c>
      <c r="Q4">
        <v>0.6</v>
      </c>
      <c r="R4">
        <v>3.75</v>
      </c>
      <c r="S4" t="s">
        <v>401</v>
      </c>
    </row>
    <row r="5" spans="1:19" x14ac:dyDescent="0.25">
      <c r="A5" t="s">
        <v>158</v>
      </c>
      <c r="B5" t="s">
        <v>152</v>
      </c>
      <c r="C5" t="s">
        <v>159</v>
      </c>
      <c r="D5" s="1">
        <v>45658</v>
      </c>
      <c r="E5" s="1">
        <v>45870</v>
      </c>
      <c r="F5">
        <v>1</v>
      </c>
      <c r="G5">
        <f t="shared" si="0"/>
        <v>7</v>
      </c>
      <c r="H5" t="s">
        <v>396</v>
      </c>
      <c r="I5" t="s">
        <v>395</v>
      </c>
      <c r="J5">
        <v>7470776</v>
      </c>
      <c r="K5" t="s">
        <v>422</v>
      </c>
      <c r="L5" t="s">
        <v>406</v>
      </c>
      <c r="M5" t="str">
        <f t="shared" si="1"/>
        <v xml:space="preserve">ANDREW CHOI </v>
      </c>
      <c r="N5" t="s">
        <v>163</v>
      </c>
      <c r="O5">
        <v>1</v>
      </c>
      <c r="P5">
        <v>11.33</v>
      </c>
      <c r="Q5">
        <v>0.6</v>
      </c>
      <c r="R5">
        <v>6.8</v>
      </c>
      <c r="S5" t="s">
        <v>401</v>
      </c>
    </row>
    <row r="6" spans="1:19" x14ac:dyDescent="0.25">
      <c r="A6" t="s">
        <v>186</v>
      </c>
      <c r="B6" t="s">
        <v>152</v>
      </c>
      <c r="C6" t="s">
        <v>187</v>
      </c>
      <c r="D6" s="1">
        <v>45619</v>
      </c>
      <c r="E6" s="1">
        <v>45892</v>
      </c>
      <c r="F6">
        <v>1</v>
      </c>
      <c r="G6">
        <f t="shared" si="0"/>
        <v>9</v>
      </c>
      <c r="H6" t="s">
        <v>396</v>
      </c>
      <c r="I6" t="s">
        <v>395</v>
      </c>
      <c r="J6">
        <v>19681796</v>
      </c>
      <c r="K6" t="s">
        <v>430</v>
      </c>
      <c r="L6" t="s">
        <v>410</v>
      </c>
      <c r="M6" t="str">
        <f t="shared" si="1"/>
        <v xml:space="preserve">CHRISTIAN TAUGNER   </v>
      </c>
      <c r="N6" t="s">
        <v>181</v>
      </c>
      <c r="O6">
        <v>1</v>
      </c>
      <c r="P6">
        <v>29.17</v>
      </c>
      <c r="Q6">
        <v>0.6</v>
      </c>
      <c r="R6">
        <v>17.5</v>
      </c>
      <c r="S6" t="s">
        <v>401</v>
      </c>
    </row>
    <row r="7" spans="1:19" x14ac:dyDescent="0.25">
      <c r="A7" t="s">
        <v>186</v>
      </c>
      <c r="B7" t="s">
        <v>152</v>
      </c>
      <c r="C7" t="s">
        <v>187</v>
      </c>
      <c r="D7" s="1">
        <v>45619</v>
      </c>
      <c r="E7" s="1">
        <v>45892</v>
      </c>
      <c r="F7">
        <v>1</v>
      </c>
      <c r="G7">
        <f t="shared" si="0"/>
        <v>9</v>
      </c>
      <c r="H7" t="s">
        <v>396</v>
      </c>
      <c r="I7" t="s">
        <v>395</v>
      </c>
      <c r="J7">
        <v>19681796</v>
      </c>
      <c r="K7" t="s">
        <v>430</v>
      </c>
      <c r="L7" t="s">
        <v>410</v>
      </c>
      <c r="M7" t="str">
        <f t="shared" si="1"/>
        <v xml:space="preserve">CHRISTIAN TAUGNER   </v>
      </c>
      <c r="N7" t="s">
        <v>183</v>
      </c>
      <c r="O7">
        <v>1</v>
      </c>
      <c r="P7">
        <v>4</v>
      </c>
      <c r="Q7">
        <v>0.6</v>
      </c>
      <c r="R7">
        <v>2.4</v>
      </c>
      <c r="S7" t="s">
        <v>401</v>
      </c>
    </row>
    <row r="8" spans="1:19" x14ac:dyDescent="0.25">
      <c r="A8" t="s">
        <v>186</v>
      </c>
      <c r="B8" t="s">
        <v>152</v>
      </c>
      <c r="C8" t="s">
        <v>187</v>
      </c>
      <c r="D8" s="1">
        <v>45619</v>
      </c>
      <c r="E8" s="1">
        <v>45892</v>
      </c>
      <c r="F8">
        <v>1</v>
      </c>
      <c r="G8">
        <f t="shared" si="0"/>
        <v>9</v>
      </c>
      <c r="H8" t="s">
        <v>396</v>
      </c>
      <c r="I8" t="s">
        <v>395</v>
      </c>
      <c r="J8">
        <v>19681796</v>
      </c>
      <c r="K8" t="s">
        <v>430</v>
      </c>
      <c r="L8" t="s">
        <v>410</v>
      </c>
      <c r="M8" t="str">
        <f t="shared" si="1"/>
        <v xml:space="preserve">CHRISTIAN TAUGNER   </v>
      </c>
      <c r="N8" t="s">
        <v>176</v>
      </c>
      <c r="O8">
        <v>1</v>
      </c>
      <c r="P8">
        <v>0.83</v>
      </c>
      <c r="Q8">
        <v>0.6</v>
      </c>
      <c r="R8">
        <v>0.5</v>
      </c>
      <c r="S8" t="s">
        <v>401</v>
      </c>
    </row>
    <row r="9" spans="1:19" x14ac:dyDescent="0.25">
      <c r="A9" t="s">
        <v>186</v>
      </c>
      <c r="B9" t="s">
        <v>152</v>
      </c>
      <c r="C9" t="s">
        <v>187</v>
      </c>
      <c r="D9" s="1">
        <v>45619</v>
      </c>
      <c r="E9" s="1">
        <v>45892</v>
      </c>
      <c r="F9">
        <v>1</v>
      </c>
      <c r="G9">
        <f t="shared" si="0"/>
        <v>9</v>
      </c>
      <c r="H9" t="s">
        <v>396</v>
      </c>
      <c r="I9" t="s">
        <v>395</v>
      </c>
      <c r="J9">
        <v>19681796</v>
      </c>
      <c r="K9" t="s">
        <v>430</v>
      </c>
      <c r="L9" t="s">
        <v>410</v>
      </c>
      <c r="M9" t="str">
        <f t="shared" si="1"/>
        <v xml:space="preserve">CHRISTIAN TAUGNER   </v>
      </c>
      <c r="N9" t="s">
        <v>182</v>
      </c>
      <c r="O9">
        <v>1</v>
      </c>
      <c r="P9">
        <v>5.42</v>
      </c>
      <c r="Q9">
        <v>0.6</v>
      </c>
      <c r="R9">
        <v>3.25</v>
      </c>
      <c r="S9" t="s">
        <v>401</v>
      </c>
    </row>
    <row r="10" spans="1:19" x14ac:dyDescent="0.25">
      <c r="A10" t="s">
        <v>186</v>
      </c>
      <c r="B10" t="s">
        <v>152</v>
      </c>
      <c r="C10" t="s">
        <v>187</v>
      </c>
      <c r="D10" s="1">
        <v>45619</v>
      </c>
      <c r="E10" s="1">
        <v>45892</v>
      </c>
      <c r="F10">
        <v>1</v>
      </c>
      <c r="G10">
        <f t="shared" si="0"/>
        <v>9</v>
      </c>
      <c r="H10" t="s">
        <v>396</v>
      </c>
      <c r="I10" t="s">
        <v>395</v>
      </c>
      <c r="J10">
        <v>19681796</v>
      </c>
      <c r="K10" t="s">
        <v>430</v>
      </c>
      <c r="L10" t="s">
        <v>410</v>
      </c>
      <c r="M10" t="str">
        <f t="shared" si="1"/>
        <v xml:space="preserve">CHRISTIAN TAUGNER   </v>
      </c>
      <c r="N10" t="s">
        <v>178</v>
      </c>
      <c r="O10">
        <v>1</v>
      </c>
      <c r="P10">
        <v>4.37</v>
      </c>
      <c r="Q10">
        <v>0.6</v>
      </c>
      <c r="R10">
        <v>2.62</v>
      </c>
      <c r="S10" t="s">
        <v>401</v>
      </c>
    </row>
    <row r="11" spans="1:19" x14ac:dyDescent="0.25">
      <c r="A11" t="s">
        <v>184</v>
      </c>
      <c r="B11" t="s">
        <v>128</v>
      </c>
      <c r="C11" t="s">
        <v>185</v>
      </c>
      <c r="D11" s="1">
        <v>45606</v>
      </c>
      <c r="E11" s="1">
        <v>45879</v>
      </c>
      <c r="F11">
        <v>1</v>
      </c>
      <c r="G11">
        <f t="shared" si="0"/>
        <v>9</v>
      </c>
      <c r="H11" t="s">
        <v>396</v>
      </c>
      <c r="I11" t="s">
        <v>395</v>
      </c>
      <c r="J11">
        <v>19681796</v>
      </c>
      <c r="K11" t="s">
        <v>430</v>
      </c>
      <c r="L11" t="s">
        <v>410</v>
      </c>
      <c r="M11" t="str">
        <f t="shared" si="1"/>
        <v xml:space="preserve">CHRISTIAN TAUGNER   </v>
      </c>
      <c r="N11" t="s">
        <v>181</v>
      </c>
      <c r="O11">
        <v>1</v>
      </c>
      <c r="P11">
        <v>30.83</v>
      </c>
      <c r="Q11">
        <v>0.6</v>
      </c>
      <c r="R11">
        <v>18.5</v>
      </c>
      <c r="S11" t="s">
        <v>401</v>
      </c>
    </row>
    <row r="12" spans="1:19" x14ac:dyDescent="0.25">
      <c r="A12" t="s">
        <v>184</v>
      </c>
      <c r="B12" t="s">
        <v>128</v>
      </c>
      <c r="C12" t="s">
        <v>185</v>
      </c>
      <c r="D12" s="1">
        <v>45606</v>
      </c>
      <c r="E12" s="1">
        <v>45879</v>
      </c>
      <c r="F12">
        <v>1</v>
      </c>
      <c r="G12">
        <f t="shared" si="0"/>
        <v>9</v>
      </c>
      <c r="H12" t="s">
        <v>396</v>
      </c>
      <c r="I12" t="s">
        <v>395</v>
      </c>
      <c r="J12">
        <v>19681796</v>
      </c>
      <c r="K12" t="s">
        <v>430</v>
      </c>
      <c r="L12" t="s">
        <v>410</v>
      </c>
      <c r="M12" t="str">
        <f t="shared" si="1"/>
        <v xml:space="preserve">CHRISTIAN TAUGNER   </v>
      </c>
      <c r="N12" t="s">
        <v>178</v>
      </c>
      <c r="O12">
        <v>1</v>
      </c>
      <c r="P12">
        <v>3.5</v>
      </c>
      <c r="Q12">
        <v>0.6</v>
      </c>
      <c r="R12">
        <v>2.1</v>
      </c>
      <c r="S12" t="s">
        <v>401</v>
      </c>
    </row>
    <row r="13" spans="1:19" x14ac:dyDescent="0.25">
      <c r="A13" t="s">
        <v>184</v>
      </c>
      <c r="B13" t="s">
        <v>128</v>
      </c>
      <c r="C13" t="s">
        <v>185</v>
      </c>
      <c r="D13" s="1">
        <v>45606</v>
      </c>
      <c r="E13" s="1">
        <v>45879</v>
      </c>
      <c r="F13">
        <v>1</v>
      </c>
      <c r="G13">
        <f t="shared" si="0"/>
        <v>9</v>
      </c>
      <c r="H13" t="s">
        <v>396</v>
      </c>
      <c r="I13" t="s">
        <v>395</v>
      </c>
      <c r="J13">
        <v>19681796</v>
      </c>
      <c r="K13" t="s">
        <v>430</v>
      </c>
      <c r="L13" t="s">
        <v>410</v>
      </c>
      <c r="M13" t="str">
        <f t="shared" si="1"/>
        <v xml:space="preserve">CHRISTIAN TAUGNER   </v>
      </c>
      <c r="N13" t="s">
        <v>182</v>
      </c>
      <c r="O13">
        <v>1</v>
      </c>
      <c r="P13">
        <v>9.75</v>
      </c>
      <c r="Q13">
        <v>0.6</v>
      </c>
      <c r="R13">
        <v>5.85</v>
      </c>
      <c r="S13" t="s">
        <v>401</v>
      </c>
    </row>
    <row r="14" spans="1:19" x14ac:dyDescent="0.25">
      <c r="A14" t="s">
        <v>184</v>
      </c>
      <c r="B14" t="s">
        <v>128</v>
      </c>
      <c r="C14" t="s">
        <v>185</v>
      </c>
      <c r="D14" s="1">
        <v>45606</v>
      </c>
      <c r="E14" s="1">
        <v>45879</v>
      </c>
      <c r="F14">
        <v>1</v>
      </c>
      <c r="G14">
        <f t="shared" si="0"/>
        <v>9</v>
      </c>
      <c r="H14" t="s">
        <v>396</v>
      </c>
      <c r="I14" t="s">
        <v>395</v>
      </c>
      <c r="J14">
        <v>19681796</v>
      </c>
      <c r="K14" t="s">
        <v>430</v>
      </c>
      <c r="L14" t="s">
        <v>410</v>
      </c>
      <c r="M14" t="str">
        <f t="shared" si="1"/>
        <v xml:space="preserve">CHRISTIAN TAUGNER   </v>
      </c>
      <c r="N14" t="s">
        <v>176</v>
      </c>
      <c r="O14">
        <v>1</v>
      </c>
      <c r="P14">
        <v>3.58</v>
      </c>
      <c r="Q14">
        <v>0.6</v>
      </c>
      <c r="R14">
        <v>2.15</v>
      </c>
      <c r="S14" t="s">
        <v>401</v>
      </c>
    </row>
    <row r="15" spans="1:19" x14ac:dyDescent="0.25">
      <c r="A15" t="s">
        <v>184</v>
      </c>
      <c r="B15" t="s">
        <v>128</v>
      </c>
      <c r="C15" t="s">
        <v>185</v>
      </c>
      <c r="D15" s="1">
        <v>45606</v>
      </c>
      <c r="E15" s="1">
        <v>45879</v>
      </c>
      <c r="F15">
        <v>1</v>
      </c>
      <c r="G15">
        <f t="shared" si="0"/>
        <v>9</v>
      </c>
      <c r="H15" t="s">
        <v>396</v>
      </c>
      <c r="I15" t="s">
        <v>395</v>
      </c>
      <c r="J15">
        <v>19681796</v>
      </c>
      <c r="K15" t="s">
        <v>430</v>
      </c>
      <c r="L15" t="s">
        <v>410</v>
      </c>
      <c r="M15" t="str">
        <f t="shared" si="1"/>
        <v xml:space="preserve">CHRISTIAN TAUGNER   </v>
      </c>
      <c r="N15" t="s">
        <v>183</v>
      </c>
      <c r="O15">
        <v>1</v>
      </c>
      <c r="P15">
        <v>4.83</v>
      </c>
      <c r="Q15">
        <v>0.6</v>
      </c>
      <c r="R15">
        <v>2.9</v>
      </c>
      <c r="S15" t="s">
        <v>401</v>
      </c>
    </row>
    <row r="16" spans="1:19" s="2" customFormat="1" x14ac:dyDescent="0.25">
      <c r="A16" s="2" t="s">
        <v>29</v>
      </c>
      <c r="B16" s="2" t="s">
        <v>30</v>
      </c>
      <c r="C16" s="2" t="s">
        <v>31</v>
      </c>
      <c r="D16" s="3">
        <v>45839</v>
      </c>
      <c r="E16" s="3">
        <v>45870</v>
      </c>
      <c r="F16" s="2">
        <v>1</v>
      </c>
      <c r="G16" s="2">
        <f t="shared" si="0"/>
        <v>1</v>
      </c>
      <c r="H16" s="2" t="s">
        <v>396</v>
      </c>
      <c r="I16" s="2" t="s">
        <v>395</v>
      </c>
      <c r="J16" s="2">
        <v>16509456</v>
      </c>
      <c r="K16" s="2" t="s">
        <v>412</v>
      </c>
      <c r="L16" s="2" t="s">
        <v>413</v>
      </c>
      <c r="M16" s="2" t="str">
        <f t="shared" si="1"/>
        <v xml:space="preserve">PETER RICHTER   </v>
      </c>
      <c r="N16" s="2" t="s">
        <v>28</v>
      </c>
      <c r="O16" s="2">
        <v>1</v>
      </c>
      <c r="P16" s="2">
        <v>1.68</v>
      </c>
      <c r="Q16" s="2">
        <v>0.65</v>
      </c>
      <c r="R16" s="2">
        <v>1.0900000000000001</v>
      </c>
      <c r="S16" s="2" t="s">
        <v>400</v>
      </c>
    </row>
    <row r="17" spans="1:19" s="2" customFormat="1" x14ac:dyDescent="0.25">
      <c r="A17" s="2" t="s">
        <v>29</v>
      </c>
      <c r="B17" s="2" t="s">
        <v>30</v>
      </c>
      <c r="C17" s="2" t="s">
        <v>31</v>
      </c>
      <c r="D17" s="3">
        <v>45839</v>
      </c>
      <c r="E17" s="3">
        <v>45870</v>
      </c>
      <c r="F17" s="2">
        <v>1</v>
      </c>
      <c r="G17" s="2">
        <f t="shared" si="0"/>
        <v>1</v>
      </c>
      <c r="H17" s="2" t="s">
        <v>396</v>
      </c>
      <c r="I17" s="2" t="s">
        <v>395</v>
      </c>
      <c r="J17" s="2">
        <v>16509456</v>
      </c>
      <c r="K17" s="2" t="s">
        <v>412</v>
      </c>
      <c r="L17" s="2" t="s">
        <v>413</v>
      </c>
      <c r="M17" s="2" t="str">
        <f t="shared" si="1"/>
        <v xml:space="preserve">PETER RICHTER   </v>
      </c>
      <c r="N17" s="2" t="s">
        <v>27</v>
      </c>
      <c r="O17" s="2">
        <v>1</v>
      </c>
      <c r="P17" s="2">
        <v>12.43</v>
      </c>
      <c r="Q17" s="2">
        <v>0.65</v>
      </c>
      <c r="R17" s="2">
        <v>8.08</v>
      </c>
      <c r="S17" s="2" t="s">
        <v>400</v>
      </c>
    </row>
    <row r="18" spans="1:19" s="2" customFormat="1" x14ac:dyDescent="0.25">
      <c r="A18" s="2" t="s">
        <v>29</v>
      </c>
      <c r="B18" s="2" t="s">
        <v>30</v>
      </c>
      <c r="C18" s="2" t="s">
        <v>31</v>
      </c>
      <c r="D18" s="3">
        <v>45839</v>
      </c>
      <c r="E18" s="3">
        <v>45870</v>
      </c>
      <c r="F18" s="2">
        <v>1</v>
      </c>
      <c r="G18" s="2">
        <f t="shared" si="0"/>
        <v>1</v>
      </c>
      <c r="H18" s="2" t="s">
        <v>396</v>
      </c>
      <c r="I18" s="2" t="s">
        <v>395</v>
      </c>
      <c r="J18" s="2">
        <v>16509456</v>
      </c>
      <c r="K18" s="2" t="s">
        <v>412</v>
      </c>
      <c r="L18" s="2" t="s">
        <v>413</v>
      </c>
      <c r="M18" s="2" t="str">
        <f t="shared" si="1"/>
        <v xml:space="preserve">PETER RICHTER   </v>
      </c>
      <c r="N18" s="2" t="s">
        <v>25</v>
      </c>
      <c r="O18" s="2">
        <v>1</v>
      </c>
      <c r="P18" s="2">
        <v>21.06</v>
      </c>
      <c r="Q18" s="2">
        <v>0.65</v>
      </c>
      <c r="R18" s="2">
        <v>13.69</v>
      </c>
      <c r="S18" s="2" t="s">
        <v>400</v>
      </c>
    </row>
    <row r="19" spans="1:19" s="2" customFormat="1" x14ac:dyDescent="0.25">
      <c r="A19" s="2" t="s">
        <v>29</v>
      </c>
      <c r="B19" s="2" t="s">
        <v>30</v>
      </c>
      <c r="C19" s="2" t="s">
        <v>31</v>
      </c>
      <c r="D19" s="3">
        <v>45839</v>
      </c>
      <c r="E19" s="3">
        <v>45870</v>
      </c>
      <c r="F19" s="2">
        <v>1</v>
      </c>
      <c r="G19" s="2">
        <f t="shared" si="0"/>
        <v>1</v>
      </c>
      <c r="H19" s="2" t="s">
        <v>396</v>
      </c>
      <c r="I19" s="2" t="s">
        <v>395</v>
      </c>
      <c r="J19" s="2">
        <v>16509456</v>
      </c>
      <c r="K19" s="2" t="s">
        <v>412</v>
      </c>
      <c r="L19" s="2" t="s">
        <v>413</v>
      </c>
      <c r="M19" s="2" t="str">
        <f t="shared" si="1"/>
        <v xml:space="preserve">PETER RICHTER   </v>
      </c>
      <c r="N19" s="2" t="s">
        <v>34</v>
      </c>
      <c r="O19" s="2">
        <v>1</v>
      </c>
      <c r="P19" s="2">
        <v>13.58</v>
      </c>
      <c r="Q19" s="2">
        <v>0.65</v>
      </c>
      <c r="R19" s="2">
        <v>8.83</v>
      </c>
      <c r="S19" s="2" t="s">
        <v>400</v>
      </c>
    </row>
    <row r="20" spans="1:19" x14ac:dyDescent="0.25">
      <c r="A20" t="s">
        <v>147</v>
      </c>
      <c r="B20" t="s">
        <v>128</v>
      </c>
      <c r="C20" t="s">
        <v>148</v>
      </c>
      <c r="D20" s="1">
        <v>45809</v>
      </c>
      <c r="E20" s="1">
        <v>45870</v>
      </c>
      <c r="F20">
        <v>1</v>
      </c>
      <c r="G20">
        <f t="shared" si="0"/>
        <v>3</v>
      </c>
      <c r="H20" t="s">
        <v>396</v>
      </c>
      <c r="I20" t="s">
        <v>395</v>
      </c>
      <c r="J20">
        <v>19645587</v>
      </c>
      <c r="K20" t="s">
        <v>423</v>
      </c>
      <c r="L20" t="s">
        <v>416</v>
      </c>
      <c r="M20" t="str">
        <f t="shared" si="1"/>
        <v xml:space="preserve">STACEY PORTUGAL  </v>
      </c>
      <c r="N20" t="s">
        <v>77</v>
      </c>
      <c r="O20">
        <v>1</v>
      </c>
      <c r="P20">
        <v>17.64</v>
      </c>
      <c r="Q20">
        <v>0.65</v>
      </c>
      <c r="R20">
        <v>11.47</v>
      </c>
      <c r="S20" t="s">
        <v>400</v>
      </c>
    </row>
    <row r="21" spans="1:19" x14ac:dyDescent="0.25">
      <c r="A21" t="s">
        <v>147</v>
      </c>
      <c r="B21" t="s">
        <v>128</v>
      </c>
      <c r="C21" t="s">
        <v>148</v>
      </c>
      <c r="D21" s="1">
        <v>45809</v>
      </c>
      <c r="E21" s="1">
        <v>45870</v>
      </c>
      <c r="F21">
        <v>1</v>
      </c>
      <c r="G21">
        <f t="shared" si="0"/>
        <v>3</v>
      </c>
      <c r="H21" t="s">
        <v>396</v>
      </c>
      <c r="I21" t="s">
        <v>395</v>
      </c>
      <c r="J21">
        <v>19645587</v>
      </c>
      <c r="K21" t="s">
        <v>423</v>
      </c>
      <c r="L21" t="s">
        <v>416</v>
      </c>
      <c r="M21" t="str">
        <f t="shared" si="1"/>
        <v xml:space="preserve">STACEY PORTUGAL  </v>
      </c>
      <c r="N21" t="s">
        <v>25</v>
      </c>
      <c r="O21">
        <v>1</v>
      </c>
      <c r="P21">
        <v>23.46</v>
      </c>
      <c r="Q21">
        <v>0.65</v>
      </c>
      <c r="R21">
        <v>15.25</v>
      </c>
      <c r="S21" t="s">
        <v>400</v>
      </c>
    </row>
    <row r="22" spans="1:19" x14ac:dyDescent="0.25">
      <c r="A22" t="s">
        <v>147</v>
      </c>
      <c r="B22" t="s">
        <v>128</v>
      </c>
      <c r="C22" t="s">
        <v>148</v>
      </c>
      <c r="D22" s="1">
        <v>45809</v>
      </c>
      <c r="E22" s="1">
        <v>45870</v>
      </c>
      <c r="F22">
        <v>1</v>
      </c>
      <c r="G22">
        <f t="shared" si="0"/>
        <v>3</v>
      </c>
      <c r="H22" t="s">
        <v>396</v>
      </c>
      <c r="I22" t="s">
        <v>395</v>
      </c>
      <c r="J22">
        <v>19645587</v>
      </c>
      <c r="K22" t="s">
        <v>423</v>
      </c>
      <c r="L22" t="s">
        <v>416</v>
      </c>
      <c r="M22" t="str">
        <f t="shared" si="1"/>
        <v xml:space="preserve">STACEY PORTUGAL  </v>
      </c>
      <c r="N22" t="s">
        <v>28</v>
      </c>
      <c r="O22">
        <v>1</v>
      </c>
      <c r="P22">
        <v>1.68</v>
      </c>
      <c r="Q22">
        <v>0.65</v>
      </c>
      <c r="R22">
        <v>1.0900000000000001</v>
      </c>
      <c r="S22" t="s">
        <v>400</v>
      </c>
    </row>
    <row r="23" spans="1:19" x14ac:dyDescent="0.25">
      <c r="A23" t="s">
        <v>149</v>
      </c>
      <c r="B23" t="s">
        <v>128</v>
      </c>
      <c r="C23" t="s">
        <v>150</v>
      </c>
      <c r="D23" s="1">
        <v>45749</v>
      </c>
      <c r="E23" s="1">
        <v>45871</v>
      </c>
      <c r="F23">
        <v>1</v>
      </c>
      <c r="G23">
        <f t="shared" si="0"/>
        <v>5</v>
      </c>
      <c r="H23" t="s">
        <v>396</v>
      </c>
      <c r="I23" t="s">
        <v>395</v>
      </c>
      <c r="J23">
        <v>19645587</v>
      </c>
      <c r="K23" t="s">
        <v>423</v>
      </c>
      <c r="L23" t="s">
        <v>416</v>
      </c>
      <c r="M23" t="str">
        <f t="shared" si="1"/>
        <v xml:space="preserve">STACEY PORTUGAL  </v>
      </c>
      <c r="N23" t="s">
        <v>25</v>
      </c>
      <c r="O23">
        <v>1</v>
      </c>
      <c r="P23">
        <v>23.46</v>
      </c>
      <c r="Q23">
        <v>0.65</v>
      </c>
      <c r="R23">
        <v>15.25</v>
      </c>
      <c r="S23" t="s">
        <v>400</v>
      </c>
    </row>
    <row r="24" spans="1:19" x14ac:dyDescent="0.25">
      <c r="A24" t="s">
        <v>149</v>
      </c>
      <c r="B24" t="s">
        <v>128</v>
      </c>
      <c r="C24" t="s">
        <v>150</v>
      </c>
      <c r="D24" s="1">
        <v>45749</v>
      </c>
      <c r="E24" s="1">
        <v>45871</v>
      </c>
      <c r="F24">
        <v>1</v>
      </c>
      <c r="G24">
        <f t="shared" si="0"/>
        <v>5</v>
      </c>
      <c r="H24" t="s">
        <v>396</v>
      </c>
      <c r="I24" t="s">
        <v>395</v>
      </c>
      <c r="J24">
        <v>19645587</v>
      </c>
      <c r="K24" t="s">
        <v>423</v>
      </c>
      <c r="L24" t="s">
        <v>416</v>
      </c>
      <c r="M24" t="str">
        <f t="shared" si="1"/>
        <v xml:space="preserve">STACEY PORTUGAL  </v>
      </c>
      <c r="N24" t="s">
        <v>28</v>
      </c>
      <c r="O24">
        <v>1</v>
      </c>
      <c r="P24">
        <v>1.68</v>
      </c>
      <c r="Q24">
        <v>0.65</v>
      </c>
      <c r="R24">
        <v>1.0900000000000001</v>
      </c>
      <c r="S24" t="s">
        <v>400</v>
      </c>
    </row>
    <row r="25" spans="1:19" x14ac:dyDescent="0.25">
      <c r="A25" t="s">
        <v>149</v>
      </c>
      <c r="B25" t="s">
        <v>128</v>
      </c>
      <c r="C25" t="s">
        <v>150</v>
      </c>
      <c r="D25" s="1">
        <v>45749</v>
      </c>
      <c r="E25" s="1">
        <v>45871</v>
      </c>
      <c r="F25">
        <v>1</v>
      </c>
      <c r="G25">
        <f t="shared" si="0"/>
        <v>5</v>
      </c>
      <c r="H25" t="s">
        <v>396</v>
      </c>
      <c r="I25" t="s">
        <v>395</v>
      </c>
      <c r="J25">
        <v>19645587</v>
      </c>
      <c r="K25" t="s">
        <v>423</v>
      </c>
      <c r="L25" t="s">
        <v>416</v>
      </c>
      <c r="M25" t="str">
        <f t="shared" si="1"/>
        <v xml:space="preserve">STACEY PORTUGAL  </v>
      </c>
      <c r="N25" t="s">
        <v>75</v>
      </c>
      <c r="O25">
        <v>1</v>
      </c>
      <c r="P25">
        <v>1.81</v>
      </c>
      <c r="Q25">
        <v>0.65</v>
      </c>
      <c r="R25">
        <v>1.18</v>
      </c>
      <c r="S25" t="s">
        <v>400</v>
      </c>
    </row>
    <row r="26" spans="1:19" x14ac:dyDescent="0.25">
      <c r="A26" t="s">
        <v>149</v>
      </c>
      <c r="B26" t="s">
        <v>128</v>
      </c>
      <c r="C26" t="s">
        <v>150</v>
      </c>
      <c r="D26" s="1">
        <v>45749</v>
      </c>
      <c r="E26" s="1">
        <v>45871</v>
      </c>
      <c r="F26">
        <v>1</v>
      </c>
      <c r="G26">
        <f t="shared" si="0"/>
        <v>5</v>
      </c>
      <c r="H26" t="s">
        <v>396</v>
      </c>
      <c r="I26" t="s">
        <v>395</v>
      </c>
      <c r="J26">
        <v>19645587</v>
      </c>
      <c r="K26" t="s">
        <v>423</v>
      </c>
      <c r="L26" t="s">
        <v>416</v>
      </c>
      <c r="M26" t="str">
        <f t="shared" si="1"/>
        <v xml:space="preserve">STACEY PORTUGAL  </v>
      </c>
      <c r="N26" t="s">
        <v>76</v>
      </c>
      <c r="O26">
        <v>1</v>
      </c>
      <c r="P26">
        <v>2.14</v>
      </c>
      <c r="Q26">
        <v>0.65</v>
      </c>
      <c r="R26">
        <v>1.39</v>
      </c>
      <c r="S26" t="s">
        <v>400</v>
      </c>
    </row>
    <row r="27" spans="1:19" x14ac:dyDescent="0.25">
      <c r="A27" t="s">
        <v>125</v>
      </c>
      <c r="B27" t="s">
        <v>30</v>
      </c>
      <c r="C27" t="s">
        <v>126</v>
      </c>
      <c r="D27" s="1">
        <v>45689</v>
      </c>
      <c r="E27" s="1">
        <v>45870</v>
      </c>
      <c r="F27">
        <v>1</v>
      </c>
      <c r="G27">
        <f t="shared" si="0"/>
        <v>6</v>
      </c>
      <c r="H27" t="s">
        <v>396</v>
      </c>
      <c r="I27" t="s">
        <v>395</v>
      </c>
      <c r="J27">
        <v>16509456</v>
      </c>
      <c r="K27" t="s">
        <v>412</v>
      </c>
      <c r="L27" t="s">
        <v>413</v>
      </c>
      <c r="M27" t="str">
        <f t="shared" si="1"/>
        <v xml:space="preserve">PETER RICHTER   </v>
      </c>
      <c r="N27" t="s">
        <v>28</v>
      </c>
      <c r="O27">
        <v>1</v>
      </c>
      <c r="P27">
        <v>1.68</v>
      </c>
      <c r="Q27">
        <v>0.65</v>
      </c>
      <c r="R27">
        <v>1.0900000000000001</v>
      </c>
      <c r="S27" t="s">
        <v>400</v>
      </c>
    </row>
    <row r="28" spans="1:19" x14ac:dyDescent="0.25">
      <c r="A28" t="s">
        <v>125</v>
      </c>
      <c r="B28" t="s">
        <v>30</v>
      </c>
      <c r="C28" t="s">
        <v>126</v>
      </c>
      <c r="D28" s="1">
        <v>45689</v>
      </c>
      <c r="E28" s="1">
        <v>45870</v>
      </c>
      <c r="F28">
        <v>1</v>
      </c>
      <c r="G28">
        <f t="shared" si="0"/>
        <v>6</v>
      </c>
      <c r="H28" t="s">
        <v>396</v>
      </c>
      <c r="I28" t="s">
        <v>395</v>
      </c>
      <c r="J28">
        <v>16509456</v>
      </c>
      <c r="K28" t="s">
        <v>412</v>
      </c>
      <c r="L28" t="s">
        <v>413</v>
      </c>
      <c r="M28" t="str">
        <f t="shared" si="1"/>
        <v xml:space="preserve">PETER RICHTER   </v>
      </c>
      <c r="N28" t="s">
        <v>27</v>
      </c>
      <c r="O28">
        <v>1</v>
      </c>
      <c r="P28">
        <v>6.22</v>
      </c>
      <c r="Q28">
        <v>0.65</v>
      </c>
      <c r="R28">
        <v>4.04</v>
      </c>
      <c r="S28" t="s">
        <v>400</v>
      </c>
    </row>
    <row r="29" spans="1:19" x14ac:dyDescent="0.25">
      <c r="A29" t="s">
        <v>125</v>
      </c>
      <c r="B29" t="s">
        <v>30</v>
      </c>
      <c r="C29" t="s">
        <v>126</v>
      </c>
      <c r="D29" s="1">
        <v>45689</v>
      </c>
      <c r="E29" s="1">
        <v>45870</v>
      </c>
      <c r="F29">
        <v>1</v>
      </c>
      <c r="G29">
        <f t="shared" si="0"/>
        <v>6</v>
      </c>
      <c r="H29" t="s">
        <v>396</v>
      </c>
      <c r="I29" t="s">
        <v>395</v>
      </c>
      <c r="J29">
        <v>16509456</v>
      </c>
      <c r="K29" t="s">
        <v>412</v>
      </c>
      <c r="L29" t="s">
        <v>413</v>
      </c>
      <c r="M29" t="str">
        <f t="shared" si="1"/>
        <v xml:space="preserve">PETER RICHTER   </v>
      </c>
      <c r="N29" t="s">
        <v>41</v>
      </c>
      <c r="O29">
        <v>1</v>
      </c>
      <c r="P29">
        <v>38.97</v>
      </c>
      <c r="Q29">
        <v>0.65</v>
      </c>
      <c r="R29">
        <v>25.33</v>
      </c>
      <c r="S29" t="s">
        <v>400</v>
      </c>
    </row>
    <row r="30" spans="1:19" x14ac:dyDescent="0.25">
      <c r="A30" t="s">
        <v>125</v>
      </c>
      <c r="B30" t="s">
        <v>30</v>
      </c>
      <c r="C30" t="s">
        <v>126</v>
      </c>
      <c r="D30" s="1">
        <v>45689</v>
      </c>
      <c r="E30" s="1">
        <v>45870</v>
      </c>
      <c r="F30">
        <v>1</v>
      </c>
      <c r="G30">
        <f t="shared" si="0"/>
        <v>6</v>
      </c>
      <c r="H30" t="s">
        <v>396</v>
      </c>
      <c r="I30" t="s">
        <v>395</v>
      </c>
      <c r="J30">
        <v>16509456</v>
      </c>
      <c r="K30" t="s">
        <v>412</v>
      </c>
      <c r="L30" t="s">
        <v>413</v>
      </c>
      <c r="M30" t="str">
        <f t="shared" si="1"/>
        <v xml:space="preserve">PETER RICHTER   </v>
      </c>
      <c r="N30" t="s">
        <v>25</v>
      </c>
      <c r="O30">
        <v>1</v>
      </c>
      <c r="P30">
        <v>21.06</v>
      </c>
      <c r="Q30">
        <v>0.65</v>
      </c>
      <c r="R30">
        <v>13.69</v>
      </c>
      <c r="S30" t="s">
        <v>400</v>
      </c>
    </row>
    <row r="31" spans="1:19" x14ac:dyDescent="0.25">
      <c r="A31" t="s">
        <v>125</v>
      </c>
      <c r="B31" t="s">
        <v>30</v>
      </c>
      <c r="C31" t="s">
        <v>126</v>
      </c>
      <c r="D31" s="1">
        <v>45689</v>
      </c>
      <c r="E31" s="1">
        <v>45870</v>
      </c>
      <c r="F31">
        <v>1</v>
      </c>
      <c r="G31">
        <f t="shared" si="0"/>
        <v>6</v>
      </c>
      <c r="H31" t="s">
        <v>396</v>
      </c>
      <c r="I31" t="s">
        <v>395</v>
      </c>
      <c r="J31">
        <v>16509456</v>
      </c>
      <c r="K31" t="s">
        <v>412</v>
      </c>
      <c r="L31" t="s">
        <v>413</v>
      </c>
      <c r="M31" t="str">
        <f t="shared" si="1"/>
        <v xml:space="preserve">PETER RICHTER   </v>
      </c>
      <c r="N31" t="s">
        <v>76</v>
      </c>
      <c r="O31">
        <v>1</v>
      </c>
      <c r="P31">
        <v>1.43</v>
      </c>
      <c r="Q31">
        <v>0.65</v>
      </c>
      <c r="R31">
        <v>0.93</v>
      </c>
      <c r="S31" t="s">
        <v>400</v>
      </c>
    </row>
    <row r="32" spans="1:19" x14ac:dyDescent="0.25">
      <c r="A32" t="s">
        <v>125</v>
      </c>
      <c r="B32" t="s">
        <v>30</v>
      </c>
      <c r="C32" t="s">
        <v>126</v>
      </c>
      <c r="D32" s="1">
        <v>45689</v>
      </c>
      <c r="E32" s="1">
        <v>45870</v>
      </c>
      <c r="F32">
        <v>1</v>
      </c>
      <c r="G32">
        <f t="shared" si="0"/>
        <v>6</v>
      </c>
      <c r="H32" t="s">
        <v>396</v>
      </c>
      <c r="I32" t="s">
        <v>395</v>
      </c>
      <c r="J32">
        <v>16509456</v>
      </c>
      <c r="K32" t="s">
        <v>412</v>
      </c>
      <c r="L32" t="s">
        <v>413</v>
      </c>
      <c r="M32" t="str">
        <f t="shared" si="1"/>
        <v xml:space="preserve">PETER RICHTER   </v>
      </c>
      <c r="N32" t="s">
        <v>34</v>
      </c>
      <c r="O32">
        <v>1</v>
      </c>
      <c r="P32">
        <v>14.23</v>
      </c>
      <c r="Q32">
        <v>0.65</v>
      </c>
      <c r="R32">
        <v>9.25</v>
      </c>
      <c r="S32" t="s">
        <v>400</v>
      </c>
    </row>
    <row r="33" spans="1:19" x14ac:dyDescent="0.25">
      <c r="A33" t="s">
        <v>125</v>
      </c>
      <c r="B33" t="s">
        <v>30</v>
      </c>
      <c r="C33" t="s">
        <v>126</v>
      </c>
      <c r="D33" s="1">
        <v>45689</v>
      </c>
      <c r="E33" s="1">
        <v>45870</v>
      </c>
      <c r="F33">
        <v>1</v>
      </c>
      <c r="G33">
        <f t="shared" si="0"/>
        <v>6</v>
      </c>
      <c r="H33" t="s">
        <v>396</v>
      </c>
      <c r="I33" t="s">
        <v>395</v>
      </c>
      <c r="J33">
        <v>16509456</v>
      </c>
      <c r="K33" t="s">
        <v>412</v>
      </c>
      <c r="L33" t="s">
        <v>413</v>
      </c>
      <c r="M33" t="str">
        <f t="shared" si="1"/>
        <v xml:space="preserve">PETER RICHTER   </v>
      </c>
      <c r="N33" t="s">
        <v>42</v>
      </c>
      <c r="O33">
        <v>1</v>
      </c>
      <c r="P33">
        <v>2.75</v>
      </c>
      <c r="Q33">
        <v>0.65</v>
      </c>
      <c r="R33">
        <v>1.79</v>
      </c>
      <c r="S33" t="s">
        <v>400</v>
      </c>
    </row>
    <row r="34" spans="1:19" x14ac:dyDescent="0.25">
      <c r="A34" t="s">
        <v>375</v>
      </c>
      <c r="B34" t="s">
        <v>376</v>
      </c>
      <c r="C34" t="s">
        <v>377</v>
      </c>
      <c r="D34" s="1">
        <v>45859</v>
      </c>
      <c r="E34" s="1">
        <v>45890</v>
      </c>
      <c r="F34">
        <v>1</v>
      </c>
      <c r="G34">
        <f t="shared" si="0"/>
        <v>1</v>
      </c>
      <c r="H34" t="s">
        <v>396</v>
      </c>
      <c r="I34" t="s">
        <v>395</v>
      </c>
      <c r="J34">
        <v>371819</v>
      </c>
      <c r="K34" t="s">
        <v>425</v>
      </c>
      <c r="L34" t="s">
        <v>426</v>
      </c>
      <c r="M34" t="str">
        <f t="shared" si="1"/>
        <v>THOMAS PARDUE</v>
      </c>
      <c r="N34" t="s">
        <v>381</v>
      </c>
      <c r="O34">
        <v>1</v>
      </c>
      <c r="P34">
        <v>84.16</v>
      </c>
      <c r="Q34">
        <v>0.85</v>
      </c>
      <c r="R34">
        <v>71.540000000000006</v>
      </c>
      <c r="S34" t="s">
        <v>398</v>
      </c>
    </row>
    <row r="35" spans="1:19" x14ac:dyDescent="0.25">
      <c r="A35" t="s">
        <v>375</v>
      </c>
      <c r="B35" t="s">
        <v>376</v>
      </c>
      <c r="C35" t="s">
        <v>377</v>
      </c>
      <c r="D35" s="1">
        <v>45859</v>
      </c>
      <c r="E35" s="1">
        <v>45859</v>
      </c>
      <c r="F35">
        <v>1</v>
      </c>
      <c r="G35">
        <f t="shared" si="0"/>
        <v>1</v>
      </c>
      <c r="H35" t="s">
        <v>396</v>
      </c>
      <c r="I35" t="s">
        <v>395</v>
      </c>
      <c r="J35">
        <v>371819</v>
      </c>
      <c r="K35" t="s">
        <v>425</v>
      </c>
      <c r="L35" t="s">
        <v>426</v>
      </c>
      <c r="M35" t="str">
        <f t="shared" si="1"/>
        <v>THOMAS PARDUE</v>
      </c>
      <c r="N35" t="s">
        <v>381</v>
      </c>
      <c r="O35" t="s">
        <v>384</v>
      </c>
      <c r="P35">
        <v>-84.16</v>
      </c>
      <c r="Q35">
        <v>0.85</v>
      </c>
      <c r="R35">
        <v>-71.540000000000006</v>
      </c>
      <c r="S35" t="s">
        <v>398</v>
      </c>
    </row>
    <row r="36" spans="1:19" x14ac:dyDescent="0.25">
      <c r="A36" t="s">
        <v>179</v>
      </c>
      <c r="B36" t="s">
        <v>152</v>
      </c>
      <c r="C36" t="s">
        <v>180</v>
      </c>
      <c r="D36" s="1">
        <v>45524</v>
      </c>
      <c r="E36" s="1">
        <v>45889</v>
      </c>
      <c r="F36">
        <v>1</v>
      </c>
      <c r="G36">
        <f t="shared" si="0"/>
        <v>12</v>
      </c>
      <c r="H36" t="s">
        <v>394</v>
      </c>
      <c r="I36" t="s">
        <v>395</v>
      </c>
      <c r="J36">
        <v>19681796</v>
      </c>
      <c r="K36" t="s">
        <v>430</v>
      </c>
      <c r="L36" t="s">
        <v>410</v>
      </c>
      <c r="M36" t="str">
        <f t="shared" si="1"/>
        <v xml:space="preserve">CHRISTIAN TAUGNER   </v>
      </c>
      <c r="N36" t="s">
        <v>181</v>
      </c>
      <c r="O36">
        <v>1</v>
      </c>
      <c r="P36">
        <v>60.41</v>
      </c>
      <c r="Q36">
        <v>0.6</v>
      </c>
      <c r="R36">
        <v>36.25</v>
      </c>
      <c r="S36" t="s">
        <v>401</v>
      </c>
    </row>
    <row r="37" spans="1:19" x14ac:dyDescent="0.25">
      <c r="A37" t="s">
        <v>179</v>
      </c>
      <c r="B37" t="s">
        <v>152</v>
      </c>
      <c r="C37" t="s">
        <v>180</v>
      </c>
      <c r="D37" s="1">
        <v>45524</v>
      </c>
      <c r="E37" s="1">
        <v>45889</v>
      </c>
      <c r="F37">
        <v>1</v>
      </c>
      <c r="G37">
        <f t="shared" si="0"/>
        <v>12</v>
      </c>
      <c r="H37" t="s">
        <v>394</v>
      </c>
      <c r="I37" t="s">
        <v>395</v>
      </c>
      <c r="J37">
        <v>19681796</v>
      </c>
      <c r="K37" t="s">
        <v>430</v>
      </c>
      <c r="L37" t="s">
        <v>410</v>
      </c>
      <c r="M37" t="str">
        <f t="shared" si="1"/>
        <v xml:space="preserve">CHRISTIAN TAUGNER   </v>
      </c>
      <c r="N37" t="s">
        <v>182</v>
      </c>
      <c r="O37">
        <v>1</v>
      </c>
      <c r="P37">
        <v>9.75</v>
      </c>
      <c r="Q37">
        <v>0.6</v>
      </c>
      <c r="R37">
        <v>5.85</v>
      </c>
      <c r="S37" t="s">
        <v>401</v>
      </c>
    </row>
    <row r="38" spans="1:19" x14ac:dyDescent="0.25">
      <c r="A38" t="s">
        <v>179</v>
      </c>
      <c r="B38" t="s">
        <v>152</v>
      </c>
      <c r="C38" t="s">
        <v>180</v>
      </c>
      <c r="D38" s="1">
        <v>45524</v>
      </c>
      <c r="E38" s="1">
        <v>45889</v>
      </c>
      <c r="F38">
        <v>1</v>
      </c>
      <c r="G38">
        <f t="shared" si="0"/>
        <v>12</v>
      </c>
      <c r="H38" t="s">
        <v>394</v>
      </c>
      <c r="I38" t="s">
        <v>395</v>
      </c>
      <c r="J38">
        <v>19681796</v>
      </c>
      <c r="K38" t="s">
        <v>430</v>
      </c>
      <c r="L38" t="s">
        <v>410</v>
      </c>
      <c r="M38" t="str">
        <f t="shared" si="1"/>
        <v xml:space="preserve">CHRISTIAN TAUGNER   </v>
      </c>
      <c r="N38" t="s">
        <v>178</v>
      </c>
      <c r="O38">
        <v>1</v>
      </c>
      <c r="P38">
        <v>7.92</v>
      </c>
      <c r="Q38">
        <v>0.6</v>
      </c>
      <c r="R38">
        <v>4.75</v>
      </c>
      <c r="S38" t="s">
        <v>401</v>
      </c>
    </row>
    <row r="39" spans="1:19" x14ac:dyDescent="0.25">
      <c r="A39" t="s">
        <v>179</v>
      </c>
      <c r="B39" t="s">
        <v>152</v>
      </c>
      <c r="C39" t="s">
        <v>180</v>
      </c>
      <c r="D39" s="1">
        <v>45524</v>
      </c>
      <c r="E39" s="1">
        <v>45889</v>
      </c>
      <c r="F39">
        <v>1</v>
      </c>
      <c r="G39">
        <f t="shared" si="0"/>
        <v>12</v>
      </c>
      <c r="H39" t="s">
        <v>394</v>
      </c>
      <c r="I39" t="s">
        <v>395</v>
      </c>
      <c r="J39">
        <v>19681796</v>
      </c>
      <c r="K39" t="s">
        <v>430</v>
      </c>
      <c r="L39" t="s">
        <v>410</v>
      </c>
      <c r="M39" t="str">
        <f t="shared" si="1"/>
        <v xml:space="preserve">CHRISTIAN TAUGNER   </v>
      </c>
      <c r="N39" t="s">
        <v>176</v>
      </c>
      <c r="O39">
        <v>1</v>
      </c>
      <c r="P39">
        <v>2</v>
      </c>
      <c r="Q39">
        <v>0.6</v>
      </c>
      <c r="R39">
        <v>1.2</v>
      </c>
      <c r="S39" t="s">
        <v>401</v>
      </c>
    </row>
    <row r="40" spans="1:19" x14ac:dyDescent="0.25">
      <c r="A40" t="s">
        <v>179</v>
      </c>
      <c r="B40" t="s">
        <v>152</v>
      </c>
      <c r="C40" t="s">
        <v>180</v>
      </c>
      <c r="D40" s="1">
        <v>45524</v>
      </c>
      <c r="E40" s="1">
        <v>45889</v>
      </c>
      <c r="F40">
        <v>1</v>
      </c>
      <c r="G40">
        <f t="shared" si="0"/>
        <v>12</v>
      </c>
      <c r="H40" t="s">
        <v>394</v>
      </c>
      <c r="I40" t="s">
        <v>395</v>
      </c>
      <c r="J40">
        <v>19681796</v>
      </c>
      <c r="K40" t="s">
        <v>430</v>
      </c>
      <c r="L40" t="s">
        <v>410</v>
      </c>
      <c r="M40" t="str">
        <f t="shared" si="1"/>
        <v xml:space="preserve">CHRISTIAN TAUGNER   </v>
      </c>
      <c r="N40" t="s">
        <v>183</v>
      </c>
      <c r="O40">
        <v>1</v>
      </c>
      <c r="P40">
        <v>4.58</v>
      </c>
      <c r="Q40">
        <v>0.6</v>
      </c>
      <c r="R40">
        <v>2.75</v>
      </c>
      <c r="S40" t="s">
        <v>401</v>
      </c>
    </row>
    <row r="41" spans="1:19" x14ac:dyDescent="0.25">
      <c r="A41" t="s">
        <v>175</v>
      </c>
      <c r="B41" t="s">
        <v>170</v>
      </c>
      <c r="C41" t="s">
        <v>171</v>
      </c>
      <c r="D41" s="1">
        <v>45523</v>
      </c>
      <c r="E41" s="1">
        <v>45888</v>
      </c>
      <c r="F41">
        <v>1</v>
      </c>
      <c r="G41">
        <f t="shared" si="0"/>
        <v>12</v>
      </c>
      <c r="H41" t="s">
        <v>394</v>
      </c>
      <c r="I41" t="s">
        <v>395</v>
      </c>
      <c r="J41">
        <v>19681796</v>
      </c>
      <c r="K41" t="s">
        <v>430</v>
      </c>
      <c r="L41" t="s">
        <v>410</v>
      </c>
      <c r="M41" t="str">
        <f t="shared" si="1"/>
        <v xml:space="preserve">CHRISTIAN TAUGNER   </v>
      </c>
      <c r="N41" t="s">
        <v>160</v>
      </c>
      <c r="O41">
        <v>1</v>
      </c>
      <c r="P41">
        <v>50</v>
      </c>
      <c r="Q41">
        <v>0.6</v>
      </c>
      <c r="R41">
        <v>30</v>
      </c>
      <c r="S41" t="s">
        <v>401</v>
      </c>
    </row>
    <row r="42" spans="1:19" x14ac:dyDescent="0.25">
      <c r="A42" t="s">
        <v>175</v>
      </c>
      <c r="B42" t="s">
        <v>170</v>
      </c>
      <c r="C42" t="s">
        <v>171</v>
      </c>
      <c r="D42" s="1">
        <v>45523</v>
      </c>
      <c r="E42" s="1">
        <v>45888</v>
      </c>
      <c r="F42">
        <v>1</v>
      </c>
      <c r="G42">
        <f t="shared" si="0"/>
        <v>12</v>
      </c>
      <c r="H42" t="s">
        <v>394</v>
      </c>
      <c r="I42" t="s">
        <v>395</v>
      </c>
      <c r="J42">
        <v>19681796</v>
      </c>
      <c r="K42" t="s">
        <v>430</v>
      </c>
      <c r="L42" t="s">
        <v>410</v>
      </c>
      <c r="M42" t="str">
        <f t="shared" si="1"/>
        <v xml:space="preserve">CHRISTIAN TAUGNER   </v>
      </c>
      <c r="N42" t="s">
        <v>176</v>
      </c>
      <c r="O42">
        <v>1</v>
      </c>
      <c r="P42">
        <v>1.83</v>
      </c>
      <c r="Q42">
        <v>0.6</v>
      </c>
      <c r="R42">
        <v>1.1000000000000001</v>
      </c>
      <c r="S42" t="s">
        <v>401</v>
      </c>
    </row>
    <row r="43" spans="1:19" x14ac:dyDescent="0.25">
      <c r="A43" t="s">
        <v>175</v>
      </c>
      <c r="B43" t="s">
        <v>170</v>
      </c>
      <c r="C43" t="s">
        <v>171</v>
      </c>
      <c r="D43" s="1">
        <v>45523</v>
      </c>
      <c r="E43" s="1">
        <v>45888</v>
      </c>
      <c r="F43">
        <v>1</v>
      </c>
      <c r="G43">
        <f t="shared" si="0"/>
        <v>12</v>
      </c>
      <c r="H43" t="s">
        <v>394</v>
      </c>
      <c r="I43" t="s">
        <v>395</v>
      </c>
      <c r="J43">
        <v>19681796</v>
      </c>
      <c r="K43" t="s">
        <v>430</v>
      </c>
      <c r="L43" t="s">
        <v>410</v>
      </c>
      <c r="M43" t="str">
        <f t="shared" si="1"/>
        <v xml:space="preserve">CHRISTIAN TAUGNER   </v>
      </c>
      <c r="N43" t="s">
        <v>177</v>
      </c>
      <c r="O43">
        <v>1</v>
      </c>
      <c r="P43">
        <v>7.29</v>
      </c>
      <c r="Q43">
        <v>0.6</v>
      </c>
      <c r="R43">
        <v>4.37</v>
      </c>
      <c r="S43" t="s">
        <v>401</v>
      </c>
    </row>
    <row r="44" spans="1:19" x14ac:dyDescent="0.25">
      <c r="A44" t="s">
        <v>175</v>
      </c>
      <c r="B44" t="s">
        <v>170</v>
      </c>
      <c r="C44" t="s">
        <v>171</v>
      </c>
      <c r="D44" s="1">
        <v>45523</v>
      </c>
      <c r="E44" s="1">
        <v>45888</v>
      </c>
      <c r="F44">
        <v>1</v>
      </c>
      <c r="G44">
        <f t="shared" si="0"/>
        <v>12</v>
      </c>
      <c r="H44" t="s">
        <v>394</v>
      </c>
      <c r="I44" t="s">
        <v>395</v>
      </c>
      <c r="J44">
        <v>19681796</v>
      </c>
      <c r="K44" t="s">
        <v>430</v>
      </c>
      <c r="L44" t="s">
        <v>410</v>
      </c>
      <c r="M44" t="str">
        <f t="shared" si="1"/>
        <v xml:space="preserve">CHRISTIAN TAUGNER   </v>
      </c>
      <c r="N44" t="s">
        <v>178</v>
      </c>
      <c r="O44">
        <v>1</v>
      </c>
      <c r="P44">
        <v>7.25</v>
      </c>
      <c r="Q44">
        <v>0.6</v>
      </c>
      <c r="R44">
        <v>4.3499999999999996</v>
      </c>
      <c r="S44" t="s">
        <v>401</v>
      </c>
    </row>
    <row r="45" spans="1:19" x14ac:dyDescent="0.25">
      <c r="A45" t="s">
        <v>175</v>
      </c>
      <c r="B45" t="s">
        <v>170</v>
      </c>
      <c r="C45" t="s">
        <v>171</v>
      </c>
      <c r="D45" s="1">
        <v>45523</v>
      </c>
      <c r="E45" s="1">
        <v>45888</v>
      </c>
      <c r="F45">
        <v>1</v>
      </c>
      <c r="G45">
        <f t="shared" si="0"/>
        <v>12</v>
      </c>
      <c r="H45" t="s">
        <v>394</v>
      </c>
      <c r="I45" t="s">
        <v>395</v>
      </c>
      <c r="J45">
        <v>19681796</v>
      </c>
      <c r="K45" t="s">
        <v>430</v>
      </c>
      <c r="L45" t="s">
        <v>410</v>
      </c>
      <c r="M45" t="str">
        <f t="shared" si="1"/>
        <v xml:space="preserve">CHRISTIAN TAUGNER   </v>
      </c>
      <c r="N45" t="s">
        <v>161</v>
      </c>
      <c r="O45">
        <v>1</v>
      </c>
      <c r="P45">
        <v>35</v>
      </c>
      <c r="Q45">
        <v>0.6</v>
      </c>
      <c r="R45">
        <v>21</v>
      </c>
      <c r="S45" t="s">
        <v>401</v>
      </c>
    </row>
    <row r="46" spans="1:19" x14ac:dyDescent="0.25">
      <c r="A46" t="s">
        <v>371</v>
      </c>
      <c r="B46" t="s">
        <v>152</v>
      </c>
      <c r="C46" t="s">
        <v>372</v>
      </c>
      <c r="D46" s="1">
        <v>45488</v>
      </c>
      <c r="E46" s="1">
        <v>45884</v>
      </c>
      <c r="F46">
        <v>1</v>
      </c>
      <c r="G46">
        <f t="shared" si="0"/>
        <v>1</v>
      </c>
      <c r="H46" t="s">
        <v>394</v>
      </c>
      <c r="I46" t="s">
        <v>395</v>
      </c>
      <c r="J46">
        <v>19681796</v>
      </c>
      <c r="K46" t="s">
        <v>430</v>
      </c>
      <c r="L46" t="s">
        <v>410</v>
      </c>
      <c r="M46" t="str">
        <f t="shared" si="1"/>
        <v xml:space="preserve">CHRISTIAN TAUGNER   </v>
      </c>
      <c r="N46" t="s">
        <v>181</v>
      </c>
      <c r="O46">
        <v>1</v>
      </c>
      <c r="P46">
        <v>7.92</v>
      </c>
      <c r="Q46">
        <v>0.1</v>
      </c>
      <c r="R46">
        <v>0.79</v>
      </c>
      <c r="S46" t="s">
        <v>401</v>
      </c>
    </row>
    <row r="47" spans="1:19" x14ac:dyDescent="0.25">
      <c r="A47" t="s">
        <v>371</v>
      </c>
      <c r="B47" t="s">
        <v>152</v>
      </c>
      <c r="C47" t="s">
        <v>372</v>
      </c>
      <c r="D47" s="1">
        <v>45488</v>
      </c>
      <c r="E47" s="1">
        <v>45884</v>
      </c>
      <c r="F47">
        <v>1</v>
      </c>
      <c r="G47">
        <f t="shared" si="0"/>
        <v>1</v>
      </c>
      <c r="H47" t="s">
        <v>394</v>
      </c>
      <c r="I47" t="s">
        <v>395</v>
      </c>
      <c r="J47">
        <v>19681796</v>
      </c>
      <c r="K47" t="s">
        <v>430</v>
      </c>
      <c r="L47" t="s">
        <v>410</v>
      </c>
      <c r="M47" t="str">
        <f t="shared" si="1"/>
        <v xml:space="preserve">CHRISTIAN TAUGNER   </v>
      </c>
      <c r="N47" t="s">
        <v>182</v>
      </c>
      <c r="O47">
        <v>1</v>
      </c>
      <c r="P47">
        <v>13</v>
      </c>
      <c r="Q47">
        <v>0.1</v>
      </c>
      <c r="R47">
        <v>1.3</v>
      </c>
      <c r="S47" t="s">
        <v>401</v>
      </c>
    </row>
    <row r="48" spans="1:19" x14ac:dyDescent="0.25">
      <c r="A48" t="s">
        <v>371</v>
      </c>
      <c r="B48" t="s">
        <v>152</v>
      </c>
      <c r="C48" t="s">
        <v>372</v>
      </c>
      <c r="D48" s="1">
        <v>45488</v>
      </c>
      <c r="E48" s="1">
        <v>45884</v>
      </c>
      <c r="F48">
        <v>1</v>
      </c>
      <c r="G48">
        <f t="shared" si="0"/>
        <v>1</v>
      </c>
      <c r="H48" t="s">
        <v>394</v>
      </c>
      <c r="I48" t="s">
        <v>395</v>
      </c>
      <c r="J48">
        <v>19681796</v>
      </c>
      <c r="K48" t="s">
        <v>430</v>
      </c>
      <c r="L48" t="s">
        <v>410</v>
      </c>
      <c r="M48" t="str">
        <f t="shared" si="1"/>
        <v xml:space="preserve">CHRISTIAN TAUGNER   </v>
      </c>
      <c r="N48" t="s">
        <v>183</v>
      </c>
      <c r="O48">
        <v>1</v>
      </c>
      <c r="P48">
        <v>4.58</v>
      </c>
      <c r="Q48">
        <v>0.1</v>
      </c>
      <c r="R48">
        <v>0.46</v>
      </c>
      <c r="S48" t="s">
        <v>401</v>
      </c>
    </row>
    <row r="49" spans="1:19" x14ac:dyDescent="0.25">
      <c r="A49" t="s">
        <v>371</v>
      </c>
      <c r="B49" t="s">
        <v>152</v>
      </c>
      <c r="C49" t="s">
        <v>372</v>
      </c>
      <c r="D49" s="1">
        <v>45488</v>
      </c>
      <c r="E49" s="1">
        <v>45884</v>
      </c>
      <c r="F49">
        <v>1</v>
      </c>
      <c r="G49">
        <f t="shared" si="0"/>
        <v>1</v>
      </c>
      <c r="H49" t="s">
        <v>394</v>
      </c>
      <c r="I49" t="s">
        <v>395</v>
      </c>
      <c r="J49">
        <v>19681796</v>
      </c>
      <c r="K49" t="s">
        <v>430</v>
      </c>
      <c r="L49" t="s">
        <v>410</v>
      </c>
      <c r="M49" t="str">
        <f t="shared" si="1"/>
        <v xml:space="preserve">CHRISTIAN TAUGNER   </v>
      </c>
      <c r="N49" t="s">
        <v>178</v>
      </c>
      <c r="O49">
        <v>1</v>
      </c>
      <c r="P49">
        <v>1.08</v>
      </c>
      <c r="Q49">
        <v>0.1</v>
      </c>
      <c r="R49">
        <v>0.11</v>
      </c>
      <c r="S49" t="s">
        <v>401</v>
      </c>
    </row>
    <row r="50" spans="1:19" x14ac:dyDescent="0.25">
      <c r="A50" t="s">
        <v>371</v>
      </c>
      <c r="B50" t="s">
        <v>152</v>
      </c>
      <c r="C50" t="s">
        <v>372</v>
      </c>
      <c r="D50" s="1">
        <v>45488</v>
      </c>
      <c r="E50" s="1">
        <v>45884</v>
      </c>
      <c r="F50">
        <v>1</v>
      </c>
      <c r="G50">
        <f t="shared" si="0"/>
        <v>1</v>
      </c>
      <c r="H50" t="s">
        <v>394</v>
      </c>
      <c r="I50" t="s">
        <v>395</v>
      </c>
      <c r="J50">
        <v>19681796</v>
      </c>
      <c r="K50" t="s">
        <v>430</v>
      </c>
      <c r="L50" t="s">
        <v>410</v>
      </c>
      <c r="M50" t="str">
        <f t="shared" si="1"/>
        <v xml:space="preserve">CHRISTIAN TAUGNER   </v>
      </c>
      <c r="N50" t="s">
        <v>176</v>
      </c>
      <c r="O50">
        <v>1</v>
      </c>
      <c r="P50">
        <v>4.42</v>
      </c>
      <c r="Q50">
        <v>0.1</v>
      </c>
      <c r="R50">
        <v>0.44</v>
      </c>
      <c r="S50" t="s">
        <v>401</v>
      </c>
    </row>
    <row r="51" spans="1:19" x14ac:dyDescent="0.25">
      <c r="A51" t="s">
        <v>373</v>
      </c>
      <c r="B51" t="s">
        <v>152</v>
      </c>
      <c r="C51" t="s">
        <v>374</v>
      </c>
      <c r="D51" s="1">
        <v>45488</v>
      </c>
      <c r="E51" s="1">
        <v>45884</v>
      </c>
      <c r="F51">
        <v>1</v>
      </c>
      <c r="G51">
        <f t="shared" si="0"/>
        <v>1</v>
      </c>
      <c r="H51" t="s">
        <v>394</v>
      </c>
      <c r="I51" t="s">
        <v>395</v>
      </c>
      <c r="J51">
        <v>19681796</v>
      </c>
      <c r="K51" t="s">
        <v>430</v>
      </c>
      <c r="L51" t="s">
        <v>410</v>
      </c>
      <c r="M51" t="str">
        <f t="shared" si="1"/>
        <v xml:space="preserve">CHRISTIAN TAUGNER   </v>
      </c>
      <c r="N51" t="s">
        <v>181</v>
      </c>
      <c r="O51">
        <v>1</v>
      </c>
      <c r="P51">
        <v>6.04</v>
      </c>
      <c r="Q51">
        <v>0.1</v>
      </c>
      <c r="R51">
        <v>0.6</v>
      </c>
      <c r="S51" t="s">
        <v>401</v>
      </c>
    </row>
    <row r="52" spans="1:19" x14ac:dyDescent="0.25">
      <c r="A52" t="s">
        <v>373</v>
      </c>
      <c r="B52" t="s">
        <v>152</v>
      </c>
      <c r="C52" t="s">
        <v>374</v>
      </c>
      <c r="D52" s="1">
        <v>45488</v>
      </c>
      <c r="E52" s="1">
        <v>45884</v>
      </c>
      <c r="F52">
        <v>1</v>
      </c>
      <c r="G52">
        <f t="shared" si="0"/>
        <v>1</v>
      </c>
      <c r="H52" t="s">
        <v>394</v>
      </c>
      <c r="I52" t="s">
        <v>395</v>
      </c>
      <c r="J52">
        <v>19681796</v>
      </c>
      <c r="K52" t="s">
        <v>430</v>
      </c>
      <c r="L52" t="s">
        <v>410</v>
      </c>
      <c r="M52" t="str">
        <f t="shared" si="1"/>
        <v xml:space="preserve">CHRISTIAN TAUGNER   </v>
      </c>
      <c r="N52" t="s">
        <v>182</v>
      </c>
      <c r="O52">
        <v>1</v>
      </c>
      <c r="P52">
        <v>9.75</v>
      </c>
      <c r="Q52">
        <v>0.1</v>
      </c>
      <c r="R52">
        <v>0.98</v>
      </c>
      <c r="S52" t="s">
        <v>401</v>
      </c>
    </row>
    <row r="53" spans="1:19" x14ac:dyDescent="0.25">
      <c r="A53" t="s">
        <v>373</v>
      </c>
      <c r="B53" t="s">
        <v>152</v>
      </c>
      <c r="C53" t="s">
        <v>374</v>
      </c>
      <c r="D53" s="1">
        <v>45488</v>
      </c>
      <c r="E53" s="1">
        <v>45884</v>
      </c>
      <c r="F53">
        <v>1</v>
      </c>
      <c r="G53">
        <f t="shared" si="0"/>
        <v>1</v>
      </c>
      <c r="H53" t="s">
        <v>394</v>
      </c>
      <c r="I53" t="s">
        <v>395</v>
      </c>
      <c r="J53">
        <v>19681796</v>
      </c>
      <c r="K53" t="s">
        <v>430</v>
      </c>
      <c r="L53" t="s">
        <v>410</v>
      </c>
      <c r="M53" t="str">
        <f t="shared" si="1"/>
        <v xml:space="preserve">CHRISTIAN TAUGNER   </v>
      </c>
      <c r="N53" t="s">
        <v>183</v>
      </c>
      <c r="O53">
        <v>1</v>
      </c>
      <c r="P53">
        <v>4.58</v>
      </c>
      <c r="Q53">
        <v>0.1</v>
      </c>
      <c r="R53">
        <v>0.46</v>
      </c>
      <c r="S53" t="s">
        <v>401</v>
      </c>
    </row>
    <row r="54" spans="1:19" x14ac:dyDescent="0.25">
      <c r="A54" t="s">
        <v>373</v>
      </c>
      <c r="B54" t="s">
        <v>152</v>
      </c>
      <c r="C54" t="s">
        <v>374</v>
      </c>
      <c r="D54" s="1">
        <v>45488</v>
      </c>
      <c r="E54" s="1">
        <v>45884</v>
      </c>
      <c r="F54">
        <v>1</v>
      </c>
      <c r="G54">
        <f t="shared" si="0"/>
        <v>1</v>
      </c>
      <c r="H54" t="s">
        <v>394</v>
      </c>
      <c r="I54" t="s">
        <v>395</v>
      </c>
      <c r="J54">
        <v>19681796</v>
      </c>
      <c r="K54" t="s">
        <v>430</v>
      </c>
      <c r="L54" t="s">
        <v>410</v>
      </c>
      <c r="M54" t="str">
        <f t="shared" si="1"/>
        <v xml:space="preserve">CHRISTIAN TAUGNER   </v>
      </c>
      <c r="N54" t="s">
        <v>176</v>
      </c>
      <c r="O54">
        <v>1</v>
      </c>
      <c r="P54">
        <v>2</v>
      </c>
      <c r="Q54">
        <v>0.1</v>
      </c>
      <c r="R54">
        <v>0.2</v>
      </c>
      <c r="S54" t="s">
        <v>401</v>
      </c>
    </row>
    <row r="55" spans="1:19" x14ac:dyDescent="0.25">
      <c r="A55" t="s">
        <v>373</v>
      </c>
      <c r="B55" t="s">
        <v>152</v>
      </c>
      <c r="C55" t="s">
        <v>374</v>
      </c>
      <c r="D55" s="1">
        <v>45488</v>
      </c>
      <c r="E55" s="1">
        <v>45884</v>
      </c>
      <c r="F55">
        <v>1</v>
      </c>
      <c r="G55">
        <f t="shared" si="0"/>
        <v>1</v>
      </c>
      <c r="H55" t="s">
        <v>394</v>
      </c>
      <c r="I55" t="s">
        <v>395</v>
      </c>
      <c r="J55">
        <v>19681796</v>
      </c>
      <c r="K55" t="s">
        <v>430</v>
      </c>
      <c r="L55" t="s">
        <v>410</v>
      </c>
      <c r="M55" t="str">
        <f t="shared" si="1"/>
        <v xml:space="preserve">CHRISTIAN TAUGNER   </v>
      </c>
      <c r="N55" t="s">
        <v>178</v>
      </c>
      <c r="O55">
        <v>1</v>
      </c>
      <c r="P55">
        <v>0.79</v>
      </c>
      <c r="Q55">
        <v>0.1</v>
      </c>
      <c r="R55">
        <v>0.08</v>
      </c>
      <c r="S55" t="s">
        <v>401</v>
      </c>
    </row>
    <row r="56" spans="1:19" x14ac:dyDescent="0.25">
      <c r="A56" t="s">
        <v>369</v>
      </c>
      <c r="B56" t="s">
        <v>152</v>
      </c>
      <c r="C56" t="s">
        <v>370</v>
      </c>
      <c r="D56" s="1">
        <v>45481</v>
      </c>
      <c r="E56" s="1">
        <v>45877</v>
      </c>
      <c r="F56">
        <v>1</v>
      </c>
      <c r="G56">
        <f t="shared" si="0"/>
        <v>1</v>
      </c>
      <c r="H56" t="s">
        <v>394</v>
      </c>
      <c r="I56" t="s">
        <v>395</v>
      </c>
      <c r="J56">
        <v>19681796</v>
      </c>
      <c r="K56" t="s">
        <v>430</v>
      </c>
      <c r="L56" t="s">
        <v>410</v>
      </c>
      <c r="M56" t="str">
        <f t="shared" si="1"/>
        <v xml:space="preserve">CHRISTIAN TAUGNER   </v>
      </c>
      <c r="N56" t="s">
        <v>182</v>
      </c>
      <c r="O56">
        <v>1</v>
      </c>
      <c r="P56">
        <v>13</v>
      </c>
      <c r="Q56">
        <v>0.1</v>
      </c>
      <c r="R56">
        <v>1.3</v>
      </c>
      <c r="S56" t="s">
        <v>401</v>
      </c>
    </row>
    <row r="57" spans="1:19" x14ac:dyDescent="0.25">
      <c r="A57" t="s">
        <v>369</v>
      </c>
      <c r="B57" t="s">
        <v>152</v>
      </c>
      <c r="C57" t="s">
        <v>370</v>
      </c>
      <c r="D57" s="1">
        <v>45481</v>
      </c>
      <c r="E57" s="1">
        <v>45877</v>
      </c>
      <c r="F57">
        <v>1</v>
      </c>
      <c r="G57">
        <f t="shared" si="0"/>
        <v>1</v>
      </c>
      <c r="H57" t="s">
        <v>394</v>
      </c>
      <c r="I57" t="s">
        <v>395</v>
      </c>
      <c r="J57">
        <v>19681796</v>
      </c>
      <c r="K57" t="s">
        <v>430</v>
      </c>
      <c r="L57" t="s">
        <v>410</v>
      </c>
      <c r="M57" t="str">
        <f t="shared" si="1"/>
        <v xml:space="preserve">CHRISTIAN TAUGNER   </v>
      </c>
      <c r="N57" t="s">
        <v>183</v>
      </c>
      <c r="O57">
        <v>1</v>
      </c>
      <c r="P57">
        <v>4.58</v>
      </c>
      <c r="Q57">
        <v>0.1</v>
      </c>
      <c r="R57">
        <v>0.46</v>
      </c>
      <c r="S57" t="s">
        <v>401</v>
      </c>
    </row>
    <row r="58" spans="1:19" x14ac:dyDescent="0.25">
      <c r="A58" t="s">
        <v>369</v>
      </c>
      <c r="B58" t="s">
        <v>152</v>
      </c>
      <c r="C58" t="s">
        <v>370</v>
      </c>
      <c r="D58" s="1">
        <v>45481</v>
      </c>
      <c r="E58" s="1">
        <v>45877</v>
      </c>
      <c r="F58">
        <v>1</v>
      </c>
      <c r="G58">
        <f t="shared" si="0"/>
        <v>1</v>
      </c>
      <c r="H58" t="s">
        <v>394</v>
      </c>
      <c r="I58" t="s">
        <v>395</v>
      </c>
      <c r="J58">
        <v>19681796</v>
      </c>
      <c r="K58" t="s">
        <v>430</v>
      </c>
      <c r="L58" t="s">
        <v>410</v>
      </c>
      <c r="M58" t="str">
        <f t="shared" si="1"/>
        <v xml:space="preserve">CHRISTIAN TAUGNER   </v>
      </c>
      <c r="N58" t="s">
        <v>181</v>
      </c>
      <c r="O58">
        <v>1</v>
      </c>
      <c r="P58">
        <v>47.5</v>
      </c>
      <c r="Q58">
        <v>0.1</v>
      </c>
      <c r="R58">
        <v>4.75</v>
      </c>
      <c r="S58" t="s">
        <v>401</v>
      </c>
    </row>
    <row r="59" spans="1:19" x14ac:dyDescent="0.25">
      <c r="A59" t="s">
        <v>369</v>
      </c>
      <c r="B59" t="s">
        <v>152</v>
      </c>
      <c r="C59" t="s">
        <v>370</v>
      </c>
      <c r="D59" s="1">
        <v>45481</v>
      </c>
      <c r="E59" s="1">
        <v>45877</v>
      </c>
      <c r="F59">
        <v>1</v>
      </c>
      <c r="G59">
        <f t="shared" si="0"/>
        <v>1</v>
      </c>
      <c r="H59" t="s">
        <v>394</v>
      </c>
      <c r="I59" t="s">
        <v>395</v>
      </c>
      <c r="J59">
        <v>19681796</v>
      </c>
      <c r="K59" t="s">
        <v>430</v>
      </c>
      <c r="L59" t="s">
        <v>410</v>
      </c>
      <c r="M59" t="str">
        <f t="shared" si="1"/>
        <v xml:space="preserve">CHRISTIAN TAUGNER   </v>
      </c>
      <c r="N59" t="s">
        <v>178</v>
      </c>
      <c r="O59">
        <v>1</v>
      </c>
      <c r="P59">
        <v>6.5</v>
      </c>
      <c r="Q59">
        <v>0.1</v>
      </c>
      <c r="R59">
        <v>0.65</v>
      </c>
      <c r="S59" t="s">
        <v>401</v>
      </c>
    </row>
    <row r="60" spans="1:19" x14ac:dyDescent="0.25">
      <c r="A60" t="s">
        <v>369</v>
      </c>
      <c r="B60" t="s">
        <v>152</v>
      </c>
      <c r="C60" t="s">
        <v>370</v>
      </c>
      <c r="D60" s="1">
        <v>45481</v>
      </c>
      <c r="E60" s="1">
        <v>45877</v>
      </c>
      <c r="F60">
        <v>1</v>
      </c>
      <c r="G60">
        <f t="shared" si="0"/>
        <v>1</v>
      </c>
      <c r="H60" t="s">
        <v>394</v>
      </c>
      <c r="I60" t="s">
        <v>395</v>
      </c>
      <c r="J60">
        <v>19681796</v>
      </c>
      <c r="K60" t="s">
        <v>430</v>
      </c>
      <c r="L60" t="s">
        <v>410</v>
      </c>
      <c r="M60" t="str">
        <f t="shared" si="1"/>
        <v xml:space="preserve">CHRISTIAN TAUGNER   </v>
      </c>
      <c r="N60" t="s">
        <v>176</v>
      </c>
      <c r="O60">
        <v>1</v>
      </c>
      <c r="P60">
        <v>4.42</v>
      </c>
      <c r="Q60">
        <v>0.1</v>
      </c>
      <c r="R60">
        <v>0.44</v>
      </c>
      <c r="S60" t="s">
        <v>401</v>
      </c>
    </row>
    <row r="61" spans="1:19" x14ac:dyDescent="0.25">
      <c r="A61" t="s">
        <v>367</v>
      </c>
      <c r="B61" t="s">
        <v>152</v>
      </c>
      <c r="C61" t="s">
        <v>368</v>
      </c>
      <c r="D61" s="1">
        <v>45480</v>
      </c>
      <c r="E61" s="1">
        <v>45876</v>
      </c>
      <c r="F61">
        <v>1</v>
      </c>
      <c r="G61">
        <f t="shared" si="0"/>
        <v>1</v>
      </c>
      <c r="H61" t="s">
        <v>394</v>
      </c>
      <c r="I61" t="s">
        <v>395</v>
      </c>
      <c r="J61">
        <v>19681796</v>
      </c>
      <c r="K61" t="s">
        <v>430</v>
      </c>
      <c r="L61" t="s">
        <v>410</v>
      </c>
      <c r="M61" t="str">
        <f t="shared" si="1"/>
        <v xml:space="preserve">CHRISTIAN TAUGNER   </v>
      </c>
      <c r="N61" t="s">
        <v>183</v>
      </c>
      <c r="O61">
        <v>1</v>
      </c>
      <c r="P61">
        <v>4.42</v>
      </c>
      <c r="Q61">
        <v>0.1</v>
      </c>
      <c r="R61">
        <v>0.44</v>
      </c>
      <c r="S61" t="s">
        <v>401</v>
      </c>
    </row>
    <row r="62" spans="1:19" x14ac:dyDescent="0.25">
      <c r="A62" t="s">
        <v>367</v>
      </c>
      <c r="B62" t="s">
        <v>152</v>
      </c>
      <c r="C62" t="s">
        <v>368</v>
      </c>
      <c r="D62" s="1">
        <v>45480</v>
      </c>
      <c r="E62" s="1">
        <v>45876</v>
      </c>
      <c r="F62">
        <v>1</v>
      </c>
      <c r="G62">
        <f t="shared" si="0"/>
        <v>1</v>
      </c>
      <c r="H62" t="s">
        <v>394</v>
      </c>
      <c r="I62" t="s">
        <v>395</v>
      </c>
      <c r="J62">
        <v>19681796</v>
      </c>
      <c r="K62" t="s">
        <v>430</v>
      </c>
      <c r="L62" t="s">
        <v>410</v>
      </c>
      <c r="M62" t="str">
        <f t="shared" si="1"/>
        <v xml:space="preserve">CHRISTIAN TAUGNER   </v>
      </c>
      <c r="N62" t="s">
        <v>182</v>
      </c>
      <c r="O62">
        <v>1</v>
      </c>
      <c r="P62">
        <v>9.2100000000000009</v>
      </c>
      <c r="Q62">
        <v>0.1</v>
      </c>
      <c r="R62">
        <v>0.92</v>
      </c>
      <c r="S62" t="s">
        <v>401</v>
      </c>
    </row>
    <row r="63" spans="1:19" x14ac:dyDescent="0.25">
      <c r="A63" t="s">
        <v>367</v>
      </c>
      <c r="B63" t="s">
        <v>152</v>
      </c>
      <c r="C63" t="s">
        <v>368</v>
      </c>
      <c r="D63" s="1">
        <v>45480</v>
      </c>
      <c r="E63" s="1">
        <v>45876</v>
      </c>
      <c r="F63">
        <v>1</v>
      </c>
      <c r="G63">
        <f t="shared" si="0"/>
        <v>1</v>
      </c>
      <c r="H63" t="s">
        <v>394</v>
      </c>
      <c r="I63" t="s">
        <v>395</v>
      </c>
      <c r="J63">
        <v>19681796</v>
      </c>
      <c r="K63" t="s">
        <v>430</v>
      </c>
      <c r="L63" t="s">
        <v>410</v>
      </c>
      <c r="M63" t="str">
        <f t="shared" si="1"/>
        <v xml:space="preserve">CHRISTIAN TAUGNER   </v>
      </c>
      <c r="N63" t="s">
        <v>178</v>
      </c>
      <c r="O63">
        <v>1</v>
      </c>
      <c r="P63">
        <v>1.46</v>
      </c>
      <c r="Q63">
        <v>0.1</v>
      </c>
      <c r="R63">
        <v>0.15</v>
      </c>
      <c r="S63" t="s">
        <v>401</v>
      </c>
    </row>
    <row r="64" spans="1:19" x14ac:dyDescent="0.25">
      <c r="A64" t="s">
        <v>367</v>
      </c>
      <c r="B64" t="s">
        <v>152</v>
      </c>
      <c r="C64" t="s">
        <v>368</v>
      </c>
      <c r="D64" s="1">
        <v>45480</v>
      </c>
      <c r="E64" s="1">
        <v>45876</v>
      </c>
      <c r="F64">
        <v>1</v>
      </c>
      <c r="G64">
        <f t="shared" si="0"/>
        <v>1</v>
      </c>
      <c r="H64" t="s">
        <v>394</v>
      </c>
      <c r="I64" t="s">
        <v>395</v>
      </c>
      <c r="J64">
        <v>19681796</v>
      </c>
      <c r="K64" t="s">
        <v>430</v>
      </c>
      <c r="L64" t="s">
        <v>410</v>
      </c>
      <c r="M64" t="str">
        <f t="shared" si="1"/>
        <v xml:space="preserve">CHRISTIAN TAUGNER   </v>
      </c>
      <c r="N64" t="s">
        <v>176</v>
      </c>
      <c r="O64">
        <v>1</v>
      </c>
      <c r="P64">
        <v>1.58</v>
      </c>
      <c r="Q64">
        <v>0.1</v>
      </c>
      <c r="R64">
        <v>0.16</v>
      </c>
      <c r="S64" t="s">
        <v>401</v>
      </c>
    </row>
    <row r="65" spans="1:19" x14ac:dyDescent="0.25">
      <c r="A65" t="s">
        <v>367</v>
      </c>
      <c r="B65" t="s">
        <v>152</v>
      </c>
      <c r="C65" t="s">
        <v>368</v>
      </c>
      <c r="D65" s="1">
        <v>45480</v>
      </c>
      <c r="E65" s="1">
        <v>45876</v>
      </c>
      <c r="F65">
        <v>1</v>
      </c>
      <c r="G65">
        <f t="shared" si="0"/>
        <v>1</v>
      </c>
      <c r="H65" t="s">
        <v>394</v>
      </c>
      <c r="I65" t="s">
        <v>395</v>
      </c>
      <c r="J65">
        <v>19681796</v>
      </c>
      <c r="K65" t="s">
        <v>430</v>
      </c>
      <c r="L65" t="s">
        <v>410</v>
      </c>
      <c r="M65" t="str">
        <f t="shared" si="1"/>
        <v xml:space="preserve">CHRISTIAN TAUGNER   </v>
      </c>
      <c r="N65" t="s">
        <v>181</v>
      </c>
      <c r="O65">
        <v>1</v>
      </c>
      <c r="P65">
        <v>10.83</v>
      </c>
      <c r="Q65">
        <v>0.1</v>
      </c>
      <c r="R65">
        <v>1.08</v>
      </c>
      <c r="S65" t="s">
        <v>401</v>
      </c>
    </row>
    <row r="66" spans="1:19" x14ac:dyDescent="0.25">
      <c r="A66" t="s">
        <v>358</v>
      </c>
      <c r="B66" t="s">
        <v>128</v>
      </c>
      <c r="C66" t="s">
        <v>359</v>
      </c>
      <c r="D66" s="1">
        <v>45474</v>
      </c>
      <c r="E66" s="1">
        <v>45870</v>
      </c>
      <c r="F66">
        <v>1</v>
      </c>
      <c r="G66">
        <f t="shared" ref="G66:G129" si="2">MONTH(E66-D66)</f>
        <v>1</v>
      </c>
      <c r="H66" t="s">
        <v>394</v>
      </c>
      <c r="I66" t="s">
        <v>395</v>
      </c>
      <c r="J66">
        <v>19681796</v>
      </c>
      <c r="K66" t="s">
        <v>430</v>
      </c>
      <c r="L66" t="s">
        <v>410</v>
      </c>
      <c r="M66" t="str">
        <f t="shared" ref="M66:M129" si="3">CONCATENATE(K66, " ",L66)</f>
        <v xml:space="preserve">CHRISTIAN TAUGNER   </v>
      </c>
      <c r="N66" t="s">
        <v>176</v>
      </c>
      <c r="O66">
        <v>1</v>
      </c>
      <c r="P66">
        <v>2.5</v>
      </c>
      <c r="Q66">
        <v>0.1</v>
      </c>
      <c r="R66">
        <v>0.25</v>
      </c>
      <c r="S66" t="s">
        <v>401</v>
      </c>
    </row>
    <row r="67" spans="1:19" x14ac:dyDescent="0.25">
      <c r="A67" t="s">
        <v>358</v>
      </c>
      <c r="B67" t="s">
        <v>128</v>
      </c>
      <c r="C67" t="s">
        <v>359</v>
      </c>
      <c r="D67" s="1">
        <v>45474</v>
      </c>
      <c r="E67" s="1">
        <v>45870</v>
      </c>
      <c r="F67">
        <v>1</v>
      </c>
      <c r="G67">
        <f t="shared" si="2"/>
        <v>1</v>
      </c>
      <c r="H67" t="s">
        <v>394</v>
      </c>
      <c r="I67" t="s">
        <v>395</v>
      </c>
      <c r="J67">
        <v>19681796</v>
      </c>
      <c r="K67" t="s">
        <v>430</v>
      </c>
      <c r="L67" t="s">
        <v>410</v>
      </c>
      <c r="M67" t="str">
        <f t="shared" si="3"/>
        <v xml:space="preserve">CHRISTIAN TAUGNER   </v>
      </c>
      <c r="N67" t="s">
        <v>183</v>
      </c>
      <c r="O67">
        <v>1</v>
      </c>
      <c r="P67">
        <v>4.25</v>
      </c>
      <c r="Q67">
        <v>0.1</v>
      </c>
      <c r="R67">
        <v>0.43</v>
      </c>
      <c r="S67" t="s">
        <v>401</v>
      </c>
    </row>
    <row r="68" spans="1:19" x14ac:dyDescent="0.25">
      <c r="A68" t="s">
        <v>358</v>
      </c>
      <c r="B68" t="s">
        <v>128</v>
      </c>
      <c r="C68" t="s">
        <v>359</v>
      </c>
      <c r="D68" s="1">
        <v>45474</v>
      </c>
      <c r="E68" s="1">
        <v>45870</v>
      </c>
      <c r="F68">
        <v>1</v>
      </c>
      <c r="G68">
        <f t="shared" si="2"/>
        <v>1</v>
      </c>
      <c r="H68" t="s">
        <v>394</v>
      </c>
      <c r="I68" t="s">
        <v>395</v>
      </c>
      <c r="J68">
        <v>19681796</v>
      </c>
      <c r="K68" t="s">
        <v>430</v>
      </c>
      <c r="L68" t="s">
        <v>410</v>
      </c>
      <c r="M68" t="str">
        <f t="shared" si="3"/>
        <v xml:space="preserve">CHRISTIAN TAUGNER   </v>
      </c>
      <c r="N68" t="s">
        <v>178</v>
      </c>
      <c r="O68">
        <v>1</v>
      </c>
      <c r="P68">
        <v>1.62</v>
      </c>
      <c r="Q68">
        <v>0.1</v>
      </c>
      <c r="R68">
        <v>0.16</v>
      </c>
      <c r="S68" t="s">
        <v>401</v>
      </c>
    </row>
    <row r="69" spans="1:19" x14ac:dyDescent="0.25">
      <c r="A69" t="s">
        <v>358</v>
      </c>
      <c r="B69" t="s">
        <v>128</v>
      </c>
      <c r="C69" t="s">
        <v>359</v>
      </c>
      <c r="D69" s="1">
        <v>45474</v>
      </c>
      <c r="E69" s="1">
        <v>45870</v>
      </c>
      <c r="F69">
        <v>1</v>
      </c>
      <c r="G69">
        <f t="shared" si="2"/>
        <v>1</v>
      </c>
      <c r="H69" t="s">
        <v>394</v>
      </c>
      <c r="I69" t="s">
        <v>395</v>
      </c>
      <c r="J69">
        <v>19681796</v>
      </c>
      <c r="K69" t="s">
        <v>430</v>
      </c>
      <c r="L69" t="s">
        <v>410</v>
      </c>
      <c r="M69" t="str">
        <f t="shared" si="3"/>
        <v xml:space="preserve">CHRISTIAN TAUGNER   </v>
      </c>
      <c r="N69" t="s">
        <v>181</v>
      </c>
      <c r="O69">
        <v>1</v>
      </c>
      <c r="P69">
        <v>11.25</v>
      </c>
      <c r="Q69">
        <v>0.1</v>
      </c>
      <c r="R69">
        <v>1.1299999999999999</v>
      </c>
      <c r="S69" t="s">
        <v>401</v>
      </c>
    </row>
    <row r="70" spans="1:19" x14ac:dyDescent="0.25">
      <c r="A70" t="s">
        <v>358</v>
      </c>
      <c r="B70" t="s">
        <v>128</v>
      </c>
      <c r="C70" t="s">
        <v>359</v>
      </c>
      <c r="D70" s="1">
        <v>45474</v>
      </c>
      <c r="E70" s="1">
        <v>45870</v>
      </c>
      <c r="F70">
        <v>1</v>
      </c>
      <c r="G70">
        <f t="shared" si="2"/>
        <v>1</v>
      </c>
      <c r="H70" t="s">
        <v>394</v>
      </c>
      <c r="I70" t="s">
        <v>395</v>
      </c>
      <c r="J70">
        <v>19681796</v>
      </c>
      <c r="K70" t="s">
        <v>430</v>
      </c>
      <c r="L70" t="s">
        <v>410</v>
      </c>
      <c r="M70" t="str">
        <f t="shared" si="3"/>
        <v xml:space="preserve">CHRISTIAN TAUGNER   </v>
      </c>
      <c r="N70" t="s">
        <v>182</v>
      </c>
      <c r="O70">
        <v>1</v>
      </c>
      <c r="P70">
        <v>9.75</v>
      </c>
      <c r="Q70">
        <v>0.1</v>
      </c>
      <c r="R70">
        <v>0.98</v>
      </c>
      <c r="S70" t="s">
        <v>401</v>
      </c>
    </row>
    <row r="71" spans="1:19" x14ac:dyDescent="0.25">
      <c r="A71" t="s">
        <v>360</v>
      </c>
      <c r="B71" t="s">
        <v>128</v>
      </c>
      <c r="C71" t="s">
        <v>361</v>
      </c>
      <c r="D71" s="1">
        <v>45474</v>
      </c>
      <c r="E71" s="1">
        <v>45870</v>
      </c>
      <c r="F71">
        <v>1</v>
      </c>
      <c r="G71">
        <f t="shared" si="2"/>
        <v>1</v>
      </c>
      <c r="H71" t="s">
        <v>394</v>
      </c>
      <c r="I71" t="s">
        <v>395</v>
      </c>
      <c r="J71">
        <v>19681796</v>
      </c>
      <c r="K71" t="s">
        <v>430</v>
      </c>
      <c r="L71" t="s">
        <v>410</v>
      </c>
      <c r="M71" t="str">
        <f t="shared" si="3"/>
        <v xml:space="preserve">CHRISTIAN TAUGNER   </v>
      </c>
      <c r="N71" t="s">
        <v>182</v>
      </c>
      <c r="O71">
        <v>1</v>
      </c>
      <c r="P71">
        <v>7.58</v>
      </c>
      <c r="Q71">
        <v>0.1</v>
      </c>
      <c r="R71">
        <v>0.76</v>
      </c>
      <c r="S71" t="s">
        <v>401</v>
      </c>
    </row>
    <row r="72" spans="1:19" x14ac:dyDescent="0.25">
      <c r="A72" t="s">
        <v>360</v>
      </c>
      <c r="B72" t="s">
        <v>128</v>
      </c>
      <c r="C72" t="s">
        <v>361</v>
      </c>
      <c r="D72" s="1">
        <v>45474</v>
      </c>
      <c r="E72" s="1">
        <v>45870</v>
      </c>
      <c r="F72">
        <v>1</v>
      </c>
      <c r="G72">
        <f t="shared" si="2"/>
        <v>1</v>
      </c>
      <c r="H72" t="s">
        <v>394</v>
      </c>
      <c r="I72" t="s">
        <v>395</v>
      </c>
      <c r="J72">
        <v>19681796</v>
      </c>
      <c r="K72" t="s">
        <v>430</v>
      </c>
      <c r="L72" t="s">
        <v>410</v>
      </c>
      <c r="M72" t="str">
        <f t="shared" si="3"/>
        <v xml:space="preserve">CHRISTIAN TAUGNER   </v>
      </c>
      <c r="N72" t="s">
        <v>178</v>
      </c>
      <c r="O72">
        <v>1</v>
      </c>
      <c r="P72">
        <v>0.65</v>
      </c>
      <c r="Q72">
        <v>0.1</v>
      </c>
      <c r="R72">
        <v>7.0000000000000007E-2</v>
      </c>
      <c r="S72" t="s">
        <v>401</v>
      </c>
    </row>
    <row r="73" spans="1:19" x14ac:dyDescent="0.25">
      <c r="A73" t="s">
        <v>360</v>
      </c>
      <c r="B73" t="s">
        <v>128</v>
      </c>
      <c r="C73" t="s">
        <v>361</v>
      </c>
      <c r="D73" s="1">
        <v>45474</v>
      </c>
      <c r="E73" s="1">
        <v>45870</v>
      </c>
      <c r="F73">
        <v>1</v>
      </c>
      <c r="G73">
        <f t="shared" si="2"/>
        <v>1</v>
      </c>
      <c r="H73" t="s">
        <v>394</v>
      </c>
      <c r="I73" t="s">
        <v>395</v>
      </c>
      <c r="J73">
        <v>19681796</v>
      </c>
      <c r="K73" t="s">
        <v>430</v>
      </c>
      <c r="L73" t="s">
        <v>410</v>
      </c>
      <c r="M73" t="str">
        <f t="shared" si="3"/>
        <v xml:space="preserve">CHRISTIAN TAUGNER   </v>
      </c>
      <c r="N73" t="s">
        <v>181</v>
      </c>
      <c r="O73">
        <v>1</v>
      </c>
      <c r="P73">
        <v>4.58</v>
      </c>
      <c r="Q73">
        <v>0.1</v>
      </c>
      <c r="R73">
        <v>0.46</v>
      </c>
      <c r="S73" t="s">
        <v>401</v>
      </c>
    </row>
    <row r="74" spans="1:19" x14ac:dyDescent="0.25">
      <c r="A74" t="s">
        <v>360</v>
      </c>
      <c r="B74" t="s">
        <v>128</v>
      </c>
      <c r="C74" t="s">
        <v>361</v>
      </c>
      <c r="D74" s="1">
        <v>45474</v>
      </c>
      <c r="E74" s="1">
        <v>45870</v>
      </c>
      <c r="F74">
        <v>1</v>
      </c>
      <c r="G74">
        <f t="shared" si="2"/>
        <v>1</v>
      </c>
      <c r="H74" t="s">
        <v>394</v>
      </c>
      <c r="I74" t="s">
        <v>395</v>
      </c>
      <c r="J74">
        <v>19681796</v>
      </c>
      <c r="K74" t="s">
        <v>430</v>
      </c>
      <c r="L74" t="s">
        <v>410</v>
      </c>
      <c r="M74" t="str">
        <f t="shared" si="3"/>
        <v xml:space="preserve">CHRISTIAN TAUGNER   </v>
      </c>
      <c r="N74" t="s">
        <v>183</v>
      </c>
      <c r="O74">
        <v>1</v>
      </c>
      <c r="P74">
        <v>4.25</v>
      </c>
      <c r="Q74">
        <v>0.1</v>
      </c>
      <c r="R74">
        <v>0.43</v>
      </c>
      <c r="S74" t="s">
        <v>401</v>
      </c>
    </row>
    <row r="75" spans="1:19" x14ac:dyDescent="0.25">
      <c r="A75" t="s">
        <v>360</v>
      </c>
      <c r="B75" t="s">
        <v>128</v>
      </c>
      <c r="C75" t="s">
        <v>361</v>
      </c>
      <c r="D75" s="1">
        <v>45474</v>
      </c>
      <c r="E75" s="1">
        <v>45870</v>
      </c>
      <c r="F75">
        <v>1</v>
      </c>
      <c r="G75">
        <f t="shared" si="2"/>
        <v>1</v>
      </c>
      <c r="H75" t="s">
        <v>394</v>
      </c>
      <c r="I75" t="s">
        <v>395</v>
      </c>
      <c r="J75">
        <v>19681796</v>
      </c>
      <c r="K75" t="s">
        <v>430</v>
      </c>
      <c r="L75" t="s">
        <v>410</v>
      </c>
      <c r="M75" t="str">
        <f t="shared" si="3"/>
        <v xml:space="preserve">CHRISTIAN TAUGNER   </v>
      </c>
      <c r="N75" t="s">
        <v>176</v>
      </c>
      <c r="O75">
        <v>1</v>
      </c>
      <c r="P75">
        <v>1.25</v>
      </c>
      <c r="Q75">
        <v>0.1</v>
      </c>
      <c r="R75">
        <v>0.13</v>
      </c>
      <c r="S75" t="s">
        <v>401</v>
      </c>
    </row>
    <row r="76" spans="1:19" x14ac:dyDescent="0.25">
      <c r="A76" t="s">
        <v>362</v>
      </c>
      <c r="B76" t="s">
        <v>152</v>
      </c>
      <c r="C76" t="s">
        <v>363</v>
      </c>
      <c r="D76" s="1">
        <v>45474</v>
      </c>
      <c r="E76" s="1">
        <v>45870</v>
      </c>
      <c r="F76">
        <v>1</v>
      </c>
      <c r="G76">
        <f t="shared" si="2"/>
        <v>1</v>
      </c>
      <c r="H76" t="s">
        <v>394</v>
      </c>
      <c r="I76" t="s">
        <v>395</v>
      </c>
      <c r="J76">
        <v>19681796</v>
      </c>
      <c r="K76" t="s">
        <v>430</v>
      </c>
      <c r="L76" t="s">
        <v>410</v>
      </c>
      <c r="M76" t="str">
        <f t="shared" si="3"/>
        <v xml:space="preserve">CHRISTIAN TAUGNER   </v>
      </c>
      <c r="N76" t="s">
        <v>176</v>
      </c>
      <c r="O76">
        <v>1</v>
      </c>
      <c r="P76">
        <v>0.25</v>
      </c>
      <c r="Q76">
        <v>0.1</v>
      </c>
      <c r="R76">
        <v>0.03</v>
      </c>
      <c r="S76" t="s">
        <v>401</v>
      </c>
    </row>
    <row r="77" spans="1:19" x14ac:dyDescent="0.25">
      <c r="A77" t="s">
        <v>362</v>
      </c>
      <c r="B77" t="s">
        <v>152</v>
      </c>
      <c r="C77" t="s">
        <v>363</v>
      </c>
      <c r="D77" s="1">
        <v>45474</v>
      </c>
      <c r="E77" s="1">
        <v>45870</v>
      </c>
      <c r="F77">
        <v>1</v>
      </c>
      <c r="G77">
        <f t="shared" si="2"/>
        <v>1</v>
      </c>
      <c r="H77" t="s">
        <v>394</v>
      </c>
      <c r="I77" t="s">
        <v>395</v>
      </c>
      <c r="J77">
        <v>19681796</v>
      </c>
      <c r="K77" t="s">
        <v>430</v>
      </c>
      <c r="L77" t="s">
        <v>410</v>
      </c>
      <c r="M77" t="str">
        <f t="shared" si="3"/>
        <v xml:space="preserve">CHRISTIAN TAUGNER   </v>
      </c>
      <c r="N77" t="s">
        <v>183</v>
      </c>
      <c r="O77">
        <v>1</v>
      </c>
      <c r="P77">
        <v>3.42</v>
      </c>
      <c r="Q77">
        <v>0.1</v>
      </c>
      <c r="R77">
        <v>0.34</v>
      </c>
      <c r="S77" t="s">
        <v>401</v>
      </c>
    </row>
    <row r="78" spans="1:19" x14ac:dyDescent="0.25">
      <c r="A78" t="s">
        <v>362</v>
      </c>
      <c r="B78" t="s">
        <v>152</v>
      </c>
      <c r="C78" t="s">
        <v>363</v>
      </c>
      <c r="D78" s="1">
        <v>45474</v>
      </c>
      <c r="E78" s="1">
        <v>45870</v>
      </c>
      <c r="F78">
        <v>1</v>
      </c>
      <c r="G78">
        <f t="shared" si="2"/>
        <v>1</v>
      </c>
      <c r="H78" t="s">
        <v>394</v>
      </c>
      <c r="I78" t="s">
        <v>395</v>
      </c>
      <c r="J78">
        <v>19681796</v>
      </c>
      <c r="K78" t="s">
        <v>430</v>
      </c>
      <c r="L78" t="s">
        <v>410</v>
      </c>
      <c r="M78" t="str">
        <f t="shared" si="3"/>
        <v xml:space="preserve">CHRISTIAN TAUGNER   </v>
      </c>
      <c r="N78" t="s">
        <v>181</v>
      </c>
      <c r="O78">
        <v>1</v>
      </c>
      <c r="P78">
        <v>5.83</v>
      </c>
      <c r="Q78">
        <v>0.1</v>
      </c>
      <c r="R78">
        <v>0.57999999999999996</v>
      </c>
      <c r="S78" t="s">
        <v>401</v>
      </c>
    </row>
    <row r="79" spans="1:19" x14ac:dyDescent="0.25">
      <c r="A79" t="s">
        <v>362</v>
      </c>
      <c r="B79" t="s">
        <v>152</v>
      </c>
      <c r="C79" t="s">
        <v>363</v>
      </c>
      <c r="D79" s="1">
        <v>45474</v>
      </c>
      <c r="E79" s="1">
        <v>45870</v>
      </c>
      <c r="F79">
        <v>1</v>
      </c>
      <c r="G79">
        <f t="shared" si="2"/>
        <v>1</v>
      </c>
      <c r="H79" t="s">
        <v>394</v>
      </c>
      <c r="I79" t="s">
        <v>395</v>
      </c>
      <c r="J79">
        <v>19681796</v>
      </c>
      <c r="K79" t="s">
        <v>430</v>
      </c>
      <c r="L79" t="s">
        <v>410</v>
      </c>
      <c r="M79" t="str">
        <f t="shared" si="3"/>
        <v xml:space="preserve">CHRISTIAN TAUGNER   </v>
      </c>
      <c r="N79" t="s">
        <v>178</v>
      </c>
      <c r="O79">
        <v>1</v>
      </c>
      <c r="P79">
        <v>0.57999999999999996</v>
      </c>
      <c r="Q79">
        <v>0.1</v>
      </c>
      <c r="R79">
        <v>0.06</v>
      </c>
      <c r="S79" t="s">
        <v>401</v>
      </c>
    </row>
    <row r="80" spans="1:19" x14ac:dyDescent="0.25">
      <c r="A80" t="s">
        <v>362</v>
      </c>
      <c r="B80" t="s">
        <v>152</v>
      </c>
      <c r="C80" t="s">
        <v>363</v>
      </c>
      <c r="D80" s="1">
        <v>45474</v>
      </c>
      <c r="E80" s="1">
        <v>45870</v>
      </c>
      <c r="F80">
        <v>1</v>
      </c>
      <c r="G80">
        <f t="shared" si="2"/>
        <v>1</v>
      </c>
      <c r="H80" t="s">
        <v>394</v>
      </c>
      <c r="I80" t="s">
        <v>395</v>
      </c>
      <c r="J80">
        <v>19681796</v>
      </c>
      <c r="K80" t="s">
        <v>430</v>
      </c>
      <c r="L80" t="s">
        <v>410</v>
      </c>
      <c r="M80" t="str">
        <f t="shared" si="3"/>
        <v xml:space="preserve">CHRISTIAN TAUGNER   </v>
      </c>
      <c r="N80" t="s">
        <v>364</v>
      </c>
      <c r="O80">
        <v>1</v>
      </c>
      <c r="P80">
        <v>1.25</v>
      </c>
      <c r="Q80">
        <v>0.1</v>
      </c>
      <c r="R80">
        <v>0.13</v>
      </c>
      <c r="S80" t="s">
        <v>401</v>
      </c>
    </row>
    <row r="81" spans="1:19" x14ac:dyDescent="0.25">
      <c r="A81" t="s">
        <v>362</v>
      </c>
      <c r="B81" t="s">
        <v>152</v>
      </c>
      <c r="C81" t="s">
        <v>363</v>
      </c>
      <c r="D81" s="1">
        <v>45474</v>
      </c>
      <c r="E81" s="1">
        <v>45870</v>
      </c>
      <c r="F81">
        <v>1</v>
      </c>
      <c r="G81">
        <f t="shared" si="2"/>
        <v>1</v>
      </c>
      <c r="H81" t="s">
        <v>394</v>
      </c>
      <c r="I81" t="s">
        <v>395</v>
      </c>
      <c r="J81">
        <v>19681796</v>
      </c>
      <c r="K81" t="s">
        <v>430</v>
      </c>
      <c r="L81" t="s">
        <v>410</v>
      </c>
      <c r="M81" t="str">
        <f t="shared" si="3"/>
        <v xml:space="preserve">CHRISTIAN TAUGNER   </v>
      </c>
      <c r="N81" t="s">
        <v>182</v>
      </c>
      <c r="O81">
        <v>1</v>
      </c>
      <c r="P81">
        <v>2.17</v>
      </c>
      <c r="Q81">
        <v>0.1</v>
      </c>
      <c r="R81">
        <v>0.22</v>
      </c>
      <c r="S81" t="s">
        <v>401</v>
      </c>
    </row>
    <row r="82" spans="1:19" x14ac:dyDescent="0.25">
      <c r="A82" t="s">
        <v>365</v>
      </c>
      <c r="B82" t="s">
        <v>128</v>
      </c>
      <c r="C82" t="s">
        <v>366</v>
      </c>
      <c r="D82" s="1">
        <v>45474</v>
      </c>
      <c r="E82" s="1">
        <v>46204</v>
      </c>
      <c r="F82">
        <v>12</v>
      </c>
      <c r="G82">
        <f t="shared" si="2"/>
        <v>12</v>
      </c>
      <c r="H82" t="s">
        <v>394</v>
      </c>
      <c r="I82" t="s">
        <v>395</v>
      </c>
      <c r="J82">
        <v>19681796</v>
      </c>
      <c r="K82" t="s">
        <v>430</v>
      </c>
      <c r="L82" t="s">
        <v>410</v>
      </c>
      <c r="M82" t="str">
        <f t="shared" si="3"/>
        <v xml:space="preserve">CHRISTIAN TAUGNER   </v>
      </c>
      <c r="N82" t="s">
        <v>181</v>
      </c>
      <c r="O82">
        <v>1</v>
      </c>
      <c r="P82">
        <v>105</v>
      </c>
      <c r="Q82">
        <v>0.1</v>
      </c>
      <c r="R82">
        <v>10.5</v>
      </c>
      <c r="S82" t="s">
        <v>401</v>
      </c>
    </row>
    <row r="83" spans="1:19" x14ac:dyDescent="0.25">
      <c r="A83" t="s">
        <v>365</v>
      </c>
      <c r="B83" t="s">
        <v>128</v>
      </c>
      <c r="C83" t="s">
        <v>366</v>
      </c>
      <c r="D83" s="1">
        <v>45474</v>
      </c>
      <c r="E83" s="1">
        <v>46204</v>
      </c>
      <c r="F83">
        <v>12</v>
      </c>
      <c r="G83">
        <f t="shared" si="2"/>
        <v>12</v>
      </c>
      <c r="H83" t="s">
        <v>394</v>
      </c>
      <c r="I83" t="s">
        <v>395</v>
      </c>
      <c r="J83">
        <v>19681796</v>
      </c>
      <c r="K83" t="s">
        <v>430</v>
      </c>
      <c r="L83" t="s">
        <v>410</v>
      </c>
      <c r="M83" t="str">
        <f t="shared" si="3"/>
        <v xml:space="preserve">CHRISTIAN TAUGNER   </v>
      </c>
      <c r="N83" t="s">
        <v>178</v>
      </c>
      <c r="O83">
        <v>1</v>
      </c>
      <c r="P83">
        <v>10.5</v>
      </c>
      <c r="Q83">
        <v>0.1</v>
      </c>
      <c r="R83">
        <v>1.05</v>
      </c>
      <c r="S83" t="s">
        <v>401</v>
      </c>
    </row>
    <row r="84" spans="1:19" x14ac:dyDescent="0.25">
      <c r="A84" t="s">
        <v>365</v>
      </c>
      <c r="B84" t="s">
        <v>128</v>
      </c>
      <c r="C84" t="s">
        <v>366</v>
      </c>
      <c r="D84" s="1">
        <v>45474</v>
      </c>
      <c r="E84" s="1">
        <v>46204</v>
      </c>
      <c r="F84">
        <v>12</v>
      </c>
      <c r="G84">
        <f t="shared" si="2"/>
        <v>12</v>
      </c>
      <c r="H84" t="s">
        <v>394</v>
      </c>
      <c r="I84" t="s">
        <v>395</v>
      </c>
      <c r="J84">
        <v>19681796</v>
      </c>
      <c r="K84" t="s">
        <v>430</v>
      </c>
      <c r="L84" t="s">
        <v>410</v>
      </c>
      <c r="M84" t="str">
        <f t="shared" si="3"/>
        <v xml:space="preserve">CHRISTIAN TAUGNER   </v>
      </c>
      <c r="N84" t="s">
        <v>182</v>
      </c>
      <c r="O84">
        <v>1</v>
      </c>
      <c r="P84">
        <v>26</v>
      </c>
      <c r="Q84">
        <v>0.1</v>
      </c>
      <c r="R84">
        <v>2.6</v>
      </c>
      <c r="S84" t="s">
        <v>401</v>
      </c>
    </row>
    <row r="85" spans="1:19" x14ac:dyDescent="0.25">
      <c r="A85" t="s">
        <v>365</v>
      </c>
      <c r="B85" t="s">
        <v>128</v>
      </c>
      <c r="C85" t="s">
        <v>366</v>
      </c>
      <c r="D85" s="1">
        <v>45474</v>
      </c>
      <c r="E85" s="1">
        <v>46204</v>
      </c>
      <c r="F85">
        <v>12</v>
      </c>
      <c r="G85">
        <f t="shared" si="2"/>
        <v>12</v>
      </c>
      <c r="H85" t="s">
        <v>394</v>
      </c>
      <c r="I85" t="s">
        <v>395</v>
      </c>
      <c r="J85">
        <v>19681796</v>
      </c>
      <c r="K85" t="s">
        <v>430</v>
      </c>
      <c r="L85" t="s">
        <v>410</v>
      </c>
      <c r="M85" t="str">
        <f t="shared" si="3"/>
        <v xml:space="preserve">CHRISTIAN TAUGNER   </v>
      </c>
      <c r="N85" t="s">
        <v>183</v>
      </c>
      <c r="O85">
        <v>1</v>
      </c>
      <c r="P85">
        <v>41</v>
      </c>
      <c r="Q85">
        <v>0.1</v>
      </c>
      <c r="R85">
        <v>4.0999999999999996</v>
      </c>
      <c r="S85" t="s">
        <v>401</v>
      </c>
    </row>
    <row r="86" spans="1:19" x14ac:dyDescent="0.25">
      <c r="A86" t="s">
        <v>365</v>
      </c>
      <c r="B86" t="s">
        <v>128</v>
      </c>
      <c r="C86" t="s">
        <v>366</v>
      </c>
      <c r="D86" s="1">
        <v>45474</v>
      </c>
      <c r="E86" s="1">
        <v>46204</v>
      </c>
      <c r="F86">
        <v>12</v>
      </c>
      <c r="G86">
        <f t="shared" si="2"/>
        <v>12</v>
      </c>
      <c r="H86" t="s">
        <v>394</v>
      </c>
      <c r="I86" t="s">
        <v>395</v>
      </c>
      <c r="J86">
        <v>19681796</v>
      </c>
      <c r="K86" t="s">
        <v>430</v>
      </c>
      <c r="L86" t="s">
        <v>410</v>
      </c>
      <c r="M86" t="str">
        <f t="shared" si="3"/>
        <v xml:space="preserve">CHRISTIAN TAUGNER   </v>
      </c>
      <c r="N86" t="s">
        <v>176</v>
      </c>
      <c r="O86">
        <v>1</v>
      </c>
      <c r="P86">
        <v>3</v>
      </c>
      <c r="Q86">
        <v>0.1</v>
      </c>
      <c r="R86">
        <v>0.3</v>
      </c>
      <c r="S86" t="s">
        <v>401</v>
      </c>
    </row>
    <row r="87" spans="1:19" x14ac:dyDescent="0.25">
      <c r="A87" t="s">
        <v>353</v>
      </c>
      <c r="B87" t="s">
        <v>128</v>
      </c>
      <c r="C87" t="s">
        <v>354</v>
      </c>
      <c r="D87" s="1">
        <v>45474</v>
      </c>
      <c r="E87" s="1">
        <v>45870</v>
      </c>
      <c r="F87">
        <v>1</v>
      </c>
      <c r="G87">
        <f t="shared" si="2"/>
        <v>1</v>
      </c>
      <c r="H87" t="s">
        <v>394</v>
      </c>
      <c r="I87" t="s">
        <v>395</v>
      </c>
      <c r="J87">
        <v>18581063</v>
      </c>
      <c r="K87" t="s">
        <v>427</v>
      </c>
      <c r="L87" t="s">
        <v>411</v>
      </c>
      <c r="M87" t="str">
        <f t="shared" si="3"/>
        <v xml:space="preserve">TIMOTHY HODGMAN   </v>
      </c>
      <c r="N87" t="s">
        <v>74</v>
      </c>
      <c r="O87">
        <v>1</v>
      </c>
      <c r="P87">
        <v>6.99</v>
      </c>
      <c r="Q87">
        <v>0.1</v>
      </c>
      <c r="R87">
        <v>0.7</v>
      </c>
      <c r="S87" t="s">
        <v>401</v>
      </c>
    </row>
    <row r="88" spans="1:19" x14ac:dyDescent="0.25">
      <c r="A88" t="s">
        <v>353</v>
      </c>
      <c r="B88" t="s">
        <v>128</v>
      </c>
      <c r="C88" t="s">
        <v>354</v>
      </c>
      <c r="D88" s="1">
        <v>45474</v>
      </c>
      <c r="E88" s="1">
        <v>45870</v>
      </c>
      <c r="F88">
        <v>1</v>
      </c>
      <c r="G88">
        <f t="shared" si="2"/>
        <v>1</v>
      </c>
      <c r="H88" t="s">
        <v>394</v>
      </c>
      <c r="I88" t="s">
        <v>395</v>
      </c>
      <c r="J88">
        <v>18581063</v>
      </c>
      <c r="K88" t="s">
        <v>427</v>
      </c>
      <c r="L88" t="s">
        <v>411</v>
      </c>
      <c r="M88" t="str">
        <f t="shared" si="3"/>
        <v xml:space="preserve">TIMOTHY HODGMAN   </v>
      </c>
      <c r="N88" t="s">
        <v>76</v>
      </c>
      <c r="O88">
        <v>1</v>
      </c>
      <c r="P88">
        <v>2.14</v>
      </c>
      <c r="Q88">
        <v>0.1</v>
      </c>
      <c r="R88">
        <v>0.21</v>
      </c>
      <c r="S88" t="s">
        <v>401</v>
      </c>
    </row>
    <row r="89" spans="1:19" x14ac:dyDescent="0.25">
      <c r="A89" t="s">
        <v>353</v>
      </c>
      <c r="B89" t="s">
        <v>128</v>
      </c>
      <c r="C89" t="s">
        <v>354</v>
      </c>
      <c r="D89" s="1">
        <v>45474</v>
      </c>
      <c r="E89" s="1">
        <v>45870</v>
      </c>
      <c r="F89">
        <v>1</v>
      </c>
      <c r="G89">
        <f t="shared" si="2"/>
        <v>1</v>
      </c>
      <c r="H89" t="s">
        <v>394</v>
      </c>
      <c r="I89" t="s">
        <v>395</v>
      </c>
      <c r="J89">
        <v>18581063</v>
      </c>
      <c r="K89" t="s">
        <v>427</v>
      </c>
      <c r="L89" t="s">
        <v>411</v>
      </c>
      <c r="M89" t="str">
        <f t="shared" si="3"/>
        <v xml:space="preserve">TIMOTHY HODGMAN   </v>
      </c>
      <c r="N89" t="s">
        <v>25</v>
      </c>
      <c r="O89">
        <v>1</v>
      </c>
      <c r="P89">
        <v>23.46</v>
      </c>
      <c r="Q89">
        <v>0.1</v>
      </c>
      <c r="R89">
        <v>2.35</v>
      </c>
      <c r="S89" t="s">
        <v>401</v>
      </c>
    </row>
    <row r="90" spans="1:19" x14ac:dyDescent="0.25">
      <c r="A90" t="s">
        <v>353</v>
      </c>
      <c r="B90" t="s">
        <v>128</v>
      </c>
      <c r="C90" t="s">
        <v>354</v>
      </c>
      <c r="D90" s="1">
        <v>45474</v>
      </c>
      <c r="E90" s="1">
        <v>45870</v>
      </c>
      <c r="F90">
        <v>1</v>
      </c>
      <c r="G90">
        <f t="shared" si="2"/>
        <v>1</v>
      </c>
      <c r="H90" t="s">
        <v>394</v>
      </c>
      <c r="I90" t="s">
        <v>395</v>
      </c>
      <c r="J90">
        <v>18581063</v>
      </c>
      <c r="K90" t="s">
        <v>427</v>
      </c>
      <c r="L90" t="s">
        <v>411</v>
      </c>
      <c r="M90" t="str">
        <f t="shared" si="3"/>
        <v xml:space="preserve">TIMOTHY HODGMAN   </v>
      </c>
      <c r="N90" t="s">
        <v>34</v>
      </c>
      <c r="O90">
        <v>1</v>
      </c>
      <c r="P90">
        <v>12.94</v>
      </c>
      <c r="Q90">
        <v>0.1</v>
      </c>
      <c r="R90">
        <v>1.29</v>
      </c>
      <c r="S90" t="s">
        <v>401</v>
      </c>
    </row>
    <row r="91" spans="1:19" x14ac:dyDescent="0.25">
      <c r="A91" t="s">
        <v>353</v>
      </c>
      <c r="B91" t="s">
        <v>128</v>
      </c>
      <c r="C91" t="s">
        <v>354</v>
      </c>
      <c r="D91" s="1">
        <v>45474</v>
      </c>
      <c r="E91" s="1">
        <v>45870</v>
      </c>
      <c r="F91">
        <v>1</v>
      </c>
      <c r="G91">
        <f t="shared" si="2"/>
        <v>1</v>
      </c>
      <c r="H91" t="s">
        <v>394</v>
      </c>
      <c r="I91" t="s">
        <v>395</v>
      </c>
      <c r="J91">
        <v>18581063</v>
      </c>
      <c r="K91" t="s">
        <v>427</v>
      </c>
      <c r="L91" t="s">
        <v>411</v>
      </c>
      <c r="M91" t="str">
        <f t="shared" si="3"/>
        <v xml:space="preserve">TIMOTHY HODGMAN   </v>
      </c>
      <c r="N91" t="s">
        <v>105</v>
      </c>
      <c r="O91">
        <v>1</v>
      </c>
      <c r="P91">
        <v>2.92</v>
      </c>
      <c r="Q91">
        <v>0.1</v>
      </c>
      <c r="R91">
        <v>0.28999999999999998</v>
      </c>
      <c r="S91" t="s">
        <v>401</v>
      </c>
    </row>
    <row r="92" spans="1:19" x14ac:dyDescent="0.25">
      <c r="A92" t="s">
        <v>353</v>
      </c>
      <c r="B92" t="s">
        <v>128</v>
      </c>
      <c r="C92" t="s">
        <v>354</v>
      </c>
      <c r="D92" s="1">
        <v>45474</v>
      </c>
      <c r="E92" s="1">
        <v>45870</v>
      </c>
      <c r="F92">
        <v>1</v>
      </c>
      <c r="G92">
        <f t="shared" si="2"/>
        <v>1</v>
      </c>
      <c r="H92" t="s">
        <v>394</v>
      </c>
      <c r="I92" t="s">
        <v>395</v>
      </c>
      <c r="J92">
        <v>18581063</v>
      </c>
      <c r="K92" t="s">
        <v>427</v>
      </c>
      <c r="L92" t="s">
        <v>411</v>
      </c>
      <c r="M92" t="str">
        <f t="shared" si="3"/>
        <v xml:space="preserve">TIMOTHY HODGMAN   </v>
      </c>
      <c r="N92" t="s">
        <v>106</v>
      </c>
      <c r="O92">
        <v>1</v>
      </c>
      <c r="P92">
        <v>61.72</v>
      </c>
      <c r="Q92">
        <v>0.1</v>
      </c>
      <c r="R92">
        <v>6.17</v>
      </c>
      <c r="S92" t="s">
        <v>401</v>
      </c>
    </row>
    <row r="93" spans="1:19" x14ac:dyDescent="0.25">
      <c r="A93" t="s">
        <v>353</v>
      </c>
      <c r="B93" t="s">
        <v>128</v>
      </c>
      <c r="C93" t="s">
        <v>354</v>
      </c>
      <c r="D93" s="1">
        <v>45474</v>
      </c>
      <c r="E93" s="1">
        <v>45870</v>
      </c>
      <c r="F93">
        <v>1</v>
      </c>
      <c r="G93">
        <f t="shared" si="2"/>
        <v>1</v>
      </c>
      <c r="H93" t="s">
        <v>394</v>
      </c>
      <c r="I93" t="s">
        <v>395</v>
      </c>
      <c r="J93">
        <v>18581063</v>
      </c>
      <c r="K93" t="s">
        <v>427</v>
      </c>
      <c r="L93" t="s">
        <v>411</v>
      </c>
      <c r="M93" t="str">
        <f t="shared" si="3"/>
        <v xml:space="preserve">TIMOTHY HODGMAN   </v>
      </c>
      <c r="N93" t="s">
        <v>75</v>
      </c>
      <c r="O93">
        <v>1</v>
      </c>
      <c r="P93">
        <v>4.62</v>
      </c>
      <c r="Q93">
        <v>0.1</v>
      </c>
      <c r="R93">
        <v>0.46</v>
      </c>
      <c r="S93" t="s">
        <v>401</v>
      </c>
    </row>
    <row r="94" spans="1:19" x14ac:dyDescent="0.25">
      <c r="A94" t="s">
        <v>353</v>
      </c>
      <c r="B94" t="s">
        <v>128</v>
      </c>
      <c r="C94" t="s">
        <v>354</v>
      </c>
      <c r="D94" s="1">
        <v>45474</v>
      </c>
      <c r="E94" s="1">
        <v>45870</v>
      </c>
      <c r="F94">
        <v>1</v>
      </c>
      <c r="G94">
        <f t="shared" si="2"/>
        <v>1</v>
      </c>
      <c r="H94" t="s">
        <v>394</v>
      </c>
      <c r="I94" t="s">
        <v>395</v>
      </c>
      <c r="J94">
        <v>18581063</v>
      </c>
      <c r="K94" t="s">
        <v>427</v>
      </c>
      <c r="L94" t="s">
        <v>411</v>
      </c>
      <c r="M94" t="str">
        <f t="shared" si="3"/>
        <v xml:space="preserve">TIMOTHY HODGMAN   </v>
      </c>
      <c r="N94" t="s">
        <v>27</v>
      </c>
      <c r="O94">
        <v>1</v>
      </c>
      <c r="P94">
        <v>24.86</v>
      </c>
      <c r="Q94">
        <v>0.1</v>
      </c>
      <c r="R94">
        <v>2.4900000000000002</v>
      </c>
      <c r="S94" t="s">
        <v>401</v>
      </c>
    </row>
    <row r="95" spans="1:19" x14ac:dyDescent="0.25">
      <c r="A95" t="s">
        <v>355</v>
      </c>
      <c r="B95" t="s">
        <v>356</v>
      </c>
      <c r="C95" t="s">
        <v>357</v>
      </c>
      <c r="D95" s="1">
        <v>45444</v>
      </c>
      <c r="E95" s="1">
        <v>45870</v>
      </c>
      <c r="F95">
        <v>1</v>
      </c>
      <c r="G95">
        <f t="shared" si="2"/>
        <v>3</v>
      </c>
      <c r="H95" t="s">
        <v>394</v>
      </c>
      <c r="I95" t="s">
        <v>395</v>
      </c>
      <c r="J95">
        <v>7470776</v>
      </c>
      <c r="K95" t="s">
        <v>422</v>
      </c>
      <c r="L95" t="s">
        <v>406</v>
      </c>
      <c r="M95" t="str">
        <f t="shared" si="3"/>
        <v xml:space="preserve">ANDREW CHOI </v>
      </c>
      <c r="N95" t="s">
        <v>25</v>
      </c>
      <c r="O95">
        <v>1</v>
      </c>
      <c r="P95">
        <v>34.020000000000003</v>
      </c>
      <c r="Q95">
        <v>0.1</v>
      </c>
      <c r="R95">
        <v>3.4</v>
      </c>
      <c r="S95" t="s">
        <v>401</v>
      </c>
    </row>
    <row r="96" spans="1:19" x14ac:dyDescent="0.25">
      <c r="A96" t="s">
        <v>355</v>
      </c>
      <c r="B96" t="s">
        <v>356</v>
      </c>
      <c r="C96" t="s">
        <v>357</v>
      </c>
      <c r="D96" s="1">
        <v>45444</v>
      </c>
      <c r="E96" s="1">
        <v>45870</v>
      </c>
      <c r="F96">
        <v>1</v>
      </c>
      <c r="G96">
        <f t="shared" si="2"/>
        <v>3</v>
      </c>
      <c r="H96" t="s">
        <v>394</v>
      </c>
      <c r="I96" t="s">
        <v>395</v>
      </c>
      <c r="J96">
        <v>7470776</v>
      </c>
      <c r="K96" t="s">
        <v>422</v>
      </c>
      <c r="L96" t="s">
        <v>406</v>
      </c>
      <c r="M96" t="str">
        <f t="shared" si="3"/>
        <v xml:space="preserve">ANDREW CHOI </v>
      </c>
      <c r="N96" t="s">
        <v>133</v>
      </c>
      <c r="O96">
        <v>1</v>
      </c>
      <c r="P96">
        <v>31.5</v>
      </c>
      <c r="Q96">
        <v>0.1</v>
      </c>
      <c r="R96">
        <v>3.15</v>
      </c>
      <c r="S96" t="s">
        <v>401</v>
      </c>
    </row>
    <row r="97" spans="1:19" x14ac:dyDescent="0.25">
      <c r="A97" t="s">
        <v>355</v>
      </c>
      <c r="B97" t="s">
        <v>356</v>
      </c>
      <c r="C97" t="s">
        <v>357</v>
      </c>
      <c r="D97" s="1">
        <v>45444</v>
      </c>
      <c r="E97" s="1">
        <v>45870</v>
      </c>
      <c r="F97">
        <v>1</v>
      </c>
      <c r="G97">
        <f t="shared" si="2"/>
        <v>3</v>
      </c>
      <c r="H97" t="s">
        <v>394</v>
      </c>
      <c r="I97" t="s">
        <v>395</v>
      </c>
      <c r="J97">
        <v>7470776</v>
      </c>
      <c r="K97" t="s">
        <v>422</v>
      </c>
      <c r="L97" t="s">
        <v>406</v>
      </c>
      <c r="M97" t="str">
        <f t="shared" si="3"/>
        <v xml:space="preserve">ANDREW CHOI </v>
      </c>
      <c r="N97" t="s">
        <v>41</v>
      </c>
      <c r="O97">
        <v>1</v>
      </c>
      <c r="P97">
        <v>2.81</v>
      </c>
      <c r="Q97">
        <v>0.1</v>
      </c>
      <c r="R97">
        <v>0.28000000000000003</v>
      </c>
      <c r="S97" t="s">
        <v>401</v>
      </c>
    </row>
    <row r="98" spans="1:19" x14ac:dyDescent="0.25">
      <c r="A98" t="s">
        <v>355</v>
      </c>
      <c r="B98" t="s">
        <v>356</v>
      </c>
      <c r="C98" t="s">
        <v>357</v>
      </c>
      <c r="D98" s="1">
        <v>45444</v>
      </c>
      <c r="E98" s="1">
        <v>45870</v>
      </c>
      <c r="F98">
        <v>1</v>
      </c>
      <c r="G98">
        <f t="shared" si="2"/>
        <v>3</v>
      </c>
      <c r="H98" t="s">
        <v>394</v>
      </c>
      <c r="I98" t="s">
        <v>395</v>
      </c>
      <c r="J98">
        <v>7470776</v>
      </c>
      <c r="K98" t="s">
        <v>422</v>
      </c>
      <c r="L98" t="s">
        <v>406</v>
      </c>
      <c r="M98" t="str">
        <f t="shared" si="3"/>
        <v xml:space="preserve">ANDREW CHOI </v>
      </c>
      <c r="N98" t="s">
        <v>42</v>
      </c>
      <c r="O98">
        <v>1</v>
      </c>
      <c r="P98">
        <v>0.96</v>
      </c>
      <c r="Q98">
        <v>0.1</v>
      </c>
      <c r="R98">
        <v>0.1</v>
      </c>
      <c r="S98" t="s">
        <v>401</v>
      </c>
    </row>
    <row r="99" spans="1:19" x14ac:dyDescent="0.25">
      <c r="A99" t="s">
        <v>355</v>
      </c>
      <c r="B99" t="s">
        <v>356</v>
      </c>
      <c r="C99" t="s">
        <v>357</v>
      </c>
      <c r="D99" s="1">
        <v>45444</v>
      </c>
      <c r="E99" s="1">
        <v>45870</v>
      </c>
      <c r="F99">
        <v>1</v>
      </c>
      <c r="G99">
        <f t="shared" si="2"/>
        <v>3</v>
      </c>
      <c r="H99" t="s">
        <v>394</v>
      </c>
      <c r="I99" t="s">
        <v>395</v>
      </c>
      <c r="J99">
        <v>7470776</v>
      </c>
      <c r="K99" t="s">
        <v>422</v>
      </c>
      <c r="L99" t="s">
        <v>406</v>
      </c>
      <c r="M99" t="str">
        <f t="shared" si="3"/>
        <v xml:space="preserve">ANDREW CHOI </v>
      </c>
      <c r="N99" t="s">
        <v>75</v>
      </c>
      <c r="O99">
        <v>1</v>
      </c>
      <c r="P99">
        <v>1.18</v>
      </c>
      <c r="Q99">
        <v>0.1</v>
      </c>
      <c r="R99">
        <v>0.12</v>
      </c>
      <c r="S99" t="s">
        <v>401</v>
      </c>
    </row>
    <row r="100" spans="1:19" x14ac:dyDescent="0.25">
      <c r="A100" t="s">
        <v>351</v>
      </c>
      <c r="B100" t="s">
        <v>30</v>
      </c>
      <c r="C100" t="s">
        <v>352</v>
      </c>
      <c r="D100" s="1">
        <v>45383</v>
      </c>
      <c r="E100" s="1">
        <v>45870</v>
      </c>
      <c r="F100">
        <v>1</v>
      </c>
      <c r="G100">
        <f t="shared" si="2"/>
        <v>5</v>
      </c>
      <c r="H100" t="s">
        <v>394</v>
      </c>
      <c r="I100" t="s">
        <v>395</v>
      </c>
      <c r="J100">
        <v>16509456</v>
      </c>
      <c r="K100" t="s">
        <v>412</v>
      </c>
      <c r="L100" t="s">
        <v>413</v>
      </c>
      <c r="M100" t="str">
        <f t="shared" si="3"/>
        <v xml:space="preserve">PETER RICHTER   </v>
      </c>
      <c r="N100" t="s">
        <v>27</v>
      </c>
      <c r="O100">
        <v>1</v>
      </c>
      <c r="P100">
        <v>12.43</v>
      </c>
      <c r="Q100">
        <v>0.1</v>
      </c>
      <c r="R100">
        <v>1.24</v>
      </c>
      <c r="S100" t="s">
        <v>401</v>
      </c>
    </row>
    <row r="101" spans="1:19" x14ac:dyDescent="0.25">
      <c r="A101" t="s">
        <v>351</v>
      </c>
      <c r="B101" t="s">
        <v>30</v>
      </c>
      <c r="C101" t="s">
        <v>352</v>
      </c>
      <c r="D101" s="1">
        <v>45383</v>
      </c>
      <c r="E101" s="1">
        <v>45870</v>
      </c>
      <c r="F101">
        <v>1</v>
      </c>
      <c r="G101">
        <f t="shared" si="2"/>
        <v>5</v>
      </c>
      <c r="H101" t="s">
        <v>394</v>
      </c>
      <c r="I101" t="s">
        <v>395</v>
      </c>
      <c r="J101">
        <v>16509456</v>
      </c>
      <c r="K101" t="s">
        <v>412</v>
      </c>
      <c r="L101" t="s">
        <v>413</v>
      </c>
      <c r="M101" t="str">
        <f t="shared" si="3"/>
        <v xml:space="preserve">PETER RICHTER   </v>
      </c>
      <c r="N101" t="s">
        <v>76</v>
      </c>
      <c r="O101">
        <v>1</v>
      </c>
      <c r="P101">
        <v>1.79</v>
      </c>
      <c r="Q101">
        <v>0.1</v>
      </c>
      <c r="R101">
        <v>0.18</v>
      </c>
      <c r="S101" t="s">
        <v>401</v>
      </c>
    </row>
    <row r="102" spans="1:19" x14ac:dyDescent="0.25">
      <c r="A102" t="s">
        <v>351</v>
      </c>
      <c r="B102" t="s">
        <v>30</v>
      </c>
      <c r="C102" t="s">
        <v>352</v>
      </c>
      <c r="D102" s="1">
        <v>45383</v>
      </c>
      <c r="E102" s="1">
        <v>45870</v>
      </c>
      <c r="F102">
        <v>1</v>
      </c>
      <c r="G102">
        <f t="shared" si="2"/>
        <v>5</v>
      </c>
      <c r="H102" t="s">
        <v>394</v>
      </c>
      <c r="I102" t="s">
        <v>395</v>
      </c>
      <c r="J102">
        <v>16509456</v>
      </c>
      <c r="K102" t="s">
        <v>412</v>
      </c>
      <c r="L102" t="s">
        <v>413</v>
      </c>
      <c r="M102" t="str">
        <f t="shared" si="3"/>
        <v xml:space="preserve">PETER RICHTER   </v>
      </c>
      <c r="N102" t="s">
        <v>34</v>
      </c>
      <c r="O102">
        <v>1</v>
      </c>
      <c r="P102">
        <v>12.94</v>
      </c>
      <c r="Q102">
        <v>0.1</v>
      </c>
      <c r="R102">
        <v>1.29</v>
      </c>
      <c r="S102" t="s">
        <v>401</v>
      </c>
    </row>
    <row r="103" spans="1:19" x14ac:dyDescent="0.25">
      <c r="A103" t="s">
        <v>351</v>
      </c>
      <c r="B103" t="s">
        <v>30</v>
      </c>
      <c r="C103" t="s">
        <v>352</v>
      </c>
      <c r="D103" s="1">
        <v>45383</v>
      </c>
      <c r="E103" s="1">
        <v>45870</v>
      </c>
      <c r="F103">
        <v>1</v>
      </c>
      <c r="G103">
        <f t="shared" si="2"/>
        <v>5</v>
      </c>
      <c r="H103" t="s">
        <v>394</v>
      </c>
      <c r="I103" t="s">
        <v>395</v>
      </c>
      <c r="J103">
        <v>16509456</v>
      </c>
      <c r="K103" t="s">
        <v>412</v>
      </c>
      <c r="L103" t="s">
        <v>413</v>
      </c>
      <c r="M103" t="str">
        <f t="shared" si="3"/>
        <v xml:space="preserve">PETER RICHTER   </v>
      </c>
      <c r="N103" t="s">
        <v>25</v>
      </c>
      <c r="O103">
        <v>1</v>
      </c>
      <c r="P103">
        <v>21.06</v>
      </c>
      <c r="Q103">
        <v>0.1</v>
      </c>
      <c r="R103">
        <v>2.11</v>
      </c>
      <c r="S103" t="s">
        <v>401</v>
      </c>
    </row>
    <row r="104" spans="1:19" x14ac:dyDescent="0.25">
      <c r="A104" t="s">
        <v>261</v>
      </c>
      <c r="B104" t="s">
        <v>30</v>
      </c>
      <c r="C104" t="s">
        <v>262</v>
      </c>
      <c r="D104" s="1">
        <v>45292</v>
      </c>
      <c r="E104" s="1">
        <v>45870</v>
      </c>
      <c r="F104">
        <v>1</v>
      </c>
      <c r="G104">
        <f t="shared" si="2"/>
        <v>7</v>
      </c>
      <c r="H104" t="s">
        <v>394</v>
      </c>
      <c r="I104" t="s">
        <v>395</v>
      </c>
      <c r="J104">
        <v>15278437</v>
      </c>
      <c r="K104" t="s">
        <v>407</v>
      </c>
      <c r="L104" t="s">
        <v>408</v>
      </c>
      <c r="M104" t="str">
        <f t="shared" si="3"/>
        <v xml:space="preserve">JASON HOFFMANN  </v>
      </c>
      <c r="N104" t="s">
        <v>106</v>
      </c>
      <c r="O104">
        <v>1</v>
      </c>
      <c r="P104">
        <v>28.6</v>
      </c>
      <c r="Q104">
        <v>0.1</v>
      </c>
      <c r="R104">
        <v>2.86</v>
      </c>
      <c r="S104" t="s">
        <v>401</v>
      </c>
    </row>
    <row r="105" spans="1:19" x14ac:dyDescent="0.25">
      <c r="A105" t="s">
        <v>261</v>
      </c>
      <c r="B105" t="s">
        <v>30</v>
      </c>
      <c r="C105" t="s">
        <v>262</v>
      </c>
      <c r="D105" s="1">
        <v>45292</v>
      </c>
      <c r="E105" s="1">
        <v>45870</v>
      </c>
      <c r="F105">
        <v>1</v>
      </c>
      <c r="G105">
        <f t="shared" si="2"/>
        <v>7</v>
      </c>
      <c r="H105" t="s">
        <v>394</v>
      </c>
      <c r="I105" t="s">
        <v>395</v>
      </c>
      <c r="J105">
        <v>15278437</v>
      </c>
      <c r="K105" t="s">
        <v>407</v>
      </c>
      <c r="L105" t="s">
        <v>408</v>
      </c>
      <c r="M105" t="str">
        <f t="shared" si="3"/>
        <v xml:space="preserve">JASON HOFFMANN  </v>
      </c>
      <c r="N105" t="s">
        <v>105</v>
      </c>
      <c r="O105">
        <v>1</v>
      </c>
      <c r="P105">
        <v>6.03</v>
      </c>
      <c r="Q105">
        <v>0.1</v>
      </c>
      <c r="R105">
        <v>0.6</v>
      </c>
      <c r="S105" t="s">
        <v>401</v>
      </c>
    </row>
    <row r="106" spans="1:19" x14ac:dyDescent="0.25">
      <c r="A106" t="s">
        <v>261</v>
      </c>
      <c r="B106" t="s">
        <v>30</v>
      </c>
      <c r="C106" t="s">
        <v>262</v>
      </c>
      <c r="D106" s="1">
        <v>45292</v>
      </c>
      <c r="E106" s="1">
        <v>45870</v>
      </c>
      <c r="F106">
        <v>1</v>
      </c>
      <c r="G106">
        <f t="shared" si="2"/>
        <v>7</v>
      </c>
      <c r="H106" t="s">
        <v>394</v>
      </c>
      <c r="I106" t="s">
        <v>395</v>
      </c>
      <c r="J106">
        <v>15278437</v>
      </c>
      <c r="K106" t="s">
        <v>407</v>
      </c>
      <c r="L106" t="s">
        <v>408</v>
      </c>
      <c r="M106" t="str">
        <f t="shared" si="3"/>
        <v xml:space="preserve">JASON HOFFMANN  </v>
      </c>
      <c r="N106" t="s">
        <v>25</v>
      </c>
      <c r="O106">
        <v>1</v>
      </c>
      <c r="P106">
        <v>27.78</v>
      </c>
      <c r="Q106">
        <v>0.1</v>
      </c>
      <c r="R106">
        <v>2.78</v>
      </c>
      <c r="S106" t="s">
        <v>401</v>
      </c>
    </row>
    <row r="107" spans="1:19" x14ac:dyDescent="0.25">
      <c r="A107" t="s">
        <v>337</v>
      </c>
      <c r="B107" t="s">
        <v>30</v>
      </c>
      <c r="C107" t="s">
        <v>338</v>
      </c>
      <c r="D107" s="1">
        <v>45292</v>
      </c>
      <c r="E107" s="1">
        <v>45870</v>
      </c>
      <c r="F107">
        <v>1</v>
      </c>
      <c r="G107">
        <f t="shared" si="2"/>
        <v>7</v>
      </c>
      <c r="H107" t="s">
        <v>394</v>
      </c>
      <c r="I107" t="s">
        <v>395</v>
      </c>
      <c r="J107">
        <v>16509456</v>
      </c>
      <c r="K107" t="s">
        <v>412</v>
      </c>
      <c r="L107" t="s">
        <v>413</v>
      </c>
      <c r="M107" t="str">
        <f t="shared" si="3"/>
        <v xml:space="preserve">PETER RICHTER   </v>
      </c>
      <c r="N107" t="s">
        <v>34</v>
      </c>
      <c r="O107">
        <v>1</v>
      </c>
      <c r="P107">
        <v>12.94</v>
      </c>
      <c r="Q107">
        <v>0.1</v>
      </c>
      <c r="R107">
        <v>1.29</v>
      </c>
      <c r="S107" t="s">
        <v>401</v>
      </c>
    </row>
    <row r="108" spans="1:19" x14ac:dyDescent="0.25">
      <c r="A108" t="s">
        <v>337</v>
      </c>
      <c r="B108" t="s">
        <v>30</v>
      </c>
      <c r="C108" t="s">
        <v>338</v>
      </c>
      <c r="D108" s="1">
        <v>45292</v>
      </c>
      <c r="E108" s="1">
        <v>45870</v>
      </c>
      <c r="F108">
        <v>1</v>
      </c>
      <c r="G108">
        <f t="shared" si="2"/>
        <v>7</v>
      </c>
      <c r="H108" t="s">
        <v>394</v>
      </c>
      <c r="I108" t="s">
        <v>395</v>
      </c>
      <c r="J108">
        <v>16509456</v>
      </c>
      <c r="K108" t="s">
        <v>412</v>
      </c>
      <c r="L108" t="s">
        <v>413</v>
      </c>
      <c r="M108" t="str">
        <f t="shared" si="3"/>
        <v xml:space="preserve">PETER RICHTER   </v>
      </c>
      <c r="N108" t="s">
        <v>27</v>
      </c>
      <c r="O108">
        <v>1</v>
      </c>
      <c r="P108">
        <v>12.43</v>
      </c>
      <c r="Q108">
        <v>0.1</v>
      </c>
      <c r="R108">
        <v>1.24</v>
      </c>
      <c r="S108" t="s">
        <v>401</v>
      </c>
    </row>
    <row r="109" spans="1:19" x14ac:dyDescent="0.25">
      <c r="A109" t="s">
        <v>337</v>
      </c>
      <c r="B109" t="s">
        <v>30</v>
      </c>
      <c r="C109" t="s">
        <v>338</v>
      </c>
      <c r="D109" s="1">
        <v>45292</v>
      </c>
      <c r="E109" s="1">
        <v>45870</v>
      </c>
      <c r="F109">
        <v>1</v>
      </c>
      <c r="G109">
        <f t="shared" si="2"/>
        <v>7</v>
      </c>
      <c r="H109" t="s">
        <v>394</v>
      </c>
      <c r="I109" t="s">
        <v>395</v>
      </c>
      <c r="J109">
        <v>16509456</v>
      </c>
      <c r="K109" t="s">
        <v>412</v>
      </c>
      <c r="L109" t="s">
        <v>413</v>
      </c>
      <c r="M109" t="str">
        <f t="shared" si="3"/>
        <v xml:space="preserve">PETER RICHTER   </v>
      </c>
      <c r="N109" t="s">
        <v>76</v>
      </c>
      <c r="O109">
        <v>1</v>
      </c>
      <c r="P109">
        <v>1.79</v>
      </c>
      <c r="Q109">
        <v>0.1</v>
      </c>
      <c r="R109">
        <v>0.18</v>
      </c>
      <c r="S109" t="s">
        <v>401</v>
      </c>
    </row>
    <row r="110" spans="1:19" x14ac:dyDescent="0.25">
      <c r="A110" t="s">
        <v>337</v>
      </c>
      <c r="B110" t="s">
        <v>30</v>
      </c>
      <c r="C110" t="s">
        <v>338</v>
      </c>
      <c r="D110" s="1">
        <v>45292</v>
      </c>
      <c r="E110" s="1">
        <v>45870</v>
      </c>
      <c r="F110">
        <v>1</v>
      </c>
      <c r="G110">
        <f t="shared" si="2"/>
        <v>7</v>
      </c>
      <c r="H110" t="s">
        <v>394</v>
      </c>
      <c r="I110" t="s">
        <v>395</v>
      </c>
      <c r="J110">
        <v>16509456</v>
      </c>
      <c r="K110" t="s">
        <v>412</v>
      </c>
      <c r="L110" t="s">
        <v>413</v>
      </c>
      <c r="M110" t="str">
        <f t="shared" si="3"/>
        <v xml:space="preserve">PETER RICHTER   </v>
      </c>
      <c r="N110" t="s">
        <v>25</v>
      </c>
      <c r="O110">
        <v>1</v>
      </c>
      <c r="P110">
        <v>21.06</v>
      </c>
      <c r="Q110">
        <v>0.1</v>
      </c>
      <c r="R110">
        <v>2.11</v>
      </c>
      <c r="S110" t="s">
        <v>401</v>
      </c>
    </row>
    <row r="111" spans="1:19" x14ac:dyDescent="0.25">
      <c r="A111" t="s">
        <v>341</v>
      </c>
      <c r="B111" t="s">
        <v>30</v>
      </c>
      <c r="C111" t="s">
        <v>342</v>
      </c>
      <c r="D111" s="1">
        <v>45292</v>
      </c>
      <c r="E111" s="1">
        <v>45870</v>
      </c>
      <c r="F111">
        <v>1</v>
      </c>
      <c r="G111">
        <f t="shared" si="2"/>
        <v>7</v>
      </c>
      <c r="H111" t="s">
        <v>394</v>
      </c>
      <c r="I111" t="s">
        <v>395</v>
      </c>
      <c r="J111">
        <v>16509456</v>
      </c>
      <c r="K111" t="s">
        <v>412</v>
      </c>
      <c r="L111" t="s">
        <v>413</v>
      </c>
      <c r="M111" t="str">
        <f t="shared" si="3"/>
        <v xml:space="preserve">PETER RICHTER   </v>
      </c>
      <c r="N111" t="s">
        <v>34</v>
      </c>
      <c r="O111">
        <v>1</v>
      </c>
      <c r="P111">
        <v>13.58</v>
      </c>
      <c r="Q111">
        <v>0.1</v>
      </c>
      <c r="R111">
        <v>1.36</v>
      </c>
      <c r="S111" t="s">
        <v>401</v>
      </c>
    </row>
    <row r="112" spans="1:19" x14ac:dyDescent="0.25">
      <c r="A112" t="s">
        <v>341</v>
      </c>
      <c r="B112" t="s">
        <v>30</v>
      </c>
      <c r="C112" t="s">
        <v>342</v>
      </c>
      <c r="D112" s="1">
        <v>45292</v>
      </c>
      <c r="E112" s="1">
        <v>45870</v>
      </c>
      <c r="F112">
        <v>1</v>
      </c>
      <c r="G112">
        <f t="shared" si="2"/>
        <v>7</v>
      </c>
      <c r="H112" t="s">
        <v>394</v>
      </c>
      <c r="I112" t="s">
        <v>395</v>
      </c>
      <c r="J112">
        <v>16509456</v>
      </c>
      <c r="K112" t="s">
        <v>412</v>
      </c>
      <c r="L112" t="s">
        <v>413</v>
      </c>
      <c r="M112" t="str">
        <f t="shared" si="3"/>
        <v xml:space="preserve">PETER RICHTER   </v>
      </c>
      <c r="N112" t="s">
        <v>76</v>
      </c>
      <c r="O112">
        <v>1</v>
      </c>
      <c r="P112">
        <v>2.14</v>
      </c>
      <c r="Q112">
        <v>0.1</v>
      </c>
      <c r="R112">
        <v>0.21</v>
      </c>
      <c r="S112" t="s">
        <v>401</v>
      </c>
    </row>
    <row r="113" spans="1:19" x14ac:dyDescent="0.25">
      <c r="A113" t="s">
        <v>341</v>
      </c>
      <c r="B113" t="s">
        <v>30</v>
      </c>
      <c r="C113" t="s">
        <v>342</v>
      </c>
      <c r="D113" s="1">
        <v>45292</v>
      </c>
      <c r="E113" s="1">
        <v>45870</v>
      </c>
      <c r="F113">
        <v>1</v>
      </c>
      <c r="G113">
        <f t="shared" si="2"/>
        <v>7</v>
      </c>
      <c r="H113" t="s">
        <v>394</v>
      </c>
      <c r="I113" t="s">
        <v>395</v>
      </c>
      <c r="J113">
        <v>16509456</v>
      </c>
      <c r="K113" t="s">
        <v>412</v>
      </c>
      <c r="L113" t="s">
        <v>413</v>
      </c>
      <c r="M113" t="str">
        <f t="shared" si="3"/>
        <v xml:space="preserve">PETER RICHTER   </v>
      </c>
      <c r="N113" t="s">
        <v>25</v>
      </c>
      <c r="O113">
        <v>1</v>
      </c>
      <c r="P113">
        <v>21.06</v>
      </c>
      <c r="Q113">
        <v>0.1</v>
      </c>
      <c r="R113">
        <v>2.11</v>
      </c>
      <c r="S113" t="s">
        <v>401</v>
      </c>
    </row>
    <row r="114" spans="1:19" x14ac:dyDescent="0.25">
      <c r="A114" t="s">
        <v>341</v>
      </c>
      <c r="B114" t="s">
        <v>30</v>
      </c>
      <c r="C114" t="s">
        <v>342</v>
      </c>
      <c r="D114" s="1">
        <v>45292</v>
      </c>
      <c r="E114" s="1">
        <v>45870</v>
      </c>
      <c r="F114">
        <v>1</v>
      </c>
      <c r="G114">
        <f t="shared" si="2"/>
        <v>7</v>
      </c>
      <c r="H114" t="s">
        <v>394</v>
      </c>
      <c r="I114" t="s">
        <v>395</v>
      </c>
      <c r="J114">
        <v>16509456</v>
      </c>
      <c r="K114" t="s">
        <v>412</v>
      </c>
      <c r="L114" t="s">
        <v>413</v>
      </c>
      <c r="M114" t="str">
        <f t="shared" si="3"/>
        <v xml:space="preserve">PETER RICHTER   </v>
      </c>
      <c r="N114" t="s">
        <v>27</v>
      </c>
      <c r="O114">
        <v>1</v>
      </c>
      <c r="P114">
        <v>12.43</v>
      </c>
      <c r="Q114">
        <v>0.1</v>
      </c>
      <c r="R114">
        <v>1.24</v>
      </c>
      <c r="S114" t="s">
        <v>401</v>
      </c>
    </row>
    <row r="115" spans="1:19" x14ac:dyDescent="0.25">
      <c r="A115" t="s">
        <v>347</v>
      </c>
      <c r="B115" t="s">
        <v>30</v>
      </c>
      <c r="C115" t="s">
        <v>348</v>
      </c>
      <c r="D115" s="1">
        <v>45292</v>
      </c>
      <c r="E115" s="1">
        <v>45870</v>
      </c>
      <c r="F115">
        <v>1</v>
      </c>
      <c r="G115">
        <f t="shared" si="2"/>
        <v>7</v>
      </c>
      <c r="H115" t="s">
        <v>394</v>
      </c>
      <c r="I115" t="s">
        <v>395</v>
      </c>
      <c r="J115">
        <v>16509456</v>
      </c>
      <c r="K115" t="s">
        <v>412</v>
      </c>
      <c r="L115" t="s">
        <v>413</v>
      </c>
      <c r="M115" t="str">
        <f t="shared" si="3"/>
        <v xml:space="preserve">PETER RICHTER   </v>
      </c>
      <c r="N115" t="s">
        <v>25</v>
      </c>
      <c r="O115">
        <v>1</v>
      </c>
      <c r="P115">
        <v>22.34</v>
      </c>
      <c r="Q115">
        <v>0.1</v>
      </c>
      <c r="R115">
        <v>2.23</v>
      </c>
      <c r="S115" t="s">
        <v>401</v>
      </c>
    </row>
    <row r="116" spans="1:19" x14ac:dyDescent="0.25">
      <c r="A116" t="s">
        <v>347</v>
      </c>
      <c r="B116" t="s">
        <v>30</v>
      </c>
      <c r="C116" t="s">
        <v>348</v>
      </c>
      <c r="D116" s="1">
        <v>45292</v>
      </c>
      <c r="E116" s="1">
        <v>45870</v>
      </c>
      <c r="F116">
        <v>1</v>
      </c>
      <c r="G116">
        <f t="shared" si="2"/>
        <v>7</v>
      </c>
      <c r="H116" t="s">
        <v>394</v>
      </c>
      <c r="I116" t="s">
        <v>395</v>
      </c>
      <c r="J116">
        <v>16509456</v>
      </c>
      <c r="K116" t="s">
        <v>412</v>
      </c>
      <c r="L116" t="s">
        <v>413</v>
      </c>
      <c r="M116" t="str">
        <f t="shared" si="3"/>
        <v xml:space="preserve">PETER RICHTER   </v>
      </c>
      <c r="N116" t="s">
        <v>76</v>
      </c>
      <c r="O116">
        <v>1</v>
      </c>
      <c r="P116">
        <v>2.65</v>
      </c>
      <c r="Q116">
        <v>0.1</v>
      </c>
      <c r="R116">
        <v>0.27</v>
      </c>
      <c r="S116" t="s">
        <v>401</v>
      </c>
    </row>
    <row r="117" spans="1:19" x14ac:dyDescent="0.25">
      <c r="A117" t="s">
        <v>347</v>
      </c>
      <c r="B117" t="s">
        <v>30</v>
      </c>
      <c r="C117" t="s">
        <v>348</v>
      </c>
      <c r="D117" s="1">
        <v>45292</v>
      </c>
      <c r="E117" s="1">
        <v>45870</v>
      </c>
      <c r="F117">
        <v>1</v>
      </c>
      <c r="G117">
        <f t="shared" si="2"/>
        <v>7</v>
      </c>
      <c r="H117" t="s">
        <v>394</v>
      </c>
      <c r="I117" t="s">
        <v>395</v>
      </c>
      <c r="J117">
        <v>16509456</v>
      </c>
      <c r="K117" t="s">
        <v>412</v>
      </c>
      <c r="L117" t="s">
        <v>413</v>
      </c>
      <c r="M117" t="str">
        <f t="shared" si="3"/>
        <v xml:space="preserve">PETER RICHTER   </v>
      </c>
      <c r="N117" t="s">
        <v>34</v>
      </c>
      <c r="O117">
        <v>1</v>
      </c>
      <c r="P117">
        <v>28.81</v>
      </c>
      <c r="Q117">
        <v>0.1</v>
      </c>
      <c r="R117">
        <v>2.88</v>
      </c>
      <c r="S117" t="s">
        <v>401</v>
      </c>
    </row>
    <row r="118" spans="1:19" x14ac:dyDescent="0.25">
      <c r="A118" t="s">
        <v>347</v>
      </c>
      <c r="B118" t="s">
        <v>30</v>
      </c>
      <c r="C118" t="s">
        <v>348</v>
      </c>
      <c r="D118" s="1">
        <v>45292</v>
      </c>
      <c r="E118" s="1">
        <v>45870</v>
      </c>
      <c r="F118">
        <v>1</v>
      </c>
      <c r="G118">
        <f t="shared" si="2"/>
        <v>7</v>
      </c>
      <c r="H118" t="s">
        <v>394</v>
      </c>
      <c r="I118" t="s">
        <v>395</v>
      </c>
      <c r="J118">
        <v>16509456</v>
      </c>
      <c r="K118" t="s">
        <v>412</v>
      </c>
      <c r="L118" t="s">
        <v>413</v>
      </c>
      <c r="M118" t="str">
        <f t="shared" si="3"/>
        <v xml:space="preserve">PETER RICHTER   </v>
      </c>
      <c r="N118" t="s">
        <v>27</v>
      </c>
      <c r="O118">
        <v>1</v>
      </c>
      <c r="P118">
        <v>12.43</v>
      </c>
      <c r="Q118">
        <v>0.1</v>
      </c>
      <c r="R118">
        <v>1.24</v>
      </c>
      <c r="S118" t="s">
        <v>401</v>
      </c>
    </row>
    <row r="119" spans="1:19" x14ac:dyDescent="0.25">
      <c r="A119" t="s">
        <v>349</v>
      </c>
      <c r="B119" t="s">
        <v>30</v>
      </c>
      <c r="C119" t="s">
        <v>350</v>
      </c>
      <c r="D119" s="1">
        <v>45292</v>
      </c>
      <c r="E119" s="1">
        <v>45870</v>
      </c>
      <c r="F119">
        <v>1</v>
      </c>
      <c r="G119">
        <f t="shared" si="2"/>
        <v>7</v>
      </c>
      <c r="H119" t="s">
        <v>394</v>
      </c>
      <c r="I119" t="s">
        <v>395</v>
      </c>
      <c r="J119">
        <v>16509456</v>
      </c>
      <c r="K119" t="s">
        <v>412</v>
      </c>
      <c r="L119" t="s">
        <v>413</v>
      </c>
      <c r="M119" t="str">
        <f t="shared" si="3"/>
        <v xml:space="preserve">PETER RICHTER   </v>
      </c>
      <c r="N119" t="s">
        <v>34</v>
      </c>
      <c r="O119">
        <v>1</v>
      </c>
      <c r="P119">
        <v>12.94</v>
      </c>
      <c r="Q119">
        <v>0.1</v>
      </c>
      <c r="R119">
        <v>1.29</v>
      </c>
      <c r="S119" t="s">
        <v>401</v>
      </c>
    </row>
    <row r="120" spans="1:19" x14ac:dyDescent="0.25">
      <c r="A120" t="s">
        <v>349</v>
      </c>
      <c r="B120" t="s">
        <v>30</v>
      </c>
      <c r="C120" t="s">
        <v>350</v>
      </c>
      <c r="D120" s="1">
        <v>45292</v>
      </c>
      <c r="E120" s="1">
        <v>45870</v>
      </c>
      <c r="F120">
        <v>1</v>
      </c>
      <c r="G120">
        <f t="shared" si="2"/>
        <v>7</v>
      </c>
      <c r="H120" t="s">
        <v>394</v>
      </c>
      <c r="I120" t="s">
        <v>395</v>
      </c>
      <c r="J120">
        <v>16509456</v>
      </c>
      <c r="K120" t="s">
        <v>412</v>
      </c>
      <c r="L120" t="s">
        <v>413</v>
      </c>
      <c r="M120" t="str">
        <f t="shared" si="3"/>
        <v xml:space="preserve">PETER RICHTER   </v>
      </c>
      <c r="N120" t="s">
        <v>25</v>
      </c>
      <c r="O120">
        <v>1</v>
      </c>
      <c r="P120">
        <v>21.06</v>
      </c>
      <c r="Q120">
        <v>0.1</v>
      </c>
      <c r="R120">
        <v>2.11</v>
      </c>
      <c r="S120" t="s">
        <v>401</v>
      </c>
    </row>
    <row r="121" spans="1:19" x14ac:dyDescent="0.25">
      <c r="A121" t="s">
        <v>349</v>
      </c>
      <c r="B121" t="s">
        <v>30</v>
      </c>
      <c r="C121" t="s">
        <v>350</v>
      </c>
      <c r="D121" s="1">
        <v>45292</v>
      </c>
      <c r="E121" s="1">
        <v>45870</v>
      </c>
      <c r="F121">
        <v>1</v>
      </c>
      <c r="G121">
        <f t="shared" si="2"/>
        <v>7</v>
      </c>
      <c r="H121" t="s">
        <v>394</v>
      </c>
      <c r="I121" t="s">
        <v>395</v>
      </c>
      <c r="J121">
        <v>16509456</v>
      </c>
      <c r="K121" t="s">
        <v>412</v>
      </c>
      <c r="L121" t="s">
        <v>413</v>
      </c>
      <c r="M121" t="str">
        <f t="shared" si="3"/>
        <v xml:space="preserve">PETER RICHTER   </v>
      </c>
      <c r="N121" t="s">
        <v>76</v>
      </c>
      <c r="O121">
        <v>1</v>
      </c>
      <c r="P121">
        <v>1.79</v>
      </c>
      <c r="Q121">
        <v>0.1</v>
      </c>
      <c r="R121">
        <v>0.18</v>
      </c>
      <c r="S121" t="s">
        <v>401</v>
      </c>
    </row>
    <row r="122" spans="1:19" x14ac:dyDescent="0.25">
      <c r="A122" t="s">
        <v>349</v>
      </c>
      <c r="B122" t="s">
        <v>30</v>
      </c>
      <c r="C122" t="s">
        <v>350</v>
      </c>
      <c r="D122" s="1">
        <v>45292</v>
      </c>
      <c r="E122" s="1">
        <v>45870</v>
      </c>
      <c r="F122">
        <v>1</v>
      </c>
      <c r="G122">
        <f t="shared" si="2"/>
        <v>7</v>
      </c>
      <c r="H122" t="s">
        <v>394</v>
      </c>
      <c r="I122" t="s">
        <v>395</v>
      </c>
      <c r="J122">
        <v>16509456</v>
      </c>
      <c r="K122" t="s">
        <v>412</v>
      </c>
      <c r="L122" t="s">
        <v>413</v>
      </c>
      <c r="M122" t="str">
        <f t="shared" si="3"/>
        <v xml:space="preserve">PETER RICHTER   </v>
      </c>
      <c r="N122" t="s">
        <v>27</v>
      </c>
      <c r="O122">
        <v>1</v>
      </c>
      <c r="P122">
        <v>12.43</v>
      </c>
      <c r="Q122">
        <v>0.1</v>
      </c>
      <c r="R122">
        <v>1.24</v>
      </c>
      <c r="S122" t="s">
        <v>401</v>
      </c>
    </row>
    <row r="123" spans="1:19" x14ac:dyDescent="0.25">
      <c r="A123" t="s">
        <v>343</v>
      </c>
      <c r="B123" t="s">
        <v>30</v>
      </c>
      <c r="C123" t="s">
        <v>344</v>
      </c>
      <c r="D123" s="1">
        <v>45261</v>
      </c>
      <c r="E123" s="1">
        <v>45870</v>
      </c>
      <c r="F123">
        <v>1</v>
      </c>
      <c r="G123">
        <f t="shared" si="2"/>
        <v>8</v>
      </c>
      <c r="H123" t="s">
        <v>394</v>
      </c>
      <c r="I123" t="s">
        <v>395</v>
      </c>
      <c r="J123">
        <v>16509456</v>
      </c>
      <c r="K123" t="s">
        <v>412</v>
      </c>
      <c r="L123" t="s">
        <v>413</v>
      </c>
      <c r="M123" t="str">
        <f t="shared" si="3"/>
        <v xml:space="preserve">PETER RICHTER   </v>
      </c>
      <c r="N123" t="s">
        <v>27</v>
      </c>
      <c r="O123">
        <v>1</v>
      </c>
      <c r="P123">
        <v>12.43</v>
      </c>
      <c r="Q123">
        <v>0.1</v>
      </c>
      <c r="R123">
        <v>1.24</v>
      </c>
      <c r="S123" t="s">
        <v>401</v>
      </c>
    </row>
    <row r="124" spans="1:19" x14ac:dyDescent="0.25">
      <c r="A124" t="s">
        <v>343</v>
      </c>
      <c r="B124" t="s">
        <v>30</v>
      </c>
      <c r="C124" t="s">
        <v>344</v>
      </c>
      <c r="D124" s="1">
        <v>45261</v>
      </c>
      <c r="E124" s="1">
        <v>45870</v>
      </c>
      <c r="F124">
        <v>1</v>
      </c>
      <c r="G124">
        <f t="shared" si="2"/>
        <v>8</v>
      </c>
      <c r="H124" t="s">
        <v>394</v>
      </c>
      <c r="I124" t="s">
        <v>395</v>
      </c>
      <c r="J124">
        <v>16509456</v>
      </c>
      <c r="K124" t="s">
        <v>412</v>
      </c>
      <c r="L124" t="s">
        <v>413</v>
      </c>
      <c r="M124" t="str">
        <f t="shared" si="3"/>
        <v xml:space="preserve">PETER RICHTER   </v>
      </c>
      <c r="N124" t="s">
        <v>25</v>
      </c>
      <c r="O124">
        <v>1</v>
      </c>
      <c r="P124">
        <v>21.34</v>
      </c>
      <c r="Q124">
        <v>0.1</v>
      </c>
      <c r="R124">
        <v>2.13</v>
      </c>
      <c r="S124" t="s">
        <v>401</v>
      </c>
    </row>
    <row r="125" spans="1:19" x14ac:dyDescent="0.25">
      <c r="A125" t="s">
        <v>343</v>
      </c>
      <c r="B125" t="s">
        <v>30</v>
      </c>
      <c r="C125" t="s">
        <v>344</v>
      </c>
      <c r="D125" s="1">
        <v>45261</v>
      </c>
      <c r="E125" s="1">
        <v>45870</v>
      </c>
      <c r="F125">
        <v>1</v>
      </c>
      <c r="G125">
        <f t="shared" si="2"/>
        <v>8</v>
      </c>
      <c r="H125" t="s">
        <v>394</v>
      </c>
      <c r="I125" t="s">
        <v>395</v>
      </c>
      <c r="J125">
        <v>16509456</v>
      </c>
      <c r="K125" t="s">
        <v>412</v>
      </c>
      <c r="L125" t="s">
        <v>413</v>
      </c>
      <c r="M125" t="str">
        <f t="shared" si="3"/>
        <v xml:space="preserve">PETER RICHTER   </v>
      </c>
      <c r="N125" t="s">
        <v>76</v>
      </c>
      <c r="O125">
        <v>1</v>
      </c>
      <c r="P125">
        <v>2.14</v>
      </c>
      <c r="Q125">
        <v>0.1</v>
      </c>
      <c r="R125">
        <v>0.21</v>
      </c>
      <c r="S125" t="s">
        <v>401</v>
      </c>
    </row>
    <row r="126" spans="1:19" x14ac:dyDescent="0.25">
      <c r="A126" t="s">
        <v>343</v>
      </c>
      <c r="B126" t="s">
        <v>30</v>
      </c>
      <c r="C126" t="s">
        <v>344</v>
      </c>
      <c r="D126" s="1">
        <v>45261</v>
      </c>
      <c r="E126" s="1">
        <v>45870</v>
      </c>
      <c r="F126">
        <v>1</v>
      </c>
      <c r="G126">
        <f t="shared" si="2"/>
        <v>8</v>
      </c>
      <c r="H126" t="s">
        <v>394</v>
      </c>
      <c r="I126" t="s">
        <v>395</v>
      </c>
      <c r="J126">
        <v>16509456</v>
      </c>
      <c r="K126" t="s">
        <v>412</v>
      </c>
      <c r="L126" t="s">
        <v>413</v>
      </c>
      <c r="M126" t="str">
        <f t="shared" si="3"/>
        <v xml:space="preserve">PETER RICHTER   </v>
      </c>
      <c r="N126" t="s">
        <v>34</v>
      </c>
      <c r="O126">
        <v>1</v>
      </c>
      <c r="P126">
        <v>14.36</v>
      </c>
      <c r="Q126">
        <v>0.1</v>
      </c>
      <c r="R126">
        <v>1.44</v>
      </c>
      <c r="S126" t="s">
        <v>401</v>
      </c>
    </row>
    <row r="127" spans="1:19" x14ac:dyDescent="0.25">
      <c r="A127" t="s">
        <v>345</v>
      </c>
      <c r="B127" t="s">
        <v>30</v>
      </c>
      <c r="C127" t="s">
        <v>346</v>
      </c>
      <c r="D127" s="1">
        <v>45261</v>
      </c>
      <c r="E127" s="1">
        <v>45870</v>
      </c>
      <c r="F127">
        <v>1</v>
      </c>
      <c r="G127">
        <f t="shared" si="2"/>
        <v>8</v>
      </c>
      <c r="H127" t="s">
        <v>394</v>
      </c>
      <c r="I127" t="s">
        <v>395</v>
      </c>
      <c r="J127">
        <v>16509456</v>
      </c>
      <c r="K127" t="s">
        <v>412</v>
      </c>
      <c r="L127" t="s">
        <v>413</v>
      </c>
      <c r="M127" t="str">
        <f t="shared" si="3"/>
        <v xml:space="preserve">PETER RICHTER   </v>
      </c>
      <c r="N127" t="s">
        <v>27</v>
      </c>
      <c r="O127">
        <v>1</v>
      </c>
      <c r="P127">
        <v>24.86</v>
      </c>
      <c r="Q127">
        <v>0.1</v>
      </c>
      <c r="R127">
        <v>2.4900000000000002</v>
      </c>
      <c r="S127" t="s">
        <v>401</v>
      </c>
    </row>
    <row r="128" spans="1:19" x14ac:dyDescent="0.25">
      <c r="A128" t="s">
        <v>345</v>
      </c>
      <c r="B128" t="s">
        <v>30</v>
      </c>
      <c r="C128" t="s">
        <v>346</v>
      </c>
      <c r="D128" s="1">
        <v>45261</v>
      </c>
      <c r="E128" s="1">
        <v>45870</v>
      </c>
      <c r="F128">
        <v>1</v>
      </c>
      <c r="G128">
        <f t="shared" si="2"/>
        <v>8</v>
      </c>
      <c r="H128" t="s">
        <v>394</v>
      </c>
      <c r="I128" t="s">
        <v>395</v>
      </c>
      <c r="J128">
        <v>16509456</v>
      </c>
      <c r="K128" t="s">
        <v>412</v>
      </c>
      <c r="L128" t="s">
        <v>413</v>
      </c>
      <c r="M128" t="str">
        <f t="shared" si="3"/>
        <v xml:space="preserve">PETER RICHTER   </v>
      </c>
      <c r="N128" t="s">
        <v>76</v>
      </c>
      <c r="O128">
        <v>1</v>
      </c>
      <c r="P128">
        <v>3.53</v>
      </c>
      <c r="Q128">
        <v>0.1</v>
      </c>
      <c r="R128">
        <v>0.35</v>
      </c>
      <c r="S128" t="s">
        <v>401</v>
      </c>
    </row>
    <row r="129" spans="1:19" x14ac:dyDescent="0.25">
      <c r="A129" t="s">
        <v>345</v>
      </c>
      <c r="B129" t="s">
        <v>30</v>
      </c>
      <c r="C129" t="s">
        <v>346</v>
      </c>
      <c r="D129" s="1">
        <v>45261</v>
      </c>
      <c r="E129" s="1">
        <v>45870</v>
      </c>
      <c r="F129">
        <v>1</v>
      </c>
      <c r="G129">
        <f t="shared" si="2"/>
        <v>8</v>
      </c>
      <c r="H129" t="s">
        <v>394</v>
      </c>
      <c r="I129" t="s">
        <v>395</v>
      </c>
      <c r="J129">
        <v>16509456</v>
      </c>
      <c r="K129" t="s">
        <v>412</v>
      </c>
      <c r="L129" t="s">
        <v>413</v>
      </c>
      <c r="M129" t="str">
        <f t="shared" si="3"/>
        <v xml:space="preserve">PETER RICHTER   </v>
      </c>
      <c r="N129" t="s">
        <v>25</v>
      </c>
      <c r="O129">
        <v>1</v>
      </c>
      <c r="P129">
        <v>26.78</v>
      </c>
      <c r="Q129">
        <v>0.1</v>
      </c>
      <c r="R129">
        <v>2.68</v>
      </c>
      <c r="S129" t="s">
        <v>401</v>
      </c>
    </row>
    <row r="130" spans="1:19" x14ac:dyDescent="0.25">
      <c r="A130" t="s">
        <v>339</v>
      </c>
      <c r="B130" t="s">
        <v>30</v>
      </c>
      <c r="C130" t="s">
        <v>340</v>
      </c>
      <c r="D130" s="1">
        <v>45231</v>
      </c>
      <c r="E130" s="1">
        <v>45870</v>
      </c>
      <c r="F130">
        <v>1</v>
      </c>
      <c r="G130">
        <f t="shared" ref="G130:G193" si="4">MONTH(E130-D130)</f>
        <v>9</v>
      </c>
      <c r="H130" t="s">
        <v>394</v>
      </c>
      <c r="I130" t="s">
        <v>395</v>
      </c>
      <c r="J130">
        <v>16509456</v>
      </c>
      <c r="K130" t="s">
        <v>412</v>
      </c>
      <c r="L130" t="s">
        <v>413</v>
      </c>
      <c r="M130" t="str">
        <f t="shared" ref="M130:M193" si="5">CONCATENATE(K130, " ",L130)</f>
        <v xml:space="preserve">PETER RICHTER   </v>
      </c>
      <c r="N130" t="s">
        <v>25</v>
      </c>
      <c r="O130">
        <v>1</v>
      </c>
      <c r="P130">
        <v>21.06</v>
      </c>
      <c r="Q130">
        <v>0.1</v>
      </c>
      <c r="R130">
        <v>2.11</v>
      </c>
      <c r="S130" t="s">
        <v>401</v>
      </c>
    </row>
    <row r="131" spans="1:19" x14ac:dyDescent="0.25">
      <c r="A131" t="s">
        <v>339</v>
      </c>
      <c r="B131" t="s">
        <v>30</v>
      </c>
      <c r="C131" t="s">
        <v>340</v>
      </c>
      <c r="D131" s="1">
        <v>45231</v>
      </c>
      <c r="E131" s="1">
        <v>45870</v>
      </c>
      <c r="F131">
        <v>1</v>
      </c>
      <c r="G131">
        <f t="shared" si="4"/>
        <v>9</v>
      </c>
      <c r="H131" t="s">
        <v>394</v>
      </c>
      <c r="I131" t="s">
        <v>395</v>
      </c>
      <c r="J131">
        <v>16509456</v>
      </c>
      <c r="K131" t="s">
        <v>412</v>
      </c>
      <c r="L131" t="s">
        <v>413</v>
      </c>
      <c r="M131" t="str">
        <f t="shared" si="5"/>
        <v xml:space="preserve">PETER RICHTER   </v>
      </c>
      <c r="N131" t="s">
        <v>76</v>
      </c>
      <c r="O131">
        <v>1</v>
      </c>
      <c r="P131">
        <v>1.79</v>
      </c>
      <c r="Q131">
        <v>0.1</v>
      </c>
      <c r="R131">
        <v>0.18</v>
      </c>
      <c r="S131" t="s">
        <v>401</v>
      </c>
    </row>
    <row r="132" spans="1:19" x14ac:dyDescent="0.25">
      <c r="A132" t="s">
        <v>339</v>
      </c>
      <c r="B132" t="s">
        <v>30</v>
      </c>
      <c r="C132" t="s">
        <v>340</v>
      </c>
      <c r="D132" s="1">
        <v>45231</v>
      </c>
      <c r="E132" s="1">
        <v>45870</v>
      </c>
      <c r="F132">
        <v>1</v>
      </c>
      <c r="G132">
        <f t="shared" si="4"/>
        <v>9</v>
      </c>
      <c r="H132" t="s">
        <v>394</v>
      </c>
      <c r="I132" t="s">
        <v>395</v>
      </c>
      <c r="J132">
        <v>16509456</v>
      </c>
      <c r="K132" t="s">
        <v>412</v>
      </c>
      <c r="L132" t="s">
        <v>413</v>
      </c>
      <c r="M132" t="str">
        <f t="shared" si="5"/>
        <v xml:space="preserve">PETER RICHTER   </v>
      </c>
      <c r="N132" t="s">
        <v>27</v>
      </c>
      <c r="O132">
        <v>1</v>
      </c>
      <c r="P132">
        <v>12.43</v>
      </c>
      <c r="Q132">
        <v>0.1</v>
      </c>
      <c r="R132">
        <v>1.24</v>
      </c>
      <c r="S132" t="s">
        <v>401</v>
      </c>
    </row>
    <row r="133" spans="1:19" x14ac:dyDescent="0.25">
      <c r="A133" t="s">
        <v>339</v>
      </c>
      <c r="B133" t="s">
        <v>30</v>
      </c>
      <c r="C133" t="s">
        <v>340</v>
      </c>
      <c r="D133" s="1">
        <v>45231</v>
      </c>
      <c r="E133" s="1">
        <v>45870</v>
      </c>
      <c r="F133">
        <v>1</v>
      </c>
      <c r="G133">
        <f t="shared" si="4"/>
        <v>9</v>
      </c>
      <c r="H133" t="s">
        <v>394</v>
      </c>
      <c r="I133" t="s">
        <v>395</v>
      </c>
      <c r="J133">
        <v>16509456</v>
      </c>
      <c r="K133" t="s">
        <v>412</v>
      </c>
      <c r="L133" t="s">
        <v>413</v>
      </c>
      <c r="M133" t="str">
        <f t="shared" si="5"/>
        <v xml:space="preserve">PETER RICHTER   </v>
      </c>
      <c r="N133" t="s">
        <v>34</v>
      </c>
      <c r="O133">
        <v>1</v>
      </c>
      <c r="P133">
        <v>12.94</v>
      </c>
      <c r="Q133">
        <v>0.1</v>
      </c>
      <c r="R133">
        <v>1.29</v>
      </c>
      <c r="S133" t="s">
        <v>401</v>
      </c>
    </row>
    <row r="134" spans="1:19" x14ac:dyDescent="0.25">
      <c r="A134" t="s">
        <v>259</v>
      </c>
      <c r="B134" t="s">
        <v>30</v>
      </c>
      <c r="C134" t="s">
        <v>260</v>
      </c>
      <c r="D134" s="1">
        <v>45108</v>
      </c>
      <c r="E134" s="1">
        <v>45870</v>
      </c>
      <c r="F134">
        <v>1</v>
      </c>
      <c r="G134">
        <f t="shared" si="4"/>
        <v>1</v>
      </c>
      <c r="H134" t="s">
        <v>394</v>
      </c>
      <c r="I134" t="s">
        <v>395</v>
      </c>
      <c r="J134">
        <v>15278437</v>
      </c>
      <c r="K134" t="s">
        <v>407</v>
      </c>
      <c r="L134" t="s">
        <v>408</v>
      </c>
      <c r="M134" t="str">
        <f t="shared" si="5"/>
        <v xml:space="preserve">JASON HOFFMANN  </v>
      </c>
      <c r="N134" t="s">
        <v>34</v>
      </c>
      <c r="O134">
        <v>1</v>
      </c>
      <c r="P134">
        <v>12.94</v>
      </c>
      <c r="Q134">
        <v>0.1</v>
      </c>
      <c r="R134">
        <v>1.29</v>
      </c>
      <c r="S134" t="s">
        <v>401</v>
      </c>
    </row>
    <row r="135" spans="1:19" x14ac:dyDescent="0.25">
      <c r="A135" t="s">
        <v>259</v>
      </c>
      <c r="B135" t="s">
        <v>30</v>
      </c>
      <c r="C135" t="s">
        <v>260</v>
      </c>
      <c r="D135" s="1">
        <v>45108</v>
      </c>
      <c r="E135" s="1">
        <v>45870</v>
      </c>
      <c r="F135">
        <v>1</v>
      </c>
      <c r="G135">
        <f t="shared" si="4"/>
        <v>1</v>
      </c>
      <c r="H135" t="s">
        <v>394</v>
      </c>
      <c r="I135" t="s">
        <v>395</v>
      </c>
      <c r="J135">
        <v>15278437</v>
      </c>
      <c r="K135" t="s">
        <v>407</v>
      </c>
      <c r="L135" t="s">
        <v>408</v>
      </c>
      <c r="M135" t="str">
        <f t="shared" si="5"/>
        <v xml:space="preserve">JASON HOFFMANN  </v>
      </c>
      <c r="N135" t="s">
        <v>105</v>
      </c>
      <c r="O135">
        <v>1</v>
      </c>
      <c r="P135">
        <v>2.75</v>
      </c>
      <c r="Q135">
        <v>0.1</v>
      </c>
      <c r="R135">
        <v>0.28000000000000003</v>
      </c>
      <c r="S135" t="s">
        <v>401</v>
      </c>
    </row>
    <row r="136" spans="1:19" x14ac:dyDescent="0.25">
      <c r="A136" t="s">
        <v>259</v>
      </c>
      <c r="B136" t="s">
        <v>30</v>
      </c>
      <c r="C136" t="s">
        <v>260</v>
      </c>
      <c r="D136" s="1">
        <v>45108</v>
      </c>
      <c r="E136" s="1">
        <v>45870</v>
      </c>
      <c r="F136">
        <v>1</v>
      </c>
      <c r="G136">
        <f t="shared" si="4"/>
        <v>1</v>
      </c>
      <c r="H136" t="s">
        <v>394</v>
      </c>
      <c r="I136" t="s">
        <v>395</v>
      </c>
      <c r="J136">
        <v>15278437</v>
      </c>
      <c r="K136" t="s">
        <v>407</v>
      </c>
      <c r="L136" t="s">
        <v>408</v>
      </c>
      <c r="M136" t="str">
        <f t="shared" si="5"/>
        <v xml:space="preserve">JASON HOFFMANN  </v>
      </c>
      <c r="N136" t="s">
        <v>106</v>
      </c>
      <c r="O136">
        <v>1</v>
      </c>
      <c r="P136">
        <v>22.41</v>
      </c>
      <c r="Q136">
        <v>0.1</v>
      </c>
      <c r="R136">
        <v>2.2400000000000002</v>
      </c>
      <c r="S136" t="s">
        <v>401</v>
      </c>
    </row>
    <row r="137" spans="1:19" x14ac:dyDescent="0.25">
      <c r="A137" t="s">
        <v>259</v>
      </c>
      <c r="B137" t="s">
        <v>30</v>
      </c>
      <c r="C137" t="s">
        <v>260</v>
      </c>
      <c r="D137" s="1">
        <v>45108</v>
      </c>
      <c r="E137" s="1">
        <v>45870</v>
      </c>
      <c r="F137">
        <v>1</v>
      </c>
      <c r="G137">
        <f t="shared" si="4"/>
        <v>1</v>
      </c>
      <c r="H137" t="s">
        <v>394</v>
      </c>
      <c r="I137" t="s">
        <v>395</v>
      </c>
      <c r="J137">
        <v>15278437</v>
      </c>
      <c r="K137" t="s">
        <v>407</v>
      </c>
      <c r="L137" t="s">
        <v>408</v>
      </c>
      <c r="M137" t="str">
        <f t="shared" si="5"/>
        <v xml:space="preserve">JASON HOFFMANN  </v>
      </c>
      <c r="N137" t="s">
        <v>25</v>
      </c>
      <c r="O137">
        <v>1</v>
      </c>
      <c r="P137">
        <v>21.06</v>
      </c>
      <c r="Q137">
        <v>0.1</v>
      </c>
      <c r="R137">
        <v>2.11</v>
      </c>
      <c r="S137" t="s">
        <v>401</v>
      </c>
    </row>
    <row r="138" spans="1:19" x14ac:dyDescent="0.25">
      <c r="A138" t="s">
        <v>257</v>
      </c>
      <c r="B138" t="s">
        <v>30</v>
      </c>
      <c r="C138" t="s">
        <v>258</v>
      </c>
      <c r="D138" s="1">
        <v>45017</v>
      </c>
      <c r="E138" s="1">
        <v>45870</v>
      </c>
      <c r="F138">
        <v>1</v>
      </c>
      <c r="G138">
        <f t="shared" si="4"/>
        <v>5</v>
      </c>
      <c r="H138" t="s">
        <v>394</v>
      </c>
      <c r="I138" t="s">
        <v>395</v>
      </c>
      <c r="J138">
        <v>15278437</v>
      </c>
      <c r="K138" t="s">
        <v>407</v>
      </c>
      <c r="L138" t="s">
        <v>408</v>
      </c>
      <c r="M138" t="str">
        <f t="shared" si="5"/>
        <v xml:space="preserve">JASON HOFFMANN  </v>
      </c>
      <c r="N138" t="s">
        <v>106</v>
      </c>
      <c r="O138">
        <v>1</v>
      </c>
      <c r="P138">
        <v>22.41</v>
      </c>
      <c r="Q138">
        <v>0.1</v>
      </c>
      <c r="R138">
        <v>2.2400000000000002</v>
      </c>
      <c r="S138" t="s">
        <v>401</v>
      </c>
    </row>
    <row r="139" spans="1:19" x14ac:dyDescent="0.25">
      <c r="A139" t="s">
        <v>257</v>
      </c>
      <c r="B139" t="s">
        <v>30</v>
      </c>
      <c r="C139" t="s">
        <v>258</v>
      </c>
      <c r="D139" s="1">
        <v>45017</v>
      </c>
      <c r="E139" s="1">
        <v>45870</v>
      </c>
      <c r="F139">
        <v>1</v>
      </c>
      <c r="G139">
        <f t="shared" si="4"/>
        <v>5</v>
      </c>
      <c r="H139" t="s">
        <v>394</v>
      </c>
      <c r="I139" t="s">
        <v>395</v>
      </c>
      <c r="J139">
        <v>15278437</v>
      </c>
      <c r="K139" t="s">
        <v>407</v>
      </c>
      <c r="L139" t="s">
        <v>408</v>
      </c>
      <c r="M139" t="str">
        <f t="shared" si="5"/>
        <v xml:space="preserve">JASON HOFFMANN  </v>
      </c>
      <c r="N139" t="s">
        <v>105</v>
      </c>
      <c r="O139">
        <v>1</v>
      </c>
      <c r="P139">
        <v>2.75</v>
      </c>
      <c r="Q139">
        <v>0.1</v>
      </c>
      <c r="R139">
        <v>0.28000000000000003</v>
      </c>
      <c r="S139" t="s">
        <v>401</v>
      </c>
    </row>
    <row r="140" spans="1:19" x14ac:dyDescent="0.25">
      <c r="A140" t="s">
        <v>257</v>
      </c>
      <c r="B140" t="s">
        <v>30</v>
      </c>
      <c r="C140" t="s">
        <v>258</v>
      </c>
      <c r="D140" s="1">
        <v>45017</v>
      </c>
      <c r="E140" s="1">
        <v>45870</v>
      </c>
      <c r="F140">
        <v>1</v>
      </c>
      <c r="G140">
        <f t="shared" si="4"/>
        <v>5</v>
      </c>
      <c r="H140" t="s">
        <v>394</v>
      </c>
      <c r="I140" t="s">
        <v>395</v>
      </c>
      <c r="J140">
        <v>15278437</v>
      </c>
      <c r="K140" t="s">
        <v>407</v>
      </c>
      <c r="L140" t="s">
        <v>408</v>
      </c>
      <c r="M140" t="str">
        <f t="shared" si="5"/>
        <v xml:space="preserve">JASON HOFFMANN  </v>
      </c>
      <c r="N140" t="s">
        <v>25</v>
      </c>
      <c r="O140">
        <v>1</v>
      </c>
      <c r="P140">
        <v>14.32</v>
      </c>
      <c r="Q140">
        <v>0.1</v>
      </c>
      <c r="R140">
        <v>1.43</v>
      </c>
      <c r="S140" t="s">
        <v>401</v>
      </c>
    </row>
    <row r="141" spans="1:19" x14ac:dyDescent="0.25">
      <c r="A141" t="s">
        <v>257</v>
      </c>
      <c r="B141" t="s">
        <v>30</v>
      </c>
      <c r="C141" t="s">
        <v>258</v>
      </c>
      <c r="D141" s="1">
        <v>45017</v>
      </c>
      <c r="E141" s="1">
        <v>45870</v>
      </c>
      <c r="F141">
        <v>1</v>
      </c>
      <c r="G141">
        <f t="shared" si="4"/>
        <v>5</v>
      </c>
      <c r="H141" t="s">
        <v>394</v>
      </c>
      <c r="I141" t="s">
        <v>395</v>
      </c>
      <c r="J141">
        <v>15278437</v>
      </c>
      <c r="K141" t="s">
        <v>407</v>
      </c>
      <c r="L141" t="s">
        <v>408</v>
      </c>
      <c r="M141" t="str">
        <f t="shared" si="5"/>
        <v xml:space="preserve">JASON HOFFMANN  </v>
      </c>
      <c r="N141" t="s">
        <v>34</v>
      </c>
      <c r="O141">
        <v>1</v>
      </c>
      <c r="P141">
        <v>12.94</v>
      </c>
      <c r="Q141">
        <v>0.1</v>
      </c>
      <c r="R141">
        <v>1.29</v>
      </c>
      <c r="S141" t="s">
        <v>401</v>
      </c>
    </row>
    <row r="142" spans="1:19" x14ac:dyDescent="0.25">
      <c r="A142" t="s">
        <v>255</v>
      </c>
      <c r="B142" t="s">
        <v>30</v>
      </c>
      <c r="C142" t="s">
        <v>256</v>
      </c>
      <c r="D142" s="1">
        <v>44986</v>
      </c>
      <c r="E142" s="1">
        <v>45870</v>
      </c>
      <c r="F142">
        <v>1</v>
      </c>
      <c r="G142">
        <f t="shared" si="4"/>
        <v>6</v>
      </c>
      <c r="H142" t="s">
        <v>394</v>
      </c>
      <c r="I142" t="s">
        <v>395</v>
      </c>
      <c r="J142">
        <v>15278437</v>
      </c>
      <c r="K142" t="s">
        <v>407</v>
      </c>
      <c r="L142" t="s">
        <v>408</v>
      </c>
      <c r="M142" t="str">
        <f t="shared" si="5"/>
        <v xml:space="preserve">JASON HOFFMANN  </v>
      </c>
      <c r="N142" t="s">
        <v>25</v>
      </c>
      <c r="O142">
        <v>1</v>
      </c>
      <c r="P142">
        <v>21.06</v>
      </c>
      <c r="Q142">
        <v>0.1</v>
      </c>
      <c r="R142">
        <v>2.11</v>
      </c>
      <c r="S142" t="s">
        <v>401</v>
      </c>
    </row>
    <row r="143" spans="1:19" x14ac:dyDescent="0.25">
      <c r="A143" t="s">
        <v>302</v>
      </c>
      <c r="B143" t="s">
        <v>20</v>
      </c>
      <c r="C143" t="s">
        <v>301</v>
      </c>
      <c r="D143" s="1">
        <v>44981</v>
      </c>
      <c r="E143" s="1">
        <v>45862</v>
      </c>
      <c r="F143">
        <v>1</v>
      </c>
      <c r="G143">
        <f t="shared" si="4"/>
        <v>5</v>
      </c>
      <c r="H143" t="s">
        <v>394</v>
      </c>
      <c r="I143" t="s">
        <v>395</v>
      </c>
      <c r="J143">
        <v>16243811</v>
      </c>
      <c r="K143" t="s">
        <v>432</v>
      </c>
      <c r="L143" t="s">
        <v>414</v>
      </c>
      <c r="M143" t="str">
        <f t="shared" si="5"/>
        <v xml:space="preserve">KIMBERLY  DICKERSON </v>
      </c>
      <c r="N143" t="s">
        <v>181</v>
      </c>
      <c r="O143">
        <v>1</v>
      </c>
      <c r="P143">
        <v>10.42</v>
      </c>
      <c r="Q143">
        <v>0.1</v>
      </c>
      <c r="R143">
        <v>1.04</v>
      </c>
      <c r="S143" t="s">
        <v>401</v>
      </c>
    </row>
    <row r="144" spans="1:19" x14ac:dyDescent="0.25">
      <c r="A144" t="s">
        <v>302</v>
      </c>
      <c r="B144" t="s">
        <v>20</v>
      </c>
      <c r="C144" t="s">
        <v>301</v>
      </c>
      <c r="D144" s="1">
        <v>44981</v>
      </c>
      <c r="E144" s="1">
        <v>45862</v>
      </c>
      <c r="F144">
        <v>1</v>
      </c>
      <c r="G144">
        <f t="shared" si="4"/>
        <v>5</v>
      </c>
      <c r="H144" t="s">
        <v>394</v>
      </c>
      <c r="I144" t="s">
        <v>395</v>
      </c>
      <c r="J144">
        <v>16243811</v>
      </c>
      <c r="K144" t="s">
        <v>432</v>
      </c>
      <c r="L144" t="s">
        <v>414</v>
      </c>
      <c r="M144" t="str">
        <f t="shared" si="5"/>
        <v xml:space="preserve">KIMBERLY  DICKERSON </v>
      </c>
      <c r="N144" t="s">
        <v>182</v>
      </c>
      <c r="O144">
        <v>1</v>
      </c>
      <c r="P144">
        <v>9.2100000000000009</v>
      </c>
      <c r="Q144">
        <v>0.1</v>
      </c>
      <c r="R144">
        <v>0.92</v>
      </c>
      <c r="S144" t="s">
        <v>401</v>
      </c>
    </row>
    <row r="145" spans="1:19" x14ac:dyDescent="0.25">
      <c r="A145" t="s">
        <v>295</v>
      </c>
      <c r="B145" t="s">
        <v>20</v>
      </c>
      <c r="C145" t="s">
        <v>278</v>
      </c>
      <c r="D145" s="1">
        <v>44931</v>
      </c>
      <c r="E145" s="1">
        <v>45874</v>
      </c>
      <c r="F145">
        <v>1</v>
      </c>
      <c r="G145">
        <f t="shared" si="4"/>
        <v>7</v>
      </c>
      <c r="H145" t="s">
        <v>394</v>
      </c>
      <c r="I145" t="s">
        <v>395</v>
      </c>
      <c r="J145">
        <v>16243811</v>
      </c>
      <c r="K145" t="s">
        <v>432</v>
      </c>
      <c r="L145" t="s">
        <v>414</v>
      </c>
      <c r="M145" t="str">
        <f t="shared" si="5"/>
        <v xml:space="preserve">KIMBERLY  DICKERSON </v>
      </c>
      <c r="N145" t="s">
        <v>76</v>
      </c>
      <c r="O145">
        <v>1</v>
      </c>
      <c r="P145">
        <v>1.3</v>
      </c>
      <c r="Q145">
        <v>0.1</v>
      </c>
      <c r="R145">
        <v>0.13</v>
      </c>
      <c r="S145" t="s">
        <v>401</v>
      </c>
    </row>
    <row r="146" spans="1:19" x14ac:dyDescent="0.25">
      <c r="A146" t="s">
        <v>295</v>
      </c>
      <c r="B146" t="s">
        <v>20</v>
      </c>
      <c r="C146" t="s">
        <v>278</v>
      </c>
      <c r="D146" s="1">
        <v>44931</v>
      </c>
      <c r="E146" s="1">
        <v>45874</v>
      </c>
      <c r="F146">
        <v>1</v>
      </c>
      <c r="G146">
        <f t="shared" si="4"/>
        <v>7</v>
      </c>
      <c r="H146" t="s">
        <v>394</v>
      </c>
      <c r="I146" t="s">
        <v>395</v>
      </c>
      <c r="J146">
        <v>16243811</v>
      </c>
      <c r="K146" t="s">
        <v>432</v>
      </c>
      <c r="L146" t="s">
        <v>414</v>
      </c>
      <c r="M146" t="str">
        <f t="shared" si="5"/>
        <v xml:space="preserve">KIMBERLY  DICKERSON </v>
      </c>
      <c r="N146" t="s">
        <v>74</v>
      </c>
      <c r="O146">
        <v>1</v>
      </c>
      <c r="P146">
        <v>6.35</v>
      </c>
      <c r="Q146">
        <v>0.1</v>
      </c>
      <c r="R146">
        <v>0.64</v>
      </c>
      <c r="S146" t="s">
        <v>401</v>
      </c>
    </row>
    <row r="147" spans="1:19" x14ac:dyDescent="0.25">
      <c r="A147" t="s">
        <v>295</v>
      </c>
      <c r="B147" t="s">
        <v>20</v>
      </c>
      <c r="C147" t="s">
        <v>278</v>
      </c>
      <c r="D147" s="1">
        <v>44931</v>
      </c>
      <c r="E147" s="1">
        <v>45874</v>
      </c>
      <c r="F147">
        <v>1</v>
      </c>
      <c r="G147">
        <f t="shared" si="4"/>
        <v>7</v>
      </c>
      <c r="H147" t="s">
        <v>394</v>
      </c>
      <c r="I147" t="s">
        <v>395</v>
      </c>
      <c r="J147">
        <v>16243811</v>
      </c>
      <c r="K147" t="s">
        <v>432</v>
      </c>
      <c r="L147" t="s">
        <v>414</v>
      </c>
      <c r="M147" t="str">
        <f t="shared" si="5"/>
        <v xml:space="preserve">KIMBERLY  DICKERSON </v>
      </c>
      <c r="N147" t="s">
        <v>25</v>
      </c>
      <c r="O147">
        <v>1</v>
      </c>
      <c r="P147">
        <v>88.14</v>
      </c>
      <c r="Q147">
        <v>0.1</v>
      </c>
      <c r="R147">
        <v>8.81</v>
      </c>
      <c r="S147" t="s">
        <v>401</v>
      </c>
    </row>
    <row r="148" spans="1:19" x14ac:dyDescent="0.25">
      <c r="A148" t="s">
        <v>295</v>
      </c>
      <c r="B148" t="s">
        <v>20</v>
      </c>
      <c r="C148" t="s">
        <v>278</v>
      </c>
      <c r="D148" s="1">
        <v>44931</v>
      </c>
      <c r="E148" s="1">
        <v>45874</v>
      </c>
      <c r="F148">
        <v>1</v>
      </c>
      <c r="G148">
        <f t="shared" si="4"/>
        <v>7</v>
      </c>
      <c r="H148" t="s">
        <v>394</v>
      </c>
      <c r="I148" t="s">
        <v>395</v>
      </c>
      <c r="J148">
        <v>16243811</v>
      </c>
      <c r="K148" t="s">
        <v>432</v>
      </c>
      <c r="L148" t="s">
        <v>414</v>
      </c>
      <c r="M148" t="str">
        <f t="shared" si="5"/>
        <v xml:space="preserve">KIMBERLY  DICKERSON </v>
      </c>
      <c r="N148" t="s">
        <v>234</v>
      </c>
      <c r="O148">
        <v>1</v>
      </c>
      <c r="P148">
        <v>22.97</v>
      </c>
      <c r="Q148">
        <v>0.1</v>
      </c>
      <c r="R148">
        <v>2.2999999999999998</v>
      </c>
      <c r="S148" t="s">
        <v>401</v>
      </c>
    </row>
    <row r="149" spans="1:19" x14ac:dyDescent="0.25">
      <c r="A149" t="s">
        <v>248</v>
      </c>
      <c r="B149" t="s">
        <v>30</v>
      </c>
      <c r="C149" t="s">
        <v>249</v>
      </c>
      <c r="D149" s="1">
        <v>44927</v>
      </c>
      <c r="E149" s="1">
        <v>45870</v>
      </c>
      <c r="F149">
        <v>1</v>
      </c>
      <c r="G149">
        <f t="shared" si="4"/>
        <v>7</v>
      </c>
      <c r="H149" t="s">
        <v>394</v>
      </c>
      <c r="I149" t="s">
        <v>395</v>
      </c>
      <c r="J149">
        <v>15278437</v>
      </c>
      <c r="K149" t="s">
        <v>407</v>
      </c>
      <c r="L149" t="s">
        <v>408</v>
      </c>
      <c r="M149" t="str">
        <f t="shared" si="5"/>
        <v xml:space="preserve">JASON HOFFMANN  </v>
      </c>
      <c r="N149" t="s">
        <v>25</v>
      </c>
      <c r="O149">
        <v>1</v>
      </c>
      <c r="P149">
        <v>22.72</v>
      </c>
      <c r="Q149">
        <v>0.1</v>
      </c>
      <c r="R149">
        <v>2.27</v>
      </c>
      <c r="S149" t="s">
        <v>401</v>
      </c>
    </row>
    <row r="150" spans="1:19" x14ac:dyDescent="0.25">
      <c r="A150" t="s">
        <v>248</v>
      </c>
      <c r="B150" t="s">
        <v>30</v>
      </c>
      <c r="C150" t="s">
        <v>249</v>
      </c>
      <c r="D150" s="1">
        <v>44927</v>
      </c>
      <c r="E150" s="1">
        <v>45870</v>
      </c>
      <c r="F150">
        <v>1</v>
      </c>
      <c r="G150">
        <f t="shared" si="4"/>
        <v>7</v>
      </c>
      <c r="H150" t="s">
        <v>394</v>
      </c>
      <c r="I150" t="s">
        <v>395</v>
      </c>
      <c r="J150">
        <v>15278437</v>
      </c>
      <c r="K150" t="s">
        <v>407</v>
      </c>
      <c r="L150" t="s">
        <v>408</v>
      </c>
      <c r="M150" t="str">
        <f t="shared" si="5"/>
        <v xml:space="preserve">JASON HOFFMANN  </v>
      </c>
      <c r="N150" t="s">
        <v>105</v>
      </c>
      <c r="O150">
        <v>1</v>
      </c>
      <c r="P150">
        <v>4.07</v>
      </c>
      <c r="Q150">
        <v>0.1</v>
      </c>
      <c r="R150">
        <v>0.41</v>
      </c>
      <c r="S150" t="s">
        <v>401</v>
      </c>
    </row>
    <row r="151" spans="1:19" x14ac:dyDescent="0.25">
      <c r="A151" t="s">
        <v>248</v>
      </c>
      <c r="B151" t="s">
        <v>30</v>
      </c>
      <c r="C151" t="s">
        <v>249</v>
      </c>
      <c r="D151" s="1">
        <v>44927</v>
      </c>
      <c r="E151" s="1">
        <v>45870</v>
      </c>
      <c r="F151">
        <v>1</v>
      </c>
      <c r="G151">
        <f t="shared" si="4"/>
        <v>7</v>
      </c>
      <c r="H151" t="s">
        <v>394</v>
      </c>
      <c r="I151" t="s">
        <v>395</v>
      </c>
      <c r="J151">
        <v>15278437</v>
      </c>
      <c r="K151" t="s">
        <v>407</v>
      </c>
      <c r="L151" t="s">
        <v>408</v>
      </c>
      <c r="M151" t="str">
        <f t="shared" si="5"/>
        <v xml:space="preserve">JASON HOFFMANN  </v>
      </c>
      <c r="N151" t="s">
        <v>106</v>
      </c>
      <c r="O151">
        <v>1</v>
      </c>
      <c r="P151">
        <v>25.9</v>
      </c>
      <c r="Q151">
        <v>0.1</v>
      </c>
      <c r="R151">
        <v>2.59</v>
      </c>
      <c r="S151" t="s">
        <v>401</v>
      </c>
    </row>
    <row r="152" spans="1:19" x14ac:dyDescent="0.25">
      <c r="A152" t="s">
        <v>250</v>
      </c>
      <c r="B152" t="s">
        <v>56</v>
      </c>
      <c r="C152" t="s">
        <v>251</v>
      </c>
      <c r="D152" s="1">
        <v>44927</v>
      </c>
      <c r="E152" s="1">
        <v>45870</v>
      </c>
      <c r="F152">
        <v>1</v>
      </c>
      <c r="G152">
        <f t="shared" si="4"/>
        <v>7</v>
      </c>
      <c r="H152" t="s">
        <v>394</v>
      </c>
      <c r="I152" t="s">
        <v>395</v>
      </c>
      <c r="J152">
        <v>15278437</v>
      </c>
      <c r="K152" t="s">
        <v>407</v>
      </c>
      <c r="L152" t="s">
        <v>408</v>
      </c>
      <c r="M152" t="str">
        <f t="shared" si="5"/>
        <v xml:space="preserve">JASON HOFFMANN  </v>
      </c>
      <c r="N152" t="s">
        <v>60</v>
      </c>
      <c r="O152">
        <v>1</v>
      </c>
      <c r="P152">
        <v>32.24</v>
      </c>
      <c r="Q152">
        <v>0.1</v>
      </c>
      <c r="R152">
        <v>3.22</v>
      </c>
      <c r="S152" t="s">
        <v>401</v>
      </c>
    </row>
    <row r="153" spans="1:19" x14ac:dyDescent="0.25">
      <c r="A153" t="s">
        <v>250</v>
      </c>
      <c r="B153" t="s">
        <v>56</v>
      </c>
      <c r="C153" t="s">
        <v>251</v>
      </c>
      <c r="D153" s="1">
        <v>44927</v>
      </c>
      <c r="E153" s="1">
        <v>45870</v>
      </c>
      <c r="F153">
        <v>1</v>
      </c>
      <c r="G153">
        <f t="shared" si="4"/>
        <v>7</v>
      </c>
      <c r="H153" t="s">
        <v>394</v>
      </c>
      <c r="I153" t="s">
        <v>395</v>
      </c>
      <c r="J153">
        <v>15278437</v>
      </c>
      <c r="K153" t="s">
        <v>407</v>
      </c>
      <c r="L153" t="s">
        <v>408</v>
      </c>
      <c r="M153" t="str">
        <f t="shared" si="5"/>
        <v xml:space="preserve">JASON HOFFMANN  </v>
      </c>
      <c r="N153" t="s">
        <v>63</v>
      </c>
      <c r="O153">
        <v>1</v>
      </c>
      <c r="P153">
        <v>27.11</v>
      </c>
      <c r="Q153">
        <v>0.1</v>
      </c>
      <c r="R153">
        <v>2.71</v>
      </c>
      <c r="S153" t="s">
        <v>401</v>
      </c>
    </row>
    <row r="154" spans="1:19" x14ac:dyDescent="0.25">
      <c r="A154" t="s">
        <v>273</v>
      </c>
      <c r="B154" t="s">
        <v>20</v>
      </c>
      <c r="C154" t="s">
        <v>270</v>
      </c>
      <c r="D154" s="1">
        <v>44927</v>
      </c>
      <c r="E154" s="1">
        <v>45870</v>
      </c>
      <c r="F154">
        <v>1</v>
      </c>
      <c r="G154">
        <f t="shared" si="4"/>
        <v>7</v>
      </c>
      <c r="H154" t="s">
        <v>394</v>
      </c>
      <c r="I154" t="s">
        <v>395</v>
      </c>
      <c r="J154">
        <v>16243811</v>
      </c>
      <c r="K154" t="s">
        <v>432</v>
      </c>
      <c r="L154" t="s">
        <v>414</v>
      </c>
      <c r="M154" t="str">
        <f t="shared" si="5"/>
        <v xml:space="preserve">KIMBERLY  DICKERSON </v>
      </c>
      <c r="N154" t="s">
        <v>163</v>
      </c>
      <c r="O154">
        <v>1</v>
      </c>
      <c r="P154">
        <v>5.33</v>
      </c>
      <c r="Q154">
        <v>0.1</v>
      </c>
      <c r="R154">
        <v>0.53</v>
      </c>
      <c r="S154" t="s">
        <v>401</v>
      </c>
    </row>
    <row r="155" spans="1:19" x14ac:dyDescent="0.25">
      <c r="A155" t="s">
        <v>273</v>
      </c>
      <c r="B155" t="s">
        <v>20</v>
      </c>
      <c r="C155" t="s">
        <v>270</v>
      </c>
      <c r="D155" s="1">
        <v>44927</v>
      </c>
      <c r="E155" s="1">
        <v>45870</v>
      </c>
      <c r="F155">
        <v>1</v>
      </c>
      <c r="G155">
        <f t="shared" si="4"/>
        <v>7</v>
      </c>
      <c r="H155" t="s">
        <v>394</v>
      </c>
      <c r="I155" t="s">
        <v>395</v>
      </c>
      <c r="J155">
        <v>16243811</v>
      </c>
      <c r="K155" t="s">
        <v>432</v>
      </c>
      <c r="L155" t="s">
        <v>414</v>
      </c>
      <c r="M155" t="str">
        <f t="shared" si="5"/>
        <v xml:space="preserve">KIMBERLY  DICKERSON </v>
      </c>
      <c r="N155" t="s">
        <v>177</v>
      </c>
      <c r="O155">
        <v>1</v>
      </c>
      <c r="P155">
        <v>2.5</v>
      </c>
      <c r="Q155">
        <v>0.1</v>
      </c>
      <c r="R155">
        <v>0.25</v>
      </c>
      <c r="S155" t="s">
        <v>401</v>
      </c>
    </row>
    <row r="156" spans="1:19" x14ac:dyDescent="0.25">
      <c r="A156" t="s">
        <v>273</v>
      </c>
      <c r="B156" t="s">
        <v>20</v>
      </c>
      <c r="C156" t="s">
        <v>270</v>
      </c>
      <c r="D156" s="1">
        <v>44927</v>
      </c>
      <c r="E156" s="1">
        <v>45870</v>
      </c>
      <c r="F156">
        <v>1</v>
      </c>
      <c r="G156">
        <f t="shared" si="4"/>
        <v>7</v>
      </c>
      <c r="H156" t="s">
        <v>394</v>
      </c>
      <c r="I156" t="s">
        <v>395</v>
      </c>
      <c r="J156">
        <v>16243811</v>
      </c>
      <c r="K156" t="s">
        <v>432</v>
      </c>
      <c r="L156" t="s">
        <v>414</v>
      </c>
      <c r="M156" t="str">
        <f t="shared" si="5"/>
        <v xml:space="preserve">KIMBERLY  DICKERSON </v>
      </c>
      <c r="N156" t="s">
        <v>162</v>
      </c>
      <c r="O156">
        <v>1</v>
      </c>
      <c r="P156">
        <v>4.53</v>
      </c>
      <c r="Q156">
        <v>0.1</v>
      </c>
      <c r="R156">
        <v>0.45</v>
      </c>
      <c r="S156" t="s">
        <v>401</v>
      </c>
    </row>
    <row r="157" spans="1:19" x14ac:dyDescent="0.25">
      <c r="A157" t="s">
        <v>273</v>
      </c>
      <c r="B157" t="s">
        <v>20</v>
      </c>
      <c r="C157" t="s">
        <v>270</v>
      </c>
      <c r="D157" s="1">
        <v>44927</v>
      </c>
      <c r="E157" s="1">
        <v>45870</v>
      </c>
      <c r="F157">
        <v>1</v>
      </c>
      <c r="G157">
        <f t="shared" si="4"/>
        <v>7</v>
      </c>
      <c r="H157" t="s">
        <v>394</v>
      </c>
      <c r="I157" t="s">
        <v>395</v>
      </c>
      <c r="J157">
        <v>16243811</v>
      </c>
      <c r="K157" t="s">
        <v>432</v>
      </c>
      <c r="L157" t="s">
        <v>414</v>
      </c>
      <c r="M157" t="str">
        <f t="shared" si="5"/>
        <v xml:space="preserve">KIMBERLY  DICKERSON </v>
      </c>
      <c r="N157" t="s">
        <v>274</v>
      </c>
      <c r="O157">
        <v>1</v>
      </c>
      <c r="P157">
        <v>21.67</v>
      </c>
      <c r="Q157">
        <v>0.1</v>
      </c>
      <c r="R157">
        <v>2.17</v>
      </c>
      <c r="S157" t="s">
        <v>401</v>
      </c>
    </row>
    <row r="158" spans="1:19" x14ac:dyDescent="0.25">
      <c r="A158" t="s">
        <v>273</v>
      </c>
      <c r="B158" t="s">
        <v>20</v>
      </c>
      <c r="C158" t="s">
        <v>270</v>
      </c>
      <c r="D158" s="1">
        <v>44927</v>
      </c>
      <c r="E158" s="1">
        <v>45870</v>
      </c>
      <c r="F158">
        <v>1</v>
      </c>
      <c r="G158">
        <f t="shared" si="4"/>
        <v>7</v>
      </c>
      <c r="H158" t="s">
        <v>394</v>
      </c>
      <c r="I158" t="s">
        <v>395</v>
      </c>
      <c r="J158">
        <v>16243811</v>
      </c>
      <c r="K158" t="s">
        <v>432</v>
      </c>
      <c r="L158" t="s">
        <v>414</v>
      </c>
      <c r="M158" t="str">
        <f t="shared" si="5"/>
        <v xml:space="preserve">KIMBERLY  DICKERSON </v>
      </c>
      <c r="N158" t="s">
        <v>275</v>
      </c>
      <c r="O158">
        <v>1</v>
      </c>
      <c r="P158">
        <v>4.25</v>
      </c>
      <c r="Q158">
        <v>0.1</v>
      </c>
      <c r="R158">
        <v>0.43</v>
      </c>
      <c r="S158" t="s">
        <v>401</v>
      </c>
    </row>
    <row r="159" spans="1:19" x14ac:dyDescent="0.25">
      <c r="A159" t="s">
        <v>276</v>
      </c>
      <c r="B159" t="s">
        <v>20</v>
      </c>
      <c r="C159" t="s">
        <v>272</v>
      </c>
      <c r="D159" s="1">
        <v>44927</v>
      </c>
      <c r="E159" s="1">
        <v>45870</v>
      </c>
      <c r="F159">
        <v>1</v>
      </c>
      <c r="G159">
        <f t="shared" si="4"/>
        <v>7</v>
      </c>
      <c r="H159" t="s">
        <v>394</v>
      </c>
      <c r="I159" t="s">
        <v>395</v>
      </c>
      <c r="J159">
        <v>16243811</v>
      </c>
      <c r="K159" t="s">
        <v>432</v>
      </c>
      <c r="L159" t="s">
        <v>414</v>
      </c>
      <c r="M159" t="str">
        <f t="shared" si="5"/>
        <v xml:space="preserve">KIMBERLY  DICKERSON </v>
      </c>
      <c r="N159" t="s">
        <v>162</v>
      </c>
      <c r="O159">
        <v>1</v>
      </c>
      <c r="P159">
        <v>5.2</v>
      </c>
      <c r="Q159">
        <v>0.1</v>
      </c>
      <c r="R159">
        <v>0.52</v>
      </c>
      <c r="S159" t="s">
        <v>401</v>
      </c>
    </row>
    <row r="160" spans="1:19" x14ac:dyDescent="0.25">
      <c r="A160" t="s">
        <v>276</v>
      </c>
      <c r="B160" t="s">
        <v>20</v>
      </c>
      <c r="C160" t="s">
        <v>272</v>
      </c>
      <c r="D160" s="1">
        <v>44927</v>
      </c>
      <c r="E160" s="1">
        <v>45870</v>
      </c>
      <c r="F160">
        <v>1</v>
      </c>
      <c r="G160">
        <f t="shared" si="4"/>
        <v>7</v>
      </c>
      <c r="H160" t="s">
        <v>394</v>
      </c>
      <c r="I160" t="s">
        <v>395</v>
      </c>
      <c r="J160">
        <v>16243811</v>
      </c>
      <c r="K160" t="s">
        <v>432</v>
      </c>
      <c r="L160" t="s">
        <v>414</v>
      </c>
      <c r="M160" t="str">
        <f t="shared" si="5"/>
        <v xml:space="preserve">KIMBERLY  DICKERSON </v>
      </c>
      <c r="N160" t="s">
        <v>177</v>
      </c>
      <c r="O160">
        <v>1</v>
      </c>
      <c r="P160">
        <v>5.75</v>
      </c>
      <c r="Q160">
        <v>0.1</v>
      </c>
      <c r="R160">
        <v>0.57999999999999996</v>
      </c>
      <c r="S160" t="s">
        <v>401</v>
      </c>
    </row>
    <row r="161" spans="1:19" x14ac:dyDescent="0.25">
      <c r="A161" t="s">
        <v>276</v>
      </c>
      <c r="B161" t="s">
        <v>20</v>
      </c>
      <c r="C161" t="s">
        <v>272</v>
      </c>
      <c r="D161" s="1">
        <v>44927</v>
      </c>
      <c r="E161" s="1">
        <v>45870</v>
      </c>
      <c r="F161">
        <v>1</v>
      </c>
      <c r="G161">
        <f t="shared" si="4"/>
        <v>7</v>
      </c>
      <c r="H161" t="s">
        <v>394</v>
      </c>
      <c r="I161" t="s">
        <v>395</v>
      </c>
      <c r="J161">
        <v>16243811</v>
      </c>
      <c r="K161" t="s">
        <v>432</v>
      </c>
      <c r="L161" t="s">
        <v>414</v>
      </c>
      <c r="M161" t="str">
        <f t="shared" si="5"/>
        <v xml:space="preserve">KIMBERLY  DICKERSON </v>
      </c>
      <c r="N161" t="s">
        <v>275</v>
      </c>
      <c r="O161">
        <v>1</v>
      </c>
      <c r="P161">
        <v>4.42</v>
      </c>
      <c r="Q161">
        <v>0.1</v>
      </c>
      <c r="R161">
        <v>0.44</v>
      </c>
      <c r="S161" t="s">
        <v>401</v>
      </c>
    </row>
    <row r="162" spans="1:19" x14ac:dyDescent="0.25">
      <c r="A162" t="s">
        <v>276</v>
      </c>
      <c r="B162" t="s">
        <v>20</v>
      </c>
      <c r="C162" t="s">
        <v>272</v>
      </c>
      <c r="D162" s="1">
        <v>44927</v>
      </c>
      <c r="E162" s="1">
        <v>45870</v>
      </c>
      <c r="F162">
        <v>1</v>
      </c>
      <c r="G162">
        <f t="shared" si="4"/>
        <v>7</v>
      </c>
      <c r="H162" t="s">
        <v>394</v>
      </c>
      <c r="I162" t="s">
        <v>395</v>
      </c>
      <c r="J162">
        <v>16243811</v>
      </c>
      <c r="K162" t="s">
        <v>432</v>
      </c>
      <c r="L162" t="s">
        <v>414</v>
      </c>
      <c r="M162" t="str">
        <f t="shared" si="5"/>
        <v xml:space="preserve">KIMBERLY  DICKERSON </v>
      </c>
      <c r="N162" t="s">
        <v>163</v>
      </c>
      <c r="O162">
        <v>1</v>
      </c>
      <c r="P162">
        <v>5.08</v>
      </c>
      <c r="Q162">
        <v>0.1</v>
      </c>
      <c r="R162">
        <v>0.51</v>
      </c>
      <c r="S162" t="s">
        <v>401</v>
      </c>
    </row>
    <row r="163" spans="1:19" x14ac:dyDescent="0.25">
      <c r="A163" t="s">
        <v>276</v>
      </c>
      <c r="B163" t="s">
        <v>20</v>
      </c>
      <c r="C163" t="s">
        <v>272</v>
      </c>
      <c r="D163" s="1">
        <v>44927</v>
      </c>
      <c r="E163" s="1">
        <v>45870</v>
      </c>
      <c r="F163">
        <v>1</v>
      </c>
      <c r="G163">
        <f t="shared" si="4"/>
        <v>7</v>
      </c>
      <c r="H163" t="s">
        <v>394</v>
      </c>
      <c r="I163" t="s">
        <v>395</v>
      </c>
      <c r="J163">
        <v>16243811</v>
      </c>
      <c r="K163" t="s">
        <v>432</v>
      </c>
      <c r="L163" t="s">
        <v>414</v>
      </c>
      <c r="M163" t="str">
        <f t="shared" si="5"/>
        <v xml:space="preserve">KIMBERLY  DICKERSON </v>
      </c>
      <c r="N163" t="s">
        <v>274</v>
      </c>
      <c r="O163">
        <v>1</v>
      </c>
      <c r="P163">
        <v>30.83</v>
      </c>
      <c r="Q163">
        <v>0.1</v>
      </c>
      <c r="R163">
        <v>3.08</v>
      </c>
      <c r="S163" t="s">
        <v>401</v>
      </c>
    </row>
    <row r="164" spans="1:19" x14ac:dyDescent="0.25">
      <c r="A164" t="s">
        <v>291</v>
      </c>
      <c r="B164" t="s">
        <v>20</v>
      </c>
      <c r="C164" t="s">
        <v>288</v>
      </c>
      <c r="D164" s="1">
        <v>44927</v>
      </c>
      <c r="E164" s="1">
        <v>45870</v>
      </c>
      <c r="F164">
        <v>1</v>
      </c>
      <c r="G164">
        <f t="shared" si="4"/>
        <v>7</v>
      </c>
      <c r="H164" t="s">
        <v>394</v>
      </c>
      <c r="I164" t="s">
        <v>395</v>
      </c>
      <c r="J164">
        <v>16243811</v>
      </c>
      <c r="K164" t="s">
        <v>432</v>
      </c>
      <c r="L164" t="s">
        <v>414</v>
      </c>
      <c r="M164" t="str">
        <f t="shared" si="5"/>
        <v xml:space="preserve">KIMBERLY  DICKERSON </v>
      </c>
      <c r="N164" t="s">
        <v>25</v>
      </c>
      <c r="O164">
        <v>1</v>
      </c>
      <c r="P164">
        <v>19.88</v>
      </c>
      <c r="Q164">
        <v>0.1</v>
      </c>
      <c r="R164">
        <v>1.99</v>
      </c>
      <c r="S164" t="s">
        <v>401</v>
      </c>
    </row>
    <row r="165" spans="1:19" x14ac:dyDescent="0.25">
      <c r="A165" t="s">
        <v>291</v>
      </c>
      <c r="B165" t="s">
        <v>20</v>
      </c>
      <c r="C165" t="s">
        <v>288</v>
      </c>
      <c r="D165" s="1">
        <v>44927</v>
      </c>
      <c r="E165" s="1">
        <v>45870</v>
      </c>
      <c r="F165">
        <v>1</v>
      </c>
      <c r="G165">
        <f t="shared" si="4"/>
        <v>7</v>
      </c>
      <c r="H165" t="s">
        <v>394</v>
      </c>
      <c r="I165" t="s">
        <v>395</v>
      </c>
      <c r="J165">
        <v>16243811</v>
      </c>
      <c r="K165" t="s">
        <v>432</v>
      </c>
      <c r="L165" t="s">
        <v>414</v>
      </c>
      <c r="M165" t="str">
        <f t="shared" si="5"/>
        <v xml:space="preserve">KIMBERLY  DICKERSON </v>
      </c>
      <c r="N165" t="s">
        <v>27</v>
      </c>
      <c r="O165">
        <v>1</v>
      </c>
      <c r="P165">
        <v>5.65</v>
      </c>
      <c r="Q165">
        <v>0.1</v>
      </c>
      <c r="R165">
        <v>0.56999999999999995</v>
      </c>
      <c r="S165" t="s">
        <v>401</v>
      </c>
    </row>
    <row r="166" spans="1:19" x14ac:dyDescent="0.25">
      <c r="A166" t="s">
        <v>291</v>
      </c>
      <c r="B166" t="s">
        <v>20</v>
      </c>
      <c r="C166" t="s">
        <v>288</v>
      </c>
      <c r="D166" s="1">
        <v>44927</v>
      </c>
      <c r="E166" s="1">
        <v>45870</v>
      </c>
      <c r="F166">
        <v>1</v>
      </c>
      <c r="G166">
        <f t="shared" si="4"/>
        <v>7</v>
      </c>
      <c r="H166" t="s">
        <v>394</v>
      </c>
      <c r="I166" t="s">
        <v>395</v>
      </c>
      <c r="J166">
        <v>16243811</v>
      </c>
      <c r="K166" t="s">
        <v>432</v>
      </c>
      <c r="L166" t="s">
        <v>414</v>
      </c>
      <c r="M166" t="str">
        <f t="shared" si="5"/>
        <v xml:space="preserve">KIMBERLY  DICKERSON </v>
      </c>
      <c r="N166" t="s">
        <v>75</v>
      </c>
      <c r="O166">
        <v>1</v>
      </c>
      <c r="P166">
        <v>2.31</v>
      </c>
      <c r="Q166">
        <v>0.1</v>
      </c>
      <c r="R166">
        <v>0.23</v>
      </c>
      <c r="S166" t="s">
        <v>401</v>
      </c>
    </row>
    <row r="167" spans="1:19" x14ac:dyDescent="0.25">
      <c r="A167" t="s">
        <v>291</v>
      </c>
      <c r="B167" t="s">
        <v>20</v>
      </c>
      <c r="C167" t="s">
        <v>288</v>
      </c>
      <c r="D167" s="1">
        <v>44927</v>
      </c>
      <c r="E167" s="1">
        <v>45870</v>
      </c>
      <c r="F167">
        <v>1</v>
      </c>
      <c r="G167">
        <f t="shared" si="4"/>
        <v>7</v>
      </c>
      <c r="H167" t="s">
        <v>394</v>
      </c>
      <c r="I167" t="s">
        <v>395</v>
      </c>
      <c r="J167">
        <v>16243811</v>
      </c>
      <c r="K167" t="s">
        <v>432</v>
      </c>
      <c r="L167" t="s">
        <v>414</v>
      </c>
      <c r="M167" t="str">
        <f t="shared" si="5"/>
        <v xml:space="preserve">KIMBERLY  DICKERSON </v>
      </c>
      <c r="N167" t="s">
        <v>41</v>
      </c>
      <c r="O167">
        <v>1</v>
      </c>
      <c r="P167">
        <v>24.97</v>
      </c>
      <c r="Q167">
        <v>0.1</v>
      </c>
      <c r="R167">
        <v>2.5</v>
      </c>
      <c r="S167" t="s">
        <v>401</v>
      </c>
    </row>
    <row r="168" spans="1:19" x14ac:dyDescent="0.25">
      <c r="A168" t="s">
        <v>291</v>
      </c>
      <c r="B168" t="s">
        <v>20</v>
      </c>
      <c r="C168" t="s">
        <v>288</v>
      </c>
      <c r="D168" s="1">
        <v>44927</v>
      </c>
      <c r="E168" s="1">
        <v>45870</v>
      </c>
      <c r="F168">
        <v>1</v>
      </c>
      <c r="G168">
        <f t="shared" si="4"/>
        <v>7</v>
      </c>
      <c r="H168" t="s">
        <v>394</v>
      </c>
      <c r="I168" t="s">
        <v>395</v>
      </c>
      <c r="J168">
        <v>16243811</v>
      </c>
      <c r="K168" t="s">
        <v>432</v>
      </c>
      <c r="L168" t="s">
        <v>414</v>
      </c>
      <c r="M168" t="str">
        <f t="shared" si="5"/>
        <v xml:space="preserve">KIMBERLY  DICKERSON </v>
      </c>
      <c r="N168" t="s">
        <v>42</v>
      </c>
      <c r="O168">
        <v>1</v>
      </c>
      <c r="P168">
        <v>3.21</v>
      </c>
      <c r="Q168">
        <v>0.1</v>
      </c>
      <c r="R168">
        <v>0.32</v>
      </c>
      <c r="S168" t="s">
        <v>401</v>
      </c>
    </row>
    <row r="169" spans="1:19" x14ac:dyDescent="0.25">
      <c r="A169" t="s">
        <v>292</v>
      </c>
      <c r="B169" t="s">
        <v>20</v>
      </c>
      <c r="C169" t="s">
        <v>290</v>
      </c>
      <c r="D169" s="1">
        <v>44927</v>
      </c>
      <c r="E169" s="1">
        <v>45870</v>
      </c>
      <c r="F169">
        <v>1</v>
      </c>
      <c r="G169">
        <f t="shared" si="4"/>
        <v>7</v>
      </c>
      <c r="H169" t="s">
        <v>394</v>
      </c>
      <c r="I169" t="s">
        <v>395</v>
      </c>
      <c r="J169">
        <v>16243811</v>
      </c>
      <c r="K169" t="s">
        <v>432</v>
      </c>
      <c r="L169" t="s">
        <v>414</v>
      </c>
      <c r="M169" t="str">
        <f t="shared" si="5"/>
        <v xml:space="preserve">KIMBERLY  DICKERSON </v>
      </c>
      <c r="N169" t="s">
        <v>42</v>
      </c>
      <c r="O169">
        <v>1</v>
      </c>
      <c r="P169">
        <v>2.99</v>
      </c>
      <c r="Q169">
        <v>0.1</v>
      </c>
      <c r="R169">
        <v>0.3</v>
      </c>
      <c r="S169" t="s">
        <v>401</v>
      </c>
    </row>
    <row r="170" spans="1:19" x14ac:dyDescent="0.25">
      <c r="A170" t="s">
        <v>292</v>
      </c>
      <c r="B170" t="s">
        <v>20</v>
      </c>
      <c r="C170" t="s">
        <v>290</v>
      </c>
      <c r="D170" s="1">
        <v>44927</v>
      </c>
      <c r="E170" s="1">
        <v>45870</v>
      </c>
      <c r="F170">
        <v>1</v>
      </c>
      <c r="G170">
        <f t="shared" si="4"/>
        <v>7</v>
      </c>
      <c r="H170" t="s">
        <v>394</v>
      </c>
      <c r="I170" t="s">
        <v>395</v>
      </c>
      <c r="J170">
        <v>16243811</v>
      </c>
      <c r="K170" t="s">
        <v>432</v>
      </c>
      <c r="L170" t="s">
        <v>414</v>
      </c>
      <c r="M170" t="str">
        <f t="shared" si="5"/>
        <v xml:space="preserve">KIMBERLY  DICKERSON </v>
      </c>
      <c r="N170" t="s">
        <v>27</v>
      </c>
      <c r="O170">
        <v>1</v>
      </c>
      <c r="P170">
        <v>5.65</v>
      </c>
      <c r="Q170">
        <v>0.1</v>
      </c>
      <c r="R170">
        <v>0.56999999999999995</v>
      </c>
      <c r="S170" t="s">
        <v>401</v>
      </c>
    </row>
    <row r="171" spans="1:19" x14ac:dyDescent="0.25">
      <c r="A171" t="s">
        <v>292</v>
      </c>
      <c r="B171" t="s">
        <v>20</v>
      </c>
      <c r="C171" t="s">
        <v>290</v>
      </c>
      <c r="D171" s="1">
        <v>44927</v>
      </c>
      <c r="E171" s="1">
        <v>45870</v>
      </c>
      <c r="F171">
        <v>1</v>
      </c>
      <c r="G171">
        <f t="shared" si="4"/>
        <v>7</v>
      </c>
      <c r="H171" t="s">
        <v>394</v>
      </c>
      <c r="I171" t="s">
        <v>395</v>
      </c>
      <c r="J171">
        <v>16243811</v>
      </c>
      <c r="K171" t="s">
        <v>432</v>
      </c>
      <c r="L171" t="s">
        <v>414</v>
      </c>
      <c r="M171" t="str">
        <f t="shared" si="5"/>
        <v xml:space="preserve">KIMBERLY  DICKERSON </v>
      </c>
      <c r="N171" t="s">
        <v>74</v>
      </c>
      <c r="O171">
        <v>1</v>
      </c>
      <c r="P171">
        <v>5.51</v>
      </c>
      <c r="Q171">
        <v>0.1</v>
      </c>
      <c r="R171">
        <v>0.55000000000000004</v>
      </c>
      <c r="S171" t="s">
        <v>401</v>
      </c>
    </row>
    <row r="172" spans="1:19" x14ac:dyDescent="0.25">
      <c r="A172" t="s">
        <v>292</v>
      </c>
      <c r="B172" t="s">
        <v>20</v>
      </c>
      <c r="C172" t="s">
        <v>290</v>
      </c>
      <c r="D172" s="1">
        <v>44927</v>
      </c>
      <c r="E172" s="1">
        <v>45870</v>
      </c>
      <c r="F172">
        <v>1</v>
      </c>
      <c r="G172">
        <f t="shared" si="4"/>
        <v>7</v>
      </c>
      <c r="H172" t="s">
        <v>394</v>
      </c>
      <c r="I172" t="s">
        <v>395</v>
      </c>
      <c r="J172">
        <v>16243811</v>
      </c>
      <c r="K172" t="s">
        <v>432</v>
      </c>
      <c r="L172" t="s">
        <v>414</v>
      </c>
      <c r="M172" t="str">
        <f t="shared" si="5"/>
        <v xml:space="preserve">KIMBERLY  DICKERSON </v>
      </c>
      <c r="N172" t="s">
        <v>41</v>
      </c>
      <c r="O172">
        <v>1</v>
      </c>
      <c r="P172">
        <v>24.46</v>
      </c>
      <c r="Q172">
        <v>0.1</v>
      </c>
      <c r="R172">
        <v>2.4500000000000002</v>
      </c>
      <c r="S172" t="s">
        <v>401</v>
      </c>
    </row>
    <row r="173" spans="1:19" x14ac:dyDescent="0.25">
      <c r="A173" t="s">
        <v>292</v>
      </c>
      <c r="B173" t="s">
        <v>20</v>
      </c>
      <c r="C173" t="s">
        <v>290</v>
      </c>
      <c r="D173" s="1">
        <v>44927</v>
      </c>
      <c r="E173" s="1">
        <v>45870</v>
      </c>
      <c r="F173">
        <v>1</v>
      </c>
      <c r="G173">
        <f t="shared" si="4"/>
        <v>7</v>
      </c>
      <c r="H173" t="s">
        <v>394</v>
      </c>
      <c r="I173" t="s">
        <v>395</v>
      </c>
      <c r="J173">
        <v>16243811</v>
      </c>
      <c r="K173" t="s">
        <v>432</v>
      </c>
      <c r="L173" t="s">
        <v>414</v>
      </c>
      <c r="M173" t="str">
        <f t="shared" si="5"/>
        <v xml:space="preserve">KIMBERLY  DICKERSON </v>
      </c>
      <c r="N173" t="s">
        <v>75</v>
      </c>
      <c r="O173">
        <v>1</v>
      </c>
      <c r="P173">
        <v>3.28</v>
      </c>
      <c r="Q173">
        <v>0.1</v>
      </c>
      <c r="R173">
        <v>0.33</v>
      </c>
      <c r="S173" t="s">
        <v>401</v>
      </c>
    </row>
    <row r="174" spans="1:19" x14ac:dyDescent="0.25">
      <c r="A174" t="s">
        <v>292</v>
      </c>
      <c r="B174" t="s">
        <v>20</v>
      </c>
      <c r="C174" t="s">
        <v>290</v>
      </c>
      <c r="D174" s="1">
        <v>44927</v>
      </c>
      <c r="E174" s="1">
        <v>45870</v>
      </c>
      <c r="F174">
        <v>1</v>
      </c>
      <c r="G174">
        <f t="shared" si="4"/>
        <v>7</v>
      </c>
      <c r="H174" t="s">
        <v>394</v>
      </c>
      <c r="I174" t="s">
        <v>395</v>
      </c>
      <c r="J174">
        <v>16243811</v>
      </c>
      <c r="K174" t="s">
        <v>432</v>
      </c>
      <c r="L174" t="s">
        <v>414</v>
      </c>
      <c r="M174" t="str">
        <f t="shared" si="5"/>
        <v xml:space="preserve">KIMBERLY  DICKERSON </v>
      </c>
      <c r="N174" t="s">
        <v>25</v>
      </c>
      <c r="O174">
        <v>1</v>
      </c>
      <c r="P174">
        <v>19.68</v>
      </c>
      <c r="Q174">
        <v>0.1</v>
      </c>
      <c r="R174">
        <v>1.97</v>
      </c>
      <c r="S174" t="s">
        <v>401</v>
      </c>
    </row>
    <row r="175" spans="1:19" x14ac:dyDescent="0.25">
      <c r="A175" t="s">
        <v>19</v>
      </c>
      <c r="B175" t="s">
        <v>20</v>
      </c>
      <c r="C175" t="s">
        <v>21</v>
      </c>
      <c r="D175" s="1">
        <v>45839</v>
      </c>
      <c r="E175" s="1">
        <v>45870</v>
      </c>
      <c r="F175">
        <v>1</v>
      </c>
      <c r="G175">
        <f t="shared" si="4"/>
        <v>1</v>
      </c>
      <c r="H175" t="s">
        <v>394</v>
      </c>
      <c r="I175" t="s">
        <v>395</v>
      </c>
      <c r="J175">
        <v>9079571</v>
      </c>
      <c r="K175" t="s">
        <v>415</v>
      </c>
      <c r="L175" t="s">
        <v>413</v>
      </c>
      <c r="M175" t="str">
        <f t="shared" si="5"/>
        <v xml:space="preserve">ADAM  RICHTER   </v>
      </c>
      <c r="N175" t="s">
        <v>25</v>
      </c>
      <c r="O175">
        <v>1</v>
      </c>
      <c r="P175">
        <v>40.950000000000003</v>
      </c>
      <c r="Q175">
        <v>0.65</v>
      </c>
      <c r="R175">
        <v>26.62</v>
      </c>
      <c r="S175" t="s">
        <v>400</v>
      </c>
    </row>
    <row r="176" spans="1:19" x14ac:dyDescent="0.25">
      <c r="A176" t="s">
        <v>19</v>
      </c>
      <c r="B176" t="s">
        <v>20</v>
      </c>
      <c r="C176" t="s">
        <v>21</v>
      </c>
      <c r="D176" s="1">
        <v>45839</v>
      </c>
      <c r="E176" s="1">
        <v>45870</v>
      </c>
      <c r="F176">
        <v>1</v>
      </c>
      <c r="G176">
        <f t="shared" si="4"/>
        <v>1</v>
      </c>
      <c r="H176" t="s">
        <v>394</v>
      </c>
      <c r="I176" t="s">
        <v>395</v>
      </c>
      <c r="J176">
        <v>9079571</v>
      </c>
      <c r="K176" t="s">
        <v>415</v>
      </c>
      <c r="L176" t="s">
        <v>413</v>
      </c>
      <c r="M176" t="str">
        <f t="shared" si="5"/>
        <v xml:space="preserve">ADAM  RICHTER   </v>
      </c>
      <c r="N176" t="s">
        <v>27</v>
      </c>
      <c r="O176">
        <v>1</v>
      </c>
      <c r="P176">
        <v>11.3</v>
      </c>
      <c r="Q176">
        <v>0.65</v>
      </c>
      <c r="R176">
        <v>7.35</v>
      </c>
      <c r="S176" t="s">
        <v>400</v>
      </c>
    </row>
    <row r="177" spans="1:19" x14ac:dyDescent="0.25">
      <c r="A177" t="s">
        <v>19</v>
      </c>
      <c r="B177" t="s">
        <v>20</v>
      </c>
      <c r="C177" t="s">
        <v>21</v>
      </c>
      <c r="D177" s="1">
        <v>45839</v>
      </c>
      <c r="E177" s="1">
        <v>45870</v>
      </c>
      <c r="F177">
        <v>1</v>
      </c>
      <c r="G177">
        <f t="shared" si="4"/>
        <v>1</v>
      </c>
      <c r="H177" t="s">
        <v>394</v>
      </c>
      <c r="I177" t="s">
        <v>395</v>
      </c>
      <c r="J177">
        <v>9079571</v>
      </c>
      <c r="K177" t="s">
        <v>415</v>
      </c>
      <c r="L177" t="s">
        <v>413</v>
      </c>
      <c r="M177" t="str">
        <f t="shared" si="5"/>
        <v xml:space="preserve">ADAM  RICHTER   </v>
      </c>
      <c r="N177" t="s">
        <v>28</v>
      </c>
      <c r="O177">
        <v>1</v>
      </c>
      <c r="P177">
        <v>1.68</v>
      </c>
      <c r="Q177">
        <v>0.65</v>
      </c>
      <c r="R177">
        <v>1.0900000000000001</v>
      </c>
      <c r="S177" t="s">
        <v>400</v>
      </c>
    </row>
    <row r="178" spans="1:19" x14ac:dyDescent="0.25">
      <c r="A178" t="s">
        <v>92</v>
      </c>
      <c r="B178" t="s">
        <v>20</v>
      </c>
      <c r="C178" t="s">
        <v>93</v>
      </c>
      <c r="D178" s="1">
        <v>45778</v>
      </c>
      <c r="E178" s="1">
        <v>45870</v>
      </c>
      <c r="F178">
        <v>1</v>
      </c>
      <c r="G178">
        <f t="shared" si="4"/>
        <v>4</v>
      </c>
      <c r="H178" t="s">
        <v>394</v>
      </c>
      <c r="I178" t="s">
        <v>395</v>
      </c>
      <c r="J178">
        <v>9079571</v>
      </c>
      <c r="K178" t="s">
        <v>428</v>
      </c>
      <c r="L178" t="s">
        <v>413</v>
      </c>
      <c r="M178" t="str">
        <f t="shared" si="5"/>
        <v xml:space="preserve">ADAM RICHTER   </v>
      </c>
      <c r="N178" t="s">
        <v>75</v>
      </c>
      <c r="O178">
        <v>1</v>
      </c>
      <c r="P178">
        <v>6.55</v>
      </c>
      <c r="Q178">
        <v>0.65</v>
      </c>
      <c r="R178">
        <v>4.26</v>
      </c>
      <c r="S178" t="s">
        <v>400</v>
      </c>
    </row>
    <row r="179" spans="1:19" x14ac:dyDescent="0.25">
      <c r="A179" t="s">
        <v>92</v>
      </c>
      <c r="B179" t="s">
        <v>20</v>
      </c>
      <c r="C179" t="s">
        <v>93</v>
      </c>
      <c r="D179" s="1">
        <v>45778</v>
      </c>
      <c r="E179" s="1">
        <v>45870</v>
      </c>
      <c r="F179">
        <v>1</v>
      </c>
      <c r="G179">
        <f t="shared" si="4"/>
        <v>4</v>
      </c>
      <c r="H179" t="s">
        <v>394</v>
      </c>
      <c r="I179" t="s">
        <v>395</v>
      </c>
      <c r="J179">
        <v>9079571</v>
      </c>
      <c r="K179" t="s">
        <v>428</v>
      </c>
      <c r="L179" t="s">
        <v>413</v>
      </c>
      <c r="M179" t="str">
        <f t="shared" si="5"/>
        <v xml:space="preserve">ADAM RICHTER   </v>
      </c>
      <c r="N179" t="s">
        <v>28</v>
      </c>
      <c r="O179">
        <v>1</v>
      </c>
      <c r="P179">
        <v>1.68</v>
      </c>
      <c r="Q179">
        <v>0.65</v>
      </c>
      <c r="R179">
        <v>1.0900000000000001</v>
      </c>
      <c r="S179" t="s">
        <v>400</v>
      </c>
    </row>
    <row r="180" spans="1:19" x14ac:dyDescent="0.25">
      <c r="A180" t="s">
        <v>92</v>
      </c>
      <c r="B180" t="s">
        <v>20</v>
      </c>
      <c r="C180" t="s">
        <v>93</v>
      </c>
      <c r="D180" s="1">
        <v>45778</v>
      </c>
      <c r="E180" s="1">
        <v>45870</v>
      </c>
      <c r="F180">
        <v>1</v>
      </c>
      <c r="G180">
        <f t="shared" si="4"/>
        <v>4</v>
      </c>
      <c r="H180" t="s">
        <v>394</v>
      </c>
      <c r="I180" t="s">
        <v>395</v>
      </c>
      <c r="J180">
        <v>9079571</v>
      </c>
      <c r="K180" t="s">
        <v>428</v>
      </c>
      <c r="L180" t="s">
        <v>413</v>
      </c>
      <c r="M180" t="str">
        <f t="shared" si="5"/>
        <v xml:space="preserve">ADAM RICHTER   </v>
      </c>
      <c r="N180" t="s">
        <v>77</v>
      </c>
      <c r="O180">
        <v>1</v>
      </c>
      <c r="P180">
        <v>16.38</v>
      </c>
      <c r="Q180">
        <v>0.65</v>
      </c>
      <c r="R180">
        <v>10.65</v>
      </c>
      <c r="S180" t="s">
        <v>400</v>
      </c>
    </row>
    <row r="181" spans="1:19" x14ac:dyDescent="0.25">
      <c r="A181" t="s">
        <v>92</v>
      </c>
      <c r="B181" t="s">
        <v>20</v>
      </c>
      <c r="C181" t="s">
        <v>93</v>
      </c>
      <c r="D181" s="1">
        <v>45778</v>
      </c>
      <c r="E181" s="1">
        <v>45870</v>
      </c>
      <c r="F181">
        <v>1</v>
      </c>
      <c r="G181">
        <f t="shared" si="4"/>
        <v>4</v>
      </c>
      <c r="H181" t="s">
        <v>394</v>
      </c>
      <c r="I181" t="s">
        <v>395</v>
      </c>
      <c r="J181">
        <v>9079571</v>
      </c>
      <c r="K181" t="s">
        <v>428</v>
      </c>
      <c r="L181" t="s">
        <v>413</v>
      </c>
      <c r="M181" t="str">
        <f t="shared" si="5"/>
        <v xml:space="preserve">ADAM RICHTER   </v>
      </c>
      <c r="N181" t="s">
        <v>76</v>
      </c>
      <c r="O181">
        <v>1</v>
      </c>
      <c r="P181">
        <v>0.97</v>
      </c>
      <c r="Q181">
        <v>0.65</v>
      </c>
      <c r="R181">
        <v>0.63</v>
      </c>
      <c r="S181" t="s">
        <v>400</v>
      </c>
    </row>
    <row r="182" spans="1:19" x14ac:dyDescent="0.25">
      <c r="A182" t="s">
        <v>92</v>
      </c>
      <c r="B182" t="s">
        <v>20</v>
      </c>
      <c r="C182" t="s">
        <v>93</v>
      </c>
      <c r="D182" s="1">
        <v>45778</v>
      </c>
      <c r="E182" s="1">
        <v>45870</v>
      </c>
      <c r="F182">
        <v>1</v>
      </c>
      <c r="G182">
        <f t="shared" si="4"/>
        <v>4</v>
      </c>
      <c r="H182" t="s">
        <v>394</v>
      </c>
      <c r="I182" t="s">
        <v>395</v>
      </c>
      <c r="J182">
        <v>9079571</v>
      </c>
      <c r="K182" t="s">
        <v>428</v>
      </c>
      <c r="L182" t="s">
        <v>413</v>
      </c>
      <c r="M182" t="str">
        <f t="shared" si="5"/>
        <v xml:space="preserve">ADAM RICHTER   </v>
      </c>
      <c r="N182" t="s">
        <v>27</v>
      </c>
      <c r="O182">
        <v>1</v>
      </c>
      <c r="P182">
        <v>5.65</v>
      </c>
      <c r="Q182">
        <v>0.65</v>
      </c>
      <c r="R182">
        <v>3.67</v>
      </c>
      <c r="S182" t="s">
        <v>400</v>
      </c>
    </row>
    <row r="183" spans="1:19" x14ac:dyDescent="0.25">
      <c r="A183" t="s">
        <v>92</v>
      </c>
      <c r="B183" t="s">
        <v>20</v>
      </c>
      <c r="C183" t="s">
        <v>93</v>
      </c>
      <c r="D183" s="1">
        <v>45778</v>
      </c>
      <c r="E183" s="1">
        <v>45870</v>
      </c>
      <c r="F183">
        <v>1</v>
      </c>
      <c r="G183">
        <f t="shared" si="4"/>
        <v>4</v>
      </c>
      <c r="H183" t="s">
        <v>394</v>
      </c>
      <c r="I183" t="s">
        <v>395</v>
      </c>
      <c r="J183">
        <v>9079571</v>
      </c>
      <c r="K183" t="s">
        <v>428</v>
      </c>
      <c r="L183" t="s">
        <v>413</v>
      </c>
      <c r="M183" t="str">
        <f t="shared" si="5"/>
        <v xml:space="preserve">ADAM RICHTER   </v>
      </c>
      <c r="N183" t="s">
        <v>25</v>
      </c>
      <c r="O183">
        <v>1</v>
      </c>
      <c r="P183">
        <v>19.2</v>
      </c>
      <c r="Q183">
        <v>0.65</v>
      </c>
      <c r="R183">
        <v>12.48</v>
      </c>
      <c r="S183" t="s">
        <v>400</v>
      </c>
    </row>
    <row r="184" spans="1:19" x14ac:dyDescent="0.25">
      <c r="A184" t="s">
        <v>119</v>
      </c>
      <c r="B184" t="s">
        <v>30</v>
      </c>
      <c r="C184" t="s">
        <v>120</v>
      </c>
      <c r="D184" s="1">
        <v>45778</v>
      </c>
      <c r="E184" s="1">
        <v>45870</v>
      </c>
      <c r="F184">
        <v>1</v>
      </c>
      <c r="G184">
        <f t="shared" si="4"/>
        <v>4</v>
      </c>
      <c r="H184" t="s">
        <v>394</v>
      </c>
      <c r="I184" t="s">
        <v>395</v>
      </c>
      <c r="J184">
        <v>17425766</v>
      </c>
      <c r="K184" t="s">
        <v>403</v>
      </c>
      <c r="L184" t="s">
        <v>404</v>
      </c>
      <c r="M184" t="str">
        <f t="shared" si="5"/>
        <v>CAROL FOLEY</v>
      </c>
      <c r="N184" t="s">
        <v>25</v>
      </c>
      <c r="O184">
        <v>1</v>
      </c>
      <c r="P184">
        <v>25</v>
      </c>
      <c r="Q184">
        <v>0.65</v>
      </c>
      <c r="R184">
        <v>16.25</v>
      </c>
      <c r="S184" t="s">
        <v>400</v>
      </c>
    </row>
    <row r="185" spans="1:19" x14ac:dyDescent="0.25">
      <c r="A185" t="s">
        <v>119</v>
      </c>
      <c r="B185" t="s">
        <v>30</v>
      </c>
      <c r="C185" t="s">
        <v>120</v>
      </c>
      <c r="D185" s="1">
        <v>45778</v>
      </c>
      <c r="E185" s="1">
        <v>45870</v>
      </c>
      <c r="F185">
        <v>1</v>
      </c>
      <c r="G185">
        <f t="shared" si="4"/>
        <v>4</v>
      </c>
      <c r="H185" t="s">
        <v>394</v>
      </c>
      <c r="I185" t="s">
        <v>395</v>
      </c>
      <c r="J185">
        <v>17425766</v>
      </c>
      <c r="K185" t="s">
        <v>403</v>
      </c>
      <c r="L185" t="s">
        <v>404</v>
      </c>
      <c r="M185" t="str">
        <f t="shared" si="5"/>
        <v>CAROL FOLEY</v>
      </c>
      <c r="N185" t="s">
        <v>27</v>
      </c>
      <c r="O185">
        <v>1</v>
      </c>
      <c r="P185">
        <v>12.43</v>
      </c>
      <c r="Q185">
        <v>0.65</v>
      </c>
      <c r="R185">
        <v>8.08</v>
      </c>
      <c r="S185" t="s">
        <v>400</v>
      </c>
    </row>
    <row r="186" spans="1:19" x14ac:dyDescent="0.25">
      <c r="A186" t="s">
        <v>119</v>
      </c>
      <c r="B186" t="s">
        <v>30</v>
      </c>
      <c r="C186" t="s">
        <v>120</v>
      </c>
      <c r="D186" s="1">
        <v>45778</v>
      </c>
      <c r="E186" s="1">
        <v>45870</v>
      </c>
      <c r="F186">
        <v>1</v>
      </c>
      <c r="G186">
        <f t="shared" si="4"/>
        <v>4</v>
      </c>
      <c r="H186" t="s">
        <v>394</v>
      </c>
      <c r="I186" t="s">
        <v>395</v>
      </c>
      <c r="J186">
        <v>17425766</v>
      </c>
      <c r="K186" t="s">
        <v>403</v>
      </c>
      <c r="L186" t="s">
        <v>404</v>
      </c>
      <c r="M186" t="str">
        <f t="shared" si="5"/>
        <v>CAROL FOLEY</v>
      </c>
      <c r="N186" t="s">
        <v>42</v>
      </c>
      <c r="O186">
        <v>1</v>
      </c>
      <c r="P186">
        <v>2.75</v>
      </c>
      <c r="Q186">
        <v>0.65</v>
      </c>
      <c r="R186">
        <v>1.79</v>
      </c>
      <c r="S186" t="s">
        <v>400</v>
      </c>
    </row>
    <row r="187" spans="1:19" x14ac:dyDescent="0.25">
      <c r="A187" t="s">
        <v>119</v>
      </c>
      <c r="B187" t="s">
        <v>30</v>
      </c>
      <c r="C187" t="s">
        <v>120</v>
      </c>
      <c r="D187" s="1">
        <v>45778</v>
      </c>
      <c r="E187" s="1">
        <v>45870</v>
      </c>
      <c r="F187">
        <v>1</v>
      </c>
      <c r="G187">
        <f t="shared" si="4"/>
        <v>4</v>
      </c>
      <c r="H187" t="s">
        <v>394</v>
      </c>
      <c r="I187" t="s">
        <v>395</v>
      </c>
      <c r="J187">
        <v>17425766</v>
      </c>
      <c r="K187" t="s">
        <v>403</v>
      </c>
      <c r="L187" t="s">
        <v>404</v>
      </c>
      <c r="M187" t="str">
        <f t="shared" si="5"/>
        <v>CAROL FOLEY</v>
      </c>
      <c r="N187" t="s">
        <v>34</v>
      </c>
      <c r="O187">
        <v>1</v>
      </c>
      <c r="P187">
        <v>12.94</v>
      </c>
      <c r="Q187">
        <v>0.65</v>
      </c>
      <c r="R187">
        <v>8.41</v>
      </c>
      <c r="S187" t="s">
        <v>400</v>
      </c>
    </row>
    <row r="188" spans="1:19" x14ac:dyDescent="0.25">
      <c r="A188" t="s">
        <v>119</v>
      </c>
      <c r="B188" t="s">
        <v>30</v>
      </c>
      <c r="C188" t="s">
        <v>120</v>
      </c>
      <c r="D188" s="1">
        <v>45778</v>
      </c>
      <c r="E188" s="1">
        <v>45870</v>
      </c>
      <c r="F188">
        <v>1</v>
      </c>
      <c r="G188">
        <f t="shared" si="4"/>
        <v>4</v>
      </c>
      <c r="H188" t="s">
        <v>394</v>
      </c>
      <c r="I188" t="s">
        <v>395</v>
      </c>
      <c r="J188">
        <v>17425766</v>
      </c>
      <c r="K188" t="s">
        <v>403</v>
      </c>
      <c r="L188" t="s">
        <v>404</v>
      </c>
      <c r="M188" t="str">
        <f t="shared" si="5"/>
        <v>CAROL FOLEY</v>
      </c>
      <c r="N188" t="s">
        <v>41</v>
      </c>
      <c r="O188">
        <v>1</v>
      </c>
      <c r="P188">
        <v>19.489999999999998</v>
      </c>
      <c r="Q188">
        <v>0.65</v>
      </c>
      <c r="R188">
        <v>12.67</v>
      </c>
      <c r="S188" t="s">
        <v>400</v>
      </c>
    </row>
    <row r="189" spans="1:19" x14ac:dyDescent="0.25">
      <c r="A189" t="s">
        <v>119</v>
      </c>
      <c r="B189" t="s">
        <v>30</v>
      </c>
      <c r="C189" t="s">
        <v>120</v>
      </c>
      <c r="D189" s="1">
        <v>45778</v>
      </c>
      <c r="E189" s="1">
        <v>45870</v>
      </c>
      <c r="F189">
        <v>1</v>
      </c>
      <c r="G189">
        <f t="shared" si="4"/>
        <v>4</v>
      </c>
      <c r="H189" t="s">
        <v>394</v>
      </c>
      <c r="I189" t="s">
        <v>395</v>
      </c>
      <c r="J189">
        <v>17425766</v>
      </c>
      <c r="K189" t="s">
        <v>403</v>
      </c>
      <c r="L189" t="s">
        <v>404</v>
      </c>
      <c r="M189" t="str">
        <f t="shared" si="5"/>
        <v>CAROL FOLEY</v>
      </c>
      <c r="N189" t="s">
        <v>28</v>
      </c>
      <c r="O189">
        <v>1</v>
      </c>
      <c r="P189">
        <v>1.68</v>
      </c>
      <c r="Q189">
        <v>0.65</v>
      </c>
      <c r="R189">
        <v>1.0900000000000001</v>
      </c>
      <c r="S189" t="s">
        <v>400</v>
      </c>
    </row>
    <row r="190" spans="1:19" x14ac:dyDescent="0.25">
      <c r="A190" t="s">
        <v>117</v>
      </c>
      <c r="B190" t="s">
        <v>30</v>
      </c>
      <c r="C190" t="s">
        <v>118</v>
      </c>
      <c r="D190" s="1">
        <v>45689</v>
      </c>
      <c r="E190" s="1">
        <v>45870</v>
      </c>
      <c r="F190">
        <v>1</v>
      </c>
      <c r="G190">
        <f t="shared" si="4"/>
        <v>6</v>
      </c>
      <c r="H190" t="s">
        <v>394</v>
      </c>
      <c r="I190" t="s">
        <v>395</v>
      </c>
      <c r="J190">
        <v>17425766</v>
      </c>
      <c r="K190" t="s">
        <v>403</v>
      </c>
      <c r="L190" t="s">
        <v>404</v>
      </c>
      <c r="M190" t="str">
        <f t="shared" si="5"/>
        <v>CAROL FOLEY</v>
      </c>
      <c r="N190" t="s">
        <v>27</v>
      </c>
      <c r="O190">
        <v>1</v>
      </c>
      <c r="P190">
        <v>6.22</v>
      </c>
      <c r="Q190">
        <v>0.65</v>
      </c>
      <c r="R190">
        <v>4.04</v>
      </c>
      <c r="S190" t="s">
        <v>400</v>
      </c>
    </row>
    <row r="191" spans="1:19" x14ac:dyDescent="0.25">
      <c r="A191" t="s">
        <v>117</v>
      </c>
      <c r="B191" t="s">
        <v>30</v>
      </c>
      <c r="C191" t="s">
        <v>118</v>
      </c>
      <c r="D191" s="1">
        <v>45689</v>
      </c>
      <c r="E191" s="1">
        <v>45870</v>
      </c>
      <c r="F191">
        <v>1</v>
      </c>
      <c r="G191">
        <f t="shared" si="4"/>
        <v>6</v>
      </c>
      <c r="H191" t="s">
        <v>394</v>
      </c>
      <c r="I191" t="s">
        <v>395</v>
      </c>
      <c r="J191">
        <v>17425766</v>
      </c>
      <c r="K191" t="s">
        <v>403</v>
      </c>
      <c r="L191" t="s">
        <v>404</v>
      </c>
      <c r="M191" t="str">
        <f t="shared" si="5"/>
        <v>CAROL FOLEY</v>
      </c>
      <c r="N191" t="s">
        <v>74</v>
      </c>
      <c r="O191">
        <v>1</v>
      </c>
      <c r="P191">
        <v>6.99</v>
      </c>
      <c r="Q191">
        <v>0.65</v>
      </c>
      <c r="R191">
        <v>4.54</v>
      </c>
      <c r="S191" t="s">
        <v>400</v>
      </c>
    </row>
    <row r="192" spans="1:19" x14ac:dyDescent="0.25">
      <c r="A192" t="s">
        <v>117</v>
      </c>
      <c r="B192" t="s">
        <v>30</v>
      </c>
      <c r="C192" t="s">
        <v>118</v>
      </c>
      <c r="D192" s="1">
        <v>45689</v>
      </c>
      <c r="E192" s="1">
        <v>45870</v>
      </c>
      <c r="F192">
        <v>1</v>
      </c>
      <c r="G192">
        <f t="shared" si="4"/>
        <v>6</v>
      </c>
      <c r="H192" t="s">
        <v>394</v>
      </c>
      <c r="I192" t="s">
        <v>395</v>
      </c>
      <c r="J192">
        <v>17425766</v>
      </c>
      <c r="K192" t="s">
        <v>403</v>
      </c>
      <c r="L192" t="s">
        <v>404</v>
      </c>
      <c r="M192" t="str">
        <f t="shared" si="5"/>
        <v>CAROL FOLEY</v>
      </c>
      <c r="N192" t="s">
        <v>28</v>
      </c>
      <c r="O192">
        <v>1</v>
      </c>
      <c r="P192">
        <v>1.68</v>
      </c>
      <c r="Q192">
        <v>0.65</v>
      </c>
      <c r="R192">
        <v>1.0900000000000001</v>
      </c>
      <c r="S192" t="s">
        <v>400</v>
      </c>
    </row>
    <row r="193" spans="1:19" x14ac:dyDescent="0.25">
      <c r="A193" t="s">
        <v>117</v>
      </c>
      <c r="B193" t="s">
        <v>30</v>
      </c>
      <c r="C193" t="s">
        <v>118</v>
      </c>
      <c r="D193" s="1">
        <v>45689</v>
      </c>
      <c r="E193" s="1">
        <v>45870</v>
      </c>
      <c r="F193">
        <v>1</v>
      </c>
      <c r="G193">
        <f t="shared" si="4"/>
        <v>6</v>
      </c>
      <c r="H193" t="s">
        <v>394</v>
      </c>
      <c r="I193" t="s">
        <v>395</v>
      </c>
      <c r="J193">
        <v>17425766</v>
      </c>
      <c r="K193" t="s">
        <v>403</v>
      </c>
      <c r="L193" t="s">
        <v>404</v>
      </c>
      <c r="M193" t="str">
        <f t="shared" si="5"/>
        <v>CAROL FOLEY</v>
      </c>
      <c r="N193" t="s">
        <v>41</v>
      </c>
      <c r="O193">
        <v>1</v>
      </c>
      <c r="P193">
        <v>21.11</v>
      </c>
      <c r="Q193">
        <v>0.65</v>
      </c>
      <c r="R193">
        <v>13.72</v>
      </c>
      <c r="S193" t="s">
        <v>400</v>
      </c>
    </row>
    <row r="194" spans="1:19" x14ac:dyDescent="0.25">
      <c r="A194" t="s">
        <v>117</v>
      </c>
      <c r="B194" t="s">
        <v>30</v>
      </c>
      <c r="C194" t="s">
        <v>118</v>
      </c>
      <c r="D194" s="1">
        <v>45689</v>
      </c>
      <c r="E194" s="1">
        <v>45870</v>
      </c>
      <c r="F194">
        <v>1</v>
      </c>
      <c r="G194">
        <f t="shared" ref="G194:G257" si="6">MONTH(E194-D194)</f>
        <v>6</v>
      </c>
      <c r="H194" t="s">
        <v>394</v>
      </c>
      <c r="I194" t="s">
        <v>395</v>
      </c>
      <c r="J194">
        <v>17425766</v>
      </c>
      <c r="K194" t="s">
        <v>403</v>
      </c>
      <c r="L194" t="s">
        <v>404</v>
      </c>
      <c r="M194" t="str">
        <f t="shared" ref="M194:M257" si="7">CONCATENATE(K194, " ",L194)</f>
        <v>CAROL FOLEY</v>
      </c>
      <c r="N194" t="s">
        <v>25</v>
      </c>
      <c r="O194">
        <v>1</v>
      </c>
      <c r="P194">
        <v>14.06</v>
      </c>
      <c r="Q194">
        <v>0.65</v>
      </c>
      <c r="R194">
        <v>9.14</v>
      </c>
      <c r="S194" t="s">
        <v>400</v>
      </c>
    </row>
    <row r="195" spans="1:19" x14ac:dyDescent="0.25">
      <c r="A195" t="s">
        <v>117</v>
      </c>
      <c r="B195" t="s">
        <v>30</v>
      </c>
      <c r="C195" t="s">
        <v>118</v>
      </c>
      <c r="D195" s="1">
        <v>45689</v>
      </c>
      <c r="E195" s="1">
        <v>45870</v>
      </c>
      <c r="F195">
        <v>1</v>
      </c>
      <c r="G195">
        <f t="shared" si="6"/>
        <v>6</v>
      </c>
      <c r="H195" t="s">
        <v>394</v>
      </c>
      <c r="I195" t="s">
        <v>395</v>
      </c>
      <c r="J195">
        <v>17425766</v>
      </c>
      <c r="K195" t="s">
        <v>403</v>
      </c>
      <c r="L195" t="s">
        <v>404</v>
      </c>
      <c r="M195" t="str">
        <f t="shared" si="7"/>
        <v>CAROL FOLEY</v>
      </c>
      <c r="N195" t="s">
        <v>42</v>
      </c>
      <c r="O195">
        <v>1</v>
      </c>
      <c r="P195">
        <v>3.3</v>
      </c>
      <c r="Q195">
        <v>0.65</v>
      </c>
      <c r="R195">
        <v>2.15</v>
      </c>
      <c r="S195" t="s">
        <v>400</v>
      </c>
    </row>
    <row r="196" spans="1:19" x14ac:dyDescent="0.25">
      <c r="A196" t="s">
        <v>78</v>
      </c>
      <c r="B196" t="s">
        <v>20</v>
      </c>
      <c r="C196" t="s">
        <v>79</v>
      </c>
      <c r="D196" s="1">
        <v>45658</v>
      </c>
      <c r="E196" s="1">
        <v>45870</v>
      </c>
      <c r="F196">
        <v>1</v>
      </c>
      <c r="G196">
        <f t="shared" si="6"/>
        <v>7</v>
      </c>
      <c r="H196" t="s">
        <v>394</v>
      </c>
      <c r="I196" t="s">
        <v>395</v>
      </c>
      <c r="J196">
        <v>9079571</v>
      </c>
      <c r="K196" t="s">
        <v>428</v>
      </c>
      <c r="L196" t="s">
        <v>413</v>
      </c>
      <c r="M196" t="str">
        <f t="shared" si="7"/>
        <v xml:space="preserve">ADAM RICHTER   </v>
      </c>
      <c r="N196" t="s">
        <v>25</v>
      </c>
      <c r="O196">
        <v>1</v>
      </c>
      <c r="P196">
        <v>23.99</v>
      </c>
      <c r="Q196">
        <v>0.65</v>
      </c>
      <c r="R196">
        <v>15.59</v>
      </c>
      <c r="S196" t="s">
        <v>400</v>
      </c>
    </row>
    <row r="197" spans="1:19" x14ac:dyDescent="0.25">
      <c r="A197" t="s">
        <v>78</v>
      </c>
      <c r="B197" t="s">
        <v>20</v>
      </c>
      <c r="C197" t="s">
        <v>79</v>
      </c>
      <c r="D197" s="1">
        <v>45658</v>
      </c>
      <c r="E197" s="1">
        <v>45870</v>
      </c>
      <c r="F197">
        <v>1</v>
      </c>
      <c r="G197">
        <f t="shared" si="6"/>
        <v>7</v>
      </c>
      <c r="H197" t="s">
        <v>394</v>
      </c>
      <c r="I197" t="s">
        <v>395</v>
      </c>
      <c r="J197">
        <v>9079571</v>
      </c>
      <c r="K197" t="s">
        <v>428</v>
      </c>
      <c r="L197" t="s">
        <v>413</v>
      </c>
      <c r="M197" t="str">
        <f t="shared" si="7"/>
        <v xml:space="preserve">ADAM RICHTER   </v>
      </c>
      <c r="N197" t="s">
        <v>76</v>
      </c>
      <c r="O197">
        <v>1</v>
      </c>
      <c r="P197">
        <v>2.59</v>
      </c>
      <c r="Q197">
        <v>0.65</v>
      </c>
      <c r="R197">
        <v>1.68</v>
      </c>
      <c r="S197" t="s">
        <v>400</v>
      </c>
    </row>
    <row r="198" spans="1:19" x14ac:dyDescent="0.25">
      <c r="A198" t="s">
        <v>78</v>
      </c>
      <c r="B198" t="s">
        <v>20</v>
      </c>
      <c r="C198" t="s">
        <v>79</v>
      </c>
      <c r="D198" s="1">
        <v>45658</v>
      </c>
      <c r="E198" s="1">
        <v>45870</v>
      </c>
      <c r="F198">
        <v>1</v>
      </c>
      <c r="G198">
        <f t="shared" si="6"/>
        <v>7</v>
      </c>
      <c r="H198" t="s">
        <v>394</v>
      </c>
      <c r="I198" t="s">
        <v>395</v>
      </c>
      <c r="J198">
        <v>9079571</v>
      </c>
      <c r="K198" t="s">
        <v>428</v>
      </c>
      <c r="L198" t="s">
        <v>413</v>
      </c>
      <c r="M198" t="str">
        <f t="shared" si="7"/>
        <v xml:space="preserve">ADAM RICHTER   </v>
      </c>
      <c r="N198" t="s">
        <v>27</v>
      </c>
      <c r="O198">
        <v>1</v>
      </c>
      <c r="P198">
        <v>5.65</v>
      </c>
      <c r="Q198">
        <v>0.65</v>
      </c>
      <c r="R198">
        <v>3.67</v>
      </c>
      <c r="S198" t="s">
        <v>400</v>
      </c>
    </row>
    <row r="199" spans="1:19" x14ac:dyDescent="0.25">
      <c r="A199" t="s">
        <v>78</v>
      </c>
      <c r="B199" t="s">
        <v>20</v>
      </c>
      <c r="C199" t="s">
        <v>79</v>
      </c>
      <c r="D199" s="1">
        <v>45658</v>
      </c>
      <c r="E199" s="1">
        <v>45870</v>
      </c>
      <c r="F199">
        <v>1</v>
      </c>
      <c r="G199">
        <f t="shared" si="6"/>
        <v>7</v>
      </c>
      <c r="H199" t="s">
        <v>394</v>
      </c>
      <c r="I199" t="s">
        <v>395</v>
      </c>
      <c r="J199">
        <v>9079571</v>
      </c>
      <c r="K199" t="s">
        <v>428</v>
      </c>
      <c r="L199" t="s">
        <v>413</v>
      </c>
      <c r="M199" t="str">
        <f t="shared" si="7"/>
        <v xml:space="preserve">ADAM RICHTER   </v>
      </c>
      <c r="N199" t="s">
        <v>28</v>
      </c>
      <c r="O199">
        <v>1</v>
      </c>
      <c r="P199">
        <v>1.68</v>
      </c>
      <c r="Q199">
        <v>0.65</v>
      </c>
      <c r="R199">
        <v>1.0900000000000001</v>
      </c>
      <c r="S199" t="s">
        <v>400</v>
      </c>
    </row>
    <row r="200" spans="1:19" x14ac:dyDescent="0.25">
      <c r="A200" t="s">
        <v>78</v>
      </c>
      <c r="B200" t="s">
        <v>20</v>
      </c>
      <c r="C200" t="s">
        <v>79</v>
      </c>
      <c r="D200" s="1">
        <v>45658</v>
      </c>
      <c r="E200" s="1">
        <v>45870</v>
      </c>
      <c r="F200">
        <v>1</v>
      </c>
      <c r="G200">
        <f t="shared" si="6"/>
        <v>7</v>
      </c>
      <c r="H200" t="s">
        <v>394</v>
      </c>
      <c r="I200" t="s">
        <v>395</v>
      </c>
      <c r="J200">
        <v>9079571</v>
      </c>
      <c r="K200" t="s">
        <v>428</v>
      </c>
      <c r="L200" t="s">
        <v>413</v>
      </c>
      <c r="M200" t="str">
        <f t="shared" si="7"/>
        <v xml:space="preserve">ADAM RICHTER   </v>
      </c>
      <c r="N200" t="s">
        <v>75</v>
      </c>
      <c r="O200">
        <v>1</v>
      </c>
      <c r="P200">
        <v>4.62</v>
      </c>
      <c r="Q200">
        <v>0.65</v>
      </c>
      <c r="R200">
        <v>3</v>
      </c>
      <c r="S200" t="s">
        <v>400</v>
      </c>
    </row>
    <row r="201" spans="1:19" x14ac:dyDescent="0.25">
      <c r="A201" t="s">
        <v>111</v>
      </c>
      <c r="B201" t="s">
        <v>30</v>
      </c>
      <c r="C201" t="s">
        <v>112</v>
      </c>
      <c r="D201" s="1">
        <v>45658</v>
      </c>
      <c r="E201" s="1">
        <v>45870</v>
      </c>
      <c r="F201">
        <v>1</v>
      </c>
      <c r="G201">
        <f t="shared" si="6"/>
        <v>7</v>
      </c>
      <c r="H201" t="s">
        <v>394</v>
      </c>
      <c r="I201" t="s">
        <v>395</v>
      </c>
      <c r="J201">
        <v>17425766</v>
      </c>
      <c r="K201" t="s">
        <v>403</v>
      </c>
      <c r="L201" t="s">
        <v>404</v>
      </c>
      <c r="M201" t="str">
        <f t="shared" si="7"/>
        <v>CAROL FOLEY</v>
      </c>
      <c r="N201" t="s">
        <v>41</v>
      </c>
      <c r="O201">
        <v>1</v>
      </c>
      <c r="P201">
        <v>20.13</v>
      </c>
      <c r="Q201">
        <v>0.65</v>
      </c>
      <c r="R201">
        <v>13.08</v>
      </c>
      <c r="S201" t="s">
        <v>400</v>
      </c>
    </row>
    <row r="202" spans="1:19" x14ac:dyDescent="0.25">
      <c r="A202" t="s">
        <v>111</v>
      </c>
      <c r="B202" t="s">
        <v>30</v>
      </c>
      <c r="C202" t="s">
        <v>112</v>
      </c>
      <c r="D202" s="1">
        <v>45658</v>
      </c>
      <c r="E202" s="1">
        <v>45870</v>
      </c>
      <c r="F202">
        <v>1</v>
      </c>
      <c r="G202">
        <f t="shared" si="6"/>
        <v>7</v>
      </c>
      <c r="H202" t="s">
        <v>394</v>
      </c>
      <c r="I202" t="s">
        <v>395</v>
      </c>
      <c r="J202">
        <v>17425766</v>
      </c>
      <c r="K202" t="s">
        <v>403</v>
      </c>
      <c r="L202" t="s">
        <v>404</v>
      </c>
      <c r="M202" t="str">
        <f t="shared" si="7"/>
        <v>CAROL FOLEY</v>
      </c>
      <c r="N202" t="s">
        <v>28</v>
      </c>
      <c r="O202">
        <v>1</v>
      </c>
      <c r="P202">
        <v>1.68</v>
      </c>
      <c r="Q202">
        <v>0.65</v>
      </c>
      <c r="R202">
        <v>1.0900000000000001</v>
      </c>
      <c r="S202" t="s">
        <v>400</v>
      </c>
    </row>
    <row r="203" spans="1:19" x14ac:dyDescent="0.25">
      <c r="A203" t="s">
        <v>111</v>
      </c>
      <c r="B203" t="s">
        <v>30</v>
      </c>
      <c r="C203" t="s">
        <v>112</v>
      </c>
      <c r="D203" s="1">
        <v>45658</v>
      </c>
      <c r="E203" s="1">
        <v>45870</v>
      </c>
      <c r="F203">
        <v>1</v>
      </c>
      <c r="G203">
        <f t="shared" si="6"/>
        <v>7</v>
      </c>
      <c r="H203" t="s">
        <v>394</v>
      </c>
      <c r="I203" t="s">
        <v>395</v>
      </c>
      <c r="J203">
        <v>17425766</v>
      </c>
      <c r="K203" t="s">
        <v>403</v>
      </c>
      <c r="L203" t="s">
        <v>404</v>
      </c>
      <c r="M203" t="str">
        <f t="shared" si="7"/>
        <v>CAROL FOLEY</v>
      </c>
      <c r="N203" t="s">
        <v>27</v>
      </c>
      <c r="O203">
        <v>1</v>
      </c>
      <c r="P203">
        <v>12.43</v>
      </c>
      <c r="Q203">
        <v>0.65</v>
      </c>
      <c r="R203">
        <v>8.08</v>
      </c>
      <c r="S203" t="s">
        <v>400</v>
      </c>
    </row>
    <row r="204" spans="1:19" x14ac:dyDescent="0.25">
      <c r="A204" t="s">
        <v>111</v>
      </c>
      <c r="B204" t="s">
        <v>30</v>
      </c>
      <c r="C204" t="s">
        <v>112</v>
      </c>
      <c r="D204" s="1">
        <v>45658</v>
      </c>
      <c r="E204" s="1">
        <v>45870</v>
      </c>
      <c r="F204">
        <v>1</v>
      </c>
      <c r="G204">
        <f t="shared" si="6"/>
        <v>7</v>
      </c>
      <c r="H204" t="s">
        <v>394</v>
      </c>
      <c r="I204" t="s">
        <v>395</v>
      </c>
      <c r="J204">
        <v>17425766</v>
      </c>
      <c r="K204" t="s">
        <v>403</v>
      </c>
      <c r="L204" t="s">
        <v>404</v>
      </c>
      <c r="M204" t="str">
        <f t="shared" si="7"/>
        <v>CAROL FOLEY</v>
      </c>
      <c r="N204" t="s">
        <v>25</v>
      </c>
      <c r="O204">
        <v>1</v>
      </c>
      <c r="P204">
        <v>30.54</v>
      </c>
      <c r="Q204">
        <v>0.65</v>
      </c>
      <c r="R204">
        <v>19.850000000000001</v>
      </c>
      <c r="S204" t="s">
        <v>400</v>
      </c>
    </row>
    <row r="205" spans="1:19" x14ac:dyDescent="0.25">
      <c r="A205" t="s">
        <v>111</v>
      </c>
      <c r="B205" t="s">
        <v>30</v>
      </c>
      <c r="C205" t="s">
        <v>112</v>
      </c>
      <c r="D205" s="1">
        <v>45658</v>
      </c>
      <c r="E205" s="1">
        <v>45870</v>
      </c>
      <c r="F205">
        <v>1</v>
      </c>
      <c r="G205">
        <f t="shared" si="6"/>
        <v>7</v>
      </c>
      <c r="H205" t="s">
        <v>394</v>
      </c>
      <c r="I205" t="s">
        <v>395</v>
      </c>
      <c r="J205">
        <v>17425766</v>
      </c>
      <c r="K205" t="s">
        <v>403</v>
      </c>
      <c r="L205" t="s">
        <v>404</v>
      </c>
      <c r="M205" t="str">
        <f t="shared" si="7"/>
        <v>CAROL FOLEY</v>
      </c>
      <c r="N205" t="s">
        <v>42</v>
      </c>
      <c r="O205">
        <v>1</v>
      </c>
      <c r="P205">
        <v>2.92</v>
      </c>
      <c r="Q205">
        <v>0.65</v>
      </c>
      <c r="R205">
        <v>1.9</v>
      </c>
      <c r="S205" t="s">
        <v>400</v>
      </c>
    </row>
    <row r="206" spans="1:19" x14ac:dyDescent="0.25">
      <c r="A206" t="s">
        <v>111</v>
      </c>
      <c r="B206" t="s">
        <v>30</v>
      </c>
      <c r="C206" t="s">
        <v>112</v>
      </c>
      <c r="D206" s="1">
        <v>45658</v>
      </c>
      <c r="E206" s="1">
        <v>45870</v>
      </c>
      <c r="F206">
        <v>1</v>
      </c>
      <c r="G206">
        <f t="shared" si="6"/>
        <v>7</v>
      </c>
      <c r="H206" t="s">
        <v>394</v>
      </c>
      <c r="I206" t="s">
        <v>395</v>
      </c>
      <c r="J206">
        <v>17425766</v>
      </c>
      <c r="K206" t="s">
        <v>403</v>
      </c>
      <c r="L206" t="s">
        <v>404</v>
      </c>
      <c r="M206" t="str">
        <f t="shared" si="7"/>
        <v>CAROL FOLEY</v>
      </c>
      <c r="N206" t="s">
        <v>34</v>
      </c>
      <c r="O206">
        <v>1</v>
      </c>
      <c r="P206">
        <v>12.94</v>
      </c>
      <c r="Q206">
        <v>0.65</v>
      </c>
      <c r="R206">
        <v>8.41</v>
      </c>
      <c r="S206" t="s">
        <v>400</v>
      </c>
    </row>
    <row r="207" spans="1:19" x14ac:dyDescent="0.25">
      <c r="A207" t="s">
        <v>113</v>
      </c>
      <c r="B207" t="s">
        <v>30</v>
      </c>
      <c r="C207" t="s">
        <v>114</v>
      </c>
      <c r="D207" s="1">
        <v>45658</v>
      </c>
      <c r="E207" s="1">
        <v>45870</v>
      </c>
      <c r="F207">
        <v>1</v>
      </c>
      <c r="G207">
        <f t="shared" si="6"/>
        <v>7</v>
      </c>
      <c r="H207" t="s">
        <v>394</v>
      </c>
      <c r="I207" t="s">
        <v>395</v>
      </c>
      <c r="J207">
        <v>17425766</v>
      </c>
      <c r="K207" t="s">
        <v>403</v>
      </c>
      <c r="L207" t="s">
        <v>404</v>
      </c>
      <c r="M207" t="str">
        <f t="shared" si="7"/>
        <v>CAROL FOLEY</v>
      </c>
      <c r="N207" t="s">
        <v>42</v>
      </c>
      <c r="O207">
        <v>1</v>
      </c>
      <c r="P207">
        <v>2.92</v>
      </c>
      <c r="Q207">
        <v>0.65</v>
      </c>
      <c r="R207">
        <v>1.9</v>
      </c>
      <c r="S207" t="s">
        <v>400</v>
      </c>
    </row>
    <row r="208" spans="1:19" x14ac:dyDescent="0.25">
      <c r="A208" t="s">
        <v>113</v>
      </c>
      <c r="B208" t="s">
        <v>30</v>
      </c>
      <c r="C208" t="s">
        <v>114</v>
      </c>
      <c r="D208" s="1">
        <v>45658</v>
      </c>
      <c r="E208" s="1">
        <v>45870</v>
      </c>
      <c r="F208">
        <v>1</v>
      </c>
      <c r="G208">
        <f t="shared" si="6"/>
        <v>7</v>
      </c>
      <c r="H208" t="s">
        <v>394</v>
      </c>
      <c r="I208" t="s">
        <v>395</v>
      </c>
      <c r="J208">
        <v>17425766</v>
      </c>
      <c r="K208" t="s">
        <v>403</v>
      </c>
      <c r="L208" t="s">
        <v>404</v>
      </c>
      <c r="M208" t="str">
        <f t="shared" si="7"/>
        <v>CAROL FOLEY</v>
      </c>
      <c r="N208" t="s">
        <v>25</v>
      </c>
      <c r="O208">
        <v>1</v>
      </c>
      <c r="P208">
        <v>31.17</v>
      </c>
      <c r="Q208">
        <v>0.65</v>
      </c>
      <c r="R208">
        <v>20.260000000000002</v>
      </c>
      <c r="S208" t="s">
        <v>400</v>
      </c>
    </row>
    <row r="209" spans="1:19" x14ac:dyDescent="0.25">
      <c r="A209" t="s">
        <v>113</v>
      </c>
      <c r="B209" t="s">
        <v>30</v>
      </c>
      <c r="C209" t="s">
        <v>114</v>
      </c>
      <c r="D209" s="1">
        <v>45658</v>
      </c>
      <c r="E209" s="1">
        <v>45870</v>
      </c>
      <c r="F209">
        <v>1</v>
      </c>
      <c r="G209">
        <f t="shared" si="6"/>
        <v>7</v>
      </c>
      <c r="H209" t="s">
        <v>394</v>
      </c>
      <c r="I209" t="s">
        <v>395</v>
      </c>
      <c r="J209">
        <v>17425766</v>
      </c>
      <c r="K209" t="s">
        <v>403</v>
      </c>
      <c r="L209" t="s">
        <v>404</v>
      </c>
      <c r="M209" t="str">
        <f t="shared" si="7"/>
        <v>CAROL FOLEY</v>
      </c>
      <c r="N209" t="s">
        <v>27</v>
      </c>
      <c r="O209">
        <v>1</v>
      </c>
      <c r="P209">
        <v>6.22</v>
      </c>
      <c r="Q209">
        <v>0.65</v>
      </c>
      <c r="R209">
        <v>4.04</v>
      </c>
      <c r="S209" t="s">
        <v>400</v>
      </c>
    </row>
    <row r="210" spans="1:19" x14ac:dyDescent="0.25">
      <c r="A210" t="s">
        <v>113</v>
      </c>
      <c r="B210" t="s">
        <v>30</v>
      </c>
      <c r="C210" t="s">
        <v>114</v>
      </c>
      <c r="D210" s="1">
        <v>45658</v>
      </c>
      <c r="E210" s="1">
        <v>45870</v>
      </c>
      <c r="F210">
        <v>1</v>
      </c>
      <c r="G210">
        <f t="shared" si="6"/>
        <v>7</v>
      </c>
      <c r="H210" t="s">
        <v>394</v>
      </c>
      <c r="I210" t="s">
        <v>395</v>
      </c>
      <c r="J210">
        <v>17425766</v>
      </c>
      <c r="K210" t="s">
        <v>403</v>
      </c>
      <c r="L210" t="s">
        <v>404</v>
      </c>
      <c r="M210" t="str">
        <f t="shared" si="7"/>
        <v>CAROL FOLEY</v>
      </c>
      <c r="N210" t="s">
        <v>28</v>
      </c>
      <c r="O210">
        <v>1</v>
      </c>
      <c r="P210">
        <v>1.68</v>
      </c>
      <c r="Q210">
        <v>0.65</v>
      </c>
      <c r="R210">
        <v>1.0900000000000001</v>
      </c>
      <c r="S210" t="s">
        <v>400</v>
      </c>
    </row>
    <row r="211" spans="1:19" x14ac:dyDescent="0.25">
      <c r="A211" t="s">
        <v>113</v>
      </c>
      <c r="B211" t="s">
        <v>30</v>
      </c>
      <c r="C211" t="s">
        <v>114</v>
      </c>
      <c r="D211" s="1">
        <v>45658</v>
      </c>
      <c r="E211" s="1">
        <v>45870</v>
      </c>
      <c r="F211">
        <v>1</v>
      </c>
      <c r="G211">
        <f t="shared" si="6"/>
        <v>7</v>
      </c>
      <c r="H211" t="s">
        <v>394</v>
      </c>
      <c r="I211" t="s">
        <v>395</v>
      </c>
      <c r="J211">
        <v>17425766</v>
      </c>
      <c r="K211" t="s">
        <v>403</v>
      </c>
      <c r="L211" t="s">
        <v>404</v>
      </c>
      <c r="M211" t="str">
        <f t="shared" si="7"/>
        <v>CAROL FOLEY</v>
      </c>
      <c r="N211" t="s">
        <v>41</v>
      </c>
      <c r="O211">
        <v>1</v>
      </c>
      <c r="P211">
        <v>20.13</v>
      </c>
      <c r="Q211">
        <v>0.65</v>
      </c>
      <c r="R211">
        <v>13.08</v>
      </c>
      <c r="S211" t="s">
        <v>400</v>
      </c>
    </row>
    <row r="212" spans="1:19" x14ac:dyDescent="0.25">
      <c r="A212" t="s">
        <v>113</v>
      </c>
      <c r="B212" t="s">
        <v>30</v>
      </c>
      <c r="C212" t="s">
        <v>114</v>
      </c>
      <c r="D212" s="1">
        <v>45658</v>
      </c>
      <c r="E212" s="1">
        <v>45870</v>
      </c>
      <c r="F212">
        <v>1</v>
      </c>
      <c r="G212">
        <f t="shared" si="6"/>
        <v>7</v>
      </c>
      <c r="H212" t="s">
        <v>394</v>
      </c>
      <c r="I212" t="s">
        <v>395</v>
      </c>
      <c r="J212">
        <v>17425766</v>
      </c>
      <c r="K212" t="s">
        <v>403</v>
      </c>
      <c r="L212" t="s">
        <v>404</v>
      </c>
      <c r="M212" t="str">
        <f t="shared" si="7"/>
        <v>CAROL FOLEY</v>
      </c>
      <c r="N212" t="s">
        <v>34</v>
      </c>
      <c r="O212">
        <v>1</v>
      </c>
      <c r="P212">
        <v>13.58</v>
      </c>
      <c r="Q212">
        <v>0.65</v>
      </c>
      <c r="R212">
        <v>8.83</v>
      </c>
      <c r="S212" t="s">
        <v>400</v>
      </c>
    </row>
    <row r="213" spans="1:19" x14ac:dyDescent="0.25">
      <c r="A213" t="s">
        <v>115</v>
      </c>
      <c r="B213" t="s">
        <v>30</v>
      </c>
      <c r="C213" t="s">
        <v>116</v>
      </c>
      <c r="D213" s="1">
        <v>45658</v>
      </c>
      <c r="E213" s="1">
        <v>45870</v>
      </c>
      <c r="F213">
        <v>1</v>
      </c>
      <c r="G213">
        <f t="shared" si="6"/>
        <v>7</v>
      </c>
      <c r="H213" t="s">
        <v>394</v>
      </c>
      <c r="I213" t="s">
        <v>395</v>
      </c>
      <c r="J213">
        <v>17425766</v>
      </c>
      <c r="K213" t="s">
        <v>403</v>
      </c>
      <c r="L213" t="s">
        <v>404</v>
      </c>
      <c r="M213" t="str">
        <f t="shared" si="7"/>
        <v>CAROL FOLEY</v>
      </c>
      <c r="N213" t="s">
        <v>41</v>
      </c>
      <c r="O213">
        <v>1</v>
      </c>
      <c r="P213">
        <v>22.08</v>
      </c>
      <c r="Q213">
        <v>0.65</v>
      </c>
      <c r="R213">
        <v>14.35</v>
      </c>
      <c r="S213" t="s">
        <v>400</v>
      </c>
    </row>
    <row r="214" spans="1:19" x14ac:dyDescent="0.25">
      <c r="A214" t="s">
        <v>115</v>
      </c>
      <c r="B214" t="s">
        <v>30</v>
      </c>
      <c r="C214" t="s">
        <v>116</v>
      </c>
      <c r="D214" s="1">
        <v>45658</v>
      </c>
      <c r="E214" s="1">
        <v>45870</v>
      </c>
      <c r="F214">
        <v>1</v>
      </c>
      <c r="G214">
        <f t="shared" si="6"/>
        <v>7</v>
      </c>
      <c r="H214" t="s">
        <v>394</v>
      </c>
      <c r="I214" t="s">
        <v>395</v>
      </c>
      <c r="J214">
        <v>17425766</v>
      </c>
      <c r="K214" t="s">
        <v>403</v>
      </c>
      <c r="L214" t="s">
        <v>404</v>
      </c>
      <c r="M214" t="str">
        <f t="shared" si="7"/>
        <v>CAROL FOLEY</v>
      </c>
      <c r="N214" t="s">
        <v>28</v>
      </c>
      <c r="O214">
        <v>1</v>
      </c>
      <c r="P214">
        <v>1.68</v>
      </c>
      <c r="Q214">
        <v>0.65</v>
      </c>
      <c r="R214">
        <v>1.0900000000000001</v>
      </c>
      <c r="S214" t="s">
        <v>400</v>
      </c>
    </row>
    <row r="215" spans="1:19" x14ac:dyDescent="0.25">
      <c r="A215" t="s">
        <v>115</v>
      </c>
      <c r="B215" t="s">
        <v>30</v>
      </c>
      <c r="C215" t="s">
        <v>116</v>
      </c>
      <c r="D215" s="1">
        <v>45658</v>
      </c>
      <c r="E215" s="1">
        <v>45870</v>
      </c>
      <c r="F215">
        <v>1</v>
      </c>
      <c r="G215">
        <f t="shared" si="6"/>
        <v>7</v>
      </c>
      <c r="H215" t="s">
        <v>394</v>
      </c>
      <c r="I215" t="s">
        <v>395</v>
      </c>
      <c r="J215">
        <v>17425766</v>
      </c>
      <c r="K215" t="s">
        <v>403</v>
      </c>
      <c r="L215" t="s">
        <v>404</v>
      </c>
      <c r="M215" t="str">
        <f t="shared" si="7"/>
        <v>CAROL FOLEY</v>
      </c>
      <c r="N215" t="s">
        <v>42</v>
      </c>
      <c r="O215">
        <v>1</v>
      </c>
      <c r="P215">
        <v>3.78</v>
      </c>
      <c r="Q215">
        <v>0.65</v>
      </c>
      <c r="R215">
        <v>2.46</v>
      </c>
      <c r="S215" t="s">
        <v>400</v>
      </c>
    </row>
    <row r="216" spans="1:19" x14ac:dyDescent="0.25">
      <c r="A216" t="s">
        <v>115</v>
      </c>
      <c r="B216" t="s">
        <v>30</v>
      </c>
      <c r="C216" t="s">
        <v>116</v>
      </c>
      <c r="D216" s="1">
        <v>45658</v>
      </c>
      <c r="E216" s="1">
        <v>45870</v>
      </c>
      <c r="F216">
        <v>1</v>
      </c>
      <c r="G216">
        <f t="shared" si="6"/>
        <v>7</v>
      </c>
      <c r="H216" t="s">
        <v>394</v>
      </c>
      <c r="I216" t="s">
        <v>395</v>
      </c>
      <c r="J216">
        <v>17425766</v>
      </c>
      <c r="K216" t="s">
        <v>403</v>
      </c>
      <c r="L216" t="s">
        <v>404</v>
      </c>
      <c r="M216" t="str">
        <f t="shared" si="7"/>
        <v>CAROL FOLEY</v>
      </c>
      <c r="N216" t="s">
        <v>27</v>
      </c>
      <c r="O216">
        <v>1</v>
      </c>
      <c r="P216">
        <v>6.22</v>
      </c>
      <c r="Q216">
        <v>0.65</v>
      </c>
      <c r="R216">
        <v>4.04</v>
      </c>
      <c r="S216" t="s">
        <v>400</v>
      </c>
    </row>
    <row r="217" spans="1:19" x14ac:dyDescent="0.25">
      <c r="A217" t="s">
        <v>115</v>
      </c>
      <c r="B217" t="s">
        <v>30</v>
      </c>
      <c r="C217" t="s">
        <v>116</v>
      </c>
      <c r="D217" s="1">
        <v>45658</v>
      </c>
      <c r="E217" s="1">
        <v>45870</v>
      </c>
      <c r="F217">
        <v>1</v>
      </c>
      <c r="G217">
        <f t="shared" si="6"/>
        <v>7</v>
      </c>
      <c r="H217" t="s">
        <v>394</v>
      </c>
      <c r="I217" t="s">
        <v>395</v>
      </c>
      <c r="J217">
        <v>17425766</v>
      </c>
      <c r="K217" t="s">
        <v>403</v>
      </c>
      <c r="L217" t="s">
        <v>404</v>
      </c>
      <c r="M217" t="str">
        <f t="shared" si="7"/>
        <v>CAROL FOLEY</v>
      </c>
      <c r="N217" t="s">
        <v>25</v>
      </c>
      <c r="O217">
        <v>1</v>
      </c>
      <c r="P217">
        <v>22.13</v>
      </c>
      <c r="Q217">
        <v>0.65</v>
      </c>
      <c r="R217">
        <v>14.38</v>
      </c>
      <c r="S217" t="s">
        <v>400</v>
      </c>
    </row>
    <row r="218" spans="1:19" x14ac:dyDescent="0.25">
      <c r="A218" t="s">
        <v>134</v>
      </c>
      <c r="B218" t="s">
        <v>128</v>
      </c>
      <c r="C218" t="s">
        <v>135</v>
      </c>
      <c r="D218" s="1">
        <v>45658</v>
      </c>
      <c r="E218" s="1">
        <v>45870</v>
      </c>
      <c r="F218">
        <v>1</v>
      </c>
      <c r="G218">
        <f t="shared" si="6"/>
        <v>7</v>
      </c>
      <c r="H218" t="s">
        <v>394</v>
      </c>
      <c r="I218" t="s">
        <v>395</v>
      </c>
      <c r="J218">
        <v>18581063</v>
      </c>
      <c r="K218" t="s">
        <v>427</v>
      </c>
      <c r="L218" t="s">
        <v>411</v>
      </c>
      <c r="M218" t="str">
        <f t="shared" si="7"/>
        <v xml:space="preserve">TIMOTHY HODGMAN   </v>
      </c>
      <c r="N218" t="s">
        <v>25</v>
      </c>
      <c r="O218">
        <v>1</v>
      </c>
      <c r="P218">
        <v>33.67</v>
      </c>
      <c r="Q218">
        <v>0.65</v>
      </c>
      <c r="R218">
        <v>21.89</v>
      </c>
      <c r="S218" t="s">
        <v>400</v>
      </c>
    </row>
    <row r="219" spans="1:19" x14ac:dyDescent="0.25">
      <c r="A219" t="s">
        <v>134</v>
      </c>
      <c r="B219" t="s">
        <v>128</v>
      </c>
      <c r="C219" t="s">
        <v>135</v>
      </c>
      <c r="D219" s="1">
        <v>45658</v>
      </c>
      <c r="E219" s="1">
        <v>45870</v>
      </c>
      <c r="F219">
        <v>1</v>
      </c>
      <c r="G219">
        <f t="shared" si="6"/>
        <v>7</v>
      </c>
      <c r="H219" t="s">
        <v>394</v>
      </c>
      <c r="I219" t="s">
        <v>395</v>
      </c>
      <c r="J219">
        <v>18581063</v>
      </c>
      <c r="K219" t="s">
        <v>427</v>
      </c>
      <c r="L219" t="s">
        <v>411</v>
      </c>
      <c r="M219" t="str">
        <f t="shared" si="7"/>
        <v xml:space="preserve">TIMOTHY HODGMAN   </v>
      </c>
      <c r="N219" t="s">
        <v>76</v>
      </c>
      <c r="O219">
        <v>1</v>
      </c>
      <c r="P219">
        <v>3.53</v>
      </c>
      <c r="Q219">
        <v>0.65</v>
      </c>
      <c r="R219">
        <v>2.29</v>
      </c>
      <c r="S219" t="s">
        <v>400</v>
      </c>
    </row>
    <row r="220" spans="1:19" x14ac:dyDescent="0.25">
      <c r="A220" t="s">
        <v>134</v>
      </c>
      <c r="B220" t="s">
        <v>128</v>
      </c>
      <c r="C220" t="s">
        <v>135</v>
      </c>
      <c r="D220" s="1">
        <v>45658</v>
      </c>
      <c r="E220" s="1">
        <v>45870</v>
      </c>
      <c r="F220">
        <v>1</v>
      </c>
      <c r="G220">
        <f t="shared" si="6"/>
        <v>7</v>
      </c>
      <c r="H220" t="s">
        <v>394</v>
      </c>
      <c r="I220" t="s">
        <v>395</v>
      </c>
      <c r="J220">
        <v>18581063</v>
      </c>
      <c r="K220" t="s">
        <v>427</v>
      </c>
      <c r="L220" t="s">
        <v>411</v>
      </c>
      <c r="M220" t="str">
        <f t="shared" si="7"/>
        <v xml:space="preserve">TIMOTHY HODGMAN   </v>
      </c>
      <c r="N220" t="s">
        <v>136</v>
      </c>
      <c r="O220">
        <v>1</v>
      </c>
      <c r="P220">
        <v>3.2</v>
      </c>
      <c r="Q220">
        <v>0.65</v>
      </c>
      <c r="R220">
        <v>2.08</v>
      </c>
      <c r="S220" t="s">
        <v>400</v>
      </c>
    </row>
    <row r="221" spans="1:19" x14ac:dyDescent="0.25">
      <c r="A221" t="s">
        <v>134</v>
      </c>
      <c r="B221" t="s">
        <v>128</v>
      </c>
      <c r="C221" t="s">
        <v>135</v>
      </c>
      <c r="D221" s="1">
        <v>45658</v>
      </c>
      <c r="E221" s="1">
        <v>45870</v>
      </c>
      <c r="F221">
        <v>1</v>
      </c>
      <c r="G221">
        <f t="shared" si="6"/>
        <v>7</v>
      </c>
      <c r="H221" t="s">
        <v>394</v>
      </c>
      <c r="I221" t="s">
        <v>395</v>
      </c>
      <c r="J221">
        <v>18581063</v>
      </c>
      <c r="K221" t="s">
        <v>427</v>
      </c>
      <c r="L221" t="s">
        <v>411</v>
      </c>
      <c r="M221" t="str">
        <f t="shared" si="7"/>
        <v xml:space="preserve">TIMOTHY HODGMAN   </v>
      </c>
      <c r="N221" t="s">
        <v>28</v>
      </c>
      <c r="O221">
        <v>1</v>
      </c>
      <c r="P221">
        <v>1.68</v>
      </c>
      <c r="Q221">
        <v>0.65</v>
      </c>
      <c r="R221">
        <v>1.0900000000000001</v>
      </c>
      <c r="S221" t="s">
        <v>400</v>
      </c>
    </row>
    <row r="222" spans="1:19" x14ac:dyDescent="0.25">
      <c r="A222" t="s">
        <v>134</v>
      </c>
      <c r="B222" t="s">
        <v>128</v>
      </c>
      <c r="C222" t="s">
        <v>135</v>
      </c>
      <c r="D222" s="1">
        <v>45658</v>
      </c>
      <c r="E222" s="1">
        <v>45870</v>
      </c>
      <c r="F222">
        <v>1</v>
      </c>
      <c r="G222">
        <f t="shared" si="6"/>
        <v>7</v>
      </c>
      <c r="H222" t="s">
        <v>394</v>
      </c>
      <c r="I222" t="s">
        <v>395</v>
      </c>
      <c r="J222">
        <v>18581063</v>
      </c>
      <c r="K222" t="s">
        <v>427</v>
      </c>
      <c r="L222" t="s">
        <v>411</v>
      </c>
      <c r="M222" t="str">
        <f t="shared" si="7"/>
        <v xml:space="preserve">TIMOTHY HODGMAN   </v>
      </c>
      <c r="N222" t="s">
        <v>137</v>
      </c>
      <c r="O222">
        <v>1</v>
      </c>
      <c r="P222">
        <v>5.88</v>
      </c>
      <c r="Q222">
        <v>0.65</v>
      </c>
      <c r="R222">
        <v>3.82</v>
      </c>
      <c r="S222" t="s">
        <v>400</v>
      </c>
    </row>
    <row r="223" spans="1:19" x14ac:dyDescent="0.25">
      <c r="A223" t="s">
        <v>134</v>
      </c>
      <c r="B223" t="s">
        <v>128</v>
      </c>
      <c r="C223" t="s">
        <v>135</v>
      </c>
      <c r="D223" s="1">
        <v>45658</v>
      </c>
      <c r="E223" s="1">
        <v>45870</v>
      </c>
      <c r="F223">
        <v>1</v>
      </c>
      <c r="G223">
        <f t="shared" si="6"/>
        <v>7</v>
      </c>
      <c r="H223" t="s">
        <v>394</v>
      </c>
      <c r="I223" t="s">
        <v>395</v>
      </c>
      <c r="J223">
        <v>18581063</v>
      </c>
      <c r="K223" t="s">
        <v>427</v>
      </c>
      <c r="L223" t="s">
        <v>411</v>
      </c>
      <c r="M223" t="str">
        <f t="shared" si="7"/>
        <v xml:space="preserve">TIMOTHY HODGMAN   </v>
      </c>
      <c r="N223" t="s">
        <v>34</v>
      </c>
      <c r="O223">
        <v>1</v>
      </c>
      <c r="P223">
        <v>23.78</v>
      </c>
      <c r="Q223">
        <v>0.65</v>
      </c>
      <c r="R223">
        <v>15.46</v>
      </c>
      <c r="S223" t="s">
        <v>400</v>
      </c>
    </row>
    <row r="224" spans="1:19" x14ac:dyDescent="0.25">
      <c r="A224" t="s">
        <v>134</v>
      </c>
      <c r="B224" t="s">
        <v>128</v>
      </c>
      <c r="C224" t="s">
        <v>135</v>
      </c>
      <c r="D224" s="1">
        <v>45658</v>
      </c>
      <c r="E224" s="1">
        <v>45870</v>
      </c>
      <c r="F224">
        <v>1</v>
      </c>
      <c r="G224">
        <f t="shared" si="6"/>
        <v>7</v>
      </c>
      <c r="H224" t="s">
        <v>394</v>
      </c>
      <c r="I224" t="s">
        <v>395</v>
      </c>
      <c r="J224">
        <v>18581063</v>
      </c>
      <c r="K224" t="s">
        <v>427</v>
      </c>
      <c r="L224" t="s">
        <v>411</v>
      </c>
      <c r="M224" t="str">
        <f t="shared" si="7"/>
        <v xml:space="preserve">TIMOTHY HODGMAN   </v>
      </c>
      <c r="N224" t="s">
        <v>74</v>
      </c>
      <c r="O224">
        <v>1</v>
      </c>
      <c r="P224">
        <v>6.99</v>
      </c>
      <c r="Q224">
        <v>0.65</v>
      </c>
      <c r="R224">
        <v>4.54</v>
      </c>
      <c r="S224" t="s">
        <v>400</v>
      </c>
    </row>
    <row r="225" spans="1:19" x14ac:dyDescent="0.25">
      <c r="A225" t="s">
        <v>138</v>
      </c>
      <c r="B225" t="s">
        <v>128</v>
      </c>
      <c r="C225" t="s">
        <v>139</v>
      </c>
      <c r="D225" s="1">
        <v>45658</v>
      </c>
      <c r="E225" s="1">
        <v>45870</v>
      </c>
      <c r="F225">
        <v>1</v>
      </c>
      <c r="G225">
        <f t="shared" si="6"/>
        <v>7</v>
      </c>
      <c r="H225" t="s">
        <v>394</v>
      </c>
      <c r="I225" t="s">
        <v>395</v>
      </c>
      <c r="J225">
        <v>18581063</v>
      </c>
      <c r="K225" t="s">
        <v>427</v>
      </c>
      <c r="L225" t="s">
        <v>411</v>
      </c>
      <c r="M225" t="str">
        <f t="shared" si="7"/>
        <v xml:space="preserve">TIMOTHY HODGMAN   </v>
      </c>
      <c r="N225" t="s">
        <v>25</v>
      </c>
      <c r="O225">
        <v>1</v>
      </c>
      <c r="P225">
        <v>31.28</v>
      </c>
      <c r="Q225">
        <v>0.65</v>
      </c>
      <c r="R225">
        <v>20.329999999999998</v>
      </c>
      <c r="S225" t="s">
        <v>400</v>
      </c>
    </row>
    <row r="226" spans="1:19" x14ac:dyDescent="0.25">
      <c r="A226" t="s">
        <v>138</v>
      </c>
      <c r="B226" t="s">
        <v>128</v>
      </c>
      <c r="C226" t="s">
        <v>139</v>
      </c>
      <c r="D226" s="1">
        <v>45658</v>
      </c>
      <c r="E226" s="1">
        <v>45870</v>
      </c>
      <c r="F226">
        <v>1</v>
      </c>
      <c r="G226">
        <f t="shared" si="6"/>
        <v>7</v>
      </c>
      <c r="H226" t="s">
        <v>394</v>
      </c>
      <c r="I226" t="s">
        <v>395</v>
      </c>
      <c r="J226">
        <v>18581063</v>
      </c>
      <c r="K226" t="s">
        <v>427</v>
      </c>
      <c r="L226" t="s">
        <v>411</v>
      </c>
      <c r="M226" t="str">
        <f t="shared" si="7"/>
        <v xml:space="preserve">TIMOTHY HODGMAN   </v>
      </c>
      <c r="N226" t="s">
        <v>27</v>
      </c>
      <c r="O226">
        <v>1</v>
      </c>
      <c r="P226">
        <v>12.43</v>
      </c>
      <c r="Q226">
        <v>0.65</v>
      </c>
      <c r="R226">
        <v>8.08</v>
      </c>
      <c r="S226" t="s">
        <v>400</v>
      </c>
    </row>
    <row r="227" spans="1:19" x14ac:dyDescent="0.25">
      <c r="A227" t="s">
        <v>138</v>
      </c>
      <c r="B227" t="s">
        <v>128</v>
      </c>
      <c r="C227" t="s">
        <v>139</v>
      </c>
      <c r="D227" s="1">
        <v>45658</v>
      </c>
      <c r="E227" s="1">
        <v>45870</v>
      </c>
      <c r="F227">
        <v>1</v>
      </c>
      <c r="G227">
        <f t="shared" si="6"/>
        <v>7</v>
      </c>
      <c r="H227" t="s">
        <v>394</v>
      </c>
      <c r="I227" t="s">
        <v>395</v>
      </c>
      <c r="J227">
        <v>18581063</v>
      </c>
      <c r="K227" t="s">
        <v>427</v>
      </c>
      <c r="L227" t="s">
        <v>411</v>
      </c>
      <c r="M227" t="str">
        <f t="shared" si="7"/>
        <v xml:space="preserve">TIMOTHY HODGMAN   </v>
      </c>
      <c r="N227" t="s">
        <v>133</v>
      </c>
      <c r="O227">
        <v>1</v>
      </c>
      <c r="P227">
        <v>37.21</v>
      </c>
      <c r="Q227">
        <v>0.65</v>
      </c>
      <c r="R227">
        <v>24.19</v>
      </c>
      <c r="S227" t="s">
        <v>400</v>
      </c>
    </row>
    <row r="228" spans="1:19" x14ac:dyDescent="0.25">
      <c r="A228" t="s">
        <v>138</v>
      </c>
      <c r="B228" t="s">
        <v>128</v>
      </c>
      <c r="C228" t="s">
        <v>139</v>
      </c>
      <c r="D228" s="1">
        <v>45658</v>
      </c>
      <c r="E228" s="1">
        <v>45870</v>
      </c>
      <c r="F228">
        <v>1</v>
      </c>
      <c r="G228">
        <f t="shared" si="6"/>
        <v>7</v>
      </c>
      <c r="H228" t="s">
        <v>394</v>
      </c>
      <c r="I228" t="s">
        <v>395</v>
      </c>
      <c r="J228">
        <v>18581063</v>
      </c>
      <c r="K228" t="s">
        <v>427</v>
      </c>
      <c r="L228" t="s">
        <v>411</v>
      </c>
      <c r="M228" t="str">
        <f t="shared" si="7"/>
        <v xml:space="preserve">TIMOTHY HODGMAN   </v>
      </c>
      <c r="N228" t="s">
        <v>34</v>
      </c>
      <c r="O228">
        <v>1</v>
      </c>
      <c r="P228">
        <v>14.23</v>
      </c>
      <c r="Q228">
        <v>0.65</v>
      </c>
      <c r="R228">
        <v>9.25</v>
      </c>
      <c r="S228" t="s">
        <v>400</v>
      </c>
    </row>
    <row r="229" spans="1:19" x14ac:dyDescent="0.25">
      <c r="A229" t="s">
        <v>138</v>
      </c>
      <c r="B229" t="s">
        <v>128</v>
      </c>
      <c r="C229" t="s">
        <v>139</v>
      </c>
      <c r="D229" s="1">
        <v>45658</v>
      </c>
      <c r="E229" s="1">
        <v>45870</v>
      </c>
      <c r="F229">
        <v>1</v>
      </c>
      <c r="G229">
        <f t="shared" si="6"/>
        <v>7</v>
      </c>
      <c r="H229" t="s">
        <v>394</v>
      </c>
      <c r="I229" t="s">
        <v>395</v>
      </c>
      <c r="J229">
        <v>18581063</v>
      </c>
      <c r="K229" t="s">
        <v>427</v>
      </c>
      <c r="L229" t="s">
        <v>411</v>
      </c>
      <c r="M229" t="str">
        <f t="shared" si="7"/>
        <v xml:space="preserve">TIMOTHY HODGMAN   </v>
      </c>
      <c r="N229" t="s">
        <v>76</v>
      </c>
      <c r="O229">
        <v>1</v>
      </c>
      <c r="P229">
        <v>2.86</v>
      </c>
      <c r="Q229">
        <v>0.65</v>
      </c>
      <c r="R229">
        <v>1.86</v>
      </c>
      <c r="S229" t="s">
        <v>400</v>
      </c>
    </row>
    <row r="230" spans="1:19" x14ac:dyDescent="0.25">
      <c r="A230" t="s">
        <v>138</v>
      </c>
      <c r="B230" t="s">
        <v>128</v>
      </c>
      <c r="C230" t="s">
        <v>139</v>
      </c>
      <c r="D230" s="1">
        <v>45658</v>
      </c>
      <c r="E230" s="1">
        <v>45870</v>
      </c>
      <c r="F230">
        <v>1</v>
      </c>
      <c r="G230">
        <f t="shared" si="6"/>
        <v>7</v>
      </c>
      <c r="H230" t="s">
        <v>394</v>
      </c>
      <c r="I230" t="s">
        <v>395</v>
      </c>
      <c r="J230">
        <v>18581063</v>
      </c>
      <c r="K230" t="s">
        <v>427</v>
      </c>
      <c r="L230" t="s">
        <v>411</v>
      </c>
      <c r="M230" t="str">
        <f t="shared" si="7"/>
        <v xml:space="preserve">TIMOTHY HODGMAN   </v>
      </c>
      <c r="N230" t="s">
        <v>28</v>
      </c>
      <c r="O230">
        <v>1</v>
      </c>
      <c r="P230">
        <v>1.68</v>
      </c>
      <c r="Q230">
        <v>0.65</v>
      </c>
      <c r="R230">
        <v>1.0900000000000001</v>
      </c>
      <c r="S230" t="s">
        <v>400</v>
      </c>
    </row>
    <row r="231" spans="1:19" x14ac:dyDescent="0.25">
      <c r="A231" t="s">
        <v>138</v>
      </c>
      <c r="B231" t="s">
        <v>128</v>
      </c>
      <c r="C231" t="s">
        <v>139</v>
      </c>
      <c r="D231" s="1">
        <v>45658</v>
      </c>
      <c r="E231" s="1">
        <v>45870</v>
      </c>
      <c r="F231">
        <v>1</v>
      </c>
      <c r="G231">
        <f t="shared" si="6"/>
        <v>7</v>
      </c>
      <c r="H231" t="s">
        <v>394</v>
      </c>
      <c r="I231" t="s">
        <v>395</v>
      </c>
      <c r="J231">
        <v>18581063</v>
      </c>
      <c r="K231" t="s">
        <v>427</v>
      </c>
      <c r="L231" t="s">
        <v>411</v>
      </c>
      <c r="M231" t="str">
        <f t="shared" si="7"/>
        <v xml:space="preserve">TIMOTHY HODGMAN   </v>
      </c>
      <c r="N231" t="s">
        <v>106</v>
      </c>
      <c r="O231">
        <v>1</v>
      </c>
      <c r="P231">
        <v>30.86</v>
      </c>
      <c r="Q231">
        <v>0.65</v>
      </c>
      <c r="R231">
        <v>20.059999999999999</v>
      </c>
      <c r="S231" t="s">
        <v>400</v>
      </c>
    </row>
    <row r="232" spans="1:19" x14ac:dyDescent="0.25">
      <c r="A232" t="s">
        <v>138</v>
      </c>
      <c r="B232" t="s">
        <v>128</v>
      </c>
      <c r="C232" t="s">
        <v>139</v>
      </c>
      <c r="D232" s="1">
        <v>45658</v>
      </c>
      <c r="E232" s="1">
        <v>45870</v>
      </c>
      <c r="F232">
        <v>1</v>
      </c>
      <c r="G232">
        <f t="shared" si="6"/>
        <v>7</v>
      </c>
      <c r="H232" t="s">
        <v>394</v>
      </c>
      <c r="I232" t="s">
        <v>395</v>
      </c>
      <c r="J232">
        <v>18581063</v>
      </c>
      <c r="K232" t="s">
        <v>427</v>
      </c>
      <c r="L232" t="s">
        <v>411</v>
      </c>
      <c r="M232" t="str">
        <f t="shared" si="7"/>
        <v xml:space="preserve">TIMOTHY HODGMAN   </v>
      </c>
      <c r="N232" t="s">
        <v>74</v>
      </c>
      <c r="O232">
        <v>1</v>
      </c>
      <c r="P232">
        <v>6.99</v>
      </c>
      <c r="Q232">
        <v>0.65</v>
      </c>
      <c r="R232">
        <v>4.54</v>
      </c>
      <c r="S232" t="s">
        <v>400</v>
      </c>
    </row>
    <row r="233" spans="1:19" x14ac:dyDescent="0.25">
      <c r="A233" t="s">
        <v>138</v>
      </c>
      <c r="B233" t="s">
        <v>128</v>
      </c>
      <c r="C233" t="s">
        <v>139</v>
      </c>
      <c r="D233" s="1">
        <v>45658</v>
      </c>
      <c r="E233" s="1">
        <v>45870</v>
      </c>
      <c r="F233">
        <v>1</v>
      </c>
      <c r="G233">
        <f t="shared" si="6"/>
        <v>7</v>
      </c>
      <c r="H233" t="s">
        <v>394</v>
      </c>
      <c r="I233" t="s">
        <v>395</v>
      </c>
      <c r="J233">
        <v>18581063</v>
      </c>
      <c r="K233" t="s">
        <v>427</v>
      </c>
      <c r="L233" t="s">
        <v>411</v>
      </c>
      <c r="M233" t="str">
        <f t="shared" si="7"/>
        <v xml:space="preserve">TIMOTHY HODGMAN   </v>
      </c>
      <c r="N233" t="s">
        <v>105</v>
      </c>
      <c r="O233">
        <v>1</v>
      </c>
      <c r="P233">
        <v>2.92</v>
      </c>
      <c r="Q233">
        <v>0.65</v>
      </c>
      <c r="R233">
        <v>1.9</v>
      </c>
      <c r="S233" t="s">
        <v>400</v>
      </c>
    </row>
    <row r="234" spans="1:19" x14ac:dyDescent="0.25">
      <c r="A234" t="s">
        <v>138</v>
      </c>
      <c r="B234" t="s">
        <v>128</v>
      </c>
      <c r="C234" t="s">
        <v>139</v>
      </c>
      <c r="D234" s="1">
        <v>45658</v>
      </c>
      <c r="E234" s="1">
        <v>45870</v>
      </c>
      <c r="F234">
        <v>1</v>
      </c>
      <c r="G234">
        <f t="shared" si="6"/>
        <v>7</v>
      </c>
      <c r="H234" t="s">
        <v>394</v>
      </c>
      <c r="I234" t="s">
        <v>395</v>
      </c>
      <c r="J234">
        <v>18581063</v>
      </c>
      <c r="K234" t="s">
        <v>427</v>
      </c>
      <c r="L234" t="s">
        <v>411</v>
      </c>
      <c r="M234" t="str">
        <f t="shared" si="7"/>
        <v xml:space="preserve">TIMOTHY HODGMAN   </v>
      </c>
      <c r="N234" t="s">
        <v>75</v>
      </c>
      <c r="O234">
        <v>1</v>
      </c>
      <c r="P234">
        <v>3.28</v>
      </c>
      <c r="Q234">
        <v>0.65</v>
      </c>
      <c r="R234">
        <v>2.13</v>
      </c>
      <c r="S234" t="s">
        <v>400</v>
      </c>
    </row>
    <row r="235" spans="1:19" x14ac:dyDescent="0.25">
      <c r="A235" t="s">
        <v>140</v>
      </c>
      <c r="B235" t="s">
        <v>128</v>
      </c>
      <c r="C235" t="s">
        <v>141</v>
      </c>
      <c r="D235" s="1">
        <v>45658</v>
      </c>
      <c r="E235" s="1">
        <v>45870</v>
      </c>
      <c r="F235">
        <v>1</v>
      </c>
      <c r="G235">
        <f t="shared" si="6"/>
        <v>7</v>
      </c>
      <c r="H235" t="s">
        <v>394</v>
      </c>
      <c r="I235" t="s">
        <v>395</v>
      </c>
      <c r="J235">
        <v>18581063</v>
      </c>
      <c r="K235" t="s">
        <v>427</v>
      </c>
      <c r="L235" t="s">
        <v>411</v>
      </c>
      <c r="M235" t="str">
        <f t="shared" si="7"/>
        <v xml:space="preserve">TIMOTHY HODGMAN   </v>
      </c>
      <c r="N235" t="s">
        <v>25</v>
      </c>
      <c r="O235">
        <v>1</v>
      </c>
      <c r="P235">
        <v>32.090000000000003</v>
      </c>
      <c r="Q235">
        <v>0.65</v>
      </c>
      <c r="R235">
        <v>20.86</v>
      </c>
      <c r="S235" t="s">
        <v>400</v>
      </c>
    </row>
    <row r="236" spans="1:19" x14ac:dyDescent="0.25">
      <c r="A236" t="s">
        <v>140</v>
      </c>
      <c r="B236" t="s">
        <v>128</v>
      </c>
      <c r="C236" t="s">
        <v>141</v>
      </c>
      <c r="D236" s="1">
        <v>45658</v>
      </c>
      <c r="E236" s="1">
        <v>45870</v>
      </c>
      <c r="F236">
        <v>1</v>
      </c>
      <c r="G236">
        <f t="shared" si="6"/>
        <v>7</v>
      </c>
      <c r="H236" t="s">
        <v>394</v>
      </c>
      <c r="I236" t="s">
        <v>395</v>
      </c>
      <c r="J236">
        <v>18581063</v>
      </c>
      <c r="K236" t="s">
        <v>427</v>
      </c>
      <c r="L236" t="s">
        <v>411</v>
      </c>
      <c r="M236" t="str">
        <f t="shared" si="7"/>
        <v xml:space="preserve">TIMOTHY HODGMAN   </v>
      </c>
      <c r="N236" t="s">
        <v>76</v>
      </c>
      <c r="O236">
        <v>1</v>
      </c>
      <c r="P236">
        <v>2.86</v>
      </c>
      <c r="Q236">
        <v>0.65</v>
      </c>
      <c r="R236">
        <v>1.86</v>
      </c>
      <c r="S236" t="s">
        <v>400</v>
      </c>
    </row>
    <row r="237" spans="1:19" x14ac:dyDescent="0.25">
      <c r="A237" t="s">
        <v>140</v>
      </c>
      <c r="B237" t="s">
        <v>128</v>
      </c>
      <c r="C237" t="s">
        <v>141</v>
      </c>
      <c r="D237" s="1">
        <v>45658</v>
      </c>
      <c r="E237" s="1">
        <v>45870</v>
      </c>
      <c r="F237">
        <v>1</v>
      </c>
      <c r="G237">
        <f t="shared" si="6"/>
        <v>7</v>
      </c>
      <c r="H237" t="s">
        <v>394</v>
      </c>
      <c r="I237" t="s">
        <v>395</v>
      </c>
      <c r="J237">
        <v>18581063</v>
      </c>
      <c r="K237" t="s">
        <v>427</v>
      </c>
      <c r="L237" t="s">
        <v>411</v>
      </c>
      <c r="M237" t="str">
        <f t="shared" si="7"/>
        <v xml:space="preserve">TIMOTHY HODGMAN   </v>
      </c>
      <c r="N237" t="s">
        <v>27</v>
      </c>
      <c r="O237">
        <v>1</v>
      </c>
      <c r="P237">
        <v>12.43</v>
      </c>
      <c r="Q237">
        <v>0.65</v>
      </c>
      <c r="R237">
        <v>8.08</v>
      </c>
      <c r="S237" t="s">
        <v>400</v>
      </c>
    </row>
    <row r="238" spans="1:19" x14ac:dyDescent="0.25">
      <c r="A238" t="s">
        <v>140</v>
      </c>
      <c r="B238" t="s">
        <v>128</v>
      </c>
      <c r="C238" t="s">
        <v>141</v>
      </c>
      <c r="D238" s="1">
        <v>45658</v>
      </c>
      <c r="E238" s="1">
        <v>45870</v>
      </c>
      <c r="F238">
        <v>1</v>
      </c>
      <c r="G238">
        <f t="shared" si="6"/>
        <v>7</v>
      </c>
      <c r="H238" t="s">
        <v>394</v>
      </c>
      <c r="I238" t="s">
        <v>395</v>
      </c>
      <c r="J238">
        <v>18581063</v>
      </c>
      <c r="K238" t="s">
        <v>427</v>
      </c>
      <c r="L238" t="s">
        <v>411</v>
      </c>
      <c r="M238" t="str">
        <f t="shared" si="7"/>
        <v xml:space="preserve">TIMOTHY HODGMAN   </v>
      </c>
      <c r="N238" t="s">
        <v>105</v>
      </c>
      <c r="O238">
        <v>1</v>
      </c>
      <c r="P238">
        <v>3.3</v>
      </c>
      <c r="Q238">
        <v>0.65</v>
      </c>
      <c r="R238">
        <v>2.15</v>
      </c>
      <c r="S238" t="s">
        <v>400</v>
      </c>
    </row>
    <row r="239" spans="1:19" x14ac:dyDescent="0.25">
      <c r="A239" t="s">
        <v>140</v>
      </c>
      <c r="B239" t="s">
        <v>128</v>
      </c>
      <c r="C239" t="s">
        <v>141</v>
      </c>
      <c r="D239" s="1">
        <v>45658</v>
      </c>
      <c r="E239" s="1">
        <v>45870</v>
      </c>
      <c r="F239">
        <v>1</v>
      </c>
      <c r="G239">
        <f t="shared" si="6"/>
        <v>7</v>
      </c>
      <c r="H239" t="s">
        <v>394</v>
      </c>
      <c r="I239" t="s">
        <v>395</v>
      </c>
      <c r="J239">
        <v>18581063</v>
      </c>
      <c r="K239" t="s">
        <v>427</v>
      </c>
      <c r="L239" t="s">
        <v>411</v>
      </c>
      <c r="M239" t="str">
        <f t="shared" si="7"/>
        <v xml:space="preserve">TIMOTHY HODGMAN   </v>
      </c>
      <c r="N239" t="s">
        <v>28</v>
      </c>
      <c r="O239">
        <v>1</v>
      </c>
      <c r="P239">
        <v>1.68</v>
      </c>
      <c r="Q239">
        <v>0.65</v>
      </c>
      <c r="R239">
        <v>1.0900000000000001</v>
      </c>
      <c r="S239" t="s">
        <v>400</v>
      </c>
    </row>
    <row r="240" spans="1:19" x14ac:dyDescent="0.25">
      <c r="A240" t="s">
        <v>140</v>
      </c>
      <c r="B240" t="s">
        <v>128</v>
      </c>
      <c r="C240" t="s">
        <v>141</v>
      </c>
      <c r="D240" s="1">
        <v>45658</v>
      </c>
      <c r="E240" s="1">
        <v>45870</v>
      </c>
      <c r="F240">
        <v>1</v>
      </c>
      <c r="G240">
        <f t="shared" si="6"/>
        <v>7</v>
      </c>
      <c r="H240" t="s">
        <v>394</v>
      </c>
      <c r="I240" t="s">
        <v>395</v>
      </c>
      <c r="J240">
        <v>18581063</v>
      </c>
      <c r="K240" t="s">
        <v>427</v>
      </c>
      <c r="L240" t="s">
        <v>411</v>
      </c>
      <c r="M240" t="str">
        <f t="shared" si="7"/>
        <v xml:space="preserve">TIMOTHY HODGMAN   </v>
      </c>
      <c r="N240" t="s">
        <v>34</v>
      </c>
      <c r="O240">
        <v>1</v>
      </c>
      <c r="P240">
        <v>17.63</v>
      </c>
      <c r="Q240">
        <v>0.65</v>
      </c>
      <c r="R240">
        <v>11.46</v>
      </c>
      <c r="S240" t="s">
        <v>400</v>
      </c>
    </row>
    <row r="241" spans="1:19" x14ac:dyDescent="0.25">
      <c r="A241" t="s">
        <v>140</v>
      </c>
      <c r="B241" t="s">
        <v>128</v>
      </c>
      <c r="C241" t="s">
        <v>141</v>
      </c>
      <c r="D241" s="1">
        <v>45658</v>
      </c>
      <c r="E241" s="1">
        <v>45870</v>
      </c>
      <c r="F241">
        <v>1</v>
      </c>
      <c r="G241">
        <f t="shared" si="6"/>
        <v>7</v>
      </c>
      <c r="H241" t="s">
        <v>394</v>
      </c>
      <c r="I241" t="s">
        <v>395</v>
      </c>
      <c r="J241">
        <v>18581063</v>
      </c>
      <c r="K241" t="s">
        <v>427</v>
      </c>
      <c r="L241" t="s">
        <v>411</v>
      </c>
      <c r="M241" t="str">
        <f t="shared" si="7"/>
        <v xml:space="preserve">TIMOTHY HODGMAN   </v>
      </c>
      <c r="N241" t="s">
        <v>74</v>
      </c>
      <c r="O241">
        <v>1</v>
      </c>
      <c r="P241">
        <v>6.99</v>
      </c>
      <c r="Q241">
        <v>0.65</v>
      </c>
      <c r="R241">
        <v>4.54</v>
      </c>
      <c r="S241" t="s">
        <v>400</v>
      </c>
    </row>
    <row r="242" spans="1:19" x14ac:dyDescent="0.25">
      <c r="A242" t="s">
        <v>140</v>
      </c>
      <c r="B242" t="s">
        <v>128</v>
      </c>
      <c r="C242" t="s">
        <v>141</v>
      </c>
      <c r="D242" s="1">
        <v>45658</v>
      </c>
      <c r="E242" s="1">
        <v>45870</v>
      </c>
      <c r="F242">
        <v>1</v>
      </c>
      <c r="G242">
        <f t="shared" si="6"/>
        <v>7</v>
      </c>
      <c r="H242" t="s">
        <v>394</v>
      </c>
      <c r="I242" t="s">
        <v>395</v>
      </c>
      <c r="J242">
        <v>18581063</v>
      </c>
      <c r="K242" t="s">
        <v>427</v>
      </c>
      <c r="L242" t="s">
        <v>411</v>
      </c>
      <c r="M242" t="str">
        <f t="shared" si="7"/>
        <v xml:space="preserve">TIMOTHY HODGMAN   </v>
      </c>
      <c r="N242" t="s">
        <v>75</v>
      </c>
      <c r="O242">
        <v>1</v>
      </c>
      <c r="P242">
        <v>4.62</v>
      </c>
      <c r="Q242">
        <v>0.65</v>
      </c>
      <c r="R242">
        <v>3</v>
      </c>
      <c r="S242" t="s">
        <v>400</v>
      </c>
    </row>
    <row r="243" spans="1:19" x14ac:dyDescent="0.25">
      <c r="A243" t="s">
        <v>140</v>
      </c>
      <c r="B243" t="s">
        <v>128</v>
      </c>
      <c r="C243" t="s">
        <v>141</v>
      </c>
      <c r="D243" s="1">
        <v>45658</v>
      </c>
      <c r="E243" s="1">
        <v>45870</v>
      </c>
      <c r="F243">
        <v>1</v>
      </c>
      <c r="G243">
        <f t="shared" si="6"/>
        <v>7</v>
      </c>
      <c r="H243" t="s">
        <v>394</v>
      </c>
      <c r="I243" t="s">
        <v>395</v>
      </c>
      <c r="J243">
        <v>18581063</v>
      </c>
      <c r="K243" t="s">
        <v>427</v>
      </c>
      <c r="L243" t="s">
        <v>411</v>
      </c>
      <c r="M243" t="str">
        <f t="shared" si="7"/>
        <v xml:space="preserve">TIMOTHY HODGMAN   </v>
      </c>
      <c r="N243" t="s">
        <v>106</v>
      </c>
      <c r="O243">
        <v>1</v>
      </c>
      <c r="P243">
        <v>32.369999999999997</v>
      </c>
      <c r="Q243">
        <v>0.65</v>
      </c>
      <c r="R243">
        <v>21.04</v>
      </c>
      <c r="S243" t="s">
        <v>400</v>
      </c>
    </row>
    <row r="244" spans="1:19" s="4" customFormat="1" x14ac:dyDescent="0.25">
      <c r="A244" s="4" t="s">
        <v>55</v>
      </c>
      <c r="B244" s="4" t="s">
        <v>56</v>
      </c>
      <c r="C244" s="4" t="s">
        <v>57</v>
      </c>
      <c r="D244" s="5">
        <v>45627</v>
      </c>
      <c r="E244" s="5">
        <v>45870</v>
      </c>
      <c r="F244" s="4">
        <v>1</v>
      </c>
      <c r="G244" s="4">
        <f t="shared" si="6"/>
        <v>8</v>
      </c>
      <c r="H244" s="4" t="s">
        <v>394</v>
      </c>
      <c r="I244" s="4" t="s">
        <v>395</v>
      </c>
      <c r="J244" s="4">
        <v>9079571</v>
      </c>
      <c r="K244" s="4" t="s">
        <v>428</v>
      </c>
      <c r="L244" s="4" t="s">
        <v>413</v>
      </c>
      <c r="M244" s="4" t="str">
        <f t="shared" si="7"/>
        <v xml:space="preserve">ADAM RICHTER   </v>
      </c>
      <c r="N244" s="4" t="s">
        <v>58</v>
      </c>
      <c r="O244" s="4">
        <v>1</v>
      </c>
      <c r="P244" s="4">
        <v>1.07</v>
      </c>
      <c r="Q244" s="4">
        <v>0.65</v>
      </c>
      <c r="R244" s="4">
        <v>0.7</v>
      </c>
      <c r="S244" s="4" t="s">
        <v>400</v>
      </c>
    </row>
    <row r="245" spans="1:19" s="4" customFormat="1" x14ac:dyDescent="0.25">
      <c r="A245" s="4" t="s">
        <v>55</v>
      </c>
      <c r="B245" s="4" t="s">
        <v>56</v>
      </c>
      <c r="C245" s="4" t="s">
        <v>57</v>
      </c>
      <c r="D245" s="5">
        <v>45627</v>
      </c>
      <c r="E245" s="5">
        <v>45870</v>
      </c>
      <c r="F245" s="4">
        <v>1</v>
      </c>
      <c r="G245" s="4">
        <f t="shared" si="6"/>
        <v>8</v>
      </c>
      <c r="H245" s="4" t="s">
        <v>394</v>
      </c>
      <c r="I245" s="4" t="s">
        <v>395</v>
      </c>
      <c r="J245" s="4">
        <v>9079571</v>
      </c>
      <c r="K245" s="4" t="s">
        <v>428</v>
      </c>
      <c r="L245" s="4" t="s">
        <v>413</v>
      </c>
      <c r="M245" s="4" t="str">
        <f t="shared" si="7"/>
        <v xml:space="preserve">ADAM RICHTER   </v>
      </c>
      <c r="N245" s="4" t="s">
        <v>60</v>
      </c>
      <c r="O245" s="4">
        <v>1</v>
      </c>
      <c r="P245" s="4">
        <v>6.47</v>
      </c>
      <c r="Q245" s="4">
        <v>0.65</v>
      </c>
      <c r="R245" s="4">
        <v>4.21</v>
      </c>
      <c r="S245" s="4" t="s">
        <v>400</v>
      </c>
    </row>
    <row r="246" spans="1:19" s="4" customFormat="1" x14ac:dyDescent="0.25">
      <c r="A246" s="4" t="s">
        <v>55</v>
      </c>
      <c r="B246" s="4" t="s">
        <v>56</v>
      </c>
      <c r="C246" s="4" t="s">
        <v>57</v>
      </c>
      <c r="D246" s="5">
        <v>45627</v>
      </c>
      <c r="E246" s="5">
        <v>45870</v>
      </c>
      <c r="F246" s="4">
        <v>1</v>
      </c>
      <c r="G246" s="4">
        <f t="shared" si="6"/>
        <v>8</v>
      </c>
      <c r="H246" s="4" t="s">
        <v>394</v>
      </c>
      <c r="I246" s="4" t="s">
        <v>395</v>
      </c>
      <c r="J246" s="4">
        <v>9079571</v>
      </c>
      <c r="K246" s="4" t="s">
        <v>428</v>
      </c>
      <c r="L246" s="4" t="s">
        <v>413</v>
      </c>
      <c r="M246" s="4" t="str">
        <f t="shared" si="7"/>
        <v xml:space="preserve">ADAM RICHTER   </v>
      </c>
      <c r="N246" s="4" t="s">
        <v>61</v>
      </c>
      <c r="O246" s="4">
        <v>1</v>
      </c>
      <c r="P246" s="4">
        <v>4.96</v>
      </c>
      <c r="Q246" s="4">
        <v>0.65</v>
      </c>
      <c r="R246" s="4">
        <v>3.22</v>
      </c>
      <c r="S246" s="4" t="s">
        <v>400</v>
      </c>
    </row>
    <row r="247" spans="1:19" s="4" customFormat="1" x14ac:dyDescent="0.25">
      <c r="A247" s="4" t="s">
        <v>55</v>
      </c>
      <c r="B247" s="4" t="s">
        <v>56</v>
      </c>
      <c r="C247" s="4" t="s">
        <v>57</v>
      </c>
      <c r="D247" s="5">
        <v>45627</v>
      </c>
      <c r="E247" s="5">
        <v>45870</v>
      </c>
      <c r="F247" s="4">
        <v>1</v>
      </c>
      <c r="G247" s="4">
        <f t="shared" si="6"/>
        <v>8</v>
      </c>
      <c r="H247" s="4" t="s">
        <v>394</v>
      </c>
      <c r="I247" s="4" t="s">
        <v>395</v>
      </c>
      <c r="J247" s="4">
        <v>9079571</v>
      </c>
      <c r="K247" s="4" t="s">
        <v>428</v>
      </c>
      <c r="L247" s="4" t="s">
        <v>413</v>
      </c>
      <c r="M247" s="4" t="str">
        <f t="shared" si="7"/>
        <v xml:space="preserve">ADAM RICHTER   </v>
      </c>
      <c r="N247" s="4" t="s">
        <v>62</v>
      </c>
      <c r="O247" s="4">
        <v>1</v>
      </c>
      <c r="P247" s="4">
        <v>1.68</v>
      </c>
      <c r="Q247" s="4">
        <v>0.65</v>
      </c>
      <c r="R247" s="4">
        <v>1.0900000000000001</v>
      </c>
      <c r="S247" s="4" t="s">
        <v>400</v>
      </c>
    </row>
    <row r="248" spans="1:19" s="4" customFormat="1" x14ac:dyDescent="0.25">
      <c r="A248" s="4" t="s">
        <v>55</v>
      </c>
      <c r="B248" s="4" t="s">
        <v>56</v>
      </c>
      <c r="C248" s="4" t="s">
        <v>57</v>
      </c>
      <c r="D248" s="5">
        <v>45627</v>
      </c>
      <c r="E248" s="5">
        <v>45870</v>
      </c>
      <c r="F248" s="4">
        <v>1</v>
      </c>
      <c r="G248" s="4">
        <f t="shared" si="6"/>
        <v>8</v>
      </c>
      <c r="H248" s="4" t="s">
        <v>394</v>
      </c>
      <c r="I248" s="4" t="s">
        <v>395</v>
      </c>
      <c r="J248" s="4">
        <v>9079571</v>
      </c>
      <c r="K248" s="4" t="s">
        <v>428</v>
      </c>
      <c r="L248" s="4" t="s">
        <v>413</v>
      </c>
      <c r="M248" s="4" t="str">
        <f t="shared" si="7"/>
        <v xml:space="preserve">ADAM RICHTER   </v>
      </c>
      <c r="N248" s="4" t="s">
        <v>63</v>
      </c>
      <c r="O248" s="4">
        <v>1</v>
      </c>
      <c r="P248" s="4">
        <v>78.84</v>
      </c>
      <c r="Q248" s="4">
        <v>0.65</v>
      </c>
      <c r="R248" s="4">
        <v>51.25</v>
      </c>
      <c r="S248" s="4" t="s">
        <v>400</v>
      </c>
    </row>
    <row r="249" spans="1:19" s="4" customFormat="1" x14ac:dyDescent="0.25">
      <c r="A249" s="4" t="s">
        <v>55</v>
      </c>
      <c r="B249" s="4" t="s">
        <v>56</v>
      </c>
      <c r="C249" s="4" t="s">
        <v>57</v>
      </c>
      <c r="D249" s="5">
        <v>45627</v>
      </c>
      <c r="E249" s="5">
        <v>45870</v>
      </c>
      <c r="F249" s="4">
        <v>1</v>
      </c>
      <c r="G249" s="4">
        <f t="shared" si="6"/>
        <v>8</v>
      </c>
      <c r="H249" s="4" t="s">
        <v>394</v>
      </c>
      <c r="I249" s="4" t="s">
        <v>395</v>
      </c>
      <c r="J249" s="4">
        <v>9079571</v>
      </c>
      <c r="K249" s="4" t="s">
        <v>428</v>
      </c>
      <c r="L249" s="4" t="s">
        <v>413</v>
      </c>
      <c r="M249" s="4" t="str">
        <f t="shared" si="7"/>
        <v xml:space="preserve">ADAM RICHTER   </v>
      </c>
      <c r="N249" s="4" t="s">
        <v>64</v>
      </c>
      <c r="O249" s="4">
        <v>1</v>
      </c>
      <c r="P249" s="4">
        <v>6.99</v>
      </c>
      <c r="Q249" s="4">
        <v>0.65</v>
      </c>
      <c r="R249" s="4">
        <v>4.54</v>
      </c>
      <c r="S249" s="4" t="s">
        <v>400</v>
      </c>
    </row>
    <row r="250" spans="1:19" s="4" customFormat="1" x14ac:dyDescent="0.25">
      <c r="A250" s="4" t="s">
        <v>55</v>
      </c>
      <c r="B250" s="4" t="s">
        <v>56</v>
      </c>
      <c r="C250" s="4" t="s">
        <v>57</v>
      </c>
      <c r="D250" s="5">
        <v>45627</v>
      </c>
      <c r="E250" s="5">
        <v>45870</v>
      </c>
      <c r="F250" s="4">
        <v>1</v>
      </c>
      <c r="G250" s="4">
        <f t="shared" si="6"/>
        <v>8</v>
      </c>
      <c r="H250" s="4" t="s">
        <v>394</v>
      </c>
      <c r="I250" s="4" t="s">
        <v>395</v>
      </c>
      <c r="J250" s="4">
        <v>9079571</v>
      </c>
      <c r="K250" s="4" t="s">
        <v>428</v>
      </c>
      <c r="L250" s="4" t="s">
        <v>413</v>
      </c>
      <c r="M250" s="4" t="str">
        <f t="shared" si="7"/>
        <v xml:space="preserve">ADAM RICHTER   </v>
      </c>
      <c r="N250" s="4" t="s">
        <v>65</v>
      </c>
      <c r="O250" s="4">
        <v>1</v>
      </c>
      <c r="P250" s="4">
        <v>6.22</v>
      </c>
      <c r="Q250" s="4">
        <v>0.65</v>
      </c>
      <c r="R250" s="4">
        <v>4.04</v>
      </c>
      <c r="S250" s="4" t="s">
        <v>400</v>
      </c>
    </row>
    <row r="251" spans="1:19" x14ac:dyDescent="0.25">
      <c r="A251" t="s">
        <v>72</v>
      </c>
      <c r="B251" t="s">
        <v>20</v>
      </c>
      <c r="C251" t="s">
        <v>73</v>
      </c>
      <c r="D251" s="1">
        <v>45627</v>
      </c>
      <c r="E251" s="1">
        <v>45870</v>
      </c>
      <c r="F251">
        <v>1</v>
      </c>
      <c r="G251">
        <f t="shared" si="6"/>
        <v>8</v>
      </c>
      <c r="H251" t="s">
        <v>394</v>
      </c>
      <c r="I251" t="s">
        <v>395</v>
      </c>
      <c r="J251">
        <v>9079571</v>
      </c>
      <c r="K251" t="s">
        <v>428</v>
      </c>
      <c r="L251" t="s">
        <v>413</v>
      </c>
      <c r="M251" t="str">
        <f t="shared" si="7"/>
        <v xml:space="preserve">ADAM RICHTER   </v>
      </c>
      <c r="N251" t="s">
        <v>28</v>
      </c>
      <c r="O251">
        <v>1</v>
      </c>
      <c r="P251">
        <v>1.68</v>
      </c>
      <c r="Q251">
        <v>0.65</v>
      </c>
      <c r="R251">
        <v>1.0900000000000001</v>
      </c>
      <c r="S251" t="s">
        <v>400</v>
      </c>
    </row>
    <row r="252" spans="1:19" x14ac:dyDescent="0.25">
      <c r="A252" t="s">
        <v>72</v>
      </c>
      <c r="B252" t="s">
        <v>20</v>
      </c>
      <c r="C252" t="s">
        <v>73</v>
      </c>
      <c r="D252" s="1">
        <v>45627</v>
      </c>
      <c r="E252" s="1">
        <v>45870</v>
      </c>
      <c r="F252">
        <v>1</v>
      </c>
      <c r="G252">
        <f t="shared" si="6"/>
        <v>8</v>
      </c>
      <c r="H252" t="s">
        <v>394</v>
      </c>
      <c r="I252" t="s">
        <v>395</v>
      </c>
      <c r="J252">
        <v>9079571</v>
      </c>
      <c r="K252" t="s">
        <v>428</v>
      </c>
      <c r="L252" t="s">
        <v>413</v>
      </c>
      <c r="M252" t="str">
        <f t="shared" si="7"/>
        <v xml:space="preserve">ADAM RICHTER   </v>
      </c>
      <c r="N252" t="s">
        <v>27</v>
      </c>
      <c r="O252">
        <v>1</v>
      </c>
      <c r="P252">
        <v>11.3</v>
      </c>
      <c r="Q252">
        <v>0.65</v>
      </c>
      <c r="R252">
        <v>7.35</v>
      </c>
      <c r="S252" t="s">
        <v>400</v>
      </c>
    </row>
    <row r="253" spans="1:19" x14ac:dyDescent="0.25">
      <c r="A253" t="s">
        <v>72</v>
      </c>
      <c r="B253" t="s">
        <v>20</v>
      </c>
      <c r="C253" t="s">
        <v>73</v>
      </c>
      <c r="D253" s="1">
        <v>45627</v>
      </c>
      <c r="E253" s="1">
        <v>45870</v>
      </c>
      <c r="F253">
        <v>1</v>
      </c>
      <c r="G253">
        <f t="shared" si="6"/>
        <v>8</v>
      </c>
      <c r="H253" t="s">
        <v>394</v>
      </c>
      <c r="I253" t="s">
        <v>395</v>
      </c>
      <c r="J253">
        <v>9079571</v>
      </c>
      <c r="K253" t="s">
        <v>428</v>
      </c>
      <c r="L253" t="s">
        <v>413</v>
      </c>
      <c r="M253" t="str">
        <f t="shared" si="7"/>
        <v xml:space="preserve">ADAM RICHTER   </v>
      </c>
      <c r="N253" t="s">
        <v>74</v>
      </c>
      <c r="O253">
        <v>1</v>
      </c>
      <c r="P253">
        <v>5.51</v>
      </c>
      <c r="Q253">
        <v>0.65</v>
      </c>
      <c r="R253">
        <v>3.58</v>
      </c>
      <c r="S253" t="s">
        <v>400</v>
      </c>
    </row>
    <row r="254" spans="1:19" x14ac:dyDescent="0.25">
      <c r="A254" t="s">
        <v>72</v>
      </c>
      <c r="B254" t="s">
        <v>20</v>
      </c>
      <c r="C254" t="s">
        <v>73</v>
      </c>
      <c r="D254" s="1">
        <v>45627</v>
      </c>
      <c r="E254" s="1">
        <v>45870</v>
      </c>
      <c r="F254">
        <v>1</v>
      </c>
      <c r="G254">
        <f t="shared" si="6"/>
        <v>8</v>
      </c>
      <c r="H254" t="s">
        <v>394</v>
      </c>
      <c r="I254" t="s">
        <v>395</v>
      </c>
      <c r="J254">
        <v>9079571</v>
      </c>
      <c r="K254" t="s">
        <v>428</v>
      </c>
      <c r="L254" t="s">
        <v>413</v>
      </c>
      <c r="M254" t="str">
        <f t="shared" si="7"/>
        <v xml:space="preserve">ADAM RICHTER   </v>
      </c>
      <c r="N254" t="s">
        <v>75</v>
      </c>
      <c r="O254">
        <v>1</v>
      </c>
      <c r="P254">
        <v>4.62</v>
      </c>
      <c r="Q254">
        <v>0.65</v>
      </c>
      <c r="R254">
        <v>3</v>
      </c>
      <c r="S254" t="s">
        <v>400</v>
      </c>
    </row>
    <row r="255" spans="1:19" x14ac:dyDescent="0.25">
      <c r="A255" t="s">
        <v>72</v>
      </c>
      <c r="B255" t="s">
        <v>20</v>
      </c>
      <c r="C255" t="s">
        <v>73</v>
      </c>
      <c r="D255" s="1">
        <v>45627</v>
      </c>
      <c r="E255" s="1">
        <v>45870</v>
      </c>
      <c r="F255">
        <v>1</v>
      </c>
      <c r="G255">
        <f t="shared" si="6"/>
        <v>8</v>
      </c>
      <c r="H255" t="s">
        <v>394</v>
      </c>
      <c r="I255" t="s">
        <v>395</v>
      </c>
      <c r="J255">
        <v>9079571</v>
      </c>
      <c r="K255" t="s">
        <v>428</v>
      </c>
      <c r="L255" t="s">
        <v>413</v>
      </c>
      <c r="M255" t="str">
        <f t="shared" si="7"/>
        <v xml:space="preserve">ADAM RICHTER   </v>
      </c>
      <c r="N255" t="s">
        <v>76</v>
      </c>
      <c r="O255">
        <v>1</v>
      </c>
      <c r="P255">
        <v>2.59</v>
      </c>
      <c r="Q255">
        <v>0.65</v>
      </c>
      <c r="R255">
        <v>1.68</v>
      </c>
      <c r="S255" t="s">
        <v>400</v>
      </c>
    </row>
    <row r="256" spans="1:19" x14ac:dyDescent="0.25">
      <c r="A256" t="s">
        <v>72</v>
      </c>
      <c r="B256" t="s">
        <v>20</v>
      </c>
      <c r="C256" t="s">
        <v>73</v>
      </c>
      <c r="D256" s="1">
        <v>45627</v>
      </c>
      <c r="E256" s="1">
        <v>45870</v>
      </c>
      <c r="F256">
        <v>1</v>
      </c>
      <c r="G256">
        <f t="shared" si="6"/>
        <v>8</v>
      </c>
      <c r="H256" t="s">
        <v>394</v>
      </c>
      <c r="I256" t="s">
        <v>395</v>
      </c>
      <c r="J256">
        <v>9079571</v>
      </c>
      <c r="K256" t="s">
        <v>428</v>
      </c>
      <c r="L256" t="s">
        <v>413</v>
      </c>
      <c r="M256" t="str">
        <f t="shared" si="7"/>
        <v xml:space="preserve">ADAM RICHTER   </v>
      </c>
      <c r="N256" t="s">
        <v>77</v>
      </c>
      <c r="O256">
        <v>1</v>
      </c>
      <c r="P256">
        <v>16.07</v>
      </c>
      <c r="Q256">
        <v>0.65</v>
      </c>
      <c r="R256">
        <v>10.45</v>
      </c>
      <c r="S256" t="s">
        <v>400</v>
      </c>
    </row>
    <row r="257" spans="1:19" x14ac:dyDescent="0.25">
      <c r="A257" t="s">
        <v>72</v>
      </c>
      <c r="B257" t="s">
        <v>20</v>
      </c>
      <c r="C257" t="s">
        <v>73</v>
      </c>
      <c r="D257" s="1">
        <v>45627</v>
      </c>
      <c r="E257" s="1">
        <v>45870</v>
      </c>
      <c r="F257">
        <v>1</v>
      </c>
      <c r="G257">
        <f t="shared" si="6"/>
        <v>8</v>
      </c>
      <c r="H257" t="s">
        <v>394</v>
      </c>
      <c r="I257" t="s">
        <v>395</v>
      </c>
      <c r="J257">
        <v>9079571</v>
      </c>
      <c r="K257" t="s">
        <v>428</v>
      </c>
      <c r="L257" t="s">
        <v>413</v>
      </c>
      <c r="M257" t="str">
        <f t="shared" si="7"/>
        <v xml:space="preserve">ADAM RICHTER   </v>
      </c>
      <c r="N257" t="s">
        <v>25</v>
      </c>
      <c r="O257">
        <v>1</v>
      </c>
      <c r="P257">
        <v>26.14</v>
      </c>
      <c r="Q257">
        <v>0.65</v>
      </c>
      <c r="R257">
        <v>16.989999999999998</v>
      </c>
      <c r="S257" t="s">
        <v>400</v>
      </c>
    </row>
    <row r="258" spans="1:19" x14ac:dyDescent="0.25">
      <c r="A258" t="s">
        <v>107</v>
      </c>
      <c r="B258" t="s">
        <v>30</v>
      </c>
      <c r="C258" t="s">
        <v>108</v>
      </c>
      <c r="D258" s="1">
        <v>45627</v>
      </c>
      <c r="E258" s="1">
        <v>45870</v>
      </c>
      <c r="F258">
        <v>1</v>
      </c>
      <c r="G258">
        <f t="shared" ref="G258:G321" si="8">MONTH(E258-D258)</f>
        <v>8</v>
      </c>
      <c r="H258" t="s">
        <v>394</v>
      </c>
      <c r="I258" t="s">
        <v>395</v>
      </c>
      <c r="J258">
        <v>17425766</v>
      </c>
      <c r="K258" t="s">
        <v>403</v>
      </c>
      <c r="L258" t="s">
        <v>404</v>
      </c>
      <c r="M258" t="str">
        <f t="shared" ref="M258:M321" si="9">CONCATENATE(K258, " ",L258)</f>
        <v>CAROL FOLEY</v>
      </c>
      <c r="N258" t="s">
        <v>41</v>
      </c>
      <c r="O258">
        <v>1</v>
      </c>
      <c r="P258">
        <v>14.07</v>
      </c>
      <c r="Q258">
        <v>0.65</v>
      </c>
      <c r="R258">
        <v>9.15</v>
      </c>
      <c r="S258" t="s">
        <v>400</v>
      </c>
    </row>
    <row r="259" spans="1:19" x14ac:dyDescent="0.25">
      <c r="A259" t="s">
        <v>107</v>
      </c>
      <c r="B259" t="s">
        <v>30</v>
      </c>
      <c r="C259" t="s">
        <v>108</v>
      </c>
      <c r="D259" s="1">
        <v>45627</v>
      </c>
      <c r="E259" s="1">
        <v>45870</v>
      </c>
      <c r="F259">
        <v>1</v>
      </c>
      <c r="G259">
        <f t="shared" si="8"/>
        <v>8</v>
      </c>
      <c r="H259" t="s">
        <v>394</v>
      </c>
      <c r="I259" t="s">
        <v>395</v>
      </c>
      <c r="J259">
        <v>17425766</v>
      </c>
      <c r="K259" t="s">
        <v>403</v>
      </c>
      <c r="L259" t="s">
        <v>404</v>
      </c>
      <c r="M259" t="str">
        <f t="shared" si="9"/>
        <v>CAROL FOLEY</v>
      </c>
      <c r="N259" t="s">
        <v>28</v>
      </c>
      <c r="O259">
        <v>1</v>
      </c>
      <c r="P259">
        <v>1.68</v>
      </c>
      <c r="Q259">
        <v>0.65</v>
      </c>
      <c r="R259">
        <v>1.0900000000000001</v>
      </c>
      <c r="S259" t="s">
        <v>400</v>
      </c>
    </row>
    <row r="260" spans="1:19" x14ac:dyDescent="0.25">
      <c r="A260" t="s">
        <v>107</v>
      </c>
      <c r="B260" t="s">
        <v>30</v>
      </c>
      <c r="C260" t="s">
        <v>108</v>
      </c>
      <c r="D260" s="1">
        <v>45627</v>
      </c>
      <c r="E260" s="1">
        <v>45870</v>
      </c>
      <c r="F260">
        <v>1</v>
      </c>
      <c r="G260">
        <f t="shared" si="8"/>
        <v>8</v>
      </c>
      <c r="H260" t="s">
        <v>394</v>
      </c>
      <c r="I260" t="s">
        <v>395</v>
      </c>
      <c r="J260">
        <v>17425766</v>
      </c>
      <c r="K260" t="s">
        <v>403</v>
      </c>
      <c r="L260" t="s">
        <v>404</v>
      </c>
      <c r="M260" t="str">
        <f t="shared" si="9"/>
        <v>CAROL FOLEY</v>
      </c>
      <c r="N260" t="s">
        <v>25</v>
      </c>
      <c r="O260">
        <v>1</v>
      </c>
      <c r="P260">
        <v>19.18</v>
      </c>
      <c r="Q260">
        <v>0.65</v>
      </c>
      <c r="R260">
        <v>12.47</v>
      </c>
      <c r="S260" t="s">
        <v>400</v>
      </c>
    </row>
    <row r="261" spans="1:19" x14ac:dyDescent="0.25">
      <c r="A261" t="s">
        <v>107</v>
      </c>
      <c r="B261" t="s">
        <v>30</v>
      </c>
      <c r="C261" t="s">
        <v>108</v>
      </c>
      <c r="D261" s="1">
        <v>45627</v>
      </c>
      <c r="E261" s="1">
        <v>45870</v>
      </c>
      <c r="F261">
        <v>1</v>
      </c>
      <c r="G261">
        <f t="shared" si="8"/>
        <v>8</v>
      </c>
      <c r="H261" t="s">
        <v>394</v>
      </c>
      <c r="I261" t="s">
        <v>395</v>
      </c>
      <c r="J261">
        <v>17425766</v>
      </c>
      <c r="K261" t="s">
        <v>403</v>
      </c>
      <c r="L261" t="s">
        <v>404</v>
      </c>
      <c r="M261" t="str">
        <f t="shared" si="9"/>
        <v>CAROL FOLEY</v>
      </c>
      <c r="N261" t="s">
        <v>42</v>
      </c>
      <c r="O261">
        <v>1</v>
      </c>
      <c r="P261">
        <v>3.3</v>
      </c>
      <c r="Q261">
        <v>0.65</v>
      </c>
      <c r="R261">
        <v>2.15</v>
      </c>
      <c r="S261" t="s">
        <v>400</v>
      </c>
    </row>
    <row r="262" spans="1:19" x14ac:dyDescent="0.25">
      <c r="A262" t="s">
        <v>107</v>
      </c>
      <c r="B262" t="s">
        <v>30</v>
      </c>
      <c r="C262" t="s">
        <v>108</v>
      </c>
      <c r="D262" s="1">
        <v>45627</v>
      </c>
      <c r="E262" s="1">
        <v>45870</v>
      </c>
      <c r="F262">
        <v>1</v>
      </c>
      <c r="G262">
        <f t="shared" si="8"/>
        <v>8</v>
      </c>
      <c r="H262" t="s">
        <v>394</v>
      </c>
      <c r="I262" t="s">
        <v>395</v>
      </c>
      <c r="J262">
        <v>17425766</v>
      </c>
      <c r="K262" t="s">
        <v>403</v>
      </c>
      <c r="L262" t="s">
        <v>404</v>
      </c>
      <c r="M262" t="str">
        <f t="shared" si="9"/>
        <v>CAROL FOLEY</v>
      </c>
      <c r="N262" t="s">
        <v>34</v>
      </c>
      <c r="O262">
        <v>1</v>
      </c>
      <c r="P262">
        <v>9.6199999999999992</v>
      </c>
      <c r="Q262">
        <v>0.65</v>
      </c>
      <c r="R262">
        <v>6.25</v>
      </c>
      <c r="S262" t="s">
        <v>400</v>
      </c>
    </row>
    <row r="263" spans="1:19" x14ac:dyDescent="0.25">
      <c r="A263" t="s">
        <v>109</v>
      </c>
      <c r="B263" t="s">
        <v>30</v>
      </c>
      <c r="C263" t="s">
        <v>110</v>
      </c>
      <c r="D263" s="1">
        <v>45627</v>
      </c>
      <c r="E263" s="1">
        <v>45870</v>
      </c>
      <c r="F263">
        <v>1</v>
      </c>
      <c r="G263">
        <f t="shared" si="8"/>
        <v>8</v>
      </c>
      <c r="H263" t="s">
        <v>394</v>
      </c>
      <c r="I263" t="s">
        <v>395</v>
      </c>
      <c r="J263">
        <v>17425766</v>
      </c>
      <c r="K263" t="s">
        <v>403</v>
      </c>
      <c r="L263" t="s">
        <v>404</v>
      </c>
      <c r="M263" t="str">
        <f t="shared" si="9"/>
        <v>CAROL FOLEY</v>
      </c>
      <c r="N263" t="s">
        <v>34</v>
      </c>
      <c r="O263">
        <v>1</v>
      </c>
      <c r="P263">
        <v>8.6199999999999992</v>
      </c>
      <c r="Q263">
        <v>0.65</v>
      </c>
      <c r="R263">
        <v>5.6</v>
      </c>
      <c r="S263" t="s">
        <v>400</v>
      </c>
    </row>
    <row r="264" spans="1:19" x14ac:dyDescent="0.25">
      <c r="A264" t="s">
        <v>109</v>
      </c>
      <c r="B264" t="s">
        <v>30</v>
      </c>
      <c r="C264" t="s">
        <v>110</v>
      </c>
      <c r="D264" s="1">
        <v>45627</v>
      </c>
      <c r="E264" s="1">
        <v>45870</v>
      </c>
      <c r="F264">
        <v>1</v>
      </c>
      <c r="G264">
        <f t="shared" si="8"/>
        <v>8</v>
      </c>
      <c r="H264" t="s">
        <v>394</v>
      </c>
      <c r="I264" t="s">
        <v>395</v>
      </c>
      <c r="J264">
        <v>17425766</v>
      </c>
      <c r="K264" t="s">
        <v>403</v>
      </c>
      <c r="L264" t="s">
        <v>404</v>
      </c>
      <c r="M264" t="str">
        <f t="shared" si="9"/>
        <v>CAROL FOLEY</v>
      </c>
      <c r="N264" t="s">
        <v>42</v>
      </c>
      <c r="O264">
        <v>1</v>
      </c>
      <c r="P264">
        <v>3.1</v>
      </c>
      <c r="Q264">
        <v>0.65</v>
      </c>
      <c r="R264">
        <v>2.02</v>
      </c>
      <c r="S264" t="s">
        <v>400</v>
      </c>
    </row>
    <row r="265" spans="1:19" x14ac:dyDescent="0.25">
      <c r="A265" t="s">
        <v>109</v>
      </c>
      <c r="B265" t="s">
        <v>30</v>
      </c>
      <c r="C265" t="s">
        <v>110</v>
      </c>
      <c r="D265" s="1">
        <v>45627</v>
      </c>
      <c r="E265" s="1">
        <v>45870</v>
      </c>
      <c r="F265">
        <v>1</v>
      </c>
      <c r="G265">
        <f t="shared" si="8"/>
        <v>8</v>
      </c>
      <c r="H265" t="s">
        <v>394</v>
      </c>
      <c r="I265" t="s">
        <v>395</v>
      </c>
      <c r="J265">
        <v>17425766</v>
      </c>
      <c r="K265" t="s">
        <v>403</v>
      </c>
      <c r="L265" t="s">
        <v>404</v>
      </c>
      <c r="M265" t="str">
        <f t="shared" si="9"/>
        <v>CAROL FOLEY</v>
      </c>
      <c r="N265" t="s">
        <v>25</v>
      </c>
      <c r="O265">
        <v>1</v>
      </c>
      <c r="P265">
        <v>18.95</v>
      </c>
      <c r="Q265">
        <v>0.65</v>
      </c>
      <c r="R265">
        <v>12.32</v>
      </c>
      <c r="S265" t="s">
        <v>400</v>
      </c>
    </row>
    <row r="266" spans="1:19" x14ac:dyDescent="0.25">
      <c r="A266" t="s">
        <v>109</v>
      </c>
      <c r="B266" t="s">
        <v>30</v>
      </c>
      <c r="C266" t="s">
        <v>110</v>
      </c>
      <c r="D266" s="1">
        <v>45627</v>
      </c>
      <c r="E266" s="1">
        <v>45870</v>
      </c>
      <c r="F266">
        <v>1</v>
      </c>
      <c r="G266">
        <f t="shared" si="8"/>
        <v>8</v>
      </c>
      <c r="H266" t="s">
        <v>394</v>
      </c>
      <c r="I266" t="s">
        <v>395</v>
      </c>
      <c r="J266">
        <v>17425766</v>
      </c>
      <c r="K266" t="s">
        <v>403</v>
      </c>
      <c r="L266" t="s">
        <v>404</v>
      </c>
      <c r="M266" t="str">
        <f t="shared" si="9"/>
        <v>CAROL FOLEY</v>
      </c>
      <c r="N266" t="s">
        <v>28</v>
      </c>
      <c r="O266">
        <v>1</v>
      </c>
      <c r="P266">
        <v>1.68</v>
      </c>
      <c r="Q266">
        <v>0.65</v>
      </c>
      <c r="R266">
        <v>1.0900000000000001</v>
      </c>
      <c r="S266" t="s">
        <v>400</v>
      </c>
    </row>
    <row r="267" spans="1:19" x14ac:dyDescent="0.25">
      <c r="A267" t="s">
        <v>109</v>
      </c>
      <c r="B267" t="s">
        <v>30</v>
      </c>
      <c r="C267" t="s">
        <v>110</v>
      </c>
      <c r="D267" s="1">
        <v>45627</v>
      </c>
      <c r="E267" s="1">
        <v>45870</v>
      </c>
      <c r="F267">
        <v>1</v>
      </c>
      <c r="G267">
        <f t="shared" si="8"/>
        <v>8</v>
      </c>
      <c r="H267" t="s">
        <v>394</v>
      </c>
      <c r="I267" t="s">
        <v>395</v>
      </c>
      <c r="J267">
        <v>17425766</v>
      </c>
      <c r="K267" t="s">
        <v>403</v>
      </c>
      <c r="L267" t="s">
        <v>404</v>
      </c>
      <c r="M267" t="str">
        <f t="shared" si="9"/>
        <v>CAROL FOLEY</v>
      </c>
      <c r="N267" t="s">
        <v>41</v>
      </c>
      <c r="O267">
        <v>1</v>
      </c>
      <c r="P267">
        <v>13.68</v>
      </c>
      <c r="Q267">
        <v>0.65</v>
      </c>
      <c r="R267">
        <v>8.89</v>
      </c>
      <c r="S267" t="s">
        <v>400</v>
      </c>
    </row>
    <row r="268" spans="1:19" x14ac:dyDescent="0.25">
      <c r="A268" t="s">
        <v>100</v>
      </c>
      <c r="B268" t="s">
        <v>30</v>
      </c>
      <c r="C268" t="s">
        <v>101</v>
      </c>
      <c r="D268" s="1">
        <v>45597</v>
      </c>
      <c r="E268" s="1">
        <v>45870</v>
      </c>
      <c r="F268">
        <v>1</v>
      </c>
      <c r="G268">
        <f t="shared" si="8"/>
        <v>9</v>
      </c>
      <c r="H268" t="s">
        <v>394</v>
      </c>
      <c r="I268" t="s">
        <v>395</v>
      </c>
      <c r="J268">
        <v>17425766</v>
      </c>
      <c r="K268" t="s">
        <v>403</v>
      </c>
      <c r="L268" t="s">
        <v>404</v>
      </c>
      <c r="M268" t="str">
        <f t="shared" si="9"/>
        <v>CAROL FOLEY</v>
      </c>
      <c r="N268" t="s">
        <v>25</v>
      </c>
      <c r="O268">
        <v>1</v>
      </c>
      <c r="P268">
        <v>21.06</v>
      </c>
      <c r="Q268">
        <v>0.65</v>
      </c>
      <c r="R268">
        <v>13.69</v>
      </c>
      <c r="S268" t="s">
        <v>400</v>
      </c>
    </row>
    <row r="269" spans="1:19" x14ac:dyDescent="0.25">
      <c r="A269" t="s">
        <v>100</v>
      </c>
      <c r="B269" t="s">
        <v>30</v>
      </c>
      <c r="C269" t="s">
        <v>101</v>
      </c>
      <c r="D269" s="1">
        <v>45597</v>
      </c>
      <c r="E269" s="1">
        <v>45870</v>
      </c>
      <c r="F269">
        <v>1</v>
      </c>
      <c r="G269">
        <f t="shared" si="8"/>
        <v>9</v>
      </c>
      <c r="H269" t="s">
        <v>394</v>
      </c>
      <c r="I269" t="s">
        <v>395</v>
      </c>
      <c r="J269">
        <v>17425766</v>
      </c>
      <c r="K269" t="s">
        <v>403</v>
      </c>
      <c r="L269" t="s">
        <v>404</v>
      </c>
      <c r="M269" t="str">
        <f t="shared" si="9"/>
        <v>CAROL FOLEY</v>
      </c>
      <c r="N269" t="s">
        <v>27</v>
      </c>
      <c r="O269">
        <v>1</v>
      </c>
      <c r="P269">
        <v>6.22</v>
      </c>
      <c r="Q269">
        <v>0.65</v>
      </c>
      <c r="R269">
        <v>4.04</v>
      </c>
      <c r="S269" t="s">
        <v>400</v>
      </c>
    </row>
    <row r="270" spans="1:19" x14ac:dyDescent="0.25">
      <c r="A270" t="s">
        <v>100</v>
      </c>
      <c r="B270" t="s">
        <v>30</v>
      </c>
      <c r="C270" t="s">
        <v>101</v>
      </c>
      <c r="D270" s="1">
        <v>45597</v>
      </c>
      <c r="E270" s="1">
        <v>45870</v>
      </c>
      <c r="F270">
        <v>1</v>
      </c>
      <c r="G270">
        <f t="shared" si="8"/>
        <v>9</v>
      </c>
      <c r="H270" t="s">
        <v>394</v>
      </c>
      <c r="I270" t="s">
        <v>395</v>
      </c>
      <c r="J270">
        <v>17425766</v>
      </c>
      <c r="K270" t="s">
        <v>403</v>
      </c>
      <c r="L270" t="s">
        <v>404</v>
      </c>
      <c r="M270" t="str">
        <f t="shared" si="9"/>
        <v>CAROL FOLEY</v>
      </c>
      <c r="N270" t="s">
        <v>28</v>
      </c>
      <c r="O270">
        <v>1</v>
      </c>
      <c r="P270">
        <v>1.68</v>
      </c>
      <c r="Q270">
        <v>0.65</v>
      </c>
      <c r="R270">
        <v>1.0900000000000001</v>
      </c>
      <c r="S270" t="s">
        <v>400</v>
      </c>
    </row>
    <row r="271" spans="1:19" x14ac:dyDescent="0.25">
      <c r="A271" t="s">
        <v>100</v>
      </c>
      <c r="B271" t="s">
        <v>30</v>
      </c>
      <c r="C271" t="s">
        <v>101</v>
      </c>
      <c r="D271" s="1">
        <v>45597</v>
      </c>
      <c r="E271" s="1">
        <v>45870</v>
      </c>
      <c r="F271">
        <v>1</v>
      </c>
      <c r="G271">
        <f t="shared" si="8"/>
        <v>9</v>
      </c>
      <c r="H271" t="s">
        <v>394</v>
      </c>
      <c r="I271" t="s">
        <v>395</v>
      </c>
      <c r="J271">
        <v>17425766</v>
      </c>
      <c r="K271" t="s">
        <v>403</v>
      </c>
      <c r="L271" t="s">
        <v>404</v>
      </c>
      <c r="M271" t="str">
        <f t="shared" si="9"/>
        <v>CAROL FOLEY</v>
      </c>
      <c r="N271" t="s">
        <v>34</v>
      </c>
      <c r="O271">
        <v>1</v>
      </c>
      <c r="P271">
        <v>13.58</v>
      </c>
      <c r="Q271">
        <v>0.65</v>
      </c>
      <c r="R271">
        <v>8.83</v>
      </c>
      <c r="S271" t="s">
        <v>400</v>
      </c>
    </row>
    <row r="272" spans="1:19" x14ac:dyDescent="0.25">
      <c r="A272" t="s">
        <v>100</v>
      </c>
      <c r="B272" t="s">
        <v>30</v>
      </c>
      <c r="C272" t="s">
        <v>101</v>
      </c>
      <c r="D272" s="1">
        <v>45597</v>
      </c>
      <c r="E272" s="1">
        <v>45870</v>
      </c>
      <c r="F272">
        <v>1</v>
      </c>
      <c r="G272">
        <f t="shared" si="8"/>
        <v>9</v>
      </c>
      <c r="H272" t="s">
        <v>394</v>
      </c>
      <c r="I272" t="s">
        <v>395</v>
      </c>
      <c r="J272">
        <v>17425766</v>
      </c>
      <c r="K272" t="s">
        <v>403</v>
      </c>
      <c r="L272" t="s">
        <v>404</v>
      </c>
      <c r="M272" t="str">
        <f t="shared" si="9"/>
        <v>CAROL FOLEY</v>
      </c>
      <c r="N272" t="s">
        <v>105</v>
      </c>
      <c r="O272">
        <v>1</v>
      </c>
      <c r="P272">
        <v>2.92</v>
      </c>
      <c r="Q272">
        <v>0.65</v>
      </c>
      <c r="R272">
        <v>1.9</v>
      </c>
      <c r="S272" t="s">
        <v>400</v>
      </c>
    </row>
    <row r="273" spans="1:19" x14ac:dyDescent="0.25">
      <c r="A273" t="s">
        <v>100</v>
      </c>
      <c r="B273" t="s">
        <v>30</v>
      </c>
      <c r="C273" t="s">
        <v>101</v>
      </c>
      <c r="D273" s="1">
        <v>45597</v>
      </c>
      <c r="E273" s="1">
        <v>45870</v>
      </c>
      <c r="F273">
        <v>1</v>
      </c>
      <c r="G273">
        <f t="shared" si="8"/>
        <v>9</v>
      </c>
      <c r="H273" t="s">
        <v>394</v>
      </c>
      <c r="I273" t="s">
        <v>395</v>
      </c>
      <c r="J273">
        <v>17425766</v>
      </c>
      <c r="K273" t="s">
        <v>403</v>
      </c>
      <c r="L273" t="s">
        <v>404</v>
      </c>
      <c r="M273" t="str">
        <f t="shared" si="9"/>
        <v>CAROL FOLEY</v>
      </c>
      <c r="N273" t="s">
        <v>106</v>
      </c>
      <c r="O273">
        <v>1</v>
      </c>
      <c r="P273">
        <v>23.15</v>
      </c>
      <c r="Q273">
        <v>0.65</v>
      </c>
      <c r="R273">
        <v>15.05</v>
      </c>
      <c r="S273" t="s">
        <v>400</v>
      </c>
    </row>
    <row r="274" spans="1:19" x14ac:dyDescent="0.25">
      <c r="A274" t="s">
        <v>142</v>
      </c>
      <c r="B274" t="s">
        <v>128</v>
      </c>
      <c r="C274" t="s">
        <v>143</v>
      </c>
      <c r="D274" s="1">
        <v>45581</v>
      </c>
      <c r="E274" s="1">
        <v>45885</v>
      </c>
      <c r="F274">
        <v>1</v>
      </c>
      <c r="G274">
        <f t="shared" si="8"/>
        <v>10</v>
      </c>
      <c r="H274" t="s">
        <v>394</v>
      </c>
      <c r="I274" t="s">
        <v>395</v>
      </c>
      <c r="J274">
        <v>19645587</v>
      </c>
      <c r="K274" t="s">
        <v>423</v>
      </c>
      <c r="L274" t="s">
        <v>416</v>
      </c>
      <c r="M274" t="str">
        <f t="shared" si="9"/>
        <v xml:space="preserve">STACEY PORTUGAL  </v>
      </c>
      <c r="N274" t="s">
        <v>25</v>
      </c>
      <c r="O274">
        <v>1</v>
      </c>
      <c r="P274">
        <v>35</v>
      </c>
      <c r="Q274">
        <v>0.65</v>
      </c>
      <c r="R274">
        <v>22.75</v>
      </c>
      <c r="S274" t="s">
        <v>400</v>
      </c>
    </row>
    <row r="275" spans="1:19" x14ac:dyDescent="0.25">
      <c r="A275" t="s">
        <v>142</v>
      </c>
      <c r="B275" t="s">
        <v>128</v>
      </c>
      <c r="C275" t="s">
        <v>143</v>
      </c>
      <c r="D275" s="1">
        <v>45581</v>
      </c>
      <c r="E275" s="1">
        <v>45885</v>
      </c>
      <c r="F275">
        <v>1</v>
      </c>
      <c r="G275">
        <f t="shared" si="8"/>
        <v>10</v>
      </c>
      <c r="H275" t="s">
        <v>394</v>
      </c>
      <c r="I275" t="s">
        <v>395</v>
      </c>
      <c r="J275">
        <v>19645587</v>
      </c>
      <c r="K275" t="s">
        <v>423</v>
      </c>
      <c r="L275" t="s">
        <v>416</v>
      </c>
      <c r="M275" t="str">
        <f t="shared" si="9"/>
        <v xml:space="preserve">STACEY PORTUGAL  </v>
      </c>
      <c r="N275" t="s">
        <v>76</v>
      </c>
      <c r="O275">
        <v>1</v>
      </c>
      <c r="P275">
        <v>3.4</v>
      </c>
      <c r="Q275">
        <v>0.65</v>
      </c>
      <c r="R275">
        <v>2.21</v>
      </c>
      <c r="S275" t="s">
        <v>400</v>
      </c>
    </row>
    <row r="276" spans="1:19" x14ac:dyDescent="0.25">
      <c r="A276" t="s">
        <v>142</v>
      </c>
      <c r="B276" t="s">
        <v>128</v>
      </c>
      <c r="C276" t="s">
        <v>143</v>
      </c>
      <c r="D276" s="1">
        <v>45581</v>
      </c>
      <c r="E276" s="1">
        <v>45885</v>
      </c>
      <c r="F276">
        <v>1</v>
      </c>
      <c r="G276">
        <f t="shared" si="8"/>
        <v>10</v>
      </c>
      <c r="H276" t="s">
        <v>394</v>
      </c>
      <c r="I276" t="s">
        <v>395</v>
      </c>
      <c r="J276">
        <v>19645587</v>
      </c>
      <c r="K276" t="s">
        <v>423</v>
      </c>
      <c r="L276" t="s">
        <v>416</v>
      </c>
      <c r="M276" t="str">
        <f t="shared" si="9"/>
        <v xml:space="preserve">STACEY PORTUGAL  </v>
      </c>
      <c r="N276" t="s">
        <v>28</v>
      </c>
      <c r="O276">
        <v>1</v>
      </c>
      <c r="P276">
        <v>1.68</v>
      </c>
      <c r="Q276">
        <v>0.65</v>
      </c>
      <c r="R276">
        <v>1.0900000000000001</v>
      </c>
      <c r="S276" t="s">
        <v>400</v>
      </c>
    </row>
    <row r="277" spans="1:19" x14ac:dyDescent="0.25">
      <c r="A277" t="s">
        <v>35</v>
      </c>
      <c r="B277" t="s">
        <v>30</v>
      </c>
      <c r="C277" t="s">
        <v>36</v>
      </c>
      <c r="D277" s="1">
        <v>45566</v>
      </c>
      <c r="E277" s="1">
        <v>45870</v>
      </c>
      <c r="F277">
        <v>1</v>
      </c>
      <c r="G277">
        <f t="shared" si="8"/>
        <v>10</v>
      </c>
      <c r="H277" t="s">
        <v>394</v>
      </c>
      <c r="I277" t="s">
        <v>395</v>
      </c>
      <c r="J277">
        <v>19278370</v>
      </c>
      <c r="K277" t="s">
        <v>417</v>
      </c>
      <c r="L277" t="s">
        <v>418</v>
      </c>
      <c r="M277" t="str">
        <f t="shared" si="9"/>
        <v xml:space="preserve">ANNE MARIE KOZACHECK </v>
      </c>
      <c r="N277" t="s">
        <v>25</v>
      </c>
      <c r="O277">
        <v>1</v>
      </c>
      <c r="P277">
        <v>21.06</v>
      </c>
      <c r="Q277">
        <v>0.65</v>
      </c>
      <c r="R277">
        <v>13.69</v>
      </c>
      <c r="S277" t="s">
        <v>400</v>
      </c>
    </row>
    <row r="278" spans="1:19" x14ac:dyDescent="0.25">
      <c r="A278" t="s">
        <v>35</v>
      </c>
      <c r="B278" t="s">
        <v>30</v>
      </c>
      <c r="C278" t="s">
        <v>36</v>
      </c>
      <c r="D278" s="1">
        <v>45566</v>
      </c>
      <c r="E278" s="1">
        <v>45870</v>
      </c>
      <c r="F278">
        <v>1</v>
      </c>
      <c r="G278">
        <f t="shared" si="8"/>
        <v>10</v>
      </c>
      <c r="H278" t="s">
        <v>394</v>
      </c>
      <c r="I278" t="s">
        <v>395</v>
      </c>
      <c r="J278">
        <v>19278370</v>
      </c>
      <c r="K278" t="s">
        <v>417</v>
      </c>
      <c r="L278" t="s">
        <v>418</v>
      </c>
      <c r="M278" t="str">
        <f t="shared" si="9"/>
        <v xml:space="preserve">ANNE MARIE KOZACHECK </v>
      </c>
      <c r="N278" t="s">
        <v>41</v>
      </c>
      <c r="O278">
        <v>1</v>
      </c>
      <c r="P278">
        <v>25.98</v>
      </c>
      <c r="Q278">
        <v>0.65</v>
      </c>
      <c r="R278">
        <v>16.89</v>
      </c>
      <c r="S278" t="s">
        <v>400</v>
      </c>
    </row>
    <row r="279" spans="1:19" x14ac:dyDescent="0.25">
      <c r="A279" t="s">
        <v>35</v>
      </c>
      <c r="B279" t="s">
        <v>30</v>
      </c>
      <c r="C279" t="s">
        <v>36</v>
      </c>
      <c r="D279" s="1">
        <v>45566</v>
      </c>
      <c r="E279" s="1">
        <v>45870</v>
      </c>
      <c r="F279">
        <v>1</v>
      </c>
      <c r="G279">
        <f t="shared" si="8"/>
        <v>10</v>
      </c>
      <c r="H279" t="s">
        <v>394</v>
      </c>
      <c r="I279" t="s">
        <v>395</v>
      </c>
      <c r="J279">
        <v>19278370</v>
      </c>
      <c r="K279" t="s">
        <v>417</v>
      </c>
      <c r="L279" t="s">
        <v>418</v>
      </c>
      <c r="M279" t="str">
        <f t="shared" si="9"/>
        <v xml:space="preserve">ANNE MARIE KOZACHECK </v>
      </c>
      <c r="N279" t="s">
        <v>28</v>
      </c>
      <c r="O279">
        <v>1</v>
      </c>
      <c r="P279">
        <v>1.68</v>
      </c>
      <c r="Q279">
        <v>0.65</v>
      </c>
      <c r="R279">
        <v>1.0900000000000001</v>
      </c>
      <c r="S279" t="s">
        <v>400</v>
      </c>
    </row>
    <row r="280" spans="1:19" x14ac:dyDescent="0.25">
      <c r="A280" t="s">
        <v>35</v>
      </c>
      <c r="B280" t="s">
        <v>30</v>
      </c>
      <c r="C280" t="s">
        <v>36</v>
      </c>
      <c r="D280" s="1">
        <v>45566</v>
      </c>
      <c r="E280" s="1">
        <v>45870</v>
      </c>
      <c r="F280">
        <v>1</v>
      </c>
      <c r="G280">
        <f t="shared" si="8"/>
        <v>10</v>
      </c>
      <c r="H280" t="s">
        <v>394</v>
      </c>
      <c r="I280" t="s">
        <v>395</v>
      </c>
      <c r="J280">
        <v>19278370</v>
      </c>
      <c r="K280" t="s">
        <v>417</v>
      </c>
      <c r="L280" t="s">
        <v>418</v>
      </c>
      <c r="M280" t="str">
        <f t="shared" si="9"/>
        <v xml:space="preserve">ANNE MARIE KOZACHECK </v>
      </c>
      <c r="N280" t="s">
        <v>34</v>
      </c>
      <c r="O280">
        <v>1</v>
      </c>
      <c r="P280">
        <v>12.94</v>
      </c>
      <c r="Q280">
        <v>0.65</v>
      </c>
      <c r="R280">
        <v>8.41</v>
      </c>
      <c r="S280" t="s">
        <v>400</v>
      </c>
    </row>
    <row r="281" spans="1:19" x14ac:dyDescent="0.25">
      <c r="A281" t="s">
        <v>35</v>
      </c>
      <c r="B281" t="s">
        <v>30</v>
      </c>
      <c r="C281" t="s">
        <v>36</v>
      </c>
      <c r="D281" s="1">
        <v>45566</v>
      </c>
      <c r="E281" s="1">
        <v>45870</v>
      </c>
      <c r="F281">
        <v>1</v>
      </c>
      <c r="G281">
        <f t="shared" si="8"/>
        <v>10</v>
      </c>
      <c r="H281" t="s">
        <v>394</v>
      </c>
      <c r="I281" t="s">
        <v>395</v>
      </c>
      <c r="J281">
        <v>19278370</v>
      </c>
      <c r="K281" t="s">
        <v>417</v>
      </c>
      <c r="L281" t="s">
        <v>418</v>
      </c>
      <c r="M281" t="str">
        <f t="shared" si="9"/>
        <v xml:space="preserve">ANNE MARIE KOZACHECK </v>
      </c>
      <c r="N281" t="s">
        <v>42</v>
      </c>
      <c r="O281">
        <v>1</v>
      </c>
      <c r="P281">
        <v>2.75</v>
      </c>
      <c r="Q281">
        <v>0.65</v>
      </c>
      <c r="R281">
        <v>1.79</v>
      </c>
      <c r="S281" t="s">
        <v>400</v>
      </c>
    </row>
    <row r="282" spans="1:19" x14ac:dyDescent="0.25">
      <c r="A282" t="s">
        <v>43</v>
      </c>
      <c r="B282" t="s">
        <v>30</v>
      </c>
      <c r="C282" t="s">
        <v>44</v>
      </c>
      <c r="D282" s="1">
        <v>45566</v>
      </c>
      <c r="E282" s="1">
        <v>45870</v>
      </c>
      <c r="F282">
        <v>1</v>
      </c>
      <c r="G282">
        <f t="shared" si="8"/>
        <v>10</v>
      </c>
      <c r="H282" t="s">
        <v>394</v>
      </c>
      <c r="I282" t="s">
        <v>395</v>
      </c>
      <c r="J282">
        <v>19278370</v>
      </c>
      <c r="K282" t="s">
        <v>417</v>
      </c>
      <c r="L282" t="s">
        <v>418</v>
      </c>
      <c r="M282" t="str">
        <f t="shared" si="9"/>
        <v xml:space="preserve">ANNE MARIE KOZACHECK </v>
      </c>
      <c r="N282" t="s">
        <v>25</v>
      </c>
      <c r="O282">
        <v>1</v>
      </c>
      <c r="P282">
        <v>21.91</v>
      </c>
      <c r="Q282">
        <v>0.65</v>
      </c>
      <c r="R282">
        <v>14.24</v>
      </c>
      <c r="S282" t="s">
        <v>400</v>
      </c>
    </row>
    <row r="283" spans="1:19" x14ac:dyDescent="0.25">
      <c r="A283" t="s">
        <v>43</v>
      </c>
      <c r="B283" t="s">
        <v>30</v>
      </c>
      <c r="C283" t="s">
        <v>44</v>
      </c>
      <c r="D283" s="1">
        <v>45566</v>
      </c>
      <c r="E283" s="1">
        <v>45870</v>
      </c>
      <c r="F283">
        <v>1</v>
      </c>
      <c r="G283">
        <f t="shared" si="8"/>
        <v>10</v>
      </c>
      <c r="H283" t="s">
        <v>394</v>
      </c>
      <c r="I283" t="s">
        <v>395</v>
      </c>
      <c r="J283">
        <v>19278370</v>
      </c>
      <c r="K283" t="s">
        <v>417</v>
      </c>
      <c r="L283" t="s">
        <v>418</v>
      </c>
      <c r="M283" t="str">
        <f t="shared" si="9"/>
        <v xml:space="preserve">ANNE MARIE KOZACHECK </v>
      </c>
      <c r="N283" t="s">
        <v>28</v>
      </c>
      <c r="O283">
        <v>1</v>
      </c>
      <c r="P283">
        <v>1.68</v>
      </c>
      <c r="Q283">
        <v>0.65</v>
      </c>
      <c r="R283">
        <v>1.0900000000000001</v>
      </c>
      <c r="S283" t="s">
        <v>400</v>
      </c>
    </row>
    <row r="284" spans="1:19" x14ac:dyDescent="0.25">
      <c r="A284" t="s">
        <v>43</v>
      </c>
      <c r="B284" t="s">
        <v>30</v>
      </c>
      <c r="C284" t="s">
        <v>44</v>
      </c>
      <c r="D284" s="1">
        <v>45566</v>
      </c>
      <c r="E284" s="1">
        <v>45870</v>
      </c>
      <c r="F284">
        <v>1</v>
      </c>
      <c r="G284">
        <f t="shared" si="8"/>
        <v>10</v>
      </c>
      <c r="H284" t="s">
        <v>394</v>
      </c>
      <c r="I284" t="s">
        <v>395</v>
      </c>
      <c r="J284">
        <v>19278370</v>
      </c>
      <c r="K284" t="s">
        <v>417</v>
      </c>
      <c r="L284" t="s">
        <v>418</v>
      </c>
      <c r="M284" t="str">
        <f t="shared" si="9"/>
        <v xml:space="preserve">ANNE MARIE KOZACHECK </v>
      </c>
      <c r="N284" t="s">
        <v>34</v>
      </c>
      <c r="O284">
        <v>1</v>
      </c>
      <c r="P284">
        <v>13.58</v>
      </c>
      <c r="Q284">
        <v>0.65</v>
      </c>
      <c r="R284">
        <v>8.83</v>
      </c>
      <c r="S284" t="s">
        <v>400</v>
      </c>
    </row>
    <row r="285" spans="1:19" x14ac:dyDescent="0.25">
      <c r="A285" t="s">
        <v>121</v>
      </c>
      <c r="B285" t="s">
        <v>30</v>
      </c>
      <c r="C285" t="s">
        <v>122</v>
      </c>
      <c r="D285" s="1">
        <v>45566</v>
      </c>
      <c r="E285" s="1">
        <v>45870</v>
      </c>
      <c r="F285">
        <v>1</v>
      </c>
      <c r="G285">
        <f t="shared" si="8"/>
        <v>10</v>
      </c>
      <c r="H285" t="s">
        <v>394</v>
      </c>
      <c r="I285" t="s">
        <v>395</v>
      </c>
      <c r="J285">
        <v>16509456</v>
      </c>
      <c r="K285" t="s">
        <v>412</v>
      </c>
      <c r="L285" t="s">
        <v>413</v>
      </c>
      <c r="M285" t="str">
        <f t="shared" si="9"/>
        <v xml:space="preserve">PETER RICHTER   </v>
      </c>
      <c r="N285" t="s">
        <v>25</v>
      </c>
      <c r="O285">
        <v>1</v>
      </c>
      <c r="P285">
        <v>27.65</v>
      </c>
      <c r="Q285">
        <v>0.65</v>
      </c>
      <c r="R285">
        <v>17.97</v>
      </c>
      <c r="S285" t="s">
        <v>400</v>
      </c>
    </row>
    <row r="286" spans="1:19" x14ac:dyDescent="0.25">
      <c r="A286" t="s">
        <v>121</v>
      </c>
      <c r="B286" t="s">
        <v>30</v>
      </c>
      <c r="C286" t="s">
        <v>122</v>
      </c>
      <c r="D286" s="1">
        <v>45566</v>
      </c>
      <c r="E286" s="1">
        <v>45870</v>
      </c>
      <c r="F286">
        <v>1</v>
      </c>
      <c r="G286">
        <f t="shared" si="8"/>
        <v>10</v>
      </c>
      <c r="H286" t="s">
        <v>394</v>
      </c>
      <c r="I286" t="s">
        <v>395</v>
      </c>
      <c r="J286">
        <v>16509456</v>
      </c>
      <c r="K286" t="s">
        <v>412</v>
      </c>
      <c r="L286" t="s">
        <v>413</v>
      </c>
      <c r="M286" t="str">
        <f t="shared" si="9"/>
        <v xml:space="preserve">PETER RICHTER   </v>
      </c>
      <c r="N286" t="s">
        <v>28</v>
      </c>
      <c r="O286">
        <v>1</v>
      </c>
      <c r="P286">
        <v>1.68</v>
      </c>
      <c r="Q286">
        <v>0.65</v>
      </c>
      <c r="R286">
        <v>1.0900000000000001</v>
      </c>
      <c r="S286" t="s">
        <v>400</v>
      </c>
    </row>
    <row r="287" spans="1:19" x14ac:dyDescent="0.25">
      <c r="A287" t="s">
        <v>121</v>
      </c>
      <c r="B287" t="s">
        <v>30</v>
      </c>
      <c r="C287" t="s">
        <v>122</v>
      </c>
      <c r="D287" s="1">
        <v>45566</v>
      </c>
      <c r="E287" s="1">
        <v>45870</v>
      </c>
      <c r="F287">
        <v>1</v>
      </c>
      <c r="G287">
        <f t="shared" si="8"/>
        <v>10</v>
      </c>
      <c r="H287" t="s">
        <v>394</v>
      </c>
      <c r="I287" t="s">
        <v>395</v>
      </c>
      <c r="J287">
        <v>16509456</v>
      </c>
      <c r="K287" t="s">
        <v>412</v>
      </c>
      <c r="L287" t="s">
        <v>413</v>
      </c>
      <c r="M287" t="str">
        <f t="shared" si="9"/>
        <v xml:space="preserve">PETER RICHTER   </v>
      </c>
      <c r="N287" t="s">
        <v>27</v>
      </c>
      <c r="O287">
        <v>1</v>
      </c>
      <c r="P287">
        <v>12.43</v>
      </c>
      <c r="Q287">
        <v>0.65</v>
      </c>
      <c r="R287">
        <v>8.08</v>
      </c>
      <c r="S287" t="s">
        <v>400</v>
      </c>
    </row>
    <row r="288" spans="1:19" x14ac:dyDescent="0.25">
      <c r="A288" t="s">
        <v>121</v>
      </c>
      <c r="B288" t="s">
        <v>30</v>
      </c>
      <c r="C288" t="s">
        <v>122</v>
      </c>
      <c r="D288" s="1">
        <v>45566</v>
      </c>
      <c r="E288" s="1">
        <v>45870</v>
      </c>
      <c r="F288">
        <v>1</v>
      </c>
      <c r="G288">
        <f t="shared" si="8"/>
        <v>10</v>
      </c>
      <c r="H288" t="s">
        <v>394</v>
      </c>
      <c r="I288" t="s">
        <v>395</v>
      </c>
      <c r="J288">
        <v>16509456</v>
      </c>
      <c r="K288" t="s">
        <v>412</v>
      </c>
      <c r="L288" t="s">
        <v>413</v>
      </c>
      <c r="M288" t="str">
        <f t="shared" si="9"/>
        <v xml:space="preserve">PETER RICHTER   </v>
      </c>
      <c r="N288" t="s">
        <v>76</v>
      </c>
      <c r="O288">
        <v>1</v>
      </c>
      <c r="P288">
        <v>2.14</v>
      </c>
      <c r="Q288">
        <v>0.65</v>
      </c>
      <c r="R288">
        <v>1.39</v>
      </c>
      <c r="S288" t="s">
        <v>400</v>
      </c>
    </row>
    <row r="289" spans="1:19" x14ac:dyDescent="0.25">
      <c r="A289" t="s">
        <v>123</v>
      </c>
      <c r="B289" t="s">
        <v>30</v>
      </c>
      <c r="C289" t="s">
        <v>124</v>
      </c>
      <c r="D289" s="1">
        <v>45566</v>
      </c>
      <c r="E289" s="1">
        <v>45870</v>
      </c>
      <c r="F289">
        <v>1</v>
      </c>
      <c r="G289">
        <f t="shared" si="8"/>
        <v>10</v>
      </c>
      <c r="H289" t="s">
        <v>394</v>
      </c>
      <c r="I289" t="s">
        <v>395</v>
      </c>
      <c r="J289">
        <v>16509456</v>
      </c>
      <c r="K289" t="s">
        <v>412</v>
      </c>
      <c r="L289" t="s">
        <v>413</v>
      </c>
      <c r="M289" t="str">
        <f t="shared" si="9"/>
        <v xml:space="preserve">PETER RICHTER   </v>
      </c>
      <c r="N289" t="s">
        <v>76</v>
      </c>
      <c r="O289">
        <v>1</v>
      </c>
      <c r="P289">
        <v>1.79</v>
      </c>
      <c r="Q289">
        <v>0.65</v>
      </c>
      <c r="R289">
        <v>1.1599999999999999</v>
      </c>
      <c r="S289" t="s">
        <v>400</v>
      </c>
    </row>
    <row r="290" spans="1:19" x14ac:dyDescent="0.25">
      <c r="A290" t="s">
        <v>123</v>
      </c>
      <c r="B290" t="s">
        <v>30</v>
      </c>
      <c r="C290" t="s">
        <v>124</v>
      </c>
      <c r="D290" s="1">
        <v>45566</v>
      </c>
      <c r="E290" s="1">
        <v>45870</v>
      </c>
      <c r="F290">
        <v>1</v>
      </c>
      <c r="G290">
        <f t="shared" si="8"/>
        <v>10</v>
      </c>
      <c r="H290" t="s">
        <v>394</v>
      </c>
      <c r="I290" t="s">
        <v>395</v>
      </c>
      <c r="J290">
        <v>16509456</v>
      </c>
      <c r="K290" t="s">
        <v>412</v>
      </c>
      <c r="L290" t="s">
        <v>413</v>
      </c>
      <c r="M290" t="str">
        <f t="shared" si="9"/>
        <v xml:space="preserve">PETER RICHTER   </v>
      </c>
      <c r="N290" t="s">
        <v>25</v>
      </c>
      <c r="O290">
        <v>1</v>
      </c>
      <c r="P290">
        <v>21.06</v>
      </c>
      <c r="Q290">
        <v>0.65</v>
      </c>
      <c r="R290">
        <v>13.69</v>
      </c>
      <c r="S290" t="s">
        <v>400</v>
      </c>
    </row>
    <row r="291" spans="1:19" x14ac:dyDescent="0.25">
      <c r="A291" t="s">
        <v>123</v>
      </c>
      <c r="B291" t="s">
        <v>30</v>
      </c>
      <c r="C291" t="s">
        <v>124</v>
      </c>
      <c r="D291" s="1">
        <v>45566</v>
      </c>
      <c r="E291" s="1">
        <v>45870</v>
      </c>
      <c r="F291">
        <v>1</v>
      </c>
      <c r="G291">
        <f t="shared" si="8"/>
        <v>10</v>
      </c>
      <c r="H291" t="s">
        <v>394</v>
      </c>
      <c r="I291" t="s">
        <v>395</v>
      </c>
      <c r="J291">
        <v>16509456</v>
      </c>
      <c r="K291" t="s">
        <v>412</v>
      </c>
      <c r="L291" t="s">
        <v>413</v>
      </c>
      <c r="M291" t="str">
        <f t="shared" si="9"/>
        <v xml:space="preserve">PETER RICHTER   </v>
      </c>
      <c r="N291" t="s">
        <v>34</v>
      </c>
      <c r="O291">
        <v>1</v>
      </c>
      <c r="P291">
        <v>12.94</v>
      </c>
      <c r="Q291">
        <v>0.65</v>
      </c>
      <c r="R291">
        <v>8.41</v>
      </c>
      <c r="S291" t="s">
        <v>400</v>
      </c>
    </row>
    <row r="292" spans="1:19" x14ac:dyDescent="0.25">
      <c r="A292" t="s">
        <v>123</v>
      </c>
      <c r="B292" t="s">
        <v>30</v>
      </c>
      <c r="C292" t="s">
        <v>124</v>
      </c>
      <c r="D292" s="1">
        <v>45566</v>
      </c>
      <c r="E292" s="1">
        <v>45870</v>
      </c>
      <c r="F292">
        <v>1</v>
      </c>
      <c r="G292">
        <f t="shared" si="8"/>
        <v>10</v>
      </c>
      <c r="H292" t="s">
        <v>394</v>
      </c>
      <c r="I292" t="s">
        <v>395</v>
      </c>
      <c r="J292">
        <v>16509456</v>
      </c>
      <c r="K292" t="s">
        <v>412</v>
      </c>
      <c r="L292" t="s">
        <v>413</v>
      </c>
      <c r="M292" t="str">
        <f t="shared" si="9"/>
        <v xml:space="preserve">PETER RICHTER   </v>
      </c>
      <c r="N292" t="s">
        <v>27</v>
      </c>
      <c r="O292">
        <v>1</v>
      </c>
      <c r="P292">
        <v>12.43</v>
      </c>
      <c r="Q292">
        <v>0.65</v>
      </c>
      <c r="R292">
        <v>8.08</v>
      </c>
      <c r="S292" t="s">
        <v>400</v>
      </c>
    </row>
    <row r="293" spans="1:19" x14ac:dyDescent="0.25">
      <c r="A293" t="s">
        <v>123</v>
      </c>
      <c r="B293" t="s">
        <v>30</v>
      </c>
      <c r="C293" t="s">
        <v>124</v>
      </c>
      <c r="D293" s="1">
        <v>45566</v>
      </c>
      <c r="E293" s="1">
        <v>45870</v>
      </c>
      <c r="F293">
        <v>1</v>
      </c>
      <c r="G293">
        <f t="shared" si="8"/>
        <v>10</v>
      </c>
      <c r="H293" t="s">
        <v>394</v>
      </c>
      <c r="I293" t="s">
        <v>395</v>
      </c>
      <c r="J293">
        <v>16509456</v>
      </c>
      <c r="K293" t="s">
        <v>412</v>
      </c>
      <c r="L293" t="s">
        <v>413</v>
      </c>
      <c r="M293" t="str">
        <f t="shared" si="9"/>
        <v xml:space="preserve">PETER RICHTER   </v>
      </c>
      <c r="N293" t="s">
        <v>28</v>
      </c>
      <c r="O293">
        <v>1</v>
      </c>
      <c r="P293">
        <v>1.68</v>
      </c>
      <c r="Q293">
        <v>0.65</v>
      </c>
      <c r="R293">
        <v>1.0900000000000001</v>
      </c>
      <c r="S293" t="s">
        <v>400</v>
      </c>
    </row>
    <row r="294" spans="1:19" x14ac:dyDescent="0.25">
      <c r="A294" t="s">
        <v>188</v>
      </c>
      <c r="B294" t="s">
        <v>56</v>
      </c>
      <c r="C294" t="s">
        <v>189</v>
      </c>
      <c r="D294" s="1">
        <v>45552</v>
      </c>
      <c r="E294" s="1">
        <v>45886</v>
      </c>
      <c r="F294">
        <v>1</v>
      </c>
      <c r="G294">
        <f t="shared" si="8"/>
        <v>11</v>
      </c>
      <c r="H294" t="s">
        <v>394</v>
      </c>
      <c r="I294" t="s">
        <v>395</v>
      </c>
      <c r="J294">
        <v>16912722</v>
      </c>
      <c r="K294" t="s">
        <v>424</v>
      </c>
      <c r="L294" t="s">
        <v>419</v>
      </c>
      <c r="M294" t="str">
        <f t="shared" si="9"/>
        <v>ANDREA PETRUNGARO</v>
      </c>
      <c r="N294" t="s">
        <v>63</v>
      </c>
      <c r="O294">
        <v>1</v>
      </c>
      <c r="P294">
        <v>78.59</v>
      </c>
      <c r="Q294">
        <v>0.65</v>
      </c>
      <c r="R294">
        <v>51.08</v>
      </c>
      <c r="S294" t="s">
        <v>400</v>
      </c>
    </row>
    <row r="295" spans="1:19" x14ac:dyDescent="0.25">
      <c r="A295" t="s">
        <v>188</v>
      </c>
      <c r="B295" t="s">
        <v>56</v>
      </c>
      <c r="C295" t="s">
        <v>189</v>
      </c>
      <c r="D295" s="1">
        <v>45552</v>
      </c>
      <c r="E295" s="1">
        <v>45886</v>
      </c>
      <c r="F295">
        <v>1</v>
      </c>
      <c r="G295">
        <f t="shared" si="8"/>
        <v>11</v>
      </c>
      <c r="H295" t="s">
        <v>394</v>
      </c>
      <c r="I295" t="s">
        <v>395</v>
      </c>
      <c r="J295">
        <v>16912722</v>
      </c>
      <c r="K295" t="s">
        <v>424</v>
      </c>
      <c r="L295" t="s">
        <v>419</v>
      </c>
      <c r="M295" t="str">
        <f t="shared" si="9"/>
        <v>ANDREA PETRUNGARO</v>
      </c>
      <c r="N295" t="s">
        <v>193</v>
      </c>
      <c r="O295">
        <v>1</v>
      </c>
      <c r="P295">
        <v>20.350000000000001</v>
      </c>
      <c r="Q295">
        <v>0.65</v>
      </c>
      <c r="R295">
        <v>13.23</v>
      </c>
      <c r="S295" t="s">
        <v>400</v>
      </c>
    </row>
    <row r="296" spans="1:19" x14ac:dyDescent="0.25">
      <c r="A296" t="s">
        <v>188</v>
      </c>
      <c r="B296" t="s">
        <v>56</v>
      </c>
      <c r="C296" t="s">
        <v>189</v>
      </c>
      <c r="D296" s="1">
        <v>45552</v>
      </c>
      <c r="E296" s="1">
        <v>45886</v>
      </c>
      <c r="F296">
        <v>1</v>
      </c>
      <c r="G296">
        <f t="shared" si="8"/>
        <v>11</v>
      </c>
      <c r="H296" t="s">
        <v>394</v>
      </c>
      <c r="I296" t="s">
        <v>395</v>
      </c>
      <c r="J296">
        <v>16912722</v>
      </c>
      <c r="K296" t="s">
        <v>424</v>
      </c>
      <c r="L296" t="s">
        <v>419</v>
      </c>
      <c r="M296" t="str">
        <f t="shared" si="9"/>
        <v>ANDREA PETRUNGARO</v>
      </c>
      <c r="N296" t="s">
        <v>62</v>
      </c>
      <c r="O296">
        <v>1</v>
      </c>
      <c r="P296">
        <v>1.68</v>
      </c>
      <c r="Q296">
        <v>0.65</v>
      </c>
      <c r="R296">
        <v>1.0900000000000001</v>
      </c>
      <c r="S296" t="s">
        <v>400</v>
      </c>
    </row>
    <row r="297" spans="1:19" x14ac:dyDescent="0.25">
      <c r="A297" t="s">
        <v>164</v>
      </c>
      <c r="B297" t="s">
        <v>128</v>
      </c>
      <c r="C297" t="s">
        <v>165</v>
      </c>
      <c r="D297" s="1">
        <v>45536</v>
      </c>
      <c r="E297" s="1">
        <v>45870</v>
      </c>
      <c r="F297">
        <v>1</v>
      </c>
      <c r="G297">
        <f t="shared" si="8"/>
        <v>11</v>
      </c>
      <c r="H297" t="s">
        <v>394</v>
      </c>
      <c r="I297" t="s">
        <v>395</v>
      </c>
      <c r="J297">
        <v>16633294</v>
      </c>
      <c r="K297" t="s">
        <v>429</v>
      </c>
      <c r="L297" t="s">
        <v>420</v>
      </c>
      <c r="M297" t="str">
        <f t="shared" si="9"/>
        <v xml:space="preserve">RICHARD YALE </v>
      </c>
      <c r="N297" t="s">
        <v>25</v>
      </c>
      <c r="O297">
        <v>1</v>
      </c>
      <c r="P297">
        <v>33.229999999999997</v>
      </c>
      <c r="Q297">
        <v>0.65</v>
      </c>
      <c r="R297">
        <v>21.6</v>
      </c>
      <c r="S297" t="s">
        <v>400</v>
      </c>
    </row>
    <row r="298" spans="1:19" x14ac:dyDescent="0.25">
      <c r="A298" t="s">
        <v>164</v>
      </c>
      <c r="B298" t="s">
        <v>128</v>
      </c>
      <c r="C298" t="s">
        <v>165</v>
      </c>
      <c r="D298" s="1">
        <v>45536</v>
      </c>
      <c r="E298" s="1">
        <v>45870</v>
      </c>
      <c r="F298">
        <v>1</v>
      </c>
      <c r="G298">
        <f t="shared" si="8"/>
        <v>11</v>
      </c>
      <c r="H298" t="s">
        <v>394</v>
      </c>
      <c r="I298" t="s">
        <v>395</v>
      </c>
      <c r="J298">
        <v>16633294</v>
      </c>
      <c r="K298" t="s">
        <v>429</v>
      </c>
      <c r="L298" t="s">
        <v>420</v>
      </c>
      <c r="M298" t="str">
        <f t="shared" si="9"/>
        <v xml:space="preserve">RICHARD YALE </v>
      </c>
      <c r="N298" t="s">
        <v>75</v>
      </c>
      <c r="O298">
        <v>1</v>
      </c>
      <c r="P298">
        <v>2.31</v>
      </c>
      <c r="Q298">
        <v>0.65</v>
      </c>
      <c r="R298">
        <v>1.5</v>
      </c>
      <c r="S298" t="s">
        <v>400</v>
      </c>
    </row>
    <row r="299" spans="1:19" x14ac:dyDescent="0.25">
      <c r="A299" t="s">
        <v>164</v>
      </c>
      <c r="B299" t="s">
        <v>128</v>
      </c>
      <c r="C299" t="s">
        <v>165</v>
      </c>
      <c r="D299" s="1">
        <v>45536</v>
      </c>
      <c r="E299" s="1">
        <v>45870</v>
      </c>
      <c r="F299">
        <v>1</v>
      </c>
      <c r="G299">
        <f t="shared" si="8"/>
        <v>11</v>
      </c>
      <c r="H299" t="s">
        <v>394</v>
      </c>
      <c r="I299" t="s">
        <v>395</v>
      </c>
      <c r="J299">
        <v>16633294</v>
      </c>
      <c r="K299" t="s">
        <v>429</v>
      </c>
      <c r="L299" t="s">
        <v>420</v>
      </c>
      <c r="M299" t="str">
        <f t="shared" si="9"/>
        <v xml:space="preserve">RICHARD YALE </v>
      </c>
      <c r="N299" t="s">
        <v>77</v>
      </c>
      <c r="O299">
        <v>1</v>
      </c>
      <c r="P299">
        <v>11.76</v>
      </c>
      <c r="Q299">
        <v>0.65</v>
      </c>
      <c r="R299">
        <v>7.64</v>
      </c>
      <c r="S299" t="s">
        <v>400</v>
      </c>
    </row>
    <row r="300" spans="1:19" x14ac:dyDescent="0.25">
      <c r="A300" t="s">
        <v>164</v>
      </c>
      <c r="B300" t="s">
        <v>128</v>
      </c>
      <c r="C300" t="s">
        <v>165</v>
      </c>
      <c r="D300" s="1">
        <v>45536</v>
      </c>
      <c r="E300" s="1">
        <v>45870</v>
      </c>
      <c r="F300">
        <v>1</v>
      </c>
      <c r="G300">
        <f t="shared" si="8"/>
        <v>11</v>
      </c>
      <c r="H300" t="s">
        <v>394</v>
      </c>
      <c r="I300" t="s">
        <v>395</v>
      </c>
      <c r="J300">
        <v>16633294</v>
      </c>
      <c r="K300" t="s">
        <v>429</v>
      </c>
      <c r="L300" t="s">
        <v>420</v>
      </c>
      <c r="M300" t="str">
        <f t="shared" si="9"/>
        <v xml:space="preserve">RICHARD YALE </v>
      </c>
      <c r="N300" t="s">
        <v>41</v>
      </c>
      <c r="O300">
        <v>1</v>
      </c>
      <c r="P300">
        <v>53.68</v>
      </c>
      <c r="Q300">
        <v>0.65</v>
      </c>
      <c r="R300">
        <v>34.89</v>
      </c>
      <c r="S300" t="s">
        <v>400</v>
      </c>
    </row>
    <row r="301" spans="1:19" x14ac:dyDescent="0.25">
      <c r="A301" t="s">
        <v>164</v>
      </c>
      <c r="B301" t="s">
        <v>128</v>
      </c>
      <c r="C301" t="s">
        <v>165</v>
      </c>
      <c r="D301" s="1">
        <v>45536</v>
      </c>
      <c r="E301" s="1">
        <v>45870</v>
      </c>
      <c r="F301">
        <v>1</v>
      </c>
      <c r="G301">
        <f t="shared" si="8"/>
        <v>11</v>
      </c>
      <c r="H301" t="s">
        <v>394</v>
      </c>
      <c r="I301" t="s">
        <v>395</v>
      </c>
      <c r="J301">
        <v>16633294</v>
      </c>
      <c r="K301" t="s">
        <v>429</v>
      </c>
      <c r="L301" t="s">
        <v>420</v>
      </c>
      <c r="M301" t="str">
        <f t="shared" si="9"/>
        <v xml:space="preserve">RICHARD YALE </v>
      </c>
      <c r="N301" t="s">
        <v>28</v>
      </c>
      <c r="O301">
        <v>1</v>
      </c>
      <c r="P301">
        <v>1.68</v>
      </c>
      <c r="Q301">
        <v>0.65</v>
      </c>
      <c r="R301">
        <v>1.0900000000000001</v>
      </c>
      <c r="S301" t="s">
        <v>400</v>
      </c>
    </row>
    <row r="302" spans="1:19" x14ac:dyDescent="0.25">
      <c r="A302" t="s">
        <v>164</v>
      </c>
      <c r="B302" t="s">
        <v>128</v>
      </c>
      <c r="C302" t="s">
        <v>165</v>
      </c>
      <c r="D302" s="1">
        <v>45536</v>
      </c>
      <c r="E302" s="1">
        <v>45870</v>
      </c>
      <c r="F302">
        <v>1</v>
      </c>
      <c r="G302">
        <f t="shared" si="8"/>
        <v>11</v>
      </c>
      <c r="H302" t="s">
        <v>394</v>
      </c>
      <c r="I302" t="s">
        <v>395</v>
      </c>
      <c r="J302">
        <v>16633294</v>
      </c>
      <c r="K302" t="s">
        <v>429</v>
      </c>
      <c r="L302" t="s">
        <v>420</v>
      </c>
      <c r="M302" t="str">
        <f t="shared" si="9"/>
        <v xml:space="preserve">RICHARD YALE </v>
      </c>
      <c r="N302" t="s">
        <v>34</v>
      </c>
      <c r="O302">
        <v>1</v>
      </c>
      <c r="P302">
        <v>12.94</v>
      </c>
      <c r="Q302">
        <v>0.65</v>
      </c>
      <c r="R302">
        <v>8.41</v>
      </c>
      <c r="S302" t="s">
        <v>400</v>
      </c>
    </row>
    <row r="303" spans="1:19" x14ac:dyDescent="0.25">
      <c r="A303" t="s">
        <v>164</v>
      </c>
      <c r="B303" t="s">
        <v>128</v>
      </c>
      <c r="C303" t="s">
        <v>165</v>
      </c>
      <c r="D303" s="1">
        <v>45536</v>
      </c>
      <c r="E303" s="1">
        <v>45870</v>
      </c>
      <c r="F303">
        <v>1</v>
      </c>
      <c r="G303">
        <f t="shared" si="8"/>
        <v>11</v>
      </c>
      <c r="H303" t="s">
        <v>394</v>
      </c>
      <c r="I303" t="s">
        <v>395</v>
      </c>
      <c r="J303">
        <v>16633294</v>
      </c>
      <c r="K303" t="s">
        <v>429</v>
      </c>
      <c r="L303" t="s">
        <v>420</v>
      </c>
      <c r="M303" t="str">
        <f t="shared" si="9"/>
        <v xml:space="preserve">RICHARD YALE </v>
      </c>
      <c r="N303" t="s">
        <v>42</v>
      </c>
      <c r="O303">
        <v>1</v>
      </c>
      <c r="P303">
        <v>2.92</v>
      </c>
      <c r="Q303">
        <v>0.65</v>
      </c>
      <c r="R303">
        <v>1.9</v>
      </c>
      <c r="S303" t="s">
        <v>400</v>
      </c>
    </row>
    <row r="304" spans="1:19" x14ac:dyDescent="0.25">
      <c r="A304" t="s">
        <v>164</v>
      </c>
      <c r="B304" t="s">
        <v>128</v>
      </c>
      <c r="C304" t="s">
        <v>165</v>
      </c>
      <c r="D304" s="1">
        <v>45536</v>
      </c>
      <c r="E304" s="1">
        <v>45870</v>
      </c>
      <c r="F304">
        <v>1</v>
      </c>
      <c r="G304">
        <f t="shared" si="8"/>
        <v>11</v>
      </c>
      <c r="H304" t="s">
        <v>394</v>
      </c>
      <c r="I304" t="s">
        <v>395</v>
      </c>
      <c r="J304">
        <v>16633294</v>
      </c>
      <c r="K304" t="s">
        <v>429</v>
      </c>
      <c r="L304" t="s">
        <v>420</v>
      </c>
      <c r="M304" t="str">
        <f t="shared" si="9"/>
        <v xml:space="preserve">RICHARD YALE </v>
      </c>
      <c r="N304" t="s">
        <v>27</v>
      </c>
      <c r="O304">
        <v>1</v>
      </c>
      <c r="P304">
        <v>12.43</v>
      </c>
      <c r="Q304">
        <v>0.65</v>
      </c>
      <c r="R304">
        <v>8.08</v>
      </c>
      <c r="S304" t="s">
        <v>400</v>
      </c>
    </row>
    <row r="305" spans="1:19" x14ac:dyDescent="0.25">
      <c r="A305" t="s">
        <v>164</v>
      </c>
      <c r="B305" t="s">
        <v>128</v>
      </c>
      <c r="C305" t="s">
        <v>165</v>
      </c>
      <c r="D305" s="1">
        <v>45536</v>
      </c>
      <c r="E305" s="1">
        <v>45870</v>
      </c>
      <c r="F305">
        <v>1</v>
      </c>
      <c r="G305">
        <f t="shared" si="8"/>
        <v>11</v>
      </c>
      <c r="H305" t="s">
        <v>394</v>
      </c>
      <c r="I305" t="s">
        <v>395</v>
      </c>
      <c r="J305">
        <v>16633294</v>
      </c>
      <c r="K305" t="s">
        <v>429</v>
      </c>
      <c r="L305" t="s">
        <v>420</v>
      </c>
      <c r="M305" t="str">
        <f t="shared" si="9"/>
        <v xml:space="preserve">RICHARD YALE </v>
      </c>
      <c r="N305" t="s">
        <v>76</v>
      </c>
      <c r="O305">
        <v>1</v>
      </c>
      <c r="P305">
        <v>2.86</v>
      </c>
      <c r="Q305">
        <v>0.65</v>
      </c>
      <c r="R305">
        <v>1.86</v>
      </c>
      <c r="S305" t="s">
        <v>400</v>
      </c>
    </row>
    <row r="306" spans="1:19" x14ac:dyDescent="0.25">
      <c r="A306" t="s">
        <v>127</v>
      </c>
      <c r="B306" t="s">
        <v>128</v>
      </c>
      <c r="C306" t="s">
        <v>129</v>
      </c>
      <c r="D306" s="1">
        <v>45536</v>
      </c>
      <c r="E306" s="1">
        <v>45870</v>
      </c>
      <c r="F306">
        <v>1</v>
      </c>
      <c r="G306">
        <f t="shared" si="8"/>
        <v>11</v>
      </c>
      <c r="H306" t="s">
        <v>394</v>
      </c>
      <c r="I306" t="s">
        <v>395</v>
      </c>
      <c r="J306">
        <v>18581063</v>
      </c>
      <c r="K306" t="s">
        <v>427</v>
      </c>
      <c r="L306" t="s">
        <v>411</v>
      </c>
      <c r="M306" t="str">
        <f t="shared" si="9"/>
        <v xml:space="preserve">TIMOTHY HODGMAN   </v>
      </c>
      <c r="N306" t="s">
        <v>25</v>
      </c>
      <c r="O306">
        <v>1</v>
      </c>
      <c r="P306">
        <v>24.37</v>
      </c>
      <c r="Q306">
        <v>0.65</v>
      </c>
      <c r="R306">
        <v>15.84</v>
      </c>
      <c r="S306" t="s">
        <v>400</v>
      </c>
    </row>
    <row r="307" spans="1:19" x14ac:dyDescent="0.25">
      <c r="A307" t="s">
        <v>127</v>
      </c>
      <c r="B307" t="s">
        <v>128</v>
      </c>
      <c r="C307" t="s">
        <v>129</v>
      </c>
      <c r="D307" s="1">
        <v>45536</v>
      </c>
      <c r="E307" s="1">
        <v>45870</v>
      </c>
      <c r="F307">
        <v>1</v>
      </c>
      <c r="G307">
        <f t="shared" si="8"/>
        <v>11</v>
      </c>
      <c r="H307" t="s">
        <v>394</v>
      </c>
      <c r="I307" t="s">
        <v>395</v>
      </c>
      <c r="J307">
        <v>18581063</v>
      </c>
      <c r="K307" t="s">
        <v>427</v>
      </c>
      <c r="L307" t="s">
        <v>411</v>
      </c>
      <c r="M307" t="str">
        <f t="shared" si="9"/>
        <v xml:space="preserve">TIMOTHY HODGMAN   </v>
      </c>
      <c r="N307" t="s">
        <v>133</v>
      </c>
      <c r="O307">
        <v>1</v>
      </c>
      <c r="P307">
        <v>38.47</v>
      </c>
      <c r="Q307">
        <v>0.65</v>
      </c>
      <c r="R307">
        <v>25.01</v>
      </c>
      <c r="S307" t="s">
        <v>400</v>
      </c>
    </row>
    <row r="308" spans="1:19" x14ac:dyDescent="0.25">
      <c r="A308" t="s">
        <v>127</v>
      </c>
      <c r="B308" t="s">
        <v>128</v>
      </c>
      <c r="C308" t="s">
        <v>129</v>
      </c>
      <c r="D308" s="1">
        <v>45536</v>
      </c>
      <c r="E308" s="1">
        <v>45870</v>
      </c>
      <c r="F308">
        <v>1</v>
      </c>
      <c r="G308">
        <f t="shared" si="8"/>
        <v>11</v>
      </c>
      <c r="H308" t="s">
        <v>394</v>
      </c>
      <c r="I308" t="s">
        <v>395</v>
      </c>
      <c r="J308">
        <v>18581063</v>
      </c>
      <c r="K308" t="s">
        <v>427</v>
      </c>
      <c r="L308" t="s">
        <v>411</v>
      </c>
      <c r="M308" t="str">
        <f t="shared" si="9"/>
        <v xml:space="preserve">TIMOTHY HODGMAN   </v>
      </c>
      <c r="N308" t="s">
        <v>27</v>
      </c>
      <c r="O308">
        <v>1</v>
      </c>
      <c r="P308">
        <v>18.649999999999999</v>
      </c>
      <c r="Q308">
        <v>0.65</v>
      </c>
      <c r="R308">
        <v>12.12</v>
      </c>
      <c r="S308" t="s">
        <v>400</v>
      </c>
    </row>
    <row r="309" spans="1:19" x14ac:dyDescent="0.25">
      <c r="A309" t="s">
        <v>127</v>
      </c>
      <c r="B309" t="s">
        <v>128</v>
      </c>
      <c r="C309" t="s">
        <v>129</v>
      </c>
      <c r="D309" s="1">
        <v>45536</v>
      </c>
      <c r="E309" s="1">
        <v>45870</v>
      </c>
      <c r="F309">
        <v>1</v>
      </c>
      <c r="G309">
        <f t="shared" si="8"/>
        <v>11</v>
      </c>
      <c r="H309" t="s">
        <v>394</v>
      </c>
      <c r="I309" t="s">
        <v>395</v>
      </c>
      <c r="J309">
        <v>18581063</v>
      </c>
      <c r="K309" t="s">
        <v>427</v>
      </c>
      <c r="L309" t="s">
        <v>411</v>
      </c>
      <c r="M309" t="str">
        <f t="shared" si="9"/>
        <v xml:space="preserve">TIMOTHY HODGMAN   </v>
      </c>
      <c r="N309" t="s">
        <v>76</v>
      </c>
      <c r="O309">
        <v>1</v>
      </c>
      <c r="P309">
        <v>1.79</v>
      </c>
      <c r="Q309">
        <v>0.65</v>
      </c>
      <c r="R309">
        <v>1.1599999999999999</v>
      </c>
      <c r="S309" t="s">
        <v>400</v>
      </c>
    </row>
    <row r="310" spans="1:19" x14ac:dyDescent="0.25">
      <c r="A310" t="s">
        <v>127</v>
      </c>
      <c r="B310" t="s">
        <v>128</v>
      </c>
      <c r="C310" t="s">
        <v>129</v>
      </c>
      <c r="D310" s="1">
        <v>45536</v>
      </c>
      <c r="E310" s="1">
        <v>45870</v>
      </c>
      <c r="F310">
        <v>1</v>
      </c>
      <c r="G310">
        <f t="shared" si="8"/>
        <v>11</v>
      </c>
      <c r="H310" t="s">
        <v>394</v>
      </c>
      <c r="I310" t="s">
        <v>395</v>
      </c>
      <c r="J310">
        <v>18581063</v>
      </c>
      <c r="K310" t="s">
        <v>427</v>
      </c>
      <c r="L310" t="s">
        <v>411</v>
      </c>
      <c r="M310" t="str">
        <f t="shared" si="9"/>
        <v xml:space="preserve">TIMOTHY HODGMAN   </v>
      </c>
      <c r="N310" t="s">
        <v>28</v>
      </c>
      <c r="O310">
        <v>1</v>
      </c>
      <c r="P310">
        <v>1.68</v>
      </c>
      <c r="Q310">
        <v>0.65</v>
      </c>
      <c r="R310">
        <v>1.0900000000000001</v>
      </c>
      <c r="S310" t="s">
        <v>400</v>
      </c>
    </row>
    <row r="311" spans="1:19" x14ac:dyDescent="0.25">
      <c r="A311" t="s">
        <v>127</v>
      </c>
      <c r="B311" t="s">
        <v>128</v>
      </c>
      <c r="C311" t="s">
        <v>129</v>
      </c>
      <c r="D311" s="1">
        <v>45536</v>
      </c>
      <c r="E311" s="1">
        <v>45870</v>
      </c>
      <c r="F311">
        <v>1</v>
      </c>
      <c r="G311">
        <f t="shared" si="8"/>
        <v>11</v>
      </c>
      <c r="H311" t="s">
        <v>394</v>
      </c>
      <c r="I311" t="s">
        <v>395</v>
      </c>
      <c r="J311">
        <v>18581063</v>
      </c>
      <c r="K311" t="s">
        <v>427</v>
      </c>
      <c r="L311" t="s">
        <v>411</v>
      </c>
      <c r="M311" t="str">
        <f t="shared" si="9"/>
        <v xml:space="preserve">TIMOTHY HODGMAN   </v>
      </c>
      <c r="N311" t="s">
        <v>34</v>
      </c>
      <c r="O311">
        <v>1</v>
      </c>
      <c r="P311">
        <v>17.96</v>
      </c>
      <c r="Q311">
        <v>0.65</v>
      </c>
      <c r="R311">
        <v>11.67</v>
      </c>
      <c r="S311" t="s">
        <v>400</v>
      </c>
    </row>
    <row r="312" spans="1:19" x14ac:dyDescent="0.25">
      <c r="A312" t="s">
        <v>127</v>
      </c>
      <c r="B312" t="s">
        <v>128</v>
      </c>
      <c r="C312" t="s">
        <v>129</v>
      </c>
      <c r="D312" s="1">
        <v>45536</v>
      </c>
      <c r="E312" s="1">
        <v>45870</v>
      </c>
      <c r="F312">
        <v>1</v>
      </c>
      <c r="G312">
        <f t="shared" si="8"/>
        <v>11</v>
      </c>
      <c r="H312" t="s">
        <v>394</v>
      </c>
      <c r="I312" t="s">
        <v>395</v>
      </c>
      <c r="J312">
        <v>18581063</v>
      </c>
      <c r="K312" t="s">
        <v>427</v>
      </c>
      <c r="L312" t="s">
        <v>411</v>
      </c>
      <c r="M312" t="str">
        <f t="shared" si="9"/>
        <v xml:space="preserve">TIMOTHY HODGMAN   </v>
      </c>
      <c r="N312" t="s">
        <v>106</v>
      </c>
      <c r="O312">
        <v>1</v>
      </c>
      <c r="P312">
        <v>33.159999999999997</v>
      </c>
      <c r="Q312">
        <v>0.65</v>
      </c>
      <c r="R312">
        <v>21.55</v>
      </c>
      <c r="S312" t="s">
        <v>400</v>
      </c>
    </row>
    <row r="313" spans="1:19" x14ac:dyDescent="0.25">
      <c r="A313" t="s">
        <v>127</v>
      </c>
      <c r="B313" t="s">
        <v>128</v>
      </c>
      <c r="C313" t="s">
        <v>129</v>
      </c>
      <c r="D313" s="1">
        <v>45536</v>
      </c>
      <c r="E313" s="1">
        <v>45870</v>
      </c>
      <c r="F313">
        <v>1</v>
      </c>
      <c r="G313">
        <f t="shared" si="8"/>
        <v>11</v>
      </c>
      <c r="H313" t="s">
        <v>394</v>
      </c>
      <c r="I313" t="s">
        <v>395</v>
      </c>
      <c r="J313">
        <v>18581063</v>
      </c>
      <c r="K313" t="s">
        <v>427</v>
      </c>
      <c r="L313" t="s">
        <v>411</v>
      </c>
      <c r="M313" t="str">
        <f t="shared" si="9"/>
        <v xml:space="preserve">TIMOTHY HODGMAN   </v>
      </c>
      <c r="N313" t="s">
        <v>105</v>
      </c>
      <c r="O313">
        <v>1</v>
      </c>
      <c r="P313">
        <v>3.53</v>
      </c>
      <c r="Q313">
        <v>0.65</v>
      </c>
      <c r="R313">
        <v>2.29</v>
      </c>
      <c r="S313" t="s">
        <v>400</v>
      </c>
    </row>
    <row r="314" spans="1:19" x14ac:dyDescent="0.25">
      <c r="A314" t="s">
        <v>127</v>
      </c>
      <c r="B314" t="s">
        <v>128</v>
      </c>
      <c r="C314" t="s">
        <v>129</v>
      </c>
      <c r="D314" s="1">
        <v>45536</v>
      </c>
      <c r="E314" s="1">
        <v>45870</v>
      </c>
      <c r="F314">
        <v>1</v>
      </c>
      <c r="G314">
        <f t="shared" si="8"/>
        <v>11</v>
      </c>
      <c r="H314" t="s">
        <v>394</v>
      </c>
      <c r="I314" t="s">
        <v>395</v>
      </c>
      <c r="J314">
        <v>18581063</v>
      </c>
      <c r="K314" t="s">
        <v>427</v>
      </c>
      <c r="L314" t="s">
        <v>411</v>
      </c>
      <c r="M314" t="str">
        <f t="shared" si="9"/>
        <v xml:space="preserve">TIMOTHY HODGMAN   </v>
      </c>
      <c r="N314" t="s">
        <v>77</v>
      </c>
      <c r="O314">
        <v>1</v>
      </c>
      <c r="P314">
        <v>12.47</v>
      </c>
      <c r="Q314">
        <v>0.65</v>
      </c>
      <c r="R314">
        <v>8.11</v>
      </c>
      <c r="S314" t="s">
        <v>400</v>
      </c>
    </row>
    <row r="315" spans="1:19" x14ac:dyDescent="0.25">
      <c r="A315" t="s">
        <v>127</v>
      </c>
      <c r="B315" t="s">
        <v>128</v>
      </c>
      <c r="C315" t="s">
        <v>129</v>
      </c>
      <c r="D315" s="1">
        <v>45536</v>
      </c>
      <c r="E315" s="1">
        <v>45870</v>
      </c>
      <c r="F315">
        <v>1</v>
      </c>
      <c r="G315">
        <f t="shared" si="8"/>
        <v>11</v>
      </c>
      <c r="H315" t="s">
        <v>394</v>
      </c>
      <c r="I315" t="s">
        <v>395</v>
      </c>
      <c r="J315">
        <v>18581063</v>
      </c>
      <c r="K315" t="s">
        <v>427</v>
      </c>
      <c r="L315" t="s">
        <v>411</v>
      </c>
      <c r="M315" t="str">
        <f t="shared" si="9"/>
        <v xml:space="preserve">TIMOTHY HODGMAN   </v>
      </c>
      <c r="N315" t="s">
        <v>75</v>
      </c>
      <c r="O315">
        <v>1</v>
      </c>
      <c r="P315">
        <v>4.62</v>
      </c>
      <c r="Q315">
        <v>0.65</v>
      </c>
      <c r="R315">
        <v>3</v>
      </c>
      <c r="S315" t="s">
        <v>400</v>
      </c>
    </row>
    <row r="316" spans="1:19" x14ac:dyDescent="0.25">
      <c r="A316" t="s">
        <v>169</v>
      </c>
      <c r="B316" t="s">
        <v>170</v>
      </c>
      <c r="C316" t="s">
        <v>171</v>
      </c>
      <c r="D316" s="1">
        <v>45523</v>
      </c>
      <c r="E316" s="1">
        <v>45888</v>
      </c>
      <c r="F316">
        <v>1</v>
      </c>
      <c r="G316">
        <f t="shared" si="8"/>
        <v>12</v>
      </c>
      <c r="H316" t="s">
        <v>394</v>
      </c>
      <c r="I316" t="s">
        <v>395</v>
      </c>
      <c r="J316">
        <v>19681796</v>
      </c>
      <c r="K316" t="s">
        <v>409</v>
      </c>
      <c r="L316" t="s">
        <v>410</v>
      </c>
      <c r="M316" t="str">
        <f t="shared" si="9"/>
        <v xml:space="preserve">CHRISTIAN  TAUGNER   </v>
      </c>
      <c r="N316" t="s">
        <v>25</v>
      </c>
      <c r="O316">
        <v>1</v>
      </c>
      <c r="P316">
        <v>77.28</v>
      </c>
      <c r="Q316">
        <v>0.65</v>
      </c>
      <c r="R316">
        <v>50.23</v>
      </c>
      <c r="S316" t="s">
        <v>400</v>
      </c>
    </row>
    <row r="317" spans="1:19" x14ac:dyDescent="0.25">
      <c r="A317" t="s">
        <v>169</v>
      </c>
      <c r="B317" t="s">
        <v>170</v>
      </c>
      <c r="C317" t="s">
        <v>171</v>
      </c>
      <c r="D317" s="1">
        <v>45523</v>
      </c>
      <c r="E317" s="1">
        <v>45888</v>
      </c>
      <c r="F317">
        <v>1</v>
      </c>
      <c r="G317">
        <f t="shared" si="8"/>
        <v>12</v>
      </c>
      <c r="H317" t="s">
        <v>394</v>
      </c>
      <c r="I317" t="s">
        <v>395</v>
      </c>
      <c r="J317">
        <v>19681796</v>
      </c>
      <c r="K317" t="s">
        <v>409</v>
      </c>
      <c r="L317" t="s">
        <v>410</v>
      </c>
      <c r="M317" t="str">
        <f t="shared" si="9"/>
        <v xml:space="preserve">CHRISTIAN  TAUGNER   </v>
      </c>
      <c r="N317" t="s">
        <v>28</v>
      </c>
      <c r="O317">
        <v>1</v>
      </c>
      <c r="P317">
        <v>1.68</v>
      </c>
      <c r="Q317">
        <v>0.65</v>
      </c>
      <c r="R317">
        <v>1.0900000000000001</v>
      </c>
      <c r="S317" t="s">
        <v>400</v>
      </c>
    </row>
    <row r="318" spans="1:19" x14ac:dyDescent="0.25">
      <c r="A318" t="s">
        <v>169</v>
      </c>
      <c r="B318" t="s">
        <v>170</v>
      </c>
      <c r="C318" t="s">
        <v>171</v>
      </c>
      <c r="D318" s="1">
        <v>45523</v>
      </c>
      <c r="E318" s="1">
        <v>45888</v>
      </c>
      <c r="F318">
        <v>1</v>
      </c>
      <c r="G318">
        <f t="shared" si="8"/>
        <v>12</v>
      </c>
      <c r="H318" t="s">
        <v>394</v>
      </c>
      <c r="I318" t="s">
        <v>395</v>
      </c>
      <c r="J318">
        <v>19681796</v>
      </c>
      <c r="K318" t="s">
        <v>409</v>
      </c>
      <c r="L318" t="s">
        <v>410</v>
      </c>
      <c r="M318" t="str">
        <f t="shared" si="9"/>
        <v xml:space="preserve">CHRISTIAN  TAUGNER   </v>
      </c>
      <c r="N318" t="s">
        <v>75</v>
      </c>
      <c r="O318">
        <v>1</v>
      </c>
      <c r="P318">
        <v>2.69</v>
      </c>
      <c r="Q318">
        <v>0.65</v>
      </c>
      <c r="R318">
        <v>1.75</v>
      </c>
      <c r="S318" t="s">
        <v>400</v>
      </c>
    </row>
    <row r="319" spans="1:19" x14ac:dyDescent="0.25">
      <c r="A319" t="s">
        <v>169</v>
      </c>
      <c r="B319" t="s">
        <v>170</v>
      </c>
      <c r="C319" t="s">
        <v>171</v>
      </c>
      <c r="D319" s="1">
        <v>45523</v>
      </c>
      <c r="E319" s="1">
        <v>45888</v>
      </c>
      <c r="F319">
        <v>1</v>
      </c>
      <c r="G319">
        <f t="shared" si="8"/>
        <v>12</v>
      </c>
      <c r="H319" t="s">
        <v>394</v>
      </c>
      <c r="I319" t="s">
        <v>395</v>
      </c>
      <c r="J319">
        <v>19681796</v>
      </c>
      <c r="K319" t="s">
        <v>409</v>
      </c>
      <c r="L319" t="s">
        <v>410</v>
      </c>
      <c r="M319" t="str">
        <f t="shared" si="9"/>
        <v xml:space="preserve">CHRISTIAN  TAUGNER   </v>
      </c>
      <c r="N319" t="s">
        <v>76</v>
      </c>
      <c r="O319">
        <v>1</v>
      </c>
      <c r="P319">
        <v>2.59</v>
      </c>
      <c r="Q319">
        <v>0.65</v>
      </c>
      <c r="R319">
        <v>1.68</v>
      </c>
      <c r="S319" t="s">
        <v>400</v>
      </c>
    </row>
    <row r="320" spans="1:19" x14ac:dyDescent="0.25">
      <c r="A320" t="s">
        <v>243</v>
      </c>
      <c r="B320" t="s">
        <v>30</v>
      </c>
      <c r="C320" t="s">
        <v>244</v>
      </c>
      <c r="D320" s="1">
        <v>44593</v>
      </c>
      <c r="E320" s="1">
        <v>45870</v>
      </c>
      <c r="F320">
        <v>1</v>
      </c>
      <c r="G320">
        <f t="shared" si="8"/>
        <v>6</v>
      </c>
      <c r="H320" t="s">
        <v>394</v>
      </c>
      <c r="I320" t="s">
        <v>395</v>
      </c>
      <c r="J320">
        <v>15278437</v>
      </c>
      <c r="K320" t="s">
        <v>407</v>
      </c>
      <c r="L320" t="s">
        <v>408</v>
      </c>
      <c r="M320" t="str">
        <f t="shared" si="9"/>
        <v xml:space="preserve">JASON HOFFMANN  </v>
      </c>
      <c r="N320" t="s">
        <v>106</v>
      </c>
      <c r="O320">
        <v>1</v>
      </c>
      <c r="P320">
        <v>22.41</v>
      </c>
      <c r="Q320">
        <v>0.08</v>
      </c>
      <c r="R320">
        <v>1.79</v>
      </c>
      <c r="S320" t="s">
        <v>400</v>
      </c>
    </row>
    <row r="321" spans="1:19" x14ac:dyDescent="0.25">
      <c r="A321" t="s">
        <v>243</v>
      </c>
      <c r="B321" t="s">
        <v>30</v>
      </c>
      <c r="C321" t="s">
        <v>244</v>
      </c>
      <c r="D321" s="1">
        <v>44593</v>
      </c>
      <c r="E321" s="1">
        <v>45870</v>
      </c>
      <c r="F321">
        <v>1</v>
      </c>
      <c r="G321">
        <f t="shared" si="8"/>
        <v>6</v>
      </c>
      <c r="H321" t="s">
        <v>394</v>
      </c>
      <c r="I321" t="s">
        <v>395</v>
      </c>
      <c r="J321">
        <v>15278437</v>
      </c>
      <c r="K321" t="s">
        <v>407</v>
      </c>
      <c r="L321" t="s">
        <v>408</v>
      </c>
      <c r="M321" t="str">
        <f t="shared" si="9"/>
        <v xml:space="preserve">JASON HOFFMANN  </v>
      </c>
      <c r="N321" t="s">
        <v>105</v>
      </c>
      <c r="O321">
        <v>1</v>
      </c>
      <c r="P321">
        <v>2.75</v>
      </c>
      <c r="Q321">
        <v>0.08</v>
      </c>
      <c r="R321">
        <v>0.22</v>
      </c>
      <c r="S321" t="s">
        <v>400</v>
      </c>
    </row>
    <row r="322" spans="1:19" x14ac:dyDescent="0.25">
      <c r="A322" t="s">
        <v>243</v>
      </c>
      <c r="B322" t="s">
        <v>30</v>
      </c>
      <c r="C322" t="s">
        <v>244</v>
      </c>
      <c r="D322" s="1">
        <v>44593</v>
      </c>
      <c r="E322" s="1">
        <v>45870</v>
      </c>
      <c r="F322">
        <v>1</v>
      </c>
      <c r="G322">
        <f t="shared" ref="G322:G385" si="10">MONTH(E322-D322)</f>
        <v>6</v>
      </c>
      <c r="H322" t="s">
        <v>394</v>
      </c>
      <c r="I322" t="s">
        <v>395</v>
      </c>
      <c r="J322">
        <v>15278437</v>
      </c>
      <c r="K322" t="s">
        <v>407</v>
      </c>
      <c r="L322" t="s">
        <v>408</v>
      </c>
      <c r="M322" t="str">
        <f t="shared" ref="M322:M354" si="11">CONCATENATE(K322, " ",L322)</f>
        <v xml:space="preserve">JASON HOFFMANN  </v>
      </c>
      <c r="N322" t="s">
        <v>25</v>
      </c>
      <c r="O322">
        <v>1</v>
      </c>
      <c r="P322">
        <v>21.06</v>
      </c>
      <c r="Q322">
        <v>0.08</v>
      </c>
      <c r="R322">
        <v>1.68</v>
      </c>
      <c r="S322" t="s">
        <v>400</v>
      </c>
    </row>
    <row r="323" spans="1:19" x14ac:dyDescent="0.25">
      <c r="A323" t="s">
        <v>243</v>
      </c>
      <c r="B323" t="s">
        <v>30</v>
      </c>
      <c r="C323" t="s">
        <v>244</v>
      </c>
      <c r="D323" s="1">
        <v>44593</v>
      </c>
      <c r="E323" s="1">
        <v>45870</v>
      </c>
      <c r="F323">
        <v>1</v>
      </c>
      <c r="G323">
        <f t="shared" si="10"/>
        <v>6</v>
      </c>
      <c r="H323" t="s">
        <v>394</v>
      </c>
      <c r="I323" t="s">
        <v>395</v>
      </c>
      <c r="J323">
        <v>15278437</v>
      </c>
      <c r="K323" t="s">
        <v>407</v>
      </c>
      <c r="L323" t="s">
        <v>408</v>
      </c>
      <c r="M323" t="str">
        <f t="shared" si="11"/>
        <v xml:space="preserve">JASON HOFFMANN  </v>
      </c>
      <c r="N323" t="s">
        <v>34</v>
      </c>
      <c r="O323">
        <v>1</v>
      </c>
      <c r="P323">
        <v>12.94</v>
      </c>
      <c r="Q323">
        <v>0.08</v>
      </c>
      <c r="R323">
        <v>1.04</v>
      </c>
      <c r="S323" t="s">
        <v>400</v>
      </c>
    </row>
    <row r="324" spans="1:19" x14ac:dyDescent="0.25">
      <c r="A324" t="s">
        <v>225</v>
      </c>
      <c r="B324" t="s">
        <v>30</v>
      </c>
      <c r="C324" t="s">
        <v>226</v>
      </c>
      <c r="D324" s="1">
        <v>44562</v>
      </c>
      <c r="E324" s="1">
        <v>45870</v>
      </c>
      <c r="F324">
        <v>1</v>
      </c>
      <c r="G324">
        <f t="shared" si="10"/>
        <v>7</v>
      </c>
      <c r="H324" t="s">
        <v>394</v>
      </c>
      <c r="I324" t="s">
        <v>395</v>
      </c>
      <c r="J324">
        <v>15278437</v>
      </c>
      <c r="K324" t="s">
        <v>407</v>
      </c>
      <c r="L324" t="s">
        <v>408</v>
      </c>
      <c r="M324" t="str">
        <f t="shared" si="11"/>
        <v xml:space="preserve">JASON HOFFMANN  </v>
      </c>
      <c r="N324" t="s">
        <v>25</v>
      </c>
      <c r="O324">
        <v>1</v>
      </c>
      <c r="P324">
        <v>9.3699999999999992</v>
      </c>
      <c r="Q324">
        <v>0.08</v>
      </c>
      <c r="R324">
        <v>0.75</v>
      </c>
      <c r="S324" t="s">
        <v>400</v>
      </c>
    </row>
    <row r="325" spans="1:19" x14ac:dyDescent="0.25">
      <c r="A325" t="s">
        <v>225</v>
      </c>
      <c r="B325" t="s">
        <v>30</v>
      </c>
      <c r="C325" t="s">
        <v>226</v>
      </c>
      <c r="D325" s="1">
        <v>44562</v>
      </c>
      <c r="E325" s="1">
        <v>45870</v>
      </c>
      <c r="F325">
        <v>1</v>
      </c>
      <c r="G325">
        <f t="shared" si="10"/>
        <v>7</v>
      </c>
      <c r="H325" t="s">
        <v>394</v>
      </c>
      <c r="I325" t="s">
        <v>395</v>
      </c>
      <c r="J325">
        <v>15278437</v>
      </c>
      <c r="K325" t="s">
        <v>407</v>
      </c>
      <c r="L325" t="s">
        <v>408</v>
      </c>
      <c r="M325" t="str">
        <f t="shared" si="11"/>
        <v xml:space="preserve">JASON HOFFMANN  </v>
      </c>
      <c r="N325" t="s">
        <v>34</v>
      </c>
      <c r="O325">
        <v>1</v>
      </c>
      <c r="P325">
        <v>12.94</v>
      </c>
      <c r="Q325">
        <v>0.08</v>
      </c>
      <c r="R325">
        <v>1.04</v>
      </c>
      <c r="S325" t="s">
        <v>400</v>
      </c>
    </row>
    <row r="326" spans="1:19" x14ac:dyDescent="0.25">
      <c r="A326" t="s">
        <v>225</v>
      </c>
      <c r="B326" t="s">
        <v>30</v>
      </c>
      <c r="C326" t="s">
        <v>226</v>
      </c>
      <c r="D326" s="1">
        <v>44562</v>
      </c>
      <c r="E326" s="1">
        <v>45870</v>
      </c>
      <c r="F326">
        <v>1</v>
      </c>
      <c r="G326">
        <f t="shared" si="10"/>
        <v>7</v>
      </c>
      <c r="H326" t="s">
        <v>394</v>
      </c>
      <c r="I326" t="s">
        <v>395</v>
      </c>
      <c r="J326">
        <v>15278437</v>
      </c>
      <c r="K326" t="s">
        <v>407</v>
      </c>
      <c r="L326" t="s">
        <v>408</v>
      </c>
      <c r="M326" t="str">
        <f t="shared" si="11"/>
        <v xml:space="preserve">JASON HOFFMANN  </v>
      </c>
      <c r="N326" t="s">
        <v>42</v>
      </c>
      <c r="O326">
        <v>1</v>
      </c>
      <c r="P326">
        <v>2.92</v>
      </c>
      <c r="Q326">
        <v>0.08</v>
      </c>
      <c r="R326">
        <v>0.23</v>
      </c>
      <c r="S326" t="s">
        <v>400</v>
      </c>
    </row>
    <row r="327" spans="1:19" x14ac:dyDescent="0.25">
      <c r="A327" t="s">
        <v>225</v>
      </c>
      <c r="B327" t="s">
        <v>30</v>
      </c>
      <c r="C327" t="s">
        <v>226</v>
      </c>
      <c r="D327" s="1">
        <v>44562</v>
      </c>
      <c r="E327" s="1">
        <v>45870</v>
      </c>
      <c r="F327">
        <v>1</v>
      </c>
      <c r="G327">
        <f t="shared" si="10"/>
        <v>7</v>
      </c>
      <c r="H327" t="s">
        <v>394</v>
      </c>
      <c r="I327" t="s">
        <v>395</v>
      </c>
      <c r="J327">
        <v>15278437</v>
      </c>
      <c r="K327" t="s">
        <v>407</v>
      </c>
      <c r="L327" t="s">
        <v>408</v>
      </c>
      <c r="M327" t="str">
        <f t="shared" si="11"/>
        <v xml:space="preserve">JASON HOFFMANN  </v>
      </c>
      <c r="N327" t="s">
        <v>41</v>
      </c>
      <c r="O327">
        <v>1</v>
      </c>
      <c r="P327">
        <v>26.84</v>
      </c>
      <c r="Q327">
        <v>0.08</v>
      </c>
      <c r="R327">
        <v>2.15</v>
      </c>
      <c r="S327" t="s">
        <v>400</v>
      </c>
    </row>
    <row r="328" spans="1:19" x14ac:dyDescent="0.25">
      <c r="A328" t="s">
        <v>232</v>
      </c>
      <c r="B328" t="s">
        <v>20</v>
      </c>
      <c r="C328" t="s">
        <v>233</v>
      </c>
      <c r="D328" s="1">
        <v>44562</v>
      </c>
      <c r="E328" s="1">
        <v>45870</v>
      </c>
      <c r="F328">
        <v>1</v>
      </c>
      <c r="G328">
        <f t="shared" si="10"/>
        <v>7</v>
      </c>
      <c r="H328" t="s">
        <v>394</v>
      </c>
      <c r="I328" t="s">
        <v>395</v>
      </c>
      <c r="J328">
        <v>15278437</v>
      </c>
      <c r="K328" t="s">
        <v>407</v>
      </c>
      <c r="L328" t="s">
        <v>408</v>
      </c>
      <c r="M328" t="str">
        <f t="shared" si="11"/>
        <v xml:space="preserve">JASON HOFFMANN  </v>
      </c>
      <c r="N328" t="s">
        <v>105</v>
      </c>
      <c r="O328">
        <v>1</v>
      </c>
      <c r="P328">
        <v>2.99</v>
      </c>
      <c r="Q328">
        <v>0.08</v>
      </c>
      <c r="R328">
        <v>0.24</v>
      </c>
      <c r="S328" t="s">
        <v>400</v>
      </c>
    </row>
    <row r="329" spans="1:19" x14ac:dyDescent="0.25">
      <c r="A329" t="s">
        <v>232</v>
      </c>
      <c r="B329" t="s">
        <v>20</v>
      </c>
      <c r="C329" t="s">
        <v>233</v>
      </c>
      <c r="D329" s="1">
        <v>44562</v>
      </c>
      <c r="E329" s="1">
        <v>45870</v>
      </c>
      <c r="F329">
        <v>1</v>
      </c>
      <c r="G329">
        <f t="shared" si="10"/>
        <v>7</v>
      </c>
      <c r="H329" t="s">
        <v>394</v>
      </c>
      <c r="I329" t="s">
        <v>395</v>
      </c>
      <c r="J329">
        <v>15278437</v>
      </c>
      <c r="K329" t="s">
        <v>407</v>
      </c>
      <c r="L329" t="s">
        <v>408</v>
      </c>
      <c r="M329" t="str">
        <f t="shared" si="11"/>
        <v xml:space="preserve">JASON HOFFMANN  </v>
      </c>
      <c r="N329" t="s">
        <v>234</v>
      </c>
      <c r="O329">
        <v>1</v>
      </c>
      <c r="P329">
        <v>11.67</v>
      </c>
      <c r="Q329">
        <v>0.08</v>
      </c>
      <c r="R329">
        <v>0.93</v>
      </c>
      <c r="S329" t="s">
        <v>400</v>
      </c>
    </row>
    <row r="330" spans="1:19" x14ac:dyDescent="0.25">
      <c r="A330" t="s">
        <v>232</v>
      </c>
      <c r="B330" t="s">
        <v>20</v>
      </c>
      <c r="C330" t="s">
        <v>233</v>
      </c>
      <c r="D330" s="1">
        <v>44562</v>
      </c>
      <c r="E330" s="1">
        <v>45870</v>
      </c>
      <c r="F330">
        <v>1</v>
      </c>
      <c r="G330">
        <f t="shared" si="10"/>
        <v>7</v>
      </c>
      <c r="H330" t="s">
        <v>394</v>
      </c>
      <c r="I330" t="s">
        <v>395</v>
      </c>
      <c r="J330">
        <v>15278437</v>
      </c>
      <c r="K330" t="s">
        <v>407</v>
      </c>
      <c r="L330" t="s">
        <v>408</v>
      </c>
      <c r="M330" t="str">
        <f t="shared" si="11"/>
        <v xml:space="preserve">JASON HOFFMANN  </v>
      </c>
      <c r="N330" t="s">
        <v>25</v>
      </c>
      <c r="O330">
        <v>1</v>
      </c>
      <c r="P330">
        <v>22.15</v>
      </c>
      <c r="Q330">
        <v>0.08</v>
      </c>
      <c r="R330">
        <v>1.77</v>
      </c>
      <c r="S330" t="s">
        <v>400</v>
      </c>
    </row>
    <row r="331" spans="1:19" x14ac:dyDescent="0.25">
      <c r="A331" t="s">
        <v>232</v>
      </c>
      <c r="B331" t="s">
        <v>20</v>
      </c>
      <c r="C331" t="s">
        <v>233</v>
      </c>
      <c r="D331" s="1">
        <v>44562</v>
      </c>
      <c r="E331" s="1">
        <v>45870</v>
      </c>
      <c r="F331">
        <v>1</v>
      </c>
      <c r="G331">
        <f t="shared" si="10"/>
        <v>7</v>
      </c>
      <c r="H331" t="s">
        <v>394</v>
      </c>
      <c r="I331" t="s">
        <v>395</v>
      </c>
      <c r="J331">
        <v>15278437</v>
      </c>
      <c r="K331" t="s">
        <v>407</v>
      </c>
      <c r="L331" t="s">
        <v>408</v>
      </c>
      <c r="M331" t="str">
        <f t="shared" si="11"/>
        <v xml:space="preserve">JASON HOFFMANN  </v>
      </c>
      <c r="N331" t="s">
        <v>106</v>
      </c>
      <c r="O331">
        <v>1</v>
      </c>
      <c r="P331">
        <v>14.99</v>
      </c>
      <c r="Q331">
        <v>0.08</v>
      </c>
      <c r="R331">
        <v>1.2</v>
      </c>
      <c r="S331" t="s">
        <v>400</v>
      </c>
    </row>
    <row r="332" spans="1:19" x14ac:dyDescent="0.25">
      <c r="A332" t="s">
        <v>235</v>
      </c>
      <c r="B332" t="s">
        <v>30</v>
      </c>
      <c r="C332" t="s">
        <v>236</v>
      </c>
      <c r="D332" s="1">
        <v>44562</v>
      </c>
      <c r="E332" s="1">
        <v>45870</v>
      </c>
      <c r="F332">
        <v>1</v>
      </c>
      <c r="G332">
        <f t="shared" si="10"/>
        <v>7</v>
      </c>
      <c r="H332" t="s">
        <v>394</v>
      </c>
      <c r="I332" t="s">
        <v>395</v>
      </c>
      <c r="J332">
        <v>15278437</v>
      </c>
      <c r="K332" t="s">
        <v>407</v>
      </c>
      <c r="L332" t="s">
        <v>408</v>
      </c>
      <c r="M332" t="str">
        <f t="shared" si="11"/>
        <v xml:space="preserve">JASON HOFFMANN  </v>
      </c>
      <c r="N332" t="s">
        <v>106</v>
      </c>
      <c r="O332">
        <v>1</v>
      </c>
      <c r="P332">
        <v>23.15</v>
      </c>
      <c r="Q332">
        <v>0.08</v>
      </c>
      <c r="R332">
        <v>1.85</v>
      </c>
      <c r="S332" t="s">
        <v>400</v>
      </c>
    </row>
    <row r="333" spans="1:19" x14ac:dyDescent="0.25">
      <c r="A333" t="s">
        <v>235</v>
      </c>
      <c r="B333" t="s">
        <v>30</v>
      </c>
      <c r="C333" t="s">
        <v>236</v>
      </c>
      <c r="D333" s="1">
        <v>44562</v>
      </c>
      <c r="E333" s="1">
        <v>45870</v>
      </c>
      <c r="F333">
        <v>1</v>
      </c>
      <c r="G333">
        <f t="shared" si="10"/>
        <v>7</v>
      </c>
      <c r="H333" t="s">
        <v>394</v>
      </c>
      <c r="I333" t="s">
        <v>395</v>
      </c>
      <c r="J333">
        <v>15278437</v>
      </c>
      <c r="K333" t="s">
        <v>407</v>
      </c>
      <c r="L333" t="s">
        <v>408</v>
      </c>
      <c r="M333" t="str">
        <f t="shared" si="11"/>
        <v xml:space="preserve">JASON HOFFMANN  </v>
      </c>
      <c r="N333" t="s">
        <v>25</v>
      </c>
      <c r="O333">
        <v>1</v>
      </c>
      <c r="P333">
        <v>21.06</v>
      </c>
      <c r="Q333">
        <v>0.08</v>
      </c>
      <c r="R333">
        <v>1.68</v>
      </c>
      <c r="S333" t="s">
        <v>400</v>
      </c>
    </row>
    <row r="334" spans="1:19" x14ac:dyDescent="0.25">
      <c r="A334" t="s">
        <v>235</v>
      </c>
      <c r="B334" t="s">
        <v>30</v>
      </c>
      <c r="C334" t="s">
        <v>236</v>
      </c>
      <c r="D334" s="1">
        <v>44562</v>
      </c>
      <c r="E334" s="1">
        <v>45870</v>
      </c>
      <c r="F334">
        <v>1</v>
      </c>
      <c r="G334">
        <f t="shared" si="10"/>
        <v>7</v>
      </c>
      <c r="H334" t="s">
        <v>394</v>
      </c>
      <c r="I334" t="s">
        <v>395</v>
      </c>
      <c r="J334">
        <v>15278437</v>
      </c>
      <c r="K334" t="s">
        <v>407</v>
      </c>
      <c r="L334" t="s">
        <v>408</v>
      </c>
      <c r="M334" t="str">
        <f t="shared" si="11"/>
        <v xml:space="preserve">JASON HOFFMANN  </v>
      </c>
      <c r="N334" t="s">
        <v>105</v>
      </c>
      <c r="O334">
        <v>1</v>
      </c>
      <c r="P334">
        <v>2.92</v>
      </c>
      <c r="Q334">
        <v>0.08</v>
      </c>
      <c r="R334">
        <v>0.23</v>
      </c>
      <c r="S334" t="s">
        <v>400</v>
      </c>
    </row>
    <row r="335" spans="1:19" x14ac:dyDescent="0.25">
      <c r="A335" t="s">
        <v>235</v>
      </c>
      <c r="B335" t="s">
        <v>30</v>
      </c>
      <c r="C335" t="s">
        <v>236</v>
      </c>
      <c r="D335" s="1">
        <v>44562</v>
      </c>
      <c r="E335" s="1">
        <v>45870</v>
      </c>
      <c r="F335">
        <v>1</v>
      </c>
      <c r="G335">
        <f t="shared" si="10"/>
        <v>7</v>
      </c>
      <c r="H335" t="s">
        <v>394</v>
      </c>
      <c r="I335" t="s">
        <v>395</v>
      </c>
      <c r="J335">
        <v>15278437</v>
      </c>
      <c r="K335" t="s">
        <v>407</v>
      </c>
      <c r="L335" t="s">
        <v>408</v>
      </c>
      <c r="M335" t="str">
        <f t="shared" si="11"/>
        <v xml:space="preserve">JASON HOFFMANN  </v>
      </c>
      <c r="N335" t="s">
        <v>34</v>
      </c>
      <c r="O335">
        <v>1</v>
      </c>
      <c r="P335">
        <v>12.94</v>
      </c>
      <c r="Q335">
        <v>0.08</v>
      </c>
      <c r="R335">
        <v>1.04</v>
      </c>
      <c r="S335" t="s">
        <v>400</v>
      </c>
    </row>
    <row r="336" spans="1:19" x14ac:dyDescent="0.25">
      <c r="A336" t="s">
        <v>237</v>
      </c>
      <c r="B336" t="s">
        <v>30</v>
      </c>
      <c r="C336" t="s">
        <v>238</v>
      </c>
      <c r="D336" s="1">
        <v>44562</v>
      </c>
      <c r="E336" s="1">
        <v>45870</v>
      </c>
      <c r="F336">
        <v>1</v>
      </c>
      <c r="G336">
        <f t="shared" si="10"/>
        <v>7</v>
      </c>
      <c r="H336" t="s">
        <v>394</v>
      </c>
      <c r="I336" t="s">
        <v>395</v>
      </c>
      <c r="J336">
        <v>15278437</v>
      </c>
      <c r="K336" t="s">
        <v>407</v>
      </c>
      <c r="L336" t="s">
        <v>408</v>
      </c>
      <c r="M336" t="str">
        <f t="shared" si="11"/>
        <v xml:space="preserve">JASON HOFFMANN  </v>
      </c>
      <c r="N336" t="s">
        <v>105</v>
      </c>
      <c r="O336">
        <v>1</v>
      </c>
      <c r="P336">
        <v>2.75</v>
      </c>
      <c r="Q336">
        <v>0.08</v>
      </c>
      <c r="R336">
        <v>0.22</v>
      </c>
      <c r="S336" t="s">
        <v>400</v>
      </c>
    </row>
    <row r="337" spans="1:19" x14ac:dyDescent="0.25">
      <c r="A337" t="s">
        <v>237</v>
      </c>
      <c r="B337" t="s">
        <v>30</v>
      </c>
      <c r="C337" t="s">
        <v>238</v>
      </c>
      <c r="D337" s="1">
        <v>44562</v>
      </c>
      <c r="E337" s="1">
        <v>45870</v>
      </c>
      <c r="F337">
        <v>1</v>
      </c>
      <c r="G337">
        <f t="shared" si="10"/>
        <v>7</v>
      </c>
      <c r="H337" t="s">
        <v>394</v>
      </c>
      <c r="I337" t="s">
        <v>395</v>
      </c>
      <c r="J337">
        <v>15278437</v>
      </c>
      <c r="K337" t="s">
        <v>407</v>
      </c>
      <c r="L337" t="s">
        <v>408</v>
      </c>
      <c r="M337" t="str">
        <f t="shared" si="11"/>
        <v xml:space="preserve">JASON HOFFMANN  </v>
      </c>
      <c r="N337" t="s">
        <v>34</v>
      </c>
      <c r="O337">
        <v>1</v>
      </c>
      <c r="P337">
        <v>12.94</v>
      </c>
      <c r="Q337">
        <v>0.08</v>
      </c>
      <c r="R337">
        <v>1.04</v>
      </c>
      <c r="S337" t="s">
        <v>400</v>
      </c>
    </row>
    <row r="338" spans="1:19" x14ac:dyDescent="0.25">
      <c r="A338" t="s">
        <v>237</v>
      </c>
      <c r="B338" t="s">
        <v>30</v>
      </c>
      <c r="C338" t="s">
        <v>238</v>
      </c>
      <c r="D338" s="1">
        <v>44562</v>
      </c>
      <c r="E338" s="1">
        <v>45870</v>
      </c>
      <c r="F338">
        <v>1</v>
      </c>
      <c r="G338">
        <f t="shared" si="10"/>
        <v>7</v>
      </c>
      <c r="H338" t="s">
        <v>394</v>
      </c>
      <c r="I338" t="s">
        <v>395</v>
      </c>
      <c r="J338">
        <v>15278437</v>
      </c>
      <c r="K338" t="s">
        <v>407</v>
      </c>
      <c r="L338" t="s">
        <v>408</v>
      </c>
      <c r="M338" t="str">
        <f t="shared" si="11"/>
        <v xml:space="preserve">JASON HOFFMANN  </v>
      </c>
      <c r="N338" t="s">
        <v>106</v>
      </c>
      <c r="O338">
        <v>1</v>
      </c>
      <c r="P338">
        <v>22.41</v>
      </c>
      <c r="Q338">
        <v>0.08</v>
      </c>
      <c r="R338">
        <v>1.79</v>
      </c>
      <c r="S338" t="s">
        <v>400</v>
      </c>
    </row>
    <row r="339" spans="1:19" x14ac:dyDescent="0.25">
      <c r="A339" t="s">
        <v>237</v>
      </c>
      <c r="B339" t="s">
        <v>30</v>
      </c>
      <c r="C339" t="s">
        <v>238</v>
      </c>
      <c r="D339" s="1">
        <v>44562</v>
      </c>
      <c r="E339" s="1">
        <v>45870</v>
      </c>
      <c r="F339">
        <v>1</v>
      </c>
      <c r="G339">
        <f t="shared" si="10"/>
        <v>7</v>
      </c>
      <c r="H339" t="s">
        <v>394</v>
      </c>
      <c r="I339" t="s">
        <v>395</v>
      </c>
      <c r="J339">
        <v>15278437</v>
      </c>
      <c r="K339" t="s">
        <v>407</v>
      </c>
      <c r="L339" t="s">
        <v>408</v>
      </c>
      <c r="M339" t="str">
        <f t="shared" si="11"/>
        <v xml:space="preserve">JASON HOFFMANN  </v>
      </c>
      <c r="N339" t="s">
        <v>25</v>
      </c>
      <c r="O339">
        <v>1</v>
      </c>
      <c r="P339">
        <v>21.06</v>
      </c>
      <c r="Q339">
        <v>0.08</v>
      </c>
      <c r="R339">
        <v>1.68</v>
      </c>
      <c r="S339" t="s">
        <v>400</v>
      </c>
    </row>
    <row r="340" spans="1:19" x14ac:dyDescent="0.25">
      <c r="A340" t="s">
        <v>239</v>
      </c>
      <c r="B340" t="s">
        <v>30</v>
      </c>
      <c r="C340" t="s">
        <v>240</v>
      </c>
      <c r="D340" s="1">
        <v>44562</v>
      </c>
      <c r="E340" s="1">
        <v>45870</v>
      </c>
      <c r="F340">
        <v>1</v>
      </c>
      <c r="G340">
        <f t="shared" si="10"/>
        <v>7</v>
      </c>
      <c r="H340" t="s">
        <v>394</v>
      </c>
      <c r="I340" t="s">
        <v>395</v>
      </c>
      <c r="J340">
        <v>15278437</v>
      </c>
      <c r="K340" t="s">
        <v>407</v>
      </c>
      <c r="L340" t="s">
        <v>408</v>
      </c>
      <c r="M340" t="str">
        <f t="shared" si="11"/>
        <v xml:space="preserve">JASON HOFFMANN  </v>
      </c>
      <c r="N340" t="s">
        <v>25</v>
      </c>
      <c r="O340">
        <v>1</v>
      </c>
      <c r="P340">
        <v>21.34</v>
      </c>
      <c r="Q340">
        <v>0.08</v>
      </c>
      <c r="R340">
        <v>1.71</v>
      </c>
      <c r="S340" t="s">
        <v>400</v>
      </c>
    </row>
    <row r="341" spans="1:19" x14ac:dyDescent="0.25">
      <c r="A341" t="s">
        <v>239</v>
      </c>
      <c r="B341" t="s">
        <v>30</v>
      </c>
      <c r="C341" t="s">
        <v>240</v>
      </c>
      <c r="D341" s="1">
        <v>44562</v>
      </c>
      <c r="E341" s="1">
        <v>45870</v>
      </c>
      <c r="F341">
        <v>1</v>
      </c>
      <c r="G341">
        <f t="shared" si="10"/>
        <v>7</v>
      </c>
      <c r="H341" t="s">
        <v>394</v>
      </c>
      <c r="I341" t="s">
        <v>395</v>
      </c>
      <c r="J341">
        <v>15278437</v>
      </c>
      <c r="K341" t="s">
        <v>407</v>
      </c>
      <c r="L341" t="s">
        <v>408</v>
      </c>
      <c r="M341" t="str">
        <f t="shared" si="11"/>
        <v xml:space="preserve">JASON HOFFMANN  </v>
      </c>
      <c r="N341" t="s">
        <v>34</v>
      </c>
      <c r="O341">
        <v>1</v>
      </c>
      <c r="P341">
        <v>14.36</v>
      </c>
      <c r="Q341">
        <v>0.08</v>
      </c>
      <c r="R341">
        <v>1.1499999999999999</v>
      </c>
      <c r="S341" t="s">
        <v>400</v>
      </c>
    </row>
    <row r="342" spans="1:19" x14ac:dyDescent="0.25">
      <c r="A342" t="s">
        <v>239</v>
      </c>
      <c r="B342" t="s">
        <v>30</v>
      </c>
      <c r="C342" t="s">
        <v>240</v>
      </c>
      <c r="D342" s="1">
        <v>44562</v>
      </c>
      <c r="E342" s="1">
        <v>45870</v>
      </c>
      <c r="F342">
        <v>1</v>
      </c>
      <c r="G342">
        <f t="shared" si="10"/>
        <v>7</v>
      </c>
      <c r="H342" t="s">
        <v>394</v>
      </c>
      <c r="I342" t="s">
        <v>395</v>
      </c>
      <c r="J342">
        <v>15278437</v>
      </c>
      <c r="K342" t="s">
        <v>407</v>
      </c>
      <c r="L342" t="s">
        <v>408</v>
      </c>
      <c r="M342" t="str">
        <f t="shared" si="11"/>
        <v xml:space="preserve">JASON HOFFMANN  </v>
      </c>
      <c r="N342" t="s">
        <v>106</v>
      </c>
      <c r="O342">
        <v>1</v>
      </c>
      <c r="P342">
        <v>23.61</v>
      </c>
      <c r="Q342">
        <v>0.08</v>
      </c>
      <c r="R342">
        <v>1.89</v>
      </c>
      <c r="S342" t="s">
        <v>400</v>
      </c>
    </row>
    <row r="343" spans="1:19" x14ac:dyDescent="0.25">
      <c r="A343" t="s">
        <v>239</v>
      </c>
      <c r="B343" t="s">
        <v>30</v>
      </c>
      <c r="C343" t="s">
        <v>240</v>
      </c>
      <c r="D343" s="1">
        <v>44562</v>
      </c>
      <c r="E343" s="1">
        <v>45870</v>
      </c>
      <c r="F343">
        <v>1</v>
      </c>
      <c r="G343">
        <f t="shared" si="10"/>
        <v>7</v>
      </c>
      <c r="H343" t="s">
        <v>394</v>
      </c>
      <c r="I343" t="s">
        <v>395</v>
      </c>
      <c r="J343">
        <v>15278437</v>
      </c>
      <c r="K343" t="s">
        <v>407</v>
      </c>
      <c r="L343" t="s">
        <v>408</v>
      </c>
      <c r="M343" t="str">
        <f t="shared" si="11"/>
        <v xml:space="preserve">JASON HOFFMANN  </v>
      </c>
      <c r="N343" t="s">
        <v>105</v>
      </c>
      <c r="O343">
        <v>1</v>
      </c>
      <c r="P343">
        <v>3.1</v>
      </c>
      <c r="Q343">
        <v>0.08</v>
      </c>
      <c r="R343">
        <v>0.25</v>
      </c>
      <c r="S343" t="s">
        <v>400</v>
      </c>
    </row>
    <row r="344" spans="1:19" x14ac:dyDescent="0.25">
      <c r="A344" t="s">
        <v>241</v>
      </c>
      <c r="B344" t="s">
        <v>30</v>
      </c>
      <c r="C344" t="s">
        <v>242</v>
      </c>
      <c r="D344" s="1">
        <v>44562</v>
      </c>
      <c r="E344" s="1">
        <v>45870</v>
      </c>
      <c r="F344">
        <v>1</v>
      </c>
      <c r="G344">
        <f t="shared" si="10"/>
        <v>7</v>
      </c>
      <c r="H344" t="s">
        <v>394</v>
      </c>
      <c r="I344" t="s">
        <v>395</v>
      </c>
      <c r="J344">
        <v>15278437</v>
      </c>
      <c r="K344" t="s">
        <v>407</v>
      </c>
      <c r="L344" t="s">
        <v>408</v>
      </c>
      <c r="M344" t="str">
        <f t="shared" si="11"/>
        <v xml:space="preserve">JASON HOFFMANN  </v>
      </c>
      <c r="N344" t="s">
        <v>25</v>
      </c>
      <c r="O344">
        <v>1</v>
      </c>
      <c r="P344">
        <v>24.21</v>
      </c>
      <c r="Q344">
        <v>0.08</v>
      </c>
      <c r="R344">
        <v>1.94</v>
      </c>
      <c r="S344" t="s">
        <v>400</v>
      </c>
    </row>
    <row r="345" spans="1:19" x14ac:dyDescent="0.25">
      <c r="A345" t="s">
        <v>241</v>
      </c>
      <c r="B345" t="s">
        <v>30</v>
      </c>
      <c r="C345" t="s">
        <v>242</v>
      </c>
      <c r="D345" s="1">
        <v>44562</v>
      </c>
      <c r="E345" s="1">
        <v>45870</v>
      </c>
      <c r="F345">
        <v>1</v>
      </c>
      <c r="G345">
        <f t="shared" si="10"/>
        <v>7</v>
      </c>
      <c r="H345" t="s">
        <v>394</v>
      </c>
      <c r="I345" t="s">
        <v>395</v>
      </c>
      <c r="J345">
        <v>15278437</v>
      </c>
      <c r="K345" t="s">
        <v>407</v>
      </c>
      <c r="L345" t="s">
        <v>408</v>
      </c>
      <c r="M345" t="str">
        <f t="shared" si="11"/>
        <v xml:space="preserve">JASON HOFFMANN  </v>
      </c>
      <c r="N345" t="s">
        <v>105</v>
      </c>
      <c r="O345">
        <v>1</v>
      </c>
      <c r="P345">
        <v>5.17</v>
      </c>
      <c r="Q345">
        <v>0.08</v>
      </c>
      <c r="R345">
        <v>0.41</v>
      </c>
      <c r="S345" t="s">
        <v>400</v>
      </c>
    </row>
    <row r="346" spans="1:19" x14ac:dyDescent="0.25">
      <c r="A346" t="s">
        <v>241</v>
      </c>
      <c r="B346" t="s">
        <v>30</v>
      </c>
      <c r="C346" t="s">
        <v>242</v>
      </c>
      <c r="D346" s="1">
        <v>44562</v>
      </c>
      <c r="E346" s="1">
        <v>45870</v>
      </c>
      <c r="F346">
        <v>1</v>
      </c>
      <c r="G346">
        <f t="shared" si="10"/>
        <v>7</v>
      </c>
      <c r="H346" t="s">
        <v>394</v>
      </c>
      <c r="I346" t="s">
        <v>395</v>
      </c>
      <c r="J346">
        <v>15278437</v>
      </c>
      <c r="K346" t="s">
        <v>407</v>
      </c>
      <c r="L346" t="s">
        <v>408</v>
      </c>
      <c r="M346" t="str">
        <f t="shared" si="11"/>
        <v xml:space="preserve">JASON HOFFMANN  </v>
      </c>
      <c r="N346" t="s">
        <v>106</v>
      </c>
      <c r="O346">
        <v>1</v>
      </c>
      <c r="P346">
        <v>9.18</v>
      </c>
      <c r="Q346">
        <v>0.08</v>
      </c>
      <c r="R346">
        <v>0.73</v>
      </c>
      <c r="S346" t="s">
        <v>400</v>
      </c>
    </row>
    <row r="347" spans="1:19" x14ac:dyDescent="0.25">
      <c r="A347" t="s">
        <v>241</v>
      </c>
      <c r="B347" t="s">
        <v>30</v>
      </c>
      <c r="C347" t="s">
        <v>242</v>
      </c>
      <c r="D347" s="1">
        <v>44562</v>
      </c>
      <c r="E347" s="1">
        <v>45870</v>
      </c>
      <c r="F347">
        <v>1</v>
      </c>
      <c r="G347">
        <f t="shared" si="10"/>
        <v>7</v>
      </c>
      <c r="H347" t="s">
        <v>394</v>
      </c>
      <c r="I347" t="s">
        <v>395</v>
      </c>
      <c r="J347">
        <v>15278437</v>
      </c>
      <c r="K347" t="s">
        <v>407</v>
      </c>
      <c r="L347" t="s">
        <v>408</v>
      </c>
      <c r="M347" t="str">
        <f t="shared" si="11"/>
        <v xml:space="preserve">JASON HOFFMANN  </v>
      </c>
      <c r="N347" t="s">
        <v>34</v>
      </c>
      <c r="O347">
        <v>1</v>
      </c>
      <c r="P347">
        <v>29.02</v>
      </c>
      <c r="Q347">
        <v>0.08</v>
      </c>
      <c r="R347">
        <v>2.3199999999999998</v>
      </c>
      <c r="S347" t="s">
        <v>400</v>
      </c>
    </row>
    <row r="348" spans="1:19" x14ac:dyDescent="0.25">
      <c r="A348" t="s">
        <v>230</v>
      </c>
      <c r="B348" t="s">
        <v>30</v>
      </c>
      <c r="C348" t="s">
        <v>231</v>
      </c>
      <c r="D348" s="1">
        <v>44501</v>
      </c>
      <c r="E348" s="1">
        <v>45870</v>
      </c>
      <c r="F348">
        <v>1</v>
      </c>
      <c r="G348">
        <f t="shared" si="10"/>
        <v>9</v>
      </c>
      <c r="H348" t="s">
        <v>394</v>
      </c>
      <c r="I348" t="s">
        <v>395</v>
      </c>
      <c r="J348">
        <v>15278437</v>
      </c>
      <c r="K348" t="s">
        <v>407</v>
      </c>
      <c r="L348" t="s">
        <v>408</v>
      </c>
      <c r="M348" t="str">
        <f t="shared" si="11"/>
        <v xml:space="preserve">JASON HOFFMANN  </v>
      </c>
      <c r="N348" t="s">
        <v>25</v>
      </c>
      <c r="O348">
        <v>1</v>
      </c>
      <c r="P348">
        <v>21.06</v>
      </c>
      <c r="Q348">
        <v>0.08</v>
      </c>
      <c r="R348">
        <v>1.68</v>
      </c>
      <c r="S348" t="s">
        <v>400</v>
      </c>
    </row>
    <row r="349" spans="1:19" x14ac:dyDescent="0.25">
      <c r="A349" t="s">
        <v>230</v>
      </c>
      <c r="B349" t="s">
        <v>30</v>
      </c>
      <c r="C349" t="s">
        <v>231</v>
      </c>
      <c r="D349" s="1">
        <v>44501</v>
      </c>
      <c r="E349" s="1">
        <v>45870</v>
      </c>
      <c r="F349">
        <v>1</v>
      </c>
      <c r="G349">
        <f t="shared" si="10"/>
        <v>9</v>
      </c>
      <c r="H349" t="s">
        <v>394</v>
      </c>
      <c r="I349" t="s">
        <v>395</v>
      </c>
      <c r="J349">
        <v>15278437</v>
      </c>
      <c r="K349" t="s">
        <v>407</v>
      </c>
      <c r="L349" t="s">
        <v>408</v>
      </c>
      <c r="M349" t="str">
        <f t="shared" si="11"/>
        <v xml:space="preserve">JASON HOFFMANN  </v>
      </c>
      <c r="N349" t="s">
        <v>34</v>
      </c>
      <c r="O349">
        <v>1</v>
      </c>
      <c r="P349">
        <v>10.42</v>
      </c>
      <c r="Q349">
        <v>0.08</v>
      </c>
      <c r="R349">
        <v>0.83</v>
      </c>
      <c r="S349" t="s">
        <v>400</v>
      </c>
    </row>
    <row r="350" spans="1:19" x14ac:dyDescent="0.25">
      <c r="A350" t="s">
        <v>230</v>
      </c>
      <c r="B350" t="s">
        <v>30</v>
      </c>
      <c r="C350" t="s">
        <v>231</v>
      </c>
      <c r="D350" s="1">
        <v>44501</v>
      </c>
      <c r="E350" s="1">
        <v>45870</v>
      </c>
      <c r="F350">
        <v>1</v>
      </c>
      <c r="G350">
        <f t="shared" si="10"/>
        <v>9</v>
      </c>
      <c r="H350" t="s">
        <v>394</v>
      </c>
      <c r="I350" t="s">
        <v>395</v>
      </c>
      <c r="J350">
        <v>15278437</v>
      </c>
      <c r="K350" t="s">
        <v>407</v>
      </c>
      <c r="L350" t="s">
        <v>408</v>
      </c>
      <c r="M350" t="str">
        <f t="shared" si="11"/>
        <v xml:space="preserve">JASON HOFFMANN  </v>
      </c>
      <c r="N350" t="s">
        <v>106</v>
      </c>
      <c r="O350">
        <v>1</v>
      </c>
      <c r="P350">
        <v>27.9</v>
      </c>
      <c r="Q350">
        <v>0.08</v>
      </c>
      <c r="R350">
        <v>2.23</v>
      </c>
      <c r="S350" t="s">
        <v>400</v>
      </c>
    </row>
    <row r="351" spans="1:19" x14ac:dyDescent="0.25">
      <c r="A351" t="s">
        <v>230</v>
      </c>
      <c r="B351" t="s">
        <v>30</v>
      </c>
      <c r="C351" t="s">
        <v>231</v>
      </c>
      <c r="D351" s="1">
        <v>44501</v>
      </c>
      <c r="E351" s="1">
        <v>45870</v>
      </c>
      <c r="F351">
        <v>1</v>
      </c>
      <c r="G351">
        <f t="shared" si="10"/>
        <v>9</v>
      </c>
      <c r="H351" t="s">
        <v>394</v>
      </c>
      <c r="I351" t="s">
        <v>395</v>
      </c>
      <c r="J351">
        <v>15278437</v>
      </c>
      <c r="K351" t="s">
        <v>407</v>
      </c>
      <c r="L351" t="s">
        <v>408</v>
      </c>
      <c r="M351" t="str">
        <f t="shared" si="11"/>
        <v xml:space="preserve">JASON HOFFMANN  </v>
      </c>
      <c r="N351" t="s">
        <v>105</v>
      </c>
      <c r="O351">
        <v>1</v>
      </c>
      <c r="P351">
        <v>2.44</v>
      </c>
      <c r="Q351">
        <v>0.08</v>
      </c>
      <c r="R351">
        <v>0.2</v>
      </c>
      <c r="S351" t="s">
        <v>400</v>
      </c>
    </row>
    <row r="352" spans="1:19" x14ac:dyDescent="0.25">
      <c r="A352" t="s">
        <v>245</v>
      </c>
      <c r="B352" t="s">
        <v>30</v>
      </c>
      <c r="C352" t="s">
        <v>246</v>
      </c>
      <c r="D352" s="1">
        <v>44593</v>
      </c>
      <c r="E352" s="1">
        <v>45870</v>
      </c>
      <c r="F352">
        <v>1</v>
      </c>
      <c r="G352">
        <f t="shared" si="10"/>
        <v>6</v>
      </c>
      <c r="H352" t="s">
        <v>394</v>
      </c>
      <c r="I352" t="s">
        <v>395</v>
      </c>
      <c r="J352">
        <v>15278437</v>
      </c>
      <c r="K352" t="s">
        <v>407</v>
      </c>
      <c r="L352" t="s">
        <v>408</v>
      </c>
      <c r="M352" t="str">
        <f t="shared" si="11"/>
        <v xml:space="preserve">JASON HOFFMANN  </v>
      </c>
      <c r="N352" t="s">
        <v>247</v>
      </c>
      <c r="O352">
        <v>1</v>
      </c>
      <c r="P352">
        <v>3.62</v>
      </c>
      <c r="Q352">
        <v>0.06</v>
      </c>
      <c r="R352">
        <v>0.22</v>
      </c>
      <c r="S352" t="s">
        <v>399</v>
      </c>
    </row>
    <row r="353" spans="1:19" x14ac:dyDescent="0.25">
      <c r="A353" t="s">
        <v>245</v>
      </c>
      <c r="B353" t="s">
        <v>30</v>
      </c>
      <c r="C353" t="s">
        <v>246</v>
      </c>
      <c r="D353" s="1">
        <v>44593</v>
      </c>
      <c r="E353" s="1">
        <v>45870</v>
      </c>
      <c r="F353">
        <v>1</v>
      </c>
      <c r="G353">
        <f t="shared" si="10"/>
        <v>6</v>
      </c>
      <c r="H353" t="s">
        <v>394</v>
      </c>
      <c r="I353" t="s">
        <v>395</v>
      </c>
      <c r="J353">
        <v>15278437</v>
      </c>
      <c r="K353" t="s">
        <v>407</v>
      </c>
      <c r="L353" t="s">
        <v>408</v>
      </c>
      <c r="M353" t="str">
        <f t="shared" si="11"/>
        <v xml:space="preserve">JASON HOFFMANN  </v>
      </c>
      <c r="N353" t="s">
        <v>160</v>
      </c>
      <c r="O353">
        <v>1</v>
      </c>
      <c r="P353">
        <v>20.62</v>
      </c>
      <c r="Q353">
        <v>0.06</v>
      </c>
      <c r="R353">
        <v>1.24</v>
      </c>
      <c r="S353" t="s">
        <v>399</v>
      </c>
    </row>
    <row r="354" spans="1:19" x14ac:dyDescent="0.25">
      <c r="A354" t="s">
        <v>382</v>
      </c>
      <c r="B354" t="s">
        <v>356</v>
      </c>
      <c r="C354" t="s">
        <v>357</v>
      </c>
      <c r="D354" s="1">
        <v>45444</v>
      </c>
      <c r="E354" s="1">
        <v>45870</v>
      </c>
      <c r="F354">
        <v>1</v>
      </c>
      <c r="G354">
        <f t="shared" si="10"/>
        <v>3</v>
      </c>
      <c r="H354" t="s">
        <v>394</v>
      </c>
      <c r="I354" t="s">
        <v>395</v>
      </c>
      <c r="J354">
        <v>7470776</v>
      </c>
      <c r="K354" t="s">
        <v>422</v>
      </c>
      <c r="L354" t="s">
        <v>406</v>
      </c>
      <c r="M354" t="str">
        <f t="shared" si="11"/>
        <v xml:space="preserve">ANDREW CHOI </v>
      </c>
      <c r="N354" t="s">
        <v>383</v>
      </c>
      <c r="O354">
        <v>1</v>
      </c>
      <c r="P354">
        <v>8.33</v>
      </c>
      <c r="Q354">
        <v>0.05</v>
      </c>
      <c r="R354">
        <v>0.42</v>
      </c>
      <c r="S354" t="s">
        <v>398</v>
      </c>
    </row>
    <row r="355" spans="1:19" x14ac:dyDescent="0.25">
      <c r="A355" t="s">
        <v>223</v>
      </c>
      <c r="B355" t="s">
        <v>30</v>
      </c>
      <c r="C355" t="s">
        <v>224</v>
      </c>
      <c r="D355" s="1">
        <v>45017</v>
      </c>
      <c r="E355" s="1">
        <v>45870</v>
      </c>
      <c r="F355">
        <v>1</v>
      </c>
      <c r="G355">
        <f t="shared" si="10"/>
        <v>5</v>
      </c>
      <c r="H355" t="s">
        <v>394</v>
      </c>
      <c r="I355" t="s">
        <v>395</v>
      </c>
      <c r="J355">
        <v>20411454</v>
      </c>
      <c r="K355" t="s">
        <v>403</v>
      </c>
      <c r="L355" t="s">
        <v>404</v>
      </c>
      <c r="M355" t="s">
        <v>433</v>
      </c>
      <c r="N355" t="s">
        <v>76</v>
      </c>
      <c r="O355">
        <v>1</v>
      </c>
      <c r="P355">
        <v>0.03</v>
      </c>
      <c r="Q355">
        <v>0.02</v>
      </c>
      <c r="R355">
        <v>0.03</v>
      </c>
      <c r="S355" t="s">
        <v>397</v>
      </c>
    </row>
    <row r="356" spans="1:19" x14ac:dyDescent="0.25">
      <c r="A356" t="s">
        <v>223</v>
      </c>
      <c r="B356" t="s">
        <v>30</v>
      </c>
      <c r="C356" t="s">
        <v>224</v>
      </c>
      <c r="D356" s="1">
        <v>45017</v>
      </c>
      <c r="E356" s="1">
        <v>45870</v>
      </c>
      <c r="F356">
        <v>1</v>
      </c>
      <c r="G356">
        <f t="shared" si="10"/>
        <v>5</v>
      </c>
      <c r="H356" t="s">
        <v>394</v>
      </c>
      <c r="I356" t="s">
        <v>395</v>
      </c>
      <c r="J356">
        <v>20411454</v>
      </c>
      <c r="K356" t="s">
        <v>403</v>
      </c>
      <c r="L356" t="s">
        <v>404</v>
      </c>
      <c r="M356" t="s">
        <v>433</v>
      </c>
      <c r="N356" t="s">
        <v>27</v>
      </c>
      <c r="O356">
        <v>1</v>
      </c>
      <c r="P356">
        <v>0.12</v>
      </c>
      <c r="Q356">
        <v>0.02</v>
      </c>
      <c r="R356">
        <v>0.12</v>
      </c>
      <c r="S356" t="s">
        <v>397</v>
      </c>
    </row>
    <row r="357" spans="1:19" x14ac:dyDescent="0.25">
      <c r="A357" t="s">
        <v>223</v>
      </c>
      <c r="B357" t="s">
        <v>30</v>
      </c>
      <c r="C357" t="s">
        <v>224</v>
      </c>
      <c r="D357" s="1">
        <v>45017</v>
      </c>
      <c r="E357" s="1">
        <v>45870</v>
      </c>
      <c r="F357">
        <v>1</v>
      </c>
      <c r="G357">
        <f t="shared" si="10"/>
        <v>5</v>
      </c>
      <c r="H357" t="s">
        <v>394</v>
      </c>
      <c r="I357" t="s">
        <v>395</v>
      </c>
      <c r="J357">
        <v>20411454</v>
      </c>
      <c r="K357" t="s">
        <v>403</v>
      </c>
      <c r="L357" t="s">
        <v>404</v>
      </c>
      <c r="M357" t="s">
        <v>433</v>
      </c>
      <c r="N357" t="s">
        <v>74</v>
      </c>
      <c r="O357">
        <v>1</v>
      </c>
      <c r="P357">
        <v>0.12</v>
      </c>
      <c r="Q357">
        <v>0.02</v>
      </c>
      <c r="R357">
        <v>0.12</v>
      </c>
      <c r="S357" t="s">
        <v>397</v>
      </c>
    </row>
    <row r="358" spans="1:19" x14ac:dyDescent="0.25">
      <c r="A358" t="s">
        <v>223</v>
      </c>
      <c r="B358" t="s">
        <v>30</v>
      </c>
      <c r="C358" t="s">
        <v>224</v>
      </c>
      <c r="D358" s="1">
        <v>45017</v>
      </c>
      <c r="E358" s="1">
        <v>45870</v>
      </c>
      <c r="F358">
        <v>1</v>
      </c>
      <c r="G358">
        <f t="shared" si="10"/>
        <v>5</v>
      </c>
      <c r="H358" t="s">
        <v>394</v>
      </c>
      <c r="I358" t="s">
        <v>395</v>
      </c>
      <c r="J358">
        <v>20411454</v>
      </c>
      <c r="K358" t="s">
        <v>403</v>
      </c>
      <c r="L358" t="s">
        <v>404</v>
      </c>
      <c r="M358" t="s">
        <v>433</v>
      </c>
      <c r="N358" t="s">
        <v>34</v>
      </c>
      <c r="O358">
        <v>1</v>
      </c>
      <c r="P358">
        <v>0.25</v>
      </c>
      <c r="Q358">
        <v>0.02</v>
      </c>
      <c r="R358">
        <v>0.25</v>
      </c>
      <c r="S358" t="s">
        <v>397</v>
      </c>
    </row>
    <row r="359" spans="1:19" x14ac:dyDescent="0.25">
      <c r="A359" t="s">
        <v>223</v>
      </c>
      <c r="B359" t="s">
        <v>30</v>
      </c>
      <c r="C359" t="s">
        <v>224</v>
      </c>
      <c r="D359" s="1">
        <v>45017</v>
      </c>
      <c r="E359" s="1">
        <v>45870</v>
      </c>
      <c r="F359">
        <v>1</v>
      </c>
      <c r="G359">
        <f t="shared" si="10"/>
        <v>5</v>
      </c>
      <c r="H359" t="s">
        <v>394</v>
      </c>
      <c r="I359" t="s">
        <v>395</v>
      </c>
      <c r="J359">
        <v>20411454</v>
      </c>
      <c r="K359" t="s">
        <v>403</v>
      </c>
      <c r="L359" t="s">
        <v>404</v>
      </c>
      <c r="M359" t="s">
        <v>433</v>
      </c>
      <c r="N359" t="s">
        <v>105</v>
      </c>
      <c r="O359">
        <v>1</v>
      </c>
      <c r="P359">
        <v>0.06</v>
      </c>
      <c r="Q359">
        <v>0.02</v>
      </c>
      <c r="R359">
        <v>0.06</v>
      </c>
      <c r="S359" t="s">
        <v>397</v>
      </c>
    </row>
    <row r="360" spans="1:19" x14ac:dyDescent="0.25">
      <c r="A360" t="s">
        <v>223</v>
      </c>
      <c r="B360" t="s">
        <v>30</v>
      </c>
      <c r="C360" t="s">
        <v>224</v>
      </c>
      <c r="D360" s="1">
        <v>45017</v>
      </c>
      <c r="E360" s="1">
        <v>45870</v>
      </c>
      <c r="F360">
        <v>1</v>
      </c>
      <c r="G360">
        <f t="shared" si="10"/>
        <v>5</v>
      </c>
      <c r="H360" t="s">
        <v>394</v>
      </c>
      <c r="I360" t="s">
        <v>395</v>
      </c>
      <c r="J360">
        <v>20411454</v>
      </c>
      <c r="K360" t="s">
        <v>403</v>
      </c>
      <c r="L360" t="s">
        <v>404</v>
      </c>
      <c r="M360" t="s">
        <v>433</v>
      </c>
      <c r="N360" t="s">
        <v>106</v>
      </c>
      <c r="O360">
        <v>1</v>
      </c>
      <c r="P360">
        <v>0.45</v>
      </c>
      <c r="Q360">
        <v>0.02</v>
      </c>
      <c r="R360">
        <v>0.45</v>
      </c>
      <c r="S360" t="s">
        <v>397</v>
      </c>
    </row>
    <row r="361" spans="1:19" x14ac:dyDescent="0.25">
      <c r="A361" t="s">
        <v>223</v>
      </c>
      <c r="B361" t="s">
        <v>30</v>
      </c>
      <c r="C361" t="s">
        <v>224</v>
      </c>
      <c r="D361" s="1">
        <v>45017</v>
      </c>
      <c r="E361" s="1">
        <v>45870</v>
      </c>
      <c r="F361">
        <v>1</v>
      </c>
      <c r="G361">
        <f t="shared" si="10"/>
        <v>5</v>
      </c>
      <c r="H361" t="s">
        <v>394</v>
      </c>
      <c r="I361" t="s">
        <v>395</v>
      </c>
      <c r="J361">
        <v>20411454</v>
      </c>
      <c r="K361" t="s">
        <v>403</v>
      </c>
      <c r="L361" t="s">
        <v>404</v>
      </c>
      <c r="M361" t="s">
        <v>433</v>
      </c>
      <c r="N361" t="s">
        <v>25</v>
      </c>
      <c r="O361">
        <v>1</v>
      </c>
      <c r="P361">
        <v>0.43</v>
      </c>
      <c r="Q361">
        <v>0.02</v>
      </c>
      <c r="R361">
        <v>0.43</v>
      </c>
      <c r="S361" t="s">
        <v>397</v>
      </c>
    </row>
    <row r="362" spans="1:19" x14ac:dyDescent="0.25">
      <c r="A362" t="s">
        <v>221</v>
      </c>
      <c r="B362" t="s">
        <v>30</v>
      </c>
      <c r="C362" t="s">
        <v>222</v>
      </c>
      <c r="D362" s="1">
        <v>44991</v>
      </c>
      <c r="E362" s="1">
        <v>45875</v>
      </c>
      <c r="F362">
        <v>1</v>
      </c>
      <c r="G362">
        <f t="shared" si="10"/>
        <v>6</v>
      </c>
      <c r="H362" t="s">
        <v>394</v>
      </c>
      <c r="I362" t="s">
        <v>395</v>
      </c>
      <c r="J362">
        <v>20411454</v>
      </c>
      <c r="K362" t="s">
        <v>403</v>
      </c>
      <c r="L362" t="s">
        <v>404</v>
      </c>
      <c r="M362" t="s">
        <v>433</v>
      </c>
      <c r="N362" t="s">
        <v>25</v>
      </c>
      <c r="O362">
        <v>1</v>
      </c>
      <c r="P362">
        <v>0.31</v>
      </c>
      <c r="Q362">
        <v>0.02</v>
      </c>
      <c r="R362">
        <v>0.31</v>
      </c>
      <c r="S362" t="s">
        <v>397</v>
      </c>
    </row>
    <row r="363" spans="1:19" x14ac:dyDescent="0.25">
      <c r="A363" t="s">
        <v>221</v>
      </c>
      <c r="B363" t="s">
        <v>30</v>
      </c>
      <c r="C363" t="s">
        <v>222</v>
      </c>
      <c r="D363" s="1">
        <v>44991</v>
      </c>
      <c r="E363" s="1">
        <v>45875</v>
      </c>
      <c r="F363">
        <v>1</v>
      </c>
      <c r="G363">
        <f t="shared" si="10"/>
        <v>6</v>
      </c>
      <c r="H363" t="s">
        <v>394</v>
      </c>
      <c r="I363" t="s">
        <v>395</v>
      </c>
      <c r="J363">
        <v>20411454</v>
      </c>
      <c r="K363" t="s">
        <v>403</v>
      </c>
      <c r="L363" t="s">
        <v>404</v>
      </c>
      <c r="M363" t="s">
        <v>433</v>
      </c>
      <c r="N363" t="s">
        <v>105</v>
      </c>
      <c r="O363">
        <v>1</v>
      </c>
      <c r="P363">
        <v>0.06</v>
      </c>
      <c r="Q363">
        <v>0.02</v>
      </c>
      <c r="R363">
        <v>0.06</v>
      </c>
      <c r="S363" t="s">
        <v>397</v>
      </c>
    </row>
    <row r="364" spans="1:19" x14ac:dyDescent="0.25">
      <c r="A364" t="s">
        <v>221</v>
      </c>
      <c r="B364" t="s">
        <v>30</v>
      </c>
      <c r="C364" t="s">
        <v>222</v>
      </c>
      <c r="D364" s="1">
        <v>44991</v>
      </c>
      <c r="E364" s="1">
        <v>45875</v>
      </c>
      <c r="F364">
        <v>1</v>
      </c>
      <c r="G364">
        <f t="shared" si="10"/>
        <v>6</v>
      </c>
      <c r="H364" t="s">
        <v>394</v>
      </c>
      <c r="I364" t="s">
        <v>395</v>
      </c>
      <c r="J364">
        <v>20411454</v>
      </c>
      <c r="K364" t="s">
        <v>403</v>
      </c>
      <c r="L364" t="s">
        <v>404</v>
      </c>
      <c r="M364" t="s">
        <v>433</v>
      </c>
      <c r="N364" t="s">
        <v>27</v>
      </c>
      <c r="O364">
        <v>1</v>
      </c>
      <c r="P364">
        <v>0.12</v>
      </c>
      <c r="Q364">
        <v>0.02</v>
      </c>
      <c r="R364">
        <v>0.12</v>
      </c>
      <c r="S364" t="s">
        <v>397</v>
      </c>
    </row>
    <row r="365" spans="1:19" x14ac:dyDescent="0.25">
      <c r="A365" t="s">
        <v>221</v>
      </c>
      <c r="B365" t="s">
        <v>30</v>
      </c>
      <c r="C365" t="s">
        <v>222</v>
      </c>
      <c r="D365" s="1">
        <v>44991</v>
      </c>
      <c r="E365" s="1">
        <v>45875</v>
      </c>
      <c r="F365">
        <v>1</v>
      </c>
      <c r="G365">
        <f t="shared" si="10"/>
        <v>6</v>
      </c>
      <c r="H365" t="s">
        <v>394</v>
      </c>
      <c r="I365" t="s">
        <v>395</v>
      </c>
      <c r="J365">
        <v>20411454</v>
      </c>
      <c r="K365" t="s">
        <v>403</v>
      </c>
      <c r="L365" t="s">
        <v>404</v>
      </c>
      <c r="M365" t="s">
        <v>433</v>
      </c>
      <c r="N365" t="s">
        <v>34</v>
      </c>
      <c r="O365">
        <v>1</v>
      </c>
      <c r="P365">
        <v>0.25</v>
      </c>
      <c r="Q365">
        <v>0.02</v>
      </c>
      <c r="R365">
        <v>0.25</v>
      </c>
      <c r="S365" t="s">
        <v>397</v>
      </c>
    </row>
    <row r="366" spans="1:19" x14ac:dyDescent="0.25">
      <c r="A366" t="s">
        <v>221</v>
      </c>
      <c r="B366" t="s">
        <v>30</v>
      </c>
      <c r="C366" t="s">
        <v>222</v>
      </c>
      <c r="D366" s="1">
        <v>44991</v>
      </c>
      <c r="E366" s="1">
        <v>45875</v>
      </c>
      <c r="F366">
        <v>1</v>
      </c>
      <c r="G366">
        <f t="shared" si="10"/>
        <v>6</v>
      </c>
      <c r="H366" t="s">
        <v>394</v>
      </c>
      <c r="I366" t="s">
        <v>395</v>
      </c>
      <c r="J366">
        <v>20411454</v>
      </c>
      <c r="K366" t="s">
        <v>403</v>
      </c>
      <c r="L366" t="s">
        <v>404</v>
      </c>
      <c r="M366" t="s">
        <v>433</v>
      </c>
      <c r="N366" t="s">
        <v>106</v>
      </c>
      <c r="O366">
        <v>1</v>
      </c>
      <c r="P366">
        <v>0.45</v>
      </c>
      <c r="Q366">
        <v>0.02</v>
      </c>
      <c r="R366">
        <v>0.45</v>
      </c>
      <c r="S366" t="s">
        <v>397</v>
      </c>
    </row>
    <row r="367" spans="1:19" x14ac:dyDescent="0.25">
      <c r="A367" t="s">
        <v>219</v>
      </c>
      <c r="B367" t="s">
        <v>30</v>
      </c>
      <c r="C367" t="s">
        <v>220</v>
      </c>
      <c r="D367" s="1">
        <v>44988</v>
      </c>
      <c r="E367" s="1">
        <v>45872</v>
      </c>
      <c r="F367">
        <v>1</v>
      </c>
      <c r="G367">
        <f t="shared" si="10"/>
        <v>6</v>
      </c>
      <c r="H367" t="s">
        <v>394</v>
      </c>
      <c r="I367" t="s">
        <v>395</v>
      </c>
      <c r="J367">
        <v>20411454</v>
      </c>
      <c r="K367" t="s">
        <v>403</v>
      </c>
      <c r="L367" t="s">
        <v>404</v>
      </c>
      <c r="M367" t="s">
        <v>433</v>
      </c>
      <c r="N367" t="s">
        <v>34</v>
      </c>
      <c r="O367">
        <v>1</v>
      </c>
      <c r="P367">
        <v>0.49</v>
      </c>
      <c r="Q367">
        <v>0.02</v>
      </c>
      <c r="R367">
        <v>0.49</v>
      </c>
      <c r="S367" t="s">
        <v>397</v>
      </c>
    </row>
    <row r="368" spans="1:19" x14ac:dyDescent="0.25">
      <c r="A368" t="s">
        <v>219</v>
      </c>
      <c r="B368" t="s">
        <v>30</v>
      </c>
      <c r="C368" t="s">
        <v>220</v>
      </c>
      <c r="D368" s="1">
        <v>44988</v>
      </c>
      <c r="E368" s="1">
        <v>45872</v>
      </c>
      <c r="F368">
        <v>1</v>
      </c>
      <c r="G368">
        <f t="shared" si="10"/>
        <v>6</v>
      </c>
      <c r="H368" t="s">
        <v>394</v>
      </c>
      <c r="I368" t="s">
        <v>395</v>
      </c>
      <c r="J368">
        <v>20411454</v>
      </c>
      <c r="K368" t="s">
        <v>403</v>
      </c>
      <c r="L368" t="s">
        <v>404</v>
      </c>
      <c r="M368" t="s">
        <v>433</v>
      </c>
      <c r="N368" t="s">
        <v>106</v>
      </c>
      <c r="O368">
        <v>1</v>
      </c>
      <c r="P368">
        <v>0.53</v>
      </c>
      <c r="Q368">
        <v>0.02</v>
      </c>
      <c r="R368">
        <v>0.53</v>
      </c>
      <c r="S368" t="s">
        <v>397</v>
      </c>
    </row>
    <row r="369" spans="1:19" x14ac:dyDescent="0.25">
      <c r="A369" t="s">
        <v>219</v>
      </c>
      <c r="B369" t="s">
        <v>30</v>
      </c>
      <c r="C369" t="s">
        <v>220</v>
      </c>
      <c r="D369" s="1">
        <v>44988</v>
      </c>
      <c r="E369" s="1">
        <v>45872</v>
      </c>
      <c r="F369">
        <v>1</v>
      </c>
      <c r="G369">
        <f t="shared" si="10"/>
        <v>6</v>
      </c>
      <c r="H369" t="s">
        <v>394</v>
      </c>
      <c r="I369" t="s">
        <v>395</v>
      </c>
      <c r="J369">
        <v>20411454</v>
      </c>
      <c r="K369" t="s">
        <v>403</v>
      </c>
      <c r="L369" t="s">
        <v>404</v>
      </c>
      <c r="M369" t="s">
        <v>433</v>
      </c>
      <c r="N369" t="s">
        <v>27</v>
      </c>
      <c r="O369">
        <v>1</v>
      </c>
      <c r="P369">
        <v>0.12</v>
      </c>
      <c r="Q369">
        <v>0.02</v>
      </c>
      <c r="R369">
        <v>0.12</v>
      </c>
      <c r="S369" t="s">
        <v>397</v>
      </c>
    </row>
    <row r="370" spans="1:19" x14ac:dyDescent="0.25">
      <c r="A370" t="s">
        <v>219</v>
      </c>
      <c r="B370" t="s">
        <v>30</v>
      </c>
      <c r="C370" t="s">
        <v>220</v>
      </c>
      <c r="D370" s="1">
        <v>44988</v>
      </c>
      <c r="E370" s="1">
        <v>45872</v>
      </c>
      <c r="F370">
        <v>1</v>
      </c>
      <c r="G370">
        <f t="shared" si="10"/>
        <v>6</v>
      </c>
      <c r="H370" t="s">
        <v>394</v>
      </c>
      <c r="I370" t="s">
        <v>395</v>
      </c>
      <c r="J370">
        <v>20411454</v>
      </c>
      <c r="K370" t="s">
        <v>403</v>
      </c>
      <c r="L370" t="s">
        <v>404</v>
      </c>
      <c r="M370" t="s">
        <v>433</v>
      </c>
      <c r="N370" t="s">
        <v>105</v>
      </c>
      <c r="O370">
        <v>1</v>
      </c>
      <c r="P370">
        <v>0.09</v>
      </c>
      <c r="Q370">
        <v>0.02</v>
      </c>
      <c r="R370">
        <v>0.09</v>
      </c>
      <c r="S370" t="s">
        <v>397</v>
      </c>
    </row>
    <row r="371" spans="1:19" x14ac:dyDescent="0.25">
      <c r="A371" t="s">
        <v>219</v>
      </c>
      <c r="B371" t="s">
        <v>30</v>
      </c>
      <c r="C371" t="s">
        <v>220</v>
      </c>
      <c r="D371" s="1">
        <v>44988</v>
      </c>
      <c r="E371" s="1">
        <v>45872</v>
      </c>
      <c r="F371">
        <v>1</v>
      </c>
      <c r="G371">
        <f t="shared" si="10"/>
        <v>6</v>
      </c>
      <c r="H371" t="s">
        <v>394</v>
      </c>
      <c r="I371" t="s">
        <v>395</v>
      </c>
      <c r="J371">
        <v>20411454</v>
      </c>
      <c r="K371" t="s">
        <v>403</v>
      </c>
      <c r="L371" t="s">
        <v>404</v>
      </c>
      <c r="M371" t="s">
        <v>433</v>
      </c>
      <c r="N371" t="s">
        <v>25</v>
      </c>
      <c r="O371">
        <v>1</v>
      </c>
      <c r="P371">
        <v>0.34</v>
      </c>
      <c r="Q371">
        <v>0.02</v>
      </c>
      <c r="R371">
        <v>0.34</v>
      </c>
      <c r="S371" t="s">
        <v>397</v>
      </c>
    </row>
    <row r="372" spans="1:19" x14ac:dyDescent="0.25">
      <c r="A372" t="s">
        <v>217</v>
      </c>
      <c r="B372" t="s">
        <v>30</v>
      </c>
      <c r="C372" t="s">
        <v>218</v>
      </c>
      <c r="D372" s="1">
        <v>44910</v>
      </c>
      <c r="E372" s="1">
        <v>45884</v>
      </c>
      <c r="F372">
        <v>1</v>
      </c>
      <c r="G372">
        <f t="shared" si="10"/>
        <v>8</v>
      </c>
      <c r="H372" t="s">
        <v>394</v>
      </c>
      <c r="I372" t="s">
        <v>395</v>
      </c>
      <c r="J372">
        <v>20411454</v>
      </c>
      <c r="K372" t="s">
        <v>403</v>
      </c>
      <c r="L372" t="s">
        <v>404</v>
      </c>
      <c r="M372" t="s">
        <v>433</v>
      </c>
      <c r="N372" t="s">
        <v>25</v>
      </c>
      <c r="O372">
        <v>1</v>
      </c>
      <c r="P372">
        <v>0.35</v>
      </c>
      <c r="Q372">
        <v>0.02</v>
      </c>
      <c r="R372">
        <v>0.35</v>
      </c>
      <c r="S372" t="s">
        <v>397</v>
      </c>
    </row>
    <row r="373" spans="1:19" x14ac:dyDescent="0.25">
      <c r="A373" t="s">
        <v>217</v>
      </c>
      <c r="B373" t="s">
        <v>30</v>
      </c>
      <c r="C373" t="s">
        <v>218</v>
      </c>
      <c r="D373" s="1">
        <v>44910</v>
      </c>
      <c r="E373" s="1">
        <v>45884</v>
      </c>
      <c r="F373">
        <v>1</v>
      </c>
      <c r="G373">
        <f t="shared" si="10"/>
        <v>8</v>
      </c>
      <c r="H373" t="s">
        <v>394</v>
      </c>
      <c r="I373" t="s">
        <v>395</v>
      </c>
      <c r="J373">
        <v>20411454</v>
      </c>
      <c r="K373" t="s">
        <v>403</v>
      </c>
      <c r="L373" t="s">
        <v>404</v>
      </c>
      <c r="M373" t="s">
        <v>433</v>
      </c>
      <c r="N373" t="s">
        <v>34</v>
      </c>
      <c r="O373">
        <v>1</v>
      </c>
      <c r="P373">
        <v>0.34</v>
      </c>
      <c r="Q373">
        <v>0.02</v>
      </c>
      <c r="R373">
        <v>0.34</v>
      </c>
      <c r="S373" t="s">
        <v>397</v>
      </c>
    </row>
    <row r="374" spans="1:19" x14ac:dyDescent="0.25">
      <c r="A374" t="s">
        <v>217</v>
      </c>
      <c r="B374" t="s">
        <v>30</v>
      </c>
      <c r="C374" t="s">
        <v>218</v>
      </c>
      <c r="D374" s="1">
        <v>44910</v>
      </c>
      <c r="E374" s="1">
        <v>45884</v>
      </c>
      <c r="F374">
        <v>1</v>
      </c>
      <c r="G374">
        <f t="shared" si="10"/>
        <v>8</v>
      </c>
      <c r="H374" t="s">
        <v>394</v>
      </c>
      <c r="I374" t="s">
        <v>395</v>
      </c>
      <c r="J374">
        <v>20411454</v>
      </c>
      <c r="K374" t="s">
        <v>403</v>
      </c>
      <c r="L374" t="s">
        <v>404</v>
      </c>
      <c r="M374" t="s">
        <v>433</v>
      </c>
      <c r="N374" t="s">
        <v>105</v>
      </c>
      <c r="O374">
        <v>1</v>
      </c>
      <c r="P374">
        <v>7.0000000000000007E-2</v>
      </c>
      <c r="Q374">
        <v>0.02</v>
      </c>
      <c r="R374">
        <v>7.0000000000000007E-2</v>
      </c>
      <c r="S374" t="s">
        <v>397</v>
      </c>
    </row>
    <row r="375" spans="1:19" x14ac:dyDescent="0.25">
      <c r="A375" t="s">
        <v>217</v>
      </c>
      <c r="B375" t="s">
        <v>30</v>
      </c>
      <c r="C375" t="s">
        <v>218</v>
      </c>
      <c r="D375" s="1">
        <v>44910</v>
      </c>
      <c r="E375" s="1">
        <v>45884</v>
      </c>
      <c r="F375">
        <v>1</v>
      </c>
      <c r="G375">
        <f t="shared" si="10"/>
        <v>8</v>
      </c>
      <c r="H375" t="s">
        <v>394</v>
      </c>
      <c r="I375" t="s">
        <v>395</v>
      </c>
      <c r="J375">
        <v>20411454</v>
      </c>
      <c r="K375" t="s">
        <v>403</v>
      </c>
      <c r="L375" t="s">
        <v>404</v>
      </c>
      <c r="M375" t="s">
        <v>433</v>
      </c>
      <c r="N375" t="s">
        <v>106</v>
      </c>
      <c r="O375">
        <v>1</v>
      </c>
      <c r="P375">
        <v>0.5</v>
      </c>
      <c r="Q375">
        <v>0.02</v>
      </c>
      <c r="R375">
        <v>0.5</v>
      </c>
      <c r="S375" t="s">
        <v>397</v>
      </c>
    </row>
    <row r="376" spans="1:19" x14ac:dyDescent="0.25">
      <c r="A376" t="s">
        <v>207</v>
      </c>
      <c r="B376" t="s">
        <v>56</v>
      </c>
      <c r="C376" t="s">
        <v>208</v>
      </c>
      <c r="D376" s="1">
        <v>44896</v>
      </c>
      <c r="E376" s="1">
        <v>45870</v>
      </c>
      <c r="F376">
        <v>1</v>
      </c>
      <c r="G376">
        <f t="shared" si="10"/>
        <v>8</v>
      </c>
      <c r="H376" t="s">
        <v>394</v>
      </c>
      <c r="I376" t="s">
        <v>395</v>
      </c>
      <c r="J376">
        <v>20411454</v>
      </c>
      <c r="K376" t="s">
        <v>403</v>
      </c>
      <c r="L376" t="s">
        <v>404</v>
      </c>
      <c r="M376" t="s">
        <v>433</v>
      </c>
      <c r="N376" t="s">
        <v>209</v>
      </c>
      <c r="O376">
        <v>1</v>
      </c>
      <c r="P376">
        <v>0.06</v>
      </c>
      <c r="Q376">
        <v>0.02</v>
      </c>
      <c r="R376">
        <v>0.06</v>
      </c>
      <c r="S376" t="s">
        <v>397</v>
      </c>
    </row>
    <row r="377" spans="1:19" x14ac:dyDescent="0.25">
      <c r="A377" t="s">
        <v>207</v>
      </c>
      <c r="B377" t="s">
        <v>56</v>
      </c>
      <c r="C377" t="s">
        <v>208</v>
      </c>
      <c r="D377" s="1">
        <v>44896</v>
      </c>
      <c r="E377" s="1">
        <v>45870</v>
      </c>
      <c r="F377">
        <v>1</v>
      </c>
      <c r="G377">
        <f t="shared" si="10"/>
        <v>8</v>
      </c>
      <c r="H377" t="s">
        <v>394</v>
      </c>
      <c r="I377" t="s">
        <v>395</v>
      </c>
      <c r="J377">
        <v>20411454</v>
      </c>
      <c r="K377" t="s">
        <v>403</v>
      </c>
      <c r="L377" t="s">
        <v>404</v>
      </c>
      <c r="M377" t="s">
        <v>433</v>
      </c>
      <c r="N377" t="s">
        <v>63</v>
      </c>
      <c r="O377">
        <v>1</v>
      </c>
      <c r="P377">
        <v>0.12</v>
      </c>
      <c r="Q377">
        <v>0.02</v>
      </c>
      <c r="R377">
        <v>0.12</v>
      </c>
      <c r="S377" t="s">
        <v>397</v>
      </c>
    </row>
    <row r="378" spans="1:19" x14ac:dyDescent="0.25">
      <c r="A378" t="s">
        <v>207</v>
      </c>
      <c r="B378" t="s">
        <v>56</v>
      </c>
      <c r="C378" t="s">
        <v>208</v>
      </c>
      <c r="D378" s="1">
        <v>44896</v>
      </c>
      <c r="E378" s="1">
        <v>45870</v>
      </c>
      <c r="F378">
        <v>1</v>
      </c>
      <c r="G378">
        <f t="shared" si="10"/>
        <v>8</v>
      </c>
      <c r="H378" t="s">
        <v>394</v>
      </c>
      <c r="I378" t="s">
        <v>395</v>
      </c>
      <c r="J378">
        <v>20411454</v>
      </c>
      <c r="K378" t="s">
        <v>403</v>
      </c>
      <c r="L378" t="s">
        <v>404</v>
      </c>
      <c r="M378" t="s">
        <v>433</v>
      </c>
      <c r="N378" t="s">
        <v>210</v>
      </c>
      <c r="O378">
        <v>1</v>
      </c>
      <c r="P378">
        <v>0.39</v>
      </c>
      <c r="Q378">
        <v>0.02</v>
      </c>
      <c r="R378">
        <v>0.39</v>
      </c>
      <c r="S378" t="s">
        <v>397</v>
      </c>
    </row>
    <row r="379" spans="1:19" x14ac:dyDescent="0.25">
      <c r="A379" t="s">
        <v>215</v>
      </c>
      <c r="B379" t="s">
        <v>30</v>
      </c>
      <c r="C379" t="s">
        <v>216</v>
      </c>
      <c r="D379" s="1">
        <v>44858</v>
      </c>
      <c r="E379" s="1">
        <v>45893</v>
      </c>
      <c r="F379">
        <v>1</v>
      </c>
      <c r="G379">
        <f t="shared" si="10"/>
        <v>10</v>
      </c>
      <c r="H379" t="s">
        <v>394</v>
      </c>
      <c r="I379" t="s">
        <v>395</v>
      </c>
      <c r="J379">
        <v>20411454</v>
      </c>
      <c r="K379" t="s">
        <v>403</v>
      </c>
      <c r="L379" t="s">
        <v>404</v>
      </c>
      <c r="M379" t="s">
        <v>433</v>
      </c>
      <c r="N379" t="s">
        <v>25</v>
      </c>
      <c r="O379">
        <v>1</v>
      </c>
      <c r="P379">
        <v>0.53</v>
      </c>
      <c r="Q379">
        <v>0.02</v>
      </c>
      <c r="R379">
        <v>0.53</v>
      </c>
      <c r="S379" t="s">
        <v>397</v>
      </c>
    </row>
    <row r="380" spans="1:19" x14ac:dyDescent="0.25">
      <c r="A380" t="s">
        <v>215</v>
      </c>
      <c r="B380" t="s">
        <v>30</v>
      </c>
      <c r="C380" t="s">
        <v>216</v>
      </c>
      <c r="D380" s="1">
        <v>44858</v>
      </c>
      <c r="E380" s="1">
        <v>45893</v>
      </c>
      <c r="F380">
        <v>1</v>
      </c>
      <c r="G380">
        <f t="shared" si="10"/>
        <v>10</v>
      </c>
      <c r="H380" t="s">
        <v>394</v>
      </c>
      <c r="I380" t="s">
        <v>395</v>
      </c>
      <c r="J380">
        <v>20411454</v>
      </c>
      <c r="K380" t="s">
        <v>403</v>
      </c>
      <c r="L380" t="s">
        <v>404</v>
      </c>
      <c r="M380" t="s">
        <v>433</v>
      </c>
      <c r="N380" t="s">
        <v>42</v>
      </c>
      <c r="O380">
        <v>1</v>
      </c>
      <c r="P380">
        <v>0.06</v>
      </c>
      <c r="Q380">
        <v>0.02</v>
      </c>
      <c r="R380">
        <v>0.06</v>
      </c>
      <c r="S380" t="s">
        <v>397</v>
      </c>
    </row>
    <row r="381" spans="1:19" x14ac:dyDescent="0.25">
      <c r="A381" t="s">
        <v>215</v>
      </c>
      <c r="B381" t="s">
        <v>30</v>
      </c>
      <c r="C381" t="s">
        <v>216</v>
      </c>
      <c r="D381" s="1">
        <v>44858</v>
      </c>
      <c r="E381" s="1">
        <v>45893</v>
      </c>
      <c r="F381">
        <v>1</v>
      </c>
      <c r="G381">
        <f t="shared" si="10"/>
        <v>10</v>
      </c>
      <c r="H381" t="s">
        <v>394</v>
      </c>
      <c r="I381" t="s">
        <v>395</v>
      </c>
      <c r="J381">
        <v>20411454</v>
      </c>
      <c r="K381" t="s">
        <v>403</v>
      </c>
      <c r="L381" t="s">
        <v>404</v>
      </c>
      <c r="M381" t="s">
        <v>433</v>
      </c>
      <c r="N381" t="s">
        <v>41</v>
      </c>
      <c r="O381">
        <v>1</v>
      </c>
      <c r="P381">
        <v>0.39</v>
      </c>
      <c r="Q381">
        <v>0.02</v>
      </c>
      <c r="R381">
        <v>0.39</v>
      </c>
      <c r="S381" t="s">
        <v>397</v>
      </c>
    </row>
    <row r="382" spans="1:19" x14ac:dyDescent="0.25">
      <c r="A382" t="s">
        <v>215</v>
      </c>
      <c r="B382" t="s">
        <v>30</v>
      </c>
      <c r="C382" t="s">
        <v>216</v>
      </c>
      <c r="D382" s="1">
        <v>44858</v>
      </c>
      <c r="E382" s="1">
        <v>45893</v>
      </c>
      <c r="F382">
        <v>1</v>
      </c>
      <c r="G382">
        <f t="shared" si="10"/>
        <v>10</v>
      </c>
      <c r="H382" t="s">
        <v>394</v>
      </c>
      <c r="I382" t="s">
        <v>395</v>
      </c>
      <c r="J382">
        <v>20411454</v>
      </c>
      <c r="K382" t="s">
        <v>403</v>
      </c>
      <c r="L382" t="s">
        <v>404</v>
      </c>
      <c r="M382" t="s">
        <v>433</v>
      </c>
      <c r="N382" t="s">
        <v>34</v>
      </c>
      <c r="O382">
        <v>1</v>
      </c>
      <c r="P382">
        <v>0.25</v>
      </c>
      <c r="Q382">
        <v>0.02</v>
      </c>
      <c r="R382">
        <v>0.25</v>
      </c>
      <c r="S382" t="s">
        <v>397</v>
      </c>
    </row>
    <row r="383" spans="1:19" x14ac:dyDescent="0.25">
      <c r="A383" t="s">
        <v>194</v>
      </c>
      <c r="B383" t="s">
        <v>30</v>
      </c>
      <c r="C383" t="s">
        <v>195</v>
      </c>
      <c r="D383" s="1">
        <v>44851</v>
      </c>
      <c r="E383" s="1">
        <v>45886</v>
      </c>
      <c r="F383">
        <v>1</v>
      </c>
      <c r="G383">
        <f t="shared" si="10"/>
        <v>10</v>
      </c>
      <c r="H383" t="s">
        <v>394</v>
      </c>
      <c r="I383" t="s">
        <v>395</v>
      </c>
      <c r="J383">
        <v>20411454</v>
      </c>
      <c r="K383" t="s">
        <v>421</v>
      </c>
      <c r="L383" t="s">
        <v>405</v>
      </c>
      <c r="M383" t="s">
        <v>433</v>
      </c>
      <c r="N383" t="s">
        <v>25</v>
      </c>
      <c r="O383">
        <v>1</v>
      </c>
      <c r="P383">
        <v>0.86</v>
      </c>
      <c r="Q383">
        <v>0.04</v>
      </c>
      <c r="R383">
        <v>0.86</v>
      </c>
      <c r="S383" t="s">
        <v>397</v>
      </c>
    </row>
    <row r="384" spans="1:19" x14ac:dyDescent="0.25">
      <c r="A384" t="s">
        <v>194</v>
      </c>
      <c r="B384" t="s">
        <v>30</v>
      </c>
      <c r="C384" t="s">
        <v>195</v>
      </c>
      <c r="D384" s="1">
        <v>44851</v>
      </c>
      <c r="E384" s="1">
        <v>45886</v>
      </c>
      <c r="F384">
        <v>1</v>
      </c>
      <c r="G384">
        <f t="shared" si="10"/>
        <v>10</v>
      </c>
      <c r="H384" t="s">
        <v>394</v>
      </c>
      <c r="I384" t="s">
        <v>395</v>
      </c>
      <c r="J384">
        <v>20411454</v>
      </c>
      <c r="K384" t="s">
        <v>421</v>
      </c>
      <c r="L384" t="s">
        <v>405</v>
      </c>
      <c r="M384" t="s">
        <v>433</v>
      </c>
      <c r="N384" t="s">
        <v>76</v>
      </c>
      <c r="O384">
        <v>1</v>
      </c>
      <c r="P384">
        <v>0.03</v>
      </c>
      <c r="Q384">
        <v>0.04</v>
      </c>
      <c r="R384">
        <v>0.03</v>
      </c>
      <c r="S384" t="s">
        <v>397</v>
      </c>
    </row>
    <row r="385" spans="1:19" x14ac:dyDescent="0.25">
      <c r="A385" t="s">
        <v>194</v>
      </c>
      <c r="B385" t="s">
        <v>30</v>
      </c>
      <c r="C385" t="s">
        <v>195</v>
      </c>
      <c r="D385" s="1">
        <v>44851</v>
      </c>
      <c r="E385" s="1">
        <v>45886</v>
      </c>
      <c r="F385">
        <v>1</v>
      </c>
      <c r="G385">
        <f t="shared" si="10"/>
        <v>10</v>
      </c>
      <c r="H385" t="s">
        <v>394</v>
      </c>
      <c r="I385" t="s">
        <v>395</v>
      </c>
      <c r="J385">
        <v>20411454</v>
      </c>
      <c r="K385" t="s">
        <v>421</v>
      </c>
      <c r="L385" t="s">
        <v>405</v>
      </c>
      <c r="M385" t="s">
        <v>433</v>
      </c>
      <c r="N385" t="s">
        <v>34</v>
      </c>
      <c r="O385">
        <v>1</v>
      </c>
      <c r="P385">
        <v>0.64</v>
      </c>
      <c r="Q385">
        <v>0.04</v>
      </c>
      <c r="R385">
        <v>0.64</v>
      </c>
      <c r="S385" t="s">
        <v>397</v>
      </c>
    </row>
    <row r="386" spans="1:19" x14ac:dyDescent="0.25">
      <c r="A386" t="s">
        <v>213</v>
      </c>
      <c r="B386" t="s">
        <v>30</v>
      </c>
      <c r="C386" t="s">
        <v>214</v>
      </c>
      <c r="D386" s="1">
        <v>44824</v>
      </c>
      <c r="E386" s="1">
        <v>45889</v>
      </c>
      <c r="F386">
        <v>1</v>
      </c>
      <c r="G386">
        <f t="shared" ref="G386:G449" si="12">MONTH(E386-D386)</f>
        <v>11</v>
      </c>
      <c r="H386" t="s">
        <v>394</v>
      </c>
      <c r="I386" t="s">
        <v>395</v>
      </c>
      <c r="J386">
        <v>20411454</v>
      </c>
      <c r="K386" t="s">
        <v>403</v>
      </c>
      <c r="L386" t="s">
        <v>404</v>
      </c>
      <c r="M386" t="s">
        <v>433</v>
      </c>
      <c r="N386" t="s">
        <v>25</v>
      </c>
      <c r="O386">
        <v>1</v>
      </c>
      <c r="P386">
        <v>0.2</v>
      </c>
      <c r="Q386">
        <v>0.02</v>
      </c>
      <c r="R386">
        <v>0.2</v>
      </c>
      <c r="S386" t="s">
        <v>397</v>
      </c>
    </row>
    <row r="387" spans="1:19" x14ac:dyDescent="0.25">
      <c r="A387" t="s">
        <v>213</v>
      </c>
      <c r="B387" t="s">
        <v>30</v>
      </c>
      <c r="C387" t="s">
        <v>214</v>
      </c>
      <c r="D387" s="1">
        <v>44824</v>
      </c>
      <c r="E387" s="1">
        <v>45889</v>
      </c>
      <c r="F387">
        <v>1</v>
      </c>
      <c r="G387">
        <f t="shared" si="12"/>
        <v>11</v>
      </c>
      <c r="H387" t="s">
        <v>394</v>
      </c>
      <c r="I387" t="s">
        <v>395</v>
      </c>
      <c r="J387">
        <v>20411454</v>
      </c>
      <c r="K387" t="s">
        <v>403</v>
      </c>
      <c r="L387" t="s">
        <v>404</v>
      </c>
      <c r="M387" t="s">
        <v>433</v>
      </c>
      <c r="N387" t="s">
        <v>27</v>
      </c>
      <c r="O387">
        <v>1</v>
      </c>
      <c r="P387">
        <v>0.12</v>
      </c>
      <c r="Q387">
        <v>0.02</v>
      </c>
      <c r="R387">
        <v>0.12</v>
      </c>
      <c r="S387" t="s">
        <v>397</v>
      </c>
    </row>
    <row r="388" spans="1:19" x14ac:dyDescent="0.25">
      <c r="A388" t="s">
        <v>213</v>
      </c>
      <c r="B388" t="s">
        <v>30</v>
      </c>
      <c r="C388" t="s">
        <v>214</v>
      </c>
      <c r="D388" s="1">
        <v>44824</v>
      </c>
      <c r="E388" s="1">
        <v>45889</v>
      </c>
      <c r="F388">
        <v>1</v>
      </c>
      <c r="G388">
        <f t="shared" si="12"/>
        <v>11</v>
      </c>
      <c r="H388" t="s">
        <v>394</v>
      </c>
      <c r="I388" t="s">
        <v>395</v>
      </c>
      <c r="J388">
        <v>20411454</v>
      </c>
      <c r="K388" t="s">
        <v>403</v>
      </c>
      <c r="L388" t="s">
        <v>404</v>
      </c>
      <c r="M388" t="s">
        <v>433</v>
      </c>
      <c r="N388" t="s">
        <v>41</v>
      </c>
      <c r="O388">
        <v>1</v>
      </c>
      <c r="P388">
        <v>0.41</v>
      </c>
      <c r="Q388">
        <v>0.02</v>
      </c>
      <c r="R388">
        <v>0.41</v>
      </c>
      <c r="S388" t="s">
        <v>397</v>
      </c>
    </row>
    <row r="389" spans="1:19" x14ac:dyDescent="0.25">
      <c r="A389" t="s">
        <v>213</v>
      </c>
      <c r="B389" t="s">
        <v>30</v>
      </c>
      <c r="C389" t="s">
        <v>214</v>
      </c>
      <c r="D389" s="1">
        <v>44824</v>
      </c>
      <c r="E389" s="1">
        <v>45889</v>
      </c>
      <c r="F389">
        <v>1</v>
      </c>
      <c r="G389">
        <f t="shared" si="12"/>
        <v>11</v>
      </c>
      <c r="H389" t="s">
        <v>394</v>
      </c>
      <c r="I389" t="s">
        <v>395</v>
      </c>
      <c r="J389">
        <v>20411454</v>
      </c>
      <c r="K389" t="s">
        <v>403</v>
      </c>
      <c r="L389" t="s">
        <v>404</v>
      </c>
      <c r="M389" t="s">
        <v>433</v>
      </c>
      <c r="N389" t="s">
        <v>34</v>
      </c>
      <c r="O389">
        <v>1</v>
      </c>
      <c r="P389">
        <v>0.26</v>
      </c>
      <c r="Q389">
        <v>0.02</v>
      </c>
      <c r="R389">
        <v>0.26</v>
      </c>
      <c r="S389" t="s">
        <v>397</v>
      </c>
    </row>
    <row r="390" spans="1:19" x14ac:dyDescent="0.25">
      <c r="A390" t="s">
        <v>213</v>
      </c>
      <c r="B390" t="s">
        <v>30</v>
      </c>
      <c r="C390" t="s">
        <v>214</v>
      </c>
      <c r="D390" s="1">
        <v>44824</v>
      </c>
      <c r="E390" s="1">
        <v>45889</v>
      </c>
      <c r="F390">
        <v>1</v>
      </c>
      <c r="G390">
        <f t="shared" si="12"/>
        <v>11</v>
      </c>
      <c r="H390" t="s">
        <v>394</v>
      </c>
      <c r="I390" t="s">
        <v>395</v>
      </c>
      <c r="J390">
        <v>20411454</v>
      </c>
      <c r="K390" t="s">
        <v>403</v>
      </c>
      <c r="L390" t="s">
        <v>404</v>
      </c>
      <c r="M390" t="s">
        <v>433</v>
      </c>
      <c r="N390" t="s">
        <v>42</v>
      </c>
      <c r="O390">
        <v>1</v>
      </c>
      <c r="P390">
        <v>0.06</v>
      </c>
      <c r="Q390">
        <v>0.02</v>
      </c>
      <c r="R390">
        <v>0.06</v>
      </c>
      <c r="S390" t="s">
        <v>397</v>
      </c>
    </row>
    <row r="391" spans="1:19" x14ac:dyDescent="0.25">
      <c r="A391" t="s">
        <v>211</v>
      </c>
      <c r="B391" t="s">
        <v>56</v>
      </c>
      <c r="C391" t="s">
        <v>212</v>
      </c>
      <c r="D391" s="1">
        <v>44818</v>
      </c>
      <c r="E391" s="1">
        <v>45883</v>
      </c>
      <c r="F391">
        <v>1</v>
      </c>
      <c r="G391">
        <f t="shared" si="12"/>
        <v>11</v>
      </c>
      <c r="H391" t="s">
        <v>394</v>
      </c>
      <c r="I391" t="s">
        <v>395</v>
      </c>
      <c r="J391">
        <v>20411454</v>
      </c>
      <c r="K391" t="s">
        <v>403</v>
      </c>
      <c r="L391" t="s">
        <v>404</v>
      </c>
      <c r="M391" t="s">
        <v>433</v>
      </c>
      <c r="N391" t="s">
        <v>205</v>
      </c>
      <c r="O391">
        <v>1</v>
      </c>
      <c r="P391">
        <v>0.5</v>
      </c>
      <c r="Q391">
        <v>0.02</v>
      </c>
      <c r="R391">
        <v>0.5</v>
      </c>
      <c r="S391" t="s">
        <v>397</v>
      </c>
    </row>
    <row r="392" spans="1:19" x14ac:dyDescent="0.25">
      <c r="A392" t="s">
        <v>211</v>
      </c>
      <c r="B392" t="s">
        <v>56</v>
      </c>
      <c r="C392" t="s">
        <v>212</v>
      </c>
      <c r="D392" s="1">
        <v>44818</v>
      </c>
      <c r="E392" s="1">
        <v>45883</v>
      </c>
      <c r="F392">
        <v>1</v>
      </c>
      <c r="G392">
        <f t="shared" si="12"/>
        <v>11</v>
      </c>
      <c r="H392" t="s">
        <v>394</v>
      </c>
      <c r="I392" t="s">
        <v>395</v>
      </c>
      <c r="J392">
        <v>20411454</v>
      </c>
      <c r="K392" t="s">
        <v>403</v>
      </c>
      <c r="L392" t="s">
        <v>404</v>
      </c>
      <c r="M392" t="s">
        <v>433</v>
      </c>
      <c r="N392" t="s">
        <v>63</v>
      </c>
      <c r="O392">
        <v>1</v>
      </c>
      <c r="P392">
        <v>0.39</v>
      </c>
      <c r="Q392">
        <v>0.02</v>
      </c>
      <c r="R392">
        <v>0.39</v>
      </c>
      <c r="S392" t="s">
        <v>397</v>
      </c>
    </row>
    <row r="393" spans="1:19" x14ac:dyDescent="0.25">
      <c r="A393" t="s">
        <v>211</v>
      </c>
      <c r="B393" t="s">
        <v>56</v>
      </c>
      <c r="C393" t="s">
        <v>212</v>
      </c>
      <c r="D393" s="1">
        <v>44818</v>
      </c>
      <c r="E393" s="1">
        <v>45883</v>
      </c>
      <c r="F393">
        <v>1</v>
      </c>
      <c r="G393">
        <f t="shared" si="12"/>
        <v>11</v>
      </c>
      <c r="H393" t="s">
        <v>394</v>
      </c>
      <c r="I393" t="s">
        <v>395</v>
      </c>
      <c r="J393">
        <v>20411454</v>
      </c>
      <c r="K393" t="s">
        <v>403</v>
      </c>
      <c r="L393" t="s">
        <v>404</v>
      </c>
      <c r="M393" t="s">
        <v>433</v>
      </c>
      <c r="N393" t="s">
        <v>65</v>
      </c>
      <c r="O393">
        <v>1</v>
      </c>
      <c r="P393">
        <v>0.12</v>
      </c>
      <c r="Q393">
        <v>0.02</v>
      </c>
      <c r="R393">
        <v>0.12</v>
      </c>
      <c r="S393" t="s">
        <v>397</v>
      </c>
    </row>
    <row r="394" spans="1:19" x14ac:dyDescent="0.25">
      <c r="A394" t="s">
        <v>211</v>
      </c>
      <c r="B394" t="s">
        <v>56</v>
      </c>
      <c r="C394" t="s">
        <v>212</v>
      </c>
      <c r="D394" s="1">
        <v>44818</v>
      </c>
      <c r="E394" s="1">
        <v>45883</v>
      </c>
      <c r="F394">
        <v>1</v>
      </c>
      <c r="G394">
        <f t="shared" si="12"/>
        <v>11</v>
      </c>
      <c r="H394" t="s">
        <v>394</v>
      </c>
      <c r="I394" t="s">
        <v>395</v>
      </c>
      <c r="J394">
        <v>20411454</v>
      </c>
      <c r="K394" t="s">
        <v>403</v>
      </c>
      <c r="L394" t="s">
        <v>404</v>
      </c>
      <c r="M394" t="s">
        <v>433</v>
      </c>
      <c r="N394" t="s">
        <v>60</v>
      </c>
      <c r="O394">
        <v>1</v>
      </c>
      <c r="P394">
        <v>0.34</v>
      </c>
      <c r="Q394">
        <v>0.02</v>
      </c>
      <c r="R394">
        <v>0.34</v>
      </c>
      <c r="S394" t="s">
        <v>397</v>
      </c>
    </row>
    <row r="395" spans="1:19" x14ac:dyDescent="0.25">
      <c r="A395" t="s">
        <v>211</v>
      </c>
      <c r="B395" t="s">
        <v>56</v>
      </c>
      <c r="C395" t="s">
        <v>212</v>
      </c>
      <c r="D395" s="1">
        <v>44818</v>
      </c>
      <c r="E395" s="1">
        <v>45883</v>
      </c>
      <c r="F395">
        <v>1</v>
      </c>
      <c r="G395">
        <f t="shared" si="12"/>
        <v>11</v>
      </c>
      <c r="H395" t="s">
        <v>394</v>
      </c>
      <c r="I395" t="s">
        <v>395</v>
      </c>
      <c r="J395">
        <v>20411454</v>
      </c>
      <c r="K395" t="s">
        <v>403</v>
      </c>
      <c r="L395" t="s">
        <v>404</v>
      </c>
      <c r="M395" t="s">
        <v>433</v>
      </c>
      <c r="N395" t="s">
        <v>206</v>
      </c>
      <c r="O395">
        <v>1</v>
      </c>
      <c r="P395">
        <v>7.0000000000000007E-2</v>
      </c>
      <c r="Q395">
        <v>0.02</v>
      </c>
      <c r="R395">
        <v>7.0000000000000007E-2</v>
      </c>
      <c r="S395" t="s">
        <v>397</v>
      </c>
    </row>
    <row r="396" spans="1:19" x14ac:dyDescent="0.25">
      <c r="A396" t="s">
        <v>203</v>
      </c>
      <c r="B396" t="s">
        <v>56</v>
      </c>
      <c r="C396" t="s">
        <v>204</v>
      </c>
      <c r="D396" s="1">
        <v>44805</v>
      </c>
      <c r="E396" s="1">
        <v>45870</v>
      </c>
      <c r="F396">
        <v>1</v>
      </c>
      <c r="G396">
        <f t="shared" si="12"/>
        <v>11</v>
      </c>
      <c r="H396" t="s">
        <v>394</v>
      </c>
      <c r="I396" t="s">
        <v>395</v>
      </c>
      <c r="J396">
        <v>20411454</v>
      </c>
      <c r="K396" t="s">
        <v>403</v>
      </c>
      <c r="L396" t="s">
        <v>404</v>
      </c>
      <c r="M396" t="s">
        <v>433</v>
      </c>
      <c r="N396" t="s">
        <v>205</v>
      </c>
      <c r="O396">
        <v>1</v>
      </c>
      <c r="P396">
        <v>0.51</v>
      </c>
      <c r="Q396">
        <v>0.02</v>
      </c>
      <c r="R396">
        <v>0.51</v>
      </c>
      <c r="S396" t="s">
        <v>397</v>
      </c>
    </row>
    <row r="397" spans="1:19" x14ac:dyDescent="0.25">
      <c r="A397" t="s">
        <v>203</v>
      </c>
      <c r="B397" t="s">
        <v>56</v>
      </c>
      <c r="C397" t="s">
        <v>204</v>
      </c>
      <c r="D397" s="1">
        <v>44805</v>
      </c>
      <c r="E397" s="1">
        <v>45870</v>
      </c>
      <c r="F397">
        <v>1</v>
      </c>
      <c r="G397">
        <f t="shared" si="12"/>
        <v>11</v>
      </c>
      <c r="H397" t="s">
        <v>394</v>
      </c>
      <c r="I397" t="s">
        <v>395</v>
      </c>
      <c r="J397">
        <v>20411454</v>
      </c>
      <c r="K397" t="s">
        <v>403</v>
      </c>
      <c r="L397" t="s">
        <v>404</v>
      </c>
      <c r="M397" t="s">
        <v>433</v>
      </c>
      <c r="N397" t="s">
        <v>63</v>
      </c>
      <c r="O397">
        <v>1</v>
      </c>
      <c r="P397">
        <v>0.43</v>
      </c>
      <c r="Q397">
        <v>0.02</v>
      </c>
      <c r="R397">
        <v>0.43</v>
      </c>
      <c r="S397" t="s">
        <v>397</v>
      </c>
    </row>
    <row r="398" spans="1:19" x14ac:dyDescent="0.25">
      <c r="A398" t="s">
        <v>203</v>
      </c>
      <c r="B398" t="s">
        <v>56</v>
      </c>
      <c r="C398" t="s">
        <v>204</v>
      </c>
      <c r="D398" s="1">
        <v>44805</v>
      </c>
      <c r="E398" s="1">
        <v>45870</v>
      </c>
      <c r="F398">
        <v>1</v>
      </c>
      <c r="G398">
        <f t="shared" si="12"/>
        <v>11</v>
      </c>
      <c r="H398" t="s">
        <v>394</v>
      </c>
      <c r="I398" t="s">
        <v>395</v>
      </c>
      <c r="J398">
        <v>20411454</v>
      </c>
      <c r="K398" t="s">
        <v>403</v>
      </c>
      <c r="L398" t="s">
        <v>404</v>
      </c>
      <c r="M398" t="s">
        <v>433</v>
      </c>
      <c r="N398" t="s">
        <v>206</v>
      </c>
      <c r="O398">
        <v>1</v>
      </c>
      <c r="P398">
        <v>0.08</v>
      </c>
      <c r="Q398">
        <v>0.02</v>
      </c>
      <c r="R398">
        <v>0.08</v>
      </c>
      <c r="S398" t="s">
        <v>397</v>
      </c>
    </row>
    <row r="399" spans="1:19" x14ac:dyDescent="0.25">
      <c r="A399" t="s">
        <v>203</v>
      </c>
      <c r="B399" t="s">
        <v>56</v>
      </c>
      <c r="C399" t="s">
        <v>204</v>
      </c>
      <c r="D399" s="1">
        <v>44805</v>
      </c>
      <c r="E399" s="1">
        <v>45870</v>
      </c>
      <c r="F399">
        <v>1</v>
      </c>
      <c r="G399">
        <f t="shared" si="12"/>
        <v>11</v>
      </c>
      <c r="H399" t="s">
        <v>394</v>
      </c>
      <c r="I399" t="s">
        <v>395</v>
      </c>
      <c r="J399">
        <v>20411454</v>
      </c>
      <c r="K399" t="s">
        <v>403</v>
      </c>
      <c r="L399" t="s">
        <v>404</v>
      </c>
      <c r="M399" t="s">
        <v>433</v>
      </c>
      <c r="N399" t="s">
        <v>60</v>
      </c>
      <c r="O399">
        <v>1</v>
      </c>
      <c r="P399">
        <v>0.38</v>
      </c>
      <c r="Q399">
        <v>0.02</v>
      </c>
      <c r="R399">
        <v>0.38</v>
      </c>
      <c r="S399" t="s">
        <v>397</v>
      </c>
    </row>
    <row r="400" spans="1:19" x14ac:dyDescent="0.25">
      <c r="A400" t="s">
        <v>199</v>
      </c>
      <c r="B400" t="s">
        <v>30</v>
      </c>
      <c r="C400" t="s">
        <v>200</v>
      </c>
      <c r="D400" s="1">
        <v>44734</v>
      </c>
      <c r="E400" s="1">
        <v>45860</v>
      </c>
      <c r="F400">
        <v>1</v>
      </c>
      <c r="G400">
        <f t="shared" si="12"/>
        <v>1</v>
      </c>
      <c r="H400" t="s">
        <v>394</v>
      </c>
      <c r="I400" t="s">
        <v>395</v>
      </c>
      <c r="J400">
        <v>20411454</v>
      </c>
      <c r="K400" t="s">
        <v>403</v>
      </c>
      <c r="L400" t="s">
        <v>404</v>
      </c>
      <c r="M400" t="s">
        <v>433</v>
      </c>
      <c r="N400" t="s">
        <v>202</v>
      </c>
      <c r="O400">
        <v>1</v>
      </c>
      <c r="P400">
        <v>0.53</v>
      </c>
      <c r="Q400">
        <v>0.01</v>
      </c>
      <c r="R400">
        <v>0.53</v>
      </c>
      <c r="S400" t="s">
        <v>397</v>
      </c>
    </row>
    <row r="401" spans="1:19" x14ac:dyDescent="0.25">
      <c r="A401" t="s">
        <v>96</v>
      </c>
      <c r="B401" t="s">
        <v>20</v>
      </c>
      <c r="C401" t="s">
        <v>97</v>
      </c>
      <c r="D401" s="1">
        <v>45785</v>
      </c>
      <c r="E401" s="1">
        <v>45877</v>
      </c>
      <c r="F401">
        <v>1</v>
      </c>
      <c r="G401">
        <f t="shared" si="12"/>
        <v>4</v>
      </c>
      <c r="H401" t="s">
        <v>394</v>
      </c>
      <c r="I401" t="s">
        <v>395</v>
      </c>
      <c r="J401">
        <v>9079571</v>
      </c>
      <c r="K401" t="s">
        <v>428</v>
      </c>
      <c r="L401" t="s">
        <v>413</v>
      </c>
      <c r="M401" t="str">
        <f t="shared" ref="M401:M432" si="13">CONCATENATE(K401, " ",L401)</f>
        <v xml:space="preserve">ADAM RICHTER   </v>
      </c>
      <c r="N401" t="s">
        <v>50</v>
      </c>
      <c r="O401">
        <v>1</v>
      </c>
      <c r="P401">
        <v>11.4</v>
      </c>
      <c r="Q401">
        <v>0.75</v>
      </c>
      <c r="R401">
        <v>8.5500000000000007</v>
      </c>
      <c r="S401" t="s">
        <v>402</v>
      </c>
    </row>
    <row r="402" spans="1:19" x14ac:dyDescent="0.25">
      <c r="A402" t="s">
        <v>96</v>
      </c>
      <c r="B402" t="s">
        <v>20</v>
      </c>
      <c r="C402" t="s">
        <v>97</v>
      </c>
      <c r="D402" s="1">
        <v>45785</v>
      </c>
      <c r="E402" s="1">
        <v>45877</v>
      </c>
      <c r="F402">
        <v>1</v>
      </c>
      <c r="G402">
        <f t="shared" si="12"/>
        <v>4</v>
      </c>
      <c r="H402" t="s">
        <v>394</v>
      </c>
      <c r="I402" t="s">
        <v>395</v>
      </c>
      <c r="J402">
        <v>9079571</v>
      </c>
      <c r="K402" t="s">
        <v>428</v>
      </c>
      <c r="L402" t="s">
        <v>413</v>
      </c>
      <c r="M402" t="str">
        <f t="shared" si="13"/>
        <v xml:space="preserve">ADAM RICHTER   </v>
      </c>
      <c r="N402" t="s">
        <v>48</v>
      </c>
      <c r="O402">
        <v>1</v>
      </c>
      <c r="P402">
        <v>97.76</v>
      </c>
      <c r="Q402">
        <v>0.75</v>
      </c>
      <c r="R402">
        <v>73.319999999999993</v>
      </c>
      <c r="S402" t="s">
        <v>402</v>
      </c>
    </row>
    <row r="403" spans="1:19" x14ac:dyDescent="0.25">
      <c r="A403" t="s">
        <v>96</v>
      </c>
      <c r="B403" t="s">
        <v>20</v>
      </c>
      <c r="C403" t="s">
        <v>97</v>
      </c>
      <c r="D403" s="1">
        <v>45785</v>
      </c>
      <c r="E403" s="1">
        <v>45877</v>
      </c>
      <c r="F403">
        <v>1</v>
      </c>
      <c r="G403">
        <f t="shared" si="12"/>
        <v>4</v>
      </c>
      <c r="H403" t="s">
        <v>394</v>
      </c>
      <c r="I403" t="s">
        <v>395</v>
      </c>
      <c r="J403">
        <v>9079571</v>
      </c>
      <c r="K403" t="s">
        <v>428</v>
      </c>
      <c r="L403" t="s">
        <v>413</v>
      </c>
      <c r="M403" t="str">
        <f t="shared" si="13"/>
        <v xml:space="preserve">ADAM RICHTER   </v>
      </c>
      <c r="N403" t="s">
        <v>51</v>
      </c>
      <c r="O403">
        <v>1</v>
      </c>
      <c r="P403">
        <v>29.35</v>
      </c>
      <c r="Q403">
        <v>0.75</v>
      </c>
      <c r="R403">
        <v>22.01</v>
      </c>
      <c r="S403" t="s">
        <v>402</v>
      </c>
    </row>
    <row r="404" spans="1:19" x14ac:dyDescent="0.25">
      <c r="A404" t="s">
        <v>96</v>
      </c>
      <c r="B404" t="s">
        <v>20</v>
      </c>
      <c r="C404" t="s">
        <v>97</v>
      </c>
      <c r="D404" s="1">
        <v>45785</v>
      </c>
      <c r="E404" s="1">
        <v>45877</v>
      </c>
      <c r="F404">
        <v>1</v>
      </c>
      <c r="G404">
        <f t="shared" si="12"/>
        <v>4</v>
      </c>
      <c r="H404" t="s">
        <v>394</v>
      </c>
      <c r="I404" t="s">
        <v>395</v>
      </c>
      <c r="J404">
        <v>9079571</v>
      </c>
      <c r="K404" t="s">
        <v>428</v>
      </c>
      <c r="L404" t="s">
        <v>413</v>
      </c>
      <c r="M404" t="str">
        <f t="shared" si="13"/>
        <v xml:space="preserve">ADAM RICHTER   </v>
      </c>
      <c r="N404" t="s">
        <v>49</v>
      </c>
      <c r="O404">
        <v>1</v>
      </c>
      <c r="P404">
        <v>4.83</v>
      </c>
      <c r="Q404">
        <v>0.75</v>
      </c>
      <c r="R404">
        <v>3.62</v>
      </c>
      <c r="S404" t="s">
        <v>402</v>
      </c>
    </row>
    <row r="405" spans="1:19" x14ac:dyDescent="0.25">
      <c r="A405" t="s">
        <v>98</v>
      </c>
      <c r="B405" t="s">
        <v>20</v>
      </c>
      <c r="C405" t="s">
        <v>99</v>
      </c>
      <c r="D405" s="1">
        <v>45785</v>
      </c>
      <c r="E405" s="1">
        <v>45877</v>
      </c>
      <c r="F405">
        <v>1</v>
      </c>
      <c r="G405">
        <f t="shared" si="12"/>
        <v>4</v>
      </c>
      <c r="H405" t="s">
        <v>394</v>
      </c>
      <c r="I405" t="s">
        <v>395</v>
      </c>
      <c r="J405">
        <v>9079571</v>
      </c>
      <c r="K405" t="s">
        <v>428</v>
      </c>
      <c r="L405" t="s">
        <v>413</v>
      </c>
      <c r="M405" t="str">
        <f t="shared" si="13"/>
        <v xml:space="preserve">ADAM RICHTER   </v>
      </c>
      <c r="N405" t="s">
        <v>51</v>
      </c>
      <c r="O405">
        <v>1</v>
      </c>
      <c r="P405">
        <v>22.5</v>
      </c>
      <c r="Q405">
        <v>0.75</v>
      </c>
      <c r="R405">
        <v>16.88</v>
      </c>
      <c r="S405" t="s">
        <v>402</v>
      </c>
    </row>
    <row r="406" spans="1:19" x14ac:dyDescent="0.25">
      <c r="A406" t="s">
        <v>98</v>
      </c>
      <c r="B406" t="s">
        <v>20</v>
      </c>
      <c r="C406" t="s">
        <v>99</v>
      </c>
      <c r="D406" s="1">
        <v>45785</v>
      </c>
      <c r="E406" s="1">
        <v>45877</v>
      </c>
      <c r="F406">
        <v>1</v>
      </c>
      <c r="G406">
        <f t="shared" si="12"/>
        <v>4</v>
      </c>
      <c r="H406" t="s">
        <v>394</v>
      </c>
      <c r="I406" t="s">
        <v>395</v>
      </c>
      <c r="J406">
        <v>9079571</v>
      </c>
      <c r="K406" t="s">
        <v>428</v>
      </c>
      <c r="L406" t="s">
        <v>413</v>
      </c>
      <c r="M406" t="str">
        <f t="shared" si="13"/>
        <v xml:space="preserve">ADAM RICHTER   </v>
      </c>
      <c r="N406" t="s">
        <v>50</v>
      </c>
      <c r="O406">
        <v>1</v>
      </c>
      <c r="P406">
        <v>5.53</v>
      </c>
      <c r="Q406">
        <v>0.75</v>
      </c>
      <c r="R406">
        <v>4.1500000000000004</v>
      </c>
      <c r="S406" t="s">
        <v>402</v>
      </c>
    </row>
    <row r="407" spans="1:19" x14ac:dyDescent="0.25">
      <c r="A407" t="s">
        <v>98</v>
      </c>
      <c r="B407" t="s">
        <v>20</v>
      </c>
      <c r="C407" t="s">
        <v>99</v>
      </c>
      <c r="D407" s="1">
        <v>45785</v>
      </c>
      <c r="E407" s="1">
        <v>45877</v>
      </c>
      <c r="F407">
        <v>1</v>
      </c>
      <c r="G407">
        <f t="shared" si="12"/>
        <v>4</v>
      </c>
      <c r="H407" t="s">
        <v>394</v>
      </c>
      <c r="I407" t="s">
        <v>395</v>
      </c>
      <c r="J407">
        <v>9079571</v>
      </c>
      <c r="K407" t="s">
        <v>428</v>
      </c>
      <c r="L407" t="s">
        <v>413</v>
      </c>
      <c r="M407" t="str">
        <f t="shared" si="13"/>
        <v xml:space="preserve">ADAM RICHTER   </v>
      </c>
      <c r="N407" t="s">
        <v>48</v>
      </c>
      <c r="O407">
        <v>1</v>
      </c>
      <c r="P407">
        <v>59.76</v>
      </c>
      <c r="Q407">
        <v>0.75</v>
      </c>
      <c r="R407">
        <v>44.82</v>
      </c>
      <c r="S407" t="s">
        <v>402</v>
      </c>
    </row>
    <row r="408" spans="1:19" x14ac:dyDescent="0.25">
      <c r="A408" t="s">
        <v>98</v>
      </c>
      <c r="B408" t="s">
        <v>20</v>
      </c>
      <c r="C408" t="s">
        <v>99</v>
      </c>
      <c r="D408" s="1">
        <v>45785</v>
      </c>
      <c r="E408" s="1">
        <v>45877</v>
      </c>
      <c r="F408">
        <v>1</v>
      </c>
      <c r="G408">
        <f t="shared" si="12"/>
        <v>4</v>
      </c>
      <c r="H408" t="s">
        <v>394</v>
      </c>
      <c r="I408" t="s">
        <v>395</v>
      </c>
      <c r="J408">
        <v>9079571</v>
      </c>
      <c r="K408" t="s">
        <v>428</v>
      </c>
      <c r="L408" t="s">
        <v>413</v>
      </c>
      <c r="M408" t="str">
        <f t="shared" si="13"/>
        <v xml:space="preserve">ADAM RICHTER   </v>
      </c>
      <c r="N408" t="s">
        <v>49</v>
      </c>
      <c r="O408">
        <v>1</v>
      </c>
      <c r="P408">
        <v>3.08</v>
      </c>
      <c r="Q408">
        <v>0.75</v>
      </c>
      <c r="R408">
        <v>2.31</v>
      </c>
      <c r="S408" t="s">
        <v>402</v>
      </c>
    </row>
    <row r="409" spans="1:19" x14ac:dyDescent="0.25">
      <c r="A409" t="s">
        <v>94</v>
      </c>
      <c r="B409" t="s">
        <v>20</v>
      </c>
      <c r="C409" t="s">
        <v>95</v>
      </c>
      <c r="D409" s="1">
        <v>45783</v>
      </c>
      <c r="E409" s="1">
        <v>45875</v>
      </c>
      <c r="F409">
        <v>1</v>
      </c>
      <c r="G409">
        <f t="shared" si="12"/>
        <v>4</v>
      </c>
      <c r="H409" t="s">
        <v>394</v>
      </c>
      <c r="I409" t="s">
        <v>395</v>
      </c>
      <c r="J409">
        <v>9079571</v>
      </c>
      <c r="K409" t="s">
        <v>428</v>
      </c>
      <c r="L409" t="s">
        <v>413</v>
      </c>
      <c r="M409" t="str">
        <f t="shared" si="13"/>
        <v xml:space="preserve">ADAM RICHTER   </v>
      </c>
      <c r="N409" t="s">
        <v>49</v>
      </c>
      <c r="O409">
        <v>1</v>
      </c>
      <c r="P409">
        <v>3.08</v>
      </c>
      <c r="Q409">
        <v>0.75</v>
      </c>
      <c r="R409">
        <v>2.31</v>
      </c>
      <c r="S409" t="s">
        <v>402</v>
      </c>
    </row>
    <row r="410" spans="1:19" x14ac:dyDescent="0.25">
      <c r="A410" t="s">
        <v>94</v>
      </c>
      <c r="B410" t="s">
        <v>20</v>
      </c>
      <c r="C410" t="s">
        <v>95</v>
      </c>
      <c r="D410" s="1">
        <v>45783</v>
      </c>
      <c r="E410" s="1">
        <v>45875</v>
      </c>
      <c r="F410">
        <v>1</v>
      </c>
      <c r="G410">
        <f t="shared" si="12"/>
        <v>4</v>
      </c>
      <c r="H410" t="s">
        <v>394</v>
      </c>
      <c r="I410" t="s">
        <v>395</v>
      </c>
      <c r="J410">
        <v>9079571</v>
      </c>
      <c r="K410" t="s">
        <v>428</v>
      </c>
      <c r="L410" t="s">
        <v>413</v>
      </c>
      <c r="M410" t="str">
        <f t="shared" si="13"/>
        <v xml:space="preserve">ADAM RICHTER   </v>
      </c>
      <c r="N410" t="s">
        <v>51</v>
      </c>
      <c r="O410">
        <v>1</v>
      </c>
      <c r="P410">
        <v>24.37</v>
      </c>
      <c r="Q410">
        <v>0.75</v>
      </c>
      <c r="R410">
        <v>18.28</v>
      </c>
      <c r="S410" t="s">
        <v>402</v>
      </c>
    </row>
    <row r="411" spans="1:19" x14ac:dyDescent="0.25">
      <c r="A411" t="s">
        <v>94</v>
      </c>
      <c r="B411" t="s">
        <v>20</v>
      </c>
      <c r="C411" t="s">
        <v>95</v>
      </c>
      <c r="D411" s="1">
        <v>45783</v>
      </c>
      <c r="E411" s="1">
        <v>45875</v>
      </c>
      <c r="F411">
        <v>1</v>
      </c>
      <c r="G411">
        <f t="shared" si="12"/>
        <v>4</v>
      </c>
      <c r="H411" t="s">
        <v>394</v>
      </c>
      <c r="I411" t="s">
        <v>395</v>
      </c>
      <c r="J411">
        <v>9079571</v>
      </c>
      <c r="K411" t="s">
        <v>428</v>
      </c>
      <c r="L411" t="s">
        <v>413</v>
      </c>
      <c r="M411" t="str">
        <f t="shared" si="13"/>
        <v xml:space="preserve">ADAM RICHTER   </v>
      </c>
      <c r="N411" t="s">
        <v>48</v>
      </c>
      <c r="O411">
        <v>1</v>
      </c>
      <c r="P411">
        <v>70.84</v>
      </c>
      <c r="Q411">
        <v>0.75</v>
      </c>
      <c r="R411">
        <v>53.13</v>
      </c>
      <c r="S411" t="s">
        <v>402</v>
      </c>
    </row>
    <row r="412" spans="1:19" x14ac:dyDescent="0.25">
      <c r="A412" t="s">
        <v>94</v>
      </c>
      <c r="B412" t="s">
        <v>20</v>
      </c>
      <c r="C412" t="s">
        <v>95</v>
      </c>
      <c r="D412" s="1">
        <v>45783</v>
      </c>
      <c r="E412" s="1">
        <v>45875</v>
      </c>
      <c r="F412">
        <v>1</v>
      </c>
      <c r="G412">
        <f t="shared" si="12"/>
        <v>4</v>
      </c>
      <c r="H412" t="s">
        <v>394</v>
      </c>
      <c r="I412" t="s">
        <v>395</v>
      </c>
      <c r="J412">
        <v>9079571</v>
      </c>
      <c r="K412" t="s">
        <v>428</v>
      </c>
      <c r="L412" t="s">
        <v>413</v>
      </c>
      <c r="M412" t="str">
        <f t="shared" si="13"/>
        <v xml:space="preserve">ADAM RICHTER   </v>
      </c>
      <c r="N412" t="s">
        <v>50</v>
      </c>
      <c r="O412">
        <v>1</v>
      </c>
      <c r="P412">
        <v>5.94</v>
      </c>
      <c r="Q412">
        <v>0.75</v>
      </c>
      <c r="R412">
        <v>4.46</v>
      </c>
      <c r="S412" t="s">
        <v>402</v>
      </c>
    </row>
    <row r="413" spans="1:19" x14ac:dyDescent="0.25">
      <c r="A413" t="s">
        <v>90</v>
      </c>
      <c r="B413" t="s">
        <v>20</v>
      </c>
      <c r="C413" t="s">
        <v>91</v>
      </c>
      <c r="D413" s="1">
        <v>45778</v>
      </c>
      <c r="E413" s="1">
        <v>45870</v>
      </c>
      <c r="F413">
        <v>1</v>
      </c>
      <c r="G413">
        <f t="shared" si="12"/>
        <v>4</v>
      </c>
      <c r="H413" t="s">
        <v>394</v>
      </c>
      <c r="I413" t="s">
        <v>395</v>
      </c>
      <c r="J413">
        <v>9079571</v>
      </c>
      <c r="K413" t="s">
        <v>428</v>
      </c>
      <c r="L413" t="s">
        <v>413</v>
      </c>
      <c r="M413" t="str">
        <f t="shared" si="13"/>
        <v xml:space="preserve">ADAM RICHTER   </v>
      </c>
      <c r="N413" t="s">
        <v>50</v>
      </c>
      <c r="O413">
        <v>1</v>
      </c>
      <c r="P413">
        <v>5.53</v>
      </c>
      <c r="Q413">
        <v>0.75</v>
      </c>
      <c r="R413">
        <v>4.1500000000000004</v>
      </c>
      <c r="S413" t="s">
        <v>402</v>
      </c>
    </row>
    <row r="414" spans="1:19" x14ac:dyDescent="0.25">
      <c r="A414" t="s">
        <v>90</v>
      </c>
      <c r="B414" t="s">
        <v>20</v>
      </c>
      <c r="C414" t="s">
        <v>91</v>
      </c>
      <c r="D414" s="1">
        <v>45778</v>
      </c>
      <c r="E414" s="1">
        <v>45870</v>
      </c>
      <c r="F414">
        <v>1</v>
      </c>
      <c r="G414">
        <f t="shared" si="12"/>
        <v>4</v>
      </c>
      <c r="H414" t="s">
        <v>394</v>
      </c>
      <c r="I414" t="s">
        <v>395</v>
      </c>
      <c r="J414">
        <v>9079571</v>
      </c>
      <c r="K414" t="s">
        <v>428</v>
      </c>
      <c r="L414" t="s">
        <v>413</v>
      </c>
      <c r="M414" t="str">
        <f t="shared" si="13"/>
        <v xml:space="preserve">ADAM RICHTER   </v>
      </c>
      <c r="N414" t="s">
        <v>49</v>
      </c>
      <c r="O414">
        <v>1</v>
      </c>
      <c r="P414">
        <v>3.08</v>
      </c>
      <c r="Q414">
        <v>0.75</v>
      </c>
      <c r="R414">
        <v>2.31</v>
      </c>
      <c r="S414" t="s">
        <v>402</v>
      </c>
    </row>
    <row r="415" spans="1:19" x14ac:dyDescent="0.25">
      <c r="A415" t="s">
        <v>90</v>
      </c>
      <c r="B415" t="s">
        <v>20</v>
      </c>
      <c r="C415" t="s">
        <v>91</v>
      </c>
      <c r="D415" s="1">
        <v>45778</v>
      </c>
      <c r="E415" s="1">
        <v>45870</v>
      </c>
      <c r="F415">
        <v>1</v>
      </c>
      <c r="G415">
        <f t="shared" si="12"/>
        <v>4</v>
      </c>
      <c r="H415" t="s">
        <v>394</v>
      </c>
      <c r="I415" t="s">
        <v>395</v>
      </c>
      <c r="J415">
        <v>9079571</v>
      </c>
      <c r="K415" t="s">
        <v>428</v>
      </c>
      <c r="L415" t="s">
        <v>413</v>
      </c>
      <c r="M415" t="str">
        <f t="shared" si="13"/>
        <v xml:space="preserve">ADAM RICHTER   </v>
      </c>
      <c r="N415" t="s">
        <v>48</v>
      </c>
      <c r="O415">
        <v>1</v>
      </c>
      <c r="P415">
        <v>38.840000000000003</v>
      </c>
      <c r="Q415">
        <v>0.75</v>
      </c>
      <c r="R415">
        <v>29.13</v>
      </c>
      <c r="S415" t="s">
        <v>402</v>
      </c>
    </row>
    <row r="416" spans="1:19" x14ac:dyDescent="0.25">
      <c r="A416" t="s">
        <v>90</v>
      </c>
      <c r="B416" t="s">
        <v>20</v>
      </c>
      <c r="C416" t="s">
        <v>91</v>
      </c>
      <c r="D416" s="1">
        <v>45778</v>
      </c>
      <c r="E416" s="1">
        <v>45870</v>
      </c>
      <c r="F416">
        <v>1</v>
      </c>
      <c r="G416">
        <f t="shared" si="12"/>
        <v>4</v>
      </c>
      <c r="H416" t="s">
        <v>394</v>
      </c>
      <c r="I416" t="s">
        <v>395</v>
      </c>
      <c r="J416">
        <v>9079571</v>
      </c>
      <c r="K416" t="s">
        <v>428</v>
      </c>
      <c r="L416" t="s">
        <v>413</v>
      </c>
      <c r="M416" t="str">
        <f t="shared" si="13"/>
        <v xml:space="preserve">ADAM RICHTER   </v>
      </c>
      <c r="N416" t="s">
        <v>51</v>
      </c>
      <c r="O416">
        <v>1</v>
      </c>
      <c r="P416">
        <v>15</v>
      </c>
      <c r="Q416">
        <v>0.75</v>
      </c>
      <c r="R416">
        <v>11.25</v>
      </c>
      <c r="S416" t="s">
        <v>402</v>
      </c>
    </row>
    <row r="417" spans="1:19" x14ac:dyDescent="0.25">
      <c r="A417" t="s">
        <v>86</v>
      </c>
      <c r="B417" t="s">
        <v>20</v>
      </c>
      <c r="C417" t="s">
        <v>87</v>
      </c>
      <c r="D417" s="1">
        <v>45689</v>
      </c>
      <c r="E417" s="1">
        <v>45870</v>
      </c>
      <c r="F417">
        <v>1</v>
      </c>
      <c r="G417">
        <f t="shared" si="12"/>
        <v>6</v>
      </c>
      <c r="H417" t="s">
        <v>394</v>
      </c>
      <c r="I417" t="s">
        <v>395</v>
      </c>
      <c r="J417">
        <v>9079571</v>
      </c>
      <c r="K417" t="s">
        <v>428</v>
      </c>
      <c r="L417" t="s">
        <v>413</v>
      </c>
      <c r="M417" t="str">
        <f t="shared" si="13"/>
        <v xml:space="preserve">ADAM RICHTER   </v>
      </c>
      <c r="N417" t="s">
        <v>50</v>
      </c>
      <c r="O417">
        <v>1</v>
      </c>
      <c r="P417">
        <v>8.6199999999999992</v>
      </c>
      <c r="Q417">
        <v>0.75</v>
      </c>
      <c r="R417">
        <v>6.47</v>
      </c>
      <c r="S417" t="s">
        <v>402</v>
      </c>
    </row>
    <row r="418" spans="1:19" x14ac:dyDescent="0.25">
      <c r="A418" t="s">
        <v>86</v>
      </c>
      <c r="B418" t="s">
        <v>20</v>
      </c>
      <c r="C418" t="s">
        <v>87</v>
      </c>
      <c r="D418" s="1">
        <v>45689</v>
      </c>
      <c r="E418" s="1">
        <v>45870</v>
      </c>
      <c r="F418">
        <v>1</v>
      </c>
      <c r="G418">
        <f t="shared" si="12"/>
        <v>6</v>
      </c>
      <c r="H418" t="s">
        <v>394</v>
      </c>
      <c r="I418" t="s">
        <v>395</v>
      </c>
      <c r="J418">
        <v>9079571</v>
      </c>
      <c r="K418" t="s">
        <v>428</v>
      </c>
      <c r="L418" t="s">
        <v>413</v>
      </c>
      <c r="M418" t="str">
        <f t="shared" si="13"/>
        <v xml:space="preserve">ADAM RICHTER   </v>
      </c>
      <c r="N418" t="s">
        <v>48</v>
      </c>
      <c r="O418">
        <v>1</v>
      </c>
      <c r="P418">
        <v>70.84</v>
      </c>
      <c r="Q418">
        <v>0.75</v>
      </c>
      <c r="R418">
        <v>53.13</v>
      </c>
      <c r="S418" t="s">
        <v>402</v>
      </c>
    </row>
    <row r="419" spans="1:19" x14ac:dyDescent="0.25">
      <c r="A419" t="s">
        <v>86</v>
      </c>
      <c r="B419" t="s">
        <v>20</v>
      </c>
      <c r="C419" t="s">
        <v>87</v>
      </c>
      <c r="D419" s="1">
        <v>45689</v>
      </c>
      <c r="E419" s="1">
        <v>45870</v>
      </c>
      <c r="F419">
        <v>1</v>
      </c>
      <c r="G419">
        <f t="shared" si="12"/>
        <v>6</v>
      </c>
      <c r="H419" t="s">
        <v>394</v>
      </c>
      <c r="I419" t="s">
        <v>395</v>
      </c>
      <c r="J419">
        <v>9079571</v>
      </c>
      <c r="K419" t="s">
        <v>428</v>
      </c>
      <c r="L419" t="s">
        <v>413</v>
      </c>
      <c r="M419" t="str">
        <f t="shared" si="13"/>
        <v xml:space="preserve">ADAM RICHTER   </v>
      </c>
      <c r="N419" t="s">
        <v>51</v>
      </c>
      <c r="O419">
        <v>1</v>
      </c>
      <c r="P419">
        <v>16.899999999999999</v>
      </c>
      <c r="Q419">
        <v>0.75</v>
      </c>
      <c r="R419">
        <v>12.68</v>
      </c>
      <c r="S419" t="s">
        <v>402</v>
      </c>
    </row>
    <row r="420" spans="1:19" x14ac:dyDescent="0.25">
      <c r="A420" t="s">
        <v>86</v>
      </c>
      <c r="B420" t="s">
        <v>20</v>
      </c>
      <c r="C420" t="s">
        <v>87</v>
      </c>
      <c r="D420" s="1">
        <v>45689</v>
      </c>
      <c r="E420" s="1">
        <v>45870</v>
      </c>
      <c r="F420">
        <v>1</v>
      </c>
      <c r="G420">
        <f t="shared" si="12"/>
        <v>6</v>
      </c>
      <c r="H420" t="s">
        <v>394</v>
      </c>
      <c r="I420" t="s">
        <v>395</v>
      </c>
      <c r="J420">
        <v>9079571</v>
      </c>
      <c r="K420" t="s">
        <v>428</v>
      </c>
      <c r="L420" t="s">
        <v>413</v>
      </c>
      <c r="M420" t="str">
        <f t="shared" si="13"/>
        <v xml:space="preserve">ADAM RICHTER   </v>
      </c>
      <c r="N420" t="s">
        <v>49</v>
      </c>
      <c r="O420">
        <v>1</v>
      </c>
      <c r="P420">
        <v>4.83</v>
      </c>
      <c r="Q420">
        <v>0.75</v>
      </c>
      <c r="R420">
        <v>3.62</v>
      </c>
      <c r="S420" t="s">
        <v>402</v>
      </c>
    </row>
    <row r="421" spans="1:19" x14ac:dyDescent="0.25">
      <c r="A421" t="s">
        <v>88</v>
      </c>
      <c r="B421" t="s">
        <v>20</v>
      </c>
      <c r="C421" t="s">
        <v>89</v>
      </c>
      <c r="D421" s="1">
        <v>45689</v>
      </c>
      <c r="E421" s="1">
        <v>45870</v>
      </c>
      <c r="F421">
        <v>1</v>
      </c>
      <c r="G421">
        <f t="shared" si="12"/>
        <v>6</v>
      </c>
      <c r="H421" t="s">
        <v>394</v>
      </c>
      <c r="I421" t="s">
        <v>395</v>
      </c>
      <c r="J421">
        <v>9079571</v>
      </c>
      <c r="K421" t="s">
        <v>428</v>
      </c>
      <c r="L421" t="s">
        <v>413</v>
      </c>
      <c r="M421" t="str">
        <f t="shared" si="13"/>
        <v xml:space="preserve">ADAM RICHTER   </v>
      </c>
      <c r="N421" t="s">
        <v>51</v>
      </c>
      <c r="O421">
        <v>1</v>
      </c>
      <c r="P421">
        <v>24.37</v>
      </c>
      <c r="Q421">
        <v>0.75</v>
      </c>
      <c r="R421">
        <v>18.28</v>
      </c>
      <c r="S421" t="s">
        <v>402</v>
      </c>
    </row>
    <row r="422" spans="1:19" x14ac:dyDescent="0.25">
      <c r="A422" t="s">
        <v>88</v>
      </c>
      <c r="B422" t="s">
        <v>20</v>
      </c>
      <c r="C422" t="s">
        <v>89</v>
      </c>
      <c r="D422" s="1">
        <v>45689</v>
      </c>
      <c r="E422" s="1">
        <v>45870</v>
      </c>
      <c r="F422">
        <v>1</v>
      </c>
      <c r="G422">
        <f t="shared" si="12"/>
        <v>6</v>
      </c>
      <c r="H422" t="s">
        <v>394</v>
      </c>
      <c r="I422" t="s">
        <v>395</v>
      </c>
      <c r="J422">
        <v>9079571</v>
      </c>
      <c r="K422" t="s">
        <v>428</v>
      </c>
      <c r="L422" t="s">
        <v>413</v>
      </c>
      <c r="M422" t="str">
        <f t="shared" si="13"/>
        <v xml:space="preserve">ADAM RICHTER   </v>
      </c>
      <c r="N422" t="s">
        <v>48</v>
      </c>
      <c r="O422">
        <v>1</v>
      </c>
      <c r="P422">
        <v>70.84</v>
      </c>
      <c r="Q422">
        <v>0.75</v>
      </c>
      <c r="R422">
        <v>53.13</v>
      </c>
      <c r="S422" t="s">
        <v>402</v>
      </c>
    </row>
    <row r="423" spans="1:19" x14ac:dyDescent="0.25">
      <c r="A423" t="s">
        <v>88</v>
      </c>
      <c r="B423" t="s">
        <v>20</v>
      </c>
      <c r="C423" t="s">
        <v>89</v>
      </c>
      <c r="D423" s="1">
        <v>45689</v>
      </c>
      <c r="E423" s="1">
        <v>45870</v>
      </c>
      <c r="F423">
        <v>1</v>
      </c>
      <c r="G423">
        <f t="shared" si="12"/>
        <v>6</v>
      </c>
      <c r="H423" t="s">
        <v>394</v>
      </c>
      <c r="I423" t="s">
        <v>395</v>
      </c>
      <c r="J423">
        <v>9079571</v>
      </c>
      <c r="K423" t="s">
        <v>428</v>
      </c>
      <c r="L423" t="s">
        <v>413</v>
      </c>
      <c r="M423" t="str">
        <f t="shared" si="13"/>
        <v xml:space="preserve">ADAM RICHTER   </v>
      </c>
      <c r="N423" t="s">
        <v>49</v>
      </c>
      <c r="O423">
        <v>1</v>
      </c>
      <c r="P423">
        <v>3.08</v>
      </c>
      <c r="Q423">
        <v>0.75</v>
      </c>
      <c r="R423">
        <v>2.31</v>
      </c>
      <c r="S423" t="s">
        <v>402</v>
      </c>
    </row>
    <row r="424" spans="1:19" x14ac:dyDescent="0.25">
      <c r="A424" t="s">
        <v>88</v>
      </c>
      <c r="B424" t="s">
        <v>20</v>
      </c>
      <c r="C424" t="s">
        <v>89</v>
      </c>
      <c r="D424" s="1">
        <v>45689</v>
      </c>
      <c r="E424" s="1">
        <v>45870</v>
      </c>
      <c r="F424">
        <v>1</v>
      </c>
      <c r="G424">
        <f t="shared" si="12"/>
        <v>6</v>
      </c>
      <c r="H424" t="s">
        <v>394</v>
      </c>
      <c r="I424" t="s">
        <v>395</v>
      </c>
      <c r="J424">
        <v>9079571</v>
      </c>
      <c r="K424" t="s">
        <v>428</v>
      </c>
      <c r="L424" t="s">
        <v>413</v>
      </c>
      <c r="M424" t="str">
        <f t="shared" si="13"/>
        <v xml:space="preserve">ADAM RICHTER   </v>
      </c>
      <c r="N424" t="s">
        <v>50</v>
      </c>
      <c r="O424">
        <v>1</v>
      </c>
      <c r="P424">
        <v>5.94</v>
      </c>
      <c r="Q424">
        <v>0.75</v>
      </c>
      <c r="R424">
        <v>4.46</v>
      </c>
      <c r="S424" t="s">
        <v>402</v>
      </c>
    </row>
    <row r="425" spans="1:19" x14ac:dyDescent="0.25">
      <c r="A425" t="s">
        <v>84</v>
      </c>
      <c r="B425" t="s">
        <v>20</v>
      </c>
      <c r="C425" t="s">
        <v>85</v>
      </c>
      <c r="D425" s="1">
        <v>45666</v>
      </c>
      <c r="E425" s="1">
        <v>45878</v>
      </c>
      <c r="F425">
        <v>1</v>
      </c>
      <c r="G425">
        <f t="shared" si="12"/>
        <v>7</v>
      </c>
      <c r="H425" t="s">
        <v>394</v>
      </c>
      <c r="I425" t="s">
        <v>395</v>
      </c>
      <c r="J425">
        <v>9079571</v>
      </c>
      <c r="K425" t="s">
        <v>428</v>
      </c>
      <c r="L425" t="s">
        <v>413</v>
      </c>
      <c r="M425" t="str">
        <f t="shared" si="13"/>
        <v xml:space="preserve">ADAM RICHTER   </v>
      </c>
      <c r="N425" t="s">
        <v>48</v>
      </c>
      <c r="O425">
        <v>1</v>
      </c>
      <c r="P425">
        <v>45.74</v>
      </c>
      <c r="Q425">
        <v>0.75</v>
      </c>
      <c r="R425">
        <v>34.31</v>
      </c>
      <c r="S425" t="s">
        <v>402</v>
      </c>
    </row>
    <row r="426" spans="1:19" x14ac:dyDescent="0.25">
      <c r="A426" t="s">
        <v>84</v>
      </c>
      <c r="B426" t="s">
        <v>20</v>
      </c>
      <c r="C426" t="s">
        <v>85</v>
      </c>
      <c r="D426" s="1">
        <v>45666</v>
      </c>
      <c r="E426" s="1">
        <v>45878</v>
      </c>
      <c r="F426">
        <v>1</v>
      </c>
      <c r="G426">
        <f t="shared" si="12"/>
        <v>7</v>
      </c>
      <c r="H426" t="s">
        <v>394</v>
      </c>
      <c r="I426" t="s">
        <v>395</v>
      </c>
      <c r="J426">
        <v>9079571</v>
      </c>
      <c r="K426" t="s">
        <v>428</v>
      </c>
      <c r="L426" t="s">
        <v>413</v>
      </c>
      <c r="M426" t="str">
        <f t="shared" si="13"/>
        <v xml:space="preserve">ADAM RICHTER   </v>
      </c>
      <c r="N426" t="s">
        <v>49</v>
      </c>
      <c r="O426">
        <v>1</v>
      </c>
      <c r="P426">
        <v>3.08</v>
      </c>
      <c r="Q426">
        <v>0.75</v>
      </c>
      <c r="R426">
        <v>2.31</v>
      </c>
      <c r="S426" t="s">
        <v>402</v>
      </c>
    </row>
    <row r="427" spans="1:19" x14ac:dyDescent="0.25">
      <c r="A427" t="s">
        <v>84</v>
      </c>
      <c r="B427" t="s">
        <v>20</v>
      </c>
      <c r="C427" t="s">
        <v>85</v>
      </c>
      <c r="D427" s="1">
        <v>45666</v>
      </c>
      <c r="E427" s="1">
        <v>45878</v>
      </c>
      <c r="F427">
        <v>1</v>
      </c>
      <c r="G427">
        <f t="shared" si="12"/>
        <v>7</v>
      </c>
      <c r="H427" t="s">
        <v>394</v>
      </c>
      <c r="I427" t="s">
        <v>395</v>
      </c>
      <c r="J427">
        <v>9079571</v>
      </c>
      <c r="K427" t="s">
        <v>428</v>
      </c>
      <c r="L427" t="s">
        <v>413</v>
      </c>
      <c r="M427" t="str">
        <f t="shared" si="13"/>
        <v xml:space="preserve">ADAM RICHTER   </v>
      </c>
      <c r="N427" t="s">
        <v>50</v>
      </c>
      <c r="O427">
        <v>1</v>
      </c>
      <c r="P427">
        <v>7.42</v>
      </c>
      <c r="Q427">
        <v>0.75</v>
      </c>
      <c r="R427">
        <v>5.57</v>
      </c>
      <c r="S427" t="s">
        <v>402</v>
      </c>
    </row>
    <row r="428" spans="1:19" x14ac:dyDescent="0.25">
      <c r="A428" t="s">
        <v>84</v>
      </c>
      <c r="B428" t="s">
        <v>20</v>
      </c>
      <c r="C428" t="s">
        <v>85</v>
      </c>
      <c r="D428" s="1">
        <v>45666</v>
      </c>
      <c r="E428" s="1">
        <v>45878</v>
      </c>
      <c r="F428">
        <v>1</v>
      </c>
      <c r="G428">
        <f t="shared" si="12"/>
        <v>7</v>
      </c>
      <c r="H428" t="s">
        <v>394</v>
      </c>
      <c r="I428" t="s">
        <v>395</v>
      </c>
      <c r="J428">
        <v>9079571</v>
      </c>
      <c r="K428" t="s">
        <v>428</v>
      </c>
      <c r="L428" t="s">
        <v>413</v>
      </c>
      <c r="M428" t="str">
        <f t="shared" si="13"/>
        <v xml:space="preserve">ADAM RICHTER   </v>
      </c>
      <c r="N428" t="s">
        <v>51</v>
      </c>
      <c r="O428">
        <v>1</v>
      </c>
      <c r="P428">
        <v>16.25</v>
      </c>
      <c r="Q428">
        <v>0.75</v>
      </c>
      <c r="R428">
        <v>12.19</v>
      </c>
      <c r="S428" t="s">
        <v>402</v>
      </c>
    </row>
    <row r="429" spans="1:19" x14ac:dyDescent="0.25">
      <c r="A429" t="s">
        <v>80</v>
      </c>
      <c r="B429" t="s">
        <v>20</v>
      </c>
      <c r="C429" t="s">
        <v>81</v>
      </c>
      <c r="D429" s="1">
        <v>45658</v>
      </c>
      <c r="E429" s="1">
        <v>45870</v>
      </c>
      <c r="F429">
        <v>1</v>
      </c>
      <c r="G429">
        <f t="shared" si="12"/>
        <v>7</v>
      </c>
      <c r="H429" t="s">
        <v>394</v>
      </c>
      <c r="I429" t="s">
        <v>395</v>
      </c>
      <c r="J429">
        <v>9079571</v>
      </c>
      <c r="K429" t="s">
        <v>428</v>
      </c>
      <c r="L429" t="s">
        <v>413</v>
      </c>
      <c r="M429" t="str">
        <f t="shared" si="13"/>
        <v xml:space="preserve">ADAM RICHTER   </v>
      </c>
      <c r="N429" t="s">
        <v>48</v>
      </c>
      <c r="O429">
        <v>1</v>
      </c>
      <c r="P429">
        <v>70.84</v>
      </c>
      <c r="Q429">
        <v>0.75</v>
      </c>
      <c r="R429">
        <v>53.13</v>
      </c>
      <c r="S429" t="s">
        <v>402</v>
      </c>
    </row>
    <row r="430" spans="1:19" x14ac:dyDescent="0.25">
      <c r="A430" t="s">
        <v>80</v>
      </c>
      <c r="B430" t="s">
        <v>20</v>
      </c>
      <c r="C430" t="s">
        <v>81</v>
      </c>
      <c r="D430" s="1">
        <v>45658</v>
      </c>
      <c r="E430" s="1">
        <v>45870</v>
      </c>
      <c r="F430">
        <v>1</v>
      </c>
      <c r="G430">
        <f t="shared" si="12"/>
        <v>7</v>
      </c>
      <c r="H430" t="s">
        <v>394</v>
      </c>
      <c r="I430" t="s">
        <v>395</v>
      </c>
      <c r="J430">
        <v>9079571</v>
      </c>
      <c r="K430" t="s">
        <v>428</v>
      </c>
      <c r="L430" t="s">
        <v>413</v>
      </c>
      <c r="M430" t="str">
        <f t="shared" si="13"/>
        <v xml:space="preserve">ADAM RICHTER   </v>
      </c>
      <c r="N430" t="s">
        <v>49</v>
      </c>
      <c r="O430">
        <v>1</v>
      </c>
      <c r="P430">
        <v>3.08</v>
      </c>
      <c r="Q430">
        <v>0.75</v>
      </c>
      <c r="R430">
        <v>2.31</v>
      </c>
      <c r="S430" t="s">
        <v>402</v>
      </c>
    </row>
    <row r="431" spans="1:19" x14ac:dyDescent="0.25">
      <c r="A431" t="s">
        <v>80</v>
      </c>
      <c r="B431" t="s">
        <v>20</v>
      </c>
      <c r="C431" t="s">
        <v>81</v>
      </c>
      <c r="D431" s="1">
        <v>45658</v>
      </c>
      <c r="E431" s="1">
        <v>45870</v>
      </c>
      <c r="F431">
        <v>1</v>
      </c>
      <c r="G431">
        <f t="shared" si="12"/>
        <v>7</v>
      </c>
      <c r="H431" t="s">
        <v>394</v>
      </c>
      <c r="I431" t="s">
        <v>395</v>
      </c>
      <c r="J431">
        <v>9079571</v>
      </c>
      <c r="K431" t="s">
        <v>428</v>
      </c>
      <c r="L431" t="s">
        <v>413</v>
      </c>
      <c r="M431" t="str">
        <f t="shared" si="13"/>
        <v xml:space="preserve">ADAM RICHTER   </v>
      </c>
      <c r="N431" t="s">
        <v>51</v>
      </c>
      <c r="O431">
        <v>1</v>
      </c>
      <c r="P431">
        <v>24.37</v>
      </c>
      <c r="Q431">
        <v>0.75</v>
      </c>
      <c r="R431">
        <v>18.28</v>
      </c>
      <c r="S431" t="s">
        <v>402</v>
      </c>
    </row>
    <row r="432" spans="1:19" x14ac:dyDescent="0.25">
      <c r="A432" t="s">
        <v>80</v>
      </c>
      <c r="B432" t="s">
        <v>20</v>
      </c>
      <c r="C432" t="s">
        <v>81</v>
      </c>
      <c r="D432" s="1">
        <v>45658</v>
      </c>
      <c r="E432" s="1">
        <v>45870</v>
      </c>
      <c r="F432">
        <v>1</v>
      </c>
      <c r="G432">
        <f t="shared" si="12"/>
        <v>7</v>
      </c>
      <c r="H432" t="s">
        <v>394</v>
      </c>
      <c r="I432" t="s">
        <v>395</v>
      </c>
      <c r="J432">
        <v>9079571</v>
      </c>
      <c r="K432" t="s">
        <v>428</v>
      </c>
      <c r="L432" t="s">
        <v>413</v>
      </c>
      <c r="M432" t="str">
        <f t="shared" si="13"/>
        <v xml:space="preserve">ADAM RICHTER   </v>
      </c>
      <c r="N432" t="s">
        <v>50</v>
      </c>
      <c r="O432">
        <v>1</v>
      </c>
      <c r="P432">
        <v>5.94</v>
      </c>
      <c r="Q432">
        <v>0.75</v>
      </c>
      <c r="R432">
        <v>4.46</v>
      </c>
      <c r="S432" t="s">
        <v>402</v>
      </c>
    </row>
    <row r="433" spans="1:19" x14ac:dyDescent="0.25">
      <c r="A433" t="s">
        <v>82</v>
      </c>
      <c r="B433" t="s">
        <v>20</v>
      </c>
      <c r="C433" t="s">
        <v>83</v>
      </c>
      <c r="D433" s="1">
        <v>45658</v>
      </c>
      <c r="E433" s="1">
        <v>45870</v>
      </c>
      <c r="F433">
        <v>1</v>
      </c>
      <c r="G433">
        <f t="shared" si="12"/>
        <v>7</v>
      </c>
      <c r="H433" t="s">
        <v>394</v>
      </c>
      <c r="I433" t="s">
        <v>395</v>
      </c>
      <c r="J433">
        <v>9079571</v>
      </c>
      <c r="K433" t="s">
        <v>428</v>
      </c>
      <c r="L433" t="s">
        <v>413</v>
      </c>
      <c r="M433" t="str">
        <f t="shared" ref="M433:M464" si="14">CONCATENATE(K433, " ",L433)</f>
        <v xml:space="preserve">ADAM RICHTER   </v>
      </c>
      <c r="N433" t="s">
        <v>50</v>
      </c>
      <c r="O433">
        <v>1</v>
      </c>
      <c r="P433">
        <v>5.53</v>
      </c>
      <c r="Q433">
        <v>0.75</v>
      </c>
      <c r="R433">
        <v>4.1500000000000004</v>
      </c>
      <c r="S433" t="s">
        <v>402</v>
      </c>
    </row>
    <row r="434" spans="1:19" x14ac:dyDescent="0.25">
      <c r="A434" t="s">
        <v>82</v>
      </c>
      <c r="B434" t="s">
        <v>20</v>
      </c>
      <c r="C434" t="s">
        <v>83</v>
      </c>
      <c r="D434" s="1">
        <v>45658</v>
      </c>
      <c r="E434" s="1">
        <v>45870</v>
      </c>
      <c r="F434">
        <v>1</v>
      </c>
      <c r="G434">
        <f t="shared" si="12"/>
        <v>7</v>
      </c>
      <c r="H434" t="s">
        <v>394</v>
      </c>
      <c r="I434" t="s">
        <v>395</v>
      </c>
      <c r="J434">
        <v>9079571</v>
      </c>
      <c r="K434" t="s">
        <v>428</v>
      </c>
      <c r="L434" t="s">
        <v>413</v>
      </c>
      <c r="M434" t="str">
        <f t="shared" si="14"/>
        <v xml:space="preserve">ADAM RICHTER   </v>
      </c>
      <c r="N434" t="s">
        <v>51</v>
      </c>
      <c r="O434">
        <v>1</v>
      </c>
      <c r="P434">
        <v>22.5</v>
      </c>
      <c r="Q434">
        <v>0.75</v>
      </c>
      <c r="R434">
        <v>16.88</v>
      </c>
      <c r="S434" t="s">
        <v>402</v>
      </c>
    </row>
    <row r="435" spans="1:19" x14ac:dyDescent="0.25">
      <c r="A435" t="s">
        <v>82</v>
      </c>
      <c r="B435" t="s">
        <v>20</v>
      </c>
      <c r="C435" t="s">
        <v>83</v>
      </c>
      <c r="D435" s="1">
        <v>45658</v>
      </c>
      <c r="E435" s="1">
        <v>45870</v>
      </c>
      <c r="F435">
        <v>1</v>
      </c>
      <c r="G435">
        <f t="shared" si="12"/>
        <v>7</v>
      </c>
      <c r="H435" t="s">
        <v>394</v>
      </c>
      <c r="I435" t="s">
        <v>395</v>
      </c>
      <c r="J435">
        <v>9079571</v>
      </c>
      <c r="K435" t="s">
        <v>428</v>
      </c>
      <c r="L435" t="s">
        <v>413</v>
      </c>
      <c r="M435" t="str">
        <f t="shared" si="14"/>
        <v xml:space="preserve">ADAM RICHTER   </v>
      </c>
      <c r="N435" t="s">
        <v>49</v>
      </c>
      <c r="O435">
        <v>1</v>
      </c>
      <c r="P435">
        <v>3.08</v>
      </c>
      <c r="Q435">
        <v>0.75</v>
      </c>
      <c r="R435">
        <v>2.31</v>
      </c>
      <c r="S435" t="s">
        <v>402</v>
      </c>
    </row>
    <row r="436" spans="1:19" x14ac:dyDescent="0.25">
      <c r="A436" t="s">
        <v>82</v>
      </c>
      <c r="B436" t="s">
        <v>20</v>
      </c>
      <c r="C436" t="s">
        <v>83</v>
      </c>
      <c r="D436" s="1">
        <v>45658</v>
      </c>
      <c r="E436" s="1">
        <v>45870</v>
      </c>
      <c r="F436">
        <v>1</v>
      </c>
      <c r="G436">
        <f t="shared" si="12"/>
        <v>7</v>
      </c>
      <c r="H436" t="s">
        <v>394</v>
      </c>
      <c r="I436" t="s">
        <v>395</v>
      </c>
      <c r="J436">
        <v>9079571</v>
      </c>
      <c r="K436" t="s">
        <v>428</v>
      </c>
      <c r="L436" t="s">
        <v>413</v>
      </c>
      <c r="M436" t="str">
        <f t="shared" si="14"/>
        <v xml:space="preserve">ADAM RICHTER   </v>
      </c>
      <c r="N436" t="s">
        <v>48</v>
      </c>
      <c r="O436">
        <v>1</v>
      </c>
      <c r="P436">
        <v>59.76</v>
      </c>
      <c r="Q436">
        <v>0.75</v>
      </c>
      <c r="R436">
        <v>44.82</v>
      </c>
      <c r="S436" t="s">
        <v>402</v>
      </c>
    </row>
    <row r="437" spans="1:19" x14ac:dyDescent="0.25">
      <c r="A437" t="s">
        <v>70</v>
      </c>
      <c r="B437" t="s">
        <v>20</v>
      </c>
      <c r="C437" t="s">
        <v>71</v>
      </c>
      <c r="D437" s="1">
        <v>45627</v>
      </c>
      <c r="E437" s="1">
        <v>45870</v>
      </c>
      <c r="F437">
        <v>1</v>
      </c>
      <c r="G437">
        <f t="shared" si="12"/>
        <v>8</v>
      </c>
      <c r="H437" t="s">
        <v>394</v>
      </c>
      <c r="I437" t="s">
        <v>395</v>
      </c>
      <c r="J437">
        <v>9079571</v>
      </c>
      <c r="K437" t="s">
        <v>428</v>
      </c>
      <c r="L437" t="s">
        <v>413</v>
      </c>
      <c r="M437" t="str">
        <f t="shared" si="14"/>
        <v xml:space="preserve">ADAM RICHTER   </v>
      </c>
      <c r="N437" t="s">
        <v>50</v>
      </c>
      <c r="O437">
        <v>1</v>
      </c>
      <c r="P437">
        <v>10.66</v>
      </c>
      <c r="Q437">
        <v>0.75</v>
      </c>
      <c r="R437">
        <v>8</v>
      </c>
      <c r="S437" t="s">
        <v>402</v>
      </c>
    </row>
    <row r="438" spans="1:19" x14ac:dyDescent="0.25">
      <c r="A438" t="s">
        <v>70</v>
      </c>
      <c r="B438" t="s">
        <v>20</v>
      </c>
      <c r="C438" t="s">
        <v>71</v>
      </c>
      <c r="D438" s="1">
        <v>45627</v>
      </c>
      <c r="E438" s="1">
        <v>45870</v>
      </c>
      <c r="F438">
        <v>1</v>
      </c>
      <c r="G438">
        <f t="shared" si="12"/>
        <v>8</v>
      </c>
      <c r="H438" t="s">
        <v>394</v>
      </c>
      <c r="I438" t="s">
        <v>395</v>
      </c>
      <c r="J438">
        <v>9079571</v>
      </c>
      <c r="K438" t="s">
        <v>428</v>
      </c>
      <c r="L438" t="s">
        <v>413</v>
      </c>
      <c r="M438" t="str">
        <f t="shared" si="14"/>
        <v xml:space="preserve">ADAM RICHTER   </v>
      </c>
      <c r="N438" t="s">
        <v>48</v>
      </c>
      <c r="O438">
        <v>1</v>
      </c>
      <c r="P438">
        <v>97.76</v>
      </c>
      <c r="Q438">
        <v>0.75</v>
      </c>
      <c r="R438">
        <v>73.319999999999993</v>
      </c>
      <c r="S438" t="s">
        <v>402</v>
      </c>
    </row>
    <row r="439" spans="1:19" x14ac:dyDescent="0.25">
      <c r="A439" t="s">
        <v>70</v>
      </c>
      <c r="B439" t="s">
        <v>20</v>
      </c>
      <c r="C439" t="s">
        <v>71</v>
      </c>
      <c r="D439" s="1">
        <v>45627</v>
      </c>
      <c r="E439" s="1">
        <v>45870</v>
      </c>
      <c r="F439">
        <v>1</v>
      </c>
      <c r="G439">
        <f t="shared" si="12"/>
        <v>8</v>
      </c>
      <c r="H439" t="s">
        <v>394</v>
      </c>
      <c r="I439" t="s">
        <v>395</v>
      </c>
      <c r="J439">
        <v>9079571</v>
      </c>
      <c r="K439" t="s">
        <v>428</v>
      </c>
      <c r="L439" t="s">
        <v>413</v>
      </c>
      <c r="M439" t="str">
        <f t="shared" si="14"/>
        <v xml:space="preserve">ADAM RICHTER   </v>
      </c>
      <c r="N439" t="s">
        <v>49</v>
      </c>
      <c r="O439">
        <v>1</v>
      </c>
      <c r="P439">
        <v>4.83</v>
      </c>
      <c r="Q439">
        <v>0.75</v>
      </c>
      <c r="R439">
        <v>3.62</v>
      </c>
      <c r="S439" t="s">
        <v>402</v>
      </c>
    </row>
    <row r="440" spans="1:19" x14ac:dyDescent="0.25">
      <c r="A440" t="s">
        <v>70</v>
      </c>
      <c r="B440" t="s">
        <v>20</v>
      </c>
      <c r="C440" t="s">
        <v>71</v>
      </c>
      <c r="D440" s="1">
        <v>45627</v>
      </c>
      <c r="E440" s="1">
        <v>45870</v>
      </c>
      <c r="F440">
        <v>1</v>
      </c>
      <c r="G440">
        <f t="shared" si="12"/>
        <v>8</v>
      </c>
      <c r="H440" t="s">
        <v>394</v>
      </c>
      <c r="I440" t="s">
        <v>395</v>
      </c>
      <c r="J440">
        <v>9079571</v>
      </c>
      <c r="K440" t="s">
        <v>428</v>
      </c>
      <c r="L440" t="s">
        <v>413</v>
      </c>
      <c r="M440" t="str">
        <f t="shared" si="14"/>
        <v xml:space="preserve">ADAM RICHTER   </v>
      </c>
      <c r="N440" t="s">
        <v>51</v>
      </c>
      <c r="O440">
        <v>1</v>
      </c>
      <c r="P440">
        <v>29.35</v>
      </c>
      <c r="Q440">
        <v>0.75</v>
      </c>
      <c r="R440">
        <v>22.01</v>
      </c>
      <c r="S440" t="s">
        <v>402</v>
      </c>
    </row>
    <row r="441" spans="1:19" x14ac:dyDescent="0.25">
      <c r="A441" t="s">
        <v>68</v>
      </c>
      <c r="B441" t="s">
        <v>20</v>
      </c>
      <c r="C441" t="s">
        <v>69</v>
      </c>
      <c r="D441" s="1">
        <v>45613</v>
      </c>
      <c r="E441" s="1">
        <v>45886</v>
      </c>
      <c r="F441">
        <v>1</v>
      </c>
      <c r="G441">
        <f t="shared" si="12"/>
        <v>9</v>
      </c>
      <c r="H441" t="s">
        <v>394</v>
      </c>
      <c r="I441" t="s">
        <v>395</v>
      </c>
      <c r="J441">
        <v>9079571</v>
      </c>
      <c r="K441" t="s">
        <v>428</v>
      </c>
      <c r="L441" t="s">
        <v>413</v>
      </c>
      <c r="M441" t="str">
        <f t="shared" si="14"/>
        <v xml:space="preserve">ADAM RICHTER   </v>
      </c>
      <c r="N441" t="s">
        <v>48</v>
      </c>
      <c r="O441">
        <v>1</v>
      </c>
      <c r="P441">
        <v>70.84</v>
      </c>
      <c r="Q441">
        <v>0.75</v>
      </c>
      <c r="R441">
        <v>53.13</v>
      </c>
      <c r="S441" t="s">
        <v>402</v>
      </c>
    </row>
    <row r="442" spans="1:19" x14ac:dyDescent="0.25">
      <c r="A442" t="s">
        <v>68</v>
      </c>
      <c r="B442" t="s">
        <v>20</v>
      </c>
      <c r="C442" t="s">
        <v>69</v>
      </c>
      <c r="D442" s="1">
        <v>45613</v>
      </c>
      <c r="E442" s="1">
        <v>45886</v>
      </c>
      <c r="F442">
        <v>1</v>
      </c>
      <c r="G442">
        <f t="shared" si="12"/>
        <v>9</v>
      </c>
      <c r="H442" t="s">
        <v>394</v>
      </c>
      <c r="I442" t="s">
        <v>395</v>
      </c>
      <c r="J442">
        <v>9079571</v>
      </c>
      <c r="K442" t="s">
        <v>428</v>
      </c>
      <c r="L442" t="s">
        <v>413</v>
      </c>
      <c r="M442" t="str">
        <f t="shared" si="14"/>
        <v xml:space="preserve">ADAM RICHTER   </v>
      </c>
      <c r="N442" t="s">
        <v>51</v>
      </c>
      <c r="O442">
        <v>1</v>
      </c>
      <c r="P442">
        <v>24.37</v>
      </c>
      <c r="Q442">
        <v>0.75</v>
      </c>
      <c r="R442">
        <v>18.28</v>
      </c>
      <c r="S442" t="s">
        <v>402</v>
      </c>
    </row>
    <row r="443" spans="1:19" x14ac:dyDescent="0.25">
      <c r="A443" t="s">
        <v>68</v>
      </c>
      <c r="B443" t="s">
        <v>20</v>
      </c>
      <c r="C443" t="s">
        <v>69</v>
      </c>
      <c r="D443" s="1">
        <v>45613</v>
      </c>
      <c r="E443" s="1">
        <v>45886</v>
      </c>
      <c r="F443">
        <v>1</v>
      </c>
      <c r="G443">
        <f t="shared" si="12"/>
        <v>9</v>
      </c>
      <c r="H443" t="s">
        <v>394</v>
      </c>
      <c r="I443" t="s">
        <v>395</v>
      </c>
      <c r="J443">
        <v>9079571</v>
      </c>
      <c r="K443" t="s">
        <v>428</v>
      </c>
      <c r="L443" t="s">
        <v>413</v>
      </c>
      <c r="M443" t="str">
        <f t="shared" si="14"/>
        <v xml:space="preserve">ADAM RICHTER   </v>
      </c>
      <c r="N443" t="s">
        <v>50</v>
      </c>
      <c r="O443">
        <v>1</v>
      </c>
      <c r="P443">
        <v>5.94</v>
      </c>
      <c r="Q443">
        <v>0.75</v>
      </c>
      <c r="R443">
        <v>4.46</v>
      </c>
      <c r="S443" t="s">
        <v>402</v>
      </c>
    </row>
    <row r="444" spans="1:19" x14ac:dyDescent="0.25">
      <c r="A444" t="s">
        <v>68</v>
      </c>
      <c r="B444" t="s">
        <v>20</v>
      </c>
      <c r="C444" t="s">
        <v>69</v>
      </c>
      <c r="D444" s="1">
        <v>45613</v>
      </c>
      <c r="E444" s="1">
        <v>45886</v>
      </c>
      <c r="F444">
        <v>1</v>
      </c>
      <c r="G444">
        <f t="shared" si="12"/>
        <v>9</v>
      </c>
      <c r="H444" t="s">
        <v>394</v>
      </c>
      <c r="I444" t="s">
        <v>395</v>
      </c>
      <c r="J444">
        <v>9079571</v>
      </c>
      <c r="K444" t="s">
        <v>428</v>
      </c>
      <c r="L444" t="s">
        <v>413</v>
      </c>
      <c r="M444" t="str">
        <f t="shared" si="14"/>
        <v xml:space="preserve">ADAM RICHTER   </v>
      </c>
      <c r="N444" t="s">
        <v>49</v>
      </c>
      <c r="O444">
        <v>1</v>
      </c>
      <c r="P444">
        <v>3.08</v>
      </c>
      <c r="Q444">
        <v>0.75</v>
      </c>
      <c r="R444">
        <v>2.31</v>
      </c>
      <c r="S444" t="s">
        <v>402</v>
      </c>
    </row>
    <row r="445" spans="1:19" x14ac:dyDescent="0.25">
      <c r="A445" t="s">
        <v>66</v>
      </c>
      <c r="B445" t="s">
        <v>20</v>
      </c>
      <c r="C445" t="s">
        <v>67</v>
      </c>
      <c r="D445" s="1">
        <v>45604</v>
      </c>
      <c r="E445" s="1">
        <v>45877</v>
      </c>
      <c r="F445">
        <v>1</v>
      </c>
      <c r="G445">
        <f t="shared" si="12"/>
        <v>9</v>
      </c>
      <c r="H445" t="s">
        <v>394</v>
      </c>
      <c r="I445" t="s">
        <v>395</v>
      </c>
      <c r="J445">
        <v>9079571</v>
      </c>
      <c r="K445" t="s">
        <v>428</v>
      </c>
      <c r="L445" t="s">
        <v>413</v>
      </c>
      <c r="M445" t="str">
        <f t="shared" si="14"/>
        <v xml:space="preserve">ADAM RICHTER   </v>
      </c>
      <c r="N445" t="s">
        <v>48</v>
      </c>
      <c r="O445">
        <v>1</v>
      </c>
      <c r="P445">
        <v>97.76</v>
      </c>
      <c r="Q445">
        <v>0.75</v>
      </c>
      <c r="R445">
        <v>73.319999999999993</v>
      </c>
      <c r="S445" t="s">
        <v>402</v>
      </c>
    </row>
    <row r="446" spans="1:19" x14ac:dyDescent="0.25">
      <c r="A446" t="s">
        <v>66</v>
      </c>
      <c r="B446" t="s">
        <v>20</v>
      </c>
      <c r="C446" t="s">
        <v>67</v>
      </c>
      <c r="D446" s="1">
        <v>45604</v>
      </c>
      <c r="E446" s="1">
        <v>45877</v>
      </c>
      <c r="F446">
        <v>1</v>
      </c>
      <c r="G446">
        <f t="shared" si="12"/>
        <v>9</v>
      </c>
      <c r="H446" t="s">
        <v>394</v>
      </c>
      <c r="I446" t="s">
        <v>395</v>
      </c>
      <c r="J446">
        <v>9079571</v>
      </c>
      <c r="K446" t="s">
        <v>428</v>
      </c>
      <c r="L446" t="s">
        <v>413</v>
      </c>
      <c r="M446" t="str">
        <f t="shared" si="14"/>
        <v xml:space="preserve">ADAM RICHTER   </v>
      </c>
      <c r="N446" t="s">
        <v>51</v>
      </c>
      <c r="O446">
        <v>1</v>
      </c>
      <c r="P446">
        <v>29.35</v>
      </c>
      <c r="Q446">
        <v>0.75</v>
      </c>
      <c r="R446">
        <v>22.01</v>
      </c>
      <c r="S446" t="s">
        <v>402</v>
      </c>
    </row>
    <row r="447" spans="1:19" x14ac:dyDescent="0.25">
      <c r="A447" t="s">
        <v>66</v>
      </c>
      <c r="B447" t="s">
        <v>20</v>
      </c>
      <c r="C447" t="s">
        <v>67</v>
      </c>
      <c r="D447" s="1">
        <v>45604</v>
      </c>
      <c r="E447" s="1">
        <v>45877</v>
      </c>
      <c r="F447">
        <v>1</v>
      </c>
      <c r="G447">
        <f t="shared" si="12"/>
        <v>9</v>
      </c>
      <c r="H447" t="s">
        <v>394</v>
      </c>
      <c r="I447" t="s">
        <v>395</v>
      </c>
      <c r="J447">
        <v>9079571</v>
      </c>
      <c r="K447" t="s">
        <v>428</v>
      </c>
      <c r="L447" t="s">
        <v>413</v>
      </c>
      <c r="M447" t="str">
        <f t="shared" si="14"/>
        <v xml:space="preserve">ADAM RICHTER   </v>
      </c>
      <c r="N447" t="s">
        <v>49</v>
      </c>
      <c r="O447">
        <v>1</v>
      </c>
      <c r="P447">
        <v>4.83</v>
      </c>
      <c r="Q447">
        <v>0.75</v>
      </c>
      <c r="R447">
        <v>3.62</v>
      </c>
      <c r="S447" t="s">
        <v>402</v>
      </c>
    </row>
    <row r="448" spans="1:19" x14ac:dyDescent="0.25">
      <c r="A448" t="s">
        <v>66</v>
      </c>
      <c r="B448" t="s">
        <v>20</v>
      </c>
      <c r="C448" t="s">
        <v>67</v>
      </c>
      <c r="D448" s="1">
        <v>45604</v>
      </c>
      <c r="E448" s="1">
        <v>45877</v>
      </c>
      <c r="F448">
        <v>1</v>
      </c>
      <c r="G448">
        <f t="shared" si="12"/>
        <v>9</v>
      </c>
      <c r="H448" t="s">
        <v>394</v>
      </c>
      <c r="I448" t="s">
        <v>395</v>
      </c>
      <c r="J448">
        <v>9079571</v>
      </c>
      <c r="K448" t="s">
        <v>428</v>
      </c>
      <c r="L448" t="s">
        <v>413</v>
      </c>
      <c r="M448" t="str">
        <f t="shared" si="14"/>
        <v xml:space="preserve">ADAM RICHTER   </v>
      </c>
      <c r="N448" t="s">
        <v>50</v>
      </c>
      <c r="O448">
        <v>1</v>
      </c>
      <c r="P448">
        <v>9.26</v>
      </c>
      <c r="Q448">
        <v>0.75</v>
      </c>
      <c r="R448">
        <v>6.95</v>
      </c>
      <c r="S448" t="s">
        <v>402</v>
      </c>
    </row>
    <row r="449" spans="1:19" x14ac:dyDescent="0.25">
      <c r="A449" t="s">
        <v>45</v>
      </c>
      <c r="B449" t="s">
        <v>46</v>
      </c>
      <c r="C449" t="s">
        <v>47</v>
      </c>
      <c r="D449" s="1">
        <v>45589</v>
      </c>
      <c r="E449" s="1">
        <v>45893</v>
      </c>
      <c r="F449">
        <v>1</v>
      </c>
      <c r="G449">
        <f t="shared" si="12"/>
        <v>10</v>
      </c>
      <c r="H449" t="s">
        <v>394</v>
      </c>
      <c r="I449" t="s">
        <v>395</v>
      </c>
      <c r="J449">
        <v>9079571</v>
      </c>
      <c r="K449" t="s">
        <v>428</v>
      </c>
      <c r="L449" t="s">
        <v>413</v>
      </c>
      <c r="M449" t="str">
        <f t="shared" si="14"/>
        <v xml:space="preserve">ADAM RICHTER   </v>
      </c>
      <c r="N449" t="s">
        <v>48</v>
      </c>
      <c r="O449">
        <v>1</v>
      </c>
      <c r="P449">
        <v>31.18</v>
      </c>
      <c r="Q449">
        <v>0.75</v>
      </c>
      <c r="R449">
        <v>23.39</v>
      </c>
      <c r="S449" t="s">
        <v>402</v>
      </c>
    </row>
    <row r="450" spans="1:19" x14ac:dyDescent="0.25">
      <c r="A450" t="s">
        <v>45</v>
      </c>
      <c r="B450" t="s">
        <v>46</v>
      </c>
      <c r="C450" t="s">
        <v>47</v>
      </c>
      <c r="D450" s="1">
        <v>45589</v>
      </c>
      <c r="E450" s="1">
        <v>45893</v>
      </c>
      <c r="F450">
        <v>1</v>
      </c>
      <c r="G450">
        <f t="shared" ref="G450:G513" si="15">MONTH(E450-D450)</f>
        <v>10</v>
      </c>
      <c r="H450" t="s">
        <v>394</v>
      </c>
      <c r="I450" t="s">
        <v>395</v>
      </c>
      <c r="J450">
        <v>9079571</v>
      </c>
      <c r="K450" t="s">
        <v>428</v>
      </c>
      <c r="L450" t="s">
        <v>413</v>
      </c>
      <c r="M450" t="str">
        <f t="shared" si="14"/>
        <v xml:space="preserve">ADAM RICHTER   </v>
      </c>
      <c r="N450" t="s">
        <v>49</v>
      </c>
      <c r="O450">
        <v>1</v>
      </c>
      <c r="P450">
        <v>4.83</v>
      </c>
      <c r="Q450">
        <v>0.75</v>
      </c>
      <c r="R450">
        <v>3.62</v>
      </c>
      <c r="S450" t="s">
        <v>402</v>
      </c>
    </row>
    <row r="451" spans="1:19" x14ac:dyDescent="0.25">
      <c r="A451" t="s">
        <v>45</v>
      </c>
      <c r="B451" t="s">
        <v>46</v>
      </c>
      <c r="C451" t="s">
        <v>47</v>
      </c>
      <c r="D451" s="1">
        <v>45589</v>
      </c>
      <c r="E451" s="1">
        <v>45893</v>
      </c>
      <c r="F451">
        <v>1</v>
      </c>
      <c r="G451">
        <f t="shared" si="15"/>
        <v>10</v>
      </c>
      <c r="H451" t="s">
        <v>394</v>
      </c>
      <c r="I451" t="s">
        <v>395</v>
      </c>
      <c r="J451">
        <v>9079571</v>
      </c>
      <c r="K451" t="s">
        <v>428</v>
      </c>
      <c r="L451" t="s">
        <v>413</v>
      </c>
      <c r="M451" t="str">
        <f t="shared" si="14"/>
        <v xml:space="preserve">ADAM RICHTER   </v>
      </c>
      <c r="N451" t="s">
        <v>50</v>
      </c>
      <c r="O451">
        <v>1</v>
      </c>
      <c r="P451">
        <v>9.26</v>
      </c>
      <c r="Q451">
        <v>0.75</v>
      </c>
      <c r="R451">
        <v>6.95</v>
      </c>
      <c r="S451" t="s">
        <v>402</v>
      </c>
    </row>
    <row r="452" spans="1:19" x14ac:dyDescent="0.25">
      <c r="A452" t="s">
        <v>45</v>
      </c>
      <c r="B452" t="s">
        <v>46</v>
      </c>
      <c r="C452" t="s">
        <v>47</v>
      </c>
      <c r="D452" s="1">
        <v>45589</v>
      </c>
      <c r="E452" s="1">
        <v>45893</v>
      </c>
      <c r="F452">
        <v>1</v>
      </c>
      <c r="G452">
        <f t="shared" si="15"/>
        <v>10</v>
      </c>
      <c r="H452" t="s">
        <v>394</v>
      </c>
      <c r="I452" t="s">
        <v>395</v>
      </c>
      <c r="J452">
        <v>9079571</v>
      </c>
      <c r="K452" t="s">
        <v>428</v>
      </c>
      <c r="L452" t="s">
        <v>413</v>
      </c>
      <c r="M452" t="str">
        <f t="shared" si="14"/>
        <v xml:space="preserve">ADAM RICHTER   </v>
      </c>
      <c r="N452" t="s">
        <v>51</v>
      </c>
      <c r="O452">
        <v>1</v>
      </c>
      <c r="P452">
        <v>9.7799999999999994</v>
      </c>
      <c r="Q452">
        <v>0.75</v>
      </c>
      <c r="R452">
        <v>7.34</v>
      </c>
      <c r="S452" t="s">
        <v>402</v>
      </c>
    </row>
    <row r="453" spans="1:19" x14ac:dyDescent="0.25">
      <c r="A453" t="s">
        <v>45</v>
      </c>
      <c r="B453" t="s">
        <v>46</v>
      </c>
      <c r="C453" t="s">
        <v>47</v>
      </c>
      <c r="D453" s="1">
        <v>45589</v>
      </c>
      <c r="E453" s="1">
        <v>45893</v>
      </c>
      <c r="F453">
        <v>1</v>
      </c>
      <c r="G453">
        <f t="shared" si="15"/>
        <v>10</v>
      </c>
      <c r="H453" t="s">
        <v>394</v>
      </c>
      <c r="I453" t="s">
        <v>395</v>
      </c>
      <c r="J453">
        <v>9079571</v>
      </c>
      <c r="K453" t="s">
        <v>428</v>
      </c>
      <c r="L453" t="s">
        <v>413</v>
      </c>
      <c r="M453" t="str">
        <f t="shared" si="14"/>
        <v xml:space="preserve">ADAM RICHTER   </v>
      </c>
      <c r="N453" t="s">
        <v>52</v>
      </c>
      <c r="O453">
        <v>1</v>
      </c>
      <c r="P453">
        <v>6.17</v>
      </c>
      <c r="Q453">
        <v>0.75</v>
      </c>
      <c r="R453">
        <v>4.63</v>
      </c>
      <c r="S453" t="s">
        <v>402</v>
      </c>
    </row>
    <row r="454" spans="1:19" x14ac:dyDescent="0.25">
      <c r="A454" t="s">
        <v>53</v>
      </c>
      <c r="B454" t="s">
        <v>46</v>
      </c>
      <c r="C454" t="s">
        <v>54</v>
      </c>
      <c r="D454" s="1">
        <v>45589</v>
      </c>
      <c r="E454" s="1">
        <v>45893</v>
      </c>
      <c r="F454">
        <v>1</v>
      </c>
      <c r="G454">
        <f t="shared" si="15"/>
        <v>10</v>
      </c>
      <c r="H454" t="s">
        <v>394</v>
      </c>
      <c r="I454" t="s">
        <v>395</v>
      </c>
      <c r="J454">
        <v>9079571</v>
      </c>
      <c r="K454" t="s">
        <v>428</v>
      </c>
      <c r="L454" t="s">
        <v>413</v>
      </c>
      <c r="M454" t="str">
        <f t="shared" si="14"/>
        <v xml:space="preserve">ADAM RICHTER   </v>
      </c>
      <c r="N454" t="s">
        <v>48</v>
      </c>
      <c r="O454">
        <v>1</v>
      </c>
      <c r="P454">
        <v>31.18</v>
      </c>
      <c r="Q454">
        <v>0.75</v>
      </c>
      <c r="R454">
        <v>23.39</v>
      </c>
      <c r="S454" t="s">
        <v>402</v>
      </c>
    </row>
    <row r="455" spans="1:19" x14ac:dyDescent="0.25">
      <c r="A455" t="s">
        <v>53</v>
      </c>
      <c r="B455" t="s">
        <v>46</v>
      </c>
      <c r="C455" t="s">
        <v>54</v>
      </c>
      <c r="D455" s="1">
        <v>45589</v>
      </c>
      <c r="E455" s="1">
        <v>45893</v>
      </c>
      <c r="F455">
        <v>1</v>
      </c>
      <c r="G455">
        <f t="shared" si="15"/>
        <v>10</v>
      </c>
      <c r="H455" t="s">
        <v>394</v>
      </c>
      <c r="I455" t="s">
        <v>395</v>
      </c>
      <c r="J455">
        <v>9079571</v>
      </c>
      <c r="K455" t="s">
        <v>428</v>
      </c>
      <c r="L455" t="s">
        <v>413</v>
      </c>
      <c r="M455" t="str">
        <f t="shared" si="14"/>
        <v xml:space="preserve">ADAM RICHTER   </v>
      </c>
      <c r="N455" t="s">
        <v>52</v>
      </c>
      <c r="O455">
        <v>1</v>
      </c>
      <c r="P455">
        <v>8.92</v>
      </c>
      <c r="Q455">
        <v>0.75</v>
      </c>
      <c r="R455">
        <v>6.69</v>
      </c>
      <c r="S455" t="s">
        <v>402</v>
      </c>
    </row>
    <row r="456" spans="1:19" x14ac:dyDescent="0.25">
      <c r="A456" t="s">
        <v>53</v>
      </c>
      <c r="B456" t="s">
        <v>46</v>
      </c>
      <c r="C456" t="s">
        <v>54</v>
      </c>
      <c r="D456" s="1">
        <v>45589</v>
      </c>
      <c r="E456" s="1">
        <v>45893</v>
      </c>
      <c r="F456">
        <v>1</v>
      </c>
      <c r="G456">
        <f t="shared" si="15"/>
        <v>10</v>
      </c>
      <c r="H456" t="s">
        <v>394</v>
      </c>
      <c r="I456" t="s">
        <v>395</v>
      </c>
      <c r="J456">
        <v>9079571</v>
      </c>
      <c r="K456" t="s">
        <v>428</v>
      </c>
      <c r="L456" t="s">
        <v>413</v>
      </c>
      <c r="M456" t="str">
        <f t="shared" si="14"/>
        <v xml:space="preserve">ADAM RICHTER   </v>
      </c>
      <c r="N456" t="s">
        <v>51</v>
      </c>
      <c r="O456">
        <v>1</v>
      </c>
      <c r="P456">
        <v>9.7799999999999994</v>
      </c>
      <c r="Q456">
        <v>0.75</v>
      </c>
      <c r="R456">
        <v>7.34</v>
      </c>
      <c r="S456" t="s">
        <v>402</v>
      </c>
    </row>
    <row r="457" spans="1:19" x14ac:dyDescent="0.25">
      <c r="A457" t="s">
        <v>53</v>
      </c>
      <c r="B457" t="s">
        <v>46</v>
      </c>
      <c r="C457" t="s">
        <v>54</v>
      </c>
      <c r="D457" s="1">
        <v>45589</v>
      </c>
      <c r="E457" s="1">
        <v>45893</v>
      </c>
      <c r="F457">
        <v>1</v>
      </c>
      <c r="G457">
        <f t="shared" si="15"/>
        <v>10</v>
      </c>
      <c r="H457" t="s">
        <v>394</v>
      </c>
      <c r="I457" t="s">
        <v>395</v>
      </c>
      <c r="J457">
        <v>9079571</v>
      </c>
      <c r="K457" t="s">
        <v>428</v>
      </c>
      <c r="L457" t="s">
        <v>413</v>
      </c>
      <c r="M457" t="str">
        <f t="shared" si="14"/>
        <v xml:space="preserve">ADAM RICHTER   </v>
      </c>
      <c r="N457" t="s">
        <v>50</v>
      </c>
      <c r="O457">
        <v>1</v>
      </c>
      <c r="P457">
        <v>9.26</v>
      </c>
      <c r="Q457">
        <v>0.75</v>
      </c>
      <c r="R457">
        <v>6.95</v>
      </c>
      <c r="S457" t="s">
        <v>402</v>
      </c>
    </row>
    <row r="458" spans="1:19" x14ac:dyDescent="0.25">
      <c r="A458" t="s">
        <v>53</v>
      </c>
      <c r="B458" t="s">
        <v>46</v>
      </c>
      <c r="C458" t="s">
        <v>54</v>
      </c>
      <c r="D458" s="1">
        <v>45589</v>
      </c>
      <c r="E458" s="1">
        <v>45893</v>
      </c>
      <c r="F458">
        <v>1</v>
      </c>
      <c r="G458">
        <f t="shared" si="15"/>
        <v>10</v>
      </c>
      <c r="H458" t="s">
        <v>394</v>
      </c>
      <c r="I458" t="s">
        <v>395</v>
      </c>
      <c r="J458">
        <v>9079571</v>
      </c>
      <c r="K458" t="s">
        <v>428</v>
      </c>
      <c r="L458" t="s">
        <v>413</v>
      </c>
      <c r="M458" t="str">
        <f t="shared" si="14"/>
        <v xml:space="preserve">ADAM RICHTER   </v>
      </c>
      <c r="N458" t="s">
        <v>49</v>
      </c>
      <c r="O458">
        <v>1</v>
      </c>
      <c r="P458">
        <v>4.83</v>
      </c>
      <c r="Q458">
        <v>0.75</v>
      </c>
      <c r="R458">
        <v>3.62</v>
      </c>
      <c r="S458" t="s">
        <v>402</v>
      </c>
    </row>
    <row r="459" spans="1:19" x14ac:dyDescent="0.25">
      <c r="A459" t="s">
        <v>151</v>
      </c>
      <c r="B459" t="s">
        <v>152</v>
      </c>
      <c r="C459" t="s">
        <v>153</v>
      </c>
      <c r="D459" s="1">
        <v>45505</v>
      </c>
      <c r="E459" s="1">
        <v>45870</v>
      </c>
      <c r="F459">
        <v>1</v>
      </c>
      <c r="G459">
        <f t="shared" si="15"/>
        <v>12</v>
      </c>
      <c r="H459" t="s">
        <v>394</v>
      </c>
      <c r="I459" t="s">
        <v>395</v>
      </c>
      <c r="J459">
        <v>7470776</v>
      </c>
      <c r="K459" t="s">
        <v>422</v>
      </c>
      <c r="L459" t="s">
        <v>406</v>
      </c>
      <c r="M459" t="str">
        <f t="shared" si="14"/>
        <v xml:space="preserve">ANDREW CHOI </v>
      </c>
      <c r="N459" t="s">
        <v>51</v>
      </c>
      <c r="O459">
        <v>1</v>
      </c>
      <c r="P459">
        <v>8.1199999999999992</v>
      </c>
      <c r="Q459">
        <v>0.75</v>
      </c>
      <c r="R459">
        <v>6.09</v>
      </c>
      <c r="S459" t="s">
        <v>402</v>
      </c>
    </row>
    <row r="460" spans="1:19" x14ac:dyDescent="0.25">
      <c r="A460" t="s">
        <v>151</v>
      </c>
      <c r="B460" t="s">
        <v>152</v>
      </c>
      <c r="C460" t="s">
        <v>153</v>
      </c>
      <c r="D460" s="1">
        <v>45505</v>
      </c>
      <c r="E460" s="1">
        <v>45870</v>
      </c>
      <c r="F460">
        <v>1</v>
      </c>
      <c r="G460">
        <f t="shared" si="15"/>
        <v>12</v>
      </c>
      <c r="H460" t="s">
        <v>394</v>
      </c>
      <c r="I460" t="s">
        <v>395</v>
      </c>
      <c r="J460">
        <v>7470776</v>
      </c>
      <c r="K460" t="s">
        <v>422</v>
      </c>
      <c r="L460" t="s">
        <v>406</v>
      </c>
      <c r="M460" t="str">
        <f t="shared" si="14"/>
        <v xml:space="preserve">ANDREW CHOI </v>
      </c>
      <c r="N460" t="s">
        <v>49</v>
      </c>
      <c r="O460">
        <v>1</v>
      </c>
      <c r="P460">
        <v>3.08</v>
      </c>
      <c r="Q460">
        <v>0.75</v>
      </c>
      <c r="R460">
        <v>2.31</v>
      </c>
      <c r="S460" t="s">
        <v>402</v>
      </c>
    </row>
    <row r="461" spans="1:19" x14ac:dyDescent="0.25">
      <c r="A461" t="s">
        <v>151</v>
      </c>
      <c r="B461" t="s">
        <v>152</v>
      </c>
      <c r="C461" t="s">
        <v>153</v>
      </c>
      <c r="D461" s="1">
        <v>45505</v>
      </c>
      <c r="E461" s="1">
        <v>45870</v>
      </c>
      <c r="F461">
        <v>1</v>
      </c>
      <c r="G461">
        <f t="shared" si="15"/>
        <v>12</v>
      </c>
      <c r="H461" t="s">
        <v>394</v>
      </c>
      <c r="I461" t="s">
        <v>395</v>
      </c>
      <c r="J461">
        <v>7470776</v>
      </c>
      <c r="K461" t="s">
        <v>422</v>
      </c>
      <c r="L461" t="s">
        <v>406</v>
      </c>
      <c r="M461" t="str">
        <f t="shared" si="14"/>
        <v xml:space="preserve">ANDREW CHOI </v>
      </c>
      <c r="N461" t="s">
        <v>50</v>
      </c>
      <c r="O461">
        <v>1</v>
      </c>
      <c r="P461">
        <v>5.94</v>
      </c>
      <c r="Q461">
        <v>0.75</v>
      </c>
      <c r="R461">
        <v>4.46</v>
      </c>
      <c r="S461" t="s">
        <v>402</v>
      </c>
    </row>
    <row r="462" spans="1:19" x14ac:dyDescent="0.25">
      <c r="A462" t="s">
        <v>151</v>
      </c>
      <c r="B462" t="s">
        <v>152</v>
      </c>
      <c r="C462" t="s">
        <v>153</v>
      </c>
      <c r="D462" s="1">
        <v>45505</v>
      </c>
      <c r="E462" s="1">
        <v>45870</v>
      </c>
      <c r="F462">
        <v>1</v>
      </c>
      <c r="G462">
        <f t="shared" si="15"/>
        <v>12</v>
      </c>
      <c r="H462" t="s">
        <v>394</v>
      </c>
      <c r="I462" t="s">
        <v>395</v>
      </c>
      <c r="J462">
        <v>7470776</v>
      </c>
      <c r="K462" t="s">
        <v>422</v>
      </c>
      <c r="L462" t="s">
        <v>406</v>
      </c>
      <c r="M462" t="str">
        <f t="shared" si="14"/>
        <v xml:space="preserve">ANDREW CHOI </v>
      </c>
      <c r="N462" t="s">
        <v>157</v>
      </c>
      <c r="O462">
        <v>1</v>
      </c>
      <c r="P462">
        <v>54.16</v>
      </c>
      <c r="Q462">
        <v>0.75</v>
      </c>
      <c r="R462">
        <v>40.619999999999997</v>
      </c>
      <c r="S462" t="s">
        <v>402</v>
      </c>
    </row>
    <row r="463" spans="1:19" x14ac:dyDescent="0.25">
      <c r="A463" t="s">
        <v>151</v>
      </c>
      <c r="B463" t="s">
        <v>152</v>
      </c>
      <c r="C463" t="s">
        <v>153</v>
      </c>
      <c r="D463" s="1">
        <v>45505</v>
      </c>
      <c r="E463" s="1">
        <v>45870</v>
      </c>
      <c r="F463">
        <v>1</v>
      </c>
      <c r="G463">
        <f t="shared" si="15"/>
        <v>12</v>
      </c>
      <c r="H463" t="s">
        <v>394</v>
      </c>
      <c r="I463" t="s">
        <v>395</v>
      </c>
      <c r="J463">
        <v>7470776</v>
      </c>
      <c r="K463" t="s">
        <v>422</v>
      </c>
      <c r="L463" t="s">
        <v>406</v>
      </c>
      <c r="M463" t="str">
        <f t="shared" si="14"/>
        <v xml:space="preserve">ANDREW CHOI </v>
      </c>
      <c r="N463" t="s">
        <v>48</v>
      </c>
      <c r="O463">
        <v>1</v>
      </c>
      <c r="P463">
        <v>70.84</v>
      </c>
      <c r="Q463">
        <v>0.75</v>
      </c>
      <c r="R463">
        <v>53.13</v>
      </c>
      <c r="S463" t="s">
        <v>402</v>
      </c>
    </row>
    <row r="464" spans="1:19" x14ac:dyDescent="0.25">
      <c r="A464" t="s">
        <v>151</v>
      </c>
      <c r="B464" t="s">
        <v>152</v>
      </c>
      <c r="C464" t="s">
        <v>153</v>
      </c>
      <c r="D464" s="1">
        <v>45505</v>
      </c>
      <c r="E464" s="1">
        <v>45870</v>
      </c>
      <c r="F464">
        <v>1</v>
      </c>
      <c r="G464">
        <f t="shared" si="15"/>
        <v>12</v>
      </c>
      <c r="H464" t="s">
        <v>394</v>
      </c>
      <c r="I464" t="s">
        <v>395</v>
      </c>
      <c r="J464">
        <v>7470776</v>
      </c>
      <c r="K464" t="s">
        <v>422</v>
      </c>
      <c r="L464" t="s">
        <v>406</v>
      </c>
      <c r="M464" t="str">
        <f t="shared" si="14"/>
        <v xml:space="preserve">ANDREW CHOI </v>
      </c>
      <c r="N464" t="s">
        <v>52</v>
      </c>
      <c r="O464">
        <v>1</v>
      </c>
      <c r="P464">
        <v>2.29</v>
      </c>
      <c r="Q464">
        <v>0.75</v>
      </c>
      <c r="R464">
        <v>1.72</v>
      </c>
      <c r="S464" t="s">
        <v>402</v>
      </c>
    </row>
    <row r="465" spans="1:19" x14ac:dyDescent="0.25">
      <c r="A465" t="s">
        <v>331</v>
      </c>
      <c r="B465" t="s">
        <v>20</v>
      </c>
      <c r="C465" t="s">
        <v>332</v>
      </c>
      <c r="D465" s="1">
        <v>45413</v>
      </c>
      <c r="E465" s="1">
        <v>45870</v>
      </c>
      <c r="F465">
        <v>1</v>
      </c>
      <c r="G465">
        <f t="shared" si="15"/>
        <v>4</v>
      </c>
      <c r="H465" t="s">
        <v>394</v>
      </c>
      <c r="I465" t="s">
        <v>395</v>
      </c>
      <c r="J465">
        <v>9079571</v>
      </c>
      <c r="K465" t="s">
        <v>428</v>
      </c>
      <c r="L465" t="s">
        <v>413</v>
      </c>
      <c r="M465" t="str">
        <f t="shared" ref="M465:M496" si="16">CONCATENATE(K465, " ",L465)</f>
        <v xml:space="preserve">ADAM RICHTER   </v>
      </c>
      <c r="N465" t="s">
        <v>50</v>
      </c>
      <c r="O465">
        <v>1</v>
      </c>
      <c r="P465">
        <v>6.88</v>
      </c>
      <c r="Q465">
        <v>0.13</v>
      </c>
      <c r="R465">
        <v>0.89</v>
      </c>
      <c r="S465" t="s">
        <v>402</v>
      </c>
    </row>
    <row r="466" spans="1:19" x14ac:dyDescent="0.25">
      <c r="A466" t="s">
        <v>331</v>
      </c>
      <c r="B466" t="s">
        <v>20</v>
      </c>
      <c r="C466" t="s">
        <v>332</v>
      </c>
      <c r="D466" s="1">
        <v>45413</v>
      </c>
      <c r="E466" s="1">
        <v>45870</v>
      </c>
      <c r="F466">
        <v>1</v>
      </c>
      <c r="G466">
        <f t="shared" si="15"/>
        <v>4</v>
      </c>
      <c r="H466" t="s">
        <v>394</v>
      </c>
      <c r="I466" t="s">
        <v>395</v>
      </c>
      <c r="J466">
        <v>9079571</v>
      </c>
      <c r="K466" t="s">
        <v>428</v>
      </c>
      <c r="L466" t="s">
        <v>413</v>
      </c>
      <c r="M466" t="str">
        <f t="shared" si="16"/>
        <v xml:space="preserve">ADAM RICHTER   </v>
      </c>
      <c r="N466" t="s">
        <v>51</v>
      </c>
      <c r="O466">
        <v>1</v>
      </c>
      <c r="P466">
        <v>16.25</v>
      </c>
      <c r="Q466">
        <v>0.13</v>
      </c>
      <c r="R466">
        <v>2.11</v>
      </c>
      <c r="S466" t="s">
        <v>402</v>
      </c>
    </row>
    <row r="467" spans="1:19" x14ac:dyDescent="0.25">
      <c r="A467" t="s">
        <v>331</v>
      </c>
      <c r="B467" t="s">
        <v>20</v>
      </c>
      <c r="C467" t="s">
        <v>332</v>
      </c>
      <c r="D467" s="1">
        <v>45413</v>
      </c>
      <c r="E467" s="1">
        <v>45870</v>
      </c>
      <c r="F467">
        <v>1</v>
      </c>
      <c r="G467">
        <f t="shared" si="15"/>
        <v>4</v>
      </c>
      <c r="H467" t="s">
        <v>394</v>
      </c>
      <c r="I467" t="s">
        <v>395</v>
      </c>
      <c r="J467">
        <v>9079571</v>
      </c>
      <c r="K467" t="s">
        <v>428</v>
      </c>
      <c r="L467" t="s">
        <v>413</v>
      </c>
      <c r="M467" t="str">
        <f t="shared" si="16"/>
        <v xml:space="preserve">ADAM RICHTER   </v>
      </c>
      <c r="N467" t="s">
        <v>48</v>
      </c>
      <c r="O467">
        <v>1</v>
      </c>
      <c r="P467">
        <v>70.84</v>
      </c>
      <c r="Q467">
        <v>0.13</v>
      </c>
      <c r="R467">
        <v>9.2100000000000009</v>
      </c>
      <c r="S467" t="s">
        <v>402</v>
      </c>
    </row>
    <row r="468" spans="1:19" x14ac:dyDescent="0.25">
      <c r="A468" t="s">
        <v>331</v>
      </c>
      <c r="B468" t="s">
        <v>20</v>
      </c>
      <c r="C468" t="s">
        <v>332</v>
      </c>
      <c r="D468" s="1">
        <v>45413</v>
      </c>
      <c r="E468" s="1">
        <v>45870</v>
      </c>
      <c r="F468">
        <v>1</v>
      </c>
      <c r="G468">
        <f t="shared" si="15"/>
        <v>4</v>
      </c>
      <c r="H468" t="s">
        <v>394</v>
      </c>
      <c r="I468" t="s">
        <v>395</v>
      </c>
      <c r="J468">
        <v>9079571</v>
      </c>
      <c r="K468" t="s">
        <v>428</v>
      </c>
      <c r="L468" t="s">
        <v>413</v>
      </c>
      <c r="M468" t="str">
        <f t="shared" si="16"/>
        <v xml:space="preserve">ADAM RICHTER   </v>
      </c>
      <c r="N468" t="s">
        <v>49</v>
      </c>
      <c r="O468">
        <v>1</v>
      </c>
      <c r="P468">
        <v>3.08</v>
      </c>
      <c r="Q468">
        <v>0.13</v>
      </c>
      <c r="R468">
        <v>0.4</v>
      </c>
      <c r="S468" t="s">
        <v>402</v>
      </c>
    </row>
    <row r="469" spans="1:19" x14ac:dyDescent="0.25">
      <c r="A469" t="s">
        <v>333</v>
      </c>
      <c r="B469" t="s">
        <v>20</v>
      </c>
      <c r="C469" t="s">
        <v>334</v>
      </c>
      <c r="D469" s="1">
        <v>45413</v>
      </c>
      <c r="E469" s="1">
        <v>45870</v>
      </c>
      <c r="F469">
        <v>1</v>
      </c>
      <c r="G469">
        <f t="shared" si="15"/>
        <v>4</v>
      </c>
      <c r="H469" t="s">
        <v>394</v>
      </c>
      <c r="I469" t="s">
        <v>395</v>
      </c>
      <c r="J469">
        <v>9079571</v>
      </c>
      <c r="K469" t="s">
        <v>428</v>
      </c>
      <c r="L469" t="s">
        <v>413</v>
      </c>
      <c r="M469" t="str">
        <f t="shared" si="16"/>
        <v xml:space="preserve">ADAM RICHTER   </v>
      </c>
      <c r="N469" t="s">
        <v>48</v>
      </c>
      <c r="O469">
        <v>1</v>
      </c>
      <c r="P469">
        <v>59.76</v>
      </c>
      <c r="Q469">
        <v>0.13</v>
      </c>
      <c r="R469">
        <v>7.77</v>
      </c>
      <c r="S469" t="s">
        <v>402</v>
      </c>
    </row>
    <row r="470" spans="1:19" x14ac:dyDescent="0.25">
      <c r="A470" t="s">
        <v>333</v>
      </c>
      <c r="B470" t="s">
        <v>20</v>
      </c>
      <c r="C470" t="s">
        <v>334</v>
      </c>
      <c r="D470" s="1">
        <v>45413</v>
      </c>
      <c r="E470" s="1">
        <v>45870</v>
      </c>
      <c r="F470">
        <v>1</v>
      </c>
      <c r="G470">
        <f t="shared" si="15"/>
        <v>4</v>
      </c>
      <c r="H470" t="s">
        <v>394</v>
      </c>
      <c r="I470" t="s">
        <v>395</v>
      </c>
      <c r="J470">
        <v>9079571</v>
      </c>
      <c r="K470" t="s">
        <v>428</v>
      </c>
      <c r="L470" t="s">
        <v>413</v>
      </c>
      <c r="M470" t="str">
        <f t="shared" si="16"/>
        <v xml:space="preserve">ADAM RICHTER   </v>
      </c>
      <c r="N470" t="s">
        <v>49</v>
      </c>
      <c r="O470">
        <v>1</v>
      </c>
      <c r="P470">
        <v>3.08</v>
      </c>
      <c r="Q470">
        <v>0.13</v>
      </c>
      <c r="R470">
        <v>0.4</v>
      </c>
      <c r="S470" t="s">
        <v>402</v>
      </c>
    </row>
    <row r="471" spans="1:19" x14ac:dyDescent="0.25">
      <c r="A471" t="s">
        <v>333</v>
      </c>
      <c r="B471" t="s">
        <v>20</v>
      </c>
      <c r="C471" t="s">
        <v>334</v>
      </c>
      <c r="D471" s="1">
        <v>45413</v>
      </c>
      <c r="E471" s="1">
        <v>45870</v>
      </c>
      <c r="F471">
        <v>1</v>
      </c>
      <c r="G471">
        <f t="shared" si="15"/>
        <v>4</v>
      </c>
      <c r="H471" t="s">
        <v>394</v>
      </c>
      <c r="I471" t="s">
        <v>395</v>
      </c>
      <c r="J471">
        <v>9079571</v>
      </c>
      <c r="K471" t="s">
        <v>428</v>
      </c>
      <c r="L471" t="s">
        <v>413</v>
      </c>
      <c r="M471" t="str">
        <f t="shared" si="16"/>
        <v xml:space="preserve">ADAM RICHTER   </v>
      </c>
      <c r="N471" t="s">
        <v>51</v>
      </c>
      <c r="O471">
        <v>1</v>
      </c>
      <c r="P471">
        <v>15</v>
      </c>
      <c r="Q471">
        <v>0.13</v>
      </c>
      <c r="R471">
        <v>1.95</v>
      </c>
      <c r="S471" t="s">
        <v>402</v>
      </c>
    </row>
    <row r="472" spans="1:19" x14ac:dyDescent="0.25">
      <c r="A472" t="s">
        <v>333</v>
      </c>
      <c r="B472" t="s">
        <v>20</v>
      </c>
      <c r="C472" t="s">
        <v>334</v>
      </c>
      <c r="D472" s="1">
        <v>45413</v>
      </c>
      <c r="E472" s="1">
        <v>45870</v>
      </c>
      <c r="F472">
        <v>1</v>
      </c>
      <c r="G472">
        <f t="shared" si="15"/>
        <v>4</v>
      </c>
      <c r="H472" t="s">
        <v>394</v>
      </c>
      <c r="I472" t="s">
        <v>395</v>
      </c>
      <c r="J472">
        <v>9079571</v>
      </c>
      <c r="K472" t="s">
        <v>428</v>
      </c>
      <c r="L472" t="s">
        <v>413</v>
      </c>
      <c r="M472" t="str">
        <f t="shared" si="16"/>
        <v xml:space="preserve">ADAM RICHTER   </v>
      </c>
      <c r="N472" t="s">
        <v>50</v>
      </c>
      <c r="O472">
        <v>1</v>
      </c>
      <c r="P472">
        <v>5.53</v>
      </c>
      <c r="Q472">
        <v>0.13</v>
      </c>
      <c r="R472">
        <v>0.72</v>
      </c>
      <c r="S472" t="s">
        <v>402</v>
      </c>
    </row>
    <row r="473" spans="1:19" x14ac:dyDescent="0.25">
      <c r="A473" t="s">
        <v>335</v>
      </c>
      <c r="B473" t="s">
        <v>30</v>
      </c>
      <c r="C473" t="s">
        <v>336</v>
      </c>
      <c r="D473" s="1">
        <v>45413</v>
      </c>
      <c r="E473" s="1">
        <v>45870</v>
      </c>
      <c r="F473">
        <v>1</v>
      </c>
      <c r="G473">
        <f t="shared" si="15"/>
        <v>4</v>
      </c>
      <c r="H473" t="s">
        <v>394</v>
      </c>
      <c r="I473" t="s">
        <v>395</v>
      </c>
      <c r="J473" t="s">
        <v>393</v>
      </c>
      <c r="K473" t="s">
        <v>403</v>
      </c>
      <c r="L473" t="s">
        <v>404</v>
      </c>
      <c r="M473" t="str">
        <f t="shared" si="16"/>
        <v>CAROL FOLEY</v>
      </c>
      <c r="N473" t="s">
        <v>202</v>
      </c>
      <c r="O473">
        <v>1</v>
      </c>
      <c r="P473">
        <v>62.36</v>
      </c>
      <c r="Q473">
        <v>0.13</v>
      </c>
      <c r="R473">
        <v>8.11</v>
      </c>
      <c r="S473" t="s">
        <v>402</v>
      </c>
    </row>
    <row r="474" spans="1:19" x14ac:dyDescent="0.25">
      <c r="A474" t="s">
        <v>329</v>
      </c>
      <c r="B474" t="s">
        <v>20</v>
      </c>
      <c r="C474" t="s">
        <v>330</v>
      </c>
      <c r="D474" s="1">
        <v>45289</v>
      </c>
      <c r="E474" s="1">
        <v>45867</v>
      </c>
      <c r="F474">
        <v>1</v>
      </c>
      <c r="G474">
        <f t="shared" si="15"/>
        <v>7</v>
      </c>
      <c r="H474" t="s">
        <v>394</v>
      </c>
      <c r="I474" t="s">
        <v>395</v>
      </c>
      <c r="J474">
        <v>9079571</v>
      </c>
      <c r="K474" t="s">
        <v>428</v>
      </c>
      <c r="L474" t="s">
        <v>413</v>
      </c>
      <c r="M474" t="str">
        <f t="shared" si="16"/>
        <v xml:space="preserve">ADAM RICHTER   </v>
      </c>
      <c r="N474" t="s">
        <v>254</v>
      </c>
      <c r="O474">
        <v>1</v>
      </c>
      <c r="P474">
        <v>8.5500000000000007</v>
      </c>
      <c r="Q474">
        <v>0.13</v>
      </c>
      <c r="R474">
        <v>1.1100000000000001</v>
      </c>
      <c r="S474" t="s">
        <v>402</v>
      </c>
    </row>
    <row r="475" spans="1:19" x14ac:dyDescent="0.25">
      <c r="A475" t="s">
        <v>329</v>
      </c>
      <c r="B475" t="s">
        <v>20</v>
      </c>
      <c r="C475" t="s">
        <v>330</v>
      </c>
      <c r="D475" s="1">
        <v>45289</v>
      </c>
      <c r="E475" s="1">
        <v>45867</v>
      </c>
      <c r="F475">
        <v>1</v>
      </c>
      <c r="G475">
        <f t="shared" si="15"/>
        <v>7</v>
      </c>
      <c r="H475" t="s">
        <v>394</v>
      </c>
      <c r="I475" t="s">
        <v>395</v>
      </c>
      <c r="J475">
        <v>9079571</v>
      </c>
      <c r="K475" t="s">
        <v>428</v>
      </c>
      <c r="L475" t="s">
        <v>413</v>
      </c>
      <c r="M475" t="str">
        <f t="shared" si="16"/>
        <v xml:space="preserve">ADAM RICHTER   </v>
      </c>
      <c r="N475" t="s">
        <v>202</v>
      </c>
      <c r="O475">
        <v>1</v>
      </c>
      <c r="P475">
        <v>41.81</v>
      </c>
      <c r="Q475">
        <v>0.13</v>
      </c>
      <c r="R475">
        <v>5.44</v>
      </c>
      <c r="S475" t="s">
        <v>402</v>
      </c>
    </row>
    <row r="476" spans="1:19" x14ac:dyDescent="0.25">
      <c r="A476" t="s">
        <v>329</v>
      </c>
      <c r="B476" t="s">
        <v>20</v>
      </c>
      <c r="C476" t="s">
        <v>330</v>
      </c>
      <c r="D476" s="1">
        <v>45289</v>
      </c>
      <c r="E476" s="1">
        <v>45867</v>
      </c>
      <c r="F476">
        <v>1</v>
      </c>
      <c r="G476">
        <f t="shared" si="15"/>
        <v>7</v>
      </c>
      <c r="H476" t="s">
        <v>394</v>
      </c>
      <c r="I476" t="s">
        <v>395</v>
      </c>
      <c r="J476">
        <v>9079571</v>
      </c>
      <c r="K476" t="s">
        <v>428</v>
      </c>
      <c r="L476" t="s">
        <v>413</v>
      </c>
      <c r="M476" t="str">
        <f t="shared" si="16"/>
        <v xml:space="preserve">ADAM RICHTER   </v>
      </c>
      <c r="N476" t="s">
        <v>268</v>
      </c>
      <c r="O476">
        <v>1</v>
      </c>
      <c r="P476">
        <v>4.83</v>
      </c>
      <c r="Q476">
        <v>0.13</v>
      </c>
      <c r="R476">
        <v>0.63</v>
      </c>
      <c r="S476" t="s">
        <v>402</v>
      </c>
    </row>
    <row r="477" spans="1:19" x14ac:dyDescent="0.25">
      <c r="A477" t="s">
        <v>327</v>
      </c>
      <c r="B477" t="s">
        <v>20</v>
      </c>
      <c r="C477" t="s">
        <v>328</v>
      </c>
      <c r="D477" s="1">
        <v>45261</v>
      </c>
      <c r="E477" s="1">
        <v>45870</v>
      </c>
      <c r="F477">
        <v>1</v>
      </c>
      <c r="G477">
        <f t="shared" si="15"/>
        <v>8</v>
      </c>
      <c r="H477" t="s">
        <v>394</v>
      </c>
      <c r="I477" t="s">
        <v>395</v>
      </c>
      <c r="J477">
        <v>9079571</v>
      </c>
      <c r="K477" t="s">
        <v>428</v>
      </c>
      <c r="L477" t="s">
        <v>413</v>
      </c>
      <c r="M477" t="str">
        <f t="shared" si="16"/>
        <v xml:space="preserve">ADAM RICHTER   </v>
      </c>
      <c r="N477" t="s">
        <v>268</v>
      </c>
      <c r="O477">
        <v>1</v>
      </c>
      <c r="P477">
        <v>3.08</v>
      </c>
      <c r="Q477">
        <v>0.13</v>
      </c>
      <c r="R477">
        <v>0.4</v>
      </c>
      <c r="S477" t="s">
        <v>402</v>
      </c>
    </row>
    <row r="478" spans="1:19" x14ac:dyDescent="0.25">
      <c r="A478" t="s">
        <v>327</v>
      </c>
      <c r="B478" t="s">
        <v>20</v>
      </c>
      <c r="C478" t="s">
        <v>328</v>
      </c>
      <c r="D478" s="1">
        <v>45261</v>
      </c>
      <c r="E478" s="1">
        <v>45870</v>
      </c>
      <c r="F478">
        <v>1</v>
      </c>
      <c r="G478">
        <f t="shared" si="15"/>
        <v>8</v>
      </c>
      <c r="H478" t="s">
        <v>394</v>
      </c>
      <c r="I478" t="s">
        <v>395</v>
      </c>
      <c r="J478">
        <v>9079571</v>
      </c>
      <c r="K478" t="s">
        <v>428</v>
      </c>
      <c r="L478" t="s">
        <v>413</v>
      </c>
      <c r="M478" t="str">
        <f t="shared" si="16"/>
        <v xml:space="preserve">ADAM RICHTER   </v>
      </c>
      <c r="N478" t="s">
        <v>202</v>
      </c>
      <c r="O478">
        <v>1</v>
      </c>
      <c r="P478">
        <v>59.76</v>
      </c>
      <c r="Q478">
        <v>0.13</v>
      </c>
      <c r="R478">
        <v>7.77</v>
      </c>
      <c r="S478" t="s">
        <v>402</v>
      </c>
    </row>
    <row r="479" spans="1:19" x14ac:dyDescent="0.25">
      <c r="A479" t="s">
        <v>327</v>
      </c>
      <c r="B479" t="s">
        <v>20</v>
      </c>
      <c r="C479" t="s">
        <v>328</v>
      </c>
      <c r="D479" s="1">
        <v>45261</v>
      </c>
      <c r="E479" s="1">
        <v>45870</v>
      </c>
      <c r="F479">
        <v>1</v>
      </c>
      <c r="G479">
        <f t="shared" si="15"/>
        <v>8</v>
      </c>
      <c r="H479" t="s">
        <v>394</v>
      </c>
      <c r="I479" t="s">
        <v>395</v>
      </c>
      <c r="J479">
        <v>9079571</v>
      </c>
      <c r="K479" t="s">
        <v>428</v>
      </c>
      <c r="L479" t="s">
        <v>413</v>
      </c>
      <c r="M479" t="str">
        <f t="shared" si="16"/>
        <v xml:space="preserve">ADAM RICHTER   </v>
      </c>
      <c r="N479" t="s">
        <v>254</v>
      </c>
      <c r="O479">
        <v>1</v>
      </c>
      <c r="P479">
        <v>22.5</v>
      </c>
      <c r="Q479">
        <v>0.13</v>
      </c>
      <c r="R479">
        <v>2.93</v>
      </c>
      <c r="S479" t="s">
        <v>402</v>
      </c>
    </row>
    <row r="480" spans="1:19" x14ac:dyDescent="0.25">
      <c r="A480" t="s">
        <v>325</v>
      </c>
      <c r="B480" t="s">
        <v>20</v>
      </c>
      <c r="C480" t="s">
        <v>326</v>
      </c>
      <c r="D480" s="1">
        <v>45231</v>
      </c>
      <c r="E480" s="1">
        <v>45870</v>
      </c>
      <c r="F480">
        <v>1</v>
      </c>
      <c r="G480">
        <f t="shared" si="15"/>
        <v>9</v>
      </c>
      <c r="H480" t="s">
        <v>394</v>
      </c>
      <c r="I480" t="s">
        <v>395</v>
      </c>
      <c r="J480">
        <v>9079571</v>
      </c>
      <c r="K480" t="s">
        <v>428</v>
      </c>
      <c r="L480" t="s">
        <v>413</v>
      </c>
      <c r="M480" t="str">
        <f t="shared" si="16"/>
        <v xml:space="preserve">ADAM RICHTER   </v>
      </c>
      <c r="N480" t="s">
        <v>254</v>
      </c>
      <c r="O480">
        <v>1</v>
      </c>
      <c r="P480">
        <v>24.37</v>
      </c>
      <c r="Q480">
        <v>0.13</v>
      </c>
      <c r="R480">
        <v>3.17</v>
      </c>
      <c r="S480" t="s">
        <v>402</v>
      </c>
    </row>
    <row r="481" spans="1:19" x14ac:dyDescent="0.25">
      <c r="A481" t="s">
        <v>325</v>
      </c>
      <c r="B481" t="s">
        <v>20</v>
      </c>
      <c r="C481" t="s">
        <v>326</v>
      </c>
      <c r="D481" s="1">
        <v>45231</v>
      </c>
      <c r="E481" s="1">
        <v>45870</v>
      </c>
      <c r="F481">
        <v>1</v>
      </c>
      <c r="G481">
        <f t="shared" si="15"/>
        <v>9</v>
      </c>
      <c r="H481" t="s">
        <v>394</v>
      </c>
      <c r="I481" t="s">
        <v>395</v>
      </c>
      <c r="J481">
        <v>9079571</v>
      </c>
      <c r="K481" t="s">
        <v>428</v>
      </c>
      <c r="L481" t="s">
        <v>413</v>
      </c>
      <c r="M481" t="str">
        <f t="shared" si="16"/>
        <v xml:space="preserve">ADAM RICHTER   </v>
      </c>
      <c r="N481" t="s">
        <v>202</v>
      </c>
      <c r="O481">
        <v>1</v>
      </c>
      <c r="P481">
        <v>70.84</v>
      </c>
      <c r="Q481">
        <v>0.13</v>
      </c>
      <c r="R481">
        <v>9.2100000000000009</v>
      </c>
      <c r="S481" t="s">
        <v>402</v>
      </c>
    </row>
    <row r="482" spans="1:19" x14ac:dyDescent="0.25">
      <c r="A482" t="s">
        <v>325</v>
      </c>
      <c r="B482" t="s">
        <v>20</v>
      </c>
      <c r="C482" t="s">
        <v>326</v>
      </c>
      <c r="D482" s="1">
        <v>45231</v>
      </c>
      <c r="E482" s="1">
        <v>45870</v>
      </c>
      <c r="F482">
        <v>1</v>
      </c>
      <c r="G482">
        <f t="shared" si="15"/>
        <v>9</v>
      </c>
      <c r="H482" t="s">
        <v>394</v>
      </c>
      <c r="I482" t="s">
        <v>395</v>
      </c>
      <c r="J482">
        <v>9079571</v>
      </c>
      <c r="K482" t="s">
        <v>428</v>
      </c>
      <c r="L482" t="s">
        <v>413</v>
      </c>
      <c r="M482" t="str">
        <f t="shared" si="16"/>
        <v xml:space="preserve">ADAM RICHTER   </v>
      </c>
      <c r="N482" t="s">
        <v>268</v>
      </c>
      <c r="O482">
        <v>1</v>
      </c>
      <c r="P482">
        <v>3.08</v>
      </c>
      <c r="Q482">
        <v>0.13</v>
      </c>
      <c r="R482">
        <v>0.4</v>
      </c>
      <c r="S482" t="s">
        <v>402</v>
      </c>
    </row>
    <row r="483" spans="1:19" x14ac:dyDescent="0.25">
      <c r="A483" t="s">
        <v>323</v>
      </c>
      <c r="B483" t="s">
        <v>20</v>
      </c>
      <c r="C483" t="s">
        <v>324</v>
      </c>
      <c r="D483" s="1">
        <v>45200</v>
      </c>
      <c r="E483" s="1">
        <v>45870</v>
      </c>
      <c r="F483">
        <v>1</v>
      </c>
      <c r="G483">
        <f t="shared" si="15"/>
        <v>10</v>
      </c>
      <c r="H483" t="s">
        <v>394</v>
      </c>
      <c r="I483" t="s">
        <v>395</v>
      </c>
      <c r="J483">
        <v>9079571</v>
      </c>
      <c r="K483" t="s">
        <v>428</v>
      </c>
      <c r="L483" t="s">
        <v>413</v>
      </c>
      <c r="M483" t="str">
        <f t="shared" si="16"/>
        <v xml:space="preserve">ADAM RICHTER   </v>
      </c>
      <c r="N483" t="s">
        <v>268</v>
      </c>
      <c r="O483">
        <v>1</v>
      </c>
      <c r="P483">
        <v>3.08</v>
      </c>
      <c r="Q483">
        <v>0.13</v>
      </c>
      <c r="R483">
        <v>0.4</v>
      </c>
      <c r="S483" t="s">
        <v>402</v>
      </c>
    </row>
    <row r="484" spans="1:19" x14ac:dyDescent="0.25">
      <c r="A484" t="s">
        <v>323</v>
      </c>
      <c r="B484" t="s">
        <v>20</v>
      </c>
      <c r="C484" t="s">
        <v>324</v>
      </c>
      <c r="D484" s="1">
        <v>45200</v>
      </c>
      <c r="E484" s="1">
        <v>45870</v>
      </c>
      <c r="F484">
        <v>1</v>
      </c>
      <c r="G484">
        <f t="shared" si="15"/>
        <v>10</v>
      </c>
      <c r="H484" t="s">
        <v>394</v>
      </c>
      <c r="I484" t="s">
        <v>395</v>
      </c>
      <c r="J484">
        <v>9079571</v>
      </c>
      <c r="K484" t="s">
        <v>428</v>
      </c>
      <c r="L484" t="s">
        <v>413</v>
      </c>
      <c r="M484" t="str">
        <f t="shared" si="16"/>
        <v xml:space="preserve">ADAM RICHTER   </v>
      </c>
      <c r="N484" t="s">
        <v>254</v>
      </c>
      <c r="O484">
        <v>1</v>
      </c>
      <c r="P484">
        <v>22.5</v>
      </c>
      <c r="Q484">
        <v>0.13</v>
      </c>
      <c r="R484">
        <v>2.93</v>
      </c>
      <c r="S484" t="s">
        <v>402</v>
      </c>
    </row>
    <row r="485" spans="1:19" x14ac:dyDescent="0.25">
      <c r="A485" t="s">
        <v>323</v>
      </c>
      <c r="B485" t="s">
        <v>20</v>
      </c>
      <c r="C485" t="s">
        <v>324</v>
      </c>
      <c r="D485" s="1">
        <v>45200</v>
      </c>
      <c r="E485" s="1">
        <v>45870</v>
      </c>
      <c r="F485">
        <v>1</v>
      </c>
      <c r="G485">
        <f t="shared" si="15"/>
        <v>10</v>
      </c>
      <c r="H485" t="s">
        <v>394</v>
      </c>
      <c r="I485" t="s">
        <v>395</v>
      </c>
      <c r="J485">
        <v>9079571</v>
      </c>
      <c r="K485" t="s">
        <v>428</v>
      </c>
      <c r="L485" t="s">
        <v>413</v>
      </c>
      <c r="M485" t="str">
        <f t="shared" si="16"/>
        <v xml:space="preserve">ADAM RICHTER   </v>
      </c>
      <c r="N485" t="s">
        <v>202</v>
      </c>
      <c r="O485">
        <v>1</v>
      </c>
      <c r="P485">
        <v>59.76</v>
      </c>
      <c r="Q485">
        <v>0.13</v>
      </c>
      <c r="R485">
        <v>7.77</v>
      </c>
      <c r="S485" t="s">
        <v>402</v>
      </c>
    </row>
    <row r="486" spans="1:19" x14ac:dyDescent="0.25">
      <c r="A486" t="s">
        <v>321</v>
      </c>
      <c r="B486" t="s">
        <v>20</v>
      </c>
      <c r="C486" t="s">
        <v>322</v>
      </c>
      <c r="D486" s="1">
        <v>45145</v>
      </c>
      <c r="E486" s="1">
        <v>45876</v>
      </c>
      <c r="F486">
        <v>1</v>
      </c>
      <c r="G486">
        <f t="shared" si="15"/>
        <v>12</v>
      </c>
      <c r="H486" t="s">
        <v>394</v>
      </c>
      <c r="I486" t="s">
        <v>395</v>
      </c>
      <c r="J486">
        <v>9079571</v>
      </c>
      <c r="K486" t="s">
        <v>428</v>
      </c>
      <c r="L486" t="s">
        <v>413</v>
      </c>
      <c r="M486" t="str">
        <f t="shared" si="16"/>
        <v xml:space="preserve">ADAM RICHTER   </v>
      </c>
      <c r="N486" t="s">
        <v>254</v>
      </c>
      <c r="O486">
        <v>1</v>
      </c>
      <c r="P486">
        <v>15</v>
      </c>
      <c r="Q486">
        <v>0.13</v>
      </c>
      <c r="R486">
        <v>1.95</v>
      </c>
      <c r="S486" t="s">
        <v>402</v>
      </c>
    </row>
    <row r="487" spans="1:19" x14ac:dyDescent="0.25">
      <c r="A487" t="s">
        <v>321</v>
      </c>
      <c r="B487" t="s">
        <v>20</v>
      </c>
      <c r="C487" t="s">
        <v>322</v>
      </c>
      <c r="D487" s="1">
        <v>45145</v>
      </c>
      <c r="E487" s="1">
        <v>45876</v>
      </c>
      <c r="F487">
        <v>1</v>
      </c>
      <c r="G487">
        <f t="shared" si="15"/>
        <v>12</v>
      </c>
      <c r="H487" t="s">
        <v>394</v>
      </c>
      <c r="I487" t="s">
        <v>395</v>
      </c>
      <c r="J487">
        <v>9079571</v>
      </c>
      <c r="K487" t="s">
        <v>428</v>
      </c>
      <c r="L487" t="s">
        <v>413</v>
      </c>
      <c r="M487" t="str">
        <f t="shared" si="16"/>
        <v xml:space="preserve">ADAM RICHTER   </v>
      </c>
      <c r="N487" t="s">
        <v>202</v>
      </c>
      <c r="O487">
        <v>1</v>
      </c>
      <c r="P487">
        <v>59.76</v>
      </c>
      <c r="Q487">
        <v>0.13</v>
      </c>
      <c r="R487">
        <v>7.77</v>
      </c>
      <c r="S487" t="s">
        <v>402</v>
      </c>
    </row>
    <row r="488" spans="1:19" x14ac:dyDescent="0.25">
      <c r="A488" t="s">
        <v>321</v>
      </c>
      <c r="B488" t="s">
        <v>20</v>
      </c>
      <c r="C488" t="s">
        <v>322</v>
      </c>
      <c r="D488" s="1">
        <v>45145</v>
      </c>
      <c r="E488" s="1">
        <v>45876</v>
      </c>
      <c r="F488">
        <v>1</v>
      </c>
      <c r="G488">
        <f t="shared" si="15"/>
        <v>12</v>
      </c>
      <c r="H488" t="s">
        <v>394</v>
      </c>
      <c r="I488" t="s">
        <v>395</v>
      </c>
      <c r="J488">
        <v>9079571</v>
      </c>
      <c r="K488" t="s">
        <v>428</v>
      </c>
      <c r="L488" t="s">
        <v>413</v>
      </c>
      <c r="M488" t="str">
        <f t="shared" si="16"/>
        <v xml:space="preserve">ADAM RICHTER   </v>
      </c>
      <c r="N488" t="s">
        <v>268</v>
      </c>
      <c r="O488">
        <v>1</v>
      </c>
      <c r="P488">
        <v>3.08</v>
      </c>
      <c r="Q488">
        <v>0.13</v>
      </c>
      <c r="R488">
        <v>0.4</v>
      </c>
      <c r="S488" t="s">
        <v>402</v>
      </c>
    </row>
    <row r="489" spans="1:19" x14ac:dyDescent="0.25">
      <c r="A489" t="s">
        <v>315</v>
      </c>
      <c r="B489" t="s">
        <v>20</v>
      </c>
      <c r="C489" t="s">
        <v>316</v>
      </c>
      <c r="D489" s="1">
        <v>45139</v>
      </c>
      <c r="E489" s="1">
        <v>45870</v>
      </c>
      <c r="F489">
        <v>1</v>
      </c>
      <c r="G489">
        <f t="shared" si="15"/>
        <v>12</v>
      </c>
      <c r="H489" t="s">
        <v>394</v>
      </c>
      <c r="I489" t="s">
        <v>395</v>
      </c>
      <c r="J489">
        <v>9079571</v>
      </c>
      <c r="K489" t="s">
        <v>428</v>
      </c>
      <c r="L489" t="s">
        <v>413</v>
      </c>
      <c r="M489" t="str">
        <f t="shared" si="16"/>
        <v xml:space="preserve">ADAM RICHTER   </v>
      </c>
      <c r="N489" t="s">
        <v>268</v>
      </c>
      <c r="O489">
        <v>1</v>
      </c>
      <c r="P489">
        <v>3.08</v>
      </c>
      <c r="Q489">
        <v>0.13</v>
      </c>
      <c r="R489">
        <v>0.4</v>
      </c>
      <c r="S489" t="s">
        <v>402</v>
      </c>
    </row>
    <row r="490" spans="1:19" x14ac:dyDescent="0.25">
      <c r="A490" t="s">
        <v>315</v>
      </c>
      <c r="B490" t="s">
        <v>20</v>
      </c>
      <c r="C490" t="s">
        <v>316</v>
      </c>
      <c r="D490" s="1">
        <v>45139</v>
      </c>
      <c r="E490" s="1">
        <v>45870</v>
      </c>
      <c r="F490">
        <v>1</v>
      </c>
      <c r="G490">
        <f t="shared" si="15"/>
        <v>12</v>
      </c>
      <c r="H490" t="s">
        <v>394</v>
      </c>
      <c r="I490" t="s">
        <v>395</v>
      </c>
      <c r="J490">
        <v>9079571</v>
      </c>
      <c r="K490" t="s">
        <v>428</v>
      </c>
      <c r="L490" t="s">
        <v>413</v>
      </c>
      <c r="M490" t="str">
        <f t="shared" si="16"/>
        <v xml:space="preserve">ADAM RICHTER   </v>
      </c>
      <c r="N490" t="s">
        <v>254</v>
      </c>
      <c r="O490">
        <v>1</v>
      </c>
      <c r="P490">
        <v>22.5</v>
      </c>
      <c r="Q490">
        <v>0.13</v>
      </c>
      <c r="R490">
        <v>2.93</v>
      </c>
      <c r="S490" t="s">
        <v>402</v>
      </c>
    </row>
    <row r="491" spans="1:19" x14ac:dyDescent="0.25">
      <c r="A491" t="s">
        <v>315</v>
      </c>
      <c r="B491" t="s">
        <v>20</v>
      </c>
      <c r="C491" t="s">
        <v>316</v>
      </c>
      <c r="D491" s="1">
        <v>45139</v>
      </c>
      <c r="E491" s="1">
        <v>45870</v>
      </c>
      <c r="F491">
        <v>1</v>
      </c>
      <c r="G491">
        <f t="shared" si="15"/>
        <v>12</v>
      </c>
      <c r="H491" t="s">
        <v>394</v>
      </c>
      <c r="I491" t="s">
        <v>395</v>
      </c>
      <c r="J491">
        <v>9079571</v>
      </c>
      <c r="K491" t="s">
        <v>428</v>
      </c>
      <c r="L491" t="s">
        <v>413</v>
      </c>
      <c r="M491" t="str">
        <f t="shared" si="16"/>
        <v xml:space="preserve">ADAM RICHTER   </v>
      </c>
      <c r="N491" t="s">
        <v>202</v>
      </c>
      <c r="O491">
        <v>1</v>
      </c>
      <c r="P491">
        <v>59.76</v>
      </c>
      <c r="Q491">
        <v>0.13</v>
      </c>
      <c r="R491">
        <v>7.77</v>
      </c>
      <c r="S491" t="s">
        <v>402</v>
      </c>
    </row>
    <row r="492" spans="1:19" x14ac:dyDescent="0.25">
      <c r="A492" t="s">
        <v>317</v>
      </c>
      <c r="B492" t="s">
        <v>20</v>
      </c>
      <c r="C492" t="s">
        <v>318</v>
      </c>
      <c r="D492" s="1">
        <v>45139</v>
      </c>
      <c r="E492" s="1">
        <v>45870</v>
      </c>
      <c r="F492">
        <v>1</v>
      </c>
      <c r="G492">
        <f t="shared" si="15"/>
        <v>12</v>
      </c>
      <c r="H492" t="s">
        <v>394</v>
      </c>
      <c r="I492" t="s">
        <v>395</v>
      </c>
      <c r="J492">
        <v>9079571</v>
      </c>
      <c r="K492" t="s">
        <v>428</v>
      </c>
      <c r="L492" t="s">
        <v>413</v>
      </c>
      <c r="M492" t="str">
        <f t="shared" si="16"/>
        <v xml:space="preserve">ADAM RICHTER   </v>
      </c>
      <c r="N492" t="s">
        <v>202</v>
      </c>
      <c r="O492">
        <v>1</v>
      </c>
      <c r="P492">
        <v>59.76</v>
      </c>
      <c r="Q492">
        <v>0.13</v>
      </c>
      <c r="R492">
        <v>7.77</v>
      </c>
      <c r="S492" t="s">
        <v>402</v>
      </c>
    </row>
    <row r="493" spans="1:19" x14ac:dyDescent="0.25">
      <c r="A493" t="s">
        <v>317</v>
      </c>
      <c r="B493" t="s">
        <v>20</v>
      </c>
      <c r="C493" t="s">
        <v>318</v>
      </c>
      <c r="D493" s="1">
        <v>45139</v>
      </c>
      <c r="E493" s="1">
        <v>45870</v>
      </c>
      <c r="F493">
        <v>1</v>
      </c>
      <c r="G493">
        <f t="shared" si="15"/>
        <v>12</v>
      </c>
      <c r="H493" t="s">
        <v>394</v>
      </c>
      <c r="I493" t="s">
        <v>395</v>
      </c>
      <c r="J493">
        <v>9079571</v>
      </c>
      <c r="K493" t="s">
        <v>428</v>
      </c>
      <c r="L493" t="s">
        <v>413</v>
      </c>
      <c r="M493" t="str">
        <f t="shared" si="16"/>
        <v xml:space="preserve">ADAM RICHTER   </v>
      </c>
      <c r="N493" t="s">
        <v>254</v>
      </c>
      <c r="O493">
        <v>1</v>
      </c>
      <c r="P493">
        <v>22.5</v>
      </c>
      <c r="Q493">
        <v>0.13</v>
      </c>
      <c r="R493">
        <v>2.93</v>
      </c>
      <c r="S493" t="s">
        <v>402</v>
      </c>
    </row>
    <row r="494" spans="1:19" x14ac:dyDescent="0.25">
      <c r="A494" t="s">
        <v>317</v>
      </c>
      <c r="B494" t="s">
        <v>20</v>
      </c>
      <c r="C494" t="s">
        <v>318</v>
      </c>
      <c r="D494" s="1">
        <v>45139</v>
      </c>
      <c r="E494" s="1">
        <v>45870</v>
      </c>
      <c r="F494">
        <v>1</v>
      </c>
      <c r="G494">
        <f t="shared" si="15"/>
        <v>12</v>
      </c>
      <c r="H494" t="s">
        <v>394</v>
      </c>
      <c r="I494" t="s">
        <v>395</v>
      </c>
      <c r="J494">
        <v>9079571</v>
      </c>
      <c r="K494" t="s">
        <v>428</v>
      </c>
      <c r="L494" t="s">
        <v>413</v>
      </c>
      <c r="M494" t="str">
        <f t="shared" si="16"/>
        <v xml:space="preserve">ADAM RICHTER   </v>
      </c>
      <c r="N494" t="s">
        <v>268</v>
      </c>
      <c r="O494">
        <v>1</v>
      </c>
      <c r="P494">
        <v>3.08</v>
      </c>
      <c r="Q494">
        <v>0.13</v>
      </c>
      <c r="R494">
        <v>0.4</v>
      </c>
      <c r="S494" t="s">
        <v>402</v>
      </c>
    </row>
    <row r="495" spans="1:19" x14ac:dyDescent="0.25">
      <c r="A495" t="s">
        <v>319</v>
      </c>
      <c r="B495" t="s">
        <v>20</v>
      </c>
      <c r="C495" t="s">
        <v>320</v>
      </c>
      <c r="D495" s="1">
        <v>45139</v>
      </c>
      <c r="E495" s="1">
        <v>45870</v>
      </c>
      <c r="F495">
        <v>1</v>
      </c>
      <c r="G495">
        <f t="shared" si="15"/>
        <v>12</v>
      </c>
      <c r="H495" t="s">
        <v>394</v>
      </c>
      <c r="I495" t="s">
        <v>395</v>
      </c>
      <c r="J495">
        <v>9079571</v>
      </c>
      <c r="K495" t="s">
        <v>428</v>
      </c>
      <c r="L495" t="s">
        <v>413</v>
      </c>
      <c r="M495" t="str">
        <f t="shared" si="16"/>
        <v xml:space="preserve">ADAM RICHTER   </v>
      </c>
      <c r="N495" t="s">
        <v>268</v>
      </c>
      <c r="O495">
        <v>1</v>
      </c>
      <c r="P495">
        <v>3.08</v>
      </c>
      <c r="Q495">
        <v>0.13</v>
      </c>
      <c r="R495">
        <v>0.4</v>
      </c>
      <c r="S495" t="s">
        <v>402</v>
      </c>
    </row>
    <row r="496" spans="1:19" x14ac:dyDescent="0.25">
      <c r="A496" t="s">
        <v>319</v>
      </c>
      <c r="B496" t="s">
        <v>20</v>
      </c>
      <c r="C496" t="s">
        <v>320</v>
      </c>
      <c r="D496" s="1">
        <v>45139</v>
      </c>
      <c r="E496" s="1">
        <v>45870</v>
      </c>
      <c r="F496">
        <v>1</v>
      </c>
      <c r="G496">
        <f t="shared" si="15"/>
        <v>12</v>
      </c>
      <c r="H496" t="s">
        <v>394</v>
      </c>
      <c r="I496" t="s">
        <v>395</v>
      </c>
      <c r="J496">
        <v>9079571</v>
      </c>
      <c r="K496" t="s">
        <v>428</v>
      </c>
      <c r="L496" t="s">
        <v>413</v>
      </c>
      <c r="M496" t="str">
        <f t="shared" si="16"/>
        <v xml:space="preserve">ADAM RICHTER   </v>
      </c>
      <c r="N496" t="s">
        <v>254</v>
      </c>
      <c r="O496">
        <v>1</v>
      </c>
      <c r="P496">
        <v>22.5</v>
      </c>
      <c r="Q496">
        <v>0.13</v>
      </c>
      <c r="R496">
        <v>2.93</v>
      </c>
      <c r="S496" t="s">
        <v>402</v>
      </c>
    </row>
    <row r="497" spans="1:19" x14ac:dyDescent="0.25">
      <c r="A497" t="s">
        <v>319</v>
      </c>
      <c r="B497" t="s">
        <v>20</v>
      </c>
      <c r="C497" t="s">
        <v>320</v>
      </c>
      <c r="D497" s="1">
        <v>45139</v>
      </c>
      <c r="E497" s="1">
        <v>45870</v>
      </c>
      <c r="F497">
        <v>1</v>
      </c>
      <c r="G497">
        <f t="shared" si="15"/>
        <v>12</v>
      </c>
      <c r="H497" t="s">
        <v>394</v>
      </c>
      <c r="I497" t="s">
        <v>395</v>
      </c>
      <c r="J497">
        <v>9079571</v>
      </c>
      <c r="K497" t="s">
        <v>428</v>
      </c>
      <c r="L497" t="s">
        <v>413</v>
      </c>
      <c r="M497" t="str">
        <f t="shared" ref="M497:M528" si="17">CONCATENATE(K497, " ",L497)</f>
        <v xml:space="preserve">ADAM RICHTER   </v>
      </c>
      <c r="N497" t="s">
        <v>202</v>
      </c>
      <c r="O497">
        <v>1</v>
      </c>
      <c r="P497">
        <v>59.76</v>
      </c>
      <c r="Q497">
        <v>0.13</v>
      </c>
      <c r="R497">
        <v>7.77</v>
      </c>
      <c r="S497" t="s">
        <v>402</v>
      </c>
    </row>
    <row r="498" spans="1:19" x14ac:dyDescent="0.25">
      <c r="A498" t="s">
        <v>311</v>
      </c>
      <c r="B498" t="s">
        <v>20</v>
      </c>
      <c r="C498" t="s">
        <v>312</v>
      </c>
      <c r="D498" s="1">
        <v>45078</v>
      </c>
      <c r="E498" s="1">
        <v>45870</v>
      </c>
      <c r="F498">
        <v>1</v>
      </c>
      <c r="G498">
        <f t="shared" si="15"/>
        <v>3</v>
      </c>
      <c r="H498" t="s">
        <v>394</v>
      </c>
      <c r="I498" t="s">
        <v>395</v>
      </c>
      <c r="J498">
        <v>16243811</v>
      </c>
      <c r="K498" t="s">
        <v>431</v>
      </c>
      <c r="L498" t="s">
        <v>414</v>
      </c>
      <c r="M498" t="str">
        <f t="shared" si="17"/>
        <v xml:space="preserve">KIMBERLY DICKERSON </v>
      </c>
      <c r="N498" t="s">
        <v>268</v>
      </c>
      <c r="O498">
        <v>1</v>
      </c>
      <c r="P498">
        <v>3.08</v>
      </c>
      <c r="Q498">
        <v>0.13</v>
      </c>
      <c r="R498">
        <v>0.4</v>
      </c>
      <c r="S498" t="s">
        <v>402</v>
      </c>
    </row>
    <row r="499" spans="1:19" x14ac:dyDescent="0.25">
      <c r="A499" t="s">
        <v>311</v>
      </c>
      <c r="B499" t="s">
        <v>20</v>
      </c>
      <c r="C499" t="s">
        <v>312</v>
      </c>
      <c r="D499" s="1">
        <v>45078</v>
      </c>
      <c r="E499" s="1">
        <v>45870</v>
      </c>
      <c r="F499">
        <v>1</v>
      </c>
      <c r="G499">
        <f t="shared" si="15"/>
        <v>3</v>
      </c>
      <c r="H499" t="s">
        <v>394</v>
      </c>
      <c r="I499" t="s">
        <v>395</v>
      </c>
      <c r="J499">
        <v>16243811</v>
      </c>
      <c r="K499" t="s">
        <v>431</v>
      </c>
      <c r="L499" t="s">
        <v>414</v>
      </c>
      <c r="M499" t="str">
        <f t="shared" si="17"/>
        <v xml:space="preserve">KIMBERLY DICKERSON </v>
      </c>
      <c r="N499" t="s">
        <v>202</v>
      </c>
      <c r="O499">
        <v>1</v>
      </c>
      <c r="P499">
        <v>43.44</v>
      </c>
      <c r="Q499">
        <v>0.13</v>
      </c>
      <c r="R499">
        <v>5.65</v>
      </c>
      <c r="S499" t="s">
        <v>402</v>
      </c>
    </row>
    <row r="500" spans="1:19" x14ac:dyDescent="0.25">
      <c r="A500" t="s">
        <v>311</v>
      </c>
      <c r="B500" t="s">
        <v>20</v>
      </c>
      <c r="C500" t="s">
        <v>312</v>
      </c>
      <c r="D500" s="1">
        <v>45078</v>
      </c>
      <c r="E500" s="1">
        <v>45870</v>
      </c>
      <c r="F500">
        <v>1</v>
      </c>
      <c r="G500">
        <f t="shared" si="15"/>
        <v>3</v>
      </c>
      <c r="H500" t="s">
        <v>394</v>
      </c>
      <c r="I500" t="s">
        <v>395</v>
      </c>
      <c r="J500">
        <v>16243811</v>
      </c>
      <c r="K500" t="s">
        <v>431</v>
      </c>
      <c r="L500" t="s">
        <v>414</v>
      </c>
      <c r="M500" t="str">
        <f t="shared" si="17"/>
        <v xml:space="preserve">KIMBERLY DICKERSON </v>
      </c>
      <c r="N500" t="s">
        <v>254</v>
      </c>
      <c r="O500">
        <v>1</v>
      </c>
      <c r="P500">
        <v>22.5</v>
      </c>
      <c r="Q500">
        <v>0.13</v>
      </c>
      <c r="R500">
        <v>2.93</v>
      </c>
      <c r="S500" t="s">
        <v>402</v>
      </c>
    </row>
    <row r="501" spans="1:19" x14ac:dyDescent="0.25">
      <c r="A501" t="s">
        <v>313</v>
      </c>
      <c r="B501" t="s">
        <v>20</v>
      </c>
      <c r="C501" t="s">
        <v>314</v>
      </c>
      <c r="D501" s="1">
        <v>45078</v>
      </c>
      <c r="E501" s="1">
        <v>45870</v>
      </c>
      <c r="F501">
        <v>1</v>
      </c>
      <c r="G501">
        <f t="shared" si="15"/>
        <v>3</v>
      </c>
      <c r="H501" t="s">
        <v>394</v>
      </c>
      <c r="I501" t="s">
        <v>395</v>
      </c>
      <c r="J501">
        <v>16243811</v>
      </c>
      <c r="K501" t="s">
        <v>431</v>
      </c>
      <c r="L501" t="s">
        <v>414</v>
      </c>
      <c r="M501" t="str">
        <f t="shared" si="17"/>
        <v xml:space="preserve">KIMBERLY DICKERSON </v>
      </c>
      <c r="N501" t="s">
        <v>254</v>
      </c>
      <c r="O501">
        <v>1</v>
      </c>
      <c r="P501">
        <v>22.5</v>
      </c>
      <c r="Q501">
        <v>0.13</v>
      </c>
      <c r="R501">
        <v>2.93</v>
      </c>
      <c r="S501" t="s">
        <v>402</v>
      </c>
    </row>
    <row r="502" spans="1:19" x14ac:dyDescent="0.25">
      <c r="A502" t="s">
        <v>313</v>
      </c>
      <c r="B502" t="s">
        <v>20</v>
      </c>
      <c r="C502" t="s">
        <v>314</v>
      </c>
      <c r="D502" s="1">
        <v>45078</v>
      </c>
      <c r="E502" s="1">
        <v>45870</v>
      </c>
      <c r="F502">
        <v>1</v>
      </c>
      <c r="G502">
        <f t="shared" si="15"/>
        <v>3</v>
      </c>
      <c r="H502" t="s">
        <v>394</v>
      </c>
      <c r="I502" t="s">
        <v>395</v>
      </c>
      <c r="J502">
        <v>16243811</v>
      </c>
      <c r="K502" t="s">
        <v>431</v>
      </c>
      <c r="L502" t="s">
        <v>414</v>
      </c>
      <c r="M502" t="str">
        <f t="shared" si="17"/>
        <v xml:space="preserve">KIMBERLY DICKERSON </v>
      </c>
      <c r="N502" t="s">
        <v>202</v>
      </c>
      <c r="O502">
        <v>1</v>
      </c>
      <c r="P502">
        <v>43.44</v>
      </c>
      <c r="Q502">
        <v>0.13</v>
      </c>
      <c r="R502">
        <v>5.65</v>
      </c>
      <c r="S502" t="s">
        <v>402</v>
      </c>
    </row>
    <row r="503" spans="1:19" x14ac:dyDescent="0.25">
      <c r="A503" t="s">
        <v>313</v>
      </c>
      <c r="B503" t="s">
        <v>20</v>
      </c>
      <c r="C503" t="s">
        <v>314</v>
      </c>
      <c r="D503" s="1">
        <v>45078</v>
      </c>
      <c r="E503" s="1">
        <v>45870</v>
      </c>
      <c r="F503">
        <v>1</v>
      </c>
      <c r="G503">
        <f t="shared" si="15"/>
        <v>3</v>
      </c>
      <c r="H503" t="s">
        <v>394</v>
      </c>
      <c r="I503" t="s">
        <v>395</v>
      </c>
      <c r="J503">
        <v>16243811</v>
      </c>
      <c r="K503" t="s">
        <v>431</v>
      </c>
      <c r="L503" t="s">
        <v>414</v>
      </c>
      <c r="M503" t="str">
        <f t="shared" si="17"/>
        <v xml:space="preserve">KIMBERLY DICKERSON </v>
      </c>
      <c r="N503" t="s">
        <v>268</v>
      </c>
      <c r="O503">
        <v>1</v>
      </c>
      <c r="P503">
        <v>3.08</v>
      </c>
      <c r="Q503">
        <v>0.13</v>
      </c>
      <c r="R503">
        <v>0.4</v>
      </c>
      <c r="S503" t="s">
        <v>402</v>
      </c>
    </row>
    <row r="504" spans="1:19" x14ac:dyDescent="0.25">
      <c r="A504" t="s">
        <v>307</v>
      </c>
      <c r="B504" t="s">
        <v>20</v>
      </c>
      <c r="C504" t="s">
        <v>308</v>
      </c>
      <c r="D504" s="1">
        <v>45047</v>
      </c>
      <c r="E504" s="1">
        <v>45870</v>
      </c>
      <c r="F504">
        <v>1</v>
      </c>
      <c r="G504">
        <f t="shared" si="15"/>
        <v>4</v>
      </c>
      <c r="H504" t="s">
        <v>394</v>
      </c>
      <c r="I504" t="s">
        <v>395</v>
      </c>
      <c r="J504">
        <v>16243811</v>
      </c>
      <c r="K504" t="s">
        <v>431</v>
      </c>
      <c r="L504" t="s">
        <v>414</v>
      </c>
      <c r="M504" t="str">
        <f t="shared" si="17"/>
        <v xml:space="preserve">KIMBERLY DICKERSON </v>
      </c>
      <c r="N504" t="s">
        <v>268</v>
      </c>
      <c r="O504">
        <v>1</v>
      </c>
      <c r="P504">
        <v>3.08</v>
      </c>
      <c r="Q504">
        <v>0.13</v>
      </c>
      <c r="R504">
        <v>0.4</v>
      </c>
      <c r="S504" t="s">
        <v>402</v>
      </c>
    </row>
    <row r="505" spans="1:19" x14ac:dyDescent="0.25">
      <c r="A505" t="s">
        <v>307</v>
      </c>
      <c r="B505" t="s">
        <v>20</v>
      </c>
      <c r="C505" t="s">
        <v>308</v>
      </c>
      <c r="D505" s="1">
        <v>45047</v>
      </c>
      <c r="E505" s="1">
        <v>45870</v>
      </c>
      <c r="F505">
        <v>1</v>
      </c>
      <c r="G505">
        <f t="shared" si="15"/>
        <v>4</v>
      </c>
      <c r="H505" t="s">
        <v>394</v>
      </c>
      <c r="I505" t="s">
        <v>395</v>
      </c>
      <c r="J505">
        <v>16243811</v>
      </c>
      <c r="K505" t="s">
        <v>431</v>
      </c>
      <c r="L505" t="s">
        <v>414</v>
      </c>
      <c r="M505" t="str">
        <f t="shared" si="17"/>
        <v xml:space="preserve">KIMBERLY DICKERSON </v>
      </c>
      <c r="N505" t="s">
        <v>202</v>
      </c>
      <c r="O505">
        <v>1</v>
      </c>
      <c r="P505">
        <v>52.55</v>
      </c>
      <c r="Q505">
        <v>0.13</v>
      </c>
      <c r="R505">
        <v>6.83</v>
      </c>
      <c r="S505" t="s">
        <v>402</v>
      </c>
    </row>
    <row r="506" spans="1:19" x14ac:dyDescent="0.25">
      <c r="A506" t="s">
        <v>307</v>
      </c>
      <c r="B506" t="s">
        <v>20</v>
      </c>
      <c r="C506" t="s">
        <v>308</v>
      </c>
      <c r="D506" s="1">
        <v>45047</v>
      </c>
      <c r="E506" s="1">
        <v>45870</v>
      </c>
      <c r="F506">
        <v>1</v>
      </c>
      <c r="G506">
        <f t="shared" si="15"/>
        <v>4</v>
      </c>
      <c r="H506" t="s">
        <v>394</v>
      </c>
      <c r="I506" t="s">
        <v>395</v>
      </c>
      <c r="J506">
        <v>16243811</v>
      </c>
      <c r="K506" t="s">
        <v>431</v>
      </c>
      <c r="L506" t="s">
        <v>414</v>
      </c>
      <c r="M506" t="str">
        <f t="shared" si="17"/>
        <v xml:space="preserve">KIMBERLY DICKERSON </v>
      </c>
      <c r="N506" t="s">
        <v>254</v>
      </c>
      <c r="O506">
        <v>1</v>
      </c>
      <c r="P506">
        <v>24.37</v>
      </c>
      <c r="Q506">
        <v>0.13</v>
      </c>
      <c r="R506">
        <v>3.17</v>
      </c>
      <c r="S506" t="s">
        <v>402</v>
      </c>
    </row>
    <row r="507" spans="1:19" x14ac:dyDescent="0.25">
      <c r="A507" t="s">
        <v>309</v>
      </c>
      <c r="B507" t="s">
        <v>20</v>
      </c>
      <c r="C507" t="s">
        <v>310</v>
      </c>
      <c r="D507" s="1">
        <v>45047</v>
      </c>
      <c r="E507" s="1">
        <v>45870</v>
      </c>
      <c r="F507">
        <v>1</v>
      </c>
      <c r="G507">
        <f t="shared" si="15"/>
        <v>4</v>
      </c>
      <c r="H507" t="s">
        <v>394</v>
      </c>
      <c r="I507" t="s">
        <v>395</v>
      </c>
      <c r="J507">
        <v>16243811</v>
      </c>
      <c r="K507" t="s">
        <v>431</v>
      </c>
      <c r="L507" t="s">
        <v>414</v>
      </c>
      <c r="M507" t="str">
        <f t="shared" si="17"/>
        <v xml:space="preserve">KIMBERLY DICKERSON </v>
      </c>
      <c r="N507" t="s">
        <v>254</v>
      </c>
      <c r="O507">
        <v>1</v>
      </c>
      <c r="P507">
        <v>22.5</v>
      </c>
      <c r="Q507">
        <v>0.13</v>
      </c>
      <c r="R507">
        <v>2.93</v>
      </c>
      <c r="S507" t="s">
        <v>402</v>
      </c>
    </row>
    <row r="508" spans="1:19" x14ac:dyDescent="0.25">
      <c r="A508" t="s">
        <v>309</v>
      </c>
      <c r="B508" t="s">
        <v>20</v>
      </c>
      <c r="C508" t="s">
        <v>310</v>
      </c>
      <c r="D508" s="1">
        <v>45047</v>
      </c>
      <c r="E508" s="1">
        <v>45870</v>
      </c>
      <c r="F508">
        <v>1</v>
      </c>
      <c r="G508">
        <f t="shared" si="15"/>
        <v>4</v>
      </c>
      <c r="H508" t="s">
        <v>394</v>
      </c>
      <c r="I508" t="s">
        <v>395</v>
      </c>
      <c r="J508">
        <v>16243811</v>
      </c>
      <c r="K508" t="s">
        <v>431</v>
      </c>
      <c r="L508" t="s">
        <v>414</v>
      </c>
      <c r="M508" t="str">
        <f t="shared" si="17"/>
        <v xml:space="preserve">KIMBERLY DICKERSON </v>
      </c>
      <c r="N508" t="s">
        <v>202</v>
      </c>
      <c r="O508">
        <v>1</v>
      </c>
      <c r="P508">
        <v>43.44</v>
      </c>
      <c r="Q508">
        <v>0.13</v>
      </c>
      <c r="R508">
        <v>5.65</v>
      </c>
      <c r="S508" t="s">
        <v>402</v>
      </c>
    </row>
    <row r="509" spans="1:19" x14ac:dyDescent="0.25">
      <c r="A509" t="s">
        <v>309</v>
      </c>
      <c r="B509" t="s">
        <v>20</v>
      </c>
      <c r="C509" t="s">
        <v>310</v>
      </c>
      <c r="D509" s="1">
        <v>45047</v>
      </c>
      <c r="E509" s="1">
        <v>45870</v>
      </c>
      <c r="F509">
        <v>1</v>
      </c>
      <c r="G509">
        <f t="shared" si="15"/>
        <v>4</v>
      </c>
      <c r="H509" t="s">
        <v>394</v>
      </c>
      <c r="I509" t="s">
        <v>395</v>
      </c>
      <c r="J509">
        <v>16243811</v>
      </c>
      <c r="K509" t="s">
        <v>431</v>
      </c>
      <c r="L509" t="s">
        <v>414</v>
      </c>
      <c r="M509" t="str">
        <f t="shared" si="17"/>
        <v xml:space="preserve">KIMBERLY DICKERSON </v>
      </c>
      <c r="N509" t="s">
        <v>268</v>
      </c>
      <c r="O509">
        <v>1</v>
      </c>
      <c r="P509">
        <v>3.08</v>
      </c>
      <c r="Q509">
        <v>0.13</v>
      </c>
      <c r="R509">
        <v>0.4</v>
      </c>
      <c r="S509" t="s">
        <v>402</v>
      </c>
    </row>
    <row r="510" spans="1:19" x14ac:dyDescent="0.25">
      <c r="A510" t="s">
        <v>305</v>
      </c>
      <c r="B510" t="s">
        <v>20</v>
      </c>
      <c r="C510" t="s">
        <v>306</v>
      </c>
      <c r="D510" s="1">
        <v>45030</v>
      </c>
      <c r="E510" s="1">
        <v>45883</v>
      </c>
      <c r="F510">
        <v>1</v>
      </c>
      <c r="G510">
        <f t="shared" si="15"/>
        <v>5</v>
      </c>
      <c r="H510" t="s">
        <v>394</v>
      </c>
      <c r="I510" t="s">
        <v>395</v>
      </c>
      <c r="J510">
        <v>16243811</v>
      </c>
      <c r="K510" t="s">
        <v>431</v>
      </c>
      <c r="L510" t="s">
        <v>414</v>
      </c>
      <c r="M510" t="str">
        <f t="shared" si="17"/>
        <v xml:space="preserve">KIMBERLY DICKERSON </v>
      </c>
      <c r="N510" t="s">
        <v>202</v>
      </c>
      <c r="O510">
        <v>1</v>
      </c>
      <c r="P510">
        <v>43.44</v>
      </c>
      <c r="Q510">
        <v>0.13</v>
      </c>
      <c r="R510">
        <v>5.65</v>
      </c>
      <c r="S510" t="s">
        <v>402</v>
      </c>
    </row>
    <row r="511" spans="1:19" x14ac:dyDescent="0.25">
      <c r="A511" t="s">
        <v>305</v>
      </c>
      <c r="B511" t="s">
        <v>20</v>
      </c>
      <c r="C511" t="s">
        <v>306</v>
      </c>
      <c r="D511" s="1">
        <v>45030</v>
      </c>
      <c r="E511" s="1">
        <v>45883</v>
      </c>
      <c r="F511">
        <v>1</v>
      </c>
      <c r="G511">
        <f t="shared" si="15"/>
        <v>5</v>
      </c>
      <c r="H511" t="s">
        <v>394</v>
      </c>
      <c r="I511" t="s">
        <v>395</v>
      </c>
      <c r="J511">
        <v>16243811</v>
      </c>
      <c r="K511" t="s">
        <v>431</v>
      </c>
      <c r="L511" t="s">
        <v>414</v>
      </c>
      <c r="M511" t="str">
        <f t="shared" si="17"/>
        <v xml:space="preserve">KIMBERLY DICKERSON </v>
      </c>
      <c r="N511" t="s">
        <v>268</v>
      </c>
      <c r="O511">
        <v>1</v>
      </c>
      <c r="P511">
        <v>3.08</v>
      </c>
      <c r="Q511">
        <v>0.13</v>
      </c>
      <c r="R511">
        <v>0.4</v>
      </c>
      <c r="S511" t="s">
        <v>402</v>
      </c>
    </row>
    <row r="512" spans="1:19" x14ac:dyDescent="0.25">
      <c r="A512" t="s">
        <v>305</v>
      </c>
      <c r="B512" t="s">
        <v>20</v>
      </c>
      <c r="C512" t="s">
        <v>306</v>
      </c>
      <c r="D512" s="1">
        <v>45030</v>
      </c>
      <c r="E512" s="1">
        <v>45883</v>
      </c>
      <c r="F512">
        <v>1</v>
      </c>
      <c r="G512">
        <f t="shared" si="15"/>
        <v>5</v>
      </c>
      <c r="H512" t="s">
        <v>394</v>
      </c>
      <c r="I512" t="s">
        <v>395</v>
      </c>
      <c r="J512">
        <v>16243811</v>
      </c>
      <c r="K512" t="s">
        <v>431</v>
      </c>
      <c r="L512" t="s">
        <v>414</v>
      </c>
      <c r="M512" t="str">
        <f t="shared" si="17"/>
        <v xml:space="preserve">KIMBERLY DICKERSON </v>
      </c>
      <c r="N512" t="s">
        <v>254</v>
      </c>
      <c r="O512">
        <v>1</v>
      </c>
      <c r="P512">
        <v>22.5</v>
      </c>
      <c r="Q512">
        <v>0.13</v>
      </c>
      <c r="R512">
        <v>2.93</v>
      </c>
      <c r="S512" t="s">
        <v>402</v>
      </c>
    </row>
    <row r="513" spans="1:19" x14ac:dyDescent="0.25">
      <c r="A513" t="s">
        <v>303</v>
      </c>
      <c r="B513" t="s">
        <v>20</v>
      </c>
      <c r="C513" t="s">
        <v>304</v>
      </c>
      <c r="D513" s="1">
        <v>45017</v>
      </c>
      <c r="E513" s="1">
        <v>45870</v>
      </c>
      <c r="F513">
        <v>1</v>
      </c>
      <c r="G513">
        <f t="shared" si="15"/>
        <v>5</v>
      </c>
      <c r="H513" t="s">
        <v>394</v>
      </c>
      <c r="I513" t="s">
        <v>395</v>
      </c>
      <c r="J513">
        <v>16243811</v>
      </c>
      <c r="K513" t="s">
        <v>431</v>
      </c>
      <c r="L513" t="s">
        <v>414</v>
      </c>
      <c r="M513" t="str">
        <f t="shared" si="17"/>
        <v xml:space="preserve">KIMBERLY DICKERSON </v>
      </c>
      <c r="N513" t="s">
        <v>268</v>
      </c>
      <c r="O513">
        <v>1</v>
      </c>
      <c r="P513">
        <v>3.08</v>
      </c>
      <c r="Q513">
        <v>0.13</v>
      </c>
      <c r="R513">
        <v>0.4</v>
      </c>
      <c r="S513" t="s">
        <v>402</v>
      </c>
    </row>
    <row r="514" spans="1:19" x14ac:dyDescent="0.25">
      <c r="A514" t="s">
        <v>303</v>
      </c>
      <c r="B514" t="s">
        <v>20</v>
      </c>
      <c r="C514" t="s">
        <v>304</v>
      </c>
      <c r="D514" s="1">
        <v>45017</v>
      </c>
      <c r="E514" s="1">
        <v>45870</v>
      </c>
      <c r="F514">
        <v>1</v>
      </c>
      <c r="G514">
        <f t="shared" ref="G514:G558" si="18">MONTH(E514-D514)</f>
        <v>5</v>
      </c>
      <c r="H514" t="s">
        <v>394</v>
      </c>
      <c r="I514" t="s">
        <v>395</v>
      </c>
      <c r="J514">
        <v>16243811</v>
      </c>
      <c r="K514" t="s">
        <v>431</v>
      </c>
      <c r="L514" t="s">
        <v>414</v>
      </c>
      <c r="M514" t="str">
        <f t="shared" si="17"/>
        <v xml:space="preserve">KIMBERLY DICKERSON </v>
      </c>
      <c r="N514" t="s">
        <v>254</v>
      </c>
      <c r="O514">
        <v>1</v>
      </c>
      <c r="P514">
        <v>24.37</v>
      </c>
      <c r="Q514">
        <v>0.13</v>
      </c>
      <c r="R514">
        <v>3.17</v>
      </c>
      <c r="S514" t="s">
        <v>402</v>
      </c>
    </row>
    <row r="515" spans="1:19" x14ac:dyDescent="0.25">
      <c r="A515" t="s">
        <v>303</v>
      </c>
      <c r="B515" t="s">
        <v>20</v>
      </c>
      <c r="C515" t="s">
        <v>304</v>
      </c>
      <c r="D515" s="1">
        <v>45017</v>
      </c>
      <c r="E515" s="1">
        <v>45870</v>
      </c>
      <c r="F515">
        <v>1</v>
      </c>
      <c r="G515">
        <f t="shared" si="18"/>
        <v>5</v>
      </c>
      <c r="H515" t="s">
        <v>394</v>
      </c>
      <c r="I515" t="s">
        <v>395</v>
      </c>
      <c r="J515">
        <v>16243811</v>
      </c>
      <c r="K515" t="s">
        <v>431</v>
      </c>
      <c r="L515" t="s">
        <v>414</v>
      </c>
      <c r="M515" t="str">
        <f t="shared" si="17"/>
        <v xml:space="preserve">KIMBERLY DICKERSON </v>
      </c>
      <c r="N515" t="s">
        <v>202</v>
      </c>
      <c r="O515">
        <v>1</v>
      </c>
      <c r="P515">
        <v>52.55</v>
      </c>
      <c r="Q515">
        <v>0.13</v>
      </c>
      <c r="R515">
        <v>6.83</v>
      </c>
      <c r="S515" t="s">
        <v>402</v>
      </c>
    </row>
    <row r="516" spans="1:19" x14ac:dyDescent="0.25">
      <c r="A516" t="s">
        <v>300</v>
      </c>
      <c r="B516" t="s">
        <v>20</v>
      </c>
      <c r="C516" t="s">
        <v>301</v>
      </c>
      <c r="D516" s="1">
        <v>44981</v>
      </c>
      <c r="E516" s="1">
        <v>45862</v>
      </c>
      <c r="F516">
        <v>1</v>
      </c>
      <c r="G516">
        <f t="shared" si="18"/>
        <v>5</v>
      </c>
      <c r="H516" t="s">
        <v>394</v>
      </c>
      <c r="I516" t="s">
        <v>395</v>
      </c>
      <c r="J516">
        <v>16243811</v>
      </c>
      <c r="K516" t="s">
        <v>431</v>
      </c>
      <c r="L516" t="s">
        <v>414</v>
      </c>
      <c r="M516" t="str">
        <f t="shared" si="17"/>
        <v xml:space="preserve">KIMBERLY DICKERSON </v>
      </c>
      <c r="N516" t="s">
        <v>268</v>
      </c>
      <c r="O516">
        <v>1</v>
      </c>
      <c r="P516">
        <v>3.08</v>
      </c>
      <c r="Q516">
        <v>0.13</v>
      </c>
      <c r="R516">
        <v>0.4</v>
      </c>
      <c r="S516" t="s">
        <v>402</v>
      </c>
    </row>
    <row r="517" spans="1:19" x14ac:dyDescent="0.25">
      <c r="A517" t="s">
        <v>300</v>
      </c>
      <c r="B517" t="s">
        <v>20</v>
      </c>
      <c r="C517" t="s">
        <v>301</v>
      </c>
      <c r="D517" s="1">
        <v>44981</v>
      </c>
      <c r="E517" s="1">
        <v>45862</v>
      </c>
      <c r="F517">
        <v>1</v>
      </c>
      <c r="G517">
        <f t="shared" si="18"/>
        <v>5</v>
      </c>
      <c r="H517" t="s">
        <v>394</v>
      </c>
      <c r="I517" t="s">
        <v>395</v>
      </c>
      <c r="J517">
        <v>16243811</v>
      </c>
      <c r="K517" t="s">
        <v>431</v>
      </c>
      <c r="L517" t="s">
        <v>414</v>
      </c>
      <c r="M517" t="str">
        <f t="shared" si="17"/>
        <v xml:space="preserve">KIMBERLY DICKERSON </v>
      </c>
      <c r="N517" t="s">
        <v>254</v>
      </c>
      <c r="O517">
        <v>1</v>
      </c>
      <c r="P517">
        <v>22.5</v>
      </c>
      <c r="Q517">
        <v>0.13</v>
      </c>
      <c r="R517">
        <v>2.93</v>
      </c>
      <c r="S517" t="s">
        <v>402</v>
      </c>
    </row>
    <row r="518" spans="1:19" x14ac:dyDescent="0.25">
      <c r="A518" t="s">
        <v>300</v>
      </c>
      <c r="B518" t="s">
        <v>20</v>
      </c>
      <c r="C518" t="s">
        <v>301</v>
      </c>
      <c r="D518" s="1">
        <v>44981</v>
      </c>
      <c r="E518" s="1">
        <v>45862</v>
      </c>
      <c r="F518">
        <v>1</v>
      </c>
      <c r="G518">
        <f t="shared" si="18"/>
        <v>5</v>
      </c>
      <c r="H518" t="s">
        <v>394</v>
      </c>
      <c r="I518" t="s">
        <v>395</v>
      </c>
      <c r="J518">
        <v>16243811</v>
      </c>
      <c r="K518" t="s">
        <v>431</v>
      </c>
      <c r="L518" t="s">
        <v>414</v>
      </c>
      <c r="M518" t="str">
        <f t="shared" si="17"/>
        <v xml:space="preserve">KIMBERLY DICKERSON </v>
      </c>
      <c r="N518" t="s">
        <v>202</v>
      </c>
      <c r="O518">
        <v>1</v>
      </c>
      <c r="P518">
        <v>43.44</v>
      </c>
      <c r="Q518">
        <v>0.13</v>
      </c>
      <c r="R518">
        <v>5.65</v>
      </c>
      <c r="S518" t="s">
        <v>402</v>
      </c>
    </row>
    <row r="519" spans="1:19" x14ac:dyDescent="0.25">
      <c r="A519" t="s">
        <v>298</v>
      </c>
      <c r="B519" t="s">
        <v>20</v>
      </c>
      <c r="C519" t="s">
        <v>299</v>
      </c>
      <c r="D519" s="1">
        <v>44972</v>
      </c>
      <c r="E519" s="1">
        <v>45884</v>
      </c>
      <c r="F519">
        <v>1</v>
      </c>
      <c r="G519">
        <f t="shared" si="18"/>
        <v>6</v>
      </c>
      <c r="H519" t="s">
        <v>394</v>
      </c>
      <c r="I519" t="s">
        <v>395</v>
      </c>
      <c r="J519">
        <v>16243811</v>
      </c>
      <c r="K519" t="s">
        <v>431</v>
      </c>
      <c r="L519" t="s">
        <v>414</v>
      </c>
      <c r="M519" t="str">
        <f t="shared" si="17"/>
        <v xml:space="preserve">KIMBERLY DICKERSON </v>
      </c>
      <c r="N519" t="s">
        <v>202</v>
      </c>
      <c r="O519">
        <v>1</v>
      </c>
      <c r="P519">
        <v>43.44</v>
      </c>
      <c r="Q519">
        <v>0.13</v>
      </c>
      <c r="R519">
        <v>5.65</v>
      </c>
      <c r="S519" t="s">
        <v>402</v>
      </c>
    </row>
    <row r="520" spans="1:19" x14ac:dyDescent="0.25">
      <c r="A520" t="s">
        <v>298</v>
      </c>
      <c r="B520" t="s">
        <v>20</v>
      </c>
      <c r="C520" t="s">
        <v>299</v>
      </c>
      <c r="D520" s="1">
        <v>44972</v>
      </c>
      <c r="E520" s="1">
        <v>45884</v>
      </c>
      <c r="F520">
        <v>1</v>
      </c>
      <c r="G520">
        <f t="shared" si="18"/>
        <v>6</v>
      </c>
      <c r="H520" t="s">
        <v>394</v>
      </c>
      <c r="I520" t="s">
        <v>395</v>
      </c>
      <c r="J520">
        <v>16243811</v>
      </c>
      <c r="K520" t="s">
        <v>431</v>
      </c>
      <c r="L520" t="s">
        <v>414</v>
      </c>
      <c r="M520" t="str">
        <f t="shared" si="17"/>
        <v xml:space="preserve">KIMBERLY DICKERSON </v>
      </c>
      <c r="N520" t="s">
        <v>268</v>
      </c>
      <c r="O520">
        <v>1</v>
      </c>
      <c r="P520">
        <v>3.08</v>
      </c>
      <c r="Q520">
        <v>0.13</v>
      </c>
      <c r="R520">
        <v>0.4</v>
      </c>
      <c r="S520" t="s">
        <v>402</v>
      </c>
    </row>
    <row r="521" spans="1:19" x14ac:dyDescent="0.25">
      <c r="A521" t="s">
        <v>298</v>
      </c>
      <c r="B521" t="s">
        <v>20</v>
      </c>
      <c r="C521" t="s">
        <v>299</v>
      </c>
      <c r="D521" s="1">
        <v>44972</v>
      </c>
      <c r="E521" s="1">
        <v>45884</v>
      </c>
      <c r="F521">
        <v>1</v>
      </c>
      <c r="G521">
        <f t="shared" si="18"/>
        <v>6</v>
      </c>
      <c r="H521" t="s">
        <v>394</v>
      </c>
      <c r="I521" t="s">
        <v>395</v>
      </c>
      <c r="J521">
        <v>16243811</v>
      </c>
      <c r="K521" t="s">
        <v>431</v>
      </c>
      <c r="L521" t="s">
        <v>414</v>
      </c>
      <c r="M521" t="str">
        <f t="shared" si="17"/>
        <v xml:space="preserve">KIMBERLY DICKERSON </v>
      </c>
      <c r="N521" t="s">
        <v>254</v>
      </c>
      <c r="O521">
        <v>1</v>
      </c>
      <c r="P521">
        <v>22.5</v>
      </c>
      <c r="Q521">
        <v>0.13</v>
      </c>
      <c r="R521">
        <v>2.93</v>
      </c>
      <c r="S521" t="s">
        <v>402</v>
      </c>
    </row>
    <row r="522" spans="1:19" x14ac:dyDescent="0.25">
      <c r="A522" t="s">
        <v>296</v>
      </c>
      <c r="B522" t="s">
        <v>20</v>
      </c>
      <c r="C522" t="s">
        <v>297</v>
      </c>
      <c r="D522" s="1">
        <v>44936</v>
      </c>
      <c r="E522" s="1">
        <v>45879</v>
      </c>
      <c r="F522">
        <v>1</v>
      </c>
      <c r="G522">
        <f t="shared" si="18"/>
        <v>7</v>
      </c>
      <c r="H522" t="s">
        <v>394</v>
      </c>
      <c r="I522" t="s">
        <v>395</v>
      </c>
      <c r="J522">
        <v>16243811</v>
      </c>
      <c r="K522" t="s">
        <v>431</v>
      </c>
      <c r="L522" t="s">
        <v>414</v>
      </c>
      <c r="M522" t="str">
        <f t="shared" si="17"/>
        <v xml:space="preserve">KIMBERLY DICKERSON </v>
      </c>
      <c r="N522" t="s">
        <v>202</v>
      </c>
      <c r="O522">
        <v>1</v>
      </c>
      <c r="P522">
        <v>52.55</v>
      </c>
      <c r="Q522">
        <v>0.13</v>
      </c>
      <c r="R522">
        <v>6.83</v>
      </c>
      <c r="S522" t="s">
        <v>402</v>
      </c>
    </row>
    <row r="523" spans="1:19" x14ac:dyDescent="0.25">
      <c r="A523" t="s">
        <v>296</v>
      </c>
      <c r="B523" t="s">
        <v>20</v>
      </c>
      <c r="C523" t="s">
        <v>297</v>
      </c>
      <c r="D523" s="1">
        <v>44936</v>
      </c>
      <c r="E523" s="1">
        <v>45879</v>
      </c>
      <c r="F523">
        <v>1</v>
      </c>
      <c r="G523">
        <f t="shared" si="18"/>
        <v>7</v>
      </c>
      <c r="H523" t="s">
        <v>394</v>
      </c>
      <c r="I523" t="s">
        <v>395</v>
      </c>
      <c r="J523">
        <v>16243811</v>
      </c>
      <c r="K523" t="s">
        <v>431</v>
      </c>
      <c r="L523" t="s">
        <v>414</v>
      </c>
      <c r="M523" t="str">
        <f t="shared" si="17"/>
        <v xml:space="preserve">KIMBERLY DICKERSON </v>
      </c>
      <c r="N523" t="s">
        <v>254</v>
      </c>
      <c r="O523">
        <v>1</v>
      </c>
      <c r="P523">
        <v>24.37</v>
      </c>
      <c r="Q523">
        <v>0.13</v>
      </c>
      <c r="R523">
        <v>3.17</v>
      </c>
      <c r="S523" t="s">
        <v>402</v>
      </c>
    </row>
    <row r="524" spans="1:19" x14ac:dyDescent="0.25">
      <c r="A524" t="s">
        <v>296</v>
      </c>
      <c r="B524" t="s">
        <v>20</v>
      </c>
      <c r="C524" t="s">
        <v>297</v>
      </c>
      <c r="D524" s="1">
        <v>44936</v>
      </c>
      <c r="E524" s="1">
        <v>45879</v>
      </c>
      <c r="F524">
        <v>1</v>
      </c>
      <c r="G524">
        <f t="shared" si="18"/>
        <v>7</v>
      </c>
      <c r="H524" t="s">
        <v>394</v>
      </c>
      <c r="I524" t="s">
        <v>395</v>
      </c>
      <c r="J524">
        <v>16243811</v>
      </c>
      <c r="K524" t="s">
        <v>431</v>
      </c>
      <c r="L524" t="s">
        <v>414</v>
      </c>
      <c r="M524" t="str">
        <f t="shared" si="17"/>
        <v xml:space="preserve">KIMBERLY DICKERSON </v>
      </c>
      <c r="N524" t="s">
        <v>268</v>
      </c>
      <c r="O524">
        <v>1</v>
      </c>
      <c r="P524">
        <v>4.83</v>
      </c>
      <c r="Q524">
        <v>0.13</v>
      </c>
      <c r="R524">
        <v>0.63</v>
      </c>
      <c r="S524" t="s">
        <v>402</v>
      </c>
    </row>
    <row r="525" spans="1:19" x14ac:dyDescent="0.25">
      <c r="A525" t="s">
        <v>252</v>
      </c>
      <c r="B525" t="s">
        <v>30</v>
      </c>
      <c r="C525" t="s">
        <v>253</v>
      </c>
      <c r="D525" s="1">
        <v>44927</v>
      </c>
      <c r="E525" s="1">
        <v>45870</v>
      </c>
      <c r="F525">
        <v>1</v>
      </c>
      <c r="G525">
        <f t="shared" si="18"/>
        <v>7</v>
      </c>
      <c r="H525" t="s">
        <v>394</v>
      </c>
      <c r="I525" t="s">
        <v>395</v>
      </c>
      <c r="J525">
        <v>15278437</v>
      </c>
      <c r="K525" t="s">
        <v>407</v>
      </c>
      <c r="L525" t="s">
        <v>408</v>
      </c>
      <c r="M525" t="str">
        <f t="shared" si="17"/>
        <v xml:space="preserve">JASON HOFFMANN  </v>
      </c>
      <c r="N525" t="s">
        <v>202</v>
      </c>
      <c r="O525">
        <v>1</v>
      </c>
      <c r="P525">
        <v>83.63</v>
      </c>
      <c r="Q525">
        <v>0.13</v>
      </c>
      <c r="R525">
        <v>10.87</v>
      </c>
      <c r="S525" t="s">
        <v>402</v>
      </c>
    </row>
    <row r="526" spans="1:19" x14ac:dyDescent="0.25">
      <c r="A526" t="s">
        <v>252</v>
      </c>
      <c r="B526" t="s">
        <v>30</v>
      </c>
      <c r="C526" t="s">
        <v>253</v>
      </c>
      <c r="D526" s="1">
        <v>44927</v>
      </c>
      <c r="E526" s="1">
        <v>45870</v>
      </c>
      <c r="F526">
        <v>1</v>
      </c>
      <c r="G526">
        <f t="shared" si="18"/>
        <v>7</v>
      </c>
      <c r="H526" t="s">
        <v>394</v>
      </c>
      <c r="I526" t="s">
        <v>395</v>
      </c>
      <c r="J526">
        <v>15278437</v>
      </c>
      <c r="K526" t="s">
        <v>407</v>
      </c>
      <c r="L526" t="s">
        <v>408</v>
      </c>
      <c r="M526" t="str">
        <f t="shared" si="17"/>
        <v xml:space="preserve">JASON HOFFMANN  </v>
      </c>
      <c r="N526" t="s">
        <v>254</v>
      </c>
      <c r="O526">
        <v>1</v>
      </c>
      <c r="P526">
        <v>25.55</v>
      </c>
      <c r="Q526">
        <v>0.13</v>
      </c>
      <c r="R526">
        <v>3.32</v>
      </c>
      <c r="S526" t="s">
        <v>402</v>
      </c>
    </row>
    <row r="527" spans="1:19" x14ac:dyDescent="0.25">
      <c r="A527" t="s">
        <v>269</v>
      </c>
      <c r="B527" t="s">
        <v>20</v>
      </c>
      <c r="C527" t="s">
        <v>270</v>
      </c>
      <c r="D527" s="1">
        <v>44927</v>
      </c>
      <c r="E527" s="1">
        <v>45870</v>
      </c>
      <c r="F527">
        <v>1</v>
      </c>
      <c r="G527">
        <f t="shared" si="18"/>
        <v>7</v>
      </c>
      <c r="H527" t="s">
        <v>394</v>
      </c>
      <c r="I527" t="s">
        <v>395</v>
      </c>
      <c r="J527">
        <v>16243811</v>
      </c>
      <c r="K527" t="s">
        <v>431</v>
      </c>
      <c r="L527" t="s">
        <v>414</v>
      </c>
      <c r="M527" t="str">
        <f t="shared" si="17"/>
        <v xml:space="preserve">KIMBERLY DICKERSON </v>
      </c>
      <c r="N527" t="s">
        <v>268</v>
      </c>
      <c r="O527">
        <v>1</v>
      </c>
      <c r="P527">
        <v>3.08</v>
      </c>
      <c r="Q527">
        <v>0.13</v>
      </c>
      <c r="R527">
        <v>0.4</v>
      </c>
      <c r="S527" t="s">
        <v>402</v>
      </c>
    </row>
    <row r="528" spans="1:19" x14ac:dyDescent="0.25">
      <c r="A528" t="s">
        <v>269</v>
      </c>
      <c r="B528" t="s">
        <v>20</v>
      </c>
      <c r="C528" t="s">
        <v>270</v>
      </c>
      <c r="D528" s="1">
        <v>44927</v>
      </c>
      <c r="E528" s="1">
        <v>45870</v>
      </c>
      <c r="F528">
        <v>1</v>
      </c>
      <c r="G528">
        <f t="shared" si="18"/>
        <v>7</v>
      </c>
      <c r="H528" t="s">
        <v>394</v>
      </c>
      <c r="I528" t="s">
        <v>395</v>
      </c>
      <c r="J528">
        <v>16243811</v>
      </c>
      <c r="K528" t="s">
        <v>431</v>
      </c>
      <c r="L528" t="s">
        <v>414</v>
      </c>
      <c r="M528" t="str">
        <f t="shared" si="17"/>
        <v xml:space="preserve">KIMBERLY DICKERSON </v>
      </c>
      <c r="N528" t="s">
        <v>202</v>
      </c>
      <c r="O528">
        <v>1</v>
      </c>
      <c r="P528">
        <v>52.55</v>
      </c>
      <c r="Q528">
        <v>0.13</v>
      </c>
      <c r="R528">
        <v>6.83</v>
      </c>
      <c r="S528" t="s">
        <v>402</v>
      </c>
    </row>
    <row r="529" spans="1:19" x14ac:dyDescent="0.25">
      <c r="A529" t="s">
        <v>271</v>
      </c>
      <c r="B529" t="s">
        <v>20</v>
      </c>
      <c r="C529" t="s">
        <v>272</v>
      </c>
      <c r="D529" s="1">
        <v>44927</v>
      </c>
      <c r="E529" s="1">
        <v>45870</v>
      </c>
      <c r="F529">
        <v>1</v>
      </c>
      <c r="G529">
        <f t="shared" si="18"/>
        <v>7</v>
      </c>
      <c r="H529" t="s">
        <v>394</v>
      </c>
      <c r="I529" t="s">
        <v>395</v>
      </c>
      <c r="J529">
        <v>16243811</v>
      </c>
      <c r="K529" t="s">
        <v>431</v>
      </c>
      <c r="L529" t="s">
        <v>414</v>
      </c>
      <c r="M529" t="str">
        <f t="shared" ref="M529:M558" si="19">CONCATENATE(K529, " ",L529)</f>
        <v xml:space="preserve">KIMBERLY DICKERSON </v>
      </c>
      <c r="N529" t="s">
        <v>254</v>
      </c>
      <c r="O529">
        <v>1</v>
      </c>
      <c r="P529">
        <v>29.35</v>
      </c>
      <c r="Q529">
        <v>0.13</v>
      </c>
      <c r="R529">
        <v>3.82</v>
      </c>
      <c r="S529" t="s">
        <v>402</v>
      </c>
    </row>
    <row r="530" spans="1:19" x14ac:dyDescent="0.25">
      <c r="A530" t="s">
        <v>271</v>
      </c>
      <c r="B530" t="s">
        <v>20</v>
      </c>
      <c r="C530" t="s">
        <v>272</v>
      </c>
      <c r="D530" s="1">
        <v>44927</v>
      </c>
      <c r="E530" s="1">
        <v>45870</v>
      </c>
      <c r="F530">
        <v>1</v>
      </c>
      <c r="G530">
        <f t="shared" si="18"/>
        <v>7</v>
      </c>
      <c r="H530" t="s">
        <v>394</v>
      </c>
      <c r="I530" t="s">
        <v>395</v>
      </c>
      <c r="J530">
        <v>16243811</v>
      </c>
      <c r="K530" t="s">
        <v>431</v>
      </c>
      <c r="L530" t="s">
        <v>414</v>
      </c>
      <c r="M530" t="str">
        <f t="shared" si="19"/>
        <v xml:space="preserve">KIMBERLY DICKERSON </v>
      </c>
      <c r="N530" t="s">
        <v>202</v>
      </c>
      <c r="O530">
        <v>1</v>
      </c>
      <c r="P530">
        <v>75.27</v>
      </c>
      <c r="Q530">
        <v>0.13</v>
      </c>
      <c r="R530">
        <v>9.7899999999999991</v>
      </c>
      <c r="S530" t="s">
        <v>402</v>
      </c>
    </row>
    <row r="531" spans="1:19" x14ac:dyDescent="0.25">
      <c r="A531" t="s">
        <v>271</v>
      </c>
      <c r="B531" t="s">
        <v>20</v>
      </c>
      <c r="C531" t="s">
        <v>272</v>
      </c>
      <c r="D531" s="1">
        <v>44927</v>
      </c>
      <c r="E531" s="1">
        <v>45870</v>
      </c>
      <c r="F531">
        <v>1</v>
      </c>
      <c r="G531">
        <f t="shared" si="18"/>
        <v>7</v>
      </c>
      <c r="H531" t="s">
        <v>394</v>
      </c>
      <c r="I531" t="s">
        <v>395</v>
      </c>
      <c r="J531">
        <v>16243811</v>
      </c>
      <c r="K531" t="s">
        <v>431</v>
      </c>
      <c r="L531" t="s">
        <v>414</v>
      </c>
      <c r="M531" t="str">
        <f t="shared" si="19"/>
        <v xml:space="preserve">KIMBERLY DICKERSON </v>
      </c>
      <c r="N531" t="s">
        <v>268</v>
      </c>
      <c r="O531">
        <v>1</v>
      </c>
      <c r="P531">
        <v>4.83</v>
      </c>
      <c r="Q531">
        <v>0.13</v>
      </c>
      <c r="R531">
        <v>0.63</v>
      </c>
      <c r="S531" t="s">
        <v>402</v>
      </c>
    </row>
    <row r="532" spans="1:19" x14ac:dyDescent="0.25">
      <c r="A532" t="s">
        <v>287</v>
      </c>
      <c r="B532" t="s">
        <v>20</v>
      </c>
      <c r="C532" t="s">
        <v>288</v>
      </c>
      <c r="D532" s="1">
        <v>44927</v>
      </c>
      <c r="E532" s="1">
        <v>45870</v>
      </c>
      <c r="F532">
        <v>1</v>
      </c>
      <c r="G532">
        <f t="shared" si="18"/>
        <v>7</v>
      </c>
      <c r="H532" t="s">
        <v>394</v>
      </c>
      <c r="I532" t="s">
        <v>395</v>
      </c>
      <c r="J532">
        <v>16243811</v>
      </c>
      <c r="K532" t="s">
        <v>431</v>
      </c>
      <c r="L532" t="s">
        <v>414</v>
      </c>
      <c r="M532" t="str">
        <f t="shared" si="19"/>
        <v xml:space="preserve">KIMBERLY DICKERSON </v>
      </c>
      <c r="N532" t="s">
        <v>268</v>
      </c>
      <c r="O532">
        <v>1</v>
      </c>
      <c r="P532">
        <v>3.08</v>
      </c>
      <c r="Q532">
        <v>0.13</v>
      </c>
      <c r="R532">
        <v>0.4</v>
      </c>
      <c r="S532" t="s">
        <v>402</v>
      </c>
    </row>
    <row r="533" spans="1:19" x14ac:dyDescent="0.25">
      <c r="A533" t="s">
        <v>287</v>
      </c>
      <c r="B533" t="s">
        <v>20</v>
      </c>
      <c r="C533" t="s">
        <v>288</v>
      </c>
      <c r="D533" s="1">
        <v>44927</v>
      </c>
      <c r="E533" s="1">
        <v>45870</v>
      </c>
      <c r="F533">
        <v>1</v>
      </c>
      <c r="G533">
        <f t="shared" si="18"/>
        <v>7</v>
      </c>
      <c r="H533" t="s">
        <v>394</v>
      </c>
      <c r="I533" t="s">
        <v>395</v>
      </c>
      <c r="J533">
        <v>16243811</v>
      </c>
      <c r="K533" t="s">
        <v>431</v>
      </c>
      <c r="L533" t="s">
        <v>414</v>
      </c>
      <c r="M533" t="str">
        <f t="shared" si="19"/>
        <v xml:space="preserve">KIMBERLY DICKERSON </v>
      </c>
      <c r="N533" t="s">
        <v>254</v>
      </c>
      <c r="O533">
        <v>1</v>
      </c>
      <c r="P533">
        <v>24.37</v>
      </c>
      <c r="Q533">
        <v>0.13</v>
      </c>
      <c r="R533">
        <v>3.17</v>
      </c>
      <c r="S533" t="s">
        <v>402</v>
      </c>
    </row>
    <row r="534" spans="1:19" x14ac:dyDescent="0.25">
      <c r="A534" t="s">
        <v>287</v>
      </c>
      <c r="B534" t="s">
        <v>20</v>
      </c>
      <c r="C534" t="s">
        <v>288</v>
      </c>
      <c r="D534" s="1">
        <v>44927</v>
      </c>
      <c r="E534" s="1">
        <v>45870</v>
      </c>
      <c r="F534">
        <v>1</v>
      </c>
      <c r="G534">
        <f t="shared" si="18"/>
        <v>7</v>
      </c>
      <c r="H534" t="s">
        <v>394</v>
      </c>
      <c r="I534" t="s">
        <v>395</v>
      </c>
      <c r="J534">
        <v>16243811</v>
      </c>
      <c r="K534" t="s">
        <v>431</v>
      </c>
      <c r="L534" t="s">
        <v>414</v>
      </c>
      <c r="M534" t="str">
        <f t="shared" si="19"/>
        <v xml:space="preserve">KIMBERLY DICKERSON </v>
      </c>
      <c r="N534" t="s">
        <v>202</v>
      </c>
      <c r="O534">
        <v>1</v>
      </c>
      <c r="P534">
        <v>52.55</v>
      </c>
      <c r="Q534">
        <v>0.13</v>
      </c>
      <c r="R534">
        <v>6.83</v>
      </c>
      <c r="S534" t="s">
        <v>402</v>
      </c>
    </row>
    <row r="535" spans="1:19" x14ac:dyDescent="0.25">
      <c r="A535" t="s">
        <v>289</v>
      </c>
      <c r="B535" t="s">
        <v>20</v>
      </c>
      <c r="C535" t="s">
        <v>290</v>
      </c>
      <c r="D535" s="1">
        <v>44927</v>
      </c>
      <c r="E535" s="1">
        <v>45870</v>
      </c>
      <c r="F535">
        <v>1</v>
      </c>
      <c r="G535">
        <f t="shared" si="18"/>
        <v>7</v>
      </c>
      <c r="H535" t="s">
        <v>394</v>
      </c>
      <c r="I535" t="s">
        <v>395</v>
      </c>
      <c r="J535">
        <v>16243811</v>
      </c>
      <c r="K535" t="s">
        <v>431</v>
      </c>
      <c r="L535" t="s">
        <v>414</v>
      </c>
      <c r="M535" t="str">
        <f t="shared" si="19"/>
        <v xml:space="preserve">KIMBERLY DICKERSON </v>
      </c>
      <c r="N535" t="s">
        <v>254</v>
      </c>
      <c r="O535">
        <v>1</v>
      </c>
      <c r="P535">
        <v>24.37</v>
      </c>
      <c r="Q535">
        <v>0.13</v>
      </c>
      <c r="R535">
        <v>3.17</v>
      </c>
      <c r="S535" t="s">
        <v>402</v>
      </c>
    </row>
    <row r="536" spans="1:19" x14ac:dyDescent="0.25">
      <c r="A536" t="s">
        <v>289</v>
      </c>
      <c r="B536" t="s">
        <v>20</v>
      </c>
      <c r="C536" t="s">
        <v>290</v>
      </c>
      <c r="D536" s="1">
        <v>44927</v>
      </c>
      <c r="E536" s="1">
        <v>45870</v>
      </c>
      <c r="F536">
        <v>1</v>
      </c>
      <c r="G536">
        <f t="shared" si="18"/>
        <v>7</v>
      </c>
      <c r="H536" t="s">
        <v>394</v>
      </c>
      <c r="I536" t="s">
        <v>395</v>
      </c>
      <c r="J536">
        <v>16243811</v>
      </c>
      <c r="K536" t="s">
        <v>431</v>
      </c>
      <c r="L536" t="s">
        <v>414</v>
      </c>
      <c r="M536" t="str">
        <f t="shared" si="19"/>
        <v xml:space="preserve">KIMBERLY DICKERSON </v>
      </c>
      <c r="N536" t="s">
        <v>268</v>
      </c>
      <c r="O536">
        <v>1</v>
      </c>
      <c r="P536">
        <v>3.08</v>
      </c>
      <c r="Q536">
        <v>0.13</v>
      </c>
      <c r="R536">
        <v>0.4</v>
      </c>
      <c r="S536" t="s">
        <v>402</v>
      </c>
    </row>
    <row r="537" spans="1:19" x14ac:dyDescent="0.25">
      <c r="A537" t="s">
        <v>289</v>
      </c>
      <c r="B537" t="s">
        <v>20</v>
      </c>
      <c r="C537" t="s">
        <v>290</v>
      </c>
      <c r="D537" s="1">
        <v>44927</v>
      </c>
      <c r="E537" s="1">
        <v>45870</v>
      </c>
      <c r="F537">
        <v>1</v>
      </c>
      <c r="G537">
        <f t="shared" si="18"/>
        <v>7</v>
      </c>
      <c r="H537" t="s">
        <v>394</v>
      </c>
      <c r="I537" t="s">
        <v>395</v>
      </c>
      <c r="J537">
        <v>16243811</v>
      </c>
      <c r="K537" t="s">
        <v>431</v>
      </c>
      <c r="L537" t="s">
        <v>414</v>
      </c>
      <c r="M537" t="str">
        <f t="shared" si="19"/>
        <v xml:space="preserve">KIMBERLY DICKERSON </v>
      </c>
      <c r="N537" t="s">
        <v>202</v>
      </c>
      <c r="O537">
        <v>1</v>
      </c>
      <c r="P537">
        <v>52.55</v>
      </c>
      <c r="Q537">
        <v>0.13</v>
      </c>
      <c r="R537">
        <v>6.83</v>
      </c>
      <c r="S537" t="s">
        <v>402</v>
      </c>
    </row>
    <row r="538" spans="1:19" x14ac:dyDescent="0.25">
      <c r="A538" t="s">
        <v>293</v>
      </c>
      <c r="B538" t="s">
        <v>20</v>
      </c>
      <c r="C538" t="s">
        <v>294</v>
      </c>
      <c r="D538" s="1">
        <v>44927</v>
      </c>
      <c r="E538" s="1">
        <v>45870</v>
      </c>
      <c r="F538">
        <v>1</v>
      </c>
      <c r="G538">
        <f t="shared" si="18"/>
        <v>7</v>
      </c>
      <c r="H538" t="s">
        <v>394</v>
      </c>
      <c r="I538" t="s">
        <v>395</v>
      </c>
      <c r="J538">
        <v>16243811</v>
      </c>
      <c r="K538" t="s">
        <v>431</v>
      </c>
      <c r="L538" t="s">
        <v>414</v>
      </c>
      <c r="M538" t="str">
        <f t="shared" si="19"/>
        <v xml:space="preserve">KIMBERLY DICKERSON </v>
      </c>
      <c r="N538" t="s">
        <v>202</v>
      </c>
      <c r="O538">
        <v>1</v>
      </c>
      <c r="P538">
        <v>52.55</v>
      </c>
      <c r="Q538">
        <v>0.13</v>
      </c>
      <c r="R538">
        <v>6.83</v>
      </c>
      <c r="S538" t="s">
        <v>402</v>
      </c>
    </row>
    <row r="539" spans="1:19" x14ac:dyDescent="0.25">
      <c r="A539" t="s">
        <v>293</v>
      </c>
      <c r="B539" t="s">
        <v>20</v>
      </c>
      <c r="C539" t="s">
        <v>294</v>
      </c>
      <c r="D539" s="1">
        <v>44927</v>
      </c>
      <c r="E539" s="1">
        <v>45870</v>
      </c>
      <c r="F539">
        <v>1</v>
      </c>
      <c r="G539">
        <f t="shared" si="18"/>
        <v>7</v>
      </c>
      <c r="H539" t="s">
        <v>394</v>
      </c>
      <c r="I539" t="s">
        <v>395</v>
      </c>
      <c r="J539">
        <v>16243811</v>
      </c>
      <c r="K539" t="s">
        <v>431</v>
      </c>
      <c r="L539" t="s">
        <v>414</v>
      </c>
      <c r="M539" t="str">
        <f t="shared" si="19"/>
        <v xml:space="preserve">KIMBERLY DICKERSON </v>
      </c>
      <c r="N539" t="s">
        <v>254</v>
      </c>
      <c r="O539">
        <v>1</v>
      </c>
      <c r="P539">
        <v>24.37</v>
      </c>
      <c r="Q539">
        <v>0.13</v>
      </c>
      <c r="R539">
        <v>3.17</v>
      </c>
      <c r="S539" t="s">
        <v>402</v>
      </c>
    </row>
    <row r="540" spans="1:19" x14ac:dyDescent="0.25">
      <c r="A540" t="s">
        <v>293</v>
      </c>
      <c r="B540" t="s">
        <v>20</v>
      </c>
      <c r="C540" t="s">
        <v>294</v>
      </c>
      <c r="D540" s="1">
        <v>44927</v>
      </c>
      <c r="E540" s="1">
        <v>45870</v>
      </c>
      <c r="F540">
        <v>1</v>
      </c>
      <c r="G540">
        <f t="shared" si="18"/>
        <v>7</v>
      </c>
      <c r="H540" t="s">
        <v>394</v>
      </c>
      <c r="I540" t="s">
        <v>395</v>
      </c>
      <c r="J540">
        <v>16243811</v>
      </c>
      <c r="K540" t="s">
        <v>431</v>
      </c>
      <c r="L540" t="s">
        <v>414</v>
      </c>
      <c r="M540" t="str">
        <f t="shared" si="19"/>
        <v xml:space="preserve">KIMBERLY DICKERSON </v>
      </c>
      <c r="N540" t="s">
        <v>268</v>
      </c>
      <c r="O540">
        <v>1</v>
      </c>
      <c r="P540">
        <v>4.83</v>
      </c>
      <c r="Q540">
        <v>0.13</v>
      </c>
      <c r="R540">
        <v>0.63</v>
      </c>
      <c r="S540" t="s">
        <v>402</v>
      </c>
    </row>
    <row r="541" spans="1:19" x14ac:dyDescent="0.25">
      <c r="A541" t="s">
        <v>283</v>
      </c>
      <c r="B541" t="s">
        <v>20</v>
      </c>
      <c r="C541" t="s">
        <v>284</v>
      </c>
      <c r="D541" s="1">
        <v>44902</v>
      </c>
      <c r="E541" s="1">
        <v>45876</v>
      </c>
      <c r="F541">
        <v>1</v>
      </c>
      <c r="G541">
        <f t="shared" si="18"/>
        <v>8</v>
      </c>
      <c r="H541" t="s">
        <v>394</v>
      </c>
      <c r="I541" t="s">
        <v>395</v>
      </c>
      <c r="J541">
        <v>16243811</v>
      </c>
      <c r="K541" t="s">
        <v>431</v>
      </c>
      <c r="L541" t="s">
        <v>414</v>
      </c>
      <c r="M541" t="str">
        <f t="shared" si="19"/>
        <v xml:space="preserve">KIMBERLY DICKERSON </v>
      </c>
      <c r="N541" t="s">
        <v>254</v>
      </c>
      <c r="O541">
        <v>1</v>
      </c>
      <c r="P541">
        <v>24.37</v>
      </c>
      <c r="Q541">
        <v>0.13</v>
      </c>
      <c r="R541">
        <v>3.17</v>
      </c>
      <c r="S541" t="s">
        <v>402</v>
      </c>
    </row>
    <row r="542" spans="1:19" x14ac:dyDescent="0.25">
      <c r="A542" t="s">
        <v>283</v>
      </c>
      <c r="B542" t="s">
        <v>20</v>
      </c>
      <c r="C542" t="s">
        <v>284</v>
      </c>
      <c r="D542" s="1">
        <v>44902</v>
      </c>
      <c r="E542" s="1">
        <v>45876</v>
      </c>
      <c r="F542">
        <v>1</v>
      </c>
      <c r="G542">
        <f t="shared" si="18"/>
        <v>8</v>
      </c>
      <c r="H542" t="s">
        <v>394</v>
      </c>
      <c r="I542" t="s">
        <v>395</v>
      </c>
      <c r="J542">
        <v>16243811</v>
      </c>
      <c r="K542" t="s">
        <v>431</v>
      </c>
      <c r="L542" t="s">
        <v>414</v>
      </c>
      <c r="M542" t="str">
        <f t="shared" si="19"/>
        <v xml:space="preserve">KIMBERLY DICKERSON </v>
      </c>
      <c r="N542" t="s">
        <v>202</v>
      </c>
      <c r="O542">
        <v>1</v>
      </c>
      <c r="P542">
        <v>52.55</v>
      </c>
      <c r="Q542">
        <v>0.13</v>
      </c>
      <c r="R542">
        <v>6.83</v>
      </c>
      <c r="S542" t="s">
        <v>402</v>
      </c>
    </row>
    <row r="543" spans="1:19" x14ac:dyDescent="0.25">
      <c r="A543" t="s">
        <v>283</v>
      </c>
      <c r="B543" t="s">
        <v>20</v>
      </c>
      <c r="C543" t="s">
        <v>284</v>
      </c>
      <c r="D543" s="1">
        <v>44902</v>
      </c>
      <c r="E543" s="1">
        <v>45876</v>
      </c>
      <c r="F543">
        <v>1</v>
      </c>
      <c r="G543">
        <f t="shared" si="18"/>
        <v>8</v>
      </c>
      <c r="H543" t="s">
        <v>394</v>
      </c>
      <c r="I543" t="s">
        <v>395</v>
      </c>
      <c r="J543">
        <v>16243811</v>
      </c>
      <c r="K543" t="s">
        <v>431</v>
      </c>
      <c r="L543" t="s">
        <v>414</v>
      </c>
      <c r="M543" t="str">
        <f t="shared" si="19"/>
        <v xml:space="preserve">KIMBERLY DICKERSON </v>
      </c>
      <c r="N543" t="s">
        <v>268</v>
      </c>
      <c r="O543">
        <v>1</v>
      </c>
      <c r="P543">
        <v>3.08</v>
      </c>
      <c r="Q543">
        <v>0.13</v>
      </c>
      <c r="R543">
        <v>0.4</v>
      </c>
      <c r="S543" t="s">
        <v>402</v>
      </c>
    </row>
    <row r="544" spans="1:19" x14ac:dyDescent="0.25">
      <c r="A544" t="s">
        <v>285</v>
      </c>
      <c r="B544" t="s">
        <v>20</v>
      </c>
      <c r="C544" t="s">
        <v>286</v>
      </c>
      <c r="D544" s="1">
        <v>44902</v>
      </c>
      <c r="E544" s="1">
        <v>45876</v>
      </c>
      <c r="F544">
        <v>1</v>
      </c>
      <c r="G544">
        <f t="shared" si="18"/>
        <v>8</v>
      </c>
      <c r="H544" t="s">
        <v>394</v>
      </c>
      <c r="I544" t="s">
        <v>395</v>
      </c>
      <c r="J544">
        <v>16243811</v>
      </c>
      <c r="K544" t="s">
        <v>431</v>
      </c>
      <c r="L544" t="s">
        <v>414</v>
      </c>
      <c r="M544" t="str">
        <f t="shared" si="19"/>
        <v xml:space="preserve">KIMBERLY DICKERSON </v>
      </c>
      <c r="N544" t="s">
        <v>268</v>
      </c>
      <c r="O544">
        <v>1</v>
      </c>
      <c r="P544">
        <v>3.08</v>
      </c>
      <c r="Q544">
        <v>0.13</v>
      </c>
      <c r="R544">
        <v>0.4</v>
      </c>
      <c r="S544" t="s">
        <v>402</v>
      </c>
    </row>
    <row r="545" spans="1:19" x14ac:dyDescent="0.25">
      <c r="A545" t="s">
        <v>285</v>
      </c>
      <c r="B545" t="s">
        <v>20</v>
      </c>
      <c r="C545" t="s">
        <v>286</v>
      </c>
      <c r="D545" s="1">
        <v>44902</v>
      </c>
      <c r="E545" s="1">
        <v>45876</v>
      </c>
      <c r="F545">
        <v>1</v>
      </c>
      <c r="G545">
        <f t="shared" si="18"/>
        <v>8</v>
      </c>
      <c r="H545" t="s">
        <v>394</v>
      </c>
      <c r="I545" t="s">
        <v>395</v>
      </c>
      <c r="J545">
        <v>16243811</v>
      </c>
      <c r="K545" t="s">
        <v>431</v>
      </c>
      <c r="L545" t="s">
        <v>414</v>
      </c>
      <c r="M545" t="str">
        <f t="shared" si="19"/>
        <v xml:space="preserve">KIMBERLY DICKERSON </v>
      </c>
      <c r="N545" t="s">
        <v>254</v>
      </c>
      <c r="O545">
        <v>1</v>
      </c>
      <c r="P545">
        <v>24.37</v>
      </c>
      <c r="Q545">
        <v>0.13</v>
      </c>
      <c r="R545">
        <v>3.17</v>
      </c>
      <c r="S545" t="s">
        <v>402</v>
      </c>
    </row>
    <row r="546" spans="1:19" x14ac:dyDescent="0.25">
      <c r="A546" t="s">
        <v>285</v>
      </c>
      <c r="B546" t="s">
        <v>20</v>
      </c>
      <c r="C546" t="s">
        <v>286</v>
      </c>
      <c r="D546" s="1">
        <v>44902</v>
      </c>
      <c r="E546" s="1">
        <v>45876</v>
      </c>
      <c r="F546">
        <v>1</v>
      </c>
      <c r="G546">
        <f t="shared" si="18"/>
        <v>8</v>
      </c>
      <c r="H546" t="s">
        <v>394</v>
      </c>
      <c r="I546" t="s">
        <v>395</v>
      </c>
      <c r="J546">
        <v>16243811</v>
      </c>
      <c r="K546" t="s">
        <v>431</v>
      </c>
      <c r="L546" t="s">
        <v>414</v>
      </c>
      <c r="M546" t="str">
        <f t="shared" si="19"/>
        <v xml:space="preserve">KIMBERLY DICKERSON </v>
      </c>
      <c r="N546" t="s">
        <v>202</v>
      </c>
      <c r="O546">
        <v>1</v>
      </c>
      <c r="P546">
        <v>52.55</v>
      </c>
      <c r="Q546">
        <v>0.13</v>
      </c>
      <c r="R546">
        <v>6.83</v>
      </c>
      <c r="S546" t="s">
        <v>402</v>
      </c>
    </row>
    <row r="547" spans="1:19" x14ac:dyDescent="0.25">
      <c r="A547" t="s">
        <v>281</v>
      </c>
      <c r="B547" t="s">
        <v>20</v>
      </c>
      <c r="C547" t="s">
        <v>282</v>
      </c>
      <c r="D547" s="1">
        <v>44900</v>
      </c>
      <c r="E547" s="1">
        <v>45874</v>
      </c>
      <c r="F547">
        <v>1</v>
      </c>
      <c r="G547">
        <f t="shared" si="18"/>
        <v>8</v>
      </c>
      <c r="H547" t="s">
        <v>394</v>
      </c>
      <c r="I547" t="s">
        <v>395</v>
      </c>
      <c r="J547">
        <v>16243811</v>
      </c>
      <c r="K547" t="s">
        <v>431</v>
      </c>
      <c r="L547" t="s">
        <v>414</v>
      </c>
      <c r="M547" t="str">
        <f t="shared" si="19"/>
        <v xml:space="preserve">KIMBERLY DICKERSON </v>
      </c>
      <c r="N547" t="s">
        <v>254</v>
      </c>
      <c r="O547">
        <v>1</v>
      </c>
      <c r="P547">
        <v>19.57</v>
      </c>
      <c r="Q547">
        <v>0.13</v>
      </c>
      <c r="R547">
        <v>2.54</v>
      </c>
      <c r="S547" t="s">
        <v>402</v>
      </c>
    </row>
    <row r="548" spans="1:19" x14ac:dyDescent="0.25">
      <c r="A548" t="s">
        <v>281</v>
      </c>
      <c r="B548" t="s">
        <v>20</v>
      </c>
      <c r="C548" t="s">
        <v>282</v>
      </c>
      <c r="D548" s="1">
        <v>44900</v>
      </c>
      <c r="E548" s="1">
        <v>45874</v>
      </c>
      <c r="F548">
        <v>1</v>
      </c>
      <c r="G548">
        <f t="shared" si="18"/>
        <v>8</v>
      </c>
      <c r="H548" t="s">
        <v>394</v>
      </c>
      <c r="I548" t="s">
        <v>395</v>
      </c>
      <c r="J548">
        <v>16243811</v>
      </c>
      <c r="K548" t="s">
        <v>431</v>
      </c>
      <c r="L548" t="s">
        <v>414</v>
      </c>
      <c r="M548" t="str">
        <f t="shared" si="19"/>
        <v xml:space="preserve">KIMBERLY DICKERSON </v>
      </c>
      <c r="N548" t="s">
        <v>202</v>
      </c>
      <c r="O548">
        <v>1</v>
      </c>
      <c r="P548">
        <v>62.36</v>
      </c>
      <c r="Q548">
        <v>0.13</v>
      </c>
      <c r="R548">
        <v>8.11</v>
      </c>
      <c r="S548" t="s">
        <v>402</v>
      </c>
    </row>
    <row r="549" spans="1:19" x14ac:dyDescent="0.25">
      <c r="A549" t="s">
        <v>281</v>
      </c>
      <c r="B549" t="s">
        <v>20</v>
      </c>
      <c r="C549" t="s">
        <v>282</v>
      </c>
      <c r="D549" s="1">
        <v>44900</v>
      </c>
      <c r="E549" s="1">
        <v>45874</v>
      </c>
      <c r="F549">
        <v>1</v>
      </c>
      <c r="G549">
        <f t="shared" si="18"/>
        <v>8</v>
      </c>
      <c r="H549" t="s">
        <v>394</v>
      </c>
      <c r="I549" t="s">
        <v>395</v>
      </c>
      <c r="J549">
        <v>16243811</v>
      </c>
      <c r="K549" t="s">
        <v>431</v>
      </c>
      <c r="L549" t="s">
        <v>414</v>
      </c>
      <c r="M549" t="str">
        <f t="shared" si="19"/>
        <v xml:space="preserve">KIMBERLY DICKERSON </v>
      </c>
      <c r="N549" t="s">
        <v>268</v>
      </c>
      <c r="O549">
        <v>1</v>
      </c>
      <c r="P549">
        <v>4.83</v>
      </c>
      <c r="Q549">
        <v>0.13</v>
      </c>
      <c r="R549">
        <v>0.63</v>
      </c>
      <c r="S549" t="s">
        <v>402</v>
      </c>
    </row>
    <row r="550" spans="1:19" x14ac:dyDescent="0.25">
      <c r="A550" t="s">
        <v>279</v>
      </c>
      <c r="B550" t="s">
        <v>20</v>
      </c>
      <c r="C550" t="s">
        <v>280</v>
      </c>
      <c r="D550" s="1">
        <v>44896</v>
      </c>
      <c r="E550" s="1">
        <v>45870</v>
      </c>
      <c r="F550">
        <v>1</v>
      </c>
      <c r="G550">
        <f t="shared" si="18"/>
        <v>8</v>
      </c>
      <c r="H550" t="s">
        <v>394</v>
      </c>
      <c r="I550" t="s">
        <v>395</v>
      </c>
      <c r="J550">
        <v>16243811</v>
      </c>
      <c r="K550" t="s">
        <v>431</v>
      </c>
      <c r="L550" t="s">
        <v>414</v>
      </c>
      <c r="M550" t="str">
        <f t="shared" si="19"/>
        <v xml:space="preserve">KIMBERLY DICKERSON </v>
      </c>
      <c r="N550" t="s">
        <v>254</v>
      </c>
      <c r="O550">
        <v>1</v>
      </c>
      <c r="P550">
        <v>24.37</v>
      </c>
      <c r="Q550">
        <v>0.13</v>
      </c>
      <c r="R550">
        <v>3.17</v>
      </c>
      <c r="S550" t="s">
        <v>402</v>
      </c>
    </row>
    <row r="551" spans="1:19" x14ac:dyDescent="0.25">
      <c r="A551" t="s">
        <v>279</v>
      </c>
      <c r="B551" t="s">
        <v>20</v>
      </c>
      <c r="C551" t="s">
        <v>280</v>
      </c>
      <c r="D551" s="1">
        <v>44896</v>
      </c>
      <c r="E551" s="1">
        <v>45870</v>
      </c>
      <c r="F551">
        <v>1</v>
      </c>
      <c r="G551">
        <f t="shared" si="18"/>
        <v>8</v>
      </c>
      <c r="H551" t="s">
        <v>394</v>
      </c>
      <c r="I551" t="s">
        <v>395</v>
      </c>
      <c r="J551">
        <v>16243811</v>
      </c>
      <c r="K551" t="s">
        <v>431</v>
      </c>
      <c r="L551" t="s">
        <v>414</v>
      </c>
      <c r="M551" t="str">
        <f t="shared" si="19"/>
        <v xml:space="preserve">KIMBERLY DICKERSON </v>
      </c>
      <c r="N551" t="s">
        <v>202</v>
      </c>
      <c r="O551">
        <v>1</v>
      </c>
      <c r="P551">
        <v>52.55</v>
      </c>
      <c r="Q551">
        <v>0.13</v>
      </c>
      <c r="R551">
        <v>6.83</v>
      </c>
      <c r="S551" t="s">
        <v>402</v>
      </c>
    </row>
    <row r="552" spans="1:19" x14ac:dyDescent="0.25">
      <c r="A552" t="s">
        <v>279</v>
      </c>
      <c r="B552" t="s">
        <v>20</v>
      </c>
      <c r="C552" t="s">
        <v>280</v>
      </c>
      <c r="D552" s="1">
        <v>44896</v>
      </c>
      <c r="E552" s="1">
        <v>45870</v>
      </c>
      <c r="F552">
        <v>1</v>
      </c>
      <c r="G552">
        <f t="shared" si="18"/>
        <v>8</v>
      </c>
      <c r="H552" t="s">
        <v>394</v>
      </c>
      <c r="I552" t="s">
        <v>395</v>
      </c>
      <c r="J552">
        <v>16243811</v>
      </c>
      <c r="K552" t="s">
        <v>431</v>
      </c>
      <c r="L552" t="s">
        <v>414</v>
      </c>
      <c r="M552" t="str">
        <f t="shared" si="19"/>
        <v xml:space="preserve">KIMBERLY DICKERSON </v>
      </c>
      <c r="N552" t="s">
        <v>268</v>
      </c>
      <c r="O552">
        <v>1</v>
      </c>
      <c r="P552">
        <v>3.08</v>
      </c>
      <c r="Q552">
        <v>0.13</v>
      </c>
      <c r="R552">
        <v>0.4</v>
      </c>
      <c r="S552" t="s">
        <v>402</v>
      </c>
    </row>
    <row r="553" spans="1:19" x14ac:dyDescent="0.25">
      <c r="A553" t="s">
        <v>277</v>
      </c>
      <c r="B553" t="s">
        <v>20</v>
      </c>
      <c r="C553" t="s">
        <v>278</v>
      </c>
      <c r="D553" s="1">
        <v>44888</v>
      </c>
      <c r="E553" s="1">
        <v>45861</v>
      </c>
      <c r="F553">
        <v>1</v>
      </c>
      <c r="G553">
        <f t="shared" si="18"/>
        <v>8</v>
      </c>
      <c r="H553" t="s">
        <v>394</v>
      </c>
      <c r="I553" t="s">
        <v>395</v>
      </c>
      <c r="J553">
        <v>16243811</v>
      </c>
      <c r="K553" t="s">
        <v>431</v>
      </c>
      <c r="L553" t="s">
        <v>414</v>
      </c>
      <c r="M553" t="str">
        <f t="shared" si="19"/>
        <v xml:space="preserve">KIMBERLY DICKERSON </v>
      </c>
      <c r="N553" t="s">
        <v>268</v>
      </c>
      <c r="O553">
        <v>1</v>
      </c>
      <c r="P553">
        <v>3.08</v>
      </c>
      <c r="Q553">
        <v>0.13</v>
      </c>
      <c r="R553">
        <v>0.4</v>
      </c>
      <c r="S553" t="s">
        <v>402</v>
      </c>
    </row>
    <row r="554" spans="1:19" x14ac:dyDescent="0.25">
      <c r="A554" t="s">
        <v>277</v>
      </c>
      <c r="B554" t="s">
        <v>20</v>
      </c>
      <c r="C554" t="s">
        <v>278</v>
      </c>
      <c r="D554" s="1">
        <v>44888</v>
      </c>
      <c r="E554" s="1">
        <v>45861</v>
      </c>
      <c r="F554">
        <v>1</v>
      </c>
      <c r="G554">
        <f t="shared" si="18"/>
        <v>8</v>
      </c>
      <c r="H554" t="s">
        <v>394</v>
      </c>
      <c r="I554" t="s">
        <v>395</v>
      </c>
      <c r="J554">
        <v>16243811</v>
      </c>
      <c r="K554" t="s">
        <v>431</v>
      </c>
      <c r="L554" t="s">
        <v>414</v>
      </c>
      <c r="M554" t="str">
        <f t="shared" si="19"/>
        <v xml:space="preserve">KIMBERLY DICKERSON </v>
      </c>
      <c r="N554" t="s">
        <v>202</v>
      </c>
      <c r="O554">
        <v>1</v>
      </c>
      <c r="P554">
        <v>52.55</v>
      </c>
      <c r="Q554">
        <v>0.13</v>
      </c>
      <c r="R554">
        <v>6.83</v>
      </c>
      <c r="S554" t="s">
        <v>402</v>
      </c>
    </row>
    <row r="555" spans="1:19" x14ac:dyDescent="0.25">
      <c r="A555" t="s">
        <v>277</v>
      </c>
      <c r="B555" t="s">
        <v>20</v>
      </c>
      <c r="C555" t="s">
        <v>278</v>
      </c>
      <c r="D555" s="1">
        <v>44888</v>
      </c>
      <c r="E555" s="1">
        <v>45861</v>
      </c>
      <c r="F555">
        <v>1</v>
      </c>
      <c r="G555">
        <f t="shared" si="18"/>
        <v>8</v>
      </c>
      <c r="H555" t="s">
        <v>394</v>
      </c>
      <c r="I555" t="s">
        <v>395</v>
      </c>
      <c r="J555">
        <v>16243811</v>
      </c>
      <c r="K555" t="s">
        <v>431</v>
      </c>
      <c r="L555" t="s">
        <v>414</v>
      </c>
      <c r="M555" t="str">
        <f t="shared" si="19"/>
        <v xml:space="preserve">KIMBERLY DICKERSON </v>
      </c>
      <c r="N555" t="s">
        <v>254</v>
      </c>
      <c r="O555">
        <v>1</v>
      </c>
      <c r="P555">
        <v>24.37</v>
      </c>
      <c r="Q555">
        <v>0.13</v>
      </c>
      <c r="R555">
        <v>3.17</v>
      </c>
      <c r="S555" t="s">
        <v>402</v>
      </c>
    </row>
    <row r="556" spans="1:19" x14ac:dyDescent="0.25">
      <c r="A556" t="s">
        <v>263</v>
      </c>
      <c r="B556" t="s">
        <v>20</v>
      </c>
      <c r="C556" t="s">
        <v>264</v>
      </c>
      <c r="D556" s="1">
        <v>44882</v>
      </c>
      <c r="E556" s="1">
        <v>45886</v>
      </c>
      <c r="F556">
        <v>1</v>
      </c>
      <c r="G556">
        <f t="shared" si="18"/>
        <v>9</v>
      </c>
      <c r="H556" t="s">
        <v>394</v>
      </c>
      <c r="I556" t="s">
        <v>395</v>
      </c>
      <c r="J556">
        <v>16243811</v>
      </c>
      <c r="K556" t="s">
        <v>431</v>
      </c>
      <c r="L556" t="s">
        <v>414</v>
      </c>
      <c r="M556" t="str">
        <f t="shared" si="19"/>
        <v xml:space="preserve">KIMBERLY DICKERSON </v>
      </c>
      <c r="N556" t="s">
        <v>202</v>
      </c>
      <c r="O556">
        <v>1</v>
      </c>
      <c r="P556">
        <v>43.44</v>
      </c>
      <c r="Q556">
        <v>0.13</v>
      </c>
      <c r="R556">
        <v>5.65</v>
      </c>
      <c r="S556" t="s">
        <v>402</v>
      </c>
    </row>
    <row r="557" spans="1:19" x14ac:dyDescent="0.25">
      <c r="A557" t="s">
        <v>263</v>
      </c>
      <c r="B557" t="s">
        <v>20</v>
      </c>
      <c r="C557" t="s">
        <v>264</v>
      </c>
      <c r="D557" s="1">
        <v>44882</v>
      </c>
      <c r="E557" s="1">
        <v>45886</v>
      </c>
      <c r="F557">
        <v>1</v>
      </c>
      <c r="G557">
        <f t="shared" si="18"/>
        <v>9</v>
      </c>
      <c r="H557" t="s">
        <v>394</v>
      </c>
      <c r="I557" t="s">
        <v>395</v>
      </c>
      <c r="J557">
        <v>16243811</v>
      </c>
      <c r="K557" t="s">
        <v>431</v>
      </c>
      <c r="L557" t="s">
        <v>414</v>
      </c>
      <c r="M557" t="str">
        <f t="shared" si="19"/>
        <v xml:space="preserve">KIMBERLY DICKERSON </v>
      </c>
      <c r="N557" t="s">
        <v>268</v>
      </c>
      <c r="O557">
        <v>1</v>
      </c>
      <c r="P557">
        <v>3.08</v>
      </c>
      <c r="Q557">
        <v>0.13</v>
      </c>
      <c r="R557">
        <v>0.4</v>
      </c>
      <c r="S557" t="s">
        <v>402</v>
      </c>
    </row>
    <row r="558" spans="1:19" x14ac:dyDescent="0.25">
      <c r="A558" t="s">
        <v>263</v>
      </c>
      <c r="B558" t="s">
        <v>20</v>
      </c>
      <c r="C558" t="s">
        <v>264</v>
      </c>
      <c r="D558" s="1">
        <v>44882</v>
      </c>
      <c r="E558" s="1">
        <v>45886</v>
      </c>
      <c r="F558">
        <v>1</v>
      </c>
      <c r="G558">
        <f t="shared" si="18"/>
        <v>9</v>
      </c>
      <c r="H558" t="s">
        <v>394</v>
      </c>
      <c r="I558" t="s">
        <v>395</v>
      </c>
      <c r="J558">
        <v>16243811</v>
      </c>
      <c r="K558" t="s">
        <v>431</v>
      </c>
      <c r="L558" t="s">
        <v>414</v>
      </c>
      <c r="M558" t="str">
        <f t="shared" si="19"/>
        <v xml:space="preserve">KIMBERLY DICKERSON </v>
      </c>
      <c r="N558" t="s">
        <v>254</v>
      </c>
      <c r="O558">
        <v>1</v>
      </c>
      <c r="P558">
        <v>15</v>
      </c>
      <c r="Q558">
        <v>0.13</v>
      </c>
      <c r="R558">
        <v>1.95</v>
      </c>
      <c r="S558" t="s">
        <v>402</v>
      </c>
    </row>
  </sheetData>
  <sortState xmlns:xlrd2="http://schemas.microsoft.com/office/spreadsheetml/2017/richdata2" ref="A2:V566">
    <sortCondition descending="1" ref="H2:H5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011I7200_MC_07-31-2025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2025-08-08T12:56:16Z</dcterms:created>
  <dcterms:modified xsi:type="dcterms:W3CDTF">2025-09-09T20:39:55Z</dcterms:modified>
</cp:coreProperties>
</file>