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8-31-25\"/>
    </mc:Choice>
  </mc:AlternateContent>
  <xr:revisionPtr revIDLastSave="0" documentId="13_ncr:1_{90CFE2ED-907D-4A77-9E5D-D56AE591DC35}" xr6:coauthVersionLast="47" xr6:coauthVersionMax="47" xr10:uidLastSave="{00000000-0000-0000-0000-000000000000}"/>
  <bookViews>
    <workbookView xWindow="28680" yWindow="-120" windowWidth="29040" windowHeight="16440" activeTab="1" xr2:uid="{86F7BDDB-0F7E-4F1F-BD26-EF66E98E6781}"/>
  </bookViews>
  <sheets>
    <sheet name="011I7200_MC_08-31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59" i="2" l="1"/>
  <c r="F60" i="2"/>
  <c r="F43" i="2"/>
  <c r="F44" i="2"/>
  <c r="F45" i="2"/>
  <c r="F29" i="2"/>
  <c r="F30" i="2"/>
  <c r="F31" i="2"/>
  <c r="F32" i="2"/>
  <c r="F125" i="2"/>
  <c r="F126" i="2"/>
  <c r="F127" i="2"/>
  <c r="F128" i="2"/>
  <c r="F129" i="2"/>
  <c r="F70" i="2"/>
  <c r="F71" i="2"/>
  <c r="F72" i="2"/>
  <c r="F73" i="2"/>
  <c r="F74" i="2"/>
  <c r="F124" i="2"/>
  <c r="F2" i="2"/>
  <c r="F3" i="2"/>
  <c r="F33" i="2"/>
  <c r="F34" i="2"/>
  <c r="F35" i="2"/>
  <c r="F36" i="2"/>
  <c r="F37" i="2"/>
  <c r="F38" i="2"/>
  <c r="F39" i="2"/>
  <c r="F40" i="2"/>
  <c r="F41" i="2"/>
  <c r="F42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4" i="2"/>
  <c r="F5" i="2"/>
  <c r="F6" i="2"/>
  <c r="F7" i="2"/>
  <c r="F8" i="2"/>
  <c r="F9" i="2"/>
  <c r="F10" i="2"/>
  <c r="F46" i="2"/>
  <c r="F47" i="2"/>
  <c r="F48" i="2"/>
  <c r="F49" i="2"/>
  <c r="F50" i="2"/>
  <c r="F51" i="2"/>
  <c r="F52" i="2"/>
  <c r="F53" i="2"/>
  <c r="F54" i="2"/>
  <c r="F22" i="2"/>
  <c r="F23" i="2"/>
  <c r="F24" i="2"/>
  <c r="F25" i="2"/>
  <c r="F26" i="2"/>
  <c r="F27" i="2"/>
  <c r="F28" i="2"/>
  <c r="F11" i="2"/>
  <c r="F12" i="2"/>
  <c r="F13" i="2"/>
  <c r="F14" i="2"/>
  <c r="F134" i="2"/>
  <c r="F135" i="2"/>
  <c r="F136" i="2"/>
  <c r="F137" i="2"/>
  <c r="F157" i="2"/>
  <c r="F158" i="2"/>
  <c r="F159" i="2"/>
  <c r="F160" i="2"/>
  <c r="F138" i="2"/>
  <c r="F139" i="2"/>
  <c r="F140" i="2"/>
  <c r="F141" i="2"/>
  <c r="F150" i="2"/>
  <c r="F151" i="2"/>
  <c r="F152" i="2"/>
  <c r="F153" i="2"/>
  <c r="F154" i="2"/>
  <c r="F155" i="2"/>
  <c r="F156" i="2"/>
  <c r="F142" i="2"/>
  <c r="F143" i="2"/>
  <c r="F144" i="2"/>
  <c r="F145" i="2"/>
  <c r="F146" i="2"/>
  <c r="F147" i="2"/>
  <c r="F148" i="2"/>
  <c r="F149" i="2"/>
  <c r="F130" i="2"/>
  <c r="F131" i="2"/>
  <c r="F132" i="2"/>
  <c r="F133" i="2"/>
  <c r="F61" i="2"/>
  <c r="F62" i="2"/>
  <c r="F63" i="2"/>
  <c r="F64" i="2"/>
  <c r="F65" i="2"/>
  <c r="F66" i="2"/>
  <c r="F67" i="2"/>
  <c r="F68" i="2"/>
  <c r="F69" i="2"/>
  <c r="F55" i="2"/>
  <c r="F56" i="2"/>
  <c r="F57" i="2"/>
  <c r="F15" i="2"/>
  <c r="F16" i="2"/>
  <c r="F17" i="2"/>
  <c r="F18" i="2"/>
  <c r="F19" i="2"/>
  <c r="F20" i="2"/>
  <c r="F21" i="2"/>
  <c r="F161" i="2"/>
  <c r="F162" i="2"/>
  <c r="F163" i="2"/>
  <c r="F164" i="2"/>
  <c r="F165" i="2"/>
  <c r="F166" i="2"/>
  <c r="F167" i="2"/>
  <c r="F315" i="2"/>
  <c r="F316" i="2"/>
  <c r="F317" i="2"/>
  <c r="F318" i="2"/>
  <c r="F319" i="2"/>
  <c r="F320" i="2"/>
  <c r="F321" i="2"/>
  <c r="F322" i="2"/>
  <c r="F323" i="2"/>
  <c r="F324" i="2"/>
  <c r="F273" i="2"/>
  <c r="F274" i="2"/>
  <c r="F275" i="2"/>
  <c r="F276" i="2"/>
  <c r="F277" i="2"/>
  <c r="F278" i="2"/>
  <c r="F279" i="2"/>
  <c r="F301" i="2"/>
  <c r="F302" i="2"/>
  <c r="F303" i="2"/>
  <c r="F304" i="2"/>
  <c r="F305" i="2"/>
  <c r="F306" i="2"/>
  <c r="F307" i="2"/>
  <c r="F308" i="2"/>
  <c r="F287" i="2"/>
  <c r="F288" i="2"/>
  <c r="F289" i="2"/>
  <c r="F290" i="2"/>
  <c r="F280" i="2"/>
  <c r="F281" i="2"/>
  <c r="F282" i="2"/>
  <c r="F283" i="2"/>
  <c r="F284" i="2"/>
  <c r="F285" i="2"/>
  <c r="F286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199" i="2"/>
  <c r="F200" i="2"/>
  <c r="F201" i="2"/>
  <c r="F202" i="2"/>
  <c r="F203" i="2"/>
  <c r="F204" i="2"/>
  <c r="F205" i="2"/>
  <c r="F206" i="2"/>
  <c r="F177" i="2"/>
  <c r="F178" i="2"/>
  <c r="F179" i="2"/>
  <c r="F180" i="2"/>
  <c r="F171" i="2"/>
  <c r="F172" i="2"/>
  <c r="F173" i="2"/>
  <c r="F174" i="2"/>
  <c r="F175" i="2"/>
  <c r="F176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68" i="2"/>
  <c r="F169" i="2"/>
  <c r="F170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72" i="2"/>
  <c r="F373" i="2"/>
  <c r="F374" i="2"/>
  <c r="F369" i="2"/>
  <c r="F370" i="2"/>
  <c r="F371" i="2"/>
  <c r="F366" i="2"/>
  <c r="F367" i="2"/>
  <c r="F368" i="2"/>
  <c r="F360" i="2"/>
  <c r="F361" i="2"/>
  <c r="F362" i="2"/>
  <c r="F351" i="2"/>
  <c r="F352" i="2"/>
  <c r="F353" i="2"/>
  <c r="F354" i="2"/>
  <c r="F355" i="2"/>
  <c r="F356" i="2"/>
  <c r="F357" i="2"/>
  <c r="F358" i="2"/>
  <c r="F325" i="2"/>
  <c r="F326" i="2"/>
  <c r="F327" i="2"/>
  <c r="F328" i="2"/>
  <c r="F329" i="2"/>
  <c r="F330" i="2"/>
  <c r="F331" i="2"/>
  <c r="F332" i="2"/>
  <c r="F309" i="2"/>
  <c r="F310" i="2"/>
  <c r="F311" i="2"/>
  <c r="F312" i="2"/>
  <c r="F313" i="2"/>
  <c r="F314" i="2"/>
  <c r="F291" i="2"/>
  <c r="F292" i="2"/>
  <c r="F293" i="2"/>
  <c r="F294" i="2"/>
  <c r="F295" i="2"/>
  <c r="F296" i="2"/>
  <c r="F297" i="2"/>
  <c r="F298" i="2"/>
  <c r="F299" i="2"/>
  <c r="F300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07" i="2"/>
  <c r="F208" i="2"/>
  <c r="F209" i="2"/>
  <c r="F210" i="2"/>
  <c r="F211" i="2"/>
  <c r="F212" i="2"/>
  <c r="F193" i="2"/>
  <c r="F194" i="2"/>
  <c r="F195" i="2"/>
  <c r="F196" i="2"/>
  <c r="F197" i="2"/>
  <c r="F198" i="2"/>
  <c r="F535" i="2"/>
  <c r="F520" i="2"/>
  <c r="F521" i="2"/>
  <c r="F522" i="2"/>
  <c r="F523" i="2"/>
  <c r="F503" i="2"/>
  <c r="F504" i="2"/>
  <c r="F505" i="2"/>
  <c r="F524" i="2"/>
  <c r="F525" i="2"/>
  <c r="F526" i="2"/>
  <c r="F527" i="2"/>
  <c r="F528" i="2"/>
  <c r="F529" i="2"/>
  <c r="F530" i="2"/>
  <c r="F531" i="2"/>
  <c r="F532" i="2"/>
  <c r="F533" i="2"/>
  <c r="F513" i="2"/>
  <c r="F514" i="2"/>
  <c r="F515" i="2"/>
  <c r="F516" i="2"/>
  <c r="F506" i="2"/>
  <c r="F507" i="2"/>
  <c r="F508" i="2"/>
  <c r="F509" i="2"/>
  <c r="F429" i="2"/>
  <c r="F430" i="2"/>
  <c r="F431" i="2"/>
  <c r="F432" i="2"/>
  <c r="F433" i="2"/>
  <c r="F434" i="2"/>
  <c r="F435" i="2"/>
  <c r="F436" i="2"/>
  <c r="F437" i="2"/>
  <c r="F438" i="2"/>
  <c r="F413" i="2"/>
  <c r="F414" i="2"/>
  <c r="F415" i="2"/>
  <c r="F416" i="2"/>
  <c r="F417" i="2"/>
  <c r="F418" i="2"/>
  <c r="F419" i="2"/>
  <c r="F359" i="2"/>
  <c r="F542" i="2"/>
  <c r="F543" i="2"/>
  <c r="F544" i="2"/>
  <c r="F545" i="2"/>
  <c r="F566" i="2"/>
  <c r="F567" i="2"/>
  <c r="F568" i="2"/>
  <c r="F569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38" i="2"/>
  <c r="F539" i="2"/>
  <c r="F540" i="2"/>
  <c r="F541" i="2"/>
  <c r="F536" i="2"/>
  <c r="F537" i="2"/>
  <c r="F442" i="2"/>
  <c r="F443" i="2"/>
  <c r="F444" i="2"/>
  <c r="F445" i="2"/>
  <c r="F446" i="2"/>
  <c r="F447" i="2"/>
  <c r="F448" i="2"/>
  <c r="F420" i="2"/>
  <c r="F403" i="2"/>
  <c r="F404" i="2"/>
  <c r="F405" i="2"/>
  <c r="F406" i="2"/>
  <c r="F387" i="2"/>
  <c r="F388" i="2"/>
  <c r="F389" i="2"/>
  <c r="F390" i="2"/>
  <c r="F363" i="2"/>
  <c r="F364" i="2"/>
  <c r="F365" i="2"/>
  <c r="F510" i="2"/>
  <c r="F511" i="2"/>
  <c r="F512" i="2"/>
  <c r="F474" i="2"/>
  <c r="F475" i="2"/>
  <c r="F476" i="2"/>
  <c r="F477" i="2"/>
  <c r="F478" i="2"/>
  <c r="F449" i="2"/>
  <c r="F450" i="2"/>
  <c r="F451" i="2"/>
  <c r="F452" i="2"/>
  <c r="F453" i="2"/>
  <c r="F454" i="2"/>
  <c r="F455" i="2"/>
  <c r="F456" i="2"/>
  <c r="F457" i="2"/>
  <c r="F458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479" i="2"/>
  <c r="F480" i="2"/>
  <c r="F481" i="2"/>
  <c r="F482" i="2"/>
  <c r="F483" i="2"/>
  <c r="F484" i="2"/>
  <c r="F459" i="2"/>
  <c r="F460" i="2"/>
  <c r="F461" i="2"/>
  <c r="F462" i="2"/>
  <c r="F463" i="2"/>
  <c r="F464" i="2"/>
  <c r="F465" i="2"/>
  <c r="F466" i="2"/>
  <c r="F467" i="2"/>
  <c r="F468" i="2"/>
  <c r="F469" i="2"/>
  <c r="F485" i="2"/>
  <c r="F486" i="2"/>
  <c r="F487" i="2"/>
  <c r="F470" i="2"/>
  <c r="F471" i="2"/>
  <c r="F472" i="2"/>
  <c r="F473" i="2"/>
  <c r="F439" i="2"/>
  <c r="F440" i="2"/>
  <c r="F441" i="2"/>
  <c r="F423" i="2"/>
  <c r="F424" i="2"/>
  <c r="F425" i="2"/>
  <c r="F421" i="2"/>
  <c r="F422" i="2"/>
  <c r="F407" i="2"/>
  <c r="F408" i="2"/>
  <c r="F409" i="2"/>
  <c r="F410" i="2"/>
  <c r="F411" i="2"/>
  <c r="F412" i="2"/>
  <c r="F397" i="2"/>
  <c r="F398" i="2"/>
  <c r="F399" i="2"/>
  <c r="F400" i="2"/>
  <c r="F401" i="2"/>
  <c r="F402" i="2"/>
  <c r="F391" i="2"/>
  <c r="F392" i="2"/>
  <c r="F393" i="2"/>
  <c r="F394" i="2"/>
  <c r="F395" i="2"/>
  <c r="F396" i="2"/>
  <c r="F426" i="2"/>
  <c r="F427" i="2"/>
  <c r="F428" i="2"/>
  <c r="F534" i="2"/>
  <c r="F517" i="2"/>
  <c r="F518" i="2"/>
  <c r="F519" i="2"/>
  <c r="F570" i="2"/>
  <c r="F571" i="2"/>
  <c r="F572" i="2"/>
  <c r="F573" i="2"/>
  <c r="F333" i="2"/>
  <c r="F334" i="2"/>
  <c r="F335" i="2"/>
  <c r="F336" i="2"/>
  <c r="F337" i="2"/>
  <c r="F338" i="2"/>
  <c r="F339" i="2"/>
  <c r="F340" i="2"/>
  <c r="F341" i="2"/>
  <c r="F342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343" i="2"/>
  <c r="F344" i="2"/>
  <c r="F345" i="2"/>
  <c r="F346" i="2"/>
  <c r="F347" i="2"/>
  <c r="F348" i="2"/>
  <c r="F349" i="2"/>
  <c r="F350" i="2"/>
  <c r="F58" i="2"/>
  <c r="L162" i="2"/>
  <c r="L163" i="2"/>
  <c r="L164" i="2"/>
  <c r="L165" i="2"/>
  <c r="L166" i="2"/>
  <c r="L167" i="2"/>
  <c r="L4" i="2"/>
  <c r="L5" i="2"/>
  <c r="L6" i="2"/>
  <c r="L7" i="2"/>
  <c r="L8" i="2"/>
  <c r="L9" i="2"/>
  <c r="L10" i="2"/>
  <c r="L325" i="2"/>
  <c r="L326" i="2"/>
  <c r="L327" i="2"/>
  <c r="L328" i="2"/>
  <c r="L329" i="2"/>
  <c r="L330" i="2"/>
  <c r="L331" i="2"/>
  <c r="L332" i="2"/>
  <c r="L315" i="2"/>
  <c r="L316" i="2"/>
  <c r="L317" i="2"/>
  <c r="L318" i="2"/>
  <c r="L319" i="2"/>
  <c r="L320" i="2"/>
  <c r="L321" i="2"/>
  <c r="L322" i="2"/>
  <c r="L323" i="2"/>
  <c r="L324" i="2"/>
  <c r="L273" i="2"/>
  <c r="L274" i="2"/>
  <c r="L275" i="2"/>
  <c r="L276" i="2"/>
  <c r="L277" i="2"/>
  <c r="L278" i="2"/>
  <c r="L279" i="2"/>
  <c r="L301" i="2"/>
  <c r="L302" i="2"/>
  <c r="L303" i="2"/>
  <c r="L304" i="2"/>
  <c r="L305" i="2"/>
  <c r="L306" i="2"/>
  <c r="L307" i="2"/>
  <c r="L308" i="2"/>
  <c r="L287" i="2"/>
  <c r="L288" i="2"/>
  <c r="L289" i="2"/>
  <c r="L290" i="2"/>
  <c r="L280" i="2"/>
  <c r="L281" i="2"/>
  <c r="L282" i="2"/>
  <c r="L283" i="2"/>
  <c r="L284" i="2"/>
  <c r="L285" i="2"/>
  <c r="L286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199" i="2"/>
  <c r="L200" i="2"/>
  <c r="L201" i="2"/>
  <c r="L202" i="2"/>
  <c r="L203" i="2"/>
  <c r="L204" i="2"/>
  <c r="L205" i="2"/>
  <c r="L206" i="2"/>
  <c r="L177" i="2"/>
  <c r="L178" i="2"/>
  <c r="L179" i="2"/>
  <c r="L180" i="2"/>
  <c r="L171" i="2"/>
  <c r="L172" i="2"/>
  <c r="L173" i="2"/>
  <c r="L174" i="2"/>
  <c r="L175" i="2"/>
  <c r="L176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68" i="2"/>
  <c r="L169" i="2"/>
  <c r="L170" i="2"/>
  <c r="L309" i="2"/>
  <c r="L310" i="2"/>
  <c r="L311" i="2"/>
  <c r="L312" i="2"/>
  <c r="L313" i="2"/>
  <c r="L314" i="2"/>
  <c r="L291" i="2"/>
  <c r="L292" i="2"/>
  <c r="L293" i="2"/>
  <c r="L294" i="2"/>
  <c r="L295" i="2"/>
  <c r="L296" i="2"/>
  <c r="L297" i="2"/>
  <c r="L298" i="2"/>
  <c r="L299" i="2"/>
  <c r="L300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07" i="2"/>
  <c r="L208" i="2"/>
  <c r="L209" i="2"/>
  <c r="L210" i="2"/>
  <c r="L211" i="2"/>
  <c r="L212" i="2"/>
  <c r="L193" i="2"/>
  <c r="L194" i="2"/>
  <c r="L195" i="2"/>
  <c r="L196" i="2"/>
  <c r="L197" i="2"/>
  <c r="L198" i="2"/>
  <c r="L46" i="2"/>
  <c r="L47" i="2"/>
  <c r="L48" i="2"/>
  <c r="L49" i="2"/>
  <c r="L50" i="2"/>
  <c r="L51" i="2"/>
  <c r="L52" i="2"/>
  <c r="L53" i="2"/>
  <c r="L54" i="2"/>
  <c r="L22" i="2"/>
  <c r="L23" i="2"/>
  <c r="L24" i="2"/>
  <c r="L25" i="2"/>
  <c r="L26" i="2"/>
  <c r="L27" i="2"/>
  <c r="L28" i="2"/>
  <c r="L11" i="2"/>
  <c r="L12" i="2"/>
  <c r="L13" i="2"/>
  <c r="L14" i="2"/>
  <c r="L333" i="2"/>
  <c r="L334" i="2"/>
  <c r="L335" i="2"/>
  <c r="L336" i="2"/>
  <c r="L337" i="2"/>
  <c r="L338" i="2"/>
  <c r="L339" i="2"/>
  <c r="L340" i="2"/>
  <c r="L341" i="2"/>
  <c r="L342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55" i="2"/>
  <c r="L56" i="2"/>
  <c r="L57" i="2"/>
  <c r="L15" i="2"/>
  <c r="L16" i="2"/>
  <c r="L17" i="2"/>
  <c r="L18" i="2"/>
  <c r="L19" i="2"/>
  <c r="L20" i="2"/>
  <c r="L21" i="2"/>
  <c r="L29" i="2"/>
  <c r="L30" i="2"/>
  <c r="L31" i="2"/>
  <c r="L32" i="2"/>
  <c r="L61" i="2"/>
  <c r="L62" i="2"/>
  <c r="L63" i="2"/>
  <c r="L64" i="2"/>
  <c r="L65" i="2"/>
  <c r="L66" i="2"/>
  <c r="L67" i="2"/>
  <c r="L68" i="2"/>
  <c r="L69" i="2"/>
  <c r="L33" i="2"/>
  <c r="L34" i="2"/>
  <c r="L35" i="2"/>
  <c r="L36" i="2"/>
  <c r="L37" i="2"/>
  <c r="L38" i="2"/>
  <c r="L39" i="2"/>
  <c r="L40" i="2"/>
  <c r="L41" i="2"/>
  <c r="L42" i="2"/>
  <c r="L58" i="2"/>
  <c r="L59" i="2"/>
  <c r="L60" i="2"/>
  <c r="L570" i="2"/>
  <c r="L571" i="2"/>
  <c r="L572" i="2"/>
  <c r="L573" i="2"/>
  <c r="L542" i="2"/>
  <c r="L543" i="2"/>
  <c r="L544" i="2"/>
  <c r="L545" i="2"/>
  <c r="L566" i="2"/>
  <c r="L567" i="2"/>
  <c r="L568" i="2"/>
  <c r="L569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38" i="2"/>
  <c r="L539" i="2"/>
  <c r="L540" i="2"/>
  <c r="L541" i="2"/>
  <c r="L536" i="2"/>
  <c r="L537" i="2"/>
  <c r="L442" i="2"/>
  <c r="L443" i="2"/>
  <c r="L444" i="2"/>
  <c r="L445" i="2"/>
  <c r="L446" i="2"/>
  <c r="L447" i="2"/>
  <c r="L448" i="2"/>
  <c r="L420" i="2"/>
  <c r="L403" i="2"/>
  <c r="L404" i="2"/>
  <c r="L405" i="2"/>
  <c r="L406" i="2"/>
  <c r="L387" i="2"/>
  <c r="L388" i="2"/>
  <c r="L389" i="2"/>
  <c r="L390" i="2"/>
  <c r="L363" i="2"/>
  <c r="L364" i="2"/>
  <c r="L365" i="2"/>
  <c r="L510" i="2"/>
  <c r="L511" i="2"/>
  <c r="L512" i="2"/>
  <c r="L474" i="2"/>
  <c r="L475" i="2"/>
  <c r="L476" i="2"/>
  <c r="L477" i="2"/>
  <c r="L478" i="2"/>
  <c r="L449" i="2"/>
  <c r="L450" i="2"/>
  <c r="L451" i="2"/>
  <c r="L452" i="2"/>
  <c r="L453" i="2"/>
  <c r="L454" i="2"/>
  <c r="L455" i="2"/>
  <c r="L456" i="2"/>
  <c r="L457" i="2"/>
  <c r="L458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479" i="2"/>
  <c r="L480" i="2"/>
  <c r="L481" i="2"/>
  <c r="L482" i="2"/>
  <c r="L483" i="2"/>
  <c r="L484" i="2"/>
  <c r="L459" i="2"/>
  <c r="L460" i="2"/>
  <c r="L461" i="2"/>
  <c r="L462" i="2"/>
  <c r="L463" i="2"/>
  <c r="L464" i="2"/>
  <c r="L465" i="2"/>
  <c r="L466" i="2"/>
  <c r="L467" i="2"/>
  <c r="L468" i="2"/>
  <c r="L469" i="2"/>
  <c r="L485" i="2"/>
  <c r="L486" i="2"/>
  <c r="L487" i="2"/>
  <c r="L470" i="2"/>
  <c r="L471" i="2"/>
  <c r="L472" i="2"/>
  <c r="L473" i="2"/>
  <c r="L439" i="2"/>
  <c r="L440" i="2"/>
  <c r="L441" i="2"/>
  <c r="L423" i="2"/>
  <c r="L424" i="2"/>
  <c r="L425" i="2"/>
  <c r="L421" i="2"/>
  <c r="L422" i="2"/>
  <c r="L407" i="2"/>
  <c r="L408" i="2"/>
  <c r="L409" i="2"/>
  <c r="L410" i="2"/>
  <c r="L411" i="2"/>
  <c r="L412" i="2"/>
  <c r="L397" i="2"/>
  <c r="L398" i="2"/>
  <c r="L399" i="2"/>
  <c r="L400" i="2"/>
  <c r="L401" i="2"/>
  <c r="L402" i="2"/>
  <c r="L391" i="2"/>
  <c r="L392" i="2"/>
  <c r="L393" i="2"/>
  <c r="L394" i="2"/>
  <c r="L395" i="2"/>
  <c r="L396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72" i="2"/>
  <c r="L373" i="2"/>
  <c r="L374" i="2"/>
  <c r="L369" i="2"/>
  <c r="L370" i="2"/>
  <c r="L371" i="2"/>
  <c r="L366" i="2"/>
  <c r="L367" i="2"/>
  <c r="L368" i="2"/>
  <c r="L360" i="2"/>
  <c r="L361" i="2"/>
  <c r="L362" i="2"/>
  <c r="L351" i="2"/>
  <c r="L352" i="2"/>
  <c r="L353" i="2"/>
  <c r="L354" i="2"/>
  <c r="L355" i="2"/>
  <c r="L356" i="2"/>
  <c r="L357" i="2"/>
  <c r="L358" i="2"/>
  <c r="L359" i="2"/>
  <c r="L134" i="2"/>
  <c r="L135" i="2"/>
  <c r="L136" i="2"/>
  <c r="L137" i="2"/>
  <c r="L157" i="2"/>
  <c r="L158" i="2"/>
  <c r="L159" i="2"/>
  <c r="L160" i="2"/>
  <c r="L138" i="2"/>
  <c r="L139" i="2"/>
  <c r="L140" i="2"/>
  <c r="L141" i="2"/>
  <c r="L150" i="2"/>
  <c r="L151" i="2"/>
  <c r="L152" i="2"/>
  <c r="L153" i="2"/>
  <c r="L154" i="2"/>
  <c r="L155" i="2"/>
  <c r="L156" i="2"/>
  <c r="L142" i="2"/>
  <c r="L143" i="2"/>
  <c r="L144" i="2"/>
  <c r="L145" i="2"/>
  <c r="L146" i="2"/>
  <c r="L147" i="2"/>
  <c r="L148" i="2"/>
  <c r="L149" i="2"/>
  <c r="L130" i="2"/>
  <c r="L131" i="2"/>
  <c r="L132" i="2"/>
  <c r="L133" i="2"/>
  <c r="L343" i="2"/>
  <c r="L344" i="2"/>
  <c r="L345" i="2"/>
  <c r="L346" i="2"/>
  <c r="L347" i="2"/>
  <c r="L348" i="2"/>
  <c r="L349" i="2"/>
  <c r="L350" i="2"/>
  <c r="L125" i="2"/>
  <c r="L126" i="2"/>
  <c r="L127" i="2"/>
  <c r="L128" i="2"/>
  <c r="L129" i="2"/>
  <c r="L70" i="2"/>
  <c r="L71" i="2"/>
  <c r="L72" i="2"/>
  <c r="L73" i="2"/>
  <c r="L74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2" i="2"/>
  <c r="L3" i="2"/>
  <c r="L124" i="2"/>
  <c r="L43" i="2"/>
  <c r="L44" i="2"/>
  <c r="L45" i="2"/>
  <c r="L426" i="2"/>
  <c r="L427" i="2"/>
  <c r="L428" i="2"/>
  <c r="L161" i="2"/>
</calcChain>
</file>

<file path=xl/sharedStrings.xml><?xml version="1.0" encoding="utf-8"?>
<sst xmlns="http://schemas.openxmlformats.org/spreadsheetml/2006/main" count="9853" uniqueCount="440">
  <si>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</si>
  <si>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</si>
  <si>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</si>
  <si>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</si>
  <si>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</si>
  <si>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</si>
  <si>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</si>
  <si>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</si>
  <si>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</si>
  <si>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</si>
  <si>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</si>
  <si>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</si>
  <si>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</si>
  <si>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</si>
  <si>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</si>
  <si>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</si>
  <si>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</si>
  <si>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</si>
  <si>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</si>
  <si>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</si>
  <si>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GTA6384706</t>
  </si>
  <si>
    <t>MD</t>
  </si>
  <si>
    <t xml:space="preserve">BAKER MARK  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</si>
  <si>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</si>
  <si>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</si>
  <si>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</si>
  <si>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</si>
  <si>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</si>
  <si>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</si>
  <si>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GNASH </t>
  </si>
  <si>
    <t xml:space="preserve">GNASB </t>
  </si>
  <si>
    <t xml:space="preserve">GNCGB </t>
  </si>
  <si>
    <t>GTA6384730</t>
  </si>
  <si>
    <t>PA</t>
  </si>
  <si>
    <t>BYERLEY WILLI</t>
  </si>
  <si>
    <t xml:space="preserve">GTHHC </t>
  </si>
  <si>
    <t xml:space="preserve">GTASH </t>
  </si>
  <si>
    <t xml:space="preserve">GTASB </t>
  </si>
  <si>
    <t>GTA6385844</t>
  </si>
  <si>
    <t xml:space="preserve">SCHWAB DAVID </t>
  </si>
  <si>
    <t>011I720A</t>
  </si>
  <si>
    <t xml:space="preserve">PETER               </t>
  </si>
  <si>
    <t xml:space="preserve">MAP20 </t>
  </si>
  <si>
    <t xml:space="preserve">M20FE </t>
  </si>
  <si>
    <t xml:space="preserve">M20SF </t>
  </si>
  <si>
    <t xml:space="preserve">M20OS </t>
  </si>
  <si>
    <t>GTA6387627</t>
  </si>
  <si>
    <t xml:space="preserve">MILLER GINA  </t>
  </si>
  <si>
    <t xml:space="preserve">GTCAB </t>
  </si>
  <si>
    <t>GTA6299526</t>
  </si>
  <si>
    <t>HOGGA KATHLEE</t>
  </si>
  <si>
    <t>011I7203</t>
  </si>
  <si>
    <t xml:space="preserve">ANNE MARIE          </t>
  </si>
  <si>
    <t xml:space="preserve">KOZACHECK           </t>
  </si>
  <si>
    <t xml:space="preserve"> </t>
  </si>
  <si>
    <t xml:space="preserve">M20CN </t>
  </si>
  <si>
    <t xml:space="preserve">M20SC </t>
  </si>
  <si>
    <t>GTA6310915</t>
  </si>
  <si>
    <t xml:space="preserve">LUCE DAVID  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</si>
  <si>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</si>
  <si>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</si>
  <si>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</si>
  <si>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</si>
  <si>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</si>
  <si>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</si>
  <si>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</si>
  <si>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</si>
  <si>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</si>
  <si>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</si>
  <si>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>A</t>
  </si>
  <si>
    <t xml:space="preserve">G20OS </t>
  </si>
  <si>
    <t xml:space="preserve">G20CA </t>
  </si>
  <si>
    <t xml:space="preserve">G20AS </t>
  </si>
  <si>
    <t xml:space="preserve">G20FE </t>
  </si>
  <si>
    <t xml:space="preserve">G20OT </t>
  </si>
  <si>
    <t xml:space="preserve">G20SF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</si>
  <si>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</si>
  <si>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</si>
  <si>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</si>
  <si>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</si>
  <si>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</si>
  <si>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</si>
  <si>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</si>
  <si>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</si>
  <si>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M20OT </t>
  </si>
  <si>
    <t xml:space="preserve">M20AS </t>
  </si>
  <si>
    <t xml:space="preserve">M20CA </t>
  </si>
  <si>
    <t xml:space="preserve">M20HL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</si>
  <si>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</si>
  <si>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</si>
  <si>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</si>
  <si>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</si>
  <si>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</si>
  <si>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</si>
  <si>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</si>
  <si>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</si>
  <si>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</si>
  <si>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</si>
  <si>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</si>
  <si>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</si>
  <si>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</si>
  <si>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</si>
  <si>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</si>
  <si>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</si>
  <si>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</si>
  <si>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</si>
  <si>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</si>
  <si>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</si>
  <si>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</si>
  <si>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</si>
  <si>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</si>
  <si>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</si>
  <si>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GTA6322333</t>
  </si>
  <si>
    <t>FITZPATRICK T</t>
  </si>
  <si>
    <t>011I7208</t>
  </si>
  <si>
    <t xml:space="preserve">CAROL               </t>
  </si>
  <si>
    <t xml:space="preserve">FOLEY               </t>
  </si>
  <si>
    <t xml:space="preserve">M20SR </t>
  </si>
  <si>
    <t xml:space="preserve">M20CR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</si>
  <si>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</si>
  <si>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</si>
  <si>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</si>
  <si>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</si>
  <si>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</si>
  <si>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</si>
  <si>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</si>
  <si>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</si>
  <si>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</si>
  <si>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</si>
  <si>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</si>
  <si>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</si>
  <si>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</si>
  <si>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</si>
  <si>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</si>
  <si>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</si>
  <si>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</si>
  <si>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</si>
  <si>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</si>
  <si>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</si>
  <si>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GTA6379587</t>
  </si>
  <si>
    <t>GOLATO CHERYL</t>
  </si>
  <si>
    <t>GTA6305177</t>
  </si>
  <si>
    <t>WI</t>
  </si>
  <si>
    <t>LILLA JEFFREY</t>
  </si>
  <si>
    <t>011I720O</t>
  </si>
  <si>
    <t xml:space="preserve">TIMOTHY             </t>
  </si>
  <si>
    <t xml:space="preserve">HODGMAN             </t>
  </si>
  <si>
    <t xml:space="preserve">M20DV </t>
  </si>
  <si>
    <t>GTA6318015</t>
  </si>
  <si>
    <t>SAYLES PAULIN</t>
  </si>
  <si>
    <t xml:space="preserve">WELMA </t>
  </si>
  <si>
    <t xml:space="preserve">GPOMA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</si>
  <si>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</si>
  <si>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</si>
  <si>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</si>
  <si>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</si>
  <si>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</si>
  <si>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</si>
  <si>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</si>
  <si>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</si>
  <si>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</si>
  <si>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GTA6355862</t>
  </si>
  <si>
    <t>JOHNSON DONAL</t>
  </si>
  <si>
    <t>GTA6361813</t>
  </si>
  <si>
    <t xml:space="preserve">DEWEY JEFF   </t>
  </si>
  <si>
    <t>GTA6339425</t>
  </si>
  <si>
    <t>IL</t>
  </si>
  <si>
    <t>WILDEBOER CAR</t>
  </si>
  <si>
    <t>011I720T</t>
  </si>
  <si>
    <t xml:space="preserve">ANDREW              </t>
  </si>
  <si>
    <t xml:space="preserve">CHOI                </t>
  </si>
  <si>
    <t xml:space="preserve">GACAN </t>
  </si>
  <si>
    <t xml:space="preserve">GRHAS </t>
  </si>
  <si>
    <t xml:space="preserve">GRICU </t>
  </si>
  <si>
    <t xml:space="preserve">GRCAR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</si>
  <si>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</si>
  <si>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</si>
  <si>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</si>
  <si>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</si>
  <si>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</si>
  <si>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GTA6325597</t>
  </si>
  <si>
    <t>SWIDERSKI MAR</t>
  </si>
  <si>
    <t>011I720X</t>
  </si>
  <si>
    <t xml:space="preserve">CHRISTIAN           </t>
  </si>
  <si>
    <t xml:space="preserve">TAUGNER             </t>
  </si>
  <si>
    <t xml:space="preserve">GCANP </t>
  </si>
  <si>
    <t xml:space="preserve">GRSCR </t>
  </si>
  <si>
    <t xml:space="preserve">GPRME </t>
  </si>
  <si>
    <t xml:space="preserve">GRWEL </t>
  </si>
  <si>
    <t xml:space="preserve">GRCBB </t>
  </si>
  <si>
    <t>GTA6331362</t>
  </si>
  <si>
    <t>OKERNS PATRIC</t>
  </si>
  <si>
    <t>GTA6310060</t>
  </si>
  <si>
    <t xml:space="preserve">APELIAN JANE </t>
  </si>
  <si>
    <t>011I7216</t>
  </si>
  <si>
    <t xml:space="preserve">ANDREA              </t>
  </si>
  <si>
    <t xml:space="preserve">PETRUNGARO          </t>
  </si>
  <si>
    <t xml:space="preserve">G20HL </t>
  </si>
  <si>
    <t>GTA1495963</t>
  </si>
  <si>
    <t>NJ</t>
  </si>
  <si>
    <t>MOULTON TIMOT</t>
  </si>
  <si>
    <t>0111LR00</t>
  </si>
  <si>
    <t xml:space="preserve">MURRAY              </t>
  </si>
  <si>
    <t xml:space="preserve">STERNER             </t>
  </si>
  <si>
    <t xml:space="preserve">MAP06 </t>
  </si>
  <si>
    <t>GTA6200520</t>
  </si>
  <si>
    <t xml:space="preserve">LUE PATRICIA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</si>
  <si>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</si>
  <si>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</si>
  <si>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</si>
  <si>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</si>
  <si>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</si>
  <si>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G20SR </t>
  </si>
  <si>
    <t xml:space="preserve">G20CR </t>
  </si>
  <si>
    <t>GTA6196515</t>
  </si>
  <si>
    <t>DINIELLI JOHN</t>
  </si>
  <si>
    <t xml:space="preserve">G20CN </t>
  </si>
  <si>
    <t xml:space="preserve">G20SC 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</si>
  <si>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</si>
  <si>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</si>
  <si>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</si>
  <si>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</si>
  <si>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</si>
  <si>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</si>
  <si>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</si>
  <si>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</si>
  <si>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</si>
  <si>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</si>
  <si>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</si>
  <si>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</si>
  <si>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</si>
  <si>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</si>
  <si>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GTA6161915</t>
  </si>
  <si>
    <t>MURPHY EUNICE</t>
  </si>
  <si>
    <t>011I7201</t>
  </si>
  <si>
    <t xml:space="preserve">RONALD              </t>
  </si>
  <si>
    <t xml:space="preserve">HOFFMANN            </t>
  </si>
  <si>
    <t>GTA6164266</t>
  </si>
  <si>
    <t>EPPERSON BETT</t>
  </si>
  <si>
    <t>011I7202</t>
  </si>
  <si>
    <t xml:space="preserve">JASON   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</si>
  <si>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</si>
  <si>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</si>
  <si>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</si>
  <si>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</si>
  <si>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</si>
  <si>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</si>
  <si>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</si>
  <si>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</si>
  <si>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</si>
  <si>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</si>
  <si>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</si>
  <si>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</si>
  <si>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</si>
  <si>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</si>
  <si>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</si>
  <si>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</si>
  <si>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</si>
  <si>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GRCRC </t>
  </si>
  <si>
    <t>GTA6212110</t>
  </si>
  <si>
    <t>BEVILACQUA DE</t>
  </si>
  <si>
    <t>GTA6212868</t>
  </si>
  <si>
    <t>SCHULTE GERAL</t>
  </si>
  <si>
    <t>GTA6215652</t>
  </si>
  <si>
    <t xml:space="preserve">CLYDE SAMUEL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</si>
  <si>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</si>
  <si>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</si>
  <si>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</si>
  <si>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</si>
  <si>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</si>
  <si>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</si>
  <si>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</si>
  <si>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</si>
  <si>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</si>
  <si>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</si>
  <si>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>011I7204</t>
  </si>
  <si>
    <t xml:space="preserve">KIMBERLY            </t>
  </si>
  <si>
    <t xml:space="preserve">DICKERSON           </t>
  </si>
  <si>
    <t>GTA6210964</t>
  </si>
  <si>
    <t>SCHESTAG MARY</t>
  </si>
  <si>
    <t>GTA6210965</t>
  </si>
  <si>
    <t>SCHESTAG ROBE</t>
  </si>
  <si>
    <t>GTA6210966</t>
  </si>
  <si>
    <t xml:space="preserve">GAHAS </t>
  </si>
  <si>
    <t xml:space="preserve">GRRHS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</si>
  <si>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</si>
  <si>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</si>
  <si>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</si>
  <si>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</si>
  <si>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</si>
  <si>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</si>
  <si>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</si>
  <si>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</si>
  <si>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</si>
  <si>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</si>
  <si>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</si>
  <si>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</si>
  <si>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</si>
  <si>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</si>
  <si>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</si>
  <si>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</si>
  <si>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</si>
  <si>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</si>
  <si>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</si>
  <si>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</si>
  <si>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</si>
  <si>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</si>
  <si>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</si>
  <si>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</si>
  <si>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</si>
  <si>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</si>
  <si>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</si>
  <si>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</si>
  <si>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</si>
  <si>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</si>
  <si>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</si>
  <si>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</si>
  <si>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</si>
  <si>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</si>
  <si>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</si>
  <si>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</si>
  <si>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</si>
  <si>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</si>
  <si>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</si>
  <si>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</si>
  <si>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</si>
  <si>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</si>
  <si>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</si>
  <si>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</si>
  <si>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</si>
  <si>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</si>
  <si>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</si>
  <si>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</si>
  <si>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</si>
  <si>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</si>
  <si>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</si>
  <si>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</si>
  <si>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</si>
  <si>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</si>
  <si>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</si>
  <si>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</si>
  <si>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</si>
  <si>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</si>
  <si>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GTA6289152</t>
  </si>
  <si>
    <t>TISSERAND CAR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</si>
  <si>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</si>
  <si>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</si>
  <si>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</si>
  <si>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</si>
  <si>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</si>
  <si>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</si>
  <si>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</si>
  <si>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</si>
  <si>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</si>
  <si>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</si>
  <si>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</si>
  <si>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</si>
  <si>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</si>
  <si>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</si>
  <si>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</si>
  <si>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</si>
  <si>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GTA6296703</t>
  </si>
  <si>
    <t>SAMUEL KENNET</t>
  </si>
  <si>
    <t>GTA6292142</t>
  </si>
  <si>
    <t>IA</t>
  </si>
  <si>
    <t xml:space="preserve">ROCHA SONIA  </t>
  </si>
  <si>
    <t>GTA6300277</t>
  </si>
  <si>
    <t>HAXHI PERIKLI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</si>
  <si>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</si>
  <si>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</si>
  <si>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</si>
  <si>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</si>
  <si>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</si>
  <si>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</si>
  <si>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</si>
  <si>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</si>
  <si>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</si>
  <si>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</si>
  <si>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</si>
  <si>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</si>
  <si>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</si>
  <si>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</si>
  <si>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</si>
  <si>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</si>
  <si>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</si>
  <si>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</si>
  <si>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</si>
  <si>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>GTA6305942</t>
  </si>
  <si>
    <t>KARLINSKI DEB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</si>
  <si>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</si>
  <si>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</si>
  <si>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</si>
  <si>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</si>
  <si>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</si>
  <si>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</si>
  <si>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</si>
  <si>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GTL6107048</t>
  </si>
  <si>
    <t xml:space="preserve">FEGWE </t>
  </si>
  <si>
    <t>N</t>
  </si>
  <si>
    <t>GTA6219411</t>
  </si>
  <si>
    <t>BROSTROM JEAN</t>
  </si>
  <si>
    <t>R</t>
  </si>
  <si>
    <t>GTA6328520</t>
  </si>
  <si>
    <t>ARNOLD SHARON</t>
  </si>
  <si>
    <t xml:space="preserve">       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</si>
  <si>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</si>
  <si>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</si>
  <si>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</si>
  <si>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</si>
  <si>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</si>
  <si>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</si>
  <si>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</si>
  <si>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</si>
  <si>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PETER </t>
  </si>
  <si>
    <t>STACEY</t>
  </si>
  <si>
    <t>ANDREW</t>
  </si>
  <si>
    <t>ANDREA</t>
  </si>
  <si>
    <t>MURRAY</t>
  </si>
  <si>
    <t>RONALD</t>
  </si>
  <si>
    <t>ADAM</t>
  </si>
  <si>
    <t>ANNE MARIE</t>
  </si>
  <si>
    <t>CAROL</t>
  </si>
  <si>
    <t>PETER</t>
  </si>
  <si>
    <t>TIMOTHY</t>
  </si>
  <si>
    <t>RICHARD</t>
  </si>
  <si>
    <t>CHRISTIAN</t>
  </si>
  <si>
    <t>JASON</t>
  </si>
  <si>
    <t>KIMBERLY</t>
  </si>
  <si>
    <t>BRITTANY</t>
  </si>
  <si>
    <t>RN</t>
  </si>
  <si>
    <t>AV1</t>
  </si>
  <si>
    <t>AE</t>
  </si>
  <si>
    <t>GTL OVR</t>
  </si>
  <si>
    <t>GTL LIFE SELECT WHOLE LIFE (85)</t>
  </si>
  <si>
    <t>GTL Cancer, Heart Attack &amp; Stroke Age 0-75 (50)</t>
  </si>
  <si>
    <t>GTL ADVANTAGE PLUS(65)</t>
  </si>
  <si>
    <t>GTL Short Term Home Health Care (75)</t>
  </si>
  <si>
    <t>GTL ADVANTAGE PLUS Dental Vison(60)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</si>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</sst>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9" fontId="0" fillId="0" borderId="0" xfId="42" applyFont="1"/>
    <xf numFmtId="9" fontId="0" fillId="0" borderId="0" xfId="42" applyFont="1" applyFill="1"/>
    <xf numFmtId="9" fontId="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85ED-25C0-4901-BA9E-9A987F378F98}">
  <dimension ref="A1:T577"/>
  <sheetViews>
    <sheetView topLeftCell="A556" workbookViewId="0">
      <selection activeCell="A16" sqref="A1:XFD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45870</v>
      </c>
      <c r="E2" s="1">
        <v>45901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92.54</v>
      </c>
      <c r="O2">
        <v>59.76</v>
      </c>
      <c r="P2">
        <v>0.75</v>
      </c>
      <c r="Q2">
        <v>44.82</v>
      </c>
      <c r="R2" t="s">
        <v>28</v>
      </c>
      <c r="S2">
        <v>0</v>
      </c>
      <c r="T2">
        <v>44.82</v>
      </c>
    </row>
    <row r="3" spans="1:20" x14ac:dyDescent="0.25">
      <c r="A3" t="s">
        <v>20</v>
      </c>
      <c r="B3" t="s">
        <v>21</v>
      </c>
      <c r="C3" t="s">
        <v>22</v>
      </c>
      <c r="D3" s="1">
        <v>45870</v>
      </c>
      <c r="E3" s="1">
        <v>45901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22.5</v>
      </c>
      <c r="P3">
        <v>0.75</v>
      </c>
      <c r="Q3">
        <v>16.88</v>
      </c>
      <c r="R3" t="s">
        <v>28</v>
      </c>
      <c r="S3">
        <v>0</v>
      </c>
      <c r="T3">
        <v>16.88</v>
      </c>
    </row>
    <row r="4" spans="1:20" x14ac:dyDescent="0.25">
      <c r="A4" t="s">
        <v>20</v>
      </c>
      <c r="B4" t="s">
        <v>21</v>
      </c>
      <c r="C4" t="s">
        <v>22</v>
      </c>
      <c r="D4" s="1">
        <v>45870</v>
      </c>
      <c r="E4" s="1">
        <v>45901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3.08</v>
      </c>
      <c r="P4">
        <v>0.75</v>
      </c>
      <c r="Q4">
        <v>2.31</v>
      </c>
      <c r="R4" t="s">
        <v>28</v>
      </c>
      <c r="S4">
        <v>0</v>
      </c>
      <c r="T4">
        <v>2.31</v>
      </c>
    </row>
    <row r="5" spans="1:20" x14ac:dyDescent="0.25">
      <c r="A5" t="s">
        <v>20</v>
      </c>
      <c r="B5" t="s">
        <v>21</v>
      </c>
      <c r="C5" t="s">
        <v>22</v>
      </c>
      <c r="D5" s="1">
        <v>45870</v>
      </c>
      <c r="E5" s="1">
        <v>45901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5.53</v>
      </c>
      <c r="P5">
        <v>0.75</v>
      </c>
      <c r="Q5">
        <v>4.1500000000000004</v>
      </c>
      <c r="R5" t="s">
        <v>28</v>
      </c>
      <c r="S5">
        <v>0</v>
      </c>
      <c r="T5">
        <v>4.1500000000000004</v>
      </c>
    </row>
    <row r="6" spans="1:20" x14ac:dyDescent="0.25">
      <c r="A6" t="s">
        <v>32</v>
      </c>
      <c r="B6" t="s">
        <v>33</v>
      </c>
      <c r="C6" t="s">
        <v>34</v>
      </c>
      <c r="D6" s="1">
        <v>45870</v>
      </c>
      <c r="E6" s="1">
        <v>45901</v>
      </c>
      <c r="F6">
        <v>1</v>
      </c>
      <c r="G6">
        <v>4</v>
      </c>
      <c r="H6" t="s">
        <v>23</v>
      </c>
      <c r="I6" t="s">
        <v>24</v>
      </c>
      <c r="J6" t="s">
        <v>25</v>
      </c>
      <c r="K6" t="s">
        <v>26</v>
      </c>
      <c r="L6" t="s">
        <v>35</v>
      </c>
      <c r="M6">
        <v>1</v>
      </c>
      <c r="N6">
        <v>93.29</v>
      </c>
      <c r="O6">
        <v>70.84</v>
      </c>
      <c r="P6">
        <v>0.75</v>
      </c>
      <c r="Q6">
        <v>53.13</v>
      </c>
      <c r="R6" t="s">
        <v>28</v>
      </c>
      <c r="S6">
        <v>0</v>
      </c>
      <c r="T6">
        <v>53.13</v>
      </c>
    </row>
    <row r="7" spans="1:20" x14ac:dyDescent="0.25">
      <c r="A7" t="s">
        <v>32</v>
      </c>
      <c r="B7" t="s">
        <v>33</v>
      </c>
      <c r="C7" t="s">
        <v>34</v>
      </c>
      <c r="D7" s="1">
        <v>45870</v>
      </c>
      <c r="E7" s="1">
        <v>45901</v>
      </c>
      <c r="F7">
        <v>1</v>
      </c>
      <c r="G7">
        <v>4</v>
      </c>
      <c r="H7" t="s">
        <v>23</v>
      </c>
      <c r="I7" t="s">
        <v>24</v>
      </c>
      <c r="J7" t="s">
        <v>25</v>
      </c>
      <c r="K7" t="s">
        <v>26</v>
      </c>
      <c r="L7" t="s">
        <v>36</v>
      </c>
      <c r="M7">
        <v>1</v>
      </c>
      <c r="N7">
        <v>0</v>
      </c>
      <c r="O7">
        <v>17.7</v>
      </c>
      <c r="P7">
        <v>0.75</v>
      </c>
      <c r="Q7">
        <v>13.28</v>
      </c>
      <c r="R7" t="s">
        <v>28</v>
      </c>
      <c r="S7">
        <v>0</v>
      </c>
      <c r="T7">
        <v>13.28</v>
      </c>
    </row>
    <row r="8" spans="1:20" x14ac:dyDescent="0.25">
      <c r="A8" t="s">
        <v>32</v>
      </c>
      <c r="B8" t="s">
        <v>33</v>
      </c>
      <c r="C8" t="s">
        <v>34</v>
      </c>
      <c r="D8" s="1">
        <v>45870</v>
      </c>
      <c r="E8" s="1">
        <v>45901</v>
      </c>
      <c r="F8">
        <v>1</v>
      </c>
      <c r="G8">
        <v>4</v>
      </c>
      <c r="H8" t="s">
        <v>23</v>
      </c>
      <c r="I8" t="s">
        <v>24</v>
      </c>
      <c r="J8" t="s">
        <v>25</v>
      </c>
      <c r="K8" t="s">
        <v>26</v>
      </c>
      <c r="L8" t="s">
        <v>37</v>
      </c>
      <c r="M8">
        <v>1</v>
      </c>
      <c r="N8">
        <v>0</v>
      </c>
      <c r="O8">
        <v>3.08</v>
      </c>
      <c r="P8">
        <v>0.75</v>
      </c>
      <c r="Q8">
        <v>2.31</v>
      </c>
      <c r="R8" t="s">
        <v>28</v>
      </c>
      <c r="S8">
        <v>0</v>
      </c>
      <c r="T8">
        <v>2.31</v>
      </c>
    </row>
    <row r="9" spans="1:20" x14ac:dyDescent="0.25">
      <c r="A9" t="s">
        <v>38</v>
      </c>
      <c r="B9" t="s">
        <v>33</v>
      </c>
      <c r="C9" t="s">
        <v>39</v>
      </c>
      <c r="D9" s="1">
        <v>45870</v>
      </c>
      <c r="E9" s="1">
        <v>45901</v>
      </c>
      <c r="F9">
        <v>1</v>
      </c>
      <c r="G9">
        <v>13</v>
      </c>
      <c r="H9" t="s">
        <v>40</v>
      </c>
      <c r="I9" t="s">
        <v>41</v>
      </c>
      <c r="J9" t="s">
        <v>25</v>
      </c>
      <c r="K9" t="s">
        <v>26</v>
      </c>
      <c r="L9" t="s">
        <v>42</v>
      </c>
      <c r="M9">
        <v>1</v>
      </c>
      <c r="N9">
        <v>33.94</v>
      </c>
      <c r="O9">
        <v>6.25</v>
      </c>
      <c r="P9">
        <v>0.65</v>
      </c>
      <c r="Q9">
        <v>4.0599999999999996</v>
      </c>
      <c r="R9" t="s">
        <v>28</v>
      </c>
      <c r="S9">
        <v>0</v>
      </c>
      <c r="T9">
        <v>4.0599999999999996</v>
      </c>
    </row>
    <row r="10" spans="1:20" x14ac:dyDescent="0.25">
      <c r="A10" t="s">
        <v>38</v>
      </c>
      <c r="B10" t="s">
        <v>33</v>
      </c>
      <c r="C10" t="s">
        <v>39</v>
      </c>
      <c r="D10" s="1">
        <v>45870</v>
      </c>
      <c r="E10" s="1">
        <v>45901</v>
      </c>
      <c r="F10">
        <v>1</v>
      </c>
      <c r="G10">
        <v>13</v>
      </c>
      <c r="H10" t="s">
        <v>40</v>
      </c>
      <c r="I10" t="s">
        <v>41</v>
      </c>
      <c r="J10" t="s">
        <v>25</v>
      </c>
      <c r="K10" t="s">
        <v>26</v>
      </c>
      <c r="L10" t="s">
        <v>43</v>
      </c>
      <c r="M10">
        <v>1</v>
      </c>
      <c r="N10">
        <v>0</v>
      </c>
      <c r="O10">
        <v>1.68</v>
      </c>
      <c r="P10">
        <v>0.65</v>
      </c>
      <c r="Q10">
        <v>1.0900000000000001</v>
      </c>
      <c r="R10" t="s">
        <v>28</v>
      </c>
      <c r="S10">
        <v>0</v>
      </c>
      <c r="T10">
        <v>1.0900000000000001</v>
      </c>
    </row>
    <row r="11" spans="1:20" x14ac:dyDescent="0.25">
      <c r="A11" t="s">
        <v>38</v>
      </c>
      <c r="B11" t="s">
        <v>33</v>
      </c>
      <c r="C11" t="s">
        <v>39</v>
      </c>
      <c r="D11" s="1">
        <v>45870</v>
      </c>
      <c r="E11" s="1">
        <v>45901</v>
      </c>
      <c r="F11">
        <v>1</v>
      </c>
      <c r="G11">
        <v>13</v>
      </c>
      <c r="H11" t="s">
        <v>40</v>
      </c>
      <c r="I11" t="s">
        <v>41</v>
      </c>
      <c r="J11" t="s">
        <v>25</v>
      </c>
      <c r="K11" t="s">
        <v>26</v>
      </c>
      <c r="L11" t="s">
        <v>44</v>
      </c>
      <c r="M11">
        <v>1</v>
      </c>
      <c r="N11">
        <v>0</v>
      </c>
      <c r="O11">
        <v>13.58</v>
      </c>
      <c r="P11">
        <v>0.65</v>
      </c>
      <c r="Q11">
        <v>8.83</v>
      </c>
      <c r="R11" t="s">
        <v>28</v>
      </c>
      <c r="S11">
        <v>0</v>
      </c>
      <c r="T11">
        <v>8.83</v>
      </c>
    </row>
    <row r="12" spans="1:20" x14ac:dyDescent="0.25">
      <c r="A12" t="s">
        <v>38</v>
      </c>
      <c r="B12" t="s">
        <v>33</v>
      </c>
      <c r="C12" t="s">
        <v>39</v>
      </c>
      <c r="D12" s="1">
        <v>45870</v>
      </c>
      <c r="E12" s="1">
        <v>45901</v>
      </c>
      <c r="F12">
        <v>1</v>
      </c>
      <c r="G12">
        <v>13</v>
      </c>
      <c r="H12" t="s">
        <v>40</v>
      </c>
      <c r="I12" t="s">
        <v>41</v>
      </c>
      <c r="J12" t="s">
        <v>25</v>
      </c>
      <c r="K12" t="s">
        <v>26</v>
      </c>
      <c r="L12" t="s">
        <v>45</v>
      </c>
      <c r="M12">
        <v>1</v>
      </c>
      <c r="N12">
        <v>0</v>
      </c>
      <c r="O12">
        <v>12.43</v>
      </c>
      <c r="P12">
        <v>0.65</v>
      </c>
      <c r="Q12">
        <v>8.08</v>
      </c>
      <c r="R12" t="s">
        <v>28</v>
      </c>
      <c r="S12">
        <v>0</v>
      </c>
      <c r="T12">
        <v>8.08</v>
      </c>
    </row>
    <row r="13" spans="1:20" x14ac:dyDescent="0.25">
      <c r="A13" t="s">
        <v>46</v>
      </c>
      <c r="B13" t="s">
        <v>33</v>
      </c>
      <c r="C13" t="s">
        <v>47</v>
      </c>
      <c r="D13" s="1">
        <v>45880</v>
      </c>
      <c r="E13" s="1">
        <v>45911</v>
      </c>
      <c r="F13">
        <v>1</v>
      </c>
      <c r="G13">
        <v>14</v>
      </c>
      <c r="H13" t="s">
        <v>40</v>
      </c>
      <c r="I13" t="s">
        <v>41</v>
      </c>
      <c r="J13" t="s">
        <v>25</v>
      </c>
      <c r="K13" t="s">
        <v>26</v>
      </c>
      <c r="L13" t="s">
        <v>35</v>
      </c>
      <c r="M13">
        <v>1</v>
      </c>
      <c r="N13">
        <v>71.48</v>
      </c>
      <c r="O13">
        <v>44.38</v>
      </c>
      <c r="P13">
        <v>0.75</v>
      </c>
      <c r="Q13">
        <v>33.29</v>
      </c>
      <c r="R13" t="s">
        <v>28</v>
      </c>
      <c r="S13">
        <v>0</v>
      </c>
      <c r="T13">
        <v>33.29</v>
      </c>
    </row>
    <row r="14" spans="1:20" x14ac:dyDescent="0.25">
      <c r="A14" t="s">
        <v>46</v>
      </c>
      <c r="B14" t="s">
        <v>33</v>
      </c>
      <c r="C14" t="s">
        <v>47</v>
      </c>
      <c r="D14" s="1">
        <v>45880</v>
      </c>
      <c r="E14" s="1">
        <v>45911</v>
      </c>
      <c r="F14">
        <v>1</v>
      </c>
      <c r="G14">
        <v>14</v>
      </c>
      <c r="H14" t="s">
        <v>40</v>
      </c>
      <c r="I14" t="s">
        <v>41</v>
      </c>
      <c r="J14" t="s">
        <v>25</v>
      </c>
      <c r="K14" t="s">
        <v>26</v>
      </c>
      <c r="L14" t="s">
        <v>36</v>
      </c>
      <c r="M14">
        <v>1</v>
      </c>
      <c r="N14">
        <v>0</v>
      </c>
      <c r="O14">
        <v>21.6</v>
      </c>
      <c r="P14">
        <v>0.75</v>
      </c>
      <c r="Q14">
        <v>16.2</v>
      </c>
      <c r="R14" t="s">
        <v>28</v>
      </c>
      <c r="S14">
        <v>0</v>
      </c>
      <c r="T14">
        <v>16.2</v>
      </c>
    </row>
    <row r="15" spans="1:20" x14ac:dyDescent="0.25">
      <c r="A15" t="s">
        <v>46</v>
      </c>
      <c r="B15" t="s">
        <v>33</v>
      </c>
      <c r="C15" t="s">
        <v>47</v>
      </c>
      <c r="D15" s="1">
        <v>45880</v>
      </c>
      <c r="E15" s="1">
        <v>45911</v>
      </c>
      <c r="F15">
        <v>1</v>
      </c>
      <c r="G15">
        <v>14</v>
      </c>
      <c r="H15" t="s">
        <v>40</v>
      </c>
      <c r="I15" t="s">
        <v>41</v>
      </c>
      <c r="J15" t="s">
        <v>25</v>
      </c>
      <c r="K15" t="s">
        <v>26</v>
      </c>
      <c r="L15" t="s">
        <v>48</v>
      </c>
      <c r="M15">
        <v>1</v>
      </c>
      <c r="N15">
        <v>0</v>
      </c>
      <c r="O15">
        <v>3.83</v>
      </c>
      <c r="P15">
        <v>0.75</v>
      </c>
      <c r="Q15">
        <v>2.87</v>
      </c>
      <c r="R15" t="s">
        <v>28</v>
      </c>
      <c r="S15">
        <v>0</v>
      </c>
      <c r="T15">
        <v>2.87</v>
      </c>
    </row>
    <row r="16" spans="1:20" x14ac:dyDescent="0.25">
      <c r="A16" t="s">
        <v>49</v>
      </c>
      <c r="B16" t="s">
        <v>33</v>
      </c>
      <c r="C16" t="s">
        <v>50</v>
      </c>
      <c r="D16" s="1">
        <v>45566</v>
      </c>
      <c r="E16" s="1">
        <v>45901</v>
      </c>
      <c r="F16">
        <v>1</v>
      </c>
      <c r="G16">
        <v>1</v>
      </c>
      <c r="H16" t="s">
        <v>51</v>
      </c>
      <c r="I16" t="s">
        <v>52</v>
      </c>
      <c r="J16" t="s">
        <v>53</v>
      </c>
      <c r="K16" t="s">
        <v>26</v>
      </c>
      <c r="L16" t="s">
        <v>42</v>
      </c>
      <c r="M16">
        <v>1</v>
      </c>
      <c r="N16">
        <v>64.41</v>
      </c>
      <c r="O16">
        <v>21.06</v>
      </c>
      <c r="P16">
        <v>0.65</v>
      </c>
      <c r="Q16">
        <v>13.69</v>
      </c>
      <c r="R16" t="s">
        <v>54</v>
      </c>
      <c r="S16">
        <v>0</v>
      </c>
      <c r="T16">
        <v>13.69</v>
      </c>
    </row>
    <row r="17" spans="1:20" x14ac:dyDescent="0.25">
      <c r="A17" t="s">
        <v>49</v>
      </c>
      <c r="B17" t="s">
        <v>33</v>
      </c>
      <c r="C17" t="s">
        <v>50</v>
      </c>
      <c r="D17" s="1">
        <v>45566</v>
      </c>
      <c r="E17" s="1">
        <v>45901</v>
      </c>
      <c r="F17">
        <v>1</v>
      </c>
      <c r="G17">
        <v>1</v>
      </c>
      <c r="H17" t="s">
        <v>51</v>
      </c>
      <c r="I17" t="s">
        <v>52</v>
      </c>
      <c r="J17" t="s">
        <v>53</v>
      </c>
      <c r="K17" t="s">
        <v>26</v>
      </c>
      <c r="L17" t="s">
        <v>55</v>
      </c>
      <c r="M17">
        <v>1</v>
      </c>
      <c r="N17">
        <v>0</v>
      </c>
      <c r="O17">
        <v>25.98</v>
      </c>
      <c r="P17">
        <v>0.65</v>
      </c>
      <c r="Q17">
        <v>16.89</v>
      </c>
      <c r="R17" t="s">
        <v>54</v>
      </c>
      <c r="S17">
        <v>0</v>
      </c>
      <c r="T17">
        <v>16.89</v>
      </c>
    </row>
    <row r="18" spans="1:20" x14ac:dyDescent="0.25">
      <c r="A18" t="s">
        <v>49</v>
      </c>
      <c r="B18" t="s">
        <v>33</v>
      </c>
      <c r="C18" t="s">
        <v>50</v>
      </c>
      <c r="D18" s="1">
        <v>45566</v>
      </c>
      <c r="E18" s="1">
        <v>45901</v>
      </c>
      <c r="F18">
        <v>1</v>
      </c>
      <c r="G18">
        <v>1</v>
      </c>
      <c r="H18" t="s">
        <v>51</v>
      </c>
      <c r="I18" t="s">
        <v>52</v>
      </c>
      <c r="J18" t="s">
        <v>53</v>
      </c>
      <c r="K18" t="s">
        <v>26</v>
      </c>
      <c r="L18" t="s">
        <v>43</v>
      </c>
      <c r="M18">
        <v>1</v>
      </c>
      <c r="N18">
        <v>0</v>
      </c>
      <c r="O18">
        <v>1.68</v>
      </c>
      <c r="P18">
        <v>0.65</v>
      </c>
      <c r="Q18">
        <v>1.0900000000000001</v>
      </c>
      <c r="R18" t="s">
        <v>54</v>
      </c>
      <c r="S18">
        <v>0</v>
      </c>
      <c r="T18">
        <v>1.0900000000000001</v>
      </c>
    </row>
    <row r="19" spans="1:20" x14ac:dyDescent="0.25">
      <c r="A19" t="s">
        <v>49</v>
      </c>
      <c r="B19" t="s">
        <v>33</v>
      </c>
      <c r="C19" t="s">
        <v>50</v>
      </c>
      <c r="D19" s="1">
        <v>45566</v>
      </c>
      <c r="E19" s="1">
        <v>45901</v>
      </c>
      <c r="F19">
        <v>1</v>
      </c>
      <c r="G19">
        <v>1</v>
      </c>
      <c r="H19" t="s">
        <v>51</v>
      </c>
      <c r="I19" t="s">
        <v>52</v>
      </c>
      <c r="J19" t="s">
        <v>53</v>
      </c>
      <c r="K19" t="s">
        <v>26</v>
      </c>
      <c r="L19" t="s">
        <v>56</v>
      </c>
      <c r="M19">
        <v>1</v>
      </c>
      <c r="N19">
        <v>0</v>
      </c>
      <c r="O19">
        <v>2.75</v>
      </c>
      <c r="P19">
        <v>0.65</v>
      </c>
      <c r="Q19">
        <v>1.79</v>
      </c>
      <c r="R19" t="s">
        <v>54</v>
      </c>
      <c r="S19">
        <v>0</v>
      </c>
      <c r="T19">
        <v>1.79</v>
      </c>
    </row>
    <row r="20" spans="1:20" x14ac:dyDescent="0.25">
      <c r="A20" t="s">
        <v>49</v>
      </c>
      <c r="B20" t="s">
        <v>33</v>
      </c>
      <c r="C20" t="s">
        <v>50</v>
      </c>
      <c r="D20" s="1">
        <v>45566</v>
      </c>
      <c r="E20" s="1">
        <v>45901</v>
      </c>
      <c r="F20">
        <v>1</v>
      </c>
      <c r="G20">
        <v>1</v>
      </c>
      <c r="H20" t="s">
        <v>51</v>
      </c>
      <c r="I20" t="s">
        <v>52</v>
      </c>
      <c r="J20" t="s">
        <v>53</v>
      </c>
      <c r="K20" t="s">
        <v>26</v>
      </c>
      <c r="L20" t="s">
        <v>44</v>
      </c>
      <c r="M20">
        <v>1</v>
      </c>
      <c r="N20">
        <v>0</v>
      </c>
      <c r="O20">
        <v>12.94</v>
      </c>
      <c r="P20">
        <v>0.65</v>
      </c>
      <c r="Q20">
        <v>8.41</v>
      </c>
      <c r="R20" t="s">
        <v>54</v>
      </c>
      <c r="S20">
        <v>0</v>
      </c>
      <c r="T20">
        <v>8.41</v>
      </c>
    </row>
    <row r="21" spans="1:20" x14ac:dyDescent="0.25">
      <c r="A21" t="s">
        <v>57</v>
      </c>
      <c r="B21" t="s">
        <v>33</v>
      </c>
      <c r="C21" t="s">
        <v>58</v>
      </c>
      <c r="D21" s="1">
        <v>45566</v>
      </c>
      <c r="E21" s="1">
        <v>45901</v>
      </c>
      <c r="F21">
        <v>1</v>
      </c>
      <c r="G21">
        <v>20</v>
      </c>
      <c r="H21" t="s">
        <v>51</v>
      </c>
      <c r="I21" t="s">
        <v>52</v>
      </c>
      <c r="J21" t="s">
        <v>53</v>
      </c>
      <c r="K21" t="s">
        <v>26</v>
      </c>
      <c r="L21" t="s">
        <v>42</v>
      </c>
      <c r="M21">
        <v>1</v>
      </c>
      <c r="N21">
        <v>37.17</v>
      </c>
      <c r="O21">
        <v>21.91</v>
      </c>
      <c r="P21">
        <v>0.65</v>
      </c>
      <c r="Q21">
        <v>14.24</v>
      </c>
      <c r="R21" t="s">
        <v>54</v>
      </c>
      <c r="S21">
        <v>0</v>
      </c>
      <c r="T21">
        <v>14.24</v>
      </c>
    </row>
    <row r="22" spans="1:20" x14ac:dyDescent="0.25">
      <c r="A22" t="s">
        <v>57</v>
      </c>
      <c r="B22" t="s">
        <v>33</v>
      </c>
      <c r="C22" t="s">
        <v>58</v>
      </c>
      <c r="D22" s="1">
        <v>45566</v>
      </c>
      <c r="E22" s="1">
        <v>45901</v>
      </c>
      <c r="F22">
        <v>1</v>
      </c>
      <c r="G22">
        <v>20</v>
      </c>
      <c r="H22" t="s">
        <v>51</v>
      </c>
      <c r="I22" t="s">
        <v>52</v>
      </c>
      <c r="J22" t="s">
        <v>53</v>
      </c>
      <c r="K22" t="s">
        <v>26</v>
      </c>
      <c r="L22" t="s">
        <v>43</v>
      </c>
      <c r="M22">
        <v>1</v>
      </c>
      <c r="N22">
        <v>0</v>
      </c>
      <c r="O22">
        <v>1.68</v>
      </c>
      <c r="P22">
        <v>0.65</v>
      </c>
      <c r="Q22">
        <v>1.0900000000000001</v>
      </c>
      <c r="R22" t="s">
        <v>54</v>
      </c>
      <c r="S22">
        <v>0</v>
      </c>
      <c r="T22">
        <v>1.0900000000000001</v>
      </c>
    </row>
    <row r="23" spans="1:20" x14ac:dyDescent="0.25">
      <c r="A23" t="s">
        <v>57</v>
      </c>
      <c r="B23" t="s">
        <v>33</v>
      </c>
      <c r="C23" t="s">
        <v>58</v>
      </c>
      <c r="D23" s="1">
        <v>45566</v>
      </c>
      <c r="E23" s="1">
        <v>45901</v>
      </c>
      <c r="F23">
        <v>1</v>
      </c>
      <c r="G23">
        <v>20</v>
      </c>
      <c r="H23" t="s">
        <v>51</v>
      </c>
      <c r="I23" t="s">
        <v>52</v>
      </c>
      <c r="J23" t="s">
        <v>53</v>
      </c>
      <c r="K23" t="s">
        <v>26</v>
      </c>
      <c r="L23" t="s">
        <v>44</v>
      </c>
      <c r="M23">
        <v>1</v>
      </c>
      <c r="N23">
        <v>0</v>
      </c>
      <c r="O23">
        <v>13.58</v>
      </c>
      <c r="P23">
        <v>0.65</v>
      </c>
      <c r="Q23">
        <v>8.83</v>
      </c>
      <c r="R23" t="s">
        <v>54</v>
      </c>
      <c r="S23">
        <v>0</v>
      </c>
      <c r="T23">
        <v>8.83</v>
      </c>
    </row>
    <row r="24" spans="1:20" x14ac:dyDescent="0.25">
      <c r="A24" t="s">
        <v>59</v>
      </c>
      <c r="B24" t="s">
        <v>60</v>
      </c>
      <c r="C24" t="s">
        <v>61</v>
      </c>
      <c r="D24" s="1">
        <v>45589</v>
      </c>
      <c r="E24" s="1">
        <v>45924</v>
      </c>
      <c r="F24">
        <v>1</v>
      </c>
      <c r="G24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>
        <v>1</v>
      </c>
      <c r="N24">
        <v>62.89</v>
      </c>
      <c r="O24">
        <v>31.18</v>
      </c>
      <c r="P24">
        <v>0.75</v>
      </c>
      <c r="Q24">
        <v>23.39</v>
      </c>
      <c r="R24" t="s">
        <v>54</v>
      </c>
      <c r="S24">
        <v>0</v>
      </c>
      <c r="T24">
        <v>23.39</v>
      </c>
    </row>
    <row r="25" spans="1:20" x14ac:dyDescent="0.25">
      <c r="A25" t="s">
        <v>59</v>
      </c>
      <c r="B25" t="s">
        <v>60</v>
      </c>
      <c r="C25" t="s">
        <v>61</v>
      </c>
      <c r="D25" s="1">
        <v>45589</v>
      </c>
      <c r="E25" s="1">
        <v>45924</v>
      </c>
      <c r="F25">
        <v>1</v>
      </c>
      <c r="G25">
        <v>22</v>
      </c>
      <c r="H25" t="s">
        <v>23</v>
      </c>
      <c r="I25" t="s">
        <v>24</v>
      </c>
      <c r="J25" t="s">
        <v>25</v>
      </c>
      <c r="K25" t="s">
        <v>26</v>
      </c>
      <c r="L25" t="s">
        <v>62</v>
      </c>
      <c r="M25">
        <v>1</v>
      </c>
      <c r="N25">
        <v>0</v>
      </c>
      <c r="O25">
        <v>6.17</v>
      </c>
      <c r="P25">
        <v>0.75</v>
      </c>
      <c r="Q25">
        <v>4.63</v>
      </c>
      <c r="R25" t="s">
        <v>54</v>
      </c>
      <c r="S25">
        <v>0</v>
      </c>
      <c r="T25">
        <v>4.63</v>
      </c>
    </row>
    <row r="26" spans="1:20" x14ac:dyDescent="0.25">
      <c r="A26" t="s">
        <v>59</v>
      </c>
      <c r="B26" t="s">
        <v>60</v>
      </c>
      <c r="C26" t="s">
        <v>61</v>
      </c>
      <c r="D26" s="1">
        <v>45589</v>
      </c>
      <c r="E26" s="1">
        <v>45924</v>
      </c>
      <c r="F26">
        <v>1</v>
      </c>
      <c r="G26">
        <v>22</v>
      </c>
      <c r="H26" t="s">
        <v>23</v>
      </c>
      <c r="I26" t="s">
        <v>24</v>
      </c>
      <c r="J26" t="s">
        <v>25</v>
      </c>
      <c r="K26" t="s">
        <v>26</v>
      </c>
      <c r="L26" t="s">
        <v>30</v>
      </c>
      <c r="M26">
        <v>1</v>
      </c>
      <c r="N26">
        <v>0</v>
      </c>
      <c r="O26">
        <v>4.83</v>
      </c>
      <c r="P26">
        <v>0.75</v>
      </c>
      <c r="Q26">
        <v>3.62</v>
      </c>
      <c r="R26" t="s">
        <v>54</v>
      </c>
      <c r="S26">
        <v>0</v>
      </c>
      <c r="T26">
        <v>3.62</v>
      </c>
    </row>
    <row r="27" spans="1:20" x14ac:dyDescent="0.25">
      <c r="A27" t="s">
        <v>59</v>
      </c>
      <c r="B27" t="s">
        <v>60</v>
      </c>
      <c r="C27" t="s">
        <v>61</v>
      </c>
      <c r="D27" s="1">
        <v>45589</v>
      </c>
      <c r="E27" s="1">
        <v>45924</v>
      </c>
      <c r="F27">
        <v>1</v>
      </c>
      <c r="G27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29</v>
      </c>
      <c r="M27">
        <v>1</v>
      </c>
      <c r="N27">
        <v>0</v>
      </c>
      <c r="O27">
        <v>9.7799999999999994</v>
      </c>
      <c r="P27">
        <v>0.75</v>
      </c>
      <c r="Q27">
        <v>7.34</v>
      </c>
      <c r="R27" t="s">
        <v>54</v>
      </c>
      <c r="S27">
        <v>0</v>
      </c>
      <c r="T27">
        <v>7.34</v>
      </c>
    </row>
    <row r="28" spans="1:20" x14ac:dyDescent="0.25">
      <c r="A28" t="s">
        <v>59</v>
      </c>
      <c r="B28" t="s">
        <v>60</v>
      </c>
      <c r="C28" t="s">
        <v>61</v>
      </c>
      <c r="D28" s="1">
        <v>45589</v>
      </c>
      <c r="E28" s="1">
        <v>45924</v>
      </c>
      <c r="F28">
        <v>1</v>
      </c>
      <c r="G28">
        <v>22</v>
      </c>
      <c r="H28" t="s">
        <v>23</v>
      </c>
      <c r="I28" t="s">
        <v>24</v>
      </c>
      <c r="J28" t="s">
        <v>25</v>
      </c>
      <c r="K28" t="s">
        <v>26</v>
      </c>
      <c r="L28" t="s">
        <v>31</v>
      </c>
      <c r="M28">
        <v>1</v>
      </c>
      <c r="N28">
        <v>0</v>
      </c>
      <c r="O28">
        <v>9.26</v>
      </c>
      <c r="P28">
        <v>0.75</v>
      </c>
      <c r="Q28">
        <v>6.95</v>
      </c>
      <c r="R28" t="s">
        <v>54</v>
      </c>
      <c r="S28">
        <v>0</v>
      </c>
      <c r="T28">
        <v>6.95</v>
      </c>
    </row>
    <row r="29" spans="1:20" x14ac:dyDescent="0.25">
      <c r="A29" t="s">
        <v>63</v>
      </c>
      <c r="B29" t="s">
        <v>60</v>
      </c>
      <c r="C29" t="s">
        <v>64</v>
      </c>
      <c r="D29" s="1">
        <v>45589</v>
      </c>
      <c r="E29" s="1">
        <v>45924</v>
      </c>
      <c r="F29">
        <v>1</v>
      </c>
      <c r="G29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>
        <v>1</v>
      </c>
      <c r="N29">
        <v>65.64</v>
      </c>
      <c r="O29">
        <v>31.18</v>
      </c>
      <c r="P29">
        <v>0.75</v>
      </c>
      <c r="Q29">
        <v>23.39</v>
      </c>
      <c r="R29" t="s">
        <v>54</v>
      </c>
      <c r="S29">
        <v>0</v>
      </c>
      <c r="T29">
        <v>23.39</v>
      </c>
    </row>
    <row r="30" spans="1:20" x14ac:dyDescent="0.25">
      <c r="A30" t="s">
        <v>63</v>
      </c>
      <c r="B30" t="s">
        <v>60</v>
      </c>
      <c r="C30" t="s">
        <v>64</v>
      </c>
      <c r="D30" s="1">
        <v>45589</v>
      </c>
      <c r="E30" s="1">
        <v>45924</v>
      </c>
      <c r="F30">
        <v>1</v>
      </c>
      <c r="G30">
        <v>22</v>
      </c>
      <c r="H30" t="s">
        <v>23</v>
      </c>
      <c r="I30" t="s">
        <v>24</v>
      </c>
      <c r="J30" t="s">
        <v>25</v>
      </c>
      <c r="K30" t="s">
        <v>26</v>
      </c>
      <c r="L30" t="s">
        <v>62</v>
      </c>
      <c r="M30">
        <v>1</v>
      </c>
      <c r="N30">
        <v>0</v>
      </c>
      <c r="O30">
        <v>8.92</v>
      </c>
      <c r="P30">
        <v>0.75</v>
      </c>
      <c r="Q30">
        <v>6.69</v>
      </c>
      <c r="R30" t="s">
        <v>54</v>
      </c>
      <c r="S30">
        <v>0</v>
      </c>
      <c r="T30">
        <v>6.69</v>
      </c>
    </row>
    <row r="31" spans="1:20" x14ac:dyDescent="0.25">
      <c r="A31" t="s">
        <v>63</v>
      </c>
      <c r="B31" t="s">
        <v>60</v>
      </c>
      <c r="C31" t="s">
        <v>64</v>
      </c>
      <c r="D31" s="1">
        <v>45589</v>
      </c>
      <c r="E31" s="1">
        <v>45924</v>
      </c>
      <c r="F31">
        <v>1</v>
      </c>
      <c r="G31">
        <v>22</v>
      </c>
      <c r="H31" t="s">
        <v>23</v>
      </c>
      <c r="I31" t="s">
        <v>24</v>
      </c>
      <c r="J31" t="s">
        <v>25</v>
      </c>
      <c r="K31" t="s">
        <v>26</v>
      </c>
      <c r="L31" t="s">
        <v>30</v>
      </c>
      <c r="M31">
        <v>1</v>
      </c>
      <c r="N31">
        <v>0</v>
      </c>
      <c r="O31">
        <v>4.83</v>
      </c>
      <c r="P31">
        <v>0.75</v>
      </c>
      <c r="Q31">
        <v>3.62</v>
      </c>
      <c r="R31" t="s">
        <v>54</v>
      </c>
      <c r="S31">
        <v>0</v>
      </c>
      <c r="T31">
        <v>3.62</v>
      </c>
    </row>
    <row r="32" spans="1:20" x14ac:dyDescent="0.25">
      <c r="A32" t="s">
        <v>63</v>
      </c>
      <c r="B32" t="s">
        <v>60</v>
      </c>
      <c r="C32" t="s">
        <v>64</v>
      </c>
      <c r="D32" s="1">
        <v>45589</v>
      </c>
      <c r="E32" s="1">
        <v>45924</v>
      </c>
      <c r="F32">
        <v>1</v>
      </c>
      <c r="G32">
        <v>22</v>
      </c>
      <c r="H32" t="s">
        <v>23</v>
      </c>
      <c r="I32" t="s">
        <v>24</v>
      </c>
      <c r="J32" t="s">
        <v>25</v>
      </c>
      <c r="K32" t="s">
        <v>26</v>
      </c>
      <c r="L32" t="s">
        <v>31</v>
      </c>
      <c r="M32">
        <v>1</v>
      </c>
      <c r="N32">
        <v>0</v>
      </c>
      <c r="O32">
        <v>9.26</v>
      </c>
      <c r="P32">
        <v>0.75</v>
      </c>
      <c r="Q32">
        <v>6.95</v>
      </c>
      <c r="R32" t="s">
        <v>54</v>
      </c>
      <c r="S32">
        <v>0</v>
      </c>
      <c r="T32">
        <v>6.95</v>
      </c>
    </row>
    <row r="33" spans="1:20" x14ac:dyDescent="0.25">
      <c r="A33" t="s">
        <v>63</v>
      </c>
      <c r="B33" t="s">
        <v>60</v>
      </c>
      <c r="C33" t="s">
        <v>64</v>
      </c>
      <c r="D33" s="1">
        <v>45589</v>
      </c>
      <c r="E33" s="1">
        <v>45924</v>
      </c>
      <c r="F33">
        <v>1</v>
      </c>
      <c r="G33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29</v>
      </c>
      <c r="M33">
        <v>1</v>
      </c>
      <c r="N33">
        <v>0</v>
      </c>
      <c r="O33">
        <v>9.7799999999999994</v>
      </c>
      <c r="P33">
        <v>0.75</v>
      </c>
      <c r="Q33">
        <v>7.34</v>
      </c>
      <c r="R33" t="s">
        <v>54</v>
      </c>
      <c r="S33">
        <v>0</v>
      </c>
      <c r="T33">
        <v>7.34</v>
      </c>
    </row>
    <row r="34" spans="1:20" x14ac:dyDescent="0.25">
      <c r="A34" t="s">
        <v>65</v>
      </c>
      <c r="B34" t="s">
        <v>66</v>
      </c>
      <c r="C34" t="s">
        <v>67</v>
      </c>
      <c r="D34" s="1">
        <v>45627</v>
      </c>
      <c r="E34" s="1">
        <v>45901</v>
      </c>
      <c r="F34">
        <v>1</v>
      </c>
      <c r="G34">
        <v>1</v>
      </c>
      <c r="H34" t="s">
        <v>23</v>
      </c>
      <c r="I34" t="s">
        <v>24</v>
      </c>
      <c r="J34" t="s">
        <v>25</v>
      </c>
      <c r="K34" t="s">
        <v>26</v>
      </c>
      <c r="L34" t="s">
        <v>68</v>
      </c>
      <c r="M34">
        <v>1</v>
      </c>
      <c r="N34">
        <v>109.73</v>
      </c>
      <c r="O34">
        <v>78.84</v>
      </c>
      <c r="P34">
        <v>0.65</v>
      </c>
      <c r="Q34">
        <v>51.25</v>
      </c>
      <c r="R34" t="s">
        <v>69</v>
      </c>
      <c r="S34">
        <v>-51.23</v>
      </c>
      <c r="T34">
        <v>0.02</v>
      </c>
    </row>
    <row r="35" spans="1:20" x14ac:dyDescent="0.25">
      <c r="A35" t="s">
        <v>65</v>
      </c>
      <c r="B35" t="s">
        <v>66</v>
      </c>
      <c r="C35" t="s">
        <v>67</v>
      </c>
      <c r="D35" s="1">
        <v>45627</v>
      </c>
      <c r="E35" s="1">
        <v>45901</v>
      </c>
      <c r="F35">
        <v>1</v>
      </c>
      <c r="G35">
        <v>1</v>
      </c>
      <c r="H35" t="s">
        <v>23</v>
      </c>
      <c r="I35" t="s">
        <v>24</v>
      </c>
      <c r="J35" t="s">
        <v>25</v>
      </c>
      <c r="K35" t="s">
        <v>26</v>
      </c>
      <c r="L35" t="s">
        <v>70</v>
      </c>
      <c r="M35">
        <v>1</v>
      </c>
      <c r="N35">
        <v>0</v>
      </c>
      <c r="O35">
        <v>6.22</v>
      </c>
      <c r="P35">
        <v>0.65</v>
      </c>
      <c r="Q35">
        <v>4.04</v>
      </c>
      <c r="R35" t="s">
        <v>69</v>
      </c>
      <c r="S35">
        <v>-4.04</v>
      </c>
      <c r="T35">
        <v>0</v>
      </c>
    </row>
    <row r="36" spans="1:20" x14ac:dyDescent="0.25">
      <c r="A36" t="s">
        <v>65</v>
      </c>
      <c r="B36" t="s">
        <v>66</v>
      </c>
      <c r="C36" t="s">
        <v>67</v>
      </c>
      <c r="D36" s="1">
        <v>45627</v>
      </c>
      <c r="E36" s="1">
        <v>45901</v>
      </c>
      <c r="F36">
        <v>1</v>
      </c>
      <c r="G36">
        <v>1</v>
      </c>
      <c r="H36" t="s">
        <v>23</v>
      </c>
      <c r="I36" t="s">
        <v>24</v>
      </c>
      <c r="J36" t="s">
        <v>25</v>
      </c>
      <c r="K36" t="s">
        <v>26</v>
      </c>
      <c r="L36" t="s">
        <v>71</v>
      </c>
      <c r="M36">
        <v>1</v>
      </c>
      <c r="N36">
        <v>0</v>
      </c>
      <c r="O36">
        <v>4.96</v>
      </c>
      <c r="P36">
        <v>0.65</v>
      </c>
      <c r="Q36">
        <v>3.22</v>
      </c>
      <c r="R36" t="s">
        <v>69</v>
      </c>
      <c r="S36">
        <v>-3.22</v>
      </c>
      <c r="T36">
        <v>0</v>
      </c>
    </row>
    <row r="37" spans="1:20" x14ac:dyDescent="0.25">
      <c r="A37" t="s">
        <v>65</v>
      </c>
      <c r="B37" t="s">
        <v>66</v>
      </c>
      <c r="C37" t="s">
        <v>67</v>
      </c>
      <c r="D37" s="1">
        <v>45627</v>
      </c>
      <c r="E37" s="1">
        <v>45901</v>
      </c>
      <c r="F37">
        <v>1</v>
      </c>
      <c r="G37">
        <v>1</v>
      </c>
      <c r="H37" t="s">
        <v>23</v>
      </c>
      <c r="I37" t="s">
        <v>24</v>
      </c>
      <c r="J37" t="s">
        <v>25</v>
      </c>
      <c r="K37" t="s">
        <v>26</v>
      </c>
      <c r="L37" t="s">
        <v>72</v>
      </c>
      <c r="M37">
        <v>1</v>
      </c>
      <c r="N37">
        <v>0</v>
      </c>
      <c r="O37">
        <v>1.07</v>
      </c>
      <c r="P37">
        <v>0.65</v>
      </c>
      <c r="Q37">
        <v>0.7</v>
      </c>
      <c r="R37" t="s">
        <v>69</v>
      </c>
      <c r="S37">
        <v>-0.7</v>
      </c>
      <c r="T37">
        <v>0</v>
      </c>
    </row>
    <row r="38" spans="1:20" x14ac:dyDescent="0.25">
      <c r="A38" t="s">
        <v>65</v>
      </c>
      <c r="B38" t="s">
        <v>66</v>
      </c>
      <c r="C38" t="s">
        <v>67</v>
      </c>
      <c r="D38" s="1">
        <v>45627</v>
      </c>
      <c r="E38" s="1">
        <v>45901</v>
      </c>
      <c r="F38">
        <v>1</v>
      </c>
      <c r="G38">
        <v>1</v>
      </c>
      <c r="H38" t="s">
        <v>23</v>
      </c>
      <c r="I38" t="s">
        <v>24</v>
      </c>
      <c r="J38" t="s">
        <v>25</v>
      </c>
      <c r="K38" t="s">
        <v>26</v>
      </c>
      <c r="L38" t="s">
        <v>73</v>
      </c>
      <c r="M38">
        <v>1</v>
      </c>
      <c r="N38">
        <v>0</v>
      </c>
      <c r="O38">
        <v>1.68</v>
      </c>
      <c r="P38">
        <v>0.65</v>
      </c>
      <c r="Q38">
        <v>1.0900000000000001</v>
      </c>
      <c r="R38" t="s">
        <v>69</v>
      </c>
      <c r="S38">
        <v>-1.0900000000000001</v>
      </c>
      <c r="T38">
        <v>0</v>
      </c>
    </row>
    <row r="39" spans="1:20" x14ac:dyDescent="0.25">
      <c r="A39" t="s">
        <v>65</v>
      </c>
      <c r="B39" t="s">
        <v>66</v>
      </c>
      <c r="C39" t="s">
        <v>67</v>
      </c>
      <c r="D39" s="1">
        <v>45627</v>
      </c>
      <c r="E39" s="1">
        <v>45901</v>
      </c>
      <c r="F39">
        <v>1</v>
      </c>
      <c r="G39">
        <v>1</v>
      </c>
      <c r="H39" t="s">
        <v>23</v>
      </c>
      <c r="I39" t="s">
        <v>24</v>
      </c>
      <c r="J39" t="s">
        <v>25</v>
      </c>
      <c r="K39" t="s">
        <v>26</v>
      </c>
      <c r="L39" t="s">
        <v>74</v>
      </c>
      <c r="M39">
        <v>1</v>
      </c>
      <c r="N39">
        <v>0</v>
      </c>
      <c r="O39">
        <v>6.99</v>
      </c>
      <c r="P39">
        <v>0.65</v>
      </c>
      <c r="Q39">
        <v>4.54</v>
      </c>
      <c r="R39" t="s">
        <v>69</v>
      </c>
      <c r="S39">
        <v>-4.54</v>
      </c>
      <c r="T39">
        <v>0</v>
      </c>
    </row>
    <row r="40" spans="1:20" x14ac:dyDescent="0.25">
      <c r="A40" t="s">
        <v>65</v>
      </c>
      <c r="B40" t="s">
        <v>66</v>
      </c>
      <c r="C40" t="s">
        <v>67</v>
      </c>
      <c r="D40" s="1">
        <v>45627</v>
      </c>
      <c r="E40" s="1">
        <v>45901</v>
      </c>
      <c r="F40">
        <v>1</v>
      </c>
      <c r="G40">
        <v>1</v>
      </c>
      <c r="H40" t="s">
        <v>23</v>
      </c>
      <c r="I40" t="s">
        <v>24</v>
      </c>
      <c r="J40" t="s">
        <v>25</v>
      </c>
      <c r="K40" t="s">
        <v>26</v>
      </c>
      <c r="L40" t="s">
        <v>75</v>
      </c>
      <c r="M40">
        <v>1</v>
      </c>
      <c r="N40">
        <v>0</v>
      </c>
      <c r="O40">
        <v>6.47</v>
      </c>
      <c r="P40">
        <v>0.65</v>
      </c>
      <c r="Q40">
        <v>4.21</v>
      </c>
      <c r="R40" t="s">
        <v>69</v>
      </c>
      <c r="S40">
        <v>-4.21</v>
      </c>
      <c r="T40">
        <v>0</v>
      </c>
    </row>
    <row r="41" spans="1:20" x14ac:dyDescent="0.25">
      <c r="A41" t="s">
        <v>76</v>
      </c>
      <c r="B41" t="s">
        <v>21</v>
      </c>
      <c r="C41" t="s">
        <v>77</v>
      </c>
      <c r="D41" s="1">
        <v>45604</v>
      </c>
      <c r="E41" s="1">
        <v>45908</v>
      </c>
      <c r="F41">
        <v>1</v>
      </c>
      <c r="G41">
        <v>8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>
        <v>1</v>
      </c>
      <c r="N41">
        <v>142.87</v>
      </c>
      <c r="O41">
        <v>97.76</v>
      </c>
      <c r="P41">
        <v>0.75</v>
      </c>
      <c r="Q41">
        <v>73.319999999999993</v>
      </c>
      <c r="R41" t="s">
        <v>54</v>
      </c>
      <c r="S41">
        <v>0</v>
      </c>
      <c r="T41">
        <v>73.319999999999993</v>
      </c>
    </row>
    <row r="42" spans="1:20" x14ac:dyDescent="0.25">
      <c r="A42" t="s">
        <v>76</v>
      </c>
      <c r="B42" t="s">
        <v>21</v>
      </c>
      <c r="C42" t="s">
        <v>77</v>
      </c>
      <c r="D42" s="1">
        <v>45604</v>
      </c>
      <c r="E42" s="1">
        <v>45908</v>
      </c>
      <c r="F42">
        <v>1</v>
      </c>
      <c r="G42">
        <v>8</v>
      </c>
      <c r="H42" t="s">
        <v>23</v>
      </c>
      <c r="I42" t="s">
        <v>24</v>
      </c>
      <c r="J42" t="s">
        <v>25</v>
      </c>
      <c r="K42" t="s">
        <v>26</v>
      </c>
      <c r="L42" t="s">
        <v>31</v>
      </c>
      <c r="M42">
        <v>1</v>
      </c>
      <c r="N42">
        <v>0</v>
      </c>
      <c r="O42">
        <v>9.26</v>
      </c>
      <c r="P42">
        <v>0.75</v>
      </c>
      <c r="Q42">
        <v>6.95</v>
      </c>
      <c r="R42" t="s">
        <v>54</v>
      </c>
      <c r="S42">
        <v>0</v>
      </c>
      <c r="T42">
        <v>6.95</v>
      </c>
    </row>
    <row r="43" spans="1:20" x14ac:dyDescent="0.25">
      <c r="A43" t="s">
        <v>76</v>
      </c>
      <c r="B43" t="s">
        <v>21</v>
      </c>
      <c r="C43" t="s">
        <v>77</v>
      </c>
      <c r="D43" s="1">
        <v>45604</v>
      </c>
      <c r="E43" s="1">
        <v>45908</v>
      </c>
      <c r="F43">
        <v>1</v>
      </c>
      <c r="G43">
        <v>8</v>
      </c>
      <c r="H43" t="s">
        <v>23</v>
      </c>
      <c r="I43" t="s">
        <v>24</v>
      </c>
      <c r="J43" t="s">
        <v>25</v>
      </c>
      <c r="K43" t="s">
        <v>26</v>
      </c>
      <c r="L43" t="s">
        <v>29</v>
      </c>
      <c r="M43">
        <v>1</v>
      </c>
      <c r="N43">
        <v>0</v>
      </c>
      <c r="O43">
        <v>29.35</v>
      </c>
      <c r="P43">
        <v>0.75</v>
      </c>
      <c r="Q43">
        <v>22.01</v>
      </c>
      <c r="R43" t="s">
        <v>54</v>
      </c>
      <c r="S43">
        <v>0</v>
      </c>
      <c r="T43">
        <v>22.01</v>
      </c>
    </row>
    <row r="44" spans="1:20" x14ac:dyDescent="0.25">
      <c r="A44" t="s">
        <v>76</v>
      </c>
      <c r="B44" t="s">
        <v>21</v>
      </c>
      <c r="C44" t="s">
        <v>77</v>
      </c>
      <c r="D44" s="1">
        <v>45604</v>
      </c>
      <c r="E44" s="1">
        <v>45908</v>
      </c>
      <c r="F44">
        <v>1</v>
      </c>
      <c r="G44">
        <v>8</v>
      </c>
      <c r="H44" t="s">
        <v>23</v>
      </c>
      <c r="I44" t="s">
        <v>24</v>
      </c>
      <c r="J44" t="s">
        <v>25</v>
      </c>
      <c r="K44" t="s">
        <v>26</v>
      </c>
      <c r="L44" t="s">
        <v>30</v>
      </c>
      <c r="M44">
        <v>1</v>
      </c>
      <c r="N44">
        <v>0</v>
      </c>
      <c r="O44">
        <v>4.83</v>
      </c>
      <c r="P44">
        <v>0.75</v>
      </c>
      <c r="Q44">
        <v>3.62</v>
      </c>
      <c r="R44" t="s">
        <v>54</v>
      </c>
      <c r="S44">
        <v>0</v>
      </c>
      <c r="T44">
        <v>3.62</v>
      </c>
    </row>
    <row r="45" spans="1:20" x14ac:dyDescent="0.25">
      <c r="A45" t="s">
        <v>78</v>
      </c>
      <c r="B45" t="s">
        <v>21</v>
      </c>
      <c r="C45" t="s">
        <v>79</v>
      </c>
      <c r="D45" s="1">
        <v>45613</v>
      </c>
      <c r="E45" s="1">
        <v>45917</v>
      </c>
      <c r="F45">
        <v>1</v>
      </c>
      <c r="G45">
        <v>15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>
        <v>1</v>
      </c>
      <c r="N45">
        <v>105.9</v>
      </c>
      <c r="O45">
        <v>70.84</v>
      </c>
      <c r="P45">
        <v>0.75</v>
      </c>
      <c r="Q45">
        <v>53.13</v>
      </c>
      <c r="R45" t="s">
        <v>54</v>
      </c>
      <c r="S45">
        <v>0</v>
      </c>
      <c r="T45">
        <v>53.13</v>
      </c>
    </row>
    <row r="46" spans="1:20" x14ac:dyDescent="0.25">
      <c r="A46" t="s">
        <v>78</v>
      </c>
      <c r="B46" t="s">
        <v>21</v>
      </c>
      <c r="C46" t="s">
        <v>79</v>
      </c>
      <c r="D46" s="1">
        <v>45613</v>
      </c>
      <c r="E46" s="1">
        <v>45917</v>
      </c>
      <c r="F46">
        <v>1</v>
      </c>
      <c r="G46">
        <v>15</v>
      </c>
      <c r="H46" t="s">
        <v>23</v>
      </c>
      <c r="I46" t="s">
        <v>24</v>
      </c>
      <c r="J46" t="s">
        <v>25</v>
      </c>
      <c r="K46" t="s">
        <v>26</v>
      </c>
      <c r="L46" t="s">
        <v>30</v>
      </c>
      <c r="M46">
        <v>1</v>
      </c>
      <c r="N46">
        <v>0</v>
      </c>
      <c r="O46">
        <v>3.08</v>
      </c>
      <c r="P46">
        <v>0.75</v>
      </c>
      <c r="Q46">
        <v>2.31</v>
      </c>
      <c r="R46" t="s">
        <v>54</v>
      </c>
      <c r="S46">
        <v>0</v>
      </c>
      <c r="T46">
        <v>2.31</v>
      </c>
    </row>
    <row r="47" spans="1:20" x14ac:dyDescent="0.25">
      <c r="A47" t="s">
        <v>78</v>
      </c>
      <c r="B47" t="s">
        <v>21</v>
      </c>
      <c r="C47" t="s">
        <v>79</v>
      </c>
      <c r="D47" s="1">
        <v>45613</v>
      </c>
      <c r="E47" s="1">
        <v>45917</v>
      </c>
      <c r="F47">
        <v>1</v>
      </c>
      <c r="G47">
        <v>15</v>
      </c>
      <c r="H47" t="s">
        <v>23</v>
      </c>
      <c r="I47" t="s">
        <v>24</v>
      </c>
      <c r="J47" t="s">
        <v>25</v>
      </c>
      <c r="K47" t="s">
        <v>26</v>
      </c>
      <c r="L47" t="s">
        <v>31</v>
      </c>
      <c r="M47">
        <v>1</v>
      </c>
      <c r="N47">
        <v>0</v>
      </c>
      <c r="O47">
        <v>5.94</v>
      </c>
      <c r="P47">
        <v>0.75</v>
      </c>
      <c r="Q47">
        <v>4.46</v>
      </c>
      <c r="R47" t="s">
        <v>54</v>
      </c>
      <c r="S47">
        <v>0</v>
      </c>
      <c r="T47">
        <v>4.46</v>
      </c>
    </row>
    <row r="48" spans="1:20" x14ac:dyDescent="0.25">
      <c r="A48" t="s">
        <v>78</v>
      </c>
      <c r="B48" t="s">
        <v>21</v>
      </c>
      <c r="C48" t="s">
        <v>79</v>
      </c>
      <c r="D48" s="1">
        <v>45613</v>
      </c>
      <c r="E48" s="1">
        <v>45917</v>
      </c>
      <c r="F48">
        <v>1</v>
      </c>
      <c r="G48">
        <v>15</v>
      </c>
      <c r="H48" t="s">
        <v>23</v>
      </c>
      <c r="I48" t="s">
        <v>24</v>
      </c>
      <c r="J48" t="s">
        <v>25</v>
      </c>
      <c r="K48" t="s">
        <v>26</v>
      </c>
      <c r="L48" t="s">
        <v>29</v>
      </c>
      <c r="M48">
        <v>1</v>
      </c>
      <c r="N48">
        <v>0</v>
      </c>
      <c r="O48">
        <v>24.37</v>
      </c>
      <c r="P48">
        <v>0.75</v>
      </c>
      <c r="Q48">
        <v>18.28</v>
      </c>
      <c r="R48" t="s">
        <v>54</v>
      </c>
      <c r="S48">
        <v>0</v>
      </c>
      <c r="T48">
        <v>18.28</v>
      </c>
    </row>
    <row r="49" spans="1:20" x14ac:dyDescent="0.25">
      <c r="A49" t="s">
        <v>80</v>
      </c>
      <c r="B49" t="s">
        <v>21</v>
      </c>
      <c r="C49" t="s">
        <v>81</v>
      </c>
      <c r="D49" s="1">
        <v>45627</v>
      </c>
      <c r="E49" s="1">
        <v>45901</v>
      </c>
      <c r="F49">
        <v>1</v>
      </c>
      <c r="G49">
        <v>1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>
        <v>1</v>
      </c>
      <c r="N49">
        <v>144.27000000000001</v>
      </c>
      <c r="O49">
        <v>97.76</v>
      </c>
      <c r="P49">
        <v>0.75</v>
      </c>
      <c r="Q49">
        <v>73.319999999999993</v>
      </c>
      <c r="R49" t="s">
        <v>69</v>
      </c>
      <c r="S49">
        <v>-73.31</v>
      </c>
      <c r="T49">
        <v>0.01</v>
      </c>
    </row>
    <row r="50" spans="1:20" x14ac:dyDescent="0.25">
      <c r="A50" t="s">
        <v>80</v>
      </c>
      <c r="B50" t="s">
        <v>21</v>
      </c>
      <c r="C50" t="s">
        <v>81</v>
      </c>
      <c r="D50" s="1">
        <v>45627</v>
      </c>
      <c r="E50" s="1">
        <v>45901</v>
      </c>
      <c r="F50">
        <v>1</v>
      </c>
      <c r="G50">
        <v>1</v>
      </c>
      <c r="H50" t="s">
        <v>23</v>
      </c>
      <c r="I50" t="s">
        <v>24</v>
      </c>
      <c r="J50" t="s">
        <v>25</v>
      </c>
      <c r="K50" t="s">
        <v>26</v>
      </c>
      <c r="L50" t="s">
        <v>29</v>
      </c>
      <c r="M50">
        <v>1</v>
      </c>
      <c r="N50">
        <v>0</v>
      </c>
      <c r="O50">
        <v>29.35</v>
      </c>
      <c r="P50">
        <v>0.75</v>
      </c>
      <c r="Q50">
        <v>22.01</v>
      </c>
      <c r="R50" t="s">
        <v>69</v>
      </c>
      <c r="S50">
        <v>-22.01</v>
      </c>
      <c r="T50">
        <v>0</v>
      </c>
    </row>
    <row r="51" spans="1:20" x14ac:dyDescent="0.25">
      <c r="A51" t="s">
        <v>80</v>
      </c>
      <c r="B51" t="s">
        <v>21</v>
      </c>
      <c r="C51" t="s">
        <v>81</v>
      </c>
      <c r="D51" s="1">
        <v>45627</v>
      </c>
      <c r="E51" s="1">
        <v>45901</v>
      </c>
      <c r="F51">
        <v>1</v>
      </c>
      <c r="G51">
        <v>1</v>
      </c>
      <c r="H51" t="s">
        <v>23</v>
      </c>
      <c r="I51" t="s">
        <v>24</v>
      </c>
      <c r="J51" t="s">
        <v>25</v>
      </c>
      <c r="K51" t="s">
        <v>26</v>
      </c>
      <c r="L51" t="s">
        <v>31</v>
      </c>
      <c r="M51">
        <v>1</v>
      </c>
      <c r="N51">
        <v>0</v>
      </c>
      <c r="O51">
        <v>10.66</v>
      </c>
      <c r="P51">
        <v>0.75</v>
      </c>
      <c r="Q51">
        <v>8</v>
      </c>
      <c r="R51" t="s">
        <v>69</v>
      </c>
      <c r="S51">
        <v>-8</v>
      </c>
      <c r="T51">
        <v>0</v>
      </c>
    </row>
    <row r="52" spans="1:20" x14ac:dyDescent="0.25">
      <c r="A52" t="s">
        <v>80</v>
      </c>
      <c r="B52" t="s">
        <v>21</v>
      </c>
      <c r="C52" t="s">
        <v>81</v>
      </c>
      <c r="D52" s="1">
        <v>45627</v>
      </c>
      <c r="E52" s="1">
        <v>45901</v>
      </c>
      <c r="F52">
        <v>1</v>
      </c>
      <c r="G52">
        <v>1</v>
      </c>
      <c r="H52" t="s">
        <v>23</v>
      </c>
      <c r="I52" t="s">
        <v>24</v>
      </c>
      <c r="J52" t="s">
        <v>25</v>
      </c>
      <c r="K52" t="s">
        <v>26</v>
      </c>
      <c r="L52" t="s">
        <v>30</v>
      </c>
      <c r="M52">
        <v>1</v>
      </c>
      <c r="N52">
        <v>0</v>
      </c>
      <c r="O52">
        <v>4.83</v>
      </c>
      <c r="P52">
        <v>0.75</v>
      </c>
      <c r="Q52">
        <v>3.62</v>
      </c>
      <c r="R52" t="s">
        <v>69</v>
      </c>
      <c r="S52">
        <v>-3.62</v>
      </c>
      <c r="T52">
        <v>0</v>
      </c>
    </row>
    <row r="53" spans="1:20" x14ac:dyDescent="0.25">
      <c r="A53" t="s">
        <v>82</v>
      </c>
      <c r="B53" t="s">
        <v>21</v>
      </c>
      <c r="C53" t="s">
        <v>83</v>
      </c>
      <c r="D53" s="1">
        <v>45627</v>
      </c>
      <c r="E53" s="1">
        <v>45901</v>
      </c>
      <c r="F53">
        <v>1</v>
      </c>
      <c r="G53">
        <v>1</v>
      </c>
      <c r="H53" t="s">
        <v>23</v>
      </c>
      <c r="I53" t="s">
        <v>24</v>
      </c>
      <c r="J53" t="s">
        <v>25</v>
      </c>
      <c r="K53" t="s">
        <v>26</v>
      </c>
      <c r="L53" t="s">
        <v>42</v>
      </c>
      <c r="M53">
        <v>1</v>
      </c>
      <c r="N53">
        <v>67.91</v>
      </c>
      <c r="O53">
        <v>26.14</v>
      </c>
      <c r="P53">
        <v>0.65</v>
      </c>
      <c r="Q53">
        <v>16.989999999999998</v>
      </c>
      <c r="R53" t="s">
        <v>69</v>
      </c>
      <c r="S53">
        <v>-16.98</v>
      </c>
      <c r="T53">
        <v>0.01</v>
      </c>
    </row>
    <row r="54" spans="1:20" x14ac:dyDescent="0.25">
      <c r="A54" t="s">
        <v>82</v>
      </c>
      <c r="B54" t="s">
        <v>21</v>
      </c>
      <c r="C54" t="s">
        <v>83</v>
      </c>
      <c r="D54" s="1">
        <v>45627</v>
      </c>
      <c r="E54" s="1">
        <v>45901</v>
      </c>
      <c r="F54">
        <v>1</v>
      </c>
      <c r="G54">
        <v>1</v>
      </c>
      <c r="H54" t="s">
        <v>23</v>
      </c>
      <c r="I54" t="s">
        <v>24</v>
      </c>
      <c r="J54" t="s">
        <v>25</v>
      </c>
      <c r="K54" t="s">
        <v>26</v>
      </c>
      <c r="L54" t="s">
        <v>84</v>
      </c>
      <c r="M54">
        <v>1</v>
      </c>
      <c r="N54">
        <v>0</v>
      </c>
      <c r="O54">
        <v>5.51</v>
      </c>
      <c r="P54">
        <v>0.65</v>
      </c>
      <c r="Q54">
        <v>3.58</v>
      </c>
      <c r="R54" t="s">
        <v>69</v>
      </c>
      <c r="S54">
        <v>-3.58</v>
      </c>
      <c r="T54">
        <v>0</v>
      </c>
    </row>
    <row r="55" spans="1:20" x14ac:dyDescent="0.25">
      <c r="A55" t="s">
        <v>82</v>
      </c>
      <c r="B55" t="s">
        <v>21</v>
      </c>
      <c r="C55" t="s">
        <v>83</v>
      </c>
      <c r="D55" s="1">
        <v>45627</v>
      </c>
      <c r="E55" s="1">
        <v>45901</v>
      </c>
      <c r="F55">
        <v>1</v>
      </c>
      <c r="G55">
        <v>1</v>
      </c>
      <c r="H55" t="s">
        <v>23</v>
      </c>
      <c r="I55" t="s">
        <v>24</v>
      </c>
      <c r="J55" t="s">
        <v>25</v>
      </c>
      <c r="K55" t="s">
        <v>26</v>
      </c>
      <c r="L55" t="s">
        <v>45</v>
      </c>
      <c r="M55">
        <v>1</v>
      </c>
      <c r="N55">
        <v>0</v>
      </c>
      <c r="O55">
        <v>11.3</v>
      </c>
      <c r="P55">
        <v>0.65</v>
      </c>
      <c r="Q55">
        <v>7.35</v>
      </c>
      <c r="R55" t="s">
        <v>69</v>
      </c>
      <c r="S55">
        <v>-7.35</v>
      </c>
      <c r="T55">
        <v>0</v>
      </c>
    </row>
    <row r="56" spans="1:20" x14ac:dyDescent="0.25">
      <c r="A56" t="s">
        <v>82</v>
      </c>
      <c r="B56" t="s">
        <v>21</v>
      </c>
      <c r="C56" t="s">
        <v>83</v>
      </c>
      <c r="D56" s="1">
        <v>45627</v>
      </c>
      <c r="E56" s="1">
        <v>45901</v>
      </c>
      <c r="F56">
        <v>1</v>
      </c>
      <c r="G56">
        <v>1</v>
      </c>
      <c r="H56" t="s">
        <v>23</v>
      </c>
      <c r="I56" t="s">
        <v>24</v>
      </c>
      <c r="J56" t="s">
        <v>25</v>
      </c>
      <c r="K56" t="s">
        <v>26</v>
      </c>
      <c r="L56" t="s">
        <v>85</v>
      </c>
      <c r="M56">
        <v>1</v>
      </c>
      <c r="N56">
        <v>0</v>
      </c>
      <c r="O56">
        <v>2.59</v>
      </c>
      <c r="P56">
        <v>0.65</v>
      </c>
      <c r="Q56">
        <v>1.68</v>
      </c>
      <c r="R56" t="s">
        <v>69</v>
      </c>
      <c r="S56">
        <v>-1.68</v>
      </c>
      <c r="T56">
        <v>0</v>
      </c>
    </row>
    <row r="57" spans="1:20" x14ac:dyDescent="0.25">
      <c r="A57" t="s">
        <v>82</v>
      </c>
      <c r="B57" t="s">
        <v>21</v>
      </c>
      <c r="C57" t="s">
        <v>83</v>
      </c>
      <c r="D57" s="1">
        <v>45627</v>
      </c>
      <c r="E57" s="1">
        <v>45901</v>
      </c>
      <c r="F57">
        <v>1</v>
      </c>
      <c r="G57">
        <v>1</v>
      </c>
      <c r="H57" t="s">
        <v>23</v>
      </c>
      <c r="I57" t="s">
        <v>24</v>
      </c>
      <c r="J57" t="s">
        <v>25</v>
      </c>
      <c r="K57" t="s">
        <v>26</v>
      </c>
      <c r="L57" t="s">
        <v>86</v>
      </c>
      <c r="M57">
        <v>1</v>
      </c>
      <c r="N57">
        <v>0</v>
      </c>
      <c r="O57">
        <v>4.62</v>
      </c>
      <c r="P57">
        <v>0.65</v>
      </c>
      <c r="Q57">
        <v>3</v>
      </c>
      <c r="R57" t="s">
        <v>69</v>
      </c>
      <c r="S57">
        <v>-3</v>
      </c>
      <c r="T57">
        <v>0</v>
      </c>
    </row>
    <row r="58" spans="1:20" x14ac:dyDescent="0.25">
      <c r="A58" t="s">
        <v>82</v>
      </c>
      <c r="B58" t="s">
        <v>21</v>
      </c>
      <c r="C58" t="s">
        <v>83</v>
      </c>
      <c r="D58" s="1">
        <v>45627</v>
      </c>
      <c r="E58" s="1">
        <v>45901</v>
      </c>
      <c r="F58">
        <v>1</v>
      </c>
      <c r="G58">
        <v>1</v>
      </c>
      <c r="H58" t="s">
        <v>23</v>
      </c>
      <c r="I58" t="s">
        <v>24</v>
      </c>
      <c r="J58" t="s">
        <v>25</v>
      </c>
      <c r="K58" t="s">
        <v>26</v>
      </c>
      <c r="L58" t="s">
        <v>87</v>
      </c>
      <c r="M58">
        <v>1</v>
      </c>
      <c r="N58">
        <v>0</v>
      </c>
      <c r="O58">
        <v>16.07</v>
      </c>
      <c r="P58">
        <v>0.65</v>
      </c>
      <c r="Q58">
        <v>10.45</v>
      </c>
      <c r="R58" t="s">
        <v>69</v>
      </c>
      <c r="S58">
        <v>-10.45</v>
      </c>
      <c r="T58">
        <v>0</v>
      </c>
    </row>
    <row r="59" spans="1:20" x14ac:dyDescent="0.25">
      <c r="A59" t="s">
        <v>82</v>
      </c>
      <c r="B59" t="s">
        <v>21</v>
      </c>
      <c r="C59" t="s">
        <v>83</v>
      </c>
      <c r="D59" s="1">
        <v>45627</v>
      </c>
      <c r="E59" s="1">
        <v>45901</v>
      </c>
      <c r="F59">
        <v>1</v>
      </c>
      <c r="G59">
        <v>1</v>
      </c>
      <c r="H59" t="s">
        <v>23</v>
      </c>
      <c r="I59" t="s">
        <v>24</v>
      </c>
      <c r="J59" t="s">
        <v>25</v>
      </c>
      <c r="K59" t="s">
        <v>26</v>
      </c>
      <c r="L59" t="s">
        <v>43</v>
      </c>
      <c r="M59">
        <v>1</v>
      </c>
      <c r="N59">
        <v>0</v>
      </c>
      <c r="O59">
        <v>1.68</v>
      </c>
      <c r="P59">
        <v>0.65</v>
      </c>
      <c r="Q59">
        <v>1.0900000000000001</v>
      </c>
      <c r="R59" t="s">
        <v>69</v>
      </c>
      <c r="S59">
        <v>-1.0900000000000001</v>
      </c>
      <c r="T59">
        <v>0</v>
      </c>
    </row>
    <row r="60" spans="1:20" x14ac:dyDescent="0.25">
      <c r="A60" t="s">
        <v>88</v>
      </c>
      <c r="B60" t="s">
        <v>21</v>
      </c>
      <c r="C60" t="s">
        <v>89</v>
      </c>
      <c r="D60" s="1">
        <v>45658</v>
      </c>
      <c r="E60" s="1">
        <v>45901</v>
      </c>
      <c r="F60">
        <v>1</v>
      </c>
      <c r="G60">
        <v>1</v>
      </c>
      <c r="H60" t="s">
        <v>23</v>
      </c>
      <c r="I60" t="s">
        <v>24</v>
      </c>
      <c r="J60" t="s">
        <v>25</v>
      </c>
      <c r="K60" t="s">
        <v>26</v>
      </c>
      <c r="L60" t="s">
        <v>42</v>
      </c>
      <c r="M60">
        <v>1</v>
      </c>
      <c r="N60">
        <v>38.53</v>
      </c>
      <c r="O60">
        <v>23.99</v>
      </c>
      <c r="P60">
        <v>0.65</v>
      </c>
      <c r="Q60">
        <v>15.59</v>
      </c>
      <c r="R60" t="s">
        <v>69</v>
      </c>
      <c r="S60">
        <v>-15.59</v>
      </c>
      <c r="T60">
        <v>0</v>
      </c>
    </row>
    <row r="61" spans="1:20" x14ac:dyDescent="0.25">
      <c r="A61" t="s">
        <v>88</v>
      </c>
      <c r="B61" t="s">
        <v>21</v>
      </c>
      <c r="C61" t="s">
        <v>89</v>
      </c>
      <c r="D61" s="1">
        <v>45658</v>
      </c>
      <c r="E61" s="1">
        <v>45901</v>
      </c>
      <c r="F61">
        <v>1</v>
      </c>
      <c r="G61">
        <v>1</v>
      </c>
      <c r="H61" t="s">
        <v>23</v>
      </c>
      <c r="I61" t="s">
        <v>24</v>
      </c>
      <c r="J61" t="s">
        <v>25</v>
      </c>
      <c r="K61" t="s">
        <v>26</v>
      </c>
      <c r="L61" t="s">
        <v>85</v>
      </c>
      <c r="M61">
        <v>1</v>
      </c>
      <c r="N61">
        <v>0</v>
      </c>
      <c r="O61">
        <v>2.59</v>
      </c>
      <c r="P61">
        <v>0.65</v>
      </c>
      <c r="Q61">
        <v>1.68</v>
      </c>
      <c r="R61" t="s">
        <v>69</v>
      </c>
      <c r="S61">
        <v>-1.68</v>
      </c>
      <c r="T61">
        <v>0</v>
      </c>
    </row>
    <row r="62" spans="1:20" x14ac:dyDescent="0.25">
      <c r="A62" t="s">
        <v>88</v>
      </c>
      <c r="B62" t="s">
        <v>21</v>
      </c>
      <c r="C62" t="s">
        <v>89</v>
      </c>
      <c r="D62" s="1">
        <v>45658</v>
      </c>
      <c r="E62" s="1">
        <v>45901</v>
      </c>
      <c r="F62">
        <v>1</v>
      </c>
      <c r="G62">
        <v>1</v>
      </c>
      <c r="H62" t="s">
        <v>23</v>
      </c>
      <c r="I62" t="s">
        <v>24</v>
      </c>
      <c r="J62" t="s">
        <v>25</v>
      </c>
      <c r="K62" t="s">
        <v>26</v>
      </c>
      <c r="L62" t="s">
        <v>45</v>
      </c>
      <c r="M62">
        <v>1</v>
      </c>
      <c r="N62">
        <v>0</v>
      </c>
      <c r="O62">
        <v>5.65</v>
      </c>
      <c r="P62">
        <v>0.65</v>
      </c>
      <c r="Q62">
        <v>3.67</v>
      </c>
      <c r="R62" t="s">
        <v>69</v>
      </c>
      <c r="S62">
        <v>-3.67</v>
      </c>
      <c r="T62">
        <v>0</v>
      </c>
    </row>
    <row r="63" spans="1:20" x14ac:dyDescent="0.25">
      <c r="A63" t="s">
        <v>88</v>
      </c>
      <c r="B63" t="s">
        <v>21</v>
      </c>
      <c r="C63" t="s">
        <v>89</v>
      </c>
      <c r="D63" s="1">
        <v>45658</v>
      </c>
      <c r="E63" s="1">
        <v>45901</v>
      </c>
      <c r="F63">
        <v>1</v>
      </c>
      <c r="G63">
        <v>1</v>
      </c>
      <c r="H63" t="s">
        <v>23</v>
      </c>
      <c r="I63" t="s">
        <v>24</v>
      </c>
      <c r="J63" t="s">
        <v>25</v>
      </c>
      <c r="K63" t="s">
        <v>26</v>
      </c>
      <c r="L63" t="s">
        <v>86</v>
      </c>
      <c r="M63">
        <v>1</v>
      </c>
      <c r="N63">
        <v>0</v>
      </c>
      <c r="O63">
        <v>4.62</v>
      </c>
      <c r="P63">
        <v>0.65</v>
      </c>
      <c r="Q63">
        <v>3</v>
      </c>
      <c r="R63" t="s">
        <v>69</v>
      </c>
      <c r="S63">
        <v>-3</v>
      </c>
      <c r="T63">
        <v>0</v>
      </c>
    </row>
    <row r="64" spans="1:20" x14ac:dyDescent="0.25">
      <c r="A64" t="s">
        <v>88</v>
      </c>
      <c r="B64" t="s">
        <v>21</v>
      </c>
      <c r="C64" t="s">
        <v>89</v>
      </c>
      <c r="D64" s="1">
        <v>45658</v>
      </c>
      <c r="E64" s="1">
        <v>45901</v>
      </c>
      <c r="F64">
        <v>1</v>
      </c>
      <c r="G64">
        <v>1</v>
      </c>
      <c r="H64" t="s">
        <v>23</v>
      </c>
      <c r="I64" t="s">
        <v>24</v>
      </c>
      <c r="J64" t="s">
        <v>25</v>
      </c>
      <c r="K64" t="s">
        <v>26</v>
      </c>
      <c r="L64" t="s">
        <v>43</v>
      </c>
      <c r="M64">
        <v>1</v>
      </c>
      <c r="N64">
        <v>0</v>
      </c>
      <c r="O64">
        <v>1.68</v>
      </c>
      <c r="P64">
        <v>0.65</v>
      </c>
      <c r="Q64">
        <v>1.0900000000000001</v>
      </c>
      <c r="R64" t="s">
        <v>69</v>
      </c>
      <c r="S64">
        <v>-1.0900000000000001</v>
      </c>
      <c r="T64">
        <v>0</v>
      </c>
    </row>
    <row r="65" spans="1:20" x14ac:dyDescent="0.25">
      <c r="A65" t="s">
        <v>90</v>
      </c>
      <c r="B65" t="s">
        <v>21</v>
      </c>
      <c r="C65" t="s">
        <v>91</v>
      </c>
      <c r="D65" s="1">
        <v>45658</v>
      </c>
      <c r="E65" s="1">
        <v>45901</v>
      </c>
      <c r="F65">
        <v>1</v>
      </c>
      <c r="G65">
        <v>1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>
        <v>1</v>
      </c>
      <c r="N65">
        <v>105.9</v>
      </c>
      <c r="O65">
        <v>70.84</v>
      </c>
      <c r="P65">
        <v>0.75</v>
      </c>
      <c r="Q65">
        <v>53.13</v>
      </c>
      <c r="R65" t="s">
        <v>69</v>
      </c>
      <c r="S65">
        <v>-53.13</v>
      </c>
      <c r="T65">
        <v>0</v>
      </c>
    </row>
    <row r="66" spans="1:20" x14ac:dyDescent="0.25">
      <c r="A66" t="s">
        <v>90</v>
      </c>
      <c r="B66" t="s">
        <v>21</v>
      </c>
      <c r="C66" t="s">
        <v>91</v>
      </c>
      <c r="D66" s="1">
        <v>45658</v>
      </c>
      <c r="E66" s="1">
        <v>45901</v>
      </c>
      <c r="F66">
        <v>1</v>
      </c>
      <c r="G66">
        <v>1</v>
      </c>
      <c r="H66" t="s">
        <v>23</v>
      </c>
      <c r="I66" t="s">
        <v>24</v>
      </c>
      <c r="J66" t="s">
        <v>25</v>
      </c>
      <c r="K66" t="s">
        <v>26</v>
      </c>
      <c r="L66" t="s">
        <v>29</v>
      </c>
      <c r="M66">
        <v>1</v>
      </c>
      <c r="N66">
        <v>0</v>
      </c>
      <c r="O66">
        <v>24.37</v>
      </c>
      <c r="P66">
        <v>0.75</v>
      </c>
      <c r="Q66">
        <v>18.28</v>
      </c>
      <c r="R66" t="s">
        <v>69</v>
      </c>
      <c r="S66">
        <v>-18.28</v>
      </c>
      <c r="T66">
        <v>0</v>
      </c>
    </row>
    <row r="67" spans="1:20" x14ac:dyDescent="0.25">
      <c r="A67" t="s">
        <v>90</v>
      </c>
      <c r="B67" t="s">
        <v>21</v>
      </c>
      <c r="C67" t="s">
        <v>91</v>
      </c>
      <c r="D67" s="1">
        <v>45658</v>
      </c>
      <c r="E67" s="1">
        <v>45901</v>
      </c>
      <c r="F67">
        <v>1</v>
      </c>
      <c r="G67">
        <v>1</v>
      </c>
      <c r="H67" t="s">
        <v>23</v>
      </c>
      <c r="I67" t="s">
        <v>24</v>
      </c>
      <c r="J67" t="s">
        <v>25</v>
      </c>
      <c r="K67" t="s">
        <v>26</v>
      </c>
      <c r="L67" t="s">
        <v>31</v>
      </c>
      <c r="M67">
        <v>1</v>
      </c>
      <c r="N67">
        <v>0</v>
      </c>
      <c r="O67">
        <v>5.94</v>
      </c>
      <c r="P67">
        <v>0.75</v>
      </c>
      <c r="Q67">
        <v>4.46</v>
      </c>
      <c r="R67" t="s">
        <v>69</v>
      </c>
      <c r="S67">
        <v>-4.46</v>
      </c>
      <c r="T67">
        <v>0</v>
      </c>
    </row>
    <row r="68" spans="1:20" x14ac:dyDescent="0.25">
      <c r="A68" t="s">
        <v>90</v>
      </c>
      <c r="B68" t="s">
        <v>21</v>
      </c>
      <c r="C68" t="s">
        <v>91</v>
      </c>
      <c r="D68" s="1">
        <v>45658</v>
      </c>
      <c r="E68" s="1">
        <v>45901</v>
      </c>
      <c r="F68">
        <v>1</v>
      </c>
      <c r="G68">
        <v>1</v>
      </c>
      <c r="H68" t="s">
        <v>23</v>
      </c>
      <c r="I68" t="s">
        <v>24</v>
      </c>
      <c r="J68" t="s">
        <v>25</v>
      </c>
      <c r="K68" t="s">
        <v>26</v>
      </c>
      <c r="L68" t="s">
        <v>30</v>
      </c>
      <c r="M68">
        <v>1</v>
      </c>
      <c r="N68">
        <v>0</v>
      </c>
      <c r="O68">
        <v>3.08</v>
      </c>
      <c r="P68">
        <v>0.75</v>
      </c>
      <c r="Q68">
        <v>2.31</v>
      </c>
      <c r="R68" t="s">
        <v>69</v>
      </c>
      <c r="S68">
        <v>-2.31</v>
      </c>
      <c r="T68">
        <v>0</v>
      </c>
    </row>
    <row r="69" spans="1:20" x14ac:dyDescent="0.25">
      <c r="A69" t="s">
        <v>92</v>
      </c>
      <c r="B69" t="s">
        <v>21</v>
      </c>
      <c r="C69" t="s">
        <v>93</v>
      </c>
      <c r="D69" s="1">
        <v>45658</v>
      </c>
      <c r="E69" s="1">
        <v>45901</v>
      </c>
      <c r="F69">
        <v>1</v>
      </c>
      <c r="G69">
        <v>1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>
        <v>1</v>
      </c>
      <c r="N69">
        <v>92.54</v>
      </c>
      <c r="O69">
        <v>59.76</v>
      </c>
      <c r="P69">
        <v>0.75</v>
      </c>
      <c r="Q69">
        <v>44.82</v>
      </c>
      <c r="R69" t="s">
        <v>69</v>
      </c>
      <c r="S69">
        <v>-44.82</v>
      </c>
      <c r="T69">
        <v>0</v>
      </c>
    </row>
    <row r="70" spans="1:20" x14ac:dyDescent="0.25">
      <c r="A70" t="s">
        <v>92</v>
      </c>
      <c r="B70" t="s">
        <v>21</v>
      </c>
      <c r="C70" t="s">
        <v>93</v>
      </c>
      <c r="D70" s="1">
        <v>45658</v>
      </c>
      <c r="E70" s="1">
        <v>45901</v>
      </c>
      <c r="F70">
        <v>1</v>
      </c>
      <c r="G70">
        <v>1</v>
      </c>
      <c r="H70" t="s">
        <v>23</v>
      </c>
      <c r="I70" t="s">
        <v>24</v>
      </c>
      <c r="J70" t="s">
        <v>25</v>
      </c>
      <c r="K70" t="s">
        <v>26</v>
      </c>
      <c r="L70" t="s">
        <v>29</v>
      </c>
      <c r="M70">
        <v>1</v>
      </c>
      <c r="N70">
        <v>0</v>
      </c>
      <c r="O70">
        <v>22.5</v>
      </c>
      <c r="P70">
        <v>0.75</v>
      </c>
      <c r="Q70">
        <v>16.88</v>
      </c>
      <c r="R70" t="s">
        <v>69</v>
      </c>
      <c r="S70">
        <v>-16.88</v>
      </c>
      <c r="T70">
        <v>0</v>
      </c>
    </row>
    <row r="71" spans="1:20" x14ac:dyDescent="0.25">
      <c r="A71" t="s">
        <v>92</v>
      </c>
      <c r="B71" t="s">
        <v>21</v>
      </c>
      <c r="C71" t="s">
        <v>93</v>
      </c>
      <c r="D71" s="1">
        <v>45658</v>
      </c>
      <c r="E71" s="1">
        <v>45901</v>
      </c>
      <c r="F71">
        <v>1</v>
      </c>
      <c r="G71">
        <v>1</v>
      </c>
      <c r="H71" t="s">
        <v>23</v>
      </c>
      <c r="I71" t="s">
        <v>24</v>
      </c>
      <c r="J71" t="s">
        <v>25</v>
      </c>
      <c r="K71" t="s">
        <v>26</v>
      </c>
      <c r="L71" t="s">
        <v>31</v>
      </c>
      <c r="M71">
        <v>1</v>
      </c>
      <c r="N71">
        <v>0</v>
      </c>
      <c r="O71">
        <v>5.53</v>
      </c>
      <c r="P71">
        <v>0.75</v>
      </c>
      <c r="Q71">
        <v>4.1500000000000004</v>
      </c>
      <c r="R71" t="s">
        <v>69</v>
      </c>
      <c r="S71">
        <v>-4.1500000000000004</v>
      </c>
      <c r="T71">
        <v>0</v>
      </c>
    </row>
    <row r="72" spans="1:20" x14ac:dyDescent="0.25">
      <c r="A72" t="s">
        <v>92</v>
      </c>
      <c r="B72" t="s">
        <v>21</v>
      </c>
      <c r="C72" t="s">
        <v>93</v>
      </c>
      <c r="D72" s="1">
        <v>45658</v>
      </c>
      <c r="E72" s="1">
        <v>45901</v>
      </c>
      <c r="F72">
        <v>1</v>
      </c>
      <c r="G72">
        <v>1</v>
      </c>
      <c r="H72" t="s">
        <v>23</v>
      </c>
      <c r="I72" t="s">
        <v>24</v>
      </c>
      <c r="J72" t="s">
        <v>25</v>
      </c>
      <c r="K72" t="s">
        <v>26</v>
      </c>
      <c r="L72" t="s">
        <v>30</v>
      </c>
      <c r="M72">
        <v>1</v>
      </c>
      <c r="N72">
        <v>0</v>
      </c>
      <c r="O72">
        <v>3.08</v>
      </c>
      <c r="P72">
        <v>0.75</v>
      </c>
      <c r="Q72">
        <v>2.31</v>
      </c>
      <c r="R72" t="s">
        <v>69</v>
      </c>
      <c r="S72">
        <v>-2.31</v>
      </c>
      <c r="T72">
        <v>0</v>
      </c>
    </row>
    <row r="73" spans="1:20" x14ac:dyDescent="0.25">
      <c r="A73" t="s">
        <v>94</v>
      </c>
      <c r="B73" t="s">
        <v>21</v>
      </c>
      <c r="C73" t="s">
        <v>95</v>
      </c>
      <c r="D73" s="1">
        <v>45666</v>
      </c>
      <c r="E73" s="1">
        <v>45909</v>
      </c>
      <c r="F73">
        <v>1</v>
      </c>
      <c r="G73">
        <v>8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>
        <v>1</v>
      </c>
      <c r="N73">
        <v>74.16</v>
      </c>
      <c r="O73">
        <v>45.74</v>
      </c>
      <c r="P73">
        <v>0.75</v>
      </c>
      <c r="Q73">
        <v>34.31</v>
      </c>
      <c r="R73" t="s">
        <v>69</v>
      </c>
      <c r="S73">
        <v>-34.31</v>
      </c>
      <c r="T73">
        <v>0</v>
      </c>
    </row>
    <row r="74" spans="1:20" x14ac:dyDescent="0.25">
      <c r="A74" t="s">
        <v>94</v>
      </c>
      <c r="B74" t="s">
        <v>21</v>
      </c>
      <c r="C74" t="s">
        <v>95</v>
      </c>
      <c r="D74" s="1">
        <v>45666</v>
      </c>
      <c r="E74" s="1">
        <v>45909</v>
      </c>
      <c r="F74">
        <v>1</v>
      </c>
      <c r="G74">
        <v>8</v>
      </c>
      <c r="H74" t="s">
        <v>23</v>
      </c>
      <c r="I74" t="s">
        <v>24</v>
      </c>
      <c r="J74" t="s">
        <v>25</v>
      </c>
      <c r="K74" t="s">
        <v>26</v>
      </c>
      <c r="L74" t="s">
        <v>29</v>
      </c>
      <c r="M74">
        <v>1</v>
      </c>
      <c r="N74">
        <v>0</v>
      </c>
      <c r="O74">
        <v>16.25</v>
      </c>
      <c r="P74">
        <v>0.75</v>
      </c>
      <c r="Q74">
        <v>12.19</v>
      </c>
      <c r="R74" t="s">
        <v>69</v>
      </c>
      <c r="S74">
        <v>-12.19</v>
      </c>
      <c r="T74">
        <v>0</v>
      </c>
    </row>
    <row r="75" spans="1:20" x14ac:dyDescent="0.25">
      <c r="A75" t="s">
        <v>94</v>
      </c>
      <c r="B75" t="s">
        <v>21</v>
      </c>
      <c r="C75" t="s">
        <v>95</v>
      </c>
      <c r="D75" s="1">
        <v>45666</v>
      </c>
      <c r="E75" s="1">
        <v>45909</v>
      </c>
      <c r="F75">
        <v>1</v>
      </c>
      <c r="G75">
        <v>8</v>
      </c>
      <c r="H75" t="s">
        <v>23</v>
      </c>
      <c r="I75" t="s">
        <v>24</v>
      </c>
      <c r="J75" t="s">
        <v>25</v>
      </c>
      <c r="K75" t="s">
        <v>26</v>
      </c>
      <c r="L75" t="s">
        <v>31</v>
      </c>
      <c r="M75">
        <v>1</v>
      </c>
      <c r="N75">
        <v>0</v>
      </c>
      <c r="O75">
        <v>7.42</v>
      </c>
      <c r="P75">
        <v>0.75</v>
      </c>
      <c r="Q75">
        <v>5.57</v>
      </c>
      <c r="R75" t="s">
        <v>69</v>
      </c>
      <c r="S75">
        <v>-5.57</v>
      </c>
      <c r="T75">
        <v>0</v>
      </c>
    </row>
    <row r="76" spans="1:20" x14ac:dyDescent="0.25">
      <c r="A76" t="s">
        <v>94</v>
      </c>
      <c r="B76" t="s">
        <v>21</v>
      </c>
      <c r="C76" t="s">
        <v>95</v>
      </c>
      <c r="D76" s="1">
        <v>45666</v>
      </c>
      <c r="E76" s="1">
        <v>45909</v>
      </c>
      <c r="F76">
        <v>1</v>
      </c>
      <c r="G76">
        <v>8</v>
      </c>
      <c r="H76" t="s">
        <v>23</v>
      </c>
      <c r="I76" t="s">
        <v>24</v>
      </c>
      <c r="J76" t="s">
        <v>25</v>
      </c>
      <c r="K76" t="s">
        <v>26</v>
      </c>
      <c r="L76" t="s">
        <v>30</v>
      </c>
      <c r="M76">
        <v>1</v>
      </c>
      <c r="N76">
        <v>0</v>
      </c>
      <c r="O76">
        <v>3.08</v>
      </c>
      <c r="P76">
        <v>0.75</v>
      </c>
      <c r="Q76">
        <v>2.31</v>
      </c>
      <c r="R76" t="s">
        <v>69</v>
      </c>
      <c r="S76">
        <v>-2.31</v>
      </c>
      <c r="T76">
        <v>0</v>
      </c>
    </row>
    <row r="77" spans="1:20" x14ac:dyDescent="0.25">
      <c r="A77" t="s">
        <v>96</v>
      </c>
      <c r="B77" t="s">
        <v>21</v>
      </c>
      <c r="C77" t="s">
        <v>97</v>
      </c>
      <c r="D77" s="1">
        <v>45689</v>
      </c>
      <c r="E77" s="1">
        <v>45901</v>
      </c>
      <c r="F77">
        <v>1</v>
      </c>
      <c r="G77">
        <v>1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>
        <v>1</v>
      </c>
      <c r="N77">
        <v>102.86</v>
      </c>
      <c r="O77">
        <v>70.84</v>
      </c>
      <c r="P77">
        <v>0.75</v>
      </c>
      <c r="Q77">
        <v>53.13</v>
      </c>
      <c r="R77" t="s">
        <v>69</v>
      </c>
      <c r="S77">
        <v>-53.13</v>
      </c>
      <c r="T77">
        <v>0</v>
      </c>
    </row>
    <row r="78" spans="1:20" x14ac:dyDescent="0.25">
      <c r="A78" t="s">
        <v>96</v>
      </c>
      <c r="B78" t="s">
        <v>21</v>
      </c>
      <c r="C78" t="s">
        <v>97</v>
      </c>
      <c r="D78" s="1">
        <v>45689</v>
      </c>
      <c r="E78" s="1">
        <v>45901</v>
      </c>
      <c r="F78">
        <v>1</v>
      </c>
      <c r="G78">
        <v>1</v>
      </c>
      <c r="H78" t="s">
        <v>23</v>
      </c>
      <c r="I78" t="s">
        <v>24</v>
      </c>
      <c r="J78" t="s">
        <v>25</v>
      </c>
      <c r="K78" t="s">
        <v>26</v>
      </c>
      <c r="L78" t="s">
        <v>29</v>
      </c>
      <c r="M78">
        <v>1</v>
      </c>
      <c r="N78">
        <v>0</v>
      </c>
      <c r="O78">
        <v>16.899999999999999</v>
      </c>
      <c r="P78">
        <v>0.75</v>
      </c>
      <c r="Q78">
        <v>12.68</v>
      </c>
      <c r="R78" t="s">
        <v>69</v>
      </c>
      <c r="S78">
        <v>-12.68</v>
      </c>
      <c r="T78">
        <v>0</v>
      </c>
    </row>
    <row r="79" spans="1:20" x14ac:dyDescent="0.25">
      <c r="A79" t="s">
        <v>96</v>
      </c>
      <c r="B79" t="s">
        <v>21</v>
      </c>
      <c r="C79" t="s">
        <v>97</v>
      </c>
      <c r="D79" s="1">
        <v>45689</v>
      </c>
      <c r="E79" s="1">
        <v>45901</v>
      </c>
      <c r="F79">
        <v>1</v>
      </c>
      <c r="G79">
        <v>1</v>
      </c>
      <c r="H79" t="s">
        <v>23</v>
      </c>
      <c r="I79" t="s">
        <v>24</v>
      </c>
      <c r="J79" t="s">
        <v>25</v>
      </c>
      <c r="K79" t="s">
        <v>26</v>
      </c>
      <c r="L79" t="s">
        <v>31</v>
      </c>
      <c r="M79">
        <v>1</v>
      </c>
      <c r="N79">
        <v>0</v>
      </c>
      <c r="O79">
        <v>8.6199999999999992</v>
      </c>
      <c r="P79">
        <v>0.75</v>
      </c>
      <c r="Q79">
        <v>6.47</v>
      </c>
      <c r="R79" t="s">
        <v>69</v>
      </c>
      <c r="S79">
        <v>-6.47</v>
      </c>
      <c r="T79">
        <v>0</v>
      </c>
    </row>
    <row r="80" spans="1:20" x14ac:dyDescent="0.25">
      <c r="A80" t="s">
        <v>96</v>
      </c>
      <c r="B80" t="s">
        <v>21</v>
      </c>
      <c r="C80" t="s">
        <v>97</v>
      </c>
      <c r="D80" s="1">
        <v>45689</v>
      </c>
      <c r="E80" s="1">
        <v>45901</v>
      </c>
      <c r="F80">
        <v>1</v>
      </c>
      <c r="G80">
        <v>1</v>
      </c>
      <c r="H80" t="s">
        <v>23</v>
      </c>
      <c r="I80" t="s">
        <v>24</v>
      </c>
      <c r="J80" t="s">
        <v>25</v>
      </c>
      <c r="K80" t="s">
        <v>26</v>
      </c>
      <c r="L80" t="s">
        <v>30</v>
      </c>
      <c r="M80">
        <v>1</v>
      </c>
      <c r="N80">
        <v>0</v>
      </c>
      <c r="O80">
        <v>4.83</v>
      </c>
      <c r="P80">
        <v>0.75</v>
      </c>
      <c r="Q80">
        <v>3.62</v>
      </c>
      <c r="R80" t="s">
        <v>69</v>
      </c>
      <c r="S80">
        <v>-3.62</v>
      </c>
      <c r="T80">
        <v>0</v>
      </c>
    </row>
    <row r="81" spans="1:20" x14ac:dyDescent="0.25">
      <c r="A81" t="s">
        <v>98</v>
      </c>
      <c r="B81" t="s">
        <v>21</v>
      </c>
      <c r="C81" t="s">
        <v>99</v>
      </c>
      <c r="D81" s="1">
        <v>45689</v>
      </c>
      <c r="E81" s="1">
        <v>45901</v>
      </c>
      <c r="F81">
        <v>1</v>
      </c>
      <c r="G81">
        <v>1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>
        <v>1</v>
      </c>
      <c r="N81">
        <v>105.9</v>
      </c>
      <c r="O81">
        <v>70.84</v>
      </c>
      <c r="P81">
        <v>0.75</v>
      </c>
      <c r="Q81">
        <v>53.13</v>
      </c>
      <c r="R81" t="s">
        <v>69</v>
      </c>
      <c r="S81">
        <v>-53.13</v>
      </c>
      <c r="T81">
        <v>0</v>
      </c>
    </row>
    <row r="82" spans="1:20" x14ac:dyDescent="0.25">
      <c r="A82" t="s">
        <v>98</v>
      </c>
      <c r="B82" t="s">
        <v>21</v>
      </c>
      <c r="C82" t="s">
        <v>99</v>
      </c>
      <c r="D82" s="1">
        <v>45689</v>
      </c>
      <c r="E82" s="1">
        <v>45901</v>
      </c>
      <c r="F82">
        <v>1</v>
      </c>
      <c r="G82">
        <v>1</v>
      </c>
      <c r="H82" t="s">
        <v>23</v>
      </c>
      <c r="I82" t="s">
        <v>24</v>
      </c>
      <c r="J82" t="s">
        <v>25</v>
      </c>
      <c r="K82" t="s">
        <v>26</v>
      </c>
      <c r="L82" t="s">
        <v>29</v>
      </c>
      <c r="M82">
        <v>1</v>
      </c>
      <c r="N82">
        <v>0</v>
      </c>
      <c r="O82">
        <v>24.37</v>
      </c>
      <c r="P82">
        <v>0.75</v>
      </c>
      <c r="Q82">
        <v>18.28</v>
      </c>
      <c r="R82" t="s">
        <v>69</v>
      </c>
      <c r="S82">
        <v>-18.28</v>
      </c>
      <c r="T82">
        <v>0</v>
      </c>
    </row>
    <row r="83" spans="1:20" x14ac:dyDescent="0.25">
      <c r="A83" t="s">
        <v>98</v>
      </c>
      <c r="B83" t="s">
        <v>21</v>
      </c>
      <c r="C83" t="s">
        <v>99</v>
      </c>
      <c r="D83" s="1">
        <v>45689</v>
      </c>
      <c r="E83" s="1">
        <v>45901</v>
      </c>
      <c r="F83">
        <v>1</v>
      </c>
      <c r="G83">
        <v>1</v>
      </c>
      <c r="H83" t="s">
        <v>23</v>
      </c>
      <c r="I83" t="s">
        <v>24</v>
      </c>
      <c r="J83" t="s">
        <v>25</v>
      </c>
      <c r="K83" t="s">
        <v>26</v>
      </c>
      <c r="L83" t="s">
        <v>31</v>
      </c>
      <c r="M83">
        <v>1</v>
      </c>
      <c r="N83">
        <v>0</v>
      </c>
      <c r="O83">
        <v>5.94</v>
      </c>
      <c r="P83">
        <v>0.75</v>
      </c>
      <c r="Q83">
        <v>4.46</v>
      </c>
      <c r="R83" t="s">
        <v>69</v>
      </c>
      <c r="S83">
        <v>-4.46</v>
      </c>
      <c r="T83">
        <v>0</v>
      </c>
    </row>
    <row r="84" spans="1:20" x14ac:dyDescent="0.25">
      <c r="A84" t="s">
        <v>98</v>
      </c>
      <c r="B84" t="s">
        <v>21</v>
      </c>
      <c r="C84" t="s">
        <v>99</v>
      </c>
      <c r="D84" s="1">
        <v>45689</v>
      </c>
      <c r="E84" s="1">
        <v>45901</v>
      </c>
      <c r="F84">
        <v>1</v>
      </c>
      <c r="G84">
        <v>1</v>
      </c>
      <c r="H84" t="s">
        <v>23</v>
      </c>
      <c r="I84" t="s">
        <v>24</v>
      </c>
      <c r="J84" t="s">
        <v>25</v>
      </c>
      <c r="K84" t="s">
        <v>26</v>
      </c>
      <c r="L84" t="s">
        <v>30</v>
      </c>
      <c r="M84">
        <v>1</v>
      </c>
      <c r="N84">
        <v>0</v>
      </c>
      <c r="O84">
        <v>3.08</v>
      </c>
      <c r="P84">
        <v>0.75</v>
      </c>
      <c r="Q84">
        <v>2.31</v>
      </c>
      <c r="R84" t="s">
        <v>69</v>
      </c>
      <c r="S84">
        <v>-2.31</v>
      </c>
      <c r="T84">
        <v>0</v>
      </c>
    </row>
    <row r="85" spans="1:20" x14ac:dyDescent="0.25">
      <c r="A85" t="s">
        <v>100</v>
      </c>
      <c r="B85" t="s">
        <v>21</v>
      </c>
      <c r="C85" t="s">
        <v>101</v>
      </c>
      <c r="D85" s="1">
        <v>45778</v>
      </c>
      <c r="E85" s="1">
        <v>45901</v>
      </c>
      <c r="F85">
        <v>1</v>
      </c>
      <c r="G85">
        <v>1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>
        <v>1</v>
      </c>
      <c r="N85">
        <v>64.12</v>
      </c>
      <c r="O85">
        <v>38.840000000000003</v>
      </c>
      <c r="P85">
        <v>0.75</v>
      </c>
      <c r="Q85">
        <v>29.13</v>
      </c>
      <c r="R85" t="s">
        <v>54</v>
      </c>
      <c r="S85">
        <v>0</v>
      </c>
      <c r="T85">
        <v>29.13</v>
      </c>
    </row>
    <row r="86" spans="1:20" x14ac:dyDescent="0.25">
      <c r="A86" t="s">
        <v>100</v>
      </c>
      <c r="B86" t="s">
        <v>21</v>
      </c>
      <c r="C86" t="s">
        <v>101</v>
      </c>
      <c r="D86" s="1">
        <v>45778</v>
      </c>
      <c r="E86" s="1">
        <v>45901</v>
      </c>
      <c r="F86">
        <v>1</v>
      </c>
      <c r="G86">
        <v>1</v>
      </c>
      <c r="H86" t="s">
        <v>23</v>
      </c>
      <c r="I86" t="s">
        <v>24</v>
      </c>
      <c r="J86" t="s">
        <v>25</v>
      </c>
      <c r="K86" t="s">
        <v>26</v>
      </c>
      <c r="L86" t="s">
        <v>29</v>
      </c>
      <c r="M86">
        <v>1</v>
      </c>
      <c r="N86">
        <v>0</v>
      </c>
      <c r="O86">
        <v>15</v>
      </c>
      <c r="P86">
        <v>0.75</v>
      </c>
      <c r="Q86">
        <v>11.25</v>
      </c>
      <c r="R86" t="s">
        <v>54</v>
      </c>
      <c r="S86">
        <v>0</v>
      </c>
      <c r="T86">
        <v>11.25</v>
      </c>
    </row>
    <row r="87" spans="1:20" x14ac:dyDescent="0.25">
      <c r="A87" t="s">
        <v>100</v>
      </c>
      <c r="B87" t="s">
        <v>21</v>
      </c>
      <c r="C87" t="s">
        <v>101</v>
      </c>
      <c r="D87" s="1">
        <v>45778</v>
      </c>
      <c r="E87" s="1">
        <v>45901</v>
      </c>
      <c r="F87">
        <v>1</v>
      </c>
      <c r="G87">
        <v>1</v>
      </c>
      <c r="H87" t="s">
        <v>23</v>
      </c>
      <c r="I87" t="s">
        <v>24</v>
      </c>
      <c r="J87" t="s">
        <v>25</v>
      </c>
      <c r="K87" t="s">
        <v>26</v>
      </c>
      <c r="L87" t="s">
        <v>31</v>
      </c>
      <c r="M87">
        <v>1</v>
      </c>
      <c r="N87">
        <v>0</v>
      </c>
      <c r="O87">
        <v>5.53</v>
      </c>
      <c r="P87">
        <v>0.75</v>
      </c>
      <c r="Q87">
        <v>4.1500000000000004</v>
      </c>
      <c r="R87" t="s">
        <v>54</v>
      </c>
      <c r="S87">
        <v>0</v>
      </c>
      <c r="T87">
        <v>4.1500000000000004</v>
      </c>
    </row>
    <row r="88" spans="1:20" x14ac:dyDescent="0.25">
      <c r="A88" t="s">
        <v>100</v>
      </c>
      <c r="B88" t="s">
        <v>21</v>
      </c>
      <c r="C88" t="s">
        <v>101</v>
      </c>
      <c r="D88" s="1">
        <v>45778</v>
      </c>
      <c r="E88" s="1">
        <v>45901</v>
      </c>
      <c r="F88">
        <v>1</v>
      </c>
      <c r="G88">
        <v>1</v>
      </c>
      <c r="H88" t="s">
        <v>23</v>
      </c>
      <c r="I88" t="s">
        <v>24</v>
      </c>
      <c r="J88" t="s">
        <v>25</v>
      </c>
      <c r="K88" t="s">
        <v>26</v>
      </c>
      <c r="L88" t="s">
        <v>30</v>
      </c>
      <c r="M88">
        <v>1</v>
      </c>
      <c r="N88">
        <v>0</v>
      </c>
      <c r="O88">
        <v>3.08</v>
      </c>
      <c r="P88">
        <v>0.75</v>
      </c>
      <c r="Q88">
        <v>2.31</v>
      </c>
      <c r="R88" t="s">
        <v>54</v>
      </c>
      <c r="S88">
        <v>0</v>
      </c>
      <c r="T88">
        <v>2.31</v>
      </c>
    </row>
    <row r="89" spans="1:20" x14ac:dyDescent="0.25">
      <c r="A89" t="s">
        <v>102</v>
      </c>
      <c r="B89" t="s">
        <v>21</v>
      </c>
      <c r="C89" t="s">
        <v>103</v>
      </c>
      <c r="D89" s="1">
        <v>45778</v>
      </c>
      <c r="E89" s="1">
        <v>45901</v>
      </c>
      <c r="F89">
        <v>1</v>
      </c>
      <c r="G89">
        <v>1</v>
      </c>
      <c r="H89" t="s">
        <v>23</v>
      </c>
      <c r="I89" t="s">
        <v>24</v>
      </c>
      <c r="J89" t="s">
        <v>25</v>
      </c>
      <c r="K89" t="s">
        <v>26</v>
      </c>
      <c r="L89" t="s">
        <v>42</v>
      </c>
      <c r="M89">
        <v>1</v>
      </c>
      <c r="N89">
        <v>50.43</v>
      </c>
      <c r="O89">
        <v>19.2</v>
      </c>
      <c r="P89">
        <v>0.65</v>
      </c>
      <c r="Q89">
        <v>12.48</v>
      </c>
      <c r="R89" t="s">
        <v>54</v>
      </c>
      <c r="S89">
        <v>0</v>
      </c>
      <c r="T89">
        <v>12.48</v>
      </c>
    </row>
    <row r="90" spans="1:20" x14ac:dyDescent="0.25">
      <c r="A90" t="s">
        <v>102</v>
      </c>
      <c r="B90" t="s">
        <v>21</v>
      </c>
      <c r="C90" t="s">
        <v>103</v>
      </c>
      <c r="D90" s="1">
        <v>45778</v>
      </c>
      <c r="E90" s="1">
        <v>45901</v>
      </c>
      <c r="F90">
        <v>1</v>
      </c>
      <c r="G90">
        <v>1</v>
      </c>
      <c r="H90" t="s">
        <v>23</v>
      </c>
      <c r="I90" t="s">
        <v>24</v>
      </c>
      <c r="J90" t="s">
        <v>25</v>
      </c>
      <c r="K90" t="s">
        <v>26</v>
      </c>
      <c r="L90" t="s">
        <v>45</v>
      </c>
      <c r="M90">
        <v>1</v>
      </c>
      <c r="N90">
        <v>0</v>
      </c>
      <c r="O90">
        <v>5.65</v>
      </c>
      <c r="P90">
        <v>0.65</v>
      </c>
      <c r="Q90">
        <v>3.67</v>
      </c>
      <c r="R90" t="s">
        <v>54</v>
      </c>
      <c r="S90">
        <v>0</v>
      </c>
      <c r="T90">
        <v>3.67</v>
      </c>
    </row>
    <row r="91" spans="1:20" x14ac:dyDescent="0.25">
      <c r="A91" t="s">
        <v>102</v>
      </c>
      <c r="B91" t="s">
        <v>21</v>
      </c>
      <c r="C91" t="s">
        <v>103</v>
      </c>
      <c r="D91" s="1">
        <v>45778</v>
      </c>
      <c r="E91" s="1">
        <v>45901</v>
      </c>
      <c r="F91">
        <v>1</v>
      </c>
      <c r="G91">
        <v>1</v>
      </c>
      <c r="H91" t="s">
        <v>23</v>
      </c>
      <c r="I91" t="s">
        <v>24</v>
      </c>
      <c r="J91" t="s">
        <v>25</v>
      </c>
      <c r="K91" t="s">
        <v>26</v>
      </c>
      <c r="L91" t="s">
        <v>85</v>
      </c>
      <c r="M91">
        <v>1</v>
      </c>
      <c r="N91">
        <v>0</v>
      </c>
      <c r="O91">
        <v>0.97</v>
      </c>
      <c r="P91">
        <v>0.65</v>
      </c>
      <c r="Q91">
        <v>0.63</v>
      </c>
      <c r="R91" t="s">
        <v>54</v>
      </c>
      <c r="S91">
        <v>0</v>
      </c>
      <c r="T91">
        <v>0.63</v>
      </c>
    </row>
    <row r="92" spans="1:20" x14ac:dyDescent="0.25">
      <c r="A92" t="s">
        <v>102</v>
      </c>
      <c r="B92" t="s">
        <v>21</v>
      </c>
      <c r="C92" t="s">
        <v>103</v>
      </c>
      <c r="D92" s="1">
        <v>45778</v>
      </c>
      <c r="E92" s="1">
        <v>45901</v>
      </c>
      <c r="F92">
        <v>1</v>
      </c>
      <c r="G92">
        <v>1</v>
      </c>
      <c r="H92" t="s">
        <v>23</v>
      </c>
      <c r="I92" t="s">
        <v>24</v>
      </c>
      <c r="J92" t="s">
        <v>25</v>
      </c>
      <c r="K92" t="s">
        <v>26</v>
      </c>
      <c r="L92" t="s">
        <v>86</v>
      </c>
      <c r="M92">
        <v>1</v>
      </c>
      <c r="N92">
        <v>0</v>
      </c>
      <c r="O92">
        <v>6.55</v>
      </c>
      <c r="P92">
        <v>0.65</v>
      </c>
      <c r="Q92">
        <v>4.26</v>
      </c>
      <c r="R92" t="s">
        <v>54</v>
      </c>
      <c r="S92">
        <v>0</v>
      </c>
      <c r="T92">
        <v>4.26</v>
      </c>
    </row>
    <row r="93" spans="1:20" x14ac:dyDescent="0.25">
      <c r="A93" t="s">
        <v>102</v>
      </c>
      <c r="B93" t="s">
        <v>21</v>
      </c>
      <c r="C93" t="s">
        <v>103</v>
      </c>
      <c r="D93" s="1">
        <v>45778</v>
      </c>
      <c r="E93" s="1">
        <v>45901</v>
      </c>
      <c r="F93">
        <v>1</v>
      </c>
      <c r="G93">
        <v>1</v>
      </c>
      <c r="H93" t="s">
        <v>23</v>
      </c>
      <c r="I93" t="s">
        <v>24</v>
      </c>
      <c r="J93" t="s">
        <v>25</v>
      </c>
      <c r="K93" t="s">
        <v>26</v>
      </c>
      <c r="L93" t="s">
        <v>87</v>
      </c>
      <c r="M93">
        <v>1</v>
      </c>
      <c r="N93">
        <v>0</v>
      </c>
      <c r="O93">
        <v>16.38</v>
      </c>
      <c r="P93">
        <v>0.65</v>
      </c>
      <c r="Q93">
        <v>10.65</v>
      </c>
      <c r="R93" t="s">
        <v>54</v>
      </c>
      <c r="S93">
        <v>0</v>
      </c>
      <c r="T93">
        <v>10.65</v>
      </c>
    </row>
    <row r="94" spans="1:20" x14ac:dyDescent="0.25">
      <c r="A94" t="s">
        <v>102</v>
      </c>
      <c r="B94" t="s">
        <v>21</v>
      </c>
      <c r="C94" t="s">
        <v>103</v>
      </c>
      <c r="D94" s="1">
        <v>45778</v>
      </c>
      <c r="E94" s="1">
        <v>45901</v>
      </c>
      <c r="F94">
        <v>1</v>
      </c>
      <c r="G94">
        <v>1</v>
      </c>
      <c r="H94" t="s">
        <v>23</v>
      </c>
      <c r="I94" t="s">
        <v>24</v>
      </c>
      <c r="J94" t="s">
        <v>25</v>
      </c>
      <c r="K94" t="s">
        <v>26</v>
      </c>
      <c r="L94" t="s">
        <v>43</v>
      </c>
      <c r="M94">
        <v>1</v>
      </c>
      <c r="N94">
        <v>0</v>
      </c>
      <c r="O94">
        <v>1.68</v>
      </c>
      <c r="P94">
        <v>0.65</v>
      </c>
      <c r="Q94">
        <v>1.0900000000000001</v>
      </c>
      <c r="R94" t="s">
        <v>54</v>
      </c>
      <c r="S94">
        <v>0</v>
      </c>
      <c r="T94">
        <v>1.0900000000000001</v>
      </c>
    </row>
    <row r="95" spans="1:20" x14ac:dyDescent="0.25">
      <c r="A95" t="s">
        <v>104</v>
      </c>
      <c r="B95" t="s">
        <v>21</v>
      </c>
      <c r="C95" t="s">
        <v>105</v>
      </c>
      <c r="D95" s="1">
        <v>45783</v>
      </c>
      <c r="E95" s="1">
        <v>45906</v>
      </c>
      <c r="F95">
        <v>1</v>
      </c>
      <c r="G95">
        <v>6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>
        <v>1</v>
      </c>
      <c r="N95">
        <v>105.9</v>
      </c>
      <c r="O95">
        <v>70.84</v>
      </c>
      <c r="P95">
        <v>0.75</v>
      </c>
      <c r="Q95">
        <v>53.13</v>
      </c>
      <c r="R95" t="s">
        <v>54</v>
      </c>
      <c r="S95">
        <v>0</v>
      </c>
      <c r="T95">
        <v>53.13</v>
      </c>
    </row>
    <row r="96" spans="1:20" x14ac:dyDescent="0.25">
      <c r="A96" t="s">
        <v>104</v>
      </c>
      <c r="B96" t="s">
        <v>21</v>
      </c>
      <c r="C96" t="s">
        <v>105</v>
      </c>
      <c r="D96" s="1">
        <v>45783</v>
      </c>
      <c r="E96" s="1">
        <v>45906</v>
      </c>
      <c r="F96">
        <v>1</v>
      </c>
      <c r="G96">
        <v>6</v>
      </c>
      <c r="H96" t="s">
        <v>23</v>
      </c>
      <c r="I96" t="s">
        <v>24</v>
      </c>
      <c r="J96" t="s">
        <v>25</v>
      </c>
      <c r="K96" t="s">
        <v>26</v>
      </c>
      <c r="L96" t="s">
        <v>29</v>
      </c>
      <c r="M96">
        <v>1</v>
      </c>
      <c r="N96">
        <v>0</v>
      </c>
      <c r="O96">
        <v>24.37</v>
      </c>
      <c r="P96">
        <v>0.75</v>
      </c>
      <c r="Q96">
        <v>18.28</v>
      </c>
      <c r="R96" t="s">
        <v>54</v>
      </c>
      <c r="S96">
        <v>0</v>
      </c>
      <c r="T96">
        <v>18.28</v>
      </c>
    </row>
    <row r="97" spans="1:20" x14ac:dyDescent="0.25">
      <c r="A97" t="s">
        <v>104</v>
      </c>
      <c r="B97" t="s">
        <v>21</v>
      </c>
      <c r="C97" t="s">
        <v>105</v>
      </c>
      <c r="D97" s="1">
        <v>45783</v>
      </c>
      <c r="E97" s="1">
        <v>45906</v>
      </c>
      <c r="F97">
        <v>1</v>
      </c>
      <c r="G97">
        <v>6</v>
      </c>
      <c r="H97" t="s">
        <v>23</v>
      </c>
      <c r="I97" t="s">
        <v>24</v>
      </c>
      <c r="J97" t="s">
        <v>25</v>
      </c>
      <c r="K97" t="s">
        <v>26</v>
      </c>
      <c r="L97" t="s">
        <v>30</v>
      </c>
      <c r="M97">
        <v>1</v>
      </c>
      <c r="N97">
        <v>0</v>
      </c>
      <c r="O97">
        <v>3.08</v>
      </c>
      <c r="P97">
        <v>0.75</v>
      </c>
      <c r="Q97">
        <v>2.31</v>
      </c>
      <c r="R97" t="s">
        <v>54</v>
      </c>
      <c r="S97">
        <v>0</v>
      </c>
      <c r="T97">
        <v>2.31</v>
      </c>
    </row>
    <row r="98" spans="1:20" x14ac:dyDescent="0.25">
      <c r="A98" t="s">
        <v>104</v>
      </c>
      <c r="B98" t="s">
        <v>21</v>
      </c>
      <c r="C98" t="s">
        <v>105</v>
      </c>
      <c r="D98" s="1">
        <v>45783</v>
      </c>
      <c r="E98" s="1">
        <v>45906</v>
      </c>
      <c r="F98">
        <v>1</v>
      </c>
      <c r="G98">
        <v>6</v>
      </c>
      <c r="H98" t="s">
        <v>23</v>
      </c>
      <c r="I98" t="s">
        <v>24</v>
      </c>
      <c r="J98" t="s">
        <v>25</v>
      </c>
      <c r="K98" t="s">
        <v>26</v>
      </c>
      <c r="L98" t="s">
        <v>31</v>
      </c>
      <c r="M98">
        <v>1</v>
      </c>
      <c r="N98">
        <v>0</v>
      </c>
      <c r="O98">
        <v>5.94</v>
      </c>
      <c r="P98">
        <v>0.75</v>
      </c>
      <c r="Q98">
        <v>4.46</v>
      </c>
      <c r="R98" t="s">
        <v>54</v>
      </c>
      <c r="S98">
        <v>0</v>
      </c>
      <c r="T98">
        <v>4.46</v>
      </c>
    </row>
    <row r="99" spans="1:20" x14ac:dyDescent="0.25">
      <c r="A99" t="s">
        <v>106</v>
      </c>
      <c r="B99" t="s">
        <v>21</v>
      </c>
      <c r="C99" t="s">
        <v>107</v>
      </c>
      <c r="D99" s="1">
        <v>45785</v>
      </c>
      <c r="E99" s="1">
        <v>45908</v>
      </c>
      <c r="F99">
        <v>1</v>
      </c>
      <c r="G99">
        <v>8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>
        <v>1</v>
      </c>
      <c r="N99">
        <v>145.01</v>
      </c>
      <c r="O99">
        <v>97.76</v>
      </c>
      <c r="P99">
        <v>0.75</v>
      </c>
      <c r="Q99">
        <v>73.319999999999993</v>
      </c>
      <c r="R99" t="s">
        <v>54</v>
      </c>
      <c r="S99">
        <v>0</v>
      </c>
      <c r="T99">
        <v>73.319999999999993</v>
      </c>
    </row>
    <row r="100" spans="1:20" x14ac:dyDescent="0.25">
      <c r="A100" t="s">
        <v>106</v>
      </c>
      <c r="B100" t="s">
        <v>21</v>
      </c>
      <c r="C100" t="s">
        <v>107</v>
      </c>
      <c r="D100" s="1">
        <v>45785</v>
      </c>
      <c r="E100" s="1">
        <v>45908</v>
      </c>
      <c r="F100">
        <v>1</v>
      </c>
      <c r="G100">
        <v>8</v>
      </c>
      <c r="H100" t="s">
        <v>23</v>
      </c>
      <c r="I100" t="s">
        <v>24</v>
      </c>
      <c r="J100" t="s">
        <v>25</v>
      </c>
      <c r="K100" t="s">
        <v>26</v>
      </c>
      <c r="L100" t="s">
        <v>29</v>
      </c>
      <c r="M100">
        <v>1</v>
      </c>
      <c r="N100">
        <v>0</v>
      </c>
      <c r="O100">
        <v>29.35</v>
      </c>
      <c r="P100">
        <v>0.75</v>
      </c>
      <c r="Q100">
        <v>22.01</v>
      </c>
      <c r="R100" t="s">
        <v>54</v>
      </c>
      <c r="S100">
        <v>0</v>
      </c>
      <c r="T100">
        <v>22.01</v>
      </c>
    </row>
    <row r="101" spans="1:20" x14ac:dyDescent="0.25">
      <c r="A101" t="s">
        <v>106</v>
      </c>
      <c r="B101" t="s">
        <v>21</v>
      </c>
      <c r="C101" t="s">
        <v>107</v>
      </c>
      <c r="D101" s="1">
        <v>45785</v>
      </c>
      <c r="E101" s="1">
        <v>45908</v>
      </c>
      <c r="F101">
        <v>1</v>
      </c>
      <c r="G101">
        <v>8</v>
      </c>
      <c r="H101" t="s">
        <v>23</v>
      </c>
      <c r="I101" t="s">
        <v>24</v>
      </c>
      <c r="J101" t="s">
        <v>25</v>
      </c>
      <c r="K101" t="s">
        <v>26</v>
      </c>
      <c r="L101" t="s">
        <v>31</v>
      </c>
      <c r="M101">
        <v>1</v>
      </c>
      <c r="N101">
        <v>0</v>
      </c>
      <c r="O101">
        <v>11.4</v>
      </c>
      <c r="P101">
        <v>0.75</v>
      </c>
      <c r="Q101">
        <v>8.5500000000000007</v>
      </c>
      <c r="R101" t="s">
        <v>54</v>
      </c>
      <c r="S101">
        <v>0</v>
      </c>
      <c r="T101">
        <v>8.5500000000000007</v>
      </c>
    </row>
    <row r="102" spans="1:20" x14ac:dyDescent="0.25">
      <c r="A102" t="s">
        <v>106</v>
      </c>
      <c r="B102" t="s">
        <v>21</v>
      </c>
      <c r="C102" t="s">
        <v>107</v>
      </c>
      <c r="D102" s="1">
        <v>45785</v>
      </c>
      <c r="E102" s="1">
        <v>45908</v>
      </c>
      <c r="F102">
        <v>1</v>
      </c>
      <c r="G102">
        <v>8</v>
      </c>
      <c r="H102" t="s">
        <v>23</v>
      </c>
      <c r="I102" t="s">
        <v>24</v>
      </c>
      <c r="J102" t="s">
        <v>25</v>
      </c>
      <c r="K102" t="s">
        <v>26</v>
      </c>
      <c r="L102" t="s">
        <v>30</v>
      </c>
      <c r="M102">
        <v>1</v>
      </c>
      <c r="N102">
        <v>0</v>
      </c>
      <c r="O102">
        <v>4.83</v>
      </c>
      <c r="P102">
        <v>0.75</v>
      </c>
      <c r="Q102">
        <v>3.62</v>
      </c>
      <c r="R102" t="s">
        <v>54</v>
      </c>
      <c r="S102">
        <v>0</v>
      </c>
      <c r="T102">
        <v>3.62</v>
      </c>
    </row>
    <row r="103" spans="1:20" x14ac:dyDescent="0.25">
      <c r="A103" t="s">
        <v>108</v>
      </c>
      <c r="B103" t="s">
        <v>21</v>
      </c>
      <c r="C103" t="s">
        <v>109</v>
      </c>
      <c r="D103" s="1">
        <v>45785</v>
      </c>
      <c r="E103" s="1">
        <v>45908</v>
      </c>
      <c r="F103">
        <v>1</v>
      </c>
      <c r="G103">
        <v>8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>
        <v>1</v>
      </c>
      <c r="N103">
        <v>92.54</v>
      </c>
      <c r="O103">
        <v>59.76</v>
      </c>
      <c r="P103">
        <v>0.75</v>
      </c>
      <c r="Q103">
        <v>44.82</v>
      </c>
      <c r="R103" t="s">
        <v>54</v>
      </c>
      <c r="S103">
        <v>0</v>
      </c>
      <c r="T103">
        <v>44.82</v>
      </c>
    </row>
    <row r="104" spans="1:20" x14ac:dyDescent="0.25">
      <c r="A104" t="s">
        <v>108</v>
      </c>
      <c r="B104" t="s">
        <v>21</v>
      </c>
      <c r="C104" t="s">
        <v>109</v>
      </c>
      <c r="D104" s="1">
        <v>45785</v>
      </c>
      <c r="E104" s="1">
        <v>45908</v>
      </c>
      <c r="F104">
        <v>1</v>
      </c>
      <c r="G104">
        <v>8</v>
      </c>
      <c r="H104" t="s">
        <v>23</v>
      </c>
      <c r="I104" t="s">
        <v>24</v>
      </c>
      <c r="J104" t="s">
        <v>25</v>
      </c>
      <c r="K104" t="s">
        <v>26</v>
      </c>
      <c r="L104" t="s">
        <v>31</v>
      </c>
      <c r="M104">
        <v>1</v>
      </c>
      <c r="N104">
        <v>0</v>
      </c>
      <c r="O104">
        <v>5.53</v>
      </c>
      <c r="P104">
        <v>0.75</v>
      </c>
      <c r="Q104">
        <v>4.1500000000000004</v>
      </c>
      <c r="R104" t="s">
        <v>54</v>
      </c>
      <c r="S104">
        <v>0</v>
      </c>
      <c r="T104">
        <v>4.1500000000000004</v>
      </c>
    </row>
    <row r="105" spans="1:20" x14ac:dyDescent="0.25">
      <c r="A105" t="s">
        <v>108</v>
      </c>
      <c r="B105" t="s">
        <v>21</v>
      </c>
      <c r="C105" t="s">
        <v>109</v>
      </c>
      <c r="D105" s="1">
        <v>45785</v>
      </c>
      <c r="E105" s="1">
        <v>45908</v>
      </c>
      <c r="F105">
        <v>1</v>
      </c>
      <c r="G105">
        <v>8</v>
      </c>
      <c r="H105" t="s">
        <v>23</v>
      </c>
      <c r="I105" t="s">
        <v>24</v>
      </c>
      <c r="J105" t="s">
        <v>25</v>
      </c>
      <c r="K105" t="s">
        <v>26</v>
      </c>
      <c r="L105" t="s">
        <v>29</v>
      </c>
      <c r="M105">
        <v>1</v>
      </c>
      <c r="N105">
        <v>0</v>
      </c>
      <c r="O105">
        <v>22.5</v>
      </c>
      <c r="P105">
        <v>0.75</v>
      </c>
      <c r="Q105">
        <v>16.88</v>
      </c>
      <c r="R105" t="s">
        <v>54</v>
      </c>
      <c r="S105">
        <v>0</v>
      </c>
      <c r="T105">
        <v>16.88</v>
      </c>
    </row>
    <row r="106" spans="1:20" x14ac:dyDescent="0.25">
      <c r="A106" t="s">
        <v>108</v>
      </c>
      <c r="B106" t="s">
        <v>21</v>
      </c>
      <c r="C106" t="s">
        <v>109</v>
      </c>
      <c r="D106" s="1">
        <v>45785</v>
      </c>
      <c r="E106" s="1">
        <v>45908</v>
      </c>
      <c r="F106">
        <v>1</v>
      </c>
      <c r="G106">
        <v>8</v>
      </c>
      <c r="H106" t="s">
        <v>23</v>
      </c>
      <c r="I106" t="s">
        <v>24</v>
      </c>
      <c r="J106" t="s">
        <v>25</v>
      </c>
      <c r="K106" t="s">
        <v>26</v>
      </c>
      <c r="L106" t="s">
        <v>30</v>
      </c>
      <c r="M106">
        <v>1</v>
      </c>
      <c r="N106">
        <v>0</v>
      </c>
      <c r="O106">
        <v>3.08</v>
      </c>
      <c r="P106">
        <v>0.75</v>
      </c>
      <c r="Q106">
        <v>2.31</v>
      </c>
      <c r="R106" t="s">
        <v>54</v>
      </c>
      <c r="S106">
        <v>0</v>
      </c>
      <c r="T106">
        <v>2.31</v>
      </c>
    </row>
    <row r="107" spans="1:20" x14ac:dyDescent="0.25">
      <c r="A107" t="s">
        <v>110</v>
      </c>
      <c r="B107" t="s">
        <v>21</v>
      </c>
      <c r="C107" t="s">
        <v>111</v>
      </c>
      <c r="D107" s="1">
        <v>45839</v>
      </c>
      <c r="E107" s="1">
        <v>45901</v>
      </c>
      <c r="F107">
        <v>1</v>
      </c>
      <c r="G107">
        <v>1</v>
      </c>
      <c r="H107" t="s">
        <v>23</v>
      </c>
      <c r="I107" t="s">
        <v>24</v>
      </c>
      <c r="J107" t="s">
        <v>25</v>
      </c>
      <c r="K107" t="s">
        <v>26</v>
      </c>
      <c r="L107" t="s">
        <v>42</v>
      </c>
      <c r="M107">
        <v>1</v>
      </c>
      <c r="N107">
        <v>53.93</v>
      </c>
      <c r="O107">
        <v>40.950000000000003</v>
      </c>
      <c r="P107">
        <v>0.65</v>
      </c>
      <c r="Q107">
        <v>26.62</v>
      </c>
      <c r="R107" t="s">
        <v>54</v>
      </c>
      <c r="S107">
        <v>0</v>
      </c>
      <c r="T107">
        <v>26.62</v>
      </c>
    </row>
    <row r="108" spans="1:20" x14ac:dyDescent="0.25">
      <c r="A108" t="s">
        <v>110</v>
      </c>
      <c r="B108" t="s">
        <v>21</v>
      </c>
      <c r="C108" t="s">
        <v>111</v>
      </c>
      <c r="D108" s="1">
        <v>45839</v>
      </c>
      <c r="E108" s="1">
        <v>45901</v>
      </c>
      <c r="F108">
        <v>1</v>
      </c>
      <c r="G108">
        <v>1</v>
      </c>
      <c r="H108" t="s">
        <v>23</v>
      </c>
      <c r="I108" t="s">
        <v>24</v>
      </c>
      <c r="J108" t="s">
        <v>25</v>
      </c>
      <c r="K108" t="s">
        <v>26</v>
      </c>
      <c r="L108" t="s">
        <v>45</v>
      </c>
      <c r="M108">
        <v>1</v>
      </c>
      <c r="N108">
        <v>0</v>
      </c>
      <c r="O108">
        <v>11.3</v>
      </c>
      <c r="P108">
        <v>0.65</v>
      </c>
      <c r="Q108">
        <v>7.35</v>
      </c>
      <c r="R108" t="s">
        <v>54</v>
      </c>
      <c r="S108">
        <v>0</v>
      </c>
      <c r="T108">
        <v>7.35</v>
      </c>
    </row>
    <row r="109" spans="1:20" x14ac:dyDescent="0.25">
      <c r="A109" t="s">
        <v>110</v>
      </c>
      <c r="B109" t="s">
        <v>21</v>
      </c>
      <c r="C109" t="s">
        <v>111</v>
      </c>
      <c r="D109" s="1">
        <v>45839</v>
      </c>
      <c r="E109" s="1">
        <v>45901</v>
      </c>
      <c r="F109">
        <v>1</v>
      </c>
      <c r="G109">
        <v>1</v>
      </c>
      <c r="H109" t="s">
        <v>23</v>
      </c>
      <c r="I109" t="s">
        <v>24</v>
      </c>
      <c r="J109" t="s">
        <v>25</v>
      </c>
      <c r="K109" t="s">
        <v>26</v>
      </c>
      <c r="L109" t="s">
        <v>43</v>
      </c>
      <c r="M109">
        <v>1</v>
      </c>
      <c r="N109">
        <v>0</v>
      </c>
      <c r="O109">
        <v>1.68</v>
      </c>
      <c r="P109">
        <v>0.65</v>
      </c>
      <c r="Q109">
        <v>1.0900000000000001</v>
      </c>
      <c r="R109" t="s">
        <v>54</v>
      </c>
      <c r="S109">
        <v>0</v>
      </c>
      <c r="T109">
        <v>1.0900000000000001</v>
      </c>
    </row>
    <row r="110" spans="1:20" x14ac:dyDescent="0.25">
      <c r="A110" t="s">
        <v>112</v>
      </c>
      <c r="B110" t="s">
        <v>33</v>
      </c>
      <c r="C110" t="s">
        <v>113</v>
      </c>
      <c r="D110" s="1">
        <v>45597</v>
      </c>
      <c r="E110" s="1">
        <v>45901</v>
      </c>
      <c r="F110">
        <v>1</v>
      </c>
      <c r="G110">
        <v>1</v>
      </c>
      <c r="H110" t="s">
        <v>114</v>
      </c>
      <c r="I110" t="s">
        <v>115</v>
      </c>
      <c r="J110" t="s">
        <v>116</v>
      </c>
      <c r="K110" t="s">
        <v>26</v>
      </c>
      <c r="L110" t="s">
        <v>42</v>
      </c>
      <c r="M110">
        <v>1</v>
      </c>
      <c r="N110">
        <v>68.61</v>
      </c>
      <c r="O110">
        <v>21.06</v>
      </c>
      <c r="P110">
        <v>0.65</v>
      </c>
      <c r="Q110">
        <v>13.69</v>
      </c>
      <c r="R110" t="s">
        <v>54</v>
      </c>
      <c r="S110">
        <v>0</v>
      </c>
      <c r="T110">
        <v>13.69</v>
      </c>
    </row>
    <row r="111" spans="1:20" x14ac:dyDescent="0.25">
      <c r="A111" t="s">
        <v>112</v>
      </c>
      <c r="B111" t="s">
        <v>33</v>
      </c>
      <c r="C111" t="s">
        <v>113</v>
      </c>
      <c r="D111" s="1">
        <v>45597</v>
      </c>
      <c r="E111" s="1">
        <v>45901</v>
      </c>
      <c r="F111">
        <v>1</v>
      </c>
      <c r="G111">
        <v>1</v>
      </c>
      <c r="H111" t="s">
        <v>114</v>
      </c>
      <c r="I111" t="s">
        <v>115</v>
      </c>
      <c r="J111" t="s">
        <v>116</v>
      </c>
      <c r="K111" t="s">
        <v>26</v>
      </c>
      <c r="L111" t="s">
        <v>117</v>
      </c>
      <c r="M111">
        <v>1</v>
      </c>
      <c r="N111">
        <v>0</v>
      </c>
      <c r="O111">
        <v>2.92</v>
      </c>
      <c r="P111">
        <v>0.65</v>
      </c>
      <c r="Q111">
        <v>1.9</v>
      </c>
      <c r="R111" t="s">
        <v>54</v>
      </c>
      <c r="S111">
        <v>0</v>
      </c>
      <c r="T111">
        <v>1.9</v>
      </c>
    </row>
    <row r="112" spans="1:20" x14ac:dyDescent="0.25">
      <c r="A112" t="s">
        <v>112</v>
      </c>
      <c r="B112" t="s">
        <v>33</v>
      </c>
      <c r="C112" t="s">
        <v>113</v>
      </c>
      <c r="D112" s="1">
        <v>45597</v>
      </c>
      <c r="E112" s="1">
        <v>45901</v>
      </c>
      <c r="F112">
        <v>1</v>
      </c>
      <c r="G112">
        <v>1</v>
      </c>
      <c r="H112" t="s">
        <v>114</v>
      </c>
      <c r="I112" t="s">
        <v>115</v>
      </c>
      <c r="J112" t="s">
        <v>116</v>
      </c>
      <c r="K112" t="s">
        <v>26</v>
      </c>
      <c r="L112" t="s">
        <v>118</v>
      </c>
      <c r="M112">
        <v>1</v>
      </c>
      <c r="N112">
        <v>0</v>
      </c>
      <c r="O112">
        <v>23.15</v>
      </c>
      <c r="P112">
        <v>0.65</v>
      </c>
      <c r="Q112">
        <v>15.05</v>
      </c>
      <c r="R112" t="s">
        <v>54</v>
      </c>
      <c r="S112">
        <v>0</v>
      </c>
      <c r="T112">
        <v>15.05</v>
      </c>
    </row>
    <row r="113" spans="1:20" x14ac:dyDescent="0.25">
      <c r="A113" t="s">
        <v>112</v>
      </c>
      <c r="B113" t="s">
        <v>33</v>
      </c>
      <c r="C113" t="s">
        <v>113</v>
      </c>
      <c r="D113" s="1">
        <v>45597</v>
      </c>
      <c r="E113" s="1">
        <v>45901</v>
      </c>
      <c r="F113">
        <v>1</v>
      </c>
      <c r="G113">
        <v>1</v>
      </c>
      <c r="H113" t="s">
        <v>114</v>
      </c>
      <c r="I113" t="s">
        <v>115</v>
      </c>
      <c r="J113" t="s">
        <v>116</v>
      </c>
      <c r="K113" t="s">
        <v>26</v>
      </c>
      <c r="L113" t="s">
        <v>44</v>
      </c>
      <c r="M113">
        <v>1</v>
      </c>
      <c r="N113">
        <v>0</v>
      </c>
      <c r="O113">
        <v>13.58</v>
      </c>
      <c r="P113">
        <v>0.65</v>
      </c>
      <c r="Q113">
        <v>8.83</v>
      </c>
      <c r="R113" t="s">
        <v>54</v>
      </c>
      <c r="S113">
        <v>0</v>
      </c>
      <c r="T113">
        <v>8.83</v>
      </c>
    </row>
    <row r="114" spans="1:20" x14ac:dyDescent="0.25">
      <c r="A114" t="s">
        <v>112</v>
      </c>
      <c r="B114" t="s">
        <v>33</v>
      </c>
      <c r="C114" t="s">
        <v>113</v>
      </c>
      <c r="D114" s="1">
        <v>45597</v>
      </c>
      <c r="E114" s="1">
        <v>45901</v>
      </c>
      <c r="F114">
        <v>1</v>
      </c>
      <c r="G114">
        <v>1</v>
      </c>
      <c r="H114" t="s">
        <v>114</v>
      </c>
      <c r="I114" t="s">
        <v>115</v>
      </c>
      <c r="J114" t="s">
        <v>116</v>
      </c>
      <c r="K114" t="s">
        <v>26</v>
      </c>
      <c r="L114" t="s">
        <v>43</v>
      </c>
      <c r="M114">
        <v>1</v>
      </c>
      <c r="N114">
        <v>0</v>
      </c>
      <c r="O114">
        <v>1.68</v>
      </c>
      <c r="P114">
        <v>0.65</v>
      </c>
      <c r="Q114">
        <v>1.0900000000000001</v>
      </c>
      <c r="R114" t="s">
        <v>54</v>
      </c>
      <c r="S114">
        <v>0</v>
      </c>
      <c r="T114">
        <v>1.0900000000000001</v>
      </c>
    </row>
    <row r="115" spans="1:20" x14ac:dyDescent="0.25">
      <c r="A115" t="s">
        <v>112</v>
      </c>
      <c r="B115" t="s">
        <v>33</v>
      </c>
      <c r="C115" t="s">
        <v>113</v>
      </c>
      <c r="D115" s="1">
        <v>45597</v>
      </c>
      <c r="E115" s="1">
        <v>45901</v>
      </c>
      <c r="F115">
        <v>1</v>
      </c>
      <c r="G115">
        <v>1</v>
      </c>
      <c r="H115" t="s">
        <v>114</v>
      </c>
      <c r="I115" t="s">
        <v>115</v>
      </c>
      <c r="J115" t="s">
        <v>116</v>
      </c>
      <c r="K115" t="s">
        <v>26</v>
      </c>
      <c r="L115" t="s">
        <v>45</v>
      </c>
      <c r="M115">
        <v>1</v>
      </c>
      <c r="N115">
        <v>0</v>
      </c>
      <c r="O115">
        <v>6.22</v>
      </c>
      <c r="P115">
        <v>0.65</v>
      </c>
      <c r="Q115">
        <v>4.04</v>
      </c>
      <c r="R115" t="s">
        <v>54</v>
      </c>
      <c r="S115">
        <v>0</v>
      </c>
      <c r="T115">
        <v>4.04</v>
      </c>
    </row>
    <row r="116" spans="1:20" x14ac:dyDescent="0.25">
      <c r="A116" t="s">
        <v>119</v>
      </c>
      <c r="B116" t="s">
        <v>33</v>
      </c>
      <c r="C116" t="s">
        <v>120</v>
      </c>
      <c r="D116" s="1">
        <v>45627</v>
      </c>
      <c r="E116" s="1">
        <v>45901</v>
      </c>
      <c r="F116">
        <v>1</v>
      </c>
      <c r="G116">
        <v>1</v>
      </c>
      <c r="H116" t="s">
        <v>114</v>
      </c>
      <c r="I116" t="s">
        <v>115</v>
      </c>
      <c r="J116" t="s">
        <v>116</v>
      </c>
      <c r="K116" t="s">
        <v>26</v>
      </c>
      <c r="L116" t="s">
        <v>42</v>
      </c>
      <c r="M116">
        <v>1</v>
      </c>
      <c r="N116">
        <v>47.85</v>
      </c>
      <c r="O116">
        <v>19.18</v>
      </c>
      <c r="P116">
        <v>0.65</v>
      </c>
      <c r="Q116">
        <v>12.47</v>
      </c>
      <c r="R116" t="s">
        <v>69</v>
      </c>
      <c r="S116">
        <v>-12.39</v>
      </c>
      <c r="T116">
        <v>0.08</v>
      </c>
    </row>
    <row r="117" spans="1:20" x14ac:dyDescent="0.25">
      <c r="A117" t="s">
        <v>119</v>
      </c>
      <c r="B117" t="s">
        <v>33</v>
      </c>
      <c r="C117" t="s">
        <v>120</v>
      </c>
      <c r="D117" s="1">
        <v>45627</v>
      </c>
      <c r="E117" s="1">
        <v>45901</v>
      </c>
      <c r="F117">
        <v>1</v>
      </c>
      <c r="G117">
        <v>1</v>
      </c>
      <c r="H117" t="s">
        <v>114</v>
      </c>
      <c r="I117" t="s">
        <v>115</v>
      </c>
      <c r="J117" t="s">
        <v>116</v>
      </c>
      <c r="K117" t="s">
        <v>26</v>
      </c>
      <c r="L117" t="s">
        <v>55</v>
      </c>
      <c r="M117">
        <v>1</v>
      </c>
      <c r="N117">
        <v>0</v>
      </c>
      <c r="O117">
        <v>14.07</v>
      </c>
      <c r="P117">
        <v>0.65</v>
      </c>
      <c r="Q117">
        <v>9.15</v>
      </c>
      <c r="R117" t="s">
        <v>69</v>
      </c>
      <c r="S117">
        <v>-9.15</v>
      </c>
      <c r="T117">
        <v>0</v>
      </c>
    </row>
    <row r="118" spans="1:20" x14ac:dyDescent="0.25">
      <c r="A118" t="s">
        <v>119</v>
      </c>
      <c r="B118" t="s">
        <v>33</v>
      </c>
      <c r="C118" t="s">
        <v>120</v>
      </c>
      <c r="D118" s="1">
        <v>45627</v>
      </c>
      <c r="E118" s="1">
        <v>45901</v>
      </c>
      <c r="F118">
        <v>1</v>
      </c>
      <c r="G118">
        <v>1</v>
      </c>
      <c r="H118" t="s">
        <v>114</v>
      </c>
      <c r="I118" t="s">
        <v>115</v>
      </c>
      <c r="J118" t="s">
        <v>116</v>
      </c>
      <c r="K118" t="s">
        <v>26</v>
      </c>
      <c r="L118" t="s">
        <v>43</v>
      </c>
      <c r="M118">
        <v>1</v>
      </c>
      <c r="N118">
        <v>0</v>
      </c>
      <c r="O118">
        <v>1.68</v>
      </c>
      <c r="P118">
        <v>0.65</v>
      </c>
      <c r="Q118">
        <v>1.0900000000000001</v>
      </c>
      <c r="R118" t="s">
        <v>69</v>
      </c>
      <c r="S118">
        <v>-1.0900000000000001</v>
      </c>
      <c r="T118">
        <v>0</v>
      </c>
    </row>
    <row r="119" spans="1:20" x14ac:dyDescent="0.25">
      <c r="A119" t="s">
        <v>119</v>
      </c>
      <c r="B119" t="s">
        <v>33</v>
      </c>
      <c r="C119" t="s">
        <v>120</v>
      </c>
      <c r="D119" s="1">
        <v>45627</v>
      </c>
      <c r="E119" s="1">
        <v>45901</v>
      </c>
      <c r="F119">
        <v>1</v>
      </c>
      <c r="G119">
        <v>1</v>
      </c>
      <c r="H119" t="s">
        <v>114</v>
      </c>
      <c r="I119" t="s">
        <v>115</v>
      </c>
      <c r="J119" t="s">
        <v>116</v>
      </c>
      <c r="K119" t="s">
        <v>26</v>
      </c>
      <c r="L119" t="s">
        <v>56</v>
      </c>
      <c r="M119">
        <v>1</v>
      </c>
      <c r="N119">
        <v>0</v>
      </c>
      <c r="O119">
        <v>3.3</v>
      </c>
      <c r="P119">
        <v>0.65</v>
      </c>
      <c r="Q119">
        <v>2.15</v>
      </c>
      <c r="R119" t="s">
        <v>69</v>
      </c>
      <c r="S119">
        <v>-2.15</v>
      </c>
      <c r="T119">
        <v>0</v>
      </c>
    </row>
    <row r="120" spans="1:20" x14ac:dyDescent="0.25">
      <c r="A120" t="s">
        <v>119</v>
      </c>
      <c r="B120" t="s">
        <v>33</v>
      </c>
      <c r="C120" t="s">
        <v>120</v>
      </c>
      <c r="D120" s="1">
        <v>45627</v>
      </c>
      <c r="E120" s="1">
        <v>45901</v>
      </c>
      <c r="F120">
        <v>1</v>
      </c>
      <c r="G120">
        <v>1</v>
      </c>
      <c r="H120" t="s">
        <v>114</v>
      </c>
      <c r="I120" t="s">
        <v>115</v>
      </c>
      <c r="J120" t="s">
        <v>116</v>
      </c>
      <c r="K120" t="s">
        <v>26</v>
      </c>
      <c r="L120" t="s">
        <v>44</v>
      </c>
      <c r="M120">
        <v>1</v>
      </c>
      <c r="N120">
        <v>0</v>
      </c>
      <c r="O120">
        <v>9.6199999999999992</v>
      </c>
      <c r="P120">
        <v>0.65</v>
      </c>
      <c r="Q120">
        <v>6.25</v>
      </c>
      <c r="R120" t="s">
        <v>69</v>
      </c>
      <c r="S120">
        <v>-6.25</v>
      </c>
      <c r="T120">
        <v>0</v>
      </c>
    </row>
    <row r="121" spans="1:20" x14ac:dyDescent="0.25">
      <c r="A121" t="s">
        <v>121</v>
      </c>
      <c r="B121" t="s">
        <v>33</v>
      </c>
      <c r="C121" t="s">
        <v>122</v>
      </c>
      <c r="D121" s="1">
        <v>45627</v>
      </c>
      <c r="E121" s="1">
        <v>45901</v>
      </c>
      <c r="F121">
        <v>1</v>
      </c>
      <c r="G121">
        <v>1</v>
      </c>
      <c r="H121" t="s">
        <v>114</v>
      </c>
      <c r="I121" t="s">
        <v>115</v>
      </c>
      <c r="J121" t="s">
        <v>116</v>
      </c>
      <c r="K121" t="s">
        <v>26</v>
      </c>
      <c r="L121" t="s">
        <v>42</v>
      </c>
      <c r="M121">
        <v>1</v>
      </c>
      <c r="N121">
        <v>46.03</v>
      </c>
      <c r="O121">
        <v>18.95</v>
      </c>
      <c r="P121">
        <v>0.65</v>
      </c>
      <c r="Q121">
        <v>12.32</v>
      </c>
      <c r="R121" t="s">
        <v>69</v>
      </c>
      <c r="S121">
        <v>-12.29</v>
      </c>
      <c r="T121">
        <v>0.03</v>
      </c>
    </row>
    <row r="122" spans="1:20" x14ac:dyDescent="0.25">
      <c r="A122" t="s">
        <v>121</v>
      </c>
      <c r="B122" t="s">
        <v>33</v>
      </c>
      <c r="C122" t="s">
        <v>122</v>
      </c>
      <c r="D122" s="1">
        <v>45627</v>
      </c>
      <c r="E122" s="1">
        <v>45901</v>
      </c>
      <c r="F122">
        <v>1</v>
      </c>
      <c r="G122">
        <v>1</v>
      </c>
      <c r="H122" t="s">
        <v>114</v>
      </c>
      <c r="I122" t="s">
        <v>115</v>
      </c>
      <c r="J122" t="s">
        <v>116</v>
      </c>
      <c r="K122" t="s">
        <v>26</v>
      </c>
      <c r="L122" t="s">
        <v>56</v>
      </c>
      <c r="M122">
        <v>1</v>
      </c>
      <c r="N122">
        <v>0</v>
      </c>
      <c r="O122">
        <v>3.1</v>
      </c>
      <c r="P122">
        <v>0.65</v>
      </c>
      <c r="Q122">
        <v>2.02</v>
      </c>
      <c r="R122" t="s">
        <v>69</v>
      </c>
      <c r="S122">
        <v>-2.02</v>
      </c>
      <c r="T122">
        <v>0</v>
      </c>
    </row>
    <row r="123" spans="1:20" x14ac:dyDescent="0.25">
      <c r="A123" t="s">
        <v>121</v>
      </c>
      <c r="B123" t="s">
        <v>33</v>
      </c>
      <c r="C123" t="s">
        <v>122</v>
      </c>
      <c r="D123" s="1">
        <v>45627</v>
      </c>
      <c r="E123" s="1">
        <v>45901</v>
      </c>
      <c r="F123">
        <v>1</v>
      </c>
      <c r="G123">
        <v>1</v>
      </c>
      <c r="H123" t="s">
        <v>114</v>
      </c>
      <c r="I123" t="s">
        <v>115</v>
      </c>
      <c r="J123" t="s">
        <v>116</v>
      </c>
      <c r="K123" t="s">
        <v>26</v>
      </c>
      <c r="L123" t="s">
        <v>44</v>
      </c>
      <c r="M123">
        <v>1</v>
      </c>
      <c r="N123">
        <v>0</v>
      </c>
      <c r="O123">
        <v>8.6199999999999992</v>
      </c>
      <c r="P123">
        <v>0.65</v>
      </c>
      <c r="Q123">
        <v>5.6</v>
      </c>
      <c r="R123" t="s">
        <v>69</v>
      </c>
      <c r="S123">
        <v>-5.6</v>
      </c>
      <c r="T123">
        <v>0</v>
      </c>
    </row>
    <row r="124" spans="1:20" x14ac:dyDescent="0.25">
      <c r="A124" t="s">
        <v>121</v>
      </c>
      <c r="B124" t="s">
        <v>33</v>
      </c>
      <c r="C124" t="s">
        <v>122</v>
      </c>
      <c r="D124" s="1">
        <v>45627</v>
      </c>
      <c r="E124" s="1">
        <v>45901</v>
      </c>
      <c r="F124">
        <v>1</v>
      </c>
      <c r="G124">
        <v>1</v>
      </c>
      <c r="H124" t="s">
        <v>114</v>
      </c>
      <c r="I124" t="s">
        <v>115</v>
      </c>
      <c r="J124" t="s">
        <v>116</v>
      </c>
      <c r="K124" t="s">
        <v>26</v>
      </c>
      <c r="L124" t="s">
        <v>55</v>
      </c>
      <c r="M124">
        <v>1</v>
      </c>
      <c r="N124">
        <v>0</v>
      </c>
      <c r="O124">
        <v>13.68</v>
      </c>
      <c r="P124">
        <v>0.65</v>
      </c>
      <c r="Q124">
        <v>8.89</v>
      </c>
      <c r="R124" t="s">
        <v>69</v>
      </c>
      <c r="S124">
        <v>-8.89</v>
      </c>
      <c r="T124">
        <v>0</v>
      </c>
    </row>
    <row r="125" spans="1:20" x14ac:dyDescent="0.25">
      <c r="A125" t="s">
        <v>121</v>
      </c>
      <c r="B125" t="s">
        <v>33</v>
      </c>
      <c r="C125" t="s">
        <v>122</v>
      </c>
      <c r="D125" s="1">
        <v>45627</v>
      </c>
      <c r="E125" s="1">
        <v>45901</v>
      </c>
      <c r="F125">
        <v>1</v>
      </c>
      <c r="G125">
        <v>1</v>
      </c>
      <c r="H125" t="s">
        <v>114</v>
      </c>
      <c r="I125" t="s">
        <v>115</v>
      </c>
      <c r="J125" t="s">
        <v>116</v>
      </c>
      <c r="K125" t="s">
        <v>26</v>
      </c>
      <c r="L125" t="s">
        <v>43</v>
      </c>
      <c r="M125">
        <v>1</v>
      </c>
      <c r="N125">
        <v>0</v>
      </c>
      <c r="O125">
        <v>1.68</v>
      </c>
      <c r="P125">
        <v>0.65</v>
      </c>
      <c r="Q125">
        <v>1.0900000000000001</v>
      </c>
      <c r="R125" t="s">
        <v>69</v>
      </c>
      <c r="S125">
        <v>-1.0900000000000001</v>
      </c>
      <c r="T125">
        <v>0</v>
      </c>
    </row>
    <row r="126" spans="1:20" x14ac:dyDescent="0.25">
      <c r="A126" t="s">
        <v>123</v>
      </c>
      <c r="B126" t="s">
        <v>33</v>
      </c>
      <c r="C126" t="s">
        <v>124</v>
      </c>
      <c r="D126" s="1">
        <v>45658</v>
      </c>
      <c r="E126" s="1">
        <v>45901</v>
      </c>
      <c r="F126">
        <v>1</v>
      </c>
      <c r="G126">
        <v>1</v>
      </c>
      <c r="H126" t="s">
        <v>114</v>
      </c>
      <c r="I126" t="s">
        <v>115</v>
      </c>
      <c r="J126" t="s">
        <v>116</v>
      </c>
      <c r="K126" t="s">
        <v>26</v>
      </c>
      <c r="L126" t="s">
        <v>42</v>
      </c>
      <c r="M126">
        <v>1</v>
      </c>
      <c r="N126">
        <v>80.64</v>
      </c>
      <c r="O126">
        <v>30.54</v>
      </c>
      <c r="P126">
        <v>0.65</v>
      </c>
      <c r="Q126">
        <v>19.850000000000001</v>
      </c>
      <c r="R126" t="s">
        <v>69</v>
      </c>
      <c r="S126">
        <v>-19.850000000000001</v>
      </c>
      <c r="T126">
        <v>0</v>
      </c>
    </row>
    <row r="127" spans="1:20" x14ac:dyDescent="0.25">
      <c r="A127" t="s">
        <v>123</v>
      </c>
      <c r="B127" t="s">
        <v>33</v>
      </c>
      <c r="C127" t="s">
        <v>124</v>
      </c>
      <c r="D127" s="1">
        <v>45658</v>
      </c>
      <c r="E127" s="1">
        <v>45901</v>
      </c>
      <c r="F127">
        <v>1</v>
      </c>
      <c r="G127">
        <v>1</v>
      </c>
      <c r="H127" t="s">
        <v>114</v>
      </c>
      <c r="I127" t="s">
        <v>115</v>
      </c>
      <c r="J127" t="s">
        <v>116</v>
      </c>
      <c r="K127" t="s">
        <v>26</v>
      </c>
      <c r="L127" t="s">
        <v>43</v>
      </c>
      <c r="M127">
        <v>1</v>
      </c>
      <c r="N127">
        <v>0</v>
      </c>
      <c r="O127">
        <v>1.68</v>
      </c>
      <c r="P127">
        <v>0.65</v>
      </c>
      <c r="Q127">
        <v>1.0900000000000001</v>
      </c>
      <c r="R127" t="s">
        <v>69</v>
      </c>
      <c r="S127">
        <v>-1.0900000000000001</v>
      </c>
      <c r="T127">
        <v>0</v>
      </c>
    </row>
    <row r="128" spans="1:20" x14ac:dyDescent="0.25">
      <c r="A128" t="s">
        <v>123</v>
      </c>
      <c r="B128" t="s">
        <v>33</v>
      </c>
      <c r="C128" t="s">
        <v>124</v>
      </c>
      <c r="D128" s="1">
        <v>45658</v>
      </c>
      <c r="E128" s="1">
        <v>45901</v>
      </c>
      <c r="F128">
        <v>1</v>
      </c>
      <c r="G128">
        <v>1</v>
      </c>
      <c r="H128" t="s">
        <v>114</v>
      </c>
      <c r="I128" t="s">
        <v>115</v>
      </c>
      <c r="J128" t="s">
        <v>116</v>
      </c>
      <c r="K128" t="s">
        <v>26</v>
      </c>
      <c r="L128" t="s">
        <v>56</v>
      </c>
      <c r="M128">
        <v>1</v>
      </c>
      <c r="N128">
        <v>0</v>
      </c>
      <c r="O128">
        <v>2.92</v>
      </c>
      <c r="P128">
        <v>0.65</v>
      </c>
      <c r="Q128">
        <v>1.9</v>
      </c>
      <c r="R128" t="s">
        <v>69</v>
      </c>
      <c r="S128">
        <v>-1.9</v>
      </c>
      <c r="T128">
        <v>0</v>
      </c>
    </row>
    <row r="129" spans="1:20" x14ac:dyDescent="0.25">
      <c r="A129" t="s">
        <v>123</v>
      </c>
      <c r="B129" t="s">
        <v>33</v>
      </c>
      <c r="C129" t="s">
        <v>124</v>
      </c>
      <c r="D129" s="1">
        <v>45658</v>
      </c>
      <c r="E129" s="1">
        <v>45901</v>
      </c>
      <c r="F129">
        <v>1</v>
      </c>
      <c r="G129">
        <v>1</v>
      </c>
      <c r="H129" t="s">
        <v>114</v>
      </c>
      <c r="I129" t="s">
        <v>115</v>
      </c>
      <c r="J129" t="s">
        <v>116</v>
      </c>
      <c r="K129" t="s">
        <v>26</v>
      </c>
      <c r="L129" t="s">
        <v>55</v>
      </c>
      <c r="M129">
        <v>1</v>
      </c>
      <c r="N129">
        <v>0</v>
      </c>
      <c r="O129">
        <v>20.13</v>
      </c>
      <c r="P129">
        <v>0.65</v>
      </c>
      <c r="Q129">
        <v>13.08</v>
      </c>
      <c r="R129" t="s">
        <v>69</v>
      </c>
      <c r="S129">
        <v>-13.08</v>
      </c>
      <c r="T129">
        <v>0</v>
      </c>
    </row>
    <row r="130" spans="1:20" x14ac:dyDescent="0.25">
      <c r="A130" t="s">
        <v>123</v>
      </c>
      <c r="B130" t="s">
        <v>33</v>
      </c>
      <c r="C130" t="s">
        <v>124</v>
      </c>
      <c r="D130" s="1">
        <v>45658</v>
      </c>
      <c r="E130" s="1">
        <v>45901</v>
      </c>
      <c r="F130">
        <v>1</v>
      </c>
      <c r="G130">
        <v>1</v>
      </c>
      <c r="H130" t="s">
        <v>114</v>
      </c>
      <c r="I130" t="s">
        <v>115</v>
      </c>
      <c r="J130" t="s">
        <v>116</v>
      </c>
      <c r="K130" t="s">
        <v>26</v>
      </c>
      <c r="L130" t="s">
        <v>44</v>
      </c>
      <c r="M130">
        <v>1</v>
      </c>
      <c r="N130">
        <v>0</v>
      </c>
      <c r="O130">
        <v>12.94</v>
      </c>
      <c r="P130">
        <v>0.65</v>
      </c>
      <c r="Q130">
        <v>8.41</v>
      </c>
      <c r="R130" t="s">
        <v>69</v>
      </c>
      <c r="S130">
        <v>-8.41</v>
      </c>
      <c r="T130">
        <v>0</v>
      </c>
    </row>
    <row r="131" spans="1:20" x14ac:dyDescent="0.25">
      <c r="A131" t="s">
        <v>123</v>
      </c>
      <c r="B131" t="s">
        <v>33</v>
      </c>
      <c r="C131" t="s">
        <v>124</v>
      </c>
      <c r="D131" s="1">
        <v>45658</v>
      </c>
      <c r="E131" s="1">
        <v>45901</v>
      </c>
      <c r="F131">
        <v>1</v>
      </c>
      <c r="G131">
        <v>1</v>
      </c>
      <c r="H131" t="s">
        <v>114</v>
      </c>
      <c r="I131" t="s">
        <v>115</v>
      </c>
      <c r="J131" t="s">
        <v>116</v>
      </c>
      <c r="K131" t="s">
        <v>26</v>
      </c>
      <c r="L131" t="s">
        <v>45</v>
      </c>
      <c r="M131">
        <v>1</v>
      </c>
      <c r="N131">
        <v>0</v>
      </c>
      <c r="O131">
        <v>12.43</v>
      </c>
      <c r="P131">
        <v>0.65</v>
      </c>
      <c r="Q131">
        <v>8.08</v>
      </c>
      <c r="R131" t="s">
        <v>69</v>
      </c>
      <c r="S131">
        <v>-8.08</v>
      </c>
      <c r="T131">
        <v>0</v>
      </c>
    </row>
    <row r="132" spans="1:20" x14ac:dyDescent="0.25">
      <c r="A132" t="s">
        <v>125</v>
      </c>
      <c r="B132" t="s">
        <v>33</v>
      </c>
      <c r="C132" t="s">
        <v>126</v>
      </c>
      <c r="D132" s="1">
        <v>45658</v>
      </c>
      <c r="E132" s="1">
        <v>45901</v>
      </c>
      <c r="F132">
        <v>1</v>
      </c>
      <c r="G132">
        <v>1</v>
      </c>
      <c r="H132" t="s">
        <v>114</v>
      </c>
      <c r="I132" t="s">
        <v>115</v>
      </c>
      <c r="J132" t="s">
        <v>116</v>
      </c>
      <c r="K132" t="s">
        <v>26</v>
      </c>
      <c r="L132" t="s">
        <v>42</v>
      </c>
      <c r="M132">
        <v>1</v>
      </c>
      <c r="N132">
        <v>75.7</v>
      </c>
      <c r="O132">
        <v>31.17</v>
      </c>
      <c r="P132">
        <v>0.65</v>
      </c>
      <c r="Q132">
        <v>20.260000000000002</v>
      </c>
      <c r="R132" t="s">
        <v>69</v>
      </c>
      <c r="S132">
        <v>-20.260000000000002</v>
      </c>
      <c r="T132">
        <v>0</v>
      </c>
    </row>
    <row r="133" spans="1:20" x14ac:dyDescent="0.25">
      <c r="A133" t="s">
        <v>125</v>
      </c>
      <c r="B133" t="s">
        <v>33</v>
      </c>
      <c r="C133" t="s">
        <v>126</v>
      </c>
      <c r="D133" s="1">
        <v>45658</v>
      </c>
      <c r="E133" s="1">
        <v>45901</v>
      </c>
      <c r="F133">
        <v>1</v>
      </c>
      <c r="G133">
        <v>1</v>
      </c>
      <c r="H133" t="s">
        <v>114</v>
      </c>
      <c r="I133" t="s">
        <v>115</v>
      </c>
      <c r="J133" t="s">
        <v>116</v>
      </c>
      <c r="K133" t="s">
        <v>26</v>
      </c>
      <c r="L133" t="s">
        <v>55</v>
      </c>
      <c r="M133">
        <v>1</v>
      </c>
      <c r="N133">
        <v>0</v>
      </c>
      <c r="O133">
        <v>20.13</v>
      </c>
      <c r="P133">
        <v>0.65</v>
      </c>
      <c r="Q133">
        <v>13.08</v>
      </c>
      <c r="R133" t="s">
        <v>69</v>
      </c>
      <c r="S133">
        <v>-13.08</v>
      </c>
      <c r="T133">
        <v>0</v>
      </c>
    </row>
    <row r="134" spans="1:20" x14ac:dyDescent="0.25">
      <c r="A134" t="s">
        <v>125</v>
      </c>
      <c r="B134" t="s">
        <v>33</v>
      </c>
      <c r="C134" t="s">
        <v>126</v>
      </c>
      <c r="D134" s="1">
        <v>45658</v>
      </c>
      <c r="E134" s="1">
        <v>45901</v>
      </c>
      <c r="F134">
        <v>1</v>
      </c>
      <c r="G134">
        <v>1</v>
      </c>
      <c r="H134" t="s">
        <v>114</v>
      </c>
      <c r="I134" t="s">
        <v>115</v>
      </c>
      <c r="J134" t="s">
        <v>116</v>
      </c>
      <c r="K134" t="s">
        <v>26</v>
      </c>
      <c r="L134" t="s">
        <v>43</v>
      </c>
      <c r="M134">
        <v>1</v>
      </c>
      <c r="N134">
        <v>0</v>
      </c>
      <c r="O134">
        <v>1.68</v>
      </c>
      <c r="P134">
        <v>0.65</v>
      </c>
      <c r="Q134">
        <v>1.0900000000000001</v>
      </c>
      <c r="R134" t="s">
        <v>69</v>
      </c>
      <c r="S134">
        <v>-1.0900000000000001</v>
      </c>
      <c r="T134">
        <v>0</v>
      </c>
    </row>
    <row r="135" spans="1:20" x14ac:dyDescent="0.25">
      <c r="A135" t="s">
        <v>125</v>
      </c>
      <c r="B135" t="s">
        <v>33</v>
      </c>
      <c r="C135" t="s">
        <v>126</v>
      </c>
      <c r="D135" s="1">
        <v>45658</v>
      </c>
      <c r="E135" s="1">
        <v>45901</v>
      </c>
      <c r="F135">
        <v>1</v>
      </c>
      <c r="G135">
        <v>1</v>
      </c>
      <c r="H135" t="s">
        <v>114</v>
      </c>
      <c r="I135" t="s">
        <v>115</v>
      </c>
      <c r="J135" t="s">
        <v>116</v>
      </c>
      <c r="K135" t="s">
        <v>26</v>
      </c>
      <c r="L135" t="s">
        <v>56</v>
      </c>
      <c r="M135">
        <v>1</v>
      </c>
      <c r="N135">
        <v>0</v>
      </c>
      <c r="O135">
        <v>2.92</v>
      </c>
      <c r="P135">
        <v>0.65</v>
      </c>
      <c r="Q135">
        <v>1.9</v>
      </c>
      <c r="R135" t="s">
        <v>69</v>
      </c>
      <c r="S135">
        <v>-1.9</v>
      </c>
      <c r="T135">
        <v>0</v>
      </c>
    </row>
    <row r="136" spans="1:20" x14ac:dyDescent="0.25">
      <c r="A136" t="s">
        <v>125</v>
      </c>
      <c r="B136" t="s">
        <v>33</v>
      </c>
      <c r="C136" t="s">
        <v>126</v>
      </c>
      <c r="D136" s="1">
        <v>45658</v>
      </c>
      <c r="E136" s="1">
        <v>45901</v>
      </c>
      <c r="F136">
        <v>1</v>
      </c>
      <c r="G136">
        <v>1</v>
      </c>
      <c r="H136" t="s">
        <v>114</v>
      </c>
      <c r="I136" t="s">
        <v>115</v>
      </c>
      <c r="J136" t="s">
        <v>116</v>
      </c>
      <c r="K136" t="s">
        <v>26</v>
      </c>
      <c r="L136" t="s">
        <v>45</v>
      </c>
      <c r="M136">
        <v>1</v>
      </c>
      <c r="N136">
        <v>0</v>
      </c>
      <c r="O136">
        <v>6.22</v>
      </c>
      <c r="P136">
        <v>0.65</v>
      </c>
      <c r="Q136">
        <v>4.04</v>
      </c>
      <c r="R136" t="s">
        <v>69</v>
      </c>
      <c r="S136">
        <v>-4.04</v>
      </c>
      <c r="T136">
        <v>0</v>
      </c>
    </row>
    <row r="137" spans="1:20" x14ac:dyDescent="0.25">
      <c r="A137" t="s">
        <v>125</v>
      </c>
      <c r="B137" t="s">
        <v>33</v>
      </c>
      <c r="C137" t="s">
        <v>126</v>
      </c>
      <c r="D137" s="1">
        <v>45658</v>
      </c>
      <c r="E137" s="1">
        <v>45901</v>
      </c>
      <c r="F137">
        <v>1</v>
      </c>
      <c r="G137">
        <v>1</v>
      </c>
      <c r="H137" t="s">
        <v>114</v>
      </c>
      <c r="I137" t="s">
        <v>115</v>
      </c>
      <c r="J137" t="s">
        <v>116</v>
      </c>
      <c r="K137" t="s">
        <v>26</v>
      </c>
      <c r="L137" t="s">
        <v>44</v>
      </c>
      <c r="M137">
        <v>1</v>
      </c>
      <c r="N137">
        <v>0</v>
      </c>
      <c r="O137">
        <v>13.58</v>
      </c>
      <c r="P137">
        <v>0.65</v>
      </c>
      <c r="Q137">
        <v>8.83</v>
      </c>
      <c r="R137" t="s">
        <v>69</v>
      </c>
      <c r="S137">
        <v>-8.83</v>
      </c>
      <c r="T137">
        <v>0</v>
      </c>
    </row>
    <row r="138" spans="1:20" x14ac:dyDescent="0.25">
      <c r="A138" t="s">
        <v>127</v>
      </c>
      <c r="B138" t="s">
        <v>33</v>
      </c>
      <c r="C138" t="s">
        <v>128</v>
      </c>
      <c r="D138" s="1">
        <v>45658</v>
      </c>
      <c r="E138" s="1">
        <v>45901</v>
      </c>
      <c r="F138">
        <v>1</v>
      </c>
      <c r="G138">
        <v>1</v>
      </c>
      <c r="H138" t="s">
        <v>114</v>
      </c>
      <c r="I138" t="s">
        <v>115</v>
      </c>
      <c r="J138" t="s">
        <v>116</v>
      </c>
      <c r="K138" t="s">
        <v>26</v>
      </c>
      <c r="L138" t="s">
        <v>42</v>
      </c>
      <c r="M138">
        <v>1</v>
      </c>
      <c r="N138">
        <v>55.89</v>
      </c>
      <c r="O138">
        <v>22.13</v>
      </c>
      <c r="P138">
        <v>0.65</v>
      </c>
      <c r="Q138">
        <v>14.38</v>
      </c>
      <c r="R138" t="s">
        <v>69</v>
      </c>
      <c r="S138">
        <v>-14.38</v>
      </c>
      <c r="T138">
        <v>0</v>
      </c>
    </row>
    <row r="139" spans="1:20" x14ac:dyDescent="0.25">
      <c r="A139" t="s">
        <v>127</v>
      </c>
      <c r="B139" t="s">
        <v>33</v>
      </c>
      <c r="C139" t="s">
        <v>128</v>
      </c>
      <c r="D139" s="1">
        <v>45658</v>
      </c>
      <c r="E139" s="1">
        <v>45901</v>
      </c>
      <c r="F139">
        <v>1</v>
      </c>
      <c r="G139">
        <v>1</v>
      </c>
      <c r="H139" t="s">
        <v>114</v>
      </c>
      <c r="I139" t="s">
        <v>115</v>
      </c>
      <c r="J139" t="s">
        <v>116</v>
      </c>
      <c r="K139" t="s">
        <v>26</v>
      </c>
      <c r="L139" t="s">
        <v>55</v>
      </c>
      <c r="M139">
        <v>1</v>
      </c>
      <c r="N139">
        <v>0</v>
      </c>
      <c r="O139">
        <v>22.08</v>
      </c>
      <c r="P139">
        <v>0.65</v>
      </c>
      <c r="Q139">
        <v>14.35</v>
      </c>
      <c r="R139" t="s">
        <v>69</v>
      </c>
      <c r="S139">
        <v>-14.35</v>
      </c>
      <c r="T139">
        <v>0</v>
      </c>
    </row>
    <row r="140" spans="1:20" x14ac:dyDescent="0.25">
      <c r="A140" t="s">
        <v>127</v>
      </c>
      <c r="B140" t="s">
        <v>33</v>
      </c>
      <c r="C140" t="s">
        <v>128</v>
      </c>
      <c r="D140" s="1">
        <v>45658</v>
      </c>
      <c r="E140" s="1">
        <v>45901</v>
      </c>
      <c r="F140">
        <v>1</v>
      </c>
      <c r="G140">
        <v>1</v>
      </c>
      <c r="H140" t="s">
        <v>114</v>
      </c>
      <c r="I140" t="s">
        <v>115</v>
      </c>
      <c r="J140" t="s">
        <v>116</v>
      </c>
      <c r="K140" t="s">
        <v>26</v>
      </c>
      <c r="L140" t="s">
        <v>43</v>
      </c>
      <c r="M140">
        <v>1</v>
      </c>
      <c r="N140">
        <v>0</v>
      </c>
      <c r="O140">
        <v>1.68</v>
      </c>
      <c r="P140">
        <v>0.65</v>
      </c>
      <c r="Q140">
        <v>1.0900000000000001</v>
      </c>
      <c r="R140" t="s">
        <v>69</v>
      </c>
      <c r="S140">
        <v>-1.0900000000000001</v>
      </c>
      <c r="T140">
        <v>0</v>
      </c>
    </row>
    <row r="141" spans="1:20" x14ac:dyDescent="0.25">
      <c r="A141" t="s">
        <v>127</v>
      </c>
      <c r="B141" t="s">
        <v>33</v>
      </c>
      <c r="C141" t="s">
        <v>128</v>
      </c>
      <c r="D141" s="1">
        <v>45658</v>
      </c>
      <c r="E141" s="1">
        <v>45901</v>
      </c>
      <c r="F141">
        <v>1</v>
      </c>
      <c r="G141">
        <v>1</v>
      </c>
      <c r="H141" t="s">
        <v>114</v>
      </c>
      <c r="I141" t="s">
        <v>115</v>
      </c>
      <c r="J141" t="s">
        <v>116</v>
      </c>
      <c r="K141" t="s">
        <v>26</v>
      </c>
      <c r="L141" t="s">
        <v>56</v>
      </c>
      <c r="M141">
        <v>1</v>
      </c>
      <c r="N141">
        <v>0</v>
      </c>
      <c r="O141">
        <v>3.78</v>
      </c>
      <c r="P141">
        <v>0.65</v>
      </c>
      <c r="Q141">
        <v>2.46</v>
      </c>
      <c r="R141" t="s">
        <v>69</v>
      </c>
      <c r="S141">
        <v>-2.46</v>
      </c>
      <c r="T141">
        <v>0</v>
      </c>
    </row>
    <row r="142" spans="1:20" x14ac:dyDescent="0.25">
      <c r="A142" t="s">
        <v>127</v>
      </c>
      <c r="B142" t="s">
        <v>33</v>
      </c>
      <c r="C142" t="s">
        <v>128</v>
      </c>
      <c r="D142" s="1">
        <v>45658</v>
      </c>
      <c r="E142" s="1">
        <v>45901</v>
      </c>
      <c r="F142">
        <v>1</v>
      </c>
      <c r="G142">
        <v>1</v>
      </c>
      <c r="H142" t="s">
        <v>114</v>
      </c>
      <c r="I142" t="s">
        <v>115</v>
      </c>
      <c r="J142" t="s">
        <v>116</v>
      </c>
      <c r="K142" t="s">
        <v>26</v>
      </c>
      <c r="L142" t="s">
        <v>45</v>
      </c>
      <c r="M142">
        <v>1</v>
      </c>
      <c r="N142">
        <v>0</v>
      </c>
      <c r="O142">
        <v>6.22</v>
      </c>
      <c r="P142">
        <v>0.65</v>
      </c>
      <c r="Q142">
        <v>4.04</v>
      </c>
      <c r="R142" t="s">
        <v>69</v>
      </c>
      <c r="S142">
        <v>-4.04</v>
      </c>
      <c r="T142">
        <v>0</v>
      </c>
    </row>
    <row r="143" spans="1:20" x14ac:dyDescent="0.25">
      <c r="A143" t="s">
        <v>129</v>
      </c>
      <c r="B143" t="s">
        <v>33</v>
      </c>
      <c r="C143" t="s">
        <v>130</v>
      </c>
      <c r="D143" s="1">
        <v>45689</v>
      </c>
      <c r="E143" s="1">
        <v>45901</v>
      </c>
      <c r="F143">
        <v>1</v>
      </c>
      <c r="G143">
        <v>1</v>
      </c>
      <c r="H143" t="s">
        <v>114</v>
      </c>
      <c r="I143" t="s">
        <v>115</v>
      </c>
      <c r="J143" t="s">
        <v>116</v>
      </c>
      <c r="K143" t="s">
        <v>26</v>
      </c>
      <c r="L143" t="s">
        <v>42</v>
      </c>
      <c r="M143">
        <v>1</v>
      </c>
      <c r="N143">
        <v>53.36</v>
      </c>
      <c r="O143">
        <v>14.06</v>
      </c>
      <c r="P143">
        <v>0.65</v>
      </c>
      <c r="Q143">
        <v>9.14</v>
      </c>
      <c r="R143" t="s">
        <v>69</v>
      </c>
      <c r="S143">
        <v>-9.14</v>
      </c>
      <c r="T143">
        <v>0</v>
      </c>
    </row>
    <row r="144" spans="1:20" x14ac:dyDescent="0.25">
      <c r="A144" t="s">
        <v>129</v>
      </c>
      <c r="B144" t="s">
        <v>33</v>
      </c>
      <c r="C144" t="s">
        <v>130</v>
      </c>
      <c r="D144" s="1">
        <v>45689</v>
      </c>
      <c r="E144" s="1">
        <v>45901</v>
      </c>
      <c r="F144">
        <v>1</v>
      </c>
      <c r="G144">
        <v>1</v>
      </c>
      <c r="H144" t="s">
        <v>114</v>
      </c>
      <c r="I144" t="s">
        <v>115</v>
      </c>
      <c r="J144" t="s">
        <v>116</v>
      </c>
      <c r="K144" t="s">
        <v>26</v>
      </c>
      <c r="L144" t="s">
        <v>55</v>
      </c>
      <c r="M144">
        <v>1</v>
      </c>
      <c r="N144">
        <v>0</v>
      </c>
      <c r="O144">
        <v>21.11</v>
      </c>
      <c r="P144">
        <v>0.65</v>
      </c>
      <c r="Q144">
        <v>13.72</v>
      </c>
      <c r="R144" t="s">
        <v>69</v>
      </c>
      <c r="S144">
        <v>-13.72</v>
      </c>
      <c r="T144">
        <v>0</v>
      </c>
    </row>
    <row r="145" spans="1:20" x14ac:dyDescent="0.25">
      <c r="A145" t="s">
        <v>129</v>
      </c>
      <c r="B145" t="s">
        <v>33</v>
      </c>
      <c r="C145" t="s">
        <v>130</v>
      </c>
      <c r="D145" s="1">
        <v>45689</v>
      </c>
      <c r="E145" s="1">
        <v>45901</v>
      </c>
      <c r="F145">
        <v>1</v>
      </c>
      <c r="G145">
        <v>1</v>
      </c>
      <c r="H145" t="s">
        <v>114</v>
      </c>
      <c r="I145" t="s">
        <v>115</v>
      </c>
      <c r="J145" t="s">
        <v>116</v>
      </c>
      <c r="K145" t="s">
        <v>26</v>
      </c>
      <c r="L145" t="s">
        <v>84</v>
      </c>
      <c r="M145">
        <v>1</v>
      </c>
      <c r="N145">
        <v>0</v>
      </c>
      <c r="O145">
        <v>6.99</v>
      </c>
      <c r="P145">
        <v>0.65</v>
      </c>
      <c r="Q145">
        <v>4.54</v>
      </c>
      <c r="R145" t="s">
        <v>69</v>
      </c>
      <c r="S145">
        <v>-4.54</v>
      </c>
      <c r="T145">
        <v>0</v>
      </c>
    </row>
    <row r="146" spans="1:20" x14ac:dyDescent="0.25">
      <c r="A146" t="s">
        <v>129</v>
      </c>
      <c r="B146" t="s">
        <v>33</v>
      </c>
      <c r="C146" t="s">
        <v>130</v>
      </c>
      <c r="D146" s="1">
        <v>45689</v>
      </c>
      <c r="E146" s="1">
        <v>45901</v>
      </c>
      <c r="F146">
        <v>1</v>
      </c>
      <c r="G146">
        <v>1</v>
      </c>
      <c r="H146" t="s">
        <v>114</v>
      </c>
      <c r="I146" t="s">
        <v>115</v>
      </c>
      <c r="J146" t="s">
        <v>116</v>
      </c>
      <c r="K146" t="s">
        <v>26</v>
      </c>
      <c r="L146" t="s">
        <v>43</v>
      </c>
      <c r="M146">
        <v>1</v>
      </c>
      <c r="N146">
        <v>0</v>
      </c>
      <c r="O146">
        <v>1.68</v>
      </c>
      <c r="P146">
        <v>0.65</v>
      </c>
      <c r="Q146">
        <v>1.0900000000000001</v>
      </c>
      <c r="R146" t="s">
        <v>69</v>
      </c>
      <c r="S146">
        <v>-1.0900000000000001</v>
      </c>
      <c r="T146">
        <v>0</v>
      </c>
    </row>
    <row r="147" spans="1:20" x14ac:dyDescent="0.25">
      <c r="A147" t="s">
        <v>129</v>
      </c>
      <c r="B147" t="s">
        <v>33</v>
      </c>
      <c r="C147" t="s">
        <v>130</v>
      </c>
      <c r="D147" s="1">
        <v>45689</v>
      </c>
      <c r="E147" s="1">
        <v>45901</v>
      </c>
      <c r="F147">
        <v>1</v>
      </c>
      <c r="G147">
        <v>1</v>
      </c>
      <c r="H147" t="s">
        <v>114</v>
      </c>
      <c r="I147" t="s">
        <v>115</v>
      </c>
      <c r="J147" t="s">
        <v>116</v>
      </c>
      <c r="K147" t="s">
        <v>26</v>
      </c>
      <c r="L147" t="s">
        <v>56</v>
      </c>
      <c r="M147">
        <v>1</v>
      </c>
      <c r="N147">
        <v>0</v>
      </c>
      <c r="O147">
        <v>3.3</v>
      </c>
      <c r="P147">
        <v>0.65</v>
      </c>
      <c r="Q147">
        <v>2.15</v>
      </c>
      <c r="R147" t="s">
        <v>69</v>
      </c>
      <c r="S147">
        <v>-2.15</v>
      </c>
      <c r="T147">
        <v>0</v>
      </c>
    </row>
    <row r="148" spans="1:20" x14ac:dyDescent="0.25">
      <c r="A148" t="s">
        <v>129</v>
      </c>
      <c r="B148" t="s">
        <v>33</v>
      </c>
      <c r="C148" t="s">
        <v>130</v>
      </c>
      <c r="D148" s="1">
        <v>45689</v>
      </c>
      <c r="E148" s="1">
        <v>45901</v>
      </c>
      <c r="F148">
        <v>1</v>
      </c>
      <c r="G148">
        <v>1</v>
      </c>
      <c r="H148" t="s">
        <v>114</v>
      </c>
      <c r="I148" t="s">
        <v>115</v>
      </c>
      <c r="J148" t="s">
        <v>116</v>
      </c>
      <c r="K148" t="s">
        <v>26</v>
      </c>
      <c r="L148" t="s">
        <v>45</v>
      </c>
      <c r="M148">
        <v>1</v>
      </c>
      <c r="N148">
        <v>0</v>
      </c>
      <c r="O148">
        <v>6.22</v>
      </c>
      <c r="P148">
        <v>0.65</v>
      </c>
      <c r="Q148">
        <v>4.04</v>
      </c>
      <c r="R148" t="s">
        <v>69</v>
      </c>
      <c r="S148">
        <v>-4.04</v>
      </c>
      <c r="T148">
        <v>0</v>
      </c>
    </row>
    <row r="149" spans="1:20" x14ac:dyDescent="0.25">
      <c r="A149" t="s">
        <v>131</v>
      </c>
      <c r="B149" t="s">
        <v>33</v>
      </c>
      <c r="C149" t="s">
        <v>132</v>
      </c>
      <c r="D149" s="1">
        <v>45778</v>
      </c>
      <c r="E149" s="1">
        <v>45901</v>
      </c>
      <c r="F149">
        <v>1</v>
      </c>
      <c r="G149">
        <v>8</v>
      </c>
      <c r="H149" t="s">
        <v>114</v>
      </c>
      <c r="I149" t="s">
        <v>115</v>
      </c>
      <c r="J149" t="s">
        <v>116</v>
      </c>
      <c r="K149" t="s">
        <v>26</v>
      </c>
      <c r="L149" t="s">
        <v>42</v>
      </c>
      <c r="M149">
        <v>1</v>
      </c>
      <c r="N149">
        <v>74.290000000000006</v>
      </c>
      <c r="O149">
        <v>25</v>
      </c>
      <c r="P149">
        <v>0.65</v>
      </c>
      <c r="Q149">
        <v>16.25</v>
      </c>
      <c r="R149" t="s">
        <v>69</v>
      </c>
      <c r="S149">
        <v>-16.25</v>
      </c>
      <c r="T149">
        <v>0</v>
      </c>
    </row>
    <row r="150" spans="1:20" x14ac:dyDescent="0.25">
      <c r="A150" t="s">
        <v>131</v>
      </c>
      <c r="B150" t="s">
        <v>33</v>
      </c>
      <c r="C150" t="s">
        <v>132</v>
      </c>
      <c r="D150" s="1">
        <v>45778</v>
      </c>
      <c r="E150" s="1">
        <v>45901</v>
      </c>
      <c r="F150">
        <v>1</v>
      </c>
      <c r="G150">
        <v>8</v>
      </c>
      <c r="H150" t="s">
        <v>114</v>
      </c>
      <c r="I150" t="s">
        <v>115</v>
      </c>
      <c r="J150" t="s">
        <v>116</v>
      </c>
      <c r="K150" t="s">
        <v>26</v>
      </c>
      <c r="L150" t="s">
        <v>56</v>
      </c>
      <c r="M150">
        <v>1</v>
      </c>
      <c r="N150">
        <v>0</v>
      </c>
      <c r="O150">
        <v>2.75</v>
      </c>
      <c r="P150">
        <v>0.65</v>
      </c>
      <c r="Q150">
        <v>1.79</v>
      </c>
      <c r="R150" t="s">
        <v>69</v>
      </c>
      <c r="S150">
        <v>-1.79</v>
      </c>
      <c r="T150">
        <v>0</v>
      </c>
    </row>
    <row r="151" spans="1:20" x14ac:dyDescent="0.25">
      <c r="A151" t="s">
        <v>131</v>
      </c>
      <c r="B151" t="s">
        <v>33</v>
      </c>
      <c r="C151" t="s">
        <v>132</v>
      </c>
      <c r="D151" s="1">
        <v>45778</v>
      </c>
      <c r="E151" s="1">
        <v>45901</v>
      </c>
      <c r="F151">
        <v>1</v>
      </c>
      <c r="G151">
        <v>8</v>
      </c>
      <c r="H151" t="s">
        <v>114</v>
      </c>
      <c r="I151" t="s">
        <v>115</v>
      </c>
      <c r="J151" t="s">
        <v>116</v>
      </c>
      <c r="K151" t="s">
        <v>26</v>
      </c>
      <c r="L151" t="s">
        <v>55</v>
      </c>
      <c r="M151">
        <v>1</v>
      </c>
      <c r="N151">
        <v>0</v>
      </c>
      <c r="O151">
        <v>19.489999999999998</v>
      </c>
      <c r="P151">
        <v>0.65</v>
      </c>
      <c r="Q151">
        <v>12.67</v>
      </c>
      <c r="R151" t="s">
        <v>69</v>
      </c>
      <c r="S151">
        <v>-12.67</v>
      </c>
      <c r="T151">
        <v>0</v>
      </c>
    </row>
    <row r="152" spans="1:20" x14ac:dyDescent="0.25">
      <c r="A152" t="s">
        <v>131</v>
      </c>
      <c r="B152" t="s">
        <v>33</v>
      </c>
      <c r="C152" t="s">
        <v>132</v>
      </c>
      <c r="D152" s="1">
        <v>45778</v>
      </c>
      <c r="E152" s="1">
        <v>45901</v>
      </c>
      <c r="F152">
        <v>1</v>
      </c>
      <c r="G152">
        <v>8</v>
      </c>
      <c r="H152" t="s">
        <v>114</v>
      </c>
      <c r="I152" t="s">
        <v>115</v>
      </c>
      <c r="J152" t="s">
        <v>116</v>
      </c>
      <c r="K152" t="s">
        <v>26</v>
      </c>
      <c r="L152" t="s">
        <v>43</v>
      </c>
      <c r="M152">
        <v>1</v>
      </c>
      <c r="N152">
        <v>0</v>
      </c>
      <c r="O152">
        <v>1.68</v>
      </c>
      <c r="P152">
        <v>0.65</v>
      </c>
      <c r="Q152">
        <v>1.0900000000000001</v>
      </c>
      <c r="R152" t="s">
        <v>69</v>
      </c>
      <c r="S152">
        <v>-1.0900000000000001</v>
      </c>
      <c r="T152">
        <v>0</v>
      </c>
    </row>
    <row r="153" spans="1:20" x14ac:dyDescent="0.25">
      <c r="A153" t="s">
        <v>131</v>
      </c>
      <c r="B153" t="s">
        <v>33</v>
      </c>
      <c r="C153" t="s">
        <v>132</v>
      </c>
      <c r="D153" s="1">
        <v>45778</v>
      </c>
      <c r="E153" s="1">
        <v>45901</v>
      </c>
      <c r="F153">
        <v>1</v>
      </c>
      <c r="G153">
        <v>8</v>
      </c>
      <c r="H153" t="s">
        <v>114</v>
      </c>
      <c r="I153" t="s">
        <v>115</v>
      </c>
      <c r="J153" t="s">
        <v>116</v>
      </c>
      <c r="K153" t="s">
        <v>26</v>
      </c>
      <c r="L153" t="s">
        <v>44</v>
      </c>
      <c r="M153">
        <v>1</v>
      </c>
      <c r="N153">
        <v>0</v>
      </c>
      <c r="O153">
        <v>12.94</v>
      </c>
      <c r="P153">
        <v>0.65</v>
      </c>
      <c r="Q153">
        <v>8.41</v>
      </c>
      <c r="R153" t="s">
        <v>69</v>
      </c>
      <c r="S153">
        <v>-8.41</v>
      </c>
      <c r="T153">
        <v>0</v>
      </c>
    </row>
    <row r="154" spans="1:20" x14ac:dyDescent="0.25">
      <c r="A154" t="s">
        <v>131</v>
      </c>
      <c r="B154" t="s">
        <v>33</v>
      </c>
      <c r="C154" t="s">
        <v>132</v>
      </c>
      <c r="D154" s="1">
        <v>45778</v>
      </c>
      <c r="E154" s="1">
        <v>45901</v>
      </c>
      <c r="F154">
        <v>1</v>
      </c>
      <c r="G154">
        <v>8</v>
      </c>
      <c r="H154" t="s">
        <v>114</v>
      </c>
      <c r="I154" t="s">
        <v>115</v>
      </c>
      <c r="J154" t="s">
        <v>116</v>
      </c>
      <c r="K154" t="s">
        <v>26</v>
      </c>
      <c r="L154" t="s">
        <v>45</v>
      </c>
      <c r="M154">
        <v>1</v>
      </c>
      <c r="N154">
        <v>0</v>
      </c>
      <c r="O154">
        <v>12.43</v>
      </c>
      <c r="P154">
        <v>0.65</v>
      </c>
      <c r="Q154">
        <v>8.08</v>
      </c>
      <c r="R154" t="s">
        <v>69</v>
      </c>
      <c r="S154">
        <v>-8.08</v>
      </c>
      <c r="T154">
        <v>0</v>
      </c>
    </row>
    <row r="155" spans="1:20" x14ac:dyDescent="0.25">
      <c r="A155" t="s">
        <v>133</v>
      </c>
      <c r="B155" t="s">
        <v>33</v>
      </c>
      <c r="C155" t="s">
        <v>134</v>
      </c>
      <c r="D155" s="1">
        <v>45566</v>
      </c>
      <c r="E155" s="1">
        <v>45901</v>
      </c>
      <c r="F155">
        <v>1</v>
      </c>
      <c r="G155">
        <v>13</v>
      </c>
      <c r="H155" t="s">
        <v>40</v>
      </c>
      <c r="I155" t="s">
        <v>41</v>
      </c>
      <c r="J155" t="s">
        <v>25</v>
      </c>
      <c r="K155" t="s">
        <v>26</v>
      </c>
      <c r="L155" t="s">
        <v>42</v>
      </c>
      <c r="M155">
        <v>1</v>
      </c>
      <c r="N155">
        <v>43.9</v>
      </c>
      <c r="O155">
        <v>27.65</v>
      </c>
      <c r="P155">
        <v>0.65</v>
      </c>
      <c r="Q155">
        <v>17.97</v>
      </c>
      <c r="R155" t="s">
        <v>54</v>
      </c>
      <c r="S155">
        <v>0</v>
      </c>
      <c r="T155">
        <v>17.97</v>
      </c>
    </row>
    <row r="156" spans="1:20" x14ac:dyDescent="0.25">
      <c r="A156" t="s">
        <v>133</v>
      </c>
      <c r="B156" t="s">
        <v>33</v>
      </c>
      <c r="C156" t="s">
        <v>134</v>
      </c>
      <c r="D156" s="1">
        <v>45566</v>
      </c>
      <c r="E156" s="1">
        <v>45901</v>
      </c>
      <c r="F156">
        <v>1</v>
      </c>
      <c r="G156">
        <v>13</v>
      </c>
      <c r="H156" t="s">
        <v>40</v>
      </c>
      <c r="I156" t="s">
        <v>41</v>
      </c>
      <c r="J156" t="s">
        <v>25</v>
      </c>
      <c r="K156" t="s">
        <v>26</v>
      </c>
      <c r="L156" t="s">
        <v>45</v>
      </c>
      <c r="M156">
        <v>1</v>
      </c>
      <c r="N156">
        <v>0</v>
      </c>
      <c r="O156">
        <v>12.43</v>
      </c>
      <c r="P156">
        <v>0.65</v>
      </c>
      <c r="Q156">
        <v>8.08</v>
      </c>
      <c r="R156" t="s">
        <v>54</v>
      </c>
      <c r="S156">
        <v>0</v>
      </c>
      <c r="T156">
        <v>8.08</v>
      </c>
    </row>
    <row r="157" spans="1:20" x14ac:dyDescent="0.25">
      <c r="A157" t="s">
        <v>133</v>
      </c>
      <c r="B157" t="s">
        <v>33</v>
      </c>
      <c r="C157" t="s">
        <v>134</v>
      </c>
      <c r="D157" s="1">
        <v>45566</v>
      </c>
      <c r="E157" s="1">
        <v>45901</v>
      </c>
      <c r="F157">
        <v>1</v>
      </c>
      <c r="G157">
        <v>13</v>
      </c>
      <c r="H157" t="s">
        <v>40</v>
      </c>
      <c r="I157" t="s">
        <v>41</v>
      </c>
      <c r="J157" t="s">
        <v>25</v>
      </c>
      <c r="K157" t="s">
        <v>26</v>
      </c>
      <c r="L157" t="s">
        <v>43</v>
      </c>
      <c r="M157">
        <v>1</v>
      </c>
      <c r="N157">
        <v>0</v>
      </c>
      <c r="O157">
        <v>1.68</v>
      </c>
      <c r="P157">
        <v>0.65</v>
      </c>
      <c r="Q157">
        <v>1.0900000000000001</v>
      </c>
      <c r="R157" t="s">
        <v>54</v>
      </c>
      <c r="S157">
        <v>0</v>
      </c>
      <c r="T157">
        <v>1.0900000000000001</v>
      </c>
    </row>
    <row r="158" spans="1:20" x14ac:dyDescent="0.25">
      <c r="A158" t="s">
        <v>133</v>
      </c>
      <c r="B158" t="s">
        <v>33</v>
      </c>
      <c r="C158" t="s">
        <v>134</v>
      </c>
      <c r="D158" s="1">
        <v>45566</v>
      </c>
      <c r="E158" s="1">
        <v>45901</v>
      </c>
      <c r="F158">
        <v>1</v>
      </c>
      <c r="G158">
        <v>13</v>
      </c>
      <c r="H158" t="s">
        <v>40</v>
      </c>
      <c r="I158" t="s">
        <v>41</v>
      </c>
      <c r="J158" t="s">
        <v>25</v>
      </c>
      <c r="K158" t="s">
        <v>26</v>
      </c>
      <c r="L158" t="s">
        <v>85</v>
      </c>
      <c r="M158">
        <v>1</v>
      </c>
      <c r="N158">
        <v>0</v>
      </c>
      <c r="O158">
        <v>2.14</v>
      </c>
      <c r="P158">
        <v>0.65</v>
      </c>
      <c r="Q158">
        <v>1.39</v>
      </c>
      <c r="R158" t="s">
        <v>54</v>
      </c>
      <c r="S158">
        <v>0</v>
      </c>
      <c r="T158">
        <v>1.39</v>
      </c>
    </row>
    <row r="159" spans="1:20" x14ac:dyDescent="0.25">
      <c r="A159" t="s">
        <v>135</v>
      </c>
      <c r="B159" t="s">
        <v>33</v>
      </c>
      <c r="C159" t="s">
        <v>136</v>
      </c>
      <c r="D159" s="1">
        <v>45566</v>
      </c>
      <c r="E159" s="1">
        <v>45901</v>
      </c>
      <c r="F159">
        <v>1</v>
      </c>
      <c r="G159">
        <v>1</v>
      </c>
      <c r="H159" t="s">
        <v>40</v>
      </c>
      <c r="I159" t="s">
        <v>41</v>
      </c>
      <c r="J159" t="s">
        <v>25</v>
      </c>
      <c r="K159" t="s">
        <v>26</v>
      </c>
      <c r="L159" t="s">
        <v>42</v>
      </c>
      <c r="M159">
        <v>1</v>
      </c>
      <c r="N159">
        <v>49.9</v>
      </c>
      <c r="O159">
        <v>21.06</v>
      </c>
      <c r="P159">
        <v>0.65</v>
      </c>
      <c r="Q159">
        <v>13.69</v>
      </c>
      <c r="R159" t="s">
        <v>54</v>
      </c>
      <c r="S159">
        <v>0</v>
      </c>
      <c r="T159">
        <v>13.69</v>
      </c>
    </row>
    <row r="160" spans="1:20" x14ac:dyDescent="0.25">
      <c r="A160" t="s">
        <v>135</v>
      </c>
      <c r="B160" t="s">
        <v>33</v>
      </c>
      <c r="C160" t="s">
        <v>136</v>
      </c>
      <c r="D160" s="1">
        <v>45566</v>
      </c>
      <c r="E160" s="1">
        <v>45901</v>
      </c>
      <c r="F160">
        <v>1</v>
      </c>
      <c r="G160">
        <v>1</v>
      </c>
      <c r="H160" t="s">
        <v>40</v>
      </c>
      <c r="I160" t="s">
        <v>41</v>
      </c>
      <c r="J160" t="s">
        <v>25</v>
      </c>
      <c r="K160" t="s">
        <v>26</v>
      </c>
      <c r="L160" t="s">
        <v>43</v>
      </c>
      <c r="M160">
        <v>1</v>
      </c>
      <c r="N160">
        <v>0</v>
      </c>
      <c r="O160">
        <v>1.68</v>
      </c>
      <c r="P160">
        <v>0.65</v>
      </c>
      <c r="Q160">
        <v>1.0900000000000001</v>
      </c>
      <c r="R160" t="s">
        <v>54</v>
      </c>
      <c r="S160">
        <v>0</v>
      </c>
      <c r="T160">
        <v>1.0900000000000001</v>
      </c>
    </row>
    <row r="161" spans="1:20" x14ac:dyDescent="0.25">
      <c r="A161" t="s">
        <v>135</v>
      </c>
      <c r="B161" t="s">
        <v>33</v>
      </c>
      <c r="C161" t="s">
        <v>136</v>
      </c>
      <c r="D161" s="1">
        <v>45566</v>
      </c>
      <c r="E161" s="1">
        <v>45901</v>
      </c>
      <c r="F161">
        <v>1</v>
      </c>
      <c r="G161">
        <v>1</v>
      </c>
      <c r="H161" t="s">
        <v>40</v>
      </c>
      <c r="I161" t="s">
        <v>41</v>
      </c>
      <c r="J161" t="s">
        <v>25</v>
      </c>
      <c r="K161" t="s">
        <v>26</v>
      </c>
      <c r="L161" t="s">
        <v>45</v>
      </c>
      <c r="M161">
        <v>1</v>
      </c>
      <c r="N161">
        <v>0</v>
      </c>
      <c r="O161">
        <v>12.43</v>
      </c>
      <c r="P161">
        <v>0.65</v>
      </c>
      <c r="Q161">
        <v>8.08</v>
      </c>
      <c r="R161" t="s">
        <v>54</v>
      </c>
      <c r="S161">
        <v>0</v>
      </c>
      <c r="T161">
        <v>8.08</v>
      </c>
    </row>
    <row r="162" spans="1:20" x14ac:dyDescent="0.25">
      <c r="A162" t="s">
        <v>135</v>
      </c>
      <c r="B162" t="s">
        <v>33</v>
      </c>
      <c r="C162" t="s">
        <v>136</v>
      </c>
      <c r="D162" s="1">
        <v>45566</v>
      </c>
      <c r="E162" s="1">
        <v>45901</v>
      </c>
      <c r="F162">
        <v>1</v>
      </c>
      <c r="G162">
        <v>1</v>
      </c>
      <c r="H162" t="s">
        <v>40</v>
      </c>
      <c r="I162" t="s">
        <v>41</v>
      </c>
      <c r="J162" t="s">
        <v>25</v>
      </c>
      <c r="K162" t="s">
        <v>26</v>
      </c>
      <c r="L162" t="s">
        <v>44</v>
      </c>
      <c r="M162">
        <v>1</v>
      </c>
      <c r="N162">
        <v>0</v>
      </c>
      <c r="O162">
        <v>12.94</v>
      </c>
      <c r="P162">
        <v>0.65</v>
      </c>
      <c r="Q162">
        <v>8.41</v>
      </c>
      <c r="R162" t="s">
        <v>54</v>
      </c>
      <c r="S162">
        <v>0</v>
      </c>
      <c r="T162">
        <v>8.41</v>
      </c>
    </row>
    <row r="163" spans="1:20" x14ac:dyDescent="0.25">
      <c r="A163" t="s">
        <v>135</v>
      </c>
      <c r="B163" t="s">
        <v>33</v>
      </c>
      <c r="C163" t="s">
        <v>136</v>
      </c>
      <c r="D163" s="1">
        <v>45566</v>
      </c>
      <c r="E163" s="1">
        <v>45901</v>
      </c>
      <c r="F163">
        <v>1</v>
      </c>
      <c r="G163">
        <v>1</v>
      </c>
      <c r="H163" t="s">
        <v>40</v>
      </c>
      <c r="I163" t="s">
        <v>41</v>
      </c>
      <c r="J163" t="s">
        <v>25</v>
      </c>
      <c r="K163" t="s">
        <v>26</v>
      </c>
      <c r="L163" t="s">
        <v>85</v>
      </c>
      <c r="M163">
        <v>1</v>
      </c>
      <c r="N163">
        <v>0</v>
      </c>
      <c r="O163">
        <v>1.79</v>
      </c>
      <c r="P163">
        <v>0.65</v>
      </c>
      <c r="Q163">
        <v>1.1599999999999999</v>
      </c>
      <c r="R163" t="s">
        <v>54</v>
      </c>
      <c r="S163">
        <v>0</v>
      </c>
      <c r="T163">
        <v>1.1599999999999999</v>
      </c>
    </row>
    <row r="164" spans="1:20" x14ac:dyDescent="0.25">
      <c r="A164" t="s">
        <v>137</v>
      </c>
      <c r="B164" t="s">
        <v>33</v>
      </c>
      <c r="C164" t="s">
        <v>138</v>
      </c>
      <c r="D164" s="1">
        <v>45689</v>
      </c>
      <c r="E164" s="1">
        <v>45901</v>
      </c>
      <c r="F164">
        <v>1</v>
      </c>
      <c r="G164">
        <v>1</v>
      </c>
      <c r="H164" t="s">
        <v>40</v>
      </c>
      <c r="I164" t="s">
        <v>41</v>
      </c>
      <c r="J164" t="s">
        <v>25</v>
      </c>
      <c r="K164" t="s">
        <v>26</v>
      </c>
      <c r="L164" t="s">
        <v>42</v>
      </c>
      <c r="M164">
        <v>1</v>
      </c>
      <c r="N164">
        <v>86.34</v>
      </c>
      <c r="O164">
        <v>21.06</v>
      </c>
      <c r="P164">
        <v>0.65</v>
      </c>
      <c r="Q164">
        <v>13.69</v>
      </c>
      <c r="R164" t="s">
        <v>69</v>
      </c>
      <c r="S164">
        <v>-13.69</v>
      </c>
      <c r="T164">
        <v>0</v>
      </c>
    </row>
    <row r="165" spans="1:20" x14ac:dyDescent="0.25">
      <c r="A165" t="s">
        <v>137</v>
      </c>
      <c r="B165" t="s">
        <v>33</v>
      </c>
      <c r="C165" t="s">
        <v>138</v>
      </c>
      <c r="D165" s="1">
        <v>45689</v>
      </c>
      <c r="E165" s="1">
        <v>45901</v>
      </c>
      <c r="F165">
        <v>1</v>
      </c>
      <c r="G165">
        <v>1</v>
      </c>
      <c r="H165" t="s">
        <v>40</v>
      </c>
      <c r="I165" t="s">
        <v>41</v>
      </c>
      <c r="J165" t="s">
        <v>25</v>
      </c>
      <c r="K165" t="s">
        <v>26</v>
      </c>
      <c r="L165" t="s">
        <v>45</v>
      </c>
      <c r="M165">
        <v>1</v>
      </c>
      <c r="N165">
        <v>0</v>
      </c>
      <c r="O165">
        <v>6.22</v>
      </c>
      <c r="P165">
        <v>0.65</v>
      </c>
      <c r="Q165">
        <v>4.04</v>
      </c>
      <c r="R165" t="s">
        <v>69</v>
      </c>
      <c r="S165">
        <v>-4.04</v>
      </c>
      <c r="T165">
        <v>0</v>
      </c>
    </row>
    <row r="166" spans="1:20" x14ac:dyDescent="0.25">
      <c r="A166" t="s">
        <v>137</v>
      </c>
      <c r="B166" t="s">
        <v>33</v>
      </c>
      <c r="C166" t="s">
        <v>138</v>
      </c>
      <c r="D166" s="1">
        <v>45689</v>
      </c>
      <c r="E166" s="1">
        <v>45901</v>
      </c>
      <c r="F166">
        <v>1</v>
      </c>
      <c r="G166">
        <v>1</v>
      </c>
      <c r="H166" t="s">
        <v>40</v>
      </c>
      <c r="I166" t="s">
        <v>41</v>
      </c>
      <c r="J166" t="s">
        <v>25</v>
      </c>
      <c r="K166" t="s">
        <v>26</v>
      </c>
      <c r="L166" t="s">
        <v>43</v>
      </c>
      <c r="M166">
        <v>1</v>
      </c>
      <c r="N166">
        <v>0</v>
      </c>
      <c r="O166">
        <v>1.68</v>
      </c>
      <c r="P166">
        <v>0.65</v>
      </c>
      <c r="Q166">
        <v>1.0900000000000001</v>
      </c>
      <c r="R166" t="s">
        <v>69</v>
      </c>
      <c r="S166">
        <v>-1.0900000000000001</v>
      </c>
      <c r="T166">
        <v>0</v>
      </c>
    </row>
    <row r="167" spans="1:20" x14ac:dyDescent="0.25">
      <c r="A167" t="s">
        <v>137</v>
      </c>
      <c r="B167" t="s">
        <v>33</v>
      </c>
      <c r="C167" t="s">
        <v>138</v>
      </c>
      <c r="D167" s="1">
        <v>45689</v>
      </c>
      <c r="E167" s="1">
        <v>45901</v>
      </c>
      <c r="F167">
        <v>1</v>
      </c>
      <c r="G167">
        <v>1</v>
      </c>
      <c r="H167" t="s">
        <v>40</v>
      </c>
      <c r="I167" t="s">
        <v>41</v>
      </c>
      <c r="J167" t="s">
        <v>25</v>
      </c>
      <c r="K167" t="s">
        <v>26</v>
      </c>
      <c r="L167" t="s">
        <v>56</v>
      </c>
      <c r="M167">
        <v>1</v>
      </c>
      <c r="N167">
        <v>0</v>
      </c>
      <c r="O167">
        <v>2.75</v>
      </c>
      <c r="P167">
        <v>0.65</v>
      </c>
      <c r="Q167">
        <v>1.79</v>
      </c>
      <c r="R167" t="s">
        <v>69</v>
      </c>
      <c r="S167">
        <v>-1.79</v>
      </c>
      <c r="T167">
        <v>0</v>
      </c>
    </row>
    <row r="168" spans="1:20" x14ac:dyDescent="0.25">
      <c r="A168" t="s">
        <v>137</v>
      </c>
      <c r="B168" t="s">
        <v>33</v>
      </c>
      <c r="C168" t="s">
        <v>138</v>
      </c>
      <c r="D168" s="1">
        <v>45689</v>
      </c>
      <c r="E168" s="1">
        <v>45901</v>
      </c>
      <c r="F168">
        <v>1</v>
      </c>
      <c r="G168">
        <v>1</v>
      </c>
      <c r="H168" t="s">
        <v>40</v>
      </c>
      <c r="I168" t="s">
        <v>41</v>
      </c>
      <c r="J168" t="s">
        <v>25</v>
      </c>
      <c r="K168" t="s">
        <v>26</v>
      </c>
      <c r="L168" t="s">
        <v>55</v>
      </c>
      <c r="M168">
        <v>1</v>
      </c>
      <c r="N168">
        <v>0</v>
      </c>
      <c r="O168">
        <v>38.97</v>
      </c>
      <c r="P168">
        <v>0.65</v>
      </c>
      <c r="Q168">
        <v>25.33</v>
      </c>
      <c r="R168" t="s">
        <v>69</v>
      </c>
      <c r="S168">
        <v>-25.33</v>
      </c>
      <c r="T168">
        <v>0</v>
      </c>
    </row>
    <row r="169" spans="1:20" x14ac:dyDescent="0.25">
      <c r="A169" t="s">
        <v>137</v>
      </c>
      <c r="B169" t="s">
        <v>33</v>
      </c>
      <c r="C169" t="s">
        <v>138</v>
      </c>
      <c r="D169" s="1">
        <v>45689</v>
      </c>
      <c r="E169" s="1">
        <v>45901</v>
      </c>
      <c r="F169">
        <v>1</v>
      </c>
      <c r="G169">
        <v>1</v>
      </c>
      <c r="H169" t="s">
        <v>40</v>
      </c>
      <c r="I169" t="s">
        <v>41</v>
      </c>
      <c r="J169" t="s">
        <v>25</v>
      </c>
      <c r="K169" t="s">
        <v>26</v>
      </c>
      <c r="L169" t="s">
        <v>85</v>
      </c>
      <c r="M169">
        <v>1</v>
      </c>
      <c r="N169">
        <v>0</v>
      </c>
      <c r="O169">
        <v>1.43</v>
      </c>
      <c r="P169">
        <v>0.65</v>
      </c>
      <c r="Q169">
        <v>0.93</v>
      </c>
      <c r="R169" t="s">
        <v>69</v>
      </c>
      <c r="S169">
        <v>-0.93</v>
      </c>
      <c r="T169">
        <v>0</v>
      </c>
    </row>
    <row r="170" spans="1:20" x14ac:dyDescent="0.25">
      <c r="A170" t="s">
        <v>137</v>
      </c>
      <c r="B170" t="s">
        <v>33</v>
      </c>
      <c r="C170" t="s">
        <v>138</v>
      </c>
      <c r="D170" s="1">
        <v>45689</v>
      </c>
      <c r="E170" s="1">
        <v>45901</v>
      </c>
      <c r="F170">
        <v>1</v>
      </c>
      <c r="G170">
        <v>1</v>
      </c>
      <c r="H170" t="s">
        <v>40</v>
      </c>
      <c r="I170" t="s">
        <v>41</v>
      </c>
      <c r="J170" t="s">
        <v>25</v>
      </c>
      <c r="K170" t="s">
        <v>26</v>
      </c>
      <c r="L170" t="s">
        <v>44</v>
      </c>
      <c r="M170">
        <v>1</v>
      </c>
      <c r="N170">
        <v>0</v>
      </c>
      <c r="O170">
        <v>14.23</v>
      </c>
      <c r="P170">
        <v>0.65</v>
      </c>
      <c r="Q170">
        <v>9.25</v>
      </c>
      <c r="R170" t="s">
        <v>69</v>
      </c>
      <c r="S170">
        <v>-9.25</v>
      </c>
      <c r="T170">
        <v>0</v>
      </c>
    </row>
    <row r="171" spans="1:20" x14ac:dyDescent="0.25">
      <c r="A171" t="s">
        <v>139</v>
      </c>
      <c r="B171" t="s">
        <v>33</v>
      </c>
      <c r="C171" t="s">
        <v>140</v>
      </c>
      <c r="D171" s="1">
        <v>45839</v>
      </c>
      <c r="E171" s="1">
        <v>45901</v>
      </c>
      <c r="F171">
        <v>1</v>
      </c>
      <c r="G171">
        <v>1</v>
      </c>
      <c r="H171" t="s">
        <v>40</v>
      </c>
      <c r="I171" t="s">
        <v>41</v>
      </c>
      <c r="J171" t="s">
        <v>25</v>
      </c>
      <c r="K171" t="s">
        <v>26</v>
      </c>
      <c r="L171" t="s">
        <v>42</v>
      </c>
      <c r="M171">
        <v>1</v>
      </c>
      <c r="N171">
        <v>48.75</v>
      </c>
      <c r="O171">
        <v>21.06</v>
      </c>
      <c r="P171">
        <v>0.65</v>
      </c>
      <c r="Q171">
        <v>13.69</v>
      </c>
      <c r="R171" t="s">
        <v>54</v>
      </c>
      <c r="S171">
        <v>0</v>
      </c>
      <c r="T171">
        <v>13.69</v>
      </c>
    </row>
    <row r="172" spans="1:20" x14ac:dyDescent="0.25">
      <c r="A172" t="s">
        <v>139</v>
      </c>
      <c r="B172" t="s">
        <v>33</v>
      </c>
      <c r="C172" t="s">
        <v>140</v>
      </c>
      <c r="D172" s="1">
        <v>45839</v>
      </c>
      <c r="E172" s="1">
        <v>45901</v>
      </c>
      <c r="F172">
        <v>1</v>
      </c>
      <c r="G172">
        <v>1</v>
      </c>
      <c r="H172" t="s">
        <v>40</v>
      </c>
      <c r="I172" t="s">
        <v>41</v>
      </c>
      <c r="J172" t="s">
        <v>25</v>
      </c>
      <c r="K172" t="s">
        <v>26</v>
      </c>
      <c r="L172" t="s">
        <v>43</v>
      </c>
      <c r="M172">
        <v>1</v>
      </c>
      <c r="N172">
        <v>0</v>
      </c>
      <c r="O172">
        <v>1.68</v>
      </c>
      <c r="P172">
        <v>0.65</v>
      </c>
      <c r="Q172">
        <v>1.0900000000000001</v>
      </c>
      <c r="R172" t="s">
        <v>54</v>
      </c>
      <c r="S172">
        <v>0</v>
      </c>
      <c r="T172">
        <v>1.0900000000000001</v>
      </c>
    </row>
    <row r="173" spans="1:20" x14ac:dyDescent="0.25">
      <c r="A173" t="s">
        <v>139</v>
      </c>
      <c r="B173" t="s">
        <v>33</v>
      </c>
      <c r="C173" t="s">
        <v>140</v>
      </c>
      <c r="D173" s="1">
        <v>45839</v>
      </c>
      <c r="E173" s="1">
        <v>45901</v>
      </c>
      <c r="F173">
        <v>1</v>
      </c>
      <c r="G173">
        <v>1</v>
      </c>
      <c r="H173" t="s">
        <v>40</v>
      </c>
      <c r="I173" t="s">
        <v>41</v>
      </c>
      <c r="J173" t="s">
        <v>25</v>
      </c>
      <c r="K173" t="s">
        <v>26</v>
      </c>
      <c r="L173" t="s">
        <v>45</v>
      </c>
      <c r="M173">
        <v>1</v>
      </c>
      <c r="N173">
        <v>0</v>
      </c>
      <c r="O173">
        <v>12.43</v>
      </c>
      <c r="P173">
        <v>0.65</v>
      </c>
      <c r="Q173">
        <v>8.08</v>
      </c>
      <c r="R173" t="s">
        <v>54</v>
      </c>
      <c r="S173">
        <v>0</v>
      </c>
      <c r="T173">
        <v>8.08</v>
      </c>
    </row>
    <row r="174" spans="1:20" x14ac:dyDescent="0.25">
      <c r="A174" t="s">
        <v>139</v>
      </c>
      <c r="B174" t="s">
        <v>33</v>
      </c>
      <c r="C174" t="s">
        <v>140</v>
      </c>
      <c r="D174" s="1">
        <v>45839</v>
      </c>
      <c r="E174" s="1">
        <v>45901</v>
      </c>
      <c r="F174">
        <v>1</v>
      </c>
      <c r="G174">
        <v>1</v>
      </c>
      <c r="H174" t="s">
        <v>40</v>
      </c>
      <c r="I174" t="s">
        <v>41</v>
      </c>
      <c r="J174" t="s">
        <v>25</v>
      </c>
      <c r="K174" t="s">
        <v>26</v>
      </c>
      <c r="L174" t="s">
        <v>44</v>
      </c>
      <c r="M174">
        <v>1</v>
      </c>
      <c r="N174">
        <v>0</v>
      </c>
      <c r="O174">
        <v>13.58</v>
      </c>
      <c r="P174">
        <v>0.65</v>
      </c>
      <c r="Q174">
        <v>8.83</v>
      </c>
      <c r="R174" t="s">
        <v>54</v>
      </c>
      <c r="S174">
        <v>0</v>
      </c>
      <c r="T174">
        <v>8.83</v>
      </c>
    </row>
    <row r="175" spans="1:20" x14ac:dyDescent="0.25">
      <c r="A175" t="s">
        <v>141</v>
      </c>
      <c r="B175" t="s">
        <v>142</v>
      </c>
      <c r="C175" t="s">
        <v>143</v>
      </c>
      <c r="D175" s="1">
        <v>45536</v>
      </c>
      <c r="E175" s="1">
        <v>45901</v>
      </c>
      <c r="F175">
        <v>1</v>
      </c>
      <c r="G175">
        <v>13</v>
      </c>
      <c r="H175" t="s">
        <v>144</v>
      </c>
      <c r="I175" t="s">
        <v>145</v>
      </c>
      <c r="J175" t="s">
        <v>146</v>
      </c>
      <c r="K175" t="s">
        <v>26</v>
      </c>
      <c r="L175" t="s">
        <v>42</v>
      </c>
      <c r="M175">
        <v>1</v>
      </c>
      <c r="N175">
        <v>156.69999999999999</v>
      </c>
      <c r="O175">
        <v>24.37</v>
      </c>
      <c r="P175">
        <v>0.65</v>
      </c>
      <c r="Q175">
        <v>15.84</v>
      </c>
      <c r="R175" t="s">
        <v>54</v>
      </c>
      <c r="S175">
        <v>0</v>
      </c>
      <c r="T175">
        <v>15.84</v>
      </c>
    </row>
    <row r="176" spans="1:20" x14ac:dyDescent="0.25">
      <c r="A176" t="s">
        <v>141</v>
      </c>
      <c r="B176" t="s">
        <v>142</v>
      </c>
      <c r="C176" t="s">
        <v>143</v>
      </c>
      <c r="D176" s="1">
        <v>45536</v>
      </c>
      <c r="E176" s="1">
        <v>45901</v>
      </c>
      <c r="F176">
        <v>1</v>
      </c>
      <c r="G176">
        <v>13</v>
      </c>
      <c r="H176" t="s">
        <v>144</v>
      </c>
      <c r="I176" t="s">
        <v>145</v>
      </c>
      <c r="J176" t="s">
        <v>146</v>
      </c>
      <c r="K176" t="s">
        <v>26</v>
      </c>
      <c r="L176" t="s">
        <v>118</v>
      </c>
      <c r="M176">
        <v>1</v>
      </c>
      <c r="N176">
        <v>0</v>
      </c>
      <c r="O176">
        <v>33.159999999999997</v>
      </c>
      <c r="P176">
        <v>0.65</v>
      </c>
      <c r="Q176">
        <v>21.55</v>
      </c>
      <c r="R176" t="s">
        <v>54</v>
      </c>
      <c r="S176">
        <v>0</v>
      </c>
      <c r="T176">
        <v>21.55</v>
      </c>
    </row>
    <row r="177" spans="1:20" x14ac:dyDescent="0.25">
      <c r="A177" t="s">
        <v>141</v>
      </c>
      <c r="B177" t="s">
        <v>142</v>
      </c>
      <c r="C177" t="s">
        <v>143</v>
      </c>
      <c r="D177" s="1">
        <v>45536</v>
      </c>
      <c r="E177" s="1">
        <v>45901</v>
      </c>
      <c r="F177">
        <v>1</v>
      </c>
      <c r="G177">
        <v>13</v>
      </c>
      <c r="H177" t="s">
        <v>144</v>
      </c>
      <c r="I177" t="s">
        <v>145</v>
      </c>
      <c r="J177" t="s">
        <v>146</v>
      </c>
      <c r="K177" t="s">
        <v>26</v>
      </c>
      <c r="L177" t="s">
        <v>43</v>
      </c>
      <c r="M177">
        <v>1</v>
      </c>
      <c r="N177">
        <v>0</v>
      </c>
      <c r="O177">
        <v>1.68</v>
      </c>
      <c r="P177">
        <v>0.65</v>
      </c>
      <c r="Q177">
        <v>1.0900000000000001</v>
      </c>
      <c r="R177" t="s">
        <v>54</v>
      </c>
      <c r="S177">
        <v>0</v>
      </c>
      <c r="T177">
        <v>1.0900000000000001</v>
      </c>
    </row>
    <row r="178" spans="1:20" x14ac:dyDescent="0.25">
      <c r="A178" t="s">
        <v>141</v>
      </c>
      <c r="B178" t="s">
        <v>142</v>
      </c>
      <c r="C178" t="s">
        <v>143</v>
      </c>
      <c r="D178" s="1">
        <v>45536</v>
      </c>
      <c r="E178" s="1">
        <v>45901</v>
      </c>
      <c r="F178">
        <v>1</v>
      </c>
      <c r="G178">
        <v>13</v>
      </c>
      <c r="H178" t="s">
        <v>144</v>
      </c>
      <c r="I178" t="s">
        <v>145</v>
      </c>
      <c r="J178" t="s">
        <v>146</v>
      </c>
      <c r="K178" t="s">
        <v>26</v>
      </c>
      <c r="L178" t="s">
        <v>87</v>
      </c>
      <c r="M178">
        <v>1</v>
      </c>
      <c r="N178">
        <v>0</v>
      </c>
      <c r="O178">
        <v>12.47</v>
      </c>
      <c r="P178">
        <v>0.65</v>
      </c>
      <c r="Q178">
        <v>8.11</v>
      </c>
      <c r="R178" t="s">
        <v>54</v>
      </c>
      <c r="S178">
        <v>0</v>
      </c>
      <c r="T178">
        <v>8.11</v>
      </c>
    </row>
    <row r="179" spans="1:20" x14ac:dyDescent="0.25">
      <c r="A179" t="s">
        <v>141</v>
      </c>
      <c r="B179" t="s">
        <v>142</v>
      </c>
      <c r="C179" t="s">
        <v>143</v>
      </c>
      <c r="D179" s="1">
        <v>45536</v>
      </c>
      <c r="E179" s="1">
        <v>45901</v>
      </c>
      <c r="F179">
        <v>1</v>
      </c>
      <c r="G179">
        <v>13</v>
      </c>
      <c r="H179" t="s">
        <v>144</v>
      </c>
      <c r="I179" t="s">
        <v>145</v>
      </c>
      <c r="J179" t="s">
        <v>146</v>
      </c>
      <c r="K179" t="s">
        <v>26</v>
      </c>
      <c r="L179" t="s">
        <v>45</v>
      </c>
      <c r="M179">
        <v>1</v>
      </c>
      <c r="N179">
        <v>0</v>
      </c>
      <c r="O179">
        <v>18.649999999999999</v>
      </c>
      <c r="P179">
        <v>0.65</v>
      </c>
      <c r="Q179">
        <v>12.12</v>
      </c>
      <c r="R179" t="s">
        <v>54</v>
      </c>
      <c r="S179">
        <v>0</v>
      </c>
      <c r="T179">
        <v>12.12</v>
      </c>
    </row>
    <row r="180" spans="1:20" x14ac:dyDescent="0.25">
      <c r="A180" t="s">
        <v>141</v>
      </c>
      <c r="B180" t="s">
        <v>142</v>
      </c>
      <c r="C180" t="s">
        <v>143</v>
      </c>
      <c r="D180" s="1">
        <v>45536</v>
      </c>
      <c r="E180" s="1">
        <v>45901</v>
      </c>
      <c r="F180">
        <v>1</v>
      </c>
      <c r="G180">
        <v>13</v>
      </c>
      <c r="H180" t="s">
        <v>144</v>
      </c>
      <c r="I180" t="s">
        <v>145</v>
      </c>
      <c r="J180" t="s">
        <v>146</v>
      </c>
      <c r="K180" t="s">
        <v>26</v>
      </c>
      <c r="L180" t="s">
        <v>117</v>
      </c>
      <c r="M180">
        <v>1</v>
      </c>
      <c r="N180">
        <v>0</v>
      </c>
      <c r="O180">
        <v>3.53</v>
      </c>
      <c r="P180">
        <v>0.65</v>
      </c>
      <c r="Q180">
        <v>2.29</v>
      </c>
      <c r="R180" t="s">
        <v>54</v>
      </c>
      <c r="S180">
        <v>0</v>
      </c>
      <c r="T180">
        <v>2.29</v>
      </c>
    </row>
    <row r="181" spans="1:20" x14ac:dyDescent="0.25">
      <c r="A181" t="s">
        <v>141</v>
      </c>
      <c r="B181" t="s">
        <v>142</v>
      </c>
      <c r="C181" t="s">
        <v>143</v>
      </c>
      <c r="D181" s="1">
        <v>45536</v>
      </c>
      <c r="E181" s="1">
        <v>45901</v>
      </c>
      <c r="F181">
        <v>1</v>
      </c>
      <c r="G181">
        <v>13</v>
      </c>
      <c r="H181" t="s">
        <v>144</v>
      </c>
      <c r="I181" t="s">
        <v>145</v>
      </c>
      <c r="J181" t="s">
        <v>146</v>
      </c>
      <c r="K181" t="s">
        <v>26</v>
      </c>
      <c r="L181" t="s">
        <v>86</v>
      </c>
      <c r="M181">
        <v>1</v>
      </c>
      <c r="N181">
        <v>0</v>
      </c>
      <c r="O181">
        <v>4.62</v>
      </c>
      <c r="P181">
        <v>0.65</v>
      </c>
      <c r="Q181">
        <v>3</v>
      </c>
      <c r="R181" t="s">
        <v>54</v>
      </c>
      <c r="S181">
        <v>0</v>
      </c>
      <c r="T181">
        <v>3</v>
      </c>
    </row>
    <row r="182" spans="1:20" x14ac:dyDescent="0.25">
      <c r="A182" t="s">
        <v>141</v>
      </c>
      <c r="B182" t="s">
        <v>142</v>
      </c>
      <c r="C182" t="s">
        <v>143</v>
      </c>
      <c r="D182" s="1">
        <v>45536</v>
      </c>
      <c r="E182" s="1">
        <v>45901</v>
      </c>
      <c r="F182">
        <v>1</v>
      </c>
      <c r="G182">
        <v>13</v>
      </c>
      <c r="H182" t="s">
        <v>144</v>
      </c>
      <c r="I182" t="s">
        <v>145</v>
      </c>
      <c r="J182" t="s">
        <v>146</v>
      </c>
      <c r="K182" t="s">
        <v>26</v>
      </c>
      <c r="L182" t="s">
        <v>44</v>
      </c>
      <c r="M182">
        <v>1</v>
      </c>
      <c r="N182">
        <v>0</v>
      </c>
      <c r="O182">
        <v>17.96</v>
      </c>
      <c r="P182">
        <v>0.65</v>
      </c>
      <c r="Q182">
        <v>11.67</v>
      </c>
      <c r="R182" t="s">
        <v>54</v>
      </c>
      <c r="S182">
        <v>0</v>
      </c>
      <c r="T182">
        <v>11.67</v>
      </c>
    </row>
    <row r="183" spans="1:20" x14ac:dyDescent="0.25">
      <c r="A183" t="s">
        <v>141</v>
      </c>
      <c r="B183" t="s">
        <v>142</v>
      </c>
      <c r="C183" t="s">
        <v>143</v>
      </c>
      <c r="D183" s="1">
        <v>45536</v>
      </c>
      <c r="E183" s="1">
        <v>45901</v>
      </c>
      <c r="F183">
        <v>1</v>
      </c>
      <c r="G183">
        <v>13</v>
      </c>
      <c r="H183" t="s">
        <v>144</v>
      </c>
      <c r="I183" t="s">
        <v>145</v>
      </c>
      <c r="J183" t="s">
        <v>146</v>
      </c>
      <c r="K183" t="s">
        <v>26</v>
      </c>
      <c r="L183" t="s">
        <v>85</v>
      </c>
      <c r="M183">
        <v>1</v>
      </c>
      <c r="N183">
        <v>0</v>
      </c>
      <c r="O183">
        <v>1.79</v>
      </c>
      <c r="P183">
        <v>0.65</v>
      </c>
      <c r="Q183">
        <v>1.1599999999999999</v>
      </c>
      <c r="R183" t="s">
        <v>54</v>
      </c>
      <c r="S183">
        <v>0</v>
      </c>
      <c r="T183">
        <v>1.1599999999999999</v>
      </c>
    </row>
    <row r="184" spans="1:20" x14ac:dyDescent="0.25">
      <c r="A184" t="s">
        <v>141</v>
      </c>
      <c r="B184" t="s">
        <v>142</v>
      </c>
      <c r="C184" t="s">
        <v>143</v>
      </c>
      <c r="D184" s="1">
        <v>45536</v>
      </c>
      <c r="E184" s="1">
        <v>45901</v>
      </c>
      <c r="F184">
        <v>1</v>
      </c>
      <c r="G184">
        <v>13</v>
      </c>
      <c r="H184" t="s">
        <v>144</v>
      </c>
      <c r="I184" t="s">
        <v>145</v>
      </c>
      <c r="J184" t="s">
        <v>146</v>
      </c>
      <c r="K184" t="s">
        <v>26</v>
      </c>
      <c r="L184" t="s">
        <v>147</v>
      </c>
      <c r="M184">
        <v>1</v>
      </c>
      <c r="N184">
        <v>0</v>
      </c>
      <c r="O184">
        <v>38.47</v>
      </c>
      <c r="P184">
        <v>0.65</v>
      </c>
      <c r="Q184">
        <v>25.01</v>
      </c>
      <c r="R184" t="s">
        <v>54</v>
      </c>
      <c r="S184">
        <v>0</v>
      </c>
      <c r="T184">
        <v>25.01</v>
      </c>
    </row>
    <row r="185" spans="1:20" x14ac:dyDescent="0.25">
      <c r="A185" t="s">
        <v>148</v>
      </c>
      <c r="B185" t="s">
        <v>142</v>
      </c>
      <c r="C185" t="s">
        <v>149</v>
      </c>
      <c r="D185" s="1">
        <v>45658</v>
      </c>
      <c r="E185" s="1">
        <v>45901</v>
      </c>
      <c r="F185">
        <v>1</v>
      </c>
      <c r="G185">
        <v>13</v>
      </c>
      <c r="H185" t="s">
        <v>144</v>
      </c>
      <c r="I185" t="s">
        <v>145</v>
      </c>
      <c r="J185" t="s">
        <v>146</v>
      </c>
      <c r="K185" t="s">
        <v>26</v>
      </c>
      <c r="L185" t="s">
        <v>42</v>
      </c>
      <c r="M185">
        <v>1</v>
      </c>
      <c r="N185">
        <v>78.73</v>
      </c>
      <c r="O185">
        <v>33.67</v>
      </c>
      <c r="P185">
        <v>0.65</v>
      </c>
      <c r="Q185">
        <v>21.89</v>
      </c>
      <c r="R185" t="s">
        <v>69</v>
      </c>
      <c r="S185">
        <v>-21.89</v>
      </c>
      <c r="T185">
        <v>0</v>
      </c>
    </row>
    <row r="186" spans="1:20" x14ac:dyDescent="0.25">
      <c r="A186" t="s">
        <v>148</v>
      </c>
      <c r="B186" t="s">
        <v>142</v>
      </c>
      <c r="C186" t="s">
        <v>149</v>
      </c>
      <c r="D186" s="1">
        <v>45658</v>
      </c>
      <c r="E186" s="1">
        <v>45901</v>
      </c>
      <c r="F186">
        <v>1</v>
      </c>
      <c r="G186">
        <v>13</v>
      </c>
      <c r="H186" t="s">
        <v>144</v>
      </c>
      <c r="I186" t="s">
        <v>145</v>
      </c>
      <c r="J186" t="s">
        <v>146</v>
      </c>
      <c r="K186" t="s">
        <v>26</v>
      </c>
      <c r="L186" t="s">
        <v>43</v>
      </c>
      <c r="M186">
        <v>1</v>
      </c>
      <c r="N186">
        <v>0</v>
      </c>
      <c r="O186">
        <v>1.68</v>
      </c>
      <c r="P186">
        <v>0.65</v>
      </c>
      <c r="Q186">
        <v>1.0900000000000001</v>
      </c>
      <c r="R186" t="s">
        <v>69</v>
      </c>
      <c r="S186">
        <v>-1.0900000000000001</v>
      </c>
      <c r="T186">
        <v>0</v>
      </c>
    </row>
    <row r="187" spans="1:20" x14ac:dyDescent="0.25">
      <c r="A187" t="s">
        <v>148</v>
      </c>
      <c r="B187" t="s">
        <v>142</v>
      </c>
      <c r="C187" t="s">
        <v>149</v>
      </c>
      <c r="D187" s="1">
        <v>45658</v>
      </c>
      <c r="E187" s="1">
        <v>45901</v>
      </c>
      <c r="F187">
        <v>1</v>
      </c>
      <c r="G187">
        <v>13</v>
      </c>
      <c r="H187" t="s">
        <v>144</v>
      </c>
      <c r="I187" t="s">
        <v>145</v>
      </c>
      <c r="J187" t="s">
        <v>146</v>
      </c>
      <c r="K187" t="s">
        <v>26</v>
      </c>
      <c r="L187" t="s">
        <v>150</v>
      </c>
      <c r="M187">
        <v>1</v>
      </c>
      <c r="N187">
        <v>0</v>
      </c>
      <c r="O187">
        <v>5.88</v>
      </c>
      <c r="P187">
        <v>0.65</v>
      </c>
      <c r="Q187">
        <v>3.82</v>
      </c>
      <c r="R187" t="s">
        <v>69</v>
      </c>
      <c r="S187">
        <v>-3.82</v>
      </c>
      <c r="T187">
        <v>0</v>
      </c>
    </row>
    <row r="188" spans="1:20" x14ac:dyDescent="0.25">
      <c r="A188" t="s">
        <v>148</v>
      </c>
      <c r="B188" t="s">
        <v>142</v>
      </c>
      <c r="C188" t="s">
        <v>149</v>
      </c>
      <c r="D188" s="1">
        <v>45658</v>
      </c>
      <c r="E188" s="1">
        <v>45901</v>
      </c>
      <c r="F188">
        <v>1</v>
      </c>
      <c r="G188">
        <v>13</v>
      </c>
      <c r="H188" t="s">
        <v>144</v>
      </c>
      <c r="I188" t="s">
        <v>145</v>
      </c>
      <c r="J188" t="s">
        <v>146</v>
      </c>
      <c r="K188" t="s">
        <v>26</v>
      </c>
      <c r="L188" t="s">
        <v>85</v>
      </c>
      <c r="M188">
        <v>1</v>
      </c>
      <c r="N188">
        <v>0</v>
      </c>
      <c r="O188">
        <v>3.53</v>
      </c>
      <c r="P188">
        <v>0.65</v>
      </c>
      <c r="Q188">
        <v>2.29</v>
      </c>
      <c r="R188" t="s">
        <v>69</v>
      </c>
      <c r="S188">
        <v>-2.29</v>
      </c>
      <c r="T188">
        <v>0</v>
      </c>
    </row>
    <row r="189" spans="1:20" x14ac:dyDescent="0.25">
      <c r="A189" t="s">
        <v>148</v>
      </c>
      <c r="B189" t="s">
        <v>142</v>
      </c>
      <c r="C189" t="s">
        <v>149</v>
      </c>
      <c r="D189" s="1">
        <v>45658</v>
      </c>
      <c r="E189" s="1">
        <v>45901</v>
      </c>
      <c r="F189">
        <v>1</v>
      </c>
      <c r="G189">
        <v>13</v>
      </c>
      <c r="H189" t="s">
        <v>144</v>
      </c>
      <c r="I189" t="s">
        <v>145</v>
      </c>
      <c r="J189" t="s">
        <v>146</v>
      </c>
      <c r="K189" t="s">
        <v>26</v>
      </c>
      <c r="L189" t="s">
        <v>44</v>
      </c>
      <c r="M189">
        <v>1</v>
      </c>
      <c r="N189">
        <v>0</v>
      </c>
      <c r="O189">
        <v>23.78</v>
      </c>
      <c r="P189">
        <v>0.65</v>
      </c>
      <c r="Q189">
        <v>15.46</v>
      </c>
      <c r="R189" t="s">
        <v>69</v>
      </c>
      <c r="S189">
        <v>-15.46</v>
      </c>
      <c r="T189">
        <v>0</v>
      </c>
    </row>
    <row r="190" spans="1:20" x14ac:dyDescent="0.25">
      <c r="A190" t="s">
        <v>148</v>
      </c>
      <c r="B190" t="s">
        <v>142</v>
      </c>
      <c r="C190" t="s">
        <v>149</v>
      </c>
      <c r="D190" s="1">
        <v>45658</v>
      </c>
      <c r="E190" s="1">
        <v>45901</v>
      </c>
      <c r="F190">
        <v>1</v>
      </c>
      <c r="G190">
        <v>13</v>
      </c>
      <c r="H190" t="s">
        <v>144</v>
      </c>
      <c r="I190" t="s">
        <v>145</v>
      </c>
      <c r="J190" t="s">
        <v>146</v>
      </c>
      <c r="K190" t="s">
        <v>26</v>
      </c>
      <c r="L190" t="s">
        <v>151</v>
      </c>
      <c r="M190">
        <v>1</v>
      </c>
      <c r="N190">
        <v>0</v>
      </c>
      <c r="O190">
        <v>3.2</v>
      </c>
      <c r="P190">
        <v>0.65</v>
      </c>
      <c r="Q190">
        <v>2.08</v>
      </c>
      <c r="R190" t="s">
        <v>69</v>
      </c>
      <c r="S190">
        <v>-2.08</v>
      </c>
      <c r="T190">
        <v>0</v>
      </c>
    </row>
    <row r="191" spans="1:20" x14ac:dyDescent="0.25">
      <c r="A191" t="s">
        <v>148</v>
      </c>
      <c r="B191" t="s">
        <v>142</v>
      </c>
      <c r="C191" t="s">
        <v>149</v>
      </c>
      <c r="D191" s="1">
        <v>45658</v>
      </c>
      <c r="E191" s="1">
        <v>45901</v>
      </c>
      <c r="F191">
        <v>1</v>
      </c>
      <c r="G191">
        <v>13</v>
      </c>
      <c r="H191" t="s">
        <v>144</v>
      </c>
      <c r="I191" t="s">
        <v>145</v>
      </c>
      <c r="J191" t="s">
        <v>146</v>
      </c>
      <c r="K191" t="s">
        <v>26</v>
      </c>
      <c r="L191" t="s">
        <v>84</v>
      </c>
      <c r="M191">
        <v>1</v>
      </c>
      <c r="N191">
        <v>0</v>
      </c>
      <c r="O191">
        <v>6.99</v>
      </c>
      <c r="P191">
        <v>0.65</v>
      </c>
      <c r="Q191">
        <v>4.54</v>
      </c>
      <c r="R191" t="s">
        <v>69</v>
      </c>
      <c r="S191">
        <v>-4.54</v>
      </c>
      <c r="T191">
        <v>0</v>
      </c>
    </row>
    <row r="192" spans="1:20" x14ac:dyDescent="0.25">
      <c r="A192" t="s">
        <v>152</v>
      </c>
      <c r="B192" t="s">
        <v>142</v>
      </c>
      <c r="C192" t="s">
        <v>153</v>
      </c>
      <c r="D192" s="1">
        <v>45658</v>
      </c>
      <c r="E192" s="1">
        <v>45901</v>
      </c>
      <c r="F192">
        <v>1</v>
      </c>
      <c r="G192">
        <v>13</v>
      </c>
      <c r="H192" t="s">
        <v>144</v>
      </c>
      <c r="I192" t="s">
        <v>145</v>
      </c>
      <c r="J192" t="s">
        <v>146</v>
      </c>
      <c r="K192" t="s">
        <v>26</v>
      </c>
      <c r="L192" t="s">
        <v>42</v>
      </c>
      <c r="M192">
        <v>1</v>
      </c>
      <c r="N192">
        <v>143.74</v>
      </c>
      <c r="O192">
        <v>31.28</v>
      </c>
      <c r="P192">
        <v>0.65</v>
      </c>
      <c r="Q192">
        <v>20.329999999999998</v>
      </c>
      <c r="R192" t="s">
        <v>69</v>
      </c>
      <c r="S192">
        <v>-20.329999999999998</v>
      </c>
      <c r="T192">
        <v>0</v>
      </c>
    </row>
    <row r="193" spans="1:20" x14ac:dyDescent="0.25">
      <c r="A193" t="s">
        <v>152</v>
      </c>
      <c r="B193" t="s">
        <v>142</v>
      </c>
      <c r="C193" t="s">
        <v>153</v>
      </c>
      <c r="D193" s="1">
        <v>45658</v>
      </c>
      <c r="E193" s="1">
        <v>45901</v>
      </c>
      <c r="F193">
        <v>1</v>
      </c>
      <c r="G193">
        <v>13</v>
      </c>
      <c r="H193" t="s">
        <v>144</v>
      </c>
      <c r="I193" t="s">
        <v>145</v>
      </c>
      <c r="J193" t="s">
        <v>146</v>
      </c>
      <c r="K193" t="s">
        <v>26</v>
      </c>
      <c r="L193" t="s">
        <v>45</v>
      </c>
      <c r="M193">
        <v>1</v>
      </c>
      <c r="N193">
        <v>0</v>
      </c>
      <c r="O193">
        <v>12.43</v>
      </c>
      <c r="P193">
        <v>0.65</v>
      </c>
      <c r="Q193">
        <v>8.08</v>
      </c>
      <c r="R193" t="s">
        <v>69</v>
      </c>
      <c r="S193">
        <v>-8.08</v>
      </c>
      <c r="T193">
        <v>0</v>
      </c>
    </row>
    <row r="194" spans="1:20" x14ac:dyDescent="0.25">
      <c r="A194" t="s">
        <v>152</v>
      </c>
      <c r="B194" t="s">
        <v>142</v>
      </c>
      <c r="C194" t="s">
        <v>153</v>
      </c>
      <c r="D194" s="1">
        <v>45658</v>
      </c>
      <c r="E194" s="1">
        <v>45901</v>
      </c>
      <c r="F194">
        <v>1</v>
      </c>
      <c r="G194">
        <v>13</v>
      </c>
      <c r="H194" t="s">
        <v>144</v>
      </c>
      <c r="I194" t="s">
        <v>145</v>
      </c>
      <c r="J194" t="s">
        <v>146</v>
      </c>
      <c r="K194" t="s">
        <v>26</v>
      </c>
      <c r="L194" t="s">
        <v>85</v>
      </c>
      <c r="M194">
        <v>1</v>
      </c>
      <c r="N194">
        <v>0</v>
      </c>
      <c r="O194">
        <v>2.86</v>
      </c>
      <c r="P194">
        <v>0.65</v>
      </c>
      <c r="Q194">
        <v>1.86</v>
      </c>
      <c r="R194" t="s">
        <v>69</v>
      </c>
      <c r="S194">
        <v>-1.86</v>
      </c>
      <c r="T194">
        <v>0</v>
      </c>
    </row>
    <row r="195" spans="1:20" x14ac:dyDescent="0.25">
      <c r="A195" t="s">
        <v>152</v>
      </c>
      <c r="B195" t="s">
        <v>142</v>
      </c>
      <c r="C195" t="s">
        <v>153</v>
      </c>
      <c r="D195" s="1">
        <v>45658</v>
      </c>
      <c r="E195" s="1">
        <v>45901</v>
      </c>
      <c r="F195">
        <v>1</v>
      </c>
      <c r="G195">
        <v>13</v>
      </c>
      <c r="H195" t="s">
        <v>144</v>
      </c>
      <c r="I195" t="s">
        <v>145</v>
      </c>
      <c r="J195" t="s">
        <v>146</v>
      </c>
      <c r="K195" t="s">
        <v>26</v>
      </c>
      <c r="L195" t="s">
        <v>44</v>
      </c>
      <c r="M195">
        <v>1</v>
      </c>
      <c r="N195">
        <v>0</v>
      </c>
      <c r="O195">
        <v>14.23</v>
      </c>
      <c r="P195">
        <v>0.65</v>
      </c>
      <c r="Q195">
        <v>9.25</v>
      </c>
      <c r="R195" t="s">
        <v>69</v>
      </c>
      <c r="S195">
        <v>-9.25</v>
      </c>
      <c r="T195">
        <v>0</v>
      </c>
    </row>
    <row r="196" spans="1:20" x14ac:dyDescent="0.25">
      <c r="A196" t="s">
        <v>152</v>
      </c>
      <c r="B196" t="s">
        <v>142</v>
      </c>
      <c r="C196" t="s">
        <v>153</v>
      </c>
      <c r="D196" s="1">
        <v>45658</v>
      </c>
      <c r="E196" s="1">
        <v>45901</v>
      </c>
      <c r="F196">
        <v>1</v>
      </c>
      <c r="G196">
        <v>13</v>
      </c>
      <c r="H196" t="s">
        <v>144</v>
      </c>
      <c r="I196" t="s">
        <v>145</v>
      </c>
      <c r="J196" t="s">
        <v>146</v>
      </c>
      <c r="K196" t="s">
        <v>26</v>
      </c>
      <c r="L196" t="s">
        <v>147</v>
      </c>
      <c r="M196">
        <v>1</v>
      </c>
      <c r="N196">
        <v>0</v>
      </c>
      <c r="O196">
        <v>37.21</v>
      </c>
      <c r="P196">
        <v>0.65</v>
      </c>
      <c r="Q196">
        <v>24.19</v>
      </c>
      <c r="R196" t="s">
        <v>69</v>
      </c>
      <c r="S196">
        <v>-24.19</v>
      </c>
      <c r="T196">
        <v>0</v>
      </c>
    </row>
    <row r="197" spans="1:20" x14ac:dyDescent="0.25">
      <c r="A197" t="s">
        <v>152</v>
      </c>
      <c r="B197" t="s">
        <v>142</v>
      </c>
      <c r="C197" t="s">
        <v>153</v>
      </c>
      <c r="D197" s="1">
        <v>45658</v>
      </c>
      <c r="E197" s="1">
        <v>45901</v>
      </c>
      <c r="F197">
        <v>1</v>
      </c>
      <c r="G197">
        <v>13</v>
      </c>
      <c r="H197" t="s">
        <v>144</v>
      </c>
      <c r="I197" t="s">
        <v>145</v>
      </c>
      <c r="J197" t="s">
        <v>146</v>
      </c>
      <c r="K197" t="s">
        <v>26</v>
      </c>
      <c r="L197" t="s">
        <v>117</v>
      </c>
      <c r="M197">
        <v>1</v>
      </c>
      <c r="N197">
        <v>0</v>
      </c>
      <c r="O197">
        <v>2.92</v>
      </c>
      <c r="P197">
        <v>0.65</v>
      </c>
      <c r="Q197">
        <v>1.9</v>
      </c>
      <c r="R197" t="s">
        <v>69</v>
      </c>
      <c r="S197">
        <v>-1.9</v>
      </c>
      <c r="T197">
        <v>0</v>
      </c>
    </row>
    <row r="198" spans="1:20" x14ac:dyDescent="0.25">
      <c r="A198" t="s">
        <v>152</v>
      </c>
      <c r="B198" t="s">
        <v>142</v>
      </c>
      <c r="C198" t="s">
        <v>153</v>
      </c>
      <c r="D198" s="1">
        <v>45658</v>
      </c>
      <c r="E198" s="1">
        <v>45901</v>
      </c>
      <c r="F198">
        <v>1</v>
      </c>
      <c r="G198">
        <v>13</v>
      </c>
      <c r="H198" t="s">
        <v>144</v>
      </c>
      <c r="I198" t="s">
        <v>145</v>
      </c>
      <c r="J198" t="s">
        <v>146</v>
      </c>
      <c r="K198" t="s">
        <v>26</v>
      </c>
      <c r="L198" t="s">
        <v>86</v>
      </c>
      <c r="M198">
        <v>1</v>
      </c>
      <c r="N198">
        <v>0</v>
      </c>
      <c r="O198">
        <v>3.28</v>
      </c>
      <c r="P198">
        <v>0.65</v>
      </c>
      <c r="Q198">
        <v>2.13</v>
      </c>
      <c r="R198" t="s">
        <v>69</v>
      </c>
      <c r="S198">
        <v>-2.13</v>
      </c>
      <c r="T198">
        <v>0</v>
      </c>
    </row>
    <row r="199" spans="1:20" x14ac:dyDescent="0.25">
      <c r="A199" t="s">
        <v>152</v>
      </c>
      <c r="B199" t="s">
        <v>142</v>
      </c>
      <c r="C199" t="s">
        <v>153</v>
      </c>
      <c r="D199" s="1">
        <v>45658</v>
      </c>
      <c r="E199" s="1">
        <v>45901</v>
      </c>
      <c r="F199">
        <v>1</v>
      </c>
      <c r="G199">
        <v>13</v>
      </c>
      <c r="H199" t="s">
        <v>144</v>
      </c>
      <c r="I199" t="s">
        <v>145</v>
      </c>
      <c r="J199" t="s">
        <v>146</v>
      </c>
      <c r="K199" t="s">
        <v>26</v>
      </c>
      <c r="L199" t="s">
        <v>84</v>
      </c>
      <c r="M199">
        <v>1</v>
      </c>
      <c r="N199">
        <v>0</v>
      </c>
      <c r="O199">
        <v>6.99</v>
      </c>
      <c r="P199">
        <v>0.65</v>
      </c>
      <c r="Q199">
        <v>4.54</v>
      </c>
      <c r="R199" t="s">
        <v>69</v>
      </c>
      <c r="S199">
        <v>-4.54</v>
      </c>
      <c r="T199">
        <v>0</v>
      </c>
    </row>
    <row r="200" spans="1:20" x14ac:dyDescent="0.25">
      <c r="A200" t="s">
        <v>152</v>
      </c>
      <c r="B200" t="s">
        <v>142</v>
      </c>
      <c r="C200" t="s">
        <v>153</v>
      </c>
      <c r="D200" s="1">
        <v>45658</v>
      </c>
      <c r="E200" s="1">
        <v>45901</v>
      </c>
      <c r="F200">
        <v>1</v>
      </c>
      <c r="G200">
        <v>13</v>
      </c>
      <c r="H200" t="s">
        <v>144</v>
      </c>
      <c r="I200" t="s">
        <v>145</v>
      </c>
      <c r="J200" t="s">
        <v>146</v>
      </c>
      <c r="K200" t="s">
        <v>26</v>
      </c>
      <c r="L200" t="s">
        <v>118</v>
      </c>
      <c r="M200">
        <v>1</v>
      </c>
      <c r="N200">
        <v>0</v>
      </c>
      <c r="O200">
        <v>30.86</v>
      </c>
      <c r="P200">
        <v>0.65</v>
      </c>
      <c r="Q200">
        <v>20.059999999999999</v>
      </c>
      <c r="R200" t="s">
        <v>69</v>
      </c>
      <c r="S200">
        <v>-20.059999999999999</v>
      </c>
      <c r="T200">
        <v>0</v>
      </c>
    </row>
    <row r="201" spans="1:20" x14ac:dyDescent="0.25">
      <c r="A201" t="s">
        <v>152</v>
      </c>
      <c r="B201" t="s">
        <v>142</v>
      </c>
      <c r="C201" t="s">
        <v>153</v>
      </c>
      <c r="D201" s="1">
        <v>45658</v>
      </c>
      <c r="E201" s="1">
        <v>45901</v>
      </c>
      <c r="F201">
        <v>1</v>
      </c>
      <c r="G201">
        <v>13</v>
      </c>
      <c r="H201" t="s">
        <v>144</v>
      </c>
      <c r="I201" t="s">
        <v>145</v>
      </c>
      <c r="J201" t="s">
        <v>146</v>
      </c>
      <c r="K201" t="s">
        <v>26</v>
      </c>
      <c r="L201" t="s">
        <v>43</v>
      </c>
      <c r="M201">
        <v>1</v>
      </c>
      <c r="N201">
        <v>0</v>
      </c>
      <c r="O201">
        <v>1.68</v>
      </c>
      <c r="P201">
        <v>0.65</v>
      </c>
      <c r="Q201">
        <v>1.0900000000000001</v>
      </c>
      <c r="R201" t="s">
        <v>69</v>
      </c>
      <c r="S201">
        <v>-1.0900000000000001</v>
      </c>
      <c r="T201">
        <v>0</v>
      </c>
    </row>
    <row r="202" spans="1:20" x14ac:dyDescent="0.25">
      <c r="A202" t="s">
        <v>154</v>
      </c>
      <c r="B202" t="s">
        <v>142</v>
      </c>
      <c r="C202" t="s">
        <v>155</v>
      </c>
      <c r="D202" s="1">
        <v>45658</v>
      </c>
      <c r="E202" s="1">
        <v>45901</v>
      </c>
      <c r="F202">
        <v>1</v>
      </c>
      <c r="G202">
        <v>13</v>
      </c>
      <c r="H202" t="s">
        <v>144</v>
      </c>
      <c r="I202" t="s">
        <v>145</v>
      </c>
      <c r="J202" t="s">
        <v>146</v>
      </c>
      <c r="K202" t="s">
        <v>26</v>
      </c>
      <c r="L202" t="s">
        <v>42</v>
      </c>
      <c r="M202">
        <v>1</v>
      </c>
      <c r="N202">
        <v>113.97</v>
      </c>
      <c r="O202">
        <v>32.090000000000003</v>
      </c>
      <c r="P202">
        <v>0.65</v>
      </c>
      <c r="Q202">
        <v>20.86</v>
      </c>
      <c r="R202" t="s">
        <v>69</v>
      </c>
      <c r="S202">
        <v>-20.86</v>
      </c>
      <c r="T202">
        <v>0</v>
      </c>
    </row>
    <row r="203" spans="1:20" x14ac:dyDescent="0.25">
      <c r="A203" t="s">
        <v>154</v>
      </c>
      <c r="B203" t="s">
        <v>142</v>
      </c>
      <c r="C203" t="s">
        <v>155</v>
      </c>
      <c r="D203" s="1">
        <v>45658</v>
      </c>
      <c r="E203" s="1">
        <v>45901</v>
      </c>
      <c r="F203">
        <v>1</v>
      </c>
      <c r="G203">
        <v>13</v>
      </c>
      <c r="H203" t="s">
        <v>144</v>
      </c>
      <c r="I203" t="s">
        <v>145</v>
      </c>
      <c r="J203" t="s">
        <v>146</v>
      </c>
      <c r="K203" t="s">
        <v>26</v>
      </c>
      <c r="L203" t="s">
        <v>117</v>
      </c>
      <c r="M203">
        <v>1</v>
      </c>
      <c r="N203">
        <v>0</v>
      </c>
      <c r="O203">
        <v>3.3</v>
      </c>
      <c r="P203">
        <v>0.65</v>
      </c>
      <c r="Q203">
        <v>2.15</v>
      </c>
      <c r="R203" t="s">
        <v>69</v>
      </c>
      <c r="S203">
        <v>-2.15</v>
      </c>
      <c r="T203">
        <v>0</v>
      </c>
    </row>
    <row r="204" spans="1:20" x14ac:dyDescent="0.25">
      <c r="A204" t="s">
        <v>154</v>
      </c>
      <c r="B204" t="s">
        <v>142</v>
      </c>
      <c r="C204" t="s">
        <v>155</v>
      </c>
      <c r="D204" s="1">
        <v>45658</v>
      </c>
      <c r="E204" s="1">
        <v>45901</v>
      </c>
      <c r="F204">
        <v>1</v>
      </c>
      <c r="G204">
        <v>13</v>
      </c>
      <c r="H204" t="s">
        <v>144</v>
      </c>
      <c r="I204" t="s">
        <v>145</v>
      </c>
      <c r="J204" t="s">
        <v>146</v>
      </c>
      <c r="K204" t="s">
        <v>26</v>
      </c>
      <c r="L204" t="s">
        <v>45</v>
      </c>
      <c r="M204">
        <v>1</v>
      </c>
      <c r="N204">
        <v>0</v>
      </c>
      <c r="O204">
        <v>12.43</v>
      </c>
      <c r="P204">
        <v>0.65</v>
      </c>
      <c r="Q204">
        <v>8.08</v>
      </c>
      <c r="R204" t="s">
        <v>69</v>
      </c>
      <c r="S204">
        <v>-8.08</v>
      </c>
      <c r="T204">
        <v>0</v>
      </c>
    </row>
    <row r="205" spans="1:20" x14ac:dyDescent="0.25">
      <c r="A205" t="s">
        <v>154</v>
      </c>
      <c r="B205" t="s">
        <v>142</v>
      </c>
      <c r="C205" t="s">
        <v>155</v>
      </c>
      <c r="D205" s="1">
        <v>45658</v>
      </c>
      <c r="E205" s="1">
        <v>45901</v>
      </c>
      <c r="F205">
        <v>1</v>
      </c>
      <c r="G205">
        <v>13</v>
      </c>
      <c r="H205" t="s">
        <v>144</v>
      </c>
      <c r="I205" t="s">
        <v>145</v>
      </c>
      <c r="J205" t="s">
        <v>146</v>
      </c>
      <c r="K205" t="s">
        <v>26</v>
      </c>
      <c r="L205" t="s">
        <v>86</v>
      </c>
      <c r="M205">
        <v>1</v>
      </c>
      <c r="N205">
        <v>0</v>
      </c>
      <c r="O205">
        <v>4.62</v>
      </c>
      <c r="P205">
        <v>0.65</v>
      </c>
      <c r="Q205">
        <v>3</v>
      </c>
      <c r="R205" t="s">
        <v>69</v>
      </c>
      <c r="S205">
        <v>-3</v>
      </c>
      <c r="T205">
        <v>0</v>
      </c>
    </row>
    <row r="206" spans="1:20" x14ac:dyDescent="0.25">
      <c r="A206" t="s">
        <v>154</v>
      </c>
      <c r="B206" t="s">
        <v>142</v>
      </c>
      <c r="C206" t="s">
        <v>155</v>
      </c>
      <c r="D206" s="1">
        <v>45658</v>
      </c>
      <c r="E206" s="1">
        <v>45901</v>
      </c>
      <c r="F206">
        <v>1</v>
      </c>
      <c r="G206">
        <v>13</v>
      </c>
      <c r="H206" t="s">
        <v>144</v>
      </c>
      <c r="I206" t="s">
        <v>145</v>
      </c>
      <c r="J206" t="s">
        <v>146</v>
      </c>
      <c r="K206" t="s">
        <v>26</v>
      </c>
      <c r="L206" t="s">
        <v>44</v>
      </c>
      <c r="M206">
        <v>1</v>
      </c>
      <c r="N206">
        <v>0</v>
      </c>
      <c r="O206">
        <v>17.63</v>
      </c>
      <c r="P206">
        <v>0.65</v>
      </c>
      <c r="Q206">
        <v>11.46</v>
      </c>
      <c r="R206" t="s">
        <v>69</v>
      </c>
      <c r="S206">
        <v>-11.46</v>
      </c>
      <c r="T206">
        <v>0</v>
      </c>
    </row>
    <row r="207" spans="1:20" x14ac:dyDescent="0.25">
      <c r="A207" t="s">
        <v>154</v>
      </c>
      <c r="B207" t="s">
        <v>142</v>
      </c>
      <c r="C207" t="s">
        <v>155</v>
      </c>
      <c r="D207" s="1">
        <v>45658</v>
      </c>
      <c r="E207" s="1">
        <v>45901</v>
      </c>
      <c r="F207">
        <v>1</v>
      </c>
      <c r="G207">
        <v>13</v>
      </c>
      <c r="H207" t="s">
        <v>144</v>
      </c>
      <c r="I207" t="s">
        <v>145</v>
      </c>
      <c r="J207" t="s">
        <v>146</v>
      </c>
      <c r="K207" t="s">
        <v>26</v>
      </c>
      <c r="L207" t="s">
        <v>85</v>
      </c>
      <c r="M207">
        <v>1</v>
      </c>
      <c r="N207">
        <v>0</v>
      </c>
      <c r="O207">
        <v>2.86</v>
      </c>
      <c r="P207">
        <v>0.65</v>
      </c>
      <c r="Q207">
        <v>1.86</v>
      </c>
      <c r="R207" t="s">
        <v>69</v>
      </c>
      <c r="S207">
        <v>-1.86</v>
      </c>
      <c r="T207">
        <v>0</v>
      </c>
    </row>
    <row r="208" spans="1:20" x14ac:dyDescent="0.25">
      <c r="A208" t="s">
        <v>154</v>
      </c>
      <c r="B208" t="s">
        <v>142</v>
      </c>
      <c r="C208" t="s">
        <v>155</v>
      </c>
      <c r="D208" s="1">
        <v>45658</v>
      </c>
      <c r="E208" s="1">
        <v>45901</v>
      </c>
      <c r="F208">
        <v>1</v>
      </c>
      <c r="G208">
        <v>13</v>
      </c>
      <c r="H208" t="s">
        <v>144</v>
      </c>
      <c r="I208" t="s">
        <v>145</v>
      </c>
      <c r="J208" t="s">
        <v>146</v>
      </c>
      <c r="K208" t="s">
        <v>26</v>
      </c>
      <c r="L208" t="s">
        <v>118</v>
      </c>
      <c r="M208">
        <v>1</v>
      </c>
      <c r="N208">
        <v>0</v>
      </c>
      <c r="O208">
        <v>32.369999999999997</v>
      </c>
      <c r="P208">
        <v>0.65</v>
      </c>
      <c r="Q208">
        <v>21.04</v>
      </c>
      <c r="R208" t="s">
        <v>69</v>
      </c>
      <c r="S208">
        <v>-21.04</v>
      </c>
      <c r="T208">
        <v>0</v>
      </c>
    </row>
    <row r="209" spans="1:20" x14ac:dyDescent="0.25">
      <c r="A209" t="s">
        <v>154</v>
      </c>
      <c r="B209" t="s">
        <v>142</v>
      </c>
      <c r="C209" t="s">
        <v>155</v>
      </c>
      <c r="D209" s="1">
        <v>45658</v>
      </c>
      <c r="E209" s="1">
        <v>45901</v>
      </c>
      <c r="F209">
        <v>1</v>
      </c>
      <c r="G209">
        <v>13</v>
      </c>
      <c r="H209" t="s">
        <v>144</v>
      </c>
      <c r="I209" t="s">
        <v>145</v>
      </c>
      <c r="J209" t="s">
        <v>146</v>
      </c>
      <c r="K209" t="s">
        <v>26</v>
      </c>
      <c r="L209" t="s">
        <v>84</v>
      </c>
      <c r="M209">
        <v>1</v>
      </c>
      <c r="N209">
        <v>0</v>
      </c>
      <c r="O209">
        <v>6.99</v>
      </c>
      <c r="P209">
        <v>0.65</v>
      </c>
      <c r="Q209">
        <v>4.54</v>
      </c>
      <c r="R209" t="s">
        <v>69</v>
      </c>
      <c r="S209">
        <v>-4.54</v>
      </c>
      <c r="T209">
        <v>0</v>
      </c>
    </row>
    <row r="210" spans="1:20" x14ac:dyDescent="0.25">
      <c r="A210" t="s">
        <v>154</v>
      </c>
      <c r="B210" t="s">
        <v>142</v>
      </c>
      <c r="C210" t="s">
        <v>155</v>
      </c>
      <c r="D210" s="1">
        <v>45658</v>
      </c>
      <c r="E210" s="1">
        <v>45901</v>
      </c>
      <c r="F210">
        <v>1</v>
      </c>
      <c r="G210">
        <v>13</v>
      </c>
      <c r="H210" t="s">
        <v>144</v>
      </c>
      <c r="I210" t="s">
        <v>145</v>
      </c>
      <c r="J210" t="s">
        <v>146</v>
      </c>
      <c r="K210" t="s">
        <v>26</v>
      </c>
      <c r="L210" t="s">
        <v>43</v>
      </c>
      <c r="M210">
        <v>1</v>
      </c>
      <c r="N210">
        <v>0</v>
      </c>
      <c r="O210">
        <v>1.68</v>
      </c>
      <c r="P210">
        <v>0.65</v>
      </c>
      <c r="Q210">
        <v>1.0900000000000001</v>
      </c>
      <c r="R210" t="s">
        <v>69</v>
      </c>
      <c r="S210">
        <v>-1.0900000000000001</v>
      </c>
      <c r="T210">
        <v>0</v>
      </c>
    </row>
    <row r="211" spans="1:20" x14ac:dyDescent="0.25">
      <c r="A211" t="s">
        <v>156</v>
      </c>
      <c r="B211" t="s">
        <v>142</v>
      </c>
      <c r="C211" t="s">
        <v>157</v>
      </c>
      <c r="D211" s="1">
        <v>45581</v>
      </c>
      <c r="E211" s="1">
        <v>45916</v>
      </c>
      <c r="F211">
        <v>1</v>
      </c>
      <c r="G211">
        <v>27</v>
      </c>
      <c r="H211" t="s">
        <v>158</v>
      </c>
      <c r="I211" t="s">
        <v>159</v>
      </c>
      <c r="J211" t="s">
        <v>160</v>
      </c>
      <c r="K211" t="s">
        <v>26</v>
      </c>
      <c r="L211" t="s">
        <v>42</v>
      </c>
      <c r="M211">
        <v>1</v>
      </c>
      <c r="N211">
        <v>40.08</v>
      </c>
      <c r="O211">
        <v>35</v>
      </c>
      <c r="P211">
        <v>0.65</v>
      </c>
      <c r="Q211">
        <v>22.75</v>
      </c>
      <c r="R211" t="s">
        <v>54</v>
      </c>
      <c r="S211">
        <v>0</v>
      </c>
      <c r="T211">
        <v>22.75</v>
      </c>
    </row>
    <row r="212" spans="1:20" x14ac:dyDescent="0.25">
      <c r="A212" t="s">
        <v>156</v>
      </c>
      <c r="B212" t="s">
        <v>142</v>
      </c>
      <c r="C212" t="s">
        <v>157</v>
      </c>
      <c r="D212" s="1">
        <v>45581</v>
      </c>
      <c r="E212" s="1">
        <v>45916</v>
      </c>
      <c r="F212">
        <v>1</v>
      </c>
      <c r="G212">
        <v>27</v>
      </c>
      <c r="H212" t="s">
        <v>158</v>
      </c>
      <c r="I212" t="s">
        <v>159</v>
      </c>
      <c r="J212" t="s">
        <v>160</v>
      </c>
      <c r="K212" t="s">
        <v>26</v>
      </c>
      <c r="L212" t="s">
        <v>85</v>
      </c>
      <c r="M212">
        <v>1</v>
      </c>
      <c r="N212">
        <v>0</v>
      </c>
      <c r="O212">
        <v>3.4</v>
      </c>
      <c r="P212">
        <v>0.65</v>
      </c>
      <c r="Q212">
        <v>2.21</v>
      </c>
      <c r="R212" t="s">
        <v>54</v>
      </c>
      <c r="S212">
        <v>0</v>
      </c>
      <c r="T212">
        <v>2.21</v>
      </c>
    </row>
    <row r="213" spans="1:20" x14ac:dyDescent="0.25">
      <c r="A213" t="s">
        <v>156</v>
      </c>
      <c r="B213" t="s">
        <v>142</v>
      </c>
      <c r="C213" t="s">
        <v>157</v>
      </c>
      <c r="D213" s="1">
        <v>45581</v>
      </c>
      <c r="E213" s="1">
        <v>45916</v>
      </c>
      <c r="F213">
        <v>1</v>
      </c>
      <c r="G213">
        <v>27</v>
      </c>
      <c r="H213" t="s">
        <v>158</v>
      </c>
      <c r="I213" t="s">
        <v>159</v>
      </c>
      <c r="J213" t="s">
        <v>160</v>
      </c>
      <c r="K213" t="s">
        <v>26</v>
      </c>
      <c r="L213" t="s">
        <v>43</v>
      </c>
      <c r="M213">
        <v>1</v>
      </c>
      <c r="N213">
        <v>0</v>
      </c>
      <c r="O213">
        <v>1.68</v>
      </c>
      <c r="P213">
        <v>0.65</v>
      </c>
      <c r="Q213">
        <v>1.0900000000000001</v>
      </c>
      <c r="R213" t="s">
        <v>54</v>
      </c>
      <c r="S213">
        <v>0</v>
      </c>
      <c r="T213">
        <v>1.0900000000000001</v>
      </c>
    </row>
    <row r="214" spans="1:20" x14ac:dyDescent="0.25">
      <c r="A214" t="s">
        <v>161</v>
      </c>
      <c r="B214" t="s">
        <v>142</v>
      </c>
      <c r="C214" t="s">
        <v>162</v>
      </c>
      <c r="D214" s="1">
        <v>45809</v>
      </c>
      <c r="E214" s="1">
        <v>45901</v>
      </c>
      <c r="F214">
        <v>1</v>
      </c>
      <c r="G214">
        <v>1</v>
      </c>
      <c r="H214" t="s">
        <v>158</v>
      </c>
      <c r="I214" t="s">
        <v>159</v>
      </c>
      <c r="J214" t="s">
        <v>160</v>
      </c>
      <c r="K214" t="s">
        <v>26</v>
      </c>
      <c r="L214" t="s">
        <v>42</v>
      </c>
      <c r="M214">
        <v>1</v>
      </c>
      <c r="N214">
        <v>42.78</v>
      </c>
      <c r="O214">
        <v>23.46</v>
      </c>
      <c r="P214">
        <v>0.65</v>
      </c>
      <c r="Q214">
        <v>15.25</v>
      </c>
      <c r="R214" t="s">
        <v>69</v>
      </c>
      <c r="S214">
        <v>-15.25</v>
      </c>
      <c r="T214">
        <v>0</v>
      </c>
    </row>
    <row r="215" spans="1:20" x14ac:dyDescent="0.25">
      <c r="A215" t="s">
        <v>161</v>
      </c>
      <c r="B215" t="s">
        <v>142</v>
      </c>
      <c r="C215" t="s">
        <v>162</v>
      </c>
      <c r="D215" s="1">
        <v>45809</v>
      </c>
      <c r="E215" s="1">
        <v>45901</v>
      </c>
      <c r="F215">
        <v>1</v>
      </c>
      <c r="G215">
        <v>1</v>
      </c>
      <c r="H215" t="s">
        <v>158</v>
      </c>
      <c r="I215" t="s">
        <v>159</v>
      </c>
      <c r="J215" t="s">
        <v>160</v>
      </c>
      <c r="K215" t="s">
        <v>26</v>
      </c>
      <c r="L215" t="s">
        <v>87</v>
      </c>
      <c r="M215">
        <v>1</v>
      </c>
      <c r="N215">
        <v>0</v>
      </c>
      <c r="O215">
        <v>17.64</v>
      </c>
      <c r="P215">
        <v>0.65</v>
      </c>
      <c r="Q215">
        <v>11.47</v>
      </c>
      <c r="R215" t="s">
        <v>69</v>
      </c>
      <c r="S215">
        <v>-11.47</v>
      </c>
      <c r="T215">
        <v>0</v>
      </c>
    </row>
    <row r="216" spans="1:20" x14ac:dyDescent="0.25">
      <c r="A216" t="s">
        <v>161</v>
      </c>
      <c r="B216" t="s">
        <v>142</v>
      </c>
      <c r="C216" t="s">
        <v>162</v>
      </c>
      <c r="D216" s="1">
        <v>45809</v>
      </c>
      <c r="E216" s="1">
        <v>45901</v>
      </c>
      <c r="F216">
        <v>1</v>
      </c>
      <c r="G216">
        <v>1</v>
      </c>
      <c r="H216" t="s">
        <v>158</v>
      </c>
      <c r="I216" t="s">
        <v>159</v>
      </c>
      <c r="J216" t="s">
        <v>160</v>
      </c>
      <c r="K216" t="s">
        <v>26</v>
      </c>
      <c r="L216" t="s">
        <v>43</v>
      </c>
      <c r="M216">
        <v>1</v>
      </c>
      <c r="N216">
        <v>0</v>
      </c>
      <c r="O216">
        <v>1.68</v>
      </c>
      <c r="P216">
        <v>0.65</v>
      </c>
      <c r="Q216">
        <v>1.0900000000000001</v>
      </c>
      <c r="R216" t="s">
        <v>69</v>
      </c>
      <c r="S216">
        <v>-1.0900000000000001</v>
      </c>
      <c r="T216">
        <v>0</v>
      </c>
    </row>
    <row r="217" spans="1:20" x14ac:dyDescent="0.25">
      <c r="A217" t="s">
        <v>163</v>
      </c>
      <c r="B217" t="s">
        <v>142</v>
      </c>
      <c r="C217" t="s">
        <v>164</v>
      </c>
      <c r="D217" s="1">
        <v>45749</v>
      </c>
      <c r="E217" s="1">
        <v>45902</v>
      </c>
      <c r="F217">
        <v>1</v>
      </c>
      <c r="G217">
        <v>20</v>
      </c>
      <c r="H217" t="s">
        <v>158</v>
      </c>
      <c r="I217" t="s">
        <v>159</v>
      </c>
      <c r="J217" t="s">
        <v>160</v>
      </c>
      <c r="K217" t="s">
        <v>26</v>
      </c>
      <c r="L217" t="s">
        <v>42</v>
      </c>
      <c r="M217">
        <v>1</v>
      </c>
      <c r="N217">
        <v>29.09</v>
      </c>
      <c r="O217">
        <v>23.46</v>
      </c>
      <c r="P217">
        <v>0.65</v>
      </c>
      <c r="Q217">
        <v>15.25</v>
      </c>
      <c r="R217" t="s">
        <v>69</v>
      </c>
      <c r="S217">
        <v>-15.25</v>
      </c>
      <c r="T217">
        <v>0</v>
      </c>
    </row>
    <row r="218" spans="1:20" x14ac:dyDescent="0.25">
      <c r="A218" t="s">
        <v>163</v>
      </c>
      <c r="B218" t="s">
        <v>142</v>
      </c>
      <c r="C218" t="s">
        <v>164</v>
      </c>
      <c r="D218" s="1">
        <v>45749</v>
      </c>
      <c r="E218" s="1">
        <v>45902</v>
      </c>
      <c r="F218">
        <v>1</v>
      </c>
      <c r="G218">
        <v>20</v>
      </c>
      <c r="H218" t="s">
        <v>158</v>
      </c>
      <c r="I218" t="s">
        <v>159</v>
      </c>
      <c r="J218" t="s">
        <v>160</v>
      </c>
      <c r="K218" t="s">
        <v>26</v>
      </c>
      <c r="L218" t="s">
        <v>43</v>
      </c>
      <c r="M218">
        <v>1</v>
      </c>
      <c r="N218">
        <v>0</v>
      </c>
      <c r="O218">
        <v>1.68</v>
      </c>
      <c r="P218">
        <v>0.65</v>
      </c>
      <c r="Q218">
        <v>1.0900000000000001</v>
      </c>
      <c r="R218" t="s">
        <v>69</v>
      </c>
      <c r="S218">
        <v>-1.0900000000000001</v>
      </c>
      <c r="T218">
        <v>0</v>
      </c>
    </row>
    <row r="219" spans="1:20" x14ac:dyDescent="0.25">
      <c r="A219" t="s">
        <v>163</v>
      </c>
      <c r="B219" t="s">
        <v>142</v>
      </c>
      <c r="C219" t="s">
        <v>164</v>
      </c>
      <c r="D219" s="1">
        <v>45749</v>
      </c>
      <c r="E219" s="1">
        <v>45902</v>
      </c>
      <c r="F219">
        <v>1</v>
      </c>
      <c r="G219">
        <v>20</v>
      </c>
      <c r="H219" t="s">
        <v>158</v>
      </c>
      <c r="I219" t="s">
        <v>159</v>
      </c>
      <c r="J219" t="s">
        <v>160</v>
      </c>
      <c r="K219" t="s">
        <v>26</v>
      </c>
      <c r="L219" t="s">
        <v>86</v>
      </c>
      <c r="M219">
        <v>1</v>
      </c>
      <c r="N219">
        <v>0</v>
      </c>
      <c r="O219">
        <v>1.81</v>
      </c>
      <c r="P219">
        <v>0.65</v>
      </c>
      <c r="Q219">
        <v>1.18</v>
      </c>
      <c r="R219" t="s">
        <v>69</v>
      </c>
      <c r="S219">
        <v>-1.18</v>
      </c>
      <c r="T219">
        <v>0</v>
      </c>
    </row>
    <row r="220" spans="1:20" x14ac:dyDescent="0.25">
      <c r="A220" t="s">
        <v>163</v>
      </c>
      <c r="B220" t="s">
        <v>142</v>
      </c>
      <c r="C220" t="s">
        <v>164</v>
      </c>
      <c r="D220" s="1">
        <v>45749</v>
      </c>
      <c r="E220" s="1">
        <v>45902</v>
      </c>
      <c r="F220">
        <v>1</v>
      </c>
      <c r="G220">
        <v>20</v>
      </c>
      <c r="H220" t="s">
        <v>158</v>
      </c>
      <c r="I220" t="s">
        <v>159</v>
      </c>
      <c r="J220" t="s">
        <v>160</v>
      </c>
      <c r="K220" t="s">
        <v>26</v>
      </c>
      <c r="L220" t="s">
        <v>85</v>
      </c>
      <c r="M220">
        <v>1</v>
      </c>
      <c r="N220">
        <v>0</v>
      </c>
      <c r="O220">
        <v>2.14</v>
      </c>
      <c r="P220">
        <v>0.65</v>
      </c>
      <c r="Q220">
        <v>1.39</v>
      </c>
      <c r="R220" t="s">
        <v>69</v>
      </c>
      <c r="S220">
        <v>-1.39</v>
      </c>
      <c r="T220">
        <v>0</v>
      </c>
    </row>
    <row r="221" spans="1:20" x14ac:dyDescent="0.25">
      <c r="A221" t="s">
        <v>165</v>
      </c>
      <c r="B221" t="s">
        <v>166</v>
      </c>
      <c r="C221" t="s">
        <v>167</v>
      </c>
      <c r="D221" s="1">
        <v>45658</v>
      </c>
      <c r="E221" s="1">
        <v>45901</v>
      </c>
      <c r="F221">
        <v>1</v>
      </c>
      <c r="G221">
        <v>1</v>
      </c>
      <c r="H221" t="s">
        <v>168</v>
      </c>
      <c r="I221" t="s">
        <v>169</v>
      </c>
      <c r="J221" t="s">
        <v>170</v>
      </c>
      <c r="K221" t="s">
        <v>26</v>
      </c>
      <c r="L221" t="s">
        <v>171</v>
      </c>
      <c r="M221">
        <v>1</v>
      </c>
      <c r="N221">
        <v>65.489999999999995</v>
      </c>
      <c r="O221">
        <v>18.329999999999998</v>
      </c>
      <c r="P221">
        <v>0.6</v>
      </c>
      <c r="Q221">
        <v>11</v>
      </c>
      <c r="R221" t="s">
        <v>69</v>
      </c>
      <c r="S221">
        <v>-11</v>
      </c>
      <c r="T221">
        <v>0</v>
      </c>
    </row>
    <row r="222" spans="1:20" x14ac:dyDescent="0.25">
      <c r="A222" t="s">
        <v>165</v>
      </c>
      <c r="B222" t="s">
        <v>166</v>
      </c>
      <c r="C222" t="s">
        <v>167</v>
      </c>
      <c r="D222" s="1">
        <v>45658</v>
      </c>
      <c r="E222" s="1">
        <v>45901</v>
      </c>
      <c r="F222">
        <v>1</v>
      </c>
      <c r="G222">
        <v>1</v>
      </c>
      <c r="H222" t="s">
        <v>168</v>
      </c>
      <c r="I222" t="s">
        <v>169</v>
      </c>
      <c r="J222" t="s">
        <v>170</v>
      </c>
      <c r="K222" t="s">
        <v>26</v>
      </c>
      <c r="L222" t="s">
        <v>172</v>
      </c>
      <c r="M222">
        <v>1</v>
      </c>
      <c r="N222">
        <v>0</v>
      </c>
      <c r="O222">
        <v>27.5</v>
      </c>
      <c r="P222">
        <v>0.6</v>
      </c>
      <c r="Q222">
        <v>16.5</v>
      </c>
      <c r="R222" t="s">
        <v>69</v>
      </c>
      <c r="S222">
        <v>-16.5</v>
      </c>
      <c r="T222">
        <v>0</v>
      </c>
    </row>
    <row r="223" spans="1:20" x14ac:dyDescent="0.25">
      <c r="A223" t="s">
        <v>165</v>
      </c>
      <c r="B223" t="s">
        <v>166</v>
      </c>
      <c r="C223" t="s">
        <v>167</v>
      </c>
      <c r="D223" s="1">
        <v>45658</v>
      </c>
      <c r="E223" s="1">
        <v>45901</v>
      </c>
      <c r="F223">
        <v>1</v>
      </c>
      <c r="G223">
        <v>1</v>
      </c>
      <c r="H223" t="s">
        <v>168</v>
      </c>
      <c r="I223" t="s">
        <v>169</v>
      </c>
      <c r="J223" t="s">
        <v>170</v>
      </c>
      <c r="K223" t="s">
        <v>26</v>
      </c>
      <c r="L223" t="s">
        <v>173</v>
      </c>
      <c r="M223">
        <v>1</v>
      </c>
      <c r="N223">
        <v>0</v>
      </c>
      <c r="O223">
        <v>6.25</v>
      </c>
      <c r="P223">
        <v>0.6</v>
      </c>
      <c r="Q223">
        <v>3.75</v>
      </c>
      <c r="R223" t="s">
        <v>69</v>
      </c>
      <c r="S223">
        <v>-3.75</v>
      </c>
      <c r="T223">
        <v>0</v>
      </c>
    </row>
    <row r="224" spans="1:20" x14ac:dyDescent="0.25">
      <c r="A224" t="s">
        <v>165</v>
      </c>
      <c r="B224" t="s">
        <v>166</v>
      </c>
      <c r="C224" t="s">
        <v>167</v>
      </c>
      <c r="D224" s="1">
        <v>45658</v>
      </c>
      <c r="E224" s="1">
        <v>45901</v>
      </c>
      <c r="F224">
        <v>1</v>
      </c>
      <c r="G224">
        <v>1</v>
      </c>
      <c r="H224" t="s">
        <v>168</v>
      </c>
      <c r="I224" t="s">
        <v>169</v>
      </c>
      <c r="J224" t="s">
        <v>170</v>
      </c>
      <c r="K224" t="s">
        <v>26</v>
      </c>
      <c r="L224" t="s">
        <v>174</v>
      </c>
      <c r="M224">
        <v>1</v>
      </c>
      <c r="N224">
        <v>0</v>
      </c>
      <c r="O224">
        <v>11.33</v>
      </c>
      <c r="P224">
        <v>0.6</v>
      </c>
      <c r="Q224">
        <v>6.8</v>
      </c>
      <c r="R224" t="s">
        <v>69</v>
      </c>
      <c r="S224">
        <v>-6.8</v>
      </c>
      <c r="T224">
        <v>0</v>
      </c>
    </row>
    <row r="225" spans="1:20" x14ac:dyDescent="0.25">
      <c r="A225" t="s">
        <v>175</v>
      </c>
      <c r="B225" t="s">
        <v>142</v>
      </c>
      <c r="C225" t="s">
        <v>176</v>
      </c>
      <c r="D225" s="1">
        <v>45536</v>
      </c>
      <c r="E225" s="1">
        <v>45901</v>
      </c>
      <c r="F225">
        <v>1</v>
      </c>
      <c r="G225">
        <v>13</v>
      </c>
      <c r="H225" t="s">
        <v>177</v>
      </c>
      <c r="I225" t="s">
        <v>178</v>
      </c>
      <c r="J225" t="s">
        <v>179</v>
      </c>
      <c r="K225" t="s">
        <v>26</v>
      </c>
      <c r="L225" t="s">
        <v>42</v>
      </c>
      <c r="M225">
        <v>1</v>
      </c>
      <c r="N225">
        <v>133.81</v>
      </c>
      <c r="O225">
        <v>33.229999999999997</v>
      </c>
      <c r="P225">
        <v>0.65</v>
      </c>
      <c r="Q225">
        <v>21.6</v>
      </c>
      <c r="R225" t="s">
        <v>54</v>
      </c>
      <c r="S225">
        <v>0</v>
      </c>
      <c r="T225">
        <v>21.6</v>
      </c>
    </row>
    <row r="226" spans="1:20" x14ac:dyDescent="0.25">
      <c r="A226" t="s">
        <v>175</v>
      </c>
      <c r="B226" t="s">
        <v>142</v>
      </c>
      <c r="C226" t="s">
        <v>176</v>
      </c>
      <c r="D226" s="1">
        <v>45536</v>
      </c>
      <c r="E226" s="1">
        <v>45901</v>
      </c>
      <c r="F226">
        <v>1</v>
      </c>
      <c r="G226">
        <v>13</v>
      </c>
      <c r="H226" t="s">
        <v>177</v>
      </c>
      <c r="I226" t="s">
        <v>178</v>
      </c>
      <c r="J226" t="s">
        <v>179</v>
      </c>
      <c r="K226" t="s">
        <v>26</v>
      </c>
      <c r="L226" t="s">
        <v>43</v>
      </c>
      <c r="M226">
        <v>1</v>
      </c>
      <c r="N226">
        <v>0</v>
      </c>
      <c r="O226">
        <v>1.68</v>
      </c>
      <c r="P226">
        <v>0.65</v>
      </c>
      <c r="Q226">
        <v>1.0900000000000001</v>
      </c>
      <c r="R226" t="s">
        <v>54</v>
      </c>
      <c r="S226">
        <v>0</v>
      </c>
      <c r="T226">
        <v>1.0900000000000001</v>
      </c>
    </row>
    <row r="227" spans="1:20" x14ac:dyDescent="0.25">
      <c r="A227" t="s">
        <v>175</v>
      </c>
      <c r="B227" t="s">
        <v>142</v>
      </c>
      <c r="C227" t="s">
        <v>176</v>
      </c>
      <c r="D227" s="1">
        <v>45536</v>
      </c>
      <c r="E227" s="1">
        <v>45901</v>
      </c>
      <c r="F227">
        <v>1</v>
      </c>
      <c r="G227">
        <v>13</v>
      </c>
      <c r="H227" t="s">
        <v>177</v>
      </c>
      <c r="I227" t="s">
        <v>178</v>
      </c>
      <c r="J227" t="s">
        <v>179</v>
      </c>
      <c r="K227" t="s">
        <v>26</v>
      </c>
      <c r="L227" t="s">
        <v>85</v>
      </c>
      <c r="M227">
        <v>1</v>
      </c>
      <c r="N227">
        <v>0</v>
      </c>
      <c r="O227">
        <v>2.86</v>
      </c>
      <c r="P227">
        <v>0.65</v>
      </c>
      <c r="Q227">
        <v>1.86</v>
      </c>
      <c r="R227" t="s">
        <v>54</v>
      </c>
      <c r="S227">
        <v>0</v>
      </c>
      <c r="T227">
        <v>1.86</v>
      </c>
    </row>
    <row r="228" spans="1:20" x14ac:dyDescent="0.25">
      <c r="A228" t="s">
        <v>175</v>
      </c>
      <c r="B228" t="s">
        <v>142</v>
      </c>
      <c r="C228" t="s">
        <v>176</v>
      </c>
      <c r="D228" s="1">
        <v>45536</v>
      </c>
      <c r="E228" s="1">
        <v>45901</v>
      </c>
      <c r="F228">
        <v>1</v>
      </c>
      <c r="G228">
        <v>13</v>
      </c>
      <c r="H228" t="s">
        <v>177</v>
      </c>
      <c r="I228" t="s">
        <v>178</v>
      </c>
      <c r="J228" t="s">
        <v>179</v>
      </c>
      <c r="K228" t="s">
        <v>26</v>
      </c>
      <c r="L228" t="s">
        <v>44</v>
      </c>
      <c r="M228">
        <v>1</v>
      </c>
      <c r="N228">
        <v>0</v>
      </c>
      <c r="O228">
        <v>12.94</v>
      </c>
      <c r="P228">
        <v>0.65</v>
      </c>
      <c r="Q228">
        <v>8.41</v>
      </c>
      <c r="R228" t="s">
        <v>54</v>
      </c>
      <c r="S228">
        <v>0</v>
      </c>
      <c r="T228">
        <v>8.41</v>
      </c>
    </row>
    <row r="229" spans="1:20" x14ac:dyDescent="0.25">
      <c r="A229" t="s">
        <v>175</v>
      </c>
      <c r="B229" t="s">
        <v>142</v>
      </c>
      <c r="C229" t="s">
        <v>176</v>
      </c>
      <c r="D229" s="1">
        <v>45536</v>
      </c>
      <c r="E229" s="1">
        <v>45901</v>
      </c>
      <c r="F229">
        <v>1</v>
      </c>
      <c r="G229">
        <v>13</v>
      </c>
      <c r="H229" t="s">
        <v>177</v>
      </c>
      <c r="I229" t="s">
        <v>178</v>
      </c>
      <c r="J229" t="s">
        <v>179</v>
      </c>
      <c r="K229" t="s">
        <v>26</v>
      </c>
      <c r="L229" t="s">
        <v>86</v>
      </c>
      <c r="M229">
        <v>1</v>
      </c>
      <c r="N229">
        <v>0</v>
      </c>
      <c r="O229">
        <v>2.31</v>
      </c>
      <c r="P229">
        <v>0.65</v>
      </c>
      <c r="Q229">
        <v>1.5</v>
      </c>
      <c r="R229" t="s">
        <v>54</v>
      </c>
      <c r="S229">
        <v>0</v>
      </c>
      <c r="T229">
        <v>1.5</v>
      </c>
    </row>
    <row r="230" spans="1:20" x14ac:dyDescent="0.25">
      <c r="A230" t="s">
        <v>175</v>
      </c>
      <c r="B230" t="s">
        <v>142</v>
      </c>
      <c r="C230" t="s">
        <v>176</v>
      </c>
      <c r="D230" s="1">
        <v>45536</v>
      </c>
      <c r="E230" s="1">
        <v>45901</v>
      </c>
      <c r="F230">
        <v>1</v>
      </c>
      <c r="G230">
        <v>13</v>
      </c>
      <c r="H230" t="s">
        <v>177</v>
      </c>
      <c r="I230" t="s">
        <v>178</v>
      </c>
      <c r="J230" t="s">
        <v>179</v>
      </c>
      <c r="K230" t="s">
        <v>26</v>
      </c>
      <c r="L230" t="s">
        <v>56</v>
      </c>
      <c r="M230">
        <v>1</v>
      </c>
      <c r="N230">
        <v>0</v>
      </c>
      <c r="O230">
        <v>2.92</v>
      </c>
      <c r="P230">
        <v>0.65</v>
      </c>
      <c r="Q230">
        <v>1.9</v>
      </c>
      <c r="R230" t="s">
        <v>54</v>
      </c>
      <c r="S230">
        <v>0</v>
      </c>
      <c r="T230">
        <v>1.9</v>
      </c>
    </row>
    <row r="231" spans="1:20" x14ac:dyDescent="0.25">
      <c r="A231" t="s">
        <v>175</v>
      </c>
      <c r="B231" t="s">
        <v>142</v>
      </c>
      <c r="C231" t="s">
        <v>176</v>
      </c>
      <c r="D231" s="1">
        <v>45536</v>
      </c>
      <c r="E231" s="1">
        <v>45901</v>
      </c>
      <c r="F231">
        <v>1</v>
      </c>
      <c r="G231">
        <v>13</v>
      </c>
      <c r="H231" t="s">
        <v>177</v>
      </c>
      <c r="I231" t="s">
        <v>178</v>
      </c>
      <c r="J231" t="s">
        <v>179</v>
      </c>
      <c r="K231" t="s">
        <v>26</v>
      </c>
      <c r="L231" t="s">
        <v>87</v>
      </c>
      <c r="M231">
        <v>1</v>
      </c>
      <c r="N231">
        <v>0</v>
      </c>
      <c r="O231">
        <v>11.76</v>
      </c>
      <c r="P231">
        <v>0.65</v>
      </c>
      <c r="Q231">
        <v>7.64</v>
      </c>
      <c r="R231" t="s">
        <v>54</v>
      </c>
      <c r="S231">
        <v>0</v>
      </c>
      <c r="T231">
        <v>7.64</v>
      </c>
    </row>
    <row r="232" spans="1:20" x14ac:dyDescent="0.25">
      <c r="A232" t="s">
        <v>175</v>
      </c>
      <c r="B232" t="s">
        <v>142</v>
      </c>
      <c r="C232" t="s">
        <v>176</v>
      </c>
      <c r="D232" s="1">
        <v>45536</v>
      </c>
      <c r="E232" s="1">
        <v>45901</v>
      </c>
      <c r="F232">
        <v>1</v>
      </c>
      <c r="G232">
        <v>13</v>
      </c>
      <c r="H232" t="s">
        <v>177</v>
      </c>
      <c r="I232" t="s">
        <v>178</v>
      </c>
      <c r="J232" t="s">
        <v>179</v>
      </c>
      <c r="K232" t="s">
        <v>26</v>
      </c>
      <c r="L232" t="s">
        <v>45</v>
      </c>
      <c r="M232">
        <v>1</v>
      </c>
      <c r="N232">
        <v>0</v>
      </c>
      <c r="O232">
        <v>12.43</v>
      </c>
      <c r="P232">
        <v>0.65</v>
      </c>
      <c r="Q232">
        <v>8.08</v>
      </c>
      <c r="R232" t="s">
        <v>54</v>
      </c>
      <c r="S232">
        <v>0</v>
      </c>
      <c r="T232">
        <v>8.08</v>
      </c>
    </row>
    <row r="233" spans="1:20" x14ac:dyDescent="0.25">
      <c r="A233" t="s">
        <v>175</v>
      </c>
      <c r="B233" t="s">
        <v>142</v>
      </c>
      <c r="C233" t="s">
        <v>176</v>
      </c>
      <c r="D233" s="1">
        <v>45536</v>
      </c>
      <c r="E233" s="1">
        <v>45901</v>
      </c>
      <c r="F233">
        <v>1</v>
      </c>
      <c r="G233">
        <v>13</v>
      </c>
      <c r="H233" t="s">
        <v>177</v>
      </c>
      <c r="I233" t="s">
        <v>178</v>
      </c>
      <c r="J233" t="s">
        <v>179</v>
      </c>
      <c r="K233" t="s">
        <v>26</v>
      </c>
      <c r="L233" t="s">
        <v>55</v>
      </c>
      <c r="M233">
        <v>1</v>
      </c>
      <c r="N233">
        <v>0</v>
      </c>
      <c r="O233">
        <v>53.68</v>
      </c>
      <c r="P233">
        <v>0.65</v>
      </c>
      <c r="Q233">
        <v>34.89</v>
      </c>
      <c r="R233" t="s">
        <v>54</v>
      </c>
      <c r="S233">
        <v>0</v>
      </c>
      <c r="T233">
        <v>34.89</v>
      </c>
    </row>
    <row r="234" spans="1:20" x14ac:dyDescent="0.25">
      <c r="A234" t="s">
        <v>180</v>
      </c>
      <c r="B234" t="s">
        <v>142</v>
      </c>
      <c r="C234" t="s">
        <v>181</v>
      </c>
      <c r="D234" s="1">
        <v>45606</v>
      </c>
      <c r="E234" s="1">
        <v>45910</v>
      </c>
      <c r="F234">
        <v>1</v>
      </c>
      <c r="G234">
        <v>8</v>
      </c>
      <c r="H234" t="s">
        <v>182</v>
      </c>
      <c r="I234" t="s">
        <v>183</v>
      </c>
      <c r="J234" t="s">
        <v>184</v>
      </c>
      <c r="K234" t="s">
        <v>26</v>
      </c>
      <c r="L234" t="s">
        <v>185</v>
      </c>
      <c r="M234">
        <v>1</v>
      </c>
      <c r="N234">
        <v>54.57</v>
      </c>
      <c r="O234">
        <v>30.83</v>
      </c>
      <c r="P234">
        <v>0.6</v>
      </c>
      <c r="Q234">
        <v>18.5</v>
      </c>
      <c r="R234" t="s">
        <v>54</v>
      </c>
      <c r="S234">
        <v>0</v>
      </c>
      <c r="T234">
        <v>18.5</v>
      </c>
    </row>
    <row r="235" spans="1:20" x14ac:dyDescent="0.25">
      <c r="A235" t="s">
        <v>180</v>
      </c>
      <c r="B235" t="s">
        <v>142</v>
      </c>
      <c r="C235" t="s">
        <v>181</v>
      </c>
      <c r="D235" s="1">
        <v>45606</v>
      </c>
      <c r="E235" s="1">
        <v>45910</v>
      </c>
      <c r="F235">
        <v>1</v>
      </c>
      <c r="G235">
        <v>8</v>
      </c>
      <c r="H235" t="s">
        <v>182</v>
      </c>
      <c r="I235" t="s">
        <v>183</v>
      </c>
      <c r="J235" t="s">
        <v>184</v>
      </c>
      <c r="K235" t="s">
        <v>26</v>
      </c>
      <c r="L235" t="s">
        <v>186</v>
      </c>
      <c r="M235">
        <v>1</v>
      </c>
      <c r="N235">
        <v>0</v>
      </c>
      <c r="O235">
        <v>3.58</v>
      </c>
      <c r="P235">
        <v>0.6</v>
      </c>
      <c r="Q235">
        <v>2.15</v>
      </c>
      <c r="R235" t="s">
        <v>54</v>
      </c>
      <c r="S235">
        <v>0</v>
      </c>
      <c r="T235">
        <v>2.15</v>
      </c>
    </row>
    <row r="236" spans="1:20" x14ac:dyDescent="0.25">
      <c r="A236" t="s">
        <v>180</v>
      </c>
      <c r="B236" t="s">
        <v>142</v>
      </c>
      <c r="C236" t="s">
        <v>181</v>
      </c>
      <c r="D236" s="1">
        <v>45606</v>
      </c>
      <c r="E236" s="1">
        <v>45910</v>
      </c>
      <c r="F236">
        <v>1</v>
      </c>
      <c r="G236">
        <v>8</v>
      </c>
      <c r="H236" t="s">
        <v>182</v>
      </c>
      <c r="I236" t="s">
        <v>183</v>
      </c>
      <c r="J236" t="s">
        <v>184</v>
      </c>
      <c r="K236" t="s">
        <v>26</v>
      </c>
      <c r="L236" t="s">
        <v>187</v>
      </c>
      <c r="M236">
        <v>1</v>
      </c>
      <c r="N236">
        <v>0</v>
      </c>
      <c r="O236">
        <v>9.75</v>
      </c>
      <c r="P236">
        <v>0.6</v>
      </c>
      <c r="Q236">
        <v>5.85</v>
      </c>
      <c r="R236" t="s">
        <v>54</v>
      </c>
      <c r="S236">
        <v>0</v>
      </c>
      <c r="T236">
        <v>5.85</v>
      </c>
    </row>
    <row r="237" spans="1:20" x14ac:dyDescent="0.25">
      <c r="A237" t="s">
        <v>180</v>
      </c>
      <c r="B237" t="s">
        <v>142</v>
      </c>
      <c r="C237" t="s">
        <v>181</v>
      </c>
      <c r="D237" s="1">
        <v>45606</v>
      </c>
      <c r="E237" s="1">
        <v>45910</v>
      </c>
      <c r="F237">
        <v>1</v>
      </c>
      <c r="G237">
        <v>8</v>
      </c>
      <c r="H237" t="s">
        <v>182</v>
      </c>
      <c r="I237" t="s">
        <v>183</v>
      </c>
      <c r="J237" t="s">
        <v>184</v>
      </c>
      <c r="K237" t="s">
        <v>26</v>
      </c>
      <c r="L237" t="s">
        <v>188</v>
      </c>
      <c r="M237">
        <v>1</v>
      </c>
      <c r="N237">
        <v>0</v>
      </c>
      <c r="O237">
        <v>4.83</v>
      </c>
      <c r="P237">
        <v>0.6</v>
      </c>
      <c r="Q237">
        <v>2.9</v>
      </c>
      <c r="R237" t="s">
        <v>54</v>
      </c>
      <c r="S237">
        <v>0</v>
      </c>
      <c r="T237">
        <v>2.9</v>
      </c>
    </row>
    <row r="238" spans="1:20" x14ac:dyDescent="0.25">
      <c r="A238" t="s">
        <v>180</v>
      </c>
      <c r="B238" t="s">
        <v>142</v>
      </c>
      <c r="C238" t="s">
        <v>181</v>
      </c>
      <c r="D238" s="1">
        <v>45606</v>
      </c>
      <c r="E238" s="1">
        <v>45910</v>
      </c>
      <c r="F238">
        <v>1</v>
      </c>
      <c r="G238">
        <v>8</v>
      </c>
      <c r="H238" t="s">
        <v>182</v>
      </c>
      <c r="I238" t="s">
        <v>183</v>
      </c>
      <c r="J238" t="s">
        <v>184</v>
      </c>
      <c r="K238" t="s">
        <v>26</v>
      </c>
      <c r="L238" t="s">
        <v>189</v>
      </c>
      <c r="M238">
        <v>1</v>
      </c>
      <c r="N238">
        <v>0</v>
      </c>
      <c r="O238">
        <v>3.5</v>
      </c>
      <c r="P238">
        <v>0.6</v>
      </c>
      <c r="Q238">
        <v>2.1</v>
      </c>
      <c r="R238" t="s">
        <v>54</v>
      </c>
      <c r="S238">
        <v>0</v>
      </c>
      <c r="T238">
        <v>2.1</v>
      </c>
    </row>
    <row r="239" spans="1:20" x14ac:dyDescent="0.25">
      <c r="A239" t="s">
        <v>190</v>
      </c>
      <c r="B239" t="s">
        <v>166</v>
      </c>
      <c r="C239" t="s">
        <v>191</v>
      </c>
      <c r="D239" s="1">
        <v>45619</v>
      </c>
      <c r="E239" s="1">
        <v>45923</v>
      </c>
      <c r="F239">
        <v>1</v>
      </c>
      <c r="G239">
        <v>22</v>
      </c>
      <c r="H239" t="s">
        <v>182</v>
      </c>
      <c r="I239" t="s">
        <v>183</v>
      </c>
      <c r="J239" t="s">
        <v>184</v>
      </c>
      <c r="K239" t="s">
        <v>26</v>
      </c>
      <c r="L239" t="s">
        <v>185</v>
      </c>
      <c r="M239">
        <v>1</v>
      </c>
      <c r="N239">
        <v>45.87</v>
      </c>
      <c r="O239">
        <v>29.17</v>
      </c>
      <c r="P239">
        <v>0.6</v>
      </c>
      <c r="Q239">
        <v>17.5</v>
      </c>
      <c r="R239" t="s">
        <v>69</v>
      </c>
      <c r="S239">
        <v>-0.01</v>
      </c>
      <c r="T239">
        <v>17.489999999999998</v>
      </c>
    </row>
    <row r="240" spans="1:20" x14ac:dyDescent="0.25">
      <c r="A240" t="s">
        <v>190</v>
      </c>
      <c r="B240" t="s">
        <v>166</v>
      </c>
      <c r="C240" t="s">
        <v>191</v>
      </c>
      <c r="D240" s="1">
        <v>45619</v>
      </c>
      <c r="E240" s="1">
        <v>45923</v>
      </c>
      <c r="F240">
        <v>1</v>
      </c>
      <c r="G240">
        <v>22</v>
      </c>
      <c r="H240" t="s">
        <v>182</v>
      </c>
      <c r="I240" t="s">
        <v>183</v>
      </c>
      <c r="J240" t="s">
        <v>184</v>
      </c>
      <c r="K240" t="s">
        <v>26</v>
      </c>
      <c r="L240" t="s">
        <v>189</v>
      </c>
      <c r="M240">
        <v>1</v>
      </c>
      <c r="N240">
        <v>0</v>
      </c>
      <c r="O240">
        <v>4.37</v>
      </c>
      <c r="P240">
        <v>0.6</v>
      </c>
      <c r="Q240">
        <v>2.62</v>
      </c>
      <c r="R240" t="s">
        <v>54</v>
      </c>
      <c r="S240">
        <v>0</v>
      </c>
      <c r="T240">
        <v>2.62</v>
      </c>
    </row>
    <row r="241" spans="1:20" x14ac:dyDescent="0.25">
      <c r="A241" t="s">
        <v>190</v>
      </c>
      <c r="B241" t="s">
        <v>166</v>
      </c>
      <c r="C241" t="s">
        <v>191</v>
      </c>
      <c r="D241" s="1">
        <v>45619</v>
      </c>
      <c r="E241" s="1">
        <v>45923</v>
      </c>
      <c r="F241">
        <v>1</v>
      </c>
      <c r="G241">
        <v>22</v>
      </c>
      <c r="H241" t="s">
        <v>182</v>
      </c>
      <c r="I241" t="s">
        <v>183</v>
      </c>
      <c r="J241" t="s">
        <v>184</v>
      </c>
      <c r="K241" t="s">
        <v>26</v>
      </c>
      <c r="L241" t="s">
        <v>187</v>
      </c>
      <c r="M241">
        <v>1</v>
      </c>
      <c r="N241">
        <v>0</v>
      </c>
      <c r="O241">
        <v>5.42</v>
      </c>
      <c r="P241">
        <v>0.6</v>
      </c>
      <c r="Q241">
        <v>3.25</v>
      </c>
      <c r="R241" t="s">
        <v>54</v>
      </c>
      <c r="S241">
        <v>0</v>
      </c>
      <c r="T241">
        <v>3.25</v>
      </c>
    </row>
    <row r="242" spans="1:20" x14ac:dyDescent="0.25">
      <c r="A242" t="s">
        <v>190</v>
      </c>
      <c r="B242" t="s">
        <v>166</v>
      </c>
      <c r="C242" t="s">
        <v>191</v>
      </c>
      <c r="D242" s="1">
        <v>45619</v>
      </c>
      <c r="E242" s="1">
        <v>45923</v>
      </c>
      <c r="F242">
        <v>1</v>
      </c>
      <c r="G242">
        <v>22</v>
      </c>
      <c r="H242" t="s">
        <v>182</v>
      </c>
      <c r="I242" t="s">
        <v>183</v>
      </c>
      <c r="J242" t="s">
        <v>184</v>
      </c>
      <c r="K242" t="s">
        <v>26</v>
      </c>
      <c r="L242" t="s">
        <v>186</v>
      </c>
      <c r="M242">
        <v>1</v>
      </c>
      <c r="N242">
        <v>0</v>
      </c>
      <c r="O242">
        <v>0.83</v>
      </c>
      <c r="P242">
        <v>0.6</v>
      </c>
      <c r="Q242">
        <v>0.5</v>
      </c>
      <c r="R242" t="s">
        <v>54</v>
      </c>
      <c r="S242">
        <v>0</v>
      </c>
      <c r="T242">
        <v>0.5</v>
      </c>
    </row>
    <row r="243" spans="1:20" x14ac:dyDescent="0.25">
      <c r="A243" t="s">
        <v>190</v>
      </c>
      <c r="B243" t="s">
        <v>166</v>
      </c>
      <c r="C243" t="s">
        <v>191</v>
      </c>
      <c r="D243" s="1">
        <v>45619</v>
      </c>
      <c r="E243" s="1">
        <v>45923</v>
      </c>
      <c r="F243">
        <v>1</v>
      </c>
      <c r="G243">
        <v>22</v>
      </c>
      <c r="H243" t="s">
        <v>182</v>
      </c>
      <c r="I243" t="s">
        <v>183</v>
      </c>
      <c r="J243" t="s">
        <v>184</v>
      </c>
      <c r="K243" t="s">
        <v>26</v>
      </c>
      <c r="L243" t="s">
        <v>188</v>
      </c>
      <c r="M243">
        <v>1</v>
      </c>
      <c r="N243">
        <v>0</v>
      </c>
      <c r="O243">
        <v>4</v>
      </c>
      <c r="P243">
        <v>0.6</v>
      </c>
      <c r="Q243">
        <v>2.4</v>
      </c>
      <c r="R243" t="s">
        <v>54</v>
      </c>
      <c r="S243">
        <v>0</v>
      </c>
      <c r="T243">
        <v>2.4</v>
      </c>
    </row>
    <row r="244" spans="1:20" x14ac:dyDescent="0.25">
      <c r="A244" t="s">
        <v>192</v>
      </c>
      <c r="B244" t="s">
        <v>66</v>
      </c>
      <c r="C244" t="s">
        <v>193</v>
      </c>
      <c r="D244" s="1">
        <v>45552</v>
      </c>
      <c r="E244" s="1">
        <v>45917</v>
      </c>
      <c r="F244">
        <v>1</v>
      </c>
      <c r="G244">
        <v>18</v>
      </c>
      <c r="H244" t="s">
        <v>194</v>
      </c>
      <c r="I244" t="s">
        <v>195</v>
      </c>
      <c r="J244" t="s">
        <v>196</v>
      </c>
      <c r="K244" t="s">
        <v>26</v>
      </c>
      <c r="L244" t="s">
        <v>68</v>
      </c>
      <c r="M244">
        <v>1</v>
      </c>
      <c r="N244">
        <v>104.12</v>
      </c>
      <c r="O244">
        <v>78.59</v>
      </c>
      <c r="P244">
        <v>0.65</v>
      </c>
      <c r="Q244">
        <v>51.08</v>
      </c>
      <c r="R244" t="s">
        <v>54</v>
      </c>
      <c r="S244">
        <v>0</v>
      </c>
      <c r="T244">
        <v>51.08</v>
      </c>
    </row>
    <row r="245" spans="1:20" x14ac:dyDescent="0.25">
      <c r="A245" t="s">
        <v>192</v>
      </c>
      <c r="B245" t="s">
        <v>66</v>
      </c>
      <c r="C245" t="s">
        <v>193</v>
      </c>
      <c r="D245" s="1">
        <v>45552</v>
      </c>
      <c r="E245" s="1">
        <v>45917</v>
      </c>
      <c r="F245">
        <v>1</v>
      </c>
      <c r="G245">
        <v>18</v>
      </c>
      <c r="H245" t="s">
        <v>194</v>
      </c>
      <c r="I245" t="s">
        <v>195</v>
      </c>
      <c r="J245" t="s">
        <v>196</v>
      </c>
      <c r="K245" t="s">
        <v>26</v>
      </c>
      <c r="L245" t="s">
        <v>73</v>
      </c>
      <c r="M245">
        <v>1</v>
      </c>
      <c r="N245">
        <v>0</v>
      </c>
      <c r="O245">
        <v>1.68</v>
      </c>
      <c r="P245">
        <v>0.65</v>
      </c>
      <c r="Q245">
        <v>1.0900000000000001</v>
      </c>
      <c r="R245" t="s">
        <v>54</v>
      </c>
      <c r="S245">
        <v>0</v>
      </c>
      <c r="T245">
        <v>1.0900000000000001</v>
      </c>
    </row>
    <row r="246" spans="1:20" x14ac:dyDescent="0.25">
      <c r="A246" t="s">
        <v>192</v>
      </c>
      <c r="B246" t="s">
        <v>66</v>
      </c>
      <c r="C246" t="s">
        <v>193</v>
      </c>
      <c r="D246" s="1">
        <v>45552</v>
      </c>
      <c r="E246" s="1">
        <v>45917</v>
      </c>
      <c r="F246">
        <v>1</v>
      </c>
      <c r="G246">
        <v>18</v>
      </c>
      <c r="H246" t="s">
        <v>194</v>
      </c>
      <c r="I246" t="s">
        <v>195</v>
      </c>
      <c r="J246" t="s">
        <v>196</v>
      </c>
      <c r="K246" t="s">
        <v>26</v>
      </c>
      <c r="L246" t="s">
        <v>197</v>
      </c>
      <c r="M246">
        <v>1</v>
      </c>
      <c r="N246">
        <v>0</v>
      </c>
      <c r="O246">
        <v>20.350000000000001</v>
      </c>
      <c r="P246">
        <v>0.65</v>
      </c>
      <c r="Q246">
        <v>13.23</v>
      </c>
      <c r="R246" t="s">
        <v>54</v>
      </c>
      <c r="S246">
        <v>0</v>
      </c>
      <c r="T246">
        <v>13.23</v>
      </c>
    </row>
    <row r="247" spans="1:20" x14ac:dyDescent="0.25">
      <c r="A247" t="s">
        <v>198</v>
      </c>
      <c r="B247" t="s">
        <v>199</v>
      </c>
      <c r="C247" t="s">
        <v>200</v>
      </c>
      <c r="D247" s="1">
        <v>44872</v>
      </c>
      <c r="E247" s="1">
        <v>45968</v>
      </c>
      <c r="F247">
        <v>3</v>
      </c>
      <c r="G247">
        <v>6</v>
      </c>
      <c r="H247" t="s">
        <v>201</v>
      </c>
      <c r="I247" t="s">
        <v>202</v>
      </c>
      <c r="J247" t="s">
        <v>203</v>
      </c>
      <c r="K247" t="s">
        <v>26</v>
      </c>
      <c r="L247" t="s">
        <v>204</v>
      </c>
      <c r="M247">
        <v>1</v>
      </c>
      <c r="N247">
        <v>109.31</v>
      </c>
      <c r="O247">
        <v>103.06</v>
      </c>
      <c r="P247">
        <v>0.04</v>
      </c>
      <c r="Q247">
        <v>4.12</v>
      </c>
      <c r="R247" t="s">
        <v>54</v>
      </c>
      <c r="S247">
        <v>0</v>
      </c>
      <c r="T247">
        <v>4.12</v>
      </c>
    </row>
    <row r="248" spans="1:20" x14ac:dyDescent="0.25">
      <c r="A248" t="s">
        <v>205</v>
      </c>
      <c r="B248" t="s">
        <v>33</v>
      </c>
      <c r="C248" t="s">
        <v>206</v>
      </c>
      <c r="D248" s="1">
        <v>44851</v>
      </c>
      <c r="E248" s="1">
        <v>45917</v>
      </c>
      <c r="F248">
        <v>1</v>
      </c>
      <c r="G248">
        <v>20</v>
      </c>
      <c r="H248" t="s">
        <v>201</v>
      </c>
      <c r="I248" t="s">
        <v>202</v>
      </c>
      <c r="J248" t="s">
        <v>203</v>
      </c>
      <c r="K248" t="s">
        <v>26</v>
      </c>
      <c r="L248" t="s">
        <v>42</v>
      </c>
      <c r="M248">
        <v>1</v>
      </c>
      <c r="N248">
        <v>40.03</v>
      </c>
      <c r="O248">
        <v>21.61</v>
      </c>
      <c r="P248">
        <v>0.04</v>
      </c>
      <c r="Q248">
        <v>0.86</v>
      </c>
      <c r="R248" t="s">
        <v>54</v>
      </c>
      <c r="S248">
        <v>0</v>
      </c>
      <c r="T248">
        <v>0.86</v>
      </c>
    </row>
    <row r="249" spans="1:20" x14ac:dyDescent="0.25">
      <c r="A249" t="s">
        <v>205</v>
      </c>
      <c r="B249" t="s">
        <v>33</v>
      </c>
      <c r="C249" t="s">
        <v>206</v>
      </c>
      <c r="D249" s="1">
        <v>44851</v>
      </c>
      <c r="E249" s="1">
        <v>45917</v>
      </c>
      <c r="F249">
        <v>1</v>
      </c>
      <c r="G249">
        <v>20</v>
      </c>
      <c r="H249" t="s">
        <v>201</v>
      </c>
      <c r="I249" t="s">
        <v>202</v>
      </c>
      <c r="J249" t="s">
        <v>203</v>
      </c>
      <c r="K249" t="s">
        <v>26</v>
      </c>
      <c r="L249" t="s">
        <v>44</v>
      </c>
      <c r="M249">
        <v>1</v>
      </c>
      <c r="N249">
        <v>0</v>
      </c>
      <c r="O249">
        <v>16.03</v>
      </c>
      <c r="P249">
        <v>0.04</v>
      </c>
      <c r="Q249">
        <v>0.64</v>
      </c>
      <c r="R249" t="s">
        <v>54</v>
      </c>
      <c r="S249">
        <v>0</v>
      </c>
      <c r="T249">
        <v>0.64</v>
      </c>
    </row>
    <row r="250" spans="1:20" x14ac:dyDescent="0.25">
      <c r="A250" t="s">
        <v>205</v>
      </c>
      <c r="B250" t="s">
        <v>33</v>
      </c>
      <c r="C250" t="s">
        <v>206</v>
      </c>
      <c r="D250" s="1">
        <v>44851</v>
      </c>
      <c r="E250" s="1">
        <v>45917</v>
      </c>
      <c r="F250">
        <v>1</v>
      </c>
      <c r="G250">
        <v>20</v>
      </c>
      <c r="H250" t="s">
        <v>201</v>
      </c>
      <c r="I250" t="s">
        <v>202</v>
      </c>
      <c r="J250" t="s">
        <v>203</v>
      </c>
      <c r="K250" t="s">
        <v>26</v>
      </c>
      <c r="L250" t="s">
        <v>85</v>
      </c>
      <c r="M250">
        <v>1</v>
      </c>
      <c r="N250">
        <v>0</v>
      </c>
      <c r="O250">
        <v>0.71</v>
      </c>
      <c r="P250">
        <v>0.04</v>
      </c>
      <c r="Q250">
        <v>0.03</v>
      </c>
      <c r="R250" t="s">
        <v>54</v>
      </c>
      <c r="S250">
        <v>0</v>
      </c>
      <c r="T250">
        <v>0.03</v>
      </c>
    </row>
    <row r="251" spans="1:20" x14ac:dyDescent="0.25">
      <c r="A251" t="s">
        <v>207</v>
      </c>
      <c r="B251" t="s">
        <v>33</v>
      </c>
      <c r="C251" t="s">
        <v>208</v>
      </c>
      <c r="D251" s="1">
        <v>44734</v>
      </c>
      <c r="E251" s="1">
        <v>45891</v>
      </c>
      <c r="F251">
        <v>1</v>
      </c>
      <c r="G251">
        <v>7</v>
      </c>
      <c r="H251" t="s">
        <v>209</v>
      </c>
      <c r="I251" t="s">
        <v>115</v>
      </c>
      <c r="J251" t="s">
        <v>116</v>
      </c>
      <c r="K251" t="s">
        <v>26</v>
      </c>
      <c r="L251" t="s">
        <v>35</v>
      </c>
      <c r="M251">
        <v>1</v>
      </c>
      <c r="N251">
        <v>76.94</v>
      </c>
      <c r="O251">
        <v>52.55</v>
      </c>
      <c r="P251">
        <v>0.01</v>
      </c>
      <c r="Q251">
        <v>0.53</v>
      </c>
      <c r="R251" t="s">
        <v>54</v>
      </c>
      <c r="S251">
        <v>0</v>
      </c>
      <c r="T251">
        <v>0.53</v>
      </c>
    </row>
    <row r="252" spans="1:20" x14ac:dyDescent="0.25">
      <c r="A252" t="s">
        <v>210</v>
      </c>
      <c r="B252" t="s">
        <v>66</v>
      </c>
      <c r="C252" t="s">
        <v>211</v>
      </c>
      <c r="D252" s="1">
        <v>44805</v>
      </c>
      <c r="E252" s="1">
        <v>45901</v>
      </c>
      <c r="F252">
        <v>1</v>
      </c>
      <c r="G252">
        <v>1</v>
      </c>
      <c r="H252" t="s">
        <v>209</v>
      </c>
      <c r="I252" t="s">
        <v>115</v>
      </c>
      <c r="J252" t="s">
        <v>116</v>
      </c>
      <c r="K252" t="s">
        <v>26</v>
      </c>
      <c r="L252" t="s">
        <v>68</v>
      </c>
      <c r="M252">
        <v>1</v>
      </c>
      <c r="N252">
        <v>74.819999999999993</v>
      </c>
      <c r="O252">
        <v>21.31</v>
      </c>
      <c r="P252">
        <v>0.02</v>
      </c>
      <c r="Q252">
        <v>0.43</v>
      </c>
      <c r="R252" t="s">
        <v>54</v>
      </c>
      <c r="S252">
        <v>0</v>
      </c>
      <c r="T252">
        <v>0.43</v>
      </c>
    </row>
    <row r="253" spans="1:20" x14ac:dyDescent="0.25">
      <c r="A253" t="s">
        <v>210</v>
      </c>
      <c r="B253" t="s">
        <v>66</v>
      </c>
      <c r="C253" t="s">
        <v>211</v>
      </c>
      <c r="D253" s="1">
        <v>44805</v>
      </c>
      <c r="E253" s="1">
        <v>45901</v>
      </c>
      <c r="F253">
        <v>1</v>
      </c>
      <c r="G253">
        <v>1</v>
      </c>
      <c r="H253" t="s">
        <v>209</v>
      </c>
      <c r="I253" t="s">
        <v>115</v>
      </c>
      <c r="J253" t="s">
        <v>116</v>
      </c>
      <c r="K253" t="s">
        <v>26</v>
      </c>
      <c r="L253" t="s">
        <v>212</v>
      </c>
      <c r="M253">
        <v>1</v>
      </c>
      <c r="N253">
        <v>0</v>
      </c>
      <c r="O253">
        <v>3.78</v>
      </c>
      <c r="P253">
        <v>0.02</v>
      </c>
      <c r="Q253">
        <v>0.08</v>
      </c>
      <c r="R253" t="s">
        <v>54</v>
      </c>
      <c r="S253">
        <v>0</v>
      </c>
      <c r="T253">
        <v>0.08</v>
      </c>
    </row>
    <row r="254" spans="1:20" x14ac:dyDescent="0.25">
      <c r="A254" t="s">
        <v>210</v>
      </c>
      <c r="B254" t="s">
        <v>66</v>
      </c>
      <c r="C254" t="s">
        <v>211</v>
      </c>
      <c r="D254" s="1">
        <v>44805</v>
      </c>
      <c r="E254" s="1">
        <v>45901</v>
      </c>
      <c r="F254">
        <v>1</v>
      </c>
      <c r="G254">
        <v>1</v>
      </c>
      <c r="H254" t="s">
        <v>209</v>
      </c>
      <c r="I254" t="s">
        <v>115</v>
      </c>
      <c r="J254" t="s">
        <v>116</v>
      </c>
      <c r="K254" t="s">
        <v>26</v>
      </c>
      <c r="L254" t="s">
        <v>75</v>
      </c>
      <c r="M254">
        <v>1</v>
      </c>
      <c r="N254">
        <v>0</v>
      </c>
      <c r="O254">
        <v>19.149999999999999</v>
      </c>
      <c r="P254">
        <v>0.02</v>
      </c>
      <c r="Q254">
        <v>0.38</v>
      </c>
      <c r="R254" t="s">
        <v>54</v>
      </c>
      <c r="S254">
        <v>0</v>
      </c>
      <c r="T254">
        <v>0.38</v>
      </c>
    </row>
    <row r="255" spans="1:20" x14ac:dyDescent="0.25">
      <c r="A255" t="s">
        <v>210</v>
      </c>
      <c r="B255" t="s">
        <v>66</v>
      </c>
      <c r="C255" t="s">
        <v>211</v>
      </c>
      <c r="D255" s="1">
        <v>44805</v>
      </c>
      <c r="E255" s="1">
        <v>45901</v>
      </c>
      <c r="F255">
        <v>1</v>
      </c>
      <c r="G255">
        <v>1</v>
      </c>
      <c r="H255" t="s">
        <v>209</v>
      </c>
      <c r="I255" t="s">
        <v>115</v>
      </c>
      <c r="J255" t="s">
        <v>116</v>
      </c>
      <c r="K255" t="s">
        <v>26</v>
      </c>
      <c r="L255" t="s">
        <v>213</v>
      </c>
      <c r="M255">
        <v>1</v>
      </c>
      <c r="N255">
        <v>0</v>
      </c>
      <c r="O255">
        <v>25.4</v>
      </c>
      <c r="P255">
        <v>0.02</v>
      </c>
      <c r="Q255">
        <v>0.51</v>
      </c>
      <c r="R255" t="s">
        <v>54</v>
      </c>
      <c r="S255">
        <v>0</v>
      </c>
      <c r="T255">
        <v>0.51</v>
      </c>
    </row>
    <row r="256" spans="1:20" x14ac:dyDescent="0.25">
      <c r="A256" t="s">
        <v>214</v>
      </c>
      <c r="B256" t="s">
        <v>66</v>
      </c>
      <c r="C256" t="s">
        <v>215</v>
      </c>
      <c r="D256" s="1">
        <v>44896</v>
      </c>
      <c r="E256" s="1">
        <v>45901</v>
      </c>
      <c r="F256">
        <v>1</v>
      </c>
      <c r="G256">
        <v>1</v>
      </c>
      <c r="H256" t="s">
        <v>209</v>
      </c>
      <c r="I256" t="s">
        <v>115</v>
      </c>
      <c r="J256" t="s">
        <v>116</v>
      </c>
      <c r="K256" t="s">
        <v>26</v>
      </c>
      <c r="L256" t="s">
        <v>68</v>
      </c>
      <c r="M256">
        <v>1</v>
      </c>
      <c r="N256">
        <v>33.659999999999997</v>
      </c>
      <c r="O256">
        <v>6.24</v>
      </c>
      <c r="P256">
        <v>0.02</v>
      </c>
      <c r="Q256">
        <v>0.12</v>
      </c>
      <c r="R256" t="s">
        <v>54</v>
      </c>
      <c r="S256">
        <v>0</v>
      </c>
      <c r="T256">
        <v>0.12</v>
      </c>
    </row>
    <row r="257" spans="1:20" x14ac:dyDescent="0.25">
      <c r="A257" t="s">
        <v>214</v>
      </c>
      <c r="B257" t="s">
        <v>66</v>
      </c>
      <c r="C257" t="s">
        <v>215</v>
      </c>
      <c r="D257" s="1">
        <v>44896</v>
      </c>
      <c r="E257" s="1">
        <v>45901</v>
      </c>
      <c r="F257">
        <v>1</v>
      </c>
      <c r="G257">
        <v>1</v>
      </c>
      <c r="H257" t="s">
        <v>209</v>
      </c>
      <c r="I257" t="s">
        <v>115</v>
      </c>
      <c r="J257" t="s">
        <v>116</v>
      </c>
      <c r="K257" t="s">
        <v>26</v>
      </c>
      <c r="L257" t="s">
        <v>216</v>
      </c>
      <c r="M257">
        <v>1</v>
      </c>
      <c r="N257">
        <v>0</v>
      </c>
      <c r="O257">
        <v>19.489999999999998</v>
      </c>
      <c r="P257">
        <v>0.02</v>
      </c>
      <c r="Q257">
        <v>0.39</v>
      </c>
      <c r="R257" t="s">
        <v>54</v>
      </c>
      <c r="S257">
        <v>0</v>
      </c>
      <c r="T257">
        <v>0.39</v>
      </c>
    </row>
    <row r="258" spans="1:20" x14ac:dyDescent="0.25">
      <c r="A258" t="s">
        <v>214</v>
      </c>
      <c r="B258" t="s">
        <v>66</v>
      </c>
      <c r="C258" t="s">
        <v>215</v>
      </c>
      <c r="D258" s="1">
        <v>44896</v>
      </c>
      <c r="E258" s="1">
        <v>45901</v>
      </c>
      <c r="F258">
        <v>1</v>
      </c>
      <c r="G258">
        <v>1</v>
      </c>
      <c r="H258" t="s">
        <v>209</v>
      </c>
      <c r="I258" t="s">
        <v>115</v>
      </c>
      <c r="J258" t="s">
        <v>116</v>
      </c>
      <c r="K258" t="s">
        <v>26</v>
      </c>
      <c r="L258" t="s">
        <v>217</v>
      </c>
      <c r="M258">
        <v>1</v>
      </c>
      <c r="N258">
        <v>0</v>
      </c>
      <c r="O258">
        <v>2.75</v>
      </c>
      <c r="P258">
        <v>0.02</v>
      </c>
      <c r="Q258">
        <v>0.06</v>
      </c>
      <c r="R258" t="s">
        <v>54</v>
      </c>
      <c r="S258">
        <v>0</v>
      </c>
      <c r="T258">
        <v>0.06</v>
      </c>
    </row>
    <row r="259" spans="1:20" x14ac:dyDescent="0.25">
      <c r="A259" t="s">
        <v>218</v>
      </c>
      <c r="B259" t="s">
        <v>66</v>
      </c>
      <c r="C259" t="s">
        <v>219</v>
      </c>
      <c r="D259" s="1">
        <v>44818</v>
      </c>
      <c r="E259" s="1">
        <v>45914</v>
      </c>
      <c r="F259">
        <v>1</v>
      </c>
      <c r="G259">
        <v>1</v>
      </c>
      <c r="H259" t="s">
        <v>209</v>
      </c>
      <c r="I259" t="s">
        <v>115</v>
      </c>
      <c r="J259" t="s">
        <v>116</v>
      </c>
      <c r="K259" t="s">
        <v>26</v>
      </c>
      <c r="L259" t="s">
        <v>68</v>
      </c>
      <c r="M259">
        <v>1</v>
      </c>
      <c r="N259">
        <v>76.14</v>
      </c>
      <c r="O259">
        <v>19.27</v>
      </c>
      <c r="P259">
        <v>0.02</v>
      </c>
      <c r="Q259">
        <v>0.39</v>
      </c>
      <c r="R259" t="s">
        <v>54</v>
      </c>
      <c r="S259">
        <v>0</v>
      </c>
      <c r="T259">
        <v>0.39</v>
      </c>
    </row>
    <row r="260" spans="1:20" x14ac:dyDescent="0.25">
      <c r="A260" t="s">
        <v>218</v>
      </c>
      <c r="B260" t="s">
        <v>66</v>
      </c>
      <c r="C260" t="s">
        <v>219</v>
      </c>
      <c r="D260" s="1">
        <v>44818</v>
      </c>
      <c r="E260" s="1">
        <v>45914</v>
      </c>
      <c r="F260">
        <v>1</v>
      </c>
      <c r="G260">
        <v>1</v>
      </c>
      <c r="H260" t="s">
        <v>209</v>
      </c>
      <c r="I260" t="s">
        <v>115</v>
      </c>
      <c r="J260" t="s">
        <v>116</v>
      </c>
      <c r="K260" t="s">
        <v>26</v>
      </c>
      <c r="L260" t="s">
        <v>212</v>
      </c>
      <c r="M260">
        <v>1</v>
      </c>
      <c r="N260">
        <v>0</v>
      </c>
      <c r="O260">
        <v>3.53</v>
      </c>
      <c r="P260">
        <v>0.02</v>
      </c>
      <c r="Q260">
        <v>7.0000000000000007E-2</v>
      </c>
      <c r="R260" t="s">
        <v>54</v>
      </c>
      <c r="S260">
        <v>0</v>
      </c>
      <c r="T260">
        <v>7.0000000000000007E-2</v>
      </c>
    </row>
    <row r="261" spans="1:20" x14ac:dyDescent="0.25">
      <c r="A261" t="s">
        <v>218</v>
      </c>
      <c r="B261" t="s">
        <v>66</v>
      </c>
      <c r="C261" t="s">
        <v>219</v>
      </c>
      <c r="D261" s="1">
        <v>44818</v>
      </c>
      <c r="E261" s="1">
        <v>45914</v>
      </c>
      <c r="F261">
        <v>1</v>
      </c>
      <c r="G261">
        <v>1</v>
      </c>
      <c r="H261" t="s">
        <v>209</v>
      </c>
      <c r="I261" t="s">
        <v>115</v>
      </c>
      <c r="J261" t="s">
        <v>116</v>
      </c>
      <c r="K261" t="s">
        <v>26</v>
      </c>
      <c r="L261" t="s">
        <v>70</v>
      </c>
      <c r="M261">
        <v>1</v>
      </c>
      <c r="N261">
        <v>0</v>
      </c>
      <c r="O261">
        <v>6.22</v>
      </c>
      <c r="P261">
        <v>0.02</v>
      </c>
      <c r="Q261">
        <v>0.12</v>
      </c>
      <c r="R261" t="s">
        <v>54</v>
      </c>
      <c r="S261">
        <v>0</v>
      </c>
      <c r="T261">
        <v>0.12</v>
      </c>
    </row>
    <row r="262" spans="1:20" x14ac:dyDescent="0.25">
      <c r="A262" t="s">
        <v>218</v>
      </c>
      <c r="B262" t="s">
        <v>66</v>
      </c>
      <c r="C262" t="s">
        <v>219</v>
      </c>
      <c r="D262" s="1">
        <v>44818</v>
      </c>
      <c r="E262" s="1">
        <v>45914</v>
      </c>
      <c r="F262">
        <v>1</v>
      </c>
      <c r="G262">
        <v>1</v>
      </c>
      <c r="H262" t="s">
        <v>209</v>
      </c>
      <c r="I262" t="s">
        <v>115</v>
      </c>
      <c r="J262" t="s">
        <v>116</v>
      </c>
      <c r="K262" t="s">
        <v>26</v>
      </c>
      <c r="L262" t="s">
        <v>213</v>
      </c>
      <c r="M262">
        <v>1</v>
      </c>
      <c r="N262">
        <v>0</v>
      </c>
      <c r="O262">
        <v>24.87</v>
      </c>
      <c r="P262">
        <v>0.02</v>
      </c>
      <c r="Q262">
        <v>0.5</v>
      </c>
      <c r="R262" t="s">
        <v>54</v>
      </c>
      <c r="S262">
        <v>0</v>
      </c>
      <c r="T262">
        <v>0.5</v>
      </c>
    </row>
    <row r="263" spans="1:20" x14ac:dyDescent="0.25">
      <c r="A263" t="s">
        <v>218</v>
      </c>
      <c r="B263" t="s">
        <v>66</v>
      </c>
      <c r="C263" t="s">
        <v>219</v>
      </c>
      <c r="D263" s="1">
        <v>44818</v>
      </c>
      <c r="E263" s="1">
        <v>45914</v>
      </c>
      <c r="F263">
        <v>1</v>
      </c>
      <c r="G263">
        <v>1</v>
      </c>
      <c r="H263" t="s">
        <v>209</v>
      </c>
      <c r="I263" t="s">
        <v>115</v>
      </c>
      <c r="J263" t="s">
        <v>116</v>
      </c>
      <c r="K263" t="s">
        <v>26</v>
      </c>
      <c r="L263" t="s">
        <v>75</v>
      </c>
      <c r="M263">
        <v>1</v>
      </c>
      <c r="N263">
        <v>0</v>
      </c>
      <c r="O263">
        <v>17.059999999999999</v>
      </c>
      <c r="P263">
        <v>0.02</v>
      </c>
      <c r="Q263">
        <v>0.34</v>
      </c>
      <c r="R263" t="s">
        <v>54</v>
      </c>
      <c r="S263">
        <v>0</v>
      </c>
      <c r="T263">
        <v>0.34</v>
      </c>
    </row>
    <row r="264" spans="1:20" x14ac:dyDescent="0.25">
      <c r="A264" t="s">
        <v>220</v>
      </c>
      <c r="B264" t="s">
        <v>33</v>
      </c>
      <c r="C264" t="s">
        <v>221</v>
      </c>
      <c r="D264" s="1">
        <v>44824</v>
      </c>
      <c r="E264" s="1">
        <v>45920</v>
      </c>
      <c r="F264">
        <v>1</v>
      </c>
      <c r="G264">
        <v>13</v>
      </c>
      <c r="H264" t="s">
        <v>209</v>
      </c>
      <c r="I264" t="s">
        <v>115</v>
      </c>
      <c r="J264" t="s">
        <v>116</v>
      </c>
      <c r="K264" t="s">
        <v>26</v>
      </c>
      <c r="L264" t="s">
        <v>42</v>
      </c>
      <c r="M264">
        <v>1</v>
      </c>
      <c r="N264">
        <v>54.57</v>
      </c>
      <c r="O264">
        <v>10.11</v>
      </c>
      <c r="P264">
        <v>0.02</v>
      </c>
      <c r="Q264">
        <v>0.2</v>
      </c>
      <c r="R264" t="s">
        <v>54</v>
      </c>
      <c r="S264">
        <v>0</v>
      </c>
      <c r="T264">
        <v>0.2</v>
      </c>
    </row>
    <row r="265" spans="1:20" x14ac:dyDescent="0.25">
      <c r="A265" t="s">
        <v>220</v>
      </c>
      <c r="B265" t="s">
        <v>33</v>
      </c>
      <c r="C265" t="s">
        <v>221</v>
      </c>
      <c r="D265" s="1">
        <v>44824</v>
      </c>
      <c r="E265" s="1">
        <v>45920</v>
      </c>
      <c r="F265">
        <v>1</v>
      </c>
      <c r="G265">
        <v>13</v>
      </c>
      <c r="H265" t="s">
        <v>209</v>
      </c>
      <c r="I265" t="s">
        <v>115</v>
      </c>
      <c r="J265" t="s">
        <v>116</v>
      </c>
      <c r="K265" t="s">
        <v>26</v>
      </c>
      <c r="L265" t="s">
        <v>55</v>
      </c>
      <c r="M265">
        <v>1</v>
      </c>
      <c r="N265">
        <v>0</v>
      </c>
      <c r="O265">
        <v>20.53</v>
      </c>
      <c r="P265">
        <v>0.02</v>
      </c>
      <c r="Q265">
        <v>0.41</v>
      </c>
      <c r="R265" t="s">
        <v>54</v>
      </c>
      <c r="S265">
        <v>0</v>
      </c>
      <c r="T265">
        <v>0.41</v>
      </c>
    </row>
    <row r="266" spans="1:20" x14ac:dyDescent="0.25">
      <c r="A266" t="s">
        <v>220</v>
      </c>
      <c r="B266" t="s">
        <v>33</v>
      </c>
      <c r="C266" t="s">
        <v>221</v>
      </c>
      <c r="D266" s="1">
        <v>44824</v>
      </c>
      <c r="E266" s="1">
        <v>45920</v>
      </c>
      <c r="F266">
        <v>1</v>
      </c>
      <c r="G266">
        <v>13</v>
      </c>
      <c r="H266" t="s">
        <v>209</v>
      </c>
      <c r="I266" t="s">
        <v>115</v>
      </c>
      <c r="J266" t="s">
        <v>116</v>
      </c>
      <c r="K266" t="s">
        <v>26</v>
      </c>
      <c r="L266" t="s">
        <v>56</v>
      </c>
      <c r="M266">
        <v>1</v>
      </c>
      <c r="N266">
        <v>0</v>
      </c>
      <c r="O266">
        <v>3.1</v>
      </c>
      <c r="P266">
        <v>0.02</v>
      </c>
      <c r="Q266">
        <v>0.06</v>
      </c>
      <c r="R266" t="s">
        <v>54</v>
      </c>
      <c r="S266">
        <v>0</v>
      </c>
      <c r="T266">
        <v>0.06</v>
      </c>
    </row>
    <row r="267" spans="1:20" x14ac:dyDescent="0.25">
      <c r="A267" t="s">
        <v>220</v>
      </c>
      <c r="B267" t="s">
        <v>33</v>
      </c>
      <c r="C267" t="s">
        <v>221</v>
      </c>
      <c r="D267" s="1">
        <v>44824</v>
      </c>
      <c r="E267" s="1">
        <v>45920</v>
      </c>
      <c r="F267">
        <v>1</v>
      </c>
      <c r="G267">
        <v>13</v>
      </c>
      <c r="H267" t="s">
        <v>209</v>
      </c>
      <c r="I267" t="s">
        <v>115</v>
      </c>
      <c r="J267" t="s">
        <v>116</v>
      </c>
      <c r="K267" t="s">
        <v>26</v>
      </c>
      <c r="L267" t="s">
        <v>45</v>
      </c>
      <c r="M267">
        <v>1</v>
      </c>
      <c r="N267">
        <v>0</v>
      </c>
      <c r="O267">
        <v>6.22</v>
      </c>
      <c r="P267">
        <v>0.02</v>
      </c>
      <c r="Q267">
        <v>0.12</v>
      </c>
      <c r="R267" t="s">
        <v>54</v>
      </c>
      <c r="S267">
        <v>0</v>
      </c>
      <c r="T267">
        <v>0.12</v>
      </c>
    </row>
    <row r="268" spans="1:20" x14ac:dyDescent="0.25">
      <c r="A268" t="s">
        <v>220</v>
      </c>
      <c r="B268" t="s">
        <v>33</v>
      </c>
      <c r="C268" t="s">
        <v>221</v>
      </c>
      <c r="D268" s="1">
        <v>44824</v>
      </c>
      <c r="E268" s="1">
        <v>45920</v>
      </c>
      <c r="F268">
        <v>1</v>
      </c>
      <c r="G268">
        <v>13</v>
      </c>
      <c r="H268" t="s">
        <v>209</v>
      </c>
      <c r="I268" t="s">
        <v>115</v>
      </c>
      <c r="J268" t="s">
        <v>116</v>
      </c>
      <c r="K268" t="s">
        <v>26</v>
      </c>
      <c r="L268" t="s">
        <v>44</v>
      </c>
      <c r="M268">
        <v>1</v>
      </c>
      <c r="N268">
        <v>0</v>
      </c>
      <c r="O268">
        <v>12.93</v>
      </c>
      <c r="P268">
        <v>0.02</v>
      </c>
      <c r="Q268">
        <v>0.26</v>
      </c>
      <c r="R268" t="s">
        <v>54</v>
      </c>
      <c r="S268">
        <v>0</v>
      </c>
      <c r="T268">
        <v>0.26</v>
      </c>
    </row>
    <row r="269" spans="1:20" x14ac:dyDescent="0.25">
      <c r="A269" t="s">
        <v>222</v>
      </c>
      <c r="B269" t="s">
        <v>33</v>
      </c>
      <c r="C269" t="s">
        <v>223</v>
      </c>
      <c r="D269" s="1">
        <v>44858</v>
      </c>
      <c r="E269" s="1">
        <v>45924</v>
      </c>
      <c r="F269">
        <v>1</v>
      </c>
      <c r="G269">
        <v>13</v>
      </c>
      <c r="H269" t="s">
        <v>209</v>
      </c>
      <c r="I269" t="s">
        <v>115</v>
      </c>
      <c r="J269" t="s">
        <v>116</v>
      </c>
      <c r="K269" t="s">
        <v>26</v>
      </c>
      <c r="L269" t="s">
        <v>42</v>
      </c>
      <c r="M269">
        <v>1</v>
      </c>
      <c r="N269">
        <v>62.68</v>
      </c>
      <c r="O269">
        <v>26.47</v>
      </c>
      <c r="P269">
        <v>0.02</v>
      </c>
      <c r="Q269">
        <v>0.53</v>
      </c>
      <c r="R269" t="s">
        <v>54</v>
      </c>
      <c r="S269">
        <v>0</v>
      </c>
      <c r="T269">
        <v>0.53</v>
      </c>
    </row>
    <row r="270" spans="1:20" x14ac:dyDescent="0.25">
      <c r="A270" t="s">
        <v>222</v>
      </c>
      <c r="B270" t="s">
        <v>33</v>
      </c>
      <c r="C270" t="s">
        <v>223</v>
      </c>
      <c r="D270" s="1">
        <v>44858</v>
      </c>
      <c r="E270" s="1">
        <v>45924</v>
      </c>
      <c r="F270">
        <v>1</v>
      </c>
      <c r="G270">
        <v>13</v>
      </c>
      <c r="H270" t="s">
        <v>209</v>
      </c>
      <c r="I270" t="s">
        <v>115</v>
      </c>
      <c r="J270" t="s">
        <v>116</v>
      </c>
      <c r="K270" t="s">
        <v>26</v>
      </c>
      <c r="L270" t="s">
        <v>44</v>
      </c>
      <c r="M270">
        <v>1</v>
      </c>
      <c r="N270">
        <v>0</v>
      </c>
      <c r="O270">
        <v>12.29</v>
      </c>
      <c r="P270">
        <v>0.02</v>
      </c>
      <c r="Q270">
        <v>0.25</v>
      </c>
      <c r="R270" t="s">
        <v>54</v>
      </c>
      <c r="S270">
        <v>0</v>
      </c>
      <c r="T270">
        <v>0.25</v>
      </c>
    </row>
    <row r="271" spans="1:20" x14ac:dyDescent="0.25">
      <c r="A271" t="s">
        <v>222</v>
      </c>
      <c r="B271" t="s">
        <v>33</v>
      </c>
      <c r="C271" t="s">
        <v>223</v>
      </c>
      <c r="D271" s="1">
        <v>44858</v>
      </c>
      <c r="E271" s="1">
        <v>45924</v>
      </c>
      <c r="F271">
        <v>1</v>
      </c>
      <c r="G271">
        <v>13</v>
      </c>
      <c r="H271" t="s">
        <v>209</v>
      </c>
      <c r="I271" t="s">
        <v>115</v>
      </c>
      <c r="J271" t="s">
        <v>116</v>
      </c>
      <c r="K271" t="s">
        <v>26</v>
      </c>
      <c r="L271" t="s">
        <v>55</v>
      </c>
      <c r="M271">
        <v>1</v>
      </c>
      <c r="N271">
        <v>0</v>
      </c>
      <c r="O271">
        <v>19.489999999999998</v>
      </c>
      <c r="P271">
        <v>0.02</v>
      </c>
      <c r="Q271">
        <v>0.39</v>
      </c>
      <c r="R271" t="s">
        <v>54</v>
      </c>
      <c r="S271">
        <v>0</v>
      </c>
      <c r="T271">
        <v>0.39</v>
      </c>
    </row>
    <row r="272" spans="1:20" x14ac:dyDescent="0.25">
      <c r="A272" t="s">
        <v>222</v>
      </c>
      <c r="B272" t="s">
        <v>33</v>
      </c>
      <c r="C272" t="s">
        <v>223</v>
      </c>
      <c r="D272" s="1">
        <v>44858</v>
      </c>
      <c r="E272" s="1">
        <v>45924</v>
      </c>
      <c r="F272">
        <v>1</v>
      </c>
      <c r="G272">
        <v>13</v>
      </c>
      <c r="H272" t="s">
        <v>209</v>
      </c>
      <c r="I272" t="s">
        <v>115</v>
      </c>
      <c r="J272" t="s">
        <v>116</v>
      </c>
      <c r="K272" t="s">
        <v>26</v>
      </c>
      <c r="L272" t="s">
        <v>56</v>
      </c>
      <c r="M272">
        <v>1</v>
      </c>
      <c r="N272">
        <v>0</v>
      </c>
      <c r="O272">
        <v>2.75</v>
      </c>
      <c r="P272">
        <v>0.02</v>
      </c>
      <c r="Q272">
        <v>0.06</v>
      </c>
      <c r="R272" t="s">
        <v>54</v>
      </c>
      <c r="S272">
        <v>0</v>
      </c>
      <c r="T272">
        <v>0.06</v>
      </c>
    </row>
    <row r="273" spans="1:20" x14ac:dyDescent="0.25">
      <c r="A273" t="s">
        <v>224</v>
      </c>
      <c r="B273" t="s">
        <v>33</v>
      </c>
      <c r="C273" t="s">
        <v>225</v>
      </c>
      <c r="D273" s="1">
        <v>44910</v>
      </c>
      <c r="E273" s="1">
        <v>45915</v>
      </c>
      <c r="F273">
        <v>1</v>
      </c>
      <c r="G273">
        <v>13</v>
      </c>
      <c r="H273" t="s">
        <v>209</v>
      </c>
      <c r="I273" t="s">
        <v>115</v>
      </c>
      <c r="J273" t="s">
        <v>116</v>
      </c>
      <c r="K273" t="s">
        <v>26</v>
      </c>
      <c r="L273" t="s">
        <v>42</v>
      </c>
      <c r="M273">
        <v>1</v>
      </c>
      <c r="N273">
        <v>64.7</v>
      </c>
      <c r="O273">
        <v>17.559999999999999</v>
      </c>
      <c r="P273">
        <v>0.02</v>
      </c>
      <c r="Q273">
        <v>0.35</v>
      </c>
      <c r="R273" t="s">
        <v>54</v>
      </c>
      <c r="S273">
        <v>0</v>
      </c>
      <c r="T273">
        <v>0.35</v>
      </c>
    </row>
    <row r="274" spans="1:20" x14ac:dyDescent="0.25">
      <c r="A274" t="s">
        <v>224</v>
      </c>
      <c r="B274" t="s">
        <v>33</v>
      </c>
      <c r="C274" t="s">
        <v>225</v>
      </c>
      <c r="D274" s="1">
        <v>44910</v>
      </c>
      <c r="E274" s="1">
        <v>45915</v>
      </c>
      <c r="F274">
        <v>1</v>
      </c>
      <c r="G274">
        <v>13</v>
      </c>
      <c r="H274" t="s">
        <v>209</v>
      </c>
      <c r="I274" t="s">
        <v>115</v>
      </c>
      <c r="J274" t="s">
        <v>116</v>
      </c>
      <c r="K274" t="s">
        <v>26</v>
      </c>
      <c r="L274" t="s">
        <v>118</v>
      </c>
      <c r="M274">
        <v>1</v>
      </c>
      <c r="N274">
        <v>0</v>
      </c>
      <c r="O274">
        <v>24.87</v>
      </c>
      <c r="P274">
        <v>0.02</v>
      </c>
      <c r="Q274">
        <v>0.5</v>
      </c>
      <c r="R274" t="s">
        <v>54</v>
      </c>
      <c r="S274">
        <v>0</v>
      </c>
      <c r="T274">
        <v>0.5</v>
      </c>
    </row>
    <row r="275" spans="1:20" x14ac:dyDescent="0.25">
      <c r="A275" t="s">
        <v>224</v>
      </c>
      <c r="B275" t="s">
        <v>33</v>
      </c>
      <c r="C275" t="s">
        <v>225</v>
      </c>
      <c r="D275" s="1">
        <v>44910</v>
      </c>
      <c r="E275" s="1">
        <v>45915</v>
      </c>
      <c r="F275">
        <v>1</v>
      </c>
      <c r="G275">
        <v>13</v>
      </c>
      <c r="H275" t="s">
        <v>209</v>
      </c>
      <c r="I275" t="s">
        <v>115</v>
      </c>
      <c r="J275" t="s">
        <v>116</v>
      </c>
      <c r="K275" t="s">
        <v>26</v>
      </c>
      <c r="L275" t="s">
        <v>44</v>
      </c>
      <c r="M275">
        <v>1</v>
      </c>
      <c r="N275">
        <v>0</v>
      </c>
      <c r="O275">
        <v>17.059999999999999</v>
      </c>
      <c r="P275">
        <v>0.02</v>
      </c>
      <c r="Q275">
        <v>0.34</v>
      </c>
      <c r="R275" t="s">
        <v>54</v>
      </c>
      <c r="S275">
        <v>0</v>
      </c>
      <c r="T275">
        <v>0.34</v>
      </c>
    </row>
    <row r="276" spans="1:20" x14ac:dyDescent="0.25">
      <c r="A276" t="s">
        <v>224</v>
      </c>
      <c r="B276" t="s">
        <v>33</v>
      </c>
      <c r="C276" t="s">
        <v>225</v>
      </c>
      <c r="D276" s="1">
        <v>44910</v>
      </c>
      <c r="E276" s="1">
        <v>45915</v>
      </c>
      <c r="F276">
        <v>1</v>
      </c>
      <c r="G276">
        <v>13</v>
      </c>
      <c r="H276" t="s">
        <v>209</v>
      </c>
      <c r="I276" t="s">
        <v>115</v>
      </c>
      <c r="J276" t="s">
        <v>116</v>
      </c>
      <c r="K276" t="s">
        <v>26</v>
      </c>
      <c r="L276" t="s">
        <v>117</v>
      </c>
      <c r="M276">
        <v>1</v>
      </c>
      <c r="N276">
        <v>0</v>
      </c>
      <c r="O276">
        <v>3.53</v>
      </c>
      <c r="P276">
        <v>0.02</v>
      </c>
      <c r="Q276">
        <v>7.0000000000000007E-2</v>
      </c>
      <c r="R276" t="s">
        <v>54</v>
      </c>
      <c r="S276">
        <v>0</v>
      </c>
      <c r="T276">
        <v>7.0000000000000007E-2</v>
      </c>
    </row>
    <row r="277" spans="1:20" x14ac:dyDescent="0.25">
      <c r="A277" t="s">
        <v>226</v>
      </c>
      <c r="B277" t="s">
        <v>33</v>
      </c>
      <c r="C277" t="s">
        <v>227</v>
      </c>
      <c r="D277" s="1">
        <v>44988</v>
      </c>
      <c r="E277" s="1">
        <v>45903</v>
      </c>
      <c r="F277">
        <v>1</v>
      </c>
      <c r="G277">
        <v>1</v>
      </c>
      <c r="H277" t="s">
        <v>209</v>
      </c>
      <c r="I277" t="s">
        <v>115</v>
      </c>
      <c r="J277" t="s">
        <v>116</v>
      </c>
      <c r="K277" t="s">
        <v>26</v>
      </c>
      <c r="L277" t="s">
        <v>42</v>
      </c>
      <c r="M277">
        <v>1</v>
      </c>
      <c r="N277">
        <v>79.87</v>
      </c>
      <c r="O277">
        <v>16.93</v>
      </c>
      <c r="P277">
        <v>0.02</v>
      </c>
      <c r="Q277">
        <v>0.34</v>
      </c>
      <c r="R277" t="s">
        <v>54</v>
      </c>
      <c r="S277">
        <v>0</v>
      </c>
      <c r="T277">
        <v>0.34</v>
      </c>
    </row>
    <row r="278" spans="1:20" x14ac:dyDescent="0.25">
      <c r="A278" t="s">
        <v>226</v>
      </c>
      <c r="B278" t="s">
        <v>33</v>
      </c>
      <c r="C278" t="s">
        <v>227</v>
      </c>
      <c r="D278" s="1">
        <v>44988</v>
      </c>
      <c r="E278" s="1">
        <v>45903</v>
      </c>
      <c r="F278">
        <v>1</v>
      </c>
      <c r="G278">
        <v>1</v>
      </c>
      <c r="H278" t="s">
        <v>209</v>
      </c>
      <c r="I278" t="s">
        <v>115</v>
      </c>
      <c r="J278" t="s">
        <v>116</v>
      </c>
      <c r="K278" t="s">
        <v>26</v>
      </c>
      <c r="L278" t="s">
        <v>117</v>
      </c>
      <c r="M278">
        <v>1</v>
      </c>
      <c r="N278">
        <v>0</v>
      </c>
      <c r="O278">
        <v>4.41</v>
      </c>
      <c r="P278">
        <v>0.02</v>
      </c>
      <c r="Q278">
        <v>0.09</v>
      </c>
      <c r="R278" t="s">
        <v>54</v>
      </c>
      <c r="S278">
        <v>0</v>
      </c>
      <c r="T278">
        <v>0.09</v>
      </c>
    </row>
    <row r="279" spans="1:20" x14ac:dyDescent="0.25">
      <c r="A279" t="s">
        <v>226</v>
      </c>
      <c r="B279" t="s">
        <v>33</v>
      </c>
      <c r="C279" t="s">
        <v>227</v>
      </c>
      <c r="D279" s="1">
        <v>44988</v>
      </c>
      <c r="E279" s="1">
        <v>45903</v>
      </c>
      <c r="F279">
        <v>1</v>
      </c>
      <c r="G279">
        <v>1</v>
      </c>
      <c r="H279" t="s">
        <v>209</v>
      </c>
      <c r="I279" t="s">
        <v>115</v>
      </c>
      <c r="J279" t="s">
        <v>116</v>
      </c>
      <c r="K279" t="s">
        <v>26</v>
      </c>
      <c r="L279" t="s">
        <v>45</v>
      </c>
      <c r="M279">
        <v>1</v>
      </c>
      <c r="N279">
        <v>0</v>
      </c>
      <c r="O279">
        <v>6.22</v>
      </c>
      <c r="P279">
        <v>0.02</v>
      </c>
      <c r="Q279">
        <v>0.12</v>
      </c>
      <c r="R279" t="s">
        <v>54</v>
      </c>
      <c r="S279">
        <v>0</v>
      </c>
      <c r="T279">
        <v>0.12</v>
      </c>
    </row>
    <row r="280" spans="1:20" x14ac:dyDescent="0.25">
      <c r="A280" t="s">
        <v>226</v>
      </c>
      <c r="B280" t="s">
        <v>33</v>
      </c>
      <c r="C280" t="s">
        <v>227</v>
      </c>
      <c r="D280" s="1">
        <v>44988</v>
      </c>
      <c r="E280" s="1">
        <v>45903</v>
      </c>
      <c r="F280">
        <v>1</v>
      </c>
      <c r="G280">
        <v>1</v>
      </c>
      <c r="H280" t="s">
        <v>209</v>
      </c>
      <c r="I280" t="s">
        <v>115</v>
      </c>
      <c r="J280" t="s">
        <v>116</v>
      </c>
      <c r="K280" t="s">
        <v>26</v>
      </c>
      <c r="L280" t="s">
        <v>118</v>
      </c>
      <c r="M280">
        <v>1</v>
      </c>
      <c r="N280">
        <v>0</v>
      </c>
      <c r="O280">
        <v>26.28</v>
      </c>
      <c r="P280">
        <v>0.02</v>
      </c>
      <c r="Q280">
        <v>0.53</v>
      </c>
      <c r="R280" t="s">
        <v>54</v>
      </c>
      <c r="S280">
        <v>0</v>
      </c>
      <c r="T280">
        <v>0.53</v>
      </c>
    </row>
    <row r="281" spans="1:20" x14ac:dyDescent="0.25">
      <c r="A281" t="s">
        <v>226</v>
      </c>
      <c r="B281" t="s">
        <v>33</v>
      </c>
      <c r="C281" t="s">
        <v>227</v>
      </c>
      <c r="D281" s="1">
        <v>44988</v>
      </c>
      <c r="E281" s="1">
        <v>45903</v>
      </c>
      <c r="F281">
        <v>1</v>
      </c>
      <c r="G281">
        <v>1</v>
      </c>
      <c r="H281" t="s">
        <v>209</v>
      </c>
      <c r="I281" t="s">
        <v>115</v>
      </c>
      <c r="J281" t="s">
        <v>116</v>
      </c>
      <c r="K281" t="s">
        <v>26</v>
      </c>
      <c r="L281" t="s">
        <v>44</v>
      </c>
      <c r="M281">
        <v>1</v>
      </c>
      <c r="N281">
        <v>0</v>
      </c>
      <c r="O281">
        <v>24.35</v>
      </c>
      <c r="P281">
        <v>0.02</v>
      </c>
      <c r="Q281">
        <v>0.49</v>
      </c>
      <c r="R281" t="s">
        <v>54</v>
      </c>
      <c r="S281">
        <v>0</v>
      </c>
      <c r="T281">
        <v>0.49</v>
      </c>
    </row>
    <row r="282" spans="1:20" x14ac:dyDescent="0.25">
      <c r="A282" t="s">
        <v>228</v>
      </c>
      <c r="B282" t="s">
        <v>33</v>
      </c>
      <c r="C282" t="s">
        <v>229</v>
      </c>
      <c r="D282" s="1">
        <v>44991</v>
      </c>
      <c r="E282" s="1">
        <v>45906</v>
      </c>
      <c r="F282">
        <v>1</v>
      </c>
      <c r="G282">
        <v>6</v>
      </c>
      <c r="H282" t="s">
        <v>209</v>
      </c>
      <c r="I282" t="s">
        <v>115</v>
      </c>
      <c r="J282" t="s">
        <v>116</v>
      </c>
      <c r="K282" t="s">
        <v>26</v>
      </c>
      <c r="L282" t="s">
        <v>42</v>
      </c>
      <c r="M282">
        <v>1</v>
      </c>
      <c r="N282">
        <v>60.97</v>
      </c>
      <c r="O282">
        <v>15.62</v>
      </c>
      <c r="P282">
        <v>0.02</v>
      </c>
      <c r="Q282">
        <v>0.31</v>
      </c>
      <c r="R282" t="s">
        <v>54</v>
      </c>
      <c r="S282">
        <v>0</v>
      </c>
      <c r="T282">
        <v>0.31</v>
      </c>
    </row>
    <row r="283" spans="1:20" x14ac:dyDescent="0.25">
      <c r="A283" t="s">
        <v>228</v>
      </c>
      <c r="B283" t="s">
        <v>33</v>
      </c>
      <c r="C283" t="s">
        <v>229</v>
      </c>
      <c r="D283" s="1">
        <v>44991</v>
      </c>
      <c r="E283" s="1">
        <v>45906</v>
      </c>
      <c r="F283">
        <v>1</v>
      </c>
      <c r="G283">
        <v>6</v>
      </c>
      <c r="H283" t="s">
        <v>209</v>
      </c>
      <c r="I283" t="s">
        <v>115</v>
      </c>
      <c r="J283" t="s">
        <v>116</v>
      </c>
      <c r="K283" t="s">
        <v>26</v>
      </c>
      <c r="L283" t="s">
        <v>117</v>
      </c>
      <c r="M283">
        <v>1</v>
      </c>
      <c r="N283">
        <v>0</v>
      </c>
      <c r="O283">
        <v>2.75</v>
      </c>
      <c r="P283">
        <v>0.02</v>
      </c>
      <c r="Q283">
        <v>0.06</v>
      </c>
      <c r="R283" t="s">
        <v>54</v>
      </c>
      <c r="S283">
        <v>0</v>
      </c>
      <c r="T283">
        <v>0.06</v>
      </c>
    </row>
    <row r="284" spans="1:20" x14ac:dyDescent="0.25">
      <c r="A284" t="s">
        <v>228</v>
      </c>
      <c r="B284" t="s">
        <v>33</v>
      </c>
      <c r="C284" t="s">
        <v>229</v>
      </c>
      <c r="D284" s="1">
        <v>44991</v>
      </c>
      <c r="E284" s="1">
        <v>45906</v>
      </c>
      <c r="F284">
        <v>1</v>
      </c>
      <c r="G284">
        <v>6</v>
      </c>
      <c r="H284" t="s">
        <v>209</v>
      </c>
      <c r="I284" t="s">
        <v>115</v>
      </c>
      <c r="J284" t="s">
        <v>116</v>
      </c>
      <c r="K284" t="s">
        <v>26</v>
      </c>
      <c r="L284" t="s">
        <v>44</v>
      </c>
      <c r="M284">
        <v>1</v>
      </c>
      <c r="N284">
        <v>0</v>
      </c>
      <c r="O284">
        <v>12.29</v>
      </c>
      <c r="P284">
        <v>0.02</v>
      </c>
      <c r="Q284">
        <v>0.25</v>
      </c>
      <c r="R284" t="s">
        <v>54</v>
      </c>
      <c r="S284">
        <v>0</v>
      </c>
      <c r="T284">
        <v>0.25</v>
      </c>
    </row>
    <row r="285" spans="1:20" x14ac:dyDescent="0.25">
      <c r="A285" t="s">
        <v>228</v>
      </c>
      <c r="B285" t="s">
        <v>33</v>
      </c>
      <c r="C285" t="s">
        <v>229</v>
      </c>
      <c r="D285" s="1">
        <v>44991</v>
      </c>
      <c r="E285" s="1">
        <v>45906</v>
      </c>
      <c r="F285">
        <v>1</v>
      </c>
      <c r="G285">
        <v>6</v>
      </c>
      <c r="H285" t="s">
        <v>209</v>
      </c>
      <c r="I285" t="s">
        <v>115</v>
      </c>
      <c r="J285" t="s">
        <v>116</v>
      </c>
      <c r="K285" t="s">
        <v>26</v>
      </c>
      <c r="L285" t="s">
        <v>45</v>
      </c>
      <c r="M285">
        <v>1</v>
      </c>
      <c r="N285">
        <v>0</v>
      </c>
      <c r="O285">
        <v>6.22</v>
      </c>
      <c r="P285">
        <v>0.02</v>
      </c>
      <c r="Q285">
        <v>0.12</v>
      </c>
      <c r="R285" t="s">
        <v>54</v>
      </c>
      <c r="S285">
        <v>0</v>
      </c>
      <c r="T285">
        <v>0.12</v>
      </c>
    </row>
    <row r="286" spans="1:20" x14ac:dyDescent="0.25">
      <c r="A286" t="s">
        <v>228</v>
      </c>
      <c r="B286" t="s">
        <v>33</v>
      </c>
      <c r="C286" t="s">
        <v>229</v>
      </c>
      <c r="D286" s="1">
        <v>44991</v>
      </c>
      <c r="E286" s="1">
        <v>45906</v>
      </c>
      <c r="F286">
        <v>1</v>
      </c>
      <c r="G286">
        <v>6</v>
      </c>
      <c r="H286" t="s">
        <v>209</v>
      </c>
      <c r="I286" t="s">
        <v>115</v>
      </c>
      <c r="J286" t="s">
        <v>116</v>
      </c>
      <c r="K286" t="s">
        <v>26</v>
      </c>
      <c r="L286" t="s">
        <v>118</v>
      </c>
      <c r="M286">
        <v>1</v>
      </c>
      <c r="N286">
        <v>0</v>
      </c>
      <c r="O286">
        <v>22.41</v>
      </c>
      <c r="P286">
        <v>0.02</v>
      </c>
      <c r="Q286">
        <v>0.45</v>
      </c>
      <c r="R286" t="s">
        <v>54</v>
      </c>
      <c r="S286">
        <v>0</v>
      </c>
      <c r="T286">
        <v>0.45</v>
      </c>
    </row>
    <row r="287" spans="1:20" x14ac:dyDescent="0.25">
      <c r="A287" t="s">
        <v>230</v>
      </c>
      <c r="B287" t="s">
        <v>33</v>
      </c>
      <c r="C287" t="s">
        <v>231</v>
      </c>
      <c r="D287" s="1">
        <v>45017</v>
      </c>
      <c r="E287" s="1">
        <v>45901</v>
      </c>
      <c r="F287">
        <v>1</v>
      </c>
      <c r="G287">
        <v>1</v>
      </c>
      <c r="H287" t="s">
        <v>209</v>
      </c>
      <c r="I287" t="s">
        <v>115</v>
      </c>
      <c r="J287" t="s">
        <v>116</v>
      </c>
      <c r="K287" t="s">
        <v>26</v>
      </c>
      <c r="L287" t="s">
        <v>42</v>
      </c>
      <c r="M287">
        <v>1</v>
      </c>
      <c r="N287">
        <v>74.180000000000007</v>
      </c>
      <c r="O287">
        <v>21.34</v>
      </c>
      <c r="P287">
        <v>0.02</v>
      </c>
      <c r="Q287">
        <v>0.43</v>
      </c>
      <c r="R287" t="s">
        <v>54</v>
      </c>
      <c r="S287">
        <v>0</v>
      </c>
      <c r="T287">
        <v>0.43</v>
      </c>
    </row>
    <row r="288" spans="1:20" x14ac:dyDescent="0.25">
      <c r="A288" t="s">
        <v>230</v>
      </c>
      <c r="B288" t="s">
        <v>33</v>
      </c>
      <c r="C288" t="s">
        <v>231</v>
      </c>
      <c r="D288" s="1">
        <v>45017</v>
      </c>
      <c r="E288" s="1">
        <v>45901</v>
      </c>
      <c r="F288">
        <v>1</v>
      </c>
      <c r="G288">
        <v>1</v>
      </c>
      <c r="H288" t="s">
        <v>209</v>
      </c>
      <c r="I288" t="s">
        <v>115</v>
      </c>
      <c r="J288" t="s">
        <v>116</v>
      </c>
      <c r="K288" t="s">
        <v>26</v>
      </c>
      <c r="L288" t="s">
        <v>117</v>
      </c>
      <c r="M288">
        <v>1</v>
      </c>
      <c r="N288">
        <v>0</v>
      </c>
      <c r="O288">
        <v>2.75</v>
      </c>
      <c r="P288">
        <v>0.02</v>
      </c>
      <c r="Q288">
        <v>0.06</v>
      </c>
      <c r="R288" t="s">
        <v>54</v>
      </c>
      <c r="S288">
        <v>0</v>
      </c>
      <c r="T288">
        <v>0.06</v>
      </c>
    </row>
    <row r="289" spans="1:20" x14ac:dyDescent="0.25">
      <c r="A289" t="s">
        <v>230</v>
      </c>
      <c r="B289" t="s">
        <v>33</v>
      </c>
      <c r="C289" t="s">
        <v>231</v>
      </c>
      <c r="D289" s="1">
        <v>45017</v>
      </c>
      <c r="E289" s="1">
        <v>45901</v>
      </c>
      <c r="F289">
        <v>1</v>
      </c>
      <c r="G289">
        <v>1</v>
      </c>
      <c r="H289" t="s">
        <v>209</v>
      </c>
      <c r="I289" t="s">
        <v>115</v>
      </c>
      <c r="J289" t="s">
        <v>116</v>
      </c>
      <c r="K289" t="s">
        <v>26</v>
      </c>
      <c r="L289" t="s">
        <v>45</v>
      </c>
      <c r="M289">
        <v>1</v>
      </c>
      <c r="N289">
        <v>0</v>
      </c>
      <c r="O289">
        <v>6.22</v>
      </c>
      <c r="P289">
        <v>0.02</v>
      </c>
      <c r="Q289">
        <v>0.12</v>
      </c>
      <c r="R289" t="s">
        <v>54</v>
      </c>
      <c r="S289">
        <v>0</v>
      </c>
      <c r="T289">
        <v>0.12</v>
      </c>
    </row>
    <row r="290" spans="1:20" x14ac:dyDescent="0.25">
      <c r="A290" t="s">
        <v>230</v>
      </c>
      <c r="B290" t="s">
        <v>33</v>
      </c>
      <c r="C290" t="s">
        <v>231</v>
      </c>
      <c r="D290" s="1">
        <v>45017</v>
      </c>
      <c r="E290" s="1">
        <v>45901</v>
      </c>
      <c r="F290">
        <v>1</v>
      </c>
      <c r="G290">
        <v>1</v>
      </c>
      <c r="H290" t="s">
        <v>209</v>
      </c>
      <c r="I290" t="s">
        <v>115</v>
      </c>
      <c r="J290" t="s">
        <v>116</v>
      </c>
      <c r="K290" t="s">
        <v>26</v>
      </c>
      <c r="L290" t="s">
        <v>44</v>
      </c>
      <c r="M290">
        <v>1</v>
      </c>
      <c r="N290">
        <v>0</v>
      </c>
      <c r="O290">
        <v>12.29</v>
      </c>
      <c r="P290">
        <v>0.02</v>
      </c>
      <c r="Q290">
        <v>0.25</v>
      </c>
      <c r="R290" t="s">
        <v>54</v>
      </c>
      <c r="S290">
        <v>0</v>
      </c>
      <c r="T290">
        <v>0.25</v>
      </c>
    </row>
    <row r="291" spans="1:20" x14ac:dyDescent="0.25">
      <c r="A291" t="s">
        <v>230</v>
      </c>
      <c r="B291" t="s">
        <v>33</v>
      </c>
      <c r="C291" t="s">
        <v>231</v>
      </c>
      <c r="D291" s="1">
        <v>45017</v>
      </c>
      <c r="E291" s="1">
        <v>45901</v>
      </c>
      <c r="F291">
        <v>1</v>
      </c>
      <c r="G291">
        <v>1</v>
      </c>
      <c r="H291" t="s">
        <v>209</v>
      </c>
      <c r="I291" t="s">
        <v>115</v>
      </c>
      <c r="J291" t="s">
        <v>116</v>
      </c>
      <c r="K291" t="s">
        <v>26</v>
      </c>
      <c r="L291" t="s">
        <v>85</v>
      </c>
      <c r="M291">
        <v>1</v>
      </c>
      <c r="N291">
        <v>0</v>
      </c>
      <c r="O291">
        <v>1.43</v>
      </c>
      <c r="P291">
        <v>0.02</v>
      </c>
      <c r="Q291">
        <v>0.03</v>
      </c>
      <c r="R291" t="s">
        <v>54</v>
      </c>
      <c r="S291">
        <v>0</v>
      </c>
      <c r="T291">
        <v>0.03</v>
      </c>
    </row>
    <row r="292" spans="1:20" x14ac:dyDescent="0.25">
      <c r="A292" t="s">
        <v>230</v>
      </c>
      <c r="B292" t="s">
        <v>33</v>
      </c>
      <c r="C292" t="s">
        <v>231</v>
      </c>
      <c r="D292" s="1">
        <v>45017</v>
      </c>
      <c r="E292" s="1">
        <v>45901</v>
      </c>
      <c r="F292">
        <v>1</v>
      </c>
      <c r="G292">
        <v>1</v>
      </c>
      <c r="H292" t="s">
        <v>209</v>
      </c>
      <c r="I292" t="s">
        <v>115</v>
      </c>
      <c r="J292" t="s">
        <v>116</v>
      </c>
      <c r="K292" t="s">
        <v>26</v>
      </c>
      <c r="L292" t="s">
        <v>118</v>
      </c>
      <c r="M292">
        <v>1</v>
      </c>
      <c r="N292">
        <v>0</v>
      </c>
      <c r="O292">
        <v>22.41</v>
      </c>
      <c r="P292">
        <v>0.02</v>
      </c>
      <c r="Q292">
        <v>0.45</v>
      </c>
      <c r="R292" t="s">
        <v>54</v>
      </c>
      <c r="S292">
        <v>0</v>
      </c>
      <c r="T292">
        <v>0.45</v>
      </c>
    </row>
    <row r="293" spans="1:20" x14ac:dyDescent="0.25">
      <c r="A293" t="s">
        <v>230</v>
      </c>
      <c r="B293" t="s">
        <v>33</v>
      </c>
      <c r="C293" t="s">
        <v>231</v>
      </c>
      <c r="D293" s="1">
        <v>45017</v>
      </c>
      <c r="E293" s="1">
        <v>45901</v>
      </c>
      <c r="F293">
        <v>1</v>
      </c>
      <c r="G293">
        <v>1</v>
      </c>
      <c r="H293" t="s">
        <v>209</v>
      </c>
      <c r="I293" t="s">
        <v>115</v>
      </c>
      <c r="J293" t="s">
        <v>116</v>
      </c>
      <c r="K293" t="s">
        <v>26</v>
      </c>
      <c r="L293" t="s">
        <v>84</v>
      </c>
      <c r="M293">
        <v>1</v>
      </c>
      <c r="N293">
        <v>0</v>
      </c>
      <c r="O293">
        <v>6.06</v>
      </c>
      <c r="P293">
        <v>0.02</v>
      </c>
      <c r="Q293">
        <v>0.12</v>
      </c>
      <c r="R293" t="s">
        <v>54</v>
      </c>
      <c r="S293">
        <v>0</v>
      </c>
      <c r="T293">
        <v>0.12</v>
      </c>
    </row>
    <row r="294" spans="1:20" x14ac:dyDescent="0.25">
      <c r="A294" t="s">
        <v>232</v>
      </c>
      <c r="B294" t="s">
        <v>33</v>
      </c>
      <c r="C294" t="s">
        <v>233</v>
      </c>
      <c r="D294" s="1">
        <v>44501</v>
      </c>
      <c r="E294" s="1">
        <v>45962</v>
      </c>
      <c r="F294">
        <v>3</v>
      </c>
      <c r="G294">
        <v>11</v>
      </c>
      <c r="H294" t="s">
        <v>234</v>
      </c>
      <c r="I294" t="s">
        <v>235</v>
      </c>
      <c r="J294" t="s">
        <v>236</v>
      </c>
      <c r="K294" t="s">
        <v>26</v>
      </c>
      <c r="L294" t="s">
        <v>42</v>
      </c>
      <c r="M294">
        <v>1</v>
      </c>
      <c r="N294">
        <v>280</v>
      </c>
      <c r="O294">
        <v>81.09</v>
      </c>
      <c r="P294">
        <v>0.08</v>
      </c>
      <c r="Q294">
        <v>6.49</v>
      </c>
      <c r="R294" t="s">
        <v>54</v>
      </c>
      <c r="S294">
        <v>0</v>
      </c>
      <c r="T294">
        <v>6.49</v>
      </c>
    </row>
    <row r="295" spans="1:20" x14ac:dyDescent="0.25">
      <c r="A295" t="s">
        <v>232</v>
      </c>
      <c r="B295" t="s">
        <v>33</v>
      </c>
      <c r="C295" t="s">
        <v>233</v>
      </c>
      <c r="D295" s="1">
        <v>44501</v>
      </c>
      <c r="E295" s="1">
        <v>45962</v>
      </c>
      <c r="F295">
        <v>3</v>
      </c>
      <c r="G295">
        <v>11</v>
      </c>
      <c r="H295" t="s">
        <v>234</v>
      </c>
      <c r="I295" t="s">
        <v>235</v>
      </c>
      <c r="J295" t="s">
        <v>236</v>
      </c>
      <c r="K295" t="s">
        <v>26</v>
      </c>
      <c r="L295" t="s">
        <v>56</v>
      </c>
      <c r="M295">
        <v>1</v>
      </c>
      <c r="N295">
        <v>0</v>
      </c>
      <c r="O295">
        <v>16.32</v>
      </c>
      <c r="P295">
        <v>0.08</v>
      </c>
      <c r="Q295">
        <v>1.31</v>
      </c>
      <c r="R295" t="s">
        <v>54</v>
      </c>
      <c r="S295">
        <v>0</v>
      </c>
      <c r="T295">
        <v>1.31</v>
      </c>
    </row>
    <row r="296" spans="1:20" x14ac:dyDescent="0.25">
      <c r="A296" t="s">
        <v>232</v>
      </c>
      <c r="B296" t="s">
        <v>33</v>
      </c>
      <c r="C296" t="s">
        <v>233</v>
      </c>
      <c r="D296" s="1">
        <v>44501</v>
      </c>
      <c r="E296" s="1">
        <v>45962</v>
      </c>
      <c r="F296">
        <v>3</v>
      </c>
      <c r="G296">
        <v>11</v>
      </c>
      <c r="H296" t="s">
        <v>234</v>
      </c>
      <c r="I296" t="s">
        <v>235</v>
      </c>
      <c r="J296" t="s">
        <v>236</v>
      </c>
      <c r="K296" t="s">
        <v>26</v>
      </c>
      <c r="L296" t="s">
        <v>44</v>
      </c>
      <c r="M296">
        <v>1</v>
      </c>
      <c r="N296">
        <v>0</v>
      </c>
      <c r="O296">
        <v>101.71</v>
      </c>
      <c r="P296">
        <v>0.08</v>
      </c>
      <c r="Q296">
        <v>8.14</v>
      </c>
      <c r="R296" t="s">
        <v>54</v>
      </c>
      <c r="S296">
        <v>0</v>
      </c>
      <c r="T296">
        <v>8.14</v>
      </c>
    </row>
    <row r="297" spans="1:20" x14ac:dyDescent="0.25">
      <c r="A297" t="s">
        <v>232</v>
      </c>
      <c r="B297" t="s">
        <v>33</v>
      </c>
      <c r="C297" t="s">
        <v>233</v>
      </c>
      <c r="D297" s="1">
        <v>44501</v>
      </c>
      <c r="E297" s="1">
        <v>45962</v>
      </c>
      <c r="F297">
        <v>3</v>
      </c>
      <c r="G297">
        <v>11</v>
      </c>
      <c r="H297" t="s">
        <v>234</v>
      </c>
      <c r="I297" t="s">
        <v>235</v>
      </c>
      <c r="J297" t="s">
        <v>236</v>
      </c>
      <c r="K297" t="s">
        <v>26</v>
      </c>
      <c r="L297" t="s">
        <v>55</v>
      </c>
      <c r="M297">
        <v>1</v>
      </c>
      <c r="N297">
        <v>0</v>
      </c>
      <c r="O297">
        <v>75.58</v>
      </c>
      <c r="P297">
        <v>0.08</v>
      </c>
      <c r="Q297">
        <v>6.05</v>
      </c>
      <c r="R297" t="s">
        <v>54</v>
      </c>
      <c r="S297">
        <v>0</v>
      </c>
      <c r="T297">
        <v>6.05</v>
      </c>
    </row>
    <row r="298" spans="1:20" x14ac:dyDescent="0.25">
      <c r="A298" t="s">
        <v>237</v>
      </c>
      <c r="B298" t="s">
        <v>33</v>
      </c>
      <c r="C298" t="s">
        <v>238</v>
      </c>
      <c r="D298" s="1">
        <v>44562</v>
      </c>
      <c r="E298" s="1">
        <v>45901</v>
      </c>
      <c r="F298">
        <v>1</v>
      </c>
      <c r="G298">
        <v>1</v>
      </c>
      <c r="H298" t="s">
        <v>239</v>
      </c>
      <c r="I298" t="s">
        <v>240</v>
      </c>
      <c r="J298" t="s">
        <v>236</v>
      </c>
      <c r="K298" t="s">
        <v>26</v>
      </c>
      <c r="L298" t="s">
        <v>42</v>
      </c>
      <c r="M298">
        <v>1</v>
      </c>
      <c r="N298">
        <v>53.75</v>
      </c>
      <c r="O298">
        <v>9.3699999999999992</v>
      </c>
      <c r="P298">
        <v>0.08</v>
      </c>
      <c r="Q298">
        <v>0.75</v>
      </c>
      <c r="R298" t="s">
        <v>54</v>
      </c>
      <c r="S298">
        <v>0</v>
      </c>
      <c r="T298">
        <v>0.75</v>
      </c>
    </row>
    <row r="299" spans="1:20" x14ac:dyDescent="0.25">
      <c r="A299" t="s">
        <v>237</v>
      </c>
      <c r="B299" t="s">
        <v>33</v>
      </c>
      <c r="C299" t="s">
        <v>238</v>
      </c>
      <c r="D299" s="1">
        <v>44562</v>
      </c>
      <c r="E299" s="1">
        <v>45901</v>
      </c>
      <c r="F299">
        <v>1</v>
      </c>
      <c r="G299">
        <v>1</v>
      </c>
      <c r="H299" t="s">
        <v>239</v>
      </c>
      <c r="I299" t="s">
        <v>240</v>
      </c>
      <c r="J299" t="s">
        <v>236</v>
      </c>
      <c r="K299" t="s">
        <v>26</v>
      </c>
      <c r="L299" t="s">
        <v>55</v>
      </c>
      <c r="M299">
        <v>1</v>
      </c>
      <c r="N299">
        <v>0</v>
      </c>
      <c r="O299">
        <v>26.84</v>
      </c>
      <c r="P299">
        <v>0.08</v>
      </c>
      <c r="Q299">
        <v>2.15</v>
      </c>
      <c r="R299" t="s">
        <v>54</v>
      </c>
      <c r="S299">
        <v>0</v>
      </c>
      <c r="T299">
        <v>2.15</v>
      </c>
    </row>
    <row r="300" spans="1:20" x14ac:dyDescent="0.25">
      <c r="A300" t="s">
        <v>237</v>
      </c>
      <c r="B300" t="s">
        <v>33</v>
      </c>
      <c r="C300" t="s">
        <v>238</v>
      </c>
      <c r="D300" s="1">
        <v>44562</v>
      </c>
      <c r="E300" s="1">
        <v>45901</v>
      </c>
      <c r="F300">
        <v>1</v>
      </c>
      <c r="G300">
        <v>1</v>
      </c>
      <c r="H300" t="s">
        <v>239</v>
      </c>
      <c r="I300" t="s">
        <v>240</v>
      </c>
      <c r="J300" t="s">
        <v>236</v>
      </c>
      <c r="K300" t="s">
        <v>26</v>
      </c>
      <c r="L300" t="s">
        <v>56</v>
      </c>
      <c r="M300">
        <v>1</v>
      </c>
      <c r="N300">
        <v>0</v>
      </c>
      <c r="O300">
        <v>2.92</v>
      </c>
      <c r="P300">
        <v>0.08</v>
      </c>
      <c r="Q300">
        <v>0.23</v>
      </c>
      <c r="R300" t="s">
        <v>54</v>
      </c>
      <c r="S300">
        <v>0</v>
      </c>
      <c r="T300">
        <v>0.23</v>
      </c>
    </row>
    <row r="301" spans="1:20" x14ac:dyDescent="0.25">
      <c r="A301" t="s">
        <v>237</v>
      </c>
      <c r="B301" t="s">
        <v>33</v>
      </c>
      <c r="C301" t="s">
        <v>238</v>
      </c>
      <c r="D301" s="1">
        <v>44562</v>
      </c>
      <c r="E301" s="1">
        <v>45901</v>
      </c>
      <c r="F301">
        <v>1</v>
      </c>
      <c r="G301">
        <v>1</v>
      </c>
      <c r="H301" t="s">
        <v>239</v>
      </c>
      <c r="I301" t="s">
        <v>240</v>
      </c>
      <c r="J301" t="s">
        <v>236</v>
      </c>
      <c r="K301" t="s">
        <v>26</v>
      </c>
      <c r="L301" t="s">
        <v>44</v>
      </c>
      <c r="M301">
        <v>1</v>
      </c>
      <c r="N301">
        <v>0</v>
      </c>
      <c r="O301">
        <v>12.94</v>
      </c>
      <c r="P301">
        <v>0.08</v>
      </c>
      <c r="Q301">
        <v>1.04</v>
      </c>
      <c r="R301" t="s">
        <v>54</v>
      </c>
      <c r="S301">
        <v>0</v>
      </c>
      <c r="T301">
        <v>1.04</v>
      </c>
    </row>
    <row r="302" spans="1:20" x14ac:dyDescent="0.25">
      <c r="A302" t="s">
        <v>241</v>
      </c>
      <c r="B302" t="s">
        <v>33</v>
      </c>
      <c r="C302" t="s">
        <v>242</v>
      </c>
      <c r="D302" s="1">
        <v>44501</v>
      </c>
      <c r="E302" s="1">
        <v>45901</v>
      </c>
      <c r="F302">
        <v>1</v>
      </c>
      <c r="G302">
        <v>1</v>
      </c>
      <c r="H302" t="s">
        <v>239</v>
      </c>
      <c r="I302" t="s">
        <v>240</v>
      </c>
      <c r="J302" t="s">
        <v>236</v>
      </c>
      <c r="K302" t="s">
        <v>26</v>
      </c>
      <c r="L302" t="s">
        <v>42</v>
      </c>
      <c r="M302">
        <v>1</v>
      </c>
      <c r="N302">
        <v>63.5</v>
      </c>
      <c r="O302">
        <v>21.06</v>
      </c>
      <c r="P302">
        <v>0.08</v>
      </c>
      <c r="Q302">
        <v>1.68</v>
      </c>
      <c r="R302" t="s">
        <v>54</v>
      </c>
      <c r="S302">
        <v>0</v>
      </c>
      <c r="T302">
        <v>1.68</v>
      </c>
    </row>
    <row r="303" spans="1:20" x14ac:dyDescent="0.25">
      <c r="A303" t="s">
        <v>241</v>
      </c>
      <c r="B303" t="s">
        <v>33</v>
      </c>
      <c r="C303" t="s">
        <v>242</v>
      </c>
      <c r="D303" s="1">
        <v>44501</v>
      </c>
      <c r="E303" s="1">
        <v>45901</v>
      </c>
      <c r="F303">
        <v>1</v>
      </c>
      <c r="G303">
        <v>1</v>
      </c>
      <c r="H303" t="s">
        <v>239</v>
      </c>
      <c r="I303" t="s">
        <v>240</v>
      </c>
      <c r="J303" t="s">
        <v>236</v>
      </c>
      <c r="K303" t="s">
        <v>26</v>
      </c>
      <c r="L303" t="s">
        <v>44</v>
      </c>
      <c r="M303">
        <v>1</v>
      </c>
      <c r="N303">
        <v>0</v>
      </c>
      <c r="O303">
        <v>10.42</v>
      </c>
      <c r="P303">
        <v>0.08</v>
      </c>
      <c r="Q303">
        <v>0.83</v>
      </c>
      <c r="R303" t="s">
        <v>54</v>
      </c>
      <c r="S303">
        <v>0</v>
      </c>
      <c r="T303">
        <v>0.83</v>
      </c>
    </row>
    <row r="304" spans="1:20" x14ac:dyDescent="0.25">
      <c r="A304" t="s">
        <v>241</v>
      </c>
      <c r="B304" t="s">
        <v>33</v>
      </c>
      <c r="C304" t="s">
        <v>242</v>
      </c>
      <c r="D304" s="1">
        <v>44501</v>
      </c>
      <c r="E304" s="1">
        <v>45901</v>
      </c>
      <c r="F304">
        <v>1</v>
      </c>
      <c r="G304">
        <v>1</v>
      </c>
      <c r="H304" t="s">
        <v>239</v>
      </c>
      <c r="I304" t="s">
        <v>240</v>
      </c>
      <c r="J304" t="s">
        <v>236</v>
      </c>
      <c r="K304" t="s">
        <v>26</v>
      </c>
      <c r="L304" t="s">
        <v>118</v>
      </c>
      <c r="M304">
        <v>1</v>
      </c>
      <c r="N304">
        <v>0</v>
      </c>
      <c r="O304">
        <v>27.9</v>
      </c>
      <c r="P304">
        <v>0.08</v>
      </c>
      <c r="Q304">
        <v>2.23</v>
      </c>
      <c r="R304" t="s">
        <v>54</v>
      </c>
      <c r="S304">
        <v>0</v>
      </c>
      <c r="T304">
        <v>2.23</v>
      </c>
    </row>
    <row r="305" spans="1:20" x14ac:dyDescent="0.25">
      <c r="A305" t="s">
        <v>241</v>
      </c>
      <c r="B305" t="s">
        <v>33</v>
      </c>
      <c r="C305" t="s">
        <v>242</v>
      </c>
      <c r="D305" s="1">
        <v>44501</v>
      </c>
      <c r="E305" s="1">
        <v>45901</v>
      </c>
      <c r="F305">
        <v>1</v>
      </c>
      <c r="G305">
        <v>1</v>
      </c>
      <c r="H305" t="s">
        <v>239</v>
      </c>
      <c r="I305" t="s">
        <v>240</v>
      </c>
      <c r="J305" t="s">
        <v>236</v>
      </c>
      <c r="K305" t="s">
        <v>26</v>
      </c>
      <c r="L305" t="s">
        <v>117</v>
      </c>
      <c r="M305">
        <v>1</v>
      </c>
      <c r="N305">
        <v>0</v>
      </c>
      <c r="O305">
        <v>2.44</v>
      </c>
      <c r="P305">
        <v>0.08</v>
      </c>
      <c r="Q305">
        <v>0.2</v>
      </c>
      <c r="R305" t="s">
        <v>54</v>
      </c>
      <c r="S305">
        <v>0</v>
      </c>
      <c r="T305">
        <v>0.2</v>
      </c>
    </row>
    <row r="306" spans="1:20" x14ac:dyDescent="0.25">
      <c r="A306" t="s">
        <v>243</v>
      </c>
      <c r="B306" t="s">
        <v>21</v>
      </c>
      <c r="C306" t="s">
        <v>244</v>
      </c>
      <c r="D306" s="1">
        <v>44562</v>
      </c>
      <c r="E306" s="1">
        <v>45901</v>
      </c>
      <c r="F306">
        <v>1</v>
      </c>
      <c r="G306">
        <v>1</v>
      </c>
      <c r="H306" t="s">
        <v>239</v>
      </c>
      <c r="I306" t="s">
        <v>240</v>
      </c>
      <c r="J306" t="s">
        <v>236</v>
      </c>
      <c r="K306" t="s">
        <v>26</v>
      </c>
      <c r="L306" t="s">
        <v>42</v>
      </c>
      <c r="M306">
        <v>1</v>
      </c>
      <c r="N306">
        <v>53.48</v>
      </c>
      <c r="O306">
        <v>22.15</v>
      </c>
      <c r="P306">
        <v>0.08</v>
      </c>
      <c r="Q306">
        <v>1.77</v>
      </c>
      <c r="R306" t="s">
        <v>54</v>
      </c>
      <c r="S306">
        <v>0</v>
      </c>
      <c r="T306">
        <v>1.77</v>
      </c>
    </row>
    <row r="307" spans="1:20" x14ac:dyDescent="0.25">
      <c r="A307" t="s">
        <v>243</v>
      </c>
      <c r="B307" t="s">
        <v>21</v>
      </c>
      <c r="C307" t="s">
        <v>244</v>
      </c>
      <c r="D307" s="1">
        <v>44562</v>
      </c>
      <c r="E307" s="1">
        <v>45901</v>
      </c>
      <c r="F307">
        <v>1</v>
      </c>
      <c r="G307">
        <v>1</v>
      </c>
      <c r="H307" t="s">
        <v>239</v>
      </c>
      <c r="I307" t="s">
        <v>240</v>
      </c>
      <c r="J307" t="s">
        <v>236</v>
      </c>
      <c r="K307" t="s">
        <v>26</v>
      </c>
      <c r="L307" t="s">
        <v>117</v>
      </c>
      <c r="M307">
        <v>1</v>
      </c>
      <c r="N307">
        <v>0</v>
      </c>
      <c r="O307">
        <v>2.99</v>
      </c>
      <c r="P307">
        <v>0.08</v>
      </c>
      <c r="Q307">
        <v>0.24</v>
      </c>
      <c r="R307" t="s">
        <v>54</v>
      </c>
      <c r="S307">
        <v>0</v>
      </c>
      <c r="T307">
        <v>0.24</v>
      </c>
    </row>
    <row r="308" spans="1:20" x14ac:dyDescent="0.25">
      <c r="A308" t="s">
        <v>243</v>
      </c>
      <c r="B308" t="s">
        <v>21</v>
      </c>
      <c r="C308" t="s">
        <v>244</v>
      </c>
      <c r="D308" s="1">
        <v>44562</v>
      </c>
      <c r="E308" s="1">
        <v>45901</v>
      </c>
      <c r="F308">
        <v>1</v>
      </c>
      <c r="G308">
        <v>1</v>
      </c>
      <c r="H308" t="s">
        <v>239</v>
      </c>
      <c r="I308" t="s">
        <v>240</v>
      </c>
      <c r="J308" t="s">
        <v>236</v>
      </c>
      <c r="K308" t="s">
        <v>26</v>
      </c>
      <c r="L308" t="s">
        <v>245</v>
      </c>
      <c r="M308">
        <v>1</v>
      </c>
      <c r="N308">
        <v>0</v>
      </c>
      <c r="O308">
        <v>11.67</v>
      </c>
      <c r="P308">
        <v>0.08</v>
      </c>
      <c r="Q308">
        <v>0.93</v>
      </c>
      <c r="R308" t="s">
        <v>54</v>
      </c>
      <c r="S308">
        <v>0</v>
      </c>
      <c r="T308">
        <v>0.93</v>
      </c>
    </row>
    <row r="309" spans="1:20" x14ac:dyDescent="0.25">
      <c r="A309" t="s">
        <v>243</v>
      </c>
      <c r="B309" t="s">
        <v>21</v>
      </c>
      <c r="C309" t="s">
        <v>244</v>
      </c>
      <c r="D309" s="1">
        <v>44562</v>
      </c>
      <c r="E309" s="1">
        <v>45901</v>
      </c>
      <c r="F309">
        <v>1</v>
      </c>
      <c r="G309">
        <v>1</v>
      </c>
      <c r="H309" t="s">
        <v>239</v>
      </c>
      <c r="I309" t="s">
        <v>240</v>
      </c>
      <c r="J309" t="s">
        <v>236</v>
      </c>
      <c r="K309" t="s">
        <v>26</v>
      </c>
      <c r="L309" t="s">
        <v>118</v>
      </c>
      <c r="M309">
        <v>1</v>
      </c>
      <c r="N309">
        <v>0</v>
      </c>
      <c r="O309">
        <v>14.99</v>
      </c>
      <c r="P309">
        <v>0.08</v>
      </c>
      <c r="Q309">
        <v>1.2</v>
      </c>
      <c r="R309" t="s">
        <v>54</v>
      </c>
      <c r="S309">
        <v>0</v>
      </c>
      <c r="T309">
        <v>1.2</v>
      </c>
    </row>
    <row r="310" spans="1:20" x14ac:dyDescent="0.25">
      <c r="A310" t="s">
        <v>246</v>
      </c>
      <c r="B310" t="s">
        <v>33</v>
      </c>
      <c r="C310" t="s">
        <v>247</v>
      </c>
      <c r="D310" s="1">
        <v>44562</v>
      </c>
      <c r="E310" s="1">
        <v>45901</v>
      </c>
      <c r="F310">
        <v>1</v>
      </c>
      <c r="G310">
        <v>1</v>
      </c>
      <c r="H310" t="s">
        <v>239</v>
      </c>
      <c r="I310" t="s">
        <v>240</v>
      </c>
      <c r="J310" t="s">
        <v>236</v>
      </c>
      <c r="K310" t="s">
        <v>26</v>
      </c>
      <c r="L310" t="s">
        <v>42</v>
      </c>
      <c r="M310">
        <v>1</v>
      </c>
      <c r="N310">
        <v>61.75</v>
      </c>
      <c r="O310">
        <v>21.06</v>
      </c>
      <c r="P310">
        <v>0.08</v>
      </c>
      <c r="Q310">
        <v>1.68</v>
      </c>
      <c r="R310" t="s">
        <v>54</v>
      </c>
      <c r="S310">
        <v>0</v>
      </c>
      <c r="T310">
        <v>1.68</v>
      </c>
    </row>
    <row r="311" spans="1:20" x14ac:dyDescent="0.25">
      <c r="A311" t="s">
        <v>246</v>
      </c>
      <c r="B311" t="s">
        <v>33</v>
      </c>
      <c r="C311" t="s">
        <v>247</v>
      </c>
      <c r="D311" s="1">
        <v>44562</v>
      </c>
      <c r="E311" s="1">
        <v>45901</v>
      </c>
      <c r="F311">
        <v>1</v>
      </c>
      <c r="G311">
        <v>1</v>
      </c>
      <c r="H311" t="s">
        <v>239</v>
      </c>
      <c r="I311" t="s">
        <v>240</v>
      </c>
      <c r="J311" t="s">
        <v>236</v>
      </c>
      <c r="K311" t="s">
        <v>26</v>
      </c>
      <c r="L311" t="s">
        <v>44</v>
      </c>
      <c r="M311">
        <v>1</v>
      </c>
      <c r="N311">
        <v>0</v>
      </c>
      <c r="O311">
        <v>12.94</v>
      </c>
      <c r="P311">
        <v>0.08</v>
      </c>
      <c r="Q311">
        <v>1.04</v>
      </c>
      <c r="R311" t="s">
        <v>54</v>
      </c>
      <c r="S311">
        <v>0</v>
      </c>
      <c r="T311">
        <v>1.04</v>
      </c>
    </row>
    <row r="312" spans="1:20" x14ac:dyDescent="0.25">
      <c r="A312" t="s">
        <v>246</v>
      </c>
      <c r="B312" t="s">
        <v>33</v>
      </c>
      <c r="C312" t="s">
        <v>247</v>
      </c>
      <c r="D312" s="1">
        <v>44562</v>
      </c>
      <c r="E312" s="1">
        <v>45901</v>
      </c>
      <c r="F312">
        <v>1</v>
      </c>
      <c r="G312">
        <v>1</v>
      </c>
      <c r="H312" t="s">
        <v>239</v>
      </c>
      <c r="I312" t="s">
        <v>240</v>
      </c>
      <c r="J312" t="s">
        <v>236</v>
      </c>
      <c r="K312" t="s">
        <v>26</v>
      </c>
      <c r="L312" t="s">
        <v>117</v>
      </c>
      <c r="M312">
        <v>1</v>
      </c>
      <c r="N312">
        <v>0</v>
      </c>
      <c r="O312">
        <v>2.92</v>
      </c>
      <c r="P312">
        <v>0.08</v>
      </c>
      <c r="Q312">
        <v>0.23</v>
      </c>
      <c r="R312" t="s">
        <v>54</v>
      </c>
      <c r="S312">
        <v>0</v>
      </c>
      <c r="T312">
        <v>0.23</v>
      </c>
    </row>
    <row r="313" spans="1:20" x14ac:dyDescent="0.25">
      <c r="A313" t="s">
        <v>246</v>
      </c>
      <c r="B313" t="s">
        <v>33</v>
      </c>
      <c r="C313" t="s">
        <v>247</v>
      </c>
      <c r="D313" s="1">
        <v>44562</v>
      </c>
      <c r="E313" s="1">
        <v>45901</v>
      </c>
      <c r="F313">
        <v>1</v>
      </c>
      <c r="G313">
        <v>1</v>
      </c>
      <c r="H313" t="s">
        <v>239</v>
      </c>
      <c r="I313" t="s">
        <v>240</v>
      </c>
      <c r="J313" t="s">
        <v>236</v>
      </c>
      <c r="K313" t="s">
        <v>26</v>
      </c>
      <c r="L313" t="s">
        <v>118</v>
      </c>
      <c r="M313">
        <v>1</v>
      </c>
      <c r="N313">
        <v>0</v>
      </c>
      <c r="O313">
        <v>23.15</v>
      </c>
      <c r="P313">
        <v>0.08</v>
      </c>
      <c r="Q313">
        <v>1.85</v>
      </c>
      <c r="R313" t="s">
        <v>54</v>
      </c>
      <c r="S313">
        <v>0</v>
      </c>
      <c r="T313">
        <v>1.85</v>
      </c>
    </row>
    <row r="314" spans="1:20" x14ac:dyDescent="0.25">
      <c r="A314" t="s">
        <v>248</v>
      </c>
      <c r="B314" t="s">
        <v>33</v>
      </c>
      <c r="C314" t="s">
        <v>249</v>
      </c>
      <c r="D314" s="1">
        <v>44562</v>
      </c>
      <c r="E314" s="1">
        <v>45901</v>
      </c>
      <c r="F314">
        <v>1</v>
      </c>
      <c r="G314">
        <v>1</v>
      </c>
      <c r="H314" t="s">
        <v>239</v>
      </c>
      <c r="I314" t="s">
        <v>240</v>
      </c>
      <c r="J314" t="s">
        <v>236</v>
      </c>
      <c r="K314" t="s">
        <v>26</v>
      </c>
      <c r="L314" t="s">
        <v>42</v>
      </c>
      <c r="M314">
        <v>1</v>
      </c>
      <c r="N314">
        <v>60.84</v>
      </c>
      <c r="O314">
        <v>21.06</v>
      </c>
      <c r="P314">
        <v>0.08</v>
      </c>
      <c r="Q314">
        <v>1.68</v>
      </c>
      <c r="R314" t="s">
        <v>54</v>
      </c>
      <c r="S314">
        <v>0</v>
      </c>
      <c r="T314">
        <v>1.68</v>
      </c>
    </row>
    <row r="315" spans="1:20" x14ac:dyDescent="0.25">
      <c r="A315" t="s">
        <v>248</v>
      </c>
      <c r="B315" t="s">
        <v>33</v>
      </c>
      <c r="C315" t="s">
        <v>249</v>
      </c>
      <c r="D315" s="1">
        <v>44562</v>
      </c>
      <c r="E315" s="1">
        <v>45901</v>
      </c>
      <c r="F315">
        <v>1</v>
      </c>
      <c r="G315">
        <v>1</v>
      </c>
      <c r="H315" t="s">
        <v>239</v>
      </c>
      <c r="I315" t="s">
        <v>240</v>
      </c>
      <c r="J315" t="s">
        <v>236</v>
      </c>
      <c r="K315" t="s">
        <v>26</v>
      </c>
      <c r="L315" t="s">
        <v>44</v>
      </c>
      <c r="M315">
        <v>1</v>
      </c>
      <c r="N315">
        <v>0</v>
      </c>
      <c r="O315">
        <v>12.94</v>
      </c>
      <c r="P315">
        <v>0.08</v>
      </c>
      <c r="Q315">
        <v>1.04</v>
      </c>
      <c r="R315" t="s">
        <v>54</v>
      </c>
      <c r="S315">
        <v>0</v>
      </c>
      <c r="T315">
        <v>1.04</v>
      </c>
    </row>
    <row r="316" spans="1:20" x14ac:dyDescent="0.25">
      <c r="A316" t="s">
        <v>248</v>
      </c>
      <c r="B316" t="s">
        <v>33</v>
      </c>
      <c r="C316" t="s">
        <v>249</v>
      </c>
      <c r="D316" s="1">
        <v>44562</v>
      </c>
      <c r="E316" s="1">
        <v>45901</v>
      </c>
      <c r="F316">
        <v>1</v>
      </c>
      <c r="G316">
        <v>1</v>
      </c>
      <c r="H316" t="s">
        <v>239</v>
      </c>
      <c r="I316" t="s">
        <v>240</v>
      </c>
      <c r="J316" t="s">
        <v>236</v>
      </c>
      <c r="K316" t="s">
        <v>26</v>
      </c>
      <c r="L316" t="s">
        <v>118</v>
      </c>
      <c r="M316">
        <v>1</v>
      </c>
      <c r="N316">
        <v>0</v>
      </c>
      <c r="O316">
        <v>22.41</v>
      </c>
      <c r="P316">
        <v>0.08</v>
      </c>
      <c r="Q316">
        <v>1.79</v>
      </c>
      <c r="R316" t="s">
        <v>54</v>
      </c>
      <c r="S316">
        <v>0</v>
      </c>
      <c r="T316">
        <v>1.79</v>
      </c>
    </row>
    <row r="317" spans="1:20" x14ac:dyDescent="0.25">
      <c r="A317" t="s">
        <v>248</v>
      </c>
      <c r="B317" t="s">
        <v>33</v>
      </c>
      <c r="C317" t="s">
        <v>249</v>
      </c>
      <c r="D317" s="1">
        <v>44562</v>
      </c>
      <c r="E317" s="1">
        <v>45901</v>
      </c>
      <c r="F317">
        <v>1</v>
      </c>
      <c r="G317">
        <v>1</v>
      </c>
      <c r="H317" t="s">
        <v>239</v>
      </c>
      <c r="I317" t="s">
        <v>240</v>
      </c>
      <c r="J317" t="s">
        <v>236</v>
      </c>
      <c r="K317" t="s">
        <v>26</v>
      </c>
      <c r="L317" t="s">
        <v>117</v>
      </c>
      <c r="M317">
        <v>1</v>
      </c>
      <c r="N317">
        <v>0</v>
      </c>
      <c r="O317">
        <v>2.75</v>
      </c>
      <c r="P317">
        <v>0.08</v>
      </c>
      <c r="Q317">
        <v>0.22</v>
      </c>
      <c r="R317" t="s">
        <v>54</v>
      </c>
      <c r="S317">
        <v>0</v>
      </c>
      <c r="T317">
        <v>0.22</v>
      </c>
    </row>
    <row r="318" spans="1:20" x14ac:dyDescent="0.25">
      <c r="A318" t="s">
        <v>250</v>
      </c>
      <c r="B318" t="s">
        <v>33</v>
      </c>
      <c r="C318" t="s">
        <v>251</v>
      </c>
      <c r="D318" s="1">
        <v>44562</v>
      </c>
      <c r="E318" s="1">
        <v>45901</v>
      </c>
      <c r="F318">
        <v>1</v>
      </c>
      <c r="G318">
        <v>1</v>
      </c>
      <c r="H318" t="s">
        <v>239</v>
      </c>
      <c r="I318" t="s">
        <v>240</v>
      </c>
      <c r="J318" t="s">
        <v>236</v>
      </c>
      <c r="K318" t="s">
        <v>26</v>
      </c>
      <c r="L318" t="s">
        <v>42</v>
      </c>
      <c r="M318">
        <v>1</v>
      </c>
      <c r="N318">
        <v>64.09</v>
      </c>
      <c r="O318">
        <v>21.34</v>
      </c>
      <c r="P318">
        <v>0.08</v>
      </c>
      <c r="Q318">
        <v>1.71</v>
      </c>
      <c r="R318" t="s">
        <v>54</v>
      </c>
      <c r="S318">
        <v>0</v>
      </c>
      <c r="T318">
        <v>1.71</v>
      </c>
    </row>
    <row r="319" spans="1:20" x14ac:dyDescent="0.25">
      <c r="A319" t="s">
        <v>250</v>
      </c>
      <c r="B319" t="s">
        <v>33</v>
      </c>
      <c r="C319" t="s">
        <v>251</v>
      </c>
      <c r="D319" s="1">
        <v>44562</v>
      </c>
      <c r="E319" s="1">
        <v>45901</v>
      </c>
      <c r="F319">
        <v>1</v>
      </c>
      <c r="G319">
        <v>1</v>
      </c>
      <c r="H319" t="s">
        <v>239</v>
      </c>
      <c r="I319" t="s">
        <v>240</v>
      </c>
      <c r="J319" t="s">
        <v>236</v>
      </c>
      <c r="K319" t="s">
        <v>26</v>
      </c>
      <c r="L319" t="s">
        <v>44</v>
      </c>
      <c r="M319">
        <v>1</v>
      </c>
      <c r="N319">
        <v>0</v>
      </c>
      <c r="O319">
        <v>14.36</v>
      </c>
      <c r="P319">
        <v>0.08</v>
      </c>
      <c r="Q319">
        <v>1.1499999999999999</v>
      </c>
      <c r="R319" t="s">
        <v>54</v>
      </c>
      <c r="S319">
        <v>0</v>
      </c>
      <c r="T319">
        <v>1.1499999999999999</v>
      </c>
    </row>
    <row r="320" spans="1:20" x14ac:dyDescent="0.25">
      <c r="A320" t="s">
        <v>250</v>
      </c>
      <c r="B320" t="s">
        <v>33</v>
      </c>
      <c r="C320" t="s">
        <v>251</v>
      </c>
      <c r="D320" s="1">
        <v>44562</v>
      </c>
      <c r="E320" s="1">
        <v>45901</v>
      </c>
      <c r="F320">
        <v>1</v>
      </c>
      <c r="G320">
        <v>1</v>
      </c>
      <c r="H320" t="s">
        <v>239</v>
      </c>
      <c r="I320" t="s">
        <v>240</v>
      </c>
      <c r="J320" t="s">
        <v>236</v>
      </c>
      <c r="K320" t="s">
        <v>26</v>
      </c>
      <c r="L320" t="s">
        <v>117</v>
      </c>
      <c r="M320">
        <v>1</v>
      </c>
      <c r="N320">
        <v>0</v>
      </c>
      <c r="O320">
        <v>3.1</v>
      </c>
      <c r="P320">
        <v>0.08</v>
      </c>
      <c r="Q320">
        <v>0.25</v>
      </c>
      <c r="R320" t="s">
        <v>54</v>
      </c>
      <c r="S320">
        <v>0</v>
      </c>
      <c r="T320">
        <v>0.25</v>
      </c>
    </row>
    <row r="321" spans="1:20" x14ac:dyDescent="0.25">
      <c r="A321" t="s">
        <v>250</v>
      </c>
      <c r="B321" t="s">
        <v>33</v>
      </c>
      <c r="C321" t="s">
        <v>251</v>
      </c>
      <c r="D321" s="1">
        <v>44562</v>
      </c>
      <c r="E321" s="1">
        <v>45901</v>
      </c>
      <c r="F321">
        <v>1</v>
      </c>
      <c r="G321">
        <v>1</v>
      </c>
      <c r="H321" t="s">
        <v>239</v>
      </c>
      <c r="I321" t="s">
        <v>240</v>
      </c>
      <c r="J321" t="s">
        <v>236</v>
      </c>
      <c r="K321" t="s">
        <v>26</v>
      </c>
      <c r="L321" t="s">
        <v>118</v>
      </c>
      <c r="M321">
        <v>1</v>
      </c>
      <c r="N321">
        <v>0</v>
      </c>
      <c r="O321">
        <v>23.61</v>
      </c>
      <c r="P321">
        <v>0.08</v>
      </c>
      <c r="Q321">
        <v>1.89</v>
      </c>
      <c r="R321" t="s">
        <v>54</v>
      </c>
      <c r="S321">
        <v>0</v>
      </c>
      <c r="T321">
        <v>1.89</v>
      </c>
    </row>
    <row r="322" spans="1:20" x14ac:dyDescent="0.25">
      <c r="A322" t="s">
        <v>252</v>
      </c>
      <c r="B322" t="s">
        <v>33</v>
      </c>
      <c r="C322" t="s">
        <v>253</v>
      </c>
      <c r="D322" s="1">
        <v>44562</v>
      </c>
      <c r="E322" s="1">
        <v>45901</v>
      </c>
      <c r="F322">
        <v>1</v>
      </c>
      <c r="G322">
        <v>1</v>
      </c>
      <c r="H322" t="s">
        <v>239</v>
      </c>
      <c r="I322" t="s">
        <v>240</v>
      </c>
      <c r="J322" t="s">
        <v>236</v>
      </c>
      <c r="K322" t="s">
        <v>26</v>
      </c>
      <c r="L322" t="s">
        <v>42</v>
      </c>
      <c r="M322">
        <v>1</v>
      </c>
      <c r="N322">
        <v>69.260000000000005</v>
      </c>
      <c r="O322">
        <v>24.21</v>
      </c>
      <c r="P322">
        <v>0.08</v>
      </c>
      <c r="Q322">
        <v>1.94</v>
      </c>
      <c r="R322" t="s">
        <v>54</v>
      </c>
      <c r="S322">
        <v>0</v>
      </c>
      <c r="T322">
        <v>1.94</v>
      </c>
    </row>
    <row r="323" spans="1:20" x14ac:dyDescent="0.25">
      <c r="A323" t="s">
        <v>252</v>
      </c>
      <c r="B323" t="s">
        <v>33</v>
      </c>
      <c r="C323" t="s">
        <v>253</v>
      </c>
      <c r="D323" s="1">
        <v>44562</v>
      </c>
      <c r="E323" s="1">
        <v>45901</v>
      </c>
      <c r="F323">
        <v>1</v>
      </c>
      <c r="G323">
        <v>1</v>
      </c>
      <c r="H323" t="s">
        <v>239</v>
      </c>
      <c r="I323" t="s">
        <v>240</v>
      </c>
      <c r="J323" t="s">
        <v>236</v>
      </c>
      <c r="K323" t="s">
        <v>26</v>
      </c>
      <c r="L323" t="s">
        <v>44</v>
      </c>
      <c r="M323">
        <v>1</v>
      </c>
      <c r="N323">
        <v>0</v>
      </c>
      <c r="O323">
        <v>29.02</v>
      </c>
      <c r="P323">
        <v>0.08</v>
      </c>
      <c r="Q323">
        <v>2.3199999999999998</v>
      </c>
      <c r="R323" t="s">
        <v>54</v>
      </c>
      <c r="S323">
        <v>0</v>
      </c>
      <c r="T323">
        <v>2.3199999999999998</v>
      </c>
    </row>
    <row r="324" spans="1:20" x14ac:dyDescent="0.25">
      <c r="A324" t="s">
        <v>252</v>
      </c>
      <c r="B324" t="s">
        <v>33</v>
      </c>
      <c r="C324" t="s">
        <v>253</v>
      </c>
      <c r="D324" s="1">
        <v>44562</v>
      </c>
      <c r="E324" s="1">
        <v>45901</v>
      </c>
      <c r="F324">
        <v>1</v>
      </c>
      <c r="G324">
        <v>1</v>
      </c>
      <c r="H324" t="s">
        <v>239</v>
      </c>
      <c r="I324" t="s">
        <v>240</v>
      </c>
      <c r="J324" t="s">
        <v>236</v>
      </c>
      <c r="K324" t="s">
        <v>26</v>
      </c>
      <c r="L324" t="s">
        <v>118</v>
      </c>
      <c r="M324">
        <v>1</v>
      </c>
      <c r="N324">
        <v>0</v>
      </c>
      <c r="O324">
        <v>9.18</v>
      </c>
      <c r="P324">
        <v>0.08</v>
      </c>
      <c r="Q324">
        <v>0.73</v>
      </c>
      <c r="R324" t="s">
        <v>54</v>
      </c>
      <c r="S324">
        <v>0</v>
      </c>
      <c r="T324">
        <v>0.73</v>
      </c>
    </row>
    <row r="325" spans="1:20" x14ac:dyDescent="0.25">
      <c r="A325" t="s">
        <v>252</v>
      </c>
      <c r="B325" t="s">
        <v>33</v>
      </c>
      <c r="C325" t="s">
        <v>253</v>
      </c>
      <c r="D325" s="1">
        <v>44562</v>
      </c>
      <c r="E325" s="1">
        <v>45901</v>
      </c>
      <c r="F325">
        <v>1</v>
      </c>
      <c r="G325">
        <v>1</v>
      </c>
      <c r="H325" t="s">
        <v>239</v>
      </c>
      <c r="I325" t="s">
        <v>240</v>
      </c>
      <c r="J325" t="s">
        <v>236</v>
      </c>
      <c r="K325" t="s">
        <v>26</v>
      </c>
      <c r="L325" t="s">
        <v>117</v>
      </c>
      <c r="M325">
        <v>1</v>
      </c>
      <c r="N325">
        <v>0</v>
      </c>
      <c r="O325">
        <v>5.17</v>
      </c>
      <c r="P325">
        <v>0.08</v>
      </c>
      <c r="Q325">
        <v>0.41</v>
      </c>
      <c r="R325" t="s">
        <v>54</v>
      </c>
      <c r="S325">
        <v>0</v>
      </c>
      <c r="T325">
        <v>0.41</v>
      </c>
    </row>
    <row r="326" spans="1:20" x14ac:dyDescent="0.25">
      <c r="A326" t="s">
        <v>254</v>
      </c>
      <c r="B326" t="s">
        <v>33</v>
      </c>
      <c r="C326" t="s">
        <v>255</v>
      </c>
      <c r="D326" s="1">
        <v>44593</v>
      </c>
      <c r="E326" s="1">
        <v>45901</v>
      </c>
      <c r="F326">
        <v>1</v>
      </c>
      <c r="G326">
        <v>1</v>
      </c>
      <c r="H326" t="s">
        <v>239</v>
      </c>
      <c r="I326" t="s">
        <v>240</v>
      </c>
      <c r="J326" t="s">
        <v>236</v>
      </c>
      <c r="K326" t="s">
        <v>26</v>
      </c>
      <c r="L326" t="s">
        <v>42</v>
      </c>
      <c r="M326">
        <v>1</v>
      </c>
      <c r="N326">
        <v>60.84</v>
      </c>
      <c r="O326">
        <v>21.06</v>
      </c>
      <c r="P326">
        <v>0.08</v>
      </c>
      <c r="Q326">
        <v>1.68</v>
      </c>
      <c r="R326" t="s">
        <v>54</v>
      </c>
      <c r="S326">
        <v>0</v>
      </c>
      <c r="T326">
        <v>1.68</v>
      </c>
    </row>
    <row r="327" spans="1:20" x14ac:dyDescent="0.25">
      <c r="A327" t="s">
        <v>254</v>
      </c>
      <c r="B327" t="s">
        <v>33</v>
      </c>
      <c r="C327" t="s">
        <v>255</v>
      </c>
      <c r="D327" s="1">
        <v>44593</v>
      </c>
      <c r="E327" s="1">
        <v>45901</v>
      </c>
      <c r="F327">
        <v>1</v>
      </c>
      <c r="G327">
        <v>1</v>
      </c>
      <c r="H327" t="s">
        <v>239</v>
      </c>
      <c r="I327" t="s">
        <v>240</v>
      </c>
      <c r="J327" t="s">
        <v>236</v>
      </c>
      <c r="K327" t="s">
        <v>26</v>
      </c>
      <c r="L327" t="s">
        <v>118</v>
      </c>
      <c r="M327">
        <v>1</v>
      </c>
      <c r="N327">
        <v>0</v>
      </c>
      <c r="O327">
        <v>22.41</v>
      </c>
      <c r="P327">
        <v>0.08</v>
      </c>
      <c r="Q327">
        <v>1.79</v>
      </c>
      <c r="R327" t="s">
        <v>54</v>
      </c>
      <c r="S327">
        <v>0</v>
      </c>
      <c r="T327">
        <v>1.79</v>
      </c>
    </row>
    <row r="328" spans="1:20" x14ac:dyDescent="0.25">
      <c r="A328" t="s">
        <v>254</v>
      </c>
      <c r="B328" t="s">
        <v>33</v>
      </c>
      <c r="C328" t="s">
        <v>255</v>
      </c>
      <c r="D328" s="1">
        <v>44593</v>
      </c>
      <c r="E328" s="1">
        <v>45901</v>
      </c>
      <c r="F328">
        <v>1</v>
      </c>
      <c r="G328">
        <v>1</v>
      </c>
      <c r="H328" t="s">
        <v>239</v>
      </c>
      <c r="I328" t="s">
        <v>240</v>
      </c>
      <c r="J328" t="s">
        <v>236</v>
      </c>
      <c r="K328" t="s">
        <v>26</v>
      </c>
      <c r="L328" t="s">
        <v>44</v>
      </c>
      <c r="M328">
        <v>1</v>
      </c>
      <c r="N328">
        <v>0</v>
      </c>
      <c r="O328">
        <v>12.94</v>
      </c>
      <c r="P328">
        <v>0.08</v>
      </c>
      <c r="Q328">
        <v>1.04</v>
      </c>
      <c r="R328" t="s">
        <v>54</v>
      </c>
      <c r="S328">
        <v>0</v>
      </c>
      <c r="T328">
        <v>1.04</v>
      </c>
    </row>
    <row r="329" spans="1:20" x14ac:dyDescent="0.25">
      <c r="A329" t="s">
        <v>254</v>
      </c>
      <c r="B329" t="s">
        <v>33</v>
      </c>
      <c r="C329" t="s">
        <v>255</v>
      </c>
      <c r="D329" s="1">
        <v>44593</v>
      </c>
      <c r="E329" s="1">
        <v>45901</v>
      </c>
      <c r="F329">
        <v>1</v>
      </c>
      <c r="G329">
        <v>1</v>
      </c>
      <c r="H329" t="s">
        <v>239</v>
      </c>
      <c r="I329" t="s">
        <v>240</v>
      </c>
      <c r="J329" t="s">
        <v>236</v>
      </c>
      <c r="K329" t="s">
        <v>26</v>
      </c>
      <c r="L329" t="s">
        <v>117</v>
      </c>
      <c r="M329">
        <v>1</v>
      </c>
      <c r="N329">
        <v>0</v>
      </c>
      <c r="O329">
        <v>2.75</v>
      </c>
      <c r="P329">
        <v>0.08</v>
      </c>
      <c r="Q329">
        <v>0.22</v>
      </c>
      <c r="R329" t="s">
        <v>54</v>
      </c>
      <c r="S329">
        <v>0</v>
      </c>
      <c r="T329">
        <v>0.22</v>
      </c>
    </row>
    <row r="330" spans="1:20" x14ac:dyDescent="0.25">
      <c r="A330" t="s">
        <v>256</v>
      </c>
      <c r="B330" t="s">
        <v>33</v>
      </c>
      <c r="C330" t="s">
        <v>257</v>
      </c>
      <c r="D330" s="1">
        <v>44593</v>
      </c>
      <c r="E330" s="1">
        <v>45901</v>
      </c>
      <c r="F330">
        <v>1</v>
      </c>
      <c r="G330">
        <v>1</v>
      </c>
      <c r="H330" t="s">
        <v>239</v>
      </c>
      <c r="I330" t="s">
        <v>240</v>
      </c>
      <c r="J330" t="s">
        <v>236</v>
      </c>
      <c r="K330" t="s">
        <v>26</v>
      </c>
      <c r="L330" t="s">
        <v>171</v>
      </c>
      <c r="M330">
        <v>1</v>
      </c>
      <c r="N330">
        <v>26.32</v>
      </c>
      <c r="O330">
        <v>20.62</v>
      </c>
      <c r="P330">
        <v>0.06</v>
      </c>
      <c r="Q330">
        <v>1.24</v>
      </c>
      <c r="R330" t="s">
        <v>54</v>
      </c>
      <c r="S330">
        <v>0</v>
      </c>
      <c r="T330">
        <v>1.24</v>
      </c>
    </row>
    <row r="331" spans="1:20" x14ac:dyDescent="0.25">
      <c r="A331" t="s">
        <v>256</v>
      </c>
      <c r="B331" t="s">
        <v>33</v>
      </c>
      <c r="C331" t="s">
        <v>257</v>
      </c>
      <c r="D331" s="1">
        <v>44593</v>
      </c>
      <c r="E331" s="1">
        <v>45901</v>
      </c>
      <c r="F331">
        <v>1</v>
      </c>
      <c r="G331">
        <v>1</v>
      </c>
      <c r="H331" t="s">
        <v>239</v>
      </c>
      <c r="I331" t="s">
        <v>240</v>
      </c>
      <c r="J331" t="s">
        <v>236</v>
      </c>
      <c r="K331" t="s">
        <v>26</v>
      </c>
      <c r="L331" t="s">
        <v>258</v>
      </c>
      <c r="M331">
        <v>1</v>
      </c>
      <c r="N331">
        <v>0</v>
      </c>
      <c r="O331">
        <v>3.62</v>
      </c>
      <c r="P331">
        <v>0.06</v>
      </c>
      <c r="Q331">
        <v>0.22</v>
      </c>
      <c r="R331" t="s">
        <v>54</v>
      </c>
      <c r="S331">
        <v>0</v>
      </c>
      <c r="T331">
        <v>0.22</v>
      </c>
    </row>
    <row r="332" spans="1:20" x14ac:dyDescent="0.25">
      <c r="A332" t="s">
        <v>259</v>
      </c>
      <c r="B332" t="s">
        <v>33</v>
      </c>
      <c r="C332" t="s">
        <v>260</v>
      </c>
      <c r="D332" s="1">
        <v>44927</v>
      </c>
      <c r="E332" s="1">
        <v>45901</v>
      </c>
      <c r="F332">
        <v>1</v>
      </c>
      <c r="G332">
        <v>1</v>
      </c>
      <c r="H332" t="s">
        <v>239</v>
      </c>
      <c r="I332" t="s">
        <v>240</v>
      </c>
      <c r="J332" t="s">
        <v>236</v>
      </c>
      <c r="K332" t="s">
        <v>26</v>
      </c>
      <c r="L332" t="s">
        <v>42</v>
      </c>
      <c r="M332">
        <v>1</v>
      </c>
      <c r="N332">
        <v>54.37</v>
      </c>
      <c r="O332">
        <v>22.72</v>
      </c>
      <c r="P332">
        <v>0.1</v>
      </c>
      <c r="Q332">
        <v>2.27</v>
      </c>
      <c r="R332" t="s">
        <v>54</v>
      </c>
      <c r="S332">
        <v>0</v>
      </c>
      <c r="T332">
        <v>2.27</v>
      </c>
    </row>
    <row r="333" spans="1:20" x14ac:dyDescent="0.25">
      <c r="A333" t="s">
        <v>259</v>
      </c>
      <c r="B333" t="s">
        <v>33</v>
      </c>
      <c r="C333" t="s">
        <v>260</v>
      </c>
      <c r="D333" s="1">
        <v>44927</v>
      </c>
      <c r="E333" s="1">
        <v>45901</v>
      </c>
      <c r="F333">
        <v>1</v>
      </c>
      <c r="G333">
        <v>1</v>
      </c>
      <c r="H333" t="s">
        <v>239</v>
      </c>
      <c r="I333" t="s">
        <v>240</v>
      </c>
      <c r="J333" t="s">
        <v>236</v>
      </c>
      <c r="K333" t="s">
        <v>26</v>
      </c>
      <c r="L333" t="s">
        <v>117</v>
      </c>
      <c r="M333">
        <v>1</v>
      </c>
      <c r="N333">
        <v>0</v>
      </c>
      <c r="O333">
        <v>4.07</v>
      </c>
      <c r="P333">
        <v>0.1</v>
      </c>
      <c r="Q333">
        <v>0.41</v>
      </c>
      <c r="R333" t="s">
        <v>54</v>
      </c>
      <c r="S333">
        <v>0</v>
      </c>
      <c r="T333">
        <v>0.41</v>
      </c>
    </row>
    <row r="334" spans="1:20" x14ac:dyDescent="0.25">
      <c r="A334" t="s">
        <v>259</v>
      </c>
      <c r="B334" t="s">
        <v>33</v>
      </c>
      <c r="C334" t="s">
        <v>260</v>
      </c>
      <c r="D334" s="1">
        <v>44927</v>
      </c>
      <c r="E334" s="1">
        <v>45901</v>
      </c>
      <c r="F334">
        <v>1</v>
      </c>
      <c r="G334">
        <v>1</v>
      </c>
      <c r="H334" t="s">
        <v>239</v>
      </c>
      <c r="I334" t="s">
        <v>240</v>
      </c>
      <c r="J334" t="s">
        <v>236</v>
      </c>
      <c r="K334" t="s">
        <v>26</v>
      </c>
      <c r="L334" t="s">
        <v>118</v>
      </c>
      <c r="M334">
        <v>1</v>
      </c>
      <c r="N334">
        <v>0</v>
      </c>
      <c r="O334">
        <v>25.9</v>
      </c>
      <c r="P334">
        <v>0.1</v>
      </c>
      <c r="Q334">
        <v>2.59</v>
      </c>
      <c r="R334" t="s">
        <v>54</v>
      </c>
      <c r="S334">
        <v>0</v>
      </c>
      <c r="T334">
        <v>2.59</v>
      </c>
    </row>
    <row r="335" spans="1:20" x14ac:dyDescent="0.25">
      <c r="A335" t="s">
        <v>261</v>
      </c>
      <c r="B335" t="s">
        <v>66</v>
      </c>
      <c r="C335" t="s">
        <v>262</v>
      </c>
      <c r="D335" s="1">
        <v>44927</v>
      </c>
      <c r="E335" s="1">
        <v>45901</v>
      </c>
      <c r="F335">
        <v>1</v>
      </c>
      <c r="G335">
        <v>1</v>
      </c>
      <c r="H335" t="s">
        <v>239</v>
      </c>
      <c r="I335" t="s">
        <v>240</v>
      </c>
      <c r="J335" t="s">
        <v>236</v>
      </c>
      <c r="K335" t="s">
        <v>26</v>
      </c>
      <c r="L335" t="s">
        <v>68</v>
      </c>
      <c r="M335">
        <v>1</v>
      </c>
      <c r="N335">
        <v>64.53</v>
      </c>
      <c r="O335">
        <v>27.11</v>
      </c>
      <c r="P335">
        <v>0.1</v>
      </c>
      <c r="Q335">
        <v>2.71</v>
      </c>
      <c r="R335" t="s">
        <v>54</v>
      </c>
      <c r="S335">
        <v>0</v>
      </c>
      <c r="T335">
        <v>2.71</v>
      </c>
    </row>
    <row r="336" spans="1:20" x14ac:dyDescent="0.25">
      <c r="A336" t="s">
        <v>261</v>
      </c>
      <c r="B336" t="s">
        <v>66</v>
      </c>
      <c r="C336" t="s">
        <v>262</v>
      </c>
      <c r="D336" s="1">
        <v>44927</v>
      </c>
      <c r="E336" s="1">
        <v>45901</v>
      </c>
      <c r="F336">
        <v>1</v>
      </c>
      <c r="G336">
        <v>1</v>
      </c>
      <c r="H336" t="s">
        <v>239</v>
      </c>
      <c r="I336" t="s">
        <v>240</v>
      </c>
      <c r="J336" t="s">
        <v>236</v>
      </c>
      <c r="K336" t="s">
        <v>26</v>
      </c>
      <c r="L336" t="s">
        <v>75</v>
      </c>
      <c r="M336">
        <v>1</v>
      </c>
      <c r="N336">
        <v>0</v>
      </c>
      <c r="O336">
        <v>32.24</v>
      </c>
      <c r="P336">
        <v>0.1</v>
      </c>
      <c r="Q336">
        <v>3.22</v>
      </c>
      <c r="R336" t="s">
        <v>54</v>
      </c>
      <c r="S336">
        <v>0</v>
      </c>
      <c r="T336">
        <v>3.22</v>
      </c>
    </row>
    <row r="337" spans="1:20" x14ac:dyDescent="0.25">
      <c r="A337" t="s">
        <v>263</v>
      </c>
      <c r="B337" t="s">
        <v>33</v>
      </c>
      <c r="C337" t="s">
        <v>264</v>
      </c>
      <c r="D337" s="1">
        <v>44927</v>
      </c>
      <c r="E337" s="1">
        <v>45901</v>
      </c>
      <c r="F337">
        <v>1</v>
      </c>
      <c r="G337">
        <v>1</v>
      </c>
      <c r="H337" t="s">
        <v>239</v>
      </c>
      <c r="I337" t="s">
        <v>240</v>
      </c>
      <c r="J337" t="s">
        <v>236</v>
      </c>
      <c r="K337" t="s">
        <v>26</v>
      </c>
      <c r="L337" t="s">
        <v>35</v>
      </c>
      <c r="M337">
        <v>1</v>
      </c>
      <c r="N337">
        <v>110.85</v>
      </c>
      <c r="O337">
        <v>83.63</v>
      </c>
      <c r="P337">
        <v>0.13</v>
      </c>
      <c r="Q337">
        <v>10.87</v>
      </c>
      <c r="R337" t="s">
        <v>54</v>
      </c>
      <c r="S337">
        <v>0</v>
      </c>
      <c r="T337">
        <v>10.87</v>
      </c>
    </row>
    <row r="338" spans="1:20" x14ac:dyDescent="0.25">
      <c r="A338" t="s">
        <v>263</v>
      </c>
      <c r="B338" t="s">
        <v>33</v>
      </c>
      <c r="C338" t="s">
        <v>264</v>
      </c>
      <c r="D338" s="1">
        <v>44927</v>
      </c>
      <c r="E338" s="1">
        <v>45901</v>
      </c>
      <c r="F338">
        <v>1</v>
      </c>
      <c r="G338">
        <v>1</v>
      </c>
      <c r="H338" t="s">
        <v>239</v>
      </c>
      <c r="I338" t="s">
        <v>240</v>
      </c>
      <c r="J338" t="s">
        <v>236</v>
      </c>
      <c r="K338" t="s">
        <v>26</v>
      </c>
      <c r="L338" t="s">
        <v>36</v>
      </c>
      <c r="M338">
        <v>1</v>
      </c>
      <c r="N338">
        <v>0</v>
      </c>
      <c r="O338">
        <v>25.55</v>
      </c>
      <c r="P338">
        <v>0.13</v>
      </c>
      <c r="Q338">
        <v>3.32</v>
      </c>
      <c r="R338" t="s">
        <v>54</v>
      </c>
      <c r="S338">
        <v>0</v>
      </c>
      <c r="T338">
        <v>3.32</v>
      </c>
    </row>
    <row r="339" spans="1:20" x14ac:dyDescent="0.25">
      <c r="A339" t="s">
        <v>265</v>
      </c>
      <c r="B339" t="s">
        <v>33</v>
      </c>
      <c r="C339" t="s">
        <v>266</v>
      </c>
      <c r="D339" s="1">
        <v>44986</v>
      </c>
      <c r="E339" s="1">
        <v>45901</v>
      </c>
      <c r="F339">
        <v>1</v>
      </c>
      <c r="G339">
        <v>1</v>
      </c>
      <c r="H339" t="s">
        <v>239</v>
      </c>
      <c r="I339" t="s">
        <v>240</v>
      </c>
      <c r="J339" t="s">
        <v>236</v>
      </c>
      <c r="K339" t="s">
        <v>26</v>
      </c>
      <c r="L339" t="s">
        <v>42</v>
      </c>
      <c r="M339">
        <v>1</v>
      </c>
      <c r="N339">
        <v>22.74</v>
      </c>
      <c r="O339">
        <v>21.06</v>
      </c>
      <c r="P339">
        <v>0.1</v>
      </c>
      <c r="Q339">
        <v>2.11</v>
      </c>
      <c r="R339" t="s">
        <v>54</v>
      </c>
      <c r="S339">
        <v>0</v>
      </c>
      <c r="T339">
        <v>2.11</v>
      </c>
    </row>
    <row r="340" spans="1:20" x14ac:dyDescent="0.25">
      <c r="A340" t="s">
        <v>267</v>
      </c>
      <c r="B340" t="s">
        <v>33</v>
      </c>
      <c r="C340" t="s">
        <v>268</v>
      </c>
      <c r="D340" s="1">
        <v>45017</v>
      </c>
      <c r="E340" s="1">
        <v>45901</v>
      </c>
      <c r="F340">
        <v>1</v>
      </c>
      <c r="G340">
        <v>1</v>
      </c>
      <c r="H340" t="s">
        <v>239</v>
      </c>
      <c r="I340" t="s">
        <v>240</v>
      </c>
      <c r="J340" t="s">
        <v>236</v>
      </c>
      <c r="K340" t="s">
        <v>26</v>
      </c>
      <c r="L340" t="s">
        <v>42</v>
      </c>
      <c r="M340">
        <v>1</v>
      </c>
      <c r="N340">
        <v>54.1</v>
      </c>
      <c r="O340">
        <v>14.32</v>
      </c>
      <c r="P340">
        <v>0.1</v>
      </c>
      <c r="Q340">
        <v>1.43</v>
      </c>
      <c r="R340" t="s">
        <v>54</v>
      </c>
      <c r="S340">
        <v>0</v>
      </c>
      <c r="T340">
        <v>1.43</v>
      </c>
    </row>
    <row r="341" spans="1:20" x14ac:dyDescent="0.25">
      <c r="A341" t="s">
        <v>267</v>
      </c>
      <c r="B341" t="s">
        <v>33</v>
      </c>
      <c r="C341" t="s">
        <v>268</v>
      </c>
      <c r="D341" s="1">
        <v>45017</v>
      </c>
      <c r="E341" s="1">
        <v>45901</v>
      </c>
      <c r="F341">
        <v>1</v>
      </c>
      <c r="G341">
        <v>1</v>
      </c>
      <c r="H341" t="s">
        <v>239</v>
      </c>
      <c r="I341" t="s">
        <v>240</v>
      </c>
      <c r="J341" t="s">
        <v>236</v>
      </c>
      <c r="K341" t="s">
        <v>26</v>
      </c>
      <c r="L341" t="s">
        <v>118</v>
      </c>
      <c r="M341">
        <v>1</v>
      </c>
      <c r="N341">
        <v>0</v>
      </c>
      <c r="O341">
        <v>22.41</v>
      </c>
      <c r="P341">
        <v>0.1</v>
      </c>
      <c r="Q341">
        <v>2.2400000000000002</v>
      </c>
      <c r="R341" t="s">
        <v>54</v>
      </c>
      <c r="S341">
        <v>0</v>
      </c>
      <c r="T341">
        <v>2.2400000000000002</v>
      </c>
    </row>
    <row r="342" spans="1:20" x14ac:dyDescent="0.25">
      <c r="A342" t="s">
        <v>267</v>
      </c>
      <c r="B342" t="s">
        <v>33</v>
      </c>
      <c r="C342" t="s">
        <v>268</v>
      </c>
      <c r="D342" s="1">
        <v>45017</v>
      </c>
      <c r="E342" s="1">
        <v>45901</v>
      </c>
      <c r="F342">
        <v>1</v>
      </c>
      <c r="G342">
        <v>1</v>
      </c>
      <c r="H342" t="s">
        <v>239</v>
      </c>
      <c r="I342" t="s">
        <v>240</v>
      </c>
      <c r="J342" t="s">
        <v>236</v>
      </c>
      <c r="K342" t="s">
        <v>26</v>
      </c>
      <c r="L342" t="s">
        <v>44</v>
      </c>
      <c r="M342">
        <v>1</v>
      </c>
      <c r="N342">
        <v>0</v>
      </c>
      <c r="O342">
        <v>12.94</v>
      </c>
      <c r="P342">
        <v>0.1</v>
      </c>
      <c r="Q342">
        <v>1.29</v>
      </c>
      <c r="R342" t="s">
        <v>54</v>
      </c>
      <c r="S342">
        <v>0</v>
      </c>
      <c r="T342">
        <v>1.29</v>
      </c>
    </row>
    <row r="343" spans="1:20" x14ac:dyDescent="0.25">
      <c r="A343" t="s">
        <v>267</v>
      </c>
      <c r="B343" t="s">
        <v>33</v>
      </c>
      <c r="C343" t="s">
        <v>268</v>
      </c>
      <c r="D343" s="1">
        <v>45017</v>
      </c>
      <c r="E343" s="1">
        <v>45901</v>
      </c>
      <c r="F343">
        <v>1</v>
      </c>
      <c r="G343">
        <v>1</v>
      </c>
      <c r="H343" t="s">
        <v>239</v>
      </c>
      <c r="I343" t="s">
        <v>240</v>
      </c>
      <c r="J343" t="s">
        <v>236</v>
      </c>
      <c r="K343" t="s">
        <v>26</v>
      </c>
      <c r="L343" t="s">
        <v>117</v>
      </c>
      <c r="M343">
        <v>1</v>
      </c>
      <c r="N343">
        <v>0</v>
      </c>
      <c r="O343">
        <v>2.75</v>
      </c>
      <c r="P343">
        <v>0.1</v>
      </c>
      <c r="Q343">
        <v>0.28000000000000003</v>
      </c>
      <c r="R343" t="s">
        <v>54</v>
      </c>
      <c r="S343">
        <v>0</v>
      </c>
      <c r="T343">
        <v>0.28000000000000003</v>
      </c>
    </row>
    <row r="344" spans="1:20" x14ac:dyDescent="0.25">
      <c r="A344" t="s">
        <v>269</v>
      </c>
      <c r="B344" t="s">
        <v>33</v>
      </c>
      <c r="C344" t="s">
        <v>270</v>
      </c>
      <c r="D344" s="1">
        <v>45108</v>
      </c>
      <c r="E344" s="1">
        <v>45901</v>
      </c>
      <c r="F344">
        <v>1</v>
      </c>
      <c r="G344">
        <v>1</v>
      </c>
      <c r="H344" t="s">
        <v>239</v>
      </c>
      <c r="I344" t="s">
        <v>240</v>
      </c>
      <c r="J344" t="s">
        <v>236</v>
      </c>
      <c r="K344" t="s">
        <v>26</v>
      </c>
      <c r="L344" t="s">
        <v>42</v>
      </c>
      <c r="M344">
        <v>1</v>
      </c>
      <c r="N344">
        <v>60.84</v>
      </c>
      <c r="O344">
        <v>21.06</v>
      </c>
      <c r="P344">
        <v>0.1</v>
      </c>
      <c r="Q344">
        <v>2.11</v>
      </c>
      <c r="R344" t="s">
        <v>54</v>
      </c>
      <c r="S344">
        <v>0</v>
      </c>
      <c r="T344">
        <v>2.11</v>
      </c>
    </row>
    <row r="345" spans="1:20" x14ac:dyDescent="0.25">
      <c r="A345" t="s">
        <v>269</v>
      </c>
      <c r="B345" t="s">
        <v>33</v>
      </c>
      <c r="C345" t="s">
        <v>270</v>
      </c>
      <c r="D345" s="1">
        <v>45108</v>
      </c>
      <c r="E345" s="1">
        <v>45901</v>
      </c>
      <c r="F345">
        <v>1</v>
      </c>
      <c r="G345">
        <v>1</v>
      </c>
      <c r="H345" t="s">
        <v>239</v>
      </c>
      <c r="I345" t="s">
        <v>240</v>
      </c>
      <c r="J345" t="s">
        <v>236</v>
      </c>
      <c r="K345" t="s">
        <v>26</v>
      </c>
      <c r="L345" t="s">
        <v>44</v>
      </c>
      <c r="M345">
        <v>1</v>
      </c>
      <c r="N345">
        <v>0</v>
      </c>
      <c r="O345">
        <v>12.94</v>
      </c>
      <c r="P345">
        <v>0.1</v>
      </c>
      <c r="Q345">
        <v>1.29</v>
      </c>
      <c r="R345" t="s">
        <v>54</v>
      </c>
      <c r="S345">
        <v>0</v>
      </c>
      <c r="T345">
        <v>1.29</v>
      </c>
    </row>
    <row r="346" spans="1:20" x14ac:dyDescent="0.25">
      <c r="A346" t="s">
        <v>269</v>
      </c>
      <c r="B346" t="s">
        <v>33</v>
      </c>
      <c r="C346" t="s">
        <v>270</v>
      </c>
      <c r="D346" s="1">
        <v>45108</v>
      </c>
      <c r="E346" s="1">
        <v>45901</v>
      </c>
      <c r="F346">
        <v>1</v>
      </c>
      <c r="G346">
        <v>1</v>
      </c>
      <c r="H346" t="s">
        <v>239</v>
      </c>
      <c r="I346" t="s">
        <v>240</v>
      </c>
      <c r="J346" t="s">
        <v>236</v>
      </c>
      <c r="K346" t="s">
        <v>26</v>
      </c>
      <c r="L346" t="s">
        <v>117</v>
      </c>
      <c r="M346">
        <v>1</v>
      </c>
      <c r="N346">
        <v>0</v>
      </c>
      <c r="O346">
        <v>2.75</v>
      </c>
      <c r="P346">
        <v>0.1</v>
      </c>
      <c r="Q346">
        <v>0.28000000000000003</v>
      </c>
      <c r="R346" t="s">
        <v>54</v>
      </c>
      <c r="S346">
        <v>0</v>
      </c>
      <c r="T346">
        <v>0.28000000000000003</v>
      </c>
    </row>
    <row r="347" spans="1:20" x14ac:dyDescent="0.25">
      <c r="A347" t="s">
        <v>269</v>
      </c>
      <c r="B347" t="s">
        <v>33</v>
      </c>
      <c r="C347" t="s">
        <v>270</v>
      </c>
      <c r="D347" s="1">
        <v>45108</v>
      </c>
      <c r="E347" s="1">
        <v>45901</v>
      </c>
      <c r="F347">
        <v>1</v>
      </c>
      <c r="G347">
        <v>1</v>
      </c>
      <c r="H347" t="s">
        <v>239</v>
      </c>
      <c r="I347" t="s">
        <v>240</v>
      </c>
      <c r="J347" t="s">
        <v>236</v>
      </c>
      <c r="K347" t="s">
        <v>26</v>
      </c>
      <c r="L347" t="s">
        <v>118</v>
      </c>
      <c r="M347">
        <v>1</v>
      </c>
      <c r="N347">
        <v>0</v>
      </c>
      <c r="O347">
        <v>22.41</v>
      </c>
      <c r="P347">
        <v>0.1</v>
      </c>
      <c r="Q347">
        <v>2.2400000000000002</v>
      </c>
      <c r="R347" t="s">
        <v>54</v>
      </c>
      <c r="S347">
        <v>0</v>
      </c>
      <c r="T347">
        <v>2.2400000000000002</v>
      </c>
    </row>
    <row r="348" spans="1:20" x14ac:dyDescent="0.25">
      <c r="A348" t="s">
        <v>271</v>
      </c>
      <c r="B348" t="s">
        <v>33</v>
      </c>
      <c r="C348" t="s">
        <v>272</v>
      </c>
      <c r="D348" s="1">
        <v>45292</v>
      </c>
      <c r="E348" s="1">
        <v>45901</v>
      </c>
      <c r="F348">
        <v>1</v>
      </c>
      <c r="G348">
        <v>1</v>
      </c>
      <c r="H348" t="s">
        <v>239</v>
      </c>
      <c r="I348" t="s">
        <v>240</v>
      </c>
      <c r="J348" t="s">
        <v>236</v>
      </c>
      <c r="K348" t="s">
        <v>26</v>
      </c>
      <c r="L348" t="s">
        <v>42</v>
      </c>
      <c r="M348">
        <v>1</v>
      </c>
      <c r="N348">
        <v>64.09</v>
      </c>
      <c r="O348">
        <v>27.78</v>
      </c>
      <c r="P348">
        <v>0.1</v>
      </c>
      <c r="Q348">
        <v>2.78</v>
      </c>
      <c r="R348" t="s">
        <v>54</v>
      </c>
      <c r="S348">
        <v>0</v>
      </c>
      <c r="T348">
        <v>2.78</v>
      </c>
    </row>
    <row r="349" spans="1:20" x14ac:dyDescent="0.25">
      <c r="A349" t="s">
        <v>271</v>
      </c>
      <c r="B349" t="s">
        <v>33</v>
      </c>
      <c r="C349" t="s">
        <v>272</v>
      </c>
      <c r="D349" s="1">
        <v>45292</v>
      </c>
      <c r="E349" s="1">
        <v>45901</v>
      </c>
      <c r="F349">
        <v>1</v>
      </c>
      <c r="G349">
        <v>1</v>
      </c>
      <c r="H349" t="s">
        <v>239</v>
      </c>
      <c r="I349" t="s">
        <v>240</v>
      </c>
      <c r="J349" t="s">
        <v>236</v>
      </c>
      <c r="K349" t="s">
        <v>26</v>
      </c>
      <c r="L349" t="s">
        <v>118</v>
      </c>
      <c r="M349">
        <v>1</v>
      </c>
      <c r="N349">
        <v>0</v>
      </c>
      <c r="O349">
        <v>28.6</v>
      </c>
      <c r="P349">
        <v>0.1</v>
      </c>
      <c r="Q349">
        <v>2.86</v>
      </c>
      <c r="R349" t="s">
        <v>54</v>
      </c>
      <c r="S349">
        <v>0</v>
      </c>
      <c r="T349">
        <v>2.86</v>
      </c>
    </row>
    <row r="350" spans="1:20" x14ac:dyDescent="0.25">
      <c r="A350" t="s">
        <v>271</v>
      </c>
      <c r="B350" t="s">
        <v>33</v>
      </c>
      <c r="C350" t="s">
        <v>272</v>
      </c>
      <c r="D350" s="1">
        <v>45292</v>
      </c>
      <c r="E350" s="1">
        <v>45901</v>
      </c>
      <c r="F350">
        <v>1</v>
      </c>
      <c r="G350">
        <v>1</v>
      </c>
      <c r="H350" t="s">
        <v>239</v>
      </c>
      <c r="I350" t="s">
        <v>240</v>
      </c>
      <c r="J350" t="s">
        <v>236</v>
      </c>
      <c r="K350" t="s">
        <v>26</v>
      </c>
      <c r="L350" t="s">
        <v>117</v>
      </c>
      <c r="M350">
        <v>1</v>
      </c>
      <c r="N350">
        <v>0</v>
      </c>
      <c r="O350">
        <v>6.03</v>
      </c>
      <c r="P350">
        <v>0.1</v>
      </c>
      <c r="Q350">
        <v>0.6</v>
      </c>
      <c r="R350" t="s">
        <v>54</v>
      </c>
      <c r="S350">
        <v>0</v>
      </c>
      <c r="T350">
        <v>0.6</v>
      </c>
    </row>
    <row r="351" spans="1:20" x14ac:dyDescent="0.25">
      <c r="A351" t="s">
        <v>273</v>
      </c>
      <c r="B351" t="s">
        <v>21</v>
      </c>
      <c r="C351" t="s">
        <v>274</v>
      </c>
      <c r="D351" s="1">
        <v>44882</v>
      </c>
      <c r="E351" s="1">
        <v>45917</v>
      </c>
      <c r="F351">
        <v>1</v>
      </c>
      <c r="G351">
        <v>15</v>
      </c>
      <c r="H351" t="s">
        <v>275</v>
      </c>
      <c r="I351" t="s">
        <v>276</v>
      </c>
      <c r="J351" t="s">
        <v>277</v>
      </c>
      <c r="K351" t="s">
        <v>26</v>
      </c>
      <c r="L351" t="s">
        <v>35</v>
      </c>
      <c r="M351">
        <v>1</v>
      </c>
      <c r="N351">
        <v>73.55</v>
      </c>
      <c r="O351">
        <v>43.44</v>
      </c>
      <c r="P351">
        <v>0.13</v>
      </c>
      <c r="Q351">
        <v>5.65</v>
      </c>
      <c r="R351" t="s">
        <v>54</v>
      </c>
      <c r="S351">
        <v>0</v>
      </c>
      <c r="T351">
        <v>5.65</v>
      </c>
    </row>
    <row r="352" spans="1:20" x14ac:dyDescent="0.25">
      <c r="A352" t="s">
        <v>273</v>
      </c>
      <c r="B352" t="s">
        <v>21</v>
      </c>
      <c r="C352" t="s">
        <v>274</v>
      </c>
      <c r="D352" s="1">
        <v>44882</v>
      </c>
      <c r="E352" s="1">
        <v>45917</v>
      </c>
      <c r="F352">
        <v>1</v>
      </c>
      <c r="G352">
        <v>15</v>
      </c>
      <c r="H352" t="s">
        <v>275</v>
      </c>
      <c r="I352" t="s">
        <v>276</v>
      </c>
      <c r="J352" t="s">
        <v>277</v>
      </c>
      <c r="K352" t="s">
        <v>26</v>
      </c>
      <c r="L352" t="s">
        <v>36</v>
      </c>
      <c r="M352">
        <v>1</v>
      </c>
      <c r="N352">
        <v>0</v>
      </c>
      <c r="O352">
        <v>15</v>
      </c>
      <c r="P352">
        <v>0.13</v>
      </c>
      <c r="Q352">
        <v>1.95</v>
      </c>
      <c r="R352" t="s">
        <v>54</v>
      </c>
      <c r="S352">
        <v>0</v>
      </c>
      <c r="T352">
        <v>1.95</v>
      </c>
    </row>
    <row r="353" spans="1:20" x14ac:dyDescent="0.25">
      <c r="A353" t="s">
        <v>273</v>
      </c>
      <c r="B353" t="s">
        <v>21</v>
      </c>
      <c r="C353" t="s">
        <v>274</v>
      </c>
      <c r="D353" s="1">
        <v>44882</v>
      </c>
      <c r="E353" s="1">
        <v>45917</v>
      </c>
      <c r="F353">
        <v>1</v>
      </c>
      <c r="G353">
        <v>15</v>
      </c>
      <c r="H353" t="s">
        <v>275</v>
      </c>
      <c r="I353" t="s">
        <v>276</v>
      </c>
      <c r="J353" t="s">
        <v>277</v>
      </c>
      <c r="K353" t="s">
        <v>26</v>
      </c>
      <c r="L353" t="s">
        <v>37</v>
      </c>
      <c r="M353">
        <v>1</v>
      </c>
      <c r="N353">
        <v>0</v>
      </c>
      <c r="O353">
        <v>3.08</v>
      </c>
      <c r="P353">
        <v>0.13</v>
      </c>
      <c r="Q353">
        <v>0.4</v>
      </c>
      <c r="R353" t="s">
        <v>54</v>
      </c>
      <c r="S353">
        <v>0</v>
      </c>
      <c r="T353">
        <v>0.4</v>
      </c>
    </row>
    <row r="354" spans="1:20" x14ac:dyDescent="0.25">
      <c r="A354" t="s">
        <v>278</v>
      </c>
      <c r="B354" t="s">
        <v>21</v>
      </c>
      <c r="C354" t="s">
        <v>279</v>
      </c>
      <c r="D354" s="1">
        <v>44927</v>
      </c>
      <c r="E354" s="1">
        <v>45901</v>
      </c>
      <c r="F354">
        <v>1</v>
      </c>
      <c r="G354">
        <v>1</v>
      </c>
      <c r="H354" t="s">
        <v>275</v>
      </c>
      <c r="I354" t="s">
        <v>276</v>
      </c>
      <c r="J354" t="s">
        <v>277</v>
      </c>
      <c r="K354" t="s">
        <v>26</v>
      </c>
      <c r="L354" t="s">
        <v>35</v>
      </c>
      <c r="M354">
        <v>1</v>
      </c>
      <c r="N354">
        <v>57.3</v>
      </c>
      <c r="O354">
        <v>52.55</v>
      </c>
      <c r="P354">
        <v>0.13</v>
      </c>
      <c r="Q354">
        <v>6.83</v>
      </c>
      <c r="R354" t="s">
        <v>54</v>
      </c>
      <c r="S354">
        <v>0</v>
      </c>
      <c r="T354">
        <v>6.83</v>
      </c>
    </row>
    <row r="355" spans="1:20" x14ac:dyDescent="0.25">
      <c r="A355" t="s">
        <v>278</v>
      </c>
      <c r="B355" t="s">
        <v>21</v>
      </c>
      <c r="C355" t="s">
        <v>279</v>
      </c>
      <c r="D355" s="1">
        <v>44927</v>
      </c>
      <c r="E355" s="1">
        <v>45901</v>
      </c>
      <c r="F355">
        <v>1</v>
      </c>
      <c r="G355">
        <v>1</v>
      </c>
      <c r="H355" t="s">
        <v>275</v>
      </c>
      <c r="I355" t="s">
        <v>276</v>
      </c>
      <c r="J355" t="s">
        <v>277</v>
      </c>
      <c r="K355" t="s">
        <v>26</v>
      </c>
      <c r="L355" t="s">
        <v>37</v>
      </c>
      <c r="M355">
        <v>1</v>
      </c>
      <c r="N355">
        <v>0</v>
      </c>
      <c r="O355">
        <v>3.08</v>
      </c>
      <c r="P355">
        <v>0.13</v>
      </c>
      <c r="Q355">
        <v>0.4</v>
      </c>
      <c r="R355" t="s">
        <v>54</v>
      </c>
      <c r="S355">
        <v>0</v>
      </c>
      <c r="T355">
        <v>0.4</v>
      </c>
    </row>
    <row r="356" spans="1:20" x14ac:dyDescent="0.25">
      <c r="A356" t="s">
        <v>280</v>
      </c>
      <c r="B356" t="s">
        <v>21</v>
      </c>
      <c r="C356" t="s">
        <v>281</v>
      </c>
      <c r="D356" s="1">
        <v>44927</v>
      </c>
      <c r="E356" s="1">
        <v>45901</v>
      </c>
      <c r="F356">
        <v>1</v>
      </c>
      <c r="G356">
        <v>1</v>
      </c>
      <c r="H356" t="s">
        <v>275</v>
      </c>
      <c r="I356" t="s">
        <v>276</v>
      </c>
      <c r="J356" t="s">
        <v>277</v>
      </c>
      <c r="K356" t="s">
        <v>26</v>
      </c>
      <c r="L356" t="s">
        <v>35</v>
      </c>
      <c r="M356">
        <v>1</v>
      </c>
      <c r="N356">
        <v>111.12</v>
      </c>
      <c r="O356">
        <v>75.27</v>
      </c>
      <c r="P356">
        <v>0.13</v>
      </c>
      <c r="Q356">
        <v>9.7899999999999991</v>
      </c>
      <c r="R356" t="s">
        <v>54</v>
      </c>
      <c r="S356">
        <v>0</v>
      </c>
      <c r="T356">
        <v>9.7899999999999991</v>
      </c>
    </row>
    <row r="357" spans="1:20" x14ac:dyDescent="0.25">
      <c r="A357" t="s">
        <v>280</v>
      </c>
      <c r="B357" t="s">
        <v>21</v>
      </c>
      <c r="C357" t="s">
        <v>281</v>
      </c>
      <c r="D357" s="1">
        <v>44927</v>
      </c>
      <c r="E357" s="1">
        <v>45901</v>
      </c>
      <c r="F357">
        <v>1</v>
      </c>
      <c r="G357">
        <v>1</v>
      </c>
      <c r="H357" t="s">
        <v>275</v>
      </c>
      <c r="I357" t="s">
        <v>276</v>
      </c>
      <c r="J357" t="s">
        <v>277</v>
      </c>
      <c r="K357" t="s">
        <v>26</v>
      </c>
      <c r="L357" t="s">
        <v>36</v>
      </c>
      <c r="M357">
        <v>1</v>
      </c>
      <c r="N357">
        <v>0</v>
      </c>
      <c r="O357">
        <v>29.35</v>
      </c>
      <c r="P357">
        <v>0.13</v>
      </c>
      <c r="Q357">
        <v>3.82</v>
      </c>
      <c r="R357" t="s">
        <v>54</v>
      </c>
      <c r="S357">
        <v>0</v>
      </c>
      <c r="T357">
        <v>3.82</v>
      </c>
    </row>
    <row r="358" spans="1:20" x14ac:dyDescent="0.25">
      <c r="A358" t="s">
        <v>280</v>
      </c>
      <c r="B358" t="s">
        <v>21</v>
      </c>
      <c r="C358" t="s">
        <v>281</v>
      </c>
      <c r="D358" s="1">
        <v>44927</v>
      </c>
      <c r="E358" s="1">
        <v>45901</v>
      </c>
      <c r="F358">
        <v>1</v>
      </c>
      <c r="G358">
        <v>1</v>
      </c>
      <c r="H358" t="s">
        <v>275</v>
      </c>
      <c r="I358" t="s">
        <v>276</v>
      </c>
      <c r="J358" t="s">
        <v>277</v>
      </c>
      <c r="K358" t="s">
        <v>26</v>
      </c>
      <c r="L358" t="s">
        <v>37</v>
      </c>
      <c r="M358">
        <v>1</v>
      </c>
      <c r="N358">
        <v>0</v>
      </c>
      <c r="O358">
        <v>4.83</v>
      </c>
      <c r="P358">
        <v>0.13</v>
      </c>
      <c r="Q358">
        <v>0.63</v>
      </c>
      <c r="R358" t="s">
        <v>54</v>
      </c>
      <c r="S358">
        <v>0</v>
      </c>
      <c r="T358">
        <v>0.63</v>
      </c>
    </row>
    <row r="359" spans="1:20" x14ac:dyDescent="0.25">
      <c r="A359" t="s">
        <v>282</v>
      </c>
      <c r="B359" t="s">
        <v>21</v>
      </c>
      <c r="C359" t="s">
        <v>279</v>
      </c>
      <c r="D359" s="1">
        <v>44927</v>
      </c>
      <c r="E359" s="1">
        <v>45901</v>
      </c>
      <c r="F359">
        <v>1</v>
      </c>
      <c r="G359">
        <v>1</v>
      </c>
      <c r="H359" t="s">
        <v>275</v>
      </c>
      <c r="I359" t="s">
        <v>276</v>
      </c>
      <c r="J359" t="s">
        <v>277</v>
      </c>
      <c r="K359" t="s">
        <v>26</v>
      </c>
      <c r="L359" t="s">
        <v>283</v>
      </c>
      <c r="M359">
        <v>1</v>
      </c>
      <c r="N359">
        <v>40.36</v>
      </c>
      <c r="O359">
        <v>21.67</v>
      </c>
      <c r="P359">
        <v>0.1</v>
      </c>
      <c r="Q359">
        <v>2.17</v>
      </c>
      <c r="R359" t="s">
        <v>54</v>
      </c>
      <c r="S359">
        <v>0</v>
      </c>
      <c r="T359">
        <v>2.17</v>
      </c>
    </row>
    <row r="360" spans="1:20" x14ac:dyDescent="0.25">
      <c r="A360" t="s">
        <v>282</v>
      </c>
      <c r="B360" t="s">
        <v>21</v>
      </c>
      <c r="C360" t="s">
        <v>279</v>
      </c>
      <c r="D360" s="1">
        <v>44927</v>
      </c>
      <c r="E360" s="1">
        <v>45901</v>
      </c>
      <c r="F360">
        <v>1</v>
      </c>
      <c r="G360">
        <v>1</v>
      </c>
      <c r="H360" t="s">
        <v>275</v>
      </c>
      <c r="I360" t="s">
        <v>276</v>
      </c>
      <c r="J360" t="s">
        <v>277</v>
      </c>
      <c r="K360" t="s">
        <v>26</v>
      </c>
      <c r="L360" t="s">
        <v>284</v>
      </c>
      <c r="M360">
        <v>1</v>
      </c>
      <c r="N360">
        <v>0</v>
      </c>
      <c r="O360">
        <v>4.25</v>
      </c>
      <c r="P360">
        <v>0.1</v>
      </c>
      <c r="Q360">
        <v>0.43</v>
      </c>
      <c r="R360" t="s">
        <v>54</v>
      </c>
      <c r="S360">
        <v>0</v>
      </c>
      <c r="T360">
        <v>0.43</v>
      </c>
    </row>
    <row r="361" spans="1:20" x14ac:dyDescent="0.25">
      <c r="A361" t="s">
        <v>282</v>
      </c>
      <c r="B361" t="s">
        <v>21</v>
      </c>
      <c r="C361" t="s">
        <v>279</v>
      </c>
      <c r="D361" s="1">
        <v>44927</v>
      </c>
      <c r="E361" s="1">
        <v>45901</v>
      </c>
      <c r="F361">
        <v>1</v>
      </c>
      <c r="G361">
        <v>1</v>
      </c>
      <c r="H361" t="s">
        <v>275</v>
      </c>
      <c r="I361" t="s">
        <v>276</v>
      </c>
      <c r="J361" t="s">
        <v>277</v>
      </c>
      <c r="K361" t="s">
        <v>26</v>
      </c>
      <c r="L361" t="s">
        <v>174</v>
      </c>
      <c r="M361">
        <v>1</v>
      </c>
      <c r="N361">
        <v>0</v>
      </c>
      <c r="O361">
        <v>5.33</v>
      </c>
      <c r="P361">
        <v>0.1</v>
      </c>
      <c r="Q361">
        <v>0.53</v>
      </c>
      <c r="R361" t="s">
        <v>54</v>
      </c>
      <c r="S361">
        <v>0</v>
      </c>
      <c r="T361">
        <v>0.53</v>
      </c>
    </row>
    <row r="362" spans="1:20" x14ac:dyDescent="0.25">
      <c r="A362" t="s">
        <v>282</v>
      </c>
      <c r="B362" t="s">
        <v>21</v>
      </c>
      <c r="C362" t="s">
        <v>279</v>
      </c>
      <c r="D362" s="1">
        <v>44927</v>
      </c>
      <c r="E362" s="1">
        <v>45901</v>
      </c>
      <c r="F362">
        <v>1</v>
      </c>
      <c r="G362">
        <v>1</v>
      </c>
      <c r="H362" t="s">
        <v>275</v>
      </c>
      <c r="I362" t="s">
        <v>276</v>
      </c>
      <c r="J362" t="s">
        <v>277</v>
      </c>
      <c r="K362" t="s">
        <v>26</v>
      </c>
      <c r="L362" t="s">
        <v>285</v>
      </c>
      <c r="M362">
        <v>1</v>
      </c>
      <c r="N362">
        <v>0</v>
      </c>
      <c r="O362">
        <v>2.5</v>
      </c>
      <c r="P362">
        <v>0.1</v>
      </c>
      <c r="Q362">
        <v>0.25</v>
      </c>
      <c r="R362" t="s">
        <v>54</v>
      </c>
      <c r="S362">
        <v>0</v>
      </c>
      <c r="T362">
        <v>0.25</v>
      </c>
    </row>
    <row r="363" spans="1:20" x14ac:dyDescent="0.25">
      <c r="A363" t="s">
        <v>282</v>
      </c>
      <c r="B363" t="s">
        <v>21</v>
      </c>
      <c r="C363" t="s">
        <v>279</v>
      </c>
      <c r="D363" s="1">
        <v>44927</v>
      </c>
      <c r="E363" s="1">
        <v>45901</v>
      </c>
      <c r="F363">
        <v>1</v>
      </c>
      <c r="G363">
        <v>1</v>
      </c>
      <c r="H363" t="s">
        <v>275</v>
      </c>
      <c r="I363" t="s">
        <v>276</v>
      </c>
      <c r="J363" t="s">
        <v>277</v>
      </c>
      <c r="K363" t="s">
        <v>26</v>
      </c>
      <c r="L363" t="s">
        <v>173</v>
      </c>
      <c r="M363">
        <v>1</v>
      </c>
      <c r="N363">
        <v>0</v>
      </c>
      <c r="O363">
        <v>4.53</v>
      </c>
      <c r="P363">
        <v>0.1</v>
      </c>
      <c r="Q363">
        <v>0.45</v>
      </c>
      <c r="R363" t="s">
        <v>54</v>
      </c>
      <c r="S363">
        <v>0</v>
      </c>
      <c r="T363">
        <v>0.45</v>
      </c>
    </row>
    <row r="364" spans="1:20" x14ac:dyDescent="0.25">
      <c r="A364" t="s">
        <v>286</v>
      </c>
      <c r="B364" t="s">
        <v>21</v>
      </c>
      <c r="C364" t="s">
        <v>281</v>
      </c>
      <c r="D364" s="1">
        <v>44927</v>
      </c>
      <c r="E364" s="1">
        <v>45901</v>
      </c>
      <c r="F364">
        <v>1</v>
      </c>
      <c r="G364">
        <v>1</v>
      </c>
      <c r="H364" t="s">
        <v>275</v>
      </c>
      <c r="I364" t="s">
        <v>276</v>
      </c>
      <c r="J364" t="s">
        <v>277</v>
      </c>
      <c r="K364" t="s">
        <v>26</v>
      </c>
      <c r="L364" t="s">
        <v>283</v>
      </c>
      <c r="M364">
        <v>1</v>
      </c>
      <c r="N364">
        <v>53.36</v>
      </c>
      <c r="O364">
        <v>30.83</v>
      </c>
      <c r="P364">
        <v>0.1</v>
      </c>
      <c r="Q364">
        <v>3.08</v>
      </c>
      <c r="R364" t="s">
        <v>54</v>
      </c>
      <c r="S364">
        <v>0</v>
      </c>
      <c r="T364">
        <v>3.08</v>
      </c>
    </row>
    <row r="365" spans="1:20" x14ac:dyDescent="0.25">
      <c r="A365" t="s">
        <v>286</v>
      </c>
      <c r="B365" t="s">
        <v>21</v>
      </c>
      <c r="C365" t="s">
        <v>281</v>
      </c>
      <c r="D365" s="1">
        <v>44927</v>
      </c>
      <c r="E365" s="1">
        <v>45901</v>
      </c>
      <c r="F365">
        <v>1</v>
      </c>
      <c r="G365">
        <v>1</v>
      </c>
      <c r="H365" t="s">
        <v>275</v>
      </c>
      <c r="I365" t="s">
        <v>276</v>
      </c>
      <c r="J365" t="s">
        <v>277</v>
      </c>
      <c r="K365" t="s">
        <v>26</v>
      </c>
      <c r="L365" t="s">
        <v>285</v>
      </c>
      <c r="M365">
        <v>1</v>
      </c>
      <c r="N365">
        <v>0</v>
      </c>
      <c r="O365">
        <v>5.75</v>
      </c>
      <c r="P365">
        <v>0.1</v>
      </c>
      <c r="Q365">
        <v>0.57999999999999996</v>
      </c>
      <c r="R365" t="s">
        <v>54</v>
      </c>
      <c r="S365">
        <v>0</v>
      </c>
      <c r="T365">
        <v>0.57999999999999996</v>
      </c>
    </row>
    <row r="366" spans="1:20" x14ac:dyDescent="0.25">
      <c r="A366" t="s">
        <v>286</v>
      </c>
      <c r="B366" t="s">
        <v>21</v>
      </c>
      <c r="C366" t="s">
        <v>281</v>
      </c>
      <c r="D366" s="1">
        <v>44927</v>
      </c>
      <c r="E366" s="1">
        <v>45901</v>
      </c>
      <c r="F366">
        <v>1</v>
      </c>
      <c r="G366">
        <v>1</v>
      </c>
      <c r="H366" t="s">
        <v>275</v>
      </c>
      <c r="I366" t="s">
        <v>276</v>
      </c>
      <c r="J366" t="s">
        <v>277</v>
      </c>
      <c r="K366" t="s">
        <v>26</v>
      </c>
      <c r="L366" t="s">
        <v>174</v>
      </c>
      <c r="M366">
        <v>1</v>
      </c>
      <c r="N366">
        <v>0</v>
      </c>
      <c r="O366">
        <v>5.08</v>
      </c>
      <c r="P366">
        <v>0.1</v>
      </c>
      <c r="Q366">
        <v>0.51</v>
      </c>
      <c r="R366" t="s">
        <v>54</v>
      </c>
      <c r="S366">
        <v>0</v>
      </c>
      <c r="T366">
        <v>0.51</v>
      </c>
    </row>
    <row r="367" spans="1:20" x14ac:dyDescent="0.25">
      <c r="A367" t="s">
        <v>286</v>
      </c>
      <c r="B367" t="s">
        <v>21</v>
      </c>
      <c r="C367" t="s">
        <v>281</v>
      </c>
      <c r="D367" s="1">
        <v>44927</v>
      </c>
      <c r="E367" s="1">
        <v>45901</v>
      </c>
      <c r="F367">
        <v>1</v>
      </c>
      <c r="G367">
        <v>1</v>
      </c>
      <c r="H367" t="s">
        <v>275</v>
      </c>
      <c r="I367" t="s">
        <v>276</v>
      </c>
      <c r="J367" t="s">
        <v>277</v>
      </c>
      <c r="K367" t="s">
        <v>26</v>
      </c>
      <c r="L367" t="s">
        <v>284</v>
      </c>
      <c r="M367">
        <v>1</v>
      </c>
      <c r="N367">
        <v>0</v>
      </c>
      <c r="O367">
        <v>4.42</v>
      </c>
      <c r="P367">
        <v>0.1</v>
      </c>
      <c r="Q367">
        <v>0.44</v>
      </c>
      <c r="R367" t="s">
        <v>54</v>
      </c>
      <c r="S367">
        <v>0</v>
      </c>
      <c r="T367">
        <v>0.44</v>
      </c>
    </row>
    <row r="368" spans="1:20" x14ac:dyDescent="0.25">
      <c r="A368" t="s">
        <v>286</v>
      </c>
      <c r="B368" t="s">
        <v>21</v>
      </c>
      <c r="C368" t="s">
        <v>281</v>
      </c>
      <c r="D368" s="1">
        <v>44927</v>
      </c>
      <c r="E368" s="1">
        <v>45901</v>
      </c>
      <c r="F368">
        <v>1</v>
      </c>
      <c r="G368">
        <v>1</v>
      </c>
      <c r="H368" t="s">
        <v>275</v>
      </c>
      <c r="I368" t="s">
        <v>276</v>
      </c>
      <c r="J368" t="s">
        <v>277</v>
      </c>
      <c r="K368" t="s">
        <v>26</v>
      </c>
      <c r="L368" t="s">
        <v>173</v>
      </c>
      <c r="M368">
        <v>1</v>
      </c>
      <c r="N368">
        <v>0</v>
      </c>
      <c r="O368">
        <v>5.2</v>
      </c>
      <c r="P368">
        <v>0.1</v>
      </c>
      <c r="Q368">
        <v>0.52</v>
      </c>
      <c r="R368" t="s">
        <v>54</v>
      </c>
      <c r="S368">
        <v>0</v>
      </c>
      <c r="T368">
        <v>0.52</v>
      </c>
    </row>
    <row r="369" spans="1:20" x14ac:dyDescent="0.25">
      <c r="A369" t="s">
        <v>287</v>
      </c>
      <c r="B369" t="s">
        <v>21</v>
      </c>
      <c r="C369" t="s">
        <v>288</v>
      </c>
      <c r="D369" s="1">
        <v>44888</v>
      </c>
      <c r="E369" s="1">
        <v>45892</v>
      </c>
      <c r="F369">
        <v>1</v>
      </c>
      <c r="G369">
        <v>1</v>
      </c>
      <c r="H369" t="s">
        <v>275</v>
      </c>
      <c r="I369" t="s">
        <v>276</v>
      </c>
      <c r="J369" t="s">
        <v>277</v>
      </c>
      <c r="K369" t="s">
        <v>26</v>
      </c>
      <c r="L369" t="s">
        <v>35</v>
      </c>
      <c r="M369">
        <v>1</v>
      </c>
      <c r="N369">
        <v>81.67</v>
      </c>
      <c r="O369">
        <v>52.55</v>
      </c>
      <c r="P369">
        <v>0.13</v>
      </c>
      <c r="Q369">
        <v>6.83</v>
      </c>
      <c r="R369" t="s">
        <v>54</v>
      </c>
      <c r="S369">
        <v>0</v>
      </c>
      <c r="T369">
        <v>6.83</v>
      </c>
    </row>
    <row r="370" spans="1:20" x14ac:dyDescent="0.25">
      <c r="A370" t="s">
        <v>287</v>
      </c>
      <c r="B370" t="s">
        <v>21</v>
      </c>
      <c r="C370" t="s">
        <v>288</v>
      </c>
      <c r="D370" s="1">
        <v>44888</v>
      </c>
      <c r="E370" s="1">
        <v>45892</v>
      </c>
      <c r="F370">
        <v>1</v>
      </c>
      <c r="G370">
        <v>1</v>
      </c>
      <c r="H370" t="s">
        <v>275</v>
      </c>
      <c r="I370" t="s">
        <v>276</v>
      </c>
      <c r="J370" t="s">
        <v>277</v>
      </c>
      <c r="K370" t="s">
        <v>26</v>
      </c>
      <c r="L370" t="s">
        <v>36</v>
      </c>
      <c r="M370">
        <v>1</v>
      </c>
      <c r="N370">
        <v>0</v>
      </c>
      <c r="O370">
        <v>24.37</v>
      </c>
      <c r="P370">
        <v>0.13</v>
      </c>
      <c r="Q370">
        <v>3.17</v>
      </c>
      <c r="R370" t="s">
        <v>54</v>
      </c>
      <c r="S370">
        <v>0</v>
      </c>
      <c r="T370">
        <v>3.17</v>
      </c>
    </row>
    <row r="371" spans="1:20" x14ac:dyDescent="0.25">
      <c r="A371" t="s">
        <v>287</v>
      </c>
      <c r="B371" t="s">
        <v>21</v>
      </c>
      <c r="C371" t="s">
        <v>288</v>
      </c>
      <c r="D371" s="1">
        <v>44888</v>
      </c>
      <c r="E371" s="1">
        <v>45892</v>
      </c>
      <c r="F371">
        <v>1</v>
      </c>
      <c r="G371">
        <v>1</v>
      </c>
      <c r="H371" t="s">
        <v>275</v>
      </c>
      <c r="I371" t="s">
        <v>276</v>
      </c>
      <c r="J371" t="s">
        <v>277</v>
      </c>
      <c r="K371" t="s">
        <v>26</v>
      </c>
      <c r="L371" t="s">
        <v>37</v>
      </c>
      <c r="M371">
        <v>1</v>
      </c>
      <c r="N371">
        <v>0</v>
      </c>
      <c r="O371">
        <v>3.08</v>
      </c>
      <c r="P371">
        <v>0.13</v>
      </c>
      <c r="Q371">
        <v>0.4</v>
      </c>
      <c r="R371" t="s">
        <v>54</v>
      </c>
      <c r="S371">
        <v>0</v>
      </c>
      <c r="T371">
        <v>0.4</v>
      </c>
    </row>
    <row r="372" spans="1:20" x14ac:dyDescent="0.25">
      <c r="A372" t="s">
        <v>289</v>
      </c>
      <c r="B372" t="s">
        <v>21</v>
      </c>
      <c r="C372" t="s">
        <v>290</v>
      </c>
      <c r="D372" s="1">
        <v>44896</v>
      </c>
      <c r="E372" s="1">
        <v>45901</v>
      </c>
      <c r="F372">
        <v>1</v>
      </c>
      <c r="G372">
        <v>1</v>
      </c>
      <c r="H372" t="s">
        <v>275</v>
      </c>
      <c r="I372" t="s">
        <v>276</v>
      </c>
      <c r="J372" t="s">
        <v>277</v>
      </c>
      <c r="K372" t="s">
        <v>26</v>
      </c>
      <c r="L372" t="s">
        <v>35</v>
      </c>
      <c r="M372">
        <v>1</v>
      </c>
      <c r="N372">
        <v>81.67</v>
      </c>
      <c r="O372">
        <v>52.55</v>
      </c>
      <c r="P372">
        <v>0.13</v>
      </c>
      <c r="Q372">
        <v>6.83</v>
      </c>
      <c r="R372" t="s">
        <v>54</v>
      </c>
      <c r="S372">
        <v>0</v>
      </c>
      <c r="T372">
        <v>6.83</v>
      </c>
    </row>
    <row r="373" spans="1:20" x14ac:dyDescent="0.25">
      <c r="A373" t="s">
        <v>289</v>
      </c>
      <c r="B373" t="s">
        <v>21</v>
      </c>
      <c r="C373" t="s">
        <v>290</v>
      </c>
      <c r="D373" s="1">
        <v>44896</v>
      </c>
      <c r="E373" s="1">
        <v>45901</v>
      </c>
      <c r="F373">
        <v>1</v>
      </c>
      <c r="G373">
        <v>1</v>
      </c>
      <c r="H373" t="s">
        <v>275</v>
      </c>
      <c r="I373" t="s">
        <v>276</v>
      </c>
      <c r="J373" t="s">
        <v>277</v>
      </c>
      <c r="K373" t="s">
        <v>26</v>
      </c>
      <c r="L373" t="s">
        <v>36</v>
      </c>
      <c r="M373">
        <v>1</v>
      </c>
      <c r="N373">
        <v>0</v>
      </c>
      <c r="O373">
        <v>24.37</v>
      </c>
      <c r="P373">
        <v>0.13</v>
      </c>
      <c r="Q373">
        <v>3.17</v>
      </c>
      <c r="R373" t="s">
        <v>54</v>
      </c>
      <c r="S373">
        <v>0</v>
      </c>
      <c r="T373">
        <v>3.17</v>
      </c>
    </row>
    <row r="374" spans="1:20" x14ac:dyDescent="0.25">
      <c r="A374" t="s">
        <v>289</v>
      </c>
      <c r="B374" t="s">
        <v>21</v>
      </c>
      <c r="C374" t="s">
        <v>290</v>
      </c>
      <c r="D374" s="1">
        <v>44896</v>
      </c>
      <c r="E374" s="1">
        <v>45901</v>
      </c>
      <c r="F374">
        <v>1</v>
      </c>
      <c r="G374">
        <v>1</v>
      </c>
      <c r="H374" t="s">
        <v>275</v>
      </c>
      <c r="I374" t="s">
        <v>276</v>
      </c>
      <c r="J374" t="s">
        <v>277</v>
      </c>
      <c r="K374" t="s">
        <v>26</v>
      </c>
      <c r="L374" t="s">
        <v>37</v>
      </c>
      <c r="M374">
        <v>1</v>
      </c>
      <c r="N374">
        <v>0</v>
      </c>
      <c r="O374">
        <v>3.08</v>
      </c>
      <c r="P374">
        <v>0.13</v>
      </c>
      <c r="Q374">
        <v>0.4</v>
      </c>
      <c r="R374" t="s">
        <v>54</v>
      </c>
      <c r="S374">
        <v>0</v>
      </c>
      <c r="T374">
        <v>0.4</v>
      </c>
    </row>
    <row r="375" spans="1:20" x14ac:dyDescent="0.25">
      <c r="A375" t="s">
        <v>291</v>
      </c>
      <c r="B375" t="s">
        <v>21</v>
      </c>
      <c r="C375" t="s">
        <v>292</v>
      </c>
      <c r="D375" s="1">
        <v>44900</v>
      </c>
      <c r="E375" s="1">
        <v>45905</v>
      </c>
      <c r="F375">
        <v>1</v>
      </c>
      <c r="G375">
        <v>5</v>
      </c>
      <c r="H375" t="s">
        <v>275</v>
      </c>
      <c r="I375" t="s">
        <v>276</v>
      </c>
      <c r="J375" t="s">
        <v>277</v>
      </c>
      <c r="K375" t="s">
        <v>26</v>
      </c>
      <c r="L375" t="s">
        <v>35</v>
      </c>
      <c r="M375">
        <v>1</v>
      </c>
      <c r="N375">
        <v>88.43</v>
      </c>
      <c r="O375">
        <v>62.36</v>
      </c>
      <c r="P375">
        <v>0.13</v>
      </c>
      <c r="Q375">
        <v>8.11</v>
      </c>
      <c r="R375" t="s">
        <v>54</v>
      </c>
      <c r="S375">
        <v>0</v>
      </c>
      <c r="T375">
        <v>8.11</v>
      </c>
    </row>
    <row r="376" spans="1:20" x14ac:dyDescent="0.25">
      <c r="A376" t="s">
        <v>291</v>
      </c>
      <c r="B376" t="s">
        <v>21</v>
      </c>
      <c r="C376" t="s">
        <v>292</v>
      </c>
      <c r="D376" s="1">
        <v>44900</v>
      </c>
      <c r="E376" s="1">
        <v>45905</v>
      </c>
      <c r="F376">
        <v>1</v>
      </c>
      <c r="G376">
        <v>5</v>
      </c>
      <c r="H376" t="s">
        <v>275</v>
      </c>
      <c r="I376" t="s">
        <v>276</v>
      </c>
      <c r="J376" t="s">
        <v>277</v>
      </c>
      <c r="K376" t="s">
        <v>26</v>
      </c>
      <c r="L376" t="s">
        <v>37</v>
      </c>
      <c r="M376">
        <v>1</v>
      </c>
      <c r="N376">
        <v>0</v>
      </c>
      <c r="O376">
        <v>4.83</v>
      </c>
      <c r="P376">
        <v>0.13</v>
      </c>
      <c r="Q376">
        <v>0.63</v>
      </c>
      <c r="R376" t="s">
        <v>54</v>
      </c>
      <c r="S376">
        <v>0</v>
      </c>
      <c r="T376">
        <v>0.63</v>
      </c>
    </row>
    <row r="377" spans="1:20" x14ac:dyDescent="0.25">
      <c r="A377" t="s">
        <v>291</v>
      </c>
      <c r="B377" t="s">
        <v>21</v>
      </c>
      <c r="C377" t="s">
        <v>292</v>
      </c>
      <c r="D377" s="1">
        <v>44900</v>
      </c>
      <c r="E377" s="1">
        <v>45905</v>
      </c>
      <c r="F377">
        <v>1</v>
      </c>
      <c r="G377">
        <v>5</v>
      </c>
      <c r="H377" t="s">
        <v>275</v>
      </c>
      <c r="I377" t="s">
        <v>276</v>
      </c>
      <c r="J377" t="s">
        <v>277</v>
      </c>
      <c r="K377" t="s">
        <v>26</v>
      </c>
      <c r="L377" t="s">
        <v>36</v>
      </c>
      <c r="M377">
        <v>1</v>
      </c>
      <c r="N377">
        <v>0</v>
      </c>
      <c r="O377">
        <v>19.57</v>
      </c>
      <c r="P377">
        <v>0.13</v>
      </c>
      <c r="Q377">
        <v>2.54</v>
      </c>
      <c r="R377" t="s">
        <v>54</v>
      </c>
      <c r="S377">
        <v>0</v>
      </c>
      <c r="T377">
        <v>2.54</v>
      </c>
    </row>
    <row r="378" spans="1:20" x14ac:dyDescent="0.25">
      <c r="A378" t="s">
        <v>293</v>
      </c>
      <c r="B378" t="s">
        <v>21</v>
      </c>
      <c r="C378" t="s">
        <v>294</v>
      </c>
      <c r="D378" s="1">
        <v>44902</v>
      </c>
      <c r="E378" s="1">
        <v>45907</v>
      </c>
      <c r="F378">
        <v>1</v>
      </c>
      <c r="G378">
        <v>7</v>
      </c>
      <c r="H378" t="s">
        <v>275</v>
      </c>
      <c r="I378" t="s">
        <v>276</v>
      </c>
      <c r="J378" t="s">
        <v>277</v>
      </c>
      <c r="K378" t="s">
        <v>26</v>
      </c>
      <c r="L378" t="s">
        <v>35</v>
      </c>
      <c r="M378">
        <v>1</v>
      </c>
      <c r="N378">
        <v>81.67</v>
      </c>
      <c r="O378">
        <v>52.55</v>
      </c>
      <c r="P378">
        <v>0.13</v>
      </c>
      <c r="Q378">
        <v>6.83</v>
      </c>
      <c r="R378" t="s">
        <v>54</v>
      </c>
      <c r="S378">
        <v>0</v>
      </c>
      <c r="T378">
        <v>6.83</v>
      </c>
    </row>
    <row r="379" spans="1:20" x14ac:dyDescent="0.25">
      <c r="A379" t="s">
        <v>293</v>
      </c>
      <c r="B379" t="s">
        <v>21</v>
      </c>
      <c r="C379" t="s">
        <v>294</v>
      </c>
      <c r="D379" s="1">
        <v>44902</v>
      </c>
      <c r="E379" s="1">
        <v>45907</v>
      </c>
      <c r="F379">
        <v>1</v>
      </c>
      <c r="G379">
        <v>7</v>
      </c>
      <c r="H379" t="s">
        <v>275</v>
      </c>
      <c r="I379" t="s">
        <v>276</v>
      </c>
      <c r="J379" t="s">
        <v>277</v>
      </c>
      <c r="K379" t="s">
        <v>26</v>
      </c>
      <c r="L379" t="s">
        <v>36</v>
      </c>
      <c r="M379">
        <v>1</v>
      </c>
      <c r="N379">
        <v>0</v>
      </c>
      <c r="O379">
        <v>24.37</v>
      </c>
      <c r="P379">
        <v>0.13</v>
      </c>
      <c r="Q379">
        <v>3.17</v>
      </c>
      <c r="R379" t="s">
        <v>54</v>
      </c>
      <c r="S379">
        <v>0</v>
      </c>
      <c r="T379">
        <v>3.17</v>
      </c>
    </row>
    <row r="380" spans="1:20" x14ac:dyDescent="0.25">
      <c r="A380" t="s">
        <v>293</v>
      </c>
      <c r="B380" t="s">
        <v>21</v>
      </c>
      <c r="C380" t="s">
        <v>294</v>
      </c>
      <c r="D380" s="1">
        <v>44902</v>
      </c>
      <c r="E380" s="1">
        <v>45907</v>
      </c>
      <c r="F380">
        <v>1</v>
      </c>
      <c r="G380">
        <v>7</v>
      </c>
      <c r="H380" t="s">
        <v>275</v>
      </c>
      <c r="I380" t="s">
        <v>276</v>
      </c>
      <c r="J380" t="s">
        <v>277</v>
      </c>
      <c r="K380" t="s">
        <v>26</v>
      </c>
      <c r="L380" t="s">
        <v>37</v>
      </c>
      <c r="M380">
        <v>1</v>
      </c>
      <c r="N380">
        <v>0</v>
      </c>
      <c r="O380">
        <v>3.08</v>
      </c>
      <c r="P380">
        <v>0.13</v>
      </c>
      <c r="Q380">
        <v>0.4</v>
      </c>
      <c r="R380" t="s">
        <v>54</v>
      </c>
      <c r="S380">
        <v>0</v>
      </c>
      <c r="T380">
        <v>0.4</v>
      </c>
    </row>
    <row r="381" spans="1:20" x14ac:dyDescent="0.25">
      <c r="A381" t="s">
        <v>295</v>
      </c>
      <c r="B381" t="s">
        <v>21</v>
      </c>
      <c r="C381" t="s">
        <v>296</v>
      </c>
      <c r="D381" s="1">
        <v>44902</v>
      </c>
      <c r="E381" s="1">
        <v>45907</v>
      </c>
      <c r="F381">
        <v>1</v>
      </c>
      <c r="G381">
        <v>7</v>
      </c>
      <c r="H381" t="s">
        <v>275</v>
      </c>
      <c r="I381" t="s">
        <v>276</v>
      </c>
      <c r="J381" t="s">
        <v>277</v>
      </c>
      <c r="K381" t="s">
        <v>26</v>
      </c>
      <c r="L381" t="s">
        <v>35</v>
      </c>
      <c r="M381">
        <v>1</v>
      </c>
      <c r="N381">
        <v>81.67</v>
      </c>
      <c r="O381">
        <v>52.55</v>
      </c>
      <c r="P381">
        <v>0.13</v>
      </c>
      <c r="Q381">
        <v>6.83</v>
      </c>
      <c r="R381" t="s">
        <v>54</v>
      </c>
      <c r="S381">
        <v>0</v>
      </c>
      <c r="T381">
        <v>6.83</v>
      </c>
    </row>
    <row r="382" spans="1:20" x14ac:dyDescent="0.25">
      <c r="A382" t="s">
        <v>295</v>
      </c>
      <c r="B382" t="s">
        <v>21</v>
      </c>
      <c r="C382" t="s">
        <v>296</v>
      </c>
      <c r="D382" s="1">
        <v>44902</v>
      </c>
      <c r="E382" s="1">
        <v>45907</v>
      </c>
      <c r="F382">
        <v>1</v>
      </c>
      <c r="G382">
        <v>7</v>
      </c>
      <c r="H382" t="s">
        <v>275</v>
      </c>
      <c r="I382" t="s">
        <v>276</v>
      </c>
      <c r="J382" t="s">
        <v>277</v>
      </c>
      <c r="K382" t="s">
        <v>26</v>
      </c>
      <c r="L382" t="s">
        <v>37</v>
      </c>
      <c r="M382">
        <v>1</v>
      </c>
      <c r="N382">
        <v>0</v>
      </c>
      <c r="O382">
        <v>3.08</v>
      </c>
      <c r="P382">
        <v>0.13</v>
      </c>
      <c r="Q382">
        <v>0.4</v>
      </c>
      <c r="R382" t="s">
        <v>54</v>
      </c>
      <c r="S382">
        <v>0</v>
      </c>
      <c r="T382">
        <v>0.4</v>
      </c>
    </row>
    <row r="383" spans="1:20" x14ac:dyDescent="0.25">
      <c r="A383" t="s">
        <v>295</v>
      </c>
      <c r="B383" t="s">
        <v>21</v>
      </c>
      <c r="C383" t="s">
        <v>296</v>
      </c>
      <c r="D383" s="1">
        <v>44902</v>
      </c>
      <c r="E383" s="1">
        <v>45907</v>
      </c>
      <c r="F383">
        <v>1</v>
      </c>
      <c r="G383">
        <v>7</v>
      </c>
      <c r="H383" t="s">
        <v>275</v>
      </c>
      <c r="I383" t="s">
        <v>276</v>
      </c>
      <c r="J383" t="s">
        <v>277</v>
      </c>
      <c r="K383" t="s">
        <v>26</v>
      </c>
      <c r="L383" t="s">
        <v>36</v>
      </c>
      <c r="M383">
        <v>1</v>
      </c>
      <c r="N383">
        <v>0</v>
      </c>
      <c r="O383">
        <v>24.37</v>
      </c>
      <c r="P383">
        <v>0.13</v>
      </c>
      <c r="Q383">
        <v>3.17</v>
      </c>
      <c r="R383" t="s">
        <v>54</v>
      </c>
      <c r="S383">
        <v>0</v>
      </c>
      <c r="T383">
        <v>3.17</v>
      </c>
    </row>
    <row r="384" spans="1:20" x14ac:dyDescent="0.25">
      <c r="A384" t="s">
        <v>297</v>
      </c>
      <c r="B384" t="s">
        <v>21</v>
      </c>
      <c r="C384" t="s">
        <v>298</v>
      </c>
      <c r="D384" s="1">
        <v>44927</v>
      </c>
      <c r="E384" s="1">
        <v>45901</v>
      </c>
      <c r="F384">
        <v>1</v>
      </c>
      <c r="G384">
        <v>1</v>
      </c>
      <c r="H384" t="s">
        <v>275</v>
      </c>
      <c r="I384" t="s">
        <v>276</v>
      </c>
      <c r="J384" t="s">
        <v>277</v>
      </c>
      <c r="K384" t="s">
        <v>26</v>
      </c>
      <c r="L384" t="s">
        <v>35</v>
      </c>
      <c r="M384">
        <v>1</v>
      </c>
      <c r="N384">
        <v>109.37</v>
      </c>
      <c r="O384">
        <v>52.55</v>
      </c>
      <c r="P384">
        <v>0.13</v>
      </c>
      <c r="Q384">
        <v>6.83</v>
      </c>
      <c r="R384" t="s">
        <v>54</v>
      </c>
      <c r="S384">
        <v>0</v>
      </c>
      <c r="T384">
        <v>6.83</v>
      </c>
    </row>
    <row r="385" spans="1:20" x14ac:dyDescent="0.25">
      <c r="A385" t="s">
        <v>297</v>
      </c>
      <c r="B385" t="s">
        <v>21</v>
      </c>
      <c r="C385" t="s">
        <v>298</v>
      </c>
      <c r="D385" s="1">
        <v>44927</v>
      </c>
      <c r="E385" s="1">
        <v>45901</v>
      </c>
      <c r="F385">
        <v>1</v>
      </c>
      <c r="G385">
        <v>1</v>
      </c>
      <c r="H385" t="s">
        <v>275</v>
      </c>
      <c r="I385" t="s">
        <v>276</v>
      </c>
      <c r="J385" t="s">
        <v>277</v>
      </c>
      <c r="K385" t="s">
        <v>26</v>
      </c>
      <c r="L385" t="s">
        <v>36</v>
      </c>
      <c r="M385">
        <v>1</v>
      </c>
      <c r="N385">
        <v>0</v>
      </c>
      <c r="O385">
        <v>24.37</v>
      </c>
      <c r="P385">
        <v>0.13</v>
      </c>
      <c r="Q385">
        <v>3.17</v>
      </c>
      <c r="R385" t="s">
        <v>54</v>
      </c>
      <c r="S385">
        <v>0</v>
      </c>
      <c r="T385">
        <v>3.17</v>
      </c>
    </row>
    <row r="386" spans="1:20" x14ac:dyDescent="0.25">
      <c r="A386" t="s">
        <v>297</v>
      </c>
      <c r="B386" t="s">
        <v>21</v>
      </c>
      <c r="C386" t="s">
        <v>298</v>
      </c>
      <c r="D386" s="1">
        <v>44927</v>
      </c>
      <c r="E386" s="1">
        <v>45901</v>
      </c>
      <c r="F386">
        <v>1</v>
      </c>
      <c r="G386">
        <v>1</v>
      </c>
      <c r="H386" t="s">
        <v>275</v>
      </c>
      <c r="I386" t="s">
        <v>276</v>
      </c>
      <c r="J386" t="s">
        <v>277</v>
      </c>
      <c r="K386" t="s">
        <v>26</v>
      </c>
      <c r="L386" t="s">
        <v>37</v>
      </c>
      <c r="M386">
        <v>1</v>
      </c>
      <c r="N386">
        <v>0</v>
      </c>
      <c r="O386">
        <v>3.08</v>
      </c>
      <c r="P386">
        <v>0.13</v>
      </c>
      <c r="Q386">
        <v>0.4</v>
      </c>
      <c r="R386" t="s">
        <v>54</v>
      </c>
      <c r="S386">
        <v>0</v>
      </c>
      <c r="T386">
        <v>0.4</v>
      </c>
    </row>
    <row r="387" spans="1:20" x14ac:dyDescent="0.25">
      <c r="A387" t="s">
        <v>299</v>
      </c>
      <c r="B387" t="s">
        <v>21</v>
      </c>
      <c r="C387" t="s">
        <v>300</v>
      </c>
      <c r="D387" s="1">
        <v>44927</v>
      </c>
      <c r="E387" s="1">
        <v>45901</v>
      </c>
      <c r="F387">
        <v>1</v>
      </c>
      <c r="G387">
        <v>1</v>
      </c>
      <c r="H387" t="s">
        <v>275</v>
      </c>
      <c r="I387" t="s">
        <v>276</v>
      </c>
      <c r="J387" t="s">
        <v>277</v>
      </c>
      <c r="K387" t="s">
        <v>26</v>
      </c>
      <c r="L387" t="s">
        <v>35</v>
      </c>
      <c r="M387">
        <v>1</v>
      </c>
      <c r="N387">
        <v>81.67</v>
      </c>
      <c r="O387">
        <v>52.55</v>
      </c>
      <c r="P387">
        <v>0.13</v>
      </c>
      <c r="Q387">
        <v>6.83</v>
      </c>
      <c r="R387" t="s">
        <v>54</v>
      </c>
      <c r="S387">
        <v>0</v>
      </c>
      <c r="T387">
        <v>6.83</v>
      </c>
    </row>
    <row r="388" spans="1:20" x14ac:dyDescent="0.25">
      <c r="A388" t="s">
        <v>299</v>
      </c>
      <c r="B388" t="s">
        <v>21</v>
      </c>
      <c r="C388" t="s">
        <v>300</v>
      </c>
      <c r="D388" s="1">
        <v>44927</v>
      </c>
      <c r="E388" s="1">
        <v>45901</v>
      </c>
      <c r="F388">
        <v>1</v>
      </c>
      <c r="G388">
        <v>1</v>
      </c>
      <c r="H388" t="s">
        <v>275</v>
      </c>
      <c r="I388" t="s">
        <v>276</v>
      </c>
      <c r="J388" t="s">
        <v>277</v>
      </c>
      <c r="K388" t="s">
        <v>26</v>
      </c>
      <c r="L388" t="s">
        <v>37</v>
      </c>
      <c r="M388">
        <v>1</v>
      </c>
      <c r="N388">
        <v>0</v>
      </c>
      <c r="O388">
        <v>3.08</v>
      </c>
      <c r="P388">
        <v>0.13</v>
      </c>
      <c r="Q388">
        <v>0.4</v>
      </c>
      <c r="R388" t="s">
        <v>54</v>
      </c>
      <c r="S388">
        <v>0</v>
      </c>
      <c r="T388">
        <v>0.4</v>
      </c>
    </row>
    <row r="389" spans="1:20" x14ac:dyDescent="0.25">
      <c r="A389" t="s">
        <v>299</v>
      </c>
      <c r="B389" t="s">
        <v>21</v>
      </c>
      <c r="C389" t="s">
        <v>300</v>
      </c>
      <c r="D389" s="1">
        <v>44927</v>
      </c>
      <c r="E389" s="1">
        <v>45901</v>
      </c>
      <c r="F389">
        <v>1</v>
      </c>
      <c r="G389">
        <v>1</v>
      </c>
      <c r="H389" t="s">
        <v>275</v>
      </c>
      <c r="I389" t="s">
        <v>276</v>
      </c>
      <c r="J389" t="s">
        <v>277</v>
      </c>
      <c r="K389" t="s">
        <v>26</v>
      </c>
      <c r="L389" t="s">
        <v>36</v>
      </c>
      <c r="M389">
        <v>1</v>
      </c>
      <c r="N389">
        <v>0</v>
      </c>
      <c r="O389">
        <v>24.37</v>
      </c>
      <c r="P389">
        <v>0.13</v>
      </c>
      <c r="Q389">
        <v>3.17</v>
      </c>
      <c r="R389" t="s">
        <v>54</v>
      </c>
      <c r="S389">
        <v>0</v>
      </c>
      <c r="T389">
        <v>3.17</v>
      </c>
    </row>
    <row r="390" spans="1:20" x14ac:dyDescent="0.25">
      <c r="A390" t="s">
        <v>301</v>
      </c>
      <c r="B390" t="s">
        <v>21</v>
      </c>
      <c r="C390" t="s">
        <v>298</v>
      </c>
      <c r="D390" s="1">
        <v>44927</v>
      </c>
      <c r="E390" s="1">
        <v>45901</v>
      </c>
      <c r="F390">
        <v>1</v>
      </c>
      <c r="G390">
        <v>1</v>
      </c>
      <c r="H390" t="s">
        <v>275</v>
      </c>
      <c r="I390" t="s">
        <v>276</v>
      </c>
      <c r="J390" t="s">
        <v>277</v>
      </c>
      <c r="K390" t="s">
        <v>26</v>
      </c>
      <c r="L390" t="s">
        <v>42</v>
      </c>
      <c r="M390">
        <v>1</v>
      </c>
      <c r="N390">
        <v>57.7</v>
      </c>
      <c r="O390">
        <v>19.88</v>
      </c>
      <c r="P390">
        <v>0.1</v>
      </c>
      <c r="Q390">
        <v>1.99</v>
      </c>
      <c r="R390" t="s">
        <v>54</v>
      </c>
      <c r="S390">
        <v>0</v>
      </c>
      <c r="T390">
        <v>1.99</v>
      </c>
    </row>
    <row r="391" spans="1:20" x14ac:dyDescent="0.25">
      <c r="A391" t="s">
        <v>301</v>
      </c>
      <c r="B391" t="s">
        <v>21</v>
      </c>
      <c r="C391" t="s">
        <v>298</v>
      </c>
      <c r="D391" s="1">
        <v>44927</v>
      </c>
      <c r="E391" s="1">
        <v>45901</v>
      </c>
      <c r="F391">
        <v>1</v>
      </c>
      <c r="G391">
        <v>1</v>
      </c>
      <c r="H391" t="s">
        <v>275</v>
      </c>
      <c r="I391" t="s">
        <v>276</v>
      </c>
      <c r="J391" t="s">
        <v>277</v>
      </c>
      <c r="K391" t="s">
        <v>26</v>
      </c>
      <c r="L391" t="s">
        <v>45</v>
      </c>
      <c r="M391">
        <v>1</v>
      </c>
      <c r="N391">
        <v>0</v>
      </c>
      <c r="O391">
        <v>5.65</v>
      </c>
      <c r="P391">
        <v>0.1</v>
      </c>
      <c r="Q391">
        <v>0.56999999999999995</v>
      </c>
      <c r="R391" t="s">
        <v>54</v>
      </c>
      <c r="S391">
        <v>0</v>
      </c>
      <c r="T391">
        <v>0.56999999999999995</v>
      </c>
    </row>
    <row r="392" spans="1:20" x14ac:dyDescent="0.25">
      <c r="A392" t="s">
        <v>301</v>
      </c>
      <c r="B392" t="s">
        <v>21</v>
      </c>
      <c r="C392" t="s">
        <v>298</v>
      </c>
      <c r="D392" s="1">
        <v>44927</v>
      </c>
      <c r="E392" s="1">
        <v>45901</v>
      </c>
      <c r="F392">
        <v>1</v>
      </c>
      <c r="G392">
        <v>1</v>
      </c>
      <c r="H392" t="s">
        <v>275</v>
      </c>
      <c r="I392" t="s">
        <v>276</v>
      </c>
      <c r="J392" t="s">
        <v>277</v>
      </c>
      <c r="K392" t="s">
        <v>26</v>
      </c>
      <c r="L392" t="s">
        <v>55</v>
      </c>
      <c r="M392">
        <v>1</v>
      </c>
      <c r="N392">
        <v>0</v>
      </c>
      <c r="O392">
        <v>24.97</v>
      </c>
      <c r="P392">
        <v>0.1</v>
      </c>
      <c r="Q392">
        <v>2.5</v>
      </c>
      <c r="R392" t="s">
        <v>54</v>
      </c>
      <c r="S392">
        <v>0</v>
      </c>
      <c r="T392">
        <v>2.5</v>
      </c>
    </row>
    <row r="393" spans="1:20" x14ac:dyDescent="0.25">
      <c r="A393" t="s">
        <v>301</v>
      </c>
      <c r="B393" t="s">
        <v>21</v>
      </c>
      <c r="C393" t="s">
        <v>298</v>
      </c>
      <c r="D393" s="1">
        <v>44927</v>
      </c>
      <c r="E393" s="1">
        <v>45901</v>
      </c>
      <c r="F393">
        <v>1</v>
      </c>
      <c r="G393">
        <v>1</v>
      </c>
      <c r="H393" t="s">
        <v>275</v>
      </c>
      <c r="I393" t="s">
        <v>276</v>
      </c>
      <c r="J393" t="s">
        <v>277</v>
      </c>
      <c r="K393" t="s">
        <v>26</v>
      </c>
      <c r="L393" t="s">
        <v>86</v>
      </c>
      <c r="M393">
        <v>1</v>
      </c>
      <c r="N393">
        <v>0</v>
      </c>
      <c r="O393">
        <v>2.31</v>
      </c>
      <c r="P393">
        <v>0.1</v>
      </c>
      <c r="Q393">
        <v>0.23</v>
      </c>
      <c r="R393" t="s">
        <v>54</v>
      </c>
      <c r="S393">
        <v>0</v>
      </c>
      <c r="T393">
        <v>0.23</v>
      </c>
    </row>
    <row r="394" spans="1:20" x14ac:dyDescent="0.25">
      <c r="A394" t="s">
        <v>301</v>
      </c>
      <c r="B394" t="s">
        <v>21</v>
      </c>
      <c r="C394" t="s">
        <v>298</v>
      </c>
      <c r="D394" s="1">
        <v>44927</v>
      </c>
      <c r="E394" s="1">
        <v>45901</v>
      </c>
      <c r="F394">
        <v>1</v>
      </c>
      <c r="G394">
        <v>1</v>
      </c>
      <c r="H394" t="s">
        <v>275</v>
      </c>
      <c r="I394" t="s">
        <v>276</v>
      </c>
      <c r="J394" t="s">
        <v>277</v>
      </c>
      <c r="K394" t="s">
        <v>26</v>
      </c>
      <c r="L394" t="s">
        <v>56</v>
      </c>
      <c r="M394">
        <v>1</v>
      </c>
      <c r="N394">
        <v>0</v>
      </c>
      <c r="O394">
        <v>3.21</v>
      </c>
      <c r="P394">
        <v>0.1</v>
      </c>
      <c r="Q394">
        <v>0.32</v>
      </c>
      <c r="R394" t="s">
        <v>54</v>
      </c>
      <c r="S394">
        <v>0</v>
      </c>
      <c r="T394">
        <v>0.32</v>
      </c>
    </row>
    <row r="395" spans="1:20" x14ac:dyDescent="0.25">
      <c r="A395" t="s">
        <v>302</v>
      </c>
      <c r="B395" t="s">
        <v>21</v>
      </c>
      <c r="C395" t="s">
        <v>300</v>
      </c>
      <c r="D395" s="1">
        <v>44927</v>
      </c>
      <c r="E395" s="1">
        <v>45901</v>
      </c>
      <c r="F395">
        <v>1</v>
      </c>
      <c r="G395">
        <v>1</v>
      </c>
      <c r="H395" t="s">
        <v>275</v>
      </c>
      <c r="I395" t="s">
        <v>276</v>
      </c>
      <c r="J395" t="s">
        <v>277</v>
      </c>
      <c r="K395" t="s">
        <v>26</v>
      </c>
      <c r="L395" t="s">
        <v>42</v>
      </c>
      <c r="M395">
        <v>1</v>
      </c>
      <c r="N395">
        <v>63.25</v>
      </c>
      <c r="O395">
        <v>19.68</v>
      </c>
      <c r="P395">
        <v>0.1</v>
      </c>
      <c r="Q395">
        <v>1.97</v>
      </c>
      <c r="R395" t="s">
        <v>54</v>
      </c>
      <c r="S395">
        <v>0</v>
      </c>
      <c r="T395">
        <v>1.97</v>
      </c>
    </row>
    <row r="396" spans="1:20" x14ac:dyDescent="0.25">
      <c r="A396" t="s">
        <v>302</v>
      </c>
      <c r="B396" t="s">
        <v>21</v>
      </c>
      <c r="C396" t="s">
        <v>300</v>
      </c>
      <c r="D396" s="1">
        <v>44927</v>
      </c>
      <c r="E396" s="1">
        <v>45901</v>
      </c>
      <c r="F396">
        <v>1</v>
      </c>
      <c r="G396">
        <v>1</v>
      </c>
      <c r="H396" t="s">
        <v>275</v>
      </c>
      <c r="I396" t="s">
        <v>276</v>
      </c>
      <c r="J396" t="s">
        <v>277</v>
      </c>
      <c r="K396" t="s">
        <v>26</v>
      </c>
      <c r="L396" t="s">
        <v>45</v>
      </c>
      <c r="M396">
        <v>1</v>
      </c>
      <c r="N396">
        <v>0</v>
      </c>
      <c r="O396">
        <v>5.65</v>
      </c>
      <c r="P396">
        <v>0.1</v>
      </c>
      <c r="Q396">
        <v>0.56999999999999995</v>
      </c>
      <c r="R396" t="s">
        <v>54</v>
      </c>
      <c r="S396">
        <v>0</v>
      </c>
      <c r="T396">
        <v>0.56999999999999995</v>
      </c>
    </row>
    <row r="397" spans="1:20" x14ac:dyDescent="0.25">
      <c r="A397" t="s">
        <v>302</v>
      </c>
      <c r="B397" t="s">
        <v>21</v>
      </c>
      <c r="C397" t="s">
        <v>300</v>
      </c>
      <c r="D397" s="1">
        <v>44927</v>
      </c>
      <c r="E397" s="1">
        <v>45901</v>
      </c>
      <c r="F397">
        <v>1</v>
      </c>
      <c r="G397">
        <v>1</v>
      </c>
      <c r="H397" t="s">
        <v>275</v>
      </c>
      <c r="I397" t="s">
        <v>276</v>
      </c>
      <c r="J397" t="s">
        <v>277</v>
      </c>
      <c r="K397" t="s">
        <v>26</v>
      </c>
      <c r="L397" t="s">
        <v>55</v>
      </c>
      <c r="M397">
        <v>1</v>
      </c>
      <c r="N397">
        <v>0</v>
      </c>
      <c r="O397">
        <v>24.46</v>
      </c>
      <c r="P397">
        <v>0.1</v>
      </c>
      <c r="Q397">
        <v>2.4500000000000002</v>
      </c>
      <c r="R397" t="s">
        <v>54</v>
      </c>
      <c r="S397">
        <v>0</v>
      </c>
      <c r="T397">
        <v>2.4500000000000002</v>
      </c>
    </row>
    <row r="398" spans="1:20" x14ac:dyDescent="0.25">
      <c r="A398" t="s">
        <v>302</v>
      </c>
      <c r="B398" t="s">
        <v>21</v>
      </c>
      <c r="C398" t="s">
        <v>300</v>
      </c>
      <c r="D398" s="1">
        <v>44927</v>
      </c>
      <c r="E398" s="1">
        <v>45901</v>
      </c>
      <c r="F398">
        <v>1</v>
      </c>
      <c r="G398">
        <v>1</v>
      </c>
      <c r="H398" t="s">
        <v>275</v>
      </c>
      <c r="I398" t="s">
        <v>276</v>
      </c>
      <c r="J398" t="s">
        <v>277</v>
      </c>
      <c r="K398" t="s">
        <v>26</v>
      </c>
      <c r="L398" t="s">
        <v>86</v>
      </c>
      <c r="M398">
        <v>1</v>
      </c>
      <c r="N398">
        <v>0</v>
      </c>
      <c r="O398">
        <v>3.28</v>
      </c>
      <c r="P398">
        <v>0.1</v>
      </c>
      <c r="Q398">
        <v>0.33</v>
      </c>
      <c r="R398" t="s">
        <v>54</v>
      </c>
      <c r="S398">
        <v>0</v>
      </c>
      <c r="T398">
        <v>0.33</v>
      </c>
    </row>
    <row r="399" spans="1:20" x14ac:dyDescent="0.25">
      <c r="A399" t="s">
        <v>302</v>
      </c>
      <c r="B399" t="s">
        <v>21</v>
      </c>
      <c r="C399" t="s">
        <v>300</v>
      </c>
      <c r="D399" s="1">
        <v>44927</v>
      </c>
      <c r="E399" s="1">
        <v>45901</v>
      </c>
      <c r="F399">
        <v>1</v>
      </c>
      <c r="G399">
        <v>1</v>
      </c>
      <c r="H399" t="s">
        <v>275</v>
      </c>
      <c r="I399" t="s">
        <v>276</v>
      </c>
      <c r="J399" t="s">
        <v>277</v>
      </c>
      <c r="K399" t="s">
        <v>26</v>
      </c>
      <c r="L399" t="s">
        <v>84</v>
      </c>
      <c r="M399">
        <v>1</v>
      </c>
      <c r="N399">
        <v>0</v>
      </c>
      <c r="O399">
        <v>5.51</v>
      </c>
      <c r="P399">
        <v>0.1</v>
      </c>
      <c r="Q399">
        <v>0.55000000000000004</v>
      </c>
      <c r="R399" t="s">
        <v>54</v>
      </c>
      <c r="S399">
        <v>0</v>
      </c>
      <c r="T399">
        <v>0.55000000000000004</v>
      </c>
    </row>
    <row r="400" spans="1:20" x14ac:dyDescent="0.25">
      <c r="A400" t="s">
        <v>302</v>
      </c>
      <c r="B400" t="s">
        <v>21</v>
      </c>
      <c r="C400" t="s">
        <v>300</v>
      </c>
      <c r="D400" s="1">
        <v>44927</v>
      </c>
      <c r="E400" s="1">
        <v>45901</v>
      </c>
      <c r="F400">
        <v>1</v>
      </c>
      <c r="G400">
        <v>1</v>
      </c>
      <c r="H400" t="s">
        <v>275</v>
      </c>
      <c r="I400" t="s">
        <v>276</v>
      </c>
      <c r="J400" t="s">
        <v>277</v>
      </c>
      <c r="K400" t="s">
        <v>26</v>
      </c>
      <c r="L400" t="s">
        <v>56</v>
      </c>
      <c r="M400">
        <v>1</v>
      </c>
      <c r="N400">
        <v>0</v>
      </c>
      <c r="O400">
        <v>2.99</v>
      </c>
      <c r="P400">
        <v>0.1</v>
      </c>
      <c r="Q400">
        <v>0.3</v>
      </c>
      <c r="R400" t="s">
        <v>54</v>
      </c>
      <c r="S400">
        <v>0</v>
      </c>
      <c r="T400">
        <v>0.3</v>
      </c>
    </row>
    <row r="401" spans="1:20" x14ac:dyDescent="0.25">
      <c r="A401" t="s">
        <v>303</v>
      </c>
      <c r="B401" t="s">
        <v>21</v>
      </c>
      <c r="C401" t="s">
        <v>304</v>
      </c>
      <c r="D401" s="1">
        <v>44927</v>
      </c>
      <c r="E401" s="1">
        <v>45901</v>
      </c>
      <c r="F401">
        <v>1</v>
      </c>
      <c r="G401">
        <v>1</v>
      </c>
      <c r="H401" t="s">
        <v>275</v>
      </c>
      <c r="I401" t="s">
        <v>276</v>
      </c>
      <c r="J401" t="s">
        <v>277</v>
      </c>
      <c r="K401" t="s">
        <v>26</v>
      </c>
      <c r="L401" t="s">
        <v>35</v>
      </c>
      <c r="M401">
        <v>1</v>
      </c>
      <c r="N401">
        <v>111.12</v>
      </c>
      <c r="O401">
        <v>52.55</v>
      </c>
      <c r="P401">
        <v>0.13</v>
      </c>
      <c r="Q401">
        <v>6.83</v>
      </c>
      <c r="R401" t="s">
        <v>54</v>
      </c>
      <c r="S401">
        <v>0</v>
      </c>
      <c r="T401">
        <v>6.83</v>
      </c>
    </row>
    <row r="402" spans="1:20" x14ac:dyDescent="0.25">
      <c r="A402" t="s">
        <v>303</v>
      </c>
      <c r="B402" t="s">
        <v>21</v>
      </c>
      <c r="C402" t="s">
        <v>304</v>
      </c>
      <c r="D402" s="1">
        <v>44927</v>
      </c>
      <c r="E402" s="1">
        <v>45901</v>
      </c>
      <c r="F402">
        <v>1</v>
      </c>
      <c r="G402">
        <v>1</v>
      </c>
      <c r="H402" t="s">
        <v>275</v>
      </c>
      <c r="I402" t="s">
        <v>276</v>
      </c>
      <c r="J402" t="s">
        <v>277</v>
      </c>
      <c r="K402" t="s">
        <v>26</v>
      </c>
      <c r="L402" t="s">
        <v>36</v>
      </c>
      <c r="M402">
        <v>1</v>
      </c>
      <c r="N402">
        <v>0</v>
      </c>
      <c r="O402">
        <v>24.37</v>
      </c>
      <c r="P402">
        <v>0.13</v>
      </c>
      <c r="Q402">
        <v>3.17</v>
      </c>
      <c r="R402" t="s">
        <v>54</v>
      </c>
      <c r="S402">
        <v>0</v>
      </c>
      <c r="T402">
        <v>3.17</v>
      </c>
    </row>
    <row r="403" spans="1:20" x14ac:dyDescent="0.25">
      <c r="A403" t="s">
        <v>303</v>
      </c>
      <c r="B403" t="s">
        <v>21</v>
      </c>
      <c r="C403" t="s">
        <v>304</v>
      </c>
      <c r="D403" s="1">
        <v>44927</v>
      </c>
      <c r="E403" s="1">
        <v>45901</v>
      </c>
      <c r="F403">
        <v>1</v>
      </c>
      <c r="G403">
        <v>1</v>
      </c>
      <c r="H403" t="s">
        <v>275</v>
      </c>
      <c r="I403" t="s">
        <v>276</v>
      </c>
      <c r="J403" t="s">
        <v>277</v>
      </c>
      <c r="K403" t="s">
        <v>26</v>
      </c>
      <c r="L403" t="s">
        <v>37</v>
      </c>
      <c r="M403">
        <v>1</v>
      </c>
      <c r="N403">
        <v>0</v>
      </c>
      <c r="O403">
        <v>4.83</v>
      </c>
      <c r="P403">
        <v>0.13</v>
      </c>
      <c r="Q403">
        <v>0.63</v>
      </c>
      <c r="R403" t="s">
        <v>54</v>
      </c>
      <c r="S403">
        <v>0</v>
      </c>
      <c r="T403">
        <v>0.63</v>
      </c>
    </row>
    <row r="404" spans="1:20" x14ac:dyDescent="0.25">
      <c r="A404" t="s">
        <v>305</v>
      </c>
      <c r="B404" t="s">
        <v>21</v>
      </c>
      <c r="C404" t="s">
        <v>288</v>
      </c>
      <c r="D404" s="1">
        <v>44931</v>
      </c>
      <c r="E404" s="1">
        <v>45905</v>
      </c>
      <c r="F404">
        <v>1</v>
      </c>
      <c r="G404">
        <v>5</v>
      </c>
      <c r="H404" t="s">
        <v>275</v>
      </c>
      <c r="I404" t="s">
        <v>276</v>
      </c>
      <c r="J404" t="s">
        <v>277</v>
      </c>
      <c r="K404" t="s">
        <v>26</v>
      </c>
      <c r="L404" t="s">
        <v>42</v>
      </c>
      <c r="M404">
        <v>1</v>
      </c>
      <c r="N404">
        <v>120.44</v>
      </c>
      <c r="O404">
        <v>88.14</v>
      </c>
      <c r="P404">
        <v>0.1</v>
      </c>
      <c r="Q404">
        <v>8.81</v>
      </c>
      <c r="R404" t="s">
        <v>54</v>
      </c>
      <c r="S404">
        <v>0</v>
      </c>
      <c r="T404">
        <v>8.81</v>
      </c>
    </row>
    <row r="405" spans="1:20" x14ac:dyDescent="0.25">
      <c r="A405" t="s">
        <v>305</v>
      </c>
      <c r="B405" t="s">
        <v>21</v>
      </c>
      <c r="C405" t="s">
        <v>288</v>
      </c>
      <c r="D405" s="1">
        <v>44931</v>
      </c>
      <c r="E405" s="1">
        <v>45905</v>
      </c>
      <c r="F405">
        <v>1</v>
      </c>
      <c r="G405">
        <v>5</v>
      </c>
      <c r="H405" t="s">
        <v>275</v>
      </c>
      <c r="I405" t="s">
        <v>276</v>
      </c>
      <c r="J405" t="s">
        <v>277</v>
      </c>
      <c r="K405" t="s">
        <v>26</v>
      </c>
      <c r="L405" t="s">
        <v>84</v>
      </c>
      <c r="M405">
        <v>1</v>
      </c>
      <c r="N405">
        <v>0</v>
      </c>
      <c r="O405">
        <v>6.35</v>
      </c>
      <c r="P405">
        <v>0.1</v>
      </c>
      <c r="Q405">
        <v>0.64</v>
      </c>
      <c r="R405" t="s">
        <v>54</v>
      </c>
      <c r="S405">
        <v>0</v>
      </c>
      <c r="T405">
        <v>0.64</v>
      </c>
    </row>
    <row r="406" spans="1:20" x14ac:dyDescent="0.25">
      <c r="A406" t="s">
        <v>305</v>
      </c>
      <c r="B406" t="s">
        <v>21</v>
      </c>
      <c r="C406" t="s">
        <v>288</v>
      </c>
      <c r="D406" s="1">
        <v>44931</v>
      </c>
      <c r="E406" s="1">
        <v>45905</v>
      </c>
      <c r="F406">
        <v>1</v>
      </c>
      <c r="G406">
        <v>5</v>
      </c>
      <c r="H406" t="s">
        <v>275</v>
      </c>
      <c r="I406" t="s">
        <v>276</v>
      </c>
      <c r="J406" t="s">
        <v>277</v>
      </c>
      <c r="K406" t="s">
        <v>26</v>
      </c>
      <c r="L406" t="s">
        <v>85</v>
      </c>
      <c r="M406">
        <v>1</v>
      </c>
      <c r="N406">
        <v>0</v>
      </c>
      <c r="O406">
        <v>1.3</v>
      </c>
      <c r="P406">
        <v>0.1</v>
      </c>
      <c r="Q406">
        <v>0.13</v>
      </c>
      <c r="R406" t="s">
        <v>54</v>
      </c>
      <c r="S406">
        <v>0</v>
      </c>
      <c r="T406">
        <v>0.13</v>
      </c>
    </row>
    <row r="407" spans="1:20" x14ac:dyDescent="0.25">
      <c r="A407" t="s">
        <v>305</v>
      </c>
      <c r="B407" t="s">
        <v>21</v>
      </c>
      <c r="C407" t="s">
        <v>288</v>
      </c>
      <c r="D407" s="1">
        <v>44931</v>
      </c>
      <c r="E407" s="1">
        <v>45905</v>
      </c>
      <c r="F407">
        <v>1</v>
      </c>
      <c r="G407">
        <v>5</v>
      </c>
      <c r="H407" t="s">
        <v>275</v>
      </c>
      <c r="I407" t="s">
        <v>276</v>
      </c>
      <c r="J407" t="s">
        <v>277</v>
      </c>
      <c r="K407" t="s">
        <v>26</v>
      </c>
      <c r="L407" t="s">
        <v>245</v>
      </c>
      <c r="M407">
        <v>1</v>
      </c>
      <c r="N407">
        <v>0</v>
      </c>
      <c r="O407">
        <v>22.97</v>
      </c>
      <c r="P407">
        <v>0.1</v>
      </c>
      <c r="Q407">
        <v>2.2999999999999998</v>
      </c>
      <c r="R407" t="s">
        <v>54</v>
      </c>
      <c r="S407">
        <v>0</v>
      </c>
      <c r="T407">
        <v>2.2999999999999998</v>
      </c>
    </row>
    <row r="408" spans="1:20" x14ac:dyDescent="0.25">
      <c r="A408" t="s">
        <v>306</v>
      </c>
      <c r="B408" t="s">
        <v>21</v>
      </c>
      <c r="C408" t="s">
        <v>307</v>
      </c>
      <c r="D408" s="1">
        <v>44972</v>
      </c>
      <c r="E408" s="1">
        <v>45915</v>
      </c>
      <c r="F408">
        <v>1</v>
      </c>
      <c r="G408">
        <v>15</v>
      </c>
      <c r="H408" t="s">
        <v>275</v>
      </c>
      <c r="I408" t="s">
        <v>276</v>
      </c>
      <c r="J408" t="s">
        <v>277</v>
      </c>
      <c r="K408" t="s">
        <v>26</v>
      </c>
      <c r="L408" t="s">
        <v>35</v>
      </c>
      <c r="M408">
        <v>1</v>
      </c>
      <c r="N408">
        <v>81.67</v>
      </c>
      <c r="O408">
        <v>43.44</v>
      </c>
      <c r="P408">
        <v>0.13</v>
      </c>
      <c r="Q408">
        <v>5.65</v>
      </c>
      <c r="R408" t="s">
        <v>54</v>
      </c>
      <c r="S408">
        <v>0</v>
      </c>
      <c r="T408">
        <v>5.65</v>
      </c>
    </row>
    <row r="409" spans="1:20" x14ac:dyDescent="0.25">
      <c r="A409" t="s">
        <v>306</v>
      </c>
      <c r="B409" t="s">
        <v>21</v>
      </c>
      <c r="C409" t="s">
        <v>307</v>
      </c>
      <c r="D409" s="1">
        <v>44972</v>
      </c>
      <c r="E409" s="1">
        <v>45915</v>
      </c>
      <c r="F409">
        <v>1</v>
      </c>
      <c r="G409">
        <v>15</v>
      </c>
      <c r="H409" t="s">
        <v>275</v>
      </c>
      <c r="I409" t="s">
        <v>276</v>
      </c>
      <c r="J409" t="s">
        <v>277</v>
      </c>
      <c r="K409" t="s">
        <v>26</v>
      </c>
      <c r="L409" t="s">
        <v>36</v>
      </c>
      <c r="M409">
        <v>1</v>
      </c>
      <c r="N409">
        <v>0</v>
      </c>
      <c r="O409">
        <v>22.5</v>
      </c>
      <c r="P409">
        <v>0.13</v>
      </c>
      <c r="Q409">
        <v>2.93</v>
      </c>
      <c r="R409" t="s">
        <v>54</v>
      </c>
      <c r="S409">
        <v>0</v>
      </c>
      <c r="T409">
        <v>2.93</v>
      </c>
    </row>
    <row r="410" spans="1:20" x14ac:dyDescent="0.25">
      <c r="A410" t="s">
        <v>306</v>
      </c>
      <c r="B410" t="s">
        <v>21</v>
      </c>
      <c r="C410" t="s">
        <v>307</v>
      </c>
      <c r="D410" s="1">
        <v>44972</v>
      </c>
      <c r="E410" s="1">
        <v>45915</v>
      </c>
      <c r="F410">
        <v>1</v>
      </c>
      <c r="G410">
        <v>15</v>
      </c>
      <c r="H410" t="s">
        <v>275</v>
      </c>
      <c r="I410" t="s">
        <v>276</v>
      </c>
      <c r="J410" t="s">
        <v>277</v>
      </c>
      <c r="K410" t="s">
        <v>26</v>
      </c>
      <c r="L410" t="s">
        <v>37</v>
      </c>
      <c r="M410">
        <v>1</v>
      </c>
      <c r="N410">
        <v>0</v>
      </c>
      <c r="O410">
        <v>3.08</v>
      </c>
      <c r="P410">
        <v>0.13</v>
      </c>
      <c r="Q410">
        <v>0.4</v>
      </c>
      <c r="R410" t="s">
        <v>54</v>
      </c>
      <c r="S410">
        <v>0</v>
      </c>
      <c r="T410">
        <v>0.4</v>
      </c>
    </row>
    <row r="411" spans="1:20" x14ac:dyDescent="0.25">
      <c r="A411" t="s">
        <v>308</v>
      </c>
      <c r="B411" t="s">
        <v>21</v>
      </c>
      <c r="C411" t="s">
        <v>309</v>
      </c>
      <c r="D411" s="1">
        <v>44981</v>
      </c>
      <c r="E411" s="1">
        <v>45893</v>
      </c>
      <c r="F411">
        <v>1</v>
      </c>
      <c r="G411">
        <v>1</v>
      </c>
      <c r="H411" t="s">
        <v>275</v>
      </c>
      <c r="I411" t="s">
        <v>276</v>
      </c>
      <c r="J411" t="s">
        <v>277</v>
      </c>
      <c r="K411" t="s">
        <v>26</v>
      </c>
      <c r="L411" t="s">
        <v>35</v>
      </c>
      <c r="M411">
        <v>1</v>
      </c>
      <c r="N411">
        <v>81.67</v>
      </c>
      <c r="O411">
        <v>43.44</v>
      </c>
      <c r="P411">
        <v>0.13</v>
      </c>
      <c r="Q411">
        <v>5.65</v>
      </c>
      <c r="R411" t="s">
        <v>54</v>
      </c>
      <c r="S411">
        <v>0</v>
      </c>
      <c r="T411">
        <v>5.65</v>
      </c>
    </row>
    <row r="412" spans="1:20" x14ac:dyDescent="0.25">
      <c r="A412" t="s">
        <v>308</v>
      </c>
      <c r="B412" t="s">
        <v>21</v>
      </c>
      <c r="C412" t="s">
        <v>309</v>
      </c>
      <c r="D412" s="1">
        <v>44981</v>
      </c>
      <c r="E412" s="1">
        <v>45893</v>
      </c>
      <c r="F412">
        <v>1</v>
      </c>
      <c r="G412">
        <v>1</v>
      </c>
      <c r="H412" t="s">
        <v>275</v>
      </c>
      <c r="I412" t="s">
        <v>276</v>
      </c>
      <c r="J412" t="s">
        <v>277</v>
      </c>
      <c r="K412" t="s">
        <v>26</v>
      </c>
      <c r="L412" t="s">
        <v>37</v>
      </c>
      <c r="M412">
        <v>1</v>
      </c>
      <c r="N412">
        <v>0</v>
      </c>
      <c r="O412">
        <v>3.08</v>
      </c>
      <c r="P412">
        <v>0.13</v>
      </c>
      <c r="Q412">
        <v>0.4</v>
      </c>
      <c r="R412" t="s">
        <v>54</v>
      </c>
      <c r="S412">
        <v>0</v>
      </c>
      <c r="T412">
        <v>0.4</v>
      </c>
    </row>
    <row r="413" spans="1:20" x14ac:dyDescent="0.25">
      <c r="A413" t="s">
        <v>308</v>
      </c>
      <c r="B413" t="s">
        <v>21</v>
      </c>
      <c r="C413" t="s">
        <v>309</v>
      </c>
      <c r="D413" s="1">
        <v>44981</v>
      </c>
      <c r="E413" s="1">
        <v>45893</v>
      </c>
      <c r="F413">
        <v>1</v>
      </c>
      <c r="G413">
        <v>1</v>
      </c>
      <c r="H413" t="s">
        <v>275</v>
      </c>
      <c r="I413" t="s">
        <v>276</v>
      </c>
      <c r="J413" t="s">
        <v>277</v>
      </c>
      <c r="K413" t="s">
        <v>26</v>
      </c>
      <c r="L413" t="s">
        <v>36</v>
      </c>
      <c r="M413">
        <v>1</v>
      </c>
      <c r="N413">
        <v>0</v>
      </c>
      <c r="O413">
        <v>22.5</v>
      </c>
      <c r="P413">
        <v>0.13</v>
      </c>
      <c r="Q413">
        <v>2.93</v>
      </c>
      <c r="R413" t="s">
        <v>54</v>
      </c>
      <c r="S413">
        <v>0</v>
      </c>
      <c r="T413">
        <v>2.93</v>
      </c>
    </row>
    <row r="414" spans="1:20" x14ac:dyDescent="0.25">
      <c r="A414" t="s">
        <v>310</v>
      </c>
      <c r="B414" t="s">
        <v>21</v>
      </c>
      <c r="C414" t="s">
        <v>309</v>
      </c>
      <c r="D414" s="1">
        <v>44981</v>
      </c>
      <c r="E414" s="1">
        <v>45893</v>
      </c>
      <c r="F414">
        <v>1</v>
      </c>
      <c r="G414">
        <v>1</v>
      </c>
      <c r="H414" t="s">
        <v>275</v>
      </c>
      <c r="I414" t="s">
        <v>276</v>
      </c>
      <c r="J414" t="s">
        <v>277</v>
      </c>
      <c r="K414" t="s">
        <v>26</v>
      </c>
      <c r="L414" t="s">
        <v>185</v>
      </c>
      <c r="M414">
        <v>1</v>
      </c>
      <c r="N414">
        <v>21.71</v>
      </c>
      <c r="O414">
        <v>10.42</v>
      </c>
      <c r="P414">
        <v>0.1</v>
      </c>
      <c r="Q414">
        <v>1.04</v>
      </c>
      <c r="R414" t="s">
        <v>54</v>
      </c>
      <c r="S414">
        <v>0</v>
      </c>
      <c r="T414">
        <v>1.04</v>
      </c>
    </row>
    <row r="415" spans="1:20" x14ac:dyDescent="0.25">
      <c r="A415" t="s">
        <v>310</v>
      </c>
      <c r="B415" t="s">
        <v>21</v>
      </c>
      <c r="C415" t="s">
        <v>309</v>
      </c>
      <c r="D415" s="1">
        <v>44981</v>
      </c>
      <c r="E415" s="1">
        <v>45893</v>
      </c>
      <c r="F415">
        <v>1</v>
      </c>
      <c r="G415">
        <v>1</v>
      </c>
      <c r="H415" t="s">
        <v>275</v>
      </c>
      <c r="I415" t="s">
        <v>276</v>
      </c>
      <c r="J415" t="s">
        <v>277</v>
      </c>
      <c r="K415" t="s">
        <v>26</v>
      </c>
      <c r="L415" t="s">
        <v>187</v>
      </c>
      <c r="M415">
        <v>1</v>
      </c>
      <c r="N415">
        <v>0</v>
      </c>
      <c r="O415">
        <v>9.2100000000000009</v>
      </c>
      <c r="P415">
        <v>0.1</v>
      </c>
      <c r="Q415">
        <v>0.92</v>
      </c>
      <c r="R415" t="s">
        <v>54</v>
      </c>
      <c r="S415">
        <v>0</v>
      </c>
      <c r="T415">
        <v>0.92</v>
      </c>
    </row>
    <row r="416" spans="1:20" x14ac:dyDescent="0.25">
      <c r="A416" t="s">
        <v>311</v>
      </c>
      <c r="B416" t="s">
        <v>21</v>
      </c>
      <c r="C416" t="s">
        <v>312</v>
      </c>
      <c r="D416" s="1">
        <v>45017</v>
      </c>
      <c r="E416" s="1">
        <v>45901</v>
      </c>
      <c r="F416">
        <v>1</v>
      </c>
      <c r="G416">
        <v>1</v>
      </c>
      <c r="H416" t="s">
        <v>275</v>
      </c>
      <c r="I416" t="s">
        <v>276</v>
      </c>
      <c r="J416" t="s">
        <v>277</v>
      </c>
      <c r="K416" t="s">
        <v>26</v>
      </c>
      <c r="L416" t="s">
        <v>35</v>
      </c>
      <c r="M416">
        <v>1</v>
      </c>
      <c r="N416">
        <v>109.37</v>
      </c>
      <c r="O416">
        <v>52.55</v>
      </c>
      <c r="P416">
        <v>0.13</v>
      </c>
      <c r="Q416">
        <v>6.83</v>
      </c>
      <c r="R416" t="s">
        <v>54</v>
      </c>
      <c r="S416">
        <v>0</v>
      </c>
      <c r="T416">
        <v>6.83</v>
      </c>
    </row>
    <row r="417" spans="1:20" x14ac:dyDescent="0.25">
      <c r="A417" t="s">
        <v>311</v>
      </c>
      <c r="B417" t="s">
        <v>21</v>
      </c>
      <c r="C417" t="s">
        <v>312</v>
      </c>
      <c r="D417" s="1">
        <v>45017</v>
      </c>
      <c r="E417" s="1">
        <v>45901</v>
      </c>
      <c r="F417">
        <v>1</v>
      </c>
      <c r="G417">
        <v>1</v>
      </c>
      <c r="H417" t="s">
        <v>275</v>
      </c>
      <c r="I417" t="s">
        <v>276</v>
      </c>
      <c r="J417" t="s">
        <v>277</v>
      </c>
      <c r="K417" t="s">
        <v>26</v>
      </c>
      <c r="L417" t="s">
        <v>36</v>
      </c>
      <c r="M417">
        <v>1</v>
      </c>
      <c r="N417">
        <v>0</v>
      </c>
      <c r="O417">
        <v>24.37</v>
      </c>
      <c r="P417">
        <v>0.13</v>
      </c>
      <c r="Q417">
        <v>3.17</v>
      </c>
      <c r="R417" t="s">
        <v>54</v>
      </c>
      <c r="S417">
        <v>0</v>
      </c>
      <c r="T417">
        <v>3.17</v>
      </c>
    </row>
    <row r="418" spans="1:20" x14ac:dyDescent="0.25">
      <c r="A418" t="s">
        <v>311</v>
      </c>
      <c r="B418" t="s">
        <v>21</v>
      </c>
      <c r="C418" t="s">
        <v>312</v>
      </c>
      <c r="D418" s="1">
        <v>45017</v>
      </c>
      <c r="E418" s="1">
        <v>45901</v>
      </c>
      <c r="F418">
        <v>1</v>
      </c>
      <c r="G418">
        <v>1</v>
      </c>
      <c r="H418" t="s">
        <v>275</v>
      </c>
      <c r="I418" t="s">
        <v>276</v>
      </c>
      <c r="J418" t="s">
        <v>277</v>
      </c>
      <c r="K418" t="s">
        <v>26</v>
      </c>
      <c r="L418" t="s">
        <v>37</v>
      </c>
      <c r="M418">
        <v>1</v>
      </c>
      <c r="N418">
        <v>0</v>
      </c>
      <c r="O418">
        <v>3.08</v>
      </c>
      <c r="P418">
        <v>0.13</v>
      </c>
      <c r="Q418">
        <v>0.4</v>
      </c>
      <c r="R418" t="s">
        <v>54</v>
      </c>
      <c r="S418">
        <v>0</v>
      </c>
      <c r="T418">
        <v>0.4</v>
      </c>
    </row>
    <row r="419" spans="1:20" x14ac:dyDescent="0.25">
      <c r="A419" t="s">
        <v>313</v>
      </c>
      <c r="B419" t="s">
        <v>21</v>
      </c>
      <c r="C419" t="s">
        <v>314</v>
      </c>
      <c r="D419" s="1">
        <v>45030</v>
      </c>
      <c r="E419" s="1">
        <v>45914</v>
      </c>
      <c r="F419">
        <v>1</v>
      </c>
      <c r="G419">
        <v>14</v>
      </c>
      <c r="H419" t="s">
        <v>275</v>
      </c>
      <c r="I419" t="s">
        <v>276</v>
      </c>
      <c r="J419" t="s">
        <v>277</v>
      </c>
      <c r="K419" t="s">
        <v>26</v>
      </c>
      <c r="L419" t="s">
        <v>35</v>
      </c>
      <c r="M419">
        <v>1</v>
      </c>
      <c r="N419">
        <v>81.67</v>
      </c>
      <c r="O419">
        <v>43.44</v>
      </c>
      <c r="P419">
        <v>0.13</v>
      </c>
      <c r="Q419">
        <v>5.65</v>
      </c>
      <c r="R419" t="s">
        <v>54</v>
      </c>
      <c r="S419">
        <v>0</v>
      </c>
      <c r="T419">
        <v>5.65</v>
      </c>
    </row>
    <row r="420" spans="1:20" x14ac:dyDescent="0.25">
      <c r="A420" t="s">
        <v>313</v>
      </c>
      <c r="B420" t="s">
        <v>21</v>
      </c>
      <c r="C420" t="s">
        <v>314</v>
      </c>
      <c r="D420" s="1">
        <v>45030</v>
      </c>
      <c r="E420" s="1">
        <v>45914</v>
      </c>
      <c r="F420">
        <v>1</v>
      </c>
      <c r="G420">
        <v>14</v>
      </c>
      <c r="H420" t="s">
        <v>275</v>
      </c>
      <c r="I420" t="s">
        <v>276</v>
      </c>
      <c r="J420" t="s">
        <v>277</v>
      </c>
      <c r="K420" t="s">
        <v>26</v>
      </c>
      <c r="L420" t="s">
        <v>37</v>
      </c>
      <c r="M420">
        <v>1</v>
      </c>
      <c r="N420">
        <v>0</v>
      </c>
      <c r="O420">
        <v>3.08</v>
      </c>
      <c r="P420">
        <v>0.13</v>
      </c>
      <c r="Q420">
        <v>0.4</v>
      </c>
      <c r="R420" t="s">
        <v>54</v>
      </c>
      <c r="S420">
        <v>0</v>
      </c>
      <c r="T420">
        <v>0.4</v>
      </c>
    </row>
    <row r="421" spans="1:20" x14ac:dyDescent="0.25">
      <c r="A421" t="s">
        <v>313</v>
      </c>
      <c r="B421" t="s">
        <v>21</v>
      </c>
      <c r="C421" t="s">
        <v>314</v>
      </c>
      <c r="D421" s="1">
        <v>45030</v>
      </c>
      <c r="E421" s="1">
        <v>45914</v>
      </c>
      <c r="F421">
        <v>1</v>
      </c>
      <c r="G421">
        <v>14</v>
      </c>
      <c r="H421" t="s">
        <v>275</v>
      </c>
      <c r="I421" t="s">
        <v>276</v>
      </c>
      <c r="J421" t="s">
        <v>277</v>
      </c>
      <c r="K421" t="s">
        <v>26</v>
      </c>
      <c r="L421" t="s">
        <v>36</v>
      </c>
      <c r="M421">
        <v>1</v>
      </c>
      <c r="N421">
        <v>0</v>
      </c>
      <c r="O421">
        <v>22.5</v>
      </c>
      <c r="P421">
        <v>0.13</v>
      </c>
      <c r="Q421">
        <v>2.93</v>
      </c>
      <c r="R421" t="s">
        <v>54</v>
      </c>
      <c r="S421">
        <v>0</v>
      </c>
      <c r="T421">
        <v>2.93</v>
      </c>
    </row>
    <row r="422" spans="1:20" x14ac:dyDescent="0.25">
      <c r="A422" t="s">
        <v>315</v>
      </c>
      <c r="B422" t="s">
        <v>21</v>
      </c>
      <c r="C422" t="s">
        <v>316</v>
      </c>
      <c r="D422" s="1">
        <v>45047</v>
      </c>
      <c r="E422" s="1">
        <v>45901</v>
      </c>
      <c r="F422">
        <v>1</v>
      </c>
      <c r="G422">
        <v>1</v>
      </c>
      <c r="H422" t="s">
        <v>275</v>
      </c>
      <c r="I422" t="s">
        <v>276</v>
      </c>
      <c r="J422" t="s">
        <v>277</v>
      </c>
      <c r="K422" t="s">
        <v>26</v>
      </c>
      <c r="L422" t="s">
        <v>35</v>
      </c>
      <c r="M422">
        <v>1</v>
      </c>
      <c r="N422">
        <v>81.67</v>
      </c>
      <c r="O422">
        <v>52.55</v>
      </c>
      <c r="P422">
        <v>0.13</v>
      </c>
      <c r="Q422">
        <v>6.83</v>
      </c>
      <c r="R422" t="s">
        <v>54</v>
      </c>
      <c r="S422">
        <v>0</v>
      </c>
      <c r="T422">
        <v>6.83</v>
      </c>
    </row>
    <row r="423" spans="1:20" x14ac:dyDescent="0.25">
      <c r="A423" t="s">
        <v>315</v>
      </c>
      <c r="B423" t="s">
        <v>21</v>
      </c>
      <c r="C423" t="s">
        <v>316</v>
      </c>
      <c r="D423" s="1">
        <v>45047</v>
      </c>
      <c r="E423" s="1">
        <v>45901</v>
      </c>
      <c r="F423">
        <v>1</v>
      </c>
      <c r="G423">
        <v>1</v>
      </c>
      <c r="H423" t="s">
        <v>275</v>
      </c>
      <c r="I423" t="s">
        <v>276</v>
      </c>
      <c r="J423" t="s">
        <v>277</v>
      </c>
      <c r="K423" t="s">
        <v>26</v>
      </c>
      <c r="L423" t="s">
        <v>36</v>
      </c>
      <c r="M423">
        <v>1</v>
      </c>
      <c r="N423">
        <v>0</v>
      </c>
      <c r="O423">
        <v>24.37</v>
      </c>
      <c r="P423">
        <v>0.13</v>
      </c>
      <c r="Q423">
        <v>3.17</v>
      </c>
      <c r="R423" t="s">
        <v>54</v>
      </c>
      <c r="S423">
        <v>0</v>
      </c>
      <c r="T423">
        <v>3.17</v>
      </c>
    </row>
    <row r="424" spans="1:20" x14ac:dyDescent="0.25">
      <c r="A424" t="s">
        <v>315</v>
      </c>
      <c r="B424" t="s">
        <v>21</v>
      </c>
      <c r="C424" t="s">
        <v>316</v>
      </c>
      <c r="D424" s="1">
        <v>45047</v>
      </c>
      <c r="E424" s="1">
        <v>45901</v>
      </c>
      <c r="F424">
        <v>1</v>
      </c>
      <c r="G424">
        <v>1</v>
      </c>
      <c r="H424" t="s">
        <v>275</v>
      </c>
      <c r="I424" t="s">
        <v>276</v>
      </c>
      <c r="J424" t="s">
        <v>277</v>
      </c>
      <c r="K424" t="s">
        <v>26</v>
      </c>
      <c r="L424" t="s">
        <v>37</v>
      </c>
      <c r="M424">
        <v>1</v>
      </c>
      <c r="N424">
        <v>0</v>
      </c>
      <c r="O424">
        <v>3.08</v>
      </c>
      <c r="P424">
        <v>0.13</v>
      </c>
      <c r="Q424">
        <v>0.4</v>
      </c>
      <c r="R424" t="s">
        <v>54</v>
      </c>
      <c r="S424">
        <v>0</v>
      </c>
      <c r="T424">
        <v>0.4</v>
      </c>
    </row>
    <row r="425" spans="1:20" x14ac:dyDescent="0.25">
      <c r="A425" t="s">
        <v>317</v>
      </c>
      <c r="B425" t="s">
        <v>21</v>
      </c>
      <c r="C425" t="s">
        <v>318</v>
      </c>
      <c r="D425" s="1">
        <v>45047</v>
      </c>
      <c r="E425" s="1">
        <v>45901</v>
      </c>
      <c r="F425">
        <v>1</v>
      </c>
      <c r="G425">
        <v>1</v>
      </c>
      <c r="H425" t="s">
        <v>275</v>
      </c>
      <c r="I425" t="s">
        <v>276</v>
      </c>
      <c r="J425" t="s">
        <v>277</v>
      </c>
      <c r="K425" t="s">
        <v>26</v>
      </c>
      <c r="L425" t="s">
        <v>35</v>
      </c>
      <c r="M425">
        <v>1</v>
      </c>
      <c r="N425">
        <v>81.67</v>
      </c>
      <c r="O425">
        <v>43.44</v>
      </c>
      <c r="P425">
        <v>0.13</v>
      </c>
      <c r="Q425">
        <v>5.65</v>
      </c>
      <c r="R425" t="s">
        <v>54</v>
      </c>
      <c r="S425">
        <v>0</v>
      </c>
      <c r="T425">
        <v>5.65</v>
      </c>
    </row>
    <row r="426" spans="1:20" x14ac:dyDescent="0.25">
      <c r="A426" t="s">
        <v>317</v>
      </c>
      <c r="B426" t="s">
        <v>21</v>
      </c>
      <c r="C426" t="s">
        <v>318</v>
      </c>
      <c r="D426" s="1">
        <v>45047</v>
      </c>
      <c r="E426" s="1">
        <v>45901</v>
      </c>
      <c r="F426">
        <v>1</v>
      </c>
      <c r="G426">
        <v>1</v>
      </c>
      <c r="H426" t="s">
        <v>275</v>
      </c>
      <c r="I426" t="s">
        <v>276</v>
      </c>
      <c r="J426" t="s">
        <v>277</v>
      </c>
      <c r="K426" t="s">
        <v>26</v>
      </c>
      <c r="L426" t="s">
        <v>36</v>
      </c>
      <c r="M426">
        <v>1</v>
      </c>
      <c r="N426">
        <v>0</v>
      </c>
      <c r="O426">
        <v>22.5</v>
      </c>
      <c r="P426">
        <v>0.13</v>
      </c>
      <c r="Q426">
        <v>2.93</v>
      </c>
      <c r="R426" t="s">
        <v>54</v>
      </c>
      <c r="S426">
        <v>0</v>
      </c>
      <c r="T426">
        <v>2.93</v>
      </c>
    </row>
    <row r="427" spans="1:20" x14ac:dyDescent="0.25">
      <c r="A427" t="s">
        <v>317</v>
      </c>
      <c r="B427" t="s">
        <v>21</v>
      </c>
      <c r="C427" t="s">
        <v>318</v>
      </c>
      <c r="D427" s="1">
        <v>45047</v>
      </c>
      <c r="E427" s="1">
        <v>45901</v>
      </c>
      <c r="F427">
        <v>1</v>
      </c>
      <c r="G427">
        <v>1</v>
      </c>
      <c r="H427" t="s">
        <v>275</v>
      </c>
      <c r="I427" t="s">
        <v>276</v>
      </c>
      <c r="J427" t="s">
        <v>277</v>
      </c>
      <c r="K427" t="s">
        <v>26</v>
      </c>
      <c r="L427" t="s">
        <v>37</v>
      </c>
      <c r="M427">
        <v>1</v>
      </c>
      <c r="N427">
        <v>0</v>
      </c>
      <c r="O427">
        <v>3.08</v>
      </c>
      <c r="P427">
        <v>0.13</v>
      </c>
      <c r="Q427">
        <v>0.4</v>
      </c>
      <c r="R427" t="s">
        <v>54</v>
      </c>
      <c r="S427">
        <v>0</v>
      </c>
      <c r="T427">
        <v>0.4</v>
      </c>
    </row>
    <row r="428" spans="1:20" x14ac:dyDescent="0.25">
      <c r="A428" t="s">
        <v>319</v>
      </c>
      <c r="B428" t="s">
        <v>21</v>
      </c>
      <c r="C428" t="s">
        <v>320</v>
      </c>
      <c r="D428" s="1">
        <v>45078</v>
      </c>
      <c r="E428" s="1">
        <v>45901</v>
      </c>
      <c r="F428">
        <v>1</v>
      </c>
      <c r="G428">
        <v>1</v>
      </c>
      <c r="H428" t="s">
        <v>275</v>
      </c>
      <c r="I428" t="s">
        <v>276</v>
      </c>
      <c r="J428" t="s">
        <v>277</v>
      </c>
      <c r="K428" t="s">
        <v>26</v>
      </c>
      <c r="L428" t="s">
        <v>35</v>
      </c>
      <c r="M428">
        <v>1</v>
      </c>
      <c r="N428">
        <v>81.67</v>
      </c>
      <c r="O428">
        <v>43.44</v>
      </c>
      <c r="P428">
        <v>0.13</v>
      </c>
      <c r="Q428">
        <v>5.65</v>
      </c>
      <c r="R428" t="s">
        <v>54</v>
      </c>
      <c r="S428">
        <v>0</v>
      </c>
      <c r="T428">
        <v>5.65</v>
      </c>
    </row>
    <row r="429" spans="1:20" x14ac:dyDescent="0.25">
      <c r="A429" t="s">
        <v>319</v>
      </c>
      <c r="B429" t="s">
        <v>21</v>
      </c>
      <c r="C429" t="s">
        <v>320</v>
      </c>
      <c r="D429" s="1">
        <v>45078</v>
      </c>
      <c r="E429" s="1">
        <v>45901</v>
      </c>
      <c r="F429">
        <v>1</v>
      </c>
      <c r="G429">
        <v>1</v>
      </c>
      <c r="H429" t="s">
        <v>275</v>
      </c>
      <c r="I429" t="s">
        <v>276</v>
      </c>
      <c r="J429" t="s">
        <v>277</v>
      </c>
      <c r="K429" t="s">
        <v>26</v>
      </c>
      <c r="L429" t="s">
        <v>36</v>
      </c>
      <c r="M429">
        <v>1</v>
      </c>
      <c r="N429">
        <v>0</v>
      </c>
      <c r="O429">
        <v>22.5</v>
      </c>
      <c r="P429">
        <v>0.13</v>
      </c>
      <c r="Q429">
        <v>2.93</v>
      </c>
      <c r="R429" t="s">
        <v>54</v>
      </c>
      <c r="S429">
        <v>0</v>
      </c>
      <c r="T429">
        <v>2.93</v>
      </c>
    </row>
    <row r="430" spans="1:20" x14ac:dyDescent="0.25">
      <c r="A430" t="s">
        <v>319</v>
      </c>
      <c r="B430" t="s">
        <v>21</v>
      </c>
      <c r="C430" t="s">
        <v>320</v>
      </c>
      <c r="D430" s="1">
        <v>45078</v>
      </c>
      <c r="E430" s="1">
        <v>45901</v>
      </c>
      <c r="F430">
        <v>1</v>
      </c>
      <c r="G430">
        <v>1</v>
      </c>
      <c r="H430" t="s">
        <v>275</v>
      </c>
      <c r="I430" t="s">
        <v>276</v>
      </c>
      <c r="J430" t="s">
        <v>277</v>
      </c>
      <c r="K430" t="s">
        <v>26</v>
      </c>
      <c r="L430" t="s">
        <v>37</v>
      </c>
      <c r="M430">
        <v>1</v>
      </c>
      <c r="N430">
        <v>0</v>
      </c>
      <c r="O430">
        <v>3.08</v>
      </c>
      <c r="P430">
        <v>0.13</v>
      </c>
      <c r="Q430">
        <v>0.4</v>
      </c>
      <c r="R430" t="s">
        <v>54</v>
      </c>
      <c r="S430">
        <v>0</v>
      </c>
      <c r="T430">
        <v>0.4</v>
      </c>
    </row>
    <row r="431" spans="1:20" x14ac:dyDescent="0.25">
      <c r="A431" t="s">
        <v>321</v>
      </c>
      <c r="B431" t="s">
        <v>21</v>
      </c>
      <c r="C431" t="s">
        <v>322</v>
      </c>
      <c r="D431" s="1">
        <v>45078</v>
      </c>
      <c r="E431" s="1">
        <v>45901</v>
      </c>
      <c r="F431">
        <v>1</v>
      </c>
      <c r="G431">
        <v>1</v>
      </c>
      <c r="H431" t="s">
        <v>275</v>
      </c>
      <c r="I431" t="s">
        <v>276</v>
      </c>
      <c r="J431" t="s">
        <v>277</v>
      </c>
      <c r="K431" t="s">
        <v>26</v>
      </c>
      <c r="L431" t="s">
        <v>35</v>
      </c>
      <c r="M431">
        <v>1</v>
      </c>
      <c r="N431">
        <v>70.69</v>
      </c>
      <c r="O431">
        <v>43.44</v>
      </c>
      <c r="P431">
        <v>0.13</v>
      </c>
      <c r="Q431">
        <v>5.65</v>
      </c>
      <c r="R431" t="s">
        <v>54</v>
      </c>
      <c r="S431">
        <v>0</v>
      </c>
      <c r="T431">
        <v>5.65</v>
      </c>
    </row>
    <row r="432" spans="1:20" x14ac:dyDescent="0.25">
      <c r="A432" t="s">
        <v>321</v>
      </c>
      <c r="B432" t="s">
        <v>21</v>
      </c>
      <c r="C432" t="s">
        <v>322</v>
      </c>
      <c r="D432" s="1">
        <v>45078</v>
      </c>
      <c r="E432" s="1">
        <v>45901</v>
      </c>
      <c r="F432">
        <v>1</v>
      </c>
      <c r="G432">
        <v>1</v>
      </c>
      <c r="H432" t="s">
        <v>275</v>
      </c>
      <c r="I432" t="s">
        <v>276</v>
      </c>
      <c r="J432" t="s">
        <v>277</v>
      </c>
      <c r="K432" t="s">
        <v>26</v>
      </c>
      <c r="L432" t="s">
        <v>36</v>
      </c>
      <c r="M432">
        <v>1</v>
      </c>
      <c r="N432">
        <v>0</v>
      </c>
      <c r="O432">
        <v>22.5</v>
      </c>
      <c r="P432">
        <v>0.13</v>
      </c>
      <c r="Q432">
        <v>2.93</v>
      </c>
      <c r="R432" t="s">
        <v>54</v>
      </c>
      <c r="S432">
        <v>0</v>
      </c>
      <c r="T432">
        <v>2.93</v>
      </c>
    </row>
    <row r="433" spans="1:20" x14ac:dyDescent="0.25">
      <c r="A433" t="s">
        <v>321</v>
      </c>
      <c r="B433" t="s">
        <v>21</v>
      </c>
      <c r="C433" t="s">
        <v>322</v>
      </c>
      <c r="D433" s="1">
        <v>45078</v>
      </c>
      <c r="E433" s="1">
        <v>45901</v>
      </c>
      <c r="F433">
        <v>1</v>
      </c>
      <c r="G433">
        <v>1</v>
      </c>
      <c r="H433" t="s">
        <v>275</v>
      </c>
      <c r="I433" t="s">
        <v>276</v>
      </c>
      <c r="J433" t="s">
        <v>277</v>
      </c>
      <c r="K433" t="s">
        <v>26</v>
      </c>
      <c r="L433" t="s">
        <v>37</v>
      </c>
      <c r="M433">
        <v>1</v>
      </c>
      <c r="N433">
        <v>0</v>
      </c>
      <c r="O433">
        <v>3.08</v>
      </c>
      <c r="P433">
        <v>0.13</v>
      </c>
      <c r="Q433">
        <v>0.4</v>
      </c>
      <c r="R433" t="s">
        <v>54</v>
      </c>
      <c r="S433">
        <v>0</v>
      </c>
      <c r="T433">
        <v>0.4</v>
      </c>
    </row>
    <row r="434" spans="1:20" x14ac:dyDescent="0.25">
      <c r="A434" t="s">
        <v>323</v>
      </c>
      <c r="B434" t="s">
        <v>21</v>
      </c>
      <c r="C434" t="s">
        <v>324</v>
      </c>
      <c r="D434" s="1">
        <v>45139</v>
      </c>
      <c r="E434" s="1">
        <v>45901</v>
      </c>
      <c r="F434">
        <v>1</v>
      </c>
      <c r="G434">
        <v>1</v>
      </c>
      <c r="H434" t="s">
        <v>23</v>
      </c>
      <c r="I434" t="s">
        <v>24</v>
      </c>
      <c r="J434" t="s">
        <v>25</v>
      </c>
      <c r="K434" t="s">
        <v>26</v>
      </c>
      <c r="L434" t="s">
        <v>35</v>
      </c>
      <c r="M434">
        <v>1</v>
      </c>
      <c r="N434">
        <v>99.96</v>
      </c>
      <c r="O434">
        <v>59.76</v>
      </c>
      <c r="P434">
        <v>0.13</v>
      </c>
      <c r="Q434">
        <v>7.77</v>
      </c>
      <c r="R434" t="s">
        <v>54</v>
      </c>
      <c r="S434">
        <v>0</v>
      </c>
      <c r="T434">
        <v>7.77</v>
      </c>
    </row>
    <row r="435" spans="1:20" x14ac:dyDescent="0.25">
      <c r="A435" t="s">
        <v>323</v>
      </c>
      <c r="B435" t="s">
        <v>21</v>
      </c>
      <c r="C435" t="s">
        <v>324</v>
      </c>
      <c r="D435" s="1">
        <v>45139</v>
      </c>
      <c r="E435" s="1">
        <v>45901</v>
      </c>
      <c r="F435">
        <v>1</v>
      </c>
      <c r="G435">
        <v>1</v>
      </c>
      <c r="H435" t="s">
        <v>23</v>
      </c>
      <c r="I435" t="s">
        <v>24</v>
      </c>
      <c r="J435" t="s">
        <v>25</v>
      </c>
      <c r="K435" t="s">
        <v>26</v>
      </c>
      <c r="L435" t="s">
        <v>36</v>
      </c>
      <c r="M435">
        <v>1</v>
      </c>
      <c r="N435">
        <v>0</v>
      </c>
      <c r="O435">
        <v>22.5</v>
      </c>
      <c r="P435">
        <v>0.13</v>
      </c>
      <c r="Q435">
        <v>2.93</v>
      </c>
      <c r="R435" t="s">
        <v>54</v>
      </c>
      <c r="S435">
        <v>0</v>
      </c>
      <c r="T435">
        <v>2.93</v>
      </c>
    </row>
    <row r="436" spans="1:20" x14ac:dyDescent="0.25">
      <c r="A436" t="s">
        <v>323</v>
      </c>
      <c r="B436" t="s">
        <v>21</v>
      </c>
      <c r="C436" t="s">
        <v>324</v>
      </c>
      <c r="D436" s="1">
        <v>45139</v>
      </c>
      <c r="E436" s="1">
        <v>45901</v>
      </c>
      <c r="F436">
        <v>1</v>
      </c>
      <c r="G436">
        <v>1</v>
      </c>
      <c r="H436" t="s">
        <v>23</v>
      </c>
      <c r="I436" t="s">
        <v>24</v>
      </c>
      <c r="J436" t="s">
        <v>25</v>
      </c>
      <c r="K436" t="s">
        <v>26</v>
      </c>
      <c r="L436" t="s">
        <v>37</v>
      </c>
      <c r="M436">
        <v>1</v>
      </c>
      <c r="N436">
        <v>0</v>
      </c>
      <c r="O436">
        <v>3.08</v>
      </c>
      <c r="P436">
        <v>0.13</v>
      </c>
      <c r="Q436">
        <v>0.4</v>
      </c>
      <c r="R436" t="s">
        <v>54</v>
      </c>
      <c r="S436">
        <v>0</v>
      </c>
      <c r="T436">
        <v>0.4</v>
      </c>
    </row>
    <row r="437" spans="1:20" x14ac:dyDescent="0.25">
      <c r="A437" t="s">
        <v>325</v>
      </c>
      <c r="B437" t="s">
        <v>21</v>
      </c>
      <c r="C437" t="s">
        <v>326</v>
      </c>
      <c r="D437" s="1">
        <v>45139</v>
      </c>
      <c r="E437" s="1">
        <v>45901</v>
      </c>
      <c r="F437">
        <v>1</v>
      </c>
      <c r="G437">
        <v>1</v>
      </c>
      <c r="H437" t="s">
        <v>23</v>
      </c>
      <c r="I437" t="s">
        <v>24</v>
      </c>
      <c r="J437" t="s">
        <v>25</v>
      </c>
      <c r="K437" t="s">
        <v>26</v>
      </c>
      <c r="L437" t="s">
        <v>35</v>
      </c>
      <c r="M437">
        <v>1</v>
      </c>
      <c r="N437">
        <v>99.96</v>
      </c>
      <c r="O437">
        <v>59.76</v>
      </c>
      <c r="P437">
        <v>0.13</v>
      </c>
      <c r="Q437">
        <v>7.77</v>
      </c>
      <c r="R437" t="s">
        <v>54</v>
      </c>
      <c r="S437">
        <v>0</v>
      </c>
      <c r="T437">
        <v>7.77</v>
      </c>
    </row>
    <row r="438" spans="1:20" x14ac:dyDescent="0.25">
      <c r="A438" t="s">
        <v>325</v>
      </c>
      <c r="B438" t="s">
        <v>21</v>
      </c>
      <c r="C438" t="s">
        <v>326</v>
      </c>
      <c r="D438" s="1">
        <v>45139</v>
      </c>
      <c r="E438" s="1">
        <v>45901</v>
      </c>
      <c r="F438">
        <v>1</v>
      </c>
      <c r="G438">
        <v>1</v>
      </c>
      <c r="H438" t="s">
        <v>23</v>
      </c>
      <c r="I438" t="s">
        <v>24</v>
      </c>
      <c r="J438" t="s">
        <v>25</v>
      </c>
      <c r="K438" t="s">
        <v>26</v>
      </c>
      <c r="L438" t="s">
        <v>36</v>
      </c>
      <c r="M438">
        <v>1</v>
      </c>
      <c r="N438">
        <v>0</v>
      </c>
      <c r="O438">
        <v>22.5</v>
      </c>
      <c r="P438">
        <v>0.13</v>
      </c>
      <c r="Q438">
        <v>2.93</v>
      </c>
      <c r="R438" t="s">
        <v>54</v>
      </c>
      <c r="S438">
        <v>0</v>
      </c>
      <c r="T438">
        <v>2.93</v>
      </c>
    </row>
    <row r="439" spans="1:20" x14ac:dyDescent="0.25">
      <c r="A439" t="s">
        <v>325</v>
      </c>
      <c r="B439" t="s">
        <v>21</v>
      </c>
      <c r="C439" t="s">
        <v>326</v>
      </c>
      <c r="D439" s="1">
        <v>45139</v>
      </c>
      <c r="E439" s="1">
        <v>45901</v>
      </c>
      <c r="F439">
        <v>1</v>
      </c>
      <c r="G439">
        <v>1</v>
      </c>
      <c r="H439" t="s">
        <v>23</v>
      </c>
      <c r="I439" t="s">
        <v>24</v>
      </c>
      <c r="J439" t="s">
        <v>25</v>
      </c>
      <c r="K439" t="s">
        <v>26</v>
      </c>
      <c r="L439" t="s">
        <v>37</v>
      </c>
      <c r="M439">
        <v>1</v>
      </c>
      <c r="N439">
        <v>0</v>
      </c>
      <c r="O439">
        <v>3.08</v>
      </c>
      <c r="P439">
        <v>0.13</v>
      </c>
      <c r="Q439">
        <v>0.4</v>
      </c>
      <c r="R439" t="s">
        <v>54</v>
      </c>
      <c r="S439">
        <v>0</v>
      </c>
      <c r="T439">
        <v>0.4</v>
      </c>
    </row>
    <row r="440" spans="1:20" x14ac:dyDescent="0.25">
      <c r="A440" t="s">
        <v>327</v>
      </c>
      <c r="B440" t="s">
        <v>21</v>
      </c>
      <c r="C440" t="s">
        <v>328</v>
      </c>
      <c r="D440" s="1">
        <v>45139</v>
      </c>
      <c r="E440" s="1">
        <v>45901</v>
      </c>
      <c r="F440">
        <v>1</v>
      </c>
      <c r="G440">
        <v>1</v>
      </c>
      <c r="H440" t="s">
        <v>23</v>
      </c>
      <c r="I440" t="s">
        <v>24</v>
      </c>
      <c r="J440" t="s">
        <v>25</v>
      </c>
      <c r="K440" t="s">
        <v>26</v>
      </c>
      <c r="L440" t="s">
        <v>35</v>
      </c>
      <c r="M440">
        <v>1</v>
      </c>
      <c r="N440">
        <v>99.96</v>
      </c>
      <c r="O440">
        <v>59.76</v>
      </c>
      <c r="P440">
        <v>0.13</v>
      </c>
      <c r="Q440">
        <v>7.77</v>
      </c>
      <c r="R440" t="s">
        <v>54</v>
      </c>
      <c r="S440">
        <v>0</v>
      </c>
      <c r="T440">
        <v>7.77</v>
      </c>
    </row>
    <row r="441" spans="1:20" x14ac:dyDescent="0.25">
      <c r="A441" t="s">
        <v>327</v>
      </c>
      <c r="B441" t="s">
        <v>21</v>
      </c>
      <c r="C441" t="s">
        <v>328</v>
      </c>
      <c r="D441" s="1">
        <v>45139</v>
      </c>
      <c r="E441" s="1">
        <v>45901</v>
      </c>
      <c r="F441">
        <v>1</v>
      </c>
      <c r="G441">
        <v>1</v>
      </c>
      <c r="H441" t="s">
        <v>23</v>
      </c>
      <c r="I441" t="s">
        <v>24</v>
      </c>
      <c r="J441" t="s">
        <v>25</v>
      </c>
      <c r="K441" t="s">
        <v>26</v>
      </c>
      <c r="L441" t="s">
        <v>36</v>
      </c>
      <c r="M441">
        <v>1</v>
      </c>
      <c r="N441">
        <v>0</v>
      </c>
      <c r="O441">
        <v>22.5</v>
      </c>
      <c r="P441">
        <v>0.13</v>
      </c>
      <c r="Q441">
        <v>2.93</v>
      </c>
      <c r="R441" t="s">
        <v>54</v>
      </c>
      <c r="S441">
        <v>0</v>
      </c>
      <c r="T441">
        <v>2.93</v>
      </c>
    </row>
    <row r="442" spans="1:20" x14ac:dyDescent="0.25">
      <c r="A442" t="s">
        <v>327</v>
      </c>
      <c r="B442" t="s">
        <v>21</v>
      </c>
      <c r="C442" t="s">
        <v>328</v>
      </c>
      <c r="D442" s="1">
        <v>45139</v>
      </c>
      <c r="E442" s="1">
        <v>45901</v>
      </c>
      <c r="F442">
        <v>1</v>
      </c>
      <c r="G442">
        <v>1</v>
      </c>
      <c r="H442" t="s">
        <v>23</v>
      </c>
      <c r="I442" t="s">
        <v>24</v>
      </c>
      <c r="J442" t="s">
        <v>25</v>
      </c>
      <c r="K442" t="s">
        <v>26</v>
      </c>
      <c r="L442" t="s">
        <v>37</v>
      </c>
      <c r="M442">
        <v>1</v>
      </c>
      <c r="N442">
        <v>0</v>
      </c>
      <c r="O442">
        <v>3.08</v>
      </c>
      <c r="P442">
        <v>0.13</v>
      </c>
      <c r="Q442">
        <v>0.4</v>
      </c>
      <c r="R442" t="s">
        <v>54</v>
      </c>
      <c r="S442">
        <v>0</v>
      </c>
      <c r="T442">
        <v>0.4</v>
      </c>
    </row>
    <row r="443" spans="1:20" x14ac:dyDescent="0.25">
      <c r="A443" t="s">
        <v>329</v>
      </c>
      <c r="B443" t="s">
        <v>21</v>
      </c>
      <c r="C443" t="s">
        <v>330</v>
      </c>
      <c r="D443" s="1">
        <v>45145</v>
      </c>
      <c r="E443" s="1">
        <v>45907</v>
      </c>
      <c r="F443">
        <v>1</v>
      </c>
      <c r="G443">
        <v>7</v>
      </c>
      <c r="H443" t="s">
        <v>23</v>
      </c>
      <c r="I443" t="s">
        <v>24</v>
      </c>
      <c r="J443" t="s">
        <v>25</v>
      </c>
      <c r="K443" t="s">
        <v>26</v>
      </c>
      <c r="L443" t="s">
        <v>35</v>
      </c>
      <c r="M443">
        <v>1</v>
      </c>
      <c r="N443">
        <v>91.84</v>
      </c>
      <c r="O443">
        <v>59.76</v>
      </c>
      <c r="P443">
        <v>0.13</v>
      </c>
      <c r="Q443">
        <v>7.77</v>
      </c>
      <c r="R443" t="s">
        <v>54</v>
      </c>
      <c r="S443">
        <v>0</v>
      </c>
      <c r="T443">
        <v>7.77</v>
      </c>
    </row>
    <row r="444" spans="1:20" x14ac:dyDescent="0.25">
      <c r="A444" t="s">
        <v>329</v>
      </c>
      <c r="B444" t="s">
        <v>21</v>
      </c>
      <c r="C444" t="s">
        <v>330</v>
      </c>
      <c r="D444" s="1">
        <v>45145</v>
      </c>
      <c r="E444" s="1">
        <v>45907</v>
      </c>
      <c r="F444">
        <v>1</v>
      </c>
      <c r="G444">
        <v>7</v>
      </c>
      <c r="H444" t="s">
        <v>23</v>
      </c>
      <c r="I444" t="s">
        <v>24</v>
      </c>
      <c r="J444" t="s">
        <v>25</v>
      </c>
      <c r="K444" t="s">
        <v>26</v>
      </c>
      <c r="L444" t="s">
        <v>37</v>
      </c>
      <c r="M444">
        <v>1</v>
      </c>
      <c r="N444">
        <v>0</v>
      </c>
      <c r="O444">
        <v>3.08</v>
      </c>
      <c r="P444">
        <v>0.13</v>
      </c>
      <c r="Q444">
        <v>0.4</v>
      </c>
      <c r="R444" t="s">
        <v>54</v>
      </c>
      <c r="S444">
        <v>0</v>
      </c>
      <c r="T444">
        <v>0.4</v>
      </c>
    </row>
    <row r="445" spans="1:20" x14ac:dyDescent="0.25">
      <c r="A445" t="s">
        <v>329</v>
      </c>
      <c r="B445" t="s">
        <v>21</v>
      </c>
      <c r="C445" t="s">
        <v>330</v>
      </c>
      <c r="D445" s="1">
        <v>45145</v>
      </c>
      <c r="E445" s="1">
        <v>45907</v>
      </c>
      <c r="F445">
        <v>1</v>
      </c>
      <c r="G445">
        <v>7</v>
      </c>
      <c r="H445" t="s">
        <v>23</v>
      </c>
      <c r="I445" t="s">
        <v>24</v>
      </c>
      <c r="J445" t="s">
        <v>25</v>
      </c>
      <c r="K445" t="s">
        <v>26</v>
      </c>
      <c r="L445" t="s">
        <v>36</v>
      </c>
      <c r="M445">
        <v>1</v>
      </c>
      <c r="N445">
        <v>0</v>
      </c>
      <c r="O445">
        <v>15</v>
      </c>
      <c r="P445">
        <v>0.13</v>
      </c>
      <c r="Q445">
        <v>1.95</v>
      </c>
      <c r="R445" t="s">
        <v>54</v>
      </c>
      <c r="S445">
        <v>0</v>
      </c>
      <c r="T445">
        <v>1.95</v>
      </c>
    </row>
    <row r="446" spans="1:20" x14ac:dyDescent="0.25">
      <c r="A446" t="s">
        <v>331</v>
      </c>
      <c r="B446" t="s">
        <v>21</v>
      </c>
      <c r="C446" t="s">
        <v>332</v>
      </c>
      <c r="D446" s="1">
        <v>45200</v>
      </c>
      <c r="E446" s="1">
        <v>45901</v>
      </c>
      <c r="F446">
        <v>1</v>
      </c>
      <c r="G446">
        <v>1</v>
      </c>
      <c r="H446" t="s">
        <v>23</v>
      </c>
      <c r="I446" t="s">
        <v>24</v>
      </c>
      <c r="J446" t="s">
        <v>25</v>
      </c>
      <c r="K446" t="s">
        <v>26</v>
      </c>
      <c r="L446" t="s">
        <v>35</v>
      </c>
      <c r="M446">
        <v>1</v>
      </c>
      <c r="N446">
        <v>87.01</v>
      </c>
      <c r="O446">
        <v>59.76</v>
      </c>
      <c r="P446">
        <v>0.13</v>
      </c>
      <c r="Q446">
        <v>7.77</v>
      </c>
      <c r="R446" t="s">
        <v>54</v>
      </c>
      <c r="S446">
        <v>0</v>
      </c>
      <c r="T446">
        <v>7.77</v>
      </c>
    </row>
    <row r="447" spans="1:20" x14ac:dyDescent="0.25">
      <c r="A447" t="s">
        <v>331</v>
      </c>
      <c r="B447" t="s">
        <v>21</v>
      </c>
      <c r="C447" t="s">
        <v>332</v>
      </c>
      <c r="D447" s="1">
        <v>45200</v>
      </c>
      <c r="E447" s="1">
        <v>45901</v>
      </c>
      <c r="F447">
        <v>1</v>
      </c>
      <c r="G447">
        <v>1</v>
      </c>
      <c r="H447" t="s">
        <v>23</v>
      </c>
      <c r="I447" t="s">
        <v>24</v>
      </c>
      <c r="J447" t="s">
        <v>25</v>
      </c>
      <c r="K447" t="s">
        <v>26</v>
      </c>
      <c r="L447" t="s">
        <v>37</v>
      </c>
      <c r="M447">
        <v>1</v>
      </c>
      <c r="N447">
        <v>0</v>
      </c>
      <c r="O447">
        <v>3.08</v>
      </c>
      <c r="P447">
        <v>0.13</v>
      </c>
      <c r="Q447">
        <v>0.4</v>
      </c>
      <c r="R447" t="s">
        <v>54</v>
      </c>
      <c r="S447">
        <v>0</v>
      </c>
      <c r="T447">
        <v>0.4</v>
      </c>
    </row>
    <row r="448" spans="1:20" x14ac:dyDescent="0.25">
      <c r="A448" t="s">
        <v>331</v>
      </c>
      <c r="B448" t="s">
        <v>21</v>
      </c>
      <c r="C448" t="s">
        <v>332</v>
      </c>
      <c r="D448" s="1">
        <v>45200</v>
      </c>
      <c r="E448" s="1">
        <v>45901</v>
      </c>
      <c r="F448">
        <v>1</v>
      </c>
      <c r="G448">
        <v>1</v>
      </c>
      <c r="H448" t="s">
        <v>23</v>
      </c>
      <c r="I448" t="s">
        <v>24</v>
      </c>
      <c r="J448" t="s">
        <v>25</v>
      </c>
      <c r="K448" t="s">
        <v>26</v>
      </c>
      <c r="L448" t="s">
        <v>36</v>
      </c>
      <c r="M448">
        <v>1</v>
      </c>
      <c r="N448">
        <v>0</v>
      </c>
      <c r="O448">
        <v>22.5</v>
      </c>
      <c r="P448">
        <v>0.13</v>
      </c>
      <c r="Q448">
        <v>2.93</v>
      </c>
      <c r="R448" t="s">
        <v>54</v>
      </c>
      <c r="S448">
        <v>0</v>
      </c>
      <c r="T448">
        <v>2.93</v>
      </c>
    </row>
    <row r="449" spans="1:20" x14ac:dyDescent="0.25">
      <c r="A449" t="s">
        <v>333</v>
      </c>
      <c r="B449" t="s">
        <v>21</v>
      </c>
      <c r="C449" t="s">
        <v>334</v>
      </c>
      <c r="D449" s="1">
        <v>45231</v>
      </c>
      <c r="E449" s="1">
        <v>45901</v>
      </c>
      <c r="F449">
        <v>1</v>
      </c>
      <c r="G449">
        <v>1</v>
      </c>
      <c r="H449" t="s">
        <v>23</v>
      </c>
      <c r="I449" t="s">
        <v>24</v>
      </c>
      <c r="J449" t="s">
        <v>25</v>
      </c>
      <c r="K449" t="s">
        <v>26</v>
      </c>
      <c r="L449" t="s">
        <v>35</v>
      </c>
      <c r="M449">
        <v>1</v>
      </c>
      <c r="N449">
        <v>99.96</v>
      </c>
      <c r="O449">
        <v>70.84</v>
      </c>
      <c r="P449">
        <v>0.13</v>
      </c>
      <c r="Q449">
        <v>9.2100000000000009</v>
      </c>
      <c r="R449" t="s">
        <v>54</v>
      </c>
      <c r="S449">
        <v>0</v>
      </c>
      <c r="T449">
        <v>9.2100000000000009</v>
      </c>
    </row>
    <row r="450" spans="1:20" x14ac:dyDescent="0.25">
      <c r="A450" t="s">
        <v>333</v>
      </c>
      <c r="B450" t="s">
        <v>21</v>
      </c>
      <c r="C450" t="s">
        <v>334</v>
      </c>
      <c r="D450" s="1">
        <v>45231</v>
      </c>
      <c r="E450" s="1">
        <v>45901</v>
      </c>
      <c r="F450">
        <v>1</v>
      </c>
      <c r="G450">
        <v>1</v>
      </c>
      <c r="H450" t="s">
        <v>23</v>
      </c>
      <c r="I450" t="s">
        <v>24</v>
      </c>
      <c r="J450" t="s">
        <v>25</v>
      </c>
      <c r="K450" t="s">
        <v>26</v>
      </c>
      <c r="L450" t="s">
        <v>36</v>
      </c>
      <c r="M450">
        <v>1</v>
      </c>
      <c r="N450">
        <v>0</v>
      </c>
      <c r="O450">
        <v>24.37</v>
      </c>
      <c r="P450">
        <v>0.13</v>
      </c>
      <c r="Q450">
        <v>3.17</v>
      </c>
      <c r="R450" t="s">
        <v>54</v>
      </c>
      <c r="S450">
        <v>0</v>
      </c>
      <c r="T450">
        <v>3.17</v>
      </c>
    </row>
    <row r="451" spans="1:20" x14ac:dyDescent="0.25">
      <c r="A451" t="s">
        <v>333</v>
      </c>
      <c r="B451" t="s">
        <v>21</v>
      </c>
      <c r="C451" t="s">
        <v>334</v>
      </c>
      <c r="D451" s="1">
        <v>45231</v>
      </c>
      <c r="E451" s="1">
        <v>45901</v>
      </c>
      <c r="F451">
        <v>1</v>
      </c>
      <c r="G451">
        <v>1</v>
      </c>
      <c r="H451" t="s">
        <v>23</v>
      </c>
      <c r="I451" t="s">
        <v>24</v>
      </c>
      <c r="J451" t="s">
        <v>25</v>
      </c>
      <c r="K451" t="s">
        <v>26</v>
      </c>
      <c r="L451" t="s">
        <v>37</v>
      </c>
      <c r="M451">
        <v>1</v>
      </c>
      <c r="N451">
        <v>0</v>
      </c>
      <c r="O451">
        <v>3.08</v>
      </c>
      <c r="P451">
        <v>0.13</v>
      </c>
      <c r="Q451">
        <v>0.4</v>
      </c>
      <c r="R451" t="s">
        <v>54</v>
      </c>
      <c r="S451">
        <v>0</v>
      </c>
      <c r="T451">
        <v>0.4</v>
      </c>
    </row>
    <row r="452" spans="1:20" x14ac:dyDescent="0.25">
      <c r="A452" t="s">
        <v>335</v>
      </c>
      <c r="B452" t="s">
        <v>21</v>
      </c>
      <c r="C452" t="s">
        <v>336</v>
      </c>
      <c r="D452" s="1">
        <v>45261</v>
      </c>
      <c r="E452" s="1">
        <v>45901</v>
      </c>
      <c r="F452">
        <v>1</v>
      </c>
      <c r="G452">
        <v>1</v>
      </c>
      <c r="H452" t="s">
        <v>23</v>
      </c>
      <c r="I452" t="s">
        <v>24</v>
      </c>
      <c r="J452" t="s">
        <v>25</v>
      </c>
      <c r="K452" t="s">
        <v>26</v>
      </c>
      <c r="L452" t="s">
        <v>35</v>
      </c>
      <c r="M452">
        <v>1</v>
      </c>
      <c r="N452">
        <v>87.01</v>
      </c>
      <c r="O452">
        <v>59.76</v>
      </c>
      <c r="P452">
        <v>0.13</v>
      </c>
      <c r="Q452">
        <v>7.77</v>
      </c>
      <c r="R452" t="s">
        <v>54</v>
      </c>
      <c r="S452">
        <v>0</v>
      </c>
      <c r="T452">
        <v>7.77</v>
      </c>
    </row>
    <row r="453" spans="1:20" x14ac:dyDescent="0.25">
      <c r="A453" t="s">
        <v>335</v>
      </c>
      <c r="B453" t="s">
        <v>21</v>
      </c>
      <c r="C453" t="s">
        <v>336</v>
      </c>
      <c r="D453" s="1">
        <v>45261</v>
      </c>
      <c r="E453" s="1">
        <v>45901</v>
      </c>
      <c r="F453">
        <v>1</v>
      </c>
      <c r="G453">
        <v>1</v>
      </c>
      <c r="H453" t="s">
        <v>23</v>
      </c>
      <c r="I453" t="s">
        <v>24</v>
      </c>
      <c r="J453" t="s">
        <v>25</v>
      </c>
      <c r="K453" t="s">
        <v>26</v>
      </c>
      <c r="L453" t="s">
        <v>36</v>
      </c>
      <c r="M453">
        <v>1</v>
      </c>
      <c r="N453">
        <v>0</v>
      </c>
      <c r="O453">
        <v>22.5</v>
      </c>
      <c r="P453">
        <v>0.13</v>
      </c>
      <c r="Q453">
        <v>2.93</v>
      </c>
      <c r="R453" t="s">
        <v>54</v>
      </c>
      <c r="S453">
        <v>0</v>
      </c>
      <c r="T453">
        <v>2.93</v>
      </c>
    </row>
    <row r="454" spans="1:20" x14ac:dyDescent="0.25">
      <c r="A454" t="s">
        <v>335</v>
      </c>
      <c r="B454" t="s">
        <v>21</v>
      </c>
      <c r="C454" t="s">
        <v>336</v>
      </c>
      <c r="D454" s="1">
        <v>45261</v>
      </c>
      <c r="E454" s="1">
        <v>45901</v>
      </c>
      <c r="F454">
        <v>1</v>
      </c>
      <c r="G454">
        <v>1</v>
      </c>
      <c r="H454" t="s">
        <v>23</v>
      </c>
      <c r="I454" t="s">
        <v>24</v>
      </c>
      <c r="J454" t="s">
        <v>25</v>
      </c>
      <c r="K454" t="s">
        <v>26</v>
      </c>
      <c r="L454" t="s">
        <v>37</v>
      </c>
      <c r="M454">
        <v>1</v>
      </c>
      <c r="N454">
        <v>0</v>
      </c>
      <c r="O454">
        <v>3.08</v>
      </c>
      <c r="P454">
        <v>0.13</v>
      </c>
      <c r="Q454">
        <v>0.4</v>
      </c>
      <c r="R454" t="s">
        <v>54</v>
      </c>
      <c r="S454">
        <v>0</v>
      </c>
      <c r="T454">
        <v>0.4</v>
      </c>
    </row>
    <row r="455" spans="1:20" x14ac:dyDescent="0.25">
      <c r="A455" t="s">
        <v>337</v>
      </c>
      <c r="B455" t="s">
        <v>21</v>
      </c>
      <c r="C455" t="s">
        <v>338</v>
      </c>
      <c r="D455" s="1">
        <v>45289</v>
      </c>
      <c r="E455" s="1">
        <v>45898</v>
      </c>
      <c r="F455">
        <v>1</v>
      </c>
      <c r="G455">
        <v>1</v>
      </c>
      <c r="H455" t="s">
        <v>23</v>
      </c>
      <c r="I455" t="s">
        <v>24</v>
      </c>
      <c r="J455" t="s">
        <v>25</v>
      </c>
      <c r="K455" t="s">
        <v>26</v>
      </c>
      <c r="L455" t="s">
        <v>35</v>
      </c>
      <c r="M455">
        <v>1</v>
      </c>
      <c r="N455">
        <v>56.86</v>
      </c>
      <c r="O455">
        <v>41.81</v>
      </c>
      <c r="P455">
        <v>0.13</v>
      </c>
      <c r="Q455">
        <v>5.44</v>
      </c>
      <c r="R455" t="s">
        <v>54</v>
      </c>
      <c r="S455">
        <v>0</v>
      </c>
      <c r="T455">
        <v>5.44</v>
      </c>
    </row>
    <row r="456" spans="1:20" x14ac:dyDescent="0.25">
      <c r="A456" t="s">
        <v>337</v>
      </c>
      <c r="B456" t="s">
        <v>21</v>
      </c>
      <c r="C456" t="s">
        <v>338</v>
      </c>
      <c r="D456" s="1">
        <v>45289</v>
      </c>
      <c r="E456" s="1">
        <v>45898</v>
      </c>
      <c r="F456">
        <v>1</v>
      </c>
      <c r="G456">
        <v>1</v>
      </c>
      <c r="H456" t="s">
        <v>23</v>
      </c>
      <c r="I456" t="s">
        <v>24</v>
      </c>
      <c r="J456" t="s">
        <v>25</v>
      </c>
      <c r="K456" t="s">
        <v>26</v>
      </c>
      <c r="L456" t="s">
        <v>36</v>
      </c>
      <c r="M456">
        <v>1</v>
      </c>
      <c r="N456">
        <v>0</v>
      </c>
      <c r="O456">
        <v>8.5500000000000007</v>
      </c>
      <c r="P456">
        <v>0.13</v>
      </c>
      <c r="Q456">
        <v>1.1100000000000001</v>
      </c>
      <c r="R456" t="s">
        <v>54</v>
      </c>
      <c r="S456">
        <v>0</v>
      </c>
      <c r="T456">
        <v>1.1100000000000001</v>
      </c>
    </row>
    <row r="457" spans="1:20" x14ac:dyDescent="0.25">
      <c r="A457" t="s">
        <v>337</v>
      </c>
      <c r="B457" t="s">
        <v>21</v>
      </c>
      <c r="C457" t="s">
        <v>338</v>
      </c>
      <c r="D457" s="1">
        <v>45289</v>
      </c>
      <c r="E457" s="1">
        <v>45898</v>
      </c>
      <c r="F457">
        <v>1</v>
      </c>
      <c r="G457">
        <v>1</v>
      </c>
      <c r="H457" t="s">
        <v>23</v>
      </c>
      <c r="I457" t="s">
        <v>24</v>
      </c>
      <c r="J457" t="s">
        <v>25</v>
      </c>
      <c r="K457" t="s">
        <v>26</v>
      </c>
      <c r="L457" t="s">
        <v>37</v>
      </c>
      <c r="M457">
        <v>1</v>
      </c>
      <c r="N457">
        <v>0</v>
      </c>
      <c r="O457">
        <v>4.83</v>
      </c>
      <c r="P457">
        <v>0.13</v>
      </c>
      <c r="Q457">
        <v>0.63</v>
      </c>
      <c r="R457" t="s">
        <v>54</v>
      </c>
      <c r="S457">
        <v>0</v>
      </c>
      <c r="T457">
        <v>0.63</v>
      </c>
    </row>
    <row r="458" spans="1:20" x14ac:dyDescent="0.25">
      <c r="A458" t="s">
        <v>339</v>
      </c>
      <c r="B458" t="s">
        <v>21</v>
      </c>
      <c r="C458" t="s">
        <v>340</v>
      </c>
      <c r="D458" s="1">
        <v>45413</v>
      </c>
      <c r="E458" s="1">
        <v>45901</v>
      </c>
      <c r="F458">
        <v>1</v>
      </c>
      <c r="G458">
        <v>1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>
        <v>1</v>
      </c>
      <c r="N458">
        <v>98.72</v>
      </c>
      <c r="O458">
        <v>70.84</v>
      </c>
      <c r="P458">
        <v>0.13</v>
      </c>
      <c r="Q458">
        <v>9.2100000000000009</v>
      </c>
      <c r="R458" t="s">
        <v>54</v>
      </c>
      <c r="S458">
        <v>0</v>
      </c>
      <c r="T458">
        <v>9.2100000000000009</v>
      </c>
    </row>
    <row r="459" spans="1:20" x14ac:dyDescent="0.25">
      <c r="A459" t="s">
        <v>339</v>
      </c>
      <c r="B459" t="s">
        <v>21</v>
      </c>
      <c r="C459" t="s">
        <v>340</v>
      </c>
      <c r="D459" s="1">
        <v>45413</v>
      </c>
      <c r="E459" s="1">
        <v>45901</v>
      </c>
      <c r="F459">
        <v>1</v>
      </c>
      <c r="G459">
        <v>1</v>
      </c>
      <c r="H459" t="s">
        <v>23</v>
      </c>
      <c r="I459" t="s">
        <v>24</v>
      </c>
      <c r="J459" t="s">
        <v>25</v>
      </c>
      <c r="K459" t="s">
        <v>26</v>
      </c>
      <c r="L459" t="s">
        <v>29</v>
      </c>
      <c r="M459">
        <v>1</v>
      </c>
      <c r="N459">
        <v>0</v>
      </c>
      <c r="O459">
        <v>16.25</v>
      </c>
      <c r="P459">
        <v>0.13</v>
      </c>
      <c r="Q459">
        <v>2.11</v>
      </c>
      <c r="R459" t="s">
        <v>54</v>
      </c>
      <c r="S459">
        <v>0</v>
      </c>
      <c r="T459">
        <v>2.11</v>
      </c>
    </row>
    <row r="460" spans="1:20" x14ac:dyDescent="0.25">
      <c r="A460" t="s">
        <v>339</v>
      </c>
      <c r="B460" t="s">
        <v>21</v>
      </c>
      <c r="C460" t="s">
        <v>340</v>
      </c>
      <c r="D460" s="1">
        <v>45413</v>
      </c>
      <c r="E460" s="1">
        <v>45901</v>
      </c>
      <c r="F460">
        <v>1</v>
      </c>
      <c r="G460">
        <v>1</v>
      </c>
      <c r="H460" t="s">
        <v>23</v>
      </c>
      <c r="I460" t="s">
        <v>24</v>
      </c>
      <c r="J460" t="s">
        <v>25</v>
      </c>
      <c r="K460" t="s">
        <v>26</v>
      </c>
      <c r="L460" t="s">
        <v>30</v>
      </c>
      <c r="M460">
        <v>1</v>
      </c>
      <c r="N460">
        <v>0</v>
      </c>
      <c r="O460">
        <v>3.08</v>
      </c>
      <c r="P460">
        <v>0.13</v>
      </c>
      <c r="Q460">
        <v>0.4</v>
      </c>
      <c r="R460" t="s">
        <v>54</v>
      </c>
      <c r="S460">
        <v>0</v>
      </c>
      <c r="T460">
        <v>0.4</v>
      </c>
    </row>
    <row r="461" spans="1:20" x14ac:dyDescent="0.25">
      <c r="A461" t="s">
        <v>339</v>
      </c>
      <c r="B461" t="s">
        <v>21</v>
      </c>
      <c r="C461" t="s">
        <v>340</v>
      </c>
      <c r="D461" s="1">
        <v>45413</v>
      </c>
      <c r="E461" s="1">
        <v>45901</v>
      </c>
      <c r="F461">
        <v>1</v>
      </c>
      <c r="G461">
        <v>1</v>
      </c>
      <c r="H461" t="s">
        <v>23</v>
      </c>
      <c r="I461" t="s">
        <v>24</v>
      </c>
      <c r="J461" t="s">
        <v>25</v>
      </c>
      <c r="K461" t="s">
        <v>26</v>
      </c>
      <c r="L461" t="s">
        <v>31</v>
      </c>
      <c r="M461">
        <v>1</v>
      </c>
      <c r="N461">
        <v>0</v>
      </c>
      <c r="O461">
        <v>6.88</v>
      </c>
      <c r="P461">
        <v>0.13</v>
      </c>
      <c r="Q461">
        <v>0.89</v>
      </c>
      <c r="R461" t="s">
        <v>54</v>
      </c>
      <c r="S461">
        <v>0</v>
      </c>
      <c r="T461">
        <v>0.89</v>
      </c>
    </row>
    <row r="462" spans="1:20" x14ac:dyDescent="0.25">
      <c r="A462" t="s">
        <v>341</v>
      </c>
      <c r="B462" t="s">
        <v>21</v>
      </c>
      <c r="C462" t="s">
        <v>342</v>
      </c>
      <c r="D462" s="1">
        <v>45413</v>
      </c>
      <c r="E462" s="1">
        <v>45901</v>
      </c>
      <c r="F462">
        <v>1</v>
      </c>
      <c r="G462">
        <v>1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>
        <v>1</v>
      </c>
      <c r="N462">
        <v>97.37</v>
      </c>
      <c r="O462">
        <v>59.76</v>
      </c>
      <c r="P462">
        <v>0.13</v>
      </c>
      <c r="Q462">
        <v>7.77</v>
      </c>
      <c r="R462" t="s">
        <v>54</v>
      </c>
      <c r="S462">
        <v>0</v>
      </c>
      <c r="T462">
        <v>7.77</v>
      </c>
    </row>
    <row r="463" spans="1:20" x14ac:dyDescent="0.25">
      <c r="A463" t="s">
        <v>341</v>
      </c>
      <c r="B463" t="s">
        <v>21</v>
      </c>
      <c r="C463" t="s">
        <v>342</v>
      </c>
      <c r="D463" s="1">
        <v>45413</v>
      </c>
      <c r="E463" s="1">
        <v>45901</v>
      </c>
      <c r="F463">
        <v>1</v>
      </c>
      <c r="G463">
        <v>1</v>
      </c>
      <c r="H463" t="s">
        <v>23</v>
      </c>
      <c r="I463" t="s">
        <v>24</v>
      </c>
      <c r="J463" t="s">
        <v>25</v>
      </c>
      <c r="K463" t="s">
        <v>26</v>
      </c>
      <c r="L463" t="s">
        <v>29</v>
      </c>
      <c r="M463">
        <v>1</v>
      </c>
      <c r="N463">
        <v>0</v>
      </c>
      <c r="O463">
        <v>15</v>
      </c>
      <c r="P463">
        <v>0.13</v>
      </c>
      <c r="Q463">
        <v>1.95</v>
      </c>
      <c r="R463" t="s">
        <v>54</v>
      </c>
      <c r="S463">
        <v>0</v>
      </c>
      <c r="T463">
        <v>1.95</v>
      </c>
    </row>
    <row r="464" spans="1:20" x14ac:dyDescent="0.25">
      <c r="A464" t="s">
        <v>341</v>
      </c>
      <c r="B464" t="s">
        <v>21</v>
      </c>
      <c r="C464" t="s">
        <v>342</v>
      </c>
      <c r="D464" s="1">
        <v>45413</v>
      </c>
      <c r="E464" s="1">
        <v>45901</v>
      </c>
      <c r="F464">
        <v>1</v>
      </c>
      <c r="G464">
        <v>1</v>
      </c>
      <c r="H464" t="s">
        <v>23</v>
      </c>
      <c r="I464" t="s">
        <v>24</v>
      </c>
      <c r="J464" t="s">
        <v>25</v>
      </c>
      <c r="K464" t="s">
        <v>26</v>
      </c>
      <c r="L464" t="s">
        <v>31</v>
      </c>
      <c r="M464">
        <v>1</v>
      </c>
      <c r="N464">
        <v>0</v>
      </c>
      <c r="O464">
        <v>5.53</v>
      </c>
      <c r="P464">
        <v>0.13</v>
      </c>
      <c r="Q464">
        <v>0.72</v>
      </c>
      <c r="R464" t="s">
        <v>54</v>
      </c>
      <c r="S464">
        <v>0</v>
      </c>
      <c r="T464">
        <v>0.72</v>
      </c>
    </row>
    <row r="465" spans="1:20" x14ac:dyDescent="0.25">
      <c r="A465" t="s">
        <v>341</v>
      </c>
      <c r="B465" t="s">
        <v>21</v>
      </c>
      <c r="C465" t="s">
        <v>342</v>
      </c>
      <c r="D465" s="1">
        <v>45413</v>
      </c>
      <c r="E465" s="1">
        <v>45901</v>
      </c>
      <c r="F465">
        <v>1</v>
      </c>
      <c r="G465">
        <v>1</v>
      </c>
      <c r="H465" t="s">
        <v>23</v>
      </c>
      <c r="I465" t="s">
        <v>24</v>
      </c>
      <c r="J465" t="s">
        <v>25</v>
      </c>
      <c r="K465" t="s">
        <v>26</v>
      </c>
      <c r="L465" t="s">
        <v>30</v>
      </c>
      <c r="M465">
        <v>1</v>
      </c>
      <c r="N465">
        <v>0</v>
      </c>
      <c r="O465">
        <v>3.08</v>
      </c>
      <c r="P465">
        <v>0.13</v>
      </c>
      <c r="Q465">
        <v>0.4</v>
      </c>
      <c r="R465" t="s">
        <v>54</v>
      </c>
      <c r="S465">
        <v>0</v>
      </c>
      <c r="T465">
        <v>0.4</v>
      </c>
    </row>
    <row r="466" spans="1:20" x14ac:dyDescent="0.25">
      <c r="A466" t="s">
        <v>343</v>
      </c>
      <c r="B466" t="s">
        <v>33</v>
      </c>
      <c r="C466" t="s">
        <v>344</v>
      </c>
      <c r="D466" s="1">
        <v>45413</v>
      </c>
      <c r="E466" s="1">
        <v>45901</v>
      </c>
      <c r="F466">
        <v>1</v>
      </c>
      <c r="G466">
        <v>1</v>
      </c>
      <c r="H466" t="s">
        <v>114</v>
      </c>
      <c r="I466" t="s">
        <v>115</v>
      </c>
      <c r="J466" t="s">
        <v>116</v>
      </c>
      <c r="K466" t="s">
        <v>26</v>
      </c>
      <c r="L466" t="s">
        <v>35</v>
      </c>
      <c r="M466">
        <v>1</v>
      </c>
      <c r="N466">
        <v>64.03</v>
      </c>
      <c r="O466">
        <v>62.36</v>
      </c>
      <c r="P466">
        <v>0.13</v>
      </c>
      <c r="Q466">
        <v>8.11</v>
      </c>
      <c r="R466" t="s">
        <v>54</v>
      </c>
      <c r="S466">
        <v>0</v>
      </c>
      <c r="T466">
        <v>8.11</v>
      </c>
    </row>
    <row r="467" spans="1:20" x14ac:dyDescent="0.25">
      <c r="A467" t="s">
        <v>345</v>
      </c>
      <c r="B467" t="s">
        <v>33</v>
      </c>
      <c r="C467" t="s">
        <v>346</v>
      </c>
      <c r="D467" s="1">
        <v>45292</v>
      </c>
      <c r="E467" s="1">
        <v>45901</v>
      </c>
      <c r="F467">
        <v>1</v>
      </c>
      <c r="G467">
        <v>1</v>
      </c>
      <c r="H467" t="s">
        <v>40</v>
      </c>
      <c r="I467" t="s">
        <v>41</v>
      </c>
      <c r="J467" t="s">
        <v>25</v>
      </c>
      <c r="K467" t="s">
        <v>26</v>
      </c>
      <c r="L467" t="s">
        <v>42</v>
      </c>
      <c r="M467">
        <v>1</v>
      </c>
      <c r="N467">
        <v>49.9</v>
      </c>
      <c r="O467">
        <v>21.06</v>
      </c>
      <c r="P467">
        <v>0.1</v>
      </c>
      <c r="Q467">
        <v>2.11</v>
      </c>
      <c r="R467" t="s">
        <v>54</v>
      </c>
      <c r="S467">
        <v>0</v>
      </c>
      <c r="T467">
        <v>2.11</v>
      </c>
    </row>
    <row r="468" spans="1:20" x14ac:dyDescent="0.25">
      <c r="A468" t="s">
        <v>345</v>
      </c>
      <c r="B468" t="s">
        <v>33</v>
      </c>
      <c r="C468" t="s">
        <v>346</v>
      </c>
      <c r="D468" s="1">
        <v>45292</v>
      </c>
      <c r="E468" s="1">
        <v>45901</v>
      </c>
      <c r="F468">
        <v>1</v>
      </c>
      <c r="G468">
        <v>1</v>
      </c>
      <c r="H468" t="s">
        <v>40</v>
      </c>
      <c r="I468" t="s">
        <v>41</v>
      </c>
      <c r="J468" t="s">
        <v>25</v>
      </c>
      <c r="K468" t="s">
        <v>26</v>
      </c>
      <c r="L468" t="s">
        <v>85</v>
      </c>
      <c r="M468">
        <v>1</v>
      </c>
      <c r="N468">
        <v>0</v>
      </c>
      <c r="O468">
        <v>1.79</v>
      </c>
      <c r="P468">
        <v>0.1</v>
      </c>
      <c r="Q468">
        <v>0.18</v>
      </c>
      <c r="R468" t="s">
        <v>54</v>
      </c>
      <c r="S468">
        <v>0</v>
      </c>
      <c r="T468">
        <v>0.18</v>
      </c>
    </row>
    <row r="469" spans="1:20" x14ac:dyDescent="0.25">
      <c r="A469" t="s">
        <v>345</v>
      </c>
      <c r="B469" t="s">
        <v>33</v>
      </c>
      <c r="C469" t="s">
        <v>346</v>
      </c>
      <c r="D469" s="1">
        <v>45292</v>
      </c>
      <c r="E469" s="1">
        <v>45901</v>
      </c>
      <c r="F469">
        <v>1</v>
      </c>
      <c r="G469">
        <v>1</v>
      </c>
      <c r="H469" t="s">
        <v>40</v>
      </c>
      <c r="I469" t="s">
        <v>41</v>
      </c>
      <c r="J469" t="s">
        <v>25</v>
      </c>
      <c r="K469" t="s">
        <v>26</v>
      </c>
      <c r="L469" t="s">
        <v>45</v>
      </c>
      <c r="M469">
        <v>1</v>
      </c>
      <c r="N469">
        <v>0</v>
      </c>
      <c r="O469">
        <v>12.43</v>
      </c>
      <c r="P469">
        <v>0.1</v>
      </c>
      <c r="Q469">
        <v>1.24</v>
      </c>
      <c r="R469" t="s">
        <v>54</v>
      </c>
      <c r="S469">
        <v>0</v>
      </c>
      <c r="T469">
        <v>1.24</v>
      </c>
    </row>
    <row r="470" spans="1:20" x14ac:dyDescent="0.25">
      <c r="A470" t="s">
        <v>345</v>
      </c>
      <c r="B470" t="s">
        <v>33</v>
      </c>
      <c r="C470" t="s">
        <v>346</v>
      </c>
      <c r="D470" s="1">
        <v>45292</v>
      </c>
      <c r="E470" s="1">
        <v>45901</v>
      </c>
      <c r="F470">
        <v>1</v>
      </c>
      <c r="G470">
        <v>1</v>
      </c>
      <c r="H470" t="s">
        <v>40</v>
      </c>
      <c r="I470" t="s">
        <v>41</v>
      </c>
      <c r="J470" t="s">
        <v>25</v>
      </c>
      <c r="K470" t="s">
        <v>26</v>
      </c>
      <c r="L470" t="s">
        <v>44</v>
      </c>
      <c r="M470">
        <v>1</v>
      </c>
      <c r="N470">
        <v>0</v>
      </c>
      <c r="O470">
        <v>12.94</v>
      </c>
      <c r="P470">
        <v>0.1</v>
      </c>
      <c r="Q470">
        <v>1.29</v>
      </c>
      <c r="R470" t="s">
        <v>54</v>
      </c>
      <c r="S470">
        <v>0</v>
      </c>
      <c r="T470">
        <v>1.29</v>
      </c>
    </row>
    <row r="471" spans="1:20" x14ac:dyDescent="0.25">
      <c r="A471" t="s">
        <v>347</v>
      </c>
      <c r="B471" t="s">
        <v>33</v>
      </c>
      <c r="C471" t="s">
        <v>348</v>
      </c>
      <c r="D471" s="1">
        <v>45231</v>
      </c>
      <c r="E471" s="1">
        <v>45901</v>
      </c>
      <c r="F471">
        <v>1</v>
      </c>
      <c r="G471">
        <v>1</v>
      </c>
      <c r="H471" t="s">
        <v>40</v>
      </c>
      <c r="I471" t="s">
        <v>41</v>
      </c>
      <c r="J471" t="s">
        <v>25</v>
      </c>
      <c r="K471" t="s">
        <v>26</v>
      </c>
      <c r="L471" t="s">
        <v>42</v>
      </c>
      <c r="M471">
        <v>1</v>
      </c>
      <c r="N471">
        <v>49.9</v>
      </c>
      <c r="O471">
        <v>21.06</v>
      </c>
      <c r="P471">
        <v>0.1</v>
      </c>
      <c r="Q471">
        <v>2.11</v>
      </c>
      <c r="R471" t="s">
        <v>54</v>
      </c>
      <c r="S471">
        <v>0</v>
      </c>
      <c r="T471">
        <v>2.11</v>
      </c>
    </row>
    <row r="472" spans="1:20" x14ac:dyDescent="0.25">
      <c r="A472" t="s">
        <v>347</v>
      </c>
      <c r="B472" t="s">
        <v>33</v>
      </c>
      <c r="C472" t="s">
        <v>348</v>
      </c>
      <c r="D472" s="1">
        <v>45231</v>
      </c>
      <c r="E472" s="1">
        <v>45901</v>
      </c>
      <c r="F472">
        <v>1</v>
      </c>
      <c r="G472">
        <v>1</v>
      </c>
      <c r="H472" t="s">
        <v>40</v>
      </c>
      <c r="I472" t="s">
        <v>41</v>
      </c>
      <c r="J472" t="s">
        <v>25</v>
      </c>
      <c r="K472" t="s">
        <v>26</v>
      </c>
      <c r="L472" t="s">
        <v>85</v>
      </c>
      <c r="M472">
        <v>1</v>
      </c>
      <c r="N472">
        <v>0</v>
      </c>
      <c r="O472">
        <v>1.79</v>
      </c>
      <c r="P472">
        <v>0.1</v>
      </c>
      <c r="Q472">
        <v>0.18</v>
      </c>
      <c r="R472" t="s">
        <v>54</v>
      </c>
      <c r="S472">
        <v>0</v>
      </c>
      <c r="T472">
        <v>0.18</v>
      </c>
    </row>
    <row r="473" spans="1:20" x14ac:dyDescent="0.25">
      <c r="A473" t="s">
        <v>347</v>
      </c>
      <c r="B473" t="s">
        <v>33</v>
      </c>
      <c r="C473" t="s">
        <v>348</v>
      </c>
      <c r="D473" s="1">
        <v>45231</v>
      </c>
      <c r="E473" s="1">
        <v>45901</v>
      </c>
      <c r="F473">
        <v>1</v>
      </c>
      <c r="G473">
        <v>1</v>
      </c>
      <c r="H473" t="s">
        <v>40</v>
      </c>
      <c r="I473" t="s">
        <v>41</v>
      </c>
      <c r="J473" t="s">
        <v>25</v>
      </c>
      <c r="K473" t="s">
        <v>26</v>
      </c>
      <c r="L473" t="s">
        <v>44</v>
      </c>
      <c r="M473">
        <v>1</v>
      </c>
      <c r="N473">
        <v>0</v>
      </c>
      <c r="O473">
        <v>12.94</v>
      </c>
      <c r="P473">
        <v>0.1</v>
      </c>
      <c r="Q473">
        <v>1.29</v>
      </c>
      <c r="R473" t="s">
        <v>54</v>
      </c>
      <c r="S473">
        <v>0</v>
      </c>
      <c r="T473">
        <v>1.29</v>
      </c>
    </row>
    <row r="474" spans="1:20" x14ac:dyDescent="0.25">
      <c r="A474" t="s">
        <v>347</v>
      </c>
      <c r="B474" t="s">
        <v>33</v>
      </c>
      <c r="C474" t="s">
        <v>348</v>
      </c>
      <c r="D474" s="1">
        <v>45231</v>
      </c>
      <c r="E474" s="1">
        <v>45901</v>
      </c>
      <c r="F474">
        <v>1</v>
      </c>
      <c r="G474">
        <v>1</v>
      </c>
      <c r="H474" t="s">
        <v>40</v>
      </c>
      <c r="I474" t="s">
        <v>41</v>
      </c>
      <c r="J474" t="s">
        <v>25</v>
      </c>
      <c r="K474" t="s">
        <v>26</v>
      </c>
      <c r="L474" t="s">
        <v>45</v>
      </c>
      <c r="M474">
        <v>1</v>
      </c>
      <c r="N474">
        <v>0</v>
      </c>
      <c r="O474">
        <v>12.43</v>
      </c>
      <c r="P474">
        <v>0.1</v>
      </c>
      <c r="Q474">
        <v>1.24</v>
      </c>
      <c r="R474" t="s">
        <v>54</v>
      </c>
      <c r="S474">
        <v>0</v>
      </c>
      <c r="T474">
        <v>1.24</v>
      </c>
    </row>
    <row r="475" spans="1:20" x14ac:dyDescent="0.25">
      <c r="A475" t="s">
        <v>349</v>
      </c>
      <c r="B475" t="s">
        <v>33</v>
      </c>
      <c r="C475" t="s">
        <v>350</v>
      </c>
      <c r="D475" s="1">
        <v>45292</v>
      </c>
      <c r="E475" s="1">
        <v>45901</v>
      </c>
      <c r="F475">
        <v>1</v>
      </c>
      <c r="G475">
        <v>1</v>
      </c>
      <c r="H475" t="s">
        <v>40</v>
      </c>
      <c r="I475" t="s">
        <v>41</v>
      </c>
      <c r="J475" t="s">
        <v>25</v>
      </c>
      <c r="K475" t="s">
        <v>26</v>
      </c>
      <c r="L475" t="s">
        <v>42</v>
      </c>
      <c r="M475">
        <v>1</v>
      </c>
      <c r="N475">
        <v>50.89</v>
      </c>
      <c r="O475">
        <v>21.06</v>
      </c>
      <c r="P475">
        <v>0.1</v>
      </c>
      <c r="Q475">
        <v>2.11</v>
      </c>
      <c r="R475" t="s">
        <v>54</v>
      </c>
      <c r="S475">
        <v>0</v>
      </c>
      <c r="T475">
        <v>2.11</v>
      </c>
    </row>
    <row r="476" spans="1:20" x14ac:dyDescent="0.25">
      <c r="A476" t="s">
        <v>349</v>
      </c>
      <c r="B476" t="s">
        <v>33</v>
      </c>
      <c r="C476" t="s">
        <v>350</v>
      </c>
      <c r="D476" s="1">
        <v>45292</v>
      </c>
      <c r="E476" s="1">
        <v>45901</v>
      </c>
      <c r="F476">
        <v>1</v>
      </c>
      <c r="G476">
        <v>1</v>
      </c>
      <c r="H476" t="s">
        <v>40</v>
      </c>
      <c r="I476" t="s">
        <v>41</v>
      </c>
      <c r="J476" t="s">
        <v>25</v>
      </c>
      <c r="K476" t="s">
        <v>26</v>
      </c>
      <c r="L476" t="s">
        <v>85</v>
      </c>
      <c r="M476">
        <v>1</v>
      </c>
      <c r="N476">
        <v>0</v>
      </c>
      <c r="O476">
        <v>2.14</v>
      </c>
      <c r="P476">
        <v>0.1</v>
      </c>
      <c r="Q476">
        <v>0.21</v>
      </c>
      <c r="R476" t="s">
        <v>54</v>
      </c>
      <c r="S476">
        <v>0</v>
      </c>
      <c r="T476">
        <v>0.21</v>
      </c>
    </row>
    <row r="477" spans="1:20" x14ac:dyDescent="0.25">
      <c r="A477" t="s">
        <v>349</v>
      </c>
      <c r="B477" t="s">
        <v>33</v>
      </c>
      <c r="C477" t="s">
        <v>350</v>
      </c>
      <c r="D477" s="1">
        <v>45292</v>
      </c>
      <c r="E477" s="1">
        <v>45901</v>
      </c>
      <c r="F477">
        <v>1</v>
      </c>
      <c r="G477">
        <v>1</v>
      </c>
      <c r="H477" t="s">
        <v>40</v>
      </c>
      <c r="I477" t="s">
        <v>41</v>
      </c>
      <c r="J477" t="s">
        <v>25</v>
      </c>
      <c r="K477" t="s">
        <v>26</v>
      </c>
      <c r="L477" t="s">
        <v>45</v>
      </c>
      <c r="M477">
        <v>1</v>
      </c>
      <c r="N477">
        <v>0</v>
      </c>
      <c r="O477">
        <v>12.43</v>
      </c>
      <c r="P477">
        <v>0.1</v>
      </c>
      <c r="Q477">
        <v>1.24</v>
      </c>
      <c r="R477" t="s">
        <v>54</v>
      </c>
      <c r="S477">
        <v>0</v>
      </c>
      <c r="T477">
        <v>1.24</v>
      </c>
    </row>
    <row r="478" spans="1:20" x14ac:dyDescent="0.25">
      <c r="A478" t="s">
        <v>349</v>
      </c>
      <c r="B478" t="s">
        <v>33</v>
      </c>
      <c r="C478" t="s">
        <v>350</v>
      </c>
      <c r="D478" s="1">
        <v>45292</v>
      </c>
      <c r="E478" s="1">
        <v>45901</v>
      </c>
      <c r="F478">
        <v>1</v>
      </c>
      <c r="G478">
        <v>1</v>
      </c>
      <c r="H478" t="s">
        <v>40</v>
      </c>
      <c r="I478" t="s">
        <v>41</v>
      </c>
      <c r="J478" t="s">
        <v>25</v>
      </c>
      <c r="K478" t="s">
        <v>26</v>
      </c>
      <c r="L478" t="s">
        <v>44</v>
      </c>
      <c r="M478">
        <v>1</v>
      </c>
      <c r="N478">
        <v>0</v>
      </c>
      <c r="O478">
        <v>13.58</v>
      </c>
      <c r="P478">
        <v>0.1</v>
      </c>
      <c r="Q478">
        <v>1.36</v>
      </c>
      <c r="R478" t="s">
        <v>54</v>
      </c>
      <c r="S478">
        <v>0</v>
      </c>
      <c r="T478">
        <v>1.36</v>
      </c>
    </row>
    <row r="479" spans="1:20" x14ac:dyDescent="0.25">
      <c r="A479" t="s">
        <v>351</v>
      </c>
      <c r="B479" t="s">
        <v>33</v>
      </c>
      <c r="C479" t="s">
        <v>352</v>
      </c>
      <c r="D479" s="1">
        <v>45261</v>
      </c>
      <c r="E479" s="1">
        <v>45901</v>
      </c>
      <c r="F479">
        <v>1</v>
      </c>
      <c r="G479">
        <v>1</v>
      </c>
      <c r="H479" t="s">
        <v>40</v>
      </c>
      <c r="I479" t="s">
        <v>41</v>
      </c>
      <c r="J479" t="s">
        <v>25</v>
      </c>
      <c r="K479" t="s">
        <v>26</v>
      </c>
      <c r="L479" t="s">
        <v>42</v>
      </c>
      <c r="M479">
        <v>1</v>
      </c>
      <c r="N479">
        <v>51.95</v>
      </c>
      <c r="O479">
        <v>21.34</v>
      </c>
      <c r="P479">
        <v>0.1</v>
      </c>
      <c r="Q479">
        <v>2.13</v>
      </c>
      <c r="R479" t="s">
        <v>54</v>
      </c>
      <c r="S479">
        <v>0</v>
      </c>
      <c r="T479">
        <v>2.13</v>
      </c>
    </row>
    <row r="480" spans="1:20" x14ac:dyDescent="0.25">
      <c r="A480" t="s">
        <v>351</v>
      </c>
      <c r="B480" t="s">
        <v>33</v>
      </c>
      <c r="C480" t="s">
        <v>352</v>
      </c>
      <c r="D480" s="1">
        <v>45261</v>
      </c>
      <c r="E480" s="1">
        <v>45901</v>
      </c>
      <c r="F480">
        <v>1</v>
      </c>
      <c r="G480">
        <v>1</v>
      </c>
      <c r="H480" t="s">
        <v>40</v>
      </c>
      <c r="I480" t="s">
        <v>41</v>
      </c>
      <c r="J480" t="s">
        <v>25</v>
      </c>
      <c r="K480" t="s">
        <v>26</v>
      </c>
      <c r="L480" t="s">
        <v>85</v>
      </c>
      <c r="M480">
        <v>1</v>
      </c>
      <c r="N480">
        <v>0</v>
      </c>
      <c r="O480">
        <v>2.14</v>
      </c>
      <c r="P480">
        <v>0.1</v>
      </c>
      <c r="Q480">
        <v>0.21</v>
      </c>
      <c r="R480" t="s">
        <v>54</v>
      </c>
      <c r="S480">
        <v>0</v>
      </c>
      <c r="T480">
        <v>0.21</v>
      </c>
    </row>
    <row r="481" spans="1:20" x14ac:dyDescent="0.25">
      <c r="A481" t="s">
        <v>351</v>
      </c>
      <c r="B481" t="s">
        <v>33</v>
      </c>
      <c r="C481" t="s">
        <v>352</v>
      </c>
      <c r="D481" s="1">
        <v>45261</v>
      </c>
      <c r="E481" s="1">
        <v>45901</v>
      </c>
      <c r="F481">
        <v>1</v>
      </c>
      <c r="G481">
        <v>1</v>
      </c>
      <c r="H481" t="s">
        <v>40</v>
      </c>
      <c r="I481" t="s">
        <v>41</v>
      </c>
      <c r="J481" t="s">
        <v>25</v>
      </c>
      <c r="K481" t="s">
        <v>26</v>
      </c>
      <c r="L481" t="s">
        <v>45</v>
      </c>
      <c r="M481">
        <v>1</v>
      </c>
      <c r="N481">
        <v>0</v>
      </c>
      <c r="O481">
        <v>12.43</v>
      </c>
      <c r="P481">
        <v>0.1</v>
      </c>
      <c r="Q481">
        <v>1.24</v>
      </c>
      <c r="R481" t="s">
        <v>54</v>
      </c>
      <c r="S481">
        <v>0</v>
      </c>
      <c r="T481">
        <v>1.24</v>
      </c>
    </row>
    <row r="482" spans="1:20" x14ac:dyDescent="0.25">
      <c r="A482" t="s">
        <v>351</v>
      </c>
      <c r="B482" t="s">
        <v>33</v>
      </c>
      <c r="C482" t="s">
        <v>352</v>
      </c>
      <c r="D482" s="1">
        <v>45261</v>
      </c>
      <c r="E482" s="1">
        <v>45901</v>
      </c>
      <c r="F482">
        <v>1</v>
      </c>
      <c r="G482">
        <v>1</v>
      </c>
      <c r="H482" t="s">
        <v>40</v>
      </c>
      <c r="I482" t="s">
        <v>41</v>
      </c>
      <c r="J482" t="s">
        <v>25</v>
      </c>
      <c r="K482" t="s">
        <v>26</v>
      </c>
      <c r="L482" t="s">
        <v>44</v>
      </c>
      <c r="M482">
        <v>1</v>
      </c>
      <c r="N482">
        <v>0</v>
      </c>
      <c r="O482">
        <v>14.36</v>
      </c>
      <c r="P482">
        <v>0.1</v>
      </c>
      <c r="Q482">
        <v>1.44</v>
      </c>
      <c r="R482" t="s">
        <v>54</v>
      </c>
      <c r="S482">
        <v>0</v>
      </c>
      <c r="T482">
        <v>1.44</v>
      </c>
    </row>
    <row r="483" spans="1:20" x14ac:dyDescent="0.25">
      <c r="A483" t="s">
        <v>353</v>
      </c>
      <c r="B483" t="s">
        <v>33</v>
      </c>
      <c r="C483" t="s">
        <v>354</v>
      </c>
      <c r="D483" s="1">
        <v>45261</v>
      </c>
      <c r="E483" s="1">
        <v>45901</v>
      </c>
      <c r="F483">
        <v>1</v>
      </c>
      <c r="G483">
        <v>1</v>
      </c>
      <c r="H483" t="s">
        <v>40</v>
      </c>
      <c r="I483" t="s">
        <v>41</v>
      </c>
      <c r="J483" t="s">
        <v>25</v>
      </c>
      <c r="K483" t="s">
        <v>26</v>
      </c>
      <c r="L483" t="s">
        <v>42</v>
      </c>
      <c r="M483">
        <v>1</v>
      </c>
      <c r="N483">
        <v>56.85</v>
      </c>
      <c r="O483">
        <v>26.78</v>
      </c>
      <c r="P483">
        <v>0.1</v>
      </c>
      <c r="Q483">
        <v>2.68</v>
      </c>
      <c r="R483" t="s">
        <v>54</v>
      </c>
      <c r="S483">
        <v>0</v>
      </c>
      <c r="T483">
        <v>2.68</v>
      </c>
    </row>
    <row r="484" spans="1:20" x14ac:dyDescent="0.25">
      <c r="A484" t="s">
        <v>353</v>
      </c>
      <c r="B484" t="s">
        <v>33</v>
      </c>
      <c r="C484" t="s">
        <v>354</v>
      </c>
      <c r="D484" s="1">
        <v>45261</v>
      </c>
      <c r="E484" s="1">
        <v>45901</v>
      </c>
      <c r="F484">
        <v>1</v>
      </c>
      <c r="G484">
        <v>1</v>
      </c>
      <c r="H484" t="s">
        <v>40</v>
      </c>
      <c r="I484" t="s">
        <v>41</v>
      </c>
      <c r="J484" t="s">
        <v>25</v>
      </c>
      <c r="K484" t="s">
        <v>26</v>
      </c>
      <c r="L484" t="s">
        <v>85</v>
      </c>
      <c r="M484">
        <v>1</v>
      </c>
      <c r="N484">
        <v>0</v>
      </c>
      <c r="O484">
        <v>3.53</v>
      </c>
      <c r="P484">
        <v>0.1</v>
      </c>
      <c r="Q484">
        <v>0.35</v>
      </c>
      <c r="R484" t="s">
        <v>54</v>
      </c>
      <c r="S484">
        <v>0</v>
      </c>
      <c r="T484">
        <v>0.35</v>
      </c>
    </row>
    <row r="485" spans="1:20" x14ac:dyDescent="0.25">
      <c r="A485" t="s">
        <v>353</v>
      </c>
      <c r="B485" t="s">
        <v>33</v>
      </c>
      <c r="C485" t="s">
        <v>354</v>
      </c>
      <c r="D485" s="1">
        <v>45261</v>
      </c>
      <c r="E485" s="1">
        <v>45901</v>
      </c>
      <c r="F485">
        <v>1</v>
      </c>
      <c r="G485">
        <v>1</v>
      </c>
      <c r="H485" t="s">
        <v>40</v>
      </c>
      <c r="I485" t="s">
        <v>41</v>
      </c>
      <c r="J485" t="s">
        <v>25</v>
      </c>
      <c r="K485" t="s">
        <v>26</v>
      </c>
      <c r="L485" t="s">
        <v>45</v>
      </c>
      <c r="M485">
        <v>1</v>
      </c>
      <c r="N485">
        <v>0</v>
      </c>
      <c r="O485">
        <v>24.86</v>
      </c>
      <c r="P485">
        <v>0.1</v>
      </c>
      <c r="Q485">
        <v>2.4900000000000002</v>
      </c>
      <c r="R485" t="s">
        <v>54</v>
      </c>
      <c r="S485">
        <v>0</v>
      </c>
      <c r="T485">
        <v>2.4900000000000002</v>
      </c>
    </row>
    <row r="486" spans="1:20" x14ac:dyDescent="0.25">
      <c r="A486" t="s">
        <v>355</v>
      </c>
      <c r="B486" t="s">
        <v>33</v>
      </c>
      <c r="C486" t="s">
        <v>356</v>
      </c>
      <c r="D486" s="1">
        <v>45292</v>
      </c>
      <c r="E486" s="1">
        <v>45901</v>
      </c>
      <c r="F486">
        <v>1</v>
      </c>
      <c r="G486">
        <v>1</v>
      </c>
      <c r="H486" t="s">
        <v>40</v>
      </c>
      <c r="I486" t="s">
        <v>41</v>
      </c>
      <c r="J486" t="s">
        <v>25</v>
      </c>
      <c r="K486" t="s">
        <v>26</v>
      </c>
      <c r="L486" t="s">
        <v>42</v>
      </c>
      <c r="M486">
        <v>1</v>
      </c>
      <c r="N486">
        <v>67.91</v>
      </c>
      <c r="O486">
        <v>22.34</v>
      </c>
      <c r="P486">
        <v>0.1</v>
      </c>
      <c r="Q486">
        <v>2.23</v>
      </c>
      <c r="R486" t="s">
        <v>54</v>
      </c>
      <c r="S486">
        <v>0</v>
      </c>
      <c r="T486">
        <v>2.23</v>
      </c>
    </row>
    <row r="487" spans="1:20" x14ac:dyDescent="0.25">
      <c r="A487" t="s">
        <v>355</v>
      </c>
      <c r="B487" t="s">
        <v>33</v>
      </c>
      <c r="C487" t="s">
        <v>356</v>
      </c>
      <c r="D487" s="1">
        <v>45292</v>
      </c>
      <c r="E487" s="1">
        <v>45901</v>
      </c>
      <c r="F487">
        <v>1</v>
      </c>
      <c r="G487">
        <v>1</v>
      </c>
      <c r="H487" t="s">
        <v>40</v>
      </c>
      <c r="I487" t="s">
        <v>41</v>
      </c>
      <c r="J487" t="s">
        <v>25</v>
      </c>
      <c r="K487" t="s">
        <v>26</v>
      </c>
      <c r="L487" t="s">
        <v>45</v>
      </c>
      <c r="M487">
        <v>1</v>
      </c>
      <c r="N487">
        <v>0</v>
      </c>
      <c r="O487">
        <v>12.43</v>
      </c>
      <c r="P487">
        <v>0.1</v>
      </c>
      <c r="Q487">
        <v>1.24</v>
      </c>
      <c r="R487" t="s">
        <v>54</v>
      </c>
      <c r="S487">
        <v>0</v>
      </c>
      <c r="T487">
        <v>1.24</v>
      </c>
    </row>
    <row r="488" spans="1:20" x14ac:dyDescent="0.25">
      <c r="A488" t="s">
        <v>355</v>
      </c>
      <c r="B488" t="s">
        <v>33</v>
      </c>
      <c r="C488" t="s">
        <v>356</v>
      </c>
      <c r="D488" s="1">
        <v>45292</v>
      </c>
      <c r="E488" s="1">
        <v>45901</v>
      </c>
      <c r="F488">
        <v>1</v>
      </c>
      <c r="G488">
        <v>1</v>
      </c>
      <c r="H488" t="s">
        <v>40</v>
      </c>
      <c r="I488" t="s">
        <v>41</v>
      </c>
      <c r="J488" t="s">
        <v>25</v>
      </c>
      <c r="K488" t="s">
        <v>26</v>
      </c>
      <c r="L488" t="s">
        <v>44</v>
      </c>
      <c r="M488">
        <v>1</v>
      </c>
      <c r="N488">
        <v>0</v>
      </c>
      <c r="O488">
        <v>28.81</v>
      </c>
      <c r="P488">
        <v>0.1</v>
      </c>
      <c r="Q488">
        <v>2.88</v>
      </c>
      <c r="R488" t="s">
        <v>54</v>
      </c>
      <c r="S488">
        <v>0</v>
      </c>
      <c r="T488">
        <v>2.88</v>
      </c>
    </row>
    <row r="489" spans="1:20" x14ac:dyDescent="0.25">
      <c r="A489" t="s">
        <v>355</v>
      </c>
      <c r="B489" t="s">
        <v>33</v>
      </c>
      <c r="C489" t="s">
        <v>356</v>
      </c>
      <c r="D489" s="1">
        <v>45292</v>
      </c>
      <c r="E489" s="1">
        <v>45901</v>
      </c>
      <c r="F489">
        <v>1</v>
      </c>
      <c r="G489">
        <v>1</v>
      </c>
      <c r="H489" t="s">
        <v>40</v>
      </c>
      <c r="I489" t="s">
        <v>41</v>
      </c>
      <c r="J489" t="s">
        <v>25</v>
      </c>
      <c r="K489" t="s">
        <v>26</v>
      </c>
      <c r="L489" t="s">
        <v>85</v>
      </c>
      <c r="M489">
        <v>1</v>
      </c>
      <c r="N489">
        <v>0</v>
      </c>
      <c r="O489">
        <v>2.65</v>
      </c>
      <c r="P489">
        <v>0.1</v>
      </c>
      <c r="Q489">
        <v>0.27</v>
      </c>
      <c r="R489" t="s">
        <v>54</v>
      </c>
      <c r="S489">
        <v>0</v>
      </c>
      <c r="T489">
        <v>0.27</v>
      </c>
    </row>
    <row r="490" spans="1:20" x14ac:dyDescent="0.25">
      <c r="A490" t="s">
        <v>357</v>
      </c>
      <c r="B490" t="s">
        <v>33</v>
      </c>
      <c r="C490" t="s">
        <v>358</v>
      </c>
      <c r="D490" s="1">
        <v>45292</v>
      </c>
      <c r="E490" s="1">
        <v>45901</v>
      </c>
      <c r="F490">
        <v>1</v>
      </c>
      <c r="G490">
        <v>1</v>
      </c>
      <c r="H490" t="s">
        <v>40</v>
      </c>
      <c r="I490" t="s">
        <v>41</v>
      </c>
      <c r="J490" t="s">
        <v>25</v>
      </c>
      <c r="K490" t="s">
        <v>26</v>
      </c>
      <c r="L490" t="s">
        <v>42</v>
      </c>
      <c r="M490">
        <v>1</v>
      </c>
      <c r="N490">
        <v>49.9</v>
      </c>
      <c r="O490">
        <v>21.06</v>
      </c>
      <c r="P490">
        <v>0.1</v>
      </c>
      <c r="Q490">
        <v>2.11</v>
      </c>
      <c r="R490" t="s">
        <v>54</v>
      </c>
      <c r="S490">
        <v>0</v>
      </c>
      <c r="T490">
        <v>2.11</v>
      </c>
    </row>
    <row r="491" spans="1:20" x14ac:dyDescent="0.25">
      <c r="A491" t="s">
        <v>357</v>
      </c>
      <c r="B491" t="s">
        <v>33</v>
      </c>
      <c r="C491" t="s">
        <v>358</v>
      </c>
      <c r="D491" s="1">
        <v>45292</v>
      </c>
      <c r="E491" s="1">
        <v>45901</v>
      </c>
      <c r="F491">
        <v>1</v>
      </c>
      <c r="G491">
        <v>1</v>
      </c>
      <c r="H491" t="s">
        <v>40</v>
      </c>
      <c r="I491" t="s">
        <v>41</v>
      </c>
      <c r="J491" t="s">
        <v>25</v>
      </c>
      <c r="K491" t="s">
        <v>26</v>
      </c>
      <c r="L491" t="s">
        <v>85</v>
      </c>
      <c r="M491">
        <v>1</v>
      </c>
      <c r="N491">
        <v>0</v>
      </c>
      <c r="O491">
        <v>1.79</v>
      </c>
      <c r="P491">
        <v>0.1</v>
      </c>
      <c r="Q491">
        <v>0.18</v>
      </c>
      <c r="R491" t="s">
        <v>54</v>
      </c>
      <c r="S491">
        <v>0</v>
      </c>
      <c r="T491">
        <v>0.18</v>
      </c>
    </row>
    <row r="492" spans="1:20" x14ac:dyDescent="0.25">
      <c r="A492" t="s">
        <v>357</v>
      </c>
      <c r="B492" t="s">
        <v>33</v>
      </c>
      <c r="C492" t="s">
        <v>358</v>
      </c>
      <c r="D492" s="1">
        <v>45292</v>
      </c>
      <c r="E492" s="1">
        <v>45901</v>
      </c>
      <c r="F492">
        <v>1</v>
      </c>
      <c r="G492">
        <v>1</v>
      </c>
      <c r="H492" t="s">
        <v>40</v>
      </c>
      <c r="I492" t="s">
        <v>41</v>
      </c>
      <c r="J492" t="s">
        <v>25</v>
      </c>
      <c r="K492" t="s">
        <v>26</v>
      </c>
      <c r="L492" t="s">
        <v>44</v>
      </c>
      <c r="M492">
        <v>1</v>
      </c>
      <c r="N492">
        <v>0</v>
      </c>
      <c r="O492">
        <v>12.94</v>
      </c>
      <c r="P492">
        <v>0.1</v>
      </c>
      <c r="Q492">
        <v>1.29</v>
      </c>
      <c r="R492" t="s">
        <v>54</v>
      </c>
      <c r="S492">
        <v>0</v>
      </c>
      <c r="T492">
        <v>1.29</v>
      </c>
    </row>
    <row r="493" spans="1:20" x14ac:dyDescent="0.25">
      <c r="A493" t="s">
        <v>357</v>
      </c>
      <c r="B493" t="s">
        <v>33</v>
      </c>
      <c r="C493" t="s">
        <v>358</v>
      </c>
      <c r="D493" s="1">
        <v>45292</v>
      </c>
      <c r="E493" s="1">
        <v>45901</v>
      </c>
      <c r="F493">
        <v>1</v>
      </c>
      <c r="G493">
        <v>1</v>
      </c>
      <c r="H493" t="s">
        <v>40</v>
      </c>
      <c r="I493" t="s">
        <v>41</v>
      </c>
      <c r="J493" t="s">
        <v>25</v>
      </c>
      <c r="K493" t="s">
        <v>26</v>
      </c>
      <c r="L493" t="s">
        <v>45</v>
      </c>
      <c r="M493">
        <v>1</v>
      </c>
      <c r="N493">
        <v>0</v>
      </c>
      <c r="O493">
        <v>12.43</v>
      </c>
      <c r="P493">
        <v>0.1</v>
      </c>
      <c r="Q493">
        <v>1.24</v>
      </c>
      <c r="R493" t="s">
        <v>54</v>
      </c>
      <c r="S493">
        <v>0</v>
      </c>
      <c r="T493">
        <v>1.24</v>
      </c>
    </row>
    <row r="494" spans="1:20" x14ac:dyDescent="0.25">
      <c r="A494" t="s">
        <v>359</v>
      </c>
      <c r="B494" t="s">
        <v>33</v>
      </c>
      <c r="C494" t="s">
        <v>360</v>
      </c>
      <c r="D494" s="1">
        <v>45383</v>
      </c>
      <c r="E494" s="1">
        <v>45901</v>
      </c>
      <c r="F494">
        <v>1</v>
      </c>
      <c r="G494">
        <v>1</v>
      </c>
      <c r="H494" t="s">
        <v>40</v>
      </c>
      <c r="I494" t="s">
        <v>41</v>
      </c>
      <c r="J494" t="s">
        <v>25</v>
      </c>
      <c r="K494" t="s">
        <v>26</v>
      </c>
      <c r="L494" t="s">
        <v>42</v>
      </c>
      <c r="M494">
        <v>1</v>
      </c>
      <c r="N494">
        <v>49.9</v>
      </c>
      <c r="O494">
        <v>21.06</v>
      </c>
      <c r="P494">
        <v>0.1</v>
      </c>
      <c r="Q494">
        <v>2.11</v>
      </c>
      <c r="R494" t="s">
        <v>54</v>
      </c>
      <c r="S494">
        <v>0</v>
      </c>
      <c r="T494">
        <v>2.11</v>
      </c>
    </row>
    <row r="495" spans="1:20" x14ac:dyDescent="0.25">
      <c r="A495" t="s">
        <v>359</v>
      </c>
      <c r="B495" t="s">
        <v>33</v>
      </c>
      <c r="C495" t="s">
        <v>360</v>
      </c>
      <c r="D495" s="1">
        <v>45383</v>
      </c>
      <c r="E495" s="1">
        <v>45901</v>
      </c>
      <c r="F495">
        <v>1</v>
      </c>
      <c r="G495">
        <v>1</v>
      </c>
      <c r="H495" t="s">
        <v>40</v>
      </c>
      <c r="I495" t="s">
        <v>41</v>
      </c>
      <c r="J495" t="s">
        <v>25</v>
      </c>
      <c r="K495" t="s">
        <v>26</v>
      </c>
      <c r="L495" t="s">
        <v>45</v>
      </c>
      <c r="M495">
        <v>1</v>
      </c>
      <c r="N495">
        <v>0</v>
      </c>
      <c r="O495">
        <v>12.43</v>
      </c>
      <c r="P495">
        <v>0.1</v>
      </c>
      <c r="Q495">
        <v>1.24</v>
      </c>
      <c r="R495" t="s">
        <v>54</v>
      </c>
      <c r="S495">
        <v>0</v>
      </c>
      <c r="T495">
        <v>1.24</v>
      </c>
    </row>
    <row r="496" spans="1:20" x14ac:dyDescent="0.25">
      <c r="A496" t="s">
        <v>359</v>
      </c>
      <c r="B496" t="s">
        <v>33</v>
      </c>
      <c r="C496" t="s">
        <v>360</v>
      </c>
      <c r="D496" s="1">
        <v>45383</v>
      </c>
      <c r="E496" s="1">
        <v>45901</v>
      </c>
      <c r="F496">
        <v>1</v>
      </c>
      <c r="G496">
        <v>1</v>
      </c>
      <c r="H496" t="s">
        <v>40</v>
      </c>
      <c r="I496" t="s">
        <v>41</v>
      </c>
      <c r="J496" t="s">
        <v>25</v>
      </c>
      <c r="K496" t="s">
        <v>26</v>
      </c>
      <c r="L496" t="s">
        <v>44</v>
      </c>
      <c r="M496">
        <v>1</v>
      </c>
      <c r="N496">
        <v>0</v>
      </c>
      <c r="O496">
        <v>12.94</v>
      </c>
      <c r="P496">
        <v>0.1</v>
      </c>
      <c r="Q496">
        <v>1.29</v>
      </c>
      <c r="R496" t="s">
        <v>54</v>
      </c>
      <c r="S496">
        <v>0</v>
      </c>
      <c r="T496">
        <v>1.29</v>
      </c>
    </row>
    <row r="497" spans="1:20" x14ac:dyDescent="0.25">
      <c r="A497" t="s">
        <v>359</v>
      </c>
      <c r="B497" t="s">
        <v>33</v>
      </c>
      <c r="C497" t="s">
        <v>360</v>
      </c>
      <c r="D497" s="1">
        <v>45383</v>
      </c>
      <c r="E497" s="1">
        <v>45901</v>
      </c>
      <c r="F497">
        <v>1</v>
      </c>
      <c r="G497">
        <v>1</v>
      </c>
      <c r="H497" t="s">
        <v>40</v>
      </c>
      <c r="I497" t="s">
        <v>41</v>
      </c>
      <c r="J497" t="s">
        <v>25</v>
      </c>
      <c r="K497" t="s">
        <v>26</v>
      </c>
      <c r="L497" t="s">
        <v>85</v>
      </c>
      <c r="M497">
        <v>1</v>
      </c>
      <c r="N497">
        <v>0</v>
      </c>
      <c r="O497">
        <v>1.79</v>
      </c>
      <c r="P497">
        <v>0.1</v>
      </c>
      <c r="Q497">
        <v>0.18</v>
      </c>
      <c r="R497" t="s">
        <v>54</v>
      </c>
      <c r="S497">
        <v>0</v>
      </c>
      <c r="T497">
        <v>0.18</v>
      </c>
    </row>
    <row r="498" spans="1:20" x14ac:dyDescent="0.25">
      <c r="A498" t="s">
        <v>361</v>
      </c>
      <c r="B498" t="s">
        <v>142</v>
      </c>
      <c r="C498" t="s">
        <v>362</v>
      </c>
      <c r="D498" s="1">
        <v>45474</v>
      </c>
      <c r="E498" s="1">
        <v>45901</v>
      </c>
      <c r="F498">
        <v>1</v>
      </c>
      <c r="G498">
        <v>1</v>
      </c>
      <c r="H498" t="s">
        <v>144</v>
      </c>
      <c r="I498" t="s">
        <v>145</v>
      </c>
      <c r="J498" t="s">
        <v>146</v>
      </c>
      <c r="K498" t="s">
        <v>26</v>
      </c>
      <c r="L498" t="s">
        <v>42</v>
      </c>
      <c r="M498">
        <v>1</v>
      </c>
      <c r="N498">
        <v>141.33000000000001</v>
      </c>
      <c r="O498">
        <v>23.46</v>
      </c>
      <c r="P498">
        <v>0.1</v>
      </c>
      <c r="Q498">
        <v>2.35</v>
      </c>
      <c r="R498" t="s">
        <v>54</v>
      </c>
      <c r="S498">
        <v>0</v>
      </c>
      <c r="T498">
        <v>2.35</v>
      </c>
    </row>
    <row r="499" spans="1:20" x14ac:dyDescent="0.25">
      <c r="A499" t="s">
        <v>361</v>
      </c>
      <c r="B499" t="s">
        <v>142</v>
      </c>
      <c r="C499" t="s">
        <v>362</v>
      </c>
      <c r="D499" s="1">
        <v>45474</v>
      </c>
      <c r="E499" s="1">
        <v>45901</v>
      </c>
      <c r="F499">
        <v>1</v>
      </c>
      <c r="G499">
        <v>1</v>
      </c>
      <c r="H499" t="s">
        <v>144</v>
      </c>
      <c r="I499" t="s">
        <v>145</v>
      </c>
      <c r="J499" t="s">
        <v>146</v>
      </c>
      <c r="K499" t="s">
        <v>26</v>
      </c>
      <c r="L499" t="s">
        <v>84</v>
      </c>
      <c r="M499">
        <v>1</v>
      </c>
      <c r="N499">
        <v>0</v>
      </c>
      <c r="O499">
        <v>6.99</v>
      </c>
      <c r="P499">
        <v>0.1</v>
      </c>
      <c r="Q499">
        <v>0.7</v>
      </c>
      <c r="R499" t="s">
        <v>54</v>
      </c>
      <c r="S499">
        <v>0</v>
      </c>
      <c r="T499">
        <v>0.7</v>
      </c>
    </row>
    <row r="500" spans="1:20" x14ac:dyDescent="0.25">
      <c r="A500" t="s">
        <v>361</v>
      </c>
      <c r="B500" t="s">
        <v>142</v>
      </c>
      <c r="C500" t="s">
        <v>362</v>
      </c>
      <c r="D500" s="1">
        <v>45474</v>
      </c>
      <c r="E500" s="1">
        <v>45901</v>
      </c>
      <c r="F500">
        <v>1</v>
      </c>
      <c r="G500">
        <v>1</v>
      </c>
      <c r="H500" t="s">
        <v>144</v>
      </c>
      <c r="I500" t="s">
        <v>145</v>
      </c>
      <c r="J500" t="s">
        <v>146</v>
      </c>
      <c r="K500" t="s">
        <v>26</v>
      </c>
      <c r="L500" t="s">
        <v>86</v>
      </c>
      <c r="M500">
        <v>1</v>
      </c>
      <c r="N500">
        <v>0</v>
      </c>
      <c r="O500">
        <v>4.62</v>
      </c>
      <c r="P500">
        <v>0.1</v>
      </c>
      <c r="Q500">
        <v>0.46</v>
      </c>
      <c r="R500" t="s">
        <v>54</v>
      </c>
      <c r="S500">
        <v>0</v>
      </c>
      <c r="T500">
        <v>0.46</v>
      </c>
    </row>
    <row r="501" spans="1:20" x14ac:dyDescent="0.25">
      <c r="A501" t="s">
        <v>361</v>
      </c>
      <c r="B501" t="s">
        <v>142</v>
      </c>
      <c r="C501" t="s">
        <v>362</v>
      </c>
      <c r="D501" s="1">
        <v>45474</v>
      </c>
      <c r="E501" s="1">
        <v>45901</v>
      </c>
      <c r="F501">
        <v>1</v>
      </c>
      <c r="G501">
        <v>1</v>
      </c>
      <c r="H501" t="s">
        <v>144</v>
      </c>
      <c r="I501" t="s">
        <v>145</v>
      </c>
      <c r="J501" t="s">
        <v>146</v>
      </c>
      <c r="K501" t="s">
        <v>26</v>
      </c>
      <c r="L501" t="s">
        <v>117</v>
      </c>
      <c r="M501">
        <v>1</v>
      </c>
      <c r="N501">
        <v>0</v>
      </c>
      <c r="O501">
        <v>2.92</v>
      </c>
      <c r="P501">
        <v>0.1</v>
      </c>
      <c r="Q501">
        <v>0.28999999999999998</v>
      </c>
      <c r="R501" t="s">
        <v>54</v>
      </c>
      <c r="S501">
        <v>0</v>
      </c>
      <c r="T501">
        <v>0.28999999999999998</v>
      </c>
    </row>
    <row r="502" spans="1:20" x14ac:dyDescent="0.25">
      <c r="A502" t="s">
        <v>361</v>
      </c>
      <c r="B502" t="s">
        <v>142</v>
      </c>
      <c r="C502" t="s">
        <v>362</v>
      </c>
      <c r="D502" s="1">
        <v>45474</v>
      </c>
      <c r="E502" s="1">
        <v>45901</v>
      </c>
      <c r="F502">
        <v>1</v>
      </c>
      <c r="G502">
        <v>1</v>
      </c>
      <c r="H502" t="s">
        <v>144</v>
      </c>
      <c r="I502" t="s">
        <v>145</v>
      </c>
      <c r="J502" t="s">
        <v>146</v>
      </c>
      <c r="K502" t="s">
        <v>26</v>
      </c>
      <c r="L502" t="s">
        <v>85</v>
      </c>
      <c r="M502">
        <v>1</v>
      </c>
      <c r="N502">
        <v>0</v>
      </c>
      <c r="O502">
        <v>2.14</v>
      </c>
      <c r="P502">
        <v>0.1</v>
      </c>
      <c r="Q502">
        <v>0.21</v>
      </c>
      <c r="R502" t="s">
        <v>54</v>
      </c>
      <c r="S502">
        <v>0</v>
      </c>
      <c r="T502">
        <v>0.21</v>
      </c>
    </row>
    <row r="503" spans="1:20" x14ac:dyDescent="0.25">
      <c r="A503" t="s">
        <v>361</v>
      </c>
      <c r="B503" t="s">
        <v>142</v>
      </c>
      <c r="C503" t="s">
        <v>362</v>
      </c>
      <c r="D503" s="1">
        <v>45474</v>
      </c>
      <c r="E503" s="1">
        <v>45901</v>
      </c>
      <c r="F503">
        <v>1</v>
      </c>
      <c r="G503">
        <v>1</v>
      </c>
      <c r="H503" t="s">
        <v>144</v>
      </c>
      <c r="I503" t="s">
        <v>145</v>
      </c>
      <c r="J503" t="s">
        <v>146</v>
      </c>
      <c r="K503" t="s">
        <v>26</v>
      </c>
      <c r="L503" t="s">
        <v>118</v>
      </c>
      <c r="M503">
        <v>1</v>
      </c>
      <c r="N503">
        <v>0</v>
      </c>
      <c r="O503">
        <v>61.72</v>
      </c>
      <c r="P503">
        <v>0.1</v>
      </c>
      <c r="Q503">
        <v>6.17</v>
      </c>
      <c r="R503" t="s">
        <v>54</v>
      </c>
      <c r="S503">
        <v>0</v>
      </c>
      <c r="T503">
        <v>6.17</v>
      </c>
    </row>
    <row r="504" spans="1:20" x14ac:dyDescent="0.25">
      <c r="A504" t="s">
        <v>361</v>
      </c>
      <c r="B504" t="s">
        <v>142</v>
      </c>
      <c r="C504" t="s">
        <v>362</v>
      </c>
      <c r="D504" s="1">
        <v>45474</v>
      </c>
      <c r="E504" s="1">
        <v>45901</v>
      </c>
      <c r="F504">
        <v>1</v>
      </c>
      <c r="G504">
        <v>1</v>
      </c>
      <c r="H504" t="s">
        <v>144</v>
      </c>
      <c r="I504" t="s">
        <v>145</v>
      </c>
      <c r="J504" t="s">
        <v>146</v>
      </c>
      <c r="K504" t="s">
        <v>26</v>
      </c>
      <c r="L504" t="s">
        <v>44</v>
      </c>
      <c r="M504">
        <v>1</v>
      </c>
      <c r="N504">
        <v>0</v>
      </c>
      <c r="O504">
        <v>12.94</v>
      </c>
      <c r="P504">
        <v>0.1</v>
      </c>
      <c r="Q504">
        <v>1.29</v>
      </c>
      <c r="R504" t="s">
        <v>54</v>
      </c>
      <c r="S504">
        <v>0</v>
      </c>
      <c r="T504">
        <v>1.29</v>
      </c>
    </row>
    <row r="505" spans="1:20" x14ac:dyDescent="0.25">
      <c r="A505" t="s">
        <v>361</v>
      </c>
      <c r="B505" t="s">
        <v>142</v>
      </c>
      <c r="C505" t="s">
        <v>362</v>
      </c>
      <c r="D505" s="1">
        <v>45474</v>
      </c>
      <c r="E505" s="1">
        <v>45901</v>
      </c>
      <c r="F505">
        <v>1</v>
      </c>
      <c r="G505">
        <v>1</v>
      </c>
      <c r="H505" t="s">
        <v>144</v>
      </c>
      <c r="I505" t="s">
        <v>145</v>
      </c>
      <c r="J505" t="s">
        <v>146</v>
      </c>
      <c r="K505" t="s">
        <v>26</v>
      </c>
      <c r="L505" t="s">
        <v>45</v>
      </c>
      <c r="M505">
        <v>1</v>
      </c>
      <c r="N505">
        <v>0</v>
      </c>
      <c r="O505">
        <v>24.86</v>
      </c>
      <c r="P505">
        <v>0.1</v>
      </c>
      <c r="Q505">
        <v>2.4900000000000002</v>
      </c>
      <c r="R505" t="s">
        <v>54</v>
      </c>
      <c r="S505">
        <v>0</v>
      </c>
      <c r="T505">
        <v>2.4900000000000002</v>
      </c>
    </row>
    <row r="506" spans="1:20" x14ac:dyDescent="0.25">
      <c r="A506" t="s">
        <v>363</v>
      </c>
      <c r="B506" t="s">
        <v>364</v>
      </c>
      <c r="C506" t="s">
        <v>365</v>
      </c>
      <c r="D506" s="1">
        <v>45444</v>
      </c>
      <c r="E506" s="1">
        <v>45901</v>
      </c>
      <c r="F506">
        <v>1</v>
      </c>
      <c r="G506">
        <v>1</v>
      </c>
      <c r="H506" t="s">
        <v>168</v>
      </c>
      <c r="I506" t="s">
        <v>169</v>
      </c>
      <c r="J506" t="s">
        <v>170</v>
      </c>
      <c r="K506" t="s">
        <v>26</v>
      </c>
      <c r="L506" t="s">
        <v>42</v>
      </c>
      <c r="M506">
        <v>1</v>
      </c>
      <c r="N506">
        <v>72.150000000000006</v>
      </c>
      <c r="O506">
        <v>34.020000000000003</v>
      </c>
      <c r="P506">
        <v>0.1</v>
      </c>
      <c r="Q506">
        <v>3.4</v>
      </c>
      <c r="R506" t="s">
        <v>54</v>
      </c>
      <c r="S506">
        <v>0</v>
      </c>
      <c r="T506">
        <v>3.4</v>
      </c>
    </row>
    <row r="507" spans="1:20" x14ac:dyDescent="0.25">
      <c r="A507" t="s">
        <v>363</v>
      </c>
      <c r="B507" t="s">
        <v>364</v>
      </c>
      <c r="C507" t="s">
        <v>365</v>
      </c>
      <c r="D507" s="1">
        <v>45444</v>
      </c>
      <c r="E507" s="1">
        <v>45901</v>
      </c>
      <c r="F507">
        <v>1</v>
      </c>
      <c r="G507">
        <v>1</v>
      </c>
      <c r="H507" t="s">
        <v>168</v>
      </c>
      <c r="I507" t="s">
        <v>169</v>
      </c>
      <c r="J507" t="s">
        <v>170</v>
      </c>
      <c r="K507" t="s">
        <v>26</v>
      </c>
      <c r="L507" t="s">
        <v>56</v>
      </c>
      <c r="M507">
        <v>1</v>
      </c>
      <c r="N507">
        <v>0</v>
      </c>
      <c r="O507">
        <v>0.96</v>
      </c>
      <c r="P507">
        <v>0.1</v>
      </c>
      <c r="Q507">
        <v>0.1</v>
      </c>
      <c r="R507" t="s">
        <v>54</v>
      </c>
      <c r="S507">
        <v>0</v>
      </c>
      <c r="T507">
        <v>0.1</v>
      </c>
    </row>
    <row r="508" spans="1:20" x14ac:dyDescent="0.25">
      <c r="A508" t="s">
        <v>363</v>
      </c>
      <c r="B508" t="s">
        <v>364</v>
      </c>
      <c r="C508" t="s">
        <v>365</v>
      </c>
      <c r="D508" s="1">
        <v>45444</v>
      </c>
      <c r="E508" s="1">
        <v>45901</v>
      </c>
      <c r="F508">
        <v>1</v>
      </c>
      <c r="G508">
        <v>1</v>
      </c>
      <c r="H508" t="s">
        <v>168</v>
      </c>
      <c r="I508" t="s">
        <v>169</v>
      </c>
      <c r="J508" t="s">
        <v>170</v>
      </c>
      <c r="K508" t="s">
        <v>26</v>
      </c>
      <c r="L508" t="s">
        <v>86</v>
      </c>
      <c r="M508">
        <v>1</v>
      </c>
      <c r="N508">
        <v>0</v>
      </c>
      <c r="O508">
        <v>1.18</v>
      </c>
      <c r="P508">
        <v>0.1</v>
      </c>
      <c r="Q508">
        <v>0.12</v>
      </c>
      <c r="R508" t="s">
        <v>54</v>
      </c>
      <c r="S508">
        <v>0</v>
      </c>
      <c r="T508">
        <v>0.12</v>
      </c>
    </row>
    <row r="509" spans="1:20" x14ac:dyDescent="0.25">
      <c r="A509" t="s">
        <v>363</v>
      </c>
      <c r="B509" t="s">
        <v>364</v>
      </c>
      <c r="C509" t="s">
        <v>365</v>
      </c>
      <c r="D509" s="1">
        <v>45444</v>
      </c>
      <c r="E509" s="1">
        <v>45901</v>
      </c>
      <c r="F509">
        <v>1</v>
      </c>
      <c r="G509">
        <v>1</v>
      </c>
      <c r="H509" t="s">
        <v>168</v>
      </c>
      <c r="I509" t="s">
        <v>169</v>
      </c>
      <c r="J509" t="s">
        <v>170</v>
      </c>
      <c r="K509" t="s">
        <v>26</v>
      </c>
      <c r="L509" t="s">
        <v>55</v>
      </c>
      <c r="M509">
        <v>1</v>
      </c>
      <c r="N509">
        <v>0</v>
      </c>
      <c r="O509">
        <v>2.81</v>
      </c>
      <c r="P509">
        <v>0.1</v>
      </c>
      <c r="Q509">
        <v>0.28000000000000003</v>
      </c>
      <c r="R509" t="s">
        <v>54</v>
      </c>
      <c r="S509">
        <v>0</v>
      </c>
      <c r="T509">
        <v>0.28000000000000003</v>
      </c>
    </row>
    <row r="510" spans="1:20" x14ac:dyDescent="0.25">
      <c r="A510" t="s">
        <v>363</v>
      </c>
      <c r="B510" t="s">
        <v>364</v>
      </c>
      <c r="C510" t="s">
        <v>365</v>
      </c>
      <c r="D510" s="1">
        <v>45444</v>
      </c>
      <c r="E510" s="1">
        <v>45901</v>
      </c>
      <c r="F510">
        <v>1</v>
      </c>
      <c r="G510">
        <v>1</v>
      </c>
      <c r="H510" t="s">
        <v>168</v>
      </c>
      <c r="I510" t="s">
        <v>169</v>
      </c>
      <c r="J510" t="s">
        <v>170</v>
      </c>
      <c r="K510" t="s">
        <v>26</v>
      </c>
      <c r="L510" t="s">
        <v>147</v>
      </c>
      <c r="M510">
        <v>1</v>
      </c>
      <c r="N510">
        <v>0</v>
      </c>
      <c r="O510">
        <v>31.5</v>
      </c>
      <c r="P510">
        <v>0.1</v>
      </c>
      <c r="Q510">
        <v>3.15</v>
      </c>
      <c r="R510" t="s">
        <v>54</v>
      </c>
      <c r="S510">
        <v>0</v>
      </c>
      <c r="T510">
        <v>3.15</v>
      </c>
    </row>
    <row r="511" spans="1:20" x14ac:dyDescent="0.25">
      <c r="A511" t="s">
        <v>366</v>
      </c>
      <c r="B511" t="s">
        <v>166</v>
      </c>
      <c r="C511" t="s">
        <v>367</v>
      </c>
      <c r="D511" s="1">
        <v>45505</v>
      </c>
      <c r="E511" s="1">
        <v>45901</v>
      </c>
      <c r="F511">
        <v>1</v>
      </c>
      <c r="G511">
        <v>1</v>
      </c>
      <c r="H511" t="s">
        <v>168</v>
      </c>
      <c r="I511" t="s">
        <v>169</v>
      </c>
      <c r="J511" t="s">
        <v>170</v>
      </c>
      <c r="K511" t="s">
        <v>26</v>
      </c>
      <c r="L511" t="s">
        <v>27</v>
      </c>
      <c r="M511">
        <v>1</v>
      </c>
      <c r="N511">
        <v>146.1</v>
      </c>
      <c r="O511">
        <v>70.84</v>
      </c>
      <c r="P511">
        <v>0.13</v>
      </c>
      <c r="Q511">
        <v>9.2100000000000009</v>
      </c>
      <c r="R511" t="s">
        <v>54</v>
      </c>
      <c r="S511">
        <v>0</v>
      </c>
      <c r="T511">
        <v>9.2100000000000009</v>
      </c>
    </row>
    <row r="512" spans="1:20" x14ac:dyDescent="0.25">
      <c r="A512" t="s">
        <v>366</v>
      </c>
      <c r="B512" t="s">
        <v>166</v>
      </c>
      <c r="C512" t="s">
        <v>367</v>
      </c>
      <c r="D512" s="1">
        <v>45505</v>
      </c>
      <c r="E512" s="1">
        <v>45901</v>
      </c>
      <c r="F512">
        <v>1</v>
      </c>
      <c r="G512">
        <v>1</v>
      </c>
      <c r="H512" t="s">
        <v>168</v>
      </c>
      <c r="I512" t="s">
        <v>169</v>
      </c>
      <c r="J512" t="s">
        <v>170</v>
      </c>
      <c r="K512" t="s">
        <v>26</v>
      </c>
      <c r="L512" t="s">
        <v>62</v>
      </c>
      <c r="M512">
        <v>1</v>
      </c>
      <c r="N512">
        <v>0</v>
      </c>
      <c r="O512">
        <v>2.29</v>
      </c>
      <c r="P512">
        <v>0.13</v>
      </c>
      <c r="Q512">
        <v>0.3</v>
      </c>
      <c r="R512" t="s">
        <v>54</v>
      </c>
      <c r="S512">
        <v>0</v>
      </c>
      <c r="T512">
        <v>0.3</v>
      </c>
    </row>
    <row r="513" spans="1:20" x14ac:dyDescent="0.25">
      <c r="A513" t="s">
        <v>366</v>
      </c>
      <c r="B513" t="s">
        <v>166</v>
      </c>
      <c r="C513" t="s">
        <v>367</v>
      </c>
      <c r="D513" s="1">
        <v>45505</v>
      </c>
      <c r="E513" s="1">
        <v>45901</v>
      </c>
      <c r="F513">
        <v>1</v>
      </c>
      <c r="G513">
        <v>1</v>
      </c>
      <c r="H513" t="s">
        <v>168</v>
      </c>
      <c r="I513" t="s">
        <v>169</v>
      </c>
      <c r="J513" t="s">
        <v>170</v>
      </c>
      <c r="K513" t="s">
        <v>26</v>
      </c>
      <c r="L513" t="s">
        <v>29</v>
      </c>
      <c r="M513">
        <v>1</v>
      </c>
      <c r="N513">
        <v>0</v>
      </c>
      <c r="O513">
        <v>8.1199999999999992</v>
      </c>
      <c r="P513">
        <v>0.13</v>
      </c>
      <c r="Q513">
        <v>1.06</v>
      </c>
      <c r="R513" t="s">
        <v>54</v>
      </c>
      <c r="S513">
        <v>0</v>
      </c>
      <c r="T513">
        <v>1.06</v>
      </c>
    </row>
    <row r="514" spans="1:20" x14ac:dyDescent="0.25">
      <c r="A514" t="s">
        <v>366</v>
      </c>
      <c r="B514" t="s">
        <v>166</v>
      </c>
      <c r="C514" t="s">
        <v>367</v>
      </c>
      <c r="D514" s="1">
        <v>45505</v>
      </c>
      <c r="E514" s="1">
        <v>45901</v>
      </c>
      <c r="F514">
        <v>1</v>
      </c>
      <c r="G514">
        <v>1</v>
      </c>
      <c r="H514" t="s">
        <v>168</v>
      </c>
      <c r="I514" t="s">
        <v>169</v>
      </c>
      <c r="J514" t="s">
        <v>170</v>
      </c>
      <c r="K514" t="s">
        <v>26</v>
      </c>
      <c r="L514" t="s">
        <v>30</v>
      </c>
      <c r="M514">
        <v>1</v>
      </c>
      <c r="N514">
        <v>0</v>
      </c>
      <c r="O514">
        <v>3.08</v>
      </c>
      <c r="P514">
        <v>0.13</v>
      </c>
      <c r="Q514">
        <v>0.4</v>
      </c>
      <c r="R514" t="s">
        <v>54</v>
      </c>
      <c r="S514">
        <v>0</v>
      </c>
      <c r="T514">
        <v>0.4</v>
      </c>
    </row>
    <row r="515" spans="1:20" x14ac:dyDescent="0.25">
      <c r="A515" t="s">
        <v>366</v>
      </c>
      <c r="B515" t="s">
        <v>166</v>
      </c>
      <c r="C515" t="s">
        <v>367</v>
      </c>
      <c r="D515" s="1">
        <v>45505</v>
      </c>
      <c r="E515" s="1">
        <v>45901</v>
      </c>
      <c r="F515">
        <v>1</v>
      </c>
      <c r="G515">
        <v>1</v>
      </c>
      <c r="H515" t="s">
        <v>168</v>
      </c>
      <c r="I515" t="s">
        <v>169</v>
      </c>
      <c r="J515" t="s">
        <v>170</v>
      </c>
      <c r="K515" t="s">
        <v>26</v>
      </c>
      <c r="L515" t="s">
        <v>31</v>
      </c>
      <c r="M515">
        <v>1</v>
      </c>
      <c r="N515">
        <v>0</v>
      </c>
      <c r="O515">
        <v>5.94</v>
      </c>
      <c r="P515">
        <v>0.13</v>
      </c>
      <c r="Q515">
        <v>0.77</v>
      </c>
      <c r="R515" t="s">
        <v>54</v>
      </c>
      <c r="S515">
        <v>0</v>
      </c>
      <c r="T515">
        <v>0.77</v>
      </c>
    </row>
    <row r="516" spans="1:20" x14ac:dyDescent="0.25">
      <c r="A516" t="s">
        <v>368</v>
      </c>
      <c r="B516" t="s">
        <v>142</v>
      </c>
      <c r="C516" t="s">
        <v>369</v>
      </c>
      <c r="D516" s="1">
        <v>45474</v>
      </c>
      <c r="E516" s="1">
        <v>45901</v>
      </c>
      <c r="F516">
        <v>1</v>
      </c>
      <c r="G516">
        <v>1</v>
      </c>
      <c r="H516" t="s">
        <v>182</v>
      </c>
      <c r="I516" t="s">
        <v>183</v>
      </c>
      <c r="J516" t="s">
        <v>184</v>
      </c>
      <c r="K516" t="s">
        <v>26</v>
      </c>
      <c r="L516" t="s">
        <v>185</v>
      </c>
      <c r="M516">
        <v>1</v>
      </c>
      <c r="N516">
        <v>31.45</v>
      </c>
      <c r="O516">
        <v>11.25</v>
      </c>
      <c r="P516">
        <v>0.1</v>
      </c>
      <c r="Q516">
        <v>1.1299999999999999</v>
      </c>
      <c r="R516" t="s">
        <v>54</v>
      </c>
      <c r="S516">
        <v>0</v>
      </c>
      <c r="T516">
        <v>1.1299999999999999</v>
      </c>
    </row>
    <row r="517" spans="1:20" x14ac:dyDescent="0.25">
      <c r="A517" t="s">
        <v>368</v>
      </c>
      <c r="B517" t="s">
        <v>142</v>
      </c>
      <c r="C517" t="s">
        <v>369</v>
      </c>
      <c r="D517" s="1">
        <v>45474</v>
      </c>
      <c r="E517" s="1">
        <v>45901</v>
      </c>
      <c r="F517">
        <v>1</v>
      </c>
      <c r="G517">
        <v>1</v>
      </c>
      <c r="H517" t="s">
        <v>182</v>
      </c>
      <c r="I517" t="s">
        <v>183</v>
      </c>
      <c r="J517" t="s">
        <v>184</v>
      </c>
      <c r="K517" t="s">
        <v>26</v>
      </c>
      <c r="L517" t="s">
        <v>189</v>
      </c>
      <c r="M517">
        <v>1</v>
      </c>
      <c r="N517">
        <v>0</v>
      </c>
      <c r="O517">
        <v>1.62</v>
      </c>
      <c r="P517">
        <v>0.1</v>
      </c>
      <c r="Q517">
        <v>0.16</v>
      </c>
      <c r="R517" t="s">
        <v>54</v>
      </c>
      <c r="S517">
        <v>0</v>
      </c>
      <c r="T517">
        <v>0.16</v>
      </c>
    </row>
    <row r="518" spans="1:20" x14ac:dyDescent="0.25">
      <c r="A518" t="s">
        <v>368</v>
      </c>
      <c r="B518" t="s">
        <v>142</v>
      </c>
      <c r="C518" t="s">
        <v>369</v>
      </c>
      <c r="D518" s="1">
        <v>45474</v>
      </c>
      <c r="E518" s="1">
        <v>45901</v>
      </c>
      <c r="F518">
        <v>1</v>
      </c>
      <c r="G518">
        <v>1</v>
      </c>
      <c r="H518" t="s">
        <v>182</v>
      </c>
      <c r="I518" t="s">
        <v>183</v>
      </c>
      <c r="J518" t="s">
        <v>184</v>
      </c>
      <c r="K518" t="s">
        <v>26</v>
      </c>
      <c r="L518" t="s">
        <v>187</v>
      </c>
      <c r="M518">
        <v>1</v>
      </c>
      <c r="N518">
        <v>0</v>
      </c>
      <c r="O518">
        <v>9.75</v>
      </c>
      <c r="P518">
        <v>0.1</v>
      </c>
      <c r="Q518">
        <v>0.98</v>
      </c>
      <c r="R518" t="s">
        <v>54</v>
      </c>
      <c r="S518">
        <v>0</v>
      </c>
      <c r="T518">
        <v>0.98</v>
      </c>
    </row>
    <row r="519" spans="1:20" x14ac:dyDescent="0.25">
      <c r="A519" t="s">
        <v>368</v>
      </c>
      <c r="B519" t="s">
        <v>142</v>
      </c>
      <c r="C519" t="s">
        <v>369</v>
      </c>
      <c r="D519" s="1">
        <v>45474</v>
      </c>
      <c r="E519" s="1">
        <v>45901</v>
      </c>
      <c r="F519">
        <v>1</v>
      </c>
      <c r="G519">
        <v>1</v>
      </c>
      <c r="H519" t="s">
        <v>182</v>
      </c>
      <c r="I519" t="s">
        <v>183</v>
      </c>
      <c r="J519" t="s">
        <v>184</v>
      </c>
      <c r="K519" t="s">
        <v>26</v>
      </c>
      <c r="L519" t="s">
        <v>188</v>
      </c>
      <c r="M519">
        <v>1</v>
      </c>
      <c r="N519">
        <v>0</v>
      </c>
      <c r="O519">
        <v>4.25</v>
      </c>
      <c r="P519">
        <v>0.1</v>
      </c>
      <c r="Q519">
        <v>0.43</v>
      </c>
      <c r="R519" t="s">
        <v>54</v>
      </c>
      <c r="S519">
        <v>0</v>
      </c>
      <c r="T519">
        <v>0.43</v>
      </c>
    </row>
    <row r="520" spans="1:20" x14ac:dyDescent="0.25">
      <c r="A520" t="s">
        <v>368</v>
      </c>
      <c r="B520" t="s">
        <v>142</v>
      </c>
      <c r="C520" t="s">
        <v>369</v>
      </c>
      <c r="D520" s="1">
        <v>45474</v>
      </c>
      <c r="E520" s="1">
        <v>45901</v>
      </c>
      <c r="F520">
        <v>1</v>
      </c>
      <c r="G520">
        <v>1</v>
      </c>
      <c r="H520" t="s">
        <v>182</v>
      </c>
      <c r="I520" t="s">
        <v>183</v>
      </c>
      <c r="J520" t="s">
        <v>184</v>
      </c>
      <c r="K520" t="s">
        <v>26</v>
      </c>
      <c r="L520" t="s">
        <v>186</v>
      </c>
      <c r="M520">
        <v>1</v>
      </c>
      <c r="N520">
        <v>0</v>
      </c>
      <c r="O520">
        <v>2.5</v>
      </c>
      <c r="P520">
        <v>0.1</v>
      </c>
      <c r="Q520">
        <v>0.25</v>
      </c>
      <c r="R520" t="s">
        <v>54</v>
      </c>
      <c r="S520">
        <v>0</v>
      </c>
      <c r="T520">
        <v>0.25</v>
      </c>
    </row>
    <row r="521" spans="1:20" x14ac:dyDescent="0.25">
      <c r="A521" t="s">
        <v>370</v>
      </c>
      <c r="B521" t="s">
        <v>142</v>
      </c>
      <c r="C521" t="s">
        <v>371</v>
      </c>
      <c r="D521" s="1">
        <v>45474</v>
      </c>
      <c r="E521" s="1">
        <v>45901</v>
      </c>
      <c r="F521">
        <v>1</v>
      </c>
      <c r="G521">
        <v>1</v>
      </c>
      <c r="H521" t="s">
        <v>182</v>
      </c>
      <c r="I521" t="s">
        <v>183</v>
      </c>
      <c r="J521" t="s">
        <v>184</v>
      </c>
      <c r="K521" t="s">
        <v>26</v>
      </c>
      <c r="L521" t="s">
        <v>185</v>
      </c>
      <c r="M521">
        <v>1</v>
      </c>
      <c r="N521">
        <v>20.39</v>
      </c>
      <c r="O521">
        <v>4.58</v>
      </c>
      <c r="P521">
        <v>0.1</v>
      </c>
      <c r="Q521">
        <v>0.46</v>
      </c>
      <c r="R521" t="s">
        <v>54</v>
      </c>
      <c r="S521">
        <v>0</v>
      </c>
      <c r="T521">
        <v>0.46</v>
      </c>
    </row>
    <row r="522" spans="1:20" x14ac:dyDescent="0.25">
      <c r="A522" t="s">
        <v>370</v>
      </c>
      <c r="B522" t="s">
        <v>142</v>
      </c>
      <c r="C522" t="s">
        <v>371</v>
      </c>
      <c r="D522" s="1">
        <v>45474</v>
      </c>
      <c r="E522" s="1">
        <v>45901</v>
      </c>
      <c r="F522">
        <v>1</v>
      </c>
      <c r="G522">
        <v>1</v>
      </c>
      <c r="H522" t="s">
        <v>182</v>
      </c>
      <c r="I522" t="s">
        <v>183</v>
      </c>
      <c r="J522" t="s">
        <v>184</v>
      </c>
      <c r="K522" t="s">
        <v>26</v>
      </c>
      <c r="L522" t="s">
        <v>189</v>
      </c>
      <c r="M522">
        <v>1</v>
      </c>
      <c r="N522">
        <v>0</v>
      </c>
      <c r="O522">
        <v>0.65</v>
      </c>
      <c r="P522">
        <v>0.1</v>
      </c>
      <c r="Q522">
        <v>7.0000000000000007E-2</v>
      </c>
      <c r="R522" t="s">
        <v>54</v>
      </c>
      <c r="S522">
        <v>0</v>
      </c>
      <c r="T522">
        <v>7.0000000000000007E-2</v>
      </c>
    </row>
    <row r="523" spans="1:20" x14ac:dyDescent="0.25">
      <c r="A523" t="s">
        <v>370</v>
      </c>
      <c r="B523" t="s">
        <v>142</v>
      </c>
      <c r="C523" t="s">
        <v>371</v>
      </c>
      <c r="D523" s="1">
        <v>45474</v>
      </c>
      <c r="E523" s="1">
        <v>45901</v>
      </c>
      <c r="F523">
        <v>1</v>
      </c>
      <c r="G523">
        <v>1</v>
      </c>
      <c r="H523" t="s">
        <v>182</v>
      </c>
      <c r="I523" t="s">
        <v>183</v>
      </c>
      <c r="J523" t="s">
        <v>184</v>
      </c>
      <c r="K523" t="s">
        <v>26</v>
      </c>
      <c r="L523" t="s">
        <v>187</v>
      </c>
      <c r="M523">
        <v>1</v>
      </c>
      <c r="N523">
        <v>0</v>
      </c>
      <c r="O523">
        <v>7.58</v>
      </c>
      <c r="P523">
        <v>0.1</v>
      </c>
      <c r="Q523">
        <v>0.76</v>
      </c>
      <c r="R523" t="s">
        <v>54</v>
      </c>
      <c r="S523">
        <v>0</v>
      </c>
      <c r="T523">
        <v>0.76</v>
      </c>
    </row>
    <row r="524" spans="1:20" x14ac:dyDescent="0.25">
      <c r="A524" t="s">
        <v>370</v>
      </c>
      <c r="B524" t="s">
        <v>142</v>
      </c>
      <c r="C524" t="s">
        <v>371</v>
      </c>
      <c r="D524" s="1">
        <v>45474</v>
      </c>
      <c r="E524" s="1">
        <v>45901</v>
      </c>
      <c r="F524">
        <v>1</v>
      </c>
      <c r="G524">
        <v>1</v>
      </c>
      <c r="H524" t="s">
        <v>182</v>
      </c>
      <c r="I524" t="s">
        <v>183</v>
      </c>
      <c r="J524" t="s">
        <v>184</v>
      </c>
      <c r="K524" t="s">
        <v>26</v>
      </c>
      <c r="L524" t="s">
        <v>188</v>
      </c>
      <c r="M524">
        <v>1</v>
      </c>
      <c r="N524">
        <v>0</v>
      </c>
      <c r="O524">
        <v>4.25</v>
      </c>
      <c r="P524">
        <v>0.1</v>
      </c>
      <c r="Q524">
        <v>0.43</v>
      </c>
      <c r="R524" t="s">
        <v>54</v>
      </c>
      <c r="S524">
        <v>0</v>
      </c>
      <c r="T524">
        <v>0.43</v>
      </c>
    </row>
    <row r="525" spans="1:20" x14ac:dyDescent="0.25">
      <c r="A525" t="s">
        <v>370</v>
      </c>
      <c r="B525" t="s">
        <v>142</v>
      </c>
      <c r="C525" t="s">
        <v>371</v>
      </c>
      <c r="D525" s="1">
        <v>45474</v>
      </c>
      <c r="E525" s="1">
        <v>45901</v>
      </c>
      <c r="F525">
        <v>1</v>
      </c>
      <c r="G525">
        <v>1</v>
      </c>
      <c r="H525" t="s">
        <v>182</v>
      </c>
      <c r="I525" t="s">
        <v>183</v>
      </c>
      <c r="J525" t="s">
        <v>184</v>
      </c>
      <c r="K525" t="s">
        <v>26</v>
      </c>
      <c r="L525" t="s">
        <v>186</v>
      </c>
      <c r="M525">
        <v>1</v>
      </c>
      <c r="N525">
        <v>0</v>
      </c>
      <c r="O525">
        <v>1.25</v>
      </c>
      <c r="P525">
        <v>0.1</v>
      </c>
      <c r="Q525">
        <v>0.13</v>
      </c>
      <c r="R525" t="s">
        <v>54</v>
      </c>
      <c r="S525">
        <v>0</v>
      </c>
      <c r="T525">
        <v>0.13</v>
      </c>
    </row>
    <row r="526" spans="1:20" x14ac:dyDescent="0.25">
      <c r="A526" t="s">
        <v>372</v>
      </c>
      <c r="B526" t="s">
        <v>166</v>
      </c>
      <c r="C526" t="s">
        <v>373</v>
      </c>
      <c r="D526" s="1">
        <v>45474</v>
      </c>
      <c r="E526" s="1">
        <v>45901</v>
      </c>
      <c r="F526">
        <v>1</v>
      </c>
      <c r="G526">
        <v>1</v>
      </c>
      <c r="H526" t="s">
        <v>182</v>
      </c>
      <c r="I526" t="s">
        <v>183</v>
      </c>
      <c r="J526" t="s">
        <v>184</v>
      </c>
      <c r="K526" t="s">
        <v>26</v>
      </c>
      <c r="L526" t="s">
        <v>185</v>
      </c>
      <c r="M526">
        <v>1</v>
      </c>
      <c r="N526">
        <v>15.58</v>
      </c>
      <c r="O526">
        <v>5.83</v>
      </c>
      <c r="P526">
        <v>0.1</v>
      </c>
      <c r="Q526">
        <v>0.57999999999999996</v>
      </c>
      <c r="R526" t="s">
        <v>54</v>
      </c>
      <c r="S526">
        <v>0</v>
      </c>
      <c r="T526">
        <v>0.57999999999999996</v>
      </c>
    </row>
    <row r="527" spans="1:20" x14ac:dyDescent="0.25">
      <c r="A527" t="s">
        <v>372</v>
      </c>
      <c r="B527" t="s">
        <v>166</v>
      </c>
      <c r="C527" t="s">
        <v>373</v>
      </c>
      <c r="D527" s="1">
        <v>45474</v>
      </c>
      <c r="E527" s="1">
        <v>45901</v>
      </c>
      <c r="F527">
        <v>1</v>
      </c>
      <c r="G527">
        <v>1</v>
      </c>
      <c r="H527" t="s">
        <v>182</v>
      </c>
      <c r="I527" t="s">
        <v>183</v>
      </c>
      <c r="J527" t="s">
        <v>184</v>
      </c>
      <c r="K527" t="s">
        <v>26</v>
      </c>
      <c r="L527" t="s">
        <v>189</v>
      </c>
      <c r="M527">
        <v>1</v>
      </c>
      <c r="N527">
        <v>0</v>
      </c>
      <c r="O527">
        <v>0.57999999999999996</v>
      </c>
      <c r="P527">
        <v>0.1</v>
      </c>
      <c r="Q527">
        <v>0.06</v>
      </c>
      <c r="R527" t="s">
        <v>54</v>
      </c>
      <c r="S527">
        <v>0</v>
      </c>
      <c r="T527">
        <v>0.06</v>
      </c>
    </row>
    <row r="528" spans="1:20" x14ac:dyDescent="0.25">
      <c r="A528" t="s">
        <v>372</v>
      </c>
      <c r="B528" t="s">
        <v>166</v>
      </c>
      <c r="C528" t="s">
        <v>373</v>
      </c>
      <c r="D528" s="1">
        <v>45474</v>
      </c>
      <c r="E528" s="1">
        <v>45901</v>
      </c>
      <c r="F528">
        <v>1</v>
      </c>
      <c r="G528">
        <v>1</v>
      </c>
      <c r="H528" t="s">
        <v>182</v>
      </c>
      <c r="I528" t="s">
        <v>183</v>
      </c>
      <c r="J528" t="s">
        <v>184</v>
      </c>
      <c r="K528" t="s">
        <v>26</v>
      </c>
      <c r="L528" t="s">
        <v>188</v>
      </c>
      <c r="M528">
        <v>1</v>
      </c>
      <c r="N528">
        <v>0</v>
      </c>
      <c r="O528">
        <v>3.42</v>
      </c>
      <c r="P528">
        <v>0.1</v>
      </c>
      <c r="Q528">
        <v>0.34</v>
      </c>
      <c r="R528" t="s">
        <v>54</v>
      </c>
      <c r="S528">
        <v>0</v>
      </c>
      <c r="T528">
        <v>0.34</v>
      </c>
    </row>
    <row r="529" spans="1:20" x14ac:dyDescent="0.25">
      <c r="A529" t="s">
        <v>372</v>
      </c>
      <c r="B529" t="s">
        <v>166</v>
      </c>
      <c r="C529" t="s">
        <v>373</v>
      </c>
      <c r="D529" s="1">
        <v>45474</v>
      </c>
      <c r="E529" s="1">
        <v>45901</v>
      </c>
      <c r="F529">
        <v>1</v>
      </c>
      <c r="G529">
        <v>1</v>
      </c>
      <c r="H529" t="s">
        <v>182</v>
      </c>
      <c r="I529" t="s">
        <v>183</v>
      </c>
      <c r="J529" t="s">
        <v>184</v>
      </c>
      <c r="K529" t="s">
        <v>26</v>
      </c>
      <c r="L529" t="s">
        <v>374</v>
      </c>
      <c r="M529">
        <v>1</v>
      </c>
      <c r="N529">
        <v>0</v>
      </c>
      <c r="O529">
        <v>1.25</v>
      </c>
      <c r="P529">
        <v>0.1</v>
      </c>
      <c r="Q529">
        <v>0.13</v>
      </c>
      <c r="R529" t="s">
        <v>54</v>
      </c>
      <c r="S529">
        <v>0</v>
      </c>
      <c r="T529">
        <v>0.13</v>
      </c>
    </row>
    <row r="530" spans="1:20" x14ac:dyDescent="0.25">
      <c r="A530" t="s">
        <v>372</v>
      </c>
      <c r="B530" t="s">
        <v>166</v>
      </c>
      <c r="C530" t="s">
        <v>373</v>
      </c>
      <c r="D530" s="1">
        <v>45474</v>
      </c>
      <c r="E530" s="1">
        <v>45901</v>
      </c>
      <c r="F530">
        <v>1</v>
      </c>
      <c r="G530">
        <v>1</v>
      </c>
      <c r="H530" t="s">
        <v>182</v>
      </c>
      <c r="I530" t="s">
        <v>183</v>
      </c>
      <c r="J530" t="s">
        <v>184</v>
      </c>
      <c r="K530" t="s">
        <v>26</v>
      </c>
      <c r="L530" t="s">
        <v>186</v>
      </c>
      <c r="M530">
        <v>1</v>
      </c>
      <c r="N530">
        <v>0</v>
      </c>
      <c r="O530">
        <v>0.25</v>
      </c>
      <c r="P530">
        <v>0.1</v>
      </c>
      <c r="Q530">
        <v>0.03</v>
      </c>
      <c r="R530" t="s">
        <v>54</v>
      </c>
      <c r="S530">
        <v>0</v>
      </c>
      <c r="T530">
        <v>0.03</v>
      </c>
    </row>
    <row r="531" spans="1:20" x14ac:dyDescent="0.25">
      <c r="A531" t="s">
        <v>372</v>
      </c>
      <c r="B531" t="s">
        <v>166</v>
      </c>
      <c r="C531" t="s">
        <v>373</v>
      </c>
      <c r="D531" s="1">
        <v>45474</v>
      </c>
      <c r="E531" s="1">
        <v>45901</v>
      </c>
      <c r="F531">
        <v>1</v>
      </c>
      <c r="G531">
        <v>1</v>
      </c>
      <c r="H531" t="s">
        <v>182</v>
      </c>
      <c r="I531" t="s">
        <v>183</v>
      </c>
      <c r="J531" t="s">
        <v>184</v>
      </c>
      <c r="K531" t="s">
        <v>26</v>
      </c>
      <c r="L531" t="s">
        <v>187</v>
      </c>
      <c r="M531">
        <v>1</v>
      </c>
      <c r="N531">
        <v>0</v>
      </c>
      <c r="O531">
        <v>2.17</v>
      </c>
      <c r="P531">
        <v>0.1</v>
      </c>
      <c r="Q531">
        <v>0.22</v>
      </c>
      <c r="R531" t="s">
        <v>54</v>
      </c>
      <c r="S531">
        <v>0</v>
      </c>
      <c r="T531">
        <v>0.22</v>
      </c>
    </row>
    <row r="532" spans="1:20" x14ac:dyDescent="0.25">
      <c r="A532" t="s">
        <v>375</v>
      </c>
      <c r="B532" t="s">
        <v>166</v>
      </c>
      <c r="C532" t="s">
        <v>376</v>
      </c>
      <c r="D532" s="1">
        <v>45480</v>
      </c>
      <c r="E532" s="1">
        <v>45907</v>
      </c>
      <c r="F532">
        <v>1</v>
      </c>
      <c r="G532">
        <v>7</v>
      </c>
      <c r="H532" t="s">
        <v>182</v>
      </c>
      <c r="I532" t="s">
        <v>183</v>
      </c>
      <c r="J532" t="s">
        <v>184</v>
      </c>
      <c r="K532" t="s">
        <v>26</v>
      </c>
      <c r="L532" t="s">
        <v>185</v>
      </c>
      <c r="M532">
        <v>1</v>
      </c>
      <c r="N532">
        <v>29.58</v>
      </c>
      <c r="O532">
        <v>10.83</v>
      </c>
      <c r="P532">
        <v>0.1</v>
      </c>
      <c r="Q532">
        <v>1.08</v>
      </c>
      <c r="R532" t="s">
        <v>54</v>
      </c>
      <c r="S532">
        <v>0</v>
      </c>
      <c r="T532">
        <v>1.08</v>
      </c>
    </row>
    <row r="533" spans="1:20" x14ac:dyDescent="0.25">
      <c r="A533" t="s">
        <v>375</v>
      </c>
      <c r="B533" t="s">
        <v>166</v>
      </c>
      <c r="C533" t="s">
        <v>376</v>
      </c>
      <c r="D533" s="1">
        <v>45480</v>
      </c>
      <c r="E533" s="1">
        <v>45907</v>
      </c>
      <c r="F533">
        <v>1</v>
      </c>
      <c r="G533">
        <v>7</v>
      </c>
      <c r="H533" t="s">
        <v>182</v>
      </c>
      <c r="I533" t="s">
        <v>183</v>
      </c>
      <c r="J533" t="s">
        <v>184</v>
      </c>
      <c r="K533" t="s">
        <v>26</v>
      </c>
      <c r="L533" t="s">
        <v>189</v>
      </c>
      <c r="M533">
        <v>1</v>
      </c>
      <c r="N533">
        <v>0</v>
      </c>
      <c r="O533">
        <v>1.46</v>
      </c>
      <c r="P533">
        <v>0.1</v>
      </c>
      <c r="Q533">
        <v>0.15</v>
      </c>
      <c r="R533" t="s">
        <v>54</v>
      </c>
      <c r="S533">
        <v>0</v>
      </c>
      <c r="T533">
        <v>0.15</v>
      </c>
    </row>
    <row r="534" spans="1:20" x14ac:dyDescent="0.25">
      <c r="A534" t="s">
        <v>375</v>
      </c>
      <c r="B534" t="s">
        <v>166</v>
      </c>
      <c r="C534" t="s">
        <v>376</v>
      </c>
      <c r="D534" s="1">
        <v>45480</v>
      </c>
      <c r="E534" s="1">
        <v>45907</v>
      </c>
      <c r="F534">
        <v>1</v>
      </c>
      <c r="G534">
        <v>7</v>
      </c>
      <c r="H534" t="s">
        <v>182</v>
      </c>
      <c r="I534" t="s">
        <v>183</v>
      </c>
      <c r="J534" t="s">
        <v>184</v>
      </c>
      <c r="K534" t="s">
        <v>26</v>
      </c>
      <c r="L534" t="s">
        <v>188</v>
      </c>
      <c r="M534">
        <v>1</v>
      </c>
      <c r="N534">
        <v>0</v>
      </c>
      <c r="O534">
        <v>4.42</v>
      </c>
      <c r="P534">
        <v>0.1</v>
      </c>
      <c r="Q534">
        <v>0.44</v>
      </c>
      <c r="R534" t="s">
        <v>54</v>
      </c>
      <c r="S534">
        <v>0</v>
      </c>
      <c r="T534">
        <v>0.44</v>
      </c>
    </row>
    <row r="535" spans="1:20" x14ac:dyDescent="0.25">
      <c r="A535" t="s">
        <v>375</v>
      </c>
      <c r="B535" t="s">
        <v>166</v>
      </c>
      <c r="C535" t="s">
        <v>376</v>
      </c>
      <c r="D535" s="1">
        <v>45480</v>
      </c>
      <c r="E535" s="1">
        <v>45907</v>
      </c>
      <c r="F535">
        <v>1</v>
      </c>
      <c r="G535">
        <v>7</v>
      </c>
      <c r="H535" t="s">
        <v>182</v>
      </c>
      <c r="I535" t="s">
        <v>183</v>
      </c>
      <c r="J535" t="s">
        <v>184</v>
      </c>
      <c r="K535" t="s">
        <v>26</v>
      </c>
      <c r="L535" t="s">
        <v>186</v>
      </c>
      <c r="M535">
        <v>1</v>
      </c>
      <c r="N535">
        <v>0</v>
      </c>
      <c r="O535">
        <v>1.58</v>
      </c>
      <c r="P535">
        <v>0.1</v>
      </c>
      <c r="Q535">
        <v>0.16</v>
      </c>
      <c r="R535" t="s">
        <v>54</v>
      </c>
      <c r="S535">
        <v>0</v>
      </c>
      <c r="T535">
        <v>0.16</v>
      </c>
    </row>
    <row r="536" spans="1:20" x14ac:dyDescent="0.25">
      <c r="A536" t="s">
        <v>375</v>
      </c>
      <c r="B536" t="s">
        <v>166</v>
      </c>
      <c r="C536" t="s">
        <v>376</v>
      </c>
      <c r="D536" s="1">
        <v>45480</v>
      </c>
      <c r="E536" s="1">
        <v>45907</v>
      </c>
      <c r="F536">
        <v>1</v>
      </c>
      <c r="G536">
        <v>7</v>
      </c>
      <c r="H536" t="s">
        <v>182</v>
      </c>
      <c r="I536" t="s">
        <v>183</v>
      </c>
      <c r="J536" t="s">
        <v>184</v>
      </c>
      <c r="K536" t="s">
        <v>26</v>
      </c>
      <c r="L536" t="s">
        <v>187</v>
      </c>
      <c r="M536">
        <v>1</v>
      </c>
      <c r="N536">
        <v>0</v>
      </c>
      <c r="O536">
        <v>9.2100000000000009</v>
      </c>
      <c r="P536">
        <v>0.1</v>
      </c>
      <c r="Q536">
        <v>0.92</v>
      </c>
      <c r="R536" t="s">
        <v>54</v>
      </c>
      <c r="S536">
        <v>0</v>
      </c>
      <c r="T536">
        <v>0.92</v>
      </c>
    </row>
    <row r="537" spans="1:20" x14ac:dyDescent="0.25">
      <c r="A537" t="s">
        <v>377</v>
      </c>
      <c r="B537" t="s">
        <v>166</v>
      </c>
      <c r="C537" t="s">
        <v>378</v>
      </c>
      <c r="D537" s="1">
        <v>45481</v>
      </c>
      <c r="E537" s="1">
        <v>45908</v>
      </c>
      <c r="F537">
        <v>1</v>
      </c>
      <c r="G537">
        <v>8</v>
      </c>
      <c r="H537" t="s">
        <v>182</v>
      </c>
      <c r="I537" t="s">
        <v>183</v>
      </c>
      <c r="J537" t="s">
        <v>184</v>
      </c>
      <c r="K537" t="s">
        <v>26</v>
      </c>
      <c r="L537" t="s">
        <v>185</v>
      </c>
      <c r="M537">
        <v>1</v>
      </c>
      <c r="N537">
        <v>78.08</v>
      </c>
      <c r="O537">
        <v>47.5</v>
      </c>
      <c r="P537">
        <v>0.1</v>
      </c>
      <c r="Q537">
        <v>4.75</v>
      </c>
      <c r="R537" t="s">
        <v>54</v>
      </c>
      <c r="S537">
        <v>0</v>
      </c>
      <c r="T537">
        <v>4.75</v>
      </c>
    </row>
    <row r="538" spans="1:20" x14ac:dyDescent="0.25">
      <c r="A538" t="s">
        <v>377</v>
      </c>
      <c r="B538" t="s">
        <v>166</v>
      </c>
      <c r="C538" t="s">
        <v>378</v>
      </c>
      <c r="D538" s="1">
        <v>45481</v>
      </c>
      <c r="E538" s="1">
        <v>45908</v>
      </c>
      <c r="F538">
        <v>1</v>
      </c>
      <c r="G538">
        <v>8</v>
      </c>
      <c r="H538" t="s">
        <v>182</v>
      </c>
      <c r="I538" t="s">
        <v>183</v>
      </c>
      <c r="J538" t="s">
        <v>184</v>
      </c>
      <c r="K538" t="s">
        <v>26</v>
      </c>
      <c r="L538" t="s">
        <v>189</v>
      </c>
      <c r="M538">
        <v>1</v>
      </c>
      <c r="N538">
        <v>0</v>
      </c>
      <c r="O538">
        <v>6.5</v>
      </c>
      <c r="P538">
        <v>0.1</v>
      </c>
      <c r="Q538">
        <v>0.65</v>
      </c>
      <c r="R538" t="s">
        <v>54</v>
      </c>
      <c r="S538">
        <v>0</v>
      </c>
      <c r="T538">
        <v>0.65</v>
      </c>
    </row>
    <row r="539" spans="1:20" x14ac:dyDescent="0.25">
      <c r="A539" t="s">
        <v>377</v>
      </c>
      <c r="B539" t="s">
        <v>166</v>
      </c>
      <c r="C539" t="s">
        <v>378</v>
      </c>
      <c r="D539" s="1">
        <v>45481</v>
      </c>
      <c r="E539" s="1">
        <v>45908</v>
      </c>
      <c r="F539">
        <v>1</v>
      </c>
      <c r="G539">
        <v>8</v>
      </c>
      <c r="H539" t="s">
        <v>182</v>
      </c>
      <c r="I539" t="s">
        <v>183</v>
      </c>
      <c r="J539" t="s">
        <v>184</v>
      </c>
      <c r="K539" t="s">
        <v>26</v>
      </c>
      <c r="L539" t="s">
        <v>188</v>
      </c>
      <c r="M539">
        <v>1</v>
      </c>
      <c r="N539">
        <v>0</v>
      </c>
      <c r="O539">
        <v>4.58</v>
      </c>
      <c r="P539">
        <v>0.1</v>
      </c>
      <c r="Q539">
        <v>0.46</v>
      </c>
      <c r="R539" t="s">
        <v>54</v>
      </c>
      <c r="S539">
        <v>0</v>
      </c>
      <c r="T539">
        <v>0.46</v>
      </c>
    </row>
    <row r="540" spans="1:20" x14ac:dyDescent="0.25">
      <c r="A540" t="s">
        <v>377</v>
      </c>
      <c r="B540" t="s">
        <v>166</v>
      </c>
      <c r="C540" t="s">
        <v>378</v>
      </c>
      <c r="D540" s="1">
        <v>45481</v>
      </c>
      <c r="E540" s="1">
        <v>45908</v>
      </c>
      <c r="F540">
        <v>1</v>
      </c>
      <c r="G540">
        <v>8</v>
      </c>
      <c r="H540" t="s">
        <v>182</v>
      </c>
      <c r="I540" t="s">
        <v>183</v>
      </c>
      <c r="J540" t="s">
        <v>184</v>
      </c>
      <c r="K540" t="s">
        <v>26</v>
      </c>
      <c r="L540" t="s">
        <v>187</v>
      </c>
      <c r="M540">
        <v>1</v>
      </c>
      <c r="N540">
        <v>0</v>
      </c>
      <c r="O540">
        <v>13</v>
      </c>
      <c r="P540">
        <v>0.1</v>
      </c>
      <c r="Q540">
        <v>1.3</v>
      </c>
      <c r="R540" t="s">
        <v>54</v>
      </c>
      <c r="S540">
        <v>0</v>
      </c>
      <c r="T540">
        <v>1.3</v>
      </c>
    </row>
    <row r="541" spans="1:20" x14ac:dyDescent="0.25">
      <c r="A541" t="s">
        <v>377</v>
      </c>
      <c r="B541" t="s">
        <v>166</v>
      </c>
      <c r="C541" t="s">
        <v>378</v>
      </c>
      <c r="D541" s="1">
        <v>45481</v>
      </c>
      <c r="E541" s="1">
        <v>45908</v>
      </c>
      <c r="F541">
        <v>1</v>
      </c>
      <c r="G541">
        <v>8</v>
      </c>
      <c r="H541" t="s">
        <v>182</v>
      </c>
      <c r="I541" t="s">
        <v>183</v>
      </c>
      <c r="J541" t="s">
        <v>184</v>
      </c>
      <c r="K541" t="s">
        <v>26</v>
      </c>
      <c r="L541" t="s">
        <v>186</v>
      </c>
      <c r="M541">
        <v>1</v>
      </c>
      <c r="N541">
        <v>0</v>
      </c>
      <c r="O541">
        <v>4.42</v>
      </c>
      <c r="P541">
        <v>0.1</v>
      </c>
      <c r="Q541">
        <v>0.44</v>
      </c>
      <c r="R541" t="s">
        <v>54</v>
      </c>
      <c r="S541">
        <v>0</v>
      </c>
      <c r="T541">
        <v>0.44</v>
      </c>
    </row>
    <row r="542" spans="1:20" x14ac:dyDescent="0.25">
      <c r="A542" t="s">
        <v>379</v>
      </c>
      <c r="B542" t="s">
        <v>166</v>
      </c>
      <c r="C542" t="s">
        <v>380</v>
      </c>
      <c r="D542" s="1">
        <v>45488</v>
      </c>
      <c r="E542" s="1">
        <v>45915</v>
      </c>
      <c r="F542">
        <v>1</v>
      </c>
      <c r="G542">
        <v>15</v>
      </c>
      <c r="H542" t="s">
        <v>182</v>
      </c>
      <c r="I542" t="s">
        <v>183</v>
      </c>
      <c r="J542" t="s">
        <v>184</v>
      </c>
      <c r="K542" t="s">
        <v>26</v>
      </c>
      <c r="L542" t="s">
        <v>185</v>
      </c>
      <c r="M542">
        <v>1</v>
      </c>
      <c r="N542">
        <v>33.08</v>
      </c>
      <c r="O542">
        <v>7.92</v>
      </c>
      <c r="P542">
        <v>0.1</v>
      </c>
      <c r="Q542">
        <v>0.79</v>
      </c>
      <c r="R542" t="s">
        <v>54</v>
      </c>
      <c r="S542">
        <v>0</v>
      </c>
      <c r="T542">
        <v>0.79</v>
      </c>
    </row>
    <row r="543" spans="1:20" x14ac:dyDescent="0.25">
      <c r="A543" t="s">
        <v>379</v>
      </c>
      <c r="B543" t="s">
        <v>166</v>
      </c>
      <c r="C543" t="s">
        <v>380</v>
      </c>
      <c r="D543" s="1">
        <v>45488</v>
      </c>
      <c r="E543" s="1">
        <v>45915</v>
      </c>
      <c r="F543">
        <v>1</v>
      </c>
      <c r="G543">
        <v>15</v>
      </c>
      <c r="H543" t="s">
        <v>182</v>
      </c>
      <c r="I543" t="s">
        <v>183</v>
      </c>
      <c r="J543" t="s">
        <v>184</v>
      </c>
      <c r="K543" t="s">
        <v>26</v>
      </c>
      <c r="L543" t="s">
        <v>189</v>
      </c>
      <c r="M543">
        <v>1</v>
      </c>
      <c r="N543">
        <v>0</v>
      </c>
      <c r="O543">
        <v>1.08</v>
      </c>
      <c r="P543">
        <v>0.1</v>
      </c>
      <c r="Q543">
        <v>0.11</v>
      </c>
      <c r="R543" t="s">
        <v>54</v>
      </c>
      <c r="S543">
        <v>0</v>
      </c>
      <c r="T543">
        <v>0.11</v>
      </c>
    </row>
    <row r="544" spans="1:20" x14ac:dyDescent="0.25">
      <c r="A544" t="s">
        <v>379</v>
      </c>
      <c r="B544" t="s">
        <v>166</v>
      </c>
      <c r="C544" t="s">
        <v>380</v>
      </c>
      <c r="D544" s="1">
        <v>45488</v>
      </c>
      <c r="E544" s="1">
        <v>45915</v>
      </c>
      <c r="F544">
        <v>1</v>
      </c>
      <c r="G544">
        <v>15</v>
      </c>
      <c r="H544" t="s">
        <v>182</v>
      </c>
      <c r="I544" t="s">
        <v>183</v>
      </c>
      <c r="J544" t="s">
        <v>184</v>
      </c>
      <c r="K544" t="s">
        <v>26</v>
      </c>
      <c r="L544" t="s">
        <v>186</v>
      </c>
      <c r="M544">
        <v>1</v>
      </c>
      <c r="N544">
        <v>0</v>
      </c>
      <c r="O544">
        <v>4.42</v>
      </c>
      <c r="P544">
        <v>0.1</v>
      </c>
      <c r="Q544">
        <v>0.44</v>
      </c>
      <c r="R544" t="s">
        <v>54</v>
      </c>
      <c r="S544">
        <v>0</v>
      </c>
      <c r="T544">
        <v>0.44</v>
      </c>
    </row>
    <row r="545" spans="1:20" x14ac:dyDescent="0.25">
      <c r="A545" t="s">
        <v>379</v>
      </c>
      <c r="B545" t="s">
        <v>166</v>
      </c>
      <c r="C545" t="s">
        <v>380</v>
      </c>
      <c r="D545" s="1">
        <v>45488</v>
      </c>
      <c r="E545" s="1">
        <v>45915</v>
      </c>
      <c r="F545">
        <v>1</v>
      </c>
      <c r="G545">
        <v>15</v>
      </c>
      <c r="H545" t="s">
        <v>182</v>
      </c>
      <c r="I545" t="s">
        <v>183</v>
      </c>
      <c r="J545" t="s">
        <v>184</v>
      </c>
      <c r="K545" t="s">
        <v>26</v>
      </c>
      <c r="L545" t="s">
        <v>188</v>
      </c>
      <c r="M545">
        <v>1</v>
      </c>
      <c r="N545">
        <v>0</v>
      </c>
      <c r="O545">
        <v>4.58</v>
      </c>
      <c r="P545">
        <v>0.1</v>
      </c>
      <c r="Q545">
        <v>0.46</v>
      </c>
      <c r="R545" t="s">
        <v>54</v>
      </c>
      <c r="S545">
        <v>0</v>
      </c>
      <c r="T545">
        <v>0.46</v>
      </c>
    </row>
    <row r="546" spans="1:20" x14ac:dyDescent="0.25">
      <c r="A546" t="s">
        <v>379</v>
      </c>
      <c r="B546" t="s">
        <v>166</v>
      </c>
      <c r="C546" t="s">
        <v>380</v>
      </c>
      <c r="D546" s="1">
        <v>45488</v>
      </c>
      <c r="E546" s="1">
        <v>45915</v>
      </c>
      <c r="F546">
        <v>1</v>
      </c>
      <c r="G546">
        <v>15</v>
      </c>
      <c r="H546" t="s">
        <v>182</v>
      </c>
      <c r="I546" t="s">
        <v>183</v>
      </c>
      <c r="J546" t="s">
        <v>184</v>
      </c>
      <c r="K546" t="s">
        <v>26</v>
      </c>
      <c r="L546" t="s">
        <v>187</v>
      </c>
      <c r="M546">
        <v>1</v>
      </c>
      <c r="N546">
        <v>0</v>
      </c>
      <c r="O546">
        <v>13</v>
      </c>
      <c r="P546">
        <v>0.1</v>
      </c>
      <c r="Q546">
        <v>1.3</v>
      </c>
      <c r="R546" t="s">
        <v>54</v>
      </c>
      <c r="S546">
        <v>0</v>
      </c>
      <c r="T546">
        <v>1.3</v>
      </c>
    </row>
    <row r="547" spans="1:20" x14ac:dyDescent="0.25">
      <c r="A547" t="s">
        <v>381</v>
      </c>
      <c r="B547" t="s">
        <v>166</v>
      </c>
      <c r="C547" t="s">
        <v>382</v>
      </c>
      <c r="D547" s="1">
        <v>45488</v>
      </c>
      <c r="E547" s="1">
        <v>45915</v>
      </c>
      <c r="F547">
        <v>1</v>
      </c>
      <c r="G547">
        <v>15</v>
      </c>
      <c r="H547" t="s">
        <v>182</v>
      </c>
      <c r="I547" t="s">
        <v>183</v>
      </c>
      <c r="J547" t="s">
        <v>184</v>
      </c>
      <c r="K547" t="s">
        <v>26</v>
      </c>
      <c r="L547" t="s">
        <v>185</v>
      </c>
      <c r="M547">
        <v>1</v>
      </c>
      <c r="N547">
        <v>25.24</v>
      </c>
      <c r="O547">
        <v>6.04</v>
      </c>
      <c r="P547">
        <v>0.1</v>
      </c>
      <c r="Q547">
        <v>0.6</v>
      </c>
      <c r="R547" t="s">
        <v>54</v>
      </c>
      <c r="S547">
        <v>0</v>
      </c>
      <c r="T547">
        <v>0.6</v>
      </c>
    </row>
    <row r="548" spans="1:20" x14ac:dyDescent="0.25">
      <c r="A548" t="s">
        <v>381</v>
      </c>
      <c r="B548" t="s">
        <v>166</v>
      </c>
      <c r="C548" t="s">
        <v>382</v>
      </c>
      <c r="D548" s="1">
        <v>45488</v>
      </c>
      <c r="E548" s="1">
        <v>45915</v>
      </c>
      <c r="F548">
        <v>1</v>
      </c>
      <c r="G548">
        <v>15</v>
      </c>
      <c r="H548" t="s">
        <v>182</v>
      </c>
      <c r="I548" t="s">
        <v>183</v>
      </c>
      <c r="J548" t="s">
        <v>184</v>
      </c>
      <c r="K548" t="s">
        <v>26</v>
      </c>
      <c r="L548" t="s">
        <v>186</v>
      </c>
      <c r="M548">
        <v>1</v>
      </c>
      <c r="N548">
        <v>0</v>
      </c>
      <c r="O548">
        <v>2</v>
      </c>
      <c r="P548">
        <v>0.1</v>
      </c>
      <c r="Q548">
        <v>0.2</v>
      </c>
      <c r="R548" t="s">
        <v>54</v>
      </c>
      <c r="S548">
        <v>0</v>
      </c>
      <c r="T548">
        <v>0.2</v>
      </c>
    </row>
    <row r="549" spans="1:20" x14ac:dyDescent="0.25">
      <c r="A549" t="s">
        <v>381</v>
      </c>
      <c r="B549" t="s">
        <v>166</v>
      </c>
      <c r="C549" t="s">
        <v>382</v>
      </c>
      <c r="D549" s="1">
        <v>45488</v>
      </c>
      <c r="E549" s="1">
        <v>45915</v>
      </c>
      <c r="F549">
        <v>1</v>
      </c>
      <c r="G549">
        <v>15</v>
      </c>
      <c r="H549" t="s">
        <v>182</v>
      </c>
      <c r="I549" t="s">
        <v>183</v>
      </c>
      <c r="J549" t="s">
        <v>184</v>
      </c>
      <c r="K549" t="s">
        <v>26</v>
      </c>
      <c r="L549" t="s">
        <v>189</v>
      </c>
      <c r="M549">
        <v>1</v>
      </c>
      <c r="N549">
        <v>0</v>
      </c>
      <c r="O549">
        <v>0.79</v>
      </c>
      <c r="P549">
        <v>0.1</v>
      </c>
      <c r="Q549">
        <v>0.08</v>
      </c>
      <c r="R549" t="s">
        <v>54</v>
      </c>
      <c r="S549">
        <v>0</v>
      </c>
      <c r="T549">
        <v>0.08</v>
      </c>
    </row>
    <row r="550" spans="1:20" x14ac:dyDescent="0.25">
      <c r="A550" t="s">
        <v>381</v>
      </c>
      <c r="B550" t="s">
        <v>166</v>
      </c>
      <c r="C550" t="s">
        <v>382</v>
      </c>
      <c r="D550" s="1">
        <v>45488</v>
      </c>
      <c r="E550" s="1">
        <v>45915</v>
      </c>
      <c r="F550">
        <v>1</v>
      </c>
      <c r="G550">
        <v>15</v>
      </c>
      <c r="H550" t="s">
        <v>182</v>
      </c>
      <c r="I550" t="s">
        <v>183</v>
      </c>
      <c r="J550" t="s">
        <v>184</v>
      </c>
      <c r="K550" t="s">
        <v>26</v>
      </c>
      <c r="L550" t="s">
        <v>187</v>
      </c>
      <c r="M550">
        <v>1</v>
      </c>
      <c r="N550">
        <v>0</v>
      </c>
      <c r="O550">
        <v>9.75</v>
      </c>
      <c r="P550">
        <v>0.1</v>
      </c>
      <c r="Q550">
        <v>0.98</v>
      </c>
      <c r="R550" t="s">
        <v>54</v>
      </c>
      <c r="S550">
        <v>0</v>
      </c>
      <c r="T550">
        <v>0.98</v>
      </c>
    </row>
    <row r="551" spans="1:20" x14ac:dyDescent="0.25">
      <c r="A551" t="s">
        <v>381</v>
      </c>
      <c r="B551" t="s">
        <v>166</v>
      </c>
      <c r="C551" t="s">
        <v>382</v>
      </c>
      <c r="D551" s="1">
        <v>45488</v>
      </c>
      <c r="E551" s="1">
        <v>45915</v>
      </c>
      <c r="F551">
        <v>1</v>
      </c>
      <c r="G551">
        <v>15</v>
      </c>
      <c r="H551" t="s">
        <v>182</v>
      </c>
      <c r="I551" t="s">
        <v>183</v>
      </c>
      <c r="J551" t="s">
        <v>184</v>
      </c>
      <c r="K551" t="s">
        <v>26</v>
      </c>
      <c r="L551" t="s">
        <v>188</v>
      </c>
      <c r="M551">
        <v>1</v>
      </c>
      <c r="N551">
        <v>0</v>
      </c>
      <c r="O551">
        <v>4.58</v>
      </c>
      <c r="P551">
        <v>0.1</v>
      </c>
      <c r="Q551">
        <v>0.46</v>
      </c>
      <c r="R551" t="s">
        <v>54</v>
      </c>
      <c r="S551">
        <v>0</v>
      </c>
      <c r="T551">
        <v>0.46</v>
      </c>
    </row>
    <row r="552" spans="1:20" x14ac:dyDescent="0.25">
      <c r="A552" t="s">
        <v>383</v>
      </c>
      <c r="B552" t="s">
        <v>384</v>
      </c>
      <c r="C552" t="s">
        <v>385</v>
      </c>
      <c r="D552" s="1">
        <v>45523</v>
      </c>
      <c r="E552" s="1">
        <v>45919</v>
      </c>
      <c r="F552">
        <v>1</v>
      </c>
      <c r="G552">
        <v>13</v>
      </c>
      <c r="H552" t="s">
        <v>182</v>
      </c>
      <c r="I552" t="s">
        <v>183</v>
      </c>
      <c r="J552" t="s">
        <v>184</v>
      </c>
      <c r="K552" t="s">
        <v>26</v>
      </c>
      <c r="L552" t="s">
        <v>42</v>
      </c>
      <c r="M552">
        <v>1</v>
      </c>
      <c r="N552">
        <v>84.24</v>
      </c>
      <c r="O552">
        <v>77.28</v>
      </c>
      <c r="P552">
        <v>0.1</v>
      </c>
      <c r="Q552">
        <v>7.73</v>
      </c>
      <c r="R552" t="s">
        <v>54</v>
      </c>
      <c r="S552">
        <v>0</v>
      </c>
      <c r="T552">
        <v>7.73</v>
      </c>
    </row>
    <row r="553" spans="1:20" x14ac:dyDescent="0.25">
      <c r="A553" t="s">
        <v>383</v>
      </c>
      <c r="B553" t="s">
        <v>384</v>
      </c>
      <c r="C553" t="s">
        <v>385</v>
      </c>
      <c r="D553" s="1">
        <v>45523</v>
      </c>
      <c r="E553" s="1">
        <v>45919</v>
      </c>
      <c r="F553">
        <v>1</v>
      </c>
      <c r="G553">
        <v>13</v>
      </c>
      <c r="H553" t="s">
        <v>182</v>
      </c>
      <c r="I553" t="s">
        <v>183</v>
      </c>
      <c r="J553" t="s">
        <v>184</v>
      </c>
      <c r="K553" t="s">
        <v>26</v>
      </c>
      <c r="L553" t="s">
        <v>85</v>
      </c>
      <c r="M553">
        <v>1</v>
      </c>
      <c r="N553">
        <v>0</v>
      </c>
      <c r="O553">
        <v>2.59</v>
      </c>
      <c r="P553">
        <v>0.1</v>
      </c>
      <c r="Q553">
        <v>0.26</v>
      </c>
      <c r="R553" t="s">
        <v>54</v>
      </c>
      <c r="S553">
        <v>0</v>
      </c>
      <c r="T553">
        <v>0.26</v>
      </c>
    </row>
    <row r="554" spans="1:20" x14ac:dyDescent="0.25">
      <c r="A554" t="s">
        <v>383</v>
      </c>
      <c r="B554" t="s">
        <v>384</v>
      </c>
      <c r="C554" t="s">
        <v>385</v>
      </c>
      <c r="D554" s="1">
        <v>45523</v>
      </c>
      <c r="E554" s="1">
        <v>45919</v>
      </c>
      <c r="F554">
        <v>1</v>
      </c>
      <c r="G554">
        <v>13</v>
      </c>
      <c r="H554" t="s">
        <v>182</v>
      </c>
      <c r="I554" t="s">
        <v>183</v>
      </c>
      <c r="J554" t="s">
        <v>184</v>
      </c>
      <c r="K554" t="s">
        <v>26</v>
      </c>
      <c r="L554" t="s">
        <v>86</v>
      </c>
      <c r="M554">
        <v>1</v>
      </c>
      <c r="N554">
        <v>0</v>
      </c>
      <c r="O554">
        <v>2.69</v>
      </c>
      <c r="P554">
        <v>0.1</v>
      </c>
      <c r="Q554">
        <v>0.27</v>
      </c>
      <c r="R554" t="s">
        <v>54</v>
      </c>
      <c r="S554">
        <v>0</v>
      </c>
      <c r="T554">
        <v>0.27</v>
      </c>
    </row>
    <row r="555" spans="1:20" x14ac:dyDescent="0.25">
      <c r="A555" t="s">
        <v>386</v>
      </c>
      <c r="B555" t="s">
        <v>384</v>
      </c>
      <c r="C555" t="s">
        <v>385</v>
      </c>
      <c r="D555" s="1">
        <v>45523</v>
      </c>
      <c r="E555" s="1">
        <v>45919</v>
      </c>
      <c r="F555">
        <v>1</v>
      </c>
      <c r="G555">
        <v>13</v>
      </c>
      <c r="H555" t="s">
        <v>182</v>
      </c>
      <c r="I555" t="s">
        <v>183</v>
      </c>
      <c r="J555" t="s">
        <v>184</v>
      </c>
      <c r="K555" t="s">
        <v>26</v>
      </c>
      <c r="L555" t="s">
        <v>171</v>
      </c>
      <c r="M555">
        <v>1</v>
      </c>
      <c r="N555">
        <v>103.45</v>
      </c>
      <c r="O555">
        <v>50</v>
      </c>
      <c r="P555">
        <v>0.1</v>
      </c>
      <c r="Q555">
        <v>5</v>
      </c>
      <c r="R555" t="s">
        <v>54</v>
      </c>
      <c r="S555">
        <v>0</v>
      </c>
      <c r="T555">
        <v>5</v>
      </c>
    </row>
    <row r="556" spans="1:20" x14ac:dyDescent="0.25">
      <c r="A556" t="s">
        <v>386</v>
      </c>
      <c r="B556" t="s">
        <v>384</v>
      </c>
      <c r="C556" t="s">
        <v>385</v>
      </c>
      <c r="D556" s="1">
        <v>45523</v>
      </c>
      <c r="E556" s="1">
        <v>45919</v>
      </c>
      <c r="F556">
        <v>1</v>
      </c>
      <c r="G556">
        <v>13</v>
      </c>
      <c r="H556" t="s">
        <v>182</v>
      </c>
      <c r="I556" t="s">
        <v>183</v>
      </c>
      <c r="J556" t="s">
        <v>184</v>
      </c>
      <c r="K556" t="s">
        <v>26</v>
      </c>
      <c r="L556" t="s">
        <v>186</v>
      </c>
      <c r="M556">
        <v>1</v>
      </c>
      <c r="N556">
        <v>0</v>
      </c>
      <c r="O556">
        <v>1.83</v>
      </c>
      <c r="P556">
        <v>0.1</v>
      </c>
      <c r="Q556">
        <v>0.18</v>
      </c>
      <c r="R556" t="s">
        <v>54</v>
      </c>
      <c r="S556">
        <v>0</v>
      </c>
      <c r="T556">
        <v>0.18</v>
      </c>
    </row>
    <row r="557" spans="1:20" x14ac:dyDescent="0.25">
      <c r="A557" t="s">
        <v>386</v>
      </c>
      <c r="B557" t="s">
        <v>384</v>
      </c>
      <c r="C557" t="s">
        <v>385</v>
      </c>
      <c r="D557" s="1">
        <v>45523</v>
      </c>
      <c r="E557" s="1">
        <v>45919</v>
      </c>
      <c r="F557">
        <v>1</v>
      </c>
      <c r="G557">
        <v>13</v>
      </c>
      <c r="H557" t="s">
        <v>182</v>
      </c>
      <c r="I557" t="s">
        <v>183</v>
      </c>
      <c r="J557" t="s">
        <v>184</v>
      </c>
      <c r="K557" t="s">
        <v>26</v>
      </c>
      <c r="L557" t="s">
        <v>172</v>
      </c>
      <c r="M557">
        <v>1</v>
      </c>
      <c r="N557">
        <v>0</v>
      </c>
      <c r="O557">
        <v>35</v>
      </c>
      <c r="P557">
        <v>0.1</v>
      </c>
      <c r="Q557">
        <v>3.5</v>
      </c>
      <c r="R557" t="s">
        <v>54</v>
      </c>
      <c r="S557">
        <v>0</v>
      </c>
      <c r="T557">
        <v>3.5</v>
      </c>
    </row>
    <row r="558" spans="1:20" x14ac:dyDescent="0.25">
      <c r="A558" t="s">
        <v>386</v>
      </c>
      <c r="B558" t="s">
        <v>384</v>
      </c>
      <c r="C558" t="s">
        <v>385</v>
      </c>
      <c r="D558" s="1">
        <v>45523</v>
      </c>
      <c r="E558" s="1">
        <v>45919</v>
      </c>
      <c r="F558">
        <v>1</v>
      </c>
      <c r="G558">
        <v>13</v>
      </c>
      <c r="H558" t="s">
        <v>182</v>
      </c>
      <c r="I558" t="s">
        <v>183</v>
      </c>
      <c r="J558" t="s">
        <v>184</v>
      </c>
      <c r="K558" t="s">
        <v>26</v>
      </c>
      <c r="L558" t="s">
        <v>189</v>
      </c>
      <c r="M558">
        <v>1</v>
      </c>
      <c r="N558">
        <v>0</v>
      </c>
      <c r="O558">
        <v>7.25</v>
      </c>
      <c r="P558">
        <v>0.1</v>
      </c>
      <c r="Q558">
        <v>0.73</v>
      </c>
      <c r="R558" t="s">
        <v>54</v>
      </c>
      <c r="S558">
        <v>0</v>
      </c>
      <c r="T558">
        <v>0.73</v>
      </c>
    </row>
    <row r="559" spans="1:20" x14ac:dyDescent="0.25">
      <c r="A559" t="s">
        <v>386</v>
      </c>
      <c r="B559" t="s">
        <v>384</v>
      </c>
      <c r="C559" t="s">
        <v>385</v>
      </c>
      <c r="D559" s="1">
        <v>45523</v>
      </c>
      <c r="E559" s="1">
        <v>45919</v>
      </c>
      <c r="F559">
        <v>1</v>
      </c>
      <c r="G559">
        <v>13</v>
      </c>
      <c r="H559" t="s">
        <v>182</v>
      </c>
      <c r="I559" t="s">
        <v>183</v>
      </c>
      <c r="J559" t="s">
        <v>184</v>
      </c>
      <c r="K559" t="s">
        <v>26</v>
      </c>
      <c r="L559" t="s">
        <v>285</v>
      </c>
      <c r="M559">
        <v>1</v>
      </c>
      <c r="N559">
        <v>0</v>
      </c>
      <c r="O559">
        <v>7.29</v>
      </c>
      <c r="P559">
        <v>0.1</v>
      </c>
      <c r="Q559">
        <v>0.73</v>
      </c>
      <c r="R559" t="s">
        <v>54</v>
      </c>
      <c r="S559">
        <v>0</v>
      </c>
      <c r="T559">
        <v>0.73</v>
      </c>
    </row>
    <row r="560" spans="1:20" x14ac:dyDescent="0.25">
      <c r="A560" t="s">
        <v>387</v>
      </c>
      <c r="B560" t="s">
        <v>166</v>
      </c>
      <c r="C560" t="s">
        <v>388</v>
      </c>
      <c r="D560" s="1">
        <v>45524</v>
      </c>
      <c r="E560" s="1">
        <v>45920</v>
      </c>
      <c r="F560">
        <v>1</v>
      </c>
      <c r="G560">
        <v>20</v>
      </c>
      <c r="H560" t="s">
        <v>182</v>
      </c>
      <c r="I560" t="s">
        <v>183</v>
      </c>
      <c r="J560" t="s">
        <v>184</v>
      </c>
      <c r="K560" t="s">
        <v>26</v>
      </c>
      <c r="L560" t="s">
        <v>185</v>
      </c>
      <c r="M560">
        <v>1</v>
      </c>
      <c r="N560">
        <v>86.74</v>
      </c>
      <c r="O560">
        <v>60.41</v>
      </c>
      <c r="P560">
        <v>0.1</v>
      </c>
      <c r="Q560">
        <v>6.04</v>
      </c>
      <c r="R560" t="s">
        <v>54</v>
      </c>
      <c r="S560">
        <v>0</v>
      </c>
      <c r="T560">
        <v>6.04</v>
      </c>
    </row>
    <row r="561" spans="1:20" x14ac:dyDescent="0.25">
      <c r="A561" t="s">
        <v>387</v>
      </c>
      <c r="B561" t="s">
        <v>166</v>
      </c>
      <c r="C561" t="s">
        <v>388</v>
      </c>
      <c r="D561" s="1">
        <v>45524</v>
      </c>
      <c r="E561" s="1">
        <v>45920</v>
      </c>
      <c r="F561">
        <v>1</v>
      </c>
      <c r="G561">
        <v>20</v>
      </c>
      <c r="H561" t="s">
        <v>182</v>
      </c>
      <c r="I561" t="s">
        <v>183</v>
      </c>
      <c r="J561" t="s">
        <v>184</v>
      </c>
      <c r="K561" t="s">
        <v>26</v>
      </c>
      <c r="L561" t="s">
        <v>188</v>
      </c>
      <c r="M561">
        <v>1</v>
      </c>
      <c r="N561">
        <v>0</v>
      </c>
      <c r="O561">
        <v>4.58</v>
      </c>
      <c r="P561">
        <v>0.1</v>
      </c>
      <c r="Q561">
        <v>0.46</v>
      </c>
      <c r="R561" t="s">
        <v>54</v>
      </c>
      <c r="S561">
        <v>0</v>
      </c>
      <c r="T561">
        <v>0.46</v>
      </c>
    </row>
    <row r="562" spans="1:20" x14ac:dyDescent="0.25">
      <c r="A562" t="s">
        <v>387</v>
      </c>
      <c r="B562" t="s">
        <v>166</v>
      </c>
      <c r="C562" t="s">
        <v>388</v>
      </c>
      <c r="D562" s="1">
        <v>45524</v>
      </c>
      <c r="E562" s="1">
        <v>45920</v>
      </c>
      <c r="F562">
        <v>1</v>
      </c>
      <c r="G562">
        <v>20</v>
      </c>
      <c r="H562" t="s">
        <v>182</v>
      </c>
      <c r="I562" t="s">
        <v>183</v>
      </c>
      <c r="J562" t="s">
        <v>184</v>
      </c>
      <c r="K562" t="s">
        <v>26</v>
      </c>
      <c r="L562" t="s">
        <v>187</v>
      </c>
      <c r="M562">
        <v>1</v>
      </c>
      <c r="N562">
        <v>0</v>
      </c>
      <c r="O562">
        <v>9.75</v>
      </c>
      <c r="P562">
        <v>0.1</v>
      </c>
      <c r="Q562">
        <v>0.98</v>
      </c>
      <c r="R562" t="s">
        <v>54</v>
      </c>
      <c r="S562">
        <v>0</v>
      </c>
      <c r="T562">
        <v>0.98</v>
      </c>
    </row>
    <row r="563" spans="1:20" x14ac:dyDescent="0.25">
      <c r="A563" t="s">
        <v>387</v>
      </c>
      <c r="B563" t="s">
        <v>166</v>
      </c>
      <c r="C563" t="s">
        <v>388</v>
      </c>
      <c r="D563" s="1">
        <v>45524</v>
      </c>
      <c r="E563" s="1">
        <v>45920</v>
      </c>
      <c r="F563">
        <v>1</v>
      </c>
      <c r="G563">
        <v>20</v>
      </c>
      <c r="H563" t="s">
        <v>182</v>
      </c>
      <c r="I563" t="s">
        <v>183</v>
      </c>
      <c r="J563" t="s">
        <v>184</v>
      </c>
      <c r="K563" t="s">
        <v>26</v>
      </c>
      <c r="L563" t="s">
        <v>186</v>
      </c>
      <c r="M563">
        <v>1</v>
      </c>
      <c r="N563">
        <v>0</v>
      </c>
      <c r="O563">
        <v>2</v>
      </c>
      <c r="P563">
        <v>0.1</v>
      </c>
      <c r="Q563">
        <v>0.2</v>
      </c>
      <c r="R563" t="s">
        <v>54</v>
      </c>
      <c r="S563">
        <v>0</v>
      </c>
      <c r="T563">
        <v>0.2</v>
      </c>
    </row>
    <row r="564" spans="1:20" x14ac:dyDescent="0.25">
      <c r="A564" t="s">
        <v>387</v>
      </c>
      <c r="B564" t="s">
        <v>166</v>
      </c>
      <c r="C564" t="s">
        <v>388</v>
      </c>
      <c r="D564" s="1">
        <v>45524</v>
      </c>
      <c r="E564" s="1">
        <v>45920</v>
      </c>
      <c r="F564">
        <v>1</v>
      </c>
      <c r="G564">
        <v>20</v>
      </c>
      <c r="H564" t="s">
        <v>182</v>
      </c>
      <c r="I564" t="s">
        <v>183</v>
      </c>
      <c r="J564" t="s">
        <v>184</v>
      </c>
      <c r="K564" t="s">
        <v>26</v>
      </c>
      <c r="L564" t="s">
        <v>189</v>
      </c>
      <c r="M564">
        <v>1</v>
      </c>
      <c r="N564">
        <v>0</v>
      </c>
      <c r="O564">
        <v>7.92</v>
      </c>
      <c r="P564">
        <v>0.1</v>
      </c>
      <c r="Q564">
        <v>0.79</v>
      </c>
      <c r="R564" t="s">
        <v>54</v>
      </c>
      <c r="S564">
        <v>0</v>
      </c>
      <c r="T564">
        <v>0.79</v>
      </c>
    </row>
    <row r="565" spans="1:20" x14ac:dyDescent="0.25">
      <c r="A565" t="s">
        <v>389</v>
      </c>
      <c r="B565" t="s">
        <v>21</v>
      </c>
      <c r="C565" t="s">
        <v>390</v>
      </c>
      <c r="D565" s="1">
        <v>45877</v>
      </c>
      <c r="E565" s="1">
        <v>45908</v>
      </c>
      <c r="F565">
        <v>1</v>
      </c>
      <c r="G565">
        <v>19</v>
      </c>
      <c r="H565" t="s">
        <v>391</v>
      </c>
      <c r="I565" t="s">
        <v>392</v>
      </c>
      <c r="J565" t="s">
        <v>393</v>
      </c>
      <c r="K565" t="s">
        <v>26</v>
      </c>
      <c r="L565" t="s">
        <v>394</v>
      </c>
      <c r="M565">
        <v>1</v>
      </c>
      <c r="N565">
        <v>71.28</v>
      </c>
      <c r="O565">
        <v>65.2</v>
      </c>
      <c r="P565">
        <v>0.85</v>
      </c>
      <c r="Q565">
        <v>55.42</v>
      </c>
      <c r="R565" t="s">
        <v>28</v>
      </c>
      <c r="S565">
        <v>0</v>
      </c>
      <c r="T565">
        <v>55.42</v>
      </c>
    </row>
    <row r="566" spans="1:20" x14ac:dyDescent="0.25">
      <c r="A566" t="s">
        <v>389</v>
      </c>
      <c r="B566" t="s">
        <v>21</v>
      </c>
      <c r="C566" t="s">
        <v>390</v>
      </c>
      <c r="D566" s="1">
        <v>45877</v>
      </c>
      <c r="E566" s="1">
        <v>45908</v>
      </c>
      <c r="F566">
        <v>1</v>
      </c>
      <c r="G566">
        <v>19</v>
      </c>
      <c r="H566" t="s">
        <v>391</v>
      </c>
      <c r="I566" t="s">
        <v>392</v>
      </c>
      <c r="J566" t="s">
        <v>393</v>
      </c>
      <c r="K566" t="s">
        <v>26</v>
      </c>
      <c r="L566" t="s">
        <v>395</v>
      </c>
      <c r="M566">
        <v>1</v>
      </c>
      <c r="N566">
        <v>0</v>
      </c>
      <c r="O566">
        <v>1.91</v>
      </c>
      <c r="P566">
        <v>0.85</v>
      </c>
      <c r="Q566">
        <v>1.62</v>
      </c>
      <c r="R566" t="s">
        <v>28</v>
      </c>
      <c r="S566">
        <v>0</v>
      </c>
      <c r="T566">
        <v>1.62</v>
      </c>
    </row>
    <row r="567" spans="1:20" x14ac:dyDescent="0.25">
      <c r="A567" t="s">
        <v>396</v>
      </c>
      <c r="B567" t="s">
        <v>364</v>
      </c>
      <c r="C567" t="s">
        <v>365</v>
      </c>
      <c r="D567" s="1">
        <v>45444</v>
      </c>
      <c r="E567" s="1">
        <v>45901</v>
      </c>
      <c r="F567">
        <v>1</v>
      </c>
      <c r="G567">
        <v>1</v>
      </c>
      <c r="H567" t="s">
        <v>168</v>
      </c>
      <c r="I567" t="s">
        <v>169</v>
      </c>
      <c r="J567" t="s">
        <v>170</v>
      </c>
      <c r="K567" t="s">
        <v>26</v>
      </c>
      <c r="L567" t="s">
        <v>397</v>
      </c>
      <c r="M567">
        <v>1</v>
      </c>
      <c r="N567">
        <v>12.83</v>
      </c>
      <c r="O567">
        <v>8.33</v>
      </c>
      <c r="P567">
        <v>0.05</v>
      </c>
      <c r="Q567">
        <v>0.42</v>
      </c>
      <c r="R567" t="s">
        <v>54</v>
      </c>
      <c r="S567">
        <v>0</v>
      </c>
      <c r="T567">
        <v>0.42</v>
      </c>
    </row>
    <row r="568" spans="1:20" x14ac:dyDescent="0.25">
      <c r="A568" t="s">
        <v>192</v>
      </c>
      <c r="B568" t="s">
        <v>66</v>
      </c>
      <c r="C568" t="s">
        <v>193</v>
      </c>
      <c r="D568" s="1">
        <v>45552</v>
      </c>
      <c r="E568" s="1">
        <v>45886</v>
      </c>
      <c r="F568">
        <v>1</v>
      </c>
      <c r="G568">
        <v>29</v>
      </c>
      <c r="H568" t="s">
        <v>194</v>
      </c>
      <c r="I568" t="s">
        <v>195</v>
      </c>
      <c r="J568" t="s">
        <v>196</v>
      </c>
      <c r="K568" t="s">
        <v>26</v>
      </c>
      <c r="L568" t="s">
        <v>68</v>
      </c>
      <c r="M568" t="s">
        <v>398</v>
      </c>
      <c r="N568">
        <v>327.92</v>
      </c>
      <c r="O568">
        <v>-78.59</v>
      </c>
      <c r="P568">
        <v>0.65</v>
      </c>
      <c r="Q568">
        <v>-51.08</v>
      </c>
      <c r="R568" t="s">
        <v>54</v>
      </c>
      <c r="S568">
        <v>0</v>
      </c>
      <c r="T568">
        <v>-51.08</v>
      </c>
    </row>
    <row r="569" spans="1:20" x14ac:dyDescent="0.25">
      <c r="A569" t="s">
        <v>192</v>
      </c>
      <c r="B569" t="s">
        <v>66</v>
      </c>
      <c r="C569" t="s">
        <v>193</v>
      </c>
      <c r="D569" s="1">
        <v>45552</v>
      </c>
      <c r="E569" s="1">
        <v>45886</v>
      </c>
      <c r="F569">
        <v>1</v>
      </c>
      <c r="G569">
        <v>29</v>
      </c>
      <c r="H569" t="s">
        <v>194</v>
      </c>
      <c r="I569" t="s">
        <v>195</v>
      </c>
      <c r="J569" t="s">
        <v>196</v>
      </c>
      <c r="K569" t="s">
        <v>26</v>
      </c>
      <c r="L569" t="s">
        <v>68</v>
      </c>
      <c r="M569" t="s">
        <v>398</v>
      </c>
      <c r="N569">
        <v>327.92</v>
      </c>
      <c r="O569">
        <v>-1.68</v>
      </c>
      <c r="P569">
        <v>0.65</v>
      </c>
      <c r="Q569">
        <v>-1.0900000000000001</v>
      </c>
      <c r="R569" t="s">
        <v>54</v>
      </c>
      <c r="S569">
        <v>0</v>
      </c>
      <c r="T569">
        <v>-1.0900000000000001</v>
      </c>
    </row>
    <row r="570" spans="1:20" x14ac:dyDescent="0.25">
      <c r="A570" t="s">
        <v>192</v>
      </c>
      <c r="B570" t="s">
        <v>66</v>
      </c>
      <c r="C570" t="s">
        <v>193</v>
      </c>
      <c r="D570" s="1">
        <v>45552</v>
      </c>
      <c r="E570" s="1">
        <v>45886</v>
      </c>
      <c r="F570">
        <v>1</v>
      </c>
      <c r="G570">
        <v>29</v>
      </c>
      <c r="H570" t="s">
        <v>194</v>
      </c>
      <c r="I570" t="s">
        <v>195</v>
      </c>
      <c r="J570" t="s">
        <v>196</v>
      </c>
      <c r="K570" t="s">
        <v>26</v>
      </c>
      <c r="L570" t="s">
        <v>68</v>
      </c>
      <c r="M570" t="s">
        <v>398</v>
      </c>
      <c r="N570">
        <v>327.92</v>
      </c>
      <c r="O570">
        <v>-20.350000000000001</v>
      </c>
      <c r="P570">
        <v>0.65</v>
      </c>
      <c r="Q570">
        <v>-13.23</v>
      </c>
      <c r="R570" t="s">
        <v>54</v>
      </c>
      <c r="S570">
        <v>0</v>
      </c>
      <c r="T570">
        <v>-13.23</v>
      </c>
    </row>
    <row r="571" spans="1:20" x14ac:dyDescent="0.25">
      <c r="A571" t="s">
        <v>399</v>
      </c>
      <c r="B571" t="s">
        <v>21</v>
      </c>
      <c r="C571" t="s">
        <v>400</v>
      </c>
      <c r="D571" s="1">
        <v>44936</v>
      </c>
      <c r="E571" s="1">
        <v>45852</v>
      </c>
      <c r="F571">
        <v>1</v>
      </c>
      <c r="G571">
        <v>11</v>
      </c>
      <c r="H571" t="s">
        <v>275</v>
      </c>
      <c r="I571" t="s">
        <v>276</v>
      </c>
      <c r="J571" t="s">
        <v>277</v>
      </c>
      <c r="K571" t="s">
        <v>26</v>
      </c>
      <c r="L571" t="s">
        <v>35</v>
      </c>
      <c r="M571" t="s">
        <v>401</v>
      </c>
      <c r="N571">
        <v>111.12</v>
      </c>
      <c r="O571">
        <v>-45.77</v>
      </c>
      <c r="P571">
        <v>0.13</v>
      </c>
      <c r="Q571">
        <v>-5.95</v>
      </c>
      <c r="R571" t="s">
        <v>54</v>
      </c>
      <c r="S571">
        <v>0</v>
      </c>
      <c r="T571">
        <v>-5.95</v>
      </c>
    </row>
    <row r="572" spans="1:20" x14ac:dyDescent="0.25">
      <c r="A572" t="s">
        <v>399</v>
      </c>
      <c r="B572" t="s">
        <v>21</v>
      </c>
      <c r="C572" t="s">
        <v>400</v>
      </c>
      <c r="D572" s="1">
        <v>44936</v>
      </c>
      <c r="E572" s="1">
        <v>45852</v>
      </c>
      <c r="F572">
        <v>1</v>
      </c>
      <c r="G572">
        <v>11</v>
      </c>
      <c r="H572" t="s">
        <v>275</v>
      </c>
      <c r="I572" t="s">
        <v>276</v>
      </c>
      <c r="J572" t="s">
        <v>277</v>
      </c>
      <c r="K572" t="s">
        <v>26</v>
      </c>
      <c r="L572" t="s">
        <v>37</v>
      </c>
      <c r="M572" t="s">
        <v>401</v>
      </c>
      <c r="N572">
        <v>0</v>
      </c>
      <c r="O572">
        <v>-4.21</v>
      </c>
      <c r="P572">
        <v>0.13</v>
      </c>
      <c r="Q572">
        <v>-0.55000000000000004</v>
      </c>
      <c r="R572" t="s">
        <v>54</v>
      </c>
      <c r="S572">
        <v>0</v>
      </c>
      <c r="T572">
        <v>-0.55000000000000004</v>
      </c>
    </row>
    <row r="573" spans="1:20" x14ac:dyDescent="0.25">
      <c r="A573" t="s">
        <v>399</v>
      </c>
      <c r="B573" t="s">
        <v>21</v>
      </c>
      <c r="C573" t="s">
        <v>400</v>
      </c>
      <c r="D573" s="1">
        <v>44936</v>
      </c>
      <c r="E573" s="1">
        <v>45852</v>
      </c>
      <c r="F573">
        <v>1</v>
      </c>
      <c r="G573">
        <v>11</v>
      </c>
      <c r="H573" t="s">
        <v>275</v>
      </c>
      <c r="I573" t="s">
        <v>276</v>
      </c>
      <c r="J573" t="s">
        <v>277</v>
      </c>
      <c r="K573" t="s">
        <v>26</v>
      </c>
      <c r="L573" t="s">
        <v>36</v>
      </c>
      <c r="M573" t="s">
        <v>401</v>
      </c>
      <c r="N573">
        <v>0</v>
      </c>
      <c r="O573">
        <v>-21.23</v>
      </c>
      <c r="P573">
        <v>0.13</v>
      </c>
      <c r="Q573">
        <v>-2.76</v>
      </c>
      <c r="R573" t="s">
        <v>54</v>
      </c>
      <c r="S573">
        <v>0</v>
      </c>
      <c r="T573">
        <v>-2.76</v>
      </c>
    </row>
    <row r="574" spans="1:20" x14ac:dyDescent="0.25">
      <c r="A574" t="s">
        <v>402</v>
      </c>
      <c r="B574" t="s">
        <v>21</v>
      </c>
      <c r="C574" t="s">
        <v>403</v>
      </c>
      <c r="D574" s="1">
        <v>45612</v>
      </c>
      <c r="E574" s="1">
        <v>45901</v>
      </c>
      <c r="F574">
        <v>1</v>
      </c>
      <c r="G574">
        <v>1</v>
      </c>
      <c r="H574" t="s">
        <v>23</v>
      </c>
      <c r="I574" t="s">
        <v>24</v>
      </c>
      <c r="J574" t="s">
        <v>25</v>
      </c>
      <c r="K574" t="s">
        <v>26</v>
      </c>
      <c r="L574" t="s">
        <v>27</v>
      </c>
      <c r="M574">
        <v>1</v>
      </c>
      <c r="N574">
        <v>0</v>
      </c>
      <c r="O574">
        <v>0</v>
      </c>
      <c r="P574" t="s">
        <v>404</v>
      </c>
      <c r="Q574">
        <v>0</v>
      </c>
      <c r="R574" t="s">
        <v>69</v>
      </c>
      <c r="S574">
        <v>-81.44</v>
      </c>
      <c r="T574">
        <v>-81.44</v>
      </c>
    </row>
    <row r="575" spans="1:20" x14ac:dyDescent="0.25">
      <c r="A575" t="s">
        <v>405</v>
      </c>
      <c r="B575" t="s">
        <v>406</v>
      </c>
      <c r="C575" t="s">
        <v>407</v>
      </c>
      <c r="D575" s="1">
        <v>45875</v>
      </c>
      <c r="E575" t="s">
        <v>408</v>
      </c>
      <c r="F575">
        <v>0</v>
      </c>
      <c r="G575">
        <v>6</v>
      </c>
      <c r="H575" t="s">
        <v>409</v>
      </c>
      <c r="I575" t="s">
        <v>410</v>
      </c>
      <c r="J575" t="s">
        <v>410</v>
      </c>
      <c r="K575" t="s">
        <v>411</v>
      </c>
      <c r="L575" t="s">
        <v>412</v>
      </c>
      <c r="M575" t="s">
        <v>54</v>
      </c>
      <c r="N575">
        <v>-136.88</v>
      </c>
      <c r="O575">
        <v>0</v>
      </c>
      <c r="P575" t="s">
        <v>404</v>
      </c>
      <c r="Q575">
        <v>0</v>
      </c>
      <c r="R575" t="s">
        <v>54</v>
      </c>
      <c r="S575">
        <v>0</v>
      </c>
      <c r="T575">
        <v>0</v>
      </c>
    </row>
    <row r="576" spans="1:20" x14ac:dyDescent="0.25">
      <c r="A576" t="s">
        <v>405</v>
      </c>
      <c r="B576" t="s">
        <v>406</v>
      </c>
      <c r="C576" t="s">
        <v>407</v>
      </c>
      <c r="D576" s="1">
        <v>45889</v>
      </c>
      <c r="E576" t="s">
        <v>408</v>
      </c>
      <c r="F576">
        <v>0</v>
      </c>
      <c r="G576">
        <v>20</v>
      </c>
      <c r="H576" t="s">
        <v>409</v>
      </c>
      <c r="I576" t="s">
        <v>410</v>
      </c>
      <c r="J576" t="s">
        <v>410</v>
      </c>
      <c r="K576" t="s">
        <v>411</v>
      </c>
      <c r="L576" t="s">
        <v>412</v>
      </c>
      <c r="M576" t="s">
        <v>54</v>
      </c>
      <c r="N576">
        <v>-109.4</v>
      </c>
      <c r="O576">
        <v>0</v>
      </c>
      <c r="P576" t="s">
        <v>404</v>
      </c>
      <c r="Q576">
        <v>0</v>
      </c>
      <c r="R576" t="s">
        <v>54</v>
      </c>
      <c r="S576">
        <v>0</v>
      </c>
      <c r="T576">
        <v>0</v>
      </c>
    </row>
    <row r="577" spans="1:20" x14ac:dyDescent="0.25">
      <c r="A577" t="s">
        <v>405</v>
      </c>
      <c r="B577" t="s">
        <v>406</v>
      </c>
      <c r="C577" t="s">
        <v>407</v>
      </c>
      <c r="D577" s="1">
        <v>45870</v>
      </c>
      <c r="E577" t="s">
        <v>408</v>
      </c>
      <c r="F577">
        <v>0</v>
      </c>
      <c r="G577">
        <v>1</v>
      </c>
      <c r="H577" t="s">
        <v>408</v>
      </c>
      <c r="L577" t="s">
        <v>412</v>
      </c>
      <c r="M577" t="s">
        <v>54</v>
      </c>
      <c r="N577">
        <v>-1692.53</v>
      </c>
      <c r="O577">
        <v>0</v>
      </c>
      <c r="P577" t="s">
        <v>404</v>
      </c>
      <c r="Q577">
        <v>0</v>
      </c>
      <c r="R577" t="s">
        <v>54</v>
      </c>
      <c r="S577">
        <v>0</v>
      </c>
      <c r="T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A740-5701-445E-A175-1C5510AA6899}">
  <dimension ref="A1:P573"/>
  <sheetViews>
    <sheetView tabSelected="1" topLeftCell="A483" workbookViewId="0">
      <selection activeCell="O2" sqref="O2:O573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9" max="9" width="14.5703125" customWidth="1"/>
    <col min="10" max="10" width="16.28515625" bestFit="1" customWidth="1"/>
    <col min="11" max="11" width="17.5703125" bestFit="1" customWidth="1"/>
    <col min="12" max="12" width="34.7109375" bestFit="1" customWidth="1"/>
    <col min="14" max="14" width="9.140625" style="6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7</v>
      </c>
      <c r="J1" t="s">
        <v>8</v>
      </c>
      <c r="K1" t="s">
        <v>9</v>
      </c>
      <c r="L1" t="s">
        <v>10</v>
      </c>
      <c r="M1" t="s">
        <v>14</v>
      </c>
      <c r="N1" s="6" t="s">
        <v>15</v>
      </c>
      <c r="O1" t="s">
        <v>16</v>
      </c>
    </row>
    <row r="2" spans="1:16" s="2" customFormat="1" x14ac:dyDescent="0.25">
      <c r="A2" s="2" t="s">
        <v>389</v>
      </c>
      <c r="B2" s="2" t="s">
        <v>21</v>
      </c>
      <c r="C2" s="2" t="s">
        <v>390</v>
      </c>
      <c r="D2" s="3">
        <v>45877</v>
      </c>
      <c r="E2" s="3">
        <v>45908</v>
      </c>
      <c r="F2" s="2">
        <f>DATEDIF(D2,E2,"M")</f>
        <v>1</v>
      </c>
      <c r="G2" s="2" t="s">
        <v>429</v>
      </c>
      <c r="H2" s="2" t="s">
        <v>430</v>
      </c>
      <c r="I2" s="2">
        <v>17554531</v>
      </c>
      <c r="J2" s="2" t="s">
        <v>428</v>
      </c>
      <c r="K2" s="2" t="s">
        <v>393</v>
      </c>
      <c r="L2" s="2" t="str">
        <f>CONCATENATE(J2, " ",K2)</f>
        <v xml:space="preserve">BRITTANY OLIVER              </v>
      </c>
      <c r="M2" s="2">
        <v>65.2</v>
      </c>
      <c r="N2" s="8">
        <v>0.85</v>
      </c>
      <c r="O2" s="2">
        <v>55.42</v>
      </c>
      <c r="P2" s="2" t="s">
        <v>433</v>
      </c>
    </row>
    <row r="3" spans="1:16" s="2" customFormat="1" x14ac:dyDescent="0.25">
      <c r="A3" s="2" t="s">
        <v>389</v>
      </c>
      <c r="B3" s="2" t="s">
        <v>21</v>
      </c>
      <c r="C3" s="2" t="s">
        <v>390</v>
      </c>
      <c r="D3" s="3">
        <v>45877</v>
      </c>
      <c r="E3" s="3">
        <v>45908</v>
      </c>
      <c r="F3" s="2">
        <f>DATEDIF(D3,E3,"M")</f>
        <v>1</v>
      </c>
      <c r="G3" s="2" t="s">
        <v>429</v>
      </c>
      <c r="H3" s="2" t="s">
        <v>430</v>
      </c>
      <c r="I3" s="2">
        <v>17554531</v>
      </c>
      <c r="J3" s="2" t="s">
        <v>428</v>
      </c>
      <c r="K3" s="2" t="s">
        <v>393</v>
      </c>
      <c r="L3" s="2" t="str">
        <f>CONCATENATE(J3, " ",K3)</f>
        <v xml:space="preserve">BRITTANY OLIVER              </v>
      </c>
      <c r="M3" s="2">
        <v>1.91</v>
      </c>
      <c r="N3" s="8">
        <v>0.85</v>
      </c>
      <c r="O3" s="2">
        <v>1.62</v>
      </c>
      <c r="P3" s="2" t="s">
        <v>433</v>
      </c>
    </row>
    <row r="4" spans="1:16" s="2" customFormat="1" x14ac:dyDescent="0.25">
      <c r="A4" s="2" t="s">
        <v>38</v>
      </c>
      <c r="B4" s="2" t="s">
        <v>33</v>
      </c>
      <c r="C4" s="2" t="s">
        <v>39</v>
      </c>
      <c r="D4" s="3">
        <v>45870</v>
      </c>
      <c r="E4" s="3">
        <v>45901</v>
      </c>
      <c r="F4" s="2">
        <f>DATEDIF(D4,E4,"M")</f>
        <v>1</v>
      </c>
      <c r="G4" s="2" t="s">
        <v>429</v>
      </c>
      <c r="H4" s="2" t="s">
        <v>430</v>
      </c>
      <c r="I4" s="2">
        <v>16509456</v>
      </c>
      <c r="J4" s="2" t="s">
        <v>413</v>
      </c>
      <c r="K4" s="2" t="s">
        <v>25</v>
      </c>
      <c r="L4" s="2" t="str">
        <f>CONCATENATE(J4, " ",K4)</f>
        <v xml:space="preserve">PETER  RICHTER             </v>
      </c>
      <c r="M4" s="2">
        <v>6.25</v>
      </c>
      <c r="N4" s="8">
        <v>0.65</v>
      </c>
      <c r="O4" s="2">
        <v>4.0599999999999996</v>
      </c>
      <c r="P4" s="2" t="s">
        <v>435</v>
      </c>
    </row>
    <row r="5" spans="1:16" s="2" customFormat="1" x14ac:dyDescent="0.25">
      <c r="A5" s="2" t="s">
        <v>38</v>
      </c>
      <c r="B5" s="2" t="s">
        <v>33</v>
      </c>
      <c r="C5" s="2" t="s">
        <v>39</v>
      </c>
      <c r="D5" s="3">
        <v>45870</v>
      </c>
      <c r="E5" s="3">
        <v>45901</v>
      </c>
      <c r="F5" s="2">
        <f>DATEDIF(D5,E5,"M")</f>
        <v>1</v>
      </c>
      <c r="G5" s="2" t="s">
        <v>429</v>
      </c>
      <c r="H5" s="2" t="s">
        <v>430</v>
      </c>
      <c r="I5" s="2">
        <v>16509456</v>
      </c>
      <c r="J5" s="2" t="s">
        <v>413</v>
      </c>
      <c r="K5" s="2" t="s">
        <v>25</v>
      </c>
      <c r="L5" s="2" t="str">
        <f>CONCATENATE(J5, " ",K5)</f>
        <v xml:space="preserve">PETER  RICHTER             </v>
      </c>
      <c r="M5" s="2">
        <v>1.68</v>
      </c>
      <c r="N5" s="8">
        <v>0.65</v>
      </c>
      <c r="O5" s="2">
        <v>1.0900000000000001</v>
      </c>
      <c r="P5" s="2" t="s">
        <v>435</v>
      </c>
    </row>
    <row r="6" spans="1:16" s="2" customFormat="1" x14ac:dyDescent="0.25">
      <c r="A6" s="2" t="s">
        <v>38</v>
      </c>
      <c r="B6" s="2" t="s">
        <v>33</v>
      </c>
      <c r="C6" s="2" t="s">
        <v>39</v>
      </c>
      <c r="D6" s="3">
        <v>45870</v>
      </c>
      <c r="E6" s="3">
        <v>45901</v>
      </c>
      <c r="F6" s="2">
        <f>DATEDIF(D6,E6,"M")</f>
        <v>1</v>
      </c>
      <c r="G6" s="2" t="s">
        <v>429</v>
      </c>
      <c r="H6" s="2" t="s">
        <v>430</v>
      </c>
      <c r="I6" s="2">
        <v>16509456</v>
      </c>
      <c r="J6" s="2" t="s">
        <v>413</v>
      </c>
      <c r="K6" s="2" t="s">
        <v>25</v>
      </c>
      <c r="L6" s="2" t="str">
        <f>CONCATENATE(J6, " ",K6)</f>
        <v xml:space="preserve">PETER  RICHTER             </v>
      </c>
      <c r="M6" s="2">
        <v>13.58</v>
      </c>
      <c r="N6" s="8">
        <v>0.65</v>
      </c>
      <c r="O6" s="2">
        <v>8.83</v>
      </c>
      <c r="P6" s="2" t="s">
        <v>435</v>
      </c>
    </row>
    <row r="7" spans="1:16" s="2" customFormat="1" x14ac:dyDescent="0.25">
      <c r="A7" s="2" t="s">
        <v>38</v>
      </c>
      <c r="B7" s="2" t="s">
        <v>33</v>
      </c>
      <c r="C7" s="2" t="s">
        <v>39</v>
      </c>
      <c r="D7" s="3">
        <v>45870</v>
      </c>
      <c r="E7" s="3">
        <v>45901</v>
      </c>
      <c r="F7" s="2">
        <f>DATEDIF(D7,E7,"M")</f>
        <v>1</v>
      </c>
      <c r="G7" s="2" t="s">
        <v>429</v>
      </c>
      <c r="H7" s="2" t="s">
        <v>430</v>
      </c>
      <c r="I7" s="2">
        <v>16509456</v>
      </c>
      <c r="J7" s="2" t="s">
        <v>413</v>
      </c>
      <c r="K7" s="2" t="s">
        <v>25</v>
      </c>
      <c r="L7" s="2" t="str">
        <f>CONCATENATE(J7, " ",K7)</f>
        <v xml:space="preserve">PETER  RICHTER             </v>
      </c>
      <c r="M7" s="2">
        <v>12.43</v>
      </c>
      <c r="N7" s="8">
        <v>0.65</v>
      </c>
      <c r="O7" s="2">
        <v>8.08</v>
      </c>
      <c r="P7" s="2" t="s">
        <v>435</v>
      </c>
    </row>
    <row r="8" spans="1:16" s="2" customFormat="1" x14ac:dyDescent="0.25">
      <c r="A8" s="2" t="s">
        <v>46</v>
      </c>
      <c r="B8" s="2" t="s">
        <v>33</v>
      </c>
      <c r="C8" s="2" t="s">
        <v>47</v>
      </c>
      <c r="D8" s="3">
        <v>45880</v>
      </c>
      <c r="E8" s="3">
        <v>45911</v>
      </c>
      <c r="F8" s="2">
        <f>DATEDIF(D8,E8,"M")</f>
        <v>1</v>
      </c>
      <c r="G8" s="2" t="s">
        <v>429</v>
      </c>
      <c r="H8" s="2" t="s">
        <v>430</v>
      </c>
      <c r="I8" s="2">
        <v>16509456</v>
      </c>
      <c r="J8" s="2" t="s">
        <v>413</v>
      </c>
      <c r="K8" s="2" t="s">
        <v>25</v>
      </c>
      <c r="L8" s="2" t="str">
        <f>CONCATENATE(J8, " ",K8)</f>
        <v xml:space="preserve">PETER  RICHTER             </v>
      </c>
      <c r="M8" s="2">
        <v>44.38</v>
      </c>
      <c r="N8" s="8">
        <v>0.75</v>
      </c>
      <c r="O8" s="2">
        <v>33.29</v>
      </c>
      <c r="P8" s="2" t="s">
        <v>436</v>
      </c>
    </row>
    <row r="9" spans="1:16" s="2" customFormat="1" x14ac:dyDescent="0.25">
      <c r="A9" s="2" t="s">
        <v>46</v>
      </c>
      <c r="B9" s="2" t="s">
        <v>33</v>
      </c>
      <c r="C9" s="2" t="s">
        <v>47</v>
      </c>
      <c r="D9" s="3">
        <v>45880</v>
      </c>
      <c r="E9" s="3">
        <v>45911</v>
      </c>
      <c r="F9" s="2">
        <f>DATEDIF(D9,E9,"M")</f>
        <v>1</v>
      </c>
      <c r="G9" s="2" t="s">
        <v>429</v>
      </c>
      <c r="H9" s="2" t="s">
        <v>430</v>
      </c>
      <c r="I9" s="2">
        <v>16509456</v>
      </c>
      <c r="J9" s="2" t="s">
        <v>413</v>
      </c>
      <c r="K9" s="2" t="s">
        <v>25</v>
      </c>
      <c r="L9" s="2" t="str">
        <f>CONCATENATE(J9, " ",K9)</f>
        <v xml:space="preserve">PETER  RICHTER             </v>
      </c>
      <c r="M9" s="2">
        <v>21.6</v>
      </c>
      <c r="N9" s="8">
        <v>0.75</v>
      </c>
      <c r="O9" s="2">
        <v>16.2</v>
      </c>
      <c r="P9" s="2" t="s">
        <v>436</v>
      </c>
    </row>
    <row r="10" spans="1:16" s="2" customFormat="1" x14ac:dyDescent="0.25">
      <c r="A10" s="2" t="s">
        <v>46</v>
      </c>
      <c r="B10" s="2" t="s">
        <v>33</v>
      </c>
      <c r="C10" s="2" t="s">
        <v>47</v>
      </c>
      <c r="D10" s="3">
        <v>45880</v>
      </c>
      <c r="E10" s="3">
        <v>45911</v>
      </c>
      <c r="F10" s="2">
        <f>DATEDIF(D10,E10,"M")</f>
        <v>1</v>
      </c>
      <c r="G10" s="2" t="s">
        <v>429</v>
      </c>
      <c r="H10" s="2" t="s">
        <v>430</v>
      </c>
      <c r="I10" s="2">
        <v>16509456</v>
      </c>
      <c r="J10" s="2" t="s">
        <v>413</v>
      </c>
      <c r="K10" s="2" t="s">
        <v>25</v>
      </c>
      <c r="L10" s="2" t="str">
        <f>CONCATENATE(J10, " ",K10)</f>
        <v xml:space="preserve">PETER  RICHTER             </v>
      </c>
      <c r="M10" s="2">
        <v>3.83</v>
      </c>
      <c r="N10" s="8">
        <v>0.75</v>
      </c>
      <c r="O10" s="2">
        <v>2.87</v>
      </c>
      <c r="P10" s="2" t="s">
        <v>436</v>
      </c>
    </row>
    <row r="11" spans="1:16" s="2" customFormat="1" x14ac:dyDescent="0.25">
      <c r="A11" s="2" t="s">
        <v>139</v>
      </c>
      <c r="B11" s="2" t="s">
        <v>33</v>
      </c>
      <c r="C11" s="2" t="s">
        <v>140</v>
      </c>
      <c r="D11" s="3">
        <v>45839</v>
      </c>
      <c r="E11" s="3">
        <v>45901</v>
      </c>
      <c r="F11" s="2">
        <f>DATEDIF(D11,E11,"M")</f>
        <v>2</v>
      </c>
      <c r="G11" s="2" t="s">
        <v>429</v>
      </c>
      <c r="H11" s="2" t="s">
        <v>430</v>
      </c>
      <c r="I11" s="2">
        <v>16509456</v>
      </c>
      <c r="J11" s="2" t="s">
        <v>422</v>
      </c>
      <c r="K11" s="2" t="s">
        <v>25</v>
      </c>
      <c r="L11" s="2" t="str">
        <f>CONCATENATE(J11, " ",K11)</f>
        <v xml:space="preserve">PETER RICHTER             </v>
      </c>
      <c r="M11" s="2">
        <v>21.06</v>
      </c>
      <c r="N11" s="8">
        <v>0.65</v>
      </c>
      <c r="O11" s="2">
        <v>13.69</v>
      </c>
      <c r="P11" s="2" t="s">
        <v>435</v>
      </c>
    </row>
    <row r="12" spans="1:16" s="2" customFormat="1" x14ac:dyDescent="0.25">
      <c r="A12" s="2" t="s">
        <v>139</v>
      </c>
      <c r="B12" s="2" t="s">
        <v>33</v>
      </c>
      <c r="C12" s="2" t="s">
        <v>140</v>
      </c>
      <c r="D12" s="3">
        <v>45839</v>
      </c>
      <c r="E12" s="3">
        <v>45901</v>
      </c>
      <c r="F12" s="2">
        <f>DATEDIF(D12,E12,"M")</f>
        <v>2</v>
      </c>
      <c r="G12" s="2" t="s">
        <v>429</v>
      </c>
      <c r="H12" s="2" t="s">
        <v>430</v>
      </c>
      <c r="I12" s="2">
        <v>16509456</v>
      </c>
      <c r="J12" s="2" t="s">
        <v>422</v>
      </c>
      <c r="K12" s="2" t="s">
        <v>25</v>
      </c>
      <c r="L12" s="2" t="str">
        <f>CONCATENATE(J12, " ",K12)</f>
        <v xml:space="preserve">PETER RICHTER             </v>
      </c>
      <c r="M12" s="2">
        <v>1.68</v>
      </c>
      <c r="N12" s="8">
        <v>0.65</v>
      </c>
      <c r="O12" s="2">
        <v>1.0900000000000001</v>
      </c>
      <c r="P12" s="2" t="s">
        <v>435</v>
      </c>
    </row>
    <row r="13" spans="1:16" s="2" customFormat="1" x14ac:dyDescent="0.25">
      <c r="A13" s="2" t="s">
        <v>139</v>
      </c>
      <c r="B13" s="2" t="s">
        <v>33</v>
      </c>
      <c r="C13" s="2" t="s">
        <v>140</v>
      </c>
      <c r="D13" s="3">
        <v>45839</v>
      </c>
      <c r="E13" s="3">
        <v>45901</v>
      </c>
      <c r="F13" s="2">
        <f>DATEDIF(D13,E13,"M")</f>
        <v>2</v>
      </c>
      <c r="G13" s="2" t="s">
        <v>429</v>
      </c>
      <c r="H13" s="2" t="s">
        <v>430</v>
      </c>
      <c r="I13" s="2">
        <v>16509456</v>
      </c>
      <c r="J13" s="2" t="s">
        <v>422</v>
      </c>
      <c r="K13" s="2" t="s">
        <v>25</v>
      </c>
      <c r="L13" s="2" t="str">
        <f>CONCATENATE(J13, " ",K13)</f>
        <v xml:space="preserve">PETER RICHTER             </v>
      </c>
      <c r="M13" s="2">
        <v>12.43</v>
      </c>
      <c r="N13" s="8">
        <v>0.65</v>
      </c>
      <c r="O13" s="2">
        <v>8.08</v>
      </c>
      <c r="P13" s="2" t="s">
        <v>435</v>
      </c>
    </row>
    <row r="14" spans="1:16" s="2" customFormat="1" x14ac:dyDescent="0.25">
      <c r="A14" s="2" t="s">
        <v>139</v>
      </c>
      <c r="B14" s="2" t="s">
        <v>33</v>
      </c>
      <c r="C14" s="2" t="s">
        <v>140</v>
      </c>
      <c r="D14" s="3">
        <v>45839</v>
      </c>
      <c r="E14" s="3">
        <v>45901</v>
      </c>
      <c r="F14" s="2">
        <f>DATEDIF(D14,E14,"M")</f>
        <v>2</v>
      </c>
      <c r="G14" s="2" t="s">
        <v>429</v>
      </c>
      <c r="H14" s="2" t="s">
        <v>430</v>
      </c>
      <c r="I14" s="2">
        <v>16509456</v>
      </c>
      <c r="J14" s="2" t="s">
        <v>422</v>
      </c>
      <c r="K14" s="2" t="s">
        <v>25</v>
      </c>
      <c r="L14" s="2" t="str">
        <f>CONCATENATE(J14, " ",K14)</f>
        <v xml:space="preserve">PETER RICHTER             </v>
      </c>
      <c r="M14" s="2">
        <v>13.58</v>
      </c>
      <c r="N14" s="8">
        <v>0.65</v>
      </c>
      <c r="O14" s="2">
        <v>8.83</v>
      </c>
      <c r="P14" s="2" t="s">
        <v>435</v>
      </c>
    </row>
    <row r="15" spans="1:16" s="2" customFormat="1" x14ac:dyDescent="0.25">
      <c r="A15" s="2" t="s">
        <v>161</v>
      </c>
      <c r="B15" s="2" t="s">
        <v>142</v>
      </c>
      <c r="C15" s="2" t="s">
        <v>162</v>
      </c>
      <c r="D15" s="3">
        <v>45809</v>
      </c>
      <c r="E15" s="3">
        <v>45901</v>
      </c>
      <c r="F15" s="2">
        <f>DATEDIF(D15,E15,"M")</f>
        <v>3</v>
      </c>
      <c r="G15" s="2" t="s">
        <v>429</v>
      </c>
      <c r="H15" s="2" t="s">
        <v>430</v>
      </c>
      <c r="I15" s="2">
        <v>19645587</v>
      </c>
      <c r="J15" s="2" t="s">
        <v>414</v>
      </c>
      <c r="K15" s="2" t="s">
        <v>160</v>
      </c>
      <c r="L15" s="2" t="str">
        <f>CONCATENATE(J15, " ",K15)</f>
        <v xml:space="preserve">STACEY PORTUGAL            </v>
      </c>
      <c r="M15" s="2">
        <v>23.46</v>
      </c>
      <c r="N15" s="8">
        <v>0.65</v>
      </c>
      <c r="O15" s="2">
        <v>15.25</v>
      </c>
      <c r="P15" s="2" t="s">
        <v>435</v>
      </c>
    </row>
    <row r="16" spans="1:16" s="2" customFormat="1" x14ac:dyDescent="0.25">
      <c r="A16" s="2" t="s">
        <v>161</v>
      </c>
      <c r="B16" s="2" t="s">
        <v>142</v>
      </c>
      <c r="C16" s="2" t="s">
        <v>162</v>
      </c>
      <c r="D16" s="3">
        <v>45809</v>
      </c>
      <c r="E16" s="3">
        <v>45901</v>
      </c>
      <c r="F16" s="2">
        <f>DATEDIF(D16,E16,"M")</f>
        <v>3</v>
      </c>
      <c r="G16" s="2" t="s">
        <v>429</v>
      </c>
      <c r="H16" s="2" t="s">
        <v>430</v>
      </c>
      <c r="I16" s="2">
        <v>19645587</v>
      </c>
      <c r="J16" s="2" t="s">
        <v>414</v>
      </c>
      <c r="K16" s="2" t="s">
        <v>160</v>
      </c>
      <c r="L16" s="2" t="str">
        <f>CONCATENATE(J16, " ",K16)</f>
        <v xml:space="preserve">STACEY PORTUGAL            </v>
      </c>
      <c r="M16" s="2">
        <v>17.64</v>
      </c>
      <c r="N16" s="8">
        <v>0.65</v>
      </c>
      <c r="O16" s="2">
        <v>11.47</v>
      </c>
      <c r="P16" s="2" t="s">
        <v>435</v>
      </c>
    </row>
    <row r="17" spans="1:16" s="2" customFormat="1" x14ac:dyDescent="0.25">
      <c r="A17" s="2" t="s">
        <v>161</v>
      </c>
      <c r="B17" s="2" t="s">
        <v>142</v>
      </c>
      <c r="C17" s="2" t="s">
        <v>162</v>
      </c>
      <c r="D17" s="3">
        <v>45809</v>
      </c>
      <c r="E17" s="3">
        <v>45901</v>
      </c>
      <c r="F17" s="2">
        <f>DATEDIF(D17,E17,"M")</f>
        <v>3</v>
      </c>
      <c r="G17" s="2" t="s">
        <v>429</v>
      </c>
      <c r="H17" s="2" t="s">
        <v>430</v>
      </c>
      <c r="I17" s="2">
        <v>19645587</v>
      </c>
      <c r="J17" s="2" t="s">
        <v>414</v>
      </c>
      <c r="K17" s="2" t="s">
        <v>160</v>
      </c>
      <c r="L17" s="2" t="str">
        <f>CONCATENATE(J17, " ",K17)</f>
        <v xml:space="preserve">STACEY PORTUGAL            </v>
      </c>
      <c r="M17" s="2">
        <v>1.68</v>
      </c>
      <c r="N17" s="8">
        <v>0.65</v>
      </c>
      <c r="O17" s="2">
        <v>1.0900000000000001</v>
      </c>
      <c r="P17" s="2" t="s">
        <v>435</v>
      </c>
    </row>
    <row r="18" spans="1:16" s="2" customFormat="1" x14ac:dyDescent="0.25">
      <c r="A18" s="2" t="s">
        <v>163</v>
      </c>
      <c r="B18" s="2" t="s">
        <v>142</v>
      </c>
      <c r="C18" s="2" t="s">
        <v>164</v>
      </c>
      <c r="D18" s="3">
        <v>45749</v>
      </c>
      <c r="E18" s="3">
        <v>45902</v>
      </c>
      <c r="F18" s="2">
        <f>DATEDIF(D18,E18,"M")</f>
        <v>5</v>
      </c>
      <c r="G18" s="2" t="s">
        <v>429</v>
      </c>
      <c r="H18" s="2" t="s">
        <v>430</v>
      </c>
      <c r="I18" s="2">
        <v>19645587</v>
      </c>
      <c r="J18" s="2" t="s">
        <v>414</v>
      </c>
      <c r="K18" s="2" t="s">
        <v>160</v>
      </c>
      <c r="L18" s="2" t="str">
        <f>CONCATENATE(J18, " ",K18)</f>
        <v xml:space="preserve">STACEY PORTUGAL            </v>
      </c>
      <c r="M18" s="2">
        <v>23.46</v>
      </c>
      <c r="N18" s="8">
        <v>0.65</v>
      </c>
      <c r="O18" s="2">
        <v>15.25</v>
      </c>
      <c r="P18" s="2" t="s">
        <v>435</v>
      </c>
    </row>
    <row r="19" spans="1:16" s="2" customFormat="1" x14ac:dyDescent="0.25">
      <c r="A19" s="2" t="s">
        <v>163</v>
      </c>
      <c r="B19" s="2" t="s">
        <v>142</v>
      </c>
      <c r="C19" s="2" t="s">
        <v>164</v>
      </c>
      <c r="D19" s="3">
        <v>45749</v>
      </c>
      <c r="E19" s="3">
        <v>45902</v>
      </c>
      <c r="F19" s="2">
        <f>DATEDIF(D19,E19,"M")</f>
        <v>5</v>
      </c>
      <c r="G19" s="2" t="s">
        <v>429</v>
      </c>
      <c r="H19" s="2" t="s">
        <v>430</v>
      </c>
      <c r="I19" s="2">
        <v>19645587</v>
      </c>
      <c r="J19" s="2" t="s">
        <v>414</v>
      </c>
      <c r="K19" s="2" t="s">
        <v>160</v>
      </c>
      <c r="L19" s="2" t="str">
        <f>CONCATENATE(J19, " ",K19)</f>
        <v xml:space="preserve">STACEY PORTUGAL            </v>
      </c>
      <c r="M19" s="2">
        <v>1.68</v>
      </c>
      <c r="N19" s="8">
        <v>0.65</v>
      </c>
      <c r="O19" s="2">
        <v>1.0900000000000001</v>
      </c>
      <c r="P19" s="2" t="s">
        <v>435</v>
      </c>
    </row>
    <row r="20" spans="1:16" s="2" customFormat="1" x14ac:dyDescent="0.25">
      <c r="A20" s="2" t="s">
        <v>163</v>
      </c>
      <c r="B20" s="2" t="s">
        <v>142</v>
      </c>
      <c r="C20" s="2" t="s">
        <v>164</v>
      </c>
      <c r="D20" s="3">
        <v>45749</v>
      </c>
      <c r="E20" s="3">
        <v>45902</v>
      </c>
      <c r="F20" s="2">
        <f>DATEDIF(D20,E20,"M")</f>
        <v>5</v>
      </c>
      <c r="G20" s="2" t="s">
        <v>429</v>
      </c>
      <c r="H20" s="2" t="s">
        <v>430</v>
      </c>
      <c r="I20" s="2">
        <v>19645587</v>
      </c>
      <c r="J20" s="2" t="s">
        <v>414</v>
      </c>
      <c r="K20" s="2" t="s">
        <v>160</v>
      </c>
      <c r="L20" s="2" t="str">
        <f>CONCATENATE(J20, " ",K20)</f>
        <v xml:space="preserve">STACEY PORTUGAL            </v>
      </c>
      <c r="M20" s="2">
        <v>1.81</v>
      </c>
      <c r="N20" s="8">
        <v>0.65</v>
      </c>
      <c r="O20" s="2">
        <v>1.18</v>
      </c>
      <c r="P20" s="2" t="s">
        <v>435</v>
      </c>
    </row>
    <row r="21" spans="1:16" s="2" customFormat="1" x14ac:dyDescent="0.25">
      <c r="A21" s="2" t="s">
        <v>163</v>
      </c>
      <c r="B21" s="2" t="s">
        <v>142</v>
      </c>
      <c r="C21" s="2" t="s">
        <v>164</v>
      </c>
      <c r="D21" s="3">
        <v>45749</v>
      </c>
      <c r="E21" s="3">
        <v>45902</v>
      </c>
      <c r="F21" s="2">
        <f>DATEDIF(D21,E21,"M")</f>
        <v>5</v>
      </c>
      <c r="G21" s="2" t="s">
        <v>429</v>
      </c>
      <c r="H21" s="2" t="s">
        <v>430</v>
      </c>
      <c r="I21" s="2">
        <v>19645587</v>
      </c>
      <c r="J21" s="2" t="s">
        <v>414</v>
      </c>
      <c r="K21" s="2" t="s">
        <v>160</v>
      </c>
      <c r="L21" s="2" t="str">
        <f>CONCATENATE(J21, " ",K21)</f>
        <v xml:space="preserve">STACEY PORTUGAL            </v>
      </c>
      <c r="M21" s="2">
        <v>2.14</v>
      </c>
      <c r="N21" s="8">
        <v>0.65</v>
      </c>
      <c r="O21" s="2">
        <v>1.39</v>
      </c>
      <c r="P21" s="2" t="s">
        <v>435</v>
      </c>
    </row>
    <row r="22" spans="1:16" s="2" customFormat="1" x14ac:dyDescent="0.25">
      <c r="A22" s="2" t="s">
        <v>137</v>
      </c>
      <c r="B22" s="2" t="s">
        <v>33</v>
      </c>
      <c r="C22" s="2" t="s">
        <v>138</v>
      </c>
      <c r="D22" s="3">
        <v>45689</v>
      </c>
      <c r="E22" s="3">
        <v>45901</v>
      </c>
      <c r="F22" s="2">
        <f>DATEDIF(D22,E22,"M")</f>
        <v>7</v>
      </c>
      <c r="G22" s="2" t="s">
        <v>429</v>
      </c>
      <c r="H22" s="2" t="s">
        <v>430</v>
      </c>
      <c r="I22" s="2">
        <v>16509456</v>
      </c>
      <c r="J22" s="2" t="s">
        <v>422</v>
      </c>
      <c r="K22" s="2" t="s">
        <v>25</v>
      </c>
      <c r="L22" s="2" t="str">
        <f>CONCATENATE(J22, " ",K22)</f>
        <v xml:space="preserve">PETER RICHTER             </v>
      </c>
      <c r="M22" s="2">
        <v>21.06</v>
      </c>
      <c r="N22" s="8">
        <v>0.65</v>
      </c>
      <c r="O22" s="2">
        <v>13.69</v>
      </c>
      <c r="P22" s="2" t="s">
        <v>435</v>
      </c>
    </row>
    <row r="23" spans="1:16" s="2" customFormat="1" x14ac:dyDescent="0.25">
      <c r="A23" s="2" t="s">
        <v>137</v>
      </c>
      <c r="B23" s="2" t="s">
        <v>33</v>
      </c>
      <c r="C23" s="2" t="s">
        <v>138</v>
      </c>
      <c r="D23" s="3">
        <v>45689</v>
      </c>
      <c r="E23" s="3">
        <v>45901</v>
      </c>
      <c r="F23" s="2">
        <f>DATEDIF(D23,E23,"M")</f>
        <v>7</v>
      </c>
      <c r="G23" s="2" t="s">
        <v>429</v>
      </c>
      <c r="H23" s="2" t="s">
        <v>430</v>
      </c>
      <c r="I23" s="2">
        <v>16509456</v>
      </c>
      <c r="J23" s="2" t="s">
        <v>422</v>
      </c>
      <c r="K23" s="2" t="s">
        <v>25</v>
      </c>
      <c r="L23" s="2" t="str">
        <f>CONCATENATE(J23, " ",K23)</f>
        <v xml:space="preserve">PETER RICHTER             </v>
      </c>
      <c r="M23" s="2">
        <v>6.22</v>
      </c>
      <c r="N23" s="8">
        <v>0.65</v>
      </c>
      <c r="O23" s="2">
        <v>4.04</v>
      </c>
      <c r="P23" s="2" t="s">
        <v>435</v>
      </c>
    </row>
    <row r="24" spans="1:16" s="2" customFormat="1" x14ac:dyDescent="0.25">
      <c r="A24" s="2" t="s">
        <v>137</v>
      </c>
      <c r="B24" s="2" t="s">
        <v>33</v>
      </c>
      <c r="C24" s="2" t="s">
        <v>138</v>
      </c>
      <c r="D24" s="3">
        <v>45689</v>
      </c>
      <c r="E24" s="3">
        <v>45901</v>
      </c>
      <c r="F24" s="2">
        <f>DATEDIF(D24,E24,"M")</f>
        <v>7</v>
      </c>
      <c r="G24" s="2" t="s">
        <v>429</v>
      </c>
      <c r="H24" s="2" t="s">
        <v>430</v>
      </c>
      <c r="I24" s="2">
        <v>16509456</v>
      </c>
      <c r="J24" s="2" t="s">
        <v>422</v>
      </c>
      <c r="K24" s="2" t="s">
        <v>25</v>
      </c>
      <c r="L24" s="2" t="str">
        <f>CONCATENATE(J24, " ",K24)</f>
        <v xml:space="preserve">PETER RICHTER             </v>
      </c>
      <c r="M24" s="2">
        <v>1.68</v>
      </c>
      <c r="N24" s="8">
        <v>0.65</v>
      </c>
      <c r="O24" s="2">
        <v>1.0900000000000001</v>
      </c>
      <c r="P24" s="2" t="s">
        <v>435</v>
      </c>
    </row>
    <row r="25" spans="1:16" s="2" customFormat="1" x14ac:dyDescent="0.25">
      <c r="A25" s="2" t="s">
        <v>137</v>
      </c>
      <c r="B25" s="2" t="s">
        <v>33</v>
      </c>
      <c r="C25" s="2" t="s">
        <v>138</v>
      </c>
      <c r="D25" s="3">
        <v>45689</v>
      </c>
      <c r="E25" s="3">
        <v>45901</v>
      </c>
      <c r="F25" s="2">
        <f>DATEDIF(D25,E25,"M")</f>
        <v>7</v>
      </c>
      <c r="G25" s="2" t="s">
        <v>429</v>
      </c>
      <c r="H25" s="2" t="s">
        <v>430</v>
      </c>
      <c r="I25" s="2">
        <v>16509456</v>
      </c>
      <c r="J25" s="2" t="s">
        <v>422</v>
      </c>
      <c r="K25" s="2" t="s">
        <v>25</v>
      </c>
      <c r="L25" s="2" t="str">
        <f>CONCATENATE(J25, " ",K25)</f>
        <v xml:space="preserve">PETER RICHTER             </v>
      </c>
      <c r="M25" s="2">
        <v>2.75</v>
      </c>
      <c r="N25" s="8">
        <v>0.65</v>
      </c>
      <c r="O25" s="2">
        <v>1.79</v>
      </c>
      <c r="P25" s="2" t="s">
        <v>435</v>
      </c>
    </row>
    <row r="26" spans="1:16" s="2" customFormat="1" x14ac:dyDescent="0.25">
      <c r="A26" s="2" t="s">
        <v>137</v>
      </c>
      <c r="B26" s="2" t="s">
        <v>33</v>
      </c>
      <c r="C26" s="2" t="s">
        <v>138</v>
      </c>
      <c r="D26" s="3">
        <v>45689</v>
      </c>
      <c r="E26" s="3">
        <v>45901</v>
      </c>
      <c r="F26" s="2">
        <f>DATEDIF(D26,E26,"M")</f>
        <v>7</v>
      </c>
      <c r="G26" s="2" t="s">
        <v>429</v>
      </c>
      <c r="H26" s="2" t="s">
        <v>430</v>
      </c>
      <c r="I26" s="2">
        <v>16509456</v>
      </c>
      <c r="J26" s="2" t="s">
        <v>422</v>
      </c>
      <c r="K26" s="2" t="s">
        <v>25</v>
      </c>
      <c r="L26" s="2" t="str">
        <f>CONCATENATE(J26, " ",K26)</f>
        <v xml:space="preserve">PETER RICHTER             </v>
      </c>
      <c r="M26" s="2">
        <v>38.97</v>
      </c>
      <c r="N26" s="8">
        <v>0.65</v>
      </c>
      <c r="O26" s="2">
        <v>25.33</v>
      </c>
      <c r="P26" s="2" t="s">
        <v>435</v>
      </c>
    </row>
    <row r="27" spans="1:16" s="2" customFormat="1" x14ac:dyDescent="0.25">
      <c r="A27" s="2" t="s">
        <v>137</v>
      </c>
      <c r="B27" s="2" t="s">
        <v>33</v>
      </c>
      <c r="C27" s="2" t="s">
        <v>138</v>
      </c>
      <c r="D27" s="3">
        <v>45689</v>
      </c>
      <c r="E27" s="3">
        <v>45901</v>
      </c>
      <c r="F27" s="2">
        <f>DATEDIF(D27,E27,"M")</f>
        <v>7</v>
      </c>
      <c r="G27" s="2" t="s">
        <v>429</v>
      </c>
      <c r="H27" s="2" t="s">
        <v>430</v>
      </c>
      <c r="I27" s="2">
        <v>16509456</v>
      </c>
      <c r="J27" s="2" t="s">
        <v>422</v>
      </c>
      <c r="K27" s="2" t="s">
        <v>25</v>
      </c>
      <c r="L27" s="2" t="str">
        <f>CONCATENATE(J27, " ",K27)</f>
        <v xml:space="preserve">PETER RICHTER             </v>
      </c>
      <c r="M27" s="2">
        <v>1.43</v>
      </c>
      <c r="N27" s="8">
        <v>0.65</v>
      </c>
      <c r="O27" s="2">
        <v>0.93</v>
      </c>
      <c r="P27" s="2" t="s">
        <v>435</v>
      </c>
    </row>
    <row r="28" spans="1:16" s="2" customFormat="1" x14ac:dyDescent="0.25">
      <c r="A28" s="2" t="s">
        <v>137</v>
      </c>
      <c r="B28" s="2" t="s">
        <v>33</v>
      </c>
      <c r="C28" s="2" t="s">
        <v>138</v>
      </c>
      <c r="D28" s="3">
        <v>45689</v>
      </c>
      <c r="E28" s="3">
        <v>45901</v>
      </c>
      <c r="F28" s="2">
        <f>DATEDIF(D28,E28,"M")</f>
        <v>7</v>
      </c>
      <c r="G28" s="2" t="s">
        <v>429</v>
      </c>
      <c r="H28" s="2" t="s">
        <v>430</v>
      </c>
      <c r="I28" s="2">
        <v>16509456</v>
      </c>
      <c r="J28" s="2" t="s">
        <v>422</v>
      </c>
      <c r="K28" s="2" t="s">
        <v>25</v>
      </c>
      <c r="L28" s="2" t="str">
        <f>CONCATENATE(J28, " ",K28)</f>
        <v xml:space="preserve">PETER RICHTER             </v>
      </c>
      <c r="M28" s="2">
        <v>14.23</v>
      </c>
      <c r="N28" s="8">
        <v>0.65</v>
      </c>
      <c r="O28" s="2">
        <v>9.25</v>
      </c>
      <c r="P28" s="2" t="s">
        <v>435</v>
      </c>
    </row>
    <row r="29" spans="1:16" s="2" customFormat="1" x14ac:dyDescent="0.25">
      <c r="A29" s="2" t="s">
        <v>165</v>
      </c>
      <c r="B29" s="2" t="s">
        <v>166</v>
      </c>
      <c r="C29" s="2" t="s">
        <v>167</v>
      </c>
      <c r="D29" s="3">
        <v>45658</v>
      </c>
      <c r="E29" s="3">
        <v>45901</v>
      </c>
      <c r="F29" s="2">
        <f>DATEDIF(D29,E29,"M")</f>
        <v>8</v>
      </c>
      <c r="G29" s="2" t="s">
        <v>429</v>
      </c>
      <c r="H29" s="2" t="s">
        <v>430</v>
      </c>
      <c r="I29" s="2">
        <v>7470776</v>
      </c>
      <c r="J29" s="2" t="s">
        <v>415</v>
      </c>
      <c r="K29" s="2" t="s">
        <v>170</v>
      </c>
      <c r="L29" s="2" t="str">
        <f>CONCATENATE(J29, " ",K29)</f>
        <v xml:space="preserve">ANDREW CHOI                </v>
      </c>
      <c r="M29" s="2">
        <v>18.329999999999998</v>
      </c>
      <c r="N29" s="8">
        <v>0.6</v>
      </c>
      <c r="O29" s="2">
        <v>11</v>
      </c>
      <c r="P29" s="2" t="s">
        <v>437</v>
      </c>
    </row>
    <row r="30" spans="1:16" s="2" customFormat="1" x14ac:dyDescent="0.25">
      <c r="A30" s="2" t="s">
        <v>165</v>
      </c>
      <c r="B30" s="2" t="s">
        <v>166</v>
      </c>
      <c r="C30" s="2" t="s">
        <v>167</v>
      </c>
      <c r="D30" s="3">
        <v>45658</v>
      </c>
      <c r="E30" s="3">
        <v>45901</v>
      </c>
      <c r="F30" s="2">
        <f>DATEDIF(D30,E30,"M")</f>
        <v>8</v>
      </c>
      <c r="G30" s="2" t="s">
        <v>429</v>
      </c>
      <c r="H30" s="2" t="s">
        <v>430</v>
      </c>
      <c r="I30" s="2">
        <v>7470776</v>
      </c>
      <c r="J30" s="2" t="s">
        <v>415</v>
      </c>
      <c r="K30" s="2" t="s">
        <v>170</v>
      </c>
      <c r="L30" s="2" t="str">
        <f>CONCATENATE(J30, " ",K30)</f>
        <v xml:space="preserve">ANDREW CHOI                </v>
      </c>
      <c r="M30" s="2">
        <v>27.5</v>
      </c>
      <c r="N30" s="8">
        <v>0.6</v>
      </c>
      <c r="O30" s="2">
        <v>16.5</v>
      </c>
      <c r="P30" s="2" t="s">
        <v>437</v>
      </c>
    </row>
    <row r="31" spans="1:16" s="2" customFormat="1" x14ac:dyDescent="0.25">
      <c r="A31" s="2" t="s">
        <v>165</v>
      </c>
      <c r="B31" s="2" t="s">
        <v>166</v>
      </c>
      <c r="C31" s="2" t="s">
        <v>167</v>
      </c>
      <c r="D31" s="3">
        <v>45658</v>
      </c>
      <c r="E31" s="3">
        <v>45901</v>
      </c>
      <c r="F31" s="2">
        <f>DATEDIF(D31,E31,"M")</f>
        <v>8</v>
      </c>
      <c r="G31" s="2" t="s">
        <v>429</v>
      </c>
      <c r="H31" s="2" t="s">
        <v>430</v>
      </c>
      <c r="I31" s="2">
        <v>7470776</v>
      </c>
      <c r="J31" s="2" t="s">
        <v>415</v>
      </c>
      <c r="K31" s="2" t="s">
        <v>170</v>
      </c>
      <c r="L31" s="2" t="str">
        <f>CONCATENATE(J31, " ",K31)</f>
        <v xml:space="preserve">ANDREW CHOI                </v>
      </c>
      <c r="M31" s="2">
        <v>6.25</v>
      </c>
      <c r="N31" s="8">
        <v>0.6</v>
      </c>
      <c r="O31" s="2">
        <v>3.75</v>
      </c>
      <c r="P31" s="2" t="s">
        <v>437</v>
      </c>
    </row>
    <row r="32" spans="1:16" s="2" customFormat="1" x14ac:dyDescent="0.25">
      <c r="A32" s="2" t="s">
        <v>165</v>
      </c>
      <c r="B32" s="2" t="s">
        <v>166</v>
      </c>
      <c r="C32" s="2" t="s">
        <v>167</v>
      </c>
      <c r="D32" s="3">
        <v>45658</v>
      </c>
      <c r="E32" s="3">
        <v>45901</v>
      </c>
      <c r="F32" s="2">
        <f>DATEDIF(D32,E32,"M")</f>
        <v>8</v>
      </c>
      <c r="G32" s="2" t="s">
        <v>429</v>
      </c>
      <c r="H32" s="2" t="s">
        <v>430</v>
      </c>
      <c r="I32" s="2">
        <v>7470776</v>
      </c>
      <c r="J32" s="2" t="s">
        <v>415</v>
      </c>
      <c r="K32" s="2" t="s">
        <v>170</v>
      </c>
      <c r="L32" s="2" t="str">
        <f>CONCATENATE(J32, " ",K32)</f>
        <v xml:space="preserve">ANDREW CHOI                </v>
      </c>
      <c r="M32" s="2">
        <v>11.33</v>
      </c>
      <c r="N32" s="8">
        <v>0.6</v>
      </c>
      <c r="O32" s="2">
        <v>6.8</v>
      </c>
      <c r="P32" s="2" t="s">
        <v>437</v>
      </c>
    </row>
    <row r="33" spans="1:16" s="2" customFormat="1" x14ac:dyDescent="0.25">
      <c r="A33" s="2" t="s">
        <v>180</v>
      </c>
      <c r="B33" s="2" t="s">
        <v>142</v>
      </c>
      <c r="C33" s="2" t="s">
        <v>181</v>
      </c>
      <c r="D33" s="3">
        <v>45606</v>
      </c>
      <c r="E33" s="3">
        <v>45910</v>
      </c>
      <c r="F33" s="2">
        <f>DATEDIF(D33,E33,"M")</f>
        <v>10</v>
      </c>
      <c r="G33" s="2" t="s">
        <v>429</v>
      </c>
      <c r="H33" s="2" t="s">
        <v>431</v>
      </c>
      <c r="I33" s="2">
        <v>19681796</v>
      </c>
      <c r="J33" s="2" t="s">
        <v>425</v>
      </c>
      <c r="K33" s="2" t="s">
        <v>184</v>
      </c>
      <c r="L33" s="2" t="str">
        <f>CONCATENATE(J33, " ",K33)</f>
        <v xml:space="preserve">CHRISTIAN TAUGNER             </v>
      </c>
      <c r="M33" s="2">
        <v>30.83</v>
      </c>
      <c r="N33" s="8">
        <v>0.6</v>
      </c>
      <c r="O33" s="2">
        <v>18.5</v>
      </c>
      <c r="P33" s="2" t="s">
        <v>437</v>
      </c>
    </row>
    <row r="34" spans="1:16" s="2" customFormat="1" x14ac:dyDescent="0.25">
      <c r="A34" s="2" t="s">
        <v>180</v>
      </c>
      <c r="B34" s="2" t="s">
        <v>142</v>
      </c>
      <c r="C34" s="2" t="s">
        <v>181</v>
      </c>
      <c r="D34" s="3">
        <v>45606</v>
      </c>
      <c r="E34" s="3">
        <v>45910</v>
      </c>
      <c r="F34" s="2">
        <f>DATEDIF(D34,E34,"M")</f>
        <v>10</v>
      </c>
      <c r="G34" s="2" t="s">
        <v>429</v>
      </c>
      <c r="H34" s="2" t="s">
        <v>431</v>
      </c>
      <c r="I34" s="2">
        <v>19681796</v>
      </c>
      <c r="J34" s="2" t="s">
        <v>425</v>
      </c>
      <c r="K34" s="2" t="s">
        <v>184</v>
      </c>
      <c r="L34" s="2" t="str">
        <f>CONCATENATE(J34, " ",K34)</f>
        <v xml:space="preserve">CHRISTIAN TAUGNER             </v>
      </c>
      <c r="M34" s="2">
        <v>3.58</v>
      </c>
      <c r="N34" s="8">
        <v>0.6</v>
      </c>
      <c r="O34" s="2">
        <v>2.15</v>
      </c>
      <c r="P34" s="2" t="s">
        <v>437</v>
      </c>
    </row>
    <row r="35" spans="1:16" s="2" customFormat="1" x14ac:dyDescent="0.25">
      <c r="A35" s="2" t="s">
        <v>180</v>
      </c>
      <c r="B35" s="2" t="s">
        <v>142</v>
      </c>
      <c r="C35" s="2" t="s">
        <v>181</v>
      </c>
      <c r="D35" s="3">
        <v>45606</v>
      </c>
      <c r="E35" s="3">
        <v>45910</v>
      </c>
      <c r="F35" s="2">
        <f>DATEDIF(D35,E35,"M")</f>
        <v>10</v>
      </c>
      <c r="G35" s="2" t="s">
        <v>429</v>
      </c>
      <c r="H35" s="2" t="s">
        <v>431</v>
      </c>
      <c r="I35" s="2">
        <v>19681796</v>
      </c>
      <c r="J35" s="2" t="s">
        <v>425</v>
      </c>
      <c r="K35" s="2" t="s">
        <v>184</v>
      </c>
      <c r="L35" s="2" t="str">
        <f>CONCATENATE(J35, " ",K35)</f>
        <v xml:space="preserve">CHRISTIAN TAUGNER             </v>
      </c>
      <c r="M35" s="2">
        <v>9.75</v>
      </c>
      <c r="N35" s="8">
        <v>0.6</v>
      </c>
      <c r="O35" s="2">
        <v>5.85</v>
      </c>
      <c r="P35" s="2" t="s">
        <v>437</v>
      </c>
    </row>
    <row r="36" spans="1:16" s="2" customFormat="1" x14ac:dyDescent="0.25">
      <c r="A36" s="2" t="s">
        <v>180</v>
      </c>
      <c r="B36" s="2" t="s">
        <v>142</v>
      </c>
      <c r="C36" s="2" t="s">
        <v>181</v>
      </c>
      <c r="D36" s="3">
        <v>45606</v>
      </c>
      <c r="E36" s="3">
        <v>45910</v>
      </c>
      <c r="F36" s="2">
        <f>DATEDIF(D36,E36,"M")</f>
        <v>10</v>
      </c>
      <c r="G36" s="2" t="s">
        <v>429</v>
      </c>
      <c r="H36" s="2" t="s">
        <v>431</v>
      </c>
      <c r="I36" s="2">
        <v>19681796</v>
      </c>
      <c r="J36" s="2" t="s">
        <v>425</v>
      </c>
      <c r="K36" s="2" t="s">
        <v>184</v>
      </c>
      <c r="L36" s="2" t="str">
        <f>CONCATENATE(J36, " ",K36)</f>
        <v xml:space="preserve">CHRISTIAN TAUGNER             </v>
      </c>
      <c r="M36" s="2">
        <v>4.83</v>
      </c>
      <c r="N36" s="8">
        <v>0.6</v>
      </c>
      <c r="O36" s="2">
        <v>2.9</v>
      </c>
      <c r="P36" s="2" t="s">
        <v>437</v>
      </c>
    </row>
    <row r="37" spans="1:16" s="2" customFormat="1" x14ac:dyDescent="0.25">
      <c r="A37" s="2" t="s">
        <v>180</v>
      </c>
      <c r="B37" s="2" t="s">
        <v>142</v>
      </c>
      <c r="C37" s="2" t="s">
        <v>181</v>
      </c>
      <c r="D37" s="3">
        <v>45606</v>
      </c>
      <c r="E37" s="3">
        <v>45910</v>
      </c>
      <c r="F37" s="2">
        <f>DATEDIF(D37,E37,"M")</f>
        <v>10</v>
      </c>
      <c r="G37" s="2" t="s">
        <v>429</v>
      </c>
      <c r="H37" s="2" t="s">
        <v>431</v>
      </c>
      <c r="I37" s="2">
        <v>19681796</v>
      </c>
      <c r="J37" s="2" t="s">
        <v>425</v>
      </c>
      <c r="K37" s="2" t="s">
        <v>184</v>
      </c>
      <c r="L37" s="2" t="str">
        <f>CONCATENATE(J37, " ",K37)</f>
        <v xml:space="preserve">CHRISTIAN TAUGNER             </v>
      </c>
      <c r="M37" s="2">
        <v>3.5</v>
      </c>
      <c r="N37" s="8">
        <v>0.6</v>
      </c>
      <c r="O37" s="2">
        <v>2.1</v>
      </c>
      <c r="P37" s="2" t="s">
        <v>437</v>
      </c>
    </row>
    <row r="38" spans="1:16" s="2" customFormat="1" x14ac:dyDescent="0.25">
      <c r="A38" s="2" t="s">
        <v>190</v>
      </c>
      <c r="B38" s="2" t="s">
        <v>166</v>
      </c>
      <c r="C38" s="2" t="s">
        <v>191</v>
      </c>
      <c r="D38" s="3">
        <v>45619</v>
      </c>
      <c r="E38" s="3">
        <v>45923</v>
      </c>
      <c r="F38" s="2">
        <f>DATEDIF(D38,E38,"M")</f>
        <v>10</v>
      </c>
      <c r="G38" s="2" t="s">
        <v>429</v>
      </c>
      <c r="H38" s="2" t="s">
        <v>431</v>
      </c>
      <c r="I38" s="2">
        <v>19681796</v>
      </c>
      <c r="J38" s="2" t="s">
        <v>425</v>
      </c>
      <c r="K38" s="2" t="s">
        <v>184</v>
      </c>
      <c r="L38" s="2" t="str">
        <f>CONCATENATE(J38, " ",K38)</f>
        <v xml:space="preserve">CHRISTIAN TAUGNER             </v>
      </c>
      <c r="M38" s="2">
        <v>29.17</v>
      </c>
      <c r="N38" s="8">
        <v>0.6</v>
      </c>
      <c r="O38" s="2">
        <v>17.5</v>
      </c>
      <c r="P38" s="2" t="s">
        <v>437</v>
      </c>
    </row>
    <row r="39" spans="1:16" s="2" customFormat="1" x14ac:dyDescent="0.25">
      <c r="A39" s="2" t="s">
        <v>190</v>
      </c>
      <c r="B39" s="2" t="s">
        <v>166</v>
      </c>
      <c r="C39" s="2" t="s">
        <v>191</v>
      </c>
      <c r="D39" s="3">
        <v>45619</v>
      </c>
      <c r="E39" s="3">
        <v>45923</v>
      </c>
      <c r="F39" s="2">
        <f>DATEDIF(D39,E39,"M")</f>
        <v>10</v>
      </c>
      <c r="G39" s="2" t="s">
        <v>429</v>
      </c>
      <c r="H39" s="2" t="s">
        <v>431</v>
      </c>
      <c r="I39" s="2">
        <v>19681796</v>
      </c>
      <c r="J39" s="2" t="s">
        <v>425</v>
      </c>
      <c r="K39" s="2" t="s">
        <v>184</v>
      </c>
      <c r="L39" s="2" t="str">
        <f>CONCATENATE(J39, " ",K39)</f>
        <v xml:space="preserve">CHRISTIAN TAUGNER             </v>
      </c>
      <c r="M39" s="2">
        <v>4.37</v>
      </c>
      <c r="N39" s="8">
        <v>0.6</v>
      </c>
      <c r="O39" s="2">
        <v>2.62</v>
      </c>
      <c r="P39" s="2" t="s">
        <v>437</v>
      </c>
    </row>
    <row r="40" spans="1:16" s="2" customFormat="1" x14ac:dyDescent="0.25">
      <c r="A40" s="2" t="s">
        <v>190</v>
      </c>
      <c r="B40" s="2" t="s">
        <v>166</v>
      </c>
      <c r="C40" s="2" t="s">
        <v>191</v>
      </c>
      <c r="D40" s="3">
        <v>45619</v>
      </c>
      <c r="E40" s="3">
        <v>45923</v>
      </c>
      <c r="F40" s="2">
        <f>DATEDIF(D40,E40,"M")</f>
        <v>10</v>
      </c>
      <c r="G40" s="2" t="s">
        <v>429</v>
      </c>
      <c r="H40" s="2" t="s">
        <v>431</v>
      </c>
      <c r="I40" s="2">
        <v>19681796</v>
      </c>
      <c r="J40" s="2" t="s">
        <v>425</v>
      </c>
      <c r="K40" s="2" t="s">
        <v>184</v>
      </c>
      <c r="L40" s="2" t="str">
        <f>CONCATENATE(J40, " ",K40)</f>
        <v xml:space="preserve">CHRISTIAN TAUGNER             </v>
      </c>
      <c r="M40" s="2">
        <v>5.42</v>
      </c>
      <c r="N40" s="8">
        <v>0.6</v>
      </c>
      <c r="O40" s="2">
        <v>3.25</v>
      </c>
      <c r="P40" s="2" t="s">
        <v>437</v>
      </c>
    </row>
    <row r="41" spans="1:16" s="2" customFormat="1" x14ac:dyDescent="0.25">
      <c r="A41" s="2" t="s">
        <v>190</v>
      </c>
      <c r="B41" s="2" t="s">
        <v>166</v>
      </c>
      <c r="C41" s="2" t="s">
        <v>191</v>
      </c>
      <c r="D41" s="3">
        <v>45619</v>
      </c>
      <c r="E41" s="3">
        <v>45923</v>
      </c>
      <c r="F41" s="2">
        <f>DATEDIF(D41,E41,"M")</f>
        <v>10</v>
      </c>
      <c r="G41" s="2" t="s">
        <v>429</v>
      </c>
      <c r="H41" s="2" t="s">
        <v>431</v>
      </c>
      <c r="I41" s="2">
        <v>19681796</v>
      </c>
      <c r="J41" s="2" t="s">
        <v>425</v>
      </c>
      <c r="K41" s="2" t="s">
        <v>184</v>
      </c>
      <c r="L41" s="2" t="str">
        <f>CONCATENATE(J41, " ",K41)</f>
        <v xml:space="preserve">CHRISTIAN TAUGNER             </v>
      </c>
      <c r="M41" s="2">
        <v>0.83</v>
      </c>
      <c r="N41" s="8">
        <v>0.6</v>
      </c>
      <c r="O41" s="2">
        <v>0.5</v>
      </c>
      <c r="P41" s="2" t="s">
        <v>437</v>
      </c>
    </row>
    <row r="42" spans="1:16" s="2" customFormat="1" x14ac:dyDescent="0.25">
      <c r="A42" s="2" t="s">
        <v>190</v>
      </c>
      <c r="B42" s="2" t="s">
        <v>166</v>
      </c>
      <c r="C42" s="2" t="s">
        <v>191</v>
      </c>
      <c r="D42" s="3">
        <v>45619</v>
      </c>
      <c r="E42" s="3">
        <v>45923</v>
      </c>
      <c r="F42" s="2">
        <f>DATEDIF(D42,E42,"M")</f>
        <v>10</v>
      </c>
      <c r="G42" s="2" t="s">
        <v>429</v>
      </c>
      <c r="H42" s="2" t="s">
        <v>431</v>
      </c>
      <c r="I42" s="2">
        <v>19681796</v>
      </c>
      <c r="J42" s="2" t="s">
        <v>425</v>
      </c>
      <c r="K42" s="2" t="s">
        <v>184</v>
      </c>
      <c r="L42" s="2" t="str">
        <f>CONCATENATE(J42, " ",K42)</f>
        <v xml:space="preserve">CHRISTIAN TAUGNER             </v>
      </c>
      <c r="M42" s="2">
        <v>4</v>
      </c>
      <c r="N42" s="8">
        <v>0.6</v>
      </c>
      <c r="O42" s="2">
        <v>2.4</v>
      </c>
      <c r="P42" s="2" t="s">
        <v>437</v>
      </c>
    </row>
    <row r="43" spans="1:16" s="2" customFormat="1" x14ac:dyDescent="0.25">
      <c r="A43" s="2" t="s">
        <v>192</v>
      </c>
      <c r="B43" s="2" t="s">
        <v>66</v>
      </c>
      <c r="C43" s="2" t="s">
        <v>193</v>
      </c>
      <c r="D43" s="3">
        <v>45552</v>
      </c>
      <c r="E43" s="3">
        <v>45886</v>
      </c>
      <c r="F43" s="2">
        <f>DATEDIF(D43,E43,"M")</f>
        <v>11</v>
      </c>
      <c r="G43" s="2" t="s">
        <v>429</v>
      </c>
      <c r="H43" s="2" t="s">
        <v>431</v>
      </c>
      <c r="I43" s="2">
        <v>16912722</v>
      </c>
      <c r="J43" s="2" t="s">
        <v>416</v>
      </c>
      <c r="K43" s="2" t="s">
        <v>196</v>
      </c>
      <c r="L43" s="2" t="str">
        <f>CONCATENATE(J43, " ",K43)</f>
        <v xml:space="preserve">ANDREA PETRUNGARO          </v>
      </c>
      <c r="M43" s="2">
        <v>-78.59</v>
      </c>
      <c r="N43" s="8">
        <v>0.65</v>
      </c>
      <c r="O43" s="2">
        <v>-51.08</v>
      </c>
      <c r="P43" s="2" t="s">
        <v>435</v>
      </c>
    </row>
    <row r="44" spans="1:16" s="2" customFormat="1" x14ac:dyDescent="0.25">
      <c r="A44" s="2" t="s">
        <v>192</v>
      </c>
      <c r="B44" s="2" t="s">
        <v>66</v>
      </c>
      <c r="C44" s="2" t="s">
        <v>193</v>
      </c>
      <c r="D44" s="3">
        <v>45552</v>
      </c>
      <c r="E44" s="3">
        <v>45886</v>
      </c>
      <c r="F44" s="2">
        <f>DATEDIF(D44,E44,"M")</f>
        <v>11</v>
      </c>
      <c r="G44" s="2" t="s">
        <v>429</v>
      </c>
      <c r="H44" s="2" t="s">
        <v>431</v>
      </c>
      <c r="I44" s="2">
        <v>16912722</v>
      </c>
      <c r="J44" s="2" t="s">
        <v>416</v>
      </c>
      <c r="K44" s="2" t="s">
        <v>196</v>
      </c>
      <c r="L44" s="2" t="str">
        <f>CONCATENATE(J44, " ",K44)</f>
        <v xml:space="preserve">ANDREA PETRUNGARO          </v>
      </c>
      <c r="M44" s="2">
        <v>-1.68</v>
      </c>
      <c r="N44" s="8">
        <v>0.65</v>
      </c>
      <c r="O44" s="2">
        <v>-1.0900000000000001</v>
      </c>
      <c r="P44" s="2" t="s">
        <v>435</v>
      </c>
    </row>
    <row r="45" spans="1:16" s="2" customFormat="1" x14ac:dyDescent="0.25">
      <c r="A45" s="2" t="s">
        <v>192</v>
      </c>
      <c r="B45" s="2" t="s">
        <v>66</v>
      </c>
      <c r="C45" s="2" t="s">
        <v>193</v>
      </c>
      <c r="D45" s="3">
        <v>45552</v>
      </c>
      <c r="E45" s="3">
        <v>45886</v>
      </c>
      <c r="F45" s="2">
        <f>DATEDIF(D45,E45,"M")</f>
        <v>11</v>
      </c>
      <c r="G45" s="2" t="s">
        <v>429</v>
      </c>
      <c r="H45" s="2" t="s">
        <v>431</v>
      </c>
      <c r="I45" s="2">
        <v>16912722</v>
      </c>
      <c r="J45" s="2" t="s">
        <v>416</v>
      </c>
      <c r="K45" s="2" t="s">
        <v>196</v>
      </c>
      <c r="L45" s="2" t="str">
        <f>CONCATENATE(J45, " ",K45)</f>
        <v xml:space="preserve">ANDREA PETRUNGARO          </v>
      </c>
      <c r="M45" s="2">
        <v>-20.350000000000001</v>
      </c>
      <c r="N45" s="8">
        <v>0.65</v>
      </c>
      <c r="O45" s="2">
        <v>-13.23</v>
      </c>
      <c r="P45" s="2" t="s">
        <v>435</v>
      </c>
    </row>
    <row r="46" spans="1:16" s="2" customFormat="1" x14ac:dyDescent="0.25">
      <c r="A46" s="2" t="s">
        <v>133</v>
      </c>
      <c r="B46" s="2" t="s">
        <v>33</v>
      </c>
      <c r="C46" s="2" t="s">
        <v>134</v>
      </c>
      <c r="D46" s="3">
        <v>45566</v>
      </c>
      <c r="E46" s="3">
        <v>45901</v>
      </c>
      <c r="F46" s="2">
        <f>DATEDIF(D46,E46,"M")</f>
        <v>11</v>
      </c>
      <c r="G46" s="2" t="s">
        <v>429</v>
      </c>
      <c r="H46" s="2" t="s">
        <v>431</v>
      </c>
      <c r="I46" s="2">
        <v>16509456</v>
      </c>
      <c r="J46" s="2" t="s">
        <v>422</v>
      </c>
      <c r="K46" s="2" t="s">
        <v>25</v>
      </c>
      <c r="L46" s="2" t="str">
        <f>CONCATENATE(J46, " ",K46)</f>
        <v xml:space="preserve">PETER RICHTER             </v>
      </c>
      <c r="M46" s="2">
        <v>27.65</v>
      </c>
      <c r="N46" s="8">
        <v>0.65</v>
      </c>
      <c r="O46" s="2">
        <v>17.97</v>
      </c>
      <c r="P46" s="2" t="s">
        <v>435</v>
      </c>
    </row>
    <row r="47" spans="1:16" s="2" customFormat="1" x14ac:dyDescent="0.25">
      <c r="A47" s="2" t="s">
        <v>133</v>
      </c>
      <c r="B47" s="2" t="s">
        <v>33</v>
      </c>
      <c r="C47" s="2" t="s">
        <v>134</v>
      </c>
      <c r="D47" s="3">
        <v>45566</v>
      </c>
      <c r="E47" s="3">
        <v>45901</v>
      </c>
      <c r="F47" s="2">
        <f>DATEDIF(D47,E47,"M")</f>
        <v>11</v>
      </c>
      <c r="G47" s="2" t="s">
        <v>429</v>
      </c>
      <c r="H47" s="2" t="s">
        <v>431</v>
      </c>
      <c r="I47" s="2">
        <v>16509456</v>
      </c>
      <c r="J47" s="2" t="s">
        <v>422</v>
      </c>
      <c r="K47" s="2" t="s">
        <v>25</v>
      </c>
      <c r="L47" s="2" t="str">
        <f>CONCATENATE(J47, " ",K47)</f>
        <v xml:space="preserve">PETER RICHTER             </v>
      </c>
      <c r="M47" s="2">
        <v>12.43</v>
      </c>
      <c r="N47" s="8">
        <v>0.65</v>
      </c>
      <c r="O47" s="2">
        <v>8.08</v>
      </c>
      <c r="P47" s="2" t="s">
        <v>435</v>
      </c>
    </row>
    <row r="48" spans="1:16" s="2" customFormat="1" x14ac:dyDescent="0.25">
      <c r="A48" s="2" t="s">
        <v>133</v>
      </c>
      <c r="B48" s="2" t="s">
        <v>33</v>
      </c>
      <c r="C48" s="2" t="s">
        <v>134</v>
      </c>
      <c r="D48" s="3">
        <v>45566</v>
      </c>
      <c r="E48" s="3">
        <v>45901</v>
      </c>
      <c r="F48" s="2">
        <f>DATEDIF(D48,E48,"M")</f>
        <v>11</v>
      </c>
      <c r="G48" s="2" t="s">
        <v>429</v>
      </c>
      <c r="H48" s="2" t="s">
        <v>431</v>
      </c>
      <c r="I48" s="2">
        <v>16509456</v>
      </c>
      <c r="J48" s="2" t="s">
        <v>422</v>
      </c>
      <c r="K48" s="2" t="s">
        <v>25</v>
      </c>
      <c r="L48" s="2" t="str">
        <f>CONCATENATE(J48, " ",K48)</f>
        <v xml:space="preserve">PETER RICHTER             </v>
      </c>
      <c r="M48" s="2">
        <v>1.68</v>
      </c>
      <c r="N48" s="8">
        <v>0.65</v>
      </c>
      <c r="O48" s="2">
        <v>1.0900000000000001</v>
      </c>
      <c r="P48" s="2" t="s">
        <v>435</v>
      </c>
    </row>
    <row r="49" spans="1:16" s="2" customFormat="1" x14ac:dyDescent="0.25">
      <c r="A49" s="2" t="s">
        <v>133</v>
      </c>
      <c r="B49" s="2" t="s">
        <v>33</v>
      </c>
      <c r="C49" s="2" t="s">
        <v>134</v>
      </c>
      <c r="D49" s="3">
        <v>45566</v>
      </c>
      <c r="E49" s="3">
        <v>45901</v>
      </c>
      <c r="F49" s="2">
        <f>DATEDIF(D49,E49,"M")</f>
        <v>11</v>
      </c>
      <c r="G49" s="2" t="s">
        <v>429</v>
      </c>
      <c r="H49" s="2" t="s">
        <v>431</v>
      </c>
      <c r="I49" s="2">
        <v>16509456</v>
      </c>
      <c r="J49" s="2" t="s">
        <v>422</v>
      </c>
      <c r="K49" s="2" t="s">
        <v>25</v>
      </c>
      <c r="L49" s="2" t="str">
        <f>CONCATENATE(J49, " ",K49)</f>
        <v xml:space="preserve">PETER RICHTER             </v>
      </c>
      <c r="M49" s="2">
        <v>2.14</v>
      </c>
      <c r="N49" s="8">
        <v>0.65</v>
      </c>
      <c r="O49" s="2">
        <v>1.39</v>
      </c>
      <c r="P49" s="2" t="s">
        <v>435</v>
      </c>
    </row>
    <row r="50" spans="1:16" s="2" customFormat="1" x14ac:dyDescent="0.25">
      <c r="A50" s="2" t="s">
        <v>135</v>
      </c>
      <c r="B50" s="2" t="s">
        <v>33</v>
      </c>
      <c r="C50" s="2" t="s">
        <v>136</v>
      </c>
      <c r="D50" s="3">
        <v>45566</v>
      </c>
      <c r="E50" s="3">
        <v>45901</v>
      </c>
      <c r="F50" s="2">
        <f>DATEDIF(D50,E50,"M")</f>
        <v>11</v>
      </c>
      <c r="G50" s="2" t="s">
        <v>429</v>
      </c>
      <c r="H50" s="2" t="s">
        <v>431</v>
      </c>
      <c r="I50" s="2">
        <v>16509456</v>
      </c>
      <c r="J50" s="2" t="s">
        <v>422</v>
      </c>
      <c r="K50" s="2" t="s">
        <v>25</v>
      </c>
      <c r="L50" s="2" t="str">
        <f>CONCATENATE(J50, " ",K50)</f>
        <v xml:space="preserve">PETER RICHTER             </v>
      </c>
      <c r="M50" s="2">
        <v>21.06</v>
      </c>
      <c r="N50" s="8">
        <v>0.65</v>
      </c>
      <c r="O50" s="2">
        <v>13.69</v>
      </c>
      <c r="P50" s="2" t="s">
        <v>435</v>
      </c>
    </row>
    <row r="51" spans="1:16" s="2" customFormat="1" x14ac:dyDescent="0.25">
      <c r="A51" s="2" t="s">
        <v>135</v>
      </c>
      <c r="B51" s="2" t="s">
        <v>33</v>
      </c>
      <c r="C51" s="2" t="s">
        <v>136</v>
      </c>
      <c r="D51" s="3">
        <v>45566</v>
      </c>
      <c r="E51" s="3">
        <v>45901</v>
      </c>
      <c r="F51" s="2">
        <f>DATEDIF(D51,E51,"M")</f>
        <v>11</v>
      </c>
      <c r="G51" s="2" t="s">
        <v>429</v>
      </c>
      <c r="H51" s="2" t="s">
        <v>431</v>
      </c>
      <c r="I51" s="2">
        <v>16509456</v>
      </c>
      <c r="J51" s="2" t="s">
        <v>422</v>
      </c>
      <c r="K51" s="2" t="s">
        <v>25</v>
      </c>
      <c r="L51" s="2" t="str">
        <f>CONCATENATE(J51, " ",K51)</f>
        <v xml:space="preserve">PETER RICHTER             </v>
      </c>
      <c r="M51" s="2">
        <v>1.68</v>
      </c>
      <c r="N51" s="8">
        <v>0.65</v>
      </c>
      <c r="O51" s="2">
        <v>1.0900000000000001</v>
      </c>
      <c r="P51" s="2" t="s">
        <v>435</v>
      </c>
    </row>
    <row r="52" spans="1:16" s="2" customFormat="1" x14ac:dyDescent="0.25">
      <c r="A52" s="2" t="s">
        <v>135</v>
      </c>
      <c r="B52" s="2" t="s">
        <v>33</v>
      </c>
      <c r="C52" s="2" t="s">
        <v>136</v>
      </c>
      <c r="D52" s="3">
        <v>45566</v>
      </c>
      <c r="E52" s="3">
        <v>45901</v>
      </c>
      <c r="F52" s="2">
        <f>DATEDIF(D52,E52,"M")</f>
        <v>11</v>
      </c>
      <c r="G52" s="2" t="s">
        <v>429</v>
      </c>
      <c r="H52" s="2" t="s">
        <v>431</v>
      </c>
      <c r="I52" s="2">
        <v>16509456</v>
      </c>
      <c r="J52" s="2" t="s">
        <v>422</v>
      </c>
      <c r="K52" s="2" t="s">
        <v>25</v>
      </c>
      <c r="L52" s="2" t="str">
        <f>CONCATENATE(J52, " ",K52)</f>
        <v xml:space="preserve">PETER RICHTER             </v>
      </c>
      <c r="M52" s="2">
        <v>12.43</v>
      </c>
      <c r="N52" s="8">
        <v>0.65</v>
      </c>
      <c r="O52" s="2">
        <v>8.08</v>
      </c>
      <c r="P52" s="2" t="s">
        <v>435</v>
      </c>
    </row>
    <row r="53" spans="1:16" s="2" customFormat="1" x14ac:dyDescent="0.25">
      <c r="A53" s="2" t="s">
        <v>135</v>
      </c>
      <c r="B53" s="2" t="s">
        <v>33</v>
      </c>
      <c r="C53" s="2" t="s">
        <v>136</v>
      </c>
      <c r="D53" s="3">
        <v>45566</v>
      </c>
      <c r="E53" s="3">
        <v>45901</v>
      </c>
      <c r="F53" s="2">
        <f>DATEDIF(D53,E53,"M")</f>
        <v>11</v>
      </c>
      <c r="G53" s="2" t="s">
        <v>429</v>
      </c>
      <c r="H53" s="2" t="s">
        <v>431</v>
      </c>
      <c r="I53" s="2">
        <v>16509456</v>
      </c>
      <c r="J53" s="2" t="s">
        <v>422</v>
      </c>
      <c r="K53" s="2" t="s">
        <v>25</v>
      </c>
      <c r="L53" s="2" t="str">
        <f>CONCATENATE(J53, " ",K53)</f>
        <v xml:space="preserve">PETER RICHTER             </v>
      </c>
      <c r="M53" s="2">
        <v>12.94</v>
      </c>
      <c r="N53" s="8">
        <v>0.65</v>
      </c>
      <c r="O53" s="2">
        <v>8.41</v>
      </c>
      <c r="P53" s="2" t="s">
        <v>435</v>
      </c>
    </row>
    <row r="54" spans="1:16" s="2" customFormat="1" x14ac:dyDescent="0.25">
      <c r="A54" s="2" t="s">
        <v>135</v>
      </c>
      <c r="B54" s="2" t="s">
        <v>33</v>
      </c>
      <c r="C54" s="2" t="s">
        <v>136</v>
      </c>
      <c r="D54" s="3">
        <v>45566</v>
      </c>
      <c r="E54" s="3">
        <v>45901</v>
      </c>
      <c r="F54" s="2">
        <f>DATEDIF(D54,E54,"M")</f>
        <v>11</v>
      </c>
      <c r="G54" s="2" t="s">
        <v>429</v>
      </c>
      <c r="H54" s="2" t="s">
        <v>431</v>
      </c>
      <c r="I54" s="2">
        <v>16509456</v>
      </c>
      <c r="J54" s="2" t="s">
        <v>422</v>
      </c>
      <c r="K54" s="2" t="s">
        <v>25</v>
      </c>
      <c r="L54" s="2" t="str">
        <f>CONCATENATE(J54, " ",K54)</f>
        <v xml:space="preserve">PETER RICHTER             </v>
      </c>
      <c r="M54" s="2">
        <v>1.79</v>
      </c>
      <c r="N54" s="8">
        <v>0.65</v>
      </c>
      <c r="O54" s="2">
        <v>1.1599999999999999</v>
      </c>
      <c r="P54" s="2" t="s">
        <v>435</v>
      </c>
    </row>
    <row r="55" spans="1:16" s="2" customFormat="1" x14ac:dyDescent="0.25">
      <c r="A55" s="2" t="s">
        <v>156</v>
      </c>
      <c r="B55" s="2" t="s">
        <v>142</v>
      </c>
      <c r="C55" s="2" t="s">
        <v>157</v>
      </c>
      <c r="D55" s="3">
        <v>45581</v>
      </c>
      <c r="E55" s="3">
        <v>45916</v>
      </c>
      <c r="F55" s="2">
        <f>DATEDIF(D55,E55,"M")</f>
        <v>11</v>
      </c>
      <c r="G55" s="2" t="s">
        <v>429</v>
      </c>
      <c r="H55" s="2" t="s">
        <v>431</v>
      </c>
      <c r="I55" s="2">
        <v>19645587</v>
      </c>
      <c r="J55" s="2" t="s">
        <v>414</v>
      </c>
      <c r="K55" s="2" t="s">
        <v>160</v>
      </c>
      <c r="L55" s="2" t="str">
        <f>CONCATENATE(J55, " ",K55)</f>
        <v xml:space="preserve">STACEY PORTUGAL            </v>
      </c>
      <c r="M55" s="2">
        <v>35</v>
      </c>
      <c r="N55" s="8">
        <v>0.65</v>
      </c>
      <c r="O55" s="2">
        <v>22.75</v>
      </c>
      <c r="P55" s="2" t="s">
        <v>435</v>
      </c>
    </row>
    <row r="56" spans="1:16" s="2" customFormat="1" x14ac:dyDescent="0.25">
      <c r="A56" s="2" t="s">
        <v>156</v>
      </c>
      <c r="B56" s="2" t="s">
        <v>142</v>
      </c>
      <c r="C56" s="2" t="s">
        <v>157</v>
      </c>
      <c r="D56" s="3">
        <v>45581</v>
      </c>
      <c r="E56" s="3">
        <v>45916</v>
      </c>
      <c r="F56" s="2">
        <f>DATEDIF(D56,E56,"M")</f>
        <v>11</v>
      </c>
      <c r="G56" s="2" t="s">
        <v>429</v>
      </c>
      <c r="H56" s="2" t="s">
        <v>431</v>
      </c>
      <c r="I56" s="2">
        <v>19645587</v>
      </c>
      <c r="J56" s="2" t="s">
        <v>414</v>
      </c>
      <c r="K56" s="2" t="s">
        <v>160</v>
      </c>
      <c r="L56" s="2" t="str">
        <f>CONCATENATE(J56, " ",K56)</f>
        <v xml:space="preserve">STACEY PORTUGAL            </v>
      </c>
      <c r="M56" s="2">
        <v>3.4</v>
      </c>
      <c r="N56" s="8">
        <v>0.65</v>
      </c>
      <c r="O56" s="2">
        <v>2.21</v>
      </c>
      <c r="P56" s="2" t="s">
        <v>435</v>
      </c>
    </row>
    <row r="57" spans="1:16" s="2" customFormat="1" x14ac:dyDescent="0.25">
      <c r="A57" s="2" t="s">
        <v>156</v>
      </c>
      <c r="B57" s="2" t="s">
        <v>142</v>
      </c>
      <c r="C57" s="2" t="s">
        <v>157</v>
      </c>
      <c r="D57" s="3">
        <v>45581</v>
      </c>
      <c r="E57" s="3">
        <v>45916</v>
      </c>
      <c r="F57" s="2">
        <f>DATEDIF(D57,E57,"M")</f>
        <v>11</v>
      </c>
      <c r="G57" s="2" t="s">
        <v>429</v>
      </c>
      <c r="H57" s="2" t="s">
        <v>431</v>
      </c>
      <c r="I57" s="2">
        <v>19645587</v>
      </c>
      <c r="J57" s="2" t="s">
        <v>414</v>
      </c>
      <c r="K57" s="2" t="s">
        <v>160</v>
      </c>
      <c r="L57" s="2" t="str">
        <f>CONCATENATE(J57, " ",K57)</f>
        <v xml:space="preserve">STACEY PORTUGAL            </v>
      </c>
      <c r="M57" s="2">
        <v>1.68</v>
      </c>
      <c r="N57" s="8">
        <v>0.65</v>
      </c>
      <c r="O57" s="2">
        <v>1.0900000000000001</v>
      </c>
      <c r="P57" s="2" t="s">
        <v>435</v>
      </c>
    </row>
    <row r="58" spans="1:16" s="2" customFormat="1" x14ac:dyDescent="0.25">
      <c r="A58" s="2" t="s">
        <v>192</v>
      </c>
      <c r="B58" s="2" t="s">
        <v>66</v>
      </c>
      <c r="C58" s="2" t="s">
        <v>193</v>
      </c>
      <c r="D58" s="3">
        <v>45552</v>
      </c>
      <c r="E58" s="3">
        <v>45917</v>
      </c>
      <c r="F58" s="2">
        <f>DATEDIF(D58,E58,"M")</f>
        <v>12</v>
      </c>
      <c r="G58" s="2" t="s">
        <v>429</v>
      </c>
      <c r="H58" s="2" t="s">
        <v>431</v>
      </c>
      <c r="I58" s="2">
        <v>16912722</v>
      </c>
      <c r="J58" s="2" t="s">
        <v>416</v>
      </c>
      <c r="K58" s="2" t="s">
        <v>196</v>
      </c>
      <c r="L58" s="2" t="str">
        <f>CONCATENATE(J58, " ",K58)</f>
        <v xml:space="preserve">ANDREA PETRUNGARO          </v>
      </c>
      <c r="M58" s="2">
        <v>78.59</v>
      </c>
      <c r="N58" s="8">
        <v>0.65</v>
      </c>
      <c r="O58" s="2">
        <v>51.08</v>
      </c>
      <c r="P58" s="2" t="s">
        <v>435</v>
      </c>
    </row>
    <row r="59" spans="1:16" s="2" customFormat="1" x14ac:dyDescent="0.25">
      <c r="A59" s="2" t="s">
        <v>192</v>
      </c>
      <c r="B59" s="2" t="s">
        <v>66</v>
      </c>
      <c r="C59" s="2" t="s">
        <v>193</v>
      </c>
      <c r="D59" s="3">
        <v>45552</v>
      </c>
      <c r="E59" s="3">
        <v>45917</v>
      </c>
      <c r="F59" s="2">
        <f>DATEDIF(D59,E59,"M")</f>
        <v>12</v>
      </c>
      <c r="G59" s="2" t="s">
        <v>429</v>
      </c>
      <c r="H59" s="2" t="s">
        <v>431</v>
      </c>
      <c r="I59" s="2">
        <v>16912722</v>
      </c>
      <c r="J59" s="2" t="s">
        <v>416</v>
      </c>
      <c r="K59" s="2" t="s">
        <v>196</v>
      </c>
      <c r="L59" s="2" t="str">
        <f>CONCATENATE(J59, " ",K59)</f>
        <v xml:space="preserve">ANDREA PETRUNGARO          </v>
      </c>
      <c r="M59" s="2">
        <v>1.68</v>
      </c>
      <c r="N59" s="8">
        <v>0.65</v>
      </c>
      <c r="O59" s="2">
        <v>1.0900000000000001</v>
      </c>
      <c r="P59" s="2" t="s">
        <v>435</v>
      </c>
    </row>
    <row r="60" spans="1:16" s="2" customFormat="1" x14ac:dyDescent="0.25">
      <c r="A60" s="2" t="s">
        <v>192</v>
      </c>
      <c r="B60" s="2" t="s">
        <v>66</v>
      </c>
      <c r="C60" s="2" t="s">
        <v>193</v>
      </c>
      <c r="D60" s="3">
        <v>45552</v>
      </c>
      <c r="E60" s="3">
        <v>45917</v>
      </c>
      <c r="F60" s="2">
        <f>DATEDIF(D60,E60,"M")</f>
        <v>12</v>
      </c>
      <c r="G60" s="2" t="s">
        <v>429</v>
      </c>
      <c r="H60" s="2" t="s">
        <v>431</v>
      </c>
      <c r="I60" s="2">
        <v>16912722</v>
      </c>
      <c r="J60" s="2" t="s">
        <v>416</v>
      </c>
      <c r="K60" s="2" t="s">
        <v>196</v>
      </c>
      <c r="L60" s="2" t="str">
        <f>CONCATENATE(J60, " ",K60)</f>
        <v xml:space="preserve">ANDREA PETRUNGARO          </v>
      </c>
      <c r="M60" s="2">
        <v>20.350000000000001</v>
      </c>
      <c r="N60" s="8">
        <v>0.65</v>
      </c>
      <c r="O60" s="2">
        <v>13.23</v>
      </c>
      <c r="P60" s="2" t="s">
        <v>435</v>
      </c>
    </row>
    <row r="61" spans="1:16" s="2" customFormat="1" x14ac:dyDescent="0.25">
      <c r="A61" s="2" t="s">
        <v>175</v>
      </c>
      <c r="B61" s="2" t="s">
        <v>142</v>
      </c>
      <c r="C61" s="2" t="s">
        <v>176</v>
      </c>
      <c r="D61" s="3">
        <v>45536</v>
      </c>
      <c r="E61" s="3">
        <v>45901</v>
      </c>
      <c r="F61" s="2">
        <f>DATEDIF(D61,E61,"M")</f>
        <v>12</v>
      </c>
      <c r="G61" s="2" t="s">
        <v>429</v>
      </c>
      <c r="H61" s="2" t="s">
        <v>431</v>
      </c>
      <c r="I61" s="2">
        <v>16633294</v>
      </c>
      <c r="J61" s="2" t="s">
        <v>424</v>
      </c>
      <c r="K61" s="2" t="s">
        <v>179</v>
      </c>
      <c r="L61" s="2" t="str">
        <f>CONCATENATE(J61, " ",K61)</f>
        <v xml:space="preserve">RICHARD YALE                </v>
      </c>
      <c r="M61" s="2">
        <v>33.229999999999997</v>
      </c>
      <c r="N61" s="8">
        <v>0.65</v>
      </c>
      <c r="O61" s="2">
        <v>21.6</v>
      </c>
      <c r="P61" s="2" t="s">
        <v>435</v>
      </c>
    </row>
    <row r="62" spans="1:16" s="2" customFormat="1" x14ac:dyDescent="0.25">
      <c r="A62" s="2" t="s">
        <v>175</v>
      </c>
      <c r="B62" s="2" t="s">
        <v>142</v>
      </c>
      <c r="C62" s="2" t="s">
        <v>176</v>
      </c>
      <c r="D62" s="3">
        <v>45536</v>
      </c>
      <c r="E62" s="3">
        <v>45901</v>
      </c>
      <c r="F62" s="2">
        <f>DATEDIF(D62,E62,"M")</f>
        <v>12</v>
      </c>
      <c r="G62" s="2" t="s">
        <v>429</v>
      </c>
      <c r="H62" s="2" t="s">
        <v>431</v>
      </c>
      <c r="I62" s="2">
        <v>16633294</v>
      </c>
      <c r="J62" s="2" t="s">
        <v>424</v>
      </c>
      <c r="K62" s="2" t="s">
        <v>179</v>
      </c>
      <c r="L62" s="2" t="str">
        <f>CONCATENATE(J62, " ",K62)</f>
        <v xml:space="preserve">RICHARD YALE                </v>
      </c>
      <c r="M62" s="2">
        <v>1.68</v>
      </c>
      <c r="N62" s="8">
        <v>0.65</v>
      </c>
      <c r="O62" s="2">
        <v>1.0900000000000001</v>
      </c>
      <c r="P62" s="2" t="s">
        <v>435</v>
      </c>
    </row>
    <row r="63" spans="1:16" s="2" customFormat="1" x14ac:dyDescent="0.25">
      <c r="A63" s="2" t="s">
        <v>175</v>
      </c>
      <c r="B63" s="2" t="s">
        <v>142</v>
      </c>
      <c r="C63" s="2" t="s">
        <v>176</v>
      </c>
      <c r="D63" s="3">
        <v>45536</v>
      </c>
      <c r="E63" s="3">
        <v>45901</v>
      </c>
      <c r="F63" s="2">
        <f>DATEDIF(D63,E63,"M")</f>
        <v>12</v>
      </c>
      <c r="G63" s="2" t="s">
        <v>429</v>
      </c>
      <c r="H63" s="2" t="s">
        <v>431</v>
      </c>
      <c r="I63" s="2">
        <v>16633294</v>
      </c>
      <c r="J63" s="2" t="s">
        <v>424</v>
      </c>
      <c r="K63" s="2" t="s">
        <v>179</v>
      </c>
      <c r="L63" s="2" t="str">
        <f>CONCATENATE(J63, " ",K63)</f>
        <v xml:space="preserve">RICHARD YALE                </v>
      </c>
      <c r="M63" s="2">
        <v>2.86</v>
      </c>
      <c r="N63" s="8">
        <v>0.65</v>
      </c>
      <c r="O63" s="2">
        <v>1.86</v>
      </c>
      <c r="P63" s="2" t="s">
        <v>435</v>
      </c>
    </row>
    <row r="64" spans="1:16" s="2" customFormat="1" x14ac:dyDescent="0.25">
      <c r="A64" s="2" t="s">
        <v>175</v>
      </c>
      <c r="B64" s="2" t="s">
        <v>142</v>
      </c>
      <c r="C64" s="2" t="s">
        <v>176</v>
      </c>
      <c r="D64" s="3">
        <v>45536</v>
      </c>
      <c r="E64" s="3">
        <v>45901</v>
      </c>
      <c r="F64" s="2">
        <f>DATEDIF(D64,E64,"M")</f>
        <v>12</v>
      </c>
      <c r="G64" s="2" t="s">
        <v>429</v>
      </c>
      <c r="H64" s="2" t="s">
        <v>431</v>
      </c>
      <c r="I64" s="2">
        <v>16633294</v>
      </c>
      <c r="J64" s="2" t="s">
        <v>424</v>
      </c>
      <c r="K64" s="2" t="s">
        <v>179</v>
      </c>
      <c r="L64" s="2" t="str">
        <f>CONCATENATE(J64, " ",K64)</f>
        <v xml:space="preserve">RICHARD YALE                </v>
      </c>
      <c r="M64" s="2">
        <v>12.94</v>
      </c>
      <c r="N64" s="8">
        <v>0.65</v>
      </c>
      <c r="O64" s="2">
        <v>8.41</v>
      </c>
      <c r="P64" s="2" t="s">
        <v>435</v>
      </c>
    </row>
    <row r="65" spans="1:16" s="2" customFormat="1" x14ac:dyDescent="0.25">
      <c r="A65" s="2" t="s">
        <v>175</v>
      </c>
      <c r="B65" s="2" t="s">
        <v>142</v>
      </c>
      <c r="C65" s="2" t="s">
        <v>176</v>
      </c>
      <c r="D65" s="3">
        <v>45536</v>
      </c>
      <c r="E65" s="3">
        <v>45901</v>
      </c>
      <c r="F65" s="2">
        <f>DATEDIF(D65,E65,"M")</f>
        <v>12</v>
      </c>
      <c r="G65" s="2" t="s">
        <v>429</v>
      </c>
      <c r="H65" s="2" t="s">
        <v>431</v>
      </c>
      <c r="I65" s="2">
        <v>16633294</v>
      </c>
      <c r="J65" s="2" t="s">
        <v>424</v>
      </c>
      <c r="K65" s="2" t="s">
        <v>179</v>
      </c>
      <c r="L65" s="2" t="str">
        <f>CONCATENATE(J65, " ",K65)</f>
        <v xml:space="preserve">RICHARD YALE                </v>
      </c>
      <c r="M65" s="2">
        <v>2.31</v>
      </c>
      <c r="N65" s="8">
        <v>0.65</v>
      </c>
      <c r="O65" s="2">
        <v>1.5</v>
      </c>
      <c r="P65" s="2" t="s">
        <v>435</v>
      </c>
    </row>
    <row r="66" spans="1:16" s="2" customFormat="1" x14ac:dyDescent="0.25">
      <c r="A66" s="2" t="s">
        <v>175</v>
      </c>
      <c r="B66" s="2" t="s">
        <v>142</v>
      </c>
      <c r="C66" s="2" t="s">
        <v>176</v>
      </c>
      <c r="D66" s="3">
        <v>45536</v>
      </c>
      <c r="E66" s="3">
        <v>45901</v>
      </c>
      <c r="F66" s="2">
        <f>DATEDIF(D66,E66,"M")</f>
        <v>12</v>
      </c>
      <c r="G66" s="2" t="s">
        <v>429</v>
      </c>
      <c r="H66" s="2" t="s">
        <v>431</v>
      </c>
      <c r="I66" s="2">
        <v>16633294</v>
      </c>
      <c r="J66" s="2" t="s">
        <v>424</v>
      </c>
      <c r="K66" s="2" t="s">
        <v>179</v>
      </c>
      <c r="L66" s="2" t="str">
        <f>CONCATENATE(J66, " ",K66)</f>
        <v xml:space="preserve">RICHARD YALE                </v>
      </c>
      <c r="M66" s="2">
        <v>2.92</v>
      </c>
      <c r="N66" s="8">
        <v>0.65</v>
      </c>
      <c r="O66" s="2">
        <v>1.9</v>
      </c>
      <c r="P66" s="2" t="s">
        <v>435</v>
      </c>
    </row>
    <row r="67" spans="1:16" s="2" customFormat="1" x14ac:dyDescent="0.25">
      <c r="A67" s="2" t="s">
        <v>175</v>
      </c>
      <c r="B67" s="2" t="s">
        <v>142</v>
      </c>
      <c r="C67" s="2" t="s">
        <v>176</v>
      </c>
      <c r="D67" s="3">
        <v>45536</v>
      </c>
      <c r="E67" s="3">
        <v>45901</v>
      </c>
      <c r="F67" s="2">
        <f>DATEDIF(D67,E67,"M")</f>
        <v>12</v>
      </c>
      <c r="G67" s="2" t="s">
        <v>429</v>
      </c>
      <c r="H67" s="2" t="s">
        <v>431</v>
      </c>
      <c r="I67" s="2">
        <v>16633294</v>
      </c>
      <c r="J67" s="2" t="s">
        <v>424</v>
      </c>
      <c r="K67" s="2" t="s">
        <v>179</v>
      </c>
      <c r="L67" s="2" t="str">
        <f>CONCATENATE(J67, " ",K67)</f>
        <v xml:space="preserve">RICHARD YALE                </v>
      </c>
      <c r="M67" s="2">
        <v>11.76</v>
      </c>
      <c r="N67" s="8">
        <v>0.65</v>
      </c>
      <c r="O67" s="2">
        <v>7.64</v>
      </c>
      <c r="P67" s="2" t="s">
        <v>435</v>
      </c>
    </row>
    <row r="68" spans="1:16" s="2" customFormat="1" x14ac:dyDescent="0.25">
      <c r="A68" s="2" t="s">
        <v>175</v>
      </c>
      <c r="B68" s="2" t="s">
        <v>142</v>
      </c>
      <c r="C68" s="2" t="s">
        <v>176</v>
      </c>
      <c r="D68" s="3">
        <v>45536</v>
      </c>
      <c r="E68" s="3">
        <v>45901</v>
      </c>
      <c r="F68" s="2">
        <f>DATEDIF(D68,E68,"M")</f>
        <v>12</v>
      </c>
      <c r="G68" s="2" t="s">
        <v>429</v>
      </c>
      <c r="H68" s="2" t="s">
        <v>431</v>
      </c>
      <c r="I68" s="2">
        <v>16633294</v>
      </c>
      <c r="J68" s="2" t="s">
        <v>424</v>
      </c>
      <c r="K68" s="2" t="s">
        <v>179</v>
      </c>
      <c r="L68" s="2" t="str">
        <f>CONCATENATE(J68, " ",K68)</f>
        <v xml:space="preserve">RICHARD YALE                </v>
      </c>
      <c r="M68" s="2">
        <v>12.43</v>
      </c>
      <c r="N68" s="8">
        <v>0.65</v>
      </c>
      <c r="O68" s="2">
        <v>8.08</v>
      </c>
      <c r="P68" s="2" t="s">
        <v>435</v>
      </c>
    </row>
    <row r="69" spans="1:16" s="2" customFormat="1" x14ac:dyDescent="0.25">
      <c r="A69" s="2" t="s">
        <v>175</v>
      </c>
      <c r="B69" s="2" t="s">
        <v>142</v>
      </c>
      <c r="C69" s="2" t="s">
        <v>176</v>
      </c>
      <c r="D69" s="3">
        <v>45536</v>
      </c>
      <c r="E69" s="3">
        <v>45901</v>
      </c>
      <c r="F69" s="2">
        <f>DATEDIF(D69,E69,"M")</f>
        <v>12</v>
      </c>
      <c r="G69" s="2" t="s">
        <v>429</v>
      </c>
      <c r="H69" s="2" t="s">
        <v>431</v>
      </c>
      <c r="I69" s="2">
        <v>16633294</v>
      </c>
      <c r="J69" s="2" t="s">
        <v>424</v>
      </c>
      <c r="K69" s="2" t="s">
        <v>179</v>
      </c>
      <c r="L69" s="2" t="str">
        <f>CONCATENATE(J69, " ",K69)</f>
        <v xml:space="preserve">RICHARD YALE                </v>
      </c>
      <c r="M69" s="2">
        <v>53.68</v>
      </c>
      <c r="N69" s="8">
        <v>0.65</v>
      </c>
      <c r="O69" s="2">
        <v>34.89</v>
      </c>
      <c r="P69" s="2" t="s">
        <v>435</v>
      </c>
    </row>
    <row r="70" spans="1:16" s="2" customFormat="1" x14ac:dyDescent="0.25">
      <c r="A70" s="2" t="s">
        <v>366</v>
      </c>
      <c r="B70" s="2" t="s">
        <v>166</v>
      </c>
      <c r="C70" s="2" t="s">
        <v>367</v>
      </c>
      <c r="D70" s="3">
        <v>45505</v>
      </c>
      <c r="E70" s="3">
        <v>45901</v>
      </c>
      <c r="F70" s="2">
        <f>DATEDIF(D70,E70,"M")</f>
        <v>13</v>
      </c>
      <c r="G70" s="2" t="s">
        <v>429</v>
      </c>
      <c r="H70" s="2" t="s">
        <v>431</v>
      </c>
      <c r="I70" s="2">
        <v>7470776</v>
      </c>
      <c r="J70" s="2" t="s">
        <v>415</v>
      </c>
      <c r="K70" s="2" t="s">
        <v>170</v>
      </c>
      <c r="L70" s="2" t="str">
        <f>CONCATENATE(J70, " ",K70)</f>
        <v xml:space="preserve">ANDREW CHOI                </v>
      </c>
      <c r="M70" s="2">
        <v>70.84</v>
      </c>
      <c r="N70" s="8">
        <v>0.13</v>
      </c>
      <c r="O70" s="2">
        <v>9.2100000000000009</v>
      </c>
      <c r="P70" s="2" t="s">
        <v>436</v>
      </c>
    </row>
    <row r="71" spans="1:16" s="2" customFormat="1" x14ac:dyDescent="0.25">
      <c r="A71" s="2" t="s">
        <v>366</v>
      </c>
      <c r="B71" s="2" t="s">
        <v>166</v>
      </c>
      <c r="C71" s="2" t="s">
        <v>367</v>
      </c>
      <c r="D71" s="3">
        <v>45505</v>
      </c>
      <c r="E71" s="3">
        <v>45901</v>
      </c>
      <c r="F71" s="2">
        <f>DATEDIF(D71,E71,"M")</f>
        <v>13</v>
      </c>
      <c r="G71" s="2" t="s">
        <v>429</v>
      </c>
      <c r="H71" s="2" t="s">
        <v>431</v>
      </c>
      <c r="I71" s="2">
        <v>7470776</v>
      </c>
      <c r="J71" s="2" t="s">
        <v>415</v>
      </c>
      <c r="K71" s="2" t="s">
        <v>170</v>
      </c>
      <c r="L71" s="2" t="str">
        <f>CONCATENATE(J71, " ",K71)</f>
        <v xml:space="preserve">ANDREW CHOI                </v>
      </c>
      <c r="M71" s="2">
        <v>2.29</v>
      </c>
      <c r="N71" s="8">
        <v>0.13</v>
      </c>
      <c r="O71" s="2">
        <v>0.3</v>
      </c>
      <c r="P71" s="2" t="s">
        <v>436</v>
      </c>
    </row>
    <row r="72" spans="1:16" s="2" customFormat="1" x14ac:dyDescent="0.25">
      <c r="A72" s="2" t="s">
        <v>366</v>
      </c>
      <c r="B72" s="2" t="s">
        <v>166</v>
      </c>
      <c r="C72" s="2" t="s">
        <v>367</v>
      </c>
      <c r="D72" s="3">
        <v>45505</v>
      </c>
      <c r="E72" s="3">
        <v>45901</v>
      </c>
      <c r="F72" s="2">
        <f>DATEDIF(D72,E72,"M")</f>
        <v>13</v>
      </c>
      <c r="G72" s="2" t="s">
        <v>429</v>
      </c>
      <c r="H72" s="2" t="s">
        <v>431</v>
      </c>
      <c r="I72" s="2">
        <v>7470776</v>
      </c>
      <c r="J72" s="2" t="s">
        <v>415</v>
      </c>
      <c r="K72" s="2" t="s">
        <v>170</v>
      </c>
      <c r="L72" s="2" t="str">
        <f>CONCATENATE(J72, " ",K72)</f>
        <v xml:space="preserve">ANDREW CHOI                </v>
      </c>
      <c r="M72" s="2">
        <v>8.1199999999999992</v>
      </c>
      <c r="N72" s="8">
        <v>0.13</v>
      </c>
      <c r="O72" s="2">
        <v>1.06</v>
      </c>
      <c r="P72" s="2" t="s">
        <v>436</v>
      </c>
    </row>
    <row r="73" spans="1:16" s="2" customFormat="1" x14ac:dyDescent="0.25">
      <c r="A73" s="2" t="s">
        <v>366</v>
      </c>
      <c r="B73" s="2" t="s">
        <v>166</v>
      </c>
      <c r="C73" s="2" t="s">
        <v>367</v>
      </c>
      <c r="D73" s="3">
        <v>45505</v>
      </c>
      <c r="E73" s="3">
        <v>45901</v>
      </c>
      <c r="F73" s="2">
        <f>DATEDIF(D73,E73,"M")</f>
        <v>13</v>
      </c>
      <c r="G73" s="2" t="s">
        <v>429</v>
      </c>
      <c r="H73" s="2" t="s">
        <v>431</v>
      </c>
      <c r="I73" s="2">
        <v>7470776</v>
      </c>
      <c r="J73" s="2" t="s">
        <v>415</v>
      </c>
      <c r="K73" s="2" t="s">
        <v>170</v>
      </c>
      <c r="L73" s="2" t="str">
        <f>CONCATENATE(J73, " ",K73)</f>
        <v xml:space="preserve">ANDREW CHOI                </v>
      </c>
      <c r="M73" s="2">
        <v>3.08</v>
      </c>
      <c r="N73" s="8">
        <v>0.13</v>
      </c>
      <c r="O73" s="2">
        <v>0.4</v>
      </c>
      <c r="P73" s="2" t="s">
        <v>436</v>
      </c>
    </row>
    <row r="74" spans="1:16" s="2" customFormat="1" x14ac:dyDescent="0.25">
      <c r="A74" s="2" t="s">
        <v>366</v>
      </c>
      <c r="B74" s="2" t="s">
        <v>166</v>
      </c>
      <c r="C74" s="2" t="s">
        <v>367</v>
      </c>
      <c r="D74" s="3">
        <v>45505</v>
      </c>
      <c r="E74" s="3">
        <v>45901</v>
      </c>
      <c r="F74" s="2">
        <f>DATEDIF(D74,E74,"M")</f>
        <v>13</v>
      </c>
      <c r="G74" s="2" t="s">
        <v>429</v>
      </c>
      <c r="H74" s="2" t="s">
        <v>431</v>
      </c>
      <c r="I74" s="2">
        <v>7470776</v>
      </c>
      <c r="J74" s="2" t="s">
        <v>415</v>
      </c>
      <c r="K74" s="2" t="s">
        <v>170</v>
      </c>
      <c r="L74" s="2" t="str">
        <f>CONCATENATE(J74, " ",K74)</f>
        <v xml:space="preserve">ANDREW CHOI                </v>
      </c>
      <c r="M74" s="2">
        <v>5.94</v>
      </c>
      <c r="N74" s="8">
        <v>0.13</v>
      </c>
      <c r="O74" s="2">
        <v>0.77</v>
      </c>
      <c r="P74" s="2" t="s">
        <v>436</v>
      </c>
    </row>
    <row r="75" spans="1:16" s="2" customFormat="1" x14ac:dyDescent="0.25">
      <c r="A75" s="2" t="s">
        <v>383</v>
      </c>
      <c r="B75" s="2" t="s">
        <v>384</v>
      </c>
      <c r="C75" s="2" t="s">
        <v>385</v>
      </c>
      <c r="D75" s="3">
        <v>45523</v>
      </c>
      <c r="E75" s="3">
        <v>45919</v>
      </c>
      <c r="F75" s="2">
        <f>DATEDIF(D75,E75,"M")</f>
        <v>13</v>
      </c>
      <c r="G75" s="2" t="s">
        <v>429</v>
      </c>
      <c r="H75" s="2" t="s">
        <v>431</v>
      </c>
      <c r="I75" s="2">
        <v>19681796</v>
      </c>
      <c r="J75" s="2" t="s">
        <v>425</v>
      </c>
      <c r="K75" s="2" t="s">
        <v>184</v>
      </c>
      <c r="L75" s="2" t="str">
        <f>CONCATENATE(J75, " ",K75)</f>
        <v xml:space="preserve">CHRISTIAN TAUGNER             </v>
      </c>
      <c r="M75" s="2">
        <v>77.28</v>
      </c>
      <c r="N75" s="8">
        <v>0.1</v>
      </c>
      <c r="O75" s="2">
        <v>7.73</v>
      </c>
      <c r="P75" s="2" t="s">
        <v>435</v>
      </c>
    </row>
    <row r="76" spans="1:16" s="2" customFormat="1" x14ac:dyDescent="0.25">
      <c r="A76" s="2" t="s">
        <v>383</v>
      </c>
      <c r="B76" s="2" t="s">
        <v>384</v>
      </c>
      <c r="C76" s="2" t="s">
        <v>385</v>
      </c>
      <c r="D76" s="3">
        <v>45523</v>
      </c>
      <c r="E76" s="3">
        <v>45919</v>
      </c>
      <c r="F76" s="2">
        <f>DATEDIF(D76,E76,"M")</f>
        <v>13</v>
      </c>
      <c r="G76" s="2" t="s">
        <v>429</v>
      </c>
      <c r="H76" s="2" t="s">
        <v>431</v>
      </c>
      <c r="I76" s="2">
        <v>19681796</v>
      </c>
      <c r="J76" s="2" t="s">
        <v>425</v>
      </c>
      <c r="K76" s="2" t="s">
        <v>184</v>
      </c>
      <c r="L76" s="2" t="str">
        <f>CONCATENATE(J76, " ",K76)</f>
        <v xml:space="preserve">CHRISTIAN TAUGNER             </v>
      </c>
      <c r="M76" s="2">
        <v>2.59</v>
      </c>
      <c r="N76" s="8">
        <v>0.1</v>
      </c>
      <c r="O76" s="2">
        <v>0.26</v>
      </c>
      <c r="P76" s="2" t="s">
        <v>435</v>
      </c>
    </row>
    <row r="77" spans="1:16" s="2" customFormat="1" x14ac:dyDescent="0.25">
      <c r="A77" s="2" t="s">
        <v>383</v>
      </c>
      <c r="B77" s="2" t="s">
        <v>384</v>
      </c>
      <c r="C77" s="2" t="s">
        <v>385</v>
      </c>
      <c r="D77" s="3">
        <v>45523</v>
      </c>
      <c r="E77" s="3">
        <v>45919</v>
      </c>
      <c r="F77" s="2">
        <f>DATEDIF(D77,E77,"M")</f>
        <v>13</v>
      </c>
      <c r="G77" s="2" t="s">
        <v>429</v>
      </c>
      <c r="H77" s="2" t="s">
        <v>431</v>
      </c>
      <c r="I77" s="2">
        <v>19681796</v>
      </c>
      <c r="J77" s="2" t="s">
        <v>425</v>
      </c>
      <c r="K77" s="2" t="s">
        <v>184</v>
      </c>
      <c r="L77" s="2" t="str">
        <f>CONCATENATE(J77, " ",K77)</f>
        <v xml:space="preserve">CHRISTIAN TAUGNER             </v>
      </c>
      <c r="M77" s="2">
        <v>2.69</v>
      </c>
      <c r="N77" s="8">
        <v>0.1</v>
      </c>
      <c r="O77" s="2">
        <v>0.27</v>
      </c>
      <c r="P77" s="2" t="s">
        <v>435</v>
      </c>
    </row>
    <row r="78" spans="1:16" s="2" customFormat="1" x14ac:dyDescent="0.25">
      <c r="A78" s="2" t="s">
        <v>386</v>
      </c>
      <c r="B78" s="2" t="s">
        <v>384</v>
      </c>
      <c r="C78" s="2" t="s">
        <v>385</v>
      </c>
      <c r="D78" s="3">
        <v>45523</v>
      </c>
      <c r="E78" s="3">
        <v>45919</v>
      </c>
      <c r="F78" s="2">
        <f>DATEDIF(D78,E78,"M")</f>
        <v>13</v>
      </c>
      <c r="G78" s="2" t="s">
        <v>429</v>
      </c>
      <c r="H78" s="2" t="s">
        <v>431</v>
      </c>
      <c r="I78" s="2">
        <v>19681796</v>
      </c>
      <c r="J78" s="2" t="s">
        <v>425</v>
      </c>
      <c r="K78" s="2" t="s">
        <v>184</v>
      </c>
      <c r="L78" s="2" t="str">
        <f>CONCATENATE(J78, " ",K78)</f>
        <v xml:space="preserve">CHRISTIAN TAUGNER             </v>
      </c>
      <c r="M78" s="2">
        <v>50</v>
      </c>
      <c r="N78" s="8">
        <v>0.1</v>
      </c>
      <c r="O78" s="2">
        <v>5</v>
      </c>
      <c r="P78" s="2" t="s">
        <v>435</v>
      </c>
    </row>
    <row r="79" spans="1:16" s="2" customFormat="1" x14ac:dyDescent="0.25">
      <c r="A79" s="2" t="s">
        <v>386</v>
      </c>
      <c r="B79" s="2" t="s">
        <v>384</v>
      </c>
      <c r="C79" s="2" t="s">
        <v>385</v>
      </c>
      <c r="D79" s="3">
        <v>45523</v>
      </c>
      <c r="E79" s="3">
        <v>45919</v>
      </c>
      <c r="F79" s="2">
        <f>DATEDIF(D79,E79,"M")</f>
        <v>13</v>
      </c>
      <c r="G79" s="2" t="s">
        <v>429</v>
      </c>
      <c r="H79" s="2" t="s">
        <v>431</v>
      </c>
      <c r="I79" s="2">
        <v>19681796</v>
      </c>
      <c r="J79" s="2" t="s">
        <v>425</v>
      </c>
      <c r="K79" s="2" t="s">
        <v>184</v>
      </c>
      <c r="L79" s="2" t="str">
        <f>CONCATENATE(J79, " ",K79)</f>
        <v xml:space="preserve">CHRISTIAN TAUGNER             </v>
      </c>
      <c r="M79" s="2">
        <v>1.83</v>
      </c>
      <c r="N79" s="8">
        <v>0.1</v>
      </c>
      <c r="O79" s="2">
        <v>0.18</v>
      </c>
      <c r="P79" s="2" t="s">
        <v>435</v>
      </c>
    </row>
    <row r="80" spans="1:16" s="2" customFormat="1" x14ac:dyDescent="0.25">
      <c r="A80" s="2" t="s">
        <v>386</v>
      </c>
      <c r="B80" s="2" t="s">
        <v>384</v>
      </c>
      <c r="C80" s="2" t="s">
        <v>385</v>
      </c>
      <c r="D80" s="3">
        <v>45523</v>
      </c>
      <c r="E80" s="3">
        <v>45919</v>
      </c>
      <c r="F80" s="2">
        <f>DATEDIF(D80,E80,"M")</f>
        <v>13</v>
      </c>
      <c r="G80" s="2" t="s">
        <v>429</v>
      </c>
      <c r="H80" s="2" t="s">
        <v>431</v>
      </c>
      <c r="I80" s="2">
        <v>19681796</v>
      </c>
      <c r="J80" s="2" t="s">
        <v>425</v>
      </c>
      <c r="K80" s="2" t="s">
        <v>184</v>
      </c>
      <c r="L80" s="2" t="str">
        <f>CONCATENATE(J80, " ",K80)</f>
        <v xml:space="preserve">CHRISTIAN TAUGNER             </v>
      </c>
      <c r="M80" s="2">
        <v>35</v>
      </c>
      <c r="N80" s="8">
        <v>0.1</v>
      </c>
      <c r="O80" s="2">
        <v>3.5</v>
      </c>
      <c r="P80" s="2" t="s">
        <v>435</v>
      </c>
    </row>
    <row r="81" spans="1:16" s="2" customFormat="1" x14ac:dyDescent="0.25">
      <c r="A81" s="2" t="s">
        <v>386</v>
      </c>
      <c r="B81" s="2" t="s">
        <v>384</v>
      </c>
      <c r="C81" s="2" t="s">
        <v>385</v>
      </c>
      <c r="D81" s="3">
        <v>45523</v>
      </c>
      <c r="E81" s="3">
        <v>45919</v>
      </c>
      <c r="F81" s="2">
        <f>DATEDIF(D81,E81,"M")</f>
        <v>13</v>
      </c>
      <c r="G81" s="2" t="s">
        <v>429</v>
      </c>
      <c r="H81" s="2" t="s">
        <v>431</v>
      </c>
      <c r="I81" s="2">
        <v>19681796</v>
      </c>
      <c r="J81" s="2" t="s">
        <v>425</v>
      </c>
      <c r="K81" s="2" t="s">
        <v>184</v>
      </c>
      <c r="L81" s="2" t="str">
        <f>CONCATENATE(J81, " ",K81)</f>
        <v xml:space="preserve">CHRISTIAN TAUGNER             </v>
      </c>
      <c r="M81" s="2">
        <v>7.25</v>
      </c>
      <c r="N81" s="8">
        <v>0.1</v>
      </c>
      <c r="O81" s="2">
        <v>0.73</v>
      </c>
      <c r="P81" s="2" t="s">
        <v>435</v>
      </c>
    </row>
    <row r="82" spans="1:16" s="2" customFormat="1" x14ac:dyDescent="0.25">
      <c r="A82" s="2" t="s">
        <v>386</v>
      </c>
      <c r="B82" s="2" t="s">
        <v>384</v>
      </c>
      <c r="C82" s="2" t="s">
        <v>385</v>
      </c>
      <c r="D82" s="3">
        <v>45523</v>
      </c>
      <c r="E82" s="3">
        <v>45919</v>
      </c>
      <c r="F82" s="2">
        <f>DATEDIF(D82,E82,"M")</f>
        <v>13</v>
      </c>
      <c r="G82" s="2" t="s">
        <v>429</v>
      </c>
      <c r="H82" s="2" t="s">
        <v>431</v>
      </c>
      <c r="I82" s="2">
        <v>19681796</v>
      </c>
      <c r="J82" s="2" t="s">
        <v>425</v>
      </c>
      <c r="K82" s="2" t="s">
        <v>184</v>
      </c>
      <c r="L82" s="2" t="str">
        <f>CONCATENATE(J82, " ",K82)</f>
        <v xml:space="preserve">CHRISTIAN TAUGNER             </v>
      </c>
      <c r="M82" s="2">
        <v>7.29</v>
      </c>
      <c r="N82" s="8">
        <v>0.1</v>
      </c>
      <c r="O82" s="2">
        <v>0.73</v>
      </c>
      <c r="P82" s="2" t="s">
        <v>435</v>
      </c>
    </row>
    <row r="83" spans="1:16" s="2" customFormat="1" x14ac:dyDescent="0.25">
      <c r="A83" s="2" t="s">
        <v>387</v>
      </c>
      <c r="B83" s="2" t="s">
        <v>166</v>
      </c>
      <c r="C83" s="2" t="s">
        <v>388</v>
      </c>
      <c r="D83" s="3">
        <v>45524</v>
      </c>
      <c r="E83" s="3">
        <v>45920</v>
      </c>
      <c r="F83" s="2">
        <f>DATEDIF(D83,E83,"M")</f>
        <v>13</v>
      </c>
      <c r="G83" s="2" t="s">
        <v>429</v>
      </c>
      <c r="H83" s="2" t="s">
        <v>431</v>
      </c>
      <c r="I83" s="2">
        <v>19681796</v>
      </c>
      <c r="J83" s="2" t="s">
        <v>425</v>
      </c>
      <c r="K83" s="2" t="s">
        <v>184</v>
      </c>
      <c r="L83" s="2" t="str">
        <f>CONCATENATE(J83, " ",K83)</f>
        <v xml:space="preserve">CHRISTIAN TAUGNER             </v>
      </c>
      <c r="M83" s="2">
        <v>60.41</v>
      </c>
      <c r="N83" s="8">
        <v>0.1</v>
      </c>
      <c r="O83" s="2">
        <v>6.04</v>
      </c>
      <c r="P83" s="2" t="s">
        <v>435</v>
      </c>
    </row>
    <row r="84" spans="1:16" s="2" customFormat="1" x14ac:dyDescent="0.25">
      <c r="A84" s="2" t="s">
        <v>387</v>
      </c>
      <c r="B84" s="2" t="s">
        <v>166</v>
      </c>
      <c r="C84" s="2" t="s">
        <v>388</v>
      </c>
      <c r="D84" s="3">
        <v>45524</v>
      </c>
      <c r="E84" s="3">
        <v>45920</v>
      </c>
      <c r="F84" s="2">
        <f>DATEDIF(D84,E84,"M")</f>
        <v>13</v>
      </c>
      <c r="G84" s="2" t="s">
        <v>429</v>
      </c>
      <c r="H84" s="2" t="s">
        <v>431</v>
      </c>
      <c r="I84" s="2">
        <v>19681796</v>
      </c>
      <c r="J84" s="2" t="s">
        <v>425</v>
      </c>
      <c r="K84" s="2" t="s">
        <v>184</v>
      </c>
      <c r="L84" s="2" t="str">
        <f>CONCATENATE(J84, " ",K84)</f>
        <v xml:space="preserve">CHRISTIAN TAUGNER             </v>
      </c>
      <c r="M84" s="2">
        <v>4.58</v>
      </c>
      <c r="N84" s="8">
        <v>0.1</v>
      </c>
      <c r="O84" s="2">
        <v>0.46</v>
      </c>
      <c r="P84" s="2" t="s">
        <v>435</v>
      </c>
    </row>
    <row r="85" spans="1:16" s="2" customFormat="1" x14ac:dyDescent="0.25">
      <c r="A85" s="2" t="s">
        <v>387</v>
      </c>
      <c r="B85" s="2" t="s">
        <v>166</v>
      </c>
      <c r="C85" s="2" t="s">
        <v>388</v>
      </c>
      <c r="D85" s="3">
        <v>45524</v>
      </c>
      <c r="E85" s="3">
        <v>45920</v>
      </c>
      <c r="F85" s="2">
        <f>DATEDIF(D85,E85,"M")</f>
        <v>13</v>
      </c>
      <c r="G85" s="2" t="s">
        <v>429</v>
      </c>
      <c r="H85" s="2" t="s">
        <v>431</v>
      </c>
      <c r="I85" s="2">
        <v>19681796</v>
      </c>
      <c r="J85" s="2" t="s">
        <v>425</v>
      </c>
      <c r="K85" s="2" t="s">
        <v>184</v>
      </c>
      <c r="L85" s="2" t="str">
        <f>CONCATENATE(J85, " ",K85)</f>
        <v xml:space="preserve">CHRISTIAN TAUGNER             </v>
      </c>
      <c r="M85" s="2">
        <v>9.75</v>
      </c>
      <c r="N85" s="8">
        <v>0.1</v>
      </c>
      <c r="O85" s="2">
        <v>0.98</v>
      </c>
      <c r="P85" s="2" t="s">
        <v>435</v>
      </c>
    </row>
    <row r="86" spans="1:16" s="2" customFormat="1" x14ac:dyDescent="0.25">
      <c r="A86" s="2" t="s">
        <v>387</v>
      </c>
      <c r="B86" s="2" t="s">
        <v>166</v>
      </c>
      <c r="C86" s="2" t="s">
        <v>388</v>
      </c>
      <c r="D86" s="3">
        <v>45524</v>
      </c>
      <c r="E86" s="3">
        <v>45920</v>
      </c>
      <c r="F86" s="2">
        <f>DATEDIF(D86,E86,"M")</f>
        <v>13</v>
      </c>
      <c r="G86" s="2" t="s">
        <v>429</v>
      </c>
      <c r="H86" s="2" t="s">
        <v>431</v>
      </c>
      <c r="I86" s="2">
        <v>19681796</v>
      </c>
      <c r="J86" s="2" t="s">
        <v>425</v>
      </c>
      <c r="K86" s="2" t="s">
        <v>184</v>
      </c>
      <c r="L86" s="2" t="str">
        <f>CONCATENATE(J86, " ",K86)</f>
        <v xml:space="preserve">CHRISTIAN TAUGNER             </v>
      </c>
      <c r="M86" s="2">
        <v>2</v>
      </c>
      <c r="N86" s="8">
        <v>0.1</v>
      </c>
      <c r="O86" s="2">
        <v>0.2</v>
      </c>
      <c r="P86" s="2" t="s">
        <v>435</v>
      </c>
    </row>
    <row r="87" spans="1:16" s="2" customFormat="1" x14ac:dyDescent="0.25">
      <c r="A87" s="2" t="s">
        <v>387</v>
      </c>
      <c r="B87" s="2" t="s">
        <v>166</v>
      </c>
      <c r="C87" s="2" t="s">
        <v>388</v>
      </c>
      <c r="D87" s="3">
        <v>45524</v>
      </c>
      <c r="E87" s="3">
        <v>45920</v>
      </c>
      <c r="F87" s="2">
        <f>DATEDIF(D87,E87,"M")</f>
        <v>13</v>
      </c>
      <c r="G87" s="2" t="s">
        <v>429</v>
      </c>
      <c r="H87" s="2" t="s">
        <v>431</v>
      </c>
      <c r="I87" s="2">
        <v>19681796</v>
      </c>
      <c r="J87" s="2" t="s">
        <v>425</v>
      </c>
      <c r="K87" s="2" t="s">
        <v>184</v>
      </c>
      <c r="L87" s="2" t="str">
        <f>CONCATENATE(J87, " ",K87)</f>
        <v xml:space="preserve">CHRISTIAN TAUGNER             </v>
      </c>
      <c r="M87" s="2">
        <v>7.92</v>
      </c>
      <c r="N87" s="8">
        <v>0.1</v>
      </c>
      <c r="O87" s="2">
        <v>0.79</v>
      </c>
      <c r="P87" s="2" t="s">
        <v>435</v>
      </c>
    </row>
    <row r="88" spans="1:16" s="2" customFormat="1" x14ac:dyDescent="0.25">
      <c r="A88" s="2" t="s">
        <v>368</v>
      </c>
      <c r="B88" s="2" t="s">
        <v>142</v>
      </c>
      <c r="C88" s="2" t="s">
        <v>369</v>
      </c>
      <c r="D88" s="3">
        <v>45474</v>
      </c>
      <c r="E88" s="3">
        <v>45901</v>
      </c>
      <c r="F88" s="2">
        <f>DATEDIF(D88,E88,"M")</f>
        <v>14</v>
      </c>
      <c r="G88" s="2" t="s">
        <v>429</v>
      </c>
      <c r="H88" s="2" t="s">
        <v>431</v>
      </c>
      <c r="I88" s="2">
        <v>19681796</v>
      </c>
      <c r="J88" s="2" t="s">
        <v>425</v>
      </c>
      <c r="K88" s="2" t="s">
        <v>184</v>
      </c>
      <c r="L88" s="2" t="str">
        <f>CONCATENATE(J88, " ",K88)</f>
        <v xml:space="preserve">CHRISTIAN TAUGNER             </v>
      </c>
      <c r="M88" s="2">
        <v>11.25</v>
      </c>
      <c r="N88" s="8">
        <v>0.1</v>
      </c>
      <c r="O88" s="2">
        <v>1.1299999999999999</v>
      </c>
      <c r="P88" s="2" t="s">
        <v>435</v>
      </c>
    </row>
    <row r="89" spans="1:16" s="2" customFormat="1" x14ac:dyDescent="0.25">
      <c r="A89" s="2" t="s">
        <v>368</v>
      </c>
      <c r="B89" s="2" t="s">
        <v>142</v>
      </c>
      <c r="C89" s="2" t="s">
        <v>369</v>
      </c>
      <c r="D89" s="3">
        <v>45474</v>
      </c>
      <c r="E89" s="3">
        <v>45901</v>
      </c>
      <c r="F89" s="2">
        <f>DATEDIF(D89,E89,"M")</f>
        <v>14</v>
      </c>
      <c r="G89" s="2" t="s">
        <v>429</v>
      </c>
      <c r="H89" s="2" t="s">
        <v>431</v>
      </c>
      <c r="I89" s="2">
        <v>19681796</v>
      </c>
      <c r="J89" s="2" t="s">
        <v>425</v>
      </c>
      <c r="K89" s="2" t="s">
        <v>184</v>
      </c>
      <c r="L89" s="2" t="str">
        <f>CONCATENATE(J89, " ",K89)</f>
        <v xml:space="preserve">CHRISTIAN TAUGNER             </v>
      </c>
      <c r="M89" s="2">
        <v>1.62</v>
      </c>
      <c r="N89" s="8">
        <v>0.1</v>
      </c>
      <c r="O89" s="2">
        <v>0.16</v>
      </c>
      <c r="P89" s="2" t="s">
        <v>435</v>
      </c>
    </row>
    <row r="90" spans="1:16" s="2" customFormat="1" x14ac:dyDescent="0.25">
      <c r="A90" s="2" t="s">
        <v>368</v>
      </c>
      <c r="B90" s="2" t="s">
        <v>142</v>
      </c>
      <c r="C90" s="2" t="s">
        <v>369</v>
      </c>
      <c r="D90" s="3">
        <v>45474</v>
      </c>
      <c r="E90" s="3">
        <v>45901</v>
      </c>
      <c r="F90" s="2">
        <f>DATEDIF(D90,E90,"M")</f>
        <v>14</v>
      </c>
      <c r="G90" s="2" t="s">
        <v>429</v>
      </c>
      <c r="H90" s="2" t="s">
        <v>431</v>
      </c>
      <c r="I90" s="2">
        <v>19681796</v>
      </c>
      <c r="J90" s="2" t="s">
        <v>425</v>
      </c>
      <c r="K90" s="2" t="s">
        <v>184</v>
      </c>
      <c r="L90" s="2" t="str">
        <f>CONCATENATE(J90, " ",K90)</f>
        <v xml:space="preserve">CHRISTIAN TAUGNER             </v>
      </c>
      <c r="M90" s="2">
        <v>9.75</v>
      </c>
      <c r="N90" s="8">
        <v>0.1</v>
      </c>
      <c r="O90" s="2">
        <v>0.98</v>
      </c>
      <c r="P90" s="2" t="s">
        <v>435</v>
      </c>
    </row>
    <row r="91" spans="1:16" s="2" customFormat="1" x14ac:dyDescent="0.25">
      <c r="A91" s="2" t="s">
        <v>368</v>
      </c>
      <c r="B91" s="2" t="s">
        <v>142</v>
      </c>
      <c r="C91" s="2" t="s">
        <v>369</v>
      </c>
      <c r="D91" s="3">
        <v>45474</v>
      </c>
      <c r="E91" s="3">
        <v>45901</v>
      </c>
      <c r="F91" s="2">
        <f>DATEDIF(D91,E91,"M")</f>
        <v>14</v>
      </c>
      <c r="G91" s="2" t="s">
        <v>429</v>
      </c>
      <c r="H91" s="2" t="s">
        <v>431</v>
      </c>
      <c r="I91" s="2">
        <v>19681796</v>
      </c>
      <c r="J91" s="2" t="s">
        <v>425</v>
      </c>
      <c r="K91" s="2" t="s">
        <v>184</v>
      </c>
      <c r="L91" s="2" t="str">
        <f>CONCATENATE(J91, " ",K91)</f>
        <v xml:space="preserve">CHRISTIAN TAUGNER             </v>
      </c>
      <c r="M91" s="2">
        <v>4.25</v>
      </c>
      <c r="N91" s="8">
        <v>0.1</v>
      </c>
      <c r="O91" s="2">
        <v>0.43</v>
      </c>
      <c r="P91" s="2" t="s">
        <v>435</v>
      </c>
    </row>
    <row r="92" spans="1:16" s="2" customFormat="1" x14ac:dyDescent="0.25">
      <c r="A92" s="2" t="s">
        <v>368</v>
      </c>
      <c r="B92" s="2" t="s">
        <v>142</v>
      </c>
      <c r="C92" s="2" t="s">
        <v>369</v>
      </c>
      <c r="D92" s="3">
        <v>45474</v>
      </c>
      <c r="E92" s="3">
        <v>45901</v>
      </c>
      <c r="F92" s="2">
        <f>DATEDIF(D92,E92,"M")</f>
        <v>14</v>
      </c>
      <c r="G92" s="2" t="s">
        <v>429</v>
      </c>
      <c r="H92" s="2" t="s">
        <v>431</v>
      </c>
      <c r="I92" s="2">
        <v>19681796</v>
      </c>
      <c r="J92" s="2" t="s">
        <v>425</v>
      </c>
      <c r="K92" s="2" t="s">
        <v>184</v>
      </c>
      <c r="L92" s="2" t="str">
        <f>CONCATENATE(J92, " ",K92)</f>
        <v xml:space="preserve">CHRISTIAN TAUGNER             </v>
      </c>
      <c r="M92" s="2">
        <v>2.5</v>
      </c>
      <c r="N92" s="8">
        <v>0.1</v>
      </c>
      <c r="O92" s="2">
        <v>0.25</v>
      </c>
      <c r="P92" s="2" t="s">
        <v>435</v>
      </c>
    </row>
    <row r="93" spans="1:16" s="2" customFormat="1" x14ac:dyDescent="0.25">
      <c r="A93" s="2" t="s">
        <v>370</v>
      </c>
      <c r="B93" s="2" t="s">
        <v>142</v>
      </c>
      <c r="C93" s="2" t="s">
        <v>371</v>
      </c>
      <c r="D93" s="3">
        <v>45474</v>
      </c>
      <c r="E93" s="3">
        <v>45901</v>
      </c>
      <c r="F93" s="2">
        <f>DATEDIF(D93,E93,"M")</f>
        <v>14</v>
      </c>
      <c r="G93" s="2" t="s">
        <v>429</v>
      </c>
      <c r="H93" s="2" t="s">
        <v>431</v>
      </c>
      <c r="I93" s="2">
        <v>19681796</v>
      </c>
      <c r="J93" s="2" t="s">
        <v>425</v>
      </c>
      <c r="K93" s="2" t="s">
        <v>184</v>
      </c>
      <c r="L93" s="2" t="str">
        <f>CONCATENATE(J93, " ",K93)</f>
        <v xml:space="preserve">CHRISTIAN TAUGNER             </v>
      </c>
      <c r="M93" s="2">
        <v>4.58</v>
      </c>
      <c r="N93" s="8">
        <v>0.1</v>
      </c>
      <c r="O93" s="2">
        <v>0.46</v>
      </c>
      <c r="P93" s="2" t="s">
        <v>435</v>
      </c>
    </row>
    <row r="94" spans="1:16" s="2" customFormat="1" x14ac:dyDescent="0.25">
      <c r="A94" s="2" t="s">
        <v>370</v>
      </c>
      <c r="B94" s="2" t="s">
        <v>142</v>
      </c>
      <c r="C94" s="2" t="s">
        <v>371</v>
      </c>
      <c r="D94" s="3">
        <v>45474</v>
      </c>
      <c r="E94" s="3">
        <v>45901</v>
      </c>
      <c r="F94" s="2">
        <f>DATEDIF(D94,E94,"M")</f>
        <v>14</v>
      </c>
      <c r="G94" s="2" t="s">
        <v>429</v>
      </c>
      <c r="H94" s="2" t="s">
        <v>431</v>
      </c>
      <c r="I94" s="2">
        <v>19681796</v>
      </c>
      <c r="J94" s="2" t="s">
        <v>425</v>
      </c>
      <c r="K94" s="2" t="s">
        <v>184</v>
      </c>
      <c r="L94" s="2" t="str">
        <f>CONCATENATE(J94, " ",K94)</f>
        <v xml:space="preserve">CHRISTIAN TAUGNER             </v>
      </c>
      <c r="M94" s="2">
        <v>0.65</v>
      </c>
      <c r="N94" s="8">
        <v>0.1</v>
      </c>
      <c r="O94" s="2">
        <v>7.0000000000000007E-2</v>
      </c>
      <c r="P94" s="2" t="s">
        <v>435</v>
      </c>
    </row>
    <row r="95" spans="1:16" s="2" customFormat="1" x14ac:dyDescent="0.25">
      <c r="A95" s="2" t="s">
        <v>370</v>
      </c>
      <c r="B95" s="2" t="s">
        <v>142</v>
      </c>
      <c r="C95" s="2" t="s">
        <v>371</v>
      </c>
      <c r="D95" s="3">
        <v>45474</v>
      </c>
      <c r="E95" s="3">
        <v>45901</v>
      </c>
      <c r="F95" s="2">
        <f>DATEDIF(D95,E95,"M")</f>
        <v>14</v>
      </c>
      <c r="G95" s="2" t="s">
        <v>429</v>
      </c>
      <c r="H95" s="2" t="s">
        <v>431</v>
      </c>
      <c r="I95" s="2">
        <v>19681796</v>
      </c>
      <c r="J95" s="2" t="s">
        <v>425</v>
      </c>
      <c r="K95" s="2" t="s">
        <v>184</v>
      </c>
      <c r="L95" s="2" t="str">
        <f>CONCATENATE(J95, " ",K95)</f>
        <v xml:space="preserve">CHRISTIAN TAUGNER             </v>
      </c>
      <c r="M95" s="2">
        <v>7.58</v>
      </c>
      <c r="N95" s="8">
        <v>0.1</v>
      </c>
      <c r="O95" s="2">
        <v>0.76</v>
      </c>
      <c r="P95" s="2" t="s">
        <v>435</v>
      </c>
    </row>
    <row r="96" spans="1:16" s="2" customFormat="1" x14ac:dyDescent="0.25">
      <c r="A96" s="2" t="s">
        <v>370</v>
      </c>
      <c r="B96" s="2" t="s">
        <v>142</v>
      </c>
      <c r="C96" s="2" t="s">
        <v>371</v>
      </c>
      <c r="D96" s="3">
        <v>45474</v>
      </c>
      <c r="E96" s="3">
        <v>45901</v>
      </c>
      <c r="F96" s="2">
        <f>DATEDIF(D96,E96,"M")</f>
        <v>14</v>
      </c>
      <c r="G96" s="2" t="s">
        <v>429</v>
      </c>
      <c r="H96" s="2" t="s">
        <v>431</v>
      </c>
      <c r="I96" s="2">
        <v>19681796</v>
      </c>
      <c r="J96" s="2" t="s">
        <v>425</v>
      </c>
      <c r="K96" s="2" t="s">
        <v>184</v>
      </c>
      <c r="L96" s="2" t="str">
        <f>CONCATENATE(J96, " ",K96)</f>
        <v xml:space="preserve">CHRISTIAN TAUGNER             </v>
      </c>
      <c r="M96" s="2">
        <v>4.25</v>
      </c>
      <c r="N96" s="8">
        <v>0.1</v>
      </c>
      <c r="O96" s="2">
        <v>0.43</v>
      </c>
      <c r="P96" s="2" t="s">
        <v>435</v>
      </c>
    </row>
    <row r="97" spans="1:16" s="2" customFormat="1" x14ac:dyDescent="0.25">
      <c r="A97" s="2" t="s">
        <v>370</v>
      </c>
      <c r="B97" s="2" t="s">
        <v>142</v>
      </c>
      <c r="C97" s="2" t="s">
        <v>371</v>
      </c>
      <c r="D97" s="3">
        <v>45474</v>
      </c>
      <c r="E97" s="3">
        <v>45901</v>
      </c>
      <c r="F97" s="2">
        <f>DATEDIF(D97,E97,"M")</f>
        <v>14</v>
      </c>
      <c r="G97" s="2" t="s">
        <v>429</v>
      </c>
      <c r="H97" s="2" t="s">
        <v>431</v>
      </c>
      <c r="I97" s="2">
        <v>19681796</v>
      </c>
      <c r="J97" s="2" t="s">
        <v>425</v>
      </c>
      <c r="K97" s="2" t="s">
        <v>184</v>
      </c>
      <c r="L97" s="2" t="str">
        <f>CONCATENATE(J97, " ",K97)</f>
        <v xml:space="preserve">CHRISTIAN TAUGNER             </v>
      </c>
      <c r="M97" s="2">
        <v>1.25</v>
      </c>
      <c r="N97" s="8">
        <v>0.1</v>
      </c>
      <c r="O97" s="2">
        <v>0.13</v>
      </c>
      <c r="P97" s="2" t="s">
        <v>435</v>
      </c>
    </row>
    <row r="98" spans="1:16" s="2" customFormat="1" x14ac:dyDescent="0.25">
      <c r="A98" s="2" t="s">
        <v>372</v>
      </c>
      <c r="B98" s="2" t="s">
        <v>166</v>
      </c>
      <c r="C98" s="2" t="s">
        <v>373</v>
      </c>
      <c r="D98" s="3">
        <v>45474</v>
      </c>
      <c r="E98" s="3">
        <v>45901</v>
      </c>
      <c r="F98" s="2">
        <f>DATEDIF(D98,E98,"M")</f>
        <v>14</v>
      </c>
      <c r="G98" s="2" t="s">
        <v>429</v>
      </c>
      <c r="H98" s="2" t="s">
        <v>431</v>
      </c>
      <c r="I98" s="2">
        <v>19681796</v>
      </c>
      <c r="J98" s="2" t="s">
        <v>425</v>
      </c>
      <c r="K98" s="2" t="s">
        <v>184</v>
      </c>
      <c r="L98" s="2" t="str">
        <f>CONCATENATE(J98, " ",K98)</f>
        <v xml:space="preserve">CHRISTIAN TAUGNER             </v>
      </c>
      <c r="M98" s="2">
        <v>5.83</v>
      </c>
      <c r="N98" s="8">
        <v>0.1</v>
      </c>
      <c r="O98" s="2">
        <v>0.57999999999999996</v>
      </c>
      <c r="P98" s="2" t="s">
        <v>435</v>
      </c>
    </row>
    <row r="99" spans="1:16" s="2" customFormat="1" x14ac:dyDescent="0.25">
      <c r="A99" s="2" t="s">
        <v>372</v>
      </c>
      <c r="B99" s="2" t="s">
        <v>166</v>
      </c>
      <c r="C99" s="2" t="s">
        <v>373</v>
      </c>
      <c r="D99" s="3">
        <v>45474</v>
      </c>
      <c r="E99" s="3">
        <v>45901</v>
      </c>
      <c r="F99" s="2">
        <f>DATEDIF(D99,E99,"M")</f>
        <v>14</v>
      </c>
      <c r="G99" s="2" t="s">
        <v>429</v>
      </c>
      <c r="H99" s="2" t="s">
        <v>431</v>
      </c>
      <c r="I99" s="2">
        <v>19681796</v>
      </c>
      <c r="J99" s="2" t="s">
        <v>425</v>
      </c>
      <c r="K99" s="2" t="s">
        <v>184</v>
      </c>
      <c r="L99" s="2" t="str">
        <f>CONCATENATE(J99, " ",K99)</f>
        <v xml:space="preserve">CHRISTIAN TAUGNER             </v>
      </c>
      <c r="M99" s="2">
        <v>0.57999999999999996</v>
      </c>
      <c r="N99" s="8">
        <v>0.1</v>
      </c>
      <c r="O99" s="2">
        <v>0.06</v>
      </c>
      <c r="P99" s="2" t="s">
        <v>435</v>
      </c>
    </row>
    <row r="100" spans="1:16" s="2" customFormat="1" x14ac:dyDescent="0.25">
      <c r="A100" s="2" t="s">
        <v>372</v>
      </c>
      <c r="B100" s="2" t="s">
        <v>166</v>
      </c>
      <c r="C100" s="2" t="s">
        <v>373</v>
      </c>
      <c r="D100" s="3">
        <v>45474</v>
      </c>
      <c r="E100" s="3">
        <v>45901</v>
      </c>
      <c r="F100" s="2">
        <f>DATEDIF(D100,E100,"M")</f>
        <v>14</v>
      </c>
      <c r="G100" s="2" t="s">
        <v>429</v>
      </c>
      <c r="H100" s="2" t="s">
        <v>431</v>
      </c>
      <c r="I100" s="2">
        <v>19681796</v>
      </c>
      <c r="J100" s="2" t="s">
        <v>425</v>
      </c>
      <c r="K100" s="2" t="s">
        <v>184</v>
      </c>
      <c r="L100" s="2" t="str">
        <f>CONCATENATE(J100, " ",K100)</f>
        <v xml:space="preserve">CHRISTIAN TAUGNER             </v>
      </c>
      <c r="M100" s="2">
        <v>3.42</v>
      </c>
      <c r="N100" s="8">
        <v>0.1</v>
      </c>
      <c r="O100" s="2">
        <v>0.34</v>
      </c>
      <c r="P100" s="2" t="s">
        <v>435</v>
      </c>
    </row>
    <row r="101" spans="1:16" s="2" customFormat="1" x14ac:dyDescent="0.25">
      <c r="A101" s="2" t="s">
        <v>372</v>
      </c>
      <c r="B101" s="2" t="s">
        <v>166</v>
      </c>
      <c r="C101" s="2" t="s">
        <v>373</v>
      </c>
      <c r="D101" s="3">
        <v>45474</v>
      </c>
      <c r="E101" s="3">
        <v>45901</v>
      </c>
      <c r="F101" s="2">
        <f>DATEDIF(D101,E101,"M")</f>
        <v>14</v>
      </c>
      <c r="G101" s="2" t="s">
        <v>429</v>
      </c>
      <c r="H101" s="2" t="s">
        <v>431</v>
      </c>
      <c r="I101" s="2">
        <v>19681796</v>
      </c>
      <c r="J101" s="2" t="s">
        <v>425</v>
      </c>
      <c r="K101" s="2" t="s">
        <v>184</v>
      </c>
      <c r="L101" s="2" t="str">
        <f>CONCATENATE(J101, " ",K101)</f>
        <v xml:space="preserve">CHRISTIAN TAUGNER             </v>
      </c>
      <c r="M101" s="2">
        <v>1.25</v>
      </c>
      <c r="N101" s="8">
        <v>0.1</v>
      </c>
      <c r="O101" s="2">
        <v>0.13</v>
      </c>
      <c r="P101" s="2" t="s">
        <v>435</v>
      </c>
    </row>
    <row r="102" spans="1:16" s="2" customFormat="1" x14ac:dyDescent="0.25">
      <c r="A102" s="2" t="s">
        <v>372</v>
      </c>
      <c r="B102" s="2" t="s">
        <v>166</v>
      </c>
      <c r="C102" s="2" t="s">
        <v>373</v>
      </c>
      <c r="D102" s="3">
        <v>45474</v>
      </c>
      <c r="E102" s="3">
        <v>45901</v>
      </c>
      <c r="F102" s="2">
        <f>DATEDIF(D102,E102,"M")</f>
        <v>14</v>
      </c>
      <c r="G102" s="2" t="s">
        <v>429</v>
      </c>
      <c r="H102" s="2" t="s">
        <v>431</v>
      </c>
      <c r="I102" s="2">
        <v>19681796</v>
      </c>
      <c r="J102" s="2" t="s">
        <v>425</v>
      </c>
      <c r="K102" s="2" t="s">
        <v>184</v>
      </c>
      <c r="L102" s="2" t="str">
        <f>CONCATENATE(J102, " ",K102)</f>
        <v xml:space="preserve">CHRISTIAN TAUGNER             </v>
      </c>
      <c r="M102" s="2">
        <v>0.25</v>
      </c>
      <c r="N102" s="8">
        <v>0.1</v>
      </c>
      <c r="O102" s="2">
        <v>0.03</v>
      </c>
      <c r="P102" s="2" t="s">
        <v>435</v>
      </c>
    </row>
    <row r="103" spans="1:16" s="2" customFormat="1" x14ac:dyDescent="0.25">
      <c r="A103" s="2" t="s">
        <v>372</v>
      </c>
      <c r="B103" s="2" t="s">
        <v>166</v>
      </c>
      <c r="C103" s="2" t="s">
        <v>373</v>
      </c>
      <c r="D103" s="3">
        <v>45474</v>
      </c>
      <c r="E103" s="3">
        <v>45901</v>
      </c>
      <c r="F103" s="2">
        <f>DATEDIF(D103,E103,"M")</f>
        <v>14</v>
      </c>
      <c r="G103" s="2" t="s">
        <v>429</v>
      </c>
      <c r="H103" s="2" t="s">
        <v>431</v>
      </c>
      <c r="I103" s="2">
        <v>19681796</v>
      </c>
      <c r="J103" s="2" t="s">
        <v>425</v>
      </c>
      <c r="K103" s="2" t="s">
        <v>184</v>
      </c>
      <c r="L103" s="2" t="str">
        <f>CONCATENATE(J103, " ",K103)</f>
        <v xml:space="preserve">CHRISTIAN TAUGNER             </v>
      </c>
      <c r="M103" s="2">
        <v>2.17</v>
      </c>
      <c r="N103" s="8">
        <v>0.1</v>
      </c>
      <c r="O103" s="2">
        <v>0.22</v>
      </c>
      <c r="P103" s="2" t="s">
        <v>435</v>
      </c>
    </row>
    <row r="104" spans="1:16" s="2" customFormat="1" x14ac:dyDescent="0.25">
      <c r="A104" s="2" t="s">
        <v>375</v>
      </c>
      <c r="B104" s="2" t="s">
        <v>166</v>
      </c>
      <c r="C104" s="2" t="s">
        <v>376</v>
      </c>
      <c r="D104" s="3">
        <v>45480</v>
      </c>
      <c r="E104" s="3">
        <v>45907</v>
      </c>
      <c r="F104" s="2">
        <f>DATEDIF(D104,E104,"M")</f>
        <v>14</v>
      </c>
      <c r="G104" s="2" t="s">
        <v>429</v>
      </c>
      <c r="H104" s="2" t="s">
        <v>431</v>
      </c>
      <c r="I104" s="2">
        <v>19681796</v>
      </c>
      <c r="J104" s="2" t="s">
        <v>425</v>
      </c>
      <c r="K104" s="2" t="s">
        <v>184</v>
      </c>
      <c r="L104" s="2" t="str">
        <f>CONCATENATE(J104, " ",K104)</f>
        <v xml:space="preserve">CHRISTIAN TAUGNER             </v>
      </c>
      <c r="M104" s="2">
        <v>10.83</v>
      </c>
      <c r="N104" s="8">
        <v>0.1</v>
      </c>
      <c r="O104" s="2">
        <v>1.08</v>
      </c>
      <c r="P104" s="2" t="s">
        <v>435</v>
      </c>
    </row>
    <row r="105" spans="1:16" s="2" customFormat="1" x14ac:dyDescent="0.25">
      <c r="A105" s="2" t="s">
        <v>375</v>
      </c>
      <c r="B105" s="2" t="s">
        <v>166</v>
      </c>
      <c r="C105" s="2" t="s">
        <v>376</v>
      </c>
      <c r="D105" s="3">
        <v>45480</v>
      </c>
      <c r="E105" s="3">
        <v>45907</v>
      </c>
      <c r="F105" s="2">
        <f>DATEDIF(D105,E105,"M")</f>
        <v>14</v>
      </c>
      <c r="G105" s="2" t="s">
        <v>429</v>
      </c>
      <c r="H105" s="2" t="s">
        <v>431</v>
      </c>
      <c r="I105" s="2">
        <v>19681796</v>
      </c>
      <c r="J105" s="2" t="s">
        <v>425</v>
      </c>
      <c r="K105" s="2" t="s">
        <v>184</v>
      </c>
      <c r="L105" s="2" t="str">
        <f>CONCATENATE(J105, " ",K105)</f>
        <v xml:space="preserve">CHRISTIAN TAUGNER             </v>
      </c>
      <c r="M105" s="2">
        <v>1.46</v>
      </c>
      <c r="N105" s="8">
        <v>0.1</v>
      </c>
      <c r="O105" s="2">
        <v>0.15</v>
      </c>
      <c r="P105" s="2" t="s">
        <v>435</v>
      </c>
    </row>
    <row r="106" spans="1:16" s="2" customFormat="1" x14ac:dyDescent="0.25">
      <c r="A106" s="2" t="s">
        <v>375</v>
      </c>
      <c r="B106" s="2" t="s">
        <v>166</v>
      </c>
      <c r="C106" s="2" t="s">
        <v>376</v>
      </c>
      <c r="D106" s="3">
        <v>45480</v>
      </c>
      <c r="E106" s="3">
        <v>45907</v>
      </c>
      <c r="F106" s="2">
        <f>DATEDIF(D106,E106,"M")</f>
        <v>14</v>
      </c>
      <c r="G106" s="2" t="s">
        <v>429</v>
      </c>
      <c r="H106" s="2" t="s">
        <v>431</v>
      </c>
      <c r="I106" s="2">
        <v>19681796</v>
      </c>
      <c r="J106" s="2" t="s">
        <v>425</v>
      </c>
      <c r="K106" s="2" t="s">
        <v>184</v>
      </c>
      <c r="L106" s="2" t="str">
        <f>CONCATENATE(J106, " ",K106)</f>
        <v xml:space="preserve">CHRISTIAN TAUGNER             </v>
      </c>
      <c r="M106" s="2">
        <v>4.42</v>
      </c>
      <c r="N106" s="8">
        <v>0.1</v>
      </c>
      <c r="O106" s="2">
        <v>0.44</v>
      </c>
      <c r="P106" s="2" t="s">
        <v>435</v>
      </c>
    </row>
    <row r="107" spans="1:16" s="2" customFormat="1" x14ac:dyDescent="0.25">
      <c r="A107" s="2" t="s">
        <v>375</v>
      </c>
      <c r="B107" s="2" t="s">
        <v>166</v>
      </c>
      <c r="C107" s="2" t="s">
        <v>376</v>
      </c>
      <c r="D107" s="3">
        <v>45480</v>
      </c>
      <c r="E107" s="3">
        <v>45907</v>
      </c>
      <c r="F107" s="2">
        <f>DATEDIF(D107,E107,"M")</f>
        <v>14</v>
      </c>
      <c r="G107" s="2" t="s">
        <v>429</v>
      </c>
      <c r="H107" s="2" t="s">
        <v>431</v>
      </c>
      <c r="I107" s="2">
        <v>19681796</v>
      </c>
      <c r="J107" s="2" t="s">
        <v>425</v>
      </c>
      <c r="K107" s="2" t="s">
        <v>184</v>
      </c>
      <c r="L107" s="2" t="str">
        <f>CONCATENATE(J107, " ",K107)</f>
        <v xml:space="preserve">CHRISTIAN TAUGNER             </v>
      </c>
      <c r="M107" s="2">
        <v>1.58</v>
      </c>
      <c r="N107" s="8">
        <v>0.1</v>
      </c>
      <c r="O107" s="2">
        <v>0.16</v>
      </c>
      <c r="P107" s="2" t="s">
        <v>435</v>
      </c>
    </row>
    <row r="108" spans="1:16" s="2" customFormat="1" x14ac:dyDescent="0.25">
      <c r="A108" s="2" t="s">
        <v>375</v>
      </c>
      <c r="B108" s="2" t="s">
        <v>166</v>
      </c>
      <c r="C108" s="2" t="s">
        <v>376</v>
      </c>
      <c r="D108" s="3">
        <v>45480</v>
      </c>
      <c r="E108" s="3">
        <v>45907</v>
      </c>
      <c r="F108" s="2">
        <f>DATEDIF(D108,E108,"M")</f>
        <v>14</v>
      </c>
      <c r="G108" s="2" t="s">
        <v>429</v>
      </c>
      <c r="H108" s="2" t="s">
        <v>431</v>
      </c>
      <c r="I108" s="2">
        <v>19681796</v>
      </c>
      <c r="J108" s="2" t="s">
        <v>425</v>
      </c>
      <c r="K108" s="2" t="s">
        <v>184</v>
      </c>
      <c r="L108" s="2" t="str">
        <f>CONCATENATE(J108, " ",K108)</f>
        <v xml:space="preserve">CHRISTIAN TAUGNER             </v>
      </c>
      <c r="M108" s="2">
        <v>9.2100000000000009</v>
      </c>
      <c r="N108" s="8">
        <v>0.1</v>
      </c>
      <c r="O108" s="2">
        <v>0.92</v>
      </c>
      <c r="P108" s="2" t="s">
        <v>435</v>
      </c>
    </row>
    <row r="109" spans="1:16" s="2" customFormat="1" x14ac:dyDescent="0.25">
      <c r="A109" s="2" t="s">
        <v>377</v>
      </c>
      <c r="B109" s="2" t="s">
        <v>166</v>
      </c>
      <c r="C109" s="2" t="s">
        <v>378</v>
      </c>
      <c r="D109" s="3">
        <v>45481</v>
      </c>
      <c r="E109" s="3">
        <v>45908</v>
      </c>
      <c r="F109" s="2">
        <f>DATEDIF(D109,E109,"M")</f>
        <v>14</v>
      </c>
      <c r="G109" s="2" t="s">
        <v>429</v>
      </c>
      <c r="H109" s="2" t="s">
        <v>431</v>
      </c>
      <c r="I109" s="2">
        <v>19681796</v>
      </c>
      <c r="J109" s="2" t="s">
        <v>425</v>
      </c>
      <c r="K109" s="2" t="s">
        <v>184</v>
      </c>
      <c r="L109" s="2" t="str">
        <f>CONCATENATE(J109, " ",K109)</f>
        <v xml:space="preserve">CHRISTIAN TAUGNER             </v>
      </c>
      <c r="M109" s="2">
        <v>47.5</v>
      </c>
      <c r="N109" s="8">
        <v>0.1</v>
      </c>
      <c r="O109" s="2">
        <v>4.75</v>
      </c>
      <c r="P109" s="2" t="s">
        <v>435</v>
      </c>
    </row>
    <row r="110" spans="1:16" s="2" customFormat="1" x14ac:dyDescent="0.25">
      <c r="A110" s="2" t="s">
        <v>377</v>
      </c>
      <c r="B110" s="2" t="s">
        <v>166</v>
      </c>
      <c r="C110" s="2" t="s">
        <v>378</v>
      </c>
      <c r="D110" s="3">
        <v>45481</v>
      </c>
      <c r="E110" s="3">
        <v>45908</v>
      </c>
      <c r="F110" s="2">
        <f>DATEDIF(D110,E110,"M")</f>
        <v>14</v>
      </c>
      <c r="G110" s="2" t="s">
        <v>429</v>
      </c>
      <c r="H110" s="2" t="s">
        <v>431</v>
      </c>
      <c r="I110" s="2">
        <v>19681796</v>
      </c>
      <c r="J110" s="2" t="s">
        <v>425</v>
      </c>
      <c r="K110" s="2" t="s">
        <v>184</v>
      </c>
      <c r="L110" s="2" t="str">
        <f>CONCATENATE(J110, " ",K110)</f>
        <v xml:space="preserve">CHRISTIAN TAUGNER             </v>
      </c>
      <c r="M110" s="2">
        <v>6.5</v>
      </c>
      <c r="N110" s="8">
        <v>0.1</v>
      </c>
      <c r="O110" s="2">
        <v>0.65</v>
      </c>
      <c r="P110" s="2" t="s">
        <v>435</v>
      </c>
    </row>
    <row r="111" spans="1:16" s="2" customFormat="1" x14ac:dyDescent="0.25">
      <c r="A111" s="2" t="s">
        <v>377</v>
      </c>
      <c r="B111" s="2" t="s">
        <v>166</v>
      </c>
      <c r="C111" s="2" t="s">
        <v>378</v>
      </c>
      <c r="D111" s="3">
        <v>45481</v>
      </c>
      <c r="E111" s="3">
        <v>45908</v>
      </c>
      <c r="F111" s="2">
        <f>DATEDIF(D111,E111,"M")</f>
        <v>14</v>
      </c>
      <c r="G111" s="2" t="s">
        <v>429</v>
      </c>
      <c r="H111" s="2" t="s">
        <v>431</v>
      </c>
      <c r="I111" s="2">
        <v>19681796</v>
      </c>
      <c r="J111" s="2" t="s">
        <v>425</v>
      </c>
      <c r="K111" s="2" t="s">
        <v>184</v>
      </c>
      <c r="L111" s="2" t="str">
        <f>CONCATENATE(J111, " ",K111)</f>
        <v xml:space="preserve">CHRISTIAN TAUGNER             </v>
      </c>
      <c r="M111" s="2">
        <v>4.58</v>
      </c>
      <c r="N111" s="8">
        <v>0.1</v>
      </c>
      <c r="O111" s="2">
        <v>0.46</v>
      </c>
      <c r="P111" s="2" t="s">
        <v>435</v>
      </c>
    </row>
    <row r="112" spans="1:16" s="2" customFormat="1" x14ac:dyDescent="0.25">
      <c r="A112" s="2" t="s">
        <v>377</v>
      </c>
      <c r="B112" s="2" t="s">
        <v>166</v>
      </c>
      <c r="C112" s="2" t="s">
        <v>378</v>
      </c>
      <c r="D112" s="3">
        <v>45481</v>
      </c>
      <c r="E112" s="3">
        <v>45908</v>
      </c>
      <c r="F112" s="2">
        <f>DATEDIF(D112,E112,"M")</f>
        <v>14</v>
      </c>
      <c r="G112" s="2" t="s">
        <v>429</v>
      </c>
      <c r="H112" s="2" t="s">
        <v>431</v>
      </c>
      <c r="I112" s="2">
        <v>19681796</v>
      </c>
      <c r="J112" s="2" t="s">
        <v>425</v>
      </c>
      <c r="K112" s="2" t="s">
        <v>184</v>
      </c>
      <c r="L112" s="2" t="str">
        <f>CONCATENATE(J112, " ",K112)</f>
        <v xml:space="preserve">CHRISTIAN TAUGNER             </v>
      </c>
      <c r="M112" s="2">
        <v>13</v>
      </c>
      <c r="N112" s="8">
        <v>0.1</v>
      </c>
      <c r="O112" s="2">
        <v>1.3</v>
      </c>
      <c r="P112" s="2" t="s">
        <v>435</v>
      </c>
    </row>
    <row r="113" spans="1:16" s="2" customFormat="1" x14ac:dyDescent="0.25">
      <c r="A113" s="2" t="s">
        <v>377</v>
      </c>
      <c r="B113" s="2" t="s">
        <v>166</v>
      </c>
      <c r="C113" s="2" t="s">
        <v>378</v>
      </c>
      <c r="D113" s="3">
        <v>45481</v>
      </c>
      <c r="E113" s="3">
        <v>45908</v>
      </c>
      <c r="F113" s="2">
        <f>DATEDIF(D113,E113,"M")</f>
        <v>14</v>
      </c>
      <c r="G113" s="2" t="s">
        <v>429</v>
      </c>
      <c r="H113" s="2" t="s">
        <v>431</v>
      </c>
      <c r="I113" s="2">
        <v>19681796</v>
      </c>
      <c r="J113" s="2" t="s">
        <v>425</v>
      </c>
      <c r="K113" s="2" t="s">
        <v>184</v>
      </c>
      <c r="L113" s="2" t="str">
        <f>CONCATENATE(J113, " ",K113)</f>
        <v xml:space="preserve">CHRISTIAN TAUGNER             </v>
      </c>
      <c r="M113" s="2">
        <v>4.42</v>
      </c>
      <c r="N113" s="8">
        <v>0.1</v>
      </c>
      <c r="O113" s="2">
        <v>0.44</v>
      </c>
      <c r="P113" s="2" t="s">
        <v>435</v>
      </c>
    </row>
    <row r="114" spans="1:16" s="2" customFormat="1" x14ac:dyDescent="0.25">
      <c r="A114" s="2" t="s">
        <v>379</v>
      </c>
      <c r="B114" s="2" t="s">
        <v>166</v>
      </c>
      <c r="C114" s="2" t="s">
        <v>380</v>
      </c>
      <c r="D114" s="3">
        <v>45488</v>
      </c>
      <c r="E114" s="3">
        <v>45915</v>
      </c>
      <c r="F114" s="2">
        <f>DATEDIF(D114,E114,"M")</f>
        <v>14</v>
      </c>
      <c r="G114" s="2" t="s">
        <v>429</v>
      </c>
      <c r="H114" s="2" t="s">
        <v>431</v>
      </c>
      <c r="I114" s="2">
        <v>19681796</v>
      </c>
      <c r="J114" s="2" t="s">
        <v>425</v>
      </c>
      <c r="K114" s="2" t="s">
        <v>184</v>
      </c>
      <c r="L114" s="2" t="str">
        <f>CONCATENATE(J114, " ",K114)</f>
        <v xml:space="preserve">CHRISTIAN TAUGNER             </v>
      </c>
      <c r="M114" s="2">
        <v>7.92</v>
      </c>
      <c r="N114" s="8">
        <v>0.1</v>
      </c>
      <c r="O114" s="2">
        <v>0.79</v>
      </c>
      <c r="P114" s="2" t="s">
        <v>435</v>
      </c>
    </row>
    <row r="115" spans="1:16" s="2" customFormat="1" x14ac:dyDescent="0.25">
      <c r="A115" s="2" t="s">
        <v>379</v>
      </c>
      <c r="B115" s="2" t="s">
        <v>166</v>
      </c>
      <c r="C115" s="2" t="s">
        <v>380</v>
      </c>
      <c r="D115" s="3">
        <v>45488</v>
      </c>
      <c r="E115" s="3">
        <v>45915</v>
      </c>
      <c r="F115" s="2">
        <f>DATEDIF(D115,E115,"M")</f>
        <v>14</v>
      </c>
      <c r="G115" s="2" t="s">
        <v>429</v>
      </c>
      <c r="H115" s="2" t="s">
        <v>431</v>
      </c>
      <c r="I115" s="2">
        <v>19681796</v>
      </c>
      <c r="J115" s="2" t="s">
        <v>425</v>
      </c>
      <c r="K115" s="2" t="s">
        <v>184</v>
      </c>
      <c r="L115" s="2" t="str">
        <f>CONCATENATE(J115, " ",K115)</f>
        <v xml:space="preserve">CHRISTIAN TAUGNER             </v>
      </c>
      <c r="M115" s="2">
        <v>1.08</v>
      </c>
      <c r="N115" s="8">
        <v>0.1</v>
      </c>
      <c r="O115" s="2">
        <v>0.11</v>
      </c>
      <c r="P115" s="2" t="s">
        <v>435</v>
      </c>
    </row>
    <row r="116" spans="1:16" s="2" customFormat="1" x14ac:dyDescent="0.25">
      <c r="A116" s="2" t="s">
        <v>379</v>
      </c>
      <c r="B116" s="2" t="s">
        <v>166</v>
      </c>
      <c r="C116" s="2" t="s">
        <v>380</v>
      </c>
      <c r="D116" s="3">
        <v>45488</v>
      </c>
      <c r="E116" s="3">
        <v>45915</v>
      </c>
      <c r="F116" s="2">
        <f>DATEDIF(D116,E116,"M")</f>
        <v>14</v>
      </c>
      <c r="G116" s="2" t="s">
        <v>429</v>
      </c>
      <c r="H116" s="2" t="s">
        <v>431</v>
      </c>
      <c r="I116" s="2">
        <v>19681796</v>
      </c>
      <c r="J116" s="2" t="s">
        <v>425</v>
      </c>
      <c r="K116" s="2" t="s">
        <v>184</v>
      </c>
      <c r="L116" s="2" t="str">
        <f>CONCATENATE(J116, " ",K116)</f>
        <v xml:space="preserve">CHRISTIAN TAUGNER             </v>
      </c>
      <c r="M116" s="2">
        <v>4.42</v>
      </c>
      <c r="N116" s="8">
        <v>0.1</v>
      </c>
      <c r="O116" s="2">
        <v>0.44</v>
      </c>
      <c r="P116" s="2" t="s">
        <v>435</v>
      </c>
    </row>
    <row r="117" spans="1:16" s="2" customFormat="1" x14ac:dyDescent="0.25">
      <c r="A117" s="2" t="s">
        <v>379</v>
      </c>
      <c r="B117" s="2" t="s">
        <v>166</v>
      </c>
      <c r="C117" s="2" t="s">
        <v>380</v>
      </c>
      <c r="D117" s="3">
        <v>45488</v>
      </c>
      <c r="E117" s="3">
        <v>45915</v>
      </c>
      <c r="F117" s="2">
        <f>DATEDIF(D117,E117,"M")</f>
        <v>14</v>
      </c>
      <c r="G117" s="2" t="s">
        <v>429</v>
      </c>
      <c r="H117" s="2" t="s">
        <v>431</v>
      </c>
      <c r="I117" s="2">
        <v>19681796</v>
      </c>
      <c r="J117" s="2" t="s">
        <v>425</v>
      </c>
      <c r="K117" s="2" t="s">
        <v>184</v>
      </c>
      <c r="L117" s="2" t="str">
        <f>CONCATENATE(J117, " ",K117)</f>
        <v xml:space="preserve">CHRISTIAN TAUGNER             </v>
      </c>
      <c r="M117" s="2">
        <v>4.58</v>
      </c>
      <c r="N117" s="8">
        <v>0.1</v>
      </c>
      <c r="O117" s="2">
        <v>0.46</v>
      </c>
      <c r="P117" s="2" t="s">
        <v>435</v>
      </c>
    </row>
    <row r="118" spans="1:16" s="2" customFormat="1" x14ac:dyDescent="0.25">
      <c r="A118" s="2" t="s">
        <v>379</v>
      </c>
      <c r="B118" s="2" t="s">
        <v>166</v>
      </c>
      <c r="C118" s="2" t="s">
        <v>380</v>
      </c>
      <c r="D118" s="3">
        <v>45488</v>
      </c>
      <c r="E118" s="3">
        <v>45915</v>
      </c>
      <c r="F118" s="2">
        <f>DATEDIF(D118,E118,"M")</f>
        <v>14</v>
      </c>
      <c r="G118" s="2" t="s">
        <v>429</v>
      </c>
      <c r="H118" s="2" t="s">
        <v>431</v>
      </c>
      <c r="I118" s="2">
        <v>19681796</v>
      </c>
      <c r="J118" s="2" t="s">
        <v>425</v>
      </c>
      <c r="K118" s="2" t="s">
        <v>184</v>
      </c>
      <c r="L118" s="2" t="str">
        <f>CONCATENATE(J118, " ",K118)</f>
        <v xml:space="preserve">CHRISTIAN TAUGNER             </v>
      </c>
      <c r="M118" s="2">
        <v>13</v>
      </c>
      <c r="N118" s="8">
        <v>0.1</v>
      </c>
      <c r="O118" s="2">
        <v>1.3</v>
      </c>
      <c r="P118" s="2" t="s">
        <v>435</v>
      </c>
    </row>
    <row r="119" spans="1:16" s="2" customFormat="1" x14ac:dyDescent="0.25">
      <c r="A119" s="2" t="s">
        <v>381</v>
      </c>
      <c r="B119" s="2" t="s">
        <v>166</v>
      </c>
      <c r="C119" s="2" t="s">
        <v>382</v>
      </c>
      <c r="D119" s="3">
        <v>45488</v>
      </c>
      <c r="E119" s="3">
        <v>45915</v>
      </c>
      <c r="F119" s="2">
        <f>DATEDIF(D119,E119,"M")</f>
        <v>14</v>
      </c>
      <c r="G119" s="2" t="s">
        <v>429</v>
      </c>
      <c r="H119" s="2" t="s">
        <v>431</v>
      </c>
      <c r="I119" s="2">
        <v>19681796</v>
      </c>
      <c r="J119" s="2" t="s">
        <v>425</v>
      </c>
      <c r="K119" s="2" t="s">
        <v>184</v>
      </c>
      <c r="L119" s="2" t="str">
        <f>CONCATENATE(J119, " ",K119)</f>
        <v xml:space="preserve">CHRISTIAN TAUGNER             </v>
      </c>
      <c r="M119" s="2">
        <v>6.04</v>
      </c>
      <c r="N119" s="8">
        <v>0.1</v>
      </c>
      <c r="O119" s="2">
        <v>0.6</v>
      </c>
      <c r="P119" s="2" t="s">
        <v>435</v>
      </c>
    </row>
    <row r="120" spans="1:16" s="2" customFormat="1" x14ac:dyDescent="0.25">
      <c r="A120" s="2" t="s">
        <v>381</v>
      </c>
      <c r="B120" s="2" t="s">
        <v>166</v>
      </c>
      <c r="C120" s="2" t="s">
        <v>382</v>
      </c>
      <c r="D120" s="3">
        <v>45488</v>
      </c>
      <c r="E120" s="3">
        <v>45915</v>
      </c>
      <c r="F120" s="2">
        <f>DATEDIF(D120,E120,"M")</f>
        <v>14</v>
      </c>
      <c r="G120" s="2" t="s">
        <v>429</v>
      </c>
      <c r="H120" s="2" t="s">
        <v>431</v>
      </c>
      <c r="I120" s="2">
        <v>19681796</v>
      </c>
      <c r="J120" s="2" t="s">
        <v>425</v>
      </c>
      <c r="K120" s="2" t="s">
        <v>184</v>
      </c>
      <c r="L120" s="2" t="str">
        <f>CONCATENATE(J120, " ",K120)</f>
        <v xml:space="preserve">CHRISTIAN TAUGNER             </v>
      </c>
      <c r="M120" s="2">
        <v>2</v>
      </c>
      <c r="N120" s="8">
        <v>0.1</v>
      </c>
      <c r="O120" s="2">
        <v>0.2</v>
      </c>
      <c r="P120" s="2" t="s">
        <v>435</v>
      </c>
    </row>
    <row r="121" spans="1:16" s="2" customFormat="1" x14ac:dyDescent="0.25">
      <c r="A121" s="2" t="s">
        <v>381</v>
      </c>
      <c r="B121" s="2" t="s">
        <v>166</v>
      </c>
      <c r="C121" s="2" t="s">
        <v>382</v>
      </c>
      <c r="D121" s="3">
        <v>45488</v>
      </c>
      <c r="E121" s="3">
        <v>45915</v>
      </c>
      <c r="F121" s="2">
        <f>DATEDIF(D121,E121,"M")</f>
        <v>14</v>
      </c>
      <c r="G121" s="2" t="s">
        <v>429</v>
      </c>
      <c r="H121" s="2" t="s">
        <v>431</v>
      </c>
      <c r="I121" s="2">
        <v>19681796</v>
      </c>
      <c r="J121" s="2" t="s">
        <v>425</v>
      </c>
      <c r="K121" s="2" t="s">
        <v>184</v>
      </c>
      <c r="L121" s="2" t="str">
        <f>CONCATENATE(J121, " ",K121)</f>
        <v xml:space="preserve">CHRISTIAN TAUGNER             </v>
      </c>
      <c r="M121" s="2">
        <v>0.79</v>
      </c>
      <c r="N121" s="8">
        <v>0.1</v>
      </c>
      <c r="O121" s="2">
        <v>0.08</v>
      </c>
      <c r="P121" s="2" t="s">
        <v>435</v>
      </c>
    </row>
    <row r="122" spans="1:16" s="2" customFormat="1" x14ac:dyDescent="0.25">
      <c r="A122" s="2" t="s">
        <v>381</v>
      </c>
      <c r="B122" s="2" t="s">
        <v>166</v>
      </c>
      <c r="C122" s="2" t="s">
        <v>382</v>
      </c>
      <c r="D122" s="3">
        <v>45488</v>
      </c>
      <c r="E122" s="3">
        <v>45915</v>
      </c>
      <c r="F122" s="2">
        <f>DATEDIF(D122,E122,"M")</f>
        <v>14</v>
      </c>
      <c r="G122" s="2" t="s">
        <v>429</v>
      </c>
      <c r="H122" s="2" t="s">
        <v>431</v>
      </c>
      <c r="I122" s="2">
        <v>19681796</v>
      </c>
      <c r="J122" s="2" t="s">
        <v>425</v>
      </c>
      <c r="K122" s="2" t="s">
        <v>184</v>
      </c>
      <c r="L122" s="2" t="str">
        <f>CONCATENATE(J122, " ",K122)</f>
        <v xml:space="preserve">CHRISTIAN TAUGNER             </v>
      </c>
      <c r="M122" s="2">
        <v>9.75</v>
      </c>
      <c r="N122" s="8">
        <v>0.1</v>
      </c>
      <c r="O122" s="2">
        <v>0.98</v>
      </c>
      <c r="P122" s="2" t="s">
        <v>435</v>
      </c>
    </row>
    <row r="123" spans="1:16" s="2" customFormat="1" x14ac:dyDescent="0.25">
      <c r="A123" s="2" t="s">
        <v>381</v>
      </c>
      <c r="B123" s="2" t="s">
        <v>166</v>
      </c>
      <c r="C123" s="2" t="s">
        <v>382</v>
      </c>
      <c r="D123" s="3">
        <v>45488</v>
      </c>
      <c r="E123" s="3">
        <v>45915</v>
      </c>
      <c r="F123" s="2">
        <f>DATEDIF(D123,E123,"M")</f>
        <v>14</v>
      </c>
      <c r="G123" s="2" t="s">
        <v>429</v>
      </c>
      <c r="H123" s="2" t="s">
        <v>431</v>
      </c>
      <c r="I123" s="2">
        <v>19681796</v>
      </c>
      <c r="J123" s="2" t="s">
        <v>425</v>
      </c>
      <c r="K123" s="2" t="s">
        <v>184</v>
      </c>
      <c r="L123" s="2" t="str">
        <f>CONCATENATE(J123, " ",K123)</f>
        <v xml:space="preserve">CHRISTIAN TAUGNER             </v>
      </c>
      <c r="M123" s="2">
        <v>4.58</v>
      </c>
      <c r="N123" s="8">
        <v>0.1</v>
      </c>
      <c r="O123" s="2">
        <v>0.46</v>
      </c>
      <c r="P123" s="2" t="s">
        <v>435</v>
      </c>
    </row>
    <row r="124" spans="1:16" s="2" customFormat="1" x14ac:dyDescent="0.25">
      <c r="A124" s="2" t="s">
        <v>396</v>
      </c>
      <c r="B124" s="2" t="s">
        <v>364</v>
      </c>
      <c r="C124" s="2" t="s">
        <v>365</v>
      </c>
      <c r="D124" s="3">
        <v>45444</v>
      </c>
      <c r="E124" s="3">
        <v>45901</v>
      </c>
      <c r="F124" s="2">
        <f>DATEDIF(D124,E124,"M")</f>
        <v>15</v>
      </c>
      <c r="G124" s="2" t="s">
        <v>429</v>
      </c>
      <c r="H124" s="2" t="s">
        <v>431</v>
      </c>
      <c r="I124" s="2">
        <v>7470776</v>
      </c>
      <c r="J124" s="2" t="s">
        <v>415</v>
      </c>
      <c r="K124" s="2" t="s">
        <v>170</v>
      </c>
      <c r="L124" s="2" t="str">
        <f>CONCATENATE(J124, " ",K124)</f>
        <v xml:space="preserve">ANDREW CHOI                </v>
      </c>
      <c r="M124" s="2">
        <v>8.33</v>
      </c>
      <c r="N124" s="8">
        <v>0.05</v>
      </c>
      <c r="O124" s="2">
        <v>0.42</v>
      </c>
      <c r="P124" s="2" t="s">
        <v>433</v>
      </c>
    </row>
    <row r="125" spans="1:16" s="2" customFormat="1" x14ac:dyDescent="0.25">
      <c r="A125" s="2" t="s">
        <v>363</v>
      </c>
      <c r="B125" s="2" t="s">
        <v>364</v>
      </c>
      <c r="C125" s="2" t="s">
        <v>365</v>
      </c>
      <c r="D125" s="3">
        <v>45444</v>
      </c>
      <c r="E125" s="3">
        <v>45901</v>
      </c>
      <c r="F125" s="2">
        <f>DATEDIF(D125,E125,"M")</f>
        <v>15</v>
      </c>
      <c r="G125" s="2" t="s">
        <v>429</v>
      </c>
      <c r="H125" s="2" t="s">
        <v>431</v>
      </c>
      <c r="I125" s="2">
        <v>7470776</v>
      </c>
      <c r="J125" s="2" t="s">
        <v>415</v>
      </c>
      <c r="K125" s="2" t="s">
        <v>170</v>
      </c>
      <c r="L125" s="2" t="str">
        <f>CONCATENATE(J125, " ",K125)</f>
        <v xml:space="preserve">ANDREW CHOI                </v>
      </c>
      <c r="M125" s="2">
        <v>34.020000000000003</v>
      </c>
      <c r="N125" s="8">
        <v>0.1</v>
      </c>
      <c r="O125" s="2">
        <v>3.4</v>
      </c>
      <c r="P125" s="2" t="s">
        <v>435</v>
      </c>
    </row>
    <row r="126" spans="1:16" s="2" customFormat="1" x14ac:dyDescent="0.25">
      <c r="A126" s="2" t="s">
        <v>363</v>
      </c>
      <c r="B126" s="2" t="s">
        <v>364</v>
      </c>
      <c r="C126" s="2" t="s">
        <v>365</v>
      </c>
      <c r="D126" s="3">
        <v>45444</v>
      </c>
      <c r="E126" s="3">
        <v>45901</v>
      </c>
      <c r="F126" s="2">
        <f>DATEDIF(D126,E126,"M")</f>
        <v>15</v>
      </c>
      <c r="G126" s="2" t="s">
        <v>429</v>
      </c>
      <c r="H126" s="2" t="s">
        <v>431</v>
      </c>
      <c r="I126" s="2">
        <v>7470776</v>
      </c>
      <c r="J126" s="2" t="s">
        <v>415</v>
      </c>
      <c r="K126" s="2" t="s">
        <v>170</v>
      </c>
      <c r="L126" s="2" t="str">
        <f>CONCATENATE(J126, " ",K126)</f>
        <v xml:space="preserve">ANDREW CHOI                </v>
      </c>
      <c r="M126" s="2">
        <v>0.96</v>
      </c>
      <c r="N126" s="8">
        <v>0.1</v>
      </c>
      <c r="O126" s="2">
        <v>0.1</v>
      </c>
      <c r="P126" s="2" t="s">
        <v>435</v>
      </c>
    </row>
    <row r="127" spans="1:16" s="2" customFormat="1" x14ac:dyDescent="0.25">
      <c r="A127" s="2" t="s">
        <v>363</v>
      </c>
      <c r="B127" s="2" t="s">
        <v>364</v>
      </c>
      <c r="C127" s="2" t="s">
        <v>365</v>
      </c>
      <c r="D127" s="3">
        <v>45444</v>
      </c>
      <c r="E127" s="3">
        <v>45901</v>
      </c>
      <c r="F127" s="2">
        <f>DATEDIF(D127,E127,"M")</f>
        <v>15</v>
      </c>
      <c r="G127" s="2" t="s">
        <v>429</v>
      </c>
      <c r="H127" s="2" t="s">
        <v>431</v>
      </c>
      <c r="I127" s="2">
        <v>7470776</v>
      </c>
      <c r="J127" s="2" t="s">
        <v>415</v>
      </c>
      <c r="K127" s="2" t="s">
        <v>170</v>
      </c>
      <c r="L127" s="2" t="str">
        <f>CONCATENATE(J127, " ",K127)</f>
        <v xml:space="preserve">ANDREW CHOI                </v>
      </c>
      <c r="M127" s="2">
        <v>1.18</v>
      </c>
      <c r="N127" s="8">
        <v>0.1</v>
      </c>
      <c r="O127" s="2">
        <v>0.12</v>
      </c>
      <c r="P127" s="2" t="s">
        <v>435</v>
      </c>
    </row>
    <row r="128" spans="1:16" s="2" customFormat="1" x14ac:dyDescent="0.25">
      <c r="A128" s="2" t="s">
        <v>363</v>
      </c>
      <c r="B128" s="2" t="s">
        <v>364</v>
      </c>
      <c r="C128" s="2" t="s">
        <v>365</v>
      </c>
      <c r="D128" s="3">
        <v>45444</v>
      </c>
      <c r="E128" s="3">
        <v>45901</v>
      </c>
      <c r="F128" s="2">
        <f>DATEDIF(D128,E128,"M")</f>
        <v>15</v>
      </c>
      <c r="G128" s="2" t="s">
        <v>429</v>
      </c>
      <c r="H128" s="2" t="s">
        <v>431</v>
      </c>
      <c r="I128" s="2">
        <v>7470776</v>
      </c>
      <c r="J128" s="2" t="s">
        <v>415</v>
      </c>
      <c r="K128" s="2" t="s">
        <v>170</v>
      </c>
      <c r="L128" s="2" t="str">
        <f>CONCATENATE(J128, " ",K128)</f>
        <v xml:space="preserve">ANDREW CHOI                </v>
      </c>
      <c r="M128" s="2">
        <v>2.81</v>
      </c>
      <c r="N128" s="8">
        <v>0.1</v>
      </c>
      <c r="O128" s="2">
        <v>0.28000000000000003</v>
      </c>
      <c r="P128" s="2" t="s">
        <v>435</v>
      </c>
    </row>
    <row r="129" spans="1:16" s="2" customFormat="1" x14ac:dyDescent="0.25">
      <c r="A129" s="2" t="s">
        <v>363</v>
      </c>
      <c r="B129" s="2" t="s">
        <v>364</v>
      </c>
      <c r="C129" s="2" t="s">
        <v>365</v>
      </c>
      <c r="D129" s="3">
        <v>45444</v>
      </c>
      <c r="E129" s="3">
        <v>45901</v>
      </c>
      <c r="F129" s="2">
        <f>DATEDIF(D129,E129,"M")</f>
        <v>15</v>
      </c>
      <c r="G129" s="2" t="s">
        <v>429</v>
      </c>
      <c r="H129" s="2" t="s">
        <v>431</v>
      </c>
      <c r="I129" s="2">
        <v>7470776</v>
      </c>
      <c r="J129" s="2" t="s">
        <v>415</v>
      </c>
      <c r="K129" s="2" t="s">
        <v>170</v>
      </c>
      <c r="L129" s="2" t="str">
        <f>CONCATENATE(J129, " ",K129)</f>
        <v xml:space="preserve">ANDREW CHOI                </v>
      </c>
      <c r="M129" s="2">
        <v>31.5</v>
      </c>
      <c r="N129" s="8">
        <v>0.1</v>
      </c>
      <c r="O129" s="2">
        <v>3.15</v>
      </c>
      <c r="P129" s="2" t="s">
        <v>435</v>
      </c>
    </row>
    <row r="130" spans="1:16" s="2" customFormat="1" x14ac:dyDescent="0.25">
      <c r="A130" s="2" t="s">
        <v>359</v>
      </c>
      <c r="B130" s="2" t="s">
        <v>33</v>
      </c>
      <c r="C130" s="2" t="s">
        <v>360</v>
      </c>
      <c r="D130" s="3">
        <v>45383</v>
      </c>
      <c r="E130" s="3">
        <v>45901</v>
      </c>
      <c r="F130" s="2">
        <f>DATEDIF(D130,E130,"M")</f>
        <v>17</v>
      </c>
      <c r="G130" s="2" t="s">
        <v>429</v>
      </c>
      <c r="H130" s="2" t="s">
        <v>431</v>
      </c>
      <c r="I130" s="2">
        <v>16509456</v>
      </c>
      <c r="J130" s="2" t="s">
        <v>422</v>
      </c>
      <c r="K130" s="2" t="s">
        <v>25</v>
      </c>
      <c r="L130" s="2" t="str">
        <f>CONCATENATE(J130, " ",K130)</f>
        <v xml:space="preserve">PETER RICHTER             </v>
      </c>
      <c r="M130" s="2">
        <v>21.06</v>
      </c>
      <c r="N130" s="8">
        <v>0.1</v>
      </c>
      <c r="O130" s="2">
        <v>2.11</v>
      </c>
      <c r="P130" s="2" t="s">
        <v>435</v>
      </c>
    </row>
    <row r="131" spans="1:16" s="2" customFormat="1" x14ac:dyDescent="0.25">
      <c r="A131" s="2" t="s">
        <v>359</v>
      </c>
      <c r="B131" s="2" t="s">
        <v>33</v>
      </c>
      <c r="C131" s="2" t="s">
        <v>360</v>
      </c>
      <c r="D131" s="3">
        <v>45383</v>
      </c>
      <c r="E131" s="3">
        <v>45901</v>
      </c>
      <c r="F131" s="2">
        <f>DATEDIF(D131,E131,"M")</f>
        <v>17</v>
      </c>
      <c r="G131" s="2" t="s">
        <v>429</v>
      </c>
      <c r="H131" s="2" t="s">
        <v>431</v>
      </c>
      <c r="I131" s="2">
        <v>16509456</v>
      </c>
      <c r="J131" s="2" t="s">
        <v>422</v>
      </c>
      <c r="K131" s="2" t="s">
        <v>25</v>
      </c>
      <c r="L131" s="2" t="str">
        <f>CONCATENATE(J131, " ",K131)</f>
        <v xml:space="preserve">PETER RICHTER             </v>
      </c>
      <c r="M131" s="2">
        <v>12.43</v>
      </c>
      <c r="N131" s="8">
        <v>0.1</v>
      </c>
      <c r="O131" s="2">
        <v>1.24</v>
      </c>
      <c r="P131" s="2" t="s">
        <v>435</v>
      </c>
    </row>
    <row r="132" spans="1:16" s="2" customFormat="1" x14ac:dyDescent="0.25">
      <c r="A132" s="2" t="s">
        <v>359</v>
      </c>
      <c r="B132" s="2" t="s">
        <v>33</v>
      </c>
      <c r="C132" s="2" t="s">
        <v>360</v>
      </c>
      <c r="D132" s="3">
        <v>45383</v>
      </c>
      <c r="E132" s="3">
        <v>45901</v>
      </c>
      <c r="F132" s="2">
        <f>DATEDIF(D132,E132,"M")</f>
        <v>17</v>
      </c>
      <c r="G132" s="2" t="s">
        <v>429</v>
      </c>
      <c r="H132" s="2" t="s">
        <v>431</v>
      </c>
      <c r="I132" s="2">
        <v>16509456</v>
      </c>
      <c r="J132" s="2" t="s">
        <v>422</v>
      </c>
      <c r="K132" s="2" t="s">
        <v>25</v>
      </c>
      <c r="L132" s="2" t="str">
        <f>CONCATENATE(J132, " ",K132)</f>
        <v xml:space="preserve">PETER RICHTER             </v>
      </c>
      <c r="M132" s="2">
        <v>12.94</v>
      </c>
      <c r="N132" s="8">
        <v>0.1</v>
      </c>
      <c r="O132" s="2">
        <v>1.29</v>
      </c>
      <c r="P132" s="2" t="s">
        <v>435</v>
      </c>
    </row>
    <row r="133" spans="1:16" s="2" customFormat="1" x14ac:dyDescent="0.25">
      <c r="A133" s="2" t="s">
        <v>359</v>
      </c>
      <c r="B133" s="2" t="s">
        <v>33</v>
      </c>
      <c r="C133" s="2" t="s">
        <v>360</v>
      </c>
      <c r="D133" s="3">
        <v>45383</v>
      </c>
      <c r="E133" s="3">
        <v>45901</v>
      </c>
      <c r="F133" s="2">
        <f>DATEDIF(D133,E133,"M")</f>
        <v>17</v>
      </c>
      <c r="G133" s="2" t="s">
        <v>429</v>
      </c>
      <c r="H133" s="2" t="s">
        <v>431</v>
      </c>
      <c r="I133" s="2">
        <v>16509456</v>
      </c>
      <c r="J133" s="2" t="s">
        <v>422</v>
      </c>
      <c r="K133" s="2" t="s">
        <v>25</v>
      </c>
      <c r="L133" s="2" t="str">
        <f>CONCATENATE(J133, " ",K133)</f>
        <v xml:space="preserve">PETER RICHTER             </v>
      </c>
      <c r="M133" s="2">
        <v>1.79</v>
      </c>
      <c r="N133" s="8">
        <v>0.1</v>
      </c>
      <c r="O133" s="2">
        <v>0.18</v>
      </c>
      <c r="P133" s="2" t="s">
        <v>435</v>
      </c>
    </row>
    <row r="134" spans="1:16" s="2" customFormat="1" x14ac:dyDescent="0.25">
      <c r="A134" s="2" t="s">
        <v>345</v>
      </c>
      <c r="B134" s="2" t="s">
        <v>33</v>
      </c>
      <c r="C134" s="2" t="s">
        <v>346</v>
      </c>
      <c r="D134" s="3">
        <v>45292</v>
      </c>
      <c r="E134" s="3">
        <v>45901</v>
      </c>
      <c r="F134" s="2">
        <f>DATEDIF(D134,E134,"M")</f>
        <v>20</v>
      </c>
      <c r="G134" s="2" t="s">
        <v>429</v>
      </c>
      <c r="H134" s="2" t="s">
        <v>431</v>
      </c>
      <c r="I134" s="2">
        <v>16509456</v>
      </c>
      <c r="J134" s="2" t="s">
        <v>422</v>
      </c>
      <c r="K134" s="2" t="s">
        <v>25</v>
      </c>
      <c r="L134" s="2" t="str">
        <f>CONCATENATE(J134, " ",K134)</f>
        <v xml:space="preserve">PETER RICHTER             </v>
      </c>
      <c r="M134" s="2">
        <v>21.06</v>
      </c>
      <c r="N134" s="8">
        <v>0.1</v>
      </c>
      <c r="O134" s="2">
        <v>2.11</v>
      </c>
      <c r="P134" s="2" t="s">
        <v>435</v>
      </c>
    </row>
    <row r="135" spans="1:16" s="2" customFormat="1" x14ac:dyDescent="0.25">
      <c r="A135" s="2" t="s">
        <v>345</v>
      </c>
      <c r="B135" s="2" t="s">
        <v>33</v>
      </c>
      <c r="C135" s="2" t="s">
        <v>346</v>
      </c>
      <c r="D135" s="3">
        <v>45292</v>
      </c>
      <c r="E135" s="3">
        <v>45901</v>
      </c>
      <c r="F135" s="2">
        <f>DATEDIF(D135,E135,"M")</f>
        <v>20</v>
      </c>
      <c r="G135" s="2" t="s">
        <v>429</v>
      </c>
      <c r="H135" s="2" t="s">
        <v>431</v>
      </c>
      <c r="I135" s="2">
        <v>16509456</v>
      </c>
      <c r="J135" s="2" t="s">
        <v>422</v>
      </c>
      <c r="K135" s="2" t="s">
        <v>25</v>
      </c>
      <c r="L135" s="2" t="str">
        <f>CONCATENATE(J135, " ",K135)</f>
        <v xml:space="preserve">PETER RICHTER             </v>
      </c>
      <c r="M135" s="2">
        <v>1.79</v>
      </c>
      <c r="N135" s="8">
        <v>0.1</v>
      </c>
      <c r="O135" s="2">
        <v>0.18</v>
      </c>
      <c r="P135" s="2" t="s">
        <v>435</v>
      </c>
    </row>
    <row r="136" spans="1:16" s="2" customFormat="1" x14ac:dyDescent="0.25">
      <c r="A136" s="2" t="s">
        <v>345</v>
      </c>
      <c r="B136" s="2" t="s">
        <v>33</v>
      </c>
      <c r="C136" s="2" t="s">
        <v>346</v>
      </c>
      <c r="D136" s="3">
        <v>45292</v>
      </c>
      <c r="E136" s="3">
        <v>45901</v>
      </c>
      <c r="F136" s="2">
        <f>DATEDIF(D136,E136,"M")</f>
        <v>20</v>
      </c>
      <c r="G136" s="2" t="s">
        <v>429</v>
      </c>
      <c r="H136" s="2" t="s">
        <v>431</v>
      </c>
      <c r="I136" s="2">
        <v>16509456</v>
      </c>
      <c r="J136" s="2" t="s">
        <v>422</v>
      </c>
      <c r="K136" s="2" t="s">
        <v>25</v>
      </c>
      <c r="L136" s="2" t="str">
        <f>CONCATENATE(J136, " ",K136)</f>
        <v xml:space="preserve">PETER RICHTER             </v>
      </c>
      <c r="M136" s="2">
        <v>12.43</v>
      </c>
      <c r="N136" s="8">
        <v>0.1</v>
      </c>
      <c r="O136" s="2">
        <v>1.24</v>
      </c>
      <c r="P136" s="2" t="s">
        <v>435</v>
      </c>
    </row>
    <row r="137" spans="1:16" s="2" customFormat="1" x14ac:dyDescent="0.25">
      <c r="A137" s="2" t="s">
        <v>345</v>
      </c>
      <c r="B137" s="2" t="s">
        <v>33</v>
      </c>
      <c r="C137" s="2" t="s">
        <v>346</v>
      </c>
      <c r="D137" s="3">
        <v>45292</v>
      </c>
      <c r="E137" s="3">
        <v>45901</v>
      </c>
      <c r="F137" s="2">
        <f>DATEDIF(D137,E137,"M")</f>
        <v>20</v>
      </c>
      <c r="G137" s="2" t="s">
        <v>429</v>
      </c>
      <c r="H137" s="2" t="s">
        <v>431</v>
      </c>
      <c r="I137" s="2">
        <v>16509456</v>
      </c>
      <c r="J137" s="2" t="s">
        <v>422</v>
      </c>
      <c r="K137" s="2" t="s">
        <v>25</v>
      </c>
      <c r="L137" s="2" t="str">
        <f>CONCATENATE(J137, " ",K137)</f>
        <v xml:space="preserve">PETER RICHTER             </v>
      </c>
      <c r="M137" s="2">
        <v>12.94</v>
      </c>
      <c r="N137" s="8">
        <v>0.1</v>
      </c>
      <c r="O137" s="2">
        <v>1.29</v>
      </c>
      <c r="P137" s="2" t="s">
        <v>435</v>
      </c>
    </row>
    <row r="138" spans="1:16" s="2" customFormat="1" x14ac:dyDescent="0.25">
      <c r="A138" s="2" t="s">
        <v>349</v>
      </c>
      <c r="B138" s="2" t="s">
        <v>33</v>
      </c>
      <c r="C138" s="2" t="s">
        <v>350</v>
      </c>
      <c r="D138" s="3">
        <v>45292</v>
      </c>
      <c r="E138" s="3">
        <v>45901</v>
      </c>
      <c r="F138" s="2">
        <f>DATEDIF(D138,E138,"M")</f>
        <v>20</v>
      </c>
      <c r="G138" s="2" t="s">
        <v>429</v>
      </c>
      <c r="H138" s="2" t="s">
        <v>431</v>
      </c>
      <c r="I138" s="2">
        <v>16509456</v>
      </c>
      <c r="J138" s="2" t="s">
        <v>422</v>
      </c>
      <c r="K138" s="2" t="s">
        <v>25</v>
      </c>
      <c r="L138" s="2" t="str">
        <f>CONCATENATE(J138, " ",K138)</f>
        <v xml:space="preserve">PETER RICHTER             </v>
      </c>
      <c r="M138" s="2">
        <v>21.06</v>
      </c>
      <c r="N138" s="8">
        <v>0.1</v>
      </c>
      <c r="O138" s="2">
        <v>2.11</v>
      </c>
      <c r="P138" s="2" t="s">
        <v>435</v>
      </c>
    </row>
    <row r="139" spans="1:16" s="2" customFormat="1" x14ac:dyDescent="0.25">
      <c r="A139" s="2" t="s">
        <v>349</v>
      </c>
      <c r="B139" s="2" t="s">
        <v>33</v>
      </c>
      <c r="C139" s="2" t="s">
        <v>350</v>
      </c>
      <c r="D139" s="3">
        <v>45292</v>
      </c>
      <c r="E139" s="3">
        <v>45901</v>
      </c>
      <c r="F139" s="2">
        <f>DATEDIF(D139,E139,"M")</f>
        <v>20</v>
      </c>
      <c r="G139" s="2" t="s">
        <v>429</v>
      </c>
      <c r="H139" s="2" t="s">
        <v>431</v>
      </c>
      <c r="I139" s="2">
        <v>16509456</v>
      </c>
      <c r="J139" s="2" t="s">
        <v>422</v>
      </c>
      <c r="K139" s="2" t="s">
        <v>25</v>
      </c>
      <c r="L139" s="2" t="str">
        <f>CONCATENATE(J139, " ",K139)</f>
        <v xml:space="preserve">PETER RICHTER             </v>
      </c>
      <c r="M139" s="2">
        <v>2.14</v>
      </c>
      <c r="N139" s="8">
        <v>0.1</v>
      </c>
      <c r="O139" s="2">
        <v>0.21</v>
      </c>
      <c r="P139" s="2" t="s">
        <v>435</v>
      </c>
    </row>
    <row r="140" spans="1:16" s="2" customFormat="1" x14ac:dyDescent="0.25">
      <c r="A140" s="2" t="s">
        <v>349</v>
      </c>
      <c r="B140" s="2" t="s">
        <v>33</v>
      </c>
      <c r="C140" s="2" t="s">
        <v>350</v>
      </c>
      <c r="D140" s="3">
        <v>45292</v>
      </c>
      <c r="E140" s="3">
        <v>45901</v>
      </c>
      <c r="F140" s="2">
        <f>DATEDIF(D140,E140,"M")</f>
        <v>20</v>
      </c>
      <c r="G140" s="2" t="s">
        <v>429</v>
      </c>
      <c r="H140" s="2" t="s">
        <v>431</v>
      </c>
      <c r="I140" s="2">
        <v>16509456</v>
      </c>
      <c r="J140" s="2" t="s">
        <v>422</v>
      </c>
      <c r="K140" s="2" t="s">
        <v>25</v>
      </c>
      <c r="L140" s="2" t="str">
        <f>CONCATENATE(J140, " ",K140)</f>
        <v xml:space="preserve">PETER RICHTER             </v>
      </c>
      <c r="M140" s="2">
        <v>12.43</v>
      </c>
      <c r="N140" s="8">
        <v>0.1</v>
      </c>
      <c r="O140" s="2">
        <v>1.24</v>
      </c>
      <c r="P140" s="2" t="s">
        <v>435</v>
      </c>
    </row>
    <row r="141" spans="1:16" s="2" customFormat="1" x14ac:dyDescent="0.25">
      <c r="A141" s="2" t="s">
        <v>349</v>
      </c>
      <c r="B141" s="2" t="s">
        <v>33</v>
      </c>
      <c r="C141" s="2" t="s">
        <v>350</v>
      </c>
      <c r="D141" s="3">
        <v>45292</v>
      </c>
      <c r="E141" s="3">
        <v>45901</v>
      </c>
      <c r="F141" s="2">
        <f>DATEDIF(D141,E141,"M")</f>
        <v>20</v>
      </c>
      <c r="G141" s="2" t="s">
        <v>429</v>
      </c>
      <c r="H141" s="2" t="s">
        <v>431</v>
      </c>
      <c r="I141" s="2">
        <v>16509456</v>
      </c>
      <c r="J141" s="2" t="s">
        <v>422</v>
      </c>
      <c r="K141" s="2" t="s">
        <v>25</v>
      </c>
      <c r="L141" s="2" t="str">
        <f>CONCATENATE(J141, " ",K141)</f>
        <v xml:space="preserve">PETER RICHTER             </v>
      </c>
      <c r="M141" s="2">
        <v>13.58</v>
      </c>
      <c r="N141" s="8">
        <v>0.1</v>
      </c>
      <c r="O141" s="2">
        <v>1.36</v>
      </c>
      <c r="P141" s="2" t="s">
        <v>435</v>
      </c>
    </row>
    <row r="142" spans="1:16" s="2" customFormat="1" x14ac:dyDescent="0.25">
      <c r="A142" s="2" t="s">
        <v>355</v>
      </c>
      <c r="B142" s="2" t="s">
        <v>33</v>
      </c>
      <c r="C142" s="2" t="s">
        <v>356</v>
      </c>
      <c r="D142" s="3">
        <v>45292</v>
      </c>
      <c r="E142" s="3">
        <v>45901</v>
      </c>
      <c r="F142" s="2">
        <f>DATEDIF(D142,E142,"M")</f>
        <v>20</v>
      </c>
      <c r="G142" s="2" t="s">
        <v>429</v>
      </c>
      <c r="H142" s="2" t="s">
        <v>431</v>
      </c>
      <c r="I142" s="2">
        <v>16509456</v>
      </c>
      <c r="J142" s="2" t="s">
        <v>422</v>
      </c>
      <c r="K142" s="2" t="s">
        <v>25</v>
      </c>
      <c r="L142" s="2" t="str">
        <f>CONCATENATE(J142, " ",K142)</f>
        <v xml:space="preserve">PETER RICHTER             </v>
      </c>
      <c r="M142" s="2">
        <v>22.34</v>
      </c>
      <c r="N142" s="8">
        <v>0.1</v>
      </c>
      <c r="O142" s="2">
        <v>2.23</v>
      </c>
      <c r="P142" s="2" t="s">
        <v>435</v>
      </c>
    </row>
    <row r="143" spans="1:16" s="2" customFormat="1" x14ac:dyDescent="0.25">
      <c r="A143" s="2" t="s">
        <v>355</v>
      </c>
      <c r="B143" s="2" t="s">
        <v>33</v>
      </c>
      <c r="C143" s="2" t="s">
        <v>356</v>
      </c>
      <c r="D143" s="3">
        <v>45292</v>
      </c>
      <c r="E143" s="3">
        <v>45901</v>
      </c>
      <c r="F143" s="2">
        <f>DATEDIF(D143,E143,"M")</f>
        <v>20</v>
      </c>
      <c r="G143" s="2" t="s">
        <v>429</v>
      </c>
      <c r="H143" s="2" t="s">
        <v>431</v>
      </c>
      <c r="I143" s="2">
        <v>16509456</v>
      </c>
      <c r="J143" s="2" t="s">
        <v>422</v>
      </c>
      <c r="K143" s="2" t="s">
        <v>25</v>
      </c>
      <c r="L143" s="2" t="str">
        <f>CONCATENATE(J143, " ",K143)</f>
        <v xml:space="preserve">PETER RICHTER             </v>
      </c>
      <c r="M143" s="2">
        <v>12.43</v>
      </c>
      <c r="N143" s="8">
        <v>0.1</v>
      </c>
      <c r="O143" s="2">
        <v>1.24</v>
      </c>
      <c r="P143" s="2" t="s">
        <v>435</v>
      </c>
    </row>
    <row r="144" spans="1:16" s="2" customFormat="1" x14ac:dyDescent="0.25">
      <c r="A144" s="2" t="s">
        <v>355</v>
      </c>
      <c r="B144" s="2" t="s">
        <v>33</v>
      </c>
      <c r="C144" s="2" t="s">
        <v>356</v>
      </c>
      <c r="D144" s="3">
        <v>45292</v>
      </c>
      <c r="E144" s="3">
        <v>45901</v>
      </c>
      <c r="F144" s="2">
        <f>DATEDIF(D144,E144,"M")</f>
        <v>20</v>
      </c>
      <c r="G144" s="2" t="s">
        <v>429</v>
      </c>
      <c r="H144" s="2" t="s">
        <v>431</v>
      </c>
      <c r="I144" s="2">
        <v>16509456</v>
      </c>
      <c r="J144" s="2" t="s">
        <v>422</v>
      </c>
      <c r="K144" s="2" t="s">
        <v>25</v>
      </c>
      <c r="L144" s="2" t="str">
        <f>CONCATENATE(J144, " ",K144)</f>
        <v xml:space="preserve">PETER RICHTER             </v>
      </c>
      <c r="M144" s="2">
        <v>28.81</v>
      </c>
      <c r="N144" s="8">
        <v>0.1</v>
      </c>
      <c r="O144" s="2">
        <v>2.88</v>
      </c>
      <c r="P144" s="2" t="s">
        <v>435</v>
      </c>
    </row>
    <row r="145" spans="1:16" s="2" customFormat="1" x14ac:dyDescent="0.25">
      <c r="A145" s="2" t="s">
        <v>355</v>
      </c>
      <c r="B145" s="2" t="s">
        <v>33</v>
      </c>
      <c r="C145" s="2" t="s">
        <v>356</v>
      </c>
      <c r="D145" s="3">
        <v>45292</v>
      </c>
      <c r="E145" s="3">
        <v>45901</v>
      </c>
      <c r="F145" s="2">
        <f>DATEDIF(D145,E145,"M")</f>
        <v>20</v>
      </c>
      <c r="G145" s="2" t="s">
        <v>429</v>
      </c>
      <c r="H145" s="2" t="s">
        <v>431</v>
      </c>
      <c r="I145" s="2">
        <v>16509456</v>
      </c>
      <c r="J145" s="2" t="s">
        <v>422</v>
      </c>
      <c r="K145" s="2" t="s">
        <v>25</v>
      </c>
      <c r="L145" s="2" t="str">
        <f>CONCATENATE(J145, " ",K145)</f>
        <v xml:space="preserve">PETER RICHTER             </v>
      </c>
      <c r="M145" s="2">
        <v>2.65</v>
      </c>
      <c r="N145" s="8">
        <v>0.1</v>
      </c>
      <c r="O145" s="2">
        <v>0.27</v>
      </c>
      <c r="P145" s="2" t="s">
        <v>435</v>
      </c>
    </row>
    <row r="146" spans="1:16" s="2" customFormat="1" x14ac:dyDescent="0.25">
      <c r="A146" s="2" t="s">
        <v>357</v>
      </c>
      <c r="B146" s="2" t="s">
        <v>33</v>
      </c>
      <c r="C146" s="2" t="s">
        <v>358</v>
      </c>
      <c r="D146" s="3">
        <v>45292</v>
      </c>
      <c r="E146" s="3">
        <v>45901</v>
      </c>
      <c r="F146" s="2">
        <f>DATEDIF(D146,E146,"M")</f>
        <v>20</v>
      </c>
      <c r="G146" s="2" t="s">
        <v>429</v>
      </c>
      <c r="H146" s="2" t="s">
        <v>431</v>
      </c>
      <c r="I146" s="2">
        <v>16509456</v>
      </c>
      <c r="J146" s="2" t="s">
        <v>422</v>
      </c>
      <c r="K146" s="2" t="s">
        <v>25</v>
      </c>
      <c r="L146" s="2" t="str">
        <f>CONCATENATE(J146, " ",K146)</f>
        <v xml:space="preserve">PETER RICHTER             </v>
      </c>
      <c r="M146" s="2">
        <v>21.06</v>
      </c>
      <c r="N146" s="8">
        <v>0.1</v>
      </c>
      <c r="O146" s="2">
        <v>2.11</v>
      </c>
      <c r="P146" s="2" t="s">
        <v>435</v>
      </c>
    </row>
    <row r="147" spans="1:16" s="2" customFormat="1" x14ac:dyDescent="0.25">
      <c r="A147" s="2" t="s">
        <v>357</v>
      </c>
      <c r="B147" s="2" t="s">
        <v>33</v>
      </c>
      <c r="C147" s="2" t="s">
        <v>358</v>
      </c>
      <c r="D147" s="3">
        <v>45292</v>
      </c>
      <c r="E147" s="3">
        <v>45901</v>
      </c>
      <c r="F147" s="2">
        <f>DATEDIF(D147,E147,"M")</f>
        <v>20</v>
      </c>
      <c r="G147" s="2" t="s">
        <v>429</v>
      </c>
      <c r="H147" s="2" t="s">
        <v>431</v>
      </c>
      <c r="I147" s="2">
        <v>16509456</v>
      </c>
      <c r="J147" s="2" t="s">
        <v>422</v>
      </c>
      <c r="K147" s="2" t="s">
        <v>25</v>
      </c>
      <c r="L147" s="2" t="str">
        <f>CONCATENATE(J147, " ",K147)</f>
        <v xml:space="preserve">PETER RICHTER             </v>
      </c>
      <c r="M147" s="2">
        <v>1.79</v>
      </c>
      <c r="N147" s="8">
        <v>0.1</v>
      </c>
      <c r="O147" s="2">
        <v>0.18</v>
      </c>
      <c r="P147" s="2" t="s">
        <v>435</v>
      </c>
    </row>
    <row r="148" spans="1:16" s="2" customFormat="1" x14ac:dyDescent="0.25">
      <c r="A148" s="2" t="s">
        <v>357</v>
      </c>
      <c r="B148" s="2" t="s">
        <v>33</v>
      </c>
      <c r="C148" s="2" t="s">
        <v>358</v>
      </c>
      <c r="D148" s="3">
        <v>45292</v>
      </c>
      <c r="E148" s="3">
        <v>45901</v>
      </c>
      <c r="F148" s="2">
        <f>DATEDIF(D148,E148,"M")</f>
        <v>20</v>
      </c>
      <c r="G148" s="2" t="s">
        <v>429</v>
      </c>
      <c r="H148" s="2" t="s">
        <v>431</v>
      </c>
      <c r="I148" s="2">
        <v>16509456</v>
      </c>
      <c r="J148" s="2" t="s">
        <v>422</v>
      </c>
      <c r="K148" s="2" t="s">
        <v>25</v>
      </c>
      <c r="L148" s="2" t="str">
        <f>CONCATENATE(J148, " ",K148)</f>
        <v xml:space="preserve">PETER RICHTER             </v>
      </c>
      <c r="M148" s="2">
        <v>12.94</v>
      </c>
      <c r="N148" s="8">
        <v>0.1</v>
      </c>
      <c r="O148" s="2">
        <v>1.29</v>
      </c>
      <c r="P148" s="2" t="s">
        <v>435</v>
      </c>
    </row>
    <row r="149" spans="1:16" s="2" customFormat="1" x14ac:dyDescent="0.25">
      <c r="A149" s="2" t="s">
        <v>357</v>
      </c>
      <c r="B149" s="2" t="s">
        <v>33</v>
      </c>
      <c r="C149" s="2" t="s">
        <v>358</v>
      </c>
      <c r="D149" s="3">
        <v>45292</v>
      </c>
      <c r="E149" s="3">
        <v>45901</v>
      </c>
      <c r="F149" s="2">
        <f>DATEDIF(D149,E149,"M")</f>
        <v>20</v>
      </c>
      <c r="G149" s="2" t="s">
        <v>429</v>
      </c>
      <c r="H149" s="2" t="s">
        <v>431</v>
      </c>
      <c r="I149" s="2">
        <v>16509456</v>
      </c>
      <c r="J149" s="2" t="s">
        <v>422</v>
      </c>
      <c r="K149" s="2" t="s">
        <v>25</v>
      </c>
      <c r="L149" s="2" t="str">
        <f>CONCATENATE(J149, " ",K149)</f>
        <v xml:space="preserve">PETER RICHTER             </v>
      </c>
      <c r="M149" s="2">
        <v>12.43</v>
      </c>
      <c r="N149" s="8">
        <v>0.1</v>
      </c>
      <c r="O149" s="2">
        <v>1.24</v>
      </c>
      <c r="P149" s="2" t="s">
        <v>435</v>
      </c>
    </row>
    <row r="150" spans="1:16" s="2" customFormat="1" x14ac:dyDescent="0.25">
      <c r="A150" s="2" t="s">
        <v>351</v>
      </c>
      <c r="B150" s="2" t="s">
        <v>33</v>
      </c>
      <c r="C150" s="2" t="s">
        <v>352</v>
      </c>
      <c r="D150" s="3">
        <v>45261</v>
      </c>
      <c r="E150" s="3">
        <v>45901</v>
      </c>
      <c r="F150" s="2">
        <f>DATEDIF(D150,E150,"M")</f>
        <v>21</v>
      </c>
      <c r="G150" s="2" t="s">
        <v>429</v>
      </c>
      <c r="H150" s="2" t="s">
        <v>431</v>
      </c>
      <c r="I150" s="2">
        <v>16509456</v>
      </c>
      <c r="J150" s="2" t="s">
        <v>422</v>
      </c>
      <c r="K150" s="2" t="s">
        <v>25</v>
      </c>
      <c r="L150" s="2" t="str">
        <f>CONCATENATE(J150, " ",K150)</f>
        <v xml:space="preserve">PETER RICHTER             </v>
      </c>
      <c r="M150" s="2">
        <v>21.34</v>
      </c>
      <c r="N150" s="8">
        <v>0.1</v>
      </c>
      <c r="O150" s="2">
        <v>2.13</v>
      </c>
      <c r="P150" s="2" t="s">
        <v>435</v>
      </c>
    </row>
    <row r="151" spans="1:16" s="2" customFormat="1" x14ac:dyDescent="0.25">
      <c r="A151" s="2" t="s">
        <v>351</v>
      </c>
      <c r="B151" s="2" t="s">
        <v>33</v>
      </c>
      <c r="C151" s="2" t="s">
        <v>352</v>
      </c>
      <c r="D151" s="3">
        <v>45261</v>
      </c>
      <c r="E151" s="3">
        <v>45901</v>
      </c>
      <c r="F151" s="2">
        <f>DATEDIF(D151,E151,"M")</f>
        <v>21</v>
      </c>
      <c r="G151" s="2" t="s">
        <v>429</v>
      </c>
      <c r="H151" s="2" t="s">
        <v>431</v>
      </c>
      <c r="I151" s="2">
        <v>16509456</v>
      </c>
      <c r="J151" s="2" t="s">
        <v>422</v>
      </c>
      <c r="K151" s="2" t="s">
        <v>25</v>
      </c>
      <c r="L151" s="2" t="str">
        <f>CONCATENATE(J151, " ",K151)</f>
        <v xml:space="preserve">PETER RICHTER             </v>
      </c>
      <c r="M151" s="2">
        <v>2.14</v>
      </c>
      <c r="N151" s="8">
        <v>0.1</v>
      </c>
      <c r="O151" s="2">
        <v>0.21</v>
      </c>
      <c r="P151" s="2" t="s">
        <v>435</v>
      </c>
    </row>
    <row r="152" spans="1:16" s="2" customFormat="1" x14ac:dyDescent="0.25">
      <c r="A152" s="2" t="s">
        <v>351</v>
      </c>
      <c r="B152" s="2" t="s">
        <v>33</v>
      </c>
      <c r="C152" s="2" t="s">
        <v>352</v>
      </c>
      <c r="D152" s="3">
        <v>45261</v>
      </c>
      <c r="E152" s="3">
        <v>45901</v>
      </c>
      <c r="F152" s="2">
        <f>DATEDIF(D152,E152,"M")</f>
        <v>21</v>
      </c>
      <c r="G152" s="2" t="s">
        <v>429</v>
      </c>
      <c r="H152" s="2" t="s">
        <v>431</v>
      </c>
      <c r="I152" s="2">
        <v>16509456</v>
      </c>
      <c r="J152" s="2" t="s">
        <v>422</v>
      </c>
      <c r="K152" s="2" t="s">
        <v>25</v>
      </c>
      <c r="L152" s="2" t="str">
        <f>CONCATENATE(J152, " ",K152)</f>
        <v xml:space="preserve">PETER RICHTER             </v>
      </c>
      <c r="M152" s="2">
        <v>12.43</v>
      </c>
      <c r="N152" s="8">
        <v>0.1</v>
      </c>
      <c r="O152" s="2">
        <v>1.24</v>
      </c>
      <c r="P152" s="2" t="s">
        <v>435</v>
      </c>
    </row>
    <row r="153" spans="1:16" s="2" customFormat="1" x14ac:dyDescent="0.25">
      <c r="A153" s="2" t="s">
        <v>351</v>
      </c>
      <c r="B153" s="2" t="s">
        <v>33</v>
      </c>
      <c r="C153" s="2" t="s">
        <v>352</v>
      </c>
      <c r="D153" s="3">
        <v>45261</v>
      </c>
      <c r="E153" s="3">
        <v>45901</v>
      </c>
      <c r="F153" s="2">
        <f>DATEDIF(D153,E153,"M")</f>
        <v>21</v>
      </c>
      <c r="G153" s="2" t="s">
        <v>429</v>
      </c>
      <c r="H153" s="2" t="s">
        <v>431</v>
      </c>
      <c r="I153" s="2">
        <v>16509456</v>
      </c>
      <c r="J153" s="2" t="s">
        <v>422</v>
      </c>
      <c r="K153" s="2" t="s">
        <v>25</v>
      </c>
      <c r="L153" s="2" t="str">
        <f>CONCATENATE(J153, " ",K153)</f>
        <v xml:space="preserve">PETER RICHTER             </v>
      </c>
      <c r="M153" s="2">
        <v>14.36</v>
      </c>
      <c r="N153" s="8">
        <v>0.1</v>
      </c>
      <c r="O153" s="2">
        <v>1.44</v>
      </c>
      <c r="P153" s="2" t="s">
        <v>435</v>
      </c>
    </row>
    <row r="154" spans="1:16" s="2" customFormat="1" x14ac:dyDescent="0.25">
      <c r="A154" s="2" t="s">
        <v>353</v>
      </c>
      <c r="B154" s="2" t="s">
        <v>33</v>
      </c>
      <c r="C154" s="2" t="s">
        <v>354</v>
      </c>
      <c r="D154" s="3">
        <v>45261</v>
      </c>
      <c r="E154" s="3">
        <v>45901</v>
      </c>
      <c r="F154" s="2">
        <f>DATEDIF(D154,E154,"M")</f>
        <v>21</v>
      </c>
      <c r="G154" s="2" t="s">
        <v>429</v>
      </c>
      <c r="H154" s="2" t="s">
        <v>431</v>
      </c>
      <c r="I154" s="2">
        <v>16509456</v>
      </c>
      <c r="J154" s="2" t="s">
        <v>422</v>
      </c>
      <c r="K154" s="2" t="s">
        <v>25</v>
      </c>
      <c r="L154" s="2" t="str">
        <f>CONCATENATE(J154, " ",K154)</f>
        <v xml:space="preserve">PETER RICHTER             </v>
      </c>
      <c r="M154" s="2">
        <v>26.78</v>
      </c>
      <c r="N154" s="8">
        <v>0.1</v>
      </c>
      <c r="O154" s="2">
        <v>2.68</v>
      </c>
      <c r="P154" s="2" t="s">
        <v>435</v>
      </c>
    </row>
    <row r="155" spans="1:16" s="2" customFormat="1" x14ac:dyDescent="0.25">
      <c r="A155" s="2" t="s">
        <v>353</v>
      </c>
      <c r="B155" s="2" t="s">
        <v>33</v>
      </c>
      <c r="C155" s="2" t="s">
        <v>354</v>
      </c>
      <c r="D155" s="3">
        <v>45261</v>
      </c>
      <c r="E155" s="3">
        <v>45901</v>
      </c>
      <c r="F155" s="2">
        <f>DATEDIF(D155,E155,"M")</f>
        <v>21</v>
      </c>
      <c r="G155" s="2" t="s">
        <v>429</v>
      </c>
      <c r="H155" s="2" t="s">
        <v>431</v>
      </c>
      <c r="I155" s="2">
        <v>16509456</v>
      </c>
      <c r="J155" s="2" t="s">
        <v>422</v>
      </c>
      <c r="K155" s="2" t="s">
        <v>25</v>
      </c>
      <c r="L155" s="2" t="str">
        <f>CONCATENATE(J155, " ",K155)</f>
        <v xml:space="preserve">PETER RICHTER             </v>
      </c>
      <c r="M155" s="2">
        <v>3.53</v>
      </c>
      <c r="N155" s="8">
        <v>0.1</v>
      </c>
      <c r="O155" s="2">
        <v>0.35</v>
      </c>
      <c r="P155" s="2" t="s">
        <v>435</v>
      </c>
    </row>
    <row r="156" spans="1:16" s="2" customFormat="1" x14ac:dyDescent="0.25">
      <c r="A156" s="2" t="s">
        <v>353</v>
      </c>
      <c r="B156" s="2" t="s">
        <v>33</v>
      </c>
      <c r="C156" s="2" t="s">
        <v>354</v>
      </c>
      <c r="D156" s="3">
        <v>45261</v>
      </c>
      <c r="E156" s="3">
        <v>45901</v>
      </c>
      <c r="F156" s="2">
        <f>DATEDIF(D156,E156,"M")</f>
        <v>21</v>
      </c>
      <c r="G156" s="2" t="s">
        <v>429</v>
      </c>
      <c r="H156" s="2" t="s">
        <v>431</v>
      </c>
      <c r="I156" s="2">
        <v>16509456</v>
      </c>
      <c r="J156" s="2" t="s">
        <v>422</v>
      </c>
      <c r="K156" s="2" t="s">
        <v>25</v>
      </c>
      <c r="L156" s="2" t="str">
        <f>CONCATENATE(J156, " ",K156)</f>
        <v xml:space="preserve">PETER RICHTER             </v>
      </c>
      <c r="M156" s="2">
        <v>24.86</v>
      </c>
      <c r="N156" s="8">
        <v>0.1</v>
      </c>
      <c r="O156" s="2">
        <v>2.4900000000000002</v>
      </c>
      <c r="P156" s="2" t="s">
        <v>435</v>
      </c>
    </row>
    <row r="157" spans="1:16" s="2" customFormat="1" x14ac:dyDescent="0.25">
      <c r="A157" s="2" t="s">
        <v>347</v>
      </c>
      <c r="B157" s="2" t="s">
        <v>33</v>
      </c>
      <c r="C157" s="2" t="s">
        <v>348</v>
      </c>
      <c r="D157" s="3">
        <v>45231</v>
      </c>
      <c r="E157" s="3">
        <v>45901</v>
      </c>
      <c r="F157" s="2">
        <f>DATEDIF(D157,E157,"M")</f>
        <v>22</v>
      </c>
      <c r="G157" s="2" t="s">
        <v>429</v>
      </c>
      <c r="H157" s="2" t="s">
        <v>431</v>
      </c>
      <c r="I157" s="2">
        <v>16509456</v>
      </c>
      <c r="J157" s="2" t="s">
        <v>422</v>
      </c>
      <c r="K157" s="2" t="s">
        <v>25</v>
      </c>
      <c r="L157" s="2" t="str">
        <f>CONCATENATE(J157, " ",K157)</f>
        <v xml:space="preserve">PETER RICHTER             </v>
      </c>
      <c r="M157" s="2">
        <v>21.06</v>
      </c>
      <c r="N157" s="8">
        <v>0.1</v>
      </c>
      <c r="O157" s="2">
        <v>2.11</v>
      </c>
      <c r="P157" s="2" t="s">
        <v>435</v>
      </c>
    </row>
    <row r="158" spans="1:16" s="2" customFormat="1" x14ac:dyDescent="0.25">
      <c r="A158" s="2" t="s">
        <v>347</v>
      </c>
      <c r="B158" s="2" t="s">
        <v>33</v>
      </c>
      <c r="C158" s="2" t="s">
        <v>348</v>
      </c>
      <c r="D158" s="3">
        <v>45231</v>
      </c>
      <c r="E158" s="3">
        <v>45901</v>
      </c>
      <c r="F158" s="2">
        <f>DATEDIF(D158,E158,"M")</f>
        <v>22</v>
      </c>
      <c r="G158" s="2" t="s">
        <v>429</v>
      </c>
      <c r="H158" s="2" t="s">
        <v>431</v>
      </c>
      <c r="I158" s="2">
        <v>16509456</v>
      </c>
      <c r="J158" s="2" t="s">
        <v>422</v>
      </c>
      <c r="K158" s="2" t="s">
        <v>25</v>
      </c>
      <c r="L158" s="2" t="str">
        <f>CONCATENATE(J158, " ",K158)</f>
        <v xml:space="preserve">PETER RICHTER             </v>
      </c>
      <c r="M158" s="2">
        <v>1.79</v>
      </c>
      <c r="N158" s="8">
        <v>0.1</v>
      </c>
      <c r="O158" s="2">
        <v>0.18</v>
      </c>
      <c r="P158" s="2" t="s">
        <v>435</v>
      </c>
    </row>
    <row r="159" spans="1:16" s="2" customFormat="1" x14ac:dyDescent="0.25">
      <c r="A159" s="2" t="s">
        <v>347</v>
      </c>
      <c r="B159" s="2" t="s">
        <v>33</v>
      </c>
      <c r="C159" s="2" t="s">
        <v>348</v>
      </c>
      <c r="D159" s="3">
        <v>45231</v>
      </c>
      <c r="E159" s="3">
        <v>45901</v>
      </c>
      <c r="F159" s="2">
        <f>DATEDIF(D159,E159,"M")</f>
        <v>22</v>
      </c>
      <c r="G159" s="2" t="s">
        <v>429</v>
      </c>
      <c r="H159" s="2" t="s">
        <v>431</v>
      </c>
      <c r="I159" s="2">
        <v>16509456</v>
      </c>
      <c r="J159" s="2" t="s">
        <v>422</v>
      </c>
      <c r="K159" s="2" t="s">
        <v>25</v>
      </c>
      <c r="L159" s="2" t="str">
        <f>CONCATENATE(J159, " ",K159)</f>
        <v xml:space="preserve">PETER RICHTER             </v>
      </c>
      <c r="M159" s="2">
        <v>12.94</v>
      </c>
      <c r="N159" s="8">
        <v>0.1</v>
      </c>
      <c r="O159" s="2">
        <v>1.29</v>
      </c>
      <c r="P159" s="2" t="s">
        <v>435</v>
      </c>
    </row>
    <row r="160" spans="1:16" s="2" customFormat="1" x14ac:dyDescent="0.25">
      <c r="A160" s="2" t="s">
        <v>347</v>
      </c>
      <c r="B160" s="2" t="s">
        <v>33</v>
      </c>
      <c r="C160" s="2" t="s">
        <v>348</v>
      </c>
      <c r="D160" s="3">
        <v>45231</v>
      </c>
      <c r="E160" s="3">
        <v>45901</v>
      </c>
      <c r="F160" s="2">
        <f>DATEDIF(D160,E160,"M")</f>
        <v>22</v>
      </c>
      <c r="G160" s="2" t="s">
        <v>429</v>
      </c>
      <c r="H160" s="2" t="s">
        <v>431</v>
      </c>
      <c r="I160" s="2">
        <v>16509456</v>
      </c>
      <c r="J160" s="2" t="s">
        <v>422</v>
      </c>
      <c r="K160" s="2" t="s">
        <v>25</v>
      </c>
      <c r="L160" s="2" t="str">
        <f>CONCATENATE(J160, " ",K160)</f>
        <v xml:space="preserve">PETER RICHTER             </v>
      </c>
      <c r="M160" s="2">
        <v>12.43</v>
      </c>
      <c r="N160" s="8">
        <v>0.1</v>
      </c>
      <c r="O160" s="2">
        <v>1.24</v>
      </c>
      <c r="P160" s="2" t="s">
        <v>435</v>
      </c>
    </row>
    <row r="161" spans="1:16" s="4" customFormat="1" x14ac:dyDescent="0.25">
      <c r="A161" s="4" t="s">
        <v>20</v>
      </c>
      <c r="B161" s="4" t="s">
        <v>21</v>
      </c>
      <c r="C161" s="4" t="s">
        <v>22</v>
      </c>
      <c r="D161" s="5">
        <v>45870</v>
      </c>
      <c r="E161" s="5">
        <v>45901</v>
      </c>
      <c r="F161" s="4">
        <f>DATEDIF(D161,E161,"M")</f>
        <v>1</v>
      </c>
      <c r="G161" s="4" t="s">
        <v>429</v>
      </c>
      <c r="H161" s="4" t="s">
        <v>431</v>
      </c>
      <c r="I161" s="4">
        <v>9079571</v>
      </c>
      <c r="J161" s="4" t="s">
        <v>419</v>
      </c>
      <c r="K161" s="4" t="s">
        <v>25</v>
      </c>
      <c r="L161" s="4" t="str">
        <f>CONCATENATE(J161, " ",K161)</f>
        <v xml:space="preserve">ADAM RICHTER             </v>
      </c>
      <c r="M161" s="4">
        <v>59.76</v>
      </c>
      <c r="N161" s="7">
        <v>0.75</v>
      </c>
      <c r="O161" s="4">
        <v>44.82</v>
      </c>
      <c r="P161" s="4" t="s">
        <v>436</v>
      </c>
    </row>
    <row r="162" spans="1:16" s="4" customFormat="1" x14ac:dyDescent="0.25">
      <c r="A162" s="4" t="s">
        <v>20</v>
      </c>
      <c r="B162" s="4" t="s">
        <v>21</v>
      </c>
      <c r="C162" s="4" t="s">
        <v>22</v>
      </c>
      <c r="D162" s="5">
        <v>45870</v>
      </c>
      <c r="E162" s="5">
        <v>45901</v>
      </c>
      <c r="F162" s="4">
        <f>DATEDIF(D162,E162,"M")</f>
        <v>1</v>
      </c>
      <c r="G162" s="4" t="s">
        <v>429</v>
      </c>
      <c r="H162" s="4" t="s">
        <v>431</v>
      </c>
      <c r="I162" s="4">
        <v>9079571</v>
      </c>
      <c r="J162" s="4" t="s">
        <v>419</v>
      </c>
      <c r="K162" s="4" t="s">
        <v>25</v>
      </c>
      <c r="L162" s="4" t="str">
        <f>CONCATENATE(J162, " ",K162)</f>
        <v xml:space="preserve">ADAM RICHTER             </v>
      </c>
      <c r="M162" s="4">
        <v>22.5</v>
      </c>
      <c r="N162" s="7">
        <v>0.75</v>
      </c>
      <c r="O162" s="4">
        <v>16.88</v>
      </c>
      <c r="P162" s="4" t="s">
        <v>436</v>
      </c>
    </row>
    <row r="163" spans="1:16" s="4" customFormat="1" x14ac:dyDescent="0.25">
      <c r="A163" s="4" t="s">
        <v>20</v>
      </c>
      <c r="B163" s="4" t="s">
        <v>21</v>
      </c>
      <c r="C163" s="4" t="s">
        <v>22</v>
      </c>
      <c r="D163" s="5">
        <v>45870</v>
      </c>
      <c r="E163" s="5">
        <v>45901</v>
      </c>
      <c r="F163" s="4">
        <f>DATEDIF(D163,E163,"M")</f>
        <v>1</v>
      </c>
      <c r="G163" s="4" t="s">
        <v>429</v>
      </c>
      <c r="H163" s="4" t="s">
        <v>431</v>
      </c>
      <c r="I163" s="4">
        <v>9079571</v>
      </c>
      <c r="J163" s="4" t="s">
        <v>419</v>
      </c>
      <c r="K163" s="4" t="s">
        <v>25</v>
      </c>
      <c r="L163" s="4" t="str">
        <f>CONCATENATE(J163, " ",K163)</f>
        <v xml:space="preserve">ADAM RICHTER             </v>
      </c>
      <c r="M163" s="4">
        <v>3.08</v>
      </c>
      <c r="N163" s="7">
        <v>0.75</v>
      </c>
      <c r="O163" s="4">
        <v>2.31</v>
      </c>
      <c r="P163" s="4" t="s">
        <v>436</v>
      </c>
    </row>
    <row r="164" spans="1:16" s="4" customFormat="1" x14ac:dyDescent="0.25">
      <c r="A164" s="4" t="s">
        <v>20</v>
      </c>
      <c r="B164" s="4" t="s">
        <v>21</v>
      </c>
      <c r="C164" s="4" t="s">
        <v>22</v>
      </c>
      <c r="D164" s="5">
        <v>45870</v>
      </c>
      <c r="E164" s="5">
        <v>45901</v>
      </c>
      <c r="F164" s="4">
        <f>DATEDIF(D164,E164,"M")</f>
        <v>1</v>
      </c>
      <c r="G164" s="4" t="s">
        <v>429</v>
      </c>
      <c r="H164" s="4" t="s">
        <v>431</v>
      </c>
      <c r="I164" s="4">
        <v>9079571</v>
      </c>
      <c r="J164" s="4" t="s">
        <v>419</v>
      </c>
      <c r="K164" s="4" t="s">
        <v>25</v>
      </c>
      <c r="L164" s="4" t="str">
        <f>CONCATENATE(J164, " ",K164)</f>
        <v xml:space="preserve">ADAM RICHTER             </v>
      </c>
      <c r="M164" s="4">
        <v>5.53</v>
      </c>
      <c r="N164" s="7">
        <v>0.75</v>
      </c>
      <c r="O164" s="4">
        <v>4.1500000000000004</v>
      </c>
      <c r="P164" s="4" t="s">
        <v>436</v>
      </c>
    </row>
    <row r="165" spans="1:16" s="4" customFormat="1" x14ac:dyDescent="0.25">
      <c r="A165" s="4" t="s">
        <v>32</v>
      </c>
      <c r="B165" s="4" t="s">
        <v>33</v>
      </c>
      <c r="C165" s="4" t="s">
        <v>34</v>
      </c>
      <c r="D165" s="5">
        <v>45870</v>
      </c>
      <c r="E165" s="5">
        <v>45901</v>
      </c>
      <c r="F165" s="4">
        <f>DATEDIF(D165,E165,"M")</f>
        <v>1</v>
      </c>
      <c r="G165" s="4" t="s">
        <v>429</v>
      </c>
      <c r="H165" s="4" t="s">
        <v>431</v>
      </c>
      <c r="I165" s="4">
        <v>9079571</v>
      </c>
      <c r="J165" s="4" t="s">
        <v>419</v>
      </c>
      <c r="K165" s="4" t="s">
        <v>25</v>
      </c>
      <c r="L165" s="4" t="str">
        <f>CONCATENATE(J165, " ",K165)</f>
        <v xml:space="preserve">ADAM RICHTER             </v>
      </c>
      <c r="M165" s="4">
        <v>70.84</v>
      </c>
      <c r="N165" s="7">
        <v>0.75</v>
      </c>
      <c r="O165" s="4">
        <v>53.13</v>
      </c>
      <c r="P165" s="4" t="s">
        <v>436</v>
      </c>
    </row>
    <row r="166" spans="1:16" s="4" customFormat="1" x14ac:dyDescent="0.25">
      <c r="A166" s="4" t="s">
        <v>32</v>
      </c>
      <c r="B166" s="4" t="s">
        <v>33</v>
      </c>
      <c r="C166" s="4" t="s">
        <v>34</v>
      </c>
      <c r="D166" s="5">
        <v>45870</v>
      </c>
      <c r="E166" s="5">
        <v>45901</v>
      </c>
      <c r="F166" s="4">
        <f>DATEDIF(D166,E166,"M")</f>
        <v>1</v>
      </c>
      <c r="G166" s="4" t="s">
        <v>429</v>
      </c>
      <c r="H166" s="4" t="s">
        <v>431</v>
      </c>
      <c r="I166" s="4">
        <v>9079571</v>
      </c>
      <c r="J166" s="4" t="s">
        <v>419</v>
      </c>
      <c r="K166" s="4" t="s">
        <v>25</v>
      </c>
      <c r="L166" s="4" t="str">
        <f>CONCATENATE(J166, " ",K166)</f>
        <v xml:space="preserve">ADAM RICHTER             </v>
      </c>
      <c r="M166" s="4">
        <v>17.7</v>
      </c>
      <c r="N166" s="7">
        <v>0.75</v>
      </c>
      <c r="O166" s="4">
        <v>13.28</v>
      </c>
      <c r="P166" s="4" t="s">
        <v>436</v>
      </c>
    </row>
    <row r="167" spans="1:16" s="4" customFormat="1" x14ac:dyDescent="0.25">
      <c r="A167" s="4" t="s">
        <v>32</v>
      </c>
      <c r="B167" s="4" t="s">
        <v>33</v>
      </c>
      <c r="C167" s="4" t="s">
        <v>34</v>
      </c>
      <c r="D167" s="5">
        <v>45870</v>
      </c>
      <c r="E167" s="5">
        <v>45901</v>
      </c>
      <c r="F167" s="4">
        <f>DATEDIF(D167,E167,"M")</f>
        <v>1</v>
      </c>
      <c r="G167" s="4" t="s">
        <v>429</v>
      </c>
      <c r="H167" s="4" t="s">
        <v>431</v>
      </c>
      <c r="I167" s="4">
        <v>9079571</v>
      </c>
      <c r="J167" s="4" t="s">
        <v>419</v>
      </c>
      <c r="K167" s="4" t="s">
        <v>25</v>
      </c>
      <c r="L167" s="4" t="str">
        <f>CONCATENATE(J167, " ",K167)</f>
        <v xml:space="preserve">ADAM RICHTER             </v>
      </c>
      <c r="M167" s="4">
        <v>3.08</v>
      </c>
      <c r="N167" s="7">
        <v>0.75</v>
      </c>
      <c r="O167" s="4">
        <v>2.31</v>
      </c>
      <c r="P167" s="4" t="s">
        <v>436</v>
      </c>
    </row>
    <row r="168" spans="1:16" s="4" customFormat="1" x14ac:dyDescent="0.25">
      <c r="A168" s="4" t="s">
        <v>110</v>
      </c>
      <c r="B168" s="4" t="s">
        <v>21</v>
      </c>
      <c r="C168" s="4" t="s">
        <v>111</v>
      </c>
      <c r="D168" s="5">
        <v>45839</v>
      </c>
      <c r="E168" s="5">
        <v>45901</v>
      </c>
      <c r="F168" s="4">
        <f>DATEDIF(D168,E168,"M")</f>
        <v>2</v>
      </c>
      <c r="G168" s="4" t="s">
        <v>429</v>
      </c>
      <c r="H168" s="4" t="s">
        <v>431</v>
      </c>
      <c r="I168" s="4">
        <v>9079571</v>
      </c>
      <c r="J168" s="4" t="s">
        <v>419</v>
      </c>
      <c r="K168" s="4" t="s">
        <v>25</v>
      </c>
      <c r="L168" s="4" t="str">
        <f>CONCATENATE(J168, " ",K168)</f>
        <v xml:space="preserve">ADAM RICHTER             </v>
      </c>
      <c r="M168" s="4">
        <v>40.950000000000003</v>
      </c>
      <c r="N168" s="7">
        <v>0.65</v>
      </c>
      <c r="O168" s="4">
        <v>26.62</v>
      </c>
      <c r="P168" s="4" t="s">
        <v>435</v>
      </c>
    </row>
    <row r="169" spans="1:16" s="4" customFormat="1" x14ac:dyDescent="0.25">
      <c r="A169" s="4" t="s">
        <v>110</v>
      </c>
      <c r="B169" s="4" t="s">
        <v>21</v>
      </c>
      <c r="C169" s="4" t="s">
        <v>111</v>
      </c>
      <c r="D169" s="5">
        <v>45839</v>
      </c>
      <c r="E169" s="5">
        <v>45901</v>
      </c>
      <c r="F169" s="4">
        <f>DATEDIF(D169,E169,"M")</f>
        <v>2</v>
      </c>
      <c r="G169" s="4" t="s">
        <v>429</v>
      </c>
      <c r="H169" s="4" t="s">
        <v>431</v>
      </c>
      <c r="I169" s="4">
        <v>9079571</v>
      </c>
      <c r="J169" s="4" t="s">
        <v>419</v>
      </c>
      <c r="K169" s="4" t="s">
        <v>25</v>
      </c>
      <c r="L169" s="4" t="str">
        <f>CONCATENATE(J169, " ",K169)</f>
        <v xml:space="preserve">ADAM RICHTER             </v>
      </c>
      <c r="M169" s="4">
        <v>11.3</v>
      </c>
      <c r="N169" s="7">
        <v>0.65</v>
      </c>
      <c r="O169" s="4">
        <v>7.35</v>
      </c>
      <c r="P169" s="4" t="s">
        <v>435</v>
      </c>
    </row>
    <row r="170" spans="1:16" s="4" customFormat="1" x14ac:dyDescent="0.25">
      <c r="A170" s="4" t="s">
        <v>110</v>
      </c>
      <c r="B170" s="4" t="s">
        <v>21</v>
      </c>
      <c r="C170" s="4" t="s">
        <v>111</v>
      </c>
      <c r="D170" s="5">
        <v>45839</v>
      </c>
      <c r="E170" s="5">
        <v>45901</v>
      </c>
      <c r="F170" s="4">
        <f>DATEDIF(D170,E170,"M")</f>
        <v>2</v>
      </c>
      <c r="G170" s="4" t="s">
        <v>429</v>
      </c>
      <c r="H170" s="4" t="s">
        <v>431</v>
      </c>
      <c r="I170" s="4">
        <v>9079571</v>
      </c>
      <c r="J170" s="4" t="s">
        <v>419</v>
      </c>
      <c r="K170" s="4" t="s">
        <v>25</v>
      </c>
      <c r="L170" s="4" t="str">
        <f>CONCATENATE(J170, " ",K170)</f>
        <v xml:space="preserve">ADAM RICHTER             </v>
      </c>
      <c r="M170" s="4">
        <v>1.68</v>
      </c>
      <c r="N170" s="7">
        <v>0.65</v>
      </c>
      <c r="O170" s="4">
        <v>1.0900000000000001</v>
      </c>
      <c r="P170" s="4" t="s">
        <v>435</v>
      </c>
    </row>
    <row r="171" spans="1:16" s="4" customFormat="1" x14ac:dyDescent="0.25">
      <c r="A171" s="4" t="s">
        <v>102</v>
      </c>
      <c r="B171" s="4" t="s">
        <v>21</v>
      </c>
      <c r="C171" s="4" t="s">
        <v>103</v>
      </c>
      <c r="D171" s="5">
        <v>45778</v>
      </c>
      <c r="E171" s="5">
        <v>45901</v>
      </c>
      <c r="F171" s="4">
        <f>DATEDIF(D171,E171,"M")</f>
        <v>4</v>
      </c>
      <c r="G171" s="4" t="s">
        <v>429</v>
      </c>
      <c r="H171" s="4" t="s">
        <v>431</v>
      </c>
      <c r="I171" s="4">
        <v>9079571</v>
      </c>
      <c r="J171" s="4" t="s">
        <v>419</v>
      </c>
      <c r="K171" s="4" t="s">
        <v>25</v>
      </c>
      <c r="L171" s="4" t="str">
        <f>CONCATENATE(J171, " ",K171)</f>
        <v xml:space="preserve">ADAM RICHTER             </v>
      </c>
      <c r="M171" s="4">
        <v>19.2</v>
      </c>
      <c r="N171" s="7">
        <v>0.65</v>
      </c>
      <c r="O171" s="4">
        <v>12.48</v>
      </c>
      <c r="P171" s="4" t="s">
        <v>435</v>
      </c>
    </row>
    <row r="172" spans="1:16" s="4" customFormat="1" x14ac:dyDescent="0.25">
      <c r="A172" s="4" t="s">
        <v>102</v>
      </c>
      <c r="B172" s="4" t="s">
        <v>21</v>
      </c>
      <c r="C172" s="4" t="s">
        <v>103</v>
      </c>
      <c r="D172" s="5">
        <v>45778</v>
      </c>
      <c r="E172" s="5">
        <v>45901</v>
      </c>
      <c r="F172" s="4">
        <f>DATEDIF(D172,E172,"M")</f>
        <v>4</v>
      </c>
      <c r="G172" s="4" t="s">
        <v>429</v>
      </c>
      <c r="H172" s="4" t="s">
        <v>431</v>
      </c>
      <c r="I172" s="4">
        <v>9079571</v>
      </c>
      <c r="J172" s="4" t="s">
        <v>419</v>
      </c>
      <c r="K172" s="4" t="s">
        <v>25</v>
      </c>
      <c r="L172" s="4" t="str">
        <f>CONCATENATE(J172, " ",K172)</f>
        <v xml:space="preserve">ADAM RICHTER             </v>
      </c>
      <c r="M172" s="4">
        <v>5.65</v>
      </c>
      <c r="N172" s="7">
        <v>0.65</v>
      </c>
      <c r="O172" s="4">
        <v>3.67</v>
      </c>
      <c r="P172" s="4" t="s">
        <v>435</v>
      </c>
    </row>
    <row r="173" spans="1:16" s="4" customFormat="1" x14ac:dyDescent="0.25">
      <c r="A173" s="4" t="s">
        <v>102</v>
      </c>
      <c r="B173" s="4" t="s">
        <v>21</v>
      </c>
      <c r="C173" s="4" t="s">
        <v>103</v>
      </c>
      <c r="D173" s="5">
        <v>45778</v>
      </c>
      <c r="E173" s="5">
        <v>45901</v>
      </c>
      <c r="F173" s="4">
        <f>DATEDIF(D173,E173,"M")</f>
        <v>4</v>
      </c>
      <c r="G173" s="4" t="s">
        <v>429</v>
      </c>
      <c r="H173" s="4" t="s">
        <v>431</v>
      </c>
      <c r="I173" s="4">
        <v>9079571</v>
      </c>
      <c r="J173" s="4" t="s">
        <v>419</v>
      </c>
      <c r="K173" s="4" t="s">
        <v>25</v>
      </c>
      <c r="L173" s="4" t="str">
        <f>CONCATENATE(J173, " ",K173)</f>
        <v xml:space="preserve">ADAM RICHTER             </v>
      </c>
      <c r="M173" s="4">
        <v>0.97</v>
      </c>
      <c r="N173" s="7">
        <v>0.65</v>
      </c>
      <c r="O173" s="4">
        <v>0.63</v>
      </c>
      <c r="P173" s="4" t="s">
        <v>435</v>
      </c>
    </row>
    <row r="174" spans="1:16" s="4" customFormat="1" x14ac:dyDescent="0.25">
      <c r="A174" s="4" t="s">
        <v>102</v>
      </c>
      <c r="B174" s="4" t="s">
        <v>21</v>
      </c>
      <c r="C174" s="4" t="s">
        <v>103</v>
      </c>
      <c r="D174" s="5">
        <v>45778</v>
      </c>
      <c r="E174" s="5">
        <v>45901</v>
      </c>
      <c r="F174" s="4">
        <f>DATEDIF(D174,E174,"M")</f>
        <v>4</v>
      </c>
      <c r="G174" s="4" t="s">
        <v>429</v>
      </c>
      <c r="H174" s="4" t="s">
        <v>431</v>
      </c>
      <c r="I174" s="4">
        <v>9079571</v>
      </c>
      <c r="J174" s="4" t="s">
        <v>419</v>
      </c>
      <c r="K174" s="4" t="s">
        <v>25</v>
      </c>
      <c r="L174" s="4" t="str">
        <f>CONCATENATE(J174, " ",K174)</f>
        <v xml:space="preserve">ADAM RICHTER             </v>
      </c>
      <c r="M174" s="4">
        <v>6.55</v>
      </c>
      <c r="N174" s="7">
        <v>0.65</v>
      </c>
      <c r="O174" s="4">
        <v>4.26</v>
      </c>
      <c r="P174" s="4" t="s">
        <v>435</v>
      </c>
    </row>
    <row r="175" spans="1:16" s="4" customFormat="1" x14ac:dyDescent="0.25">
      <c r="A175" s="4" t="s">
        <v>102</v>
      </c>
      <c r="B175" s="4" t="s">
        <v>21</v>
      </c>
      <c r="C175" s="4" t="s">
        <v>103</v>
      </c>
      <c r="D175" s="5">
        <v>45778</v>
      </c>
      <c r="E175" s="5">
        <v>45901</v>
      </c>
      <c r="F175" s="4">
        <f>DATEDIF(D175,E175,"M")</f>
        <v>4</v>
      </c>
      <c r="G175" s="4" t="s">
        <v>429</v>
      </c>
      <c r="H175" s="4" t="s">
        <v>431</v>
      </c>
      <c r="I175" s="4">
        <v>9079571</v>
      </c>
      <c r="J175" s="4" t="s">
        <v>419</v>
      </c>
      <c r="K175" s="4" t="s">
        <v>25</v>
      </c>
      <c r="L175" s="4" t="str">
        <f>CONCATENATE(J175, " ",K175)</f>
        <v xml:space="preserve">ADAM RICHTER             </v>
      </c>
      <c r="M175" s="4">
        <v>16.38</v>
      </c>
      <c r="N175" s="7">
        <v>0.65</v>
      </c>
      <c r="O175" s="4">
        <v>10.65</v>
      </c>
      <c r="P175" s="4" t="s">
        <v>435</v>
      </c>
    </row>
    <row r="176" spans="1:16" s="4" customFormat="1" x14ac:dyDescent="0.25">
      <c r="A176" s="4" t="s">
        <v>102</v>
      </c>
      <c r="B176" s="4" t="s">
        <v>21</v>
      </c>
      <c r="C176" s="4" t="s">
        <v>103</v>
      </c>
      <c r="D176" s="5">
        <v>45778</v>
      </c>
      <c r="E176" s="5">
        <v>45901</v>
      </c>
      <c r="F176" s="4">
        <f>DATEDIF(D176,E176,"M")</f>
        <v>4</v>
      </c>
      <c r="G176" s="4" t="s">
        <v>429</v>
      </c>
      <c r="H176" s="4" t="s">
        <v>431</v>
      </c>
      <c r="I176" s="4">
        <v>9079571</v>
      </c>
      <c r="J176" s="4" t="s">
        <v>419</v>
      </c>
      <c r="K176" s="4" t="s">
        <v>25</v>
      </c>
      <c r="L176" s="4" t="str">
        <f>CONCATENATE(J176, " ",K176)</f>
        <v xml:space="preserve">ADAM RICHTER             </v>
      </c>
      <c r="M176" s="4">
        <v>1.68</v>
      </c>
      <c r="N176" s="7">
        <v>0.65</v>
      </c>
      <c r="O176" s="4">
        <v>1.0900000000000001</v>
      </c>
      <c r="P176" s="4" t="s">
        <v>435</v>
      </c>
    </row>
    <row r="177" spans="1:16" s="4" customFormat="1" x14ac:dyDescent="0.25">
      <c r="A177" s="4" t="s">
        <v>100</v>
      </c>
      <c r="B177" s="4" t="s">
        <v>21</v>
      </c>
      <c r="C177" s="4" t="s">
        <v>101</v>
      </c>
      <c r="D177" s="5">
        <v>45778</v>
      </c>
      <c r="E177" s="5">
        <v>45901</v>
      </c>
      <c r="F177" s="4">
        <f>DATEDIF(D177,E177,"M")</f>
        <v>4</v>
      </c>
      <c r="G177" s="4" t="s">
        <v>429</v>
      </c>
      <c r="H177" s="4" t="s">
        <v>431</v>
      </c>
      <c r="I177" s="4">
        <v>9079571</v>
      </c>
      <c r="J177" s="4" t="s">
        <v>419</v>
      </c>
      <c r="K177" s="4" t="s">
        <v>25</v>
      </c>
      <c r="L177" s="4" t="str">
        <f>CONCATENATE(J177, " ",K177)</f>
        <v xml:space="preserve">ADAM RICHTER             </v>
      </c>
      <c r="M177" s="4">
        <v>38.840000000000003</v>
      </c>
      <c r="N177" s="7">
        <v>0.75</v>
      </c>
      <c r="O177" s="4">
        <v>29.13</v>
      </c>
      <c r="P177" s="4" t="s">
        <v>436</v>
      </c>
    </row>
    <row r="178" spans="1:16" s="4" customFormat="1" x14ac:dyDescent="0.25">
      <c r="A178" s="4" t="s">
        <v>100</v>
      </c>
      <c r="B178" s="4" t="s">
        <v>21</v>
      </c>
      <c r="C178" s="4" t="s">
        <v>101</v>
      </c>
      <c r="D178" s="5">
        <v>45778</v>
      </c>
      <c r="E178" s="5">
        <v>45901</v>
      </c>
      <c r="F178" s="4">
        <f>DATEDIF(D178,E178,"M")</f>
        <v>4</v>
      </c>
      <c r="G178" s="4" t="s">
        <v>429</v>
      </c>
      <c r="H178" s="4" t="s">
        <v>431</v>
      </c>
      <c r="I178" s="4">
        <v>9079571</v>
      </c>
      <c r="J178" s="4" t="s">
        <v>419</v>
      </c>
      <c r="K178" s="4" t="s">
        <v>25</v>
      </c>
      <c r="L178" s="4" t="str">
        <f>CONCATENATE(J178, " ",K178)</f>
        <v xml:space="preserve">ADAM RICHTER             </v>
      </c>
      <c r="M178" s="4">
        <v>15</v>
      </c>
      <c r="N178" s="7">
        <v>0.75</v>
      </c>
      <c r="O178" s="4">
        <v>11.25</v>
      </c>
      <c r="P178" s="4" t="s">
        <v>436</v>
      </c>
    </row>
    <row r="179" spans="1:16" s="4" customFormat="1" x14ac:dyDescent="0.25">
      <c r="A179" s="4" t="s">
        <v>100</v>
      </c>
      <c r="B179" s="4" t="s">
        <v>21</v>
      </c>
      <c r="C179" s="4" t="s">
        <v>101</v>
      </c>
      <c r="D179" s="5">
        <v>45778</v>
      </c>
      <c r="E179" s="5">
        <v>45901</v>
      </c>
      <c r="F179" s="4">
        <f>DATEDIF(D179,E179,"M")</f>
        <v>4</v>
      </c>
      <c r="G179" s="4" t="s">
        <v>429</v>
      </c>
      <c r="H179" s="4" t="s">
        <v>431</v>
      </c>
      <c r="I179" s="4">
        <v>9079571</v>
      </c>
      <c r="J179" s="4" t="s">
        <v>419</v>
      </c>
      <c r="K179" s="4" t="s">
        <v>25</v>
      </c>
      <c r="L179" s="4" t="str">
        <f>CONCATENATE(J179, " ",K179)</f>
        <v xml:space="preserve">ADAM RICHTER             </v>
      </c>
      <c r="M179" s="4">
        <v>5.53</v>
      </c>
      <c r="N179" s="7">
        <v>0.75</v>
      </c>
      <c r="O179" s="4">
        <v>4.1500000000000004</v>
      </c>
      <c r="P179" s="4" t="s">
        <v>436</v>
      </c>
    </row>
    <row r="180" spans="1:16" s="4" customFormat="1" x14ac:dyDescent="0.25">
      <c r="A180" s="4" t="s">
        <v>100</v>
      </c>
      <c r="B180" s="4" t="s">
        <v>21</v>
      </c>
      <c r="C180" s="4" t="s">
        <v>101</v>
      </c>
      <c r="D180" s="5">
        <v>45778</v>
      </c>
      <c r="E180" s="5">
        <v>45901</v>
      </c>
      <c r="F180" s="4">
        <f>DATEDIF(D180,E180,"M")</f>
        <v>4</v>
      </c>
      <c r="G180" s="4" t="s">
        <v>429</v>
      </c>
      <c r="H180" s="4" t="s">
        <v>431</v>
      </c>
      <c r="I180" s="4">
        <v>9079571</v>
      </c>
      <c r="J180" s="4" t="s">
        <v>419</v>
      </c>
      <c r="K180" s="4" t="s">
        <v>25</v>
      </c>
      <c r="L180" s="4" t="str">
        <f>CONCATENATE(J180, " ",K180)</f>
        <v xml:space="preserve">ADAM RICHTER             </v>
      </c>
      <c r="M180" s="4">
        <v>3.08</v>
      </c>
      <c r="N180" s="7">
        <v>0.75</v>
      </c>
      <c r="O180" s="4">
        <v>2.31</v>
      </c>
      <c r="P180" s="4" t="s">
        <v>436</v>
      </c>
    </row>
    <row r="181" spans="1:16" s="4" customFormat="1" x14ac:dyDescent="0.25">
      <c r="A181" s="4" t="s">
        <v>104</v>
      </c>
      <c r="B181" s="4" t="s">
        <v>21</v>
      </c>
      <c r="C181" s="4" t="s">
        <v>105</v>
      </c>
      <c r="D181" s="5">
        <v>45783</v>
      </c>
      <c r="E181" s="5">
        <v>45906</v>
      </c>
      <c r="F181" s="4">
        <f>DATEDIF(D181,E181,"M")</f>
        <v>4</v>
      </c>
      <c r="G181" s="4" t="s">
        <v>429</v>
      </c>
      <c r="H181" s="4" t="s">
        <v>431</v>
      </c>
      <c r="I181" s="4">
        <v>9079571</v>
      </c>
      <c r="J181" s="4" t="s">
        <v>419</v>
      </c>
      <c r="K181" s="4" t="s">
        <v>25</v>
      </c>
      <c r="L181" s="4" t="str">
        <f>CONCATENATE(J181, " ",K181)</f>
        <v xml:space="preserve">ADAM RICHTER             </v>
      </c>
      <c r="M181" s="4">
        <v>70.84</v>
      </c>
      <c r="N181" s="7">
        <v>0.75</v>
      </c>
      <c r="O181" s="4">
        <v>53.13</v>
      </c>
      <c r="P181" s="4" t="s">
        <v>436</v>
      </c>
    </row>
    <row r="182" spans="1:16" s="4" customFormat="1" x14ac:dyDescent="0.25">
      <c r="A182" s="4" t="s">
        <v>104</v>
      </c>
      <c r="B182" s="4" t="s">
        <v>21</v>
      </c>
      <c r="C182" s="4" t="s">
        <v>105</v>
      </c>
      <c r="D182" s="5">
        <v>45783</v>
      </c>
      <c r="E182" s="5">
        <v>45906</v>
      </c>
      <c r="F182" s="4">
        <f>DATEDIF(D182,E182,"M")</f>
        <v>4</v>
      </c>
      <c r="G182" s="4" t="s">
        <v>429</v>
      </c>
      <c r="H182" s="4" t="s">
        <v>431</v>
      </c>
      <c r="I182" s="4">
        <v>9079571</v>
      </c>
      <c r="J182" s="4" t="s">
        <v>419</v>
      </c>
      <c r="K182" s="4" t="s">
        <v>25</v>
      </c>
      <c r="L182" s="4" t="str">
        <f>CONCATENATE(J182, " ",K182)</f>
        <v xml:space="preserve">ADAM RICHTER             </v>
      </c>
      <c r="M182" s="4">
        <v>24.37</v>
      </c>
      <c r="N182" s="7">
        <v>0.75</v>
      </c>
      <c r="O182" s="4">
        <v>18.28</v>
      </c>
      <c r="P182" s="4" t="s">
        <v>436</v>
      </c>
    </row>
    <row r="183" spans="1:16" s="4" customFormat="1" x14ac:dyDescent="0.25">
      <c r="A183" s="4" t="s">
        <v>104</v>
      </c>
      <c r="B183" s="4" t="s">
        <v>21</v>
      </c>
      <c r="C183" s="4" t="s">
        <v>105</v>
      </c>
      <c r="D183" s="5">
        <v>45783</v>
      </c>
      <c r="E183" s="5">
        <v>45906</v>
      </c>
      <c r="F183" s="4">
        <f>DATEDIF(D183,E183,"M")</f>
        <v>4</v>
      </c>
      <c r="G183" s="4" t="s">
        <v>429</v>
      </c>
      <c r="H183" s="4" t="s">
        <v>431</v>
      </c>
      <c r="I183" s="4">
        <v>9079571</v>
      </c>
      <c r="J183" s="4" t="s">
        <v>419</v>
      </c>
      <c r="K183" s="4" t="s">
        <v>25</v>
      </c>
      <c r="L183" s="4" t="str">
        <f>CONCATENATE(J183, " ",K183)</f>
        <v xml:space="preserve">ADAM RICHTER             </v>
      </c>
      <c r="M183" s="4">
        <v>3.08</v>
      </c>
      <c r="N183" s="7">
        <v>0.75</v>
      </c>
      <c r="O183" s="4">
        <v>2.31</v>
      </c>
      <c r="P183" s="4" t="s">
        <v>436</v>
      </c>
    </row>
    <row r="184" spans="1:16" s="4" customFormat="1" x14ac:dyDescent="0.25">
      <c r="A184" s="4" t="s">
        <v>104</v>
      </c>
      <c r="B184" s="4" t="s">
        <v>21</v>
      </c>
      <c r="C184" s="4" t="s">
        <v>105</v>
      </c>
      <c r="D184" s="5">
        <v>45783</v>
      </c>
      <c r="E184" s="5">
        <v>45906</v>
      </c>
      <c r="F184" s="4">
        <f>DATEDIF(D184,E184,"M")</f>
        <v>4</v>
      </c>
      <c r="G184" s="4" t="s">
        <v>429</v>
      </c>
      <c r="H184" s="4" t="s">
        <v>431</v>
      </c>
      <c r="I184" s="4">
        <v>9079571</v>
      </c>
      <c r="J184" s="4" t="s">
        <v>419</v>
      </c>
      <c r="K184" s="4" t="s">
        <v>25</v>
      </c>
      <c r="L184" s="4" t="str">
        <f>CONCATENATE(J184, " ",K184)</f>
        <v xml:space="preserve">ADAM RICHTER             </v>
      </c>
      <c r="M184" s="4">
        <v>5.94</v>
      </c>
      <c r="N184" s="7">
        <v>0.75</v>
      </c>
      <c r="O184" s="4">
        <v>4.46</v>
      </c>
      <c r="P184" s="4" t="s">
        <v>436</v>
      </c>
    </row>
    <row r="185" spans="1:16" s="4" customFormat="1" x14ac:dyDescent="0.25">
      <c r="A185" s="4" t="s">
        <v>106</v>
      </c>
      <c r="B185" s="4" t="s">
        <v>21</v>
      </c>
      <c r="C185" s="4" t="s">
        <v>107</v>
      </c>
      <c r="D185" s="5">
        <v>45785</v>
      </c>
      <c r="E185" s="5">
        <v>45908</v>
      </c>
      <c r="F185" s="4">
        <f>DATEDIF(D185,E185,"M")</f>
        <v>4</v>
      </c>
      <c r="G185" s="4" t="s">
        <v>429</v>
      </c>
      <c r="H185" s="4" t="s">
        <v>431</v>
      </c>
      <c r="I185" s="4">
        <v>9079571</v>
      </c>
      <c r="J185" s="4" t="s">
        <v>419</v>
      </c>
      <c r="K185" s="4" t="s">
        <v>25</v>
      </c>
      <c r="L185" s="4" t="str">
        <f>CONCATENATE(J185, " ",K185)</f>
        <v xml:space="preserve">ADAM RICHTER             </v>
      </c>
      <c r="M185" s="4">
        <v>97.76</v>
      </c>
      <c r="N185" s="7">
        <v>0.75</v>
      </c>
      <c r="O185" s="4">
        <v>73.319999999999993</v>
      </c>
      <c r="P185" s="4" t="s">
        <v>436</v>
      </c>
    </row>
    <row r="186" spans="1:16" s="4" customFormat="1" x14ac:dyDescent="0.25">
      <c r="A186" s="4" t="s">
        <v>106</v>
      </c>
      <c r="B186" s="4" t="s">
        <v>21</v>
      </c>
      <c r="C186" s="4" t="s">
        <v>107</v>
      </c>
      <c r="D186" s="5">
        <v>45785</v>
      </c>
      <c r="E186" s="5">
        <v>45908</v>
      </c>
      <c r="F186" s="4">
        <f>DATEDIF(D186,E186,"M")</f>
        <v>4</v>
      </c>
      <c r="G186" s="4" t="s">
        <v>429</v>
      </c>
      <c r="H186" s="4" t="s">
        <v>431</v>
      </c>
      <c r="I186" s="4">
        <v>9079571</v>
      </c>
      <c r="J186" s="4" t="s">
        <v>419</v>
      </c>
      <c r="K186" s="4" t="s">
        <v>25</v>
      </c>
      <c r="L186" s="4" t="str">
        <f>CONCATENATE(J186, " ",K186)</f>
        <v xml:space="preserve">ADAM RICHTER             </v>
      </c>
      <c r="M186" s="4">
        <v>29.35</v>
      </c>
      <c r="N186" s="7">
        <v>0.75</v>
      </c>
      <c r="O186" s="4">
        <v>22.01</v>
      </c>
      <c r="P186" s="4" t="s">
        <v>436</v>
      </c>
    </row>
    <row r="187" spans="1:16" s="4" customFormat="1" x14ac:dyDescent="0.25">
      <c r="A187" s="4" t="s">
        <v>106</v>
      </c>
      <c r="B187" s="4" t="s">
        <v>21</v>
      </c>
      <c r="C187" s="4" t="s">
        <v>107</v>
      </c>
      <c r="D187" s="5">
        <v>45785</v>
      </c>
      <c r="E187" s="5">
        <v>45908</v>
      </c>
      <c r="F187" s="4">
        <f>DATEDIF(D187,E187,"M")</f>
        <v>4</v>
      </c>
      <c r="G187" s="4" t="s">
        <v>429</v>
      </c>
      <c r="H187" s="4" t="s">
        <v>431</v>
      </c>
      <c r="I187" s="4">
        <v>9079571</v>
      </c>
      <c r="J187" s="4" t="s">
        <v>419</v>
      </c>
      <c r="K187" s="4" t="s">
        <v>25</v>
      </c>
      <c r="L187" s="4" t="str">
        <f>CONCATENATE(J187, " ",K187)</f>
        <v xml:space="preserve">ADAM RICHTER             </v>
      </c>
      <c r="M187" s="4">
        <v>11.4</v>
      </c>
      <c r="N187" s="7">
        <v>0.75</v>
      </c>
      <c r="O187" s="4">
        <v>8.5500000000000007</v>
      </c>
      <c r="P187" s="4" t="s">
        <v>436</v>
      </c>
    </row>
    <row r="188" spans="1:16" s="4" customFormat="1" x14ac:dyDescent="0.25">
      <c r="A188" s="4" t="s">
        <v>106</v>
      </c>
      <c r="B188" s="4" t="s">
        <v>21</v>
      </c>
      <c r="C188" s="4" t="s">
        <v>107</v>
      </c>
      <c r="D188" s="5">
        <v>45785</v>
      </c>
      <c r="E188" s="5">
        <v>45908</v>
      </c>
      <c r="F188" s="4">
        <f>DATEDIF(D188,E188,"M")</f>
        <v>4</v>
      </c>
      <c r="G188" s="4" t="s">
        <v>429</v>
      </c>
      <c r="H188" s="4" t="s">
        <v>431</v>
      </c>
      <c r="I188" s="4">
        <v>9079571</v>
      </c>
      <c r="J188" s="4" t="s">
        <v>419</v>
      </c>
      <c r="K188" s="4" t="s">
        <v>25</v>
      </c>
      <c r="L188" s="4" t="str">
        <f>CONCATENATE(J188, " ",K188)</f>
        <v xml:space="preserve">ADAM RICHTER             </v>
      </c>
      <c r="M188" s="4">
        <v>4.83</v>
      </c>
      <c r="N188" s="7">
        <v>0.75</v>
      </c>
      <c r="O188" s="4">
        <v>3.62</v>
      </c>
      <c r="P188" s="4" t="s">
        <v>436</v>
      </c>
    </row>
    <row r="189" spans="1:16" s="4" customFormat="1" x14ac:dyDescent="0.25">
      <c r="A189" s="4" t="s">
        <v>108</v>
      </c>
      <c r="B189" s="4" t="s">
        <v>21</v>
      </c>
      <c r="C189" s="4" t="s">
        <v>109</v>
      </c>
      <c r="D189" s="5">
        <v>45785</v>
      </c>
      <c r="E189" s="5">
        <v>45908</v>
      </c>
      <c r="F189" s="4">
        <f>DATEDIF(D189,E189,"M")</f>
        <v>4</v>
      </c>
      <c r="G189" s="4" t="s">
        <v>429</v>
      </c>
      <c r="H189" s="4" t="s">
        <v>431</v>
      </c>
      <c r="I189" s="4">
        <v>9079571</v>
      </c>
      <c r="J189" s="4" t="s">
        <v>419</v>
      </c>
      <c r="K189" s="4" t="s">
        <v>25</v>
      </c>
      <c r="L189" s="4" t="str">
        <f>CONCATENATE(J189, " ",K189)</f>
        <v xml:space="preserve">ADAM RICHTER             </v>
      </c>
      <c r="M189" s="4">
        <v>59.76</v>
      </c>
      <c r="N189" s="7">
        <v>0.75</v>
      </c>
      <c r="O189" s="4">
        <v>44.82</v>
      </c>
      <c r="P189" s="4" t="s">
        <v>436</v>
      </c>
    </row>
    <row r="190" spans="1:16" s="4" customFormat="1" x14ac:dyDescent="0.25">
      <c r="A190" s="4" t="s">
        <v>108</v>
      </c>
      <c r="B190" s="4" t="s">
        <v>21</v>
      </c>
      <c r="C190" s="4" t="s">
        <v>109</v>
      </c>
      <c r="D190" s="5">
        <v>45785</v>
      </c>
      <c r="E190" s="5">
        <v>45908</v>
      </c>
      <c r="F190" s="4">
        <f>DATEDIF(D190,E190,"M")</f>
        <v>4</v>
      </c>
      <c r="G190" s="4" t="s">
        <v>429</v>
      </c>
      <c r="H190" s="4" t="s">
        <v>431</v>
      </c>
      <c r="I190" s="4">
        <v>9079571</v>
      </c>
      <c r="J190" s="4" t="s">
        <v>419</v>
      </c>
      <c r="K190" s="4" t="s">
        <v>25</v>
      </c>
      <c r="L190" s="4" t="str">
        <f>CONCATENATE(J190, " ",K190)</f>
        <v xml:space="preserve">ADAM RICHTER             </v>
      </c>
      <c r="M190" s="4">
        <v>5.53</v>
      </c>
      <c r="N190" s="7">
        <v>0.75</v>
      </c>
      <c r="O190" s="4">
        <v>4.1500000000000004</v>
      </c>
      <c r="P190" s="4" t="s">
        <v>436</v>
      </c>
    </row>
    <row r="191" spans="1:16" s="4" customFormat="1" x14ac:dyDescent="0.25">
      <c r="A191" s="4" t="s">
        <v>108</v>
      </c>
      <c r="B191" s="4" t="s">
        <v>21</v>
      </c>
      <c r="C191" s="4" t="s">
        <v>109</v>
      </c>
      <c r="D191" s="5">
        <v>45785</v>
      </c>
      <c r="E191" s="5">
        <v>45908</v>
      </c>
      <c r="F191" s="4">
        <f>DATEDIF(D191,E191,"M")</f>
        <v>4</v>
      </c>
      <c r="G191" s="4" t="s">
        <v>429</v>
      </c>
      <c r="H191" s="4" t="s">
        <v>431</v>
      </c>
      <c r="I191" s="4">
        <v>9079571</v>
      </c>
      <c r="J191" s="4" t="s">
        <v>419</v>
      </c>
      <c r="K191" s="4" t="s">
        <v>25</v>
      </c>
      <c r="L191" s="4" t="str">
        <f>CONCATENATE(J191, " ",K191)</f>
        <v xml:space="preserve">ADAM RICHTER             </v>
      </c>
      <c r="M191" s="4">
        <v>22.5</v>
      </c>
      <c r="N191" s="7">
        <v>0.75</v>
      </c>
      <c r="O191" s="4">
        <v>16.88</v>
      </c>
      <c r="P191" s="4" t="s">
        <v>436</v>
      </c>
    </row>
    <row r="192" spans="1:16" s="4" customFormat="1" x14ac:dyDescent="0.25">
      <c r="A192" s="4" t="s">
        <v>108</v>
      </c>
      <c r="B192" s="4" t="s">
        <v>21</v>
      </c>
      <c r="C192" s="4" t="s">
        <v>109</v>
      </c>
      <c r="D192" s="5">
        <v>45785</v>
      </c>
      <c r="E192" s="5">
        <v>45908</v>
      </c>
      <c r="F192" s="4">
        <f>DATEDIF(D192,E192,"M")</f>
        <v>4</v>
      </c>
      <c r="G192" s="4" t="s">
        <v>429</v>
      </c>
      <c r="H192" s="4" t="s">
        <v>431</v>
      </c>
      <c r="I192" s="4">
        <v>9079571</v>
      </c>
      <c r="J192" s="4" t="s">
        <v>419</v>
      </c>
      <c r="K192" s="4" t="s">
        <v>25</v>
      </c>
      <c r="L192" s="4" t="str">
        <f>CONCATENATE(J192, " ",K192)</f>
        <v xml:space="preserve">ADAM RICHTER             </v>
      </c>
      <c r="M192" s="4">
        <v>3.08</v>
      </c>
      <c r="N192" s="7">
        <v>0.75</v>
      </c>
      <c r="O192" s="4">
        <v>2.31</v>
      </c>
      <c r="P192" s="4" t="s">
        <v>436</v>
      </c>
    </row>
    <row r="193" spans="1:16" s="4" customFormat="1" x14ac:dyDescent="0.25">
      <c r="A193" s="4" t="s">
        <v>131</v>
      </c>
      <c r="B193" s="4" t="s">
        <v>33</v>
      </c>
      <c r="C193" s="4" t="s">
        <v>132</v>
      </c>
      <c r="D193" s="5">
        <v>45778</v>
      </c>
      <c r="E193" s="5">
        <v>45901</v>
      </c>
      <c r="F193" s="4">
        <f>DATEDIF(D193,E193,"M")</f>
        <v>4</v>
      </c>
      <c r="G193" s="4" t="s">
        <v>429</v>
      </c>
      <c r="H193" s="4" t="s">
        <v>431</v>
      </c>
      <c r="I193" s="4">
        <v>17425766</v>
      </c>
      <c r="J193" s="4" t="s">
        <v>421</v>
      </c>
      <c r="K193" s="4" t="s">
        <v>116</v>
      </c>
      <c r="L193" s="4" t="str">
        <f>CONCATENATE(J193, " ",K193)</f>
        <v xml:space="preserve">CAROL FOLEY               </v>
      </c>
      <c r="M193" s="4">
        <v>25</v>
      </c>
      <c r="N193" s="7">
        <v>0.65</v>
      </c>
      <c r="O193" s="4">
        <v>16.25</v>
      </c>
      <c r="P193" s="4" t="s">
        <v>435</v>
      </c>
    </row>
    <row r="194" spans="1:16" s="4" customFormat="1" x14ac:dyDescent="0.25">
      <c r="A194" s="4" t="s">
        <v>131</v>
      </c>
      <c r="B194" s="4" t="s">
        <v>33</v>
      </c>
      <c r="C194" s="4" t="s">
        <v>132</v>
      </c>
      <c r="D194" s="5">
        <v>45778</v>
      </c>
      <c r="E194" s="5">
        <v>45901</v>
      </c>
      <c r="F194" s="4">
        <f>DATEDIF(D194,E194,"M")</f>
        <v>4</v>
      </c>
      <c r="G194" s="4" t="s">
        <v>429</v>
      </c>
      <c r="H194" s="4" t="s">
        <v>431</v>
      </c>
      <c r="I194" s="4">
        <v>17425766</v>
      </c>
      <c r="J194" s="4" t="s">
        <v>421</v>
      </c>
      <c r="K194" s="4" t="s">
        <v>116</v>
      </c>
      <c r="L194" s="4" t="str">
        <f>CONCATENATE(J194, " ",K194)</f>
        <v xml:space="preserve">CAROL FOLEY               </v>
      </c>
      <c r="M194" s="4">
        <v>2.75</v>
      </c>
      <c r="N194" s="7">
        <v>0.65</v>
      </c>
      <c r="O194" s="4">
        <v>1.79</v>
      </c>
      <c r="P194" s="4" t="s">
        <v>435</v>
      </c>
    </row>
    <row r="195" spans="1:16" s="4" customFormat="1" x14ac:dyDescent="0.25">
      <c r="A195" s="4" t="s">
        <v>131</v>
      </c>
      <c r="B195" s="4" t="s">
        <v>33</v>
      </c>
      <c r="C195" s="4" t="s">
        <v>132</v>
      </c>
      <c r="D195" s="5">
        <v>45778</v>
      </c>
      <c r="E195" s="5">
        <v>45901</v>
      </c>
      <c r="F195" s="4">
        <f>DATEDIF(D195,E195,"M")</f>
        <v>4</v>
      </c>
      <c r="G195" s="4" t="s">
        <v>429</v>
      </c>
      <c r="H195" s="4" t="s">
        <v>431</v>
      </c>
      <c r="I195" s="4">
        <v>17425766</v>
      </c>
      <c r="J195" s="4" t="s">
        <v>421</v>
      </c>
      <c r="K195" s="4" t="s">
        <v>116</v>
      </c>
      <c r="L195" s="4" t="str">
        <f>CONCATENATE(J195, " ",K195)</f>
        <v xml:space="preserve">CAROL FOLEY               </v>
      </c>
      <c r="M195" s="4">
        <v>19.489999999999998</v>
      </c>
      <c r="N195" s="7">
        <v>0.65</v>
      </c>
      <c r="O195" s="4">
        <v>12.67</v>
      </c>
      <c r="P195" s="4" t="s">
        <v>435</v>
      </c>
    </row>
    <row r="196" spans="1:16" s="4" customFormat="1" x14ac:dyDescent="0.25">
      <c r="A196" s="4" t="s">
        <v>131</v>
      </c>
      <c r="B196" s="4" t="s">
        <v>33</v>
      </c>
      <c r="C196" s="4" t="s">
        <v>132</v>
      </c>
      <c r="D196" s="5">
        <v>45778</v>
      </c>
      <c r="E196" s="5">
        <v>45901</v>
      </c>
      <c r="F196" s="4">
        <f>DATEDIF(D196,E196,"M")</f>
        <v>4</v>
      </c>
      <c r="G196" s="4" t="s">
        <v>429</v>
      </c>
      <c r="H196" s="4" t="s">
        <v>431</v>
      </c>
      <c r="I196" s="4">
        <v>17425766</v>
      </c>
      <c r="J196" s="4" t="s">
        <v>421</v>
      </c>
      <c r="K196" s="4" t="s">
        <v>116</v>
      </c>
      <c r="L196" s="4" t="str">
        <f>CONCATENATE(J196, " ",K196)</f>
        <v xml:space="preserve">CAROL FOLEY               </v>
      </c>
      <c r="M196" s="4">
        <v>1.68</v>
      </c>
      <c r="N196" s="7">
        <v>0.65</v>
      </c>
      <c r="O196" s="4">
        <v>1.0900000000000001</v>
      </c>
      <c r="P196" s="4" t="s">
        <v>435</v>
      </c>
    </row>
    <row r="197" spans="1:16" s="4" customFormat="1" x14ac:dyDescent="0.25">
      <c r="A197" s="4" t="s">
        <v>131</v>
      </c>
      <c r="B197" s="4" t="s">
        <v>33</v>
      </c>
      <c r="C197" s="4" t="s">
        <v>132</v>
      </c>
      <c r="D197" s="5">
        <v>45778</v>
      </c>
      <c r="E197" s="5">
        <v>45901</v>
      </c>
      <c r="F197" s="4">
        <f>DATEDIF(D197,E197,"M")</f>
        <v>4</v>
      </c>
      <c r="G197" s="4" t="s">
        <v>429</v>
      </c>
      <c r="H197" s="4" t="s">
        <v>431</v>
      </c>
      <c r="I197" s="4">
        <v>17425766</v>
      </c>
      <c r="J197" s="4" t="s">
        <v>421</v>
      </c>
      <c r="K197" s="4" t="s">
        <v>116</v>
      </c>
      <c r="L197" s="4" t="str">
        <f>CONCATENATE(J197, " ",K197)</f>
        <v xml:space="preserve">CAROL FOLEY               </v>
      </c>
      <c r="M197" s="4">
        <v>12.94</v>
      </c>
      <c r="N197" s="7">
        <v>0.65</v>
      </c>
      <c r="O197" s="4">
        <v>8.41</v>
      </c>
      <c r="P197" s="4" t="s">
        <v>435</v>
      </c>
    </row>
    <row r="198" spans="1:16" s="4" customFormat="1" x14ac:dyDescent="0.25">
      <c r="A198" s="4" t="s">
        <v>131</v>
      </c>
      <c r="B198" s="4" t="s">
        <v>33</v>
      </c>
      <c r="C198" s="4" t="s">
        <v>132</v>
      </c>
      <c r="D198" s="5">
        <v>45778</v>
      </c>
      <c r="E198" s="5">
        <v>45901</v>
      </c>
      <c r="F198" s="4">
        <f>DATEDIF(D198,E198,"M")</f>
        <v>4</v>
      </c>
      <c r="G198" s="4" t="s">
        <v>429</v>
      </c>
      <c r="H198" s="4" t="s">
        <v>431</v>
      </c>
      <c r="I198" s="4">
        <v>17425766</v>
      </c>
      <c r="J198" s="4" t="s">
        <v>421</v>
      </c>
      <c r="K198" s="4" t="s">
        <v>116</v>
      </c>
      <c r="L198" s="4" t="str">
        <f>CONCATENATE(J198, " ",K198)</f>
        <v xml:space="preserve">CAROL FOLEY               </v>
      </c>
      <c r="M198" s="4">
        <v>12.43</v>
      </c>
      <c r="N198" s="7">
        <v>0.65</v>
      </c>
      <c r="O198" s="4">
        <v>8.08</v>
      </c>
      <c r="P198" s="4" t="s">
        <v>435</v>
      </c>
    </row>
    <row r="199" spans="1:16" s="4" customFormat="1" x14ac:dyDescent="0.25">
      <c r="A199" s="4" t="s">
        <v>96</v>
      </c>
      <c r="B199" s="4" t="s">
        <v>21</v>
      </c>
      <c r="C199" s="4" t="s">
        <v>97</v>
      </c>
      <c r="D199" s="5">
        <v>45689</v>
      </c>
      <c r="E199" s="5">
        <v>45901</v>
      </c>
      <c r="F199" s="4">
        <f>DATEDIF(D199,E199,"M")</f>
        <v>7</v>
      </c>
      <c r="G199" s="4" t="s">
        <v>429</v>
      </c>
      <c r="H199" s="4" t="s">
        <v>431</v>
      </c>
      <c r="I199" s="4">
        <v>9079571</v>
      </c>
      <c r="J199" s="4" t="s">
        <v>419</v>
      </c>
      <c r="K199" s="4" t="s">
        <v>25</v>
      </c>
      <c r="L199" s="4" t="str">
        <f>CONCATENATE(J199, " ",K199)</f>
        <v xml:space="preserve">ADAM RICHTER             </v>
      </c>
      <c r="M199" s="4">
        <v>70.84</v>
      </c>
      <c r="N199" s="7">
        <v>0.75</v>
      </c>
      <c r="O199" s="4">
        <v>53.13</v>
      </c>
      <c r="P199" s="4" t="s">
        <v>436</v>
      </c>
    </row>
    <row r="200" spans="1:16" s="4" customFormat="1" x14ac:dyDescent="0.25">
      <c r="A200" s="4" t="s">
        <v>96</v>
      </c>
      <c r="B200" s="4" t="s">
        <v>21</v>
      </c>
      <c r="C200" s="4" t="s">
        <v>97</v>
      </c>
      <c r="D200" s="5">
        <v>45689</v>
      </c>
      <c r="E200" s="5">
        <v>45901</v>
      </c>
      <c r="F200" s="4">
        <f>DATEDIF(D200,E200,"M")</f>
        <v>7</v>
      </c>
      <c r="G200" s="4" t="s">
        <v>429</v>
      </c>
      <c r="H200" s="4" t="s">
        <v>431</v>
      </c>
      <c r="I200" s="4">
        <v>9079571</v>
      </c>
      <c r="J200" s="4" t="s">
        <v>419</v>
      </c>
      <c r="K200" s="4" t="s">
        <v>25</v>
      </c>
      <c r="L200" s="4" t="str">
        <f>CONCATENATE(J200, " ",K200)</f>
        <v xml:space="preserve">ADAM RICHTER             </v>
      </c>
      <c r="M200" s="4">
        <v>16.899999999999999</v>
      </c>
      <c r="N200" s="7">
        <v>0.75</v>
      </c>
      <c r="O200" s="4">
        <v>12.68</v>
      </c>
      <c r="P200" s="4" t="s">
        <v>436</v>
      </c>
    </row>
    <row r="201" spans="1:16" s="4" customFormat="1" x14ac:dyDescent="0.25">
      <c r="A201" s="4" t="s">
        <v>96</v>
      </c>
      <c r="B201" s="4" t="s">
        <v>21</v>
      </c>
      <c r="C201" s="4" t="s">
        <v>97</v>
      </c>
      <c r="D201" s="5">
        <v>45689</v>
      </c>
      <c r="E201" s="5">
        <v>45901</v>
      </c>
      <c r="F201" s="4">
        <f>DATEDIF(D201,E201,"M")</f>
        <v>7</v>
      </c>
      <c r="G201" s="4" t="s">
        <v>429</v>
      </c>
      <c r="H201" s="4" t="s">
        <v>431</v>
      </c>
      <c r="I201" s="4">
        <v>9079571</v>
      </c>
      <c r="J201" s="4" t="s">
        <v>419</v>
      </c>
      <c r="K201" s="4" t="s">
        <v>25</v>
      </c>
      <c r="L201" s="4" t="str">
        <f>CONCATENATE(J201, " ",K201)</f>
        <v xml:space="preserve">ADAM RICHTER             </v>
      </c>
      <c r="M201" s="4">
        <v>8.6199999999999992</v>
      </c>
      <c r="N201" s="7">
        <v>0.75</v>
      </c>
      <c r="O201" s="4">
        <v>6.47</v>
      </c>
      <c r="P201" s="4" t="s">
        <v>436</v>
      </c>
    </row>
    <row r="202" spans="1:16" s="4" customFormat="1" x14ac:dyDescent="0.25">
      <c r="A202" s="4" t="s">
        <v>96</v>
      </c>
      <c r="B202" s="4" t="s">
        <v>21</v>
      </c>
      <c r="C202" s="4" t="s">
        <v>97</v>
      </c>
      <c r="D202" s="5">
        <v>45689</v>
      </c>
      <c r="E202" s="5">
        <v>45901</v>
      </c>
      <c r="F202" s="4">
        <f>DATEDIF(D202,E202,"M")</f>
        <v>7</v>
      </c>
      <c r="G202" s="4" t="s">
        <v>429</v>
      </c>
      <c r="H202" s="4" t="s">
        <v>431</v>
      </c>
      <c r="I202" s="4">
        <v>9079571</v>
      </c>
      <c r="J202" s="4" t="s">
        <v>419</v>
      </c>
      <c r="K202" s="4" t="s">
        <v>25</v>
      </c>
      <c r="L202" s="4" t="str">
        <f>CONCATENATE(J202, " ",K202)</f>
        <v xml:space="preserve">ADAM RICHTER             </v>
      </c>
      <c r="M202" s="4">
        <v>4.83</v>
      </c>
      <c r="N202" s="7">
        <v>0.75</v>
      </c>
      <c r="O202" s="4">
        <v>3.62</v>
      </c>
      <c r="P202" s="4" t="s">
        <v>436</v>
      </c>
    </row>
    <row r="203" spans="1:16" s="4" customFormat="1" x14ac:dyDescent="0.25">
      <c r="A203" s="4" t="s">
        <v>98</v>
      </c>
      <c r="B203" s="4" t="s">
        <v>21</v>
      </c>
      <c r="C203" s="4" t="s">
        <v>99</v>
      </c>
      <c r="D203" s="5">
        <v>45689</v>
      </c>
      <c r="E203" s="5">
        <v>45901</v>
      </c>
      <c r="F203" s="4">
        <f>DATEDIF(D203,E203,"M")</f>
        <v>7</v>
      </c>
      <c r="G203" s="4" t="s">
        <v>429</v>
      </c>
      <c r="H203" s="4" t="s">
        <v>431</v>
      </c>
      <c r="I203" s="4">
        <v>9079571</v>
      </c>
      <c r="J203" s="4" t="s">
        <v>419</v>
      </c>
      <c r="K203" s="4" t="s">
        <v>25</v>
      </c>
      <c r="L203" s="4" t="str">
        <f>CONCATENATE(J203, " ",K203)</f>
        <v xml:space="preserve">ADAM RICHTER             </v>
      </c>
      <c r="M203" s="4">
        <v>70.84</v>
      </c>
      <c r="N203" s="7">
        <v>0.75</v>
      </c>
      <c r="O203" s="4">
        <v>53.13</v>
      </c>
      <c r="P203" s="4" t="s">
        <v>436</v>
      </c>
    </row>
    <row r="204" spans="1:16" s="4" customFormat="1" x14ac:dyDescent="0.25">
      <c r="A204" s="4" t="s">
        <v>98</v>
      </c>
      <c r="B204" s="4" t="s">
        <v>21</v>
      </c>
      <c r="C204" s="4" t="s">
        <v>99</v>
      </c>
      <c r="D204" s="5">
        <v>45689</v>
      </c>
      <c r="E204" s="5">
        <v>45901</v>
      </c>
      <c r="F204" s="4">
        <f>DATEDIF(D204,E204,"M")</f>
        <v>7</v>
      </c>
      <c r="G204" s="4" t="s">
        <v>429</v>
      </c>
      <c r="H204" s="4" t="s">
        <v>431</v>
      </c>
      <c r="I204" s="4">
        <v>9079571</v>
      </c>
      <c r="J204" s="4" t="s">
        <v>419</v>
      </c>
      <c r="K204" s="4" t="s">
        <v>25</v>
      </c>
      <c r="L204" s="4" t="str">
        <f>CONCATENATE(J204, " ",K204)</f>
        <v xml:space="preserve">ADAM RICHTER             </v>
      </c>
      <c r="M204" s="4">
        <v>24.37</v>
      </c>
      <c r="N204" s="7">
        <v>0.75</v>
      </c>
      <c r="O204" s="4">
        <v>18.28</v>
      </c>
      <c r="P204" s="4" t="s">
        <v>436</v>
      </c>
    </row>
    <row r="205" spans="1:16" s="4" customFormat="1" x14ac:dyDescent="0.25">
      <c r="A205" s="4" t="s">
        <v>98</v>
      </c>
      <c r="B205" s="4" t="s">
        <v>21</v>
      </c>
      <c r="C205" s="4" t="s">
        <v>99</v>
      </c>
      <c r="D205" s="5">
        <v>45689</v>
      </c>
      <c r="E205" s="5">
        <v>45901</v>
      </c>
      <c r="F205" s="4">
        <f>DATEDIF(D205,E205,"M")</f>
        <v>7</v>
      </c>
      <c r="G205" s="4" t="s">
        <v>429</v>
      </c>
      <c r="H205" s="4" t="s">
        <v>431</v>
      </c>
      <c r="I205" s="4">
        <v>9079571</v>
      </c>
      <c r="J205" s="4" t="s">
        <v>419</v>
      </c>
      <c r="K205" s="4" t="s">
        <v>25</v>
      </c>
      <c r="L205" s="4" t="str">
        <f>CONCATENATE(J205, " ",K205)</f>
        <v xml:space="preserve">ADAM RICHTER             </v>
      </c>
      <c r="M205" s="4">
        <v>5.94</v>
      </c>
      <c r="N205" s="7">
        <v>0.75</v>
      </c>
      <c r="O205" s="4">
        <v>4.46</v>
      </c>
      <c r="P205" s="4" t="s">
        <v>436</v>
      </c>
    </row>
    <row r="206" spans="1:16" s="4" customFormat="1" x14ac:dyDescent="0.25">
      <c r="A206" s="4" t="s">
        <v>98</v>
      </c>
      <c r="B206" s="4" t="s">
        <v>21</v>
      </c>
      <c r="C206" s="4" t="s">
        <v>99</v>
      </c>
      <c r="D206" s="5">
        <v>45689</v>
      </c>
      <c r="E206" s="5">
        <v>45901</v>
      </c>
      <c r="F206" s="4">
        <f>DATEDIF(D206,E206,"M")</f>
        <v>7</v>
      </c>
      <c r="G206" s="4" t="s">
        <v>429</v>
      </c>
      <c r="H206" s="4" t="s">
        <v>431</v>
      </c>
      <c r="I206" s="4">
        <v>9079571</v>
      </c>
      <c r="J206" s="4" t="s">
        <v>419</v>
      </c>
      <c r="K206" s="4" t="s">
        <v>25</v>
      </c>
      <c r="L206" s="4" t="str">
        <f>CONCATENATE(J206, " ",K206)</f>
        <v xml:space="preserve">ADAM RICHTER             </v>
      </c>
      <c r="M206" s="4">
        <v>3.08</v>
      </c>
      <c r="N206" s="7">
        <v>0.75</v>
      </c>
      <c r="O206" s="4">
        <v>2.31</v>
      </c>
      <c r="P206" s="4" t="s">
        <v>436</v>
      </c>
    </row>
    <row r="207" spans="1:16" s="4" customFormat="1" x14ac:dyDescent="0.25">
      <c r="A207" s="4" t="s">
        <v>129</v>
      </c>
      <c r="B207" s="4" t="s">
        <v>33</v>
      </c>
      <c r="C207" s="4" t="s">
        <v>130</v>
      </c>
      <c r="D207" s="5">
        <v>45689</v>
      </c>
      <c r="E207" s="5">
        <v>45901</v>
      </c>
      <c r="F207" s="4">
        <f>DATEDIF(D207,E207,"M")</f>
        <v>7</v>
      </c>
      <c r="G207" s="4" t="s">
        <v>429</v>
      </c>
      <c r="H207" s="4" t="s">
        <v>431</v>
      </c>
      <c r="I207" s="4">
        <v>17425766</v>
      </c>
      <c r="J207" s="4" t="s">
        <v>421</v>
      </c>
      <c r="K207" s="4" t="s">
        <v>116</v>
      </c>
      <c r="L207" s="4" t="str">
        <f>CONCATENATE(J207, " ",K207)</f>
        <v xml:space="preserve">CAROL FOLEY               </v>
      </c>
      <c r="M207" s="4">
        <v>14.06</v>
      </c>
      <c r="N207" s="7">
        <v>0.65</v>
      </c>
      <c r="O207" s="4">
        <v>9.14</v>
      </c>
      <c r="P207" s="4" t="s">
        <v>435</v>
      </c>
    </row>
    <row r="208" spans="1:16" s="4" customFormat="1" x14ac:dyDescent="0.25">
      <c r="A208" s="4" t="s">
        <v>129</v>
      </c>
      <c r="B208" s="4" t="s">
        <v>33</v>
      </c>
      <c r="C208" s="4" t="s">
        <v>130</v>
      </c>
      <c r="D208" s="5">
        <v>45689</v>
      </c>
      <c r="E208" s="5">
        <v>45901</v>
      </c>
      <c r="F208" s="4">
        <f>DATEDIF(D208,E208,"M")</f>
        <v>7</v>
      </c>
      <c r="G208" s="4" t="s">
        <v>429</v>
      </c>
      <c r="H208" s="4" t="s">
        <v>431</v>
      </c>
      <c r="I208" s="4">
        <v>17425766</v>
      </c>
      <c r="J208" s="4" t="s">
        <v>421</v>
      </c>
      <c r="K208" s="4" t="s">
        <v>116</v>
      </c>
      <c r="L208" s="4" t="str">
        <f>CONCATENATE(J208, " ",K208)</f>
        <v xml:space="preserve">CAROL FOLEY               </v>
      </c>
      <c r="M208" s="4">
        <v>21.11</v>
      </c>
      <c r="N208" s="7">
        <v>0.65</v>
      </c>
      <c r="O208" s="4">
        <v>13.72</v>
      </c>
      <c r="P208" s="4" t="s">
        <v>435</v>
      </c>
    </row>
    <row r="209" spans="1:16" s="4" customFormat="1" x14ac:dyDescent="0.25">
      <c r="A209" s="4" t="s">
        <v>129</v>
      </c>
      <c r="B209" s="4" t="s">
        <v>33</v>
      </c>
      <c r="C209" s="4" t="s">
        <v>130</v>
      </c>
      <c r="D209" s="5">
        <v>45689</v>
      </c>
      <c r="E209" s="5">
        <v>45901</v>
      </c>
      <c r="F209" s="4">
        <f>DATEDIF(D209,E209,"M")</f>
        <v>7</v>
      </c>
      <c r="G209" s="4" t="s">
        <v>429</v>
      </c>
      <c r="H209" s="4" t="s">
        <v>431</v>
      </c>
      <c r="I209" s="4">
        <v>17425766</v>
      </c>
      <c r="J209" s="4" t="s">
        <v>421</v>
      </c>
      <c r="K209" s="4" t="s">
        <v>116</v>
      </c>
      <c r="L209" s="4" t="str">
        <f>CONCATENATE(J209, " ",K209)</f>
        <v xml:space="preserve">CAROL FOLEY               </v>
      </c>
      <c r="M209" s="4">
        <v>6.99</v>
      </c>
      <c r="N209" s="7">
        <v>0.65</v>
      </c>
      <c r="O209" s="4">
        <v>4.54</v>
      </c>
      <c r="P209" s="4" t="s">
        <v>435</v>
      </c>
    </row>
    <row r="210" spans="1:16" s="4" customFormat="1" x14ac:dyDescent="0.25">
      <c r="A210" s="4" t="s">
        <v>129</v>
      </c>
      <c r="B210" s="4" t="s">
        <v>33</v>
      </c>
      <c r="C210" s="4" t="s">
        <v>130</v>
      </c>
      <c r="D210" s="5">
        <v>45689</v>
      </c>
      <c r="E210" s="5">
        <v>45901</v>
      </c>
      <c r="F210" s="4">
        <f>DATEDIF(D210,E210,"M")</f>
        <v>7</v>
      </c>
      <c r="G210" s="4" t="s">
        <v>429</v>
      </c>
      <c r="H210" s="4" t="s">
        <v>431</v>
      </c>
      <c r="I210" s="4">
        <v>17425766</v>
      </c>
      <c r="J210" s="4" t="s">
        <v>421</v>
      </c>
      <c r="K210" s="4" t="s">
        <v>116</v>
      </c>
      <c r="L210" s="4" t="str">
        <f>CONCATENATE(J210, " ",K210)</f>
        <v xml:space="preserve">CAROL FOLEY               </v>
      </c>
      <c r="M210" s="4">
        <v>1.68</v>
      </c>
      <c r="N210" s="7">
        <v>0.65</v>
      </c>
      <c r="O210" s="4">
        <v>1.0900000000000001</v>
      </c>
      <c r="P210" s="4" t="s">
        <v>435</v>
      </c>
    </row>
    <row r="211" spans="1:16" s="4" customFormat="1" x14ac:dyDescent="0.25">
      <c r="A211" s="4" t="s">
        <v>129</v>
      </c>
      <c r="B211" s="4" t="s">
        <v>33</v>
      </c>
      <c r="C211" s="4" t="s">
        <v>130</v>
      </c>
      <c r="D211" s="5">
        <v>45689</v>
      </c>
      <c r="E211" s="5">
        <v>45901</v>
      </c>
      <c r="F211" s="4">
        <f>DATEDIF(D211,E211,"M")</f>
        <v>7</v>
      </c>
      <c r="G211" s="4" t="s">
        <v>429</v>
      </c>
      <c r="H211" s="4" t="s">
        <v>431</v>
      </c>
      <c r="I211" s="4">
        <v>17425766</v>
      </c>
      <c r="J211" s="4" t="s">
        <v>421</v>
      </c>
      <c r="K211" s="4" t="s">
        <v>116</v>
      </c>
      <c r="L211" s="4" t="str">
        <f>CONCATENATE(J211, " ",K211)</f>
        <v xml:space="preserve">CAROL FOLEY               </v>
      </c>
      <c r="M211" s="4">
        <v>3.3</v>
      </c>
      <c r="N211" s="7">
        <v>0.65</v>
      </c>
      <c r="O211" s="4">
        <v>2.15</v>
      </c>
      <c r="P211" s="4" t="s">
        <v>435</v>
      </c>
    </row>
    <row r="212" spans="1:16" s="4" customFormat="1" x14ac:dyDescent="0.25">
      <c r="A212" s="4" t="s">
        <v>129</v>
      </c>
      <c r="B212" s="4" t="s">
        <v>33</v>
      </c>
      <c r="C212" s="4" t="s">
        <v>130</v>
      </c>
      <c r="D212" s="5">
        <v>45689</v>
      </c>
      <c r="E212" s="5">
        <v>45901</v>
      </c>
      <c r="F212" s="4">
        <f>DATEDIF(D212,E212,"M")</f>
        <v>7</v>
      </c>
      <c r="G212" s="4" t="s">
        <v>429</v>
      </c>
      <c r="H212" s="4" t="s">
        <v>431</v>
      </c>
      <c r="I212" s="4">
        <v>17425766</v>
      </c>
      <c r="J212" s="4" t="s">
        <v>421</v>
      </c>
      <c r="K212" s="4" t="s">
        <v>116</v>
      </c>
      <c r="L212" s="4" t="str">
        <f>CONCATENATE(J212, " ",K212)</f>
        <v xml:space="preserve">CAROL FOLEY               </v>
      </c>
      <c r="M212" s="4">
        <v>6.22</v>
      </c>
      <c r="N212" s="7">
        <v>0.65</v>
      </c>
      <c r="O212" s="4">
        <v>4.04</v>
      </c>
      <c r="P212" s="4" t="s">
        <v>435</v>
      </c>
    </row>
    <row r="213" spans="1:16" s="4" customFormat="1" x14ac:dyDescent="0.25">
      <c r="A213" s="4" t="s">
        <v>88</v>
      </c>
      <c r="B213" s="4" t="s">
        <v>21</v>
      </c>
      <c r="C213" s="4" t="s">
        <v>89</v>
      </c>
      <c r="D213" s="5">
        <v>45658</v>
      </c>
      <c r="E213" s="5">
        <v>45901</v>
      </c>
      <c r="F213" s="4">
        <f>DATEDIF(D213,E213,"M")</f>
        <v>8</v>
      </c>
      <c r="G213" s="4" t="s">
        <v>429</v>
      </c>
      <c r="H213" s="4" t="s">
        <v>431</v>
      </c>
      <c r="I213" s="4">
        <v>9079571</v>
      </c>
      <c r="J213" s="4" t="s">
        <v>419</v>
      </c>
      <c r="K213" s="4" t="s">
        <v>25</v>
      </c>
      <c r="L213" s="4" t="str">
        <f>CONCATENATE(J213, " ",K213)</f>
        <v xml:space="preserve">ADAM RICHTER             </v>
      </c>
      <c r="M213" s="4">
        <v>23.99</v>
      </c>
      <c r="N213" s="7">
        <v>0.65</v>
      </c>
      <c r="O213" s="4">
        <v>15.59</v>
      </c>
      <c r="P213" s="4" t="s">
        <v>435</v>
      </c>
    </row>
    <row r="214" spans="1:16" s="4" customFormat="1" x14ac:dyDescent="0.25">
      <c r="A214" s="4" t="s">
        <v>88</v>
      </c>
      <c r="B214" s="4" t="s">
        <v>21</v>
      </c>
      <c r="C214" s="4" t="s">
        <v>89</v>
      </c>
      <c r="D214" s="5">
        <v>45658</v>
      </c>
      <c r="E214" s="5">
        <v>45901</v>
      </c>
      <c r="F214" s="4">
        <f>DATEDIF(D214,E214,"M")</f>
        <v>8</v>
      </c>
      <c r="G214" s="4" t="s">
        <v>429</v>
      </c>
      <c r="H214" s="4" t="s">
        <v>431</v>
      </c>
      <c r="I214" s="4">
        <v>9079571</v>
      </c>
      <c r="J214" s="4" t="s">
        <v>419</v>
      </c>
      <c r="K214" s="4" t="s">
        <v>25</v>
      </c>
      <c r="L214" s="4" t="str">
        <f>CONCATENATE(J214, " ",K214)</f>
        <v xml:space="preserve">ADAM RICHTER             </v>
      </c>
      <c r="M214" s="4">
        <v>2.59</v>
      </c>
      <c r="N214" s="7">
        <v>0.65</v>
      </c>
      <c r="O214" s="4">
        <v>1.68</v>
      </c>
      <c r="P214" s="4" t="s">
        <v>435</v>
      </c>
    </row>
    <row r="215" spans="1:16" s="4" customFormat="1" x14ac:dyDescent="0.25">
      <c r="A215" s="4" t="s">
        <v>88</v>
      </c>
      <c r="B215" s="4" t="s">
        <v>21</v>
      </c>
      <c r="C215" s="4" t="s">
        <v>89</v>
      </c>
      <c r="D215" s="5">
        <v>45658</v>
      </c>
      <c r="E215" s="5">
        <v>45901</v>
      </c>
      <c r="F215" s="4">
        <f>DATEDIF(D215,E215,"M")</f>
        <v>8</v>
      </c>
      <c r="G215" s="4" t="s">
        <v>429</v>
      </c>
      <c r="H215" s="4" t="s">
        <v>431</v>
      </c>
      <c r="I215" s="4">
        <v>9079571</v>
      </c>
      <c r="J215" s="4" t="s">
        <v>419</v>
      </c>
      <c r="K215" s="4" t="s">
        <v>25</v>
      </c>
      <c r="L215" s="4" t="str">
        <f>CONCATENATE(J215, " ",K215)</f>
        <v xml:space="preserve">ADAM RICHTER             </v>
      </c>
      <c r="M215" s="4">
        <v>5.65</v>
      </c>
      <c r="N215" s="7">
        <v>0.65</v>
      </c>
      <c r="O215" s="4">
        <v>3.67</v>
      </c>
      <c r="P215" s="4" t="s">
        <v>435</v>
      </c>
    </row>
    <row r="216" spans="1:16" s="4" customFormat="1" x14ac:dyDescent="0.25">
      <c r="A216" s="4" t="s">
        <v>88</v>
      </c>
      <c r="B216" s="4" t="s">
        <v>21</v>
      </c>
      <c r="C216" s="4" t="s">
        <v>89</v>
      </c>
      <c r="D216" s="5">
        <v>45658</v>
      </c>
      <c r="E216" s="5">
        <v>45901</v>
      </c>
      <c r="F216" s="4">
        <f>DATEDIF(D216,E216,"M")</f>
        <v>8</v>
      </c>
      <c r="G216" s="4" t="s">
        <v>429</v>
      </c>
      <c r="H216" s="4" t="s">
        <v>431</v>
      </c>
      <c r="I216" s="4">
        <v>9079571</v>
      </c>
      <c r="J216" s="4" t="s">
        <v>419</v>
      </c>
      <c r="K216" s="4" t="s">
        <v>25</v>
      </c>
      <c r="L216" s="4" t="str">
        <f>CONCATENATE(J216, " ",K216)</f>
        <v xml:space="preserve">ADAM RICHTER             </v>
      </c>
      <c r="M216" s="4">
        <v>4.62</v>
      </c>
      <c r="N216" s="7">
        <v>0.65</v>
      </c>
      <c r="O216" s="4">
        <v>3</v>
      </c>
      <c r="P216" s="4" t="s">
        <v>435</v>
      </c>
    </row>
    <row r="217" spans="1:16" s="4" customFormat="1" x14ac:dyDescent="0.25">
      <c r="A217" s="4" t="s">
        <v>88</v>
      </c>
      <c r="B217" s="4" t="s">
        <v>21</v>
      </c>
      <c r="C217" s="4" t="s">
        <v>89</v>
      </c>
      <c r="D217" s="5">
        <v>45658</v>
      </c>
      <c r="E217" s="5">
        <v>45901</v>
      </c>
      <c r="F217" s="4">
        <f>DATEDIF(D217,E217,"M")</f>
        <v>8</v>
      </c>
      <c r="G217" s="4" t="s">
        <v>429</v>
      </c>
      <c r="H217" s="4" t="s">
        <v>431</v>
      </c>
      <c r="I217" s="4">
        <v>9079571</v>
      </c>
      <c r="J217" s="4" t="s">
        <v>419</v>
      </c>
      <c r="K217" s="4" t="s">
        <v>25</v>
      </c>
      <c r="L217" s="4" t="str">
        <f>CONCATENATE(J217, " ",K217)</f>
        <v xml:space="preserve">ADAM RICHTER             </v>
      </c>
      <c r="M217" s="4">
        <v>1.68</v>
      </c>
      <c r="N217" s="7">
        <v>0.65</v>
      </c>
      <c r="O217" s="4">
        <v>1.0900000000000001</v>
      </c>
      <c r="P217" s="4" t="s">
        <v>435</v>
      </c>
    </row>
    <row r="218" spans="1:16" s="4" customFormat="1" x14ac:dyDescent="0.25">
      <c r="A218" s="4" t="s">
        <v>90</v>
      </c>
      <c r="B218" s="4" t="s">
        <v>21</v>
      </c>
      <c r="C218" s="4" t="s">
        <v>91</v>
      </c>
      <c r="D218" s="5">
        <v>45658</v>
      </c>
      <c r="E218" s="5">
        <v>45901</v>
      </c>
      <c r="F218" s="4">
        <f>DATEDIF(D218,E218,"M")</f>
        <v>8</v>
      </c>
      <c r="G218" s="4" t="s">
        <v>429</v>
      </c>
      <c r="H218" s="4" t="s">
        <v>431</v>
      </c>
      <c r="I218" s="4">
        <v>9079571</v>
      </c>
      <c r="J218" s="4" t="s">
        <v>419</v>
      </c>
      <c r="K218" s="4" t="s">
        <v>25</v>
      </c>
      <c r="L218" s="4" t="str">
        <f>CONCATENATE(J218, " ",K218)</f>
        <v xml:space="preserve">ADAM RICHTER             </v>
      </c>
      <c r="M218" s="4">
        <v>70.84</v>
      </c>
      <c r="N218" s="7">
        <v>0.75</v>
      </c>
      <c r="O218" s="4">
        <v>53.13</v>
      </c>
      <c r="P218" s="4" t="s">
        <v>436</v>
      </c>
    </row>
    <row r="219" spans="1:16" s="4" customFormat="1" x14ac:dyDescent="0.25">
      <c r="A219" s="4" t="s">
        <v>90</v>
      </c>
      <c r="B219" s="4" t="s">
        <v>21</v>
      </c>
      <c r="C219" s="4" t="s">
        <v>91</v>
      </c>
      <c r="D219" s="5">
        <v>45658</v>
      </c>
      <c r="E219" s="5">
        <v>45901</v>
      </c>
      <c r="F219" s="4">
        <f>DATEDIF(D219,E219,"M")</f>
        <v>8</v>
      </c>
      <c r="G219" s="4" t="s">
        <v>429</v>
      </c>
      <c r="H219" s="4" t="s">
        <v>431</v>
      </c>
      <c r="I219" s="4">
        <v>9079571</v>
      </c>
      <c r="J219" s="4" t="s">
        <v>419</v>
      </c>
      <c r="K219" s="4" t="s">
        <v>25</v>
      </c>
      <c r="L219" s="4" t="str">
        <f>CONCATENATE(J219, " ",K219)</f>
        <v xml:space="preserve">ADAM RICHTER             </v>
      </c>
      <c r="M219" s="4">
        <v>24.37</v>
      </c>
      <c r="N219" s="7">
        <v>0.75</v>
      </c>
      <c r="O219" s="4">
        <v>18.28</v>
      </c>
      <c r="P219" s="4" t="s">
        <v>436</v>
      </c>
    </row>
    <row r="220" spans="1:16" s="4" customFormat="1" x14ac:dyDescent="0.25">
      <c r="A220" s="4" t="s">
        <v>90</v>
      </c>
      <c r="B220" s="4" t="s">
        <v>21</v>
      </c>
      <c r="C220" s="4" t="s">
        <v>91</v>
      </c>
      <c r="D220" s="5">
        <v>45658</v>
      </c>
      <c r="E220" s="5">
        <v>45901</v>
      </c>
      <c r="F220" s="4">
        <f>DATEDIF(D220,E220,"M")</f>
        <v>8</v>
      </c>
      <c r="G220" s="4" t="s">
        <v>429</v>
      </c>
      <c r="H220" s="4" t="s">
        <v>431</v>
      </c>
      <c r="I220" s="4">
        <v>9079571</v>
      </c>
      <c r="J220" s="4" t="s">
        <v>419</v>
      </c>
      <c r="K220" s="4" t="s">
        <v>25</v>
      </c>
      <c r="L220" s="4" t="str">
        <f>CONCATENATE(J220, " ",K220)</f>
        <v xml:space="preserve">ADAM RICHTER             </v>
      </c>
      <c r="M220" s="4">
        <v>5.94</v>
      </c>
      <c r="N220" s="7">
        <v>0.75</v>
      </c>
      <c r="O220" s="4">
        <v>4.46</v>
      </c>
      <c r="P220" s="4" t="s">
        <v>436</v>
      </c>
    </row>
    <row r="221" spans="1:16" s="4" customFormat="1" x14ac:dyDescent="0.25">
      <c r="A221" s="4" t="s">
        <v>90</v>
      </c>
      <c r="B221" s="4" t="s">
        <v>21</v>
      </c>
      <c r="C221" s="4" t="s">
        <v>91</v>
      </c>
      <c r="D221" s="5">
        <v>45658</v>
      </c>
      <c r="E221" s="5">
        <v>45901</v>
      </c>
      <c r="F221" s="4">
        <f>DATEDIF(D221,E221,"M")</f>
        <v>8</v>
      </c>
      <c r="G221" s="4" t="s">
        <v>429</v>
      </c>
      <c r="H221" s="4" t="s">
        <v>431</v>
      </c>
      <c r="I221" s="4">
        <v>9079571</v>
      </c>
      <c r="J221" s="4" t="s">
        <v>419</v>
      </c>
      <c r="K221" s="4" t="s">
        <v>25</v>
      </c>
      <c r="L221" s="4" t="str">
        <f>CONCATENATE(J221, " ",K221)</f>
        <v xml:space="preserve">ADAM RICHTER             </v>
      </c>
      <c r="M221" s="4">
        <v>3.08</v>
      </c>
      <c r="N221" s="7">
        <v>0.75</v>
      </c>
      <c r="O221" s="4">
        <v>2.31</v>
      </c>
      <c r="P221" s="4" t="s">
        <v>436</v>
      </c>
    </row>
    <row r="222" spans="1:16" s="4" customFormat="1" x14ac:dyDescent="0.25">
      <c r="A222" s="4" t="s">
        <v>92</v>
      </c>
      <c r="B222" s="4" t="s">
        <v>21</v>
      </c>
      <c r="C222" s="4" t="s">
        <v>93</v>
      </c>
      <c r="D222" s="5">
        <v>45658</v>
      </c>
      <c r="E222" s="5">
        <v>45901</v>
      </c>
      <c r="F222" s="4">
        <f>DATEDIF(D222,E222,"M")</f>
        <v>8</v>
      </c>
      <c r="G222" s="4" t="s">
        <v>429</v>
      </c>
      <c r="H222" s="4" t="s">
        <v>431</v>
      </c>
      <c r="I222" s="4">
        <v>9079571</v>
      </c>
      <c r="J222" s="4" t="s">
        <v>419</v>
      </c>
      <c r="K222" s="4" t="s">
        <v>25</v>
      </c>
      <c r="L222" s="4" t="str">
        <f>CONCATENATE(J222, " ",K222)</f>
        <v xml:space="preserve">ADAM RICHTER             </v>
      </c>
      <c r="M222" s="4">
        <v>59.76</v>
      </c>
      <c r="N222" s="7">
        <v>0.75</v>
      </c>
      <c r="O222" s="4">
        <v>44.82</v>
      </c>
      <c r="P222" s="4" t="s">
        <v>436</v>
      </c>
    </row>
    <row r="223" spans="1:16" s="4" customFormat="1" x14ac:dyDescent="0.25">
      <c r="A223" s="4" t="s">
        <v>92</v>
      </c>
      <c r="B223" s="4" t="s">
        <v>21</v>
      </c>
      <c r="C223" s="4" t="s">
        <v>93</v>
      </c>
      <c r="D223" s="5">
        <v>45658</v>
      </c>
      <c r="E223" s="5">
        <v>45901</v>
      </c>
      <c r="F223" s="4">
        <f>DATEDIF(D223,E223,"M")</f>
        <v>8</v>
      </c>
      <c r="G223" s="4" t="s">
        <v>429</v>
      </c>
      <c r="H223" s="4" t="s">
        <v>431</v>
      </c>
      <c r="I223" s="4">
        <v>9079571</v>
      </c>
      <c r="J223" s="4" t="s">
        <v>419</v>
      </c>
      <c r="K223" s="4" t="s">
        <v>25</v>
      </c>
      <c r="L223" s="4" t="str">
        <f>CONCATENATE(J223, " ",K223)</f>
        <v xml:space="preserve">ADAM RICHTER             </v>
      </c>
      <c r="M223" s="4">
        <v>22.5</v>
      </c>
      <c r="N223" s="7">
        <v>0.75</v>
      </c>
      <c r="O223" s="4">
        <v>16.88</v>
      </c>
      <c r="P223" s="4" t="s">
        <v>436</v>
      </c>
    </row>
    <row r="224" spans="1:16" s="4" customFormat="1" x14ac:dyDescent="0.25">
      <c r="A224" s="4" t="s">
        <v>92</v>
      </c>
      <c r="B224" s="4" t="s">
        <v>21</v>
      </c>
      <c r="C224" s="4" t="s">
        <v>93</v>
      </c>
      <c r="D224" s="5">
        <v>45658</v>
      </c>
      <c r="E224" s="5">
        <v>45901</v>
      </c>
      <c r="F224" s="4">
        <f>DATEDIF(D224,E224,"M")</f>
        <v>8</v>
      </c>
      <c r="G224" s="4" t="s">
        <v>429</v>
      </c>
      <c r="H224" s="4" t="s">
        <v>431</v>
      </c>
      <c r="I224" s="4">
        <v>9079571</v>
      </c>
      <c r="J224" s="4" t="s">
        <v>419</v>
      </c>
      <c r="K224" s="4" t="s">
        <v>25</v>
      </c>
      <c r="L224" s="4" t="str">
        <f>CONCATENATE(J224, " ",K224)</f>
        <v xml:space="preserve">ADAM RICHTER             </v>
      </c>
      <c r="M224" s="4">
        <v>5.53</v>
      </c>
      <c r="N224" s="7">
        <v>0.75</v>
      </c>
      <c r="O224" s="4">
        <v>4.1500000000000004</v>
      </c>
      <c r="P224" s="4" t="s">
        <v>436</v>
      </c>
    </row>
    <row r="225" spans="1:16" s="4" customFormat="1" x14ac:dyDescent="0.25">
      <c r="A225" s="4" t="s">
        <v>92</v>
      </c>
      <c r="B225" s="4" t="s">
        <v>21</v>
      </c>
      <c r="C225" s="4" t="s">
        <v>93</v>
      </c>
      <c r="D225" s="5">
        <v>45658</v>
      </c>
      <c r="E225" s="5">
        <v>45901</v>
      </c>
      <c r="F225" s="4">
        <f>DATEDIF(D225,E225,"M")</f>
        <v>8</v>
      </c>
      <c r="G225" s="4" t="s">
        <v>429</v>
      </c>
      <c r="H225" s="4" t="s">
        <v>431</v>
      </c>
      <c r="I225" s="4">
        <v>9079571</v>
      </c>
      <c r="J225" s="4" t="s">
        <v>419</v>
      </c>
      <c r="K225" s="4" t="s">
        <v>25</v>
      </c>
      <c r="L225" s="4" t="str">
        <f>CONCATENATE(J225, " ",K225)</f>
        <v xml:space="preserve">ADAM RICHTER             </v>
      </c>
      <c r="M225" s="4">
        <v>3.08</v>
      </c>
      <c r="N225" s="7">
        <v>0.75</v>
      </c>
      <c r="O225" s="4">
        <v>2.31</v>
      </c>
      <c r="P225" s="4" t="s">
        <v>436</v>
      </c>
    </row>
    <row r="226" spans="1:16" s="4" customFormat="1" x14ac:dyDescent="0.25">
      <c r="A226" s="4" t="s">
        <v>94</v>
      </c>
      <c r="B226" s="4" t="s">
        <v>21</v>
      </c>
      <c r="C226" s="4" t="s">
        <v>95</v>
      </c>
      <c r="D226" s="5">
        <v>45666</v>
      </c>
      <c r="E226" s="5">
        <v>45909</v>
      </c>
      <c r="F226" s="4">
        <f>DATEDIF(D226,E226,"M")</f>
        <v>8</v>
      </c>
      <c r="G226" s="4" t="s">
        <v>429</v>
      </c>
      <c r="H226" s="4" t="s">
        <v>431</v>
      </c>
      <c r="I226" s="4">
        <v>9079571</v>
      </c>
      <c r="J226" s="4" t="s">
        <v>419</v>
      </c>
      <c r="K226" s="4" t="s">
        <v>25</v>
      </c>
      <c r="L226" s="4" t="str">
        <f>CONCATENATE(J226, " ",K226)</f>
        <v xml:space="preserve">ADAM RICHTER             </v>
      </c>
      <c r="M226" s="4">
        <v>45.74</v>
      </c>
      <c r="N226" s="7">
        <v>0.75</v>
      </c>
      <c r="O226" s="4">
        <v>34.31</v>
      </c>
      <c r="P226" s="4" t="s">
        <v>436</v>
      </c>
    </row>
    <row r="227" spans="1:16" s="4" customFormat="1" x14ac:dyDescent="0.25">
      <c r="A227" s="4" t="s">
        <v>94</v>
      </c>
      <c r="B227" s="4" t="s">
        <v>21</v>
      </c>
      <c r="C227" s="4" t="s">
        <v>95</v>
      </c>
      <c r="D227" s="5">
        <v>45666</v>
      </c>
      <c r="E227" s="5">
        <v>45909</v>
      </c>
      <c r="F227" s="4">
        <f>DATEDIF(D227,E227,"M")</f>
        <v>8</v>
      </c>
      <c r="G227" s="4" t="s">
        <v>429</v>
      </c>
      <c r="H227" s="4" t="s">
        <v>431</v>
      </c>
      <c r="I227" s="4">
        <v>9079571</v>
      </c>
      <c r="J227" s="4" t="s">
        <v>419</v>
      </c>
      <c r="K227" s="4" t="s">
        <v>25</v>
      </c>
      <c r="L227" s="4" t="str">
        <f>CONCATENATE(J227, " ",K227)</f>
        <v xml:space="preserve">ADAM RICHTER             </v>
      </c>
      <c r="M227" s="4">
        <v>16.25</v>
      </c>
      <c r="N227" s="7">
        <v>0.75</v>
      </c>
      <c r="O227" s="4">
        <v>12.19</v>
      </c>
      <c r="P227" s="4" t="s">
        <v>436</v>
      </c>
    </row>
    <row r="228" spans="1:16" s="4" customFormat="1" x14ac:dyDescent="0.25">
      <c r="A228" s="4" t="s">
        <v>94</v>
      </c>
      <c r="B228" s="4" t="s">
        <v>21</v>
      </c>
      <c r="C228" s="4" t="s">
        <v>95</v>
      </c>
      <c r="D228" s="5">
        <v>45666</v>
      </c>
      <c r="E228" s="5">
        <v>45909</v>
      </c>
      <c r="F228" s="4">
        <f>DATEDIF(D228,E228,"M")</f>
        <v>8</v>
      </c>
      <c r="G228" s="4" t="s">
        <v>429</v>
      </c>
      <c r="H228" s="4" t="s">
        <v>431</v>
      </c>
      <c r="I228" s="4">
        <v>9079571</v>
      </c>
      <c r="J228" s="4" t="s">
        <v>419</v>
      </c>
      <c r="K228" s="4" t="s">
        <v>25</v>
      </c>
      <c r="L228" s="4" t="str">
        <f>CONCATENATE(J228, " ",K228)</f>
        <v xml:space="preserve">ADAM RICHTER             </v>
      </c>
      <c r="M228" s="4">
        <v>7.42</v>
      </c>
      <c r="N228" s="7">
        <v>0.75</v>
      </c>
      <c r="O228" s="4">
        <v>5.57</v>
      </c>
      <c r="P228" s="4" t="s">
        <v>436</v>
      </c>
    </row>
    <row r="229" spans="1:16" s="4" customFormat="1" x14ac:dyDescent="0.25">
      <c r="A229" s="4" t="s">
        <v>94</v>
      </c>
      <c r="B229" s="4" t="s">
        <v>21</v>
      </c>
      <c r="C229" s="4" t="s">
        <v>95</v>
      </c>
      <c r="D229" s="5">
        <v>45666</v>
      </c>
      <c r="E229" s="5">
        <v>45909</v>
      </c>
      <c r="F229" s="4">
        <f>DATEDIF(D229,E229,"M")</f>
        <v>8</v>
      </c>
      <c r="G229" s="4" t="s">
        <v>429</v>
      </c>
      <c r="H229" s="4" t="s">
        <v>431</v>
      </c>
      <c r="I229" s="4">
        <v>9079571</v>
      </c>
      <c r="J229" s="4" t="s">
        <v>419</v>
      </c>
      <c r="K229" s="4" t="s">
        <v>25</v>
      </c>
      <c r="L229" s="4" t="str">
        <f>CONCATENATE(J229, " ",K229)</f>
        <v xml:space="preserve">ADAM RICHTER             </v>
      </c>
      <c r="M229" s="4">
        <v>3.08</v>
      </c>
      <c r="N229" s="7">
        <v>0.75</v>
      </c>
      <c r="O229" s="4">
        <v>2.31</v>
      </c>
      <c r="P229" s="4" t="s">
        <v>436</v>
      </c>
    </row>
    <row r="230" spans="1:16" s="4" customFormat="1" x14ac:dyDescent="0.25">
      <c r="A230" s="4" t="s">
        <v>123</v>
      </c>
      <c r="B230" s="4" t="s">
        <v>33</v>
      </c>
      <c r="C230" s="4" t="s">
        <v>124</v>
      </c>
      <c r="D230" s="5">
        <v>45658</v>
      </c>
      <c r="E230" s="5">
        <v>45901</v>
      </c>
      <c r="F230" s="4">
        <f>DATEDIF(D230,E230,"M")</f>
        <v>8</v>
      </c>
      <c r="G230" s="4" t="s">
        <v>429</v>
      </c>
      <c r="H230" s="4" t="s">
        <v>431</v>
      </c>
      <c r="I230" s="4">
        <v>17425766</v>
      </c>
      <c r="J230" s="4" t="s">
        <v>421</v>
      </c>
      <c r="K230" s="4" t="s">
        <v>116</v>
      </c>
      <c r="L230" s="4" t="str">
        <f>CONCATENATE(J230, " ",K230)</f>
        <v xml:space="preserve">CAROL FOLEY               </v>
      </c>
      <c r="M230" s="4">
        <v>30.54</v>
      </c>
      <c r="N230" s="7">
        <v>0.65</v>
      </c>
      <c r="O230" s="4">
        <v>19.850000000000001</v>
      </c>
      <c r="P230" s="4" t="s">
        <v>435</v>
      </c>
    </row>
    <row r="231" spans="1:16" s="4" customFormat="1" x14ac:dyDescent="0.25">
      <c r="A231" s="4" t="s">
        <v>123</v>
      </c>
      <c r="B231" s="4" t="s">
        <v>33</v>
      </c>
      <c r="C231" s="4" t="s">
        <v>124</v>
      </c>
      <c r="D231" s="5">
        <v>45658</v>
      </c>
      <c r="E231" s="5">
        <v>45901</v>
      </c>
      <c r="F231" s="4">
        <f>DATEDIF(D231,E231,"M")</f>
        <v>8</v>
      </c>
      <c r="G231" s="4" t="s">
        <v>429</v>
      </c>
      <c r="H231" s="4" t="s">
        <v>431</v>
      </c>
      <c r="I231" s="4">
        <v>17425766</v>
      </c>
      <c r="J231" s="4" t="s">
        <v>421</v>
      </c>
      <c r="K231" s="4" t="s">
        <v>116</v>
      </c>
      <c r="L231" s="4" t="str">
        <f>CONCATENATE(J231, " ",K231)</f>
        <v xml:space="preserve">CAROL FOLEY               </v>
      </c>
      <c r="M231" s="4">
        <v>1.68</v>
      </c>
      <c r="N231" s="7">
        <v>0.65</v>
      </c>
      <c r="O231" s="4">
        <v>1.0900000000000001</v>
      </c>
      <c r="P231" s="4" t="s">
        <v>435</v>
      </c>
    </row>
    <row r="232" spans="1:16" s="4" customFormat="1" x14ac:dyDescent="0.25">
      <c r="A232" s="4" t="s">
        <v>123</v>
      </c>
      <c r="B232" s="4" t="s">
        <v>33</v>
      </c>
      <c r="C232" s="4" t="s">
        <v>124</v>
      </c>
      <c r="D232" s="5">
        <v>45658</v>
      </c>
      <c r="E232" s="5">
        <v>45901</v>
      </c>
      <c r="F232" s="4">
        <f>DATEDIF(D232,E232,"M")</f>
        <v>8</v>
      </c>
      <c r="G232" s="4" t="s">
        <v>429</v>
      </c>
      <c r="H232" s="4" t="s">
        <v>431</v>
      </c>
      <c r="I232" s="4">
        <v>17425766</v>
      </c>
      <c r="J232" s="4" t="s">
        <v>421</v>
      </c>
      <c r="K232" s="4" t="s">
        <v>116</v>
      </c>
      <c r="L232" s="4" t="str">
        <f>CONCATENATE(J232, " ",K232)</f>
        <v xml:space="preserve">CAROL FOLEY               </v>
      </c>
      <c r="M232" s="4">
        <v>2.92</v>
      </c>
      <c r="N232" s="7">
        <v>0.65</v>
      </c>
      <c r="O232" s="4">
        <v>1.9</v>
      </c>
      <c r="P232" s="4" t="s">
        <v>435</v>
      </c>
    </row>
    <row r="233" spans="1:16" s="4" customFormat="1" x14ac:dyDescent="0.25">
      <c r="A233" s="4" t="s">
        <v>123</v>
      </c>
      <c r="B233" s="4" t="s">
        <v>33</v>
      </c>
      <c r="C233" s="4" t="s">
        <v>124</v>
      </c>
      <c r="D233" s="5">
        <v>45658</v>
      </c>
      <c r="E233" s="5">
        <v>45901</v>
      </c>
      <c r="F233" s="4">
        <f>DATEDIF(D233,E233,"M")</f>
        <v>8</v>
      </c>
      <c r="G233" s="4" t="s">
        <v>429</v>
      </c>
      <c r="H233" s="4" t="s">
        <v>431</v>
      </c>
      <c r="I233" s="4">
        <v>17425766</v>
      </c>
      <c r="J233" s="4" t="s">
        <v>421</v>
      </c>
      <c r="K233" s="4" t="s">
        <v>116</v>
      </c>
      <c r="L233" s="4" t="str">
        <f>CONCATENATE(J233, " ",K233)</f>
        <v xml:space="preserve">CAROL FOLEY               </v>
      </c>
      <c r="M233" s="4">
        <v>20.13</v>
      </c>
      <c r="N233" s="7">
        <v>0.65</v>
      </c>
      <c r="O233" s="4">
        <v>13.08</v>
      </c>
      <c r="P233" s="4" t="s">
        <v>435</v>
      </c>
    </row>
    <row r="234" spans="1:16" s="4" customFormat="1" x14ac:dyDescent="0.25">
      <c r="A234" s="4" t="s">
        <v>123</v>
      </c>
      <c r="B234" s="4" t="s">
        <v>33</v>
      </c>
      <c r="C234" s="4" t="s">
        <v>124</v>
      </c>
      <c r="D234" s="5">
        <v>45658</v>
      </c>
      <c r="E234" s="5">
        <v>45901</v>
      </c>
      <c r="F234" s="4">
        <f>DATEDIF(D234,E234,"M")</f>
        <v>8</v>
      </c>
      <c r="G234" s="4" t="s">
        <v>429</v>
      </c>
      <c r="H234" s="4" t="s">
        <v>431</v>
      </c>
      <c r="I234" s="4">
        <v>17425766</v>
      </c>
      <c r="J234" s="4" t="s">
        <v>421</v>
      </c>
      <c r="K234" s="4" t="s">
        <v>116</v>
      </c>
      <c r="L234" s="4" t="str">
        <f>CONCATENATE(J234, " ",K234)</f>
        <v xml:space="preserve">CAROL FOLEY               </v>
      </c>
      <c r="M234" s="4">
        <v>12.94</v>
      </c>
      <c r="N234" s="7">
        <v>0.65</v>
      </c>
      <c r="O234" s="4">
        <v>8.41</v>
      </c>
      <c r="P234" s="4" t="s">
        <v>435</v>
      </c>
    </row>
    <row r="235" spans="1:16" s="4" customFormat="1" x14ac:dyDescent="0.25">
      <c r="A235" s="4" t="s">
        <v>123</v>
      </c>
      <c r="B235" s="4" t="s">
        <v>33</v>
      </c>
      <c r="C235" s="4" t="s">
        <v>124</v>
      </c>
      <c r="D235" s="5">
        <v>45658</v>
      </c>
      <c r="E235" s="5">
        <v>45901</v>
      </c>
      <c r="F235" s="4">
        <f>DATEDIF(D235,E235,"M")</f>
        <v>8</v>
      </c>
      <c r="G235" s="4" t="s">
        <v>429</v>
      </c>
      <c r="H235" s="4" t="s">
        <v>431</v>
      </c>
      <c r="I235" s="4">
        <v>17425766</v>
      </c>
      <c r="J235" s="4" t="s">
        <v>421</v>
      </c>
      <c r="K235" s="4" t="s">
        <v>116</v>
      </c>
      <c r="L235" s="4" t="str">
        <f>CONCATENATE(J235, " ",K235)</f>
        <v xml:space="preserve">CAROL FOLEY               </v>
      </c>
      <c r="M235" s="4">
        <v>12.43</v>
      </c>
      <c r="N235" s="7">
        <v>0.65</v>
      </c>
      <c r="O235" s="4">
        <v>8.08</v>
      </c>
      <c r="P235" s="4" t="s">
        <v>435</v>
      </c>
    </row>
    <row r="236" spans="1:16" s="4" customFormat="1" x14ac:dyDescent="0.25">
      <c r="A236" s="4" t="s">
        <v>125</v>
      </c>
      <c r="B236" s="4" t="s">
        <v>33</v>
      </c>
      <c r="C236" s="4" t="s">
        <v>126</v>
      </c>
      <c r="D236" s="5">
        <v>45658</v>
      </c>
      <c r="E236" s="5">
        <v>45901</v>
      </c>
      <c r="F236" s="4">
        <f>DATEDIF(D236,E236,"M")</f>
        <v>8</v>
      </c>
      <c r="G236" s="4" t="s">
        <v>429</v>
      </c>
      <c r="H236" s="4" t="s">
        <v>431</v>
      </c>
      <c r="I236" s="4">
        <v>17425766</v>
      </c>
      <c r="J236" s="4" t="s">
        <v>421</v>
      </c>
      <c r="K236" s="4" t="s">
        <v>116</v>
      </c>
      <c r="L236" s="4" t="str">
        <f>CONCATENATE(J236, " ",K236)</f>
        <v xml:space="preserve">CAROL FOLEY               </v>
      </c>
      <c r="M236" s="4">
        <v>31.17</v>
      </c>
      <c r="N236" s="7">
        <v>0.65</v>
      </c>
      <c r="O236" s="4">
        <v>20.260000000000002</v>
      </c>
      <c r="P236" s="4" t="s">
        <v>435</v>
      </c>
    </row>
    <row r="237" spans="1:16" s="4" customFormat="1" x14ac:dyDescent="0.25">
      <c r="A237" s="4" t="s">
        <v>125</v>
      </c>
      <c r="B237" s="4" t="s">
        <v>33</v>
      </c>
      <c r="C237" s="4" t="s">
        <v>126</v>
      </c>
      <c r="D237" s="5">
        <v>45658</v>
      </c>
      <c r="E237" s="5">
        <v>45901</v>
      </c>
      <c r="F237" s="4">
        <f>DATEDIF(D237,E237,"M")</f>
        <v>8</v>
      </c>
      <c r="G237" s="4" t="s">
        <v>429</v>
      </c>
      <c r="H237" s="4" t="s">
        <v>431</v>
      </c>
      <c r="I237" s="4">
        <v>17425766</v>
      </c>
      <c r="J237" s="4" t="s">
        <v>421</v>
      </c>
      <c r="K237" s="4" t="s">
        <v>116</v>
      </c>
      <c r="L237" s="4" t="str">
        <f>CONCATENATE(J237, " ",K237)</f>
        <v xml:space="preserve">CAROL FOLEY               </v>
      </c>
      <c r="M237" s="4">
        <v>20.13</v>
      </c>
      <c r="N237" s="7">
        <v>0.65</v>
      </c>
      <c r="O237" s="4">
        <v>13.08</v>
      </c>
      <c r="P237" s="4" t="s">
        <v>435</v>
      </c>
    </row>
    <row r="238" spans="1:16" s="4" customFormat="1" x14ac:dyDescent="0.25">
      <c r="A238" s="4" t="s">
        <v>125</v>
      </c>
      <c r="B238" s="4" t="s">
        <v>33</v>
      </c>
      <c r="C238" s="4" t="s">
        <v>126</v>
      </c>
      <c r="D238" s="5">
        <v>45658</v>
      </c>
      <c r="E238" s="5">
        <v>45901</v>
      </c>
      <c r="F238" s="4">
        <f>DATEDIF(D238,E238,"M")</f>
        <v>8</v>
      </c>
      <c r="G238" s="4" t="s">
        <v>429</v>
      </c>
      <c r="H238" s="4" t="s">
        <v>431</v>
      </c>
      <c r="I238" s="4">
        <v>17425766</v>
      </c>
      <c r="J238" s="4" t="s">
        <v>421</v>
      </c>
      <c r="K238" s="4" t="s">
        <v>116</v>
      </c>
      <c r="L238" s="4" t="str">
        <f>CONCATENATE(J238, " ",K238)</f>
        <v xml:space="preserve">CAROL FOLEY               </v>
      </c>
      <c r="M238" s="4">
        <v>1.68</v>
      </c>
      <c r="N238" s="7">
        <v>0.65</v>
      </c>
      <c r="O238" s="4">
        <v>1.0900000000000001</v>
      </c>
      <c r="P238" s="4" t="s">
        <v>435</v>
      </c>
    </row>
    <row r="239" spans="1:16" s="4" customFormat="1" x14ac:dyDescent="0.25">
      <c r="A239" s="4" t="s">
        <v>125</v>
      </c>
      <c r="B239" s="4" t="s">
        <v>33</v>
      </c>
      <c r="C239" s="4" t="s">
        <v>126</v>
      </c>
      <c r="D239" s="5">
        <v>45658</v>
      </c>
      <c r="E239" s="5">
        <v>45901</v>
      </c>
      <c r="F239" s="4">
        <f>DATEDIF(D239,E239,"M")</f>
        <v>8</v>
      </c>
      <c r="G239" s="4" t="s">
        <v>429</v>
      </c>
      <c r="H239" s="4" t="s">
        <v>431</v>
      </c>
      <c r="I239" s="4">
        <v>17425766</v>
      </c>
      <c r="J239" s="4" t="s">
        <v>421</v>
      </c>
      <c r="K239" s="4" t="s">
        <v>116</v>
      </c>
      <c r="L239" s="4" t="str">
        <f>CONCATENATE(J239, " ",K239)</f>
        <v xml:space="preserve">CAROL FOLEY               </v>
      </c>
      <c r="M239" s="4">
        <v>2.92</v>
      </c>
      <c r="N239" s="7">
        <v>0.65</v>
      </c>
      <c r="O239" s="4">
        <v>1.9</v>
      </c>
      <c r="P239" s="4" t="s">
        <v>435</v>
      </c>
    </row>
    <row r="240" spans="1:16" s="4" customFormat="1" x14ac:dyDescent="0.25">
      <c r="A240" s="4" t="s">
        <v>125</v>
      </c>
      <c r="B240" s="4" t="s">
        <v>33</v>
      </c>
      <c r="C240" s="4" t="s">
        <v>126</v>
      </c>
      <c r="D240" s="5">
        <v>45658</v>
      </c>
      <c r="E240" s="5">
        <v>45901</v>
      </c>
      <c r="F240" s="4">
        <f>DATEDIF(D240,E240,"M")</f>
        <v>8</v>
      </c>
      <c r="G240" s="4" t="s">
        <v>429</v>
      </c>
      <c r="H240" s="4" t="s">
        <v>431</v>
      </c>
      <c r="I240" s="4">
        <v>17425766</v>
      </c>
      <c r="J240" s="4" t="s">
        <v>421</v>
      </c>
      <c r="K240" s="4" t="s">
        <v>116</v>
      </c>
      <c r="L240" s="4" t="str">
        <f>CONCATENATE(J240, " ",K240)</f>
        <v xml:space="preserve">CAROL FOLEY               </v>
      </c>
      <c r="M240" s="4">
        <v>6.22</v>
      </c>
      <c r="N240" s="7">
        <v>0.65</v>
      </c>
      <c r="O240" s="4">
        <v>4.04</v>
      </c>
      <c r="P240" s="4" t="s">
        <v>435</v>
      </c>
    </row>
    <row r="241" spans="1:16" s="4" customFormat="1" x14ac:dyDescent="0.25">
      <c r="A241" s="4" t="s">
        <v>125</v>
      </c>
      <c r="B241" s="4" t="s">
        <v>33</v>
      </c>
      <c r="C241" s="4" t="s">
        <v>126</v>
      </c>
      <c r="D241" s="5">
        <v>45658</v>
      </c>
      <c r="E241" s="5">
        <v>45901</v>
      </c>
      <c r="F241" s="4">
        <f>DATEDIF(D241,E241,"M")</f>
        <v>8</v>
      </c>
      <c r="G241" s="4" t="s">
        <v>429</v>
      </c>
      <c r="H241" s="4" t="s">
        <v>431</v>
      </c>
      <c r="I241" s="4">
        <v>17425766</v>
      </c>
      <c r="J241" s="4" t="s">
        <v>421</v>
      </c>
      <c r="K241" s="4" t="s">
        <v>116</v>
      </c>
      <c r="L241" s="4" t="str">
        <f>CONCATENATE(J241, " ",K241)</f>
        <v xml:space="preserve">CAROL FOLEY               </v>
      </c>
      <c r="M241" s="4">
        <v>13.58</v>
      </c>
      <c r="N241" s="7">
        <v>0.65</v>
      </c>
      <c r="O241" s="4">
        <v>8.83</v>
      </c>
      <c r="P241" s="4" t="s">
        <v>435</v>
      </c>
    </row>
    <row r="242" spans="1:16" s="4" customFormat="1" x14ac:dyDescent="0.25">
      <c r="A242" s="4" t="s">
        <v>127</v>
      </c>
      <c r="B242" s="4" t="s">
        <v>33</v>
      </c>
      <c r="C242" s="4" t="s">
        <v>128</v>
      </c>
      <c r="D242" s="5">
        <v>45658</v>
      </c>
      <c r="E242" s="5">
        <v>45901</v>
      </c>
      <c r="F242" s="4">
        <f>DATEDIF(D242,E242,"M")</f>
        <v>8</v>
      </c>
      <c r="G242" s="4" t="s">
        <v>429</v>
      </c>
      <c r="H242" s="4" t="s">
        <v>431</v>
      </c>
      <c r="I242" s="4">
        <v>17425766</v>
      </c>
      <c r="J242" s="4" t="s">
        <v>421</v>
      </c>
      <c r="K242" s="4" t="s">
        <v>116</v>
      </c>
      <c r="L242" s="4" t="str">
        <f>CONCATENATE(J242, " ",K242)</f>
        <v xml:space="preserve">CAROL FOLEY               </v>
      </c>
      <c r="M242" s="4">
        <v>22.13</v>
      </c>
      <c r="N242" s="7">
        <v>0.65</v>
      </c>
      <c r="O242" s="4">
        <v>14.38</v>
      </c>
      <c r="P242" s="4" t="s">
        <v>435</v>
      </c>
    </row>
    <row r="243" spans="1:16" s="4" customFormat="1" x14ac:dyDescent="0.25">
      <c r="A243" s="4" t="s">
        <v>127</v>
      </c>
      <c r="B243" s="4" t="s">
        <v>33</v>
      </c>
      <c r="C243" s="4" t="s">
        <v>128</v>
      </c>
      <c r="D243" s="5">
        <v>45658</v>
      </c>
      <c r="E243" s="5">
        <v>45901</v>
      </c>
      <c r="F243" s="4">
        <f>DATEDIF(D243,E243,"M")</f>
        <v>8</v>
      </c>
      <c r="G243" s="4" t="s">
        <v>429</v>
      </c>
      <c r="H243" s="4" t="s">
        <v>431</v>
      </c>
      <c r="I243" s="4">
        <v>17425766</v>
      </c>
      <c r="J243" s="4" t="s">
        <v>421</v>
      </c>
      <c r="K243" s="4" t="s">
        <v>116</v>
      </c>
      <c r="L243" s="4" t="str">
        <f>CONCATENATE(J243, " ",K243)</f>
        <v xml:space="preserve">CAROL FOLEY               </v>
      </c>
      <c r="M243" s="4">
        <v>22.08</v>
      </c>
      <c r="N243" s="7">
        <v>0.65</v>
      </c>
      <c r="O243" s="4">
        <v>14.35</v>
      </c>
      <c r="P243" s="4" t="s">
        <v>435</v>
      </c>
    </row>
    <row r="244" spans="1:16" s="4" customFormat="1" x14ac:dyDescent="0.25">
      <c r="A244" s="4" t="s">
        <v>127</v>
      </c>
      <c r="B244" s="4" t="s">
        <v>33</v>
      </c>
      <c r="C244" s="4" t="s">
        <v>128</v>
      </c>
      <c r="D244" s="5">
        <v>45658</v>
      </c>
      <c r="E244" s="5">
        <v>45901</v>
      </c>
      <c r="F244" s="4">
        <f>DATEDIF(D244,E244,"M")</f>
        <v>8</v>
      </c>
      <c r="G244" s="4" t="s">
        <v>429</v>
      </c>
      <c r="H244" s="4" t="s">
        <v>431</v>
      </c>
      <c r="I244" s="4">
        <v>17425766</v>
      </c>
      <c r="J244" s="4" t="s">
        <v>421</v>
      </c>
      <c r="K244" s="4" t="s">
        <v>116</v>
      </c>
      <c r="L244" s="4" t="str">
        <f>CONCATENATE(J244, " ",K244)</f>
        <v xml:space="preserve">CAROL FOLEY               </v>
      </c>
      <c r="M244" s="4">
        <v>1.68</v>
      </c>
      <c r="N244" s="7">
        <v>0.65</v>
      </c>
      <c r="O244" s="4">
        <v>1.0900000000000001</v>
      </c>
      <c r="P244" s="4" t="s">
        <v>435</v>
      </c>
    </row>
    <row r="245" spans="1:16" s="4" customFormat="1" x14ac:dyDescent="0.25">
      <c r="A245" s="4" t="s">
        <v>127</v>
      </c>
      <c r="B245" s="4" t="s">
        <v>33</v>
      </c>
      <c r="C245" s="4" t="s">
        <v>128</v>
      </c>
      <c r="D245" s="5">
        <v>45658</v>
      </c>
      <c r="E245" s="5">
        <v>45901</v>
      </c>
      <c r="F245" s="4">
        <f>DATEDIF(D245,E245,"M")</f>
        <v>8</v>
      </c>
      <c r="G245" s="4" t="s">
        <v>429</v>
      </c>
      <c r="H245" s="4" t="s">
        <v>431</v>
      </c>
      <c r="I245" s="4">
        <v>17425766</v>
      </c>
      <c r="J245" s="4" t="s">
        <v>421</v>
      </c>
      <c r="K245" s="4" t="s">
        <v>116</v>
      </c>
      <c r="L245" s="4" t="str">
        <f>CONCATENATE(J245, " ",K245)</f>
        <v xml:space="preserve">CAROL FOLEY               </v>
      </c>
      <c r="M245" s="4">
        <v>3.78</v>
      </c>
      <c r="N245" s="7">
        <v>0.65</v>
      </c>
      <c r="O245" s="4">
        <v>2.46</v>
      </c>
      <c r="P245" s="4" t="s">
        <v>435</v>
      </c>
    </row>
    <row r="246" spans="1:16" s="4" customFormat="1" x14ac:dyDescent="0.25">
      <c r="A246" s="4" t="s">
        <v>127</v>
      </c>
      <c r="B246" s="4" t="s">
        <v>33</v>
      </c>
      <c r="C246" s="4" t="s">
        <v>128</v>
      </c>
      <c r="D246" s="5">
        <v>45658</v>
      </c>
      <c r="E246" s="5">
        <v>45901</v>
      </c>
      <c r="F246" s="4">
        <f>DATEDIF(D246,E246,"M")</f>
        <v>8</v>
      </c>
      <c r="G246" s="4" t="s">
        <v>429</v>
      </c>
      <c r="H246" s="4" t="s">
        <v>431</v>
      </c>
      <c r="I246" s="4">
        <v>17425766</v>
      </c>
      <c r="J246" s="4" t="s">
        <v>421</v>
      </c>
      <c r="K246" s="4" t="s">
        <v>116</v>
      </c>
      <c r="L246" s="4" t="str">
        <f>CONCATENATE(J246, " ",K246)</f>
        <v xml:space="preserve">CAROL FOLEY               </v>
      </c>
      <c r="M246" s="4">
        <v>6.22</v>
      </c>
      <c r="N246" s="7">
        <v>0.65</v>
      </c>
      <c r="O246" s="4">
        <v>4.04</v>
      </c>
      <c r="P246" s="4" t="s">
        <v>435</v>
      </c>
    </row>
    <row r="247" spans="1:16" s="4" customFormat="1" x14ac:dyDescent="0.25">
      <c r="A247" s="4" t="s">
        <v>148</v>
      </c>
      <c r="B247" s="4" t="s">
        <v>142</v>
      </c>
      <c r="C247" s="4" t="s">
        <v>149</v>
      </c>
      <c r="D247" s="5">
        <v>45658</v>
      </c>
      <c r="E247" s="5">
        <v>45901</v>
      </c>
      <c r="F247" s="4">
        <f>DATEDIF(D247,E247,"M")</f>
        <v>8</v>
      </c>
      <c r="G247" s="4" t="s">
        <v>429</v>
      </c>
      <c r="H247" s="4" t="s">
        <v>431</v>
      </c>
      <c r="I247" s="4">
        <v>18581063</v>
      </c>
      <c r="J247" s="4" t="s">
        <v>423</v>
      </c>
      <c r="K247" s="4" t="s">
        <v>146</v>
      </c>
      <c r="L247" s="4" t="str">
        <f>CONCATENATE(J247, " ",K247)</f>
        <v xml:space="preserve">TIMOTHY HODGMAN             </v>
      </c>
      <c r="M247" s="4">
        <v>33.67</v>
      </c>
      <c r="N247" s="7">
        <v>0.65</v>
      </c>
      <c r="O247" s="4">
        <v>21.89</v>
      </c>
      <c r="P247" s="4" t="s">
        <v>435</v>
      </c>
    </row>
    <row r="248" spans="1:16" s="4" customFormat="1" x14ac:dyDescent="0.25">
      <c r="A248" s="4" t="s">
        <v>148</v>
      </c>
      <c r="B248" s="4" t="s">
        <v>142</v>
      </c>
      <c r="C248" s="4" t="s">
        <v>149</v>
      </c>
      <c r="D248" s="5">
        <v>45658</v>
      </c>
      <c r="E248" s="5">
        <v>45901</v>
      </c>
      <c r="F248" s="4">
        <f>DATEDIF(D248,E248,"M")</f>
        <v>8</v>
      </c>
      <c r="G248" s="4" t="s">
        <v>429</v>
      </c>
      <c r="H248" s="4" t="s">
        <v>431</v>
      </c>
      <c r="I248" s="4">
        <v>18581063</v>
      </c>
      <c r="J248" s="4" t="s">
        <v>423</v>
      </c>
      <c r="K248" s="4" t="s">
        <v>146</v>
      </c>
      <c r="L248" s="4" t="str">
        <f>CONCATENATE(J248, " ",K248)</f>
        <v xml:space="preserve">TIMOTHY HODGMAN             </v>
      </c>
      <c r="M248" s="4">
        <v>1.68</v>
      </c>
      <c r="N248" s="7">
        <v>0.65</v>
      </c>
      <c r="O248" s="4">
        <v>1.0900000000000001</v>
      </c>
      <c r="P248" s="4" t="s">
        <v>435</v>
      </c>
    </row>
    <row r="249" spans="1:16" s="4" customFormat="1" x14ac:dyDescent="0.25">
      <c r="A249" s="4" t="s">
        <v>148</v>
      </c>
      <c r="B249" s="4" t="s">
        <v>142</v>
      </c>
      <c r="C249" s="4" t="s">
        <v>149</v>
      </c>
      <c r="D249" s="5">
        <v>45658</v>
      </c>
      <c r="E249" s="5">
        <v>45901</v>
      </c>
      <c r="F249" s="4">
        <f>DATEDIF(D249,E249,"M")</f>
        <v>8</v>
      </c>
      <c r="G249" s="4" t="s">
        <v>429</v>
      </c>
      <c r="H249" s="4" t="s">
        <v>431</v>
      </c>
      <c r="I249" s="4">
        <v>18581063</v>
      </c>
      <c r="J249" s="4" t="s">
        <v>423</v>
      </c>
      <c r="K249" s="4" t="s">
        <v>146</v>
      </c>
      <c r="L249" s="4" t="str">
        <f>CONCATENATE(J249, " ",K249)</f>
        <v xml:space="preserve">TIMOTHY HODGMAN             </v>
      </c>
      <c r="M249" s="4">
        <v>5.88</v>
      </c>
      <c r="N249" s="7">
        <v>0.65</v>
      </c>
      <c r="O249" s="4">
        <v>3.82</v>
      </c>
      <c r="P249" s="4" t="s">
        <v>435</v>
      </c>
    </row>
    <row r="250" spans="1:16" s="4" customFormat="1" x14ac:dyDescent="0.25">
      <c r="A250" s="4" t="s">
        <v>148</v>
      </c>
      <c r="B250" s="4" t="s">
        <v>142</v>
      </c>
      <c r="C250" s="4" t="s">
        <v>149</v>
      </c>
      <c r="D250" s="5">
        <v>45658</v>
      </c>
      <c r="E250" s="5">
        <v>45901</v>
      </c>
      <c r="F250" s="4">
        <f>DATEDIF(D250,E250,"M")</f>
        <v>8</v>
      </c>
      <c r="G250" s="4" t="s">
        <v>429</v>
      </c>
      <c r="H250" s="4" t="s">
        <v>431</v>
      </c>
      <c r="I250" s="4">
        <v>18581063</v>
      </c>
      <c r="J250" s="4" t="s">
        <v>423</v>
      </c>
      <c r="K250" s="4" t="s">
        <v>146</v>
      </c>
      <c r="L250" s="4" t="str">
        <f>CONCATENATE(J250, " ",K250)</f>
        <v xml:space="preserve">TIMOTHY HODGMAN             </v>
      </c>
      <c r="M250" s="4">
        <v>3.53</v>
      </c>
      <c r="N250" s="7">
        <v>0.65</v>
      </c>
      <c r="O250" s="4">
        <v>2.29</v>
      </c>
      <c r="P250" s="4" t="s">
        <v>435</v>
      </c>
    </row>
    <row r="251" spans="1:16" s="4" customFormat="1" x14ac:dyDescent="0.25">
      <c r="A251" s="4" t="s">
        <v>148</v>
      </c>
      <c r="B251" s="4" t="s">
        <v>142</v>
      </c>
      <c r="C251" s="4" t="s">
        <v>149</v>
      </c>
      <c r="D251" s="5">
        <v>45658</v>
      </c>
      <c r="E251" s="5">
        <v>45901</v>
      </c>
      <c r="F251" s="4">
        <f>DATEDIF(D251,E251,"M")</f>
        <v>8</v>
      </c>
      <c r="G251" s="4" t="s">
        <v>429</v>
      </c>
      <c r="H251" s="4" t="s">
        <v>431</v>
      </c>
      <c r="I251" s="4">
        <v>18581063</v>
      </c>
      <c r="J251" s="4" t="s">
        <v>423</v>
      </c>
      <c r="K251" s="4" t="s">
        <v>146</v>
      </c>
      <c r="L251" s="4" t="str">
        <f>CONCATENATE(J251, " ",K251)</f>
        <v xml:space="preserve">TIMOTHY HODGMAN             </v>
      </c>
      <c r="M251" s="4">
        <v>23.78</v>
      </c>
      <c r="N251" s="7">
        <v>0.65</v>
      </c>
      <c r="O251" s="4">
        <v>15.46</v>
      </c>
      <c r="P251" s="4" t="s">
        <v>435</v>
      </c>
    </row>
    <row r="252" spans="1:16" s="4" customFormat="1" x14ac:dyDescent="0.25">
      <c r="A252" s="4" t="s">
        <v>148</v>
      </c>
      <c r="B252" s="4" t="s">
        <v>142</v>
      </c>
      <c r="C252" s="4" t="s">
        <v>149</v>
      </c>
      <c r="D252" s="5">
        <v>45658</v>
      </c>
      <c r="E252" s="5">
        <v>45901</v>
      </c>
      <c r="F252" s="4">
        <f>DATEDIF(D252,E252,"M")</f>
        <v>8</v>
      </c>
      <c r="G252" s="4" t="s">
        <v>429</v>
      </c>
      <c r="H252" s="4" t="s">
        <v>431</v>
      </c>
      <c r="I252" s="4">
        <v>18581063</v>
      </c>
      <c r="J252" s="4" t="s">
        <v>423</v>
      </c>
      <c r="K252" s="4" t="s">
        <v>146</v>
      </c>
      <c r="L252" s="4" t="str">
        <f>CONCATENATE(J252, " ",K252)</f>
        <v xml:space="preserve">TIMOTHY HODGMAN             </v>
      </c>
      <c r="M252" s="4">
        <v>3.2</v>
      </c>
      <c r="N252" s="7">
        <v>0.65</v>
      </c>
      <c r="O252" s="4">
        <v>2.08</v>
      </c>
      <c r="P252" s="4" t="s">
        <v>435</v>
      </c>
    </row>
    <row r="253" spans="1:16" s="4" customFormat="1" x14ac:dyDescent="0.25">
      <c r="A253" s="4" t="s">
        <v>148</v>
      </c>
      <c r="B253" s="4" t="s">
        <v>142</v>
      </c>
      <c r="C253" s="4" t="s">
        <v>149</v>
      </c>
      <c r="D253" s="5">
        <v>45658</v>
      </c>
      <c r="E253" s="5">
        <v>45901</v>
      </c>
      <c r="F253" s="4">
        <f>DATEDIF(D253,E253,"M")</f>
        <v>8</v>
      </c>
      <c r="G253" s="4" t="s">
        <v>429</v>
      </c>
      <c r="H253" s="4" t="s">
        <v>431</v>
      </c>
      <c r="I253" s="4">
        <v>18581063</v>
      </c>
      <c r="J253" s="4" t="s">
        <v>423</v>
      </c>
      <c r="K253" s="4" t="s">
        <v>146</v>
      </c>
      <c r="L253" s="4" t="str">
        <f>CONCATENATE(J253, " ",K253)</f>
        <v xml:space="preserve">TIMOTHY HODGMAN             </v>
      </c>
      <c r="M253" s="4">
        <v>6.99</v>
      </c>
      <c r="N253" s="7">
        <v>0.65</v>
      </c>
      <c r="O253" s="4">
        <v>4.54</v>
      </c>
      <c r="P253" s="4" t="s">
        <v>435</v>
      </c>
    </row>
    <row r="254" spans="1:16" s="4" customFormat="1" x14ac:dyDescent="0.25">
      <c r="A254" s="4" t="s">
        <v>152</v>
      </c>
      <c r="B254" s="4" t="s">
        <v>142</v>
      </c>
      <c r="C254" s="4" t="s">
        <v>153</v>
      </c>
      <c r="D254" s="5">
        <v>45658</v>
      </c>
      <c r="E254" s="5">
        <v>45901</v>
      </c>
      <c r="F254" s="4">
        <f>DATEDIF(D254,E254,"M")</f>
        <v>8</v>
      </c>
      <c r="G254" s="4" t="s">
        <v>429</v>
      </c>
      <c r="H254" s="4" t="s">
        <v>431</v>
      </c>
      <c r="I254" s="4">
        <v>18581063</v>
      </c>
      <c r="J254" s="4" t="s">
        <v>423</v>
      </c>
      <c r="K254" s="4" t="s">
        <v>146</v>
      </c>
      <c r="L254" s="4" t="str">
        <f>CONCATENATE(J254, " ",K254)</f>
        <v xml:space="preserve">TIMOTHY HODGMAN             </v>
      </c>
      <c r="M254" s="4">
        <v>31.28</v>
      </c>
      <c r="N254" s="7">
        <v>0.65</v>
      </c>
      <c r="O254" s="4">
        <v>20.329999999999998</v>
      </c>
      <c r="P254" s="4" t="s">
        <v>435</v>
      </c>
    </row>
    <row r="255" spans="1:16" s="4" customFormat="1" x14ac:dyDescent="0.25">
      <c r="A255" s="4" t="s">
        <v>152</v>
      </c>
      <c r="B255" s="4" t="s">
        <v>142</v>
      </c>
      <c r="C255" s="4" t="s">
        <v>153</v>
      </c>
      <c r="D255" s="5">
        <v>45658</v>
      </c>
      <c r="E255" s="5">
        <v>45901</v>
      </c>
      <c r="F255" s="4">
        <f>DATEDIF(D255,E255,"M")</f>
        <v>8</v>
      </c>
      <c r="G255" s="4" t="s">
        <v>429</v>
      </c>
      <c r="H255" s="4" t="s">
        <v>431</v>
      </c>
      <c r="I255" s="4">
        <v>18581063</v>
      </c>
      <c r="J255" s="4" t="s">
        <v>423</v>
      </c>
      <c r="K255" s="4" t="s">
        <v>146</v>
      </c>
      <c r="L255" s="4" t="str">
        <f>CONCATENATE(J255, " ",K255)</f>
        <v xml:space="preserve">TIMOTHY HODGMAN             </v>
      </c>
      <c r="M255" s="4">
        <v>12.43</v>
      </c>
      <c r="N255" s="7">
        <v>0.65</v>
      </c>
      <c r="O255" s="4">
        <v>8.08</v>
      </c>
      <c r="P255" s="4" t="s">
        <v>435</v>
      </c>
    </row>
    <row r="256" spans="1:16" s="4" customFormat="1" x14ac:dyDescent="0.25">
      <c r="A256" s="4" t="s">
        <v>152</v>
      </c>
      <c r="B256" s="4" t="s">
        <v>142</v>
      </c>
      <c r="C256" s="4" t="s">
        <v>153</v>
      </c>
      <c r="D256" s="5">
        <v>45658</v>
      </c>
      <c r="E256" s="5">
        <v>45901</v>
      </c>
      <c r="F256" s="4">
        <f>DATEDIF(D256,E256,"M")</f>
        <v>8</v>
      </c>
      <c r="G256" s="4" t="s">
        <v>429</v>
      </c>
      <c r="H256" s="4" t="s">
        <v>431</v>
      </c>
      <c r="I256" s="4">
        <v>18581063</v>
      </c>
      <c r="J256" s="4" t="s">
        <v>423</v>
      </c>
      <c r="K256" s="4" t="s">
        <v>146</v>
      </c>
      <c r="L256" s="4" t="str">
        <f>CONCATENATE(J256, " ",K256)</f>
        <v xml:space="preserve">TIMOTHY HODGMAN             </v>
      </c>
      <c r="M256" s="4">
        <v>2.86</v>
      </c>
      <c r="N256" s="7">
        <v>0.65</v>
      </c>
      <c r="O256" s="4">
        <v>1.86</v>
      </c>
      <c r="P256" s="4" t="s">
        <v>435</v>
      </c>
    </row>
    <row r="257" spans="1:16" s="4" customFormat="1" x14ac:dyDescent="0.25">
      <c r="A257" s="4" t="s">
        <v>152</v>
      </c>
      <c r="B257" s="4" t="s">
        <v>142</v>
      </c>
      <c r="C257" s="4" t="s">
        <v>153</v>
      </c>
      <c r="D257" s="5">
        <v>45658</v>
      </c>
      <c r="E257" s="5">
        <v>45901</v>
      </c>
      <c r="F257" s="4">
        <f>DATEDIF(D257,E257,"M")</f>
        <v>8</v>
      </c>
      <c r="G257" s="4" t="s">
        <v>429</v>
      </c>
      <c r="H257" s="4" t="s">
        <v>431</v>
      </c>
      <c r="I257" s="4">
        <v>18581063</v>
      </c>
      <c r="J257" s="4" t="s">
        <v>423</v>
      </c>
      <c r="K257" s="4" t="s">
        <v>146</v>
      </c>
      <c r="L257" s="4" t="str">
        <f>CONCATENATE(J257, " ",K257)</f>
        <v xml:space="preserve">TIMOTHY HODGMAN             </v>
      </c>
      <c r="M257" s="4">
        <v>14.23</v>
      </c>
      <c r="N257" s="7">
        <v>0.65</v>
      </c>
      <c r="O257" s="4">
        <v>9.25</v>
      </c>
      <c r="P257" s="4" t="s">
        <v>435</v>
      </c>
    </row>
    <row r="258" spans="1:16" s="4" customFormat="1" x14ac:dyDescent="0.25">
      <c r="A258" s="4" t="s">
        <v>152</v>
      </c>
      <c r="B258" s="4" t="s">
        <v>142</v>
      </c>
      <c r="C258" s="4" t="s">
        <v>153</v>
      </c>
      <c r="D258" s="5">
        <v>45658</v>
      </c>
      <c r="E258" s="5">
        <v>45901</v>
      </c>
      <c r="F258" s="4">
        <f>DATEDIF(D258,E258,"M")</f>
        <v>8</v>
      </c>
      <c r="G258" s="4" t="s">
        <v>429</v>
      </c>
      <c r="H258" s="4" t="s">
        <v>431</v>
      </c>
      <c r="I258" s="4">
        <v>18581063</v>
      </c>
      <c r="J258" s="4" t="s">
        <v>423</v>
      </c>
      <c r="K258" s="4" t="s">
        <v>146</v>
      </c>
      <c r="L258" s="4" t="str">
        <f>CONCATENATE(J258, " ",K258)</f>
        <v xml:space="preserve">TIMOTHY HODGMAN             </v>
      </c>
      <c r="M258" s="4">
        <v>37.21</v>
      </c>
      <c r="N258" s="7">
        <v>0.65</v>
      </c>
      <c r="O258" s="4">
        <v>24.19</v>
      </c>
      <c r="P258" s="4" t="s">
        <v>435</v>
      </c>
    </row>
    <row r="259" spans="1:16" s="4" customFormat="1" x14ac:dyDescent="0.25">
      <c r="A259" s="4" t="s">
        <v>152</v>
      </c>
      <c r="B259" s="4" t="s">
        <v>142</v>
      </c>
      <c r="C259" s="4" t="s">
        <v>153</v>
      </c>
      <c r="D259" s="5">
        <v>45658</v>
      </c>
      <c r="E259" s="5">
        <v>45901</v>
      </c>
      <c r="F259" s="4">
        <f>DATEDIF(D259,E259,"M")</f>
        <v>8</v>
      </c>
      <c r="G259" s="4" t="s">
        <v>429</v>
      </c>
      <c r="H259" s="4" t="s">
        <v>431</v>
      </c>
      <c r="I259" s="4">
        <v>18581063</v>
      </c>
      <c r="J259" s="4" t="s">
        <v>423</v>
      </c>
      <c r="K259" s="4" t="s">
        <v>146</v>
      </c>
      <c r="L259" s="4" t="str">
        <f>CONCATENATE(J259, " ",K259)</f>
        <v xml:space="preserve">TIMOTHY HODGMAN             </v>
      </c>
      <c r="M259" s="4">
        <v>2.92</v>
      </c>
      <c r="N259" s="7">
        <v>0.65</v>
      </c>
      <c r="O259" s="4">
        <v>1.9</v>
      </c>
      <c r="P259" s="4" t="s">
        <v>435</v>
      </c>
    </row>
    <row r="260" spans="1:16" s="4" customFormat="1" x14ac:dyDescent="0.25">
      <c r="A260" s="4" t="s">
        <v>152</v>
      </c>
      <c r="B260" s="4" t="s">
        <v>142</v>
      </c>
      <c r="C260" s="4" t="s">
        <v>153</v>
      </c>
      <c r="D260" s="5">
        <v>45658</v>
      </c>
      <c r="E260" s="5">
        <v>45901</v>
      </c>
      <c r="F260" s="4">
        <f>DATEDIF(D260,E260,"M")</f>
        <v>8</v>
      </c>
      <c r="G260" s="4" t="s">
        <v>429</v>
      </c>
      <c r="H260" s="4" t="s">
        <v>431</v>
      </c>
      <c r="I260" s="4">
        <v>18581063</v>
      </c>
      <c r="J260" s="4" t="s">
        <v>423</v>
      </c>
      <c r="K260" s="4" t="s">
        <v>146</v>
      </c>
      <c r="L260" s="4" t="str">
        <f>CONCATENATE(J260, " ",K260)</f>
        <v xml:space="preserve">TIMOTHY HODGMAN             </v>
      </c>
      <c r="M260" s="4">
        <v>3.28</v>
      </c>
      <c r="N260" s="7">
        <v>0.65</v>
      </c>
      <c r="O260" s="4">
        <v>2.13</v>
      </c>
      <c r="P260" s="4" t="s">
        <v>435</v>
      </c>
    </row>
    <row r="261" spans="1:16" s="4" customFormat="1" x14ac:dyDescent="0.25">
      <c r="A261" s="4" t="s">
        <v>152</v>
      </c>
      <c r="B261" s="4" t="s">
        <v>142</v>
      </c>
      <c r="C261" s="4" t="s">
        <v>153</v>
      </c>
      <c r="D261" s="5">
        <v>45658</v>
      </c>
      <c r="E261" s="5">
        <v>45901</v>
      </c>
      <c r="F261" s="4">
        <f>DATEDIF(D261,E261,"M")</f>
        <v>8</v>
      </c>
      <c r="G261" s="4" t="s">
        <v>429</v>
      </c>
      <c r="H261" s="4" t="s">
        <v>431</v>
      </c>
      <c r="I261" s="4">
        <v>18581063</v>
      </c>
      <c r="J261" s="4" t="s">
        <v>423</v>
      </c>
      <c r="K261" s="4" t="s">
        <v>146</v>
      </c>
      <c r="L261" s="4" t="str">
        <f>CONCATENATE(J261, " ",K261)</f>
        <v xml:space="preserve">TIMOTHY HODGMAN             </v>
      </c>
      <c r="M261" s="4">
        <v>6.99</v>
      </c>
      <c r="N261" s="7">
        <v>0.65</v>
      </c>
      <c r="O261" s="4">
        <v>4.54</v>
      </c>
      <c r="P261" s="4" t="s">
        <v>435</v>
      </c>
    </row>
    <row r="262" spans="1:16" s="4" customFormat="1" x14ac:dyDescent="0.25">
      <c r="A262" s="4" t="s">
        <v>152</v>
      </c>
      <c r="B262" s="4" t="s">
        <v>142</v>
      </c>
      <c r="C262" s="4" t="s">
        <v>153</v>
      </c>
      <c r="D262" s="5">
        <v>45658</v>
      </c>
      <c r="E262" s="5">
        <v>45901</v>
      </c>
      <c r="F262" s="4">
        <f>DATEDIF(D262,E262,"M")</f>
        <v>8</v>
      </c>
      <c r="G262" s="4" t="s">
        <v>429</v>
      </c>
      <c r="H262" s="4" t="s">
        <v>431</v>
      </c>
      <c r="I262" s="4">
        <v>18581063</v>
      </c>
      <c r="J262" s="4" t="s">
        <v>423</v>
      </c>
      <c r="K262" s="4" t="s">
        <v>146</v>
      </c>
      <c r="L262" s="4" t="str">
        <f>CONCATENATE(J262, " ",K262)</f>
        <v xml:space="preserve">TIMOTHY HODGMAN             </v>
      </c>
      <c r="M262" s="4">
        <v>30.86</v>
      </c>
      <c r="N262" s="7">
        <v>0.65</v>
      </c>
      <c r="O262" s="4">
        <v>20.059999999999999</v>
      </c>
      <c r="P262" s="4" t="s">
        <v>435</v>
      </c>
    </row>
    <row r="263" spans="1:16" s="4" customFormat="1" x14ac:dyDescent="0.25">
      <c r="A263" s="4" t="s">
        <v>152</v>
      </c>
      <c r="B263" s="4" t="s">
        <v>142</v>
      </c>
      <c r="C263" s="4" t="s">
        <v>153</v>
      </c>
      <c r="D263" s="5">
        <v>45658</v>
      </c>
      <c r="E263" s="5">
        <v>45901</v>
      </c>
      <c r="F263" s="4">
        <f>DATEDIF(D263,E263,"M")</f>
        <v>8</v>
      </c>
      <c r="G263" s="4" t="s">
        <v>429</v>
      </c>
      <c r="H263" s="4" t="s">
        <v>431</v>
      </c>
      <c r="I263" s="4">
        <v>18581063</v>
      </c>
      <c r="J263" s="4" t="s">
        <v>423</v>
      </c>
      <c r="K263" s="4" t="s">
        <v>146</v>
      </c>
      <c r="L263" s="4" t="str">
        <f>CONCATENATE(J263, " ",K263)</f>
        <v xml:space="preserve">TIMOTHY HODGMAN             </v>
      </c>
      <c r="M263" s="4">
        <v>1.68</v>
      </c>
      <c r="N263" s="7">
        <v>0.65</v>
      </c>
      <c r="O263" s="4">
        <v>1.0900000000000001</v>
      </c>
      <c r="P263" s="4" t="s">
        <v>435</v>
      </c>
    </row>
    <row r="264" spans="1:16" s="4" customFormat="1" x14ac:dyDescent="0.25">
      <c r="A264" s="4" t="s">
        <v>154</v>
      </c>
      <c r="B264" s="4" t="s">
        <v>142</v>
      </c>
      <c r="C264" s="4" t="s">
        <v>155</v>
      </c>
      <c r="D264" s="5">
        <v>45658</v>
      </c>
      <c r="E264" s="5">
        <v>45901</v>
      </c>
      <c r="F264" s="4">
        <f>DATEDIF(D264,E264,"M")</f>
        <v>8</v>
      </c>
      <c r="G264" s="4" t="s">
        <v>429</v>
      </c>
      <c r="H264" s="4" t="s">
        <v>431</v>
      </c>
      <c r="I264" s="4">
        <v>18581063</v>
      </c>
      <c r="J264" s="4" t="s">
        <v>423</v>
      </c>
      <c r="K264" s="4" t="s">
        <v>146</v>
      </c>
      <c r="L264" s="4" t="str">
        <f>CONCATENATE(J264, " ",K264)</f>
        <v xml:space="preserve">TIMOTHY HODGMAN             </v>
      </c>
      <c r="M264" s="4">
        <v>32.090000000000003</v>
      </c>
      <c r="N264" s="7">
        <v>0.65</v>
      </c>
      <c r="O264" s="4">
        <v>20.86</v>
      </c>
      <c r="P264" s="4" t="s">
        <v>435</v>
      </c>
    </row>
    <row r="265" spans="1:16" s="4" customFormat="1" x14ac:dyDescent="0.25">
      <c r="A265" s="4" t="s">
        <v>154</v>
      </c>
      <c r="B265" s="4" t="s">
        <v>142</v>
      </c>
      <c r="C265" s="4" t="s">
        <v>155</v>
      </c>
      <c r="D265" s="5">
        <v>45658</v>
      </c>
      <c r="E265" s="5">
        <v>45901</v>
      </c>
      <c r="F265" s="4">
        <f>DATEDIF(D265,E265,"M")</f>
        <v>8</v>
      </c>
      <c r="G265" s="4" t="s">
        <v>429</v>
      </c>
      <c r="H265" s="4" t="s">
        <v>431</v>
      </c>
      <c r="I265" s="4">
        <v>18581063</v>
      </c>
      <c r="J265" s="4" t="s">
        <v>423</v>
      </c>
      <c r="K265" s="4" t="s">
        <v>146</v>
      </c>
      <c r="L265" s="4" t="str">
        <f>CONCATENATE(J265, " ",K265)</f>
        <v xml:space="preserve">TIMOTHY HODGMAN             </v>
      </c>
      <c r="M265" s="4">
        <v>3.3</v>
      </c>
      <c r="N265" s="7">
        <v>0.65</v>
      </c>
      <c r="O265" s="4">
        <v>2.15</v>
      </c>
      <c r="P265" s="4" t="s">
        <v>435</v>
      </c>
    </row>
    <row r="266" spans="1:16" s="4" customFormat="1" x14ac:dyDescent="0.25">
      <c r="A266" s="4" t="s">
        <v>154</v>
      </c>
      <c r="B266" s="4" t="s">
        <v>142</v>
      </c>
      <c r="C266" s="4" t="s">
        <v>155</v>
      </c>
      <c r="D266" s="5">
        <v>45658</v>
      </c>
      <c r="E266" s="5">
        <v>45901</v>
      </c>
      <c r="F266" s="4">
        <f>DATEDIF(D266,E266,"M")</f>
        <v>8</v>
      </c>
      <c r="G266" s="4" t="s">
        <v>429</v>
      </c>
      <c r="H266" s="4" t="s">
        <v>431</v>
      </c>
      <c r="I266" s="4">
        <v>18581063</v>
      </c>
      <c r="J266" s="4" t="s">
        <v>423</v>
      </c>
      <c r="K266" s="4" t="s">
        <v>146</v>
      </c>
      <c r="L266" s="4" t="str">
        <f>CONCATENATE(J266, " ",K266)</f>
        <v xml:space="preserve">TIMOTHY HODGMAN             </v>
      </c>
      <c r="M266" s="4">
        <v>12.43</v>
      </c>
      <c r="N266" s="7">
        <v>0.65</v>
      </c>
      <c r="O266" s="4">
        <v>8.08</v>
      </c>
      <c r="P266" s="4" t="s">
        <v>435</v>
      </c>
    </row>
    <row r="267" spans="1:16" s="4" customFormat="1" x14ac:dyDescent="0.25">
      <c r="A267" s="4" t="s">
        <v>154</v>
      </c>
      <c r="B267" s="4" t="s">
        <v>142</v>
      </c>
      <c r="C267" s="4" t="s">
        <v>155</v>
      </c>
      <c r="D267" s="5">
        <v>45658</v>
      </c>
      <c r="E267" s="5">
        <v>45901</v>
      </c>
      <c r="F267" s="4">
        <f>DATEDIF(D267,E267,"M")</f>
        <v>8</v>
      </c>
      <c r="G267" s="4" t="s">
        <v>429</v>
      </c>
      <c r="H267" s="4" t="s">
        <v>431</v>
      </c>
      <c r="I267" s="4">
        <v>18581063</v>
      </c>
      <c r="J267" s="4" t="s">
        <v>423</v>
      </c>
      <c r="K267" s="4" t="s">
        <v>146</v>
      </c>
      <c r="L267" s="4" t="str">
        <f>CONCATENATE(J267, " ",K267)</f>
        <v xml:space="preserve">TIMOTHY HODGMAN             </v>
      </c>
      <c r="M267" s="4">
        <v>4.62</v>
      </c>
      <c r="N267" s="7">
        <v>0.65</v>
      </c>
      <c r="O267" s="4">
        <v>3</v>
      </c>
      <c r="P267" s="4" t="s">
        <v>435</v>
      </c>
    </row>
    <row r="268" spans="1:16" s="4" customFormat="1" x14ac:dyDescent="0.25">
      <c r="A268" s="4" t="s">
        <v>154</v>
      </c>
      <c r="B268" s="4" t="s">
        <v>142</v>
      </c>
      <c r="C268" s="4" t="s">
        <v>155</v>
      </c>
      <c r="D268" s="5">
        <v>45658</v>
      </c>
      <c r="E268" s="5">
        <v>45901</v>
      </c>
      <c r="F268" s="4">
        <f>DATEDIF(D268,E268,"M")</f>
        <v>8</v>
      </c>
      <c r="G268" s="4" t="s">
        <v>429</v>
      </c>
      <c r="H268" s="4" t="s">
        <v>431</v>
      </c>
      <c r="I268" s="4">
        <v>18581063</v>
      </c>
      <c r="J268" s="4" t="s">
        <v>423</v>
      </c>
      <c r="K268" s="4" t="s">
        <v>146</v>
      </c>
      <c r="L268" s="4" t="str">
        <f>CONCATENATE(J268, " ",K268)</f>
        <v xml:space="preserve">TIMOTHY HODGMAN             </v>
      </c>
      <c r="M268" s="4">
        <v>17.63</v>
      </c>
      <c r="N268" s="7">
        <v>0.65</v>
      </c>
      <c r="O268" s="4">
        <v>11.46</v>
      </c>
      <c r="P268" s="4" t="s">
        <v>435</v>
      </c>
    </row>
    <row r="269" spans="1:16" s="4" customFormat="1" x14ac:dyDescent="0.25">
      <c r="A269" s="4" t="s">
        <v>154</v>
      </c>
      <c r="B269" s="4" t="s">
        <v>142</v>
      </c>
      <c r="C269" s="4" t="s">
        <v>155</v>
      </c>
      <c r="D269" s="5">
        <v>45658</v>
      </c>
      <c r="E269" s="5">
        <v>45901</v>
      </c>
      <c r="F269" s="4">
        <f>DATEDIF(D269,E269,"M")</f>
        <v>8</v>
      </c>
      <c r="G269" s="4" t="s">
        <v>429</v>
      </c>
      <c r="H269" s="4" t="s">
        <v>431</v>
      </c>
      <c r="I269" s="4">
        <v>18581063</v>
      </c>
      <c r="J269" s="4" t="s">
        <v>423</v>
      </c>
      <c r="K269" s="4" t="s">
        <v>146</v>
      </c>
      <c r="L269" s="4" t="str">
        <f>CONCATENATE(J269, " ",K269)</f>
        <v xml:space="preserve">TIMOTHY HODGMAN             </v>
      </c>
      <c r="M269" s="4">
        <v>2.86</v>
      </c>
      <c r="N269" s="7">
        <v>0.65</v>
      </c>
      <c r="O269" s="4">
        <v>1.86</v>
      </c>
      <c r="P269" s="4" t="s">
        <v>435</v>
      </c>
    </row>
    <row r="270" spans="1:16" s="4" customFormat="1" x14ac:dyDescent="0.25">
      <c r="A270" s="4" t="s">
        <v>154</v>
      </c>
      <c r="B270" s="4" t="s">
        <v>142</v>
      </c>
      <c r="C270" s="4" t="s">
        <v>155</v>
      </c>
      <c r="D270" s="5">
        <v>45658</v>
      </c>
      <c r="E270" s="5">
        <v>45901</v>
      </c>
      <c r="F270" s="4">
        <f>DATEDIF(D270,E270,"M")</f>
        <v>8</v>
      </c>
      <c r="G270" s="4" t="s">
        <v>429</v>
      </c>
      <c r="H270" s="4" t="s">
        <v>431</v>
      </c>
      <c r="I270" s="4">
        <v>18581063</v>
      </c>
      <c r="J270" s="4" t="s">
        <v>423</v>
      </c>
      <c r="K270" s="4" t="s">
        <v>146</v>
      </c>
      <c r="L270" s="4" t="str">
        <f>CONCATENATE(J270, " ",K270)</f>
        <v xml:space="preserve">TIMOTHY HODGMAN             </v>
      </c>
      <c r="M270" s="4">
        <v>32.369999999999997</v>
      </c>
      <c r="N270" s="7">
        <v>0.65</v>
      </c>
      <c r="O270" s="4">
        <v>21.04</v>
      </c>
      <c r="P270" s="4" t="s">
        <v>435</v>
      </c>
    </row>
    <row r="271" spans="1:16" s="4" customFormat="1" x14ac:dyDescent="0.25">
      <c r="A271" s="4" t="s">
        <v>154</v>
      </c>
      <c r="B271" s="4" t="s">
        <v>142</v>
      </c>
      <c r="C271" s="4" t="s">
        <v>155</v>
      </c>
      <c r="D271" s="5">
        <v>45658</v>
      </c>
      <c r="E271" s="5">
        <v>45901</v>
      </c>
      <c r="F271" s="4">
        <f>DATEDIF(D271,E271,"M")</f>
        <v>8</v>
      </c>
      <c r="G271" s="4" t="s">
        <v>429</v>
      </c>
      <c r="H271" s="4" t="s">
        <v>431</v>
      </c>
      <c r="I271" s="4">
        <v>18581063</v>
      </c>
      <c r="J271" s="4" t="s">
        <v>423</v>
      </c>
      <c r="K271" s="4" t="s">
        <v>146</v>
      </c>
      <c r="L271" s="4" t="str">
        <f>CONCATENATE(J271, " ",K271)</f>
        <v xml:space="preserve">TIMOTHY HODGMAN             </v>
      </c>
      <c r="M271" s="4">
        <v>6.99</v>
      </c>
      <c r="N271" s="7">
        <v>0.65</v>
      </c>
      <c r="O271" s="4">
        <v>4.54</v>
      </c>
      <c r="P271" s="4" t="s">
        <v>435</v>
      </c>
    </row>
    <row r="272" spans="1:16" s="4" customFormat="1" x14ac:dyDescent="0.25">
      <c r="A272" s="4" t="s">
        <v>154</v>
      </c>
      <c r="B272" s="4" t="s">
        <v>142</v>
      </c>
      <c r="C272" s="4" t="s">
        <v>155</v>
      </c>
      <c r="D272" s="5">
        <v>45658</v>
      </c>
      <c r="E272" s="5">
        <v>45901</v>
      </c>
      <c r="F272" s="4">
        <f>DATEDIF(D272,E272,"M")</f>
        <v>8</v>
      </c>
      <c r="G272" s="4" t="s">
        <v>429</v>
      </c>
      <c r="H272" s="4" t="s">
        <v>431</v>
      </c>
      <c r="I272" s="4">
        <v>18581063</v>
      </c>
      <c r="J272" s="4" t="s">
        <v>423</v>
      </c>
      <c r="K272" s="4" t="s">
        <v>146</v>
      </c>
      <c r="L272" s="4" t="str">
        <f>CONCATENATE(J272, " ",K272)</f>
        <v xml:space="preserve">TIMOTHY HODGMAN             </v>
      </c>
      <c r="M272" s="4">
        <v>1.68</v>
      </c>
      <c r="N272" s="7">
        <v>0.65</v>
      </c>
      <c r="O272" s="4">
        <v>1.0900000000000001</v>
      </c>
      <c r="P272" s="4" t="s">
        <v>435</v>
      </c>
    </row>
    <row r="273" spans="1:16" s="4" customFormat="1" x14ac:dyDescent="0.25">
      <c r="A273" s="4" t="s">
        <v>65</v>
      </c>
      <c r="B273" s="4" t="s">
        <v>66</v>
      </c>
      <c r="C273" s="4" t="s">
        <v>67</v>
      </c>
      <c r="D273" s="5">
        <v>45627</v>
      </c>
      <c r="E273" s="5">
        <v>45901</v>
      </c>
      <c r="F273" s="4">
        <f>DATEDIF(D273,E273,"M")</f>
        <v>9</v>
      </c>
      <c r="G273" s="4" t="s">
        <v>429</v>
      </c>
      <c r="H273" s="4" t="s">
        <v>431</v>
      </c>
      <c r="I273" s="4">
        <v>9079571</v>
      </c>
      <c r="J273" s="4" t="s">
        <v>419</v>
      </c>
      <c r="K273" s="4" t="s">
        <v>25</v>
      </c>
      <c r="L273" s="4" t="str">
        <f>CONCATENATE(J273, " ",K273)</f>
        <v xml:space="preserve">ADAM RICHTER             </v>
      </c>
      <c r="M273" s="4">
        <v>78.84</v>
      </c>
      <c r="N273" s="7">
        <v>0.65</v>
      </c>
      <c r="O273" s="4">
        <v>51.25</v>
      </c>
      <c r="P273" s="4" t="s">
        <v>435</v>
      </c>
    </row>
    <row r="274" spans="1:16" s="4" customFormat="1" x14ac:dyDescent="0.25">
      <c r="A274" s="4" t="s">
        <v>65</v>
      </c>
      <c r="B274" s="4" t="s">
        <v>66</v>
      </c>
      <c r="C274" s="4" t="s">
        <v>67</v>
      </c>
      <c r="D274" s="5">
        <v>45627</v>
      </c>
      <c r="E274" s="5">
        <v>45901</v>
      </c>
      <c r="F274" s="4">
        <f>DATEDIF(D274,E274,"M")</f>
        <v>9</v>
      </c>
      <c r="G274" s="4" t="s">
        <v>429</v>
      </c>
      <c r="H274" s="4" t="s">
        <v>431</v>
      </c>
      <c r="I274" s="4">
        <v>9079571</v>
      </c>
      <c r="J274" s="4" t="s">
        <v>419</v>
      </c>
      <c r="K274" s="4" t="s">
        <v>25</v>
      </c>
      <c r="L274" s="4" t="str">
        <f>CONCATENATE(J274, " ",K274)</f>
        <v xml:space="preserve">ADAM RICHTER             </v>
      </c>
      <c r="M274" s="4">
        <v>6.22</v>
      </c>
      <c r="N274" s="7">
        <v>0.65</v>
      </c>
      <c r="O274" s="4">
        <v>4.04</v>
      </c>
      <c r="P274" s="4" t="s">
        <v>435</v>
      </c>
    </row>
    <row r="275" spans="1:16" s="4" customFormat="1" x14ac:dyDescent="0.25">
      <c r="A275" s="4" t="s">
        <v>65</v>
      </c>
      <c r="B275" s="4" t="s">
        <v>66</v>
      </c>
      <c r="C275" s="4" t="s">
        <v>67</v>
      </c>
      <c r="D275" s="5">
        <v>45627</v>
      </c>
      <c r="E275" s="5">
        <v>45901</v>
      </c>
      <c r="F275" s="4">
        <f>DATEDIF(D275,E275,"M")</f>
        <v>9</v>
      </c>
      <c r="G275" s="4" t="s">
        <v>429</v>
      </c>
      <c r="H275" s="4" t="s">
        <v>431</v>
      </c>
      <c r="I275" s="4">
        <v>9079571</v>
      </c>
      <c r="J275" s="4" t="s">
        <v>419</v>
      </c>
      <c r="K275" s="4" t="s">
        <v>25</v>
      </c>
      <c r="L275" s="4" t="str">
        <f>CONCATENATE(J275, " ",K275)</f>
        <v xml:space="preserve">ADAM RICHTER             </v>
      </c>
      <c r="M275" s="4">
        <v>4.96</v>
      </c>
      <c r="N275" s="7">
        <v>0.65</v>
      </c>
      <c r="O275" s="4">
        <v>3.22</v>
      </c>
      <c r="P275" s="4" t="s">
        <v>435</v>
      </c>
    </row>
    <row r="276" spans="1:16" s="4" customFormat="1" x14ac:dyDescent="0.25">
      <c r="A276" s="4" t="s">
        <v>65</v>
      </c>
      <c r="B276" s="4" t="s">
        <v>66</v>
      </c>
      <c r="C276" s="4" t="s">
        <v>67</v>
      </c>
      <c r="D276" s="5">
        <v>45627</v>
      </c>
      <c r="E276" s="5">
        <v>45901</v>
      </c>
      <c r="F276" s="4">
        <f>DATEDIF(D276,E276,"M")</f>
        <v>9</v>
      </c>
      <c r="G276" s="4" t="s">
        <v>429</v>
      </c>
      <c r="H276" s="4" t="s">
        <v>431</v>
      </c>
      <c r="I276" s="4">
        <v>9079571</v>
      </c>
      <c r="J276" s="4" t="s">
        <v>419</v>
      </c>
      <c r="K276" s="4" t="s">
        <v>25</v>
      </c>
      <c r="L276" s="4" t="str">
        <f>CONCATENATE(J276, " ",K276)</f>
        <v xml:space="preserve">ADAM RICHTER             </v>
      </c>
      <c r="M276" s="4">
        <v>1.07</v>
      </c>
      <c r="N276" s="7">
        <v>0.65</v>
      </c>
      <c r="O276" s="4">
        <v>0.7</v>
      </c>
      <c r="P276" s="4" t="s">
        <v>435</v>
      </c>
    </row>
    <row r="277" spans="1:16" s="4" customFormat="1" x14ac:dyDescent="0.25">
      <c r="A277" s="4" t="s">
        <v>65</v>
      </c>
      <c r="B277" s="4" t="s">
        <v>66</v>
      </c>
      <c r="C277" s="4" t="s">
        <v>67</v>
      </c>
      <c r="D277" s="5">
        <v>45627</v>
      </c>
      <c r="E277" s="5">
        <v>45901</v>
      </c>
      <c r="F277" s="4">
        <f>DATEDIF(D277,E277,"M")</f>
        <v>9</v>
      </c>
      <c r="G277" s="4" t="s">
        <v>429</v>
      </c>
      <c r="H277" s="4" t="s">
        <v>431</v>
      </c>
      <c r="I277" s="4">
        <v>9079571</v>
      </c>
      <c r="J277" s="4" t="s">
        <v>419</v>
      </c>
      <c r="K277" s="4" t="s">
        <v>25</v>
      </c>
      <c r="L277" s="4" t="str">
        <f>CONCATENATE(J277, " ",K277)</f>
        <v xml:space="preserve">ADAM RICHTER             </v>
      </c>
      <c r="M277" s="4">
        <v>1.68</v>
      </c>
      <c r="N277" s="7">
        <v>0.65</v>
      </c>
      <c r="O277" s="4">
        <v>1.0900000000000001</v>
      </c>
      <c r="P277" s="4" t="s">
        <v>435</v>
      </c>
    </row>
    <row r="278" spans="1:16" s="4" customFormat="1" x14ac:dyDescent="0.25">
      <c r="A278" s="4" t="s">
        <v>65</v>
      </c>
      <c r="B278" s="4" t="s">
        <v>66</v>
      </c>
      <c r="C278" s="4" t="s">
        <v>67</v>
      </c>
      <c r="D278" s="5">
        <v>45627</v>
      </c>
      <c r="E278" s="5">
        <v>45901</v>
      </c>
      <c r="F278" s="4">
        <f>DATEDIF(D278,E278,"M")</f>
        <v>9</v>
      </c>
      <c r="G278" s="4" t="s">
        <v>429</v>
      </c>
      <c r="H278" s="4" t="s">
        <v>431</v>
      </c>
      <c r="I278" s="4">
        <v>9079571</v>
      </c>
      <c r="J278" s="4" t="s">
        <v>419</v>
      </c>
      <c r="K278" s="4" t="s">
        <v>25</v>
      </c>
      <c r="L278" s="4" t="str">
        <f>CONCATENATE(J278, " ",K278)</f>
        <v xml:space="preserve">ADAM RICHTER             </v>
      </c>
      <c r="M278" s="4">
        <v>6.99</v>
      </c>
      <c r="N278" s="7">
        <v>0.65</v>
      </c>
      <c r="O278" s="4">
        <v>4.54</v>
      </c>
      <c r="P278" s="4" t="s">
        <v>435</v>
      </c>
    </row>
    <row r="279" spans="1:16" s="4" customFormat="1" x14ac:dyDescent="0.25">
      <c r="A279" s="4" t="s">
        <v>65</v>
      </c>
      <c r="B279" s="4" t="s">
        <v>66</v>
      </c>
      <c r="C279" s="4" t="s">
        <v>67</v>
      </c>
      <c r="D279" s="5">
        <v>45627</v>
      </c>
      <c r="E279" s="5">
        <v>45901</v>
      </c>
      <c r="F279" s="4">
        <f>DATEDIF(D279,E279,"M")</f>
        <v>9</v>
      </c>
      <c r="G279" s="4" t="s">
        <v>429</v>
      </c>
      <c r="H279" s="4" t="s">
        <v>431</v>
      </c>
      <c r="I279" s="4">
        <v>9079571</v>
      </c>
      <c r="J279" s="4" t="s">
        <v>419</v>
      </c>
      <c r="K279" s="4" t="s">
        <v>25</v>
      </c>
      <c r="L279" s="4" t="str">
        <f>CONCATENATE(J279, " ",K279)</f>
        <v xml:space="preserve">ADAM RICHTER             </v>
      </c>
      <c r="M279" s="4">
        <v>6.47</v>
      </c>
      <c r="N279" s="7">
        <v>0.65</v>
      </c>
      <c r="O279" s="4">
        <v>4.21</v>
      </c>
      <c r="P279" s="4" t="s">
        <v>435</v>
      </c>
    </row>
    <row r="280" spans="1:16" s="4" customFormat="1" x14ac:dyDescent="0.25">
      <c r="A280" s="4" t="s">
        <v>82</v>
      </c>
      <c r="B280" s="4" t="s">
        <v>21</v>
      </c>
      <c r="C280" s="4" t="s">
        <v>83</v>
      </c>
      <c r="D280" s="5">
        <v>45627</v>
      </c>
      <c r="E280" s="5">
        <v>45901</v>
      </c>
      <c r="F280" s="4">
        <f>DATEDIF(D280,E280,"M")</f>
        <v>9</v>
      </c>
      <c r="G280" s="4" t="s">
        <v>429</v>
      </c>
      <c r="H280" s="4" t="s">
        <v>431</v>
      </c>
      <c r="I280" s="4">
        <v>9079571</v>
      </c>
      <c r="J280" s="4" t="s">
        <v>419</v>
      </c>
      <c r="K280" s="4" t="s">
        <v>25</v>
      </c>
      <c r="L280" s="4" t="str">
        <f>CONCATENATE(J280, " ",K280)</f>
        <v xml:space="preserve">ADAM RICHTER             </v>
      </c>
      <c r="M280" s="4">
        <v>26.14</v>
      </c>
      <c r="N280" s="7">
        <v>0.65</v>
      </c>
      <c r="O280" s="4">
        <v>16.989999999999998</v>
      </c>
      <c r="P280" s="4" t="s">
        <v>435</v>
      </c>
    </row>
    <row r="281" spans="1:16" s="4" customFormat="1" x14ac:dyDescent="0.25">
      <c r="A281" s="4" t="s">
        <v>82</v>
      </c>
      <c r="B281" s="4" t="s">
        <v>21</v>
      </c>
      <c r="C281" s="4" t="s">
        <v>83</v>
      </c>
      <c r="D281" s="5">
        <v>45627</v>
      </c>
      <c r="E281" s="5">
        <v>45901</v>
      </c>
      <c r="F281" s="4">
        <f>DATEDIF(D281,E281,"M")</f>
        <v>9</v>
      </c>
      <c r="G281" s="4" t="s">
        <v>429</v>
      </c>
      <c r="H281" s="4" t="s">
        <v>431</v>
      </c>
      <c r="I281" s="4">
        <v>9079571</v>
      </c>
      <c r="J281" s="4" t="s">
        <v>419</v>
      </c>
      <c r="K281" s="4" t="s">
        <v>25</v>
      </c>
      <c r="L281" s="4" t="str">
        <f>CONCATENATE(J281, " ",K281)</f>
        <v xml:space="preserve">ADAM RICHTER             </v>
      </c>
      <c r="M281" s="4">
        <v>5.51</v>
      </c>
      <c r="N281" s="7">
        <v>0.65</v>
      </c>
      <c r="O281" s="4">
        <v>3.58</v>
      </c>
      <c r="P281" s="4" t="s">
        <v>435</v>
      </c>
    </row>
    <row r="282" spans="1:16" s="4" customFormat="1" x14ac:dyDescent="0.25">
      <c r="A282" s="4" t="s">
        <v>82</v>
      </c>
      <c r="B282" s="4" t="s">
        <v>21</v>
      </c>
      <c r="C282" s="4" t="s">
        <v>83</v>
      </c>
      <c r="D282" s="5">
        <v>45627</v>
      </c>
      <c r="E282" s="5">
        <v>45901</v>
      </c>
      <c r="F282" s="4">
        <f>DATEDIF(D282,E282,"M")</f>
        <v>9</v>
      </c>
      <c r="G282" s="4" t="s">
        <v>429</v>
      </c>
      <c r="H282" s="4" t="s">
        <v>431</v>
      </c>
      <c r="I282" s="4">
        <v>9079571</v>
      </c>
      <c r="J282" s="4" t="s">
        <v>419</v>
      </c>
      <c r="K282" s="4" t="s">
        <v>25</v>
      </c>
      <c r="L282" s="4" t="str">
        <f>CONCATENATE(J282, " ",K282)</f>
        <v xml:space="preserve">ADAM RICHTER             </v>
      </c>
      <c r="M282" s="4">
        <v>11.3</v>
      </c>
      <c r="N282" s="7">
        <v>0.65</v>
      </c>
      <c r="O282" s="4">
        <v>7.35</v>
      </c>
      <c r="P282" s="4" t="s">
        <v>435</v>
      </c>
    </row>
    <row r="283" spans="1:16" s="4" customFormat="1" x14ac:dyDescent="0.25">
      <c r="A283" s="4" t="s">
        <v>82</v>
      </c>
      <c r="B283" s="4" t="s">
        <v>21</v>
      </c>
      <c r="C283" s="4" t="s">
        <v>83</v>
      </c>
      <c r="D283" s="5">
        <v>45627</v>
      </c>
      <c r="E283" s="5">
        <v>45901</v>
      </c>
      <c r="F283" s="4">
        <f>DATEDIF(D283,E283,"M")</f>
        <v>9</v>
      </c>
      <c r="G283" s="4" t="s">
        <v>429</v>
      </c>
      <c r="H283" s="4" t="s">
        <v>431</v>
      </c>
      <c r="I283" s="4">
        <v>9079571</v>
      </c>
      <c r="J283" s="4" t="s">
        <v>419</v>
      </c>
      <c r="K283" s="4" t="s">
        <v>25</v>
      </c>
      <c r="L283" s="4" t="str">
        <f>CONCATENATE(J283, " ",K283)</f>
        <v xml:space="preserve">ADAM RICHTER             </v>
      </c>
      <c r="M283" s="4">
        <v>2.59</v>
      </c>
      <c r="N283" s="7">
        <v>0.65</v>
      </c>
      <c r="O283" s="4">
        <v>1.68</v>
      </c>
      <c r="P283" s="4" t="s">
        <v>435</v>
      </c>
    </row>
    <row r="284" spans="1:16" s="4" customFormat="1" x14ac:dyDescent="0.25">
      <c r="A284" s="4" t="s">
        <v>82</v>
      </c>
      <c r="B284" s="4" t="s">
        <v>21</v>
      </c>
      <c r="C284" s="4" t="s">
        <v>83</v>
      </c>
      <c r="D284" s="5">
        <v>45627</v>
      </c>
      <c r="E284" s="5">
        <v>45901</v>
      </c>
      <c r="F284" s="4">
        <f>DATEDIF(D284,E284,"M")</f>
        <v>9</v>
      </c>
      <c r="G284" s="4" t="s">
        <v>429</v>
      </c>
      <c r="H284" s="4" t="s">
        <v>431</v>
      </c>
      <c r="I284" s="4">
        <v>9079571</v>
      </c>
      <c r="J284" s="4" t="s">
        <v>419</v>
      </c>
      <c r="K284" s="4" t="s">
        <v>25</v>
      </c>
      <c r="L284" s="4" t="str">
        <f>CONCATENATE(J284, " ",K284)</f>
        <v xml:space="preserve">ADAM RICHTER             </v>
      </c>
      <c r="M284" s="4">
        <v>4.62</v>
      </c>
      <c r="N284" s="7">
        <v>0.65</v>
      </c>
      <c r="O284" s="4">
        <v>3</v>
      </c>
      <c r="P284" s="4" t="s">
        <v>435</v>
      </c>
    </row>
    <row r="285" spans="1:16" s="4" customFormat="1" x14ac:dyDescent="0.25">
      <c r="A285" s="4" t="s">
        <v>82</v>
      </c>
      <c r="B285" s="4" t="s">
        <v>21</v>
      </c>
      <c r="C285" s="4" t="s">
        <v>83</v>
      </c>
      <c r="D285" s="5">
        <v>45627</v>
      </c>
      <c r="E285" s="5">
        <v>45901</v>
      </c>
      <c r="F285" s="4">
        <f>DATEDIF(D285,E285,"M")</f>
        <v>9</v>
      </c>
      <c r="G285" s="4" t="s">
        <v>429</v>
      </c>
      <c r="H285" s="4" t="s">
        <v>431</v>
      </c>
      <c r="I285" s="4">
        <v>9079571</v>
      </c>
      <c r="J285" s="4" t="s">
        <v>419</v>
      </c>
      <c r="K285" s="4" t="s">
        <v>25</v>
      </c>
      <c r="L285" s="4" t="str">
        <f>CONCATENATE(J285, " ",K285)</f>
        <v xml:space="preserve">ADAM RICHTER             </v>
      </c>
      <c r="M285" s="4">
        <v>16.07</v>
      </c>
      <c r="N285" s="7">
        <v>0.65</v>
      </c>
      <c r="O285" s="4">
        <v>10.45</v>
      </c>
      <c r="P285" s="4" t="s">
        <v>435</v>
      </c>
    </row>
    <row r="286" spans="1:16" s="4" customFormat="1" x14ac:dyDescent="0.25">
      <c r="A286" s="4" t="s">
        <v>82</v>
      </c>
      <c r="B286" s="4" t="s">
        <v>21</v>
      </c>
      <c r="C286" s="4" t="s">
        <v>83</v>
      </c>
      <c r="D286" s="5">
        <v>45627</v>
      </c>
      <c r="E286" s="5">
        <v>45901</v>
      </c>
      <c r="F286" s="4">
        <f>DATEDIF(D286,E286,"M")</f>
        <v>9</v>
      </c>
      <c r="G286" s="4" t="s">
        <v>429</v>
      </c>
      <c r="H286" s="4" t="s">
        <v>431</v>
      </c>
      <c r="I286" s="4">
        <v>9079571</v>
      </c>
      <c r="J286" s="4" t="s">
        <v>419</v>
      </c>
      <c r="K286" s="4" t="s">
        <v>25</v>
      </c>
      <c r="L286" s="4" t="str">
        <f>CONCATENATE(J286, " ",K286)</f>
        <v xml:space="preserve">ADAM RICHTER             </v>
      </c>
      <c r="M286" s="4">
        <v>1.68</v>
      </c>
      <c r="N286" s="7">
        <v>0.65</v>
      </c>
      <c r="O286" s="4">
        <v>1.0900000000000001</v>
      </c>
      <c r="P286" s="4" t="s">
        <v>435</v>
      </c>
    </row>
    <row r="287" spans="1:16" s="4" customFormat="1" x14ac:dyDescent="0.25">
      <c r="A287" s="4" t="s">
        <v>80</v>
      </c>
      <c r="B287" s="4" t="s">
        <v>21</v>
      </c>
      <c r="C287" s="4" t="s">
        <v>81</v>
      </c>
      <c r="D287" s="5">
        <v>45627</v>
      </c>
      <c r="E287" s="5">
        <v>45901</v>
      </c>
      <c r="F287" s="4">
        <f>DATEDIF(D287,E287,"M")</f>
        <v>9</v>
      </c>
      <c r="G287" s="4" t="s">
        <v>429</v>
      </c>
      <c r="H287" s="4" t="s">
        <v>431</v>
      </c>
      <c r="I287" s="4">
        <v>9079571</v>
      </c>
      <c r="J287" s="4" t="s">
        <v>419</v>
      </c>
      <c r="K287" s="4" t="s">
        <v>25</v>
      </c>
      <c r="L287" s="4" t="str">
        <f>CONCATENATE(J287, " ",K287)</f>
        <v xml:space="preserve">ADAM RICHTER             </v>
      </c>
      <c r="M287" s="4">
        <v>97.76</v>
      </c>
      <c r="N287" s="7">
        <v>0.75</v>
      </c>
      <c r="O287" s="4">
        <v>73.319999999999993</v>
      </c>
      <c r="P287" s="4" t="s">
        <v>436</v>
      </c>
    </row>
    <row r="288" spans="1:16" s="4" customFormat="1" x14ac:dyDescent="0.25">
      <c r="A288" s="4" t="s">
        <v>80</v>
      </c>
      <c r="B288" s="4" t="s">
        <v>21</v>
      </c>
      <c r="C288" s="4" t="s">
        <v>81</v>
      </c>
      <c r="D288" s="5">
        <v>45627</v>
      </c>
      <c r="E288" s="5">
        <v>45901</v>
      </c>
      <c r="F288" s="4">
        <f>DATEDIF(D288,E288,"M")</f>
        <v>9</v>
      </c>
      <c r="G288" s="4" t="s">
        <v>429</v>
      </c>
      <c r="H288" s="4" t="s">
        <v>431</v>
      </c>
      <c r="I288" s="4">
        <v>9079571</v>
      </c>
      <c r="J288" s="4" t="s">
        <v>419</v>
      </c>
      <c r="K288" s="4" t="s">
        <v>25</v>
      </c>
      <c r="L288" s="4" t="str">
        <f>CONCATENATE(J288, " ",K288)</f>
        <v xml:space="preserve">ADAM RICHTER             </v>
      </c>
      <c r="M288" s="4">
        <v>29.35</v>
      </c>
      <c r="N288" s="7">
        <v>0.75</v>
      </c>
      <c r="O288" s="4">
        <v>22.01</v>
      </c>
      <c r="P288" s="4" t="s">
        <v>436</v>
      </c>
    </row>
    <row r="289" spans="1:16" s="4" customFormat="1" x14ac:dyDescent="0.25">
      <c r="A289" s="4" t="s">
        <v>80</v>
      </c>
      <c r="B289" s="4" t="s">
        <v>21</v>
      </c>
      <c r="C289" s="4" t="s">
        <v>81</v>
      </c>
      <c r="D289" s="5">
        <v>45627</v>
      </c>
      <c r="E289" s="5">
        <v>45901</v>
      </c>
      <c r="F289" s="4">
        <f>DATEDIF(D289,E289,"M")</f>
        <v>9</v>
      </c>
      <c r="G289" s="4" t="s">
        <v>429</v>
      </c>
      <c r="H289" s="4" t="s">
        <v>431</v>
      </c>
      <c r="I289" s="4">
        <v>9079571</v>
      </c>
      <c r="J289" s="4" t="s">
        <v>419</v>
      </c>
      <c r="K289" s="4" t="s">
        <v>25</v>
      </c>
      <c r="L289" s="4" t="str">
        <f>CONCATENATE(J289, " ",K289)</f>
        <v xml:space="preserve">ADAM RICHTER             </v>
      </c>
      <c r="M289" s="4">
        <v>10.66</v>
      </c>
      <c r="N289" s="7">
        <v>0.75</v>
      </c>
      <c r="O289" s="4">
        <v>8</v>
      </c>
      <c r="P289" s="4" t="s">
        <v>436</v>
      </c>
    </row>
    <row r="290" spans="1:16" s="4" customFormat="1" x14ac:dyDescent="0.25">
      <c r="A290" s="4" t="s">
        <v>80</v>
      </c>
      <c r="B290" s="4" t="s">
        <v>21</v>
      </c>
      <c r="C290" s="4" t="s">
        <v>81</v>
      </c>
      <c r="D290" s="5">
        <v>45627</v>
      </c>
      <c r="E290" s="5">
        <v>45901</v>
      </c>
      <c r="F290" s="4">
        <f>DATEDIF(D290,E290,"M")</f>
        <v>9</v>
      </c>
      <c r="G290" s="4" t="s">
        <v>429</v>
      </c>
      <c r="H290" s="4" t="s">
        <v>431</v>
      </c>
      <c r="I290" s="4">
        <v>9079571</v>
      </c>
      <c r="J290" s="4" t="s">
        <v>419</v>
      </c>
      <c r="K290" s="4" t="s">
        <v>25</v>
      </c>
      <c r="L290" s="4" t="str">
        <f>CONCATENATE(J290, " ",K290)</f>
        <v xml:space="preserve">ADAM RICHTER             </v>
      </c>
      <c r="M290" s="4">
        <v>4.83</v>
      </c>
      <c r="N290" s="7">
        <v>0.75</v>
      </c>
      <c r="O290" s="4">
        <v>3.62</v>
      </c>
      <c r="P290" s="4" t="s">
        <v>436</v>
      </c>
    </row>
    <row r="291" spans="1:16" s="4" customFormat="1" x14ac:dyDescent="0.25">
      <c r="A291" s="4" t="s">
        <v>119</v>
      </c>
      <c r="B291" s="4" t="s">
        <v>33</v>
      </c>
      <c r="C291" s="4" t="s">
        <v>120</v>
      </c>
      <c r="D291" s="5">
        <v>45627</v>
      </c>
      <c r="E291" s="5">
        <v>45901</v>
      </c>
      <c r="F291" s="4">
        <f>DATEDIF(D291,E291,"M")</f>
        <v>9</v>
      </c>
      <c r="G291" s="4" t="s">
        <v>429</v>
      </c>
      <c r="H291" s="4" t="s">
        <v>431</v>
      </c>
      <c r="I291" s="4">
        <v>17425766</v>
      </c>
      <c r="J291" s="4" t="s">
        <v>421</v>
      </c>
      <c r="K291" s="4" t="s">
        <v>116</v>
      </c>
      <c r="L291" s="4" t="str">
        <f>CONCATENATE(J291, " ",K291)</f>
        <v xml:space="preserve">CAROL FOLEY               </v>
      </c>
      <c r="M291" s="4">
        <v>19.18</v>
      </c>
      <c r="N291" s="7">
        <v>0.65</v>
      </c>
      <c r="O291" s="4">
        <v>12.47</v>
      </c>
      <c r="P291" s="4" t="s">
        <v>435</v>
      </c>
    </row>
    <row r="292" spans="1:16" s="4" customFormat="1" x14ac:dyDescent="0.25">
      <c r="A292" s="4" t="s">
        <v>119</v>
      </c>
      <c r="B292" s="4" t="s">
        <v>33</v>
      </c>
      <c r="C292" s="4" t="s">
        <v>120</v>
      </c>
      <c r="D292" s="5">
        <v>45627</v>
      </c>
      <c r="E292" s="5">
        <v>45901</v>
      </c>
      <c r="F292" s="4">
        <f>DATEDIF(D292,E292,"M")</f>
        <v>9</v>
      </c>
      <c r="G292" s="4" t="s">
        <v>429</v>
      </c>
      <c r="H292" s="4" t="s">
        <v>431</v>
      </c>
      <c r="I292" s="4">
        <v>17425766</v>
      </c>
      <c r="J292" s="4" t="s">
        <v>421</v>
      </c>
      <c r="K292" s="4" t="s">
        <v>116</v>
      </c>
      <c r="L292" s="4" t="str">
        <f>CONCATENATE(J292, " ",K292)</f>
        <v xml:space="preserve">CAROL FOLEY               </v>
      </c>
      <c r="M292" s="4">
        <v>14.07</v>
      </c>
      <c r="N292" s="7">
        <v>0.65</v>
      </c>
      <c r="O292" s="4">
        <v>9.15</v>
      </c>
      <c r="P292" s="4" t="s">
        <v>435</v>
      </c>
    </row>
    <row r="293" spans="1:16" s="4" customFormat="1" x14ac:dyDescent="0.25">
      <c r="A293" s="4" t="s">
        <v>119</v>
      </c>
      <c r="B293" s="4" t="s">
        <v>33</v>
      </c>
      <c r="C293" s="4" t="s">
        <v>120</v>
      </c>
      <c r="D293" s="5">
        <v>45627</v>
      </c>
      <c r="E293" s="5">
        <v>45901</v>
      </c>
      <c r="F293" s="4">
        <f>DATEDIF(D293,E293,"M")</f>
        <v>9</v>
      </c>
      <c r="G293" s="4" t="s">
        <v>429</v>
      </c>
      <c r="H293" s="4" t="s">
        <v>431</v>
      </c>
      <c r="I293" s="4">
        <v>17425766</v>
      </c>
      <c r="J293" s="4" t="s">
        <v>421</v>
      </c>
      <c r="K293" s="4" t="s">
        <v>116</v>
      </c>
      <c r="L293" s="4" t="str">
        <f>CONCATENATE(J293, " ",K293)</f>
        <v xml:space="preserve">CAROL FOLEY               </v>
      </c>
      <c r="M293" s="4">
        <v>1.68</v>
      </c>
      <c r="N293" s="7">
        <v>0.65</v>
      </c>
      <c r="O293" s="4">
        <v>1.0900000000000001</v>
      </c>
      <c r="P293" s="4" t="s">
        <v>435</v>
      </c>
    </row>
    <row r="294" spans="1:16" s="4" customFormat="1" x14ac:dyDescent="0.25">
      <c r="A294" s="4" t="s">
        <v>119</v>
      </c>
      <c r="B294" s="4" t="s">
        <v>33</v>
      </c>
      <c r="C294" s="4" t="s">
        <v>120</v>
      </c>
      <c r="D294" s="5">
        <v>45627</v>
      </c>
      <c r="E294" s="5">
        <v>45901</v>
      </c>
      <c r="F294" s="4">
        <f>DATEDIF(D294,E294,"M")</f>
        <v>9</v>
      </c>
      <c r="G294" s="4" t="s">
        <v>429</v>
      </c>
      <c r="H294" s="4" t="s">
        <v>431</v>
      </c>
      <c r="I294" s="4">
        <v>17425766</v>
      </c>
      <c r="J294" s="4" t="s">
        <v>421</v>
      </c>
      <c r="K294" s="4" t="s">
        <v>116</v>
      </c>
      <c r="L294" s="4" t="str">
        <f>CONCATENATE(J294, " ",K294)</f>
        <v xml:space="preserve">CAROL FOLEY               </v>
      </c>
      <c r="M294" s="4">
        <v>3.3</v>
      </c>
      <c r="N294" s="7">
        <v>0.65</v>
      </c>
      <c r="O294" s="4">
        <v>2.15</v>
      </c>
      <c r="P294" s="4" t="s">
        <v>435</v>
      </c>
    </row>
    <row r="295" spans="1:16" s="4" customFormat="1" x14ac:dyDescent="0.25">
      <c r="A295" s="4" t="s">
        <v>119</v>
      </c>
      <c r="B295" s="4" t="s">
        <v>33</v>
      </c>
      <c r="C295" s="4" t="s">
        <v>120</v>
      </c>
      <c r="D295" s="5">
        <v>45627</v>
      </c>
      <c r="E295" s="5">
        <v>45901</v>
      </c>
      <c r="F295" s="4">
        <f>DATEDIF(D295,E295,"M")</f>
        <v>9</v>
      </c>
      <c r="G295" s="4" t="s">
        <v>429</v>
      </c>
      <c r="H295" s="4" t="s">
        <v>431</v>
      </c>
      <c r="I295" s="4">
        <v>17425766</v>
      </c>
      <c r="J295" s="4" t="s">
        <v>421</v>
      </c>
      <c r="K295" s="4" t="s">
        <v>116</v>
      </c>
      <c r="L295" s="4" t="str">
        <f>CONCATENATE(J295, " ",K295)</f>
        <v xml:space="preserve">CAROL FOLEY               </v>
      </c>
      <c r="M295" s="4">
        <v>9.6199999999999992</v>
      </c>
      <c r="N295" s="7">
        <v>0.65</v>
      </c>
      <c r="O295" s="4">
        <v>6.25</v>
      </c>
      <c r="P295" s="4" t="s">
        <v>435</v>
      </c>
    </row>
    <row r="296" spans="1:16" s="4" customFormat="1" x14ac:dyDescent="0.25">
      <c r="A296" s="4" t="s">
        <v>121</v>
      </c>
      <c r="B296" s="4" t="s">
        <v>33</v>
      </c>
      <c r="C296" s="4" t="s">
        <v>122</v>
      </c>
      <c r="D296" s="5">
        <v>45627</v>
      </c>
      <c r="E296" s="5">
        <v>45901</v>
      </c>
      <c r="F296" s="4">
        <f>DATEDIF(D296,E296,"M")</f>
        <v>9</v>
      </c>
      <c r="G296" s="4" t="s">
        <v>429</v>
      </c>
      <c r="H296" s="4" t="s">
        <v>431</v>
      </c>
      <c r="I296" s="4">
        <v>17425766</v>
      </c>
      <c r="J296" s="4" t="s">
        <v>421</v>
      </c>
      <c r="K296" s="4" t="s">
        <v>116</v>
      </c>
      <c r="L296" s="4" t="str">
        <f>CONCATENATE(J296, " ",K296)</f>
        <v xml:space="preserve">CAROL FOLEY               </v>
      </c>
      <c r="M296" s="4">
        <v>18.95</v>
      </c>
      <c r="N296" s="7">
        <v>0.65</v>
      </c>
      <c r="O296" s="4">
        <v>12.32</v>
      </c>
      <c r="P296" s="4" t="s">
        <v>435</v>
      </c>
    </row>
    <row r="297" spans="1:16" s="4" customFormat="1" x14ac:dyDescent="0.25">
      <c r="A297" s="4" t="s">
        <v>121</v>
      </c>
      <c r="B297" s="4" t="s">
        <v>33</v>
      </c>
      <c r="C297" s="4" t="s">
        <v>122</v>
      </c>
      <c r="D297" s="5">
        <v>45627</v>
      </c>
      <c r="E297" s="5">
        <v>45901</v>
      </c>
      <c r="F297" s="4">
        <f>DATEDIF(D297,E297,"M")</f>
        <v>9</v>
      </c>
      <c r="G297" s="4" t="s">
        <v>429</v>
      </c>
      <c r="H297" s="4" t="s">
        <v>431</v>
      </c>
      <c r="I297" s="4">
        <v>17425766</v>
      </c>
      <c r="J297" s="4" t="s">
        <v>421</v>
      </c>
      <c r="K297" s="4" t="s">
        <v>116</v>
      </c>
      <c r="L297" s="4" t="str">
        <f>CONCATENATE(J297, " ",K297)</f>
        <v xml:space="preserve">CAROL FOLEY               </v>
      </c>
      <c r="M297" s="4">
        <v>3.1</v>
      </c>
      <c r="N297" s="7">
        <v>0.65</v>
      </c>
      <c r="O297" s="4">
        <v>2.02</v>
      </c>
      <c r="P297" s="4" t="s">
        <v>435</v>
      </c>
    </row>
    <row r="298" spans="1:16" s="4" customFormat="1" x14ac:dyDescent="0.25">
      <c r="A298" s="4" t="s">
        <v>121</v>
      </c>
      <c r="B298" s="4" t="s">
        <v>33</v>
      </c>
      <c r="C298" s="4" t="s">
        <v>122</v>
      </c>
      <c r="D298" s="5">
        <v>45627</v>
      </c>
      <c r="E298" s="5">
        <v>45901</v>
      </c>
      <c r="F298" s="4">
        <f>DATEDIF(D298,E298,"M")</f>
        <v>9</v>
      </c>
      <c r="G298" s="4" t="s">
        <v>429</v>
      </c>
      <c r="H298" s="4" t="s">
        <v>431</v>
      </c>
      <c r="I298" s="4">
        <v>17425766</v>
      </c>
      <c r="J298" s="4" t="s">
        <v>421</v>
      </c>
      <c r="K298" s="4" t="s">
        <v>116</v>
      </c>
      <c r="L298" s="4" t="str">
        <f>CONCATENATE(J298, " ",K298)</f>
        <v xml:space="preserve">CAROL FOLEY               </v>
      </c>
      <c r="M298" s="4">
        <v>8.6199999999999992</v>
      </c>
      <c r="N298" s="7">
        <v>0.65</v>
      </c>
      <c r="O298" s="4">
        <v>5.6</v>
      </c>
      <c r="P298" s="4" t="s">
        <v>435</v>
      </c>
    </row>
    <row r="299" spans="1:16" s="4" customFormat="1" x14ac:dyDescent="0.25">
      <c r="A299" s="4" t="s">
        <v>121</v>
      </c>
      <c r="B299" s="4" t="s">
        <v>33</v>
      </c>
      <c r="C299" s="4" t="s">
        <v>122</v>
      </c>
      <c r="D299" s="5">
        <v>45627</v>
      </c>
      <c r="E299" s="5">
        <v>45901</v>
      </c>
      <c r="F299" s="4">
        <f>DATEDIF(D299,E299,"M")</f>
        <v>9</v>
      </c>
      <c r="G299" s="4" t="s">
        <v>429</v>
      </c>
      <c r="H299" s="4" t="s">
        <v>431</v>
      </c>
      <c r="I299" s="4">
        <v>17425766</v>
      </c>
      <c r="J299" s="4" t="s">
        <v>421</v>
      </c>
      <c r="K299" s="4" t="s">
        <v>116</v>
      </c>
      <c r="L299" s="4" t="str">
        <f>CONCATENATE(J299, " ",K299)</f>
        <v xml:space="preserve">CAROL FOLEY               </v>
      </c>
      <c r="M299" s="4">
        <v>13.68</v>
      </c>
      <c r="N299" s="7">
        <v>0.65</v>
      </c>
      <c r="O299" s="4">
        <v>8.89</v>
      </c>
      <c r="P299" s="4" t="s">
        <v>435</v>
      </c>
    </row>
    <row r="300" spans="1:16" s="4" customFormat="1" x14ac:dyDescent="0.25">
      <c r="A300" s="4" t="s">
        <v>121</v>
      </c>
      <c r="B300" s="4" t="s">
        <v>33</v>
      </c>
      <c r="C300" s="4" t="s">
        <v>122</v>
      </c>
      <c r="D300" s="5">
        <v>45627</v>
      </c>
      <c r="E300" s="5">
        <v>45901</v>
      </c>
      <c r="F300" s="4">
        <f>DATEDIF(D300,E300,"M")</f>
        <v>9</v>
      </c>
      <c r="G300" s="4" t="s">
        <v>429</v>
      </c>
      <c r="H300" s="4" t="s">
        <v>431</v>
      </c>
      <c r="I300" s="4">
        <v>17425766</v>
      </c>
      <c r="J300" s="4" t="s">
        <v>421</v>
      </c>
      <c r="K300" s="4" t="s">
        <v>116</v>
      </c>
      <c r="L300" s="4" t="str">
        <f>CONCATENATE(J300, " ",K300)</f>
        <v xml:space="preserve">CAROL FOLEY               </v>
      </c>
      <c r="M300" s="4">
        <v>1.68</v>
      </c>
      <c r="N300" s="7">
        <v>0.65</v>
      </c>
      <c r="O300" s="4">
        <v>1.0900000000000001</v>
      </c>
      <c r="P300" s="4" t="s">
        <v>435</v>
      </c>
    </row>
    <row r="301" spans="1:16" s="4" customFormat="1" x14ac:dyDescent="0.25">
      <c r="A301" s="4" t="s">
        <v>76</v>
      </c>
      <c r="B301" s="4" t="s">
        <v>21</v>
      </c>
      <c r="C301" s="4" t="s">
        <v>77</v>
      </c>
      <c r="D301" s="5">
        <v>45604</v>
      </c>
      <c r="E301" s="5">
        <v>45908</v>
      </c>
      <c r="F301" s="4">
        <f>DATEDIF(D301,E301,"M")</f>
        <v>10</v>
      </c>
      <c r="G301" s="4" t="s">
        <v>429</v>
      </c>
      <c r="H301" s="4" t="s">
        <v>431</v>
      </c>
      <c r="I301" s="4">
        <v>9079571</v>
      </c>
      <c r="J301" s="4" t="s">
        <v>419</v>
      </c>
      <c r="K301" s="4" t="s">
        <v>25</v>
      </c>
      <c r="L301" s="4" t="str">
        <f>CONCATENATE(J301, " ",K301)</f>
        <v xml:space="preserve">ADAM RICHTER             </v>
      </c>
      <c r="M301" s="4">
        <v>97.76</v>
      </c>
      <c r="N301" s="7">
        <v>0.75</v>
      </c>
      <c r="O301" s="4">
        <v>73.319999999999993</v>
      </c>
      <c r="P301" s="4" t="s">
        <v>436</v>
      </c>
    </row>
    <row r="302" spans="1:16" s="4" customFormat="1" x14ac:dyDescent="0.25">
      <c r="A302" s="4" t="s">
        <v>76</v>
      </c>
      <c r="B302" s="4" t="s">
        <v>21</v>
      </c>
      <c r="C302" s="4" t="s">
        <v>77</v>
      </c>
      <c r="D302" s="5">
        <v>45604</v>
      </c>
      <c r="E302" s="5">
        <v>45908</v>
      </c>
      <c r="F302" s="4">
        <f>DATEDIF(D302,E302,"M")</f>
        <v>10</v>
      </c>
      <c r="G302" s="4" t="s">
        <v>429</v>
      </c>
      <c r="H302" s="4" t="s">
        <v>431</v>
      </c>
      <c r="I302" s="4">
        <v>9079571</v>
      </c>
      <c r="J302" s="4" t="s">
        <v>419</v>
      </c>
      <c r="K302" s="4" t="s">
        <v>25</v>
      </c>
      <c r="L302" s="4" t="str">
        <f>CONCATENATE(J302, " ",K302)</f>
        <v xml:space="preserve">ADAM RICHTER             </v>
      </c>
      <c r="M302" s="4">
        <v>9.26</v>
      </c>
      <c r="N302" s="7">
        <v>0.75</v>
      </c>
      <c r="O302" s="4">
        <v>6.95</v>
      </c>
      <c r="P302" s="4" t="s">
        <v>436</v>
      </c>
    </row>
    <row r="303" spans="1:16" s="4" customFormat="1" x14ac:dyDescent="0.25">
      <c r="A303" s="4" t="s">
        <v>76</v>
      </c>
      <c r="B303" s="4" t="s">
        <v>21</v>
      </c>
      <c r="C303" s="4" t="s">
        <v>77</v>
      </c>
      <c r="D303" s="5">
        <v>45604</v>
      </c>
      <c r="E303" s="5">
        <v>45908</v>
      </c>
      <c r="F303" s="4">
        <f>DATEDIF(D303,E303,"M")</f>
        <v>10</v>
      </c>
      <c r="G303" s="4" t="s">
        <v>429</v>
      </c>
      <c r="H303" s="4" t="s">
        <v>431</v>
      </c>
      <c r="I303" s="4">
        <v>9079571</v>
      </c>
      <c r="J303" s="4" t="s">
        <v>419</v>
      </c>
      <c r="K303" s="4" t="s">
        <v>25</v>
      </c>
      <c r="L303" s="4" t="str">
        <f>CONCATENATE(J303, " ",K303)</f>
        <v xml:space="preserve">ADAM RICHTER             </v>
      </c>
      <c r="M303" s="4">
        <v>29.35</v>
      </c>
      <c r="N303" s="7">
        <v>0.75</v>
      </c>
      <c r="O303" s="4">
        <v>22.01</v>
      </c>
      <c r="P303" s="4" t="s">
        <v>436</v>
      </c>
    </row>
    <row r="304" spans="1:16" s="4" customFormat="1" x14ac:dyDescent="0.25">
      <c r="A304" s="4" t="s">
        <v>76</v>
      </c>
      <c r="B304" s="4" t="s">
        <v>21</v>
      </c>
      <c r="C304" s="4" t="s">
        <v>77</v>
      </c>
      <c r="D304" s="5">
        <v>45604</v>
      </c>
      <c r="E304" s="5">
        <v>45908</v>
      </c>
      <c r="F304" s="4">
        <f>DATEDIF(D304,E304,"M")</f>
        <v>10</v>
      </c>
      <c r="G304" s="4" t="s">
        <v>429</v>
      </c>
      <c r="H304" s="4" t="s">
        <v>431</v>
      </c>
      <c r="I304" s="4">
        <v>9079571</v>
      </c>
      <c r="J304" s="4" t="s">
        <v>419</v>
      </c>
      <c r="K304" s="4" t="s">
        <v>25</v>
      </c>
      <c r="L304" s="4" t="str">
        <f>CONCATENATE(J304, " ",K304)</f>
        <v xml:space="preserve">ADAM RICHTER             </v>
      </c>
      <c r="M304" s="4">
        <v>4.83</v>
      </c>
      <c r="N304" s="7">
        <v>0.75</v>
      </c>
      <c r="O304" s="4">
        <v>3.62</v>
      </c>
      <c r="P304" s="4" t="s">
        <v>436</v>
      </c>
    </row>
    <row r="305" spans="1:16" s="4" customFormat="1" x14ac:dyDescent="0.25">
      <c r="A305" s="4" t="s">
        <v>78</v>
      </c>
      <c r="B305" s="4" t="s">
        <v>21</v>
      </c>
      <c r="C305" s="4" t="s">
        <v>79</v>
      </c>
      <c r="D305" s="5">
        <v>45613</v>
      </c>
      <c r="E305" s="5">
        <v>45917</v>
      </c>
      <c r="F305" s="4">
        <f>DATEDIF(D305,E305,"M")</f>
        <v>10</v>
      </c>
      <c r="G305" s="4" t="s">
        <v>429</v>
      </c>
      <c r="H305" s="4" t="s">
        <v>431</v>
      </c>
      <c r="I305" s="4">
        <v>9079571</v>
      </c>
      <c r="J305" s="4" t="s">
        <v>419</v>
      </c>
      <c r="K305" s="4" t="s">
        <v>25</v>
      </c>
      <c r="L305" s="4" t="str">
        <f>CONCATENATE(J305, " ",K305)</f>
        <v xml:space="preserve">ADAM RICHTER             </v>
      </c>
      <c r="M305" s="4">
        <v>70.84</v>
      </c>
      <c r="N305" s="7">
        <v>0.75</v>
      </c>
      <c r="O305" s="4">
        <v>53.13</v>
      </c>
      <c r="P305" s="4" t="s">
        <v>436</v>
      </c>
    </row>
    <row r="306" spans="1:16" s="4" customFormat="1" x14ac:dyDescent="0.25">
      <c r="A306" s="4" t="s">
        <v>78</v>
      </c>
      <c r="B306" s="4" t="s">
        <v>21</v>
      </c>
      <c r="C306" s="4" t="s">
        <v>79</v>
      </c>
      <c r="D306" s="5">
        <v>45613</v>
      </c>
      <c r="E306" s="5">
        <v>45917</v>
      </c>
      <c r="F306" s="4">
        <f>DATEDIF(D306,E306,"M")</f>
        <v>10</v>
      </c>
      <c r="G306" s="4" t="s">
        <v>429</v>
      </c>
      <c r="H306" s="4" t="s">
        <v>431</v>
      </c>
      <c r="I306" s="4">
        <v>9079571</v>
      </c>
      <c r="J306" s="4" t="s">
        <v>419</v>
      </c>
      <c r="K306" s="4" t="s">
        <v>25</v>
      </c>
      <c r="L306" s="4" t="str">
        <f>CONCATENATE(J306, " ",K306)</f>
        <v xml:space="preserve">ADAM RICHTER             </v>
      </c>
      <c r="M306" s="4">
        <v>3.08</v>
      </c>
      <c r="N306" s="7">
        <v>0.75</v>
      </c>
      <c r="O306" s="4">
        <v>2.31</v>
      </c>
      <c r="P306" s="4" t="s">
        <v>436</v>
      </c>
    </row>
    <row r="307" spans="1:16" s="4" customFormat="1" x14ac:dyDescent="0.25">
      <c r="A307" s="4" t="s">
        <v>78</v>
      </c>
      <c r="B307" s="4" t="s">
        <v>21</v>
      </c>
      <c r="C307" s="4" t="s">
        <v>79</v>
      </c>
      <c r="D307" s="5">
        <v>45613</v>
      </c>
      <c r="E307" s="5">
        <v>45917</v>
      </c>
      <c r="F307" s="4">
        <f>DATEDIF(D307,E307,"M")</f>
        <v>10</v>
      </c>
      <c r="G307" s="4" t="s">
        <v>429</v>
      </c>
      <c r="H307" s="4" t="s">
        <v>431</v>
      </c>
      <c r="I307" s="4">
        <v>9079571</v>
      </c>
      <c r="J307" s="4" t="s">
        <v>419</v>
      </c>
      <c r="K307" s="4" t="s">
        <v>25</v>
      </c>
      <c r="L307" s="4" t="str">
        <f>CONCATENATE(J307, " ",K307)</f>
        <v xml:space="preserve">ADAM RICHTER             </v>
      </c>
      <c r="M307" s="4">
        <v>5.94</v>
      </c>
      <c r="N307" s="7">
        <v>0.75</v>
      </c>
      <c r="O307" s="4">
        <v>4.46</v>
      </c>
      <c r="P307" s="4" t="s">
        <v>436</v>
      </c>
    </row>
    <row r="308" spans="1:16" s="4" customFormat="1" x14ac:dyDescent="0.25">
      <c r="A308" s="4" t="s">
        <v>78</v>
      </c>
      <c r="B308" s="4" t="s">
        <v>21</v>
      </c>
      <c r="C308" s="4" t="s">
        <v>79</v>
      </c>
      <c r="D308" s="5">
        <v>45613</v>
      </c>
      <c r="E308" s="5">
        <v>45917</v>
      </c>
      <c r="F308" s="4">
        <f>DATEDIF(D308,E308,"M")</f>
        <v>10</v>
      </c>
      <c r="G308" s="4" t="s">
        <v>429</v>
      </c>
      <c r="H308" s="4" t="s">
        <v>431</v>
      </c>
      <c r="I308" s="4">
        <v>9079571</v>
      </c>
      <c r="J308" s="4" t="s">
        <v>419</v>
      </c>
      <c r="K308" s="4" t="s">
        <v>25</v>
      </c>
      <c r="L308" s="4" t="str">
        <f>CONCATENATE(J308, " ",K308)</f>
        <v xml:space="preserve">ADAM RICHTER             </v>
      </c>
      <c r="M308" s="4">
        <v>24.37</v>
      </c>
      <c r="N308" s="7">
        <v>0.75</v>
      </c>
      <c r="O308" s="4">
        <v>18.28</v>
      </c>
      <c r="P308" s="4" t="s">
        <v>436</v>
      </c>
    </row>
    <row r="309" spans="1:16" s="4" customFormat="1" x14ac:dyDescent="0.25">
      <c r="A309" s="4" t="s">
        <v>112</v>
      </c>
      <c r="B309" s="4" t="s">
        <v>33</v>
      </c>
      <c r="C309" s="4" t="s">
        <v>113</v>
      </c>
      <c r="D309" s="5">
        <v>45597</v>
      </c>
      <c r="E309" s="5">
        <v>45901</v>
      </c>
      <c r="F309" s="4">
        <f>DATEDIF(D309,E309,"M")</f>
        <v>10</v>
      </c>
      <c r="G309" s="4" t="s">
        <v>429</v>
      </c>
      <c r="H309" s="4" t="s">
        <v>431</v>
      </c>
      <c r="I309" s="4">
        <v>17425766</v>
      </c>
      <c r="J309" s="4" t="s">
        <v>421</v>
      </c>
      <c r="K309" s="4" t="s">
        <v>116</v>
      </c>
      <c r="L309" s="4" t="str">
        <f>CONCATENATE(J309, " ",K309)</f>
        <v xml:space="preserve">CAROL FOLEY               </v>
      </c>
      <c r="M309" s="4">
        <v>21.06</v>
      </c>
      <c r="N309" s="7">
        <v>0.65</v>
      </c>
      <c r="O309" s="4">
        <v>13.69</v>
      </c>
      <c r="P309" s="4" t="s">
        <v>435</v>
      </c>
    </row>
    <row r="310" spans="1:16" s="4" customFormat="1" x14ac:dyDescent="0.25">
      <c r="A310" s="4" t="s">
        <v>112</v>
      </c>
      <c r="B310" s="4" t="s">
        <v>33</v>
      </c>
      <c r="C310" s="4" t="s">
        <v>113</v>
      </c>
      <c r="D310" s="5">
        <v>45597</v>
      </c>
      <c r="E310" s="5">
        <v>45901</v>
      </c>
      <c r="F310" s="4">
        <f>DATEDIF(D310,E310,"M")</f>
        <v>10</v>
      </c>
      <c r="G310" s="4" t="s">
        <v>429</v>
      </c>
      <c r="H310" s="4" t="s">
        <v>431</v>
      </c>
      <c r="I310" s="4">
        <v>17425766</v>
      </c>
      <c r="J310" s="4" t="s">
        <v>421</v>
      </c>
      <c r="K310" s="4" t="s">
        <v>116</v>
      </c>
      <c r="L310" s="4" t="str">
        <f>CONCATENATE(J310, " ",K310)</f>
        <v xml:space="preserve">CAROL FOLEY               </v>
      </c>
      <c r="M310" s="4">
        <v>2.92</v>
      </c>
      <c r="N310" s="7">
        <v>0.65</v>
      </c>
      <c r="O310" s="4">
        <v>1.9</v>
      </c>
      <c r="P310" s="4" t="s">
        <v>435</v>
      </c>
    </row>
    <row r="311" spans="1:16" s="4" customFormat="1" x14ac:dyDescent="0.25">
      <c r="A311" s="4" t="s">
        <v>112</v>
      </c>
      <c r="B311" s="4" t="s">
        <v>33</v>
      </c>
      <c r="C311" s="4" t="s">
        <v>113</v>
      </c>
      <c r="D311" s="5">
        <v>45597</v>
      </c>
      <c r="E311" s="5">
        <v>45901</v>
      </c>
      <c r="F311" s="4">
        <f>DATEDIF(D311,E311,"M")</f>
        <v>10</v>
      </c>
      <c r="G311" s="4" t="s">
        <v>429</v>
      </c>
      <c r="H311" s="4" t="s">
        <v>431</v>
      </c>
      <c r="I311" s="4">
        <v>17425766</v>
      </c>
      <c r="J311" s="4" t="s">
        <v>421</v>
      </c>
      <c r="K311" s="4" t="s">
        <v>116</v>
      </c>
      <c r="L311" s="4" t="str">
        <f>CONCATENATE(J311, " ",K311)</f>
        <v xml:space="preserve">CAROL FOLEY               </v>
      </c>
      <c r="M311" s="4">
        <v>23.15</v>
      </c>
      <c r="N311" s="7">
        <v>0.65</v>
      </c>
      <c r="O311" s="4">
        <v>15.05</v>
      </c>
      <c r="P311" s="4" t="s">
        <v>435</v>
      </c>
    </row>
    <row r="312" spans="1:16" s="4" customFormat="1" x14ac:dyDescent="0.25">
      <c r="A312" s="4" t="s">
        <v>112</v>
      </c>
      <c r="B312" s="4" t="s">
        <v>33</v>
      </c>
      <c r="C312" s="4" t="s">
        <v>113</v>
      </c>
      <c r="D312" s="5">
        <v>45597</v>
      </c>
      <c r="E312" s="5">
        <v>45901</v>
      </c>
      <c r="F312" s="4">
        <f>DATEDIF(D312,E312,"M")</f>
        <v>10</v>
      </c>
      <c r="G312" s="4" t="s">
        <v>429</v>
      </c>
      <c r="H312" s="4" t="s">
        <v>431</v>
      </c>
      <c r="I312" s="4">
        <v>17425766</v>
      </c>
      <c r="J312" s="4" t="s">
        <v>421</v>
      </c>
      <c r="K312" s="4" t="s">
        <v>116</v>
      </c>
      <c r="L312" s="4" t="str">
        <f>CONCATENATE(J312, " ",K312)</f>
        <v xml:space="preserve">CAROL FOLEY               </v>
      </c>
      <c r="M312" s="4">
        <v>13.58</v>
      </c>
      <c r="N312" s="7">
        <v>0.65</v>
      </c>
      <c r="O312" s="4">
        <v>8.83</v>
      </c>
      <c r="P312" s="4" t="s">
        <v>435</v>
      </c>
    </row>
    <row r="313" spans="1:16" s="4" customFormat="1" x14ac:dyDescent="0.25">
      <c r="A313" s="4" t="s">
        <v>112</v>
      </c>
      <c r="B313" s="4" t="s">
        <v>33</v>
      </c>
      <c r="C313" s="4" t="s">
        <v>113</v>
      </c>
      <c r="D313" s="5">
        <v>45597</v>
      </c>
      <c r="E313" s="5">
        <v>45901</v>
      </c>
      <c r="F313" s="4">
        <f>DATEDIF(D313,E313,"M")</f>
        <v>10</v>
      </c>
      <c r="G313" s="4" t="s">
        <v>429</v>
      </c>
      <c r="H313" s="4" t="s">
        <v>431</v>
      </c>
      <c r="I313" s="4">
        <v>17425766</v>
      </c>
      <c r="J313" s="4" t="s">
        <v>421</v>
      </c>
      <c r="K313" s="4" t="s">
        <v>116</v>
      </c>
      <c r="L313" s="4" t="str">
        <f>CONCATENATE(J313, " ",K313)</f>
        <v xml:space="preserve">CAROL FOLEY               </v>
      </c>
      <c r="M313" s="4">
        <v>1.68</v>
      </c>
      <c r="N313" s="7">
        <v>0.65</v>
      </c>
      <c r="O313" s="4">
        <v>1.0900000000000001</v>
      </c>
      <c r="P313" s="4" t="s">
        <v>435</v>
      </c>
    </row>
    <row r="314" spans="1:16" s="4" customFormat="1" x14ac:dyDescent="0.25">
      <c r="A314" s="4" t="s">
        <v>112</v>
      </c>
      <c r="B314" s="4" t="s">
        <v>33</v>
      </c>
      <c r="C314" s="4" t="s">
        <v>113</v>
      </c>
      <c r="D314" s="5">
        <v>45597</v>
      </c>
      <c r="E314" s="5">
        <v>45901</v>
      </c>
      <c r="F314" s="4">
        <f>DATEDIF(D314,E314,"M")</f>
        <v>10</v>
      </c>
      <c r="G314" s="4" t="s">
        <v>429</v>
      </c>
      <c r="H314" s="4" t="s">
        <v>431</v>
      </c>
      <c r="I314" s="4">
        <v>17425766</v>
      </c>
      <c r="J314" s="4" t="s">
        <v>421</v>
      </c>
      <c r="K314" s="4" t="s">
        <v>116</v>
      </c>
      <c r="L314" s="4" t="str">
        <f>CONCATENATE(J314, " ",K314)</f>
        <v xml:space="preserve">CAROL FOLEY               </v>
      </c>
      <c r="M314" s="4">
        <v>6.22</v>
      </c>
      <c r="N314" s="7">
        <v>0.65</v>
      </c>
      <c r="O314" s="4">
        <v>4.04</v>
      </c>
      <c r="P314" s="4" t="s">
        <v>435</v>
      </c>
    </row>
    <row r="315" spans="1:16" s="4" customFormat="1" x14ac:dyDescent="0.25">
      <c r="A315" s="4" t="s">
        <v>59</v>
      </c>
      <c r="B315" s="4" t="s">
        <v>60</v>
      </c>
      <c r="C315" s="4" t="s">
        <v>61</v>
      </c>
      <c r="D315" s="5">
        <v>45589</v>
      </c>
      <c r="E315" s="5">
        <v>45924</v>
      </c>
      <c r="F315" s="4">
        <f>DATEDIF(D315,E315,"M")</f>
        <v>11</v>
      </c>
      <c r="G315" s="4" t="s">
        <v>429</v>
      </c>
      <c r="H315" s="4" t="s">
        <v>431</v>
      </c>
      <c r="I315" s="4">
        <v>9079571</v>
      </c>
      <c r="J315" s="4" t="s">
        <v>419</v>
      </c>
      <c r="K315" s="4" t="s">
        <v>25</v>
      </c>
      <c r="L315" s="4" t="str">
        <f>CONCATENATE(J315, " ",K315)</f>
        <v xml:space="preserve">ADAM RICHTER             </v>
      </c>
      <c r="M315" s="4">
        <v>31.18</v>
      </c>
      <c r="N315" s="7">
        <v>0.75</v>
      </c>
      <c r="O315" s="4">
        <v>23.39</v>
      </c>
      <c r="P315" s="4" t="s">
        <v>436</v>
      </c>
    </row>
    <row r="316" spans="1:16" s="4" customFormat="1" x14ac:dyDescent="0.25">
      <c r="A316" s="4" t="s">
        <v>59</v>
      </c>
      <c r="B316" s="4" t="s">
        <v>60</v>
      </c>
      <c r="C316" s="4" t="s">
        <v>61</v>
      </c>
      <c r="D316" s="5">
        <v>45589</v>
      </c>
      <c r="E316" s="5">
        <v>45924</v>
      </c>
      <c r="F316" s="4">
        <f>DATEDIF(D316,E316,"M")</f>
        <v>11</v>
      </c>
      <c r="G316" s="4" t="s">
        <v>429</v>
      </c>
      <c r="H316" s="4" t="s">
        <v>431</v>
      </c>
      <c r="I316" s="4">
        <v>9079571</v>
      </c>
      <c r="J316" s="4" t="s">
        <v>419</v>
      </c>
      <c r="K316" s="4" t="s">
        <v>25</v>
      </c>
      <c r="L316" s="4" t="str">
        <f>CONCATENATE(J316, " ",K316)</f>
        <v xml:space="preserve">ADAM RICHTER             </v>
      </c>
      <c r="M316" s="4">
        <v>6.17</v>
      </c>
      <c r="N316" s="7">
        <v>0.75</v>
      </c>
      <c r="O316" s="4">
        <v>4.63</v>
      </c>
      <c r="P316" s="4" t="s">
        <v>436</v>
      </c>
    </row>
    <row r="317" spans="1:16" s="4" customFormat="1" x14ac:dyDescent="0.25">
      <c r="A317" s="4" t="s">
        <v>59</v>
      </c>
      <c r="B317" s="4" t="s">
        <v>60</v>
      </c>
      <c r="C317" s="4" t="s">
        <v>61</v>
      </c>
      <c r="D317" s="5">
        <v>45589</v>
      </c>
      <c r="E317" s="5">
        <v>45924</v>
      </c>
      <c r="F317" s="4">
        <f>DATEDIF(D317,E317,"M")</f>
        <v>11</v>
      </c>
      <c r="G317" s="4" t="s">
        <v>429</v>
      </c>
      <c r="H317" s="4" t="s">
        <v>431</v>
      </c>
      <c r="I317" s="4">
        <v>9079571</v>
      </c>
      <c r="J317" s="4" t="s">
        <v>419</v>
      </c>
      <c r="K317" s="4" t="s">
        <v>25</v>
      </c>
      <c r="L317" s="4" t="str">
        <f>CONCATENATE(J317, " ",K317)</f>
        <v xml:space="preserve">ADAM RICHTER             </v>
      </c>
      <c r="M317" s="4">
        <v>4.83</v>
      </c>
      <c r="N317" s="7">
        <v>0.75</v>
      </c>
      <c r="O317" s="4">
        <v>3.62</v>
      </c>
      <c r="P317" s="4" t="s">
        <v>436</v>
      </c>
    </row>
    <row r="318" spans="1:16" s="4" customFormat="1" x14ac:dyDescent="0.25">
      <c r="A318" s="4" t="s">
        <v>59</v>
      </c>
      <c r="B318" s="4" t="s">
        <v>60</v>
      </c>
      <c r="C318" s="4" t="s">
        <v>61</v>
      </c>
      <c r="D318" s="5">
        <v>45589</v>
      </c>
      <c r="E318" s="5">
        <v>45924</v>
      </c>
      <c r="F318" s="4">
        <f>DATEDIF(D318,E318,"M")</f>
        <v>11</v>
      </c>
      <c r="G318" s="4" t="s">
        <v>429</v>
      </c>
      <c r="H318" s="4" t="s">
        <v>431</v>
      </c>
      <c r="I318" s="4">
        <v>9079571</v>
      </c>
      <c r="J318" s="4" t="s">
        <v>419</v>
      </c>
      <c r="K318" s="4" t="s">
        <v>25</v>
      </c>
      <c r="L318" s="4" t="str">
        <f>CONCATENATE(J318, " ",K318)</f>
        <v xml:space="preserve">ADAM RICHTER             </v>
      </c>
      <c r="M318" s="4">
        <v>9.7799999999999994</v>
      </c>
      <c r="N318" s="7">
        <v>0.75</v>
      </c>
      <c r="O318" s="4">
        <v>7.34</v>
      </c>
      <c r="P318" s="4" t="s">
        <v>436</v>
      </c>
    </row>
    <row r="319" spans="1:16" s="4" customFormat="1" x14ac:dyDescent="0.25">
      <c r="A319" s="4" t="s">
        <v>59</v>
      </c>
      <c r="B319" s="4" t="s">
        <v>60</v>
      </c>
      <c r="C319" s="4" t="s">
        <v>61</v>
      </c>
      <c r="D319" s="5">
        <v>45589</v>
      </c>
      <c r="E319" s="5">
        <v>45924</v>
      </c>
      <c r="F319" s="4">
        <f>DATEDIF(D319,E319,"M")</f>
        <v>11</v>
      </c>
      <c r="G319" s="4" t="s">
        <v>429</v>
      </c>
      <c r="H319" s="4" t="s">
        <v>431</v>
      </c>
      <c r="I319" s="4">
        <v>9079571</v>
      </c>
      <c r="J319" s="4" t="s">
        <v>419</v>
      </c>
      <c r="K319" s="4" t="s">
        <v>25</v>
      </c>
      <c r="L319" s="4" t="str">
        <f>CONCATENATE(J319, " ",K319)</f>
        <v xml:space="preserve">ADAM RICHTER             </v>
      </c>
      <c r="M319" s="4">
        <v>9.26</v>
      </c>
      <c r="N319" s="7">
        <v>0.75</v>
      </c>
      <c r="O319" s="4">
        <v>6.95</v>
      </c>
      <c r="P319" s="4" t="s">
        <v>436</v>
      </c>
    </row>
    <row r="320" spans="1:16" s="4" customFormat="1" x14ac:dyDescent="0.25">
      <c r="A320" s="4" t="s">
        <v>63</v>
      </c>
      <c r="B320" s="4" t="s">
        <v>60</v>
      </c>
      <c r="C320" s="4" t="s">
        <v>64</v>
      </c>
      <c r="D320" s="5">
        <v>45589</v>
      </c>
      <c r="E320" s="5">
        <v>45924</v>
      </c>
      <c r="F320" s="4">
        <f>DATEDIF(D320,E320,"M")</f>
        <v>11</v>
      </c>
      <c r="G320" s="4" t="s">
        <v>429</v>
      </c>
      <c r="H320" s="4" t="s">
        <v>431</v>
      </c>
      <c r="I320" s="4">
        <v>9079571</v>
      </c>
      <c r="J320" s="4" t="s">
        <v>419</v>
      </c>
      <c r="K320" s="4" t="s">
        <v>25</v>
      </c>
      <c r="L320" s="4" t="str">
        <f>CONCATENATE(J320, " ",K320)</f>
        <v xml:space="preserve">ADAM RICHTER             </v>
      </c>
      <c r="M320" s="4">
        <v>31.18</v>
      </c>
      <c r="N320" s="7">
        <v>0.75</v>
      </c>
      <c r="O320" s="4">
        <v>23.39</v>
      </c>
      <c r="P320" s="4" t="s">
        <v>436</v>
      </c>
    </row>
    <row r="321" spans="1:16" s="4" customFormat="1" x14ac:dyDescent="0.25">
      <c r="A321" s="4" t="s">
        <v>63</v>
      </c>
      <c r="B321" s="4" t="s">
        <v>60</v>
      </c>
      <c r="C321" s="4" t="s">
        <v>64</v>
      </c>
      <c r="D321" s="5">
        <v>45589</v>
      </c>
      <c r="E321" s="5">
        <v>45924</v>
      </c>
      <c r="F321" s="4">
        <f>DATEDIF(D321,E321,"M")</f>
        <v>11</v>
      </c>
      <c r="G321" s="4" t="s">
        <v>429</v>
      </c>
      <c r="H321" s="4" t="s">
        <v>431</v>
      </c>
      <c r="I321" s="4">
        <v>9079571</v>
      </c>
      <c r="J321" s="4" t="s">
        <v>419</v>
      </c>
      <c r="K321" s="4" t="s">
        <v>25</v>
      </c>
      <c r="L321" s="4" t="str">
        <f>CONCATENATE(J321, " ",K321)</f>
        <v xml:space="preserve">ADAM RICHTER             </v>
      </c>
      <c r="M321" s="4">
        <v>8.92</v>
      </c>
      <c r="N321" s="7">
        <v>0.75</v>
      </c>
      <c r="O321" s="4">
        <v>6.69</v>
      </c>
      <c r="P321" s="4" t="s">
        <v>436</v>
      </c>
    </row>
    <row r="322" spans="1:16" s="4" customFormat="1" x14ac:dyDescent="0.25">
      <c r="A322" s="4" t="s">
        <v>63</v>
      </c>
      <c r="B322" s="4" t="s">
        <v>60</v>
      </c>
      <c r="C322" s="4" t="s">
        <v>64</v>
      </c>
      <c r="D322" s="5">
        <v>45589</v>
      </c>
      <c r="E322" s="5">
        <v>45924</v>
      </c>
      <c r="F322" s="4">
        <f>DATEDIF(D322,E322,"M")</f>
        <v>11</v>
      </c>
      <c r="G322" s="4" t="s">
        <v>429</v>
      </c>
      <c r="H322" s="4" t="s">
        <v>431</v>
      </c>
      <c r="I322" s="4">
        <v>9079571</v>
      </c>
      <c r="J322" s="4" t="s">
        <v>419</v>
      </c>
      <c r="K322" s="4" t="s">
        <v>25</v>
      </c>
      <c r="L322" s="4" t="str">
        <f>CONCATENATE(J322, " ",K322)</f>
        <v xml:space="preserve">ADAM RICHTER             </v>
      </c>
      <c r="M322" s="4">
        <v>4.83</v>
      </c>
      <c r="N322" s="7">
        <v>0.75</v>
      </c>
      <c r="O322" s="4">
        <v>3.62</v>
      </c>
      <c r="P322" s="4" t="s">
        <v>436</v>
      </c>
    </row>
    <row r="323" spans="1:16" s="4" customFormat="1" x14ac:dyDescent="0.25">
      <c r="A323" s="4" t="s">
        <v>63</v>
      </c>
      <c r="B323" s="4" t="s">
        <v>60</v>
      </c>
      <c r="C323" s="4" t="s">
        <v>64</v>
      </c>
      <c r="D323" s="5">
        <v>45589</v>
      </c>
      <c r="E323" s="5">
        <v>45924</v>
      </c>
      <c r="F323" s="4">
        <f>DATEDIF(D323,E323,"M")</f>
        <v>11</v>
      </c>
      <c r="G323" s="4" t="s">
        <v>429</v>
      </c>
      <c r="H323" s="4" t="s">
        <v>431</v>
      </c>
      <c r="I323" s="4">
        <v>9079571</v>
      </c>
      <c r="J323" s="4" t="s">
        <v>419</v>
      </c>
      <c r="K323" s="4" t="s">
        <v>25</v>
      </c>
      <c r="L323" s="4" t="str">
        <f>CONCATENATE(J323, " ",K323)</f>
        <v xml:space="preserve">ADAM RICHTER             </v>
      </c>
      <c r="M323" s="4">
        <v>9.26</v>
      </c>
      <c r="N323" s="7">
        <v>0.75</v>
      </c>
      <c r="O323" s="4">
        <v>6.95</v>
      </c>
      <c r="P323" s="4" t="s">
        <v>436</v>
      </c>
    </row>
    <row r="324" spans="1:16" s="4" customFormat="1" x14ac:dyDescent="0.25">
      <c r="A324" s="4" t="s">
        <v>63</v>
      </c>
      <c r="B324" s="4" t="s">
        <v>60</v>
      </c>
      <c r="C324" s="4" t="s">
        <v>64</v>
      </c>
      <c r="D324" s="5">
        <v>45589</v>
      </c>
      <c r="E324" s="5">
        <v>45924</v>
      </c>
      <c r="F324" s="4">
        <f>DATEDIF(D324,E324,"M")</f>
        <v>11</v>
      </c>
      <c r="G324" s="4" t="s">
        <v>429</v>
      </c>
      <c r="H324" s="4" t="s">
        <v>431</v>
      </c>
      <c r="I324" s="4">
        <v>9079571</v>
      </c>
      <c r="J324" s="4" t="s">
        <v>419</v>
      </c>
      <c r="K324" s="4" t="s">
        <v>25</v>
      </c>
      <c r="L324" s="4" t="str">
        <f>CONCATENATE(J324, " ",K324)</f>
        <v xml:space="preserve">ADAM RICHTER             </v>
      </c>
      <c r="M324" s="4">
        <v>9.7799999999999994</v>
      </c>
      <c r="N324" s="7">
        <v>0.75</v>
      </c>
      <c r="O324" s="4">
        <v>7.34</v>
      </c>
      <c r="P324" s="4" t="s">
        <v>436</v>
      </c>
    </row>
    <row r="325" spans="1:16" s="4" customFormat="1" x14ac:dyDescent="0.25">
      <c r="A325" s="4" t="s">
        <v>49</v>
      </c>
      <c r="B325" s="4" t="s">
        <v>33</v>
      </c>
      <c r="C325" s="4" t="s">
        <v>50</v>
      </c>
      <c r="D325" s="5">
        <v>45566</v>
      </c>
      <c r="E325" s="5">
        <v>45901</v>
      </c>
      <c r="F325" s="4">
        <f>DATEDIF(D325,E325,"M")</f>
        <v>11</v>
      </c>
      <c r="G325" s="4" t="s">
        <v>429</v>
      </c>
      <c r="H325" s="4" t="s">
        <v>431</v>
      </c>
      <c r="I325" s="4">
        <v>19278370</v>
      </c>
      <c r="J325" s="4" t="s">
        <v>420</v>
      </c>
      <c r="K325" s="4" t="s">
        <v>53</v>
      </c>
      <c r="L325" s="4" t="str">
        <f>CONCATENATE(J325, " ",K325)</f>
        <v xml:space="preserve">ANNE MARIE KOZACHECK           </v>
      </c>
      <c r="M325" s="4">
        <v>21.06</v>
      </c>
      <c r="N325" s="7">
        <v>0.65</v>
      </c>
      <c r="O325" s="4">
        <v>13.69</v>
      </c>
      <c r="P325" s="4" t="s">
        <v>435</v>
      </c>
    </row>
    <row r="326" spans="1:16" s="4" customFormat="1" x14ac:dyDescent="0.25">
      <c r="A326" s="4" t="s">
        <v>49</v>
      </c>
      <c r="B326" s="4" t="s">
        <v>33</v>
      </c>
      <c r="C326" s="4" t="s">
        <v>50</v>
      </c>
      <c r="D326" s="5">
        <v>45566</v>
      </c>
      <c r="E326" s="5">
        <v>45901</v>
      </c>
      <c r="F326" s="4">
        <f>DATEDIF(D326,E326,"M")</f>
        <v>11</v>
      </c>
      <c r="G326" s="4" t="s">
        <v>429</v>
      </c>
      <c r="H326" s="4" t="s">
        <v>431</v>
      </c>
      <c r="I326" s="4">
        <v>19278370</v>
      </c>
      <c r="J326" s="4" t="s">
        <v>420</v>
      </c>
      <c r="K326" s="4" t="s">
        <v>53</v>
      </c>
      <c r="L326" s="4" t="str">
        <f>CONCATENATE(J326, " ",K326)</f>
        <v xml:space="preserve">ANNE MARIE KOZACHECK           </v>
      </c>
      <c r="M326" s="4">
        <v>25.98</v>
      </c>
      <c r="N326" s="7">
        <v>0.65</v>
      </c>
      <c r="O326" s="4">
        <v>16.89</v>
      </c>
      <c r="P326" s="4" t="s">
        <v>435</v>
      </c>
    </row>
    <row r="327" spans="1:16" s="4" customFormat="1" x14ac:dyDescent="0.25">
      <c r="A327" s="4" t="s">
        <v>49</v>
      </c>
      <c r="B327" s="4" t="s">
        <v>33</v>
      </c>
      <c r="C327" s="4" t="s">
        <v>50</v>
      </c>
      <c r="D327" s="5">
        <v>45566</v>
      </c>
      <c r="E327" s="5">
        <v>45901</v>
      </c>
      <c r="F327" s="4">
        <f>DATEDIF(D327,E327,"M")</f>
        <v>11</v>
      </c>
      <c r="G327" s="4" t="s">
        <v>429</v>
      </c>
      <c r="H327" s="4" t="s">
        <v>431</v>
      </c>
      <c r="I327" s="4">
        <v>19278370</v>
      </c>
      <c r="J327" s="4" t="s">
        <v>420</v>
      </c>
      <c r="K327" s="4" t="s">
        <v>53</v>
      </c>
      <c r="L327" s="4" t="str">
        <f>CONCATENATE(J327, " ",K327)</f>
        <v xml:space="preserve">ANNE MARIE KOZACHECK           </v>
      </c>
      <c r="M327" s="4">
        <v>1.68</v>
      </c>
      <c r="N327" s="7">
        <v>0.65</v>
      </c>
      <c r="O327" s="4">
        <v>1.0900000000000001</v>
      </c>
      <c r="P327" s="4" t="s">
        <v>435</v>
      </c>
    </row>
    <row r="328" spans="1:16" s="4" customFormat="1" x14ac:dyDescent="0.25">
      <c r="A328" s="4" t="s">
        <v>49</v>
      </c>
      <c r="B328" s="4" t="s">
        <v>33</v>
      </c>
      <c r="C328" s="4" t="s">
        <v>50</v>
      </c>
      <c r="D328" s="5">
        <v>45566</v>
      </c>
      <c r="E328" s="5">
        <v>45901</v>
      </c>
      <c r="F328" s="4">
        <f>DATEDIF(D328,E328,"M")</f>
        <v>11</v>
      </c>
      <c r="G328" s="4" t="s">
        <v>429</v>
      </c>
      <c r="H328" s="4" t="s">
        <v>431</v>
      </c>
      <c r="I328" s="4">
        <v>19278370</v>
      </c>
      <c r="J328" s="4" t="s">
        <v>420</v>
      </c>
      <c r="K328" s="4" t="s">
        <v>53</v>
      </c>
      <c r="L328" s="4" t="str">
        <f>CONCATENATE(J328, " ",K328)</f>
        <v xml:space="preserve">ANNE MARIE KOZACHECK           </v>
      </c>
      <c r="M328" s="4">
        <v>2.75</v>
      </c>
      <c r="N328" s="7">
        <v>0.65</v>
      </c>
      <c r="O328" s="4">
        <v>1.79</v>
      </c>
      <c r="P328" s="4" t="s">
        <v>435</v>
      </c>
    </row>
    <row r="329" spans="1:16" s="4" customFormat="1" x14ac:dyDescent="0.25">
      <c r="A329" s="4" t="s">
        <v>49</v>
      </c>
      <c r="B329" s="4" t="s">
        <v>33</v>
      </c>
      <c r="C329" s="4" t="s">
        <v>50</v>
      </c>
      <c r="D329" s="5">
        <v>45566</v>
      </c>
      <c r="E329" s="5">
        <v>45901</v>
      </c>
      <c r="F329" s="4">
        <f>DATEDIF(D329,E329,"M")</f>
        <v>11</v>
      </c>
      <c r="G329" s="4" t="s">
        <v>429</v>
      </c>
      <c r="H329" s="4" t="s">
        <v>431</v>
      </c>
      <c r="I329" s="4">
        <v>19278370</v>
      </c>
      <c r="J329" s="4" t="s">
        <v>420</v>
      </c>
      <c r="K329" s="4" t="s">
        <v>53</v>
      </c>
      <c r="L329" s="4" t="str">
        <f>CONCATENATE(J329, " ",K329)</f>
        <v xml:space="preserve">ANNE MARIE KOZACHECK           </v>
      </c>
      <c r="M329" s="4">
        <v>12.94</v>
      </c>
      <c r="N329" s="7">
        <v>0.65</v>
      </c>
      <c r="O329" s="4">
        <v>8.41</v>
      </c>
      <c r="P329" s="4" t="s">
        <v>435</v>
      </c>
    </row>
    <row r="330" spans="1:16" s="4" customFormat="1" x14ac:dyDescent="0.25">
      <c r="A330" s="4" t="s">
        <v>57</v>
      </c>
      <c r="B330" s="4" t="s">
        <v>33</v>
      </c>
      <c r="C330" s="4" t="s">
        <v>58</v>
      </c>
      <c r="D330" s="5">
        <v>45566</v>
      </c>
      <c r="E330" s="5">
        <v>45901</v>
      </c>
      <c r="F330" s="4">
        <f>DATEDIF(D330,E330,"M")</f>
        <v>11</v>
      </c>
      <c r="G330" s="4" t="s">
        <v>429</v>
      </c>
      <c r="H330" s="4" t="s">
        <v>431</v>
      </c>
      <c r="I330" s="4">
        <v>19278370</v>
      </c>
      <c r="J330" s="4" t="s">
        <v>420</v>
      </c>
      <c r="K330" s="4" t="s">
        <v>53</v>
      </c>
      <c r="L330" s="4" t="str">
        <f>CONCATENATE(J330, " ",K330)</f>
        <v xml:space="preserve">ANNE MARIE KOZACHECK           </v>
      </c>
      <c r="M330" s="4">
        <v>21.91</v>
      </c>
      <c r="N330" s="7">
        <v>0.65</v>
      </c>
      <c r="O330" s="4">
        <v>14.24</v>
      </c>
      <c r="P330" s="4" t="s">
        <v>435</v>
      </c>
    </row>
    <row r="331" spans="1:16" s="4" customFormat="1" x14ac:dyDescent="0.25">
      <c r="A331" s="4" t="s">
        <v>57</v>
      </c>
      <c r="B331" s="4" t="s">
        <v>33</v>
      </c>
      <c r="C331" s="4" t="s">
        <v>58</v>
      </c>
      <c r="D331" s="5">
        <v>45566</v>
      </c>
      <c r="E331" s="5">
        <v>45901</v>
      </c>
      <c r="F331" s="4">
        <f>DATEDIF(D331,E331,"M")</f>
        <v>11</v>
      </c>
      <c r="G331" s="4" t="s">
        <v>429</v>
      </c>
      <c r="H331" s="4" t="s">
        <v>431</v>
      </c>
      <c r="I331" s="4">
        <v>19278370</v>
      </c>
      <c r="J331" s="4" t="s">
        <v>420</v>
      </c>
      <c r="K331" s="4" t="s">
        <v>53</v>
      </c>
      <c r="L331" s="4" t="str">
        <f>CONCATENATE(J331, " ",K331)</f>
        <v xml:space="preserve">ANNE MARIE KOZACHECK           </v>
      </c>
      <c r="M331" s="4">
        <v>1.68</v>
      </c>
      <c r="N331" s="7">
        <v>0.65</v>
      </c>
      <c r="O331" s="4">
        <v>1.0900000000000001</v>
      </c>
      <c r="P331" s="4" t="s">
        <v>435</v>
      </c>
    </row>
    <row r="332" spans="1:16" s="4" customFormat="1" x14ac:dyDescent="0.25">
      <c r="A332" s="4" t="s">
        <v>57</v>
      </c>
      <c r="B332" s="4" t="s">
        <v>33</v>
      </c>
      <c r="C332" s="4" t="s">
        <v>58</v>
      </c>
      <c r="D332" s="5">
        <v>45566</v>
      </c>
      <c r="E332" s="5">
        <v>45901</v>
      </c>
      <c r="F332" s="4">
        <f>DATEDIF(D332,E332,"M")</f>
        <v>11</v>
      </c>
      <c r="G332" s="4" t="s">
        <v>429</v>
      </c>
      <c r="H332" s="4" t="s">
        <v>431</v>
      </c>
      <c r="I332" s="4">
        <v>19278370</v>
      </c>
      <c r="J332" s="4" t="s">
        <v>420</v>
      </c>
      <c r="K332" s="4" t="s">
        <v>53</v>
      </c>
      <c r="L332" s="4" t="str">
        <f>CONCATENATE(J332, " ",K332)</f>
        <v xml:space="preserve">ANNE MARIE KOZACHECK           </v>
      </c>
      <c r="M332" s="4">
        <v>13.58</v>
      </c>
      <c r="N332" s="7">
        <v>0.65</v>
      </c>
      <c r="O332" s="4">
        <v>8.83</v>
      </c>
      <c r="P332" s="4" t="s">
        <v>435</v>
      </c>
    </row>
    <row r="333" spans="1:16" s="4" customFormat="1" x14ac:dyDescent="0.25">
      <c r="A333" s="4" t="s">
        <v>141</v>
      </c>
      <c r="B333" s="4" t="s">
        <v>142</v>
      </c>
      <c r="C333" s="4" t="s">
        <v>143</v>
      </c>
      <c r="D333" s="5">
        <v>45536</v>
      </c>
      <c r="E333" s="5">
        <v>45901</v>
      </c>
      <c r="F333" s="4">
        <f>DATEDIF(D333,E333,"M")</f>
        <v>12</v>
      </c>
      <c r="G333" s="4" t="s">
        <v>429</v>
      </c>
      <c r="H333" s="4" t="s">
        <v>431</v>
      </c>
      <c r="I333" s="4">
        <v>18581063</v>
      </c>
      <c r="J333" s="4" t="s">
        <v>423</v>
      </c>
      <c r="K333" s="4" t="s">
        <v>146</v>
      </c>
      <c r="L333" s="4" t="str">
        <f>CONCATENATE(J333, " ",K333)</f>
        <v xml:space="preserve">TIMOTHY HODGMAN             </v>
      </c>
      <c r="M333" s="4">
        <v>24.37</v>
      </c>
      <c r="N333" s="7">
        <v>0.65</v>
      </c>
      <c r="O333" s="4">
        <v>15.84</v>
      </c>
      <c r="P333" s="4" t="s">
        <v>435</v>
      </c>
    </row>
    <row r="334" spans="1:16" s="4" customFormat="1" x14ac:dyDescent="0.25">
      <c r="A334" s="4" t="s">
        <v>141</v>
      </c>
      <c r="B334" s="4" t="s">
        <v>142</v>
      </c>
      <c r="C334" s="4" t="s">
        <v>143</v>
      </c>
      <c r="D334" s="5">
        <v>45536</v>
      </c>
      <c r="E334" s="5">
        <v>45901</v>
      </c>
      <c r="F334" s="4">
        <f>DATEDIF(D334,E334,"M")</f>
        <v>12</v>
      </c>
      <c r="G334" s="4" t="s">
        <v>429</v>
      </c>
      <c r="H334" s="4" t="s">
        <v>431</v>
      </c>
      <c r="I334" s="4">
        <v>18581063</v>
      </c>
      <c r="J334" s="4" t="s">
        <v>423</v>
      </c>
      <c r="K334" s="4" t="s">
        <v>146</v>
      </c>
      <c r="L334" s="4" t="str">
        <f>CONCATENATE(J334, " ",K334)</f>
        <v xml:space="preserve">TIMOTHY HODGMAN             </v>
      </c>
      <c r="M334" s="4">
        <v>33.159999999999997</v>
      </c>
      <c r="N334" s="7">
        <v>0.65</v>
      </c>
      <c r="O334" s="4">
        <v>21.55</v>
      </c>
      <c r="P334" s="4" t="s">
        <v>435</v>
      </c>
    </row>
    <row r="335" spans="1:16" s="4" customFormat="1" x14ac:dyDescent="0.25">
      <c r="A335" s="4" t="s">
        <v>141</v>
      </c>
      <c r="B335" s="4" t="s">
        <v>142</v>
      </c>
      <c r="C335" s="4" t="s">
        <v>143</v>
      </c>
      <c r="D335" s="5">
        <v>45536</v>
      </c>
      <c r="E335" s="5">
        <v>45901</v>
      </c>
      <c r="F335" s="4">
        <f>DATEDIF(D335,E335,"M")</f>
        <v>12</v>
      </c>
      <c r="G335" s="4" t="s">
        <v>429</v>
      </c>
      <c r="H335" s="4" t="s">
        <v>431</v>
      </c>
      <c r="I335" s="4">
        <v>18581063</v>
      </c>
      <c r="J335" s="4" t="s">
        <v>423</v>
      </c>
      <c r="K335" s="4" t="s">
        <v>146</v>
      </c>
      <c r="L335" s="4" t="str">
        <f>CONCATENATE(J335, " ",K335)</f>
        <v xml:space="preserve">TIMOTHY HODGMAN             </v>
      </c>
      <c r="M335" s="4">
        <v>1.68</v>
      </c>
      <c r="N335" s="7">
        <v>0.65</v>
      </c>
      <c r="O335" s="4">
        <v>1.0900000000000001</v>
      </c>
      <c r="P335" s="4" t="s">
        <v>435</v>
      </c>
    </row>
    <row r="336" spans="1:16" s="4" customFormat="1" x14ac:dyDescent="0.25">
      <c r="A336" s="4" t="s">
        <v>141</v>
      </c>
      <c r="B336" s="4" t="s">
        <v>142</v>
      </c>
      <c r="C336" s="4" t="s">
        <v>143</v>
      </c>
      <c r="D336" s="5">
        <v>45536</v>
      </c>
      <c r="E336" s="5">
        <v>45901</v>
      </c>
      <c r="F336" s="4">
        <f>DATEDIF(D336,E336,"M")</f>
        <v>12</v>
      </c>
      <c r="G336" s="4" t="s">
        <v>429</v>
      </c>
      <c r="H336" s="4" t="s">
        <v>431</v>
      </c>
      <c r="I336" s="4">
        <v>18581063</v>
      </c>
      <c r="J336" s="4" t="s">
        <v>423</v>
      </c>
      <c r="K336" s="4" t="s">
        <v>146</v>
      </c>
      <c r="L336" s="4" t="str">
        <f>CONCATENATE(J336, " ",K336)</f>
        <v xml:space="preserve">TIMOTHY HODGMAN             </v>
      </c>
      <c r="M336" s="4">
        <v>12.47</v>
      </c>
      <c r="N336" s="7">
        <v>0.65</v>
      </c>
      <c r="O336" s="4">
        <v>8.11</v>
      </c>
      <c r="P336" s="4" t="s">
        <v>435</v>
      </c>
    </row>
    <row r="337" spans="1:16" s="4" customFormat="1" x14ac:dyDescent="0.25">
      <c r="A337" s="4" t="s">
        <v>141</v>
      </c>
      <c r="B337" s="4" t="s">
        <v>142</v>
      </c>
      <c r="C337" s="4" t="s">
        <v>143</v>
      </c>
      <c r="D337" s="5">
        <v>45536</v>
      </c>
      <c r="E337" s="5">
        <v>45901</v>
      </c>
      <c r="F337" s="4">
        <f>DATEDIF(D337,E337,"M")</f>
        <v>12</v>
      </c>
      <c r="G337" s="4" t="s">
        <v>429</v>
      </c>
      <c r="H337" s="4" t="s">
        <v>431</v>
      </c>
      <c r="I337" s="4">
        <v>18581063</v>
      </c>
      <c r="J337" s="4" t="s">
        <v>423</v>
      </c>
      <c r="K337" s="4" t="s">
        <v>146</v>
      </c>
      <c r="L337" s="4" t="str">
        <f>CONCATENATE(J337, " ",K337)</f>
        <v xml:space="preserve">TIMOTHY HODGMAN             </v>
      </c>
      <c r="M337" s="4">
        <v>18.649999999999999</v>
      </c>
      <c r="N337" s="7">
        <v>0.65</v>
      </c>
      <c r="O337" s="4">
        <v>12.12</v>
      </c>
      <c r="P337" s="4" t="s">
        <v>435</v>
      </c>
    </row>
    <row r="338" spans="1:16" s="4" customFormat="1" x14ac:dyDescent="0.25">
      <c r="A338" s="4" t="s">
        <v>141</v>
      </c>
      <c r="B338" s="4" t="s">
        <v>142</v>
      </c>
      <c r="C338" s="4" t="s">
        <v>143</v>
      </c>
      <c r="D338" s="5">
        <v>45536</v>
      </c>
      <c r="E338" s="5">
        <v>45901</v>
      </c>
      <c r="F338" s="4">
        <f>DATEDIF(D338,E338,"M")</f>
        <v>12</v>
      </c>
      <c r="G338" s="4" t="s">
        <v>429</v>
      </c>
      <c r="H338" s="4" t="s">
        <v>431</v>
      </c>
      <c r="I338" s="4">
        <v>18581063</v>
      </c>
      <c r="J338" s="4" t="s">
        <v>423</v>
      </c>
      <c r="K338" s="4" t="s">
        <v>146</v>
      </c>
      <c r="L338" s="4" t="str">
        <f>CONCATENATE(J338, " ",K338)</f>
        <v xml:space="preserve">TIMOTHY HODGMAN             </v>
      </c>
      <c r="M338" s="4">
        <v>3.53</v>
      </c>
      <c r="N338" s="7">
        <v>0.65</v>
      </c>
      <c r="O338" s="4">
        <v>2.29</v>
      </c>
      <c r="P338" s="4" t="s">
        <v>435</v>
      </c>
    </row>
    <row r="339" spans="1:16" s="4" customFormat="1" x14ac:dyDescent="0.25">
      <c r="A339" s="4" t="s">
        <v>141</v>
      </c>
      <c r="B339" s="4" t="s">
        <v>142</v>
      </c>
      <c r="C339" s="4" t="s">
        <v>143</v>
      </c>
      <c r="D339" s="5">
        <v>45536</v>
      </c>
      <c r="E339" s="5">
        <v>45901</v>
      </c>
      <c r="F339" s="4">
        <f>DATEDIF(D339,E339,"M")</f>
        <v>12</v>
      </c>
      <c r="G339" s="4" t="s">
        <v>429</v>
      </c>
      <c r="H339" s="4" t="s">
        <v>431</v>
      </c>
      <c r="I339" s="4">
        <v>18581063</v>
      </c>
      <c r="J339" s="4" t="s">
        <v>423</v>
      </c>
      <c r="K339" s="4" t="s">
        <v>146</v>
      </c>
      <c r="L339" s="4" t="str">
        <f>CONCATENATE(J339, " ",K339)</f>
        <v xml:space="preserve">TIMOTHY HODGMAN             </v>
      </c>
      <c r="M339" s="4">
        <v>4.62</v>
      </c>
      <c r="N339" s="7">
        <v>0.65</v>
      </c>
      <c r="O339" s="4">
        <v>3</v>
      </c>
      <c r="P339" s="4" t="s">
        <v>435</v>
      </c>
    </row>
    <row r="340" spans="1:16" s="4" customFormat="1" x14ac:dyDescent="0.25">
      <c r="A340" s="4" t="s">
        <v>141</v>
      </c>
      <c r="B340" s="4" t="s">
        <v>142</v>
      </c>
      <c r="C340" s="4" t="s">
        <v>143</v>
      </c>
      <c r="D340" s="5">
        <v>45536</v>
      </c>
      <c r="E340" s="5">
        <v>45901</v>
      </c>
      <c r="F340" s="4">
        <f>DATEDIF(D340,E340,"M")</f>
        <v>12</v>
      </c>
      <c r="G340" s="4" t="s">
        <v>429</v>
      </c>
      <c r="H340" s="4" t="s">
        <v>431</v>
      </c>
      <c r="I340" s="4">
        <v>18581063</v>
      </c>
      <c r="J340" s="4" t="s">
        <v>423</v>
      </c>
      <c r="K340" s="4" t="s">
        <v>146</v>
      </c>
      <c r="L340" s="4" t="str">
        <f>CONCATENATE(J340, " ",K340)</f>
        <v xml:space="preserve">TIMOTHY HODGMAN             </v>
      </c>
      <c r="M340" s="4">
        <v>17.96</v>
      </c>
      <c r="N340" s="7">
        <v>0.65</v>
      </c>
      <c r="O340" s="4">
        <v>11.67</v>
      </c>
      <c r="P340" s="4" t="s">
        <v>435</v>
      </c>
    </row>
    <row r="341" spans="1:16" s="4" customFormat="1" x14ac:dyDescent="0.25">
      <c r="A341" s="4" t="s">
        <v>141</v>
      </c>
      <c r="B341" s="4" t="s">
        <v>142</v>
      </c>
      <c r="C341" s="4" t="s">
        <v>143</v>
      </c>
      <c r="D341" s="5">
        <v>45536</v>
      </c>
      <c r="E341" s="5">
        <v>45901</v>
      </c>
      <c r="F341" s="4">
        <f>DATEDIF(D341,E341,"M")</f>
        <v>12</v>
      </c>
      <c r="G341" s="4" t="s">
        <v>429</v>
      </c>
      <c r="H341" s="4" t="s">
        <v>431</v>
      </c>
      <c r="I341" s="4">
        <v>18581063</v>
      </c>
      <c r="J341" s="4" t="s">
        <v>423</v>
      </c>
      <c r="K341" s="4" t="s">
        <v>146</v>
      </c>
      <c r="L341" s="4" t="str">
        <f>CONCATENATE(J341, " ",K341)</f>
        <v xml:space="preserve">TIMOTHY HODGMAN             </v>
      </c>
      <c r="M341" s="4">
        <v>1.79</v>
      </c>
      <c r="N341" s="7">
        <v>0.65</v>
      </c>
      <c r="O341" s="4">
        <v>1.1599999999999999</v>
      </c>
      <c r="P341" s="4" t="s">
        <v>435</v>
      </c>
    </row>
    <row r="342" spans="1:16" s="4" customFormat="1" x14ac:dyDescent="0.25">
      <c r="A342" s="4" t="s">
        <v>141</v>
      </c>
      <c r="B342" s="4" t="s">
        <v>142</v>
      </c>
      <c r="C342" s="4" t="s">
        <v>143</v>
      </c>
      <c r="D342" s="5">
        <v>45536</v>
      </c>
      <c r="E342" s="5">
        <v>45901</v>
      </c>
      <c r="F342" s="4">
        <f>DATEDIF(D342,E342,"M")</f>
        <v>12</v>
      </c>
      <c r="G342" s="4" t="s">
        <v>429</v>
      </c>
      <c r="H342" s="4" t="s">
        <v>431</v>
      </c>
      <c r="I342" s="4">
        <v>18581063</v>
      </c>
      <c r="J342" s="4" t="s">
        <v>423</v>
      </c>
      <c r="K342" s="4" t="s">
        <v>146</v>
      </c>
      <c r="L342" s="4" t="str">
        <f>CONCATENATE(J342, " ",K342)</f>
        <v xml:space="preserve">TIMOTHY HODGMAN             </v>
      </c>
      <c r="M342" s="4">
        <v>38.47</v>
      </c>
      <c r="N342" s="7">
        <v>0.65</v>
      </c>
      <c r="O342" s="4">
        <v>25.01</v>
      </c>
      <c r="P342" s="4" t="s">
        <v>435</v>
      </c>
    </row>
    <row r="343" spans="1:16" s="4" customFormat="1" x14ac:dyDescent="0.25">
      <c r="A343" s="4" t="s">
        <v>361</v>
      </c>
      <c r="B343" s="4" t="s">
        <v>142</v>
      </c>
      <c r="C343" s="4" t="s">
        <v>362</v>
      </c>
      <c r="D343" s="5">
        <v>45474</v>
      </c>
      <c r="E343" s="5">
        <v>45901</v>
      </c>
      <c r="F343" s="4">
        <f>DATEDIF(D343,E343,"M")</f>
        <v>14</v>
      </c>
      <c r="G343" s="4" t="s">
        <v>429</v>
      </c>
      <c r="H343" s="4" t="s">
        <v>431</v>
      </c>
      <c r="I343" s="4">
        <v>18581063</v>
      </c>
      <c r="J343" s="4" t="s">
        <v>423</v>
      </c>
      <c r="K343" s="4" t="s">
        <v>146</v>
      </c>
      <c r="L343" s="4" t="str">
        <f>CONCATENATE(J343, " ",K343)</f>
        <v xml:space="preserve">TIMOTHY HODGMAN             </v>
      </c>
      <c r="M343" s="4">
        <v>23.46</v>
      </c>
      <c r="N343" s="7">
        <v>0.1</v>
      </c>
      <c r="O343" s="4">
        <v>2.35</v>
      </c>
      <c r="P343" s="4" t="s">
        <v>435</v>
      </c>
    </row>
    <row r="344" spans="1:16" s="4" customFormat="1" x14ac:dyDescent="0.25">
      <c r="A344" s="4" t="s">
        <v>361</v>
      </c>
      <c r="B344" s="4" t="s">
        <v>142</v>
      </c>
      <c r="C344" s="4" t="s">
        <v>362</v>
      </c>
      <c r="D344" s="5">
        <v>45474</v>
      </c>
      <c r="E344" s="5">
        <v>45901</v>
      </c>
      <c r="F344" s="4">
        <f>DATEDIF(D344,E344,"M")</f>
        <v>14</v>
      </c>
      <c r="G344" s="4" t="s">
        <v>429</v>
      </c>
      <c r="H344" s="4" t="s">
        <v>431</v>
      </c>
      <c r="I344" s="4">
        <v>18581063</v>
      </c>
      <c r="J344" s="4" t="s">
        <v>423</v>
      </c>
      <c r="K344" s="4" t="s">
        <v>146</v>
      </c>
      <c r="L344" s="4" t="str">
        <f>CONCATENATE(J344, " ",K344)</f>
        <v xml:space="preserve">TIMOTHY HODGMAN             </v>
      </c>
      <c r="M344" s="4">
        <v>6.99</v>
      </c>
      <c r="N344" s="7">
        <v>0.1</v>
      </c>
      <c r="O344" s="4">
        <v>0.7</v>
      </c>
      <c r="P344" s="4" t="s">
        <v>435</v>
      </c>
    </row>
    <row r="345" spans="1:16" s="4" customFormat="1" x14ac:dyDescent="0.25">
      <c r="A345" s="4" t="s">
        <v>361</v>
      </c>
      <c r="B345" s="4" t="s">
        <v>142</v>
      </c>
      <c r="C345" s="4" t="s">
        <v>362</v>
      </c>
      <c r="D345" s="5">
        <v>45474</v>
      </c>
      <c r="E345" s="5">
        <v>45901</v>
      </c>
      <c r="F345" s="4">
        <f>DATEDIF(D345,E345,"M")</f>
        <v>14</v>
      </c>
      <c r="G345" s="4" t="s">
        <v>429</v>
      </c>
      <c r="H345" s="4" t="s">
        <v>431</v>
      </c>
      <c r="I345" s="4">
        <v>18581063</v>
      </c>
      <c r="J345" s="4" t="s">
        <v>423</v>
      </c>
      <c r="K345" s="4" t="s">
        <v>146</v>
      </c>
      <c r="L345" s="4" t="str">
        <f>CONCATENATE(J345, " ",K345)</f>
        <v xml:space="preserve">TIMOTHY HODGMAN             </v>
      </c>
      <c r="M345" s="4">
        <v>4.62</v>
      </c>
      <c r="N345" s="7">
        <v>0.1</v>
      </c>
      <c r="O345" s="4">
        <v>0.46</v>
      </c>
      <c r="P345" s="4" t="s">
        <v>435</v>
      </c>
    </row>
    <row r="346" spans="1:16" s="4" customFormat="1" x14ac:dyDescent="0.25">
      <c r="A346" s="4" t="s">
        <v>361</v>
      </c>
      <c r="B346" s="4" t="s">
        <v>142</v>
      </c>
      <c r="C346" s="4" t="s">
        <v>362</v>
      </c>
      <c r="D346" s="5">
        <v>45474</v>
      </c>
      <c r="E346" s="5">
        <v>45901</v>
      </c>
      <c r="F346" s="4">
        <f>DATEDIF(D346,E346,"M")</f>
        <v>14</v>
      </c>
      <c r="G346" s="4" t="s">
        <v>429</v>
      </c>
      <c r="H346" s="4" t="s">
        <v>431</v>
      </c>
      <c r="I346" s="4">
        <v>18581063</v>
      </c>
      <c r="J346" s="4" t="s">
        <v>423</v>
      </c>
      <c r="K346" s="4" t="s">
        <v>146</v>
      </c>
      <c r="L346" s="4" t="str">
        <f>CONCATENATE(J346, " ",K346)</f>
        <v xml:space="preserve">TIMOTHY HODGMAN             </v>
      </c>
      <c r="M346" s="4">
        <v>2.92</v>
      </c>
      <c r="N346" s="7">
        <v>0.1</v>
      </c>
      <c r="O346" s="4">
        <v>0.28999999999999998</v>
      </c>
      <c r="P346" s="4" t="s">
        <v>435</v>
      </c>
    </row>
    <row r="347" spans="1:16" s="4" customFormat="1" x14ac:dyDescent="0.25">
      <c r="A347" s="4" t="s">
        <v>361</v>
      </c>
      <c r="B347" s="4" t="s">
        <v>142</v>
      </c>
      <c r="C347" s="4" t="s">
        <v>362</v>
      </c>
      <c r="D347" s="5">
        <v>45474</v>
      </c>
      <c r="E347" s="5">
        <v>45901</v>
      </c>
      <c r="F347" s="4">
        <f>DATEDIF(D347,E347,"M")</f>
        <v>14</v>
      </c>
      <c r="G347" s="4" t="s">
        <v>429</v>
      </c>
      <c r="H347" s="4" t="s">
        <v>431</v>
      </c>
      <c r="I347" s="4">
        <v>18581063</v>
      </c>
      <c r="J347" s="4" t="s">
        <v>423</v>
      </c>
      <c r="K347" s="4" t="s">
        <v>146</v>
      </c>
      <c r="L347" s="4" t="str">
        <f>CONCATENATE(J347, " ",K347)</f>
        <v xml:space="preserve">TIMOTHY HODGMAN             </v>
      </c>
      <c r="M347" s="4">
        <v>2.14</v>
      </c>
      <c r="N347" s="7">
        <v>0.1</v>
      </c>
      <c r="O347" s="4">
        <v>0.21</v>
      </c>
      <c r="P347" s="4" t="s">
        <v>435</v>
      </c>
    </row>
    <row r="348" spans="1:16" s="4" customFormat="1" x14ac:dyDescent="0.25">
      <c r="A348" s="4" t="s">
        <v>361</v>
      </c>
      <c r="B348" s="4" t="s">
        <v>142</v>
      </c>
      <c r="C348" s="4" t="s">
        <v>362</v>
      </c>
      <c r="D348" s="5">
        <v>45474</v>
      </c>
      <c r="E348" s="5">
        <v>45901</v>
      </c>
      <c r="F348" s="4">
        <f>DATEDIF(D348,E348,"M")</f>
        <v>14</v>
      </c>
      <c r="G348" s="4" t="s">
        <v>429</v>
      </c>
      <c r="H348" s="4" t="s">
        <v>431</v>
      </c>
      <c r="I348" s="4">
        <v>18581063</v>
      </c>
      <c r="J348" s="4" t="s">
        <v>423</v>
      </c>
      <c r="K348" s="4" t="s">
        <v>146</v>
      </c>
      <c r="L348" s="4" t="str">
        <f>CONCATENATE(J348, " ",K348)</f>
        <v xml:space="preserve">TIMOTHY HODGMAN             </v>
      </c>
      <c r="M348" s="4">
        <v>61.72</v>
      </c>
      <c r="N348" s="7">
        <v>0.1</v>
      </c>
      <c r="O348" s="4">
        <v>6.17</v>
      </c>
      <c r="P348" s="4" t="s">
        <v>435</v>
      </c>
    </row>
    <row r="349" spans="1:16" s="4" customFormat="1" x14ac:dyDescent="0.25">
      <c r="A349" s="4" t="s">
        <v>361</v>
      </c>
      <c r="B349" s="4" t="s">
        <v>142</v>
      </c>
      <c r="C349" s="4" t="s">
        <v>362</v>
      </c>
      <c r="D349" s="5">
        <v>45474</v>
      </c>
      <c r="E349" s="5">
        <v>45901</v>
      </c>
      <c r="F349" s="4">
        <f>DATEDIF(D349,E349,"M")</f>
        <v>14</v>
      </c>
      <c r="G349" s="4" t="s">
        <v>429</v>
      </c>
      <c r="H349" s="4" t="s">
        <v>431</v>
      </c>
      <c r="I349" s="4">
        <v>18581063</v>
      </c>
      <c r="J349" s="4" t="s">
        <v>423</v>
      </c>
      <c r="K349" s="4" t="s">
        <v>146</v>
      </c>
      <c r="L349" s="4" t="str">
        <f>CONCATENATE(J349, " ",K349)</f>
        <v xml:space="preserve">TIMOTHY HODGMAN             </v>
      </c>
      <c r="M349" s="4">
        <v>12.94</v>
      </c>
      <c r="N349" s="7">
        <v>0.1</v>
      </c>
      <c r="O349" s="4">
        <v>1.29</v>
      </c>
      <c r="P349" s="4" t="s">
        <v>435</v>
      </c>
    </row>
    <row r="350" spans="1:16" s="4" customFormat="1" x14ac:dyDescent="0.25">
      <c r="A350" s="4" t="s">
        <v>361</v>
      </c>
      <c r="B350" s="4" t="s">
        <v>142</v>
      </c>
      <c r="C350" s="4" t="s">
        <v>362</v>
      </c>
      <c r="D350" s="5">
        <v>45474</v>
      </c>
      <c r="E350" s="5">
        <v>45901</v>
      </c>
      <c r="F350" s="4">
        <f>DATEDIF(D350,E350,"M")</f>
        <v>14</v>
      </c>
      <c r="G350" s="4" t="s">
        <v>429</v>
      </c>
      <c r="H350" s="4" t="s">
        <v>431</v>
      </c>
      <c r="I350" s="4">
        <v>18581063</v>
      </c>
      <c r="J350" s="4" t="s">
        <v>423</v>
      </c>
      <c r="K350" s="4" t="s">
        <v>146</v>
      </c>
      <c r="L350" s="4" t="str">
        <f>CONCATENATE(J350, " ",K350)</f>
        <v xml:space="preserve">TIMOTHY HODGMAN             </v>
      </c>
      <c r="M350" s="4">
        <v>24.86</v>
      </c>
      <c r="N350" s="7">
        <v>0.1</v>
      </c>
      <c r="O350" s="4">
        <v>2.4900000000000002</v>
      </c>
      <c r="P350" s="4" t="s">
        <v>435</v>
      </c>
    </row>
    <row r="351" spans="1:16" s="4" customFormat="1" x14ac:dyDescent="0.25">
      <c r="A351" s="4" t="s">
        <v>339</v>
      </c>
      <c r="B351" s="4" t="s">
        <v>21</v>
      </c>
      <c r="C351" s="4" t="s">
        <v>340</v>
      </c>
      <c r="D351" s="5">
        <v>45413</v>
      </c>
      <c r="E351" s="5">
        <v>45901</v>
      </c>
      <c r="F351" s="4">
        <f>DATEDIF(D351,E351,"M")</f>
        <v>16</v>
      </c>
      <c r="G351" s="4" t="s">
        <v>429</v>
      </c>
      <c r="H351" s="4" t="s">
        <v>431</v>
      </c>
      <c r="I351" s="4">
        <v>9079571</v>
      </c>
      <c r="J351" s="4" t="s">
        <v>419</v>
      </c>
      <c r="K351" s="4" t="s">
        <v>25</v>
      </c>
      <c r="L351" s="4" t="str">
        <f>CONCATENATE(J351, " ",K351)</f>
        <v xml:space="preserve">ADAM RICHTER             </v>
      </c>
      <c r="M351" s="4">
        <v>70.84</v>
      </c>
      <c r="N351" s="7">
        <v>0.13</v>
      </c>
      <c r="O351" s="4">
        <v>9.2100000000000009</v>
      </c>
      <c r="P351" s="4" t="s">
        <v>436</v>
      </c>
    </row>
    <row r="352" spans="1:16" s="4" customFormat="1" x14ac:dyDescent="0.25">
      <c r="A352" s="4" t="s">
        <v>339</v>
      </c>
      <c r="B352" s="4" t="s">
        <v>21</v>
      </c>
      <c r="C352" s="4" t="s">
        <v>340</v>
      </c>
      <c r="D352" s="5">
        <v>45413</v>
      </c>
      <c r="E352" s="5">
        <v>45901</v>
      </c>
      <c r="F352" s="4">
        <f>DATEDIF(D352,E352,"M")</f>
        <v>16</v>
      </c>
      <c r="G352" s="4" t="s">
        <v>429</v>
      </c>
      <c r="H352" s="4" t="s">
        <v>431</v>
      </c>
      <c r="I352" s="4">
        <v>9079571</v>
      </c>
      <c r="J352" s="4" t="s">
        <v>419</v>
      </c>
      <c r="K352" s="4" t="s">
        <v>25</v>
      </c>
      <c r="L352" s="4" t="str">
        <f>CONCATENATE(J352, " ",K352)</f>
        <v xml:space="preserve">ADAM RICHTER             </v>
      </c>
      <c r="M352" s="4">
        <v>16.25</v>
      </c>
      <c r="N352" s="7">
        <v>0.13</v>
      </c>
      <c r="O352" s="4">
        <v>2.11</v>
      </c>
      <c r="P352" s="4" t="s">
        <v>436</v>
      </c>
    </row>
    <row r="353" spans="1:16" s="4" customFormat="1" x14ac:dyDescent="0.25">
      <c r="A353" s="4" t="s">
        <v>339</v>
      </c>
      <c r="B353" s="4" t="s">
        <v>21</v>
      </c>
      <c r="C353" s="4" t="s">
        <v>340</v>
      </c>
      <c r="D353" s="5">
        <v>45413</v>
      </c>
      <c r="E353" s="5">
        <v>45901</v>
      </c>
      <c r="F353" s="4">
        <f>DATEDIF(D353,E353,"M")</f>
        <v>16</v>
      </c>
      <c r="G353" s="4" t="s">
        <v>429</v>
      </c>
      <c r="H353" s="4" t="s">
        <v>431</v>
      </c>
      <c r="I353" s="4">
        <v>9079571</v>
      </c>
      <c r="J353" s="4" t="s">
        <v>419</v>
      </c>
      <c r="K353" s="4" t="s">
        <v>25</v>
      </c>
      <c r="L353" s="4" t="str">
        <f>CONCATENATE(J353, " ",K353)</f>
        <v xml:space="preserve">ADAM RICHTER             </v>
      </c>
      <c r="M353" s="4">
        <v>3.08</v>
      </c>
      <c r="N353" s="7">
        <v>0.13</v>
      </c>
      <c r="O353" s="4">
        <v>0.4</v>
      </c>
      <c r="P353" s="4" t="s">
        <v>436</v>
      </c>
    </row>
    <row r="354" spans="1:16" s="4" customFormat="1" x14ac:dyDescent="0.25">
      <c r="A354" s="4" t="s">
        <v>339</v>
      </c>
      <c r="B354" s="4" t="s">
        <v>21</v>
      </c>
      <c r="C354" s="4" t="s">
        <v>340</v>
      </c>
      <c r="D354" s="5">
        <v>45413</v>
      </c>
      <c r="E354" s="5">
        <v>45901</v>
      </c>
      <c r="F354" s="4">
        <f>DATEDIF(D354,E354,"M")</f>
        <v>16</v>
      </c>
      <c r="G354" s="4" t="s">
        <v>429</v>
      </c>
      <c r="H354" s="4" t="s">
        <v>431</v>
      </c>
      <c r="I354" s="4">
        <v>9079571</v>
      </c>
      <c r="J354" s="4" t="s">
        <v>419</v>
      </c>
      <c r="K354" s="4" t="s">
        <v>25</v>
      </c>
      <c r="L354" s="4" t="str">
        <f>CONCATENATE(J354, " ",K354)</f>
        <v xml:space="preserve">ADAM RICHTER             </v>
      </c>
      <c r="M354" s="4">
        <v>6.88</v>
      </c>
      <c r="N354" s="7">
        <v>0.13</v>
      </c>
      <c r="O354" s="4">
        <v>0.89</v>
      </c>
      <c r="P354" s="4" t="s">
        <v>436</v>
      </c>
    </row>
    <row r="355" spans="1:16" s="4" customFormat="1" x14ac:dyDescent="0.25">
      <c r="A355" s="4" t="s">
        <v>341</v>
      </c>
      <c r="B355" s="4" t="s">
        <v>21</v>
      </c>
      <c r="C355" s="4" t="s">
        <v>342</v>
      </c>
      <c r="D355" s="5">
        <v>45413</v>
      </c>
      <c r="E355" s="5">
        <v>45901</v>
      </c>
      <c r="F355" s="4">
        <f>DATEDIF(D355,E355,"M")</f>
        <v>16</v>
      </c>
      <c r="G355" s="4" t="s">
        <v>429</v>
      </c>
      <c r="H355" s="4" t="s">
        <v>431</v>
      </c>
      <c r="I355" s="4">
        <v>9079571</v>
      </c>
      <c r="J355" s="4" t="s">
        <v>419</v>
      </c>
      <c r="K355" s="4" t="s">
        <v>25</v>
      </c>
      <c r="L355" s="4" t="str">
        <f>CONCATENATE(J355, " ",K355)</f>
        <v xml:space="preserve">ADAM RICHTER             </v>
      </c>
      <c r="M355" s="4">
        <v>59.76</v>
      </c>
      <c r="N355" s="7">
        <v>0.13</v>
      </c>
      <c r="O355" s="4">
        <v>7.77</v>
      </c>
      <c r="P355" s="4" t="s">
        <v>436</v>
      </c>
    </row>
    <row r="356" spans="1:16" s="4" customFormat="1" x14ac:dyDescent="0.25">
      <c r="A356" s="4" t="s">
        <v>341</v>
      </c>
      <c r="B356" s="4" t="s">
        <v>21</v>
      </c>
      <c r="C356" s="4" t="s">
        <v>342</v>
      </c>
      <c r="D356" s="5">
        <v>45413</v>
      </c>
      <c r="E356" s="5">
        <v>45901</v>
      </c>
      <c r="F356" s="4">
        <f>DATEDIF(D356,E356,"M")</f>
        <v>16</v>
      </c>
      <c r="G356" s="4" t="s">
        <v>429</v>
      </c>
      <c r="H356" s="4" t="s">
        <v>431</v>
      </c>
      <c r="I356" s="4">
        <v>9079571</v>
      </c>
      <c r="J356" s="4" t="s">
        <v>419</v>
      </c>
      <c r="K356" s="4" t="s">
        <v>25</v>
      </c>
      <c r="L356" s="4" t="str">
        <f>CONCATENATE(J356, " ",K356)</f>
        <v xml:space="preserve">ADAM RICHTER             </v>
      </c>
      <c r="M356" s="4">
        <v>15</v>
      </c>
      <c r="N356" s="7">
        <v>0.13</v>
      </c>
      <c r="O356" s="4">
        <v>1.95</v>
      </c>
      <c r="P356" s="4" t="s">
        <v>436</v>
      </c>
    </row>
    <row r="357" spans="1:16" s="4" customFormat="1" x14ac:dyDescent="0.25">
      <c r="A357" s="4" t="s">
        <v>341</v>
      </c>
      <c r="B357" s="4" t="s">
        <v>21</v>
      </c>
      <c r="C357" s="4" t="s">
        <v>342</v>
      </c>
      <c r="D357" s="5">
        <v>45413</v>
      </c>
      <c r="E357" s="5">
        <v>45901</v>
      </c>
      <c r="F357" s="4">
        <f>DATEDIF(D357,E357,"M")</f>
        <v>16</v>
      </c>
      <c r="G357" s="4" t="s">
        <v>429</v>
      </c>
      <c r="H357" s="4" t="s">
        <v>431</v>
      </c>
      <c r="I357" s="4">
        <v>9079571</v>
      </c>
      <c r="J357" s="4" t="s">
        <v>419</v>
      </c>
      <c r="K357" s="4" t="s">
        <v>25</v>
      </c>
      <c r="L357" s="4" t="str">
        <f>CONCATENATE(J357, " ",K357)</f>
        <v xml:space="preserve">ADAM RICHTER             </v>
      </c>
      <c r="M357" s="4">
        <v>5.53</v>
      </c>
      <c r="N357" s="7">
        <v>0.13</v>
      </c>
      <c r="O357" s="4">
        <v>0.72</v>
      </c>
      <c r="P357" s="4" t="s">
        <v>436</v>
      </c>
    </row>
    <row r="358" spans="1:16" s="4" customFormat="1" x14ac:dyDescent="0.25">
      <c r="A358" s="4" t="s">
        <v>341</v>
      </c>
      <c r="B358" s="4" t="s">
        <v>21</v>
      </c>
      <c r="C358" s="4" t="s">
        <v>342</v>
      </c>
      <c r="D358" s="5">
        <v>45413</v>
      </c>
      <c r="E358" s="5">
        <v>45901</v>
      </c>
      <c r="F358" s="4">
        <f>DATEDIF(D358,E358,"M")</f>
        <v>16</v>
      </c>
      <c r="G358" s="4" t="s">
        <v>429</v>
      </c>
      <c r="H358" s="4" t="s">
        <v>431</v>
      </c>
      <c r="I358" s="4">
        <v>9079571</v>
      </c>
      <c r="J358" s="4" t="s">
        <v>419</v>
      </c>
      <c r="K358" s="4" t="s">
        <v>25</v>
      </c>
      <c r="L358" s="4" t="str">
        <f>CONCATENATE(J358, " ",K358)</f>
        <v xml:space="preserve">ADAM RICHTER             </v>
      </c>
      <c r="M358" s="4">
        <v>3.08</v>
      </c>
      <c r="N358" s="7">
        <v>0.13</v>
      </c>
      <c r="O358" s="4">
        <v>0.4</v>
      </c>
      <c r="P358" s="4" t="s">
        <v>436</v>
      </c>
    </row>
    <row r="359" spans="1:16" s="4" customFormat="1" x14ac:dyDescent="0.25">
      <c r="A359" s="4" t="s">
        <v>343</v>
      </c>
      <c r="B359" s="4" t="s">
        <v>33</v>
      </c>
      <c r="C359" s="4" t="s">
        <v>344</v>
      </c>
      <c r="D359" s="5">
        <v>45413</v>
      </c>
      <c r="E359" s="5">
        <v>45901</v>
      </c>
      <c r="F359" s="4">
        <f>DATEDIF(D359,E359,"M")</f>
        <v>16</v>
      </c>
      <c r="G359" s="4" t="s">
        <v>429</v>
      </c>
      <c r="H359" s="4" t="s">
        <v>431</v>
      </c>
      <c r="I359" s="4" t="s">
        <v>439</v>
      </c>
      <c r="J359" s="4" t="s">
        <v>421</v>
      </c>
      <c r="K359" s="4" t="s">
        <v>116</v>
      </c>
      <c r="L359" s="4" t="str">
        <f>CONCATENATE(J359, " ",K359)</f>
        <v xml:space="preserve">CAROL FOLEY               </v>
      </c>
      <c r="M359" s="4">
        <v>62.36</v>
      </c>
      <c r="N359" s="7">
        <v>0.13</v>
      </c>
      <c r="O359" s="4">
        <v>8.11</v>
      </c>
      <c r="P359" s="4" t="s">
        <v>436</v>
      </c>
    </row>
    <row r="360" spans="1:16" s="4" customFormat="1" x14ac:dyDescent="0.25">
      <c r="A360" s="4" t="s">
        <v>337</v>
      </c>
      <c r="B360" s="4" t="s">
        <v>21</v>
      </c>
      <c r="C360" s="4" t="s">
        <v>338</v>
      </c>
      <c r="D360" s="5">
        <v>45289</v>
      </c>
      <c r="E360" s="5">
        <v>45898</v>
      </c>
      <c r="F360" s="4">
        <f>DATEDIF(D360,E360,"M")</f>
        <v>20</v>
      </c>
      <c r="G360" s="4" t="s">
        <v>429</v>
      </c>
      <c r="H360" s="4" t="s">
        <v>431</v>
      </c>
      <c r="I360" s="4">
        <v>9079571</v>
      </c>
      <c r="J360" s="4" t="s">
        <v>419</v>
      </c>
      <c r="K360" s="4" t="s">
        <v>25</v>
      </c>
      <c r="L360" s="4" t="str">
        <f>CONCATENATE(J360, " ",K360)</f>
        <v xml:space="preserve">ADAM RICHTER             </v>
      </c>
      <c r="M360" s="4">
        <v>41.81</v>
      </c>
      <c r="N360" s="7">
        <v>0.13</v>
      </c>
      <c r="O360" s="4">
        <v>5.44</v>
      </c>
      <c r="P360" s="4" t="s">
        <v>436</v>
      </c>
    </row>
    <row r="361" spans="1:16" s="4" customFormat="1" x14ac:dyDescent="0.25">
      <c r="A361" s="4" t="s">
        <v>337</v>
      </c>
      <c r="B361" s="4" t="s">
        <v>21</v>
      </c>
      <c r="C361" s="4" t="s">
        <v>338</v>
      </c>
      <c r="D361" s="5">
        <v>45289</v>
      </c>
      <c r="E361" s="5">
        <v>45898</v>
      </c>
      <c r="F361" s="4">
        <f>DATEDIF(D361,E361,"M")</f>
        <v>20</v>
      </c>
      <c r="G361" s="4" t="s">
        <v>429</v>
      </c>
      <c r="H361" s="4" t="s">
        <v>431</v>
      </c>
      <c r="I361" s="4">
        <v>9079571</v>
      </c>
      <c r="J361" s="4" t="s">
        <v>419</v>
      </c>
      <c r="K361" s="4" t="s">
        <v>25</v>
      </c>
      <c r="L361" s="4" t="str">
        <f>CONCATENATE(J361, " ",K361)</f>
        <v xml:space="preserve">ADAM RICHTER             </v>
      </c>
      <c r="M361" s="4">
        <v>8.5500000000000007</v>
      </c>
      <c r="N361" s="7">
        <v>0.13</v>
      </c>
      <c r="O361" s="4">
        <v>1.1100000000000001</v>
      </c>
      <c r="P361" s="4" t="s">
        <v>436</v>
      </c>
    </row>
    <row r="362" spans="1:16" s="4" customFormat="1" x14ac:dyDescent="0.25">
      <c r="A362" s="4" t="s">
        <v>337</v>
      </c>
      <c r="B362" s="4" t="s">
        <v>21</v>
      </c>
      <c r="C362" s="4" t="s">
        <v>338</v>
      </c>
      <c r="D362" s="5">
        <v>45289</v>
      </c>
      <c r="E362" s="5">
        <v>45898</v>
      </c>
      <c r="F362" s="4">
        <f>DATEDIF(D362,E362,"M")</f>
        <v>20</v>
      </c>
      <c r="G362" s="4" t="s">
        <v>429</v>
      </c>
      <c r="H362" s="4" t="s">
        <v>431</v>
      </c>
      <c r="I362" s="4">
        <v>9079571</v>
      </c>
      <c r="J362" s="4" t="s">
        <v>419</v>
      </c>
      <c r="K362" s="4" t="s">
        <v>25</v>
      </c>
      <c r="L362" s="4" t="str">
        <f>CONCATENATE(J362, " ",K362)</f>
        <v xml:space="preserve">ADAM RICHTER             </v>
      </c>
      <c r="M362" s="4">
        <v>4.83</v>
      </c>
      <c r="N362" s="7">
        <v>0.13</v>
      </c>
      <c r="O362" s="4">
        <v>0.63</v>
      </c>
      <c r="P362" s="4" t="s">
        <v>436</v>
      </c>
    </row>
    <row r="363" spans="1:16" s="4" customFormat="1" x14ac:dyDescent="0.25">
      <c r="A363" s="4" t="s">
        <v>271</v>
      </c>
      <c r="B363" s="4" t="s">
        <v>33</v>
      </c>
      <c r="C363" s="4" t="s">
        <v>272</v>
      </c>
      <c r="D363" s="5">
        <v>45292</v>
      </c>
      <c r="E363" s="5">
        <v>45901</v>
      </c>
      <c r="F363" s="4">
        <f>DATEDIF(D363,E363,"M")</f>
        <v>20</v>
      </c>
      <c r="G363" s="4" t="s">
        <v>429</v>
      </c>
      <c r="H363" s="4" t="s">
        <v>431</v>
      </c>
      <c r="I363" s="4">
        <v>15278437</v>
      </c>
      <c r="J363" s="4" t="s">
        <v>426</v>
      </c>
      <c r="K363" s="4" t="s">
        <v>236</v>
      </c>
      <c r="L363" s="4" t="str">
        <f>CONCATENATE(J363, " ",K363)</f>
        <v xml:space="preserve">JASON HOFFMANN            </v>
      </c>
      <c r="M363" s="4">
        <v>27.78</v>
      </c>
      <c r="N363" s="7">
        <v>0.1</v>
      </c>
      <c r="O363" s="4">
        <v>2.78</v>
      </c>
      <c r="P363" s="4" t="s">
        <v>435</v>
      </c>
    </row>
    <row r="364" spans="1:16" s="4" customFormat="1" x14ac:dyDescent="0.25">
      <c r="A364" s="4" t="s">
        <v>271</v>
      </c>
      <c r="B364" s="4" t="s">
        <v>33</v>
      </c>
      <c r="C364" s="4" t="s">
        <v>272</v>
      </c>
      <c r="D364" s="5">
        <v>45292</v>
      </c>
      <c r="E364" s="5">
        <v>45901</v>
      </c>
      <c r="F364" s="4">
        <f>DATEDIF(D364,E364,"M")</f>
        <v>20</v>
      </c>
      <c r="G364" s="4" t="s">
        <v>429</v>
      </c>
      <c r="H364" s="4" t="s">
        <v>431</v>
      </c>
      <c r="I364" s="4">
        <v>15278437</v>
      </c>
      <c r="J364" s="4" t="s">
        <v>426</v>
      </c>
      <c r="K364" s="4" t="s">
        <v>236</v>
      </c>
      <c r="L364" s="4" t="str">
        <f>CONCATENATE(J364, " ",K364)</f>
        <v xml:space="preserve">JASON HOFFMANN            </v>
      </c>
      <c r="M364" s="4">
        <v>28.6</v>
      </c>
      <c r="N364" s="7">
        <v>0.1</v>
      </c>
      <c r="O364" s="4">
        <v>2.86</v>
      </c>
      <c r="P364" s="4" t="s">
        <v>435</v>
      </c>
    </row>
    <row r="365" spans="1:16" s="4" customFormat="1" x14ac:dyDescent="0.25">
      <c r="A365" s="4" t="s">
        <v>271</v>
      </c>
      <c r="B365" s="4" t="s">
        <v>33</v>
      </c>
      <c r="C365" s="4" t="s">
        <v>272</v>
      </c>
      <c r="D365" s="5">
        <v>45292</v>
      </c>
      <c r="E365" s="5">
        <v>45901</v>
      </c>
      <c r="F365" s="4">
        <f>DATEDIF(D365,E365,"M")</f>
        <v>20</v>
      </c>
      <c r="G365" s="4" t="s">
        <v>429</v>
      </c>
      <c r="H365" s="4" t="s">
        <v>431</v>
      </c>
      <c r="I365" s="4">
        <v>15278437</v>
      </c>
      <c r="J365" s="4" t="s">
        <v>426</v>
      </c>
      <c r="K365" s="4" t="s">
        <v>236</v>
      </c>
      <c r="L365" s="4" t="str">
        <f>CONCATENATE(J365, " ",K365)</f>
        <v xml:space="preserve">JASON HOFFMANN            </v>
      </c>
      <c r="M365" s="4">
        <v>6.03</v>
      </c>
      <c r="N365" s="7">
        <v>0.1</v>
      </c>
      <c r="O365" s="4">
        <v>0.6</v>
      </c>
      <c r="P365" s="4" t="s">
        <v>435</v>
      </c>
    </row>
    <row r="366" spans="1:16" s="4" customFormat="1" x14ac:dyDescent="0.25">
      <c r="A366" s="4" t="s">
        <v>335</v>
      </c>
      <c r="B366" s="4" t="s">
        <v>21</v>
      </c>
      <c r="C366" s="4" t="s">
        <v>336</v>
      </c>
      <c r="D366" s="5">
        <v>45261</v>
      </c>
      <c r="E366" s="5">
        <v>45901</v>
      </c>
      <c r="F366" s="4">
        <f>DATEDIF(D366,E366,"M")</f>
        <v>21</v>
      </c>
      <c r="G366" s="4" t="s">
        <v>429</v>
      </c>
      <c r="H366" s="4" t="s">
        <v>431</v>
      </c>
      <c r="I366" s="4">
        <v>9079571</v>
      </c>
      <c r="J366" s="4" t="s">
        <v>419</v>
      </c>
      <c r="K366" s="4" t="s">
        <v>25</v>
      </c>
      <c r="L366" s="4" t="str">
        <f>CONCATENATE(J366, " ",K366)</f>
        <v xml:space="preserve">ADAM RICHTER             </v>
      </c>
      <c r="M366" s="4">
        <v>59.76</v>
      </c>
      <c r="N366" s="7">
        <v>0.13</v>
      </c>
      <c r="O366" s="4">
        <v>7.77</v>
      </c>
      <c r="P366" s="4" t="s">
        <v>436</v>
      </c>
    </row>
    <row r="367" spans="1:16" s="4" customFormat="1" x14ac:dyDescent="0.25">
      <c r="A367" s="4" t="s">
        <v>335</v>
      </c>
      <c r="B367" s="4" t="s">
        <v>21</v>
      </c>
      <c r="C367" s="4" t="s">
        <v>336</v>
      </c>
      <c r="D367" s="5">
        <v>45261</v>
      </c>
      <c r="E367" s="5">
        <v>45901</v>
      </c>
      <c r="F367" s="4">
        <f>DATEDIF(D367,E367,"M")</f>
        <v>21</v>
      </c>
      <c r="G367" s="4" t="s">
        <v>429</v>
      </c>
      <c r="H367" s="4" t="s">
        <v>431</v>
      </c>
      <c r="I367" s="4">
        <v>9079571</v>
      </c>
      <c r="J367" s="4" t="s">
        <v>419</v>
      </c>
      <c r="K367" s="4" t="s">
        <v>25</v>
      </c>
      <c r="L367" s="4" t="str">
        <f>CONCATENATE(J367, " ",K367)</f>
        <v xml:space="preserve">ADAM RICHTER             </v>
      </c>
      <c r="M367" s="4">
        <v>22.5</v>
      </c>
      <c r="N367" s="7">
        <v>0.13</v>
      </c>
      <c r="O367" s="4">
        <v>2.93</v>
      </c>
      <c r="P367" s="4" t="s">
        <v>436</v>
      </c>
    </row>
    <row r="368" spans="1:16" s="4" customFormat="1" x14ac:dyDescent="0.25">
      <c r="A368" s="4" t="s">
        <v>335</v>
      </c>
      <c r="B368" s="4" t="s">
        <v>21</v>
      </c>
      <c r="C368" s="4" t="s">
        <v>336</v>
      </c>
      <c r="D368" s="5">
        <v>45261</v>
      </c>
      <c r="E368" s="5">
        <v>45901</v>
      </c>
      <c r="F368" s="4">
        <f>DATEDIF(D368,E368,"M")</f>
        <v>21</v>
      </c>
      <c r="G368" s="4" t="s">
        <v>429</v>
      </c>
      <c r="H368" s="4" t="s">
        <v>431</v>
      </c>
      <c r="I368" s="4">
        <v>9079571</v>
      </c>
      <c r="J368" s="4" t="s">
        <v>419</v>
      </c>
      <c r="K368" s="4" t="s">
        <v>25</v>
      </c>
      <c r="L368" s="4" t="str">
        <f>CONCATENATE(J368, " ",K368)</f>
        <v xml:space="preserve">ADAM RICHTER             </v>
      </c>
      <c r="M368" s="4">
        <v>3.08</v>
      </c>
      <c r="N368" s="7">
        <v>0.13</v>
      </c>
      <c r="O368" s="4">
        <v>0.4</v>
      </c>
      <c r="P368" s="4" t="s">
        <v>436</v>
      </c>
    </row>
    <row r="369" spans="1:16" s="4" customFormat="1" x14ac:dyDescent="0.25">
      <c r="A369" s="4" t="s">
        <v>333</v>
      </c>
      <c r="B369" s="4" t="s">
        <v>21</v>
      </c>
      <c r="C369" s="4" t="s">
        <v>334</v>
      </c>
      <c r="D369" s="5">
        <v>45231</v>
      </c>
      <c r="E369" s="5">
        <v>45901</v>
      </c>
      <c r="F369" s="4">
        <f>DATEDIF(D369,E369,"M")</f>
        <v>22</v>
      </c>
      <c r="G369" s="4" t="s">
        <v>429</v>
      </c>
      <c r="H369" s="4" t="s">
        <v>431</v>
      </c>
      <c r="I369" s="4">
        <v>9079571</v>
      </c>
      <c r="J369" s="4" t="s">
        <v>419</v>
      </c>
      <c r="K369" s="4" t="s">
        <v>25</v>
      </c>
      <c r="L369" s="4" t="str">
        <f>CONCATENATE(J369, " ",K369)</f>
        <v xml:space="preserve">ADAM RICHTER             </v>
      </c>
      <c r="M369" s="4">
        <v>70.84</v>
      </c>
      <c r="N369" s="7">
        <v>0.13</v>
      </c>
      <c r="O369" s="4">
        <v>9.2100000000000009</v>
      </c>
      <c r="P369" s="4" t="s">
        <v>436</v>
      </c>
    </row>
    <row r="370" spans="1:16" s="4" customFormat="1" x14ac:dyDescent="0.25">
      <c r="A370" s="4" t="s">
        <v>333</v>
      </c>
      <c r="B370" s="4" t="s">
        <v>21</v>
      </c>
      <c r="C370" s="4" t="s">
        <v>334</v>
      </c>
      <c r="D370" s="5">
        <v>45231</v>
      </c>
      <c r="E370" s="5">
        <v>45901</v>
      </c>
      <c r="F370" s="4">
        <f>DATEDIF(D370,E370,"M")</f>
        <v>22</v>
      </c>
      <c r="G370" s="4" t="s">
        <v>429</v>
      </c>
      <c r="H370" s="4" t="s">
        <v>431</v>
      </c>
      <c r="I370" s="4">
        <v>9079571</v>
      </c>
      <c r="J370" s="4" t="s">
        <v>419</v>
      </c>
      <c r="K370" s="4" t="s">
        <v>25</v>
      </c>
      <c r="L370" s="4" t="str">
        <f>CONCATENATE(J370, " ",K370)</f>
        <v xml:space="preserve">ADAM RICHTER             </v>
      </c>
      <c r="M370" s="4">
        <v>24.37</v>
      </c>
      <c r="N370" s="7">
        <v>0.13</v>
      </c>
      <c r="O370" s="4">
        <v>3.17</v>
      </c>
      <c r="P370" s="4" t="s">
        <v>436</v>
      </c>
    </row>
    <row r="371" spans="1:16" s="4" customFormat="1" x14ac:dyDescent="0.25">
      <c r="A371" s="4" t="s">
        <v>333</v>
      </c>
      <c r="B371" s="4" t="s">
        <v>21</v>
      </c>
      <c r="C371" s="4" t="s">
        <v>334</v>
      </c>
      <c r="D371" s="5">
        <v>45231</v>
      </c>
      <c r="E371" s="5">
        <v>45901</v>
      </c>
      <c r="F371" s="4">
        <f>DATEDIF(D371,E371,"M")</f>
        <v>22</v>
      </c>
      <c r="G371" s="4" t="s">
        <v>429</v>
      </c>
      <c r="H371" s="4" t="s">
        <v>431</v>
      </c>
      <c r="I371" s="4">
        <v>9079571</v>
      </c>
      <c r="J371" s="4" t="s">
        <v>419</v>
      </c>
      <c r="K371" s="4" t="s">
        <v>25</v>
      </c>
      <c r="L371" s="4" t="str">
        <f>CONCATENATE(J371, " ",K371)</f>
        <v xml:space="preserve">ADAM RICHTER             </v>
      </c>
      <c r="M371" s="4">
        <v>3.08</v>
      </c>
      <c r="N371" s="7">
        <v>0.13</v>
      </c>
      <c r="O371" s="4">
        <v>0.4</v>
      </c>
      <c r="P371" s="4" t="s">
        <v>436</v>
      </c>
    </row>
    <row r="372" spans="1:16" s="4" customFormat="1" x14ac:dyDescent="0.25">
      <c r="A372" s="4" t="s">
        <v>331</v>
      </c>
      <c r="B372" s="4" t="s">
        <v>21</v>
      </c>
      <c r="C372" s="4" t="s">
        <v>332</v>
      </c>
      <c r="D372" s="5">
        <v>45200</v>
      </c>
      <c r="E372" s="5">
        <v>45901</v>
      </c>
      <c r="F372" s="4">
        <f>DATEDIF(D372,E372,"M")</f>
        <v>23</v>
      </c>
      <c r="G372" s="4" t="s">
        <v>429</v>
      </c>
      <c r="H372" s="4" t="s">
        <v>431</v>
      </c>
      <c r="I372" s="4">
        <v>9079571</v>
      </c>
      <c r="J372" s="4" t="s">
        <v>419</v>
      </c>
      <c r="K372" s="4" t="s">
        <v>25</v>
      </c>
      <c r="L372" s="4" t="str">
        <f>CONCATENATE(J372, " ",K372)</f>
        <v xml:space="preserve">ADAM RICHTER             </v>
      </c>
      <c r="M372" s="4">
        <v>59.76</v>
      </c>
      <c r="N372" s="7">
        <v>0.13</v>
      </c>
      <c r="O372" s="4">
        <v>7.77</v>
      </c>
      <c r="P372" s="4" t="s">
        <v>436</v>
      </c>
    </row>
    <row r="373" spans="1:16" s="4" customFormat="1" x14ac:dyDescent="0.25">
      <c r="A373" s="4" t="s">
        <v>331</v>
      </c>
      <c r="B373" s="4" t="s">
        <v>21</v>
      </c>
      <c r="C373" s="4" t="s">
        <v>332</v>
      </c>
      <c r="D373" s="5">
        <v>45200</v>
      </c>
      <c r="E373" s="5">
        <v>45901</v>
      </c>
      <c r="F373" s="4">
        <f>DATEDIF(D373,E373,"M")</f>
        <v>23</v>
      </c>
      <c r="G373" s="4" t="s">
        <v>429</v>
      </c>
      <c r="H373" s="4" t="s">
        <v>431</v>
      </c>
      <c r="I373" s="4">
        <v>9079571</v>
      </c>
      <c r="J373" s="4" t="s">
        <v>419</v>
      </c>
      <c r="K373" s="4" t="s">
        <v>25</v>
      </c>
      <c r="L373" s="4" t="str">
        <f>CONCATENATE(J373, " ",K373)</f>
        <v xml:space="preserve">ADAM RICHTER             </v>
      </c>
      <c r="M373" s="4">
        <v>3.08</v>
      </c>
      <c r="N373" s="7">
        <v>0.13</v>
      </c>
      <c r="O373" s="4">
        <v>0.4</v>
      </c>
      <c r="P373" s="4" t="s">
        <v>436</v>
      </c>
    </row>
    <row r="374" spans="1:16" s="4" customFormat="1" x14ac:dyDescent="0.25">
      <c r="A374" s="4" t="s">
        <v>331</v>
      </c>
      <c r="B374" s="4" t="s">
        <v>21</v>
      </c>
      <c r="C374" s="4" t="s">
        <v>332</v>
      </c>
      <c r="D374" s="5">
        <v>45200</v>
      </c>
      <c r="E374" s="5">
        <v>45901</v>
      </c>
      <c r="F374" s="4">
        <f>DATEDIF(D374,E374,"M")</f>
        <v>23</v>
      </c>
      <c r="G374" s="4" t="s">
        <v>429</v>
      </c>
      <c r="H374" s="4" t="s">
        <v>431</v>
      </c>
      <c r="I374" s="4">
        <v>9079571</v>
      </c>
      <c r="J374" s="4" t="s">
        <v>419</v>
      </c>
      <c r="K374" s="4" t="s">
        <v>25</v>
      </c>
      <c r="L374" s="4" t="str">
        <f>CONCATENATE(J374, " ",K374)</f>
        <v xml:space="preserve">ADAM RICHTER             </v>
      </c>
      <c r="M374" s="4">
        <v>22.5</v>
      </c>
      <c r="N374" s="7">
        <v>0.13</v>
      </c>
      <c r="O374" s="4">
        <v>2.93</v>
      </c>
      <c r="P374" s="4" t="s">
        <v>436</v>
      </c>
    </row>
    <row r="375" spans="1:16" s="4" customFormat="1" x14ac:dyDescent="0.25">
      <c r="A375" s="4" t="s">
        <v>323</v>
      </c>
      <c r="B375" s="4" t="s">
        <v>21</v>
      </c>
      <c r="C375" s="4" t="s">
        <v>324</v>
      </c>
      <c r="D375" s="5">
        <v>45139</v>
      </c>
      <c r="E375" s="5">
        <v>45901</v>
      </c>
      <c r="F375" s="4">
        <f>DATEDIF(D375,E375,"M")</f>
        <v>25</v>
      </c>
      <c r="G375" s="4" t="s">
        <v>429</v>
      </c>
      <c r="H375" s="4" t="s">
        <v>431</v>
      </c>
      <c r="I375" s="4">
        <v>9079571</v>
      </c>
      <c r="J375" s="4" t="s">
        <v>419</v>
      </c>
      <c r="K375" s="4" t="s">
        <v>25</v>
      </c>
      <c r="L375" s="4" t="str">
        <f>CONCATENATE(J375, " ",K375)</f>
        <v xml:space="preserve">ADAM RICHTER             </v>
      </c>
      <c r="M375" s="4">
        <v>59.76</v>
      </c>
      <c r="N375" s="7">
        <v>0.13</v>
      </c>
      <c r="O375" s="4">
        <v>7.77</v>
      </c>
      <c r="P375" s="4" t="s">
        <v>436</v>
      </c>
    </row>
    <row r="376" spans="1:16" s="4" customFormat="1" x14ac:dyDescent="0.25">
      <c r="A376" s="4" t="s">
        <v>323</v>
      </c>
      <c r="B376" s="4" t="s">
        <v>21</v>
      </c>
      <c r="C376" s="4" t="s">
        <v>324</v>
      </c>
      <c r="D376" s="5">
        <v>45139</v>
      </c>
      <c r="E376" s="5">
        <v>45901</v>
      </c>
      <c r="F376" s="4">
        <f>DATEDIF(D376,E376,"M")</f>
        <v>25</v>
      </c>
      <c r="G376" s="4" t="s">
        <v>429</v>
      </c>
      <c r="H376" s="4" t="s">
        <v>431</v>
      </c>
      <c r="I376" s="4">
        <v>9079571</v>
      </c>
      <c r="J376" s="4" t="s">
        <v>419</v>
      </c>
      <c r="K376" s="4" t="s">
        <v>25</v>
      </c>
      <c r="L376" s="4" t="str">
        <f>CONCATENATE(J376, " ",K376)</f>
        <v xml:space="preserve">ADAM RICHTER             </v>
      </c>
      <c r="M376" s="4">
        <v>22.5</v>
      </c>
      <c r="N376" s="7">
        <v>0.13</v>
      </c>
      <c r="O376" s="4">
        <v>2.93</v>
      </c>
      <c r="P376" s="4" t="s">
        <v>436</v>
      </c>
    </row>
    <row r="377" spans="1:16" s="4" customFormat="1" x14ac:dyDescent="0.25">
      <c r="A377" s="4" t="s">
        <v>323</v>
      </c>
      <c r="B377" s="4" t="s">
        <v>21</v>
      </c>
      <c r="C377" s="4" t="s">
        <v>324</v>
      </c>
      <c r="D377" s="5">
        <v>45139</v>
      </c>
      <c r="E377" s="5">
        <v>45901</v>
      </c>
      <c r="F377" s="4">
        <f>DATEDIF(D377,E377,"M")</f>
        <v>25</v>
      </c>
      <c r="G377" s="4" t="s">
        <v>429</v>
      </c>
      <c r="H377" s="4" t="s">
        <v>431</v>
      </c>
      <c r="I377" s="4">
        <v>9079571</v>
      </c>
      <c r="J377" s="4" t="s">
        <v>419</v>
      </c>
      <c r="K377" s="4" t="s">
        <v>25</v>
      </c>
      <c r="L377" s="4" t="str">
        <f>CONCATENATE(J377, " ",K377)</f>
        <v xml:space="preserve">ADAM RICHTER             </v>
      </c>
      <c r="M377" s="4">
        <v>3.08</v>
      </c>
      <c r="N377" s="7">
        <v>0.13</v>
      </c>
      <c r="O377" s="4">
        <v>0.4</v>
      </c>
      <c r="P377" s="4" t="s">
        <v>436</v>
      </c>
    </row>
    <row r="378" spans="1:16" s="4" customFormat="1" x14ac:dyDescent="0.25">
      <c r="A378" s="4" t="s">
        <v>325</v>
      </c>
      <c r="B378" s="4" t="s">
        <v>21</v>
      </c>
      <c r="C378" s="4" t="s">
        <v>326</v>
      </c>
      <c r="D378" s="5">
        <v>45139</v>
      </c>
      <c r="E378" s="5">
        <v>45901</v>
      </c>
      <c r="F378" s="4">
        <f>DATEDIF(D378,E378,"M")</f>
        <v>25</v>
      </c>
      <c r="G378" s="4" t="s">
        <v>429</v>
      </c>
      <c r="H378" s="4" t="s">
        <v>431</v>
      </c>
      <c r="I378" s="4">
        <v>9079571</v>
      </c>
      <c r="J378" s="4" t="s">
        <v>419</v>
      </c>
      <c r="K378" s="4" t="s">
        <v>25</v>
      </c>
      <c r="L378" s="4" t="str">
        <f>CONCATENATE(J378, " ",K378)</f>
        <v xml:space="preserve">ADAM RICHTER             </v>
      </c>
      <c r="M378" s="4">
        <v>59.76</v>
      </c>
      <c r="N378" s="7">
        <v>0.13</v>
      </c>
      <c r="O378" s="4">
        <v>7.77</v>
      </c>
      <c r="P378" s="4" t="s">
        <v>436</v>
      </c>
    </row>
    <row r="379" spans="1:16" s="4" customFormat="1" x14ac:dyDescent="0.25">
      <c r="A379" s="4" t="s">
        <v>325</v>
      </c>
      <c r="B379" s="4" t="s">
        <v>21</v>
      </c>
      <c r="C379" s="4" t="s">
        <v>326</v>
      </c>
      <c r="D379" s="5">
        <v>45139</v>
      </c>
      <c r="E379" s="5">
        <v>45901</v>
      </c>
      <c r="F379" s="4">
        <f>DATEDIF(D379,E379,"M")</f>
        <v>25</v>
      </c>
      <c r="G379" s="4" t="s">
        <v>429</v>
      </c>
      <c r="H379" s="4" t="s">
        <v>431</v>
      </c>
      <c r="I379" s="4">
        <v>9079571</v>
      </c>
      <c r="J379" s="4" t="s">
        <v>419</v>
      </c>
      <c r="K379" s="4" t="s">
        <v>25</v>
      </c>
      <c r="L379" s="4" t="str">
        <f>CONCATENATE(J379, " ",K379)</f>
        <v xml:space="preserve">ADAM RICHTER             </v>
      </c>
      <c r="M379" s="4">
        <v>22.5</v>
      </c>
      <c r="N379" s="7">
        <v>0.13</v>
      </c>
      <c r="O379" s="4">
        <v>2.93</v>
      </c>
      <c r="P379" s="4" t="s">
        <v>436</v>
      </c>
    </row>
    <row r="380" spans="1:16" s="4" customFormat="1" x14ac:dyDescent="0.25">
      <c r="A380" s="4" t="s">
        <v>325</v>
      </c>
      <c r="B380" s="4" t="s">
        <v>21</v>
      </c>
      <c r="C380" s="4" t="s">
        <v>326</v>
      </c>
      <c r="D380" s="5">
        <v>45139</v>
      </c>
      <c r="E380" s="5">
        <v>45901</v>
      </c>
      <c r="F380" s="4">
        <f>DATEDIF(D380,E380,"M")</f>
        <v>25</v>
      </c>
      <c r="G380" s="4" t="s">
        <v>429</v>
      </c>
      <c r="H380" s="4" t="s">
        <v>431</v>
      </c>
      <c r="I380" s="4">
        <v>9079571</v>
      </c>
      <c r="J380" s="4" t="s">
        <v>419</v>
      </c>
      <c r="K380" s="4" t="s">
        <v>25</v>
      </c>
      <c r="L380" s="4" t="str">
        <f>CONCATENATE(J380, " ",K380)</f>
        <v xml:space="preserve">ADAM RICHTER             </v>
      </c>
      <c r="M380" s="4">
        <v>3.08</v>
      </c>
      <c r="N380" s="7">
        <v>0.13</v>
      </c>
      <c r="O380" s="4">
        <v>0.4</v>
      </c>
      <c r="P380" s="4" t="s">
        <v>436</v>
      </c>
    </row>
    <row r="381" spans="1:16" s="4" customFormat="1" x14ac:dyDescent="0.25">
      <c r="A381" s="4" t="s">
        <v>327</v>
      </c>
      <c r="B381" s="4" t="s">
        <v>21</v>
      </c>
      <c r="C381" s="4" t="s">
        <v>328</v>
      </c>
      <c r="D381" s="5">
        <v>45139</v>
      </c>
      <c r="E381" s="5">
        <v>45901</v>
      </c>
      <c r="F381" s="4">
        <f>DATEDIF(D381,E381,"M")</f>
        <v>25</v>
      </c>
      <c r="G381" s="4" t="s">
        <v>429</v>
      </c>
      <c r="H381" s="4" t="s">
        <v>431</v>
      </c>
      <c r="I381" s="4">
        <v>9079571</v>
      </c>
      <c r="J381" s="4" t="s">
        <v>419</v>
      </c>
      <c r="K381" s="4" t="s">
        <v>25</v>
      </c>
      <c r="L381" s="4" t="str">
        <f>CONCATENATE(J381, " ",K381)</f>
        <v xml:space="preserve">ADAM RICHTER             </v>
      </c>
      <c r="M381" s="4">
        <v>59.76</v>
      </c>
      <c r="N381" s="7">
        <v>0.13</v>
      </c>
      <c r="O381" s="4">
        <v>7.77</v>
      </c>
      <c r="P381" s="4" t="s">
        <v>436</v>
      </c>
    </row>
    <row r="382" spans="1:16" s="4" customFormat="1" x14ac:dyDescent="0.25">
      <c r="A382" s="4" t="s">
        <v>327</v>
      </c>
      <c r="B382" s="4" t="s">
        <v>21</v>
      </c>
      <c r="C382" s="4" t="s">
        <v>328</v>
      </c>
      <c r="D382" s="5">
        <v>45139</v>
      </c>
      <c r="E382" s="5">
        <v>45901</v>
      </c>
      <c r="F382" s="4">
        <f>DATEDIF(D382,E382,"M")</f>
        <v>25</v>
      </c>
      <c r="G382" s="4" t="s">
        <v>429</v>
      </c>
      <c r="H382" s="4" t="s">
        <v>431</v>
      </c>
      <c r="I382" s="4">
        <v>9079571</v>
      </c>
      <c r="J382" s="4" t="s">
        <v>419</v>
      </c>
      <c r="K382" s="4" t="s">
        <v>25</v>
      </c>
      <c r="L382" s="4" t="str">
        <f>CONCATENATE(J382, " ",K382)</f>
        <v xml:space="preserve">ADAM RICHTER             </v>
      </c>
      <c r="M382" s="4">
        <v>22.5</v>
      </c>
      <c r="N382" s="7">
        <v>0.13</v>
      </c>
      <c r="O382" s="4">
        <v>2.93</v>
      </c>
      <c r="P382" s="4" t="s">
        <v>436</v>
      </c>
    </row>
    <row r="383" spans="1:16" s="4" customFormat="1" x14ac:dyDescent="0.25">
      <c r="A383" s="4" t="s">
        <v>327</v>
      </c>
      <c r="B383" s="4" t="s">
        <v>21</v>
      </c>
      <c r="C383" s="4" t="s">
        <v>328</v>
      </c>
      <c r="D383" s="5">
        <v>45139</v>
      </c>
      <c r="E383" s="5">
        <v>45901</v>
      </c>
      <c r="F383" s="4">
        <f>DATEDIF(D383,E383,"M")</f>
        <v>25</v>
      </c>
      <c r="G383" s="4" t="s">
        <v>429</v>
      </c>
      <c r="H383" s="4" t="s">
        <v>431</v>
      </c>
      <c r="I383" s="4">
        <v>9079571</v>
      </c>
      <c r="J383" s="4" t="s">
        <v>419</v>
      </c>
      <c r="K383" s="4" t="s">
        <v>25</v>
      </c>
      <c r="L383" s="4" t="str">
        <f>CONCATENATE(J383, " ",K383)</f>
        <v xml:space="preserve">ADAM RICHTER             </v>
      </c>
      <c r="M383" s="4">
        <v>3.08</v>
      </c>
      <c r="N383" s="7">
        <v>0.13</v>
      </c>
      <c r="O383" s="4">
        <v>0.4</v>
      </c>
      <c r="P383" s="4" t="s">
        <v>436</v>
      </c>
    </row>
    <row r="384" spans="1:16" s="4" customFormat="1" x14ac:dyDescent="0.25">
      <c r="A384" s="4" t="s">
        <v>329</v>
      </c>
      <c r="B384" s="4" t="s">
        <v>21</v>
      </c>
      <c r="C384" s="4" t="s">
        <v>330</v>
      </c>
      <c r="D384" s="5">
        <v>45145</v>
      </c>
      <c r="E384" s="5">
        <v>45907</v>
      </c>
      <c r="F384" s="4">
        <f>DATEDIF(D384,E384,"M")</f>
        <v>25</v>
      </c>
      <c r="G384" s="4" t="s">
        <v>429</v>
      </c>
      <c r="H384" s="4" t="s">
        <v>431</v>
      </c>
      <c r="I384" s="4">
        <v>9079571</v>
      </c>
      <c r="J384" s="4" t="s">
        <v>419</v>
      </c>
      <c r="K384" s="4" t="s">
        <v>25</v>
      </c>
      <c r="L384" s="4" t="str">
        <f>CONCATENATE(J384, " ",K384)</f>
        <v xml:space="preserve">ADAM RICHTER             </v>
      </c>
      <c r="M384" s="4">
        <v>59.76</v>
      </c>
      <c r="N384" s="7">
        <v>0.13</v>
      </c>
      <c r="O384" s="4">
        <v>7.77</v>
      </c>
      <c r="P384" s="4" t="s">
        <v>436</v>
      </c>
    </row>
    <row r="385" spans="1:16" s="4" customFormat="1" x14ac:dyDescent="0.25">
      <c r="A385" s="4" t="s">
        <v>329</v>
      </c>
      <c r="B385" s="4" t="s">
        <v>21</v>
      </c>
      <c r="C385" s="4" t="s">
        <v>330</v>
      </c>
      <c r="D385" s="5">
        <v>45145</v>
      </c>
      <c r="E385" s="5">
        <v>45907</v>
      </c>
      <c r="F385" s="4">
        <f>DATEDIF(D385,E385,"M")</f>
        <v>25</v>
      </c>
      <c r="G385" s="4" t="s">
        <v>429</v>
      </c>
      <c r="H385" s="4" t="s">
        <v>431</v>
      </c>
      <c r="I385" s="4">
        <v>9079571</v>
      </c>
      <c r="J385" s="4" t="s">
        <v>419</v>
      </c>
      <c r="K385" s="4" t="s">
        <v>25</v>
      </c>
      <c r="L385" s="4" t="str">
        <f>CONCATENATE(J385, " ",K385)</f>
        <v xml:space="preserve">ADAM RICHTER             </v>
      </c>
      <c r="M385" s="4">
        <v>3.08</v>
      </c>
      <c r="N385" s="7">
        <v>0.13</v>
      </c>
      <c r="O385" s="4">
        <v>0.4</v>
      </c>
      <c r="P385" s="4" t="s">
        <v>436</v>
      </c>
    </row>
    <row r="386" spans="1:16" s="4" customFormat="1" x14ac:dyDescent="0.25">
      <c r="A386" s="4" t="s">
        <v>329</v>
      </c>
      <c r="B386" s="4" t="s">
        <v>21</v>
      </c>
      <c r="C386" s="4" t="s">
        <v>330</v>
      </c>
      <c r="D386" s="5">
        <v>45145</v>
      </c>
      <c r="E386" s="5">
        <v>45907</v>
      </c>
      <c r="F386" s="4">
        <f>DATEDIF(D386,E386,"M")</f>
        <v>25</v>
      </c>
      <c r="G386" s="4" t="s">
        <v>429</v>
      </c>
      <c r="H386" s="4" t="s">
        <v>431</v>
      </c>
      <c r="I386" s="4">
        <v>9079571</v>
      </c>
      <c r="J386" s="4" t="s">
        <v>419</v>
      </c>
      <c r="K386" s="4" t="s">
        <v>25</v>
      </c>
      <c r="L386" s="4" t="str">
        <f>CONCATENATE(J386, " ",K386)</f>
        <v xml:space="preserve">ADAM RICHTER             </v>
      </c>
      <c r="M386" s="4">
        <v>15</v>
      </c>
      <c r="N386" s="7">
        <v>0.13</v>
      </c>
      <c r="O386" s="4">
        <v>1.95</v>
      </c>
      <c r="P386" s="4" t="s">
        <v>436</v>
      </c>
    </row>
    <row r="387" spans="1:16" s="4" customFormat="1" x14ac:dyDescent="0.25">
      <c r="A387" s="4" t="s">
        <v>269</v>
      </c>
      <c r="B387" s="4" t="s">
        <v>33</v>
      </c>
      <c r="C387" s="4" t="s">
        <v>270</v>
      </c>
      <c r="D387" s="5">
        <v>45108</v>
      </c>
      <c r="E387" s="5">
        <v>45901</v>
      </c>
      <c r="F387" s="4">
        <f>DATEDIF(D387,E387,"M")</f>
        <v>26</v>
      </c>
      <c r="G387" s="4" t="s">
        <v>429</v>
      </c>
      <c r="H387" s="4" t="s">
        <v>431</v>
      </c>
      <c r="I387" s="4">
        <v>15278437</v>
      </c>
      <c r="J387" s="4" t="s">
        <v>426</v>
      </c>
      <c r="K387" s="4" t="s">
        <v>236</v>
      </c>
      <c r="L387" s="4" t="str">
        <f>CONCATENATE(J387, " ",K387)</f>
        <v xml:space="preserve">JASON HOFFMANN            </v>
      </c>
      <c r="M387" s="4">
        <v>21.06</v>
      </c>
      <c r="N387" s="7">
        <v>0.1</v>
      </c>
      <c r="O387" s="4">
        <v>2.11</v>
      </c>
      <c r="P387" s="4" t="s">
        <v>435</v>
      </c>
    </row>
    <row r="388" spans="1:16" s="4" customFormat="1" x14ac:dyDescent="0.25">
      <c r="A388" s="4" t="s">
        <v>269</v>
      </c>
      <c r="B388" s="4" t="s">
        <v>33</v>
      </c>
      <c r="C388" s="4" t="s">
        <v>270</v>
      </c>
      <c r="D388" s="5">
        <v>45108</v>
      </c>
      <c r="E388" s="5">
        <v>45901</v>
      </c>
      <c r="F388" s="4">
        <f>DATEDIF(D388,E388,"M")</f>
        <v>26</v>
      </c>
      <c r="G388" s="4" t="s">
        <v>429</v>
      </c>
      <c r="H388" s="4" t="s">
        <v>431</v>
      </c>
      <c r="I388" s="4">
        <v>15278437</v>
      </c>
      <c r="J388" s="4" t="s">
        <v>426</v>
      </c>
      <c r="K388" s="4" t="s">
        <v>236</v>
      </c>
      <c r="L388" s="4" t="str">
        <f>CONCATENATE(J388, " ",K388)</f>
        <v xml:space="preserve">JASON HOFFMANN            </v>
      </c>
      <c r="M388" s="4">
        <v>12.94</v>
      </c>
      <c r="N388" s="7">
        <v>0.1</v>
      </c>
      <c r="O388" s="4">
        <v>1.29</v>
      </c>
      <c r="P388" s="4" t="s">
        <v>435</v>
      </c>
    </row>
    <row r="389" spans="1:16" s="4" customFormat="1" x14ac:dyDescent="0.25">
      <c r="A389" s="4" t="s">
        <v>269</v>
      </c>
      <c r="B389" s="4" t="s">
        <v>33</v>
      </c>
      <c r="C389" s="4" t="s">
        <v>270</v>
      </c>
      <c r="D389" s="5">
        <v>45108</v>
      </c>
      <c r="E389" s="5">
        <v>45901</v>
      </c>
      <c r="F389" s="4">
        <f>DATEDIF(D389,E389,"M")</f>
        <v>26</v>
      </c>
      <c r="G389" s="4" t="s">
        <v>429</v>
      </c>
      <c r="H389" s="4" t="s">
        <v>431</v>
      </c>
      <c r="I389" s="4">
        <v>15278437</v>
      </c>
      <c r="J389" s="4" t="s">
        <v>426</v>
      </c>
      <c r="K389" s="4" t="s">
        <v>236</v>
      </c>
      <c r="L389" s="4" t="str">
        <f>CONCATENATE(J389, " ",K389)</f>
        <v xml:space="preserve">JASON HOFFMANN            </v>
      </c>
      <c r="M389" s="4">
        <v>2.75</v>
      </c>
      <c r="N389" s="7">
        <v>0.1</v>
      </c>
      <c r="O389" s="4">
        <v>0.28000000000000003</v>
      </c>
      <c r="P389" s="4" t="s">
        <v>435</v>
      </c>
    </row>
    <row r="390" spans="1:16" s="4" customFormat="1" x14ac:dyDescent="0.25">
      <c r="A390" s="4" t="s">
        <v>269</v>
      </c>
      <c r="B390" s="4" t="s">
        <v>33</v>
      </c>
      <c r="C390" s="4" t="s">
        <v>270</v>
      </c>
      <c r="D390" s="5">
        <v>45108</v>
      </c>
      <c r="E390" s="5">
        <v>45901</v>
      </c>
      <c r="F390" s="4">
        <f>DATEDIF(D390,E390,"M")</f>
        <v>26</v>
      </c>
      <c r="G390" s="4" t="s">
        <v>429</v>
      </c>
      <c r="H390" s="4" t="s">
        <v>431</v>
      </c>
      <c r="I390" s="4">
        <v>15278437</v>
      </c>
      <c r="J390" s="4" t="s">
        <v>426</v>
      </c>
      <c r="K390" s="4" t="s">
        <v>236</v>
      </c>
      <c r="L390" s="4" t="str">
        <f>CONCATENATE(J390, " ",K390)</f>
        <v xml:space="preserve">JASON HOFFMANN            </v>
      </c>
      <c r="M390" s="4">
        <v>22.41</v>
      </c>
      <c r="N390" s="7">
        <v>0.1</v>
      </c>
      <c r="O390" s="4">
        <v>2.2400000000000002</v>
      </c>
      <c r="P390" s="4" t="s">
        <v>435</v>
      </c>
    </row>
    <row r="391" spans="1:16" s="4" customFormat="1" x14ac:dyDescent="0.25">
      <c r="A391" s="4" t="s">
        <v>319</v>
      </c>
      <c r="B391" s="4" t="s">
        <v>21</v>
      </c>
      <c r="C391" s="4" t="s">
        <v>320</v>
      </c>
      <c r="D391" s="5">
        <v>45078</v>
      </c>
      <c r="E391" s="5">
        <v>45901</v>
      </c>
      <c r="F391" s="4">
        <f>DATEDIF(D391,E391,"M")</f>
        <v>27</v>
      </c>
      <c r="G391" s="4" t="s">
        <v>429</v>
      </c>
      <c r="H391" s="4" t="s">
        <v>431</v>
      </c>
      <c r="I391" s="4">
        <v>16243811</v>
      </c>
      <c r="J391" s="4" t="s">
        <v>427</v>
      </c>
      <c r="K391" s="4" t="s">
        <v>277</v>
      </c>
      <c r="L391" s="4" t="str">
        <f>CONCATENATE(J391, " ",K391)</f>
        <v xml:space="preserve">KIMBERLY DICKERSON           </v>
      </c>
      <c r="M391" s="4">
        <v>43.44</v>
      </c>
      <c r="N391" s="7">
        <v>0.13</v>
      </c>
      <c r="O391" s="4">
        <v>5.65</v>
      </c>
      <c r="P391" s="4" t="s">
        <v>436</v>
      </c>
    </row>
    <row r="392" spans="1:16" s="4" customFormat="1" x14ac:dyDescent="0.25">
      <c r="A392" s="4" t="s">
        <v>319</v>
      </c>
      <c r="B392" s="4" t="s">
        <v>21</v>
      </c>
      <c r="C392" s="4" t="s">
        <v>320</v>
      </c>
      <c r="D392" s="5">
        <v>45078</v>
      </c>
      <c r="E392" s="5">
        <v>45901</v>
      </c>
      <c r="F392" s="4">
        <f>DATEDIF(D392,E392,"M")</f>
        <v>27</v>
      </c>
      <c r="G392" s="4" t="s">
        <v>429</v>
      </c>
      <c r="H392" s="4" t="s">
        <v>431</v>
      </c>
      <c r="I392" s="4">
        <v>16243811</v>
      </c>
      <c r="J392" s="4" t="s">
        <v>427</v>
      </c>
      <c r="K392" s="4" t="s">
        <v>277</v>
      </c>
      <c r="L392" s="4" t="str">
        <f>CONCATENATE(J392, " ",K392)</f>
        <v xml:space="preserve">KIMBERLY DICKERSON           </v>
      </c>
      <c r="M392" s="4">
        <v>22.5</v>
      </c>
      <c r="N392" s="7">
        <v>0.13</v>
      </c>
      <c r="O392" s="4">
        <v>2.93</v>
      </c>
      <c r="P392" s="4" t="s">
        <v>436</v>
      </c>
    </row>
    <row r="393" spans="1:16" s="4" customFormat="1" x14ac:dyDescent="0.25">
      <c r="A393" s="4" t="s">
        <v>319</v>
      </c>
      <c r="B393" s="4" t="s">
        <v>21</v>
      </c>
      <c r="C393" s="4" t="s">
        <v>320</v>
      </c>
      <c r="D393" s="5">
        <v>45078</v>
      </c>
      <c r="E393" s="5">
        <v>45901</v>
      </c>
      <c r="F393" s="4">
        <f>DATEDIF(D393,E393,"M")</f>
        <v>27</v>
      </c>
      <c r="G393" s="4" t="s">
        <v>429</v>
      </c>
      <c r="H393" s="4" t="s">
        <v>431</v>
      </c>
      <c r="I393" s="4">
        <v>16243811</v>
      </c>
      <c r="J393" s="4" t="s">
        <v>427</v>
      </c>
      <c r="K393" s="4" t="s">
        <v>277</v>
      </c>
      <c r="L393" s="4" t="str">
        <f>CONCATENATE(J393, " ",K393)</f>
        <v xml:space="preserve">KIMBERLY DICKERSON           </v>
      </c>
      <c r="M393" s="4">
        <v>3.08</v>
      </c>
      <c r="N393" s="7">
        <v>0.13</v>
      </c>
      <c r="O393" s="4">
        <v>0.4</v>
      </c>
      <c r="P393" s="4" t="s">
        <v>436</v>
      </c>
    </row>
    <row r="394" spans="1:16" s="4" customFormat="1" x14ac:dyDescent="0.25">
      <c r="A394" s="4" t="s">
        <v>321</v>
      </c>
      <c r="B394" s="4" t="s">
        <v>21</v>
      </c>
      <c r="C394" s="4" t="s">
        <v>322</v>
      </c>
      <c r="D394" s="5">
        <v>45078</v>
      </c>
      <c r="E394" s="5">
        <v>45901</v>
      </c>
      <c r="F394" s="4">
        <f>DATEDIF(D394,E394,"M")</f>
        <v>27</v>
      </c>
      <c r="G394" s="4" t="s">
        <v>429</v>
      </c>
      <c r="H394" s="4" t="s">
        <v>431</v>
      </c>
      <c r="I394" s="4">
        <v>16243811</v>
      </c>
      <c r="J394" s="4" t="s">
        <v>427</v>
      </c>
      <c r="K394" s="4" t="s">
        <v>277</v>
      </c>
      <c r="L394" s="4" t="str">
        <f>CONCATENATE(J394, " ",K394)</f>
        <v xml:space="preserve">KIMBERLY DICKERSON           </v>
      </c>
      <c r="M394" s="4">
        <v>43.44</v>
      </c>
      <c r="N394" s="7">
        <v>0.13</v>
      </c>
      <c r="O394" s="4">
        <v>5.65</v>
      </c>
      <c r="P394" s="4" t="s">
        <v>436</v>
      </c>
    </row>
    <row r="395" spans="1:16" s="4" customFormat="1" x14ac:dyDescent="0.25">
      <c r="A395" s="4" t="s">
        <v>321</v>
      </c>
      <c r="B395" s="4" t="s">
        <v>21</v>
      </c>
      <c r="C395" s="4" t="s">
        <v>322</v>
      </c>
      <c r="D395" s="5">
        <v>45078</v>
      </c>
      <c r="E395" s="5">
        <v>45901</v>
      </c>
      <c r="F395" s="4">
        <f>DATEDIF(D395,E395,"M")</f>
        <v>27</v>
      </c>
      <c r="G395" s="4" t="s">
        <v>429</v>
      </c>
      <c r="H395" s="4" t="s">
        <v>431</v>
      </c>
      <c r="I395" s="4">
        <v>16243811</v>
      </c>
      <c r="J395" s="4" t="s">
        <v>427</v>
      </c>
      <c r="K395" s="4" t="s">
        <v>277</v>
      </c>
      <c r="L395" s="4" t="str">
        <f>CONCATENATE(J395, " ",K395)</f>
        <v xml:space="preserve">KIMBERLY DICKERSON           </v>
      </c>
      <c r="M395" s="4">
        <v>22.5</v>
      </c>
      <c r="N395" s="7">
        <v>0.13</v>
      </c>
      <c r="O395" s="4">
        <v>2.93</v>
      </c>
      <c r="P395" s="4" t="s">
        <v>436</v>
      </c>
    </row>
    <row r="396" spans="1:16" s="4" customFormat="1" x14ac:dyDescent="0.25">
      <c r="A396" s="4" t="s">
        <v>321</v>
      </c>
      <c r="B396" s="4" t="s">
        <v>21</v>
      </c>
      <c r="C396" s="4" t="s">
        <v>322</v>
      </c>
      <c r="D396" s="5">
        <v>45078</v>
      </c>
      <c r="E396" s="5">
        <v>45901</v>
      </c>
      <c r="F396" s="4">
        <f>DATEDIF(D396,E396,"M")</f>
        <v>27</v>
      </c>
      <c r="G396" s="4" t="s">
        <v>429</v>
      </c>
      <c r="H396" s="4" t="s">
        <v>431</v>
      </c>
      <c r="I396" s="4">
        <v>16243811</v>
      </c>
      <c r="J396" s="4" t="s">
        <v>427</v>
      </c>
      <c r="K396" s="4" t="s">
        <v>277</v>
      </c>
      <c r="L396" s="4" t="str">
        <f>CONCATENATE(J396, " ",K396)</f>
        <v xml:space="preserve">KIMBERLY DICKERSON           </v>
      </c>
      <c r="M396" s="4">
        <v>3.08</v>
      </c>
      <c r="N396" s="7">
        <v>0.13</v>
      </c>
      <c r="O396" s="4">
        <v>0.4</v>
      </c>
      <c r="P396" s="4" t="s">
        <v>436</v>
      </c>
    </row>
    <row r="397" spans="1:16" s="4" customFormat="1" x14ac:dyDescent="0.25">
      <c r="A397" s="4" t="s">
        <v>315</v>
      </c>
      <c r="B397" s="4" t="s">
        <v>21</v>
      </c>
      <c r="C397" s="4" t="s">
        <v>316</v>
      </c>
      <c r="D397" s="5">
        <v>45047</v>
      </c>
      <c r="E397" s="5">
        <v>45901</v>
      </c>
      <c r="F397" s="4">
        <f>DATEDIF(D397,E397,"M")</f>
        <v>28</v>
      </c>
      <c r="G397" s="4" t="s">
        <v>429</v>
      </c>
      <c r="H397" s="4" t="s">
        <v>431</v>
      </c>
      <c r="I397" s="4">
        <v>16243811</v>
      </c>
      <c r="J397" s="4" t="s">
        <v>427</v>
      </c>
      <c r="K397" s="4" t="s">
        <v>277</v>
      </c>
      <c r="L397" s="4" t="str">
        <f>CONCATENATE(J397, " ",K397)</f>
        <v xml:space="preserve">KIMBERLY DICKERSON           </v>
      </c>
      <c r="M397" s="4">
        <v>52.55</v>
      </c>
      <c r="N397" s="7">
        <v>0.13</v>
      </c>
      <c r="O397" s="4">
        <v>6.83</v>
      </c>
      <c r="P397" s="4" t="s">
        <v>436</v>
      </c>
    </row>
    <row r="398" spans="1:16" s="4" customFormat="1" x14ac:dyDescent="0.25">
      <c r="A398" s="4" t="s">
        <v>315</v>
      </c>
      <c r="B398" s="4" t="s">
        <v>21</v>
      </c>
      <c r="C398" s="4" t="s">
        <v>316</v>
      </c>
      <c r="D398" s="5">
        <v>45047</v>
      </c>
      <c r="E398" s="5">
        <v>45901</v>
      </c>
      <c r="F398" s="4">
        <f>DATEDIF(D398,E398,"M")</f>
        <v>28</v>
      </c>
      <c r="G398" s="4" t="s">
        <v>429</v>
      </c>
      <c r="H398" s="4" t="s">
        <v>431</v>
      </c>
      <c r="I398" s="4">
        <v>16243811</v>
      </c>
      <c r="J398" s="4" t="s">
        <v>427</v>
      </c>
      <c r="K398" s="4" t="s">
        <v>277</v>
      </c>
      <c r="L398" s="4" t="str">
        <f>CONCATENATE(J398, " ",K398)</f>
        <v xml:space="preserve">KIMBERLY DICKERSON           </v>
      </c>
      <c r="M398" s="4">
        <v>24.37</v>
      </c>
      <c r="N398" s="7">
        <v>0.13</v>
      </c>
      <c r="O398" s="4">
        <v>3.17</v>
      </c>
      <c r="P398" s="4" t="s">
        <v>436</v>
      </c>
    </row>
    <row r="399" spans="1:16" s="4" customFormat="1" x14ac:dyDescent="0.25">
      <c r="A399" s="4" t="s">
        <v>315</v>
      </c>
      <c r="B399" s="4" t="s">
        <v>21</v>
      </c>
      <c r="C399" s="4" t="s">
        <v>316</v>
      </c>
      <c r="D399" s="5">
        <v>45047</v>
      </c>
      <c r="E399" s="5">
        <v>45901</v>
      </c>
      <c r="F399" s="4">
        <f>DATEDIF(D399,E399,"M")</f>
        <v>28</v>
      </c>
      <c r="G399" s="4" t="s">
        <v>429</v>
      </c>
      <c r="H399" s="4" t="s">
        <v>431</v>
      </c>
      <c r="I399" s="4">
        <v>16243811</v>
      </c>
      <c r="J399" s="4" t="s">
        <v>427</v>
      </c>
      <c r="K399" s="4" t="s">
        <v>277</v>
      </c>
      <c r="L399" s="4" t="str">
        <f>CONCATENATE(J399, " ",K399)</f>
        <v xml:space="preserve">KIMBERLY DICKERSON           </v>
      </c>
      <c r="M399" s="4">
        <v>3.08</v>
      </c>
      <c r="N399" s="7">
        <v>0.13</v>
      </c>
      <c r="O399" s="4">
        <v>0.4</v>
      </c>
      <c r="P399" s="4" t="s">
        <v>436</v>
      </c>
    </row>
    <row r="400" spans="1:16" s="4" customFormat="1" x14ac:dyDescent="0.25">
      <c r="A400" s="4" t="s">
        <v>317</v>
      </c>
      <c r="B400" s="4" t="s">
        <v>21</v>
      </c>
      <c r="C400" s="4" t="s">
        <v>318</v>
      </c>
      <c r="D400" s="5">
        <v>45047</v>
      </c>
      <c r="E400" s="5">
        <v>45901</v>
      </c>
      <c r="F400" s="4">
        <f>DATEDIF(D400,E400,"M")</f>
        <v>28</v>
      </c>
      <c r="G400" s="4" t="s">
        <v>429</v>
      </c>
      <c r="H400" s="4" t="s">
        <v>431</v>
      </c>
      <c r="I400" s="4">
        <v>16243811</v>
      </c>
      <c r="J400" s="4" t="s">
        <v>427</v>
      </c>
      <c r="K400" s="4" t="s">
        <v>277</v>
      </c>
      <c r="L400" s="4" t="str">
        <f>CONCATENATE(J400, " ",K400)</f>
        <v xml:space="preserve">KIMBERLY DICKERSON           </v>
      </c>
      <c r="M400" s="4">
        <v>43.44</v>
      </c>
      <c r="N400" s="7">
        <v>0.13</v>
      </c>
      <c r="O400" s="4">
        <v>5.65</v>
      </c>
      <c r="P400" s="4" t="s">
        <v>436</v>
      </c>
    </row>
    <row r="401" spans="1:16" s="4" customFormat="1" x14ac:dyDescent="0.25">
      <c r="A401" s="4" t="s">
        <v>317</v>
      </c>
      <c r="B401" s="4" t="s">
        <v>21</v>
      </c>
      <c r="C401" s="4" t="s">
        <v>318</v>
      </c>
      <c r="D401" s="5">
        <v>45047</v>
      </c>
      <c r="E401" s="5">
        <v>45901</v>
      </c>
      <c r="F401" s="4">
        <f>DATEDIF(D401,E401,"M")</f>
        <v>28</v>
      </c>
      <c r="G401" s="4" t="s">
        <v>429</v>
      </c>
      <c r="H401" s="4" t="s">
        <v>431</v>
      </c>
      <c r="I401" s="4">
        <v>16243811</v>
      </c>
      <c r="J401" s="4" t="s">
        <v>427</v>
      </c>
      <c r="K401" s="4" t="s">
        <v>277</v>
      </c>
      <c r="L401" s="4" t="str">
        <f>CONCATENATE(J401, " ",K401)</f>
        <v xml:space="preserve">KIMBERLY DICKERSON           </v>
      </c>
      <c r="M401" s="4">
        <v>22.5</v>
      </c>
      <c r="N401" s="7">
        <v>0.13</v>
      </c>
      <c r="O401" s="4">
        <v>2.93</v>
      </c>
      <c r="P401" s="4" t="s">
        <v>436</v>
      </c>
    </row>
    <row r="402" spans="1:16" s="4" customFormat="1" x14ac:dyDescent="0.25">
      <c r="A402" s="4" t="s">
        <v>317</v>
      </c>
      <c r="B402" s="4" t="s">
        <v>21</v>
      </c>
      <c r="C402" s="4" t="s">
        <v>318</v>
      </c>
      <c r="D402" s="5">
        <v>45047</v>
      </c>
      <c r="E402" s="5">
        <v>45901</v>
      </c>
      <c r="F402" s="4">
        <f>DATEDIF(D402,E402,"M")</f>
        <v>28</v>
      </c>
      <c r="G402" s="4" t="s">
        <v>429</v>
      </c>
      <c r="H402" s="4" t="s">
        <v>431</v>
      </c>
      <c r="I402" s="4">
        <v>16243811</v>
      </c>
      <c r="J402" s="4" t="s">
        <v>427</v>
      </c>
      <c r="K402" s="4" t="s">
        <v>277</v>
      </c>
      <c r="L402" s="4" t="str">
        <f>CONCATENATE(J402, " ",K402)</f>
        <v xml:space="preserve">KIMBERLY DICKERSON           </v>
      </c>
      <c r="M402" s="4">
        <v>3.08</v>
      </c>
      <c r="N402" s="7">
        <v>0.13</v>
      </c>
      <c r="O402" s="4">
        <v>0.4</v>
      </c>
      <c r="P402" s="4" t="s">
        <v>436</v>
      </c>
    </row>
    <row r="403" spans="1:16" s="4" customFormat="1" x14ac:dyDescent="0.25">
      <c r="A403" s="4" t="s">
        <v>267</v>
      </c>
      <c r="B403" s="4" t="s">
        <v>33</v>
      </c>
      <c r="C403" s="4" t="s">
        <v>268</v>
      </c>
      <c r="D403" s="5">
        <v>45017</v>
      </c>
      <c r="E403" s="5">
        <v>45901</v>
      </c>
      <c r="F403" s="4">
        <f>DATEDIF(D403,E403,"M")</f>
        <v>29</v>
      </c>
      <c r="G403" s="4" t="s">
        <v>429</v>
      </c>
      <c r="H403" s="4" t="s">
        <v>431</v>
      </c>
      <c r="I403" s="4">
        <v>15278437</v>
      </c>
      <c r="J403" s="4" t="s">
        <v>426</v>
      </c>
      <c r="K403" s="4" t="s">
        <v>236</v>
      </c>
      <c r="L403" s="4" t="str">
        <f>CONCATENATE(J403, " ",K403)</f>
        <v xml:space="preserve">JASON HOFFMANN            </v>
      </c>
      <c r="M403" s="4">
        <v>14.32</v>
      </c>
      <c r="N403" s="7">
        <v>0.1</v>
      </c>
      <c r="O403" s="4">
        <v>1.43</v>
      </c>
      <c r="P403" s="4" t="s">
        <v>435</v>
      </c>
    </row>
    <row r="404" spans="1:16" s="4" customFormat="1" x14ac:dyDescent="0.25">
      <c r="A404" s="4" t="s">
        <v>267</v>
      </c>
      <c r="B404" s="4" t="s">
        <v>33</v>
      </c>
      <c r="C404" s="4" t="s">
        <v>268</v>
      </c>
      <c r="D404" s="5">
        <v>45017</v>
      </c>
      <c r="E404" s="5">
        <v>45901</v>
      </c>
      <c r="F404" s="4">
        <f>DATEDIF(D404,E404,"M")</f>
        <v>29</v>
      </c>
      <c r="G404" s="4" t="s">
        <v>429</v>
      </c>
      <c r="H404" s="4" t="s">
        <v>431</v>
      </c>
      <c r="I404" s="4">
        <v>15278437</v>
      </c>
      <c r="J404" s="4" t="s">
        <v>426</v>
      </c>
      <c r="K404" s="4" t="s">
        <v>236</v>
      </c>
      <c r="L404" s="4" t="str">
        <f>CONCATENATE(J404, " ",K404)</f>
        <v xml:space="preserve">JASON HOFFMANN            </v>
      </c>
      <c r="M404" s="4">
        <v>22.41</v>
      </c>
      <c r="N404" s="7">
        <v>0.1</v>
      </c>
      <c r="O404" s="4">
        <v>2.2400000000000002</v>
      </c>
      <c r="P404" s="4" t="s">
        <v>435</v>
      </c>
    </row>
    <row r="405" spans="1:16" s="4" customFormat="1" x14ac:dyDescent="0.25">
      <c r="A405" s="4" t="s">
        <v>267</v>
      </c>
      <c r="B405" s="4" t="s">
        <v>33</v>
      </c>
      <c r="C405" s="4" t="s">
        <v>268</v>
      </c>
      <c r="D405" s="5">
        <v>45017</v>
      </c>
      <c r="E405" s="5">
        <v>45901</v>
      </c>
      <c r="F405" s="4">
        <f>DATEDIF(D405,E405,"M")</f>
        <v>29</v>
      </c>
      <c r="G405" s="4" t="s">
        <v>429</v>
      </c>
      <c r="H405" s="4" t="s">
        <v>431</v>
      </c>
      <c r="I405" s="4">
        <v>15278437</v>
      </c>
      <c r="J405" s="4" t="s">
        <v>426</v>
      </c>
      <c r="K405" s="4" t="s">
        <v>236</v>
      </c>
      <c r="L405" s="4" t="str">
        <f>CONCATENATE(J405, " ",K405)</f>
        <v xml:space="preserve">JASON HOFFMANN            </v>
      </c>
      <c r="M405" s="4">
        <v>12.94</v>
      </c>
      <c r="N405" s="7">
        <v>0.1</v>
      </c>
      <c r="O405" s="4">
        <v>1.29</v>
      </c>
      <c r="P405" s="4" t="s">
        <v>435</v>
      </c>
    </row>
    <row r="406" spans="1:16" s="4" customFormat="1" x14ac:dyDescent="0.25">
      <c r="A406" s="4" t="s">
        <v>267</v>
      </c>
      <c r="B406" s="4" t="s">
        <v>33</v>
      </c>
      <c r="C406" s="4" t="s">
        <v>268</v>
      </c>
      <c r="D406" s="5">
        <v>45017</v>
      </c>
      <c r="E406" s="5">
        <v>45901</v>
      </c>
      <c r="F406" s="4">
        <f>DATEDIF(D406,E406,"M")</f>
        <v>29</v>
      </c>
      <c r="G406" s="4" t="s">
        <v>429</v>
      </c>
      <c r="H406" s="4" t="s">
        <v>431</v>
      </c>
      <c r="I406" s="4">
        <v>15278437</v>
      </c>
      <c r="J406" s="4" t="s">
        <v>426</v>
      </c>
      <c r="K406" s="4" t="s">
        <v>236</v>
      </c>
      <c r="L406" s="4" t="str">
        <f>CONCATENATE(J406, " ",K406)</f>
        <v xml:space="preserve">JASON HOFFMANN            </v>
      </c>
      <c r="M406" s="4">
        <v>2.75</v>
      </c>
      <c r="N406" s="7">
        <v>0.1</v>
      </c>
      <c r="O406" s="4">
        <v>0.28000000000000003</v>
      </c>
      <c r="P406" s="4" t="s">
        <v>435</v>
      </c>
    </row>
    <row r="407" spans="1:16" s="4" customFormat="1" x14ac:dyDescent="0.25">
      <c r="A407" s="4" t="s">
        <v>311</v>
      </c>
      <c r="B407" s="4" t="s">
        <v>21</v>
      </c>
      <c r="C407" s="4" t="s">
        <v>312</v>
      </c>
      <c r="D407" s="5">
        <v>45017</v>
      </c>
      <c r="E407" s="5">
        <v>45901</v>
      </c>
      <c r="F407" s="4">
        <f>DATEDIF(D407,E407,"M")</f>
        <v>29</v>
      </c>
      <c r="G407" s="4" t="s">
        <v>429</v>
      </c>
      <c r="H407" s="4" t="s">
        <v>431</v>
      </c>
      <c r="I407" s="4">
        <v>16243811</v>
      </c>
      <c r="J407" s="4" t="s">
        <v>427</v>
      </c>
      <c r="K407" s="4" t="s">
        <v>277</v>
      </c>
      <c r="L407" s="4" t="str">
        <f>CONCATENATE(J407, " ",K407)</f>
        <v xml:space="preserve">KIMBERLY DICKERSON           </v>
      </c>
      <c r="M407" s="4">
        <v>52.55</v>
      </c>
      <c r="N407" s="7">
        <v>0.13</v>
      </c>
      <c r="O407" s="4">
        <v>6.83</v>
      </c>
      <c r="P407" s="4" t="s">
        <v>436</v>
      </c>
    </row>
    <row r="408" spans="1:16" s="4" customFormat="1" x14ac:dyDescent="0.25">
      <c r="A408" s="4" t="s">
        <v>311</v>
      </c>
      <c r="B408" s="4" t="s">
        <v>21</v>
      </c>
      <c r="C408" s="4" t="s">
        <v>312</v>
      </c>
      <c r="D408" s="5">
        <v>45017</v>
      </c>
      <c r="E408" s="5">
        <v>45901</v>
      </c>
      <c r="F408" s="4">
        <f>DATEDIF(D408,E408,"M")</f>
        <v>29</v>
      </c>
      <c r="G408" s="4" t="s">
        <v>429</v>
      </c>
      <c r="H408" s="4" t="s">
        <v>431</v>
      </c>
      <c r="I408" s="4">
        <v>16243811</v>
      </c>
      <c r="J408" s="4" t="s">
        <v>427</v>
      </c>
      <c r="K408" s="4" t="s">
        <v>277</v>
      </c>
      <c r="L408" s="4" t="str">
        <f>CONCATENATE(J408, " ",K408)</f>
        <v xml:space="preserve">KIMBERLY DICKERSON           </v>
      </c>
      <c r="M408" s="4">
        <v>24.37</v>
      </c>
      <c r="N408" s="7">
        <v>0.13</v>
      </c>
      <c r="O408" s="4">
        <v>3.17</v>
      </c>
      <c r="P408" s="4" t="s">
        <v>436</v>
      </c>
    </row>
    <row r="409" spans="1:16" s="4" customFormat="1" x14ac:dyDescent="0.25">
      <c r="A409" s="4" t="s">
        <v>311</v>
      </c>
      <c r="B409" s="4" t="s">
        <v>21</v>
      </c>
      <c r="C409" s="4" t="s">
        <v>312</v>
      </c>
      <c r="D409" s="5">
        <v>45017</v>
      </c>
      <c r="E409" s="5">
        <v>45901</v>
      </c>
      <c r="F409" s="4">
        <f>DATEDIF(D409,E409,"M")</f>
        <v>29</v>
      </c>
      <c r="G409" s="4" t="s">
        <v>429</v>
      </c>
      <c r="H409" s="4" t="s">
        <v>431</v>
      </c>
      <c r="I409" s="4">
        <v>16243811</v>
      </c>
      <c r="J409" s="4" t="s">
        <v>427</v>
      </c>
      <c r="K409" s="4" t="s">
        <v>277</v>
      </c>
      <c r="L409" s="4" t="str">
        <f>CONCATENATE(J409, " ",K409)</f>
        <v xml:space="preserve">KIMBERLY DICKERSON           </v>
      </c>
      <c r="M409" s="4">
        <v>3.08</v>
      </c>
      <c r="N409" s="7">
        <v>0.13</v>
      </c>
      <c r="O409" s="4">
        <v>0.4</v>
      </c>
      <c r="P409" s="4" t="s">
        <v>436</v>
      </c>
    </row>
    <row r="410" spans="1:16" s="4" customFormat="1" x14ac:dyDescent="0.25">
      <c r="A410" s="4" t="s">
        <v>313</v>
      </c>
      <c r="B410" s="4" t="s">
        <v>21</v>
      </c>
      <c r="C410" s="4" t="s">
        <v>314</v>
      </c>
      <c r="D410" s="5">
        <v>45030</v>
      </c>
      <c r="E410" s="5">
        <v>45914</v>
      </c>
      <c r="F410" s="4">
        <f>DATEDIF(D410,E410,"M")</f>
        <v>29</v>
      </c>
      <c r="G410" s="4" t="s">
        <v>429</v>
      </c>
      <c r="H410" s="4" t="s">
        <v>431</v>
      </c>
      <c r="I410" s="4">
        <v>16243811</v>
      </c>
      <c r="J410" s="4" t="s">
        <v>427</v>
      </c>
      <c r="K410" s="4" t="s">
        <v>277</v>
      </c>
      <c r="L410" s="4" t="str">
        <f>CONCATENATE(J410, " ",K410)</f>
        <v xml:space="preserve">KIMBERLY DICKERSON           </v>
      </c>
      <c r="M410" s="4">
        <v>43.44</v>
      </c>
      <c r="N410" s="7">
        <v>0.13</v>
      </c>
      <c r="O410" s="4">
        <v>5.65</v>
      </c>
      <c r="P410" s="4" t="s">
        <v>436</v>
      </c>
    </row>
    <row r="411" spans="1:16" s="4" customFormat="1" x14ac:dyDescent="0.25">
      <c r="A411" s="4" t="s">
        <v>313</v>
      </c>
      <c r="B411" s="4" t="s">
        <v>21</v>
      </c>
      <c r="C411" s="4" t="s">
        <v>314</v>
      </c>
      <c r="D411" s="5">
        <v>45030</v>
      </c>
      <c r="E411" s="5">
        <v>45914</v>
      </c>
      <c r="F411" s="4">
        <f>DATEDIF(D411,E411,"M")</f>
        <v>29</v>
      </c>
      <c r="G411" s="4" t="s">
        <v>429</v>
      </c>
      <c r="H411" s="4" t="s">
        <v>431</v>
      </c>
      <c r="I411" s="4">
        <v>16243811</v>
      </c>
      <c r="J411" s="4" t="s">
        <v>427</v>
      </c>
      <c r="K411" s="4" t="s">
        <v>277</v>
      </c>
      <c r="L411" s="4" t="str">
        <f>CONCATENATE(J411, " ",K411)</f>
        <v xml:space="preserve">KIMBERLY DICKERSON           </v>
      </c>
      <c r="M411" s="4">
        <v>3.08</v>
      </c>
      <c r="N411" s="7">
        <v>0.13</v>
      </c>
      <c r="O411" s="4">
        <v>0.4</v>
      </c>
      <c r="P411" s="4" t="s">
        <v>436</v>
      </c>
    </row>
    <row r="412" spans="1:16" s="4" customFormat="1" x14ac:dyDescent="0.25">
      <c r="A412" s="4" t="s">
        <v>313</v>
      </c>
      <c r="B412" s="4" t="s">
        <v>21</v>
      </c>
      <c r="C412" s="4" t="s">
        <v>314</v>
      </c>
      <c r="D412" s="5">
        <v>45030</v>
      </c>
      <c r="E412" s="5">
        <v>45914</v>
      </c>
      <c r="F412" s="4">
        <f>DATEDIF(D412,E412,"M")</f>
        <v>29</v>
      </c>
      <c r="G412" s="4" t="s">
        <v>429</v>
      </c>
      <c r="H412" s="4" t="s">
        <v>431</v>
      </c>
      <c r="I412" s="4">
        <v>16243811</v>
      </c>
      <c r="J412" s="4" t="s">
        <v>427</v>
      </c>
      <c r="K412" s="4" t="s">
        <v>277</v>
      </c>
      <c r="L412" s="4" t="str">
        <f>CONCATENATE(J412, " ",K412)</f>
        <v xml:space="preserve">KIMBERLY DICKERSON           </v>
      </c>
      <c r="M412" s="4">
        <v>22.5</v>
      </c>
      <c r="N412" s="7">
        <v>0.13</v>
      </c>
      <c r="O412" s="4">
        <v>2.93</v>
      </c>
      <c r="P412" s="4" t="s">
        <v>436</v>
      </c>
    </row>
    <row r="413" spans="1:16" s="4" customFormat="1" x14ac:dyDescent="0.25">
      <c r="A413" s="4" t="s">
        <v>230</v>
      </c>
      <c r="B413" s="4" t="s">
        <v>33</v>
      </c>
      <c r="C413" s="4" t="s">
        <v>231</v>
      </c>
      <c r="D413" s="5">
        <v>45017</v>
      </c>
      <c r="E413" s="5">
        <v>45901</v>
      </c>
      <c r="F413" s="4">
        <f>DATEDIF(D413,E413,"M")</f>
        <v>29</v>
      </c>
      <c r="G413" s="4" t="s">
        <v>429</v>
      </c>
      <c r="H413" s="4" t="s">
        <v>431</v>
      </c>
      <c r="I413" s="4">
        <v>20411454</v>
      </c>
      <c r="J413" s="4" t="s">
        <v>421</v>
      </c>
      <c r="K413" s="4" t="s">
        <v>116</v>
      </c>
      <c r="L413" s="4" t="s">
        <v>438</v>
      </c>
      <c r="M413" s="4">
        <v>0.43</v>
      </c>
      <c r="N413" s="7">
        <v>0.02</v>
      </c>
      <c r="O413" s="4">
        <v>0.43</v>
      </c>
      <c r="P413" s="4" t="s">
        <v>432</v>
      </c>
    </row>
    <row r="414" spans="1:16" s="4" customFormat="1" x14ac:dyDescent="0.25">
      <c r="A414" s="4" t="s">
        <v>230</v>
      </c>
      <c r="B414" s="4" t="s">
        <v>33</v>
      </c>
      <c r="C414" s="4" t="s">
        <v>231</v>
      </c>
      <c r="D414" s="5">
        <v>45017</v>
      </c>
      <c r="E414" s="5">
        <v>45901</v>
      </c>
      <c r="F414" s="4">
        <f>DATEDIF(D414,E414,"M")</f>
        <v>29</v>
      </c>
      <c r="G414" s="4" t="s">
        <v>429</v>
      </c>
      <c r="H414" s="4" t="s">
        <v>431</v>
      </c>
      <c r="I414" s="4">
        <v>20411454</v>
      </c>
      <c r="J414" s="4" t="s">
        <v>421</v>
      </c>
      <c r="K414" s="4" t="s">
        <v>116</v>
      </c>
      <c r="L414" s="4" t="s">
        <v>438</v>
      </c>
      <c r="M414" s="4">
        <v>0.06</v>
      </c>
      <c r="N414" s="7">
        <v>0.02</v>
      </c>
      <c r="O414" s="4">
        <v>0.06</v>
      </c>
      <c r="P414" s="4" t="s">
        <v>432</v>
      </c>
    </row>
    <row r="415" spans="1:16" s="4" customFormat="1" x14ac:dyDescent="0.25">
      <c r="A415" s="4" t="s">
        <v>230</v>
      </c>
      <c r="B415" s="4" t="s">
        <v>33</v>
      </c>
      <c r="C415" s="4" t="s">
        <v>231</v>
      </c>
      <c r="D415" s="5">
        <v>45017</v>
      </c>
      <c r="E415" s="5">
        <v>45901</v>
      </c>
      <c r="F415" s="4">
        <f>DATEDIF(D415,E415,"M")</f>
        <v>29</v>
      </c>
      <c r="G415" s="4" t="s">
        <v>429</v>
      </c>
      <c r="H415" s="4" t="s">
        <v>431</v>
      </c>
      <c r="I415" s="4">
        <v>20411454</v>
      </c>
      <c r="J415" s="4" t="s">
        <v>421</v>
      </c>
      <c r="K415" s="4" t="s">
        <v>116</v>
      </c>
      <c r="L415" s="4" t="s">
        <v>438</v>
      </c>
      <c r="M415" s="4">
        <v>0.12</v>
      </c>
      <c r="N415" s="7">
        <v>0.02</v>
      </c>
      <c r="O415" s="4">
        <v>0.12</v>
      </c>
      <c r="P415" s="4" t="s">
        <v>432</v>
      </c>
    </row>
    <row r="416" spans="1:16" s="4" customFormat="1" x14ac:dyDescent="0.25">
      <c r="A416" s="4" t="s">
        <v>230</v>
      </c>
      <c r="B416" s="4" t="s">
        <v>33</v>
      </c>
      <c r="C416" s="4" t="s">
        <v>231</v>
      </c>
      <c r="D416" s="5">
        <v>45017</v>
      </c>
      <c r="E416" s="5">
        <v>45901</v>
      </c>
      <c r="F416" s="4">
        <f>DATEDIF(D416,E416,"M")</f>
        <v>29</v>
      </c>
      <c r="G416" s="4" t="s">
        <v>429</v>
      </c>
      <c r="H416" s="4" t="s">
        <v>431</v>
      </c>
      <c r="I416" s="4">
        <v>20411454</v>
      </c>
      <c r="J416" s="4" t="s">
        <v>421</v>
      </c>
      <c r="K416" s="4" t="s">
        <v>116</v>
      </c>
      <c r="L416" s="4" t="s">
        <v>438</v>
      </c>
      <c r="M416" s="4">
        <v>0.25</v>
      </c>
      <c r="N416" s="7">
        <v>0.02</v>
      </c>
      <c r="O416" s="4">
        <v>0.25</v>
      </c>
      <c r="P416" s="4" t="s">
        <v>432</v>
      </c>
    </row>
    <row r="417" spans="1:16" s="4" customFormat="1" x14ac:dyDescent="0.25">
      <c r="A417" s="4" t="s">
        <v>230</v>
      </c>
      <c r="B417" s="4" t="s">
        <v>33</v>
      </c>
      <c r="C417" s="4" t="s">
        <v>231</v>
      </c>
      <c r="D417" s="5">
        <v>45017</v>
      </c>
      <c r="E417" s="5">
        <v>45901</v>
      </c>
      <c r="F417" s="4">
        <f>DATEDIF(D417,E417,"M")</f>
        <v>29</v>
      </c>
      <c r="G417" s="4" t="s">
        <v>429</v>
      </c>
      <c r="H417" s="4" t="s">
        <v>431</v>
      </c>
      <c r="I417" s="4">
        <v>20411454</v>
      </c>
      <c r="J417" s="4" t="s">
        <v>421</v>
      </c>
      <c r="K417" s="4" t="s">
        <v>116</v>
      </c>
      <c r="L417" s="4" t="s">
        <v>438</v>
      </c>
      <c r="M417" s="4">
        <v>0.03</v>
      </c>
      <c r="N417" s="7">
        <v>0.02</v>
      </c>
      <c r="O417" s="4">
        <v>0.03</v>
      </c>
      <c r="P417" s="4" t="s">
        <v>432</v>
      </c>
    </row>
    <row r="418" spans="1:16" s="4" customFormat="1" x14ac:dyDescent="0.25">
      <c r="A418" s="4" t="s">
        <v>230</v>
      </c>
      <c r="B418" s="4" t="s">
        <v>33</v>
      </c>
      <c r="C418" s="4" t="s">
        <v>231</v>
      </c>
      <c r="D418" s="5">
        <v>45017</v>
      </c>
      <c r="E418" s="5">
        <v>45901</v>
      </c>
      <c r="F418" s="4">
        <f>DATEDIF(D418,E418,"M")</f>
        <v>29</v>
      </c>
      <c r="G418" s="4" t="s">
        <v>429</v>
      </c>
      <c r="H418" s="4" t="s">
        <v>431</v>
      </c>
      <c r="I418" s="4">
        <v>20411454</v>
      </c>
      <c r="J418" s="4" t="s">
        <v>421</v>
      </c>
      <c r="K418" s="4" t="s">
        <v>116</v>
      </c>
      <c r="L418" s="4" t="s">
        <v>438</v>
      </c>
      <c r="M418" s="4">
        <v>0.45</v>
      </c>
      <c r="N418" s="7">
        <v>0.02</v>
      </c>
      <c r="O418" s="4">
        <v>0.45</v>
      </c>
      <c r="P418" s="4" t="s">
        <v>432</v>
      </c>
    </row>
    <row r="419" spans="1:16" s="4" customFormat="1" x14ac:dyDescent="0.25">
      <c r="A419" s="4" t="s">
        <v>230</v>
      </c>
      <c r="B419" s="4" t="s">
        <v>33</v>
      </c>
      <c r="C419" s="4" t="s">
        <v>231</v>
      </c>
      <c r="D419" s="5">
        <v>45017</v>
      </c>
      <c r="E419" s="5">
        <v>45901</v>
      </c>
      <c r="F419" s="4">
        <f>DATEDIF(D419,E419,"M")</f>
        <v>29</v>
      </c>
      <c r="G419" s="4" t="s">
        <v>429</v>
      </c>
      <c r="H419" s="4" t="s">
        <v>431</v>
      </c>
      <c r="I419" s="4">
        <v>20411454</v>
      </c>
      <c r="J419" s="4" t="s">
        <v>421</v>
      </c>
      <c r="K419" s="4" t="s">
        <v>116</v>
      </c>
      <c r="L419" s="4" t="s">
        <v>438</v>
      </c>
      <c r="M419" s="4">
        <v>0.12</v>
      </c>
      <c r="N419" s="7">
        <v>0.02</v>
      </c>
      <c r="O419" s="4">
        <v>0.12</v>
      </c>
      <c r="P419" s="4" t="s">
        <v>432</v>
      </c>
    </row>
    <row r="420" spans="1:16" s="4" customFormat="1" x14ac:dyDescent="0.25">
      <c r="A420" s="4" t="s">
        <v>265</v>
      </c>
      <c r="B420" s="4" t="s">
        <v>33</v>
      </c>
      <c r="C420" s="4" t="s">
        <v>266</v>
      </c>
      <c r="D420" s="5">
        <v>44986</v>
      </c>
      <c r="E420" s="5">
        <v>45901</v>
      </c>
      <c r="F420" s="4">
        <f>DATEDIF(D420,E420,"M")</f>
        <v>30</v>
      </c>
      <c r="G420" s="4" t="s">
        <v>429</v>
      </c>
      <c r="H420" s="4" t="s">
        <v>431</v>
      </c>
      <c r="I420" s="4">
        <v>15278437</v>
      </c>
      <c r="J420" s="4" t="s">
        <v>426</v>
      </c>
      <c r="K420" s="4" t="s">
        <v>236</v>
      </c>
      <c r="L420" s="4" t="str">
        <f>CONCATENATE(J420, " ",K420)</f>
        <v xml:space="preserve">JASON HOFFMANN            </v>
      </c>
      <c r="M420" s="4">
        <v>21.06</v>
      </c>
      <c r="N420" s="7">
        <v>0.1</v>
      </c>
      <c r="O420" s="4">
        <v>2.11</v>
      </c>
      <c r="P420" s="4" t="s">
        <v>435</v>
      </c>
    </row>
    <row r="421" spans="1:16" s="4" customFormat="1" x14ac:dyDescent="0.25">
      <c r="A421" s="4" t="s">
        <v>310</v>
      </c>
      <c r="B421" s="4" t="s">
        <v>21</v>
      </c>
      <c r="C421" s="4" t="s">
        <v>309</v>
      </c>
      <c r="D421" s="5">
        <v>44981</v>
      </c>
      <c r="E421" s="5">
        <v>45893</v>
      </c>
      <c r="F421" s="4">
        <f>DATEDIF(D421,E421,"M")</f>
        <v>30</v>
      </c>
      <c r="G421" s="4" t="s">
        <v>429</v>
      </c>
      <c r="H421" s="4" t="s">
        <v>431</v>
      </c>
      <c r="I421" s="4">
        <v>16243811</v>
      </c>
      <c r="J421" s="4" t="s">
        <v>427</v>
      </c>
      <c r="K421" s="4" t="s">
        <v>277</v>
      </c>
      <c r="L421" s="4" t="str">
        <f>CONCATENATE(J421, " ",K421)</f>
        <v xml:space="preserve">KIMBERLY DICKERSON           </v>
      </c>
      <c r="M421" s="4">
        <v>10.42</v>
      </c>
      <c r="N421" s="7">
        <v>0.1</v>
      </c>
      <c r="O421" s="4">
        <v>1.04</v>
      </c>
      <c r="P421" s="4" t="s">
        <v>435</v>
      </c>
    </row>
    <row r="422" spans="1:16" s="4" customFormat="1" x14ac:dyDescent="0.25">
      <c r="A422" s="4" t="s">
        <v>310</v>
      </c>
      <c r="B422" s="4" t="s">
        <v>21</v>
      </c>
      <c r="C422" s="4" t="s">
        <v>309</v>
      </c>
      <c r="D422" s="5">
        <v>44981</v>
      </c>
      <c r="E422" s="5">
        <v>45893</v>
      </c>
      <c r="F422" s="4">
        <f>DATEDIF(D422,E422,"M")</f>
        <v>30</v>
      </c>
      <c r="G422" s="4" t="s">
        <v>429</v>
      </c>
      <c r="H422" s="4" t="s">
        <v>431</v>
      </c>
      <c r="I422" s="4">
        <v>16243811</v>
      </c>
      <c r="J422" s="4" t="s">
        <v>427</v>
      </c>
      <c r="K422" s="4" t="s">
        <v>277</v>
      </c>
      <c r="L422" s="4" t="str">
        <f>CONCATENATE(J422, " ",K422)</f>
        <v xml:space="preserve">KIMBERLY DICKERSON           </v>
      </c>
      <c r="M422" s="4">
        <v>9.2100000000000009</v>
      </c>
      <c r="N422" s="7">
        <v>0.1</v>
      </c>
      <c r="O422" s="4">
        <v>0.92</v>
      </c>
      <c r="P422" s="4" t="s">
        <v>435</v>
      </c>
    </row>
    <row r="423" spans="1:16" s="4" customFormat="1" x14ac:dyDescent="0.25">
      <c r="A423" s="4" t="s">
        <v>308</v>
      </c>
      <c r="B423" s="4" t="s">
        <v>21</v>
      </c>
      <c r="C423" s="4" t="s">
        <v>309</v>
      </c>
      <c r="D423" s="5">
        <v>44981</v>
      </c>
      <c r="E423" s="5">
        <v>45893</v>
      </c>
      <c r="F423" s="4">
        <f>DATEDIF(D423,E423,"M")</f>
        <v>30</v>
      </c>
      <c r="G423" s="4" t="s">
        <v>429</v>
      </c>
      <c r="H423" s="4" t="s">
        <v>431</v>
      </c>
      <c r="I423" s="4">
        <v>16243811</v>
      </c>
      <c r="J423" s="4" t="s">
        <v>427</v>
      </c>
      <c r="K423" s="4" t="s">
        <v>277</v>
      </c>
      <c r="L423" s="4" t="str">
        <f>CONCATENATE(J423, " ",K423)</f>
        <v xml:space="preserve">KIMBERLY DICKERSON           </v>
      </c>
      <c r="M423" s="4">
        <v>43.44</v>
      </c>
      <c r="N423" s="7">
        <v>0.13</v>
      </c>
      <c r="O423" s="4">
        <v>5.65</v>
      </c>
      <c r="P423" s="4" t="s">
        <v>436</v>
      </c>
    </row>
    <row r="424" spans="1:16" s="4" customFormat="1" x14ac:dyDescent="0.25">
      <c r="A424" s="4" t="s">
        <v>308</v>
      </c>
      <c r="B424" s="4" t="s">
        <v>21</v>
      </c>
      <c r="C424" s="4" t="s">
        <v>309</v>
      </c>
      <c r="D424" s="5">
        <v>44981</v>
      </c>
      <c r="E424" s="5">
        <v>45893</v>
      </c>
      <c r="F424" s="4">
        <f>DATEDIF(D424,E424,"M")</f>
        <v>30</v>
      </c>
      <c r="G424" s="4" t="s">
        <v>429</v>
      </c>
      <c r="H424" s="4" t="s">
        <v>431</v>
      </c>
      <c r="I424" s="4">
        <v>16243811</v>
      </c>
      <c r="J424" s="4" t="s">
        <v>427</v>
      </c>
      <c r="K424" s="4" t="s">
        <v>277</v>
      </c>
      <c r="L424" s="4" t="str">
        <f>CONCATENATE(J424, " ",K424)</f>
        <v xml:space="preserve">KIMBERLY DICKERSON           </v>
      </c>
      <c r="M424" s="4">
        <v>3.08</v>
      </c>
      <c r="N424" s="7">
        <v>0.13</v>
      </c>
      <c r="O424" s="4">
        <v>0.4</v>
      </c>
      <c r="P424" s="4" t="s">
        <v>436</v>
      </c>
    </row>
    <row r="425" spans="1:16" s="4" customFormat="1" x14ac:dyDescent="0.25">
      <c r="A425" s="4" t="s">
        <v>308</v>
      </c>
      <c r="B425" s="4" t="s">
        <v>21</v>
      </c>
      <c r="C425" s="4" t="s">
        <v>309</v>
      </c>
      <c r="D425" s="5">
        <v>44981</v>
      </c>
      <c r="E425" s="5">
        <v>45893</v>
      </c>
      <c r="F425" s="4">
        <f>DATEDIF(D425,E425,"M")</f>
        <v>30</v>
      </c>
      <c r="G425" s="4" t="s">
        <v>429</v>
      </c>
      <c r="H425" s="4" t="s">
        <v>431</v>
      </c>
      <c r="I425" s="4">
        <v>16243811</v>
      </c>
      <c r="J425" s="4" t="s">
        <v>427</v>
      </c>
      <c r="K425" s="4" t="s">
        <v>277</v>
      </c>
      <c r="L425" s="4" t="str">
        <f>CONCATENATE(J425, " ",K425)</f>
        <v xml:space="preserve">KIMBERLY DICKERSON           </v>
      </c>
      <c r="M425" s="4">
        <v>22.5</v>
      </c>
      <c r="N425" s="7">
        <v>0.13</v>
      </c>
      <c r="O425" s="4">
        <v>2.93</v>
      </c>
      <c r="P425" s="4" t="s">
        <v>436</v>
      </c>
    </row>
    <row r="426" spans="1:16" s="4" customFormat="1" x14ac:dyDescent="0.25">
      <c r="A426" s="4" t="s">
        <v>399</v>
      </c>
      <c r="B426" s="4" t="s">
        <v>21</v>
      </c>
      <c r="C426" s="4" t="s">
        <v>400</v>
      </c>
      <c r="D426" s="5">
        <v>44936</v>
      </c>
      <c r="E426" s="5">
        <v>45852</v>
      </c>
      <c r="F426" s="4">
        <f>DATEDIF(D426,E426,"M")</f>
        <v>30</v>
      </c>
      <c r="G426" s="4" t="s">
        <v>429</v>
      </c>
      <c r="H426" s="4" t="s">
        <v>431</v>
      </c>
      <c r="I426" s="4">
        <v>16243811</v>
      </c>
      <c r="J426" s="4" t="s">
        <v>427</v>
      </c>
      <c r="K426" s="4" t="s">
        <v>277</v>
      </c>
      <c r="L426" s="4" t="str">
        <f>CONCATENATE(J426, " ",K426)</f>
        <v xml:space="preserve">KIMBERLY DICKERSON           </v>
      </c>
      <c r="M426" s="4">
        <v>-45.77</v>
      </c>
      <c r="N426" s="7">
        <v>0.13</v>
      </c>
      <c r="O426" s="4">
        <v>-5.95</v>
      </c>
      <c r="P426" s="4" t="s">
        <v>436</v>
      </c>
    </row>
    <row r="427" spans="1:16" s="4" customFormat="1" x14ac:dyDescent="0.25">
      <c r="A427" s="4" t="s">
        <v>399</v>
      </c>
      <c r="B427" s="4" t="s">
        <v>21</v>
      </c>
      <c r="C427" s="4" t="s">
        <v>400</v>
      </c>
      <c r="D427" s="5">
        <v>44936</v>
      </c>
      <c r="E427" s="5">
        <v>45852</v>
      </c>
      <c r="F427" s="4">
        <f>DATEDIF(D427,E427,"M")</f>
        <v>30</v>
      </c>
      <c r="G427" s="4" t="s">
        <v>429</v>
      </c>
      <c r="H427" s="4" t="s">
        <v>431</v>
      </c>
      <c r="I427" s="4">
        <v>16243811</v>
      </c>
      <c r="J427" s="4" t="s">
        <v>427</v>
      </c>
      <c r="K427" s="4" t="s">
        <v>277</v>
      </c>
      <c r="L427" s="4" t="str">
        <f>CONCATENATE(J427, " ",K427)</f>
        <v xml:space="preserve">KIMBERLY DICKERSON           </v>
      </c>
      <c r="M427" s="4">
        <v>-4.21</v>
      </c>
      <c r="N427" s="7">
        <v>0.13</v>
      </c>
      <c r="O427" s="4">
        <v>-0.55000000000000004</v>
      </c>
      <c r="P427" s="4" t="s">
        <v>436</v>
      </c>
    </row>
    <row r="428" spans="1:16" s="4" customFormat="1" x14ac:dyDescent="0.25">
      <c r="A428" s="4" t="s">
        <v>399</v>
      </c>
      <c r="B428" s="4" t="s">
        <v>21</v>
      </c>
      <c r="C428" s="4" t="s">
        <v>400</v>
      </c>
      <c r="D428" s="5">
        <v>44936</v>
      </c>
      <c r="E428" s="5">
        <v>45852</v>
      </c>
      <c r="F428" s="4">
        <f>DATEDIF(D428,E428,"M")</f>
        <v>30</v>
      </c>
      <c r="G428" s="4" t="s">
        <v>429</v>
      </c>
      <c r="H428" s="4" t="s">
        <v>431</v>
      </c>
      <c r="I428" s="4">
        <v>16243811</v>
      </c>
      <c r="J428" s="4" t="s">
        <v>427</v>
      </c>
      <c r="K428" s="4" t="s">
        <v>277</v>
      </c>
      <c r="L428" s="4" t="str">
        <f>CONCATENATE(J428, " ",K428)</f>
        <v xml:space="preserve">KIMBERLY DICKERSON           </v>
      </c>
      <c r="M428" s="4">
        <v>-21.23</v>
      </c>
      <c r="N428" s="7">
        <v>0.13</v>
      </c>
      <c r="O428" s="4">
        <v>-2.76</v>
      </c>
      <c r="P428" s="4" t="s">
        <v>436</v>
      </c>
    </row>
    <row r="429" spans="1:16" s="4" customFormat="1" x14ac:dyDescent="0.25">
      <c r="A429" s="4" t="s">
        <v>226</v>
      </c>
      <c r="B429" s="4" t="s">
        <v>33</v>
      </c>
      <c r="C429" s="4" t="s">
        <v>227</v>
      </c>
      <c r="D429" s="5">
        <v>44988</v>
      </c>
      <c r="E429" s="5">
        <v>45903</v>
      </c>
      <c r="F429" s="4">
        <f>DATEDIF(D429,E429,"M")</f>
        <v>30</v>
      </c>
      <c r="G429" s="4" t="s">
        <v>429</v>
      </c>
      <c r="H429" s="4" t="s">
        <v>431</v>
      </c>
      <c r="I429" s="4">
        <v>20411454</v>
      </c>
      <c r="J429" s="4" t="s">
        <v>421</v>
      </c>
      <c r="K429" s="4" t="s">
        <v>116</v>
      </c>
      <c r="L429" s="4" t="s">
        <v>438</v>
      </c>
      <c r="M429" s="4">
        <v>0.34</v>
      </c>
      <c r="N429" s="7">
        <v>0.02</v>
      </c>
      <c r="O429" s="4">
        <v>0.34</v>
      </c>
      <c r="P429" s="4" t="s">
        <v>432</v>
      </c>
    </row>
    <row r="430" spans="1:16" s="4" customFormat="1" x14ac:dyDescent="0.25">
      <c r="A430" s="4" t="s">
        <v>226</v>
      </c>
      <c r="B430" s="4" t="s">
        <v>33</v>
      </c>
      <c r="C430" s="4" t="s">
        <v>227</v>
      </c>
      <c r="D430" s="5">
        <v>44988</v>
      </c>
      <c r="E430" s="5">
        <v>45903</v>
      </c>
      <c r="F430" s="4">
        <f>DATEDIF(D430,E430,"M")</f>
        <v>30</v>
      </c>
      <c r="G430" s="4" t="s">
        <v>429</v>
      </c>
      <c r="H430" s="4" t="s">
        <v>431</v>
      </c>
      <c r="I430" s="4">
        <v>20411454</v>
      </c>
      <c r="J430" s="4" t="s">
        <v>421</v>
      </c>
      <c r="K430" s="4" t="s">
        <v>116</v>
      </c>
      <c r="L430" s="4" t="s">
        <v>438</v>
      </c>
      <c r="M430" s="4">
        <v>0.09</v>
      </c>
      <c r="N430" s="7">
        <v>0.02</v>
      </c>
      <c r="O430" s="4">
        <v>0.09</v>
      </c>
      <c r="P430" s="4" t="s">
        <v>432</v>
      </c>
    </row>
    <row r="431" spans="1:16" s="4" customFormat="1" x14ac:dyDescent="0.25">
      <c r="A431" s="4" t="s">
        <v>226</v>
      </c>
      <c r="B431" s="4" t="s">
        <v>33</v>
      </c>
      <c r="C431" s="4" t="s">
        <v>227</v>
      </c>
      <c r="D431" s="5">
        <v>44988</v>
      </c>
      <c r="E431" s="5">
        <v>45903</v>
      </c>
      <c r="F431" s="4">
        <f>DATEDIF(D431,E431,"M")</f>
        <v>30</v>
      </c>
      <c r="G431" s="4" t="s">
        <v>429</v>
      </c>
      <c r="H431" s="4" t="s">
        <v>431</v>
      </c>
      <c r="I431" s="4">
        <v>20411454</v>
      </c>
      <c r="J431" s="4" t="s">
        <v>421</v>
      </c>
      <c r="K431" s="4" t="s">
        <v>116</v>
      </c>
      <c r="L431" s="4" t="s">
        <v>438</v>
      </c>
      <c r="M431" s="4">
        <v>0.12</v>
      </c>
      <c r="N431" s="7">
        <v>0.02</v>
      </c>
      <c r="O431" s="4">
        <v>0.12</v>
      </c>
      <c r="P431" s="4" t="s">
        <v>432</v>
      </c>
    </row>
    <row r="432" spans="1:16" s="4" customFormat="1" x14ac:dyDescent="0.25">
      <c r="A432" s="4" t="s">
        <v>226</v>
      </c>
      <c r="B432" s="4" t="s">
        <v>33</v>
      </c>
      <c r="C432" s="4" t="s">
        <v>227</v>
      </c>
      <c r="D432" s="5">
        <v>44988</v>
      </c>
      <c r="E432" s="5">
        <v>45903</v>
      </c>
      <c r="F432" s="4">
        <f>DATEDIF(D432,E432,"M")</f>
        <v>30</v>
      </c>
      <c r="G432" s="4" t="s">
        <v>429</v>
      </c>
      <c r="H432" s="4" t="s">
        <v>431</v>
      </c>
      <c r="I432" s="4">
        <v>20411454</v>
      </c>
      <c r="J432" s="4" t="s">
        <v>421</v>
      </c>
      <c r="K432" s="4" t="s">
        <v>116</v>
      </c>
      <c r="L432" s="4" t="s">
        <v>438</v>
      </c>
      <c r="M432" s="4">
        <v>0.53</v>
      </c>
      <c r="N432" s="7">
        <v>0.02</v>
      </c>
      <c r="O432" s="4">
        <v>0.53</v>
      </c>
      <c r="P432" s="4" t="s">
        <v>432</v>
      </c>
    </row>
    <row r="433" spans="1:16" s="4" customFormat="1" x14ac:dyDescent="0.25">
      <c r="A433" s="4" t="s">
        <v>226</v>
      </c>
      <c r="B433" s="4" t="s">
        <v>33</v>
      </c>
      <c r="C433" s="4" t="s">
        <v>227</v>
      </c>
      <c r="D433" s="5">
        <v>44988</v>
      </c>
      <c r="E433" s="5">
        <v>45903</v>
      </c>
      <c r="F433" s="4">
        <f>DATEDIF(D433,E433,"M")</f>
        <v>30</v>
      </c>
      <c r="G433" s="4" t="s">
        <v>429</v>
      </c>
      <c r="H433" s="4" t="s">
        <v>431</v>
      </c>
      <c r="I433" s="4">
        <v>20411454</v>
      </c>
      <c r="J433" s="4" t="s">
        <v>421</v>
      </c>
      <c r="K433" s="4" t="s">
        <v>116</v>
      </c>
      <c r="L433" s="4" t="s">
        <v>438</v>
      </c>
      <c r="M433" s="4">
        <v>0.49</v>
      </c>
      <c r="N433" s="7">
        <v>0.02</v>
      </c>
      <c r="O433" s="4">
        <v>0.49</v>
      </c>
      <c r="P433" s="4" t="s">
        <v>432</v>
      </c>
    </row>
    <row r="434" spans="1:16" s="4" customFormat="1" x14ac:dyDescent="0.25">
      <c r="A434" s="4" t="s">
        <v>228</v>
      </c>
      <c r="B434" s="4" t="s">
        <v>33</v>
      </c>
      <c r="C434" s="4" t="s">
        <v>229</v>
      </c>
      <c r="D434" s="5">
        <v>44991</v>
      </c>
      <c r="E434" s="5">
        <v>45906</v>
      </c>
      <c r="F434" s="4">
        <f>DATEDIF(D434,E434,"M")</f>
        <v>30</v>
      </c>
      <c r="G434" s="4" t="s">
        <v>429</v>
      </c>
      <c r="H434" s="4" t="s">
        <v>431</v>
      </c>
      <c r="I434" s="4">
        <v>20411454</v>
      </c>
      <c r="J434" s="4" t="s">
        <v>421</v>
      </c>
      <c r="K434" s="4" t="s">
        <v>116</v>
      </c>
      <c r="L434" s="4" t="s">
        <v>438</v>
      </c>
      <c r="M434" s="4">
        <v>0.31</v>
      </c>
      <c r="N434" s="7">
        <v>0.02</v>
      </c>
      <c r="O434" s="4">
        <v>0.31</v>
      </c>
      <c r="P434" s="4" t="s">
        <v>432</v>
      </c>
    </row>
    <row r="435" spans="1:16" s="4" customFormat="1" x14ac:dyDescent="0.25">
      <c r="A435" s="4" t="s">
        <v>228</v>
      </c>
      <c r="B435" s="4" t="s">
        <v>33</v>
      </c>
      <c r="C435" s="4" t="s">
        <v>229</v>
      </c>
      <c r="D435" s="5">
        <v>44991</v>
      </c>
      <c r="E435" s="5">
        <v>45906</v>
      </c>
      <c r="F435" s="4">
        <f>DATEDIF(D435,E435,"M")</f>
        <v>30</v>
      </c>
      <c r="G435" s="4" t="s">
        <v>429</v>
      </c>
      <c r="H435" s="4" t="s">
        <v>431</v>
      </c>
      <c r="I435" s="4">
        <v>20411454</v>
      </c>
      <c r="J435" s="4" t="s">
        <v>421</v>
      </c>
      <c r="K435" s="4" t="s">
        <v>116</v>
      </c>
      <c r="L435" s="4" t="s">
        <v>438</v>
      </c>
      <c r="M435" s="4">
        <v>0.06</v>
      </c>
      <c r="N435" s="7">
        <v>0.02</v>
      </c>
      <c r="O435" s="4">
        <v>0.06</v>
      </c>
      <c r="P435" s="4" t="s">
        <v>432</v>
      </c>
    </row>
    <row r="436" spans="1:16" s="4" customFormat="1" x14ac:dyDescent="0.25">
      <c r="A436" s="4" t="s">
        <v>228</v>
      </c>
      <c r="B436" s="4" t="s">
        <v>33</v>
      </c>
      <c r="C436" s="4" t="s">
        <v>229</v>
      </c>
      <c r="D436" s="5">
        <v>44991</v>
      </c>
      <c r="E436" s="5">
        <v>45906</v>
      </c>
      <c r="F436" s="4">
        <f>DATEDIF(D436,E436,"M")</f>
        <v>30</v>
      </c>
      <c r="G436" s="4" t="s">
        <v>429</v>
      </c>
      <c r="H436" s="4" t="s">
        <v>431</v>
      </c>
      <c r="I436" s="4">
        <v>20411454</v>
      </c>
      <c r="J436" s="4" t="s">
        <v>421</v>
      </c>
      <c r="K436" s="4" t="s">
        <v>116</v>
      </c>
      <c r="L436" s="4" t="s">
        <v>438</v>
      </c>
      <c r="M436" s="4">
        <v>0.25</v>
      </c>
      <c r="N436" s="7">
        <v>0.02</v>
      </c>
      <c r="O436" s="4">
        <v>0.25</v>
      </c>
      <c r="P436" s="4" t="s">
        <v>432</v>
      </c>
    </row>
    <row r="437" spans="1:16" s="4" customFormat="1" x14ac:dyDescent="0.25">
      <c r="A437" s="4" t="s">
        <v>228</v>
      </c>
      <c r="B437" s="4" t="s">
        <v>33</v>
      </c>
      <c r="C437" s="4" t="s">
        <v>229</v>
      </c>
      <c r="D437" s="5">
        <v>44991</v>
      </c>
      <c r="E437" s="5">
        <v>45906</v>
      </c>
      <c r="F437" s="4">
        <f>DATEDIF(D437,E437,"M")</f>
        <v>30</v>
      </c>
      <c r="G437" s="4" t="s">
        <v>429</v>
      </c>
      <c r="H437" s="4" t="s">
        <v>431</v>
      </c>
      <c r="I437" s="4">
        <v>20411454</v>
      </c>
      <c r="J437" s="4" t="s">
        <v>421</v>
      </c>
      <c r="K437" s="4" t="s">
        <v>116</v>
      </c>
      <c r="L437" s="4" t="s">
        <v>438</v>
      </c>
      <c r="M437" s="4">
        <v>0.12</v>
      </c>
      <c r="N437" s="7">
        <v>0.02</v>
      </c>
      <c r="O437" s="4">
        <v>0.12</v>
      </c>
      <c r="P437" s="4" t="s">
        <v>432</v>
      </c>
    </row>
    <row r="438" spans="1:16" s="4" customFormat="1" x14ac:dyDescent="0.25">
      <c r="A438" s="4" t="s">
        <v>228</v>
      </c>
      <c r="B438" s="4" t="s">
        <v>33</v>
      </c>
      <c r="C438" s="4" t="s">
        <v>229</v>
      </c>
      <c r="D438" s="5">
        <v>44991</v>
      </c>
      <c r="E438" s="5">
        <v>45906</v>
      </c>
      <c r="F438" s="4">
        <f>DATEDIF(D438,E438,"M")</f>
        <v>30</v>
      </c>
      <c r="G438" s="4" t="s">
        <v>429</v>
      </c>
      <c r="H438" s="4" t="s">
        <v>431</v>
      </c>
      <c r="I438" s="4">
        <v>20411454</v>
      </c>
      <c r="J438" s="4" t="s">
        <v>421</v>
      </c>
      <c r="K438" s="4" t="s">
        <v>116</v>
      </c>
      <c r="L438" s="4" t="s">
        <v>438</v>
      </c>
      <c r="M438" s="4">
        <v>0.45</v>
      </c>
      <c r="N438" s="7">
        <v>0.02</v>
      </c>
      <c r="O438" s="4">
        <v>0.45</v>
      </c>
      <c r="P438" s="4" t="s">
        <v>432</v>
      </c>
    </row>
    <row r="439" spans="1:16" s="4" customFormat="1" x14ac:dyDescent="0.25">
      <c r="A439" s="4" t="s">
        <v>306</v>
      </c>
      <c r="B439" s="4" t="s">
        <v>21</v>
      </c>
      <c r="C439" s="4" t="s">
        <v>307</v>
      </c>
      <c r="D439" s="5">
        <v>44972</v>
      </c>
      <c r="E439" s="5">
        <v>45915</v>
      </c>
      <c r="F439" s="4">
        <f>DATEDIF(D439,E439,"M")</f>
        <v>31</v>
      </c>
      <c r="G439" s="4" t="s">
        <v>429</v>
      </c>
      <c r="H439" s="4" t="s">
        <v>431</v>
      </c>
      <c r="I439" s="4">
        <v>16243811</v>
      </c>
      <c r="J439" s="4" t="s">
        <v>427</v>
      </c>
      <c r="K439" s="4" t="s">
        <v>277</v>
      </c>
      <c r="L439" s="4" t="str">
        <f>CONCATENATE(J439, " ",K439)</f>
        <v xml:space="preserve">KIMBERLY DICKERSON           </v>
      </c>
      <c r="M439" s="4">
        <v>43.44</v>
      </c>
      <c r="N439" s="7">
        <v>0.13</v>
      </c>
      <c r="O439" s="4">
        <v>5.65</v>
      </c>
      <c r="P439" s="4" t="s">
        <v>436</v>
      </c>
    </row>
    <row r="440" spans="1:16" s="4" customFormat="1" x14ac:dyDescent="0.25">
      <c r="A440" s="4" t="s">
        <v>306</v>
      </c>
      <c r="B440" s="4" t="s">
        <v>21</v>
      </c>
      <c r="C440" s="4" t="s">
        <v>307</v>
      </c>
      <c r="D440" s="5">
        <v>44972</v>
      </c>
      <c r="E440" s="5">
        <v>45915</v>
      </c>
      <c r="F440" s="4">
        <f>DATEDIF(D440,E440,"M")</f>
        <v>31</v>
      </c>
      <c r="G440" s="4" t="s">
        <v>429</v>
      </c>
      <c r="H440" s="4" t="s">
        <v>431</v>
      </c>
      <c r="I440" s="4">
        <v>16243811</v>
      </c>
      <c r="J440" s="4" t="s">
        <v>427</v>
      </c>
      <c r="K440" s="4" t="s">
        <v>277</v>
      </c>
      <c r="L440" s="4" t="str">
        <f>CONCATENATE(J440, " ",K440)</f>
        <v xml:space="preserve">KIMBERLY DICKERSON           </v>
      </c>
      <c r="M440" s="4">
        <v>22.5</v>
      </c>
      <c r="N440" s="7">
        <v>0.13</v>
      </c>
      <c r="O440" s="4">
        <v>2.93</v>
      </c>
      <c r="P440" s="4" t="s">
        <v>436</v>
      </c>
    </row>
    <row r="441" spans="1:16" s="4" customFormat="1" x14ac:dyDescent="0.25">
      <c r="A441" s="4" t="s">
        <v>306</v>
      </c>
      <c r="B441" s="4" t="s">
        <v>21</v>
      </c>
      <c r="C441" s="4" t="s">
        <v>307</v>
      </c>
      <c r="D441" s="5">
        <v>44972</v>
      </c>
      <c r="E441" s="5">
        <v>45915</v>
      </c>
      <c r="F441" s="4">
        <f>DATEDIF(D441,E441,"M")</f>
        <v>31</v>
      </c>
      <c r="G441" s="4" t="s">
        <v>429</v>
      </c>
      <c r="H441" s="4" t="s">
        <v>431</v>
      </c>
      <c r="I441" s="4">
        <v>16243811</v>
      </c>
      <c r="J441" s="4" t="s">
        <v>427</v>
      </c>
      <c r="K441" s="4" t="s">
        <v>277</v>
      </c>
      <c r="L441" s="4" t="str">
        <f>CONCATENATE(J441, " ",K441)</f>
        <v xml:space="preserve">KIMBERLY DICKERSON           </v>
      </c>
      <c r="M441" s="4">
        <v>3.08</v>
      </c>
      <c r="N441" s="7">
        <v>0.13</v>
      </c>
      <c r="O441" s="4">
        <v>0.4</v>
      </c>
      <c r="P441" s="4" t="s">
        <v>436</v>
      </c>
    </row>
    <row r="442" spans="1:16" s="4" customFormat="1" x14ac:dyDescent="0.25">
      <c r="A442" s="4" t="s">
        <v>259</v>
      </c>
      <c r="B442" s="4" t="s">
        <v>33</v>
      </c>
      <c r="C442" s="4" t="s">
        <v>260</v>
      </c>
      <c r="D442" s="5">
        <v>44927</v>
      </c>
      <c r="E442" s="5">
        <v>45901</v>
      </c>
      <c r="F442" s="4">
        <f>DATEDIF(D442,E442,"M")</f>
        <v>32</v>
      </c>
      <c r="G442" s="4" t="s">
        <v>429</v>
      </c>
      <c r="H442" s="4" t="s">
        <v>431</v>
      </c>
      <c r="I442" s="4">
        <v>15278437</v>
      </c>
      <c r="J442" s="4" t="s">
        <v>426</v>
      </c>
      <c r="K442" s="4" t="s">
        <v>236</v>
      </c>
      <c r="L442" s="4" t="str">
        <f>CONCATENATE(J442, " ",K442)</f>
        <v xml:space="preserve">JASON HOFFMANN            </v>
      </c>
      <c r="M442" s="4">
        <v>22.72</v>
      </c>
      <c r="N442" s="7">
        <v>0.1</v>
      </c>
      <c r="O442" s="4">
        <v>2.27</v>
      </c>
      <c r="P442" s="4" t="s">
        <v>435</v>
      </c>
    </row>
    <row r="443" spans="1:16" s="4" customFormat="1" x14ac:dyDescent="0.25">
      <c r="A443" s="4" t="s">
        <v>259</v>
      </c>
      <c r="B443" s="4" t="s">
        <v>33</v>
      </c>
      <c r="C443" s="4" t="s">
        <v>260</v>
      </c>
      <c r="D443" s="5">
        <v>44927</v>
      </c>
      <c r="E443" s="5">
        <v>45901</v>
      </c>
      <c r="F443" s="4">
        <f>DATEDIF(D443,E443,"M")</f>
        <v>32</v>
      </c>
      <c r="G443" s="4" t="s">
        <v>429</v>
      </c>
      <c r="H443" s="4" t="s">
        <v>431</v>
      </c>
      <c r="I443" s="4">
        <v>15278437</v>
      </c>
      <c r="J443" s="4" t="s">
        <v>426</v>
      </c>
      <c r="K443" s="4" t="s">
        <v>236</v>
      </c>
      <c r="L443" s="4" t="str">
        <f>CONCATENATE(J443, " ",K443)</f>
        <v xml:space="preserve">JASON HOFFMANN            </v>
      </c>
      <c r="M443" s="4">
        <v>4.07</v>
      </c>
      <c r="N443" s="7">
        <v>0.1</v>
      </c>
      <c r="O443" s="4">
        <v>0.41</v>
      </c>
      <c r="P443" s="4" t="s">
        <v>435</v>
      </c>
    </row>
    <row r="444" spans="1:16" s="4" customFormat="1" x14ac:dyDescent="0.25">
      <c r="A444" s="4" t="s">
        <v>259</v>
      </c>
      <c r="B444" s="4" t="s">
        <v>33</v>
      </c>
      <c r="C444" s="4" t="s">
        <v>260</v>
      </c>
      <c r="D444" s="5">
        <v>44927</v>
      </c>
      <c r="E444" s="5">
        <v>45901</v>
      </c>
      <c r="F444" s="4">
        <f>DATEDIF(D444,E444,"M")</f>
        <v>32</v>
      </c>
      <c r="G444" s="4" t="s">
        <v>429</v>
      </c>
      <c r="H444" s="4" t="s">
        <v>431</v>
      </c>
      <c r="I444" s="4">
        <v>15278437</v>
      </c>
      <c r="J444" s="4" t="s">
        <v>426</v>
      </c>
      <c r="K444" s="4" t="s">
        <v>236</v>
      </c>
      <c r="L444" s="4" t="str">
        <f>CONCATENATE(J444, " ",K444)</f>
        <v xml:space="preserve">JASON HOFFMANN            </v>
      </c>
      <c r="M444" s="4">
        <v>25.9</v>
      </c>
      <c r="N444" s="7">
        <v>0.1</v>
      </c>
      <c r="O444" s="4">
        <v>2.59</v>
      </c>
      <c r="P444" s="4" t="s">
        <v>435</v>
      </c>
    </row>
    <row r="445" spans="1:16" s="4" customFormat="1" x14ac:dyDescent="0.25">
      <c r="A445" s="4" t="s">
        <v>261</v>
      </c>
      <c r="B445" s="4" t="s">
        <v>66</v>
      </c>
      <c r="C445" s="4" t="s">
        <v>262</v>
      </c>
      <c r="D445" s="5">
        <v>44927</v>
      </c>
      <c r="E445" s="5">
        <v>45901</v>
      </c>
      <c r="F445" s="4">
        <f>DATEDIF(D445,E445,"M")</f>
        <v>32</v>
      </c>
      <c r="G445" s="4" t="s">
        <v>429</v>
      </c>
      <c r="H445" s="4" t="s">
        <v>431</v>
      </c>
      <c r="I445" s="4">
        <v>15278437</v>
      </c>
      <c r="J445" s="4" t="s">
        <v>426</v>
      </c>
      <c r="K445" s="4" t="s">
        <v>236</v>
      </c>
      <c r="L445" s="4" t="str">
        <f>CONCATENATE(J445, " ",K445)</f>
        <v xml:space="preserve">JASON HOFFMANN            </v>
      </c>
      <c r="M445" s="4">
        <v>27.11</v>
      </c>
      <c r="N445" s="7">
        <v>0.1</v>
      </c>
      <c r="O445" s="4">
        <v>2.71</v>
      </c>
      <c r="P445" s="4" t="s">
        <v>435</v>
      </c>
    </row>
    <row r="446" spans="1:16" s="4" customFormat="1" x14ac:dyDescent="0.25">
      <c r="A446" s="4" t="s">
        <v>261</v>
      </c>
      <c r="B446" s="4" t="s">
        <v>66</v>
      </c>
      <c r="C446" s="4" t="s">
        <v>262</v>
      </c>
      <c r="D446" s="5">
        <v>44927</v>
      </c>
      <c r="E446" s="5">
        <v>45901</v>
      </c>
      <c r="F446" s="4">
        <f>DATEDIF(D446,E446,"M")</f>
        <v>32</v>
      </c>
      <c r="G446" s="4" t="s">
        <v>429</v>
      </c>
      <c r="H446" s="4" t="s">
        <v>431</v>
      </c>
      <c r="I446" s="4">
        <v>15278437</v>
      </c>
      <c r="J446" s="4" t="s">
        <v>426</v>
      </c>
      <c r="K446" s="4" t="s">
        <v>236</v>
      </c>
      <c r="L446" s="4" t="str">
        <f>CONCATENATE(J446, " ",K446)</f>
        <v xml:space="preserve">JASON HOFFMANN            </v>
      </c>
      <c r="M446" s="4">
        <v>32.24</v>
      </c>
      <c r="N446" s="7">
        <v>0.1</v>
      </c>
      <c r="O446" s="4">
        <v>3.22</v>
      </c>
      <c r="P446" s="4" t="s">
        <v>435</v>
      </c>
    </row>
    <row r="447" spans="1:16" s="4" customFormat="1" x14ac:dyDescent="0.25">
      <c r="A447" s="4" t="s">
        <v>263</v>
      </c>
      <c r="B447" s="4" t="s">
        <v>33</v>
      </c>
      <c r="C447" s="4" t="s">
        <v>264</v>
      </c>
      <c r="D447" s="5">
        <v>44927</v>
      </c>
      <c r="E447" s="5">
        <v>45901</v>
      </c>
      <c r="F447" s="4">
        <f>DATEDIF(D447,E447,"M")</f>
        <v>32</v>
      </c>
      <c r="G447" s="4" t="s">
        <v>429</v>
      </c>
      <c r="H447" s="4" t="s">
        <v>431</v>
      </c>
      <c r="I447" s="4">
        <v>15278437</v>
      </c>
      <c r="J447" s="4" t="s">
        <v>426</v>
      </c>
      <c r="K447" s="4" t="s">
        <v>236</v>
      </c>
      <c r="L447" s="4" t="str">
        <f>CONCATENATE(J447, " ",K447)</f>
        <v xml:space="preserve">JASON HOFFMANN            </v>
      </c>
      <c r="M447" s="4">
        <v>83.63</v>
      </c>
      <c r="N447" s="7">
        <v>0.13</v>
      </c>
      <c r="O447" s="4">
        <v>10.87</v>
      </c>
      <c r="P447" s="4" t="s">
        <v>436</v>
      </c>
    </row>
    <row r="448" spans="1:16" s="4" customFormat="1" x14ac:dyDescent="0.25">
      <c r="A448" s="4" t="s">
        <v>263</v>
      </c>
      <c r="B448" s="4" t="s">
        <v>33</v>
      </c>
      <c r="C448" s="4" t="s">
        <v>264</v>
      </c>
      <c r="D448" s="5">
        <v>44927</v>
      </c>
      <c r="E448" s="5">
        <v>45901</v>
      </c>
      <c r="F448" s="4">
        <f>DATEDIF(D448,E448,"M")</f>
        <v>32</v>
      </c>
      <c r="G448" s="4" t="s">
        <v>429</v>
      </c>
      <c r="H448" s="4" t="s">
        <v>431</v>
      </c>
      <c r="I448" s="4">
        <v>15278437</v>
      </c>
      <c r="J448" s="4" t="s">
        <v>426</v>
      </c>
      <c r="K448" s="4" t="s">
        <v>236</v>
      </c>
      <c r="L448" s="4" t="str">
        <f>CONCATENATE(J448, " ",K448)</f>
        <v xml:space="preserve">JASON HOFFMANN            </v>
      </c>
      <c r="M448" s="4">
        <v>25.55</v>
      </c>
      <c r="N448" s="7">
        <v>0.13</v>
      </c>
      <c r="O448" s="4">
        <v>3.32</v>
      </c>
      <c r="P448" s="4" t="s">
        <v>436</v>
      </c>
    </row>
    <row r="449" spans="1:16" s="4" customFormat="1" x14ac:dyDescent="0.25">
      <c r="A449" s="4" t="s">
        <v>282</v>
      </c>
      <c r="B449" s="4" t="s">
        <v>21</v>
      </c>
      <c r="C449" s="4" t="s">
        <v>279</v>
      </c>
      <c r="D449" s="5">
        <v>44927</v>
      </c>
      <c r="E449" s="5">
        <v>45901</v>
      </c>
      <c r="F449" s="4">
        <f>DATEDIF(D449,E449,"M")</f>
        <v>32</v>
      </c>
      <c r="G449" s="4" t="s">
        <v>429</v>
      </c>
      <c r="H449" s="4" t="s">
        <v>431</v>
      </c>
      <c r="I449" s="4">
        <v>16243811</v>
      </c>
      <c r="J449" s="4" t="s">
        <v>427</v>
      </c>
      <c r="K449" s="4" t="s">
        <v>277</v>
      </c>
      <c r="L449" s="4" t="str">
        <f>CONCATENATE(J449, " ",K449)</f>
        <v xml:space="preserve">KIMBERLY DICKERSON           </v>
      </c>
      <c r="M449" s="4">
        <v>21.67</v>
      </c>
      <c r="N449" s="7">
        <v>0.1</v>
      </c>
      <c r="O449" s="4">
        <v>2.17</v>
      </c>
      <c r="P449" s="4" t="s">
        <v>435</v>
      </c>
    </row>
    <row r="450" spans="1:16" s="4" customFormat="1" x14ac:dyDescent="0.25">
      <c r="A450" s="4" t="s">
        <v>282</v>
      </c>
      <c r="B450" s="4" t="s">
        <v>21</v>
      </c>
      <c r="C450" s="4" t="s">
        <v>279</v>
      </c>
      <c r="D450" s="5">
        <v>44927</v>
      </c>
      <c r="E450" s="5">
        <v>45901</v>
      </c>
      <c r="F450" s="4">
        <f>DATEDIF(D450,E450,"M")</f>
        <v>32</v>
      </c>
      <c r="G450" s="4" t="s">
        <v>429</v>
      </c>
      <c r="H450" s="4" t="s">
        <v>431</v>
      </c>
      <c r="I450" s="4">
        <v>16243811</v>
      </c>
      <c r="J450" s="4" t="s">
        <v>427</v>
      </c>
      <c r="K450" s="4" t="s">
        <v>277</v>
      </c>
      <c r="L450" s="4" t="str">
        <f>CONCATENATE(J450, " ",K450)</f>
        <v xml:space="preserve">KIMBERLY DICKERSON           </v>
      </c>
      <c r="M450" s="4">
        <v>4.25</v>
      </c>
      <c r="N450" s="7">
        <v>0.1</v>
      </c>
      <c r="O450" s="4">
        <v>0.43</v>
      </c>
      <c r="P450" s="4" t="s">
        <v>435</v>
      </c>
    </row>
    <row r="451" spans="1:16" s="4" customFormat="1" x14ac:dyDescent="0.25">
      <c r="A451" s="4" t="s">
        <v>282</v>
      </c>
      <c r="B451" s="4" t="s">
        <v>21</v>
      </c>
      <c r="C451" s="4" t="s">
        <v>279</v>
      </c>
      <c r="D451" s="5">
        <v>44927</v>
      </c>
      <c r="E451" s="5">
        <v>45901</v>
      </c>
      <c r="F451" s="4">
        <f>DATEDIF(D451,E451,"M")</f>
        <v>32</v>
      </c>
      <c r="G451" s="4" t="s">
        <v>429</v>
      </c>
      <c r="H451" s="4" t="s">
        <v>431</v>
      </c>
      <c r="I451" s="4">
        <v>16243811</v>
      </c>
      <c r="J451" s="4" t="s">
        <v>427</v>
      </c>
      <c r="K451" s="4" t="s">
        <v>277</v>
      </c>
      <c r="L451" s="4" t="str">
        <f>CONCATENATE(J451, " ",K451)</f>
        <v xml:space="preserve">KIMBERLY DICKERSON           </v>
      </c>
      <c r="M451" s="4">
        <v>5.33</v>
      </c>
      <c r="N451" s="7">
        <v>0.1</v>
      </c>
      <c r="O451" s="4">
        <v>0.53</v>
      </c>
      <c r="P451" s="4" t="s">
        <v>435</v>
      </c>
    </row>
    <row r="452" spans="1:16" s="4" customFormat="1" x14ac:dyDescent="0.25">
      <c r="A452" s="4" t="s">
        <v>282</v>
      </c>
      <c r="B452" s="4" t="s">
        <v>21</v>
      </c>
      <c r="C452" s="4" t="s">
        <v>279</v>
      </c>
      <c r="D452" s="5">
        <v>44927</v>
      </c>
      <c r="E452" s="5">
        <v>45901</v>
      </c>
      <c r="F452" s="4">
        <f>DATEDIF(D452,E452,"M")</f>
        <v>32</v>
      </c>
      <c r="G452" s="4" t="s">
        <v>429</v>
      </c>
      <c r="H452" s="4" t="s">
        <v>431</v>
      </c>
      <c r="I452" s="4">
        <v>16243811</v>
      </c>
      <c r="J452" s="4" t="s">
        <v>427</v>
      </c>
      <c r="K452" s="4" t="s">
        <v>277</v>
      </c>
      <c r="L452" s="4" t="str">
        <f>CONCATENATE(J452, " ",K452)</f>
        <v xml:space="preserve">KIMBERLY DICKERSON           </v>
      </c>
      <c r="M452" s="4">
        <v>2.5</v>
      </c>
      <c r="N452" s="7">
        <v>0.1</v>
      </c>
      <c r="O452" s="4">
        <v>0.25</v>
      </c>
      <c r="P452" s="4" t="s">
        <v>435</v>
      </c>
    </row>
    <row r="453" spans="1:16" s="4" customFormat="1" x14ac:dyDescent="0.25">
      <c r="A453" s="4" t="s">
        <v>282</v>
      </c>
      <c r="B453" s="4" t="s">
        <v>21</v>
      </c>
      <c r="C453" s="4" t="s">
        <v>279</v>
      </c>
      <c r="D453" s="5">
        <v>44927</v>
      </c>
      <c r="E453" s="5">
        <v>45901</v>
      </c>
      <c r="F453" s="4">
        <f>DATEDIF(D453,E453,"M")</f>
        <v>32</v>
      </c>
      <c r="G453" s="4" t="s">
        <v>429</v>
      </c>
      <c r="H453" s="4" t="s">
        <v>431</v>
      </c>
      <c r="I453" s="4">
        <v>16243811</v>
      </c>
      <c r="J453" s="4" t="s">
        <v>427</v>
      </c>
      <c r="K453" s="4" t="s">
        <v>277</v>
      </c>
      <c r="L453" s="4" t="str">
        <f>CONCATENATE(J453, " ",K453)</f>
        <v xml:space="preserve">KIMBERLY DICKERSON           </v>
      </c>
      <c r="M453" s="4">
        <v>4.53</v>
      </c>
      <c r="N453" s="7">
        <v>0.1</v>
      </c>
      <c r="O453" s="4">
        <v>0.45</v>
      </c>
      <c r="P453" s="4" t="s">
        <v>435</v>
      </c>
    </row>
    <row r="454" spans="1:16" s="4" customFormat="1" x14ac:dyDescent="0.25">
      <c r="A454" s="4" t="s">
        <v>286</v>
      </c>
      <c r="B454" s="4" t="s">
        <v>21</v>
      </c>
      <c r="C454" s="4" t="s">
        <v>281</v>
      </c>
      <c r="D454" s="5">
        <v>44927</v>
      </c>
      <c r="E454" s="5">
        <v>45901</v>
      </c>
      <c r="F454" s="4">
        <f>DATEDIF(D454,E454,"M")</f>
        <v>32</v>
      </c>
      <c r="G454" s="4" t="s">
        <v>429</v>
      </c>
      <c r="H454" s="4" t="s">
        <v>431</v>
      </c>
      <c r="I454" s="4">
        <v>16243811</v>
      </c>
      <c r="J454" s="4" t="s">
        <v>427</v>
      </c>
      <c r="K454" s="4" t="s">
        <v>277</v>
      </c>
      <c r="L454" s="4" t="str">
        <f>CONCATENATE(J454, " ",K454)</f>
        <v xml:space="preserve">KIMBERLY DICKERSON           </v>
      </c>
      <c r="M454" s="4">
        <v>30.83</v>
      </c>
      <c r="N454" s="7">
        <v>0.1</v>
      </c>
      <c r="O454" s="4">
        <v>3.08</v>
      </c>
      <c r="P454" s="4" t="s">
        <v>435</v>
      </c>
    </row>
    <row r="455" spans="1:16" s="4" customFormat="1" x14ac:dyDescent="0.25">
      <c r="A455" s="4" t="s">
        <v>286</v>
      </c>
      <c r="B455" s="4" t="s">
        <v>21</v>
      </c>
      <c r="C455" s="4" t="s">
        <v>281</v>
      </c>
      <c r="D455" s="5">
        <v>44927</v>
      </c>
      <c r="E455" s="5">
        <v>45901</v>
      </c>
      <c r="F455" s="4">
        <f>DATEDIF(D455,E455,"M")</f>
        <v>32</v>
      </c>
      <c r="G455" s="4" t="s">
        <v>429</v>
      </c>
      <c r="H455" s="4" t="s">
        <v>431</v>
      </c>
      <c r="I455" s="4">
        <v>16243811</v>
      </c>
      <c r="J455" s="4" t="s">
        <v>427</v>
      </c>
      <c r="K455" s="4" t="s">
        <v>277</v>
      </c>
      <c r="L455" s="4" t="str">
        <f>CONCATENATE(J455, " ",K455)</f>
        <v xml:space="preserve">KIMBERLY DICKERSON           </v>
      </c>
      <c r="M455" s="4">
        <v>5.75</v>
      </c>
      <c r="N455" s="7">
        <v>0.1</v>
      </c>
      <c r="O455" s="4">
        <v>0.57999999999999996</v>
      </c>
      <c r="P455" s="4" t="s">
        <v>435</v>
      </c>
    </row>
    <row r="456" spans="1:16" s="4" customFormat="1" x14ac:dyDescent="0.25">
      <c r="A456" s="4" t="s">
        <v>286</v>
      </c>
      <c r="B456" s="4" t="s">
        <v>21</v>
      </c>
      <c r="C456" s="4" t="s">
        <v>281</v>
      </c>
      <c r="D456" s="5">
        <v>44927</v>
      </c>
      <c r="E456" s="5">
        <v>45901</v>
      </c>
      <c r="F456" s="4">
        <f>DATEDIF(D456,E456,"M")</f>
        <v>32</v>
      </c>
      <c r="G456" s="4" t="s">
        <v>429</v>
      </c>
      <c r="H456" s="4" t="s">
        <v>431</v>
      </c>
      <c r="I456" s="4">
        <v>16243811</v>
      </c>
      <c r="J456" s="4" t="s">
        <v>427</v>
      </c>
      <c r="K456" s="4" t="s">
        <v>277</v>
      </c>
      <c r="L456" s="4" t="str">
        <f>CONCATENATE(J456, " ",K456)</f>
        <v xml:space="preserve">KIMBERLY DICKERSON           </v>
      </c>
      <c r="M456" s="4">
        <v>5.08</v>
      </c>
      <c r="N456" s="7">
        <v>0.1</v>
      </c>
      <c r="O456" s="4">
        <v>0.51</v>
      </c>
      <c r="P456" s="4" t="s">
        <v>435</v>
      </c>
    </row>
    <row r="457" spans="1:16" s="4" customFormat="1" x14ac:dyDescent="0.25">
      <c r="A457" s="4" t="s">
        <v>286</v>
      </c>
      <c r="B457" s="4" t="s">
        <v>21</v>
      </c>
      <c r="C457" s="4" t="s">
        <v>281</v>
      </c>
      <c r="D457" s="5">
        <v>44927</v>
      </c>
      <c r="E457" s="5">
        <v>45901</v>
      </c>
      <c r="F457" s="4">
        <f>DATEDIF(D457,E457,"M")</f>
        <v>32</v>
      </c>
      <c r="G457" s="4" t="s">
        <v>429</v>
      </c>
      <c r="H457" s="4" t="s">
        <v>431</v>
      </c>
      <c r="I457" s="4">
        <v>16243811</v>
      </c>
      <c r="J457" s="4" t="s">
        <v>427</v>
      </c>
      <c r="K457" s="4" t="s">
        <v>277</v>
      </c>
      <c r="L457" s="4" t="str">
        <f>CONCATENATE(J457, " ",K457)</f>
        <v xml:space="preserve">KIMBERLY DICKERSON           </v>
      </c>
      <c r="M457" s="4">
        <v>4.42</v>
      </c>
      <c r="N457" s="7">
        <v>0.1</v>
      </c>
      <c r="O457" s="4">
        <v>0.44</v>
      </c>
      <c r="P457" s="4" t="s">
        <v>435</v>
      </c>
    </row>
    <row r="458" spans="1:16" s="4" customFormat="1" x14ac:dyDescent="0.25">
      <c r="A458" s="4" t="s">
        <v>286</v>
      </c>
      <c r="B458" s="4" t="s">
        <v>21</v>
      </c>
      <c r="C458" s="4" t="s">
        <v>281</v>
      </c>
      <c r="D458" s="5">
        <v>44927</v>
      </c>
      <c r="E458" s="5">
        <v>45901</v>
      </c>
      <c r="F458" s="4">
        <f>DATEDIF(D458,E458,"M")</f>
        <v>32</v>
      </c>
      <c r="G458" s="4" t="s">
        <v>429</v>
      </c>
      <c r="H458" s="4" t="s">
        <v>431</v>
      </c>
      <c r="I458" s="4">
        <v>16243811</v>
      </c>
      <c r="J458" s="4" t="s">
        <v>427</v>
      </c>
      <c r="K458" s="4" t="s">
        <v>277</v>
      </c>
      <c r="L458" s="4" t="str">
        <f>CONCATENATE(J458, " ",K458)</f>
        <v xml:space="preserve">KIMBERLY DICKERSON           </v>
      </c>
      <c r="M458" s="4">
        <v>5.2</v>
      </c>
      <c r="N458" s="7">
        <v>0.1</v>
      </c>
      <c r="O458" s="4">
        <v>0.52</v>
      </c>
      <c r="P458" s="4" t="s">
        <v>435</v>
      </c>
    </row>
    <row r="459" spans="1:16" s="4" customFormat="1" x14ac:dyDescent="0.25">
      <c r="A459" s="4" t="s">
        <v>301</v>
      </c>
      <c r="B459" s="4" t="s">
        <v>21</v>
      </c>
      <c r="C459" s="4" t="s">
        <v>298</v>
      </c>
      <c r="D459" s="5">
        <v>44927</v>
      </c>
      <c r="E459" s="5">
        <v>45901</v>
      </c>
      <c r="F459" s="4">
        <f>DATEDIF(D459,E459,"M")</f>
        <v>32</v>
      </c>
      <c r="G459" s="4" t="s">
        <v>429</v>
      </c>
      <c r="H459" s="4" t="s">
        <v>431</v>
      </c>
      <c r="I459" s="4">
        <v>16243811</v>
      </c>
      <c r="J459" s="4" t="s">
        <v>427</v>
      </c>
      <c r="K459" s="4" t="s">
        <v>277</v>
      </c>
      <c r="L459" s="4" t="str">
        <f>CONCATENATE(J459, " ",K459)</f>
        <v xml:space="preserve">KIMBERLY DICKERSON           </v>
      </c>
      <c r="M459" s="4">
        <v>19.88</v>
      </c>
      <c r="N459" s="7">
        <v>0.1</v>
      </c>
      <c r="O459" s="4">
        <v>1.99</v>
      </c>
      <c r="P459" s="4" t="s">
        <v>435</v>
      </c>
    </row>
    <row r="460" spans="1:16" s="4" customFormat="1" x14ac:dyDescent="0.25">
      <c r="A460" s="4" t="s">
        <v>301</v>
      </c>
      <c r="B460" s="4" t="s">
        <v>21</v>
      </c>
      <c r="C460" s="4" t="s">
        <v>298</v>
      </c>
      <c r="D460" s="5">
        <v>44927</v>
      </c>
      <c r="E460" s="5">
        <v>45901</v>
      </c>
      <c r="F460" s="4">
        <f>DATEDIF(D460,E460,"M")</f>
        <v>32</v>
      </c>
      <c r="G460" s="4" t="s">
        <v>429</v>
      </c>
      <c r="H460" s="4" t="s">
        <v>431</v>
      </c>
      <c r="I460" s="4">
        <v>16243811</v>
      </c>
      <c r="J460" s="4" t="s">
        <v>427</v>
      </c>
      <c r="K460" s="4" t="s">
        <v>277</v>
      </c>
      <c r="L460" s="4" t="str">
        <f>CONCATENATE(J460, " ",K460)</f>
        <v xml:space="preserve">KIMBERLY DICKERSON           </v>
      </c>
      <c r="M460" s="4">
        <v>5.65</v>
      </c>
      <c r="N460" s="7">
        <v>0.1</v>
      </c>
      <c r="O460" s="4">
        <v>0.56999999999999995</v>
      </c>
      <c r="P460" s="4" t="s">
        <v>435</v>
      </c>
    </row>
    <row r="461" spans="1:16" s="4" customFormat="1" x14ac:dyDescent="0.25">
      <c r="A461" s="4" t="s">
        <v>301</v>
      </c>
      <c r="B461" s="4" t="s">
        <v>21</v>
      </c>
      <c r="C461" s="4" t="s">
        <v>298</v>
      </c>
      <c r="D461" s="5">
        <v>44927</v>
      </c>
      <c r="E461" s="5">
        <v>45901</v>
      </c>
      <c r="F461" s="4">
        <f>DATEDIF(D461,E461,"M")</f>
        <v>32</v>
      </c>
      <c r="G461" s="4" t="s">
        <v>429</v>
      </c>
      <c r="H461" s="4" t="s">
        <v>431</v>
      </c>
      <c r="I461" s="4">
        <v>16243811</v>
      </c>
      <c r="J461" s="4" t="s">
        <v>427</v>
      </c>
      <c r="K461" s="4" t="s">
        <v>277</v>
      </c>
      <c r="L461" s="4" t="str">
        <f>CONCATENATE(J461, " ",K461)</f>
        <v xml:space="preserve">KIMBERLY DICKERSON           </v>
      </c>
      <c r="M461" s="4">
        <v>24.97</v>
      </c>
      <c r="N461" s="7">
        <v>0.1</v>
      </c>
      <c r="O461" s="4">
        <v>2.5</v>
      </c>
      <c r="P461" s="4" t="s">
        <v>435</v>
      </c>
    </row>
    <row r="462" spans="1:16" s="4" customFormat="1" x14ac:dyDescent="0.25">
      <c r="A462" s="4" t="s">
        <v>301</v>
      </c>
      <c r="B462" s="4" t="s">
        <v>21</v>
      </c>
      <c r="C462" s="4" t="s">
        <v>298</v>
      </c>
      <c r="D462" s="5">
        <v>44927</v>
      </c>
      <c r="E462" s="5">
        <v>45901</v>
      </c>
      <c r="F462" s="4">
        <f>DATEDIF(D462,E462,"M")</f>
        <v>32</v>
      </c>
      <c r="G462" s="4" t="s">
        <v>429</v>
      </c>
      <c r="H462" s="4" t="s">
        <v>431</v>
      </c>
      <c r="I462" s="4">
        <v>16243811</v>
      </c>
      <c r="J462" s="4" t="s">
        <v>427</v>
      </c>
      <c r="K462" s="4" t="s">
        <v>277</v>
      </c>
      <c r="L462" s="4" t="str">
        <f>CONCATENATE(J462, " ",K462)</f>
        <v xml:space="preserve">KIMBERLY DICKERSON           </v>
      </c>
      <c r="M462" s="4">
        <v>2.31</v>
      </c>
      <c r="N462" s="7">
        <v>0.1</v>
      </c>
      <c r="O462" s="4">
        <v>0.23</v>
      </c>
      <c r="P462" s="4" t="s">
        <v>435</v>
      </c>
    </row>
    <row r="463" spans="1:16" s="4" customFormat="1" x14ac:dyDescent="0.25">
      <c r="A463" s="4" t="s">
        <v>301</v>
      </c>
      <c r="B463" s="4" t="s">
        <v>21</v>
      </c>
      <c r="C463" s="4" t="s">
        <v>298</v>
      </c>
      <c r="D463" s="5">
        <v>44927</v>
      </c>
      <c r="E463" s="5">
        <v>45901</v>
      </c>
      <c r="F463" s="4">
        <f>DATEDIF(D463,E463,"M")</f>
        <v>32</v>
      </c>
      <c r="G463" s="4" t="s">
        <v>429</v>
      </c>
      <c r="H463" s="4" t="s">
        <v>431</v>
      </c>
      <c r="I463" s="4">
        <v>16243811</v>
      </c>
      <c r="J463" s="4" t="s">
        <v>427</v>
      </c>
      <c r="K463" s="4" t="s">
        <v>277</v>
      </c>
      <c r="L463" s="4" t="str">
        <f>CONCATENATE(J463, " ",K463)</f>
        <v xml:space="preserve">KIMBERLY DICKERSON           </v>
      </c>
      <c r="M463" s="4">
        <v>3.21</v>
      </c>
      <c r="N463" s="7">
        <v>0.1</v>
      </c>
      <c r="O463" s="4">
        <v>0.32</v>
      </c>
      <c r="P463" s="4" t="s">
        <v>435</v>
      </c>
    </row>
    <row r="464" spans="1:16" s="4" customFormat="1" x14ac:dyDescent="0.25">
      <c r="A464" s="4" t="s">
        <v>302</v>
      </c>
      <c r="B464" s="4" t="s">
        <v>21</v>
      </c>
      <c r="C464" s="4" t="s">
        <v>300</v>
      </c>
      <c r="D464" s="5">
        <v>44927</v>
      </c>
      <c r="E464" s="5">
        <v>45901</v>
      </c>
      <c r="F464" s="4">
        <f>DATEDIF(D464,E464,"M")</f>
        <v>32</v>
      </c>
      <c r="G464" s="4" t="s">
        <v>429</v>
      </c>
      <c r="H464" s="4" t="s">
        <v>431</v>
      </c>
      <c r="I464" s="4">
        <v>16243811</v>
      </c>
      <c r="J464" s="4" t="s">
        <v>427</v>
      </c>
      <c r="K464" s="4" t="s">
        <v>277</v>
      </c>
      <c r="L464" s="4" t="str">
        <f>CONCATENATE(J464, " ",K464)</f>
        <v xml:space="preserve">KIMBERLY DICKERSON           </v>
      </c>
      <c r="M464" s="4">
        <v>19.68</v>
      </c>
      <c r="N464" s="7">
        <v>0.1</v>
      </c>
      <c r="O464" s="4">
        <v>1.97</v>
      </c>
      <c r="P464" s="4" t="s">
        <v>435</v>
      </c>
    </row>
    <row r="465" spans="1:16" s="4" customFormat="1" x14ac:dyDescent="0.25">
      <c r="A465" s="4" t="s">
        <v>302</v>
      </c>
      <c r="B465" s="4" t="s">
        <v>21</v>
      </c>
      <c r="C465" s="4" t="s">
        <v>300</v>
      </c>
      <c r="D465" s="5">
        <v>44927</v>
      </c>
      <c r="E465" s="5">
        <v>45901</v>
      </c>
      <c r="F465" s="4">
        <f>DATEDIF(D465,E465,"M")</f>
        <v>32</v>
      </c>
      <c r="G465" s="4" t="s">
        <v>429</v>
      </c>
      <c r="H465" s="4" t="s">
        <v>431</v>
      </c>
      <c r="I465" s="4">
        <v>16243811</v>
      </c>
      <c r="J465" s="4" t="s">
        <v>427</v>
      </c>
      <c r="K465" s="4" t="s">
        <v>277</v>
      </c>
      <c r="L465" s="4" t="str">
        <f>CONCATENATE(J465, " ",K465)</f>
        <v xml:space="preserve">KIMBERLY DICKERSON           </v>
      </c>
      <c r="M465" s="4">
        <v>5.65</v>
      </c>
      <c r="N465" s="7">
        <v>0.1</v>
      </c>
      <c r="O465" s="4">
        <v>0.56999999999999995</v>
      </c>
      <c r="P465" s="4" t="s">
        <v>435</v>
      </c>
    </row>
    <row r="466" spans="1:16" s="4" customFormat="1" x14ac:dyDescent="0.25">
      <c r="A466" s="4" t="s">
        <v>302</v>
      </c>
      <c r="B466" s="4" t="s">
        <v>21</v>
      </c>
      <c r="C466" s="4" t="s">
        <v>300</v>
      </c>
      <c r="D466" s="5">
        <v>44927</v>
      </c>
      <c r="E466" s="5">
        <v>45901</v>
      </c>
      <c r="F466" s="4">
        <f>DATEDIF(D466,E466,"M")</f>
        <v>32</v>
      </c>
      <c r="G466" s="4" t="s">
        <v>429</v>
      </c>
      <c r="H466" s="4" t="s">
        <v>431</v>
      </c>
      <c r="I466" s="4">
        <v>16243811</v>
      </c>
      <c r="J466" s="4" t="s">
        <v>427</v>
      </c>
      <c r="K466" s="4" t="s">
        <v>277</v>
      </c>
      <c r="L466" s="4" t="str">
        <f>CONCATENATE(J466, " ",K466)</f>
        <v xml:space="preserve">KIMBERLY DICKERSON           </v>
      </c>
      <c r="M466" s="4">
        <v>24.46</v>
      </c>
      <c r="N466" s="7">
        <v>0.1</v>
      </c>
      <c r="O466" s="4">
        <v>2.4500000000000002</v>
      </c>
      <c r="P466" s="4" t="s">
        <v>435</v>
      </c>
    </row>
    <row r="467" spans="1:16" s="4" customFormat="1" x14ac:dyDescent="0.25">
      <c r="A467" s="4" t="s">
        <v>302</v>
      </c>
      <c r="B467" s="4" t="s">
        <v>21</v>
      </c>
      <c r="C467" s="4" t="s">
        <v>300</v>
      </c>
      <c r="D467" s="5">
        <v>44927</v>
      </c>
      <c r="E467" s="5">
        <v>45901</v>
      </c>
      <c r="F467" s="4">
        <f>DATEDIF(D467,E467,"M")</f>
        <v>32</v>
      </c>
      <c r="G467" s="4" t="s">
        <v>429</v>
      </c>
      <c r="H467" s="4" t="s">
        <v>431</v>
      </c>
      <c r="I467" s="4">
        <v>16243811</v>
      </c>
      <c r="J467" s="4" t="s">
        <v>427</v>
      </c>
      <c r="K467" s="4" t="s">
        <v>277</v>
      </c>
      <c r="L467" s="4" t="str">
        <f>CONCATENATE(J467, " ",K467)</f>
        <v xml:space="preserve">KIMBERLY DICKERSON           </v>
      </c>
      <c r="M467" s="4">
        <v>3.28</v>
      </c>
      <c r="N467" s="7">
        <v>0.1</v>
      </c>
      <c r="O467" s="4">
        <v>0.33</v>
      </c>
      <c r="P467" s="4" t="s">
        <v>435</v>
      </c>
    </row>
    <row r="468" spans="1:16" s="4" customFormat="1" x14ac:dyDescent="0.25">
      <c r="A468" s="4" t="s">
        <v>302</v>
      </c>
      <c r="B468" s="4" t="s">
        <v>21</v>
      </c>
      <c r="C468" s="4" t="s">
        <v>300</v>
      </c>
      <c r="D468" s="5">
        <v>44927</v>
      </c>
      <c r="E468" s="5">
        <v>45901</v>
      </c>
      <c r="F468" s="4">
        <f>DATEDIF(D468,E468,"M")</f>
        <v>32</v>
      </c>
      <c r="G468" s="4" t="s">
        <v>429</v>
      </c>
      <c r="H468" s="4" t="s">
        <v>431</v>
      </c>
      <c r="I468" s="4">
        <v>16243811</v>
      </c>
      <c r="J468" s="4" t="s">
        <v>427</v>
      </c>
      <c r="K468" s="4" t="s">
        <v>277</v>
      </c>
      <c r="L468" s="4" t="str">
        <f>CONCATENATE(J468, " ",K468)</f>
        <v xml:space="preserve">KIMBERLY DICKERSON           </v>
      </c>
      <c r="M468" s="4">
        <v>5.51</v>
      </c>
      <c r="N468" s="7">
        <v>0.1</v>
      </c>
      <c r="O468" s="4">
        <v>0.55000000000000004</v>
      </c>
      <c r="P468" s="4" t="s">
        <v>435</v>
      </c>
    </row>
    <row r="469" spans="1:16" s="4" customFormat="1" x14ac:dyDescent="0.25">
      <c r="A469" s="4" t="s">
        <v>302</v>
      </c>
      <c r="B469" s="4" t="s">
        <v>21</v>
      </c>
      <c r="C469" s="4" t="s">
        <v>300</v>
      </c>
      <c r="D469" s="5">
        <v>44927</v>
      </c>
      <c r="E469" s="5">
        <v>45901</v>
      </c>
      <c r="F469" s="4">
        <f>DATEDIF(D469,E469,"M")</f>
        <v>32</v>
      </c>
      <c r="G469" s="4" t="s">
        <v>429</v>
      </c>
      <c r="H469" s="4" t="s">
        <v>431</v>
      </c>
      <c r="I469" s="4">
        <v>16243811</v>
      </c>
      <c r="J469" s="4" t="s">
        <v>427</v>
      </c>
      <c r="K469" s="4" t="s">
        <v>277</v>
      </c>
      <c r="L469" s="4" t="str">
        <f>CONCATENATE(J469, " ",K469)</f>
        <v xml:space="preserve">KIMBERLY DICKERSON           </v>
      </c>
      <c r="M469" s="4">
        <v>2.99</v>
      </c>
      <c r="N469" s="7">
        <v>0.1</v>
      </c>
      <c r="O469" s="4">
        <v>0.3</v>
      </c>
      <c r="P469" s="4" t="s">
        <v>435</v>
      </c>
    </row>
    <row r="470" spans="1:16" s="4" customFormat="1" x14ac:dyDescent="0.25">
      <c r="A470" s="4" t="s">
        <v>305</v>
      </c>
      <c r="B470" s="4" t="s">
        <v>21</v>
      </c>
      <c r="C470" s="4" t="s">
        <v>288</v>
      </c>
      <c r="D470" s="5">
        <v>44931</v>
      </c>
      <c r="E470" s="5">
        <v>45905</v>
      </c>
      <c r="F470" s="4">
        <f>DATEDIF(D470,E470,"M")</f>
        <v>32</v>
      </c>
      <c r="G470" s="4" t="s">
        <v>429</v>
      </c>
      <c r="H470" s="4" t="s">
        <v>431</v>
      </c>
      <c r="I470" s="4">
        <v>16243811</v>
      </c>
      <c r="J470" s="4" t="s">
        <v>427</v>
      </c>
      <c r="K470" s="4" t="s">
        <v>277</v>
      </c>
      <c r="L470" s="4" t="str">
        <f>CONCATENATE(J470, " ",K470)</f>
        <v xml:space="preserve">KIMBERLY DICKERSON           </v>
      </c>
      <c r="M470" s="4">
        <v>88.14</v>
      </c>
      <c r="N470" s="7">
        <v>0.1</v>
      </c>
      <c r="O470" s="4">
        <v>8.81</v>
      </c>
      <c r="P470" s="4" t="s">
        <v>435</v>
      </c>
    </row>
    <row r="471" spans="1:16" s="4" customFormat="1" x14ac:dyDescent="0.25">
      <c r="A471" s="4" t="s">
        <v>305</v>
      </c>
      <c r="B471" s="4" t="s">
        <v>21</v>
      </c>
      <c r="C471" s="4" t="s">
        <v>288</v>
      </c>
      <c r="D471" s="5">
        <v>44931</v>
      </c>
      <c r="E471" s="5">
        <v>45905</v>
      </c>
      <c r="F471" s="4">
        <f>DATEDIF(D471,E471,"M")</f>
        <v>32</v>
      </c>
      <c r="G471" s="4" t="s">
        <v>429</v>
      </c>
      <c r="H471" s="4" t="s">
        <v>431</v>
      </c>
      <c r="I471" s="4">
        <v>16243811</v>
      </c>
      <c r="J471" s="4" t="s">
        <v>427</v>
      </c>
      <c r="K471" s="4" t="s">
        <v>277</v>
      </c>
      <c r="L471" s="4" t="str">
        <f>CONCATENATE(J471, " ",K471)</f>
        <v xml:space="preserve">KIMBERLY DICKERSON           </v>
      </c>
      <c r="M471" s="4">
        <v>6.35</v>
      </c>
      <c r="N471" s="7">
        <v>0.1</v>
      </c>
      <c r="O471" s="4">
        <v>0.64</v>
      </c>
      <c r="P471" s="4" t="s">
        <v>435</v>
      </c>
    </row>
    <row r="472" spans="1:16" s="4" customFormat="1" x14ac:dyDescent="0.25">
      <c r="A472" s="4" t="s">
        <v>305</v>
      </c>
      <c r="B472" s="4" t="s">
        <v>21</v>
      </c>
      <c r="C472" s="4" t="s">
        <v>288</v>
      </c>
      <c r="D472" s="5">
        <v>44931</v>
      </c>
      <c r="E472" s="5">
        <v>45905</v>
      </c>
      <c r="F472" s="4">
        <f>DATEDIF(D472,E472,"M")</f>
        <v>32</v>
      </c>
      <c r="G472" s="4" t="s">
        <v>429</v>
      </c>
      <c r="H472" s="4" t="s">
        <v>431</v>
      </c>
      <c r="I472" s="4">
        <v>16243811</v>
      </c>
      <c r="J472" s="4" t="s">
        <v>427</v>
      </c>
      <c r="K472" s="4" t="s">
        <v>277</v>
      </c>
      <c r="L472" s="4" t="str">
        <f>CONCATENATE(J472, " ",K472)</f>
        <v xml:space="preserve">KIMBERLY DICKERSON           </v>
      </c>
      <c r="M472" s="4">
        <v>1.3</v>
      </c>
      <c r="N472" s="7">
        <v>0.1</v>
      </c>
      <c r="O472" s="4">
        <v>0.13</v>
      </c>
      <c r="P472" s="4" t="s">
        <v>435</v>
      </c>
    </row>
    <row r="473" spans="1:16" s="4" customFormat="1" x14ac:dyDescent="0.25">
      <c r="A473" s="4" t="s">
        <v>305</v>
      </c>
      <c r="B473" s="4" t="s">
        <v>21</v>
      </c>
      <c r="C473" s="4" t="s">
        <v>288</v>
      </c>
      <c r="D473" s="5">
        <v>44931</v>
      </c>
      <c r="E473" s="5">
        <v>45905</v>
      </c>
      <c r="F473" s="4">
        <f>DATEDIF(D473,E473,"M")</f>
        <v>32</v>
      </c>
      <c r="G473" s="4" t="s">
        <v>429</v>
      </c>
      <c r="H473" s="4" t="s">
        <v>431</v>
      </c>
      <c r="I473" s="4">
        <v>16243811</v>
      </c>
      <c r="J473" s="4" t="s">
        <v>427</v>
      </c>
      <c r="K473" s="4" t="s">
        <v>277</v>
      </c>
      <c r="L473" s="4" t="str">
        <f>CONCATENATE(J473, " ",K473)</f>
        <v xml:space="preserve">KIMBERLY DICKERSON           </v>
      </c>
      <c r="M473" s="4">
        <v>22.97</v>
      </c>
      <c r="N473" s="7">
        <v>0.1</v>
      </c>
      <c r="O473" s="4">
        <v>2.2999999999999998</v>
      </c>
      <c r="P473" s="4" t="s">
        <v>435</v>
      </c>
    </row>
    <row r="474" spans="1:16" s="4" customFormat="1" x14ac:dyDescent="0.25">
      <c r="A474" s="4" t="s">
        <v>278</v>
      </c>
      <c r="B474" s="4" t="s">
        <v>21</v>
      </c>
      <c r="C474" s="4" t="s">
        <v>279</v>
      </c>
      <c r="D474" s="5">
        <v>44927</v>
      </c>
      <c r="E474" s="5">
        <v>45901</v>
      </c>
      <c r="F474" s="4">
        <f>DATEDIF(D474,E474,"M")</f>
        <v>32</v>
      </c>
      <c r="G474" s="4" t="s">
        <v>429</v>
      </c>
      <c r="H474" s="4" t="s">
        <v>431</v>
      </c>
      <c r="I474" s="4">
        <v>16243811</v>
      </c>
      <c r="J474" s="4" t="s">
        <v>427</v>
      </c>
      <c r="K474" s="4" t="s">
        <v>277</v>
      </c>
      <c r="L474" s="4" t="str">
        <f>CONCATENATE(J474, " ",K474)</f>
        <v xml:space="preserve">KIMBERLY DICKERSON           </v>
      </c>
      <c r="M474" s="4">
        <v>52.55</v>
      </c>
      <c r="N474" s="7">
        <v>0.13</v>
      </c>
      <c r="O474" s="4">
        <v>6.83</v>
      </c>
      <c r="P474" s="4" t="s">
        <v>436</v>
      </c>
    </row>
    <row r="475" spans="1:16" s="4" customFormat="1" x14ac:dyDescent="0.25">
      <c r="A475" s="4" t="s">
        <v>278</v>
      </c>
      <c r="B475" s="4" t="s">
        <v>21</v>
      </c>
      <c r="C475" s="4" t="s">
        <v>279</v>
      </c>
      <c r="D475" s="5">
        <v>44927</v>
      </c>
      <c r="E475" s="5">
        <v>45901</v>
      </c>
      <c r="F475" s="4">
        <f>DATEDIF(D475,E475,"M")</f>
        <v>32</v>
      </c>
      <c r="G475" s="4" t="s">
        <v>429</v>
      </c>
      <c r="H475" s="4" t="s">
        <v>431</v>
      </c>
      <c r="I475" s="4">
        <v>16243811</v>
      </c>
      <c r="J475" s="4" t="s">
        <v>427</v>
      </c>
      <c r="K475" s="4" t="s">
        <v>277</v>
      </c>
      <c r="L475" s="4" t="str">
        <f>CONCATENATE(J475, " ",K475)</f>
        <v xml:space="preserve">KIMBERLY DICKERSON           </v>
      </c>
      <c r="M475" s="4">
        <v>3.08</v>
      </c>
      <c r="N475" s="7">
        <v>0.13</v>
      </c>
      <c r="O475" s="4">
        <v>0.4</v>
      </c>
      <c r="P475" s="4" t="s">
        <v>436</v>
      </c>
    </row>
    <row r="476" spans="1:16" s="4" customFormat="1" x14ac:dyDescent="0.25">
      <c r="A476" s="4" t="s">
        <v>280</v>
      </c>
      <c r="B476" s="4" t="s">
        <v>21</v>
      </c>
      <c r="C476" s="4" t="s">
        <v>281</v>
      </c>
      <c r="D476" s="5">
        <v>44927</v>
      </c>
      <c r="E476" s="5">
        <v>45901</v>
      </c>
      <c r="F476" s="4">
        <f>DATEDIF(D476,E476,"M")</f>
        <v>32</v>
      </c>
      <c r="G476" s="4" t="s">
        <v>429</v>
      </c>
      <c r="H476" s="4" t="s">
        <v>431</v>
      </c>
      <c r="I476" s="4">
        <v>16243811</v>
      </c>
      <c r="J476" s="4" t="s">
        <v>427</v>
      </c>
      <c r="K476" s="4" t="s">
        <v>277</v>
      </c>
      <c r="L476" s="4" t="str">
        <f>CONCATENATE(J476, " ",K476)</f>
        <v xml:space="preserve">KIMBERLY DICKERSON           </v>
      </c>
      <c r="M476" s="4">
        <v>75.27</v>
      </c>
      <c r="N476" s="7">
        <v>0.13</v>
      </c>
      <c r="O476" s="4">
        <v>9.7899999999999991</v>
      </c>
      <c r="P476" s="4" t="s">
        <v>436</v>
      </c>
    </row>
    <row r="477" spans="1:16" s="4" customFormat="1" x14ac:dyDescent="0.25">
      <c r="A477" s="4" t="s">
        <v>280</v>
      </c>
      <c r="B477" s="4" t="s">
        <v>21</v>
      </c>
      <c r="C477" s="4" t="s">
        <v>281</v>
      </c>
      <c r="D477" s="5">
        <v>44927</v>
      </c>
      <c r="E477" s="5">
        <v>45901</v>
      </c>
      <c r="F477" s="4">
        <f>DATEDIF(D477,E477,"M")</f>
        <v>32</v>
      </c>
      <c r="G477" s="4" t="s">
        <v>429</v>
      </c>
      <c r="H477" s="4" t="s">
        <v>431</v>
      </c>
      <c r="I477" s="4">
        <v>16243811</v>
      </c>
      <c r="J477" s="4" t="s">
        <v>427</v>
      </c>
      <c r="K477" s="4" t="s">
        <v>277</v>
      </c>
      <c r="L477" s="4" t="str">
        <f>CONCATENATE(J477, " ",K477)</f>
        <v xml:space="preserve">KIMBERLY DICKERSON           </v>
      </c>
      <c r="M477" s="4">
        <v>29.35</v>
      </c>
      <c r="N477" s="7">
        <v>0.13</v>
      </c>
      <c r="O477" s="4">
        <v>3.82</v>
      </c>
      <c r="P477" s="4" t="s">
        <v>436</v>
      </c>
    </row>
    <row r="478" spans="1:16" s="4" customFormat="1" x14ac:dyDescent="0.25">
      <c r="A478" s="4" t="s">
        <v>280</v>
      </c>
      <c r="B478" s="4" t="s">
        <v>21</v>
      </c>
      <c r="C478" s="4" t="s">
        <v>281</v>
      </c>
      <c r="D478" s="5">
        <v>44927</v>
      </c>
      <c r="E478" s="5">
        <v>45901</v>
      </c>
      <c r="F478" s="4">
        <f>DATEDIF(D478,E478,"M")</f>
        <v>32</v>
      </c>
      <c r="G478" s="4" t="s">
        <v>429</v>
      </c>
      <c r="H478" s="4" t="s">
        <v>431</v>
      </c>
      <c r="I478" s="4">
        <v>16243811</v>
      </c>
      <c r="J478" s="4" t="s">
        <v>427</v>
      </c>
      <c r="K478" s="4" t="s">
        <v>277</v>
      </c>
      <c r="L478" s="4" t="str">
        <f>CONCATENATE(J478, " ",K478)</f>
        <v xml:space="preserve">KIMBERLY DICKERSON           </v>
      </c>
      <c r="M478" s="4">
        <v>4.83</v>
      </c>
      <c r="N478" s="7">
        <v>0.13</v>
      </c>
      <c r="O478" s="4">
        <v>0.63</v>
      </c>
      <c r="P478" s="4" t="s">
        <v>436</v>
      </c>
    </row>
    <row r="479" spans="1:16" s="4" customFormat="1" x14ac:dyDescent="0.25">
      <c r="A479" s="4" t="s">
        <v>297</v>
      </c>
      <c r="B479" s="4" t="s">
        <v>21</v>
      </c>
      <c r="C479" s="4" t="s">
        <v>298</v>
      </c>
      <c r="D479" s="5">
        <v>44927</v>
      </c>
      <c r="E479" s="5">
        <v>45901</v>
      </c>
      <c r="F479" s="4">
        <f>DATEDIF(D479,E479,"M")</f>
        <v>32</v>
      </c>
      <c r="G479" s="4" t="s">
        <v>429</v>
      </c>
      <c r="H479" s="4" t="s">
        <v>431</v>
      </c>
      <c r="I479" s="4">
        <v>16243811</v>
      </c>
      <c r="J479" s="4" t="s">
        <v>427</v>
      </c>
      <c r="K479" s="4" t="s">
        <v>277</v>
      </c>
      <c r="L479" s="4" t="str">
        <f>CONCATENATE(J479, " ",K479)</f>
        <v xml:space="preserve">KIMBERLY DICKERSON           </v>
      </c>
      <c r="M479" s="4">
        <v>52.55</v>
      </c>
      <c r="N479" s="7">
        <v>0.13</v>
      </c>
      <c r="O479" s="4">
        <v>6.83</v>
      </c>
      <c r="P479" s="4" t="s">
        <v>436</v>
      </c>
    </row>
    <row r="480" spans="1:16" s="4" customFormat="1" x14ac:dyDescent="0.25">
      <c r="A480" s="4" t="s">
        <v>297</v>
      </c>
      <c r="B480" s="4" t="s">
        <v>21</v>
      </c>
      <c r="C480" s="4" t="s">
        <v>298</v>
      </c>
      <c r="D480" s="5">
        <v>44927</v>
      </c>
      <c r="E480" s="5">
        <v>45901</v>
      </c>
      <c r="F480" s="4">
        <f>DATEDIF(D480,E480,"M")</f>
        <v>32</v>
      </c>
      <c r="G480" s="4" t="s">
        <v>429</v>
      </c>
      <c r="H480" s="4" t="s">
        <v>431</v>
      </c>
      <c r="I480" s="4">
        <v>16243811</v>
      </c>
      <c r="J480" s="4" t="s">
        <v>427</v>
      </c>
      <c r="K480" s="4" t="s">
        <v>277</v>
      </c>
      <c r="L480" s="4" t="str">
        <f>CONCATENATE(J480, " ",K480)</f>
        <v xml:space="preserve">KIMBERLY DICKERSON           </v>
      </c>
      <c r="M480" s="4">
        <v>24.37</v>
      </c>
      <c r="N480" s="7">
        <v>0.13</v>
      </c>
      <c r="O480" s="4">
        <v>3.17</v>
      </c>
      <c r="P480" s="4" t="s">
        <v>436</v>
      </c>
    </row>
    <row r="481" spans="1:16" s="4" customFormat="1" x14ac:dyDescent="0.25">
      <c r="A481" s="4" t="s">
        <v>297</v>
      </c>
      <c r="B481" s="4" t="s">
        <v>21</v>
      </c>
      <c r="C481" s="4" t="s">
        <v>298</v>
      </c>
      <c r="D481" s="5">
        <v>44927</v>
      </c>
      <c r="E481" s="5">
        <v>45901</v>
      </c>
      <c r="F481" s="4">
        <f>DATEDIF(D481,E481,"M")</f>
        <v>32</v>
      </c>
      <c r="G481" s="4" t="s">
        <v>429</v>
      </c>
      <c r="H481" s="4" t="s">
        <v>431</v>
      </c>
      <c r="I481" s="4">
        <v>16243811</v>
      </c>
      <c r="J481" s="4" t="s">
        <v>427</v>
      </c>
      <c r="K481" s="4" t="s">
        <v>277</v>
      </c>
      <c r="L481" s="4" t="str">
        <f>CONCATENATE(J481, " ",K481)</f>
        <v xml:space="preserve">KIMBERLY DICKERSON           </v>
      </c>
      <c r="M481" s="4">
        <v>3.08</v>
      </c>
      <c r="N481" s="7">
        <v>0.13</v>
      </c>
      <c r="O481" s="4">
        <v>0.4</v>
      </c>
      <c r="P481" s="4" t="s">
        <v>436</v>
      </c>
    </row>
    <row r="482" spans="1:16" s="4" customFormat="1" x14ac:dyDescent="0.25">
      <c r="A482" s="4" t="s">
        <v>299</v>
      </c>
      <c r="B482" s="4" t="s">
        <v>21</v>
      </c>
      <c r="C482" s="4" t="s">
        <v>300</v>
      </c>
      <c r="D482" s="5">
        <v>44927</v>
      </c>
      <c r="E482" s="5">
        <v>45901</v>
      </c>
      <c r="F482" s="4">
        <f>DATEDIF(D482,E482,"M")</f>
        <v>32</v>
      </c>
      <c r="G482" s="4" t="s">
        <v>429</v>
      </c>
      <c r="H482" s="4" t="s">
        <v>431</v>
      </c>
      <c r="I482" s="4">
        <v>16243811</v>
      </c>
      <c r="J482" s="4" t="s">
        <v>427</v>
      </c>
      <c r="K482" s="4" t="s">
        <v>277</v>
      </c>
      <c r="L482" s="4" t="str">
        <f>CONCATENATE(J482, " ",K482)</f>
        <v xml:space="preserve">KIMBERLY DICKERSON           </v>
      </c>
      <c r="M482" s="4">
        <v>52.55</v>
      </c>
      <c r="N482" s="7">
        <v>0.13</v>
      </c>
      <c r="O482" s="4">
        <v>6.83</v>
      </c>
      <c r="P482" s="4" t="s">
        <v>436</v>
      </c>
    </row>
    <row r="483" spans="1:16" s="4" customFormat="1" x14ac:dyDescent="0.25">
      <c r="A483" s="4" t="s">
        <v>299</v>
      </c>
      <c r="B483" s="4" t="s">
        <v>21</v>
      </c>
      <c r="C483" s="4" t="s">
        <v>300</v>
      </c>
      <c r="D483" s="5">
        <v>44927</v>
      </c>
      <c r="E483" s="5">
        <v>45901</v>
      </c>
      <c r="F483" s="4">
        <f>DATEDIF(D483,E483,"M")</f>
        <v>32</v>
      </c>
      <c r="G483" s="4" t="s">
        <v>429</v>
      </c>
      <c r="H483" s="4" t="s">
        <v>431</v>
      </c>
      <c r="I483" s="4">
        <v>16243811</v>
      </c>
      <c r="J483" s="4" t="s">
        <v>427</v>
      </c>
      <c r="K483" s="4" t="s">
        <v>277</v>
      </c>
      <c r="L483" s="4" t="str">
        <f>CONCATENATE(J483, " ",K483)</f>
        <v xml:space="preserve">KIMBERLY DICKERSON           </v>
      </c>
      <c r="M483" s="4">
        <v>3.08</v>
      </c>
      <c r="N483" s="7">
        <v>0.13</v>
      </c>
      <c r="O483" s="4">
        <v>0.4</v>
      </c>
      <c r="P483" s="4" t="s">
        <v>436</v>
      </c>
    </row>
    <row r="484" spans="1:16" s="4" customFormat="1" x14ac:dyDescent="0.25">
      <c r="A484" s="4" t="s">
        <v>299</v>
      </c>
      <c r="B484" s="4" t="s">
        <v>21</v>
      </c>
      <c r="C484" s="4" t="s">
        <v>300</v>
      </c>
      <c r="D484" s="5">
        <v>44927</v>
      </c>
      <c r="E484" s="5">
        <v>45901</v>
      </c>
      <c r="F484" s="4">
        <f>DATEDIF(D484,E484,"M")</f>
        <v>32</v>
      </c>
      <c r="G484" s="4" t="s">
        <v>429</v>
      </c>
      <c r="H484" s="4" t="s">
        <v>431</v>
      </c>
      <c r="I484" s="4">
        <v>16243811</v>
      </c>
      <c r="J484" s="4" t="s">
        <v>427</v>
      </c>
      <c r="K484" s="4" t="s">
        <v>277</v>
      </c>
      <c r="L484" s="4" t="str">
        <f>CONCATENATE(J484, " ",K484)</f>
        <v xml:space="preserve">KIMBERLY DICKERSON           </v>
      </c>
      <c r="M484" s="4">
        <v>24.37</v>
      </c>
      <c r="N484" s="7">
        <v>0.13</v>
      </c>
      <c r="O484" s="4">
        <v>3.17</v>
      </c>
      <c r="P484" s="4" t="s">
        <v>436</v>
      </c>
    </row>
    <row r="485" spans="1:16" s="4" customFormat="1" x14ac:dyDescent="0.25">
      <c r="A485" s="4" t="s">
        <v>303</v>
      </c>
      <c r="B485" s="4" t="s">
        <v>21</v>
      </c>
      <c r="C485" s="4" t="s">
        <v>304</v>
      </c>
      <c r="D485" s="5">
        <v>44927</v>
      </c>
      <c r="E485" s="5">
        <v>45901</v>
      </c>
      <c r="F485" s="4">
        <f>DATEDIF(D485,E485,"M")</f>
        <v>32</v>
      </c>
      <c r="G485" s="4" t="s">
        <v>429</v>
      </c>
      <c r="H485" s="4" t="s">
        <v>431</v>
      </c>
      <c r="I485" s="4">
        <v>16243811</v>
      </c>
      <c r="J485" s="4" t="s">
        <v>427</v>
      </c>
      <c r="K485" s="4" t="s">
        <v>277</v>
      </c>
      <c r="L485" s="4" t="str">
        <f>CONCATENATE(J485, " ",K485)</f>
        <v xml:space="preserve">KIMBERLY DICKERSON           </v>
      </c>
      <c r="M485" s="4">
        <v>52.55</v>
      </c>
      <c r="N485" s="7">
        <v>0.13</v>
      </c>
      <c r="O485" s="4">
        <v>6.83</v>
      </c>
      <c r="P485" s="4" t="s">
        <v>436</v>
      </c>
    </row>
    <row r="486" spans="1:16" s="4" customFormat="1" x14ac:dyDescent="0.25">
      <c r="A486" s="4" t="s">
        <v>303</v>
      </c>
      <c r="B486" s="4" t="s">
        <v>21</v>
      </c>
      <c r="C486" s="4" t="s">
        <v>304</v>
      </c>
      <c r="D486" s="5">
        <v>44927</v>
      </c>
      <c r="E486" s="5">
        <v>45901</v>
      </c>
      <c r="F486" s="4">
        <f>DATEDIF(D486,E486,"M")</f>
        <v>32</v>
      </c>
      <c r="G486" s="4" t="s">
        <v>429</v>
      </c>
      <c r="H486" s="4" t="s">
        <v>431</v>
      </c>
      <c r="I486" s="4">
        <v>16243811</v>
      </c>
      <c r="J486" s="4" t="s">
        <v>427</v>
      </c>
      <c r="K486" s="4" t="s">
        <v>277</v>
      </c>
      <c r="L486" s="4" t="str">
        <f>CONCATENATE(J486, " ",K486)</f>
        <v xml:space="preserve">KIMBERLY DICKERSON           </v>
      </c>
      <c r="M486" s="4">
        <v>24.37</v>
      </c>
      <c r="N486" s="7">
        <v>0.13</v>
      </c>
      <c r="O486" s="4">
        <v>3.17</v>
      </c>
      <c r="P486" s="4" t="s">
        <v>436</v>
      </c>
    </row>
    <row r="487" spans="1:16" s="4" customFormat="1" x14ac:dyDescent="0.25">
      <c r="A487" s="4" t="s">
        <v>303</v>
      </c>
      <c r="B487" s="4" t="s">
        <v>21</v>
      </c>
      <c r="C487" s="4" t="s">
        <v>304</v>
      </c>
      <c r="D487" s="5">
        <v>44927</v>
      </c>
      <c r="E487" s="5">
        <v>45901</v>
      </c>
      <c r="F487" s="4">
        <f>DATEDIF(D487,E487,"M")</f>
        <v>32</v>
      </c>
      <c r="G487" s="4" t="s">
        <v>429</v>
      </c>
      <c r="H487" s="4" t="s">
        <v>431</v>
      </c>
      <c r="I487" s="4">
        <v>16243811</v>
      </c>
      <c r="J487" s="4" t="s">
        <v>427</v>
      </c>
      <c r="K487" s="4" t="s">
        <v>277</v>
      </c>
      <c r="L487" s="4" t="str">
        <f>CONCATENATE(J487, " ",K487)</f>
        <v xml:space="preserve">KIMBERLY DICKERSON           </v>
      </c>
      <c r="M487" s="4">
        <v>4.83</v>
      </c>
      <c r="N487" s="7">
        <v>0.13</v>
      </c>
      <c r="O487" s="4">
        <v>0.63</v>
      </c>
      <c r="P487" s="4" t="s">
        <v>436</v>
      </c>
    </row>
    <row r="488" spans="1:16" s="4" customFormat="1" x14ac:dyDescent="0.25">
      <c r="A488" s="4" t="s">
        <v>287</v>
      </c>
      <c r="B488" s="4" t="s">
        <v>21</v>
      </c>
      <c r="C488" s="4" t="s">
        <v>288</v>
      </c>
      <c r="D488" s="5">
        <v>44888</v>
      </c>
      <c r="E488" s="5">
        <v>45892</v>
      </c>
      <c r="F488" s="4">
        <f>DATEDIF(D488,E488,"M")</f>
        <v>33</v>
      </c>
      <c r="G488" s="4" t="s">
        <v>429</v>
      </c>
      <c r="H488" s="4" t="s">
        <v>431</v>
      </c>
      <c r="I488" s="4">
        <v>16243811</v>
      </c>
      <c r="J488" s="4" t="s">
        <v>427</v>
      </c>
      <c r="K488" s="4" t="s">
        <v>277</v>
      </c>
      <c r="L488" s="4" t="str">
        <f>CONCATENATE(J488, " ",K488)</f>
        <v xml:space="preserve">KIMBERLY DICKERSON           </v>
      </c>
      <c r="M488" s="4">
        <v>52.55</v>
      </c>
      <c r="N488" s="7">
        <v>0.13</v>
      </c>
      <c r="O488" s="4">
        <v>6.83</v>
      </c>
      <c r="P488" s="4" t="s">
        <v>436</v>
      </c>
    </row>
    <row r="489" spans="1:16" s="4" customFormat="1" x14ac:dyDescent="0.25">
      <c r="A489" s="4" t="s">
        <v>287</v>
      </c>
      <c r="B489" s="4" t="s">
        <v>21</v>
      </c>
      <c r="C489" s="4" t="s">
        <v>288</v>
      </c>
      <c r="D489" s="5">
        <v>44888</v>
      </c>
      <c r="E489" s="5">
        <v>45892</v>
      </c>
      <c r="F489" s="4">
        <f>DATEDIF(D489,E489,"M")</f>
        <v>33</v>
      </c>
      <c r="G489" s="4" t="s">
        <v>429</v>
      </c>
      <c r="H489" s="4" t="s">
        <v>431</v>
      </c>
      <c r="I489" s="4">
        <v>16243811</v>
      </c>
      <c r="J489" s="4" t="s">
        <v>427</v>
      </c>
      <c r="K489" s="4" t="s">
        <v>277</v>
      </c>
      <c r="L489" s="4" t="str">
        <f>CONCATENATE(J489, " ",K489)</f>
        <v xml:space="preserve">KIMBERLY DICKERSON           </v>
      </c>
      <c r="M489" s="4">
        <v>24.37</v>
      </c>
      <c r="N489" s="7">
        <v>0.13</v>
      </c>
      <c r="O489" s="4">
        <v>3.17</v>
      </c>
      <c r="P489" s="4" t="s">
        <v>436</v>
      </c>
    </row>
    <row r="490" spans="1:16" s="4" customFormat="1" x14ac:dyDescent="0.25">
      <c r="A490" s="4" t="s">
        <v>287</v>
      </c>
      <c r="B490" s="4" t="s">
        <v>21</v>
      </c>
      <c r="C490" s="4" t="s">
        <v>288</v>
      </c>
      <c r="D490" s="5">
        <v>44888</v>
      </c>
      <c r="E490" s="5">
        <v>45892</v>
      </c>
      <c r="F490" s="4">
        <f>DATEDIF(D490,E490,"M")</f>
        <v>33</v>
      </c>
      <c r="G490" s="4" t="s">
        <v>429</v>
      </c>
      <c r="H490" s="4" t="s">
        <v>431</v>
      </c>
      <c r="I490" s="4">
        <v>16243811</v>
      </c>
      <c r="J490" s="4" t="s">
        <v>427</v>
      </c>
      <c r="K490" s="4" t="s">
        <v>277</v>
      </c>
      <c r="L490" s="4" t="str">
        <f>CONCATENATE(J490, " ",K490)</f>
        <v xml:space="preserve">KIMBERLY DICKERSON           </v>
      </c>
      <c r="M490" s="4">
        <v>3.08</v>
      </c>
      <c r="N490" s="7">
        <v>0.13</v>
      </c>
      <c r="O490" s="4">
        <v>0.4</v>
      </c>
      <c r="P490" s="4" t="s">
        <v>436</v>
      </c>
    </row>
    <row r="491" spans="1:16" s="4" customFormat="1" x14ac:dyDescent="0.25">
      <c r="A491" s="4" t="s">
        <v>289</v>
      </c>
      <c r="B491" s="4" t="s">
        <v>21</v>
      </c>
      <c r="C491" s="4" t="s">
        <v>290</v>
      </c>
      <c r="D491" s="5">
        <v>44896</v>
      </c>
      <c r="E491" s="5">
        <v>45901</v>
      </c>
      <c r="F491" s="4">
        <f>DATEDIF(D491,E491,"M")</f>
        <v>33</v>
      </c>
      <c r="G491" s="4" t="s">
        <v>429</v>
      </c>
      <c r="H491" s="4" t="s">
        <v>431</v>
      </c>
      <c r="I491" s="4">
        <v>16243811</v>
      </c>
      <c r="J491" s="4" t="s">
        <v>427</v>
      </c>
      <c r="K491" s="4" t="s">
        <v>277</v>
      </c>
      <c r="L491" s="4" t="str">
        <f>CONCATENATE(J491, " ",K491)</f>
        <v xml:space="preserve">KIMBERLY DICKERSON           </v>
      </c>
      <c r="M491" s="4">
        <v>52.55</v>
      </c>
      <c r="N491" s="7">
        <v>0.13</v>
      </c>
      <c r="O491" s="4">
        <v>6.83</v>
      </c>
      <c r="P491" s="4" t="s">
        <v>436</v>
      </c>
    </row>
    <row r="492" spans="1:16" s="4" customFormat="1" x14ac:dyDescent="0.25">
      <c r="A492" s="4" t="s">
        <v>289</v>
      </c>
      <c r="B492" s="4" t="s">
        <v>21</v>
      </c>
      <c r="C492" s="4" t="s">
        <v>290</v>
      </c>
      <c r="D492" s="5">
        <v>44896</v>
      </c>
      <c r="E492" s="5">
        <v>45901</v>
      </c>
      <c r="F492" s="4">
        <f>DATEDIF(D492,E492,"M")</f>
        <v>33</v>
      </c>
      <c r="G492" s="4" t="s">
        <v>429</v>
      </c>
      <c r="H492" s="4" t="s">
        <v>431</v>
      </c>
      <c r="I492" s="4">
        <v>16243811</v>
      </c>
      <c r="J492" s="4" t="s">
        <v>427</v>
      </c>
      <c r="K492" s="4" t="s">
        <v>277</v>
      </c>
      <c r="L492" s="4" t="str">
        <f>CONCATENATE(J492, " ",K492)</f>
        <v xml:space="preserve">KIMBERLY DICKERSON           </v>
      </c>
      <c r="M492" s="4">
        <v>24.37</v>
      </c>
      <c r="N492" s="7">
        <v>0.13</v>
      </c>
      <c r="O492" s="4">
        <v>3.17</v>
      </c>
      <c r="P492" s="4" t="s">
        <v>436</v>
      </c>
    </row>
    <row r="493" spans="1:16" s="4" customFormat="1" x14ac:dyDescent="0.25">
      <c r="A493" s="4" t="s">
        <v>289</v>
      </c>
      <c r="B493" s="4" t="s">
        <v>21</v>
      </c>
      <c r="C493" s="4" t="s">
        <v>290</v>
      </c>
      <c r="D493" s="5">
        <v>44896</v>
      </c>
      <c r="E493" s="5">
        <v>45901</v>
      </c>
      <c r="F493" s="4">
        <f>DATEDIF(D493,E493,"M")</f>
        <v>33</v>
      </c>
      <c r="G493" s="4" t="s">
        <v>429</v>
      </c>
      <c r="H493" s="4" t="s">
        <v>431</v>
      </c>
      <c r="I493" s="4">
        <v>16243811</v>
      </c>
      <c r="J493" s="4" t="s">
        <v>427</v>
      </c>
      <c r="K493" s="4" t="s">
        <v>277</v>
      </c>
      <c r="L493" s="4" t="str">
        <f>CONCATENATE(J493, " ",K493)</f>
        <v xml:space="preserve">KIMBERLY DICKERSON           </v>
      </c>
      <c r="M493" s="4">
        <v>3.08</v>
      </c>
      <c r="N493" s="7">
        <v>0.13</v>
      </c>
      <c r="O493" s="4">
        <v>0.4</v>
      </c>
      <c r="P493" s="4" t="s">
        <v>436</v>
      </c>
    </row>
    <row r="494" spans="1:16" s="4" customFormat="1" x14ac:dyDescent="0.25">
      <c r="A494" s="4" t="s">
        <v>291</v>
      </c>
      <c r="B494" s="4" t="s">
        <v>21</v>
      </c>
      <c r="C494" s="4" t="s">
        <v>292</v>
      </c>
      <c r="D494" s="5">
        <v>44900</v>
      </c>
      <c r="E494" s="5">
        <v>45905</v>
      </c>
      <c r="F494" s="4">
        <f>DATEDIF(D494,E494,"M")</f>
        <v>33</v>
      </c>
      <c r="G494" s="4" t="s">
        <v>429</v>
      </c>
      <c r="H494" s="4" t="s">
        <v>431</v>
      </c>
      <c r="I494" s="4">
        <v>16243811</v>
      </c>
      <c r="J494" s="4" t="s">
        <v>427</v>
      </c>
      <c r="K494" s="4" t="s">
        <v>277</v>
      </c>
      <c r="L494" s="4" t="str">
        <f>CONCATENATE(J494, " ",K494)</f>
        <v xml:space="preserve">KIMBERLY DICKERSON           </v>
      </c>
      <c r="M494" s="4">
        <v>62.36</v>
      </c>
      <c r="N494" s="7">
        <v>0.13</v>
      </c>
      <c r="O494" s="4">
        <v>8.11</v>
      </c>
      <c r="P494" s="4" t="s">
        <v>436</v>
      </c>
    </row>
    <row r="495" spans="1:16" s="4" customFormat="1" x14ac:dyDescent="0.25">
      <c r="A495" s="4" t="s">
        <v>291</v>
      </c>
      <c r="B495" s="4" t="s">
        <v>21</v>
      </c>
      <c r="C495" s="4" t="s">
        <v>292</v>
      </c>
      <c r="D495" s="5">
        <v>44900</v>
      </c>
      <c r="E495" s="5">
        <v>45905</v>
      </c>
      <c r="F495" s="4">
        <f>DATEDIF(D495,E495,"M")</f>
        <v>33</v>
      </c>
      <c r="G495" s="4" t="s">
        <v>429</v>
      </c>
      <c r="H495" s="4" t="s">
        <v>431</v>
      </c>
      <c r="I495" s="4">
        <v>16243811</v>
      </c>
      <c r="J495" s="4" t="s">
        <v>427</v>
      </c>
      <c r="K495" s="4" t="s">
        <v>277</v>
      </c>
      <c r="L495" s="4" t="str">
        <f>CONCATENATE(J495, " ",K495)</f>
        <v xml:space="preserve">KIMBERLY DICKERSON           </v>
      </c>
      <c r="M495" s="4">
        <v>4.83</v>
      </c>
      <c r="N495" s="7">
        <v>0.13</v>
      </c>
      <c r="O495" s="4">
        <v>0.63</v>
      </c>
      <c r="P495" s="4" t="s">
        <v>436</v>
      </c>
    </row>
    <row r="496" spans="1:16" s="4" customFormat="1" x14ac:dyDescent="0.25">
      <c r="A496" s="4" t="s">
        <v>291</v>
      </c>
      <c r="B496" s="4" t="s">
        <v>21</v>
      </c>
      <c r="C496" s="4" t="s">
        <v>292</v>
      </c>
      <c r="D496" s="5">
        <v>44900</v>
      </c>
      <c r="E496" s="5">
        <v>45905</v>
      </c>
      <c r="F496" s="4">
        <f>DATEDIF(D496,E496,"M")</f>
        <v>33</v>
      </c>
      <c r="G496" s="4" t="s">
        <v>429</v>
      </c>
      <c r="H496" s="4" t="s">
        <v>431</v>
      </c>
      <c r="I496" s="4">
        <v>16243811</v>
      </c>
      <c r="J496" s="4" t="s">
        <v>427</v>
      </c>
      <c r="K496" s="4" t="s">
        <v>277</v>
      </c>
      <c r="L496" s="4" t="str">
        <f>CONCATENATE(J496, " ",K496)</f>
        <v xml:space="preserve">KIMBERLY DICKERSON           </v>
      </c>
      <c r="M496" s="4">
        <v>19.57</v>
      </c>
      <c r="N496" s="7">
        <v>0.13</v>
      </c>
      <c r="O496" s="4">
        <v>2.54</v>
      </c>
      <c r="P496" s="4" t="s">
        <v>436</v>
      </c>
    </row>
    <row r="497" spans="1:16" s="4" customFormat="1" x14ac:dyDescent="0.25">
      <c r="A497" s="4" t="s">
        <v>293</v>
      </c>
      <c r="B497" s="4" t="s">
        <v>21</v>
      </c>
      <c r="C497" s="4" t="s">
        <v>294</v>
      </c>
      <c r="D497" s="5">
        <v>44902</v>
      </c>
      <c r="E497" s="5">
        <v>45907</v>
      </c>
      <c r="F497" s="4">
        <f>DATEDIF(D497,E497,"M")</f>
        <v>33</v>
      </c>
      <c r="G497" s="4" t="s">
        <v>429</v>
      </c>
      <c r="H497" s="4" t="s">
        <v>431</v>
      </c>
      <c r="I497" s="4">
        <v>16243811</v>
      </c>
      <c r="J497" s="4" t="s">
        <v>427</v>
      </c>
      <c r="K497" s="4" t="s">
        <v>277</v>
      </c>
      <c r="L497" s="4" t="str">
        <f>CONCATENATE(J497, " ",K497)</f>
        <v xml:space="preserve">KIMBERLY DICKERSON           </v>
      </c>
      <c r="M497" s="4">
        <v>52.55</v>
      </c>
      <c r="N497" s="7">
        <v>0.13</v>
      </c>
      <c r="O497" s="4">
        <v>6.83</v>
      </c>
      <c r="P497" s="4" t="s">
        <v>436</v>
      </c>
    </row>
    <row r="498" spans="1:16" s="4" customFormat="1" x14ac:dyDescent="0.25">
      <c r="A498" s="4" t="s">
        <v>293</v>
      </c>
      <c r="B498" s="4" t="s">
        <v>21</v>
      </c>
      <c r="C498" s="4" t="s">
        <v>294</v>
      </c>
      <c r="D498" s="5">
        <v>44902</v>
      </c>
      <c r="E498" s="5">
        <v>45907</v>
      </c>
      <c r="F498" s="4">
        <f>DATEDIF(D498,E498,"M")</f>
        <v>33</v>
      </c>
      <c r="G498" s="4" t="s">
        <v>429</v>
      </c>
      <c r="H498" s="4" t="s">
        <v>431</v>
      </c>
      <c r="I498" s="4">
        <v>16243811</v>
      </c>
      <c r="J498" s="4" t="s">
        <v>427</v>
      </c>
      <c r="K498" s="4" t="s">
        <v>277</v>
      </c>
      <c r="L498" s="4" t="str">
        <f>CONCATENATE(J498, " ",K498)</f>
        <v xml:space="preserve">KIMBERLY DICKERSON           </v>
      </c>
      <c r="M498" s="4">
        <v>24.37</v>
      </c>
      <c r="N498" s="7">
        <v>0.13</v>
      </c>
      <c r="O498" s="4">
        <v>3.17</v>
      </c>
      <c r="P498" s="4" t="s">
        <v>436</v>
      </c>
    </row>
    <row r="499" spans="1:16" s="4" customFormat="1" x14ac:dyDescent="0.25">
      <c r="A499" s="4" t="s">
        <v>293</v>
      </c>
      <c r="B499" s="4" t="s">
        <v>21</v>
      </c>
      <c r="C499" s="4" t="s">
        <v>294</v>
      </c>
      <c r="D499" s="5">
        <v>44902</v>
      </c>
      <c r="E499" s="5">
        <v>45907</v>
      </c>
      <c r="F499" s="4">
        <f>DATEDIF(D499,E499,"M")</f>
        <v>33</v>
      </c>
      <c r="G499" s="4" t="s">
        <v>429</v>
      </c>
      <c r="H499" s="4" t="s">
        <v>431</v>
      </c>
      <c r="I499" s="4">
        <v>16243811</v>
      </c>
      <c r="J499" s="4" t="s">
        <v>427</v>
      </c>
      <c r="K499" s="4" t="s">
        <v>277</v>
      </c>
      <c r="L499" s="4" t="str">
        <f>CONCATENATE(J499, " ",K499)</f>
        <v xml:space="preserve">KIMBERLY DICKERSON           </v>
      </c>
      <c r="M499" s="4">
        <v>3.08</v>
      </c>
      <c r="N499" s="7">
        <v>0.13</v>
      </c>
      <c r="O499" s="4">
        <v>0.4</v>
      </c>
      <c r="P499" s="4" t="s">
        <v>436</v>
      </c>
    </row>
    <row r="500" spans="1:16" s="4" customFormat="1" x14ac:dyDescent="0.25">
      <c r="A500" s="4" t="s">
        <v>295</v>
      </c>
      <c r="B500" s="4" t="s">
        <v>21</v>
      </c>
      <c r="C500" s="4" t="s">
        <v>296</v>
      </c>
      <c r="D500" s="5">
        <v>44902</v>
      </c>
      <c r="E500" s="5">
        <v>45907</v>
      </c>
      <c r="F500" s="4">
        <f>DATEDIF(D500,E500,"M")</f>
        <v>33</v>
      </c>
      <c r="G500" s="4" t="s">
        <v>429</v>
      </c>
      <c r="H500" s="4" t="s">
        <v>431</v>
      </c>
      <c r="I500" s="4">
        <v>16243811</v>
      </c>
      <c r="J500" s="4" t="s">
        <v>427</v>
      </c>
      <c r="K500" s="4" t="s">
        <v>277</v>
      </c>
      <c r="L500" s="4" t="str">
        <f>CONCATENATE(J500, " ",K500)</f>
        <v xml:space="preserve">KIMBERLY DICKERSON           </v>
      </c>
      <c r="M500" s="4">
        <v>52.55</v>
      </c>
      <c r="N500" s="7">
        <v>0.13</v>
      </c>
      <c r="O500" s="4">
        <v>6.83</v>
      </c>
      <c r="P500" s="4" t="s">
        <v>436</v>
      </c>
    </row>
    <row r="501" spans="1:16" s="4" customFormat="1" x14ac:dyDescent="0.25">
      <c r="A501" s="4" t="s">
        <v>295</v>
      </c>
      <c r="B501" s="4" t="s">
        <v>21</v>
      </c>
      <c r="C501" s="4" t="s">
        <v>296</v>
      </c>
      <c r="D501" s="5">
        <v>44902</v>
      </c>
      <c r="E501" s="5">
        <v>45907</v>
      </c>
      <c r="F501" s="4">
        <f>DATEDIF(D501,E501,"M")</f>
        <v>33</v>
      </c>
      <c r="G501" s="4" t="s">
        <v>429</v>
      </c>
      <c r="H501" s="4" t="s">
        <v>431</v>
      </c>
      <c r="I501" s="4">
        <v>16243811</v>
      </c>
      <c r="J501" s="4" t="s">
        <v>427</v>
      </c>
      <c r="K501" s="4" t="s">
        <v>277</v>
      </c>
      <c r="L501" s="4" t="str">
        <f>CONCATENATE(J501, " ",K501)</f>
        <v xml:space="preserve">KIMBERLY DICKERSON           </v>
      </c>
      <c r="M501" s="4">
        <v>3.08</v>
      </c>
      <c r="N501" s="7">
        <v>0.13</v>
      </c>
      <c r="O501" s="4">
        <v>0.4</v>
      </c>
      <c r="P501" s="4" t="s">
        <v>436</v>
      </c>
    </row>
    <row r="502" spans="1:16" s="4" customFormat="1" x14ac:dyDescent="0.25">
      <c r="A502" s="4" t="s">
        <v>295</v>
      </c>
      <c r="B502" s="4" t="s">
        <v>21</v>
      </c>
      <c r="C502" s="4" t="s">
        <v>296</v>
      </c>
      <c r="D502" s="5">
        <v>44902</v>
      </c>
      <c r="E502" s="5">
        <v>45907</v>
      </c>
      <c r="F502" s="4">
        <f>DATEDIF(D502,E502,"M")</f>
        <v>33</v>
      </c>
      <c r="G502" s="4" t="s">
        <v>429</v>
      </c>
      <c r="H502" s="4" t="s">
        <v>431</v>
      </c>
      <c r="I502" s="4">
        <v>16243811</v>
      </c>
      <c r="J502" s="4" t="s">
        <v>427</v>
      </c>
      <c r="K502" s="4" t="s">
        <v>277</v>
      </c>
      <c r="L502" s="4" t="str">
        <f>CONCATENATE(J502, " ",K502)</f>
        <v xml:space="preserve">KIMBERLY DICKERSON           </v>
      </c>
      <c r="M502" s="4">
        <v>24.37</v>
      </c>
      <c r="N502" s="7">
        <v>0.13</v>
      </c>
      <c r="O502" s="4">
        <v>3.17</v>
      </c>
      <c r="P502" s="4" t="s">
        <v>436</v>
      </c>
    </row>
    <row r="503" spans="1:16" s="4" customFormat="1" x14ac:dyDescent="0.25">
      <c r="A503" s="4" t="s">
        <v>214</v>
      </c>
      <c r="B503" s="4" t="s">
        <v>66</v>
      </c>
      <c r="C503" s="4" t="s">
        <v>215</v>
      </c>
      <c r="D503" s="5">
        <v>44896</v>
      </c>
      <c r="E503" s="5">
        <v>45901</v>
      </c>
      <c r="F503" s="4">
        <f>DATEDIF(D503,E503,"M")</f>
        <v>33</v>
      </c>
      <c r="G503" s="4" t="s">
        <v>429</v>
      </c>
      <c r="H503" s="4" t="s">
        <v>431</v>
      </c>
      <c r="I503" s="4">
        <v>20411454</v>
      </c>
      <c r="J503" s="4" t="s">
        <v>421</v>
      </c>
      <c r="K503" s="4" t="s">
        <v>116</v>
      </c>
      <c r="L503" s="4" t="s">
        <v>438</v>
      </c>
      <c r="M503" s="4">
        <v>0.12</v>
      </c>
      <c r="N503" s="7">
        <v>0.02</v>
      </c>
      <c r="O503" s="4">
        <v>0.12</v>
      </c>
      <c r="P503" s="4" t="s">
        <v>432</v>
      </c>
    </row>
    <row r="504" spans="1:16" s="4" customFormat="1" x14ac:dyDescent="0.25">
      <c r="A504" s="4" t="s">
        <v>214</v>
      </c>
      <c r="B504" s="4" t="s">
        <v>66</v>
      </c>
      <c r="C504" s="4" t="s">
        <v>215</v>
      </c>
      <c r="D504" s="5">
        <v>44896</v>
      </c>
      <c r="E504" s="5">
        <v>45901</v>
      </c>
      <c r="F504" s="4">
        <f>DATEDIF(D504,E504,"M")</f>
        <v>33</v>
      </c>
      <c r="G504" s="4" t="s">
        <v>429</v>
      </c>
      <c r="H504" s="4" t="s">
        <v>431</v>
      </c>
      <c r="I504" s="4">
        <v>20411454</v>
      </c>
      <c r="J504" s="4" t="s">
        <v>421</v>
      </c>
      <c r="K504" s="4" t="s">
        <v>116</v>
      </c>
      <c r="L504" s="4" t="s">
        <v>438</v>
      </c>
      <c r="M504" s="4">
        <v>0.39</v>
      </c>
      <c r="N504" s="7">
        <v>0.02</v>
      </c>
      <c r="O504" s="4">
        <v>0.39</v>
      </c>
      <c r="P504" s="4" t="s">
        <v>432</v>
      </c>
    </row>
    <row r="505" spans="1:16" s="4" customFormat="1" x14ac:dyDescent="0.25">
      <c r="A505" s="4" t="s">
        <v>214</v>
      </c>
      <c r="B505" s="4" t="s">
        <v>66</v>
      </c>
      <c r="C505" s="4" t="s">
        <v>215</v>
      </c>
      <c r="D505" s="5">
        <v>44896</v>
      </c>
      <c r="E505" s="5">
        <v>45901</v>
      </c>
      <c r="F505" s="4">
        <f>DATEDIF(D505,E505,"M")</f>
        <v>33</v>
      </c>
      <c r="G505" s="4" t="s">
        <v>429</v>
      </c>
      <c r="H505" s="4" t="s">
        <v>431</v>
      </c>
      <c r="I505" s="4">
        <v>20411454</v>
      </c>
      <c r="J505" s="4" t="s">
        <v>421</v>
      </c>
      <c r="K505" s="4" t="s">
        <v>116</v>
      </c>
      <c r="L505" s="4" t="s">
        <v>438</v>
      </c>
      <c r="M505" s="4">
        <v>0.06</v>
      </c>
      <c r="N505" s="7">
        <v>0.02</v>
      </c>
      <c r="O505" s="4">
        <v>0.06</v>
      </c>
      <c r="P505" s="4" t="s">
        <v>432</v>
      </c>
    </row>
    <row r="506" spans="1:16" s="4" customFormat="1" x14ac:dyDescent="0.25">
      <c r="A506" s="4" t="s">
        <v>224</v>
      </c>
      <c r="B506" s="4" t="s">
        <v>33</v>
      </c>
      <c r="C506" s="4" t="s">
        <v>225</v>
      </c>
      <c r="D506" s="5">
        <v>44910</v>
      </c>
      <c r="E506" s="5">
        <v>45915</v>
      </c>
      <c r="F506" s="4">
        <f>DATEDIF(D506,E506,"M")</f>
        <v>33</v>
      </c>
      <c r="G506" s="4" t="s">
        <v>429</v>
      </c>
      <c r="H506" s="4" t="s">
        <v>431</v>
      </c>
      <c r="I506" s="4">
        <v>20411454</v>
      </c>
      <c r="J506" s="4" t="s">
        <v>421</v>
      </c>
      <c r="K506" s="4" t="s">
        <v>116</v>
      </c>
      <c r="L506" s="4" t="s">
        <v>438</v>
      </c>
      <c r="M506" s="4">
        <v>0.35</v>
      </c>
      <c r="N506" s="7">
        <v>0.02</v>
      </c>
      <c r="O506" s="4">
        <v>0.35</v>
      </c>
      <c r="P506" s="4" t="s">
        <v>432</v>
      </c>
    </row>
    <row r="507" spans="1:16" s="4" customFormat="1" x14ac:dyDescent="0.25">
      <c r="A507" s="4" t="s">
        <v>224</v>
      </c>
      <c r="B507" s="4" t="s">
        <v>33</v>
      </c>
      <c r="C507" s="4" t="s">
        <v>225</v>
      </c>
      <c r="D507" s="5">
        <v>44910</v>
      </c>
      <c r="E507" s="5">
        <v>45915</v>
      </c>
      <c r="F507" s="4">
        <f>DATEDIF(D507,E507,"M")</f>
        <v>33</v>
      </c>
      <c r="G507" s="4" t="s">
        <v>429</v>
      </c>
      <c r="H507" s="4" t="s">
        <v>431</v>
      </c>
      <c r="I507" s="4">
        <v>20411454</v>
      </c>
      <c r="J507" s="4" t="s">
        <v>421</v>
      </c>
      <c r="K507" s="4" t="s">
        <v>116</v>
      </c>
      <c r="L507" s="4" t="s">
        <v>438</v>
      </c>
      <c r="M507" s="4">
        <v>0.5</v>
      </c>
      <c r="N507" s="7">
        <v>0.02</v>
      </c>
      <c r="O507" s="4">
        <v>0.5</v>
      </c>
      <c r="P507" s="4" t="s">
        <v>432</v>
      </c>
    </row>
    <row r="508" spans="1:16" s="4" customFormat="1" x14ac:dyDescent="0.25">
      <c r="A508" s="4" t="s">
        <v>224</v>
      </c>
      <c r="B508" s="4" t="s">
        <v>33</v>
      </c>
      <c r="C508" s="4" t="s">
        <v>225</v>
      </c>
      <c r="D508" s="5">
        <v>44910</v>
      </c>
      <c r="E508" s="5">
        <v>45915</v>
      </c>
      <c r="F508" s="4">
        <f>DATEDIF(D508,E508,"M")</f>
        <v>33</v>
      </c>
      <c r="G508" s="4" t="s">
        <v>429</v>
      </c>
      <c r="H508" s="4" t="s">
        <v>431</v>
      </c>
      <c r="I508" s="4">
        <v>20411454</v>
      </c>
      <c r="J508" s="4" t="s">
        <v>421</v>
      </c>
      <c r="K508" s="4" t="s">
        <v>116</v>
      </c>
      <c r="L508" s="4" t="s">
        <v>438</v>
      </c>
      <c r="M508" s="4">
        <v>0.34</v>
      </c>
      <c r="N508" s="7">
        <v>0.02</v>
      </c>
      <c r="O508" s="4">
        <v>0.34</v>
      </c>
      <c r="P508" s="4" t="s">
        <v>432</v>
      </c>
    </row>
    <row r="509" spans="1:16" s="4" customFormat="1" x14ac:dyDescent="0.25">
      <c r="A509" s="4" t="s">
        <v>224</v>
      </c>
      <c r="B509" s="4" t="s">
        <v>33</v>
      </c>
      <c r="C509" s="4" t="s">
        <v>225</v>
      </c>
      <c r="D509" s="5">
        <v>44910</v>
      </c>
      <c r="E509" s="5">
        <v>45915</v>
      </c>
      <c r="F509" s="4">
        <f>DATEDIF(D509,E509,"M")</f>
        <v>33</v>
      </c>
      <c r="G509" s="4" t="s">
        <v>429</v>
      </c>
      <c r="H509" s="4" t="s">
        <v>431</v>
      </c>
      <c r="I509" s="4">
        <v>20411454</v>
      </c>
      <c r="J509" s="4" t="s">
        <v>421</v>
      </c>
      <c r="K509" s="4" t="s">
        <v>116</v>
      </c>
      <c r="L509" s="4" t="s">
        <v>438</v>
      </c>
      <c r="M509" s="4">
        <v>7.0000000000000007E-2</v>
      </c>
      <c r="N509" s="7">
        <v>0.02</v>
      </c>
      <c r="O509" s="4">
        <v>7.0000000000000007E-2</v>
      </c>
      <c r="P509" s="4" t="s">
        <v>432</v>
      </c>
    </row>
    <row r="510" spans="1:16" s="4" customFormat="1" x14ac:dyDescent="0.25">
      <c r="A510" s="4" t="s">
        <v>273</v>
      </c>
      <c r="B510" s="4" t="s">
        <v>21</v>
      </c>
      <c r="C510" s="4" t="s">
        <v>274</v>
      </c>
      <c r="D510" s="5">
        <v>44882</v>
      </c>
      <c r="E510" s="5">
        <v>45917</v>
      </c>
      <c r="F510" s="4">
        <f>DATEDIF(D510,E510,"M")</f>
        <v>34</v>
      </c>
      <c r="G510" s="4" t="s">
        <v>429</v>
      </c>
      <c r="H510" s="4" t="s">
        <v>431</v>
      </c>
      <c r="I510" s="4">
        <v>16243811</v>
      </c>
      <c r="J510" s="4" t="s">
        <v>427</v>
      </c>
      <c r="K510" s="4" t="s">
        <v>277</v>
      </c>
      <c r="L510" s="4" t="str">
        <f>CONCATENATE(J510, " ",K510)</f>
        <v xml:space="preserve">KIMBERLY DICKERSON           </v>
      </c>
      <c r="M510" s="4">
        <v>43.44</v>
      </c>
      <c r="N510" s="7">
        <v>0.13</v>
      </c>
      <c r="O510" s="4">
        <v>5.65</v>
      </c>
      <c r="P510" s="4" t="s">
        <v>436</v>
      </c>
    </row>
    <row r="511" spans="1:16" s="4" customFormat="1" x14ac:dyDescent="0.25">
      <c r="A511" s="4" t="s">
        <v>273</v>
      </c>
      <c r="B511" s="4" t="s">
        <v>21</v>
      </c>
      <c r="C511" s="4" t="s">
        <v>274</v>
      </c>
      <c r="D511" s="5">
        <v>44882</v>
      </c>
      <c r="E511" s="5">
        <v>45917</v>
      </c>
      <c r="F511" s="4">
        <f>DATEDIF(D511,E511,"M")</f>
        <v>34</v>
      </c>
      <c r="G511" s="4" t="s">
        <v>429</v>
      </c>
      <c r="H511" s="4" t="s">
        <v>431</v>
      </c>
      <c r="I511" s="4">
        <v>16243811</v>
      </c>
      <c r="J511" s="4" t="s">
        <v>427</v>
      </c>
      <c r="K511" s="4" t="s">
        <v>277</v>
      </c>
      <c r="L511" s="4" t="str">
        <f>CONCATENATE(J511, " ",K511)</f>
        <v xml:space="preserve">KIMBERLY DICKERSON           </v>
      </c>
      <c r="M511" s="4">
        <v>15</v>
      </c>
      <c r="N511" s="7">
        <v>0.13</v>
      </c>
      <c r="O511" s="4">
        <v>1.95</v>
      </c>
      <c r="P511" s="4" t="s">
        <v>436</v>
      </c>
    </row>
    <row r="512" spans="1:16" s="4" customFormat="1" x14ac:dyDescent="0.25">
      <c r="A512" s="4" t="s">
        <v>273</v>
      </c>
      <c r="B512" s="4" t="s">
        <v>21</v>
      </c>
      <c r="C512" s="4" t="s">
        <v>274</v>
      </c>
      <c r="D512" s="5">
        <v>44882</v>
      </c>
      <c r="E512" s="5">
        <v>45917</v>
      </c>
      <c r="F512" s="4">
        <f>DATEDIF(D512,E512,"M")</f>
        <v>34</v>
      </c>
      <c r="G512" s="4" t="s">
        <v>429</v>
      </c>
      <c r="H512" s="4" t="s">
        <v>431</v>
      </c>
      <c r="I512" s="4">
        <v>16243811</v>
      </c>
      <c r="J512" s="4" t="s">
        <v>427</v>
      </c>
      <c r="K512" s="4" t="s">
        <v>277</v>
      </c>
      <c r="L512" s="4" t="str">
        <f>CONCATENATE(J512, " ",K512)</f>
        <v xml:space="preserve">KIMBERLY DICKERSON           </v>
      </c>
      <c r="M512" s="4">
        <v>3.08</v>
      </c>
      <c r="N512" s="7">
        <v>0.13</v>
      </c>
      <c r="O512" s="4">
        <v>0.4</v>
      </c>
      <c r="P512" s="4" t="s">
        <v>436</v>
      </c>
    </row>
    <row r="513" spans="1:16" s="4" customFormat="1" x14ac:dyDescent="0.25">
      <c r="A513" s="4" t="s">
        <v>222</v>
      </c>
      <c r="B513" s="4" t="s">
        <v>33</v>
      </c>
      <c r="C513" s="4" t="s">
        <v>223</v>
      </c>
      <c r="D513" s="5">
        <v>44858</v>
      </c>
      <c r="E513" s="5">
        <v>45924</v>
      </c>
      <c r="F513" s="4">
        <f>DATEDIF(D513,E513,"M")</f>
        <v>35</v>
      </c>
      <c r="G513" s="4" t="s">
        <v>429</v>
      </c>
      <c r="H513" s="4" t="s">
        <v>431</v>
      </c>
      <c r="I513" s="4">
        <v>20411454</v>
      </c>
      <c r="J513" s="4" t="s">
        <v>421</v>
      </c>
      <c r="K513" s="4" t="s">
        <v>116</v>
      </c>
      <c r="L513" s="4" t="s">
        <v>438</v>
      </c>
      <c r="M513" s="4">
        <v>0.53</v>
      </c>
      <c r="N513" s="7">
        <v>0.02</v>
      </c>
      <c r="O513" s="4">
        <v>0.53</v>
      </c>
      <c r="P513" s="4" t="s">
        <v>432</v>
      </c>
    </row>
    <row r="514" spans="1:16" s="4" customFormat="1" x14ac:dyDescent="0.25">
      <c r="A514" s="4" t="s">
        <v>222</v>
      </c>
      <c r="B514" s="4" t="s">
        <v>33</v>
      </c>
      <c r="C514" s="4" t="s">
        <v>223</v>
      </c>
      <c r="D514" s="5">
        <v>44858</v>
      </c>
      <c r="E514" s="5">
        <v>45924</v>
      </c>
      <c r="F514" s="4">
        <f>DATEDIF(D514,E514,"M")</f>
        <v>35</v>
      </c>
      <c r="G514" s="4" t="s">
        <v>429</v>
      </c>
      <c r="H514" s="4" t="s">
        <v>431</v>
      </c>
      <c r="I514" s="4">
        <v>20411454</v>
      </c>
      <c r="J514" s="4" t="s">
        <v>421</v>
      </c>
      <c r="K514" s="4" t="s">
        <v>116</v>
      </c>
      <c r="L514" s="4" t="s">
        <v>438</v>
      </c>
      <c r="M514" s="4">
        <v>0.25</v>
      </c>
      <c r="N514" s="7">
        <v>0.02</v>
      </c>
      <c r="O514" s="4">
        <v>0.25</v>
      </c>
      <c r="P514" s="4" t="s">
        <v>432</v>
      </c>
    </row>
    <row r="515" spans="1:16" s="4" customFormat="1" x14ac:dyDescent="0.25">
      <c r="A515" s="4" t="s">
        <v>222</v>
      </c>
      <c r="B515" s="4" t="s">
        <v>33</v>
      </c>
      <c r="C515" s="4" t="s">
        <v>223</v>
      </c>
      <c r="D515" s="5">
        <v>44858</v>
      </c>
      <c r="E515" s="5">
        <v>45924</v>
      </c>
      <c r="F515" s="4">
        <f>DATEDIF(D515,E515,"M")</f>
        <v>35</v>
      </c>
      <c r="G515" s="4" t="s">
        <v>429</v>
      </c>
      <c r="H515" s="4" t="s">
        <v>431</v>
      </c>
      <c r="I515" s="4">
        <v>20411454</v>
      </c>
      <c r="J515" s="4" t="s">
        <v>421</v>
      </c>
      <c r="K515" s="4" t="s">
        <v>116</v>
      </c>
      <c r="L515" s="4" t="s">
        <v>438</v>
      </c>
      <c r="M515" s="4">
        <v>0.39</v>
      </c>
      <c r="N515" s="7">
        <v>0.02</v>
      </c>
      <c r="O515" s="4">
        <v>0.39</v>
      </c>
      <c r="P515" s="4" t="s">
        <v>432</v>
      </c>
    </row>
    <row r="516" spans="1:16" s="4" customFormat="1" x14ac:dyDescent="0.25">
      <c r="A516" s="4" t="s">
        <v>222</v>
      </c>
      <c r="B516" s="4" t="s">
        <v>33</v>
      </c>
      <c r="C516" s="4" t="s">
        <v>223</v>
      </c>
      <c r="D516" s="5">
        <v>44858</v>
      </c>
      <c r="E516" s="5">
        <v>45924</v>
      </c>
      <c r="F516" s="4">
        <f>DATEDIF(D516,E516,"M")</f>
        <v>35</v>
      </c>
      <c r="G516" s="4" t="s">
        <v>429</v>
      </c>
      <c r="H516" s="4" t="s">
        <v>431</v>
      </c>
      <c r="I516" s="4">
        <v>20411454</v>
      </c>
      <c r="J516" s="4" t="s">
        <v>421</v>
      </c>
      <c r="K516" s="4" t="s">
        <v>116</v>
      </c>
      <c r="L516" s="4" t="s">
        <v>438</v>
      </c>
      <c r="M516" s="4">
        <v>0.06</v>
      </c>
      <c r="N516" s="7">
        <v>0.02</v>
      </c>
      <c r="O516" s="4">
        <v>0.06</v>
      </c>
      <c r="P516" s="4" t="s">
        <v>432</v>
      </c>
    </row>
    <row r="517" spans="1:16" s="4" customFormat="1" x14ac:dyDescent="0.25">
      <c r="A517" s="4" t="s">
        <v>205</v>
      </c>
      <c r="B517" s="4" t="s">
        <v>33</v>
      </c>
      <c r="C517" s="4" t="s">
        <v>206</v>
      </c>
      <c r="D517" s="5">
        <v>44851</v>
      </c>
      <c r="E517" s="5">
        <v>45917</v>
      </c>
      <c r="F517" s="4">
        <f>DATEDIF(D517,E517,"M")</f>
        <v>35</v>
      </c>
      <c r="G517" s="4" t="s">
        <v>429</v>
      </c>
      <c r="H517" s="4" t="s">
        <v>431</v>
      </c>
      <c r="I517" s="4">
        <v>20411454</v>
      </c>
      <c r="J517" s="4" t="s">
        <v>417</v>
      </c>
      <c r="K517" s="4" t="s">
        <v>203</v>
      </c>
      <c r="L517" s="4" t="s">
        <v>438</v>
      </c>
      <c r="M517" s="4">
        <v>0.86</v>
      </c>
      <c r="N517" s="7">
        <v>0.04</v>
      </c>
      <c r="O517" s="4">
        <v>0.86</v>
      </c>
      <c r="P517" s="4" t="s">
        <v>432</v>
      </c>
    </row>
    <row r="518" spans="1:16" s="4" customFormat="1" x14ac:dyDescent="0.25">
      <c r="A518" s="4" t="s">
        <v>205</v>
      </c>
      <c r="B518" s="4" t="s">
        <v>33</v>
      </c>
      <c r="C518" s="4" t="s">
        <v>206</v>
      </c>
      <c r="D518" s="5">
        <v>44851</v>
      </c>
      <c r="E518" s="5">
        <v>45917</v>
      </c>
      <c r="F518" s="4">
        <f>DATEDIF(D518,E518,"M")</f>
        <v>35</v>
      </c>
      <c r="G518" s="4" t="s">
        <v>429</v>
      </c>
      <c r="H518" s="4" t="s">
        <v>431</v>
      </c>
      <c r="I518" s="4">
        <v>20411454</v>
      </c>
      <c r="J518" s="4" t="s">
        <v>417</v>
      </c>
      <c r="K518" s="4" t="s">
        <v>203</v>
      </c>
      <c r="L518" s="4" t="s">
        <v>438</v>
      </c>
      <c r="M518" s="4">
        <v>0.64</v>
      </c>
      <c r="N518" s="7">
        <v>0.04</v>
      </c>
      <c r="O518" s="4">
        <v>0.64</v>
      </c>
      <c r="P518" s="4" t="s">
        <v>432</v>
      </c>
    </row>
    <row r="519" spans="1:16" s="4" customFormat="1" x14ac:dyDescent="0.25">
      <c r="A519" s="4" t="s">
        <v>205</v>
      </c>
      <c r="B519" s="4" t="s">
        <v>33</v>
      </c>
      <c r="C519" s="4" t="s">
        <v>206</v>
      </c>
      <c r="D519" s="5">
        <v>44851</v>
      </c>
      <c r="E519" s="5">
        <v>45917</v>
      </c>
      <c r="F519" s="4">
        <f>DATEDIF(D519,E519,"M")</f>
        <v>35</v>
      </c>
      <c r="G519" s="4" t="s">
        <v>429</v>
      </c>
      <c r="H519" s="4" t="s">
        <v>431</v>
      </c>
      <c r="I519" s="4">
        <v>20411454</v>
      </c>
      <c r="J519" s="4" t="s">
        <v>417</v>
      </c>
      <c r="K519" s="4" t="s">
        <v>203</v>
      </c>
      <c r="L519" s="4" t="s">
        <v>438</v>
      </c>
      <c r="M519" s="4">
        <v>0.03</v>
      </c>
      <c r="N519" s="7">
        <v>0.04</v>
      </c>
      <c r="O519" s="4">
        <v>0.03</v>
      </c>
      <c r="P519" s="4" t="s">
        <v>432</v>
      </c>
    </row>
    <row r="520" spans="1:16" s="4" customFormat="1" x14ac:dyDescent="0.25">
      <c r="A520" s="4" t="s">
        <v>210</v>
      </c>
      <c r="B520" s="4" t="s">
        <v>66</v>
      </c>
      <c r="C520" s="4" t="s">
        <v>211</v>
      </c>
      <c r="D520" s="5">
        <v>44805</v>
      </c>
      <c r="E520" s="5">
        <v>45901</v>
      </c>
      <c r="F520" s="4">
        <f>DATEDIF(D520,E520,"M")</f>
        <v>36</v>
      </c>
      <c r="G520" s="4" t="s">
        <v>429</v>
      </c>
      <c r="H520" s="4" t="s">
        <v>431</v>
      </c>
      <c r="I520" s="4">
        <v>20411454</v>
      </c>
      <c r="J520" s="4" t="s">
        <v>421</v>
      </c>
      <c r="K520" s="4" t="s">
        <v>116</v>
      </c>
      <c r="L520" s="4" t="s">
        <v>438</v>
      </c>
      <c r="M520" s="4">
        <v>0.43</v>
      </c>
      <c r="N520" s="7">
        <v>0.02</v>
      </c>
      <c r="O520" s="4">
        <v>0.43</v>
      </c>
      <c r="P520" s="4" t="s">
        <v>432</v>
      </c>
    </row>
    <row r="521" spans="1:16" s="4" customFormat="1" x14ac:dyDescent="0.25">
      <c r="A521" s="4" t="s">
        <v>210</v>
      </c>
      <c r="B521" s="4" t="s">
        <v>66</v>
      </c>
      <c r="C521" s="4" t="s">
        <v>211</v>
      </c>
      <c r="D521" s="5">
        <v>44805</v>
      </c>
      <c r="E521" s="5">
        <v>45901</v>
      </c>
      <c r="F521" s="4">
        <f>DATEDIF(D521,E521,"M")</f>
        <v>36</v>
      </c>
      <c r="G521" s="4" t="s">
        <v>429</v>
      </c>
      <c r="H521" s="4" t="s">
        <v>431</v>
      </c>
      <c r="I521" s="4">
        <v>20411454</v>
      </c>
      <c r="J521" s="4" t="s">
        <v>421</v>
      </c>
      <c r="K521" s="4" t="s">
        <v>116</v>
      </c>
      <c r="L521" s="4" t="s">
        <v>438</v>
      </c>
      <c r="M521" s="4">
        <v>0.08</v>
      </c>
      <c r="N521" s="7">
        <v>0.02</v>
      </c>
      <c r="O521" s="4">
        <v>0.08</v>
      </c>
      <c r="P521" s="4" t="s">
        <v>432</v>
      </c>
    </row>
    <row r="522" spans="1:16" s="4" customFormat="1" x14ac:dyDescent="0.25">
      <c r="A522" s="4" t="s">
        <v>210</v>
      </c>
      <c r="B522" s="4" t="s">
        <v>66</v>
      </c>
      <c r="C522" s="4" t="s">
        <v>211</v>
      </c>
      <c r="D522" s="5">
        <v>44805</v>
      </c>
      <c r="E522" s="5">
        <v>45901</v>
      </c>
      <c r="F522" s="4">
        <f>DATEDIF(D522,E522,"M")</f>
        <v>36</v>
      </c>
      <c r="G522" s="4" t="s">
        <v>429</v>
      </c>
      <c r="H522" s="4" t="s">
        <v>431</v>
      </c>
      <c r="I522" s="4">
        <v>20411454</v>
      </c>
      <c r="J522" s="4" t="s">
        <v>421</v>
      </c>
      <c r="K522" s="4" t="s">
        <v>116</v>
      </c>
      <c r="L522" s="4" t="s">
        <v>438</v>
      </c>
      <c r="M522" s="4">
        <v>0.38</v>
      </c>
      <c r="N522" s="7">
        <v>0.02</v>
      </c>
      <c r="O522" s="4">
        <v>0.38</v>
      </c>
      <c r="P522" s="4" t="s">
        <v>432</v>
      </c>
    </row>
    <row r="523" spans="1:16" s="4" customFormat="1" x14ac:dyDescent="0.25">
      <c r="A523" s="4" t="s">
        <v>210</v>
      </c>
      <c r="B523" s="4" t="s">
        <v>66</v>
      </c>
      <c r="C523" s="4" t="s">
        <v>211</v>
      </c>
      <c r="D523" s="5">
        <v>44805</v>
      </c>
      <c r="E523" s="5">
        <v>45901</v>
      </c>
      <c r="F523" s="4">
        <f>DATEDIF(D523,E523,"M")</f>
        <v>36</v>
      </c>
      <c r="G523" s="4" t="s">
        <v>429</v>
      </c>
      <c r="H523" s="4" t="s">
        <v>431</v>
      </c>
      <c r="I523" s="4">
        <v>20411454</v>
      </c>
      <c r="J523" s="4" t="s">
        <v>421</v>
      </c>
      <c r="K523" s="4" t="s">
        <v>116</v>
      </c>
      <c r="L523" s="4" t="s">
        <v>438</v>
      </c>
      <c r="M523" s="4">
        <v>0.51</v>
      </c>
      <c r="N523" s="7">
        <v>0.02</v>
      </c>
      <c r="O523" s="4">
        <v>0.51</v>
      </c>
      <c r="P523" s="4" t="s">
        <v>432</v>
      </c>
    </row>
    <row r="524" spans="1:16" s="4" customFormat="1" x14ac:dyDescent="0.25">
      <c r="A524" s="4" t="s">
        <v>218</v>
      </c>
      <c r="B524" s="4" t="s">
        <v>66</v>
      </c>
      <c r="C524" s="4" t="s">
        <v>219</v>
      </c>
      <c r="D524" s="5">
        <v>44818</v>
      </c>
      <c r="E524" s="5">
        <v>45914</v>
      </c>
      <c r="F524" s="4">
        <f>DATEDIF(D524,E524,"M")</f>
        <v>36</v>
      </c>
      <c r="G524" s="4" t="s">
        <v>429</v>
      </c>
      <c r="H524" s="4" t="s">
        <v>431</v>
      </c>
      <c r="I524" s="4">
        <v>20411454</v>
      </c>
      <c r="J524" s="4" t="s">
        <v>421</v>
      </c>
      <c r="K524" s="4" t="s">
        <v>116</v>
      </c>
      <c r="L524" s="4" t="s">
        <v>438</v>
      </c>
      <c r="M524" s="4">
        <v>0.39</v>
      </c>
      <c r="N524" s="7">
        <v>0.02</v>
      </c>
      <c r="O524" s="4">
        <v>0.39</v>
      </c>
      <c r="P524" s="4" t="s">
        <v>432</v>
      </c>
    </row>
    <row r="525" spans="1:16" s="4" customFormat="1" x14ac:dyDescent="0.25">
      <c r="A525" s="4" t="s">
        <v>218</v>
      </c>
      <c r="B525" s="4" t="s">
        <v>66</v>
      </c>
      <c r="C525" s="4" t="s">
        <v>219</v>
      </c>
      <c r="D525" s="5">
        <v>44818</v>
      </c>
      <c r="E525" s="5">
        <v>45914</v>
      </c>
      <c r="F525" s="4">
        <f>DATEDIF(D525,E525,"M")</f>
        <v>36</v>
      </c>
      <c r="G525" s="4" t="s">
        <v>429</v>
      </c>
      <c r="H525" s="4" t="s">
        <v>431</v>
      </c>
      <c r="I525" s="4">
        <v>20411454</v>
      </c>
      <c r="J525" s="4" t="s">
        <v>421</v>
      </c>
      <c r="K525" s="4" t="s">
        <v>116</v>
      </c>
      <c r="L525" s="4" t="s">
        <v>438</v>
      </c>
      <c r="M525" s="4">
        <v>7.0000000000000007E-2</v>
      </c>
      <c r="N525" s="7">
        <v>0.02</v>
      </c>
      <c r="O525" s="4">
        <v>7.0000000000000007E-2</v>
      </c>
      <c r="P525" s="4" t="s">
        <v>432</v>
      </c>
    </row>
    <row r="526" spans="1:16" s="4" customFormat="1" x14ac:dyDescent="0.25">
      <c r="A526" s="4" t="s">
        <v>218</v>
      </c>
      <c r="B526" s="4" t="s">
        <v>66</v>
      </c>
      <c r="C526" s="4" t="s">
        <v>219</v>
      </c>
      <c r="D526" s="5">
        <v>44818</v>
      </c>
      <c r="E526" s="5">
        <v>45914</v>
      </c>
      <c r="F526" s="4">
        <f>DATEDIF(D526,E526,"M")</f>
        <v>36</v>
      </c>
      <c r="G526" s="4" t="s">
        <v>429</v>
      </c>
      <c r="H526" s="4" t="s">
        <v>431</v>
      </c>
      <c r="I526" s="4">
        <v>20411454</v>
      </c>
      <c r="J526" s="4" t="s">
        <v>421</v>
      </c>
      <c r="K526" s="4" t="s">
        <v>116</v>
      </c>
      <c r="L526" s="4" t="s">
        <v>438</v>
      </c>
      <c r="M526" s="4">
        <v>0.12</v>
      </c>
      <c r="N526" s="7">
        <v>0.02</v>
      </c>
      <c r="O526" s="4">
        <v>0.12</v>
      </c>
      <c r="P526" s="4" t="s">
        <v>432</v>
      </c>
    </row>
    <row r="527" spans="1:16" s="4" customFormat="1" x14ac:dyDescent="0.25">
      <c r="A527" s="4" t="s">
        <v>218</v>
      </c>
      <c r="B527" s="4" t="s">
        <v>66</v>
      </c>
      <c r="C527" s="4" t="s">
        <v>219</v>
      </c>
      <c r="D527" s="5">
        <v>44818</v>
      </c>
      <c r="E527" s="5">
        <v>45914</v>
      </c>
      <c r="F527" s="4">
        <f>DATEDIF(D527,E527,"M")</f>
        <v>36</v>
      </c>
      <c r="G527" s="4" t="s">
        <v>429</v>
      </c>
      <c r="H527" s="4" t="s">
        <v>431</v>
      </c>
      <c r="I527" s="4">
        <v>20411454</v>
      </c>
      <c r="J527" s="4" t="s">
        <v>421</v>
      </c>
      <c r="K527" s="4" t="s">
        <v>116</v>
      </c>
      <c r="L527" s="4" t="s">
        <v>438</v>
      </c>
      <c r="M527" s="4">
        <v>0.5</v>
      </c>
      <c r="N527" s="7">
        <v>0.02</v>
      </c>
      <c r="O527" s="4">
        <v>0.5</v>
      </c>
      <c r="P527" s="4" t="s">
        <v>432</v>
      </c>
    </row>
    <row r="528" spans="1:16" s="4" customFormat="1" x14ac:dyDescent="0.25">
      <c r="A528" s="4" t="s">
        <v>218</v>
      </c>
      <c r="B528" s="4" t="s">
        <v>66</v>
      </c>
      <c r="C528" s="4" t="s">
        <v>219</v>
      </c>
      <c r="D528" s="5">
        <v>44818</v>
      </c>
      <c r="E528" s="5">
        <v>45914</v>
      </c>
      <c r="F528" s="4">
        <f>DATEDIF(D528,E528,"M")</f>
        <v>36</v>
      </c>
      <c r="G528" s="4" t="s">
        <v>429</v>
      </c>
      <c r="H528" s="4" t="s">
        <v>431</v>
      </c>
      <c r="I528" s="4">
        <v>20411454</v>
      </c>
      <c r="J528" s="4" t="s">
        <v>421</v>
      </c>
      <c r="K528" s="4" t="s">
        <v>116</v>
      </c>
      <c r="L528" s="4" t="s">
        <v>438</v>
      </c>
      <c r="M528" s="4">
        <v>0.34</v>
      </c>
      <c r="N528" s="7">
        <v>0.02</v>
      </c>
      <c r="O528" s="4">
        <v>0.34</v>
      </c>
      <c r="P528" s="4" t="s">
        <v>432</v>
      </c>
    </row>
    <row r="529" spans="1:16" s="4" customFormat="1" x14ac:dyDescent="0.25">
      <c r="A529" s="4" t="s">
        <v>220</v>
      </c>
      <c r="B529" s="4" t="s">
        <v>33</v>
      </c>
      <c r="C529" s="4" t="s">
        <v>221</v>
      </c>
      <c r="D529" s="5">
        <v>44824</v>
      </c>
      <c r="E529" s="5">
        <v>45920</v>
      </c>
      <c r="F529" s="4">
        <f>DATEDIF(D529,E529,"M")</f>
        <v>36</v>
      </c>
      <c r="G529" s="4" t="s">
        <v>429</v>
      </c>
      <c r="H529" s="4" t="s">
        <v>431</v>
      </c>
      <c r="I529" s="4">
        <v>20411454</v>
      </c>
      <c r="J529" s="4" t="s">
        <v>421</v>
      </c>
      <c r="K529" s="4" t="s">
        <v>116</v>
      </c>
      <c r="L529" s="4" t="s">
        <v>438</v>
      </c>
      <c r="M529" s="4">
        <v>0.2</v>
      </c>
      <c r="N529" s="7">
        <v>0.02</v>
      </c>
      <c r="O529" s="4">
        <v>0.2</v>
      </c>
      <c r="P529" s="4" t="s">
        <v>432</v>
      </c>
    </row>
    <row r="530" spans="1:16" s="4" customFormat="1" x14ac:dyDescent="0.25">
      <c r="A530" s="4" t="s">
        <v>220</v>
      </c>
      <c r="B530" s="4" t="s">
        <v>33</v>
      </c>
      <c r="C530" s="4" t="s">
        <v>221</v>
      </c>
      <c r="D530" s="5">
        <v>44824</v>
      </c>
      <c r="E530" s="5">
        <v>45920</v>
      </c>
      <c r="F530" s="4">
        <f>DATEDIF(D530,E530,"M")</f>
        <v>36</v>
      </c>
      <c r="G530" s="4" t="s">
        <v>429</v>
      </c>
      <c r="H530" s="4" t="s">
        <v>431</v>
      </c>
      <c r="I530" s="4">
        <v>20411454</v>
      </c>
      <c r="J530" s="4" t="s">
        <v>421</v>
      </c>
      <c r="K530" s="4" t="s">
        <v>116</v>
      </c>
      <c r="L530" s="4" t="s">
        <v>438</v>
      </c>
      <c r="M530" s="4">
        <v>0.41</v>
      </c>
      <c r="N530" s="7">
        <v>0.02</v>
      </c>
      <c r="O530" s="4">
        <v>0.41</v>
      </c>
      <c r="P530" s="4" t="s">
        <v>432</v>
      </c>
    </row>
    <row r="531" spans="1:16" s="4" customFormat="1" x14ac:dyDescent="0.25">
      <c r="A531" s="4" t="s">
        <v>220</v>
      </c>
      <c r="B531" s="4" t="s">
        <v>33</v>
      </c>
      <c r="C531" s="4" t="s">
        <v>221</v>
      </c>
      <c r="D531" s="5">
        <v>44824</v>
      </c>
      <c r="E531" s="5">
        <v>45920</v>
      </c>
      <c r="F531" s="4">
        <f>DATEDIF(D531,E531,"M")</f>
        <v>36</v>
      </c>
      <c r="G531" s="4" t="s">
        <v>429</v>
      </c>
      <c r="H531" s="4" t="s">
        <v>431</v>
      </c>
      <c r="I531" s="4">
        <v>20411454</v>
      </c>
      <c r="J531" s="4" t="s">
        <v>421</v>
      </c>
      <c r="K531" s="4" t="s">
        <v>116</v>
      </c>
      <c r="L531" s="4" t="s">
        <v>438</v>
      </c>
      <c r="M531" s="4">
        <v>0.06</v>
      </c>
      <c r="N531" s="7">
        <v>0.02</v>
      </c>
      <c r="O531" s="4">
        <v>0.06</v>
      </c>
      <c r="P531" s="4" t="s">
        <v>432</v>
      </c>
    </row>
    <row r="532" spans="1:16" s="4" customFormat="1" x14ac:dyDescent="0.25">
      <c r="A532" s="4" t="s">
        <v>220</v>
      </c>
      <c r="B532" s="4" t="s">
        <v>33</v>
      </c>
      <c r="C532" s="4" t="s">
        <v>221</v>
      </c>
      <c r="D532" s="5">
        <v>44824</v>
      </c>
      <c r="E532" s="5">
        <v>45920</v>
      </c>
      <c r="F532" s="4">
        <f>DATEDIF(D532,E532,"M")</f>
        <v>36</v>
      </c>
      <c r="G532" s="4" t="s">
        <v>429</v>
      </c>
      <c r="H532" s="4" t="s">
        <v>431</v>
      </c>
      <c r="I532" s="4">
        <v>20411454</v>
      </c>
      <c r="J532" s="4" t="s">
        <v>421</v>
      </c>
      <c r="K532" s="4" t="s">
        <v>116</v>
      </c>
      <c r="L532" s="4" t="s">
        <v>438</v>
      </c>
      <c r="M532" s="4">
        <v>0.12</v>
      </c>
      <c r="N532" s="7">
        <v>0.02</v>
      </c>
      <c r="O532" s="4">
        <v>0.12</v>
      </c>
      <c r="P532" s="4" t="s">
        <v>432</v>
      </c>
    </row>
    <row r="533" spans="1:16" s="4" customFormat="1" x14ac:dyDescent="0.25">
      <c r="A533" s="4" t="s">
        <v>220</v>
      </c>
      <c r="B533" s="4" t="s">
        <v>33</v>
      </c>
      <c r="C533" s="4" t="s">
        <v>221</v>
      </c>
      <c r="D533" s="5">
        <v>44824</v>
      </c>
      <c r="E533" s="5">
        <v>45920</v>
      </c>
      <c r="F533" s="4">
        <f>DATEDIF(D533,E533,"M")</f>
        <v>36</v>
      </c>
      <c r="G533" s="4" t="s">
        <v>429</v>
      </c>
      <c r="H533" s="4" t="s">
        <v>431</v>
      </c>
      <c r="I533" s="4">
        <v>20411454</v>
      </c>
      <c r="J533" s="4" t="s">
        <v>421</v>
      </c>
      <c r="K533" s="4" t="s">
        <v>116</v>
      </c>
      <c r="L533" s="4" t="s">
        <v>438</v>
      </c>
      <c r="M533" s="4">
        <v>0.26</v>
      </c>
      <c r="N533" s="7">
        <v>0.02</v>
      </c>
      <c r="O533" s="4">
        <v>0.26</v>
      </c>
      <c r="P533" s="4" t="s">
        <v>432</v>
      </c>
    </row>
    <row r="534" spans="1:16" s="4" customFormat="1" x14ac:dyDescent="0.25">
      <c r="A534" s="4" t="s">
        <v>198</v>
      </c>
      <c r="B534" s="4" t="s">
        <v>199</v>
      </c>
      <c r="C534" s="4" t="s">
        <v>200</v>
      </c>
      <c r="D534" s="5">
        <v>44872</v>
      </c>
      <c r="E534" s="5">
        <v>45968</v>
      </c>
      <c r="F534" s="4">
        <f>DATEDIF(D534,E534,"M")</f>
        <v>36</v>
      </c>
      <c r="G534" s="4" t="s">
        <v>429</v>
      </c>
      <c r="H534" s="4" t="s">
        <v>431</v>
      </c>
      <c r="I534" s="4">
        <v>20411454</v>
      </c>
      <c r="J534" s="4" t="s">
        <v>417</v>
      </c>
      <c r="K534" s="4" t="s">
        <v>203</v>
      </c>
      <c r="L534" s="4" t="s">
        <v>438</v>
      </c>
      <c r="M534" s="4">
        <v>4.12</v>
      </c>
      <c r="N534" s="7">
        <v>0.04</v>
      </c>
      <c r="O534" s="4">
        <v>4.12</v>
      </c>
      <c r="P534" s="4" t="s">
        <v>432</v>
      </c>
    </row>
    <row r="535" spans="1:16" s="4" customFormat="1" x14ac:dyDescent="0.25">
      <c r="A535" s="4" t="s">
        <v>207</v>
      </c>
      <c r="B535" s="4" t="s">
        <v>33</v>
      </c>
      <c r="C535" s="4" t="s">
        <v>208</v>
      </c>
      <c r="D535" s="5">
        <v>44734</v>
      </c>
      <c r="E535" s="5">
        <v>45891</v>
      </c>
      <c r="F535" s="4">
        <f>DATEDIF(D535,E535,"M")</f>
        <v>38</v>
      </c>
      <c r="G535" s="4" t="s">
        <v>429</v>
      </c>
      <c r="H535" s="4" t="s">
        <v>431</v>
      </c>
      <c r="I535" s="4">
        <v>20411454</v>
      </c>
      <c r="J535" s="4" t="s">
        <v>421</v>
      </c>
      <c r="K535" s="4" t="s">
        <v>116</v>
      </c>
      <c r="L535" s="4" t="s">
        <v>438</v>
      </c>
      <c r="M535" s="4">
        <v>0.53</v>
      </c>
      <c r="N535" s="7">
        <v>0.01</v>
      </c>
      <c r="O535" s="4">
        <v>0.53</v>
      </c>
      <c r="P535" s="4" t="s">
        <v>432</v>
      </c>
    </row>
    <row r="536" spans="1:16" s="4" customFormat="1" x14ac:dyDescent="0.25">
      <c r="A536" s="4" t="s">
        <v>256</v>
      </c>
      <c r="B536" s="4" t="s">
        <v>33</v>
      </c>
      <c r="C536" s="4" t="s">
        <v>257</v>
      </c>
      <c r="D536" s="5">
        <v>44593</v>
      </c>
      <c r="E536" s="5">
        <v>45901</v>
      </c>
      <c r="F536" s="4">
        <f>DATEDIF(D536,E536,"M")</f>
        <v>43</v>
      </c>
      <c r="G536" s="4" t="s">
        <v>429</v>
      </c>
      <c r="H536" s="4" t="s">
        <v>431</v>
      </c>
      <c r="I536" s="4">
        <v>15278437</v>
      </c>
      <c r="J536" s="4" t="s">
        <v>426</v>
      </c>
      <c r="K536" s="4" t="s">
        <v>236</v>
      </c>
      <c r="L536" s="4" t="str">
        <f>CONCATENATE(J536, " ",K536)</f>
        <v xml:space="preserve">JASON HOFFMANN            </v>
      </c>
      <c r="M536" s="4">
        <v>20.62</v>
      </c>
      <c r="N536" s="7">
        <v>0.06</v>
      </c>
      <c r="O536" s="4">
        <v>1.24</v>
      </c>
      <c r="P536" s="4" t="s">
        <v>434</v>
      </c>
    </row>
    <row r="537" spans="1:16" s="4" customFormat="1" x14ac:dyDescent="0.25">
      <c r="A537" s="4" t="s">
        <v>256</v>
      </c>
      <c r="B537" s="4" t="s">
        <v>33</v>
      </c>
      <c r="C537" s="4" t="s">
        <v>257</v>
      </c>
      <c r="D537" s="5">
        <v>44593</v>
      </c>
      <c r="E537" s="5">
        <v>45901</v>
      </c>
      <c r="F537" s="4">
        <f>DATEDIF(D537,E537,"M")</f>
        <v>43</v>
      </c>
      <c r="G537" s="4" t="s">
        <v>429</v>
      </c>
      <c r="H537" s="4" t="s">
        <v>431</v>
      </c>
      <c r="I537" s="4">
        <v>15278437</v>
      </c>
      <c r="J537" s="4" t="s">
        <v>426</v>
      </c>
      <c r="K537" s="4" t="s">
        <v>236</v>
      </c>
      <c r="L537" s="4" t="str">
        <f>CONCATENATE(J537, " ",K537)</f>
        <v xml:space="preserve">JASON HOFFMANN            </v>
      </c>
      <c r="M537" s="4">
        <v>3.62</v>
      </c>
      <c r="N537" s="7">
        <v>0.06</v>
      </c>
      <c r="O537" s="4">
        <v>0.22</v>
      </c>
      <c r="P537" s="4" t="s">
        <v>434</v>
      </c>
    </row>
    <row r="538" spans="1:16" s="4" customFormat="1" x14ac:dyDescent="0.25">
      <c r="A538" s="4" t="s">
        <v>254</v>
      </c>
      <c r="B538" s="4" t="s">
        <v>33</v>
      </c>
      <c r="C538" s="4" t="s">
        <v>255</v>
      </c>
      <c r="D538" s="5">
        <v>44593</v>
      </c>
      <c r="E538" s="5">
        <v>45901</v>
      </c>
      <c r="F538" s="4">
        <f>DATEDIF(D538,E538,"M")</f>
        <v>43</v>
      </c>
      <c r="G538" s="4" t="s">
        <v>429</v>
      </c>
      <c r="H538" s="4" t="s">
        <v>431</v>
      </c>
      <c r="I538" s="4">
        <v>15278437</v>
      </c>
      <c r="J538" s="4" t="s">
        <v>426</v>
      </c>
      <c r="K538" s="4" t="s">
        <v>236</v>
      </c>
      <c r="L538" s="4" t="str">
        <f>CONCATENATE(J538, " ",K538)</f>
        <v xml:space="preserve">JASON HOFFMANN            </v>
      </c>
      <c r="M538" s="4">
        <v>21.06</v>
      </c>
      <c r="N538" s="7">
        <v>0.08</v>
      </c>
      <c r="O538" s="4">
        <v>1.68</v>
      </c>
      <c r="P538" s="4" t="s">
        <v>435</v>
      </c>
    </row>
    <row r="539" spans="1:16" s="4" customFormat="1" x14ac:dyDescent="0.25">
      <c r="A539" s="4" t="s">
        <v>254</v>
      </c>
      <c r="B539" s="4" t="s">
        <v>33</v>
      </c>
      <c r="C539" s="4" t="s">
        <v>255</v>
      </c>
      <c r="D539" s="5">
        <v>44593</v>
      </c>
      <c r="E539" s="5">
        <v>45901</v>
      </c>
      <c r="F539" s="4">
        <f>DATEDIF(D539,E539,"M")</f>
        <v>43</v>
      </c>
      <c r="G539" s="4" t="s">
        <v>429</v>
      </c>
      <c r="H539" s="4" t="s">
        <v>431</v>
      </c>
      <c r="I539" s="4">
        <v>15278437</v>
      </c>
      <c r="J539" s="4" t="s">
        <v>426</v>
      </c>
      <c r="K539" s="4" t="s">
        <v>236</v>
      </c>
      <c r="L539" s="4" t="str">
        <f>CONCATENATE(J539, " ",K539)</f>
        <v xml:space="preserve">JASON HOFFMANN            </v>
      </c>
      <c r="M539" s="4">
        <v>22.41</v>
      </c>
      <c r="N539" s="7">
        <v>0.08</v>
      </c>
      <c r="O539" s="4">
        <v>1.79</v>
      </c>
      <c r="P539" s="4" t="s">
        <v>435</v>
      </c>
    </row>
    <row r="540" spans="1:16" s="4" customFormat="1" x14ac:dyDescent="0.25">
      <c r="A540" s="4" t="s">
        <v>254</v>
      </c>
      <c r="B540" s="4" t="s">
        <v>33</v>
      </c>
      <c r="C540" s="4" t="s">
        <v>255</v>
      </c>
      <c r="D540" s="5">
        <v>44593</v>
      </c>
      <c r="E540" s="5">
        <v>45901</v>
      </c>
      <c r="F540" s="4">
        <f>DATEDIF(D540,E540,"M")</f>
        <v>43</v>
      </c>
      <c r="G540" s="4" t="s">
        <v>429</v>
      </c>
      <c r="H540" s="4" t="s">
        <v>431</v>
      </c>
      <c r="I540" s="4">
        <v>15278437</v>
      </c>
      <c r="J540" s="4" t="s">
        <v>426</v>
      </c>
      <c r="K540" s="4" t="s">
        <v>236</v>
      </c>
      <c r="L540" s="4" t="str">
        <f>CONCATENATE(J540, " ",K540)</f>
        <v xml:space="preserve">JASON HOFFMANN            </v>
      </c>
      <c r="M540" s="4">
        <v>12.94</v>
      </c>
      <c r="N540" s="7">
        <v>0.08</v>
      </c>
      <c r="O540" s="4">
        <v>1.04</v>
      </c>
      <c r="P540" s="4" t="s">
        <v>435</v>
      </c>
    </row>
    <row r="541" spans="1:16" s="4" customFormat="1" x14ac:dyDescent="0.25">
      <c r="A541" s="4" t="s">
        <v>254</v>
      </c>
      <c r="B541" s="4" t="s">
        <v>33</v>
      </c>
      <c r="C541" s="4" t="s">
        <v>255</v>
      </c>
      <c r="D541" s="5">
        <v>44593</v>
      </c>
      <c r="E541" s="5">
        <v>45901</v>
      </c>
      <c r="F541" s="4">
        <f>DATEDIF(D541,E541,"M")</f>
        <v>43</v>
      </c>
      <c r="G541" s="4" t="s">
        <v>429</v>
      </c>
      <c r="H541" s="4" t="s">
        <v>431</v>
      </c>
      <c r="I541" s="4">
        <v>15278437</v>
      </c>
      <c r="J541" s="4" t="s">
        <v>426</v>
      </c>
      <c r="K541" s="4" t="s">
        <v>236</v>
      </c>
      <c r="L541" s="4" t="str">
        <f>CONCATENATE(J541, " ",K541)</f>
        <v xml:space="preserve">JASON HOFFMANN            </v>
      </c>
      <c r="M541" s="4">
        <v>2.75</v>
      </c>
      <c r="N541" s="7">
        <v>0.08</v>
      </c>
      <c r="O541" s="4">
        <v>0.22</v>
      </c>
      <c r="P541" s="4" t="s">
        <v>435</v>
      </c>
    </row>
    <row r="542" spans="1:16" s="4" customFormat="1" x14ac:dyDescent="0.25">
      <c r="A542" s="4" t="s">
        <v>237</v>
      </c>
      <c r="B542" s="4" t="s">
        <v>33</v>
      </c>
      <c r="C542" s="4" t="s">
        <v>238</v>
      </c>
      <c r="D542" s="5">
        <v>44562</v>
      </c>
      <c r="E542" s="5">
        <v>45901</v>
      </c>
      <c r="F542" s="4">
        <f>DATEDIF(D542,E542,"M")</f>
        <v>44</v>
      </c>
      <c r="G542" s="4" t="s">
        <v>429</v>
      </c>
      <c r="H542" s="4" t="s">
        <v>431</v>
      </c>
      <c r="I542" s="4">
        <v>15278437</v>
      </c>
      <c r="J542" s="4" t="s">
        <v>426</v>
      </c>
      <c r="K542" s="4" t="s">
        <v>236</v>
      </c>
      <c r="L542" s="4" t="str">
        <f>CONCATENATE(J542, " ",K542)</f>
        <v xml:space="preserve">JASON HOFFMANN            </v>
      </c>
      <c r="M542" s="4">
        <v>9.3699999999999992</v>
      </c>
      <c r="N542" s="7">
        <v>0.08</v>
      </c>
      <c r="O542" s="4">
        <v>0.75</v>
      </c>
      <c r="P542" s="4" t="s">
        <v>435</v>
      </c>
    </row>
    <row r="543" spans="1:16" s="4" customFormat="1" x14ac:dyDescent="0.25">
      <c r="A543" s="4" t="s">
        <v>237</v>
      </c>
      <c r="B543" s="4" t="s">
        <v>33</v>
      </c>
      <c r="C543" s="4" t="s">
        <v>238</v>
      </c>
      <c r="D543" s="5">
        <v>44562</v>
      </c>
      <c r="E543" s="5">
        <v>45901</v>
      </c>
      <c r="F543" s="4">
        <f>DATEDIF(D543,E543,"M")</f>
        <v>44</v>
      </c>
      <c r="G543" s="4" t="s">
        <v>429</v>
      </c>
      <c r="H543" s="4" t="s">
        <v>431</v>
      </c>
      <c r="I543" s="4">
        <v>15278437</v>
      </c>
      <c r="J543" s="4" t="s">
        <v>426</v>
      </c>
      <c r="K543" s="4" t="s">
        <v>236</v>
      </c>
      <c r="L543" s="4" t="str">
        <f>CONCATENATE(J543, " ",K543)</f>
        <v xml:space="preserve">JASON HOFFMANN            </v>
      </c>
      <c r="M543" s="4">
        <v>26.84</v>
      </c>
      <c r="N543" s="7">
        <v>0.08</v>
      </c>
      <c r="O543" s="4">
        <v>2.15</v>
      </c>
      <c r="P543" s="4" t="s">
        <v>435</v>
      </c>
    </row>
    <row r="544" spans="1:16" s="4" customFormat="1" x14ac:dyDescent="0.25">
      <c r="A544" s="4" t="s">
        <v>237</v>
      </c>
      <c r="B544" s="4" t="s">
        <v>33</v>
      </c>
      <c r="C544" s="4" t="s">
        <v>238</v>
      </c>
      <c r="D544" s="5">
        <v>44562</v>
      </c>
      <c r="E544" s="5">
        <v>45901</v>
      </c>
      <c r="F544" s="4">
        <f>DATEDIF(D544,E544,"M")</f>
        <v>44</v>
      </c>
      <c r="G544" s="4" t="s">
        <v>429</v>
      </c>
      <c r="H544" s="4" t="s">
        <v>431</v>
      </c>
      <c r="I544" s="4">
        <v>15278437</v>
      </c>
      <c r="J544" s="4" t="s">
        <v>426</v>
      </c>
      <c r="K544" s="4" t="s">
        <v>236</v>
      </c>
      <c r="L544" s="4" t="str">
        <f>CONCATENATE(J544, " ",K544)</f>
        <v xml:space="preserve">JASON HOFFMANN            </v>
      </c>
      <c r="M544" s="4">
        <v>2.92</v>
      </c>
      <c r="N544" s="7">
        <v>0.08</v>
      </c>
      <c r="O544" s="4">
        <v>0.23</v>
      </c>
      <c r="P544" s="4" t="s">
        <v>435</v>
      </c>
    </row>
    <row r="545" spans="1:16" s="4" customFormat="1" x14ac:dyDescent="0.25">
      <c r="A545" s="4" t="s">
        <v>237</v>
      </c>
      <c r="B545" s="4" t="s">
        <v>33</v>
      </c>
      <c r="C545" s="4" t="s">
        <v>238</v>
      </c>
      <c r="D545" s="5">
        <v>44562</v>
      </c>
      <c r="E545" s="5">
        <v>45901</v>
      </c>
      <c r="F545" s="4">
        <f>DATEDIF(D545,E545,"M")</f>
        <v>44</v>
      </c>
      <c r="G545" s="4" t="s">
        <v>429</v>
      </c>
      <c r="H545" s="4" t="s">
        <v>431</v>
      </c>
      <c r="I545" s="4">
        <v>15278437</v>
      </c>
      <c r="J545" s="4" t="s">
        <v>426</v>
      </c>
      <c r="K545" s="4" t="s">
        <v>236</v>
      </c>
      <c r="L545" s="4" t="str">
        <f>CONCATENATE(J545, " ",K545)</f>
        <v xml:space="preserve">JASON HOFFMANN            </v>
      </c>
      <c r="M545" s="4">
        <v>12.94</v>
      </c>
      <c r="N545" s="7">
        <v>0.08</v>
      </c>
      <c r="O545" s="4">
        <v>1.04</v>
      </c>
      <c r="P545" s="4" t="s">
        <v>435</v>
      </c>
    </row>
    <row r="546" spans="1:16" s="4" customFormat="1" x14ac:dyDescent="0.25">
      <c r="A546" s="4" t="s">
        <v>243</v>
      </c>
      <c r="B546" s="4" t="s">
        <v>21</v>
      </c>
      <c r="C546" s="4" t="s">
        <v>244</v>
      </c>
      <c r="D546" s="5">
        <v>44562</v>
      </c>
      <c r="E546" s="5">
        <v>45901</v>
      </c>
      <c r="F546" s="4">
        <f>DATEDIF(D546,E546,"M")</f>
        <v>44</v>
      </c>
      <c r="G546" s="4" t="s">
        <v>429</v>
      </c>
      <c r="H546" s="4" t="s">
        <v>431</v>
      </c>
      <c r="I546" s="4">
        <v>15278437</v>
      </c>
      <c r="J546" s="4" t="s">
        <v>426</v>
      </c>
      <c r="K546" s="4" t="s">
        <v>236</v>
      </c>
      <c r="L546" s="4" t="str">
        <f>CONCATENATE(J546, " ",K546)</f>
        <v xml:space="preserve">JASON HOFFMANN            </v>
      </c>
      <c r="M546" s="4">
        <v>22.15</v>
      </c>
      <c r="N546" s="7">
        <v>0.08</v>
      </c>
      <c r="O546" s="4">
        <v>1.77</v>
      </c>
      <c r="P546" s="4" t="s">
        <v>435</v>
      </c>
    </row>
    <row r="547" spans="1:16" s="4" customFormat="1" x14ac:dyDescent="0.25">
      <c r="A547" s="4" t="s">
        <v>243</v>
      </c>
      <c r="B547" s="4" t="s">
        <v>21</v>
      </c>
      <c r="C547" s="4" t="s">
        <v>244</v>
      </c>
      <c r="D547" s="5">
        <v>44562</v>
      </c>
      <c r="E547" s="5">
        <v>45901</v>
      </c>
      <c r="F547" s="4">
        <f>DATEDIF(D547,E547,"M")</f>
        <v>44</v>
      </c>
      <c r="G547" s="4" t="s">
        <v>429</v>
      </c>
      <c r="H547" s="4" t="s">
        <v>431</v>
      </c>
      <c r="I547" s="4">
        <v>15278437</v>
      </c>
      <c r="J547" s="4" t="s">
        <v>426</v>
      </c>
      <c r="K547" s="4" t="s">
        <v>236</v>
      </c>
      <c r="L547" s="4" t="str">
        <f>CONCATENATE(J547, " ",K547)</f>
        <v xml:space="preserve">JASON HOFFMANN            </v>
      </c>
      <c r="M547" s="4">
        <v>2.99</v>
      </c>
      <c r="N547" s="7">
        <v>0.08</v>
      </c>
      <c r="O547" s="4">
        <v>0.24</v>
      </c>
      <c r="P547" s="4" t="s">
        <v>435</v>
      </c>
    </row>
    <row r="548" spans="1:16" s="4" customFormat="1" x14ac:dyDescent="0.25">
      <c r="A548" s="4" t="s">
        <v>243</v>
      </c>
      <c r="B548" s="4" t="s">
        <v>21</v>
      </c>
      <c r="C548" s="4" t="s">
        <v>244</v>
      </c>
      <c r="D548" s="5">
        <v>44562</v>
      </c>
      <c r="E548" s="5">
        <v>45901</v>
      </c>
      <c r="F548" s="4">
        <f>DATEDIF(D548,E548,"M")</f>
        <v>44</v>
      </c>
      <c r="G548" s="4" t="s">
        <v>429</v>
      </c>
      <c r="H548" s="4" t="s">
        <v>431</v>
      </c>
      <c r="I548" s="4">
        <v>15278437</v>
      </c>
      <c r="J548" s="4" t="s">
        <v>426</v>
      </c>
      <c r="K548" s="4" t="s">
        <v>236</v>
      </c>
      <c r="L548" s="4" t="str">
        <f>CONCATENATE(J548, " ",K548)</f>
        <v xml:space="preserve">JASON HOFFMANN            </v>
      </c>
      <c r="M548" s="4">
        <v>11.67</v>
      </c>
      <c r="N548" s="7">
        <v>0.08</v>
      </c>
      <c r="O548" s="4">
        <v>0.93</v>
      </c>
      <c r="P548" s="4" t="s">
        <v>435</v>
      </c>
    </row>
    <row r="549" spans="1:16" s="4" customFormat="1" x14ac:dyDescent="0.25">
      <c r="A549" s="4" t="s">
        <v>243</v>
      </c>
      <c r="B549" s="4" t="s">
        <v>21</v>
      </c>
      <c r="C549" s="4" t="s">
        <v>244</v>
      </c>
      <c r="D549" s="5">
        <v>44562</v>
      </c>
      <c r="E549" s="5">
        <v>45901</v>
      </c>
      <c r="F549" s="4">
        <f>DATEDIF(D549,E549,"M")</f>
        <v>44</v>
      </c>
      <c r="G549" s="4" t="s">
        <v>429</v>
      </c>
      <c r="H549" s="4" t="s">
        <v>431</v>
      </c>
      <c r="I549" s="4">
        <v>15278437</v>
      </c>
      <c r="J549" s="4" t="s">
        <v>426</v>
      </c>
      <c r="K549" s="4" t="s">
        <v>236</v>
      </c>
      <c r="L549" s="4" t="str">
        <f>CONCATENATE(J549, " ",K549)</f>
        <v xml:space="preserve">JASON HOFFMANN            </v>
      </c>
      <c r="M549" s="4">
        <v>14.99</v>
      </c>
      <c r="N549" s="7">
        <v>0.08</v>
      </c>
      <c r="O549" s="4">
        <v>1.2</v>
      </c>
      <c r="P549" s="4" t="s">
        <v>435</v>
      </c>
    </row>
    <row r="550" spans="1:16" s="4" customFormat="1" x14ac:dyDescent="0.25">
      <c r="A550" s="4" t="s">
        <v>246</v>
      </c>
      <c r="B550" s="4" t="s">
        <v>33</v>
      </c>
      <c r="C550" s="4" t="s">
        <v>247</v>
      </c>
      <c r="D550" s="5">
        <v>44562</v>
      </c>
      <c r="E550" s="5">
        <v>45901</v>
      </c>
      <c r="F550" s="4">
        <f>DATEDIF(D550,E550,"M")</f>
        <v>44</v>
      </c>
      <c r="G550" s="4" t="s">
        <v>429</v>
      </c>
      <c r="H550" s="4" t="s">
        <v>431</v>
      </c>
      <c r="I550" s="4">
        <v>15278437</v>
      </c>
      <c r="J550" s="4" t="s">
        <v>426</v>
      </c>
      <c r="K550" s="4" t="s">
        <v>236</v>
      </c>
      <c r="L550" s="4" t="str">
        <f>CONCATENATE(J550, " ",K550)</f>
        <v xml:space="preserve">JASON HOFFMANN            </v>
      </c>
      <c r="M550" s="4">
        <v>21.06</v>
      </c>
      <c r="N550" s="7">
        <v>0.08</v>
      </c>
      <c r="O550" s="4">
        <v>1.68</v>
      </c>
      <c r="P550" s="4" t="s">
        <v>435</v>
      </c>
    </row>
    <row r="551" spans="1:16" s="4" customFormat="1" x14ac:dyDescent="0.25">
      <c r="A551" s="4" t="s">
        <v>246</v>
      </c>
      <c r="B551" s="4" t="s">
        <v>33</v>
      </c>
      <c r="C551" s="4" t="s">
        <v>247</v>
      </c>
      <c r="D551" s="5">
        <v>44562</v>
      </c>
      <c r="E551" s="5">
        <v>45901</v>
      </c>
      <c r="F551" s="4">
        <f>DATEDIF(D551,E551,"M")</f>
        <v>44</v>
      </c>
      <c r="G551" s="4" t="s">
        <v>429</v>
      </c>
      <c r="H551" s="4" t="s">
        <v>431</v>
      </c>
      <c r="I551" s="4">
        <v>15278437</v>
      </c>
      <c r="J551" s="4" t="s">
        <v>426</v>
      </c>
      <c r="K551" s="4" t="s">
        <v>236</v>
      </c>
      <c r="L551" s="4" t="str">
        <f>CONCATENATE(J551, " ",K551)</f>
        <v xml:space="preserve">JASON HOFFMANN            </v>
      </c>
      <c r="M551" s="4">
        <v>12.94</v>
      </c>
      <c r="N551" s="7">
        <v>0.08</v>
      </c>
      <c r="O551" s="4">
        <v>1.04</v>
      </c>
      <c r="P551" s="4" t="s">
        <v>435</v>
      </c>
    </row>
    <row r="552" spans="1:16" s="4" customFormat="1" x14ac:dyDescent="0.25">
      <c r="A552" s="4" t="s">
        <v>246</v>
      </c>
      <c r="B552" s="4" t="s">
        <v>33</v>
      </c>
      <c r="C552" s="4" t="s">
        <v>247</v>
      </c>
      <c r="D552" s="5">
        <v>44562</v>
      </c>
      <c r="E552" s="5">
        <v>45901</v>
      </c>
      <c r="F552" s="4">
        <f>DATEDIF(D552,E552,"M")</f>
        <v>44</v>
      </c>
      <c r="G552" s="4" t="s">
        <v>429</v>
      </c>
      <c r="H552" s="4" t="s">
        <v>431</v>
      </c>
      <c r="I552" s="4">
        <v>15278437</v>
      </c>
      <c r="J552" s="4" t="s">
        <v>426</v>
      </c>
      <c r="K552" s="4" t="s">
        <v>236</v>
      </c>
      <c r="L552" s="4" t="str">
        <f>CONCATENATE(J552, " ",K552)</f>
        <v xml:space="preserve">JASON HOFFMANN            </v>
      </c>
      <c r="M552" s="4">
        <v>2.92</v>
      </c>
      <c r="N552" s="7">
        <v>0.08</v>
      </c>
      <c r="O552" s="4">
        <v>0.23</v>
      </c>
      <c r="P552" s="4" t="s">
        <v>435</v>
      </c>
    </row>
    <row r="553" spans="1:16" s="4" customFormat="1" x14ac:dyDescent="0.25">
      <c r="A553" s="4" t="s">
        <v>246</v>
      </c>
      <c r="B553" s="4" t="s">
        <v>33</v>
      </c>
      <c r="C553" s="4" t="s">
        <v>247</v>
      </c>
      <c r="D553" s="5">
        <v>44562</v>
      </c>
      <c r="E553" s="5">
        <v>45901</v>
      </c>
      <c r="F553" s="4">
        <f>DATEDIF(D553,E553,"M")</f>
        <v>44</v>
      </c>
      <c r="G553" s="4" t="s">
        <v>429</v>
      </c>
      <c r="H553" s="4" t="s">
        <v>431</v>
      </c>
      <c r="I553" s="4">
        <v>15278437</v>
      </c>
      <c r="J553" s="4" t="s">
        <v>426</v>
      </c>
      <c r="K553" s="4" t="s">
        <v>236</v>
      </c>
      <c r="L553" s="4" t="str">
        <f>CONCATENATE(J553, " ",K553)</f>
        <v xml:space="preserve">JASON HOFFMANN            </v>
      </c>
      <c r="M553" s="4">
        <v>23.15</v>
      </c>
      <c r="N553" s="7">
        <v>0.08</v>
      </c>
      <c r="O553" s="4">
        <v>1.85</v>
      </c>
      <c r="P553" s="4" t="s">
        <v>435</v>
      </c>
    </row>
    <row r="554" spans="1:16" s="4" customFormat="1" x14ac:dyDescent="0.25">
      <c r="A554" s="4" t="s">
        <v>248</v>
      </c>
      <c r="B554" s="4" t="s">
        <v>33</v>
      </c>
      <c r="C554" s="4" t="s">
        <v>249</v>
      </c>
      <c r="D554" s="5">
        <v>44562</v>
      </c>
      <c r="E554" s="5">
        <v>45901</v>
      </c>
      <c r="F554" s="4">
        <f>DATEDIF(D554,E554,"M")</f>
        <v>44</v>
      </c>
      <c r="G554" s="4" t="s">
        <v>429</v>
      </c>
      <c r="H554" s="4" t="s">
        <v>431</v>
      </c>
      <c r="I554" s="4">
        <v>15278437</v>
      </c>
      <c r="J554" s="4" t="s">
        <v>426</v>
      </c>
      <c r="K554" s="4" t="s">
        <v>236</v>
      </c>
      <c r="L554" s="4" t="str">
        <f>CONCATENATE(J554, " ",K554)</f>
        <v xml:space="preserve">JASON HOFFMANN            </v>
      </c>
      <c r="M554" s="4">
        <v>21.06</v>
      </c>
      <c r="N554" s="7">
        <v>0.08</v>
      </c>
      <c r="O554" s="4">
        <v>1.68</v>
      </c>
      <c r="P554" s="4" t="s">
        <v>435</v>
      </c>
    </row>
    <row r="555" spans="1:16" s="4" customFormat="1" x14ac:dyDescent="0.25">
      <c r="A555" s="4" t="s">
        <v>248</v>
      </c>
      <c r="B555" s="4" t="s">
        <v>33</v>
      </c>
      <c r="C555" s="4" t="s">
        <v>249</v>
      </c>
      <c r="D555" s="5">
        <v>44562</v>
      </c>
      <c r="E555" s="5">
        <v>45901</v>
      </c>
      <c r="F555" s="4">
        <f>DATEDIF(D555,E555,"M")</f>
        <v>44</v>
      </c>
      <c r="G555" s="4" t="s">
        <v>429</v>
      </c>
      <c r="H555" s="4" t="s">
        <v>431</v>
      </c>
      <c r="I555" s="4">
        <v>15278437</v>
      </c>
      <c r="J555" s="4" t="s">
        <v>426</v>
      </c>
      <c r="K555" s="4" t="s">
        <v>236</v>
      </c>
      <c r="L555" s="4" t="str">
        <f>CONCATENATE(J555, " ",K555)</f>
        <v xml:space="preserve">JASON HOFFMANN            </v>
      </c>
      <c r="M555" s="4">
        <v>12.94</v>
      </c>
      <c r="N555" s="7">
        <v>0.08</v>
      </c>
      <c r="O555" s="4">
        <v>1.04</v>
      </c>
      <c r="P555" s="4" t="s">
        <v>435</v>
      </c>
    </row>
    <row r="556" spans="1:16" s="4" customFormat="1" x14ac:dyDescent="0.25">
      <c r="A556" s="4" t="s">
        <v>248</v>
      </c>
      <c r="B556" s="4" t="s">
        <v>33</v>
      </c>
      <c r="C556" s="4" t="s">
        <v>249</v>
      </c>
      <c r="D556" s="5">
        <v>44562</v>
      </c>
      <c r="E556" s="5">
        <v>45901</v>
      </c>
      <c r="F556" s="4">
        <f>DATEDIF(D556,E556,"M")</f>
        <v>44</v>
      </c>
      <c r="G556" s="4" t="s">
        <v>429</v>
      </c>
      <c r="H556" s="4" t="s">
        <v>431</v>
      </c>
      <c r="I556" s="4">
        <v>15278437</v>
      </c>
      <c r="J556" s="4" t="s">
        <v>426</v>
      </c>
      <c r="K556" s="4" t="s">
        <v>236</v>
      </c>
      <c r="L556" s="4" t="str">
        <f>CONCATENATE(J556, " ",K556)</f>
        <v xml:space="preserve">JASON HOFFMANN            </v>
      </c>
      <c r="M556" s="4">
        <v>22.41</v>
      </c>
      <c r="N556" s="7">
        <v>0.08</v>
      </c>
      <c r="O556" s="4">
        <v>1.79</v>
      </c>
      <c r="P556" s="4" t="s">
        <v>435</v>
      </c>
    </row>
    <row r="557" spans="1:16" s="4" customFormat="1" x14ac:dyDescent="0.25">
      <c r="A557" s="4" t="s">
        <v>248</v>
      </c>
      <c r="B557" s="4" t="s">
        <v>33</v>
      </c>
      <c r="C557" s="4" t="s">
        <v>249</v>
      </c>
      <c r="D557" s="5">
        <v>44562</v>
      </c>
      <c r="E557" s="5">
        <v>45901</v>
      </c>
      <c r="F557" s="4">
        <f>DATEDIF(D557,E557,"M")</f>
        <v>44</v>
      </c>
      <c r="G557" s="4" t="s">
        <v>429</v>
      </c>
      <c r="H557" s="4" t="s">
        <v>431</v>
      </c>
      <c r="I557" s="4">
        <v>15278437</v>
      </c>
      <c r="J557" s="4" t="s">
        <v>426</v>
      </c>
      <c r="K557" s="4" t="s">
        <v>236</v>
      </c>
      <c r="L557" s="4" t="str">
        <f>CONCATENATE(J557, " ",K557)</f>
        <v xml:space="preserve">JASON HOFFMANN            </v>
      </c>
      <c r="M557" s="4">
        <v>2.75</v>
      </c>
      <c r="N557" s="7">
        <v>0.08</v>
      </c>
      <c r="O557" s="4">
        <v>0.22</v>
      </c>
      <c r="P557" s="4" t="s">
        <v>435</v>
      </c>
    </row>
    <row r="558" spans="1:16" s="4" customFormat="1" x14ac:dyDescent="0.25">
      <c r="A558" s="4" t="s">
        <v>250</v>
      </c>
      <c r="B558" s="4" t="s">
        <v>33</v>
      </c>
      <c r="C558" s="4" t="s">
        <v>251</v>
      </c>
      <c r="D558" s="5">
        <v>44562</v>
      </c>
      <c r="E558" s="5">
        <v>45901</v>
      </c>
      <c r="F558" s="4">
        <f>DATEDIF(D558,E558,"M")</f>
        <v>44</v>
      </c>
      <c r="G558" s="4" t="s">
        <v>429</v>
      </c>
      <c r="H558" s="4" t="s">
        <v>431</v>
      </c>
      <c r="I558" s="4">
        <v>15278437</v>
      </c>
      <c r="J558" s="4" t="s">
        <v>426</v>
      </c>
      <c r="K558" s="4" t="s">
        <v>236</v>
      </c>
      <c r="L558" s="4" t="str">
        <f>CONCATENATE(J558, " ",K558)</f>
        <v xml:space="preserve">JASON HOFFMANN            </v>
      </c>
      <c r="M558" s="4">
        <v>21.34</v>
      </c>
      <c r="N558" s="7">
        <v>0.08</v>
      </c>
      <c r="O558" s="4">
        <v>1.71</v>
      </c>
      <c r="P558" s="4" t="s">
        <v>435</v>
      </c>
    </row>
    <row r="559" spans="1:16" s="4" customFormat="1" x14ac:dyDescent="0.25">
      <c r="A559" s="4" t="s">
        <v>250</v>
      </c>
      <c r="B559" s="4" t="s">
        <v>33</v>
      </c>
      <c r="C559" s="4" t="s">
        <v>251</v>
      </c>
      <c r="D559" s="5">
        <v>44562</v>
      </c>
      <c r="E559" s="5">
        <v>45901</v>
      </c>
      <c r="F559" s="4">
        <f>DATEDIF(D559,E559,"M")</f>
        <v>44</v>
      </c>
      <c r="G559" s="4" t="s">
        <v>429</v>
      </c>
      <c r="H559" s="4" t="s">
        <v>431</v>
      </c>
      <c r="I559" s="4">
        <v>15278437</v>
      </c>
      <c r="J559" s="4" t="s">
        <v>426</v>
      </c>
      <c r="K559" s="4" t="s">
        <v>236</v>
      </c>
      <c r="L559" s="4" t="str">
        <f>CONCATENATE(J559, " ",K559)</f>
        <v xml:space="preserve">JASON HOFFMANN            </v>
      </c>
      <c r="M559" s="4">
        <v>14.36</v>
      </c>
      <c r="N559" s="7">
        <v>0.08</v>
      </c>
      <c r="O559" s="4">
        <v>1.1499999999999999</v>
      </c>
      <c r="P559" s="4" t="s">
        <v>435</v>
      </c>
    </row>
    <row r="560" spans="1:16" s="4" customFormat="1" x14ac:dyDescent="0.25">
      <c r="A560" s="4" t="s">
        <v>250</v>
      </c>
      <c r="B560" s="4" t="s">
        <v>33</v>
      </c>
      <c r="C560" s="4" t="s">
        <v>251</v>
      </c>
      <c r="D560" s="5">
        <v>44562</v>
      </c>
      <c r="E560" s="5">
        <v>45901</v>
      </c>
      <c r="F560" s="4">
        <f>DATEDIF(D560,E560,"M")</f>
        <v>44</v>
      </c>
      <c r="G560" s="4" t="s">
        <v>429</v>
      </c>
      <c r="H560" s="4" t="s">
        <v>431</v>
      </c>
      <c r="I560" s="4">
        <v>15278437</v>
      </c>
      <c r="J560" s="4" t="s">
        <v>426</v>
      </c>
      <c r="K560" s="4" t="s">
        <v>236</v>
      </c>
      <c r="L560" s="4" t="str">
        <f>CONCATENATE(J560, " ",K560)</f>
        <v xml:space="preserve">JASON HOFFMANN            </v>
      </c>
      <c r="M560" s="4">
        <v>3.1</v>
      </c>
      <c r="N560" s="7">
        <v>0.08</v>
      </c>
      <c r="O560" s="4">
        <v>0.25</v>
      </c>
      <c r="P560" s="4" t="s">
        <v>435</v>
      </c>
    </row>
    <row r="561" spans="1:16" s="4" customFormat="1" x14ac:dyDescent="0.25">
      <c r="A561" s="4" t="s">
        <v>250</v>
      </c>
      <c r="B561" s="4" t="s">
        <v>33</v>
      </c>
      <c r="C561" s="4" t="s">
        <v>251</v>
      </c>
      <c r="D561" s="5">
        <v>44562</v>
      </c>
      <c r="E561" s="5">
        <v>45901</v>
      </c>
      <c r="F561" s="4">
        <f>DATEDIF(D561,E561,"M")</f>
        <v>44</v>
      </c>
      <c r="G561" s="4" t="s">
        <v>429</v>
      </c>
      <c r="H561" s="4" t="s">
        <v>431</v>
      </c>
      <c r="I561" s="4">
        <v>15278437</v>
      </c>
      <c r="J561" s="4" t="s">
        <v>426</v>
      </c>
      <c r="K561" s="4" t="s">
        <v>236</v>
      </c>
      <c r="L561" s="4" t="str">
        <f>CONCATENATE(J561, " ",K561)</f>
        <v xml:space="preserve">JASON HOFFMANN            </v>
      </c>
      <c r="M561" s="4">
        <v>23.61</v>
      </c>
      <c r="N561" s="7">
        <v>0.08</v>
      </c>
      <c r="O561" s="4">
        <v>1.89</v>
      </c>
      <c r="P561" s="4" t="s">
        <v>435</v>
      </c>
    </row>
    <row r="562" spans="1:16" s="4" customFormat="1" x14ac:dyDescent="0.25">
      <c r="A562" s="4" t="s">
        <v>252</v>
      </c>
      <c r="B562" s="4" t="s">
        <v>33</v>
      </c>
      <c r="C562" s="4" t="s">
        <v>253</v>
      </c>
      <c r="D562" s="5">
        <v>44562</v>
      </c>
      <c r="E562" s="5">
        <v>45901</v>
      </c>
      <c r="F562" s="4">
        <f>DATEDIF(D562,E562,"M")</f>
        <v>44</v>
      </c>
      <c r="G562" s="4" t="s">
        <v>429</v>
      </c>
      <c r="H562" s="4" t="s">
        <v>431</v>
      </c>
      <c r="I562" s="4">
        <v>15278437</v>
      </c>
      <c r="J562" s="4" t="s">
        <v>426</v>
      </c>
      <c r="K562" s="4" t="s">
        <v>236</v>
      </c>
      <c r="L562" s="4" t="str">
        <f>CONCATENATE(J562, " ",K562)</f>
        <v xml:space="preserve">JASON HOFFMANN            </v>
      </c>
      <c r="M562" s="4">
        <v>24.21</v>
      </c>
      <c r="N562" s="7">
        <v>0.08</v>
      </c>
      <c r="O562" s="4">
        <v>1.94</v>
      </c>
      <c r="P562" s="4" t="s">
        <v>435</v>
      </c>
    </row>
    <row r="563" spans="1:16" s="4" customFormat="1" x14ac:dyDescent="0.25">
      <c r="A563" s="4" t="s">
        <v>252</v>
      </c>
      <c r="B563" s="4" t="s">
        <v>33</v>
      </c>
      <c r="C563" s="4" t="s">
        <v>253</v>
      </c>
      <c r="D563" s="5">
        <v>44562</v>
      </c>
      <c r="E563" s="5">
        <v>45901</v>
      </c>
      <c r="F563" s="4">
        <f>DATEDIF(D563,E563,"M")</f>
        <v>44</v>
      </c>
      <c r="G563" s="4" t="s">
        <v>429</v>
      </c>
      <c r="H563" s="4" t="s">
        <v>431</v>
      </c>
      <c r="I563" s="4">
        <v>15278437</v>
      </c>
      <c r="J563" s="4" t="s">
        <v>426</v>
      </c>
      <c r="K563" s="4" t="s">
        <v>236</v>
      </c>
      <c r="L563" s="4" t="str">
        <f>CONCATENATE(J563, " ",K563)</f>
        <v xml:space="preserve">JASON HOFFMANN            </v>
      </c>
      <c r="M563" s="4">
        <v>29.02</v>
      </c>
      <c r="N563" s="7">
        <v>0.08</v>
      </c>
      <c r="O563" s="4">
        <v>2.3199999999999998</v>
      </c>
      <c r="P563" s="4" t="s">
        <v>435</v>
      </c>
    </row>
    <row r="564" spans="1:16" s="4" customFormat="1" x14ac:dyDescent="0.25">
      <c r="A564" s="4" t="s">
        <v>252</v>
      </c>
      <c r="B564" s="4" t="s">
        <v>33</v>
      </c>
      <c r="C564" s="4" t="s">
        <v>253</v>
      </c>
      <c r="D564" s="5">
        <v>44562</v>
      </c>
      <c r="E564" s="5">
        <v>45901</v>
      </c>
      <c r="F564" s="4">
        <f>DATEDIF(D564,E564,"M")</f>
        <v>44</v>
      </c>
      <c r="G564" s="4" t="s">
        <v>429</v>
      </c>
      <c r="H564" s="4" t="s">
        <v>431</v>
      </c>
      <c r="I564" s="4">
        <v>15278437</v>
      </c>
      <c r="J564" s="4" t="s">
        <v>426</v>
      </c>
      <c r="K564" s="4" t="s">
        <v>236</v>
      </c>
      <c r="L564" s="4" t="str">
        <f>CONCATENATE(J564, " ",K564)</f>
        <v xml:space="preserve">JASON HOFFMANN            </v>
      </c>
      <c r="M564" s="4">
        <v>9.18</v>
      </c>
      <c r="N564" s="7">
        <v>0.08</v>
      </c>
      <c r="O564" s="4">
        <v>0.73</v>
      </c>
      <c r="P564" s="4" t="s">
        <v>435</v>
      </c>
    </row>
    <row r="565" spans="1:16" s="4" customFormat="1" x14ac:dyDescent="0.25">
      <c r="A565" s="4" t="s">
        <v>252</v>
      </c>
      <c r="B565" s="4" t="s">
        <v>33</v>
      </c>
      <c r="C565" s="4" t="s">
        <v>253</v>
      </c>
      <c r="D565" s="5">
        <v>44562</v>
      </c>
      <c r="E565" s="5">
        <v>45901</v>
      </c>
      <c r="F565" s="4">
        <f>DATEDIF(D565,E565,"M")</f>
        <v>44</v>
      </c>
      <c r="G565" s="4" t="s">
        <v>429</v>
      </c>
      <c r="H565" s="4" t="s">
        <v>431</v>
      </c>
      <c r="I565" s="4">
        <v>15278437</v>
      </c>
      <c r="J565" s="4" t="s">
        <v>426</v>
      </c>
      <c r="K565" s="4" t="s">
        <v>236</v>
      </c>
      <c r="L565" s="4" t="str">
        <f>CONCATENATE(J565, " ",K565)</f>
        <v xml:space="preserve">JASON HOFFMANN            </v>
      </c>
      <c r="M565" s="4">
        <v>5.17</v>
      </c>
      <c r="N565" s="7">
        <v>0.08</v>
      </c>
      <c r="O565" s="4">
        <v>0.41</v>
      </c>
      <c r="P565" s="4" t="s">
        <v>435</v>
      </c>
    </row>
    <row r="566" spans="1:16" s="4" customFormat="1" x14ac:dyDescent="0.25">
      <c r="A566" s="4" t="s">
        <v>241</v>
      </c>
      <c r="B566" s="4" t="s">
        <v>33</v>
      </c>
      <c r="C566" s="4" t="s">
        <v>242</v>
      </c>
      <c r="D566" s="5">
        <v>44501</v>
      </c>
      <c r="E566" s="5">
        <v>45901</v>
      </c>
      <c r="F566" s="4">
        <f>DATEDIF(D566,E566,"M")</f>
        <v>46</v>
      </c>
      <c r="G566" s="4" t="s">
        <v>429</v>
      </c>
      <c r="H566" s="4" t="s">
        <v>431</v>
      </c>
      <c r="I566" s="4">
        <v>15278437</v>
      </c>
      <c r="J566" s="4" t="s">
        <v>426</v>
      </c>
      <c r="K566" s="4" t="s">
        <v>236</v>
      </c>
      <c r="L566" s="4" t="str">
        <f>CONCATENATE(J566, " ",K566)</f>
        <v xml:space="preserve">JASON HOFFMANN            </v>
      </c>
      <c r="M566" s="4">
        <v>21.06</v>
      </c>
      <c r="N566" s="7">
        <v>0.08</v>
      </c>
      <c r="O566" s="4">
        <v>1.68</v>
      </c>
      <c r="P566" s="4" t="s">
        <v>435</v>
      </c>
    </row>
    <row r="567" spans="1:16" s="4" customFormat="1" x14ac:dyDescent="0.25">
      <c r="A567" s="4" t="s">
        <v>241</v>
      </c>
      <c r="B567" s="4" t="s">
        <v>33</v>
      </c>
      <c r="C567" s="4" t="s">
        <v>242</v>
      </c>
      <c r="D567" s="5">
        <v>44501</v>
      </c>
      <c r="E567" s="5">
        <v>45901</v>
      </c>
      <c r="F567" s="4">
        <f>DATEDIF(D567,E567,"M")</f>
        <v>46</v>
      </c>
      <c r="G567" s="4" t="s">
        <v>429</v>
      </c>
      <c r="H567" s="4" t="s">
        <v>431</v>
      </c>
      <c r="I567" s="4">
        <v>15278437</v>
      </c>
      <c r="J567" s="4" t="s">
        <v>426</v>
      </c>
      <c r="K567" s="4" t="s">
        <v>236</v>
      </c>
      <c r="L567" s="4" t="str">
        <f>CONCATENATE(J567, " ",K567)</f>
        <v xml:space="preserve">JASON HOFFMANN            </v>
      </c>
      <c r="M567" s="4">
        <v>10.42</v>
      </c>
      <c r="N567" s="7">
        <v>0.08</v>
      </c>
      <c r="O567" s="4">
        <v>0.83</v>
      </c>
      <c r="P567" s="4" t="s">
        <v>435</v>
      </c>
    </row>
    <row r="568" spans="1:16" s="4" customFormat="1" x14ac:dyDescent="0.25">
      <c r="A568" s="4" t="s">
        <v>241</v>
      </c>
      <c r="B568" s="4" t="s">
        <v>33</v>
      </c>
      <c r="C568" s="4" t="s">
        <v>242</v>
      </c>
      <c r="D568" s="5">
        <v>44501</v>
      </c>
      <c r="E568" s="5">
        <v>45901</v>
      </c>
      <c r="F568" s="4">
        <f>DATEDIF(D568,E568,"M")</f>
        <v>46</v>
      </c>
      <c r="G568" s="4" t="s">
        <v>429</v>
      </c>
      <c r="H568" s="4" t="s">
        <v>431</v>
      </c>
      <c r="I568" s="4">
        <v>15278437</v>
      </c>
      <c r="J568" s="4" t="s">
        <v>426</v>
      </c>
      <c r="K568" s="4" t="s">
        <v>236</v>
      </c>
      <c r="L568" s="4" t="str">
        <f>CONCATENATE(J568, " ",K568)</f>
        <v xml:space="preserve">JASON HOFFMANN            </v>
      </c>
      <c r="M568" s="4">
        <v>27.9</v>
      </c>
      <c r="N568" s="7">
        <v>0.08</v>
      </c>
      <c r="O568" s="4">
        <v>2.23</v>
      </c>
      <c r="P568" s="4" t="s">
        <v>435</v>
      </c>
    </row>
    <row r="569" spans="1:16" s="4" customFormat="1" x14ac:dyDescent="0.25">
      <c r="A569" s="4" t="s">
        <v>241</v>
      </c>
      <c r="B569" s="4" t="s">
        <v>33</v>
      </c>
      <c r="C569" s="4" t="s">
        <v>242</v>
      </c>
      <c r="D569" s="5">
        <v>44501</v>
      </c>
      <c r="E569" s="5">
        <v>45901</v>
      </c>
      <c r="F569" s="4">
        <f>DATEDIF(D569,E569,"M")</f>
        <v>46</v>
      </c>
      <c r="G569" s="4" t="s">
        <v>429</v>
      </c>
      <c r="H569" s="4" t="s">
        <v>431</v>
      </c>
      <c r="I569" s="4">
        <v>15278437</v>
      </c>
      <c r="J569" s="4" t="s">
        <v>426</v>
      </c>
      <c r="K569" s="4" t="s">
        <v>236</v>
      </c>
      <c r="L569" s="4" t="str">
        <f>CONCATENATE(J569, " ",K569)</f>
        <v xml:space="preserve">JASON HOFFMANN            </v>
      </c>
      <c r="M569" s="4">
        <v>2.44</v>
      </c>
      <c r="N569" s="7">
        <v>0.08</v>
      </c>
      <c r="O569" s="4">
        <v>0.2</v>
      </c>
      <c r="P569" s="4" t="s">
        <v>435</v>
      </c>
    </row>
    <row r="570" spans="1:16" s="4" customFormat="1" x14ac:dyDescent="0.25">
      <c r="A570" s="4" t="s">
        <v>232</v>
      </c>
      <c r="B570" s="4" t="s">
        <v>33</v>
      </c>
      <c r="C570" s="4" t="s">
        <v>233</v>
      </c>
      <c r="D570" s="5">
        <v>44501</v>
      </c>
      <c r="E570" s="5">
        <v>45962</v>
      </c>
      <c r="F570" s="4">
        <f>DATEDIF(D570,E570,"M")</f>
        <v>48</v>
      </c>
      <c r="G570" s="4" t="s">
        <v>429</v>
      </c>
      <c r="H570" s="4" t="s">
        <v>431</v>
      </c>
      <c r="I570" s="4">
        <v>19930235</v>
      </c>
      <c r="J570" s="4" t="s">
        <v>418</v>
      </c>
      <c r="K570" s="4" t="s">
        <v>236</v>
      </c>
      <c r="L570" s="4" t="str">
        <f>CONCATENATE(J570, " ",K570)</f>
        <v xml:space="preserve">RONALD HOFFMANN            </v>
      </c>
      <c r="M570" s="4">
        <v>81.09</v>
      </c>
      <c r="N570" s="7">
        <v>0.08</v>
      </c>
      <c r="O570" s="4">
        <v>6.49</v>
      </c>
      <c r="P570" s="4" t="s">
        <v>435</v>
      </c>
    </row>
    <row r="571" spans="1:16" s="4" customFormat="1" x14ac:dyDescent="0.25">
      <c r="A571" s="4" t="s">
        <v>232</v>
      </c>
      <c r="B571" s="4" t="s">
        <v>33</v>
      </c>
      <c r="C571" s="4" t="s">
        <v>233</v>
      </c>
      <c r="D571" s="5">
        <v>44501</v>
      </c>
      <c r="E571" s="5">
        <v>45962</v>
      </c>
      <c r="F571" s="4">
        <f>DATEDIF(D571,E571,"M")</f>
        <v>48</v>
      </c>
      <c r="G571" s="4" t="s">
        <v>429</v>
      </c>
      <c r="H571" s="4" t="s">
        <v>431</v>
      </c>
      <c r="I571" s="4">
        <v>19930235</v>
      </c>
      <c r="J571" s="4" t="s">
        <v>418</v>
      </c>
      <c r="K571" s="4" t="s">
        <v>236</v>
      </c>
      <c r="L571" s="4" t="str">
        <f>CONCATENATE(J571, " ",K571)</f>
        <v xml:space="preserve">RONALD HOFFMANN            </v>
      </c>
      <c r="M571" s="4">
        <v>16.32</v>
      </c>
      <c r="N571" s="7">
        <v>0.08</v>
      </c>
      <c r="O571" s="4">
        <v>1.31</v>
      </c>
      <c r="P571" s="4" t="s">
        <v>435</v>
      </c>
    </row>
    <row r="572" spans="1:16" s="4" customFormat="1" x14ac:dyDescent="0.25">
      <c r="A572" s="4" t="s">
        <v>232</v>
      </c>
      <c r="B572" s="4" t="s">
        <v>33</v>
      </c>
      <c r="C572" s="4" t="s">
        <v>233</v>
      </c>
      <c r="D572" s="5">
        <v>44501</v>
      </c>
      <c r="E572" s="5">
        <v>45962</v>
      </c>
      <c r="F572" s="4">
        <f>DATEDIF(D572,E572,"M")</f>
        <v>48</v>
      </c>
      <c r="G572" s="4" t="s">
        <v>429</v>
      </c>
      <c r="H572" s="4" t="s">
        <v>431</v>
      </c>
      <c r="I572" s="4">
        <v>19930235</v>
      </c>
      <c r="J572" s="4" t="s">
        <v>418</v>
      </c>
      <c r="K572" s="4" t="s">
        <v>236</v>
      </c>
      <c r="L572" s="4" t="str">
        <f>CONCATENATE(J572, " ",K572)</f>
        <v xml:space="preserve">RONALD HOFFMANN            </v>
      </c>
      <c r="M572" s="4">
        <v>101.71</v>
      </c>
      <c r="N572" s="7">
        <v>0.08</v>
      </c>
      <c r="O572" s="4">
        <v>8.14</v>
      </c>
      <c r="P572" s="4" t="s">
        <v>435</v>
      </c>
    </row>
    <row r="573" spans="1:16" s="4" customFormat="1" x14ac:dyDescent="0.25">
      <c r="A573" s="4" t="s">
        <v>232</v>
      </c>
      <c r="B573" s="4" t="s">
        <v>33</v>
      </c>
      <c r="C573" s="4" t="s">
        <v>233</v>
      </c>
      <c r="D573" s="5">
        <v>44501</v>
      </c>
      <c r="E573" s="5">
        <v>45962</v>
      </c>
      <c r="F573" s="4">
        <f>DATEDIF(D573,E573,"M")</f>
        <v>48</v>
      </c>
      <c r="G573" s="4" t="s">
        <v>429</v>
      </c>
      <c r="H573" s="4" t="s">
        <v>431</v>
      </c>
      <c r="I573" s="4">
        <v>19930235</v>
      </c>
      <c r="J573" s="4" t="s">
        <v>418</v>
      </c>
      <c r="K573" s="4" t="s">
        <v>236</v>
      </c>
      <c r="L573" s="4" t="str">
        <f>CONCATENATE(J573, " ",K573)</f>
        <v xml:space="preserve">RONALD HOFFMANN            </v>
      </c>
      <c r="M573" s="4">
        <v>75.58</v>
      </c>
      <c r="N573" s="7">
        <v>0.08</v>
      </c>
      <c r="O573" s="4">
        <v>6.05</v>
      </c>
      <c r="P573" s="4" t="s">
        <v>435</v>
      </c>
    </row>
  </sheetData>
  <sortState xmlns:xlrd2="http://schemas.microsoft.com/office/spreadsheetml/2017/richdata2" ref="A2:V573">
    <sortCondition sortBy="cellColor" ref="A2:A573" dxfId="0"/>
    <sortCondition ref="F2:F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011I7200_MC_08-31-2025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2025-09-05T17:54:09Z</dcterms:created>
  <dcterms:modified xsi:type="dcterms:W3CDTF">2025-09-09T20:50:50Z</dcterms:modified>
</cp:coreProperties>
</file>