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2025\July\"/>
    </mc:Choice>
  </mc:AlternateContent>
  <xr:revisionPtr revIDLastSave="0" documentId="13_ncr:1_{16744079-5278-4E2A-AF26-D287D1A8B611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U41" i="2" l="1"/>
  <c r="N212" i="2"/>
  <c r="N206" i="2"/>
  <c r="E42" i="2"/>
  <c r="E4" i="2"/>
  <c r="E3" i="2"/>
  <c r="E41" i="2"/>
  <c r="K44" i="2"/>
  <c r="K45" i="2"/>
  <c r="K46" i="2"/>
  <c r="K47" i="2"/>
  <c r="K48" i="2"/>
  <c r="K49" i="2"/>
  <c r="K50" i="2"/>
  <c r="K5" i="2"/>
  <c r="K51" i="2"/>
  <c r="K52" i="2"/>
  <c r="K53" i="2"/>
  <c r="K6" i="2"/>
  <c r="K7" i="2"/>
  <c r="K8" i="2"/>
  <c r="K9" i="2"/>
  <c r="K10" i="2"/>
  <c r="K11" i="2"/>
  <c r="K12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3" i="2"/>
  <c r="K14" i="2"/>
  <c r="K15" i="2"/>
  <c r="K16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41" i="2"/>
  <c r="K3" i="2"/>
  <c r="K4" i="2"/>
  <c r="K42" i="2"/>
  <c r="K165" i="2"/>
  <c r="K166" i="2"/>
  <c r="K167" i="2"/>
  <c r="K168" i="2"/>
  <c r="K169" i="2"/>
  <c r="K17" i="2"/>
  <c r="K170" i="2"/>
  <c r="K171" i="2"/>
  <c r="K172" i="2"/>
  <c r="K173" i="2"/>
  <c r="K18" i="2"/>
  <c r="K19" i="2"/>
  <c r="K20" i="2"/>
  <c r="K21" i="2"/>
  <c r="K22" i="2"/>
  <c r="K23" i="2"/>
  <c r="K24" i="2"/>
  <c r="K25" i="2"/>
  <c r="K26" i="2"/>
  <c r="K174" i="2"/>
  <c r="K175" i="2"/>
  <c r="K176" i="2"/>
  <c r="K177" i="2"/>
  <c r="K178" i="2"/>
  <c r="K179" i="2"/>
  <c r="K27" i="2"/>
  <c r="K28" i="2"/>
  <c r="K180" i="2"/>
  <c r="K181" i="2"/>
  <c r="K29" i="2"/>
  <c r="K30" i="2"/>
  <c r="K31" i="2"/>
  <c r="K32" i="2"/>
  <c r="K33" i="2"/>
  <c r="K34" i="2"/>
  <c r="K182" i="2"/>
  <c r="K183" i="2"/>
  <c r="K184" i="2"/>
  <c r="K185" i="2"/>
  <c r="K186" i="2"/>
  <c r="K187" i="2"/>
  <c r="K188" i="2"/>
  <c r="K189" i="2"/>
  <c r="K190" i="2"/>
  <c r="K35" i="2"/>
  <c r="K191" i="2"/>
  <c r="K192" i="2"/>
  <c r="K193" i="2"/>
  <c r="K194" i="2"/>
  <c r="K195" i="2"/>
  <c r="K196" i="2"/>
  <c r="K36" i="2"/>
  <c r="K37" i="2"/>
  <c r="K38" i="2"/>
  <c r="K197" i="2"/>
  <c r="K39" i="2"/>
  <c r="K40" i="2"/>
  <c r="K198" i="2"/>
  <c r="K199" i="2"/>
  <c r="K200" i="2"/>
  <c r="K201" i="2"/>
  <c r="K202" i="2"/>
  <c r="K203" i="2"/>
  <c r="K43" i="2"/>
  <c r="I44" i="2"/>
  <c r="I45" i="2"/>
  <c r="I46" i="2"/>
  <c r="I47" i="2"/>
  <c r="I48" i="2"/>
  <c r="I49" i="2"/>
  <c r="I50" i="2"/>
  <c r="I5" i="2"/>
  <c r="I51" i="2"/>
  <c r="I52" i="2"/>
  <c r="I53" i="2"/>
  <c r="I6" i="2"/>
  <c r="I7" i="2"/>
  <c r="I8" i="2"/>
  <c r="I9" i="2"/>
  <c r="I10" i="2"/>
  <c r="I11" i="2"/>
  <c r="I12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3" i="2"/>
  <c r="I14" i="2"/>
  <c r="I15" i="2"/>
  <c r="I16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41" i="2"/>
  <c r="I3" i="2"/>
  <c r="I4" i="2"/>
  <c r="I42" i="2"/>
  <c r="I165" i="2"/>
  <c r="I166" i="2"/>
  <c r="I167" i="2"/>
  <c r="I168" i="2"/>
  <c r="I169" i="2"/>
  <c r="I17" i="2"/>
  <c r="I170" i="2"/>
  <c r="I171" i="2"/>
  <c r="I172" i="2"/>
  <c r="I173" i="2"/>
  <c r="I18" i="2"/>
  <c r="I19" i="2"/>
  <c r="I20" i="2"/>
  <c r="I21" i="2"/>
  <c r="I22" i="2"/>
  <c r="I23" i="2"/>
  <c r="I24" i="2"/>
  <c r="I25" i="2"/>
  <c r="I26" i="2"/>
  <c r="I174" i="2"/>
  <c r="I175" i="2"/>
  <c r="I176" i="2"/>
  <c r="I177" i="2"/>
  <c r="I178" i="2"/>
  <c r="I179" i="2"/>
  <c r="I27" i="2"/>
  <c r="I28" i="2"/>
  <c r="I180" i="2"/>
  <c r="I181" i="2"/>
  <c r="I29" i="2"/>
  <c r="I30" i="2"/>
  <c r="I31" i="2"/>
  <c r="I32" i="2"/>
  <c r="I33" i="2"/>
  <c r="I34" i="2"/>
  <c r="I182" i="2"/>
  <c r="I183" i="2"/>
  <c r="I184" i="2"/>
  <c r="I185" i="2"/>
  <c r="I186" i="2"/>
  <c r="I187" i="2"/>
  <c r="I188" i="2"/>
  <c r="I189" i="2"/>
  <c r="I190" i="2"/>
  <c r="I35" i="2"/>
  <c r="I191" i="2"/>
  <c r="I192" i="2"/>
  <c r="I193" i="2"/>
  <c r="I194" i="2"/>
  <c r="I195" i="2"/>
  <c r="I196" i="2"/>
  <c r="I36" i="2"/>
  <c r="I37" i="2"/>
  <c r="I38" i="2"/>
  <c r="I197" i="2"/>
  <c r="I39" i="2"/>
  <c r="I40" i="2"/>
  <c r="I198" i="2"/>
  <c r="I199" i="2"/>
  <c r="I200" i="2"/>
  <c r="I201" i="2"/>
  <c r="I202" i="2"/>
  <c r="I203" i="2"/>
  <c r="I43" i="2"/>
</calcChain>
</file>

<file path=xl/sharedStrings.xml><?xml version="1.0" encoding="utf-8"?>
<sst xmlns="http://schemas.openxmlformats.org/spreadsheetml/2006/main" count="5484" uniqueCount="686">
  <si>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</si>
  <si>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</si>
  <si>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</si>
  <si>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</si>
  <si>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</si>
  <si>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</si>
  <si>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</si>
  <si>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</si>
  <si>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t>Producer Commission Data - Individual</t>
    </r>
    <r>
      <rPr>
        <sz val="18"/>
        <color rgb="FFFFFFFF"/>
        <rFont val="Arial"/>
        <family val="2"/>
      </rPr>
      <t xml:space="preserve">
For Period: July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</si>
  <si>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</si>
  <si>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</si>
  <si>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</si>
  <si>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</si>
  <si>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</si>
  <si>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</si>
  <si>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</si>
  <si>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</si>
  <si>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</si>
  <si>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</si>
  <si>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</si>
  <si>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</si>
  <si>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</si>
  <si>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</si>
  <si>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</si>
  <si>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</si>
  <si>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</si>
  <si>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</si>
  <si>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</si>
  <si>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</si>
  <si>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</si>
  <si>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</si>
  <si>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</si>
  <si>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</si>
  <si>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</si>
  <si>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107866950-SU-GREGORY K TEIPEL</t>
  </si>
  <si>
    <t>H</t>
  </si>
  <si>
    <t>000637</t>
  </si>
  <si>
    <t>1</t>
  </si>
  <si>
    <t>000893511760</t>
  </si>
  <si>
    <t>BORODINA, ELVIRA</t>
  </si>
  <si>
    <t>P</t>
  </si>
  <si>
    <t>000,000.00</t>
  </si>
  <si>
    <t>20250901</t>
  </si>
  <si>
    <t>20250401</t>
  </si>
  <si>
    <t>005</t>
  </si>
  <si>
    <t>BLUEADVANTAGE^</t>
  </si>
  <si>
    <t>N</t>
  </si>
  <si>
    <t>$01.00</t>
  </si>
  <si>
    <t>025.00</t>
  </si>
  <si>
    <t>000,025.00</t>
  </si>
  <si>
    <t>0.0000</t>
  </si>
  <si>
    <t>107866950</t>
  </si>
  <si>
    <t>000625</t>
  </si>
  <si>
    <t>000893781602</t>
  </si>
  <si>
    <t>RICE, JACKY</t>
  </si>
  <si>
    <t>20241201</t>
  </si>
  <si>
    <t>009</t>
  </si>
  <si>
    <t>000870</t>
  </si>
  <si>
    <t>4</t>
  </si>
  <si>
    <t>000923860802</t>
  </si>
  <si>
    <t>PACHECO, VANESSA A</t>
  </si>
  <si>
    <t>20240101</t>
  </si>
  <si>
    <t>020</t>
  </si>
  <si>
    <t>MYBLUEHEALTH^</t>
  </si>
  <si>
    <t>020.00</t>
  </si>
  <si>
    <t>000,080.00</t>
  </si>
  <si>
    <t>752301</t>
  </si>
  <si>
    <t>000924192935</t>
  </si>
  <si>
    <t>SHIFFLETT DILEO, WYATT</t>
  </si>
  <si>
    <t>20250101</t>
  </si>
  <si>
    <t>008</t>
  </si>
  <si>
    <t>3</t>
  </si>
  <si>
    <t>000924461173</t>
  </si>
  <si>
    <t>BAKER, PAULA</t>
  </si>
  <si>
    <t>20220101</t>
  </si>
  <si>
    <t>044</t>
  </si>
  <si>
    <t>000.00</t>
  </si>
  <si>
    <t>2</t>
  </si>
  <si>
    <t>000924519406</t>
  </si>
  <si>
    <t>MIRTSCHING, BARRY</t>
  </si>
  <si>
    <t>20230101</t>
  </si>
  <si>
    <t>032</t>
  </si>
  <si>
    <t>000,050.00</t>
  </si>
  <si>
    <t>000924941153</t>
  </si>
  <si>
    <t>ROBERTSON, MICHAELA</t>
  </si>
  <si>
    <t>20240501</t>
  </si>
  <si>
    <t>016</t>
  </si>
  <si>
    <t>000924992747</t>
  </si>
  <si>
    <t>QUIGLEY, KENNETH</t>
  </si>
  <si>
    <t>20230401</t>
  </si>
  <si>
    <t>029</t>
  </si>
  <si>
    <t>000925145455</t>
  </si>
  <si>
    <t>RHODES, JAMES</t>
  </si>
  <si>
    <t>000925319540</t>
  </si>
  <si>
    <t>FLANAGAN, MELANIE</t>
  </si>
  <si>
    <t>20190601</t>
  </si>
  <si>
    <t>075</t>
  </si>
  <si>
    <t>562301</t>
  </si>
  <si>
    <t>000925432854</t>
  </si>
  <si>
    <t>EZNACK, JAMES</t>
  </si>
  <si>
    <t>20210101</t>
  </si>
  <si>
    <t>056</t>
  </si>
  <si>
    <t>572301</t>
  </si>
  <si>
    <t>000925449446</t>
  </si>
  <si>
    <t>CAFFEY, BONNIE</t>
  </si>
  <si>
    <t>000925599337</t>
  </si>
  <si>
    <t>DICKSON, MARY</t>
  </si>
  <si>
    <t>000631</t>
  </si>
  <si>
    <t>000925603148</t>
  </si>
  <si>
    <t>DURGAM, POORNIMA</t>
  </si>
  <si>
    <t>000925677277</t>
  </si>
  <si>
    <t>VAUGHAN, EDILLIA</t>
  </si>
  <si>
    <t>20220301</t>
  </si>
  <si>
    <t>042</t>
  </si>
  <si>
    <t>000,075.00</t>
  </si>
  <si>
    <t>000925704532</t>
  </si>
  <si>
    <t>LAROUX, CHARLES</t>
  </si>
  <si>
    <t>20220601</t>
  </si>
  <si>
    <t>039</t>
  </si>
  <si>
    <t>000925713018</t>
  </si>
  <si>
    <t>BEAN, MELINDA</t>
  </si>
  <si>
    <t>20220701</t>
  </si>
  <si>
    <t>038</t>
  </si>
  <si>
    <t>000925713773</t>
  </si>
  <si>
    <t>ROJAS, VELMA</t>
  </si>
  <si>
    <t>20220801</t>
  </si>
  <si>
    <t>037</t>
  </si>
  <si>
    <t>000925750946</t>
  </si>
  <si>
    <t>LEE, TRACY</t>
  </si>
  <si>
    <t>20221001</t>
  </si>
  <si>
    <t>035</t>
  </si>
  <si>
    <t>000925833175</t>
  </si>
  <si>
    <t>SMITH, KIM</t>
  </si>
  <si>
    <t>000925839971</t>
  </si>
  <si>
    <t>SOLDEVILLA, MONICA</t>
  </si>
  <si>
    <t>000925864248</t>
  </si>
  <si>
    <t>CALLAHAN, RALANE</t>
  </si>
  <si>
    <t>000,100.00</t>
  </si>
  <si>
    <t>000643</t>
  </si>
  <si>
    <t>000925898517</t>
  </si>
  <si>
    <t>PHILLIPS, SCOTT</t>
  </si>
  <si>
    <t>20230201</t>
  </si>
  <si>
    <t>031</t>
  </si>
  <si>
    <t>000925926443</t>
  </si>
  <si>
    <t>HERSHCOVICH, CARICE</t>
  </si>
  <si>
    <t>000925949016</t>
  </si>
  <si>
    <t>KIEREN, MELISSA</t>
  </si>
  <si>
    <t>20230301</t>
  </si>
  <si>
    <t>030</t>
  </si>
  <si>
    <t>000925949720</t>
  </si>
  <si>
    <t>KIEREN, DONNA</t>
  </si>
  <si>
    <t>000925976024</t>
  </si>
  <si>
    <t>GOLDEN, KRISTIE</t>
  </si>
  <si>
    <t>20230501</t>
  </si>
  <si>
    <t>028</t>
  </si>
  <si>
    <t>000943009818</t>
  </si>
  <si>
    <t>WELLS, MELINDA</t>
  </si>
  <si>
    <t>20210701</t>
  </si>
  <si>
    <t>050</t>
  </si>
  <si>
    <t>000969</t>
  </si>
  <si>
    <t>000943013126</t>
  </si>
  <si>
    <t>SWAIN, CHAMAIPORN</t>
  </si>
  <si>
    <t>20210801</t>
  </si>
  <si>
    <t>049</t>
  </si>
  <si>
    <t>000,020.00</t>
  </si>
  <si>
    <t>000943035272</t>
  </si>
  <si>
    <t>YORK, GARY</t>
  </si>
  <si>
    <t>000943045439</t>
  </si>
  <si>
    <t>SANNER, PHILLIP</t>
  </si>
  <si>
    <t>20230601</t>
  </si>
  <si>
    <t>027</t>
  </si>
  <si>
    <t>000943169327</t>
  </si>
  <si>
    <t>ROBERTSON, BUNNY</t>
  </si>
  <si>
    <t>20231101</t>
  </si>
  <si>
    <t>022</t>
  </si>
  <si>
    <t>000943273702</t>
  </si>
  <si>
    <t>LUMMUS, KATHY</t>
  </si>
  <si>
    <t>20231201</t>
  </si>
  <si>
    <t>021</t>
  </si>
  <si>
    <t>000854</t>
  </si>
  <si>
    <t>000943285224</t>
  </si>
  <si>
    <t>LEWIS, MICHAEL</t>
  </si>
  <si>
    <t>000964</t>
  </si>
  <si>
    <t>000943306958</t>
  </si>
  <si>
    <t>DEALESSANDRO, AMBER</t>
  </si>
  <si>
    <t>000943372637</t>
  </si>
  <si>
    <t>HOPSON, WILLIAM</t>
  </si>
  <si>
    <t>000943435843</t>
  </si>
  <si>
    <t>PETRICH, ROBIN</t>
  </si>
  <si>
    <t>000943490069</t>
  </si>
  <si>
    <t>SALINAS, DIANE</t>
  </si>
  <si>
    <t>000943494724</t>
  </si>
  <si>
    <t>JOHNSON, EDERLINA</t>
  </si>
  <si>
    <t>000943558708</t>
  </si>
  <si>
    <t>HARDMAN, SUE</t>
  </si>
  <si>
    <t>011</t>
  </si>
  <si>
    <t>2-</t>
  </si>
  <si>
    <t>000,050.00-</t>
  </si>
  <si>
    <t>20241101</t>
  </si>
  <si>
    <t>010</t>
  </si>
  <si>
    <t>20241001</t>
  </si>
  <si>
    <t>20240901</t>
  </si>
  <si>
    <t>000877</t>
  </si>
  <si>
    <t>000943692939</t>
  </si>
  <si>
    <t>MORRIS, DIANE</t>
  </si>
  <si>
    <t>20240301</t>
  </si>
  <si>
    <t>018</t>
  </si>
  <si>
    <t>000943695999</t>
  </si>
  <si>
    <t>CAVE, JAMES</t>
  </si>
  <si>
    <t>000944075807</t>
  </si>
  <si>
    <t>REYNOLDS, BRYAN</t>
  </si>
  <si>
    <t>000944077287</t>
  </si>
  <si>
    <t>TINSLEY, SHELLEY</t>
  </si>
  <si>
    <t>000742</t>
  </si>
  <si>
    <t>000944117696</t>
  </si>
  <si>
    <t>MORRIS, STEPHEN</t>
  </si>
  <si>
    <t>000944117852</t>
  </si>
  <si>
    <t>MANES, SYLENA</t>
  </si>
  <si>
    <t>000944226388</t>
  </si>
  <si>
    <t>WHITE, DONNIE</t>
  </si>
  <si>
    <t>20250301</t>
  </si>
  <si>
    <t>006</t>
  </si>
  <si>
    <t>000944269432</t>
  </si>
  <si>
    <t>BLOUNT, BARRY</t>
  </si>
  <si>
    <t>20250501</t>
  </si>
  <si>
    <t>004</t>
  </si>
  <si>
    <t>107869934-SU-RYAN J CALTAGIRONE</t>
  </si>
  <si>
    <t>000924449459</t>
  </si>
  <si>
    <t>HANNON, TIMOTHY</t>
  </si>
  <si>
    <t>107869934</t>
  </si>
  <si>
    <t>662301</t>
  </si>
  <si>
    <t>000925811827</t>
  </si>
  <si>
    <t>PARKS, BARBARA</t>
  </si>
  <si>
    <t>000944022804</t>
  </si>
  <si>
    <t>BUENTELLO, JESUS</t>
  </si>
  <si>
    <t>000944023584</t>
  </si>
  <si>
    <t>CHARLES, CLAUDIA</t>
  </si>
  <si>
    <t>000966</t>
  </si>
  <si>
    <t>000944176453</t>
  </si>
  <si>
    <t>REPPAL, RAMEEM</t>
  </si>
  <si>
    <t>20250201</t>
  </si>
  <si>
    <t>007</t>
  </si>
  <si>
    <t>000944280271</t>
  </si>
  <si>
    <t>HIGGINS HYNES, MAUREEN</t>
  </si>
  <si>
    <t>20250601</t>
  </si>
  <si>
    <t>003</t>
  </si>
  <si>
    <t>000944344267</t>
  </si>
  <si>
    <t>NAMIO, SANDRA</t>
  </si>
  <si>
    <t>20250801</t>
  </si>
  <si>
    <t>001</t>
  </si>
  <si>
    <t>107870004-SU-ADAM J RICHTER</t>
  </si>
  <si>
    <t>000943107197</t>
  </si>
  <si>
    <t>MCGOURTY, ASHLEY</t>
  </si>
  <si>
    <t>20230901</t>
  </si>
  <si>
    <t>024</t>
  </si>
  <si>
    <t>107870004</t>
  </si>
  <si>
    <t>000944023937</t>
  </si>
  <si>
    <t>MORALES, ROSAMARIA</t>
  </si>
  <si>
    <t>107872306-SU-CAROL FOLEY</t>
  </si>
  <si>
    <t>5</t>
  </si>
  <si>
    <t>000925991152</t>
  </si>
  <si>
    <t>JOHNSON, BENNY</t>
  </si>
  <si>
    <t>107872306</t>
  </si>
  <si>
    <t>107873513-SU-MICHELA ROZMAN</t>
  </si>
  <si>
    <t>000943979269</t>
  </si>
  <si>
    <t>SALTSMAN, RONNIE</t>
  </si>
  <si>
    <t>012</t>
  </si>
  <si>
    <t>107873513</t>
  </si>
  <si>
    <t>107879207-SU-LORI ANN TUNSTALL</t>
  </si>
  <si>
    <t>000924227221</t>
  </si>
  <si>
    <t>BAILEY, BOBBY</t>
  </si>
  <si>
    <t>107879207</t>
  </si>
  <si>
    <t>019</t>
  </si>
  <si>
    <t>000925254609</t>
  </si>
  <si>
    <t>DAVIS, LAONNA</t>
  </si>
  <si>
    <t>20190101</t>
  </si>
  <si>
    <t>080</t>
  </si>
  <si>
    <t>000925469091</t>
  </si>
  <si>
    <t>DENNIS, REBECCA</t>
  </si>
  <si>
    <t>107888447-SU-MATTHEW DAUGHERTY</t>
  </si>
  <si>
    <t>000893308450</t>
  </si>
  <si>
    <t>HINOJOSA, NATHAN</t>
  </si>
  <si>
    <t>107888447</t>
  </si>
  <si>
    <t>000893625516</t>
  </si>
  <si>
    <t>CARTWRIGHT, SANDRA</t>
  </si>
  <si>
    <t>% Premium</t>
  </si>
  <si>
    <t>D</t>
  </si>
  <si>
    <t>000899</t>
  </si>
  <si>
    <t>000893769789</t>
  </si>
  <si>
    <t>MOORE, CHARLES</t>
  </si>
  <si>
    <t>000,003.67-</t>
  </si>
  <si>
    <t>125</t>
  </si>
  <si>
    <t>DENPPO^</t>
  </si>
  <si>
    <t>100.00</t>
  </si>
  <si>
    <t>0.0400</t>
  </si>
  <si>
    <t>000,000.15-</t>
  </si>
  <si>
    <t>000923846026</t>
  </si>
  <si>
    <t>TALLEY, LAURA</t>
  </si>
  <si>
    <t>20170101</t>
  </si>
  <si>
    <t>104</t>
  </si>
  <si>
    <t>000924005102</t>
  </si>
  <si>
    <t>LOWE, FRANCES</t>
  </si>
  <si>
    <t>20240401</t>
  </si>
  <si>
    <t>017</t>
  </si>
  <si>
    <t>000924142066</t>
  </si>
  <si>
    <t>BLACKLOCK, CHARLES</t>
  </si>
  <si>
    <t>000924558840</t>
  </si>
  <si>
    <t>SANDOVAL, JESUS</t>
  </si>
  <si>
    <t>000924867605</t>
  </si>
  <si>
    <t>BENKE, KRIS</t>
  </si>
  <si>
    <t>000924955708</t>
  </si>
  <si>
    <t>BALENTINE, IRENE</t>
  </si>
  <si>
    <t>20200101</t>
  </si>
  <si>
    <t>068</t>
  </si>
  <si>
    <t>000859</t>
  </si>
  <si>
    <t>000924984155</t>
  </si>
  <si>
    <t>ZHAO, JINGJIE</t>
  </si>
  <si>
    <t>000925096120</t>
  </si>
  <si>
    <t>TALLEY, HEATHER</t>
  </si>
  <si>
    <t>20180101</t>
  </si>
  <si>
    <t>092</t>
  </si>
  <si>
    <t>000925100575</t>
  </si>
  <si>
    <t>PARRA, JUAN</t>
  </si>
  <si>
    <t>000925148516</t>
  </si>
  <si>
    <t>CANTRELL, LINDZIE</t>
  </si>
  <si>
    <t>20170301</t>
  </si>
  <si>
    <t>102</t>
  </si>
  <si>
    <t>000925183832</t>
  </si>
  <si>
    <t>JASPERSON, JAMES</t>
  </si>
  <si>
    <t>000970</t>
  </si>
  <si>
    <t>000925278861</t>
  </si>
  <si>
    <t>TORRES, RAQUEL</t>
  </si>
  <si>
    <t>000925320079</t>
  </si>
  <si>
    <t>SKAGGS, DEBBIE</t>
  </si>
  <si>
    <t>000925352115</t>
  </si>
  <si>
    <t>KUCHARSKI, KIMBERLY</t>
  </si>
  <si>
    <t>20191201</t>
  </si>
  <si>
    <t>069</t>
  </si>
  <si>
    <t>000925353197</t>
  </si>
  <si>
    <t>VANDERPOOL OLIPHANT, EMILY</t>
  </si>
  <si>
    <t>067</t>
  </si>
  <si>
    <t>000925439912</t>
  </si>
  <si>
    <t>SULHAN, SAMARTH</t>
  </si>
  <si>
    <t>000925444460</t>
  </si>
  <si>
    <t>SCHULTZ, TAYLOR</t>
  </si>
  <si>
    <t>000925448460</t>
  </si>
  <si>
    <t>THOMAS, CHRISTINE</t>
  </si>
  <si>
    <t>000925449744</t>
  </si>
  <si>
    <t>TEMPLE, CHRISTIE</t>
  </si>
  <si>
    <t>000925488083</t>
  </si>
  <si>
    <t>GUTIERREZ, ANNIE</t>
  </si>
  <si>
    <t>000925551038</t>
  </si>
  <si>
    <t>ROSS, TAURUS</t>
  </si>
  <si>
    <t>000925553385</t>
  </si>
  <si>
    <t>SOSVILLE, ISABELLA</t>
  </si>
  <si>
    <t>20210601</t>
  </si>
  <si>
    <t>051</t>
  </si>
  <si>
    <t>000925556803</t>
  </si>
  <si>
    <t>PHILLIPS, EVELYN</t>
  </si>
  <si>
    <t>000925575892</t>
  </si>
  <si>
    <t>ACHA, CHRISTINE</t>
  </si>
  <si>
    <t>20230701</t>
  </si>
  <si>
    <t>026</t>
  </si>
  <si>
    <t>000,125.00</t>
  </si>
  <si>
    <t>000925609037</t>
  </si>
  <si>
    <t>HODGE, NATALIE</t>
  </si>
  <si>
    <t>000925611876</t>
  </si>
  <si>
    <t>DILES, RICHARD</t>
  </si>
  <si>
    <t>000925626716</t>
  </si>
  <si>
    <t>CHAVARRIA, ANABEL</t>
  </si>
  <si>
    <t>000925794500</t>
  </si>
  <si>
    <t>PERDUE, RONALD</t>
  </si>
  <si>
    <t>20221101</t>
  </si>
  <si>
    <t>034</t>
  </si>
  <si>
    <t>000925821790</t>
  </si>
  <si>
    <t>LOFTIS, JUSTIN</t>
  </si>
  <si>
    <t>000925843285</t>
  </si>
  <si>
    <t>SOTO, MANUEL</t>
  </si>
  <si>
    <t>000925844008</t>
  </si>
  <si>
    <t>GARZA, PATRICK</t>
  </si>
  <si>
    <t>000925914971</t>
  </si>
  <si>
    <t>BLAHUTA, GLENN</t>
  </si>
  <si>
    <t>000925976128</t>
  </si>
  <si>
    <t>RYAN, KIMBERLY</t>
  </si>
  <si>
    <t>20250701</t>
  </si>
  <si>
    <t>002</t>
  </si>
  <si>
    <t>000927920962</t>
  </si>
  <si>
    <t>VIGIL, ZACHARY</t>
  </si>
  <si>
    <t>000943019454</t>
  </si>
  <si>
    <t>WEATHERSTONE, ALISSA</t>
  </si>
  <si>
    <t>000943724625</t>
  </si>
  <si>
    <t>MARTINEZ, ALDO</t>
  </si>
  <si>
    <t>000,060.00</t>
  </si>
  <si>
    <t>000943731535</t>
  </si>
  <si>
    <t>ROBINSON, MYA</t>
  </si>
  <si>
    <t>000943937057</t>
  </si>
  <si>
    <t>PENNINGTON, BRYAN</t>
  </si>
  <si>
    <t>20240801</t>
  </si>
  <si>
    <t>013</t>
  </si>
  <si>
    <t>000943987506</t>
  </si>
  <si>
    <t>ROSS, ALEXIS</t>
  </si>
  <si>
    <t>000944109554</t>
  </si>
  <si>
    <t>KIRK, ANGELA</t>
  </si>
  <si>
    <t>000944157847</t>
  </si>
  <si>
    <t>VALLE, MARCO</t>
  </si>
  <si>
    <t>000944167408</t>
  </si>
  <si>
    <t>KINDRED, JACQUELINE</t>
  </si>
  <si>
    <t>000944185904</t>
  </si>
  <si>
    <t>GRAVES, WHITNEY</t>
  </si>
  <si>
    <t>000944187839</t>
  </si>
  <si>
    <t>COLLINS, DEBRA</t>
  </si>
  <si>
    <t>000944190460</t>
  </si>
  <si>
    <t>ROBERTS, ALVIN</t>
  </si>
  <si>
    <t>000944196799</t>
  </si>
  <si>
    <t>AKIN, RANDALL</t>
  </si>
  <si>
    <t>000944236404</t>
  </si>
  <si>
    <t>DAY, EMMY</t>
  </si>
  <si>
    <t>000944253084</t>
  </si>
  <si>
    <t>ROSSER, REBEKAH</t>
  </si>
  <si>
    <t>000,040.00</t>
  </si>
  <si>
    <t>1-</t>
  </si>
  <si>
    <t>000944304326</t>
  </si>
  <si>
    <t>ALARCON, AMBER</t>
  </si>
  <si>
    <t>000,020.00-</t>
  </si>
  <si>
    <t>000944304335</t>
  </si>
  <si>
    <t>ALARCON, IZAK</t>
  </si>
  <si>
    <t>107924880-SU-HEIDI JO LIBBY</t>
  </si>
  <si>
    <t>000626</t>
  </si>
  <si>
    <t>000944163313</t>
  </si>
  <si>
    <t>MAZZAROLO, ELISA</t>
  </si>
  <si>
    <t>107924880</t>
  </si>
  <si>
    <t>672301</t>
  </si>
  <si>
    <t>000944272492</t>
  </si>
  <si>
    <t>ROULEAU, PAUL</t>
  </si>
  <si>
    <t>107928671-SU-TIMOTHY HODGMAN</t>
  </si>
  <si>
    <t>000944241924</t>
  </si>
  <si>
    <t>JOLI-COEUR, NADINE</t>
  </si>
  <si>
    <t>107928671</t>
  </si>
  <si>
    <t>Flat Annual</t>
  </si>
  <si>
    <t>107928692-SU-GARY PORTUGAL</t>
  </si>
  <si>
    <t>0TX133</t>
  </si>
  <si>
    <t>000804514975</t>
  </si>
  <si>
    <t>WHEELER, CRAIG</t>
  </si>
  <si>
    <t>MMA</t>
  </si>
  <si>
    <t>107928692</t>
  </si>
  <si>
    <t>000924114074</t>
  </si>
  <si>
    <t>PUGA, JESSE</t>
  </si>
  <si>
    <t>20211001</t>
  </si>
  <si>
    <t>047</t>
  </si>
  <si>
    <t>000898</t>
  </si>
  <si>
    <t>000,075.84</t>
  </si>
  <si>
    <t>000,003.03</t>
  </si>
  <si>
    <t>000943170509</t>
  </si>
  <si>
    <t>GRIFFIN, BREANNA</t>
  </si>
  <si>
    <t>107928696-SU-ANDREW J CHOI</t>
  </si>
  <si>
    <t>000925117411</t>
  </si>
  <si>
    <t>STELCHEK, DAVID</t>
  </si>
  <si>
    <t>107928696</t>
  </si>
  <si>
    <t>000943074903</t>
  </si>
  <si>
    <t>BERGMAN, FRANKLIN</t>
  </si>
  <si>
    <t>000944096921</t>
  </si>
  <si>
    <t>VIENGSOMBAT, DEONNA</t>
  </si>
  <si>
    <t>000944119769</t>
  </si>
  <si>
    <t>PRITCHETT, VERONICA</t>
  </si>
  <si>
    <t>107928701-SU-STACEY A PORTUGAL</t>
  </si>
  <si>
    <t>000943482223</t>
  </si>
  <si>
    <t>CHAMBERS, TAMMY</t>
  </si>
  <si>
    <t>107928701</t>
  </si>
  <si>
    <t>Zero_Flat</t>
  </si>
  <si>
    <t>107928715-SU-RICARDO D SANTOS</t>
  </si>
  <si>
    <t>0TX127</t>
  </si>
  <si>
    <t>000804459382</t>
  </si>
  <si>
    <t>HASSELL, LYNDA</t>
  </si>
  <si>
    <t>MM2</t>
  </si>
  <si>
    <t>107928715</t>
  </si>
  <si>
    <t>000804459390</t>
  </si>
  <si>
    <t>HASSELL, JAMES</t>
  </si>
  <si>
    <t>000921547947</t>
  </si>
  <si>
    <t>ALMAZO, LUIS</t>
  </si>
  <si>
    <t>000944324995</t>
  </si>
  <si>
    <t>BLACKMON, MARIQUITA</t>
  </si>
  <si>
    <t>107928723-SU-RICHARD A YALE</t>
  </si>
  <si>
    <t>000893452503</t>
  </si>
  <si>
    <t>CHESNUT, STEPHEN</t>
  </si>
  <si>
    <t>107928723</t>
  </si>
  <si>
    <t>000925092467</t>
  </si>
  <si>
    <t>CROSBY, MYLES</t>
  </si>
  <si>
    <t>000925980589</t>
  </si>
  <si>
    <t>HERNANDEZ, MARTHA</t>
  </si>
  <si>
    <t>000944250752</t>
  </si>
  <si>
    <t>TINNEY, ROBERT</t>
  </si>
  <si>
    <t>107928855-SU-BARRY L SCHUMANN</t>
  </si>
  <si>
    <t>000925098395</t>
  </si>
  <si>
    <t>FARHAT, ASHLEY</t>
  </si>
  <si>
    <t>107928855</t>
  </si>
  <si>
    <t>000944238690</t>
  </si>
  <si>
    <t>MASSIDDA, CHADWICK</t>
  </si>
  <si>
    <t>107929171-SU-SAADIA S ABDUL</t>
  </si>
  <si>
    <t>000944202542</t>
  </si>
  <si>
    <t>BRACKIN, BRENDON</t>
  </si>
  <si>
    <t>107929171</t>
  </si>
  <si>
    <t>107929388-SU-STEPHANIE E DRAPAC</t>
  </si>
  <si>
    <t>000924565568</t>
  </si>
  <si>
    <t>KIIHNL, KASSIDI</t>
  </si>
  <si>
    <t>20200301</t>
  </si>
  <si>
    <t>066</t>
  </si>
  <si>
    <t>107929388</t>
  </si>
  <si>
    <t>107929706-SU-HEATHER MARIE GESKE</t>
  </si>
  <si>
    <t>000944175933</t>
  </si>
  <si>
    <t>ALONZO, VIRGINIA</t>
  </si>
  <si>
    <t>107929706</t>
  </si>
  <si>
    <t>107932909-SU-CHAD J YALE</t>
  </si>
  <si>
    <t>000925161195</t>
  </si>
  <si>
    <t>LOPEZ, ALFONSO</t>
  </si>
  <si>
    <t>107932909</t>
  </si>
  <si>
    <t>000947</t>
  </si>
  <si>
    <t>000925818695</t>
  </si>
  <si>
    <t>SCOTT, JASON</t>
  </si>
  <si>
    <t>000925874824</t>
  </si>
  <si>
    <t>HANSEN, RONALD</t>
  </si>
  <si>
    <t>000655</t>
  </si>
  <si>
    <t>000925919562</t>
  </si>
  <si>
    <t>CALDERON, TRINIDAD</t>
  </si>
  <si>
    <t>000943452674</t>
  </si>
  <si>
    <t>MORRIS, IMANI</t>
  </si>
  <si>
    <t>000944154522</t>
  </si>
  <si>
    <t>MCCARDELL, CASANDRA</t>
  </si>
  <si>
    <t>000944204650</t>
  </si>
  <si>
    <t>MCCARDELL, CLIFTON</t>
  </si>
  <si>
    <t>000944280969</t>
  </si>
  <si>
    <t>BURNS, CODY</t>
  </si>
  <si>
    <t>000944298811</t>
  </si>
  <si>
    <t>JOHNSON, SEAN</t>
  </si>
  <si>
    <t>107934271-SU-TOM EDWARD SERIO</t>
  </si>
  <si>
    <t>000924989793</t>
  </si>
  <si>
    <t>TODD, LLUVIA</t>
  </si>
  <si>
    <t>107934271</t>
  </si>
  <si>
    <t>000944148662</t>
  </si>
  <si>
    <t>LOPEZ DE SAN ROMAN B, RAFAEL</t>
  </si>
  <si>
    <t>107934278-SU-DALE JON WALENGA</t>
  </si>
  <si>
    <t>000944258680</t>
  </si>
  <si>
    <t>SHERMAN, PATRICIA</t>
  </si>
  <si>
    <t>107934278</t>
  </si>
  <si>
    <t>107934472-SU-JONATHAN ALOFF</t>
  </si>
  <si>
    <t>000943976221</t>
  </si>
  <si>
    <t>EPPERSON, BILLY</t>
  </si>
  <si>
    <t>107934472</t>
  </si>
  <si>
    <t>000944157694</t>
  </si>
  <si>
    <t>LUCAS, KATHLEEN</t>
  </si>
  <si>
    <t>000944325752</t>
  </si>
  <si>
    <t>JOHNSON, DIANA</t>
  </si>
  <si>
    <t>107941757-SU-AMANDA J RODRIGUEZ</t>
  </si>
  <si>
    <t>000924006903</t>
  </si>
  <si>
    <t>HALLONQUIST, KAREN</t>
  </si>
  <si>
    <t>20231001</t>
  </si>
  <si>
    <t>023</t>
  </si>
  <si>
    <t>107941757</t>
  </si>
  <si>
    <t>107944691-SU-JOEL N LEE</t>
  </si>
  <si>
    <t>000925964157</t>
  </si>
  <si>
    <t>WICK, DOUGLAS</t>
  </si>
  <si>
    <t>107944691</t>
  </si>
  <si>
    <t>000943600902</t>
  </si>
  <si>
    <t>ESTES, ERIC</t>
  </si>
  <si>
    <t>20240201</t>
  </si>
  <si>
    <t>107954804-SU-VICTOR FUENTES</t>
  </si>
  <si>
    <t>000944099258</t>
  </si>
  <si>
    <t>ESTES, TINA</t>
  </si>
  <si>
    <t>107954804</t>
  </si>
  <si>
    <t>000944116961</t>
  </si>
  <si>
    <t>BOSMAN, DANNY</t>
  </si>
  <si>
    <t>000944138850</t>
  </si>
  <si>
    <t>MERRITT, BRADFORD</t>
  </si>
  <si>
    <t>000944250792</t>
  </si>
  <si>
    <t>RESENDEZ, LAURA</t>
  </si>
  <si>
    <t>107960927-SU-BARRY GORDON BRENNER</t>
  </si>
  <si>
    <t>000944248233</t>
  </si>
  <si>
    <t>MARTINEZ, MATTHEW</t>
  </si>
  <si>
    <t>107960927</t>
  </si>
  <si>
    <t>000944254610</t>
  </si>
  <si>
    <t>HANCOCK, MARC</t>
  </si>
  <si>
    <t>107961029-SU-CHRISTOPHER BROUSSEAU</t>
  </si>
  <si>
    <t>000923721014</t>
  </si>
  <si>
    <t>LIGHTFOOT, JONATHAN</t>
  </si>
  <si>
    <t>107961029</t>
  </si>
  <si>
    <t>000925326405</t>
  </si>
  <si>
    <t>GRAPE, SHELLY</t>
  </si>
  <si>
    <t>000925571076</t>
  </si>
  <si>
    <t>TUBBS, LATRICE</t>
  </si>
  <si>
    <t>000943141828</t>
  </si>
  <si>
    <t>EDWARDS, ANGELA</t>
  </si>
  <si>
    <t>000943628736</t>
  </si>
  <si>
    <t>WEBSTER, LINDSAY</t>
  </si>
  <si>
    <t>000944249118</t>
  </si>
  <si>
    <t>CASILHAS, SHERYL</t>
  </si>
  <si>
    <t>000944252004</t>
  </si>
  <si>
    <t>METUIWE, IFEANYICHUKWU</t>
  </si>
  <si>
    <t>000944253272</t>
  </si>
  <si>
    <t>BRIGHT, TYNECIA</t>
  </si>
  <si>
    <t>000944274915</t>
  </si>
  <si>
    <t>LOMAS, DOLORES</t>
  </si>
  <si>
    <t>000944277157</t>
  </si>
  <si>
    <t>DOMINGUEZ, JUSTIN</t>
  </si>
  <si>
    <t>000944277790</t>
  </si>
  <si>
    <t>KEE, LESLIE</t>
  </si>
  <si>
    <t>000944294162</t>
  </si>
  <si>
    <t>BANKOLE, SAMUEL</t>
  </si>
  <si>
    <t>000944309580</t>
  </si>
  <si>
    <t>CHESTER, LESSIE</t>
  </si>
  <si>
    <t>000944326295</t>
  </si>
  <si>
    <t>MEADE, ASHLEY</t>
  </si>
  <si>
    <t>000944340656</t>
  </si>
  <si>
    <t>GOWRU, SUJATHA</t>
  </si>
  <si>
    <t>000944342409</t>
  </si>
  <si>
    <t>BALL, CHERYL</t>
  </si>
  <si>
    <t>107961242-SU-KIRK ANTHONY TIGUE</t>
  </si>
  <si>
    <t>000943243804</t>
  </si>
  <si>
    <t>LUNA, ROBERT</t>
  </si>
  <si>
    <t>107961242</t>
  </si>
  <si>
    <t>000943626660</t>
  </si>
  <si>
    <t>HENDRIX, TERRICA</t>
  </si>
  <si>
    <t>000944231265</t>
  </si>
  <si>
    <t>DAWKINS, NORMAN</t>
  </si>
  <si>
    <t>000944238599</t>
  </si>
  <si>
    <t>SPENCER, TIWAN</t>
  </si>
  <si>
    <t>000944251810</t>
  </si>
  <si>
    <t>OGADAKO, AMBE</t>
  </si>
  <si>
    <t>000944311770</t>
  </si>
  <si>
    <t>BIZZIERI, JOSEPH</t>
  </si>
  <si>
    <t>000944323484</t>
  </si>
  <si>
    <t>RICORDEL, GABRIEL</t>
  </si>
  <si>
    <t>000944324093</t>
  </si>
  <si>
    <t>LINARES, LARRY</t>
  </si>
  <si>
    <t>107965218-SU-JAKE P SHULMAN</t>
  </si>
  <si>
    <t>000944263163</t>
  </si>
  <si>
    <t>SHADDEN, MICHELLE</t>
  </si>
  <si>
    <t>107965218</t>
  </si>
  <si>
    <t>000944278321</t>
  </si>
  <si>
    <t>PEREZ, FERNANDO</t>
  </si>
  <si>
    <t>000944324120</t>
  </si>
  <si>
    <t>ALKIS, SEAN</t>
  </si>
  <si>
    <t>000985</t>
  </si>
  <si>
    <t>000,014.95</t>
  </si>
  <si>
    <t>0.0600</t>
  </si>
  <si>
    <t>000,000.90</t>
  </si>
  <si>
    <t>107966959-SU-PATRICK BYRNE</t>
  </si>
  <si>
    <t>000944280291</t>
  </si>
  <si>
    <t>ARNOLD, SHANON</t>
  </si>
  <si>
    <t>107966959</t>
  </si>
  <si>
    <t>[PMPM=2]</t>
  </si>
  <si>
    <t>[PMPM=3]</t>
  </si>
  <si>
    <t>[PMPM=4]</t>
  </si>
  <si>
    <t>[PMPM=5]</t>
  </si>
  <si>
    <t>GREGORY K TEIPEL</t>
  </si>
  <si>
    <t>RYAN J CALTAGIRONE</t>
  </si>
  <si>
    <t>ADAM J RICHTER</t>
  </si>
  <si>
    <t>CAROL FOLEY</t>
  </si>
  <si>
    <t>MICHELA ROZMAN</t>
  </si>
  <si>
    <t>LORI ANN TUNSTALL</t>
  </si>
  <si>
    <t>MATTHEW DAUGHERTY</t>
  </si>
  <si>
    <t>HEIDI JO LIBBY</t>
  </si>
  <si>
    <t>TIMOTHY HODGMAN</t>
  </si>
  <si>
    <t>GARY PORTUGAL</t>
  </si>
  <si>
    <t>ANDREW J CHOI</t>
  </si>
  <si>
    <t>STACEY A PORTUGAL</t>
  </si>
  <si>
    <t>RICARDO D SANTOS</t>
  </si>
  <si>
    <t>RICHARD A YALE</t>
  </si>
  <si>
    <t>BARRY L SCHUMANN</t>
  </si>
  <si>
    <t>SAADIA S ABDUL</t>
  </si>
  <si>
    <t>HEATHER MARIE GESKE</t>
  </si>
  <si>
    <t>CHAD J YALE</t>
  </si>
  <si>
    <t>TOM EDWARD SERIO</t>
  </si>
  <si>
    <t>DALE JON WALENGA</t>
  </si>
  <si>
    <t>JONATHAN ALOFF</t>
  </si>
  <si>
    <t>AMANDA J RODRIGUEZ</t>
  </si>
  <si>
    <t>JOEL N LEE</t>
  </si>
  <si>
    <t>VICTOR FUENTES</t>
  </si>
  <si>
    <t>BARRY GORDON BRENNER</t>
  </si>
  <si>
    <t>CHRISTOPHER BROUSSEAU</t>
  </si>
  <si>
    <t>KIRK ANTHONY TIGUE</t>
  </si>
  <si>
    <t>JAKE P SHULMAN</t>
  </si>
  <si>
    <t>PATRICK BYRNE</t>
  </si>
  <si>
    <t>BCBS of TX BA HMOSM, BA +</t>
  </si>
  <si>
    <t>BCBS of TX All Dental Plans</t>
  </si>
  <si>
    <t>BCBS of TX MyB HMO Plans</t>
  </si>
  <si>
    <t>DIAMANTRA INC</t>
  </si>
  <si>
    <t>BCBS of TX 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</si>
</sst>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  <font>
      <sz val="8"/>
      <color rgb="FF000000"/>
      <name val="Arial"/>
      <family val="16"/>
      <charset val="1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center" vertical="top"/>
    </xf>
    <xf numFmtId="0" fontId="6" fillId="4" borderId="0" xfId="0" applyFont="1" applyFill="1" applyAlignment="1">
      <alignment horizontal="right" vertical="top"/>
    </xf>
    <xf numFmtId="0" fontId="0" fillId="4" borderId="0" xfId="0" applyFill="1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center" vertical="top"/>
    </xf>
    <xf numFmtId="0" fontId="6" fillId="4" borderId="0" xfId="0" applyFont="1" applyFill="1" applyAlignment="1">
      <alignment horizontal="right" vertical="top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6" fillId="0" borderId="0" xfId="0" applyNumberFormat="1" applyFont="1" applyAlignment="1">
      <alignment horizontal="left" vertical="top"/>
    </xf>
    <xf numFmtId="0" fontId="6" fillId="4" borderId="0" xfId="0" applyNumberFormat="1" applyFont="1" applyFill="1" applyAlignment="1">
      <alignment horizontal="left" vertical="top"/>
    </xf>
    <xf numFmtId="0" fontId="0" fillId="0" borderId="0" xfId="0" applyNumberFormat="1" applyAlignment="1">
      <alignment horizontal="left"/>
    </xf>
    <xf numFmtId="0" fontId="8" fillId="0" borderId="0" xfId="0" applyFont="1" applyAlignment="1">
      <alignment vertical="top"/>
    </xf>
    <xf numFmtId="14" fontId="6" fillId="0" borderId="0" xfId="0" applyNumberFormat="1" applyFont="1" applyAlignment="1">
      <alignment horizontal="left" vertical="top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30"/>
  <sheetViews>
    <sheetView showGridLines="0" topLeftCell="K72" workbookViewId="0">
      <selection activeCell="AA97" sqref="AA97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9" t="s">
        <v>0</v>
      </c>
      <c r="S3" s="9"/>
      <c r="T3" s="9"/>
    </row>
    <row r="4" spans="1:33" ht="6.75" customHeight="1" x14ac:dyDescent="0.2">
      <c r="A4" s="10" t="s">
        <v>1</v>
      </c>
      <c r="C4" s="11" t="s">
        <v>2</v>
      </c>
      <c r="D4" s="11"/>
      <c r="E4" s="11"/>
      <c r="F4" s="11"/>
      <c r="G4" s="11"/>
      <c r="H4" s="11"/>
      <c r="R4" s="9"/>
      <c r="S4" s="9"/>
      <c r="T4" s="9"/>
    </row>
    <row r="5" spans="1:33" ht="6.75" customHeight="1" x14ac:dyDescent="0.2">
      <c r="A5" s="10"/>
      <c r="C5" s="11"/>
      <c r="D5" s="11"/>
      <c r="E5" s="11"/>
      <c r="F5" s="11"/>
      <c r="G5" s="11"/>
      <c r="H5" s="11"/>
      <c r="R5" s="9"/>
      <c r="S5" s="9"/>
      <c r="T5" s="9"/>
    </row>
    <row r="6" spans="1:33" ht="33.75" customHeight="1" x14ac:dyDescent="0.2">
      <c r="Q6" s="12" t="s">
        <v>3</v>
      </c>
      <c r="R6" s="12"/>
      <c r="S6" s="12"/>
      <c r="T6" s="12"/>
    </row>
    <row r="7" spans="1:33" ht="7.5" customHeight="1" x14ac:dyDescent="0.2">
      <c r="A7" s="10" t="s">
        <v>4</v>
      </c>
      <c r="C7" s="11" t="s">
        <v>5</v>
      </c>
      <c r="D7" s="11"/>
      <c r="E7" s="11"/>
      <c r="F7" s="11"/>
      <c r="G7" s="11"/>
    </row>
    <row r="8" spans="1:33" ht="6" customHeight="1" x14ac:dyDescent="0.2">
      <c r="A8" s="10"/>
      <c r="C8" s="11"/>
      <c r="D8" s="11"/>
      <c r="E8" s="11"/>
      <c r="F8" s="11"/>
      <c r="G8" s="11"/>
    </row>
    <row r="9" spans="1:33" ht="13.5" customHeight="1" x14ac:dyDescent="0.2">
      <c r="A9" s="1" t="s">
        <v>6</v>
      </c>
      <c r="C9" s="11" t="s">
        <v>7</v>
      </c>
      <c r="D9" s="11"/>
    </row>
    <row r="10" spans="1:33" ht="12" customHeight="1" x14ac:dyDescent="0.2"/>
    <row r="11" spans="1:33" ht="25.5" customHeight="1" x14ac:dyDescent="0.2">
      <c r="A11" s="13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8.5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12.75" customHeight="1" x14ac:dyDescent="0.2">
      <c r="A13" s="14" t="s">
        <v>9</v>
      </c>
      <c r="B13" s="14" t="s">
        <v>10</v>
      </c>
      <c r="C13" s="14"/>
      <c r="D13" s="14" t="s">
        <v>11</v>
      </c>
      <c r="E13" s="14"/>
      <c r="F13" s="14" t="s">
        <v>12</v>
      </c>
      <c r="G13" s="14"/>
      <c r="H13" s="14"/>
      <c r="I13" s="14"/>
      <c r="J13" s="14" t="s">
        <v>13</v>
      </c>
      <c r="K13" s="14" t="s">
        <v>14</v>
      </c>
      <c r="L13" s="14" t="s">
        <v>15</v>
      </c>
      <c r="N13" s="14" t="s">
        <v>16</v>
      </c>
      <c r="O13" s="14"/>
      <c r="P13" s="14" t="s">
        <v>17</v>
      </c>
      <c r="Q13" s="14"/>
      <c r="R13" s="14"/>
      <c r="S13" s="14" t="s">
        <v>18</v>
      </c>
      <c r="T13" s="14" t="s">
        <v>19</v>
      </c>
      <c r="U13" s="14"/>
      <c r="V13" s="14" t="s">
        <v>20</v>
      </c>
      <c r="W13" s="14" t="s">
        <v>21</v>
      </c>
      <c r="X13" s="14" t="s">
        <v>22</v>
      </c>
      <c r="Y13" s="14" t="s">
        <v>23</v>
      </c>
      <c r="Z13" s="14"/>
      <c r="AA13" s="14" t="s">
        <v>24</v>
      </c>
      <c r="AB13" s="14" t="s">
        <v>25</v>
      </c>
      <c r="AC13" s="14" t="s">
        <v>26</v>
      </c>
      <c r="AD13" s="14" t="s">
        <v>27</v>
      </c>
      <c r="AE13" s="14" t="s">
        <v>28</v>
      </c>
      <c r="AF13" s="14" t="s">
        <v>29</v>
      </c>
      <c r="AG13" s="14" t="s">
        <v>30</v>
      </c>
    </row>
    <row r="14" spans="1:33" ht="14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0.75" customHeight="1" x14ac:dyDescent="0.2">
      <c r="L15" s="14"/>
      <c r="N15" s="14"/>
      <c r="O15" s="14"/>
    </row>
    <row r="16" spans="1:33" ht="12.75" customHeight="1" x14ac:dyDescent="0.2">
      <c r="A16" s="2" t="s">
        <v>31</v>
      </c>
      <c r="B16" s="15" t="s">
        <v>32</v>
      </c>
      <c r="C16" s="15"/>
      <c r="D16" s="15"/>
      <c r="E16" s="16" t="s">
        <v>33</v>
      </c>
      <c r="F16" s="16"/>
      <c r="G16" s="17" t="s">
        <v>34</v>
      </c>
      <c r="H16" s="17"/>
      <c r="I16" s="17"/>
      <c r="J16" s="3" t="s">
        <v>35</v>
      </c>
      <c r="K16" s="4" t="s">
        <v>36</v>
      </c>
      <c r="L16" s="4" t="s">
        <v>37</v>
      </c>
      <c r="N16" s="17" t="s">
        <v>38</v>
      </c>
      <c r="O16" s="17"/>
      <c r="P16" s="17" t="s">
        <v>39</v>
      </c>
      <c r="Q16" s="17"/>
      <c r="R16" s="17"/>
      <c r="S16" s="3" t="s">
        <v>40</v>
      </c>
      <c r="T16" s="17" t="s">
        <v>41</v>
      </c>
      <c r="U16" s="17"/>
      <c r="V16" s="4" t="s">
        <v>42</v>
      </c>
      <c r="W16" s="4" t="s">
        <v>43</v>
      </c>
      <c r="X16" s="4" t="s">
        <v>44</v>
      </c>
      <c r="Y16" s="17" t="s">
        <v>45</v>
      </c>
      <c r="Z16" s="17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15" t="s">
        <v>32</v>
      </c>
      <c r="C18" s="15"/>
      <c r="D18" s="15"/>
      <c r="E18" s="16" t="s">
        <v>33</v>
      </c>
      <c r="F18" s="16"/>
      <c r="G18" s="17" t="s">
        <v>34</v>
      </c>
      <c r="H18" s="17"/>
      <c r="I18" s="17"/>
      <c r="J18" s="3" t="s">
        <v>35</v>
      </c>
      <c r="K18" s="4" t="s">
        <v>52</v>
      </c>
      <c r="L18" s="4" t="s">
        <v>37</v>
      </c>
      <c r="N18" s="17" t="s">
        <v>53</v>
      </c>
      <c r="O18" s="17"/>
      <c r="P18" s="17" t="s">
        <v>54</v>
      </c>
      <c r="Q18" s="17"/>
      <c r="R18" s="17"/>
      <c r="S18" s="3" t="s">
        <v>40</v>
      </c>
      <c r="T18" s="17" t="s">
        <v>41</v>
      </c>
      <c r="U18" s="17"/>
      <c r="V18" s="4" t="s">
        <v>42</v>
      </c>
      <c r="W18" s="4" t="s">
        <v>55</v>
      </c>
      <c r="X18" s="4" t="s">
        <v>56</v>
      </c>
      <c r="Y18" s="17" t="s">
        <v>45</v>
      </c>
      <c r="Z18" s="17"/>
      <c r="AA18" s="4" t="s">
        <v>46</v>
      </c>
      <c r="AB18" s="4" t="s">
        <v>47</v>
      </c>
      <c r="AC18" s="4" t="s">
        <v>48</v>
      </c>
      <c r="AD18" s="4" t="s">
        <v>49</v>
      </c>
      <c r="AE18" s="4" t="s">
        <v>50</v>
      </c>
      <c r="AF18" s="4" t="s">
        <v>41</v>
      </c>
      <c r="AG18" s="4" t="s">
        <v>51</v>
      </c>
    </row>
    <row r="19" spans="1:33" ht="16.5" customHeight="1" x14ac:dyDescent="0.2">
      <c r="A19" s="2" t="s">
        <v>31</v>
      </c>
      <c r="B19" s="15" t="s">
        <v>32</v>
      </c>
      <c r="C19" s="15"/>
      <c r="D19" s="15"/>
      <c r="E19" s="16" t="s">
        <v>33</v>
      </c>
      <c r="F19" s="16"/>
      <c r="G19" s="17" t="s">
        <v>34</v>
      </c>
      <c r="H19" s="17"/>
      <c r="I19" s="17"/>
      <c r="J19" s="3" t="s">
        <v>35</v>
      </c>
      <c r="K19" s="4" t="s">
        <v>57</v>
      </c>
      <c r="L19" s="4" t="s">
        <v>58</v>
      </c>
      <c r="N19" s="17" t="s">
        <v>59</v>
      </c>
      <c r="O19" s="17"/>
      <c r="P19" s="17" t="s">
        <v>60</v>
      </c>
      <c r="Q19" s="17"/>
      <c r="R19" s="17"/>
      <c r="S19" s="3" t="s">
        <v>40</v>
      </c>
      <c r="T19" s="17" t="s">
        <v>41</v>
      </c>
      <c r="U19" s="17"/>
      <c r="V19" s="4" t="s">
        <v>42</v>
      </c>
      <c r="W19" s="4" t="s">
        <v>61</v>
      </c>
      <c r="X19" s="4" t="s">
        <v>62</v>
      </c>
      <c r="Y19" s="17" t="s">
        <v>63</v>
      </c>
      <c r="Z19" s="17"/>
      <c r="AA19" s="4" t="s">
        <v>46</v>
      </c>
      <c r="AB19" s="4" t="s">
        <v>47</v>
      </c>
      <c r="AC19" s="4" t="s">
        <v>64</v>
      </c>
      <c r="AD19" s="4" t="s">
        <v>65</v>
      </c>
      <c r="AE19" s="4" t="s">
        <v>50</v>
      </c>
      <c r="AF19" s="4" t="s">
        <v>41</v>
      </c>
      <c r="AG19" s="4" t="s">
        <v>51</v>
      </c>
    </row>
    <row r="20" spans="1:33" ht="16.5" customHeight="1" x14ac:dyDescent="0.2">
      <c r="A20" s="2" t="s">
        <v>31</v>
      </c>
      <c r="B20" s="15" t="s">
        <v>32</v>
      </c>
      <c r="C20" s="15"/>
      <c r="D20" s="15"/>
      <c r="E20" s="16" t="s">
        <v>33</v>
      </c>
      <c r="F20" s="16"/>
      <c r="G20" s="17" t="s">
        <v>34</v>
      </c>
      <c r="H20" s="17"/>
      <c r="I20" s="17"/>
      <c r="J20" s="3" t="s">
        <v>35</v>
      </c>
      <c r="K20" s="4" t="s">
        <v>66</v>
      </c>
      <c r="L20" s="4" t="s">
        <v>37</v>
      </c>
      <c r="N20" s="17" t="s">
        <v>67</v>
      </c>
      <c r="O20" s="17"/>
      <c r="P20" s="17" t="s">
        <v>68</v>
      </c>
      <c r="Q20" s="17"/>
      <c r="R20" s="17"/>
      <c r="S20" s="3" t="s">
        <v>40</v>
      </c>
      <c r="T20" s="17" t="s">
        <v>41</v>
      </c>
      <c r="U20" s="17"/>
      <c r="V20" s="4" t="s">
        <v>42</v>
      </c>
      <c r="W20" s="4" t="s">
        <v>69</v>
      </c>
      <c r="X20" s="4" t="s">
        <v>70</v>
      </c>
      <c r="Y20" s="17" t="s">
        <v>45</v>
      </c>
      <c r="Z20" s="17"/>
      <c r="AA20" s="4" t="s">
        <v>46</v>
      </c>
      <c r="AB20" s="4" t="s">
        <v>47</v>
      </c>
      <c r="AC20" s="4" t="s">
        <v>48</v>
      </c>
      <c r="AD20" s="4" t="s">
        <v>49</v>
      </c>
      <c r="AE20" s="4" t="s">
        <v>50</v>
      </c>
      <c r="AF20" s="4" t="s">
        <v>41</v>
      </c>
      <c r="AG20" s="4" t="s">
        <v>51</v>
      </c>
    </row>
    <row r="21" spans="1:33" ht="16.5" customHeight="1" x14ac:dyDescent="0.2">
      <c r="A21" s="2" t="s">
        <v>31</v>
      </c>
      <c r="B21" s="15" t="s">
        <v>32</v>
      </c>
      <c r="C21" s="15"/>
      <c r="D21" s="15"/>
      <c r="E21" s="16" t="s">
        <v>33</v>
      </c>
      <c r="F21" s="16"/>
      <c r="G21" s="17" t="s">
        <v>34</v>
      </c>
      <c r="H21" s="17"/>
      <c r="I21" s="17"/>
      <c r="J21" s="3" t="s">
        <v>35</v>
      </c>
      <c r="K21" s="4" t="s">
        <v>52</v>
      </c>
      <c r="L21" s="4" t="s">
        <v>71</v>
      </c>
      <c r="N21" s="17" t="s">
        <v>72</v>
      </c>
      <c r="O21" s="17"/>
      <c r="P21" s="17" t="s">
        <v>73</v>
      </c>
      <c r="Q21" s="17"/>
      <c r="R21" s="17"/>
      <c r="S21" s="3" t="s">
        <v>40</v>
      </c>
      <c r="T21" s="17" t="s">
        <v>41</v>
      </c>
      <c r="U21" s="17"/>
      <c r="V21" s="4" t="s">
        <v>42</v>
      </c>
      <c r="W21" s="4" t="s">
        <v>74</v>
      </c>
      <c r="X21" s="4" t="s">
        <v>75</v>
      </c>
      <c r="Y21" s="17" t="s">
        <v>45</v>
      </c>
      <c r="Z21" s="17"/>
      <c r="AA21" s="4" t="s">
        <v>46</v>
      </c>
      <c r="AB21" s="4" t="s">
        <v>47</v>
      </c>
      <c r="AC21" s="4" t="s">
        <v>76</v>
      </c>
      <c r="AD21" s="4" t="s">
        <v>41</v>
      </c>
      <c r="AE21" s="4" t="s">
        <v>50</v>
      </c>
      <c r="AF21" s="4" t="s">
        <v>41</v>
      </c>
      <c r="AG21" s="4" t="s">
        <v>51</v>
      </c>
    </row>
    <row r="22" spans="1:33" ht="16.5" customHeight="1" x14ac:dyDescent="0.2">
      <c r="A22" s="2" t="s">
        <v>31</v>
      </c>
      <c r="B22" s="15" t="s">
        <v>32</v>
      </c>
      <c r="C22" s="15"/>
      <c r="D22" s="15"/>
      <c r="E22" s="16" t="s">
        <v>33</v>
      </c>
      <c r="F22" s="16"/>
      <c r="G22" s="17" t="s">
        <v>34</v>
      </c>
      <c r="H22" s="17"/>
      <c r="I22" s="17"/>
      <c r="J22" s="3" t="s">
        <v>35</v>
      </c>
      <c r="K22" s="4" t="s">
        <v>36</v>
      </c>
      <c r="L22" s="4" t="s">
        <v>77</v>
      </c>
      <c r="N22" s="17" t="s">
        <v>78</v>
      </c>
      <c r="O22" s="17"/>
      <c r="P22" s="17" t="s">
        <v>79</v>
      </c>
      <c r="Q22" s="17"/>
      <c r="R22" s="17"/>
      <c r="S22" s="3" t="s">
        <v>40</v>
      </c>
      <c r="T22" s="17" t="s">
        <v>41</v>
      </c>
      <c r="U22" s="17"/>
      <c r="V22" s="4" t="s">
        <v>42</v>
      </c>
      <c r="W22" s="4" t="s">
        <v>80</v>
      </c>
      <c r="X22" s="4" t="s">
        <v>81</v>
      </c>
      <c r="Y22" s="17" t="s">
        <v>45</v>
      </c>
      <c r="Z22" s="17"/>
      <c r="AA22" s="4" t="s">
        <v>46</v>
      </c>
      <c r="AB22" s="4" t="s">
        <v>47</v>
      </c>
      <c r="AC22" s="4" t="s">
        <v>48</v>
      </c>
      <c r="AD22" s="4" t="s">
        <v>82</v>
      </c>
      <c r="AE22" s="4" t="s">
        <v>50</v>
      </c>
      <c r="AF22" s="4" t="s">
        <v>41</v>
      </c>
      <c r="AG22" s="4" t="s">
        <v>51</v>
      </c>
    </row>
    <row r="23" spans="1:33" ht="16.5" customHeight="1" x14ac:dyDescent="0.2">
      <c r="A23" s="2" t="s">
        <v>31</v>
      </c>
      <c r="B23" s="15" t="s">
        <v>32</v>
      </c>
      <c r="C23" s="15"/>
      <c r="D23" s="15"/>
      <c r="E23" s="16" t="s">
        <v>33</v>
      </c>
      <c r="F23" s="16"/>
      <c r="G23" s="17" t="s">
        <v>34</v>
      </c>
      <c r="H23" s="17"/>
      <c r="I23" s="17"/>
      <c r="J23" s="3" t="s">
        <v>35</v>
      </c>
      <c r="K23" s="4" t="s">
        <v>66</v>
      </c>
      <c r="L23" s="4" t="s">
        <v>37</v>
      </c>
      <c r="N23" s="17" t="s">
        <v>83</v>
      </c>
      <c r="O23" s="17"/>
      <c r="P23" s="17" t="s">
        <v>84</v>
      </c>
      <c r="Q23" s="17"/>
      <c r="R23" s="17"/>
      <c r="S23" s="3" t="s">
        <v>40</v>
      </c>
      <c r="T23" s="17" t="s">
        <v>41</v>
      </c>
      <c r="U23" s="17"/>
      <c r="V23" s="4" t="s">
        <v>42</v>
      </c>
      <c r="W23" s="4" t="s">
        <v>85</v>
      </c>
      <c r="X23" s="4" t="s">
        <v>86</v>
      </c>
      <c r="Y23" s="17" t="s">
        <v>45</v>
      </c>
      <c r="Z23" s="17"/>
      <c r="AA23" s="4" t="s">
        <v>46</v>
      </c>
      <c r="AB23" s="4" t="s">
        <v>47</v>
      </c>
      <c r="AC23" s="4" t="s">
        <v>48</v>
      </c>
      <c r="AD23" s="4" t="s">
        <v>49</v>
      </c>
      <c r="AE23" s="4" t="s">
        <v>50</v>
      </c>
      <c r="AF23" s="4" t="s">
        <v>41</v>
      </c>
      <c r="AG23" s="4" t="s">
        <v>51</v>
      </c>
    </row>
    <row r="24" spans="1:33" ht="16.5" customHeight="1" x14ac:dyDescent="0.2">
      <c r="A24" s="2" t="s">
        <v>31</v>
      </c>
      <c r="B24" s="15" t="s">
        <v>32</v>
      </c>
      <c r="C24" s="15"/>
      <c r="D24" s="15"/>
      <c r="E24" s="16" t="s">
        <v>33</v>
      </c>
      <c r="F24" s="16"/>
      <c r="G24" s="17" t="s">
        <v>34</v>
      </c>
      <c r="H24" s="17"/>
      <c r="I24" s="17"/>
      <c r="J24" s="3" t="s">
        <v>35</v>
      </c>
      <c r="K24" s="4" t="s">
        <v>36</v>
      </c>
      <c r="L24" s="4" t="s">
        <v>77</v>
      </c>
      <c r="N24" s="17" t="s">
        <v>87</v>
      </c>
      <c r="O24" s="17"/>
      <c r="P24" s="17" t="s">
        <v>88</v>
      </c>
      <c r="Q24" s="17"/>
      <c r="R24" s="17"/>
      <c r="S24" s="3" t="s">
        <v>40</v>
      </c>
      <c r="T24" s="17" t="s">
        <v>41</v>
      </c>
      <c r="U24" s="17"/>
      <c r="V24" s="4" t="s">
        <v>42</v>
      </c>
      <c r="W24" s="4" t="s">
        <v>89</v>
      </c>
      <c r="X24" s="4" t="s">
        <v>90</v>
      </c>
      <c r="Y24" s="17" t="s">
        <v>45</v>
      </c>
      <c r="Z24" s="17"/>
      <c r="AA24" s="4" t="s">
        <v>46</v>
      </c>
      <c r="AB24" s="4" t="s">
        <v>47</v>
      </c>
      <c r="AC24" s="4" t="s">
        <v>48</v>
      </c>
      <c r="AD24" s="4" t="s">
        <v>82</v>
      </c>
      <c r="AE24" s="4" t="s">
        <v>50</v>
      </c>
      <c r="AF24" s="4" t="s">
        <v>41</v>
      </c>
      <c r="AG24" s="4" t="s">
        <v>51</v>
      </c>
    </row>
    <row r="25" spans="1:33" ht="16.5" customHeight="1" x14ac:dyDescent="0.2">
      <c r="A25" s="2" t="s">
        <v>31</v>
      </c>
      <c r="B25" s="15" t="s">
        <v>32</v>
      </c>
      <c r="C25" s="15"/>
      <c r="D25" s="15"/>
      <c r="E25" s="16" t="s">
        <v>33</v>
      </c>
      <c r="F25" s="16"/>
      <c r="G25" s="17" t="s">
        <v>34</v>
      </c>
      <c r="H25" s="17"/>
      <c r="I25" s="17"/>
      <c r="J25" s="3" t="s">
        <v>35</v>
      </c>
      <c r="K25" s="4" t="s">
        <v>66</v>
      </c>
      <c r="L25" s="4" t="s">
        <v>37</v>
      </c>
      <c r="N25" s="17" t="s">
        <v>91</v>
      </c>
      <c r="O25" s="17"/>
      <c r="P25" s="17" t="s">
        <v>92</v>
      </c>
      <c r="Q25" s="17"/>
      <c r="R25" s="17"/>
      <c r="S25" s="3" t="s">
        <v>40</v>
      </c>
      <c r="T25" s="17" t="s">
        <v>41</v>
      </c>
      <c r="U25" s="17"/>
      <c r="V25" s="4" t="s">
        <v>42</v>
      </c>
      <c r="W25" s="4" t="s">
        <v>74</v>
      </c>
      <c r="X25" s="4" t="s">
        <v>75</v>
      </c>
      <c r="Y25" s="17" t="s">
        <v>45</v>
      </c>
      <c r="Z25" s="17"/>
      <c r="AA25" s="4" t="s">
        <v>46</v>
      </c>
      <c r="AB25" s="4" t="s">
        <v>47</v>
      </c>
      <c r="AC25" s="4" t="s">
        <v>48</v>
      </c>
      <c r="AD25" s="4" t="s">
        <v>49</v>
      </c>
      <c r="AE25" s="4" t="s">
        <v>50</v>
      </c>
      <c r="AF25" s="4" t="s">
        <v>41</v>
      </c>
      <c r="AG25" s="4" t="s">
        <v>51</v>
      </c>
    </row>
    <row r="26" spans="1:33" ht="16.5" customHeight="1" x14ac:dyDescent="0.2">
      <c r="A26" s="2" t="s">
        <v>31</v>
      </c>
      <c r="B26" s="15" t="s">
        <v>32</v>
      </c>
      <c r="C26" s="15"/>
      <c r="D26" s="15"/>
      <c r="E26" s="16" t="s">
        <v>33</v>
      </c>
      <c r="F26" s="16"/>
      <c r="G26" s="17" t="s">
        <v>34</v>
      </c>
      <c r="H26" s="17"/>
      <c r="I26" s="17"/>
      <c r="J26" s="3" t="s">
        <v>35</v>
      </c>
      <c r="K26" s="4" t="s">
        <v>52</v>
      </c>
      <c r="L26" s="4" t="s">
        <v>37</v>
      </c>
      <c r="N26" s="17" t="s">
        <v>93</v>
      </c>
      <c r="O26" s="17"/>
      <c r="P26" s="17" t="s">
        <v>94</v>
      </c>
      <c r="Q26" s="17"/>
      <c r="R26" s="17"/>
      <c r="S26" s="3" t="s">
        <v>40</v>
      </c>
      <c r="T26" s="17" t="s">
        <v>41</v>
      </c>
      <c r="U26" s="17"/>
      <c r="V26" s="4" t="s">
        <v>42</v>
      </c>
      <c r="W26" s="4" t="s">
        <v>95</v>
      </c>
      <c r="X26" s="4" t="s">
        <v>96</v>
      </c>
      <c r="Y26" s="17" t="s">
        <v>45</v>
      </c>
      <c r="Z26" s="17"/>
      <c r="AA26" s="4" t="s">
        <v>46</v>
      </c>
      <c r="AB26" s="4" t="s">
        <v>47</v>
      </c>
      <c r="AC26" s="4" t="s">
        <v>48</v>
      </c>
      <c r="AD26" s="4" t="s">
        <v>49</v>
      </c>
      <c r="AE26" s="4" t="s">
        <v>50</v>
      </c>
      <c r="AF26" s="4" t="s">
        <v>41</v>
      </c>
      <c r="AG26" s="4" t="s">
        <v>51</v>
      </c>
    </row>
    <row r="27" spans="1:33" ht="16.5" customHeight="1" x14ac:dyDescent="0.2">
      <c r="A27" s="2" t="s">
        <v>31</v>
      </c>
      <c r="B27" s="15" t="s">
        <v>32</v>
      </c>
      <c r="C27" s="15"/>
      <c r="D27" s="15"/>
      <c r="E27" s="16" t="s">
        <v>33</v>
      </c>
      <c r="F27" s="16"/>
      <c r="G27" s="17" t="s">
        <v>34</v>
      </c>
      <c r="H27" s="17"/>
      <c r="I27" s="17"/>
      <c r="J27" s="3" t="s">
        <v>35</v>
      </c>
      <c r="K27" s="4" t="s">
        <v>97</v>
      </c>
      <c r="L27" s="4" t="s">
        <v>77</v>
      </c>
      <c r="N27" s="17" t="s">
        <v>98</v>
      </c>
      <c r="O27" s="17"/>
      <c r="P27" s="17" t="s">
        <v>99</v>
      </c>
      <c r="Q27" s="17"/>
      <c r="R27" s="17"/>
      <c r="S27" s="3" t="s">
        <v>40</v>
      </c>
      <c r="T27" s="17" t="s">
        <v>41</v>
      </c>
      <c r="U27" s="17"/>
      <c r="V27" s="4" t="s">
        <v>42</v>
      </c>
      <c r="W27" s="4" t="s">
        <v>100</v>
      </c>
      <c r="X27" s="4" t="s">
        <v>101</v>
      </c>
      <c r="Y27" s="17" t="s">
        <v>45</v>
      </c>
      <c r="Z27" s="17"/>
      <c r="AA27" s="4" t="s">
        <v>46</v>
      </c>
      <c r="AB27" s="4" t="s">
        <v>47</v>
      </c>
      <c r="AC27" s="4" t="s">
        <v>48</v>
      </c>
      <c r="AD27" s="4" t="s">
        <v>82</v>
      </c>
      <c r="AE27" s="4" t="s">
        <v>50</v>
      </c>
      <c r="AF27" s="4" t="s">
        <v>41</v>
      </c>
      <c r="AG27" s="4" t="s">
        <v>51</v>
      </c>
    </row>
    <row r="28" spans="1:33" ht="16.5" customHeight="1" x14ac:dyDescent="0.2">
      <c r="A28" s="2" t="s">
        <v>31</v>
      </c>
      <c r="B28" s="15" t="s">
        <v>32</v>
      </c>
      <c r="C28" s="15"/>
      <c r="D28" s="15"/>
      <c r="E28" s="16" t="s">
        <v>33</v>
      </c>
      <c r="F28" s="16"/>
      <c r="G28" s="17" t="s">
        <v>34</v>
      </c>
      <c r="H28" s="17"/>
      <c r="I28" s="17"/>
      <c r="J28" s="3" t="s">
        <v>35</v>
      </c>
      <c r="K28" s="4" t="s">
        <v>102</v>
      </c>
      <c r="L28" s="4" t="s">
        <v>37</v>
      </c>
      <c r="N28" s="17" t="s">
        <v>103</v>
      </c>
      <c r="O28" s="17"/>
      <c r="P28" s="17" t="s">
        <v>104</v>
      </c>
      <c r="Q28" s="17"/>
      <c r="R28" s="17"/>
      <c r="S28" s="3" t="s">
        <v>40</v>
      </c>
      <c r="T28" s="17" t="s">
        <v>41</v>
      </c>
      <c r="U28" s="17"/>
      <c r="V28" s="4" t="s">
        <v>42</v>
      </c>
      <c r="W28" s="4" t="s">
        <v>100</v>
      </c>
      <c r="X28" s="4" t="s">
        <v>101</v>
      </c>
      <c r="Y28" s="17" t="s">
        <v>45</v>
      </c>
      <c r="Z28" s="17"/>
      <c r="AA28" s="4" t="s">
        <v>46</v>
      </c>
      <c r="AB28" s="4" t="s">
        <v>47</v>
      </c>
      <c r="AC28" s="4" t="s">
        <v>48</v>
      </c>
      <c r="AD28" s="4" t="s">
        <v>49</v>
      </c>
      <c r="AE28" s="4" t="s">
        <v>50</v>
      </c>
      <c r="AF28" s="4" t="s">
        <v>41</v>
      </c>
      <c r="AG28" s="4" t="s">
        <v>51</v>
      </c>
    </row>
    <row r="29" spans="1:33" ht="16.5" customHeight="1" x14ac:dyDescent="0.2">
      <c r="A29" s="2" t="s">
        <v>31</v>
      </c>
      <c r="B29" s="15" t="s">
        <v>32</v>
      </c>
      <c r="C29" s="15"/>
      <c r="D29" s="15"/>
      <c r="E29" s="16" t="s">
        <v>33</v>
      </c>
      <c r="F29" s="16"/>
      <c r="G29" s="17" t="s">
        <v>34</v>
      </c>
      <c r="H29" s="17"/>
      <c r="I29" s="17"/>
      <c r="J29" s="3" t="s">
        <v>35</v>
      </c>
      <c r="K29" s="4" t="s">
        <v>36</v>
      </c>
      <c r="L29" s="4" t="s">
        <v>37</v>
      </c>
      <c r="N29" s="17" t="s">
        <v>105</v>
      </c>
      <c r="O29" s="17"/>
      <c r="P29" s="17" t="s">
        <v>106</v>
      </c>
      <c r="Q29" s="17"/>
      <c r="R29" s="17"/>
      <c r="S29" s="3" t="s">
        <v>40</v>
      </c>
      <c r="T29" s="17" t="s">
        <v>41</v>
      </c>
      <c r="U29" s="17"/>
      <c r="V29" s="4" t="s">
        <v>42</v>
      </c>
      <c r="W29" s="4" t="s">
        <v>74</v>
      </c>
      <c r="X29" s="4" t="s">
        <v>75</v>
      </c>
      <c r="Y29" s="17" t="s">
        <v>45</v>
      </c>
      <c r="Z29" s="17"/>
      <c r="AA29" s="4" t="s">
        <v>46</v>
      </c>
      <c r="AB29" s="4" t="s">
        <v>47</v>
      </c>
      <c r="AC29" s="4" t="s">
        <v>48</v>
      </c>
      <c r="AD29" s="4" t="s">
        <v>49</v>
      </c>
      <c r="AE29" s="4" t="s">
        <v>50</v>
      </c>
      <c r="AF29" s="4" t="s">
        <v>41</v>
      </c>
      <c r="AG29" s="4" t="s">
        <v>51</v>
      </c>
    </row>
    <row r="30" spans="1:33" ht="16.5" customHeight="1" x14ac:dyDescent="0.2">
      <c r="A30" s="2" t="s">
        <v>31</v>
      </c>
      <c r="B30" s="15" t="s">
        <v>32</v>
      </c>
      <c r="C30" s="15"/>
      <c r="D30" s="15"/>
      <c r="E30" s="16" t="s">
        <v>33</v>
      </c>
      <c r="F30" s="16"/>
      <c r="G30" s="17" t="s">
        <v>34</v>
      </c>
      <c r="H30" s="17"/>
      <c r="I30" s="17"/>
      <c r="J30" s="3" t="s">
        <v>35</v>
      </c>
      <c r="K30" s="4" t="s">
        <v>107</v>
      </c>
      <c r="L30" s="4" t="s">
        <v>37</v>
      </c>
      <c r="N30" s="17" t="s">
        <v>108</v>
      </c>
      <c r="O30" s="17"/>
      <c r="P30" s="17" t="s">
        <v>109</v>
      </c>
      <c r="Q30" s="17"/>
      <c r="R30" s="17"/>
      <c r="S30" s="3" t="s">
        <v>40</v>
      </c>
      <c r="T30" s="17" t="s">
        <v>41</v>
      </c>
      <c r="U30" s="17"/>
      <c r="V30" s="4" t="s">
        <v>42</v>
      </c>
      <c r="W30" s="4" t="s">
        <v>74</v>
      </c>
      <c r="X30" s="4" t="s">
        <v>75</v>
      </c>
      <c r="Y30" s="17" t="s">
        <v>45</v>
      </c>
      <c r="Z30" s="17"/>
      <c r="AA30" s="4" t="s">
        <v>46</v>
      </c>
      <c r="AB30" s="4" t="s">
        <v>47</v>
      </c>
      <c r="AC30" s="4" t="s">
        <v>48</v>
      </c>
      <c r="AD30" s="4" t="s">
        <v>49</v>
      </c>
      <c r="AE30" s="4" t="s">
        <v>50</v>
      </c>
      <c r="AF30" s="4" t="s">
        <v>41</v>
      </c>
      <c r="AG30" s="4" t="s">
        <v>51</v>
      </c>
    </row>
    <row r="31" spans="1:33" ht="16.5" customHeight="1" x14ac:dyDescent="0.2">
      <c r="A31" s="2" t="s">
        <v>31</v>
      </c>
      <c r="B31" s="15" t="s">
        <v>32</v>
      </c>
      <c r="C31" s="15"/>
      <c r="D31" s="15"/>
      <c r="E31" s="16" t="s">
        <v>33</v>
      </c>
      <c r="F31" s="16"/>
      <c r="G31" s="17" t="s">
        <v>34</v>
      </c>
      <c r="H31" s="17"/>
      <c r="I31" s="17"/>
      <c r="J31" s="3" t="s">
        <v>35</v>
      </c>
      <c r="K31" s="4" t="s">
        <v>52</v>
      </c>
      <c r="L31" s="4" t="s">
        <v>71</v>
      </c>
      <c r="N31" s="17" t="s">
        <v>110</v>
      </c>
      <c r="O31" s="17"/>
      <c r="P31" s="17" t="s">
        <v>111</v>
      </c>
      <c r="Q31" s="17"/>
      <c r="R31" s="17"/>
      <c r="S31" s="3" t="s">
        <v>40</v>
      </c>
      <c r="T31" s="17" t="s">
        <v>41</v>
      </c>
      <c r="U31" s="17"/>
      <c r="V31" s="4" t="s">
        <v>42</v>
      </c>
      <c r="W31" s="4" t="s">
        <v>112</v>
      </c>
      <c r="X31" s="4" t="s">
        <v>113</v>
      </c>
      <c r="Y31" s="17" t="s">
        <v>45</v>
      </c>
      <c r="Z31" s="17"/>
      <c r="AA31" s="4" t="s">
        <v>46</v>
      </c>
      <c r="AB31" s="4" t="s">
        <v>47</v>
      </c>
      <c r="AC31" s="4" t="s">
        <v>48</v>
      </c>
      <c r="AD31" s="4" t="s">
        <v>114</v>
      </c>
      <c r="AE31" s="4" t="s">
        <v>50</v>
      </c>
      <c r="AF31" s="4" t="s">
        <v>41</v>
      </c>
      <c r="AG31" s="4" t="s">
        <v>51</v>
      </c>
    </row>
    <row r="32" spans="1:33" ht="16.5" customHeight="1" x14ac:dyDescent="0.2">
      <c r="A32" s="2" t="s">
        <v>31</v>
      </c>
      <c r="B32" s="15" t="s">
        <v>32</v>
      </c>
      <c r="C32" s="15"/>
      <c r="D32" s="15"/>
      <c r="E32" s="16" t="s">
        <v>33</v>
      </c>
      <c r="F32" s="16"/>
      <c r="G32" s="17" t="s">
        <v>34</v>
      </c>
      <c r="H32" s="17"/>
      <c r="I32" s="17"/>
      <c r="J32" s="3" t="s">
        <v>35</v>
      </c>
      <c r="K32" s="4" t="s">
        <v>107</v>
      </c>
      <c r="L32" s="4" t="s">
        <v>77</v>
      </c>
      <c r="N32" s="17" t="s">
        <v>115</v>
      </c>
      <c r="O32" s="17"/>
      <c r="P32" s="17" t="s">
        <v>116</v>
      </c>
      <c r="Q32" s="17"/>
      <c r="R32" s="17"/>
      <c r="S32" s="3" t="s">
        <v>40</v>
      </c>
      <c r="T32" s="17" t="s">
        <v>41</v>
      </c>
      <c r="U32" s="17"/>
      <c r="V32" s="4" t="s">
        <v>42</v>
      </c>
      <c r="W32" s="4" t="s">
        <v>117</v>
      </c>
      <c r="X32" s="4" t="s">
        <v>118</v>
      </c>
      <c r="Y32" s="17" t="s">
        <v>45</v>
      </c>
      <c r="Z32" s="17"/>
      <c r="AA32" s="4" t="s">
        <v>46</v>
      </c>
      <c r="AB32" s="4" t="s">
        <v>47</v>
      </c>
      <c r="AC32" s="4" t="s">
        <v>48</v>
      </c>
      <c r="AD32" s="4" t="s">
        <v>82</v>
      </c>
      <c r="AE32" s="4" t="s">
        <v>50</v>
      </c>
      <c r="AF32" s="4" t="s">
        <v>41</v>
      </c>
      <c r="AG32" s="4" t="s">
        <v>51</v>
      </c>
    </row>
    <row r="33" spans="1:33" ht="16.5" customHeight="1" x14ac:dyDescent="0.2">
      <c r="A33" s="2" t="s">
        <v>31</v>
      </c>
      <c r="B33" s="15" t="s">
        <v>32</v>
      </c>
      <c r="C33" s="15"/>
      <c r="D33" s="15"/>
      <c r="E33" s="16" t="s">
        <v>33</v>
      </c>
      <c r="F33" s="16"/>
      <c r="G33" s="17" t="s">
        <v>34</v>
      </c>
      <c r="H33" s="17"/>
      <c r="I33" s="17"/>
      <c r="J33" s="3" t="s">
        <v>35</v>
      </c>
      <c r="K33" s="4" t="s">
        <v>36</v>
      </c>
      <c r="L33" s="4" t="s">
        <v>77</v>
      </c>
      <c r="N33" s="17" t="s">
        <v>119</v>
      </c>
      <c r="O33" s="17"/>
      <c r="P33" s="17" t="s">
        <v>120</v>
      </c>
      <c r="Q33" s="17"/>
      <c r="R33" s="17"/>
      <c r="S33" s="3" t="s">
        <v>40</v>
      </c>
      <c r="T33" s="17" t="s">
        <v>41</v>
      </c>
      <c r="U33" s="17"/>
      <c r="V33" s="4" t="s">
        <v>42</v>
      </c>
      <c r="W33" s="4" t="s">
        <v>121</v>
      </c>
      <c r="X33" s="4" t="s">
        <v>122</v>
      </c>
      <c r="Y33" s="17" t="s">
        <v>45</v>
      </c>
      <c r="Z33" s="17"/>
      <c r="AA33" s="4" t="s">
        <v>46</v>
      </c>
      <c r="AB33" s="4" t="s">
        <v>47</v>
      </c>
      <c r="AC33" s="4" t="s">
        <v>48</v>
      </c>
      <c r="AD33" s="4" t="s">
        <v>82</v>
      </c>
      <c r="AE33" s="4" t="s">
        <v>50</v>
      </c>
      <c r="AF33" s="4" t="s">
        <v>41</v>
      </c>
      <c r="AG33" s="4" t="s">
        <v>51</v>
      </c>
    </row>
    <row r="34" spans="1:33" ht="16.5" customHeight="1" x14ac:dyDescent="0.2">
      <c r="A34" s="2" t="s">
        <v>31</v>
      </c>
      <c r="B34" s="15" t="s">
        <v>32</v>
      </c>
      <c r="C34" s="15"/>
      <c r="D34" s="15"/>
      <c r="E34" s="16" t="s">
        <v>33</v>
      </c>
      <c r="F34" s="16"/>
      <c r="G34" s="17" t="s">
        <v>34</v>
      </c>
      <c r="H34" s="17"/>
      <c r="I34" s="17"/>
      <c r="J34" s="3" t="s">
        <v>35</v>
      </c>
      <c r="K34" s="4" t="s">
        <v>52</v>
      </c>
      <c r="L34" s="4" t="s">
        <v>37</v>
      </c>
      <c r="N34" s="17" t="s">
        <v>123</v>
      </c>
      <c r="O34" s="17"/>
      <c r="P34" s="17" t="s">
        <v>124</v>
      </c>
      <c r="Q34" s="17"/>
      <c r="R34" s="17"/>
      <c r="S34" s="3" t="s">
        <v>40</v>
      </c>
      <c r="T34" s="17" t="s">
        <v>41</v>
      </c>
      <c r="U34" s="17"/>
      <c r="V34" s="4" t="s">
        <v>42</v>
      </c>
      <c r="W34" s="4" t="s">
        <v>125</v>
      </c>
      <c r="X34" s="4" t="s">
        <v>126</v>
      </c>
      <c r="Y34" s="17" t="s">
        <v>45</v>
      </c>
      <c r="Z34" s="17"/>
      <c r="AA34" s="4" t="s">
        <v>46</v>
      </c>
      <c r="AB34" s="4" t="s">
        <v>47</v>
      </c>
      <c r="AC34" s="4" t="s">
        <v>48</v>
      </c>
      <c r="AD34" s="4" t="s">
        <v>49</v>
      </c>
      <c r="AE34" s="4" t="s">
        <v>50</v>
      </c>
      <c r="AF34" s="4" t="s">
        <v>41</v>
      </c>
      <c r="AG34" s="4" t="s">
        <v>51</v>
      </c>
    </row>
    <row r="35" spans="1:33" ht="16.5" customHeight="1" x14ac:dyDescent="0.2">
      <c r="A35" s="2" t="s">
        <v>31</v>
      </c>
      <c r="B35" s="15" t="s">
        <v>32</v>
      </c>
      <c r="C35" s="15"/>
      <c r="D35" s="15"/>
      <c r="E35" s="16" t="s">
        <v>33</v>
      </c>
      <c r="F35" s="16"/>
      <c r="G35" s="17" t="s">
        <v>34</v>
      </c>
      <c r="H35" s="17"/>
      <c r="I35" s="17"/>
      <c r="J35" s="3" t="s">
        <v>35</v>
      </c>
      <c r="K35" s="4" t="s">
        <v>52</v>
      </c>
      <c r="L35" s="4" t="s">
        <v>77</v>
      </c>
      <c r="N35" s="17" t="s">
        <v>127</v>
      </c>
      <c r="O35" s="17"/>
      <c r="P35" s="17" t="s">
        <v>128</v>
      </c>
      <c r="Q35" s="17"/>
      <c r="R35" s="17"/>
      <c r="S35" s="3" t="s">
        <v>40</v>
      </c>
      <c r="T35" s="17" t="s">
        <v>41</v>
      </c>
      <c r="U35" s="17"/>
      <c r="V35" s="4" t="s">
        <v>42</v>
      </c>
      <c r="W35" s="4" t="s">
        <v>129</v>
      </c>
      <c r="X35" s="4" t="s">
        <v>130</v>
      </c>
      <c r="Y35" s="17" t="s">
        <v>45</v>
      </c>
      <c r="Z35" s="17"/>
      <c r="AA35" s="4" t="s">
        <v>46</v>
      </c>
      <c r="AB35" s="4" t="s">
        <v>47</v>
      </c>
      <c r="AC35" s="4" t="s">
        <v>48</v>
      </c>
      <c r="AD35" s="4" t="s">
        <v>82</v>
      </c>
      <c r="AE35" s="4" t="s">
        <v>50</v>
      </c>
      <c r="AF35" s="4" t="s">
        <v>41</v>
      </c>
      <c r="AG35" s="4" t="s">
        <v>51</v>
      </c>
    </row>
    <row r="36" spans="1:33" ht="16.5" customHeight="1" x14ac:dyDescent="0.2">
      <c r="A36" s="2" t="s">
        <v>31</v>
      </c>
      <c r="B36" s="15" t="s">
        <v>32</v>
      </c>
      <c r="C36" s="15"/>
      <c r="D36" s="15"/>
      <c r="E36" s="16" t="s">
        <v>33</v>
      </c>
      <c r="F36" s="16"/>
      <c r="G36" s="17" t="s">
        <v>34</v>
      </c>
      <c r="H36" s="17"/>
      <c r="I36" s="17"/>
      <c r="J36" s="3" t="s">
        <v>35</v>
      </c>
      <c r="K36" s="4" t="s">
        <v>97</v>
      </c>
      <c r="L36" s="4" t="s">
        <v>37</v>
      </c>
      <c r="N36" s="17" t="s">
        <v>131</v>
      </c>
      <c r="O36" s="17"/>
      <c r="P36" s="17" t="s">
        <v>132</v>
      </c>
      <c r="Q36" s="17"/>
      <c r="R36" s="17"/>
      <c r="S36" s="3" t="s">
        <v>40</v>
      </c>
      <c r="T36" s="17" t="s">
        <v>41</v>
      </c>
      <c r="U36" s="17"/>
      <c r="V36" s="4" t="s">
        <v>42</v>
      </c>
      <c r="W36" s="4" t="s">
        <v>55</v>
      </c>
      <c r="X36" s="4" t="s">
        <v>56</v>
      </c>
      <c r="Y36" s="17" t="s">
        <v>45</v>
      </c>
      <c r="Z36" s="17"/>
      <c r="AA36" s="4" t="s">
        <v>46</v>
      </c>
      <c r="AB36" s="4" t="s">
        <v>47</v>
      </c>
      <c r="AC36" s="4" t="s">
        <v>48</v>
      </c>
      <c r="AD36" s="4" t="s">
        <v>49</v>
      </c>
      <c r="AE36" s="4" t="s">
        <v>50</v>
      </c>
      <c r="AF36" s="4" t="s">
        <v>41</v>
      </c>
      <c r="AG36" s="4" t="s">
        <v>51</v>
      </c>
    </row>
    <row r="37" spans="1:33" ht="16.5" customHeight="1" x14ac:dyDescent="0.2">
      <c r="A37" s="2" t="s">
        <v>31</v>
      </c>
      <c r="B37" s="15" t="s">
        <v>32</v>
      </c>
      <c r="C37" s="15"/>
      <c r="D37" s="15"/>
      <c r="E37" s="16" t="s">
        <v>33</v>
      </c>
      <c r="F37" s="16"/>
      <c r="G37" s="17" t="s">
        <v>34</v>
      </c>
      <c r="H37" s="17"/>
      <c r="I37" s="17"/>
      <c r="J37" s="3" t="s">
        <v>35</v>
      </c>
      <c r="K37" s="4" t="s">
        <v>36</v>
      </c>
      <c r="L37" s="4" t="s">
        <v>77</v>
      </c>
      <c r="N37" s="17" t="s">
        <v>133</v>
      </c>
      <c r="O37" s="17"/>
      <c r="P37" s="17" t="s">
        <v>134</v>
      </c>
      <c r="Q37" s="17"/>
      <c r="R37" s="17"/>
      <c r="S37" s="3" t="s">
        <v>40</v>
      </c>
      <c r="T37" s="17" t="s">
        <v>41</v>
      </c>
      <c r="U37" s="17"/>
      <c r="V37" s="4" t="s">
        <v>42</v>
      </c>
      <c r="W37" s="4" t="s">
        <v>80</v>
      </c>
      <c r="X37" s="4" t="s">
        <v>81</v>
      </c>
      <c r="Y37" s="17" t="s">
        <v>45</v>
      </c>
      <c r="Z37" s="17"/>
      <c r="AA37" s="4" t="s">
        <v>46</v>
      </c>
      <c r="AB37" s="4" t="s">
        <v>47</v>
      </c>
      <c r="AC37" s="4" t="s">
        <v>48</v>
      </c>
      <c r="AD37" s="4" t="s">
        <v>82</v>
      </c>
      <c r="AE37" s="4" t="s">
        <v>50</v>
      </c>
      <c r="AF37" s="4" t="s">
        <v>41</v>
      </c>
      <c r="AG37" s="4" t="s">
        <v>51</v>
      </c>
    </row>
    <row r="38" spans="1:33" ht="16.5" customHeight="1" x14ac:dyDescent="0.2">
      <c r="A38" s="2" t="s">
        <v>31</v>
      </c>
      <c r="B38" s="15" t="s">
        <v>32</v>
      </c>
      <c r="C38" s="15"/>
      <c r="D38" s="15"/>
      <c r="E38" s="16" t="s">
        <v>33</v>
      </c>
      <c r="F38" s="16"/>
      <c r="G38" s="17" t="s">
        <v>34</v>
      </c>
      <c r="H38" s="17"/>
      <c r="I38" s="17"/>
      <c r="J38" s="3" t="s">
        <v>35</v>
      </c>
      <c r="K38" s="4" t="s">
        <v>36</v>
      </c>
      <c r="L38" s="4" t="s">
        <v>58</v>
      </c>
      <c r="N38" s="17" t="s">
        <v>135</v>
      </c>
      <c r="O38" s="17"/>
      <c r="P38" s="17" t="s">
        <v>136</v>
      </c>
      <c r="Q38" s="17"/>
      <c r="R38" s="17"/>
      <c r="S38" s="3" t="s">
        <v>40</v>
      </c>
      <c r="T38" s="17" t="s">
        <v>41</v>
      </c>
      <c r="U38" s="17"/>
      <c r="V38" s="4" t="s">
        <v>42</v>
      </c>
      <c r="W38" s="4" t="s">
        <v>80</v>
      </c>
      <c r="X38" s="4" t="s">
        <v>81</v>
      </c>
      <c r="Y38" s="17" t="s">
        <v>45</v>
      </c>
      <c r="Z38" s="17"/>
      <c r="AA38" s="4" t="s">
        <v>46</v>
      </c>
      <c r="AB38" s="4" t="s">
        <v>47</v>
      </c>
      <c r="AC38" s="4" t="s">
        <v>48</v>
      </c>
      <c r="AD38" s="4" t="s">
        <v>137</v>
      </c>
      <c r="AE38" s="4" t="s">
        <v>50</v>
      </c>
      <c r="AF38" s="4" t="s">
        <v>41</v>
      </c>
      <c r="AG38" s="4" t="s">
        <v>51</v>
      </c>
    </row>
    <row r="39" spans="1:33" ht="16.5" customHeight="1" x14ac:dyDescent="0.2">
      <c r="A39" s="2" t="s">
        <v>31</v>
      </c>
      <c r="B39" s="15" t="s">
        <v>32</v>
      </c>
      <c r="C39" s="15"/>
      <c r="D39" s="15"/>
      <c r="E39" s="16" t="s">
        <v>33</v>
      </c>
      <c r="F39" s="16"/>
      <c r="G39" s="17" t="s">
        <v>34</v>
      </c>
      <c r="H39" s="17"/>
      <c r="I39" s="17"/>
      <c r="J39" s="3" t="s">
        <v>35</v>
      </c>
      <c r="K39" s="4" t="s">
        <v>138</v>
      </c>
      <c r="L39" s="4" t="s">
        <v>37</v>
      </c>
      <c r="N39" s="17" t="s">
        <v>139</v>
      </c>
      <c r="O39" s="17"/>
      <c r="P39" s="17" t="s">
        <v>140</v>
      </c>
      <c r="Q39" s="17"/>
      <c r="R39" s="17"/>
      <c r="S39" s="3" t="s">
        <v>40</v>
      </c>
      <c r="T39" s="17" t="s">
        <v>41</v>
      </c>
      <c r="U39" s="17"/>
      <c r="V39" s="4" t="s">
        <v>42</v>
      </c>
      <c r="W39" s="4" t="s">
        <v>141</v>
      </c>
      <c r="X39" s="4" t="s">
        <v>142</v>
      </c>
      <c r="Y39" s="17" t="s">
        <v>45</v>
      </c>
      <c r="Z39" s="17"/>
      <c r="AA39" s="4" t="s">
        <v>46</v>
      </c>
      <c r="AB39" s="4" t="s">
        <v>47</v>
      </c>
      <c r="AC39" s="4" t="s">
        <v>48</v>
      </c>
      <c r="AD39" s="4" t="s">
        <v>49</v>
      </c>
      <c r="AE39" s="4" t="s">
        <v>50</v>
      </c>
      <c r="AF39" s="4" t="s">
        <v>41</v>
      </c>
      <c r="AG39" s="4" t="s">
        <v>51</v>
      </c>
    </row>
    <row r="40" spans="1:33" ht="16.5" customHeight="1" x14ac:dyDescent="0.2">
      <c r="A40" s="2" t="s">
        <v>31</v>
      </c>
      <c r="B40" s="15" t="s">
        <v>32</v>
      </c>
      <c r="C40" s="15"/>
      <c r="D40" s="15"/>
      <c r="E40" s="16" t="s">
        <v>33</v>
      </c>
      <c r="F40" s="16"/>
      <c r="G40" s="17" t="s">
        <v>34</v>
      </c>
      <c r="H40" s="17"/>
      <c r="I40" s="17"/>
      <c r="J40" s="3" t="s">
        <v>35</v>
      </c>
      <c r="K40" s="4" t="s">
        <v>107</v>
      </c>
      <c r="L40" s="4" t="s">
        <v>77</v>
      </c>
      <c r="N40" s="17" t="s">
        <v>143</v>
      </c>
      <c r="O40" s="17"/>
      <c r="P40" s="17" t="s">
        <v>144</v>
      </c>
      <c r="Q40" s="17"/>
      <c r="R40" s="17"/>
      <c r="S40" s="3" t="s">
        <v>40</v>
      </c>
      <c r="T40" s="17" t="s">
        <v>41</v>
      </c>
      <c r="U40" s="17"/>
      <c r="V40" s="4" t="s">
        <v>42</v>
      </c>
      <c r="W40" s="4" t="s">
        <v>141</v>
      </c>
      <c r="X40" s="4" t="s">
        <v>142</v>
      </c>
      <c r="Y40" s="17" t="s">
        <v>45</v>
      </c>
      <c r="Z40" s="17"/>
      <c r="AA40" s="4" t="s">
        <v>46</v>
      </c>
      <c r="AB40" s="4" t="s">
        <v>47</v>
      </c>
      <c r="AC40" s="4" t="s">
        <v>48</v>
      </c>
      <c r="AD40" s="4" t="s">
        <v>82</v>
      </c>
      <c r="AE40" s="4" t="s">
        <v>50</v>
      </c>
      <c r="AF40" s="4" t="s">
        <v>41</v>
      </c>
      <c r="AG40" s="4" t="s">
        <v>51</v>
      </c>
    </row>
    <row r="41" spans="1:33" ht="16.5" customHeight="1" x14ac:dyDescent="0.2">
      <c r="A41" s="2" t="s">
        <v>31</v>
      </c>
      <c r="B41" s="15" t="s">
        <v>32</v>
      </c>
      <c r="C41" s="15"/>
      <c r="D41" s="15"/>
      <c r="E41" s="16" t="s">
        <v>33</v>
      </c>
      <c r="F41" s="16"/>
      <c r="G41" s="17" t="s">
        <v>34</v>
      </c>
      <c r="H41" s="17"/>
      <c r="I41" s="17"/>
      <c r="J41" s="3" t="s">
        <v>35</v>
      </c>
      <c r="K41" s="4" t="s">
        <v>66</v>
      </c>
      <c r="L41" s="4" t="s">
        <v>37</v>
      </c>
      <c r="N41" s="17" t="s">
        <v>145</v>
      </c>
      <c r="O41" s="17"/>
      <c r="P41" s="17" t="s">
        <v>146</v>
      </c>
      <c r="Q41" s="17"/>
      <c r="R41" s="17"/>
      <c r="S41" s="3" t="s">
        <v>40</v>
      </c>
      <c r="T41" s="17" t="s">
        <v>41</v>
      </c>
      <c r="U41" s="17"/>
      <c r="V41" s="4" t="s">
        <v>42</v>
      </c>
      <c r="W41" s="4" t="s">
        <v>147</v>
      </c>
      <c r="X41" s="4" t="s">
        <v>148</v>
      </c>
      <c r="Y41" s="17" t="s">
        <v>45</v>
      </c>
      <c r="Z41" s="17"/>
      <c r="AA41" s="4" t="s">
        <v>46</v>
      </c>
      <c r="AB41" s="4" t="s">
        <v>47</v>
      </c>
      <c r="AC41" s="4" t="s">
        <v>48</v>
      </c>
      <c r="AD41" s="4" t="s">
        <v>49</v>
      </c>
      <c r="AE41" s="4" t="s">
        <v>50</v>
      </c>
      <c r="AF41" s="4" t="s">
        <v>41</v>
      </c>
      <c r="AG41" s="4" t="s">
        <v>51</v>
      </c>
    </row>
    <row r="42" spans="1:33" ht="16.5" customHeight="1" x14ac:dyDescent="0.2">
      <c r="A42" s="2" t="s">
        <v>31</v>
      </c>
      <c r="B42" s="15" t="s">
        <v>32</v>
      </c>
      <c r="C42" s="15"/>
      <c r="D42" s="15"/>
      <c r="E42" s="16" t="s">
        <v>33</v>
      </c>
      <c r="F42" s="16"/>
      <c r="G42" s="17" t="s">
        <v>34</v>
      </c>
      <c r="H42" s="17"/>
      <c r="I42" s="17"/>
      <c r="J42" s="3" t="s">
        <v>35</v>
      </c>
      <c r="K42" s="4" t="s">
        <v>66</v>
      </c>
      <c r="L42" s="4" t="s">
        <v>37</v>
      </c>
      <c r="N42" s="17" t="s">
        <v>149</v>
      </c>
      <c r="O42" s="17"/>
      <c r="P42" s="17" t="s">
        <v>150</v>
      </c>
      <c r="Q42" s="17"/>
      <c r="R42" s="17"/>
      <c r="S42" s="3" t="s">
        <v>40</v>
      </c>
      <c r="T42" s="17" t="s">
        <v>41</v>
      </c>
      <c r="U42" s="17"/>
      <c r="V42" s="4" t="s">
        <v>42</v>
      </c>
      <c r="W42" s="4" t="s">
        <v>147</v>
      </c>
      <c r="X42" s="4" t="s">
        <v>148</v>
      </c>
      <c r="Y42" s="17" t="s">
        <v>45</v>
      </c>
      <c r="Z42" s="17"/>
      <c r="AA42" s="4" t="s">
        <v>46</v>
      </c>
      <c r="AB42" s="4" t="s">
        <v>47</v>
      </c>
      <c r="AC42" s="4" t="s">
        <v>48</v>
      </c>
      <c r="AD42" s="4" t="s">
        <v>49</v>
      </c>
      <c r="AE42" s="4" t="s">
        <v>50</v>
      </c>
      <c r="AF42" s="4" t="s">
        <v>41</v>
      </c>
      <c r="AG42" s="4" t="s">
        <v>51</v>
      </c>
    </row>
    <row r="43" spans="1:33" ht="16.5" customHeight="1" x14ac:dyDescent="0.2">
      <c r="A43" s="2" t="s">
        <v>31</v>
      </c>
      <c r="B43" s="15" t="s">
        <v>32</v>
      </c>
      <c r="C43" s="15"/>
      <c r="D43" s="15"/>
      <c r="E43" s="16" t="s">
        <v>33</v>
      </c>
      <c r="F43" s="16"/>
      <c r="G43" s="17" t="s">
        <v>34</v>
      </c>
      <c r="H43" s="17"/>
      <c r="I43" s="17"/>
      <c r="J43" s="3" t="s">
        <v>35</v>
      </c>
      <c r="K43" s="4" t="s">
        <v>97</v>
      </c>
      <c r="L43" s="4" t="s">
        <v>77</v>
      </c>
      <c r="N43" s="17" t="s">
        <v>151</v>
      </c>
      <c r="O43" s="17"/>
      <c r="P43" s="17" t="s">
        <v>152</v>
      </c>
      <c r="Q43" s="17"/>
      <c r="R43" s="17"/>
      <c r="S43" s="3" t="s">
        <v>40</v>
      </c>
      <c r="T43" s="17" t="s">
        <v>41</v>
      </c>
      <c r="U43" s="17"/>
      <c r="V43" s="4" t="s">
        <v>42</v>
      </c>
      <c r="W43" s="4" t="s">
        <v>153</v>
      </c>
      <c r="X43" s="4" t="s">
        <v>154</v>
      </c>
      <c r="Y43" s="17" t="s">
        <v>45</v>
      </c>
      <c r="Z43" s="17"/>
      <c r="AA43" s="4" t="s">
        <v>46</v>
      </c>
      <c r="AB43" s="4" t="s">
        <v>47</v>
      </c>
      <c r="AC43" s="4" t="s">
        <v>48</v>
      </c>
      <c r="AD43" s="4" t="s">
        <v>82</v>
      </c>
      <c r="AE43" s="4" t="s">
        <v>50</v>
      </c>
      <c r="AF43" s="4" t="s">
        <v>41</v>
      </c>
      <c r="AG43" s="4" t="s">
        <v>51</v>
      </c>
    </row>
    <row r="44" spans="1:33" ht="16.5" customHeight="1" x14ac:dyDescent="0.2">
      <c r="A44" s="2" t="s">
        <v>31</v>
      </c>
      <c r="B44" s="15" t="s">
        <v>32</v>
      </c>
      <c r="C44" s="15"/>
      <c r="D44" s="15"/>
      <c r="E44" s="16" t="s">
        <v>33</v>
      </c>
      <c r="F44" s="16"/>
      <c r="G44" s="17" t="s">
        <v>34</v>
      </c>
      <c r="H44" s="17"/>
      <c r="I44" s="17"/>
      <c r="J44" s="3" t="s">
        <v>35</v>
      </c>
      <c r="K44" s="4" t="s">
        <v>36</v>
      </c>
      <c r="L44" s="4" t="s">
        <v>37</v>
      </c>
      <c r="N44" s="17" t="s">
        <v>155</v>
      </c>
      <c r="O44" s="17"/>
      <c r="P44" s="17" t="s">
        <v>156</v>
      </c>
      <c r="Q44" s="17"/>
      <c r="R44" s="17"/>
      <c r="S44" s="3" t="s">
        <v>40</v>
      </c>
      <c r="T44" s="17" t="s">
        <v>41</v>
      </c>
      <c r="U44" s="17"/>
      <c r="V44" s="4" t="s">
        <v>42</v>
      </c>
      <c r="W44" s="4" t="s">
        <v>157</v>
      </c>
      <c r="X44" s="4" t="s">
        <v>158</v>
      </c>
      <c r="Y44" s="17" t="s">
        <v>45</v>
      </c>
      <c r="Z44" s="17"/>
      <c r="AA44" s="4" t="s">
        <v>46</v>
      </c>
      <c r="AB44" s="4" t="s">
        <v>47</v>
      </c>
      <c r="AC44" s="4" t="s">
        <v>48</v>
      </c>
      <c r="AD44" s="4" t="s">
        <v>49</v>
      </c>
      <c r="AE44" s="4" t="s">
        <v>50</v>
      </c>
      <c r="AF44" s="4" t="s">
        <v>41</v>
      </c>
      <c r="AG44" s="4" t="s">
        <v>51</v>
      </c>
    </row>
    <row r="45" spans="1:33" ht="16.5" customHeight="1" x14ac:dyDescent="0.2">
      <c r="A45" s="2" t="s">
        <v>31</v>
      </c>
      <c r="B45" s="15" t="s">
        <v>32</v>
      </c>
      <c r="C45" s="15"/>
      <c r="D45" s="15"/>
      <c r="E45" s="16" t="s">
        <v>33</v>
      </c>
      <c r="F45" s="16"/>
      <c r="G45" s="17" t="s">
        <v>34</v>
      </c>
      <c r="H45" s="17"/>
      <c r="I45" s="17"/>
      <c r="J45" s="3" t="s">
        <v>35</v>
      </c>
      <c r="K45" s="4" t="s">
        <v>159</v>
      </c>
      <c r="L45" s="4" t="s">
        <v>37</v>
      </c>
      <c r="N45" s="17" t="s">
        <v>160</v>
      </c>
      <c r="O45" s="17"/>
      <c r="P45" s="17" t="s">
        <v>161</v>
      </c>
      <c r="Q45" s="17"/>
      <c r="R45" s="17"/>
      <c r="S45" s="3" t="s">
        <v>40</v>
      </c>
      <c r="T45" s="17" t="s">
        <v>41</v>
      </c>
      <c r="U45" s="17"/>
      <c r="V45" s="4" t="s">
        <v>42</v>
      </c>
      <c r="W45" s="4" t="s">
        <v>162</v>
      </c>
      <c r="X45" s="4" t="s">
        <v>163</v>
      </c>
      <c r="Y45" s="17" t="s">
        <v>63</v>
      </c>
      <c r="Z45" s="17"/>
      <c r="AA45" s="4" t="s">
        <v>46</v>
      </c>
      <c r="AB45" s="4" t="s">
        <v>47</v>
      </c>
      <c r="AC45" s="4" t="s">
        <v>64</v>
      </c>
      <c r="AD45" s="4" t="s">
        <v>164</v>
      </c>
      <c r="AE45" s="4" t="s">
        <v>50</v>
      </c>
      <c r="AF45" s="4" t="s">
        <v>41</v>
      </c>
      <c r="AG45" s="4" t="s">
        <v>51</v>
      </c>
    </row>
    <row r="46" spans="1:33" ht="16.5" customHeight="1" x14ac:dyDescent="0.2">
      <c r="A46" s="2" t="s">
        <v>31</v>
      </c>
      <c r="B46" s="15" t="s">
        <v>32</v>
      </c>
      <c r="C46" s="15"/>
      <c r="D46" s="15"/>
      <c r="E46" s="16" t="s">
        <v>33</v>
      </c>
      <c r="F46" s="16"/>
      <c r="G46" s="17" t="s">
        <v>34</v>
      </c>
      <c r="H46" s="17"/>
      <c r="I46" s="17"/>
      <c r="J46" s="3" t="s">
        <v>35</v>
      </c>
      <c r="K46" s="4" t="s">
        <v>102</v>
      </c>
      <c r="L46" s="4" t="s">
        <v>37</v>
      </c>
      <c r="N46" s="17" t="s">
        <v>165</v>
      </c>
      <c r="O46" s="17"/>
      <c r="P46" s="17" t="s">
        <v>166</v>
      </c>
      <c r="Q46" s="17"/>
      <c r="R46" s="17"/>
      <c r="S46" s="3" t="s">
        <v>40</v>
      </c>
      <c r="T46" s="17" t="s">
        <v>41</v>
      </c>
      <c r="U46" s="17"/>
      <c r="V46" s="4" t="s">
        <v>42</v>
      </c>
      <c r="W46" s="4" t="s">
        <v>112</v>
      </c>
      <c r="X46" s="4" t="s">
        <v>113</v>
      </c>
      <c r="Y46" s="17" t="s">
        <v>45</v>
      </c>
      <c r="Z46" s="17"/>
      <c r="AA46" s="4" t="s">
        <v>46</v>
      </c>
      <c r="AB46" s="4" t="s">
        <v>47</v>
      </c>
      <c r="AC46" s="4" t="s">
        <v>48</v>
      </c>
      <c r="AD46" s="4" t="s">
        <v>49</v>
      </c>
      <c r="AE46" s="4" t="s">
        <v>50</v>
      </c>
      <c r="AF46" s="4" t="s">
        <v>41</v>
      </c>
      <c r="AG46" s="4" t="s">
        <v>51</v>
      </c>
    </row>
    <row r="47" spans="1:33" ht="16.5" customHeight="1" x14ac:dyDescent="0.2">
      <c r="A47" s="2" t="s">
        <v>31</v>
      </c>
      <c r="B47" s="15" t="s">
        <v>32</v>
      </c>
      <c r="C47" s="15"/>
      <c r="D47" s="15"/>
      <c r="E47" s="16" t="s">
        <v>33</v>
      </c>
      <c r="F47" s="16"/>
      <c r="G47" s="17" t="s">
        <v>34</v>
      </c>
      <c r="H47" s="17"/>
      <c r="I47" s="17"/>
      <c r="J47" s="3" t="s">
        <v>35</v>
      </c>
      <c r="K47" s="4" t="s">
        <v>102</v>
      </c>
      <c r="L47" s="4" t="s">
        <v>37</v>
      </c>
      <c r="N47" s="17" t="s">
        <v>167</v>
      </c>
      <c r="O47" s="17"/>
      <c r="P47" s="17" t="s">
        <v>168</v>
      </c>
      <c r="Q47" s="17"/>
      <c r="R47" s="17"/>
      <c r="S47" s="3" t="s">
        <v>40</v>
      </c>
      <c r="T47" s="17" t="s">
        <v>41</v>
      </c>
      <c r="U47" s="17"/>
      <c r="V47" s="4" t="s">
        <v>42</v>
      </c>
      <c r="W47" s="4" t="s">
        <v>169</v>
      </c>
      <c r="X47" s="4" t="s">
        <v>170</v>
      </c>
      <c r="Y47" s="17" t="s">
        <v>45</v>
      </c>
      <c r="Z47" s="17"/>
      <c r="AA47" s="4" t="s">
        <v>46</v>
      </c>
      <c r="AB47" s="4" t="s">
        <v>47</v>
      </c>
      <c r="AC47" s="4" t="s">
        <v>48</v>
      </c>
      <c r="AD47" s="4" t="s">
        <v>49</v>
      </c>
      <c r="AE47" s="4" t="s">
        <v>50</v>
      </c>
      <c r="AF47" s="4" t="s">
        <v>41</v>
      </c>
      <c r="AG47" s="4" t="s">
        <v>51</v>
      </c>
    </row>
    <row r="48" spans="1:33" ht="16.5" customHeight="1" x14ac:dyDescent="0.2">
      <c r="A48" s="2" t="s">
        <v>31</v>
      </c>
      <c r="B48" s="15" t="s">
        <v>32</v>
      </c>
      <c r="C48" s="15"/>
      <c r="D48" s="15"/>
      <c r="E48" s="16" t="s">
        <v>33</v>
      </c>
      <c r="F48" s="16"/>
      <c r="G48" s="17" t="s">
        <v>34</v>
      </c>
      <c r="H48" s="17"/>
      <c r="I48" s="17"/>
      <c r="J48" s="3" t="s">
        <v>35</v>
      </c>
      <c r="K48" s="4" t="s">
        <v>66</v>
      </c>
      <c r="L48" s="4" t="s">
        <v>37</v>
      </c>
      <c r="N48" s="17" t="s">
        <v>171</v>
      </c>
      <c r="O48" s="17"/>
      <c r="P48" s="17" t="s">
        <v>172</v>
      </c>
      <c r="Q48" s="17"/>
      <c r="R48" s="17"/>
      <c r="S48" s="3" t="s">
        <v>40</v>
      </c>
      <c r="T48" s="17" t="s">
        <v>41</v>
      </c>
      <c r="U48" s="17"/>
      <c r="V48" s="4" t="s">
        <v>42</v>
      </c>
      <c r="W48" s="4" t="s">
        <v>173</v>
      </c>
      <c r="X48" s="4" t="s">
        <v>174</v>
      </c>
      <c r="Y48" s="17" t="s">
        <v>45</v>
      </c>
      <c r="Z48" s="17"/>
      <c r="AA48" s="4" t="s">
        <v>46</v>
      </c>
      <c r="AB48" s="4" t="s">
        <v>47</v>
      </c>
      <c r="AC48" s="4" t="s">
        <v>48</v>
      </c>
      <c r="AD48" s="4" t="s">
        <v>49</v>
      </c>
      <c r="AE48" s="4" t="s">
        <v>50</v>
      </c>
      <c r="AF48" s="4" t="s">
        <v>41</v>
      </c>
      <c r="AG48" s="4" t="s">
        <v>51</v>
      </c>
    </row>
    <row r="49" spans="1:33" ht="16.5" customHeight="1" x14ac:dyDescent="0.2">
      <c r="A49" s="2" t="s">
        <v>31</v>
      </c>
      <c r="B49" s="15" t="s">
        <v>32</v>
      </c>
      <c r="C49" s="15"/>
      <c r="D49" s="15"/>
      <c r="E49" s="16" t="s">
        <v>33</v>
      </c>
      <c r="F49" s="16"/>
      <c r="G49" s="17" t="s">
        <v>34</v>
      </c>
      <c r="H49" s="17"/>
      <c r="I49" s="17"/>
      <c r="J49" s="3" t="s">
        <v>35</v>
      </c>
      <c r="K49" s="4" t="s">
        <v>52</v>
      </c>
      <c r="L49" s="4" t="s">
        <v>37</v>
      </c>
      <c r="N49" s="17" t="s">
        <v>175</v>
      </c>
      <c r="O49" s="17"/>
      <c r="P49" s="17" t="s">
        <v>176</v>
      </c>
      <c r="Q49" s="17"/>
      <c r="R49" s="17"/>
      <c r="S49" s="3" t="s">
        <v>40</v>
      </c>
      <c r="T49" s="17" t="s">
        <v>41</v>
      </c>
      <c r="U49" s="17"/>
      <c r="V49" s="4" t="s">
        <v>42</v>
      </c>
      <c r="W49" s="4" t="s">
        <v>177</v>
      </c>
      <c r="X49" s="4" t="s">
        <v>178</v>
      </c>
      <c r="Y49" s="17" t="s">
        <v>45</v>
      </c>
      <c r="Z49" s="17"/>
      <c r="AA49" s="4" t="s">
        <v>46</v>
      </c>
      <c r="AB49" s="4" t="s">
        <v>47</v>
      </c>
      <c r="AC49" s="4" t="s">
        <v>48</v>
      </c>
      <c r="AD49" s="4" t="s">
        <v>49</v>
      </c>
      <c r="AE49" s="4" t="s">
        <v>50</v>
      </c>
      <c r="AF49" s="4" t="s">
        <v>41</v>
      </c>
      <c r="AG49" s="4" t="s">
        <v>51</v>
      </c>
    </row>
    <row r="50" spans="1:33" ht="16.5" customHeight="1" x14ac:dyDescent="0.2">
      <c r="A50" s="2" t="s">
        <v>31</v>
      </c>
      <c r="B50" s="15" t="s">
        <v>32</v>
      </c>
      <c r="C50" s="15"/>
      <c r="D50" s="15"/>
      <c r="E50" s="16" t="s">
        <v>33</v>
      </c>
      <c r="F50" s="16"/>
      <c r="G50" s="17" t="s">
        <v>34</v>
      </c>
      <c r="H50" s="17"/>
      <c r="I50" s="17"/>
      <c r="J50" s="3" t="s">
        <v>35</v>
      </c>
      <c r="K50" s="4" t="s">
        <v>179</v>
      </c>
      <c r="L50" s="4" t="s">
        <v>37</v>
      </c>
      <c r="N50" s="17" t="s">
        <v>180</v>
      </c>
      <c r="O50" s="17"/>
      <c r="P50" s="17" t="s">
        <v>181</v>
      </c>
      <c r="Q50" s="17"/>
      <c r="R50" s="17"/>
      <c r="S50" s="3" t="s">
        <v>40</v>
      </c>
      <c r="T50" s="17" t="s">
        <v>41</v>
      </c>
      <c r="U50" s="17"/>
      <c r="V50" s="4" t="s">
        <v>42</v>
      </c>
      <c r="W50" s="4" t="s">
        <v>61</v>
      </c>
      <c r="X50" s="4" t="s">
        <v>62</v>
      </c>
      <c r="Y50" s="17" t="s">
        <v>63</v>
      </c>
      <c r="Z50" s="17"/>
      <c r="AA50" s="4" t="s">
        <v>46</v>
      </c>
      <c r="AB50" s="4" t="s">
        <v>47</v>
      </c>
      <c r="AC50" s="4" t="s">
        <v>64</v>
      </c>
      <c r="AD50" s="4" t="s">
        <v>164</v>
      </c>
      <c r="AE50" s="4" t="s">
        <v>50</v>
      </c>
      <c r="AF50" s="4" t="s">
        <v>41</v>
      </c>
      <c r="AG50" s="4" t="s">
        <v>51</v>
      </c>
    </row>
    <row r="51" spans="1:33" ht="16.5" customHeight="1" x14ac:dyDescent="0.2">
      <c r="A51" s="2" t="s">
        <v>31</v>
      </c>
      <c r="B51" s="15" t="s">
        <v>32</v>
      </c>
      <c r="C51" s="15"/>
      <c r="D51" s="15"/>
      <c r="E51" s="16" t="s">
        <v>33</v>
      </c>
      <c r="F51" s="16"/>
      <c r="G51" s="17" t="s">
        <v>34</v>
      </c>
      <c r="H51" s="17"/>
      <c r="I51" s="17"/>
      <c r="J51" s="3" t="s">
        <v>35</v>
      </c>
      <c r="K51" s="4" t="s">
        <v>182</v>
      </c>
      <c r="L51" s="4" t="s">
        <v>77</v>
      </c>
      <c r="N51" s="17" t="s">
        <v>183</v>
      </c>
      <c r="O51" s="17"/>
      <c r="P51" s="17" t="s">
        <v>184</v>
      </c>
      <c r="Q51" s="17"/>
      <c r="R51" s="17"/>
      <c r="S51" s="3" t="s">
        <v>40</v>
      </c>
      <c r="T51" s="17" t="s">
        <v>41</v>
      </c>
      <c r="U51" s="17"/>
      <c r="V51" s="4" t="s">
        <v>42</v>
      </c>
      <c r="W51" s="4" t="s">
        <v>69</v>
      </c>
      <c r="X51" s="4" t="s">
        <v>70</v>
      </c>
      <c r="Y51" s="17" t="s">
        <v>45</v>
      </c>
      <c r="Z51" s="17"/>
      <c r="AA51" s="4" t="s">
        <v>46</v>
      </c>
      <c r="AB51" s="4" t="s">
        <v>47</v>
      </c>
      <c r="AC51" s="4" t="s">
        <v>48</v>
      </c>
      <c r="AD51" s="4" t="s">
        <v>82</v>
      </c>
      <c r="AE51" s="4" t="s">
        <v>50</v>
      </c>
      <c r="AF51" s="4" t="s">
        <v>41</v>
      </c>
      <c r="AG51" s="4" t="s">
        <v>51</v>
      </c>
    </row>
    <row r="52" spans="1:33" ht="16.5" customHeight="1" x14ac:dyDescent="0.2">
      <c r="A52" s="2" t="s">
        <v>31</v>
      </c>
      <c r="B52" s="15" t="s">
        <v>32</v>
      </c>
      <c r="C52" s="15"/>
      <c r="D52" s="15"/>
      <c r="E52" s="16" t="s">
        <v>33</v>
      </c>
      <c r="F52" s="16"/>
      <c r="G52" s="17" t="s">
        <v>34</v>
      </c>
      <c r="H52" s="17"/>
      <c r="I52" s="17"/>
      <c r="J52" s="3" t="s">
        <v>35</v>
      </c>
      <c r="K52" s="4" t="s">
        <v>36</v>
      </c>
      <c r="L52" s="4" t="s">
        <v>37</v>
      </c>
      <c r="N52" s="17" t="s">
        <v>185</v>
      </c>
      <c r="O52" s="17"/>
      <c r="P52" s="17" t="s">
        <v>186</v>
      </c>
      <c r="Q52" s="17"/>
      <c r="R52" s="17"/>
      <c r="S52" s="3" t="s">
        <v>40</v>
      </c>
      <c r="T52" s="17" t="s">
        <v>41</v>
      </c>
      <c r="U52" s="17"/>
      <c r="V52" s="4" t="s">
        <v>42</v>
      </c>
      <c r="W52" s="4" t="s">
        <v>61</v>
      </c>
      <c r="X52" s="4" t="s">
        <v>62</v>
      </c>
      <c r="Y52" s="17" t="s">
        <v>45</v>
      </c>
      <c r="Z52" s="17"/>
      <c r="AA52" s="4" t="s">
        <v>46</v>
      </c>
      <c r="AB52" s="4" t="s">
        <v>47</v>
      </c>
      <c r="AC52" s="4" t="s">
        <v>48</v>
      </c>
      <c r="AD52" s="4" t="s">
        <v>49</v>
      </c>
      <c r="AE52" s="4" t="s">
        <v>50</v>
      </c>
      <c r="AF52" s="4" t="s">
        <v>41</v>
      </c>
      <c r="AG52" s="4" t="s">
        <v>51</v>
      </c>
    </row>
    <row r="53" spans="1:33" ht="16.5" customHeight="1" x14ac:dyDescent="0.2">
      <c r="A53" s="2" t="s">
        <v>31</v>
      </c>
      <c r="B53" s="15" t="s">
        <v>32</v>
      </c>
      <c r="C53" s="15"/>
      <c r="D53" s="15"/>
      <c r="E53" s="16" t="s">
        <v>33</v>
      </c>
      <c r="F53" s="16"/>
      <c r="G53" s="17" t="s">
        <v>34</v>
      </c>
      <c r="H53" s="17"/>
      <c r="I53" s="17"/>
      <c r="J53" s="3" t="s">
        <v>35</v>
      </c>
      <c r="K53" s="4" t="s">
        <v>36</v>
      </c>
      <c r="L53" s="4" t="s">
        <v>37</v>
      </c>
      <c r="N53" s="17" t="s">
        <v>187</v>
      </c>
      <c r="O53" s="17"/>
      <c r="P53" s="17" t="s">
        <v>188</v>
      </c>
      <c r="Q53" s="17"/>
      <c r="R53" s="17"/>
      <c r="S53" s="3" t="s">
        <v>40</v>
      </c>
      <c r="T53" s="17" t="s">
        <v>41</v>
      </c>
      <c r="U53" s="17"/>
      <c r="V53" s="4" t="s">
        <v>42</v>
      </c>
      <c r="W53" s="4" t="s">
        <v>61</v>
      </c>
      <c r="X53" s="4" t="s">
        <v>62</v>
      </c>
      <c r="Y53" s="17" t="s">
        <v>45</v>
      </c>
      <c r="Z53" s="17"/>
      <c r="AA53" s="4" t="s">
        <v>46</v>
      </c>
      <c r="AB53" s="4" t="s">
        <v>47</v>
      </c>
      <c r="AC53" s="4" t="s">
        <v>48</v>
      </c>
      <c r="AD53" s="4" t="s">
        <v>49</v>
      </c>
      <c r="AE53" s="4" t="s">
        <v>50</v>
      </c>
      <c r="AF53" s="4" t="s">
        <v>41</v>
      </c>
      <c r="AG53" s="4" t="s">
        <v>51</v>
      </c>
    </row>
    <row r="54" spans="1:33" ht="16.5" customHeight="1" x14ac:dyDescent="0.2">
      <c r="A54" s="2" t="s">
        <v>31</v>
      </c>
      <c r="B54" s="15" t="s">
        <v>32</v>
      </c>
      <c r="C54" s="15"/>
      <c r="D54" s="15"/>
      <c r="E54" s="16" t="s">
        <v>33</v>
      </c>
      <c r="F54" s="16"/>
      <c r="G54" s="17" t="s">
        <v>34</v>
      </c>
      <c r="H54" s="17"/>
      <c r="I54" s="17"/>
      <c r="J54" s="3" t="s">
        <v>35</v>
      </c>
      <c r="K54" s="4" t="s">
        <v>179</v>
      </c>
      <c r="L54" s="4" t="s">
        <v>37</v>
      </c>
      <c r="N54" s="17" t="s">
        <v>189</v>
      </c>
      <c r="O54" s="17"/>
      <c r="P54" s="17" t="s">
        <v>190</v>
      </c>
      <c r="Q54" s="17"/>
      <c r="R54" s="17"/>
      <c r="S54" s="3" t="s">
        <v>40</v>
      </c>
      <c r="T54" s="17" t="s">
        <v>41</v>
      </c>
      <c r="U54" s="17"/>
      <c r="V54" s="4" t="s">
        <v>42</v>
      </c>
      <c r="W54" s="4" t="s">
        <v>61</v>
      </c>
      <c r="X54" s="4" t="s">
        <v>62</v>
      </c>
      <c r="Y54" s="17" t="s">
        <v>63</v>
      </c>
      <c r="Z54" s="17"/>
      <c r="AA54" s="4" t="s">
        <v>46</v>
      </c>
      <c r="AB54" s="4" t="s">
        <v>47</v>
      </c>
      <c r="AC54" s="4" t="s">
        <v>64</v>
      </c>
      <c r="AD54" s="4" t="s">
        <v>164</v>
      </c>
      <c r="AE54" s="4" t="s">
        <v>50</v>
      </c>
      <c r="AF54" s="4" t="s">
        <v>41</v>
      </c>
      <c r="AG54" s="4" t="s">
        <v>51</v>
      </c>
    </row>
    <row r="55" spans="1:33" ht="16.5" customHeight="1" x14ac:dyDescent="0.2">
      <c r="A55" s="2" t="s">
        <v>31</v>
      </c>
      <c r="B55" s="15" t="s">
        <v>32</v>
      </c>
      <c r="C55" s="15"/>
      <c r="D55" s="15"/>
      <c r="E55" s="16" t="s">
        <v>33</v>
      </c>
      <c r="F55" s="16"/>
      <c r="G55" s="17" t="s">
        <v>34</v>
      </c>
      <c r="H55" s="17"/>
      <c r="I55" s="17"/>
      <c r="J55" s="3" t="s">
        <v>35</v>
      </c>
      <c r="K55" s="4" t="s">
        <v>52</v>
      </c>
      <c r="L55" s="4" t="s">
        <v>37</v>
      </c>
      <c r="N55" s="17" t="s">
        <v>191</v>
      </c>
      <c r="O55" s="17"/>
      <c r="P55" s="17" t="s">
        <v>192</v>
      </c>
      <c r="Q55" s="17"/>
      <c r="R55" s="17"/>
      <c r="S55" s="3" t="s">
        <v>40</v>
      </c>
      <c r="T55" s="17" t="s">
        <v>41</v>
      </c>
      <c r="U55" s="17"/>
      <c r="V55" s="4" t="s">
        <v>42</v>
      </c>
      <c r="W55" s="4" t="s">
        <v>61</v>
      </c>
      <c r="X55" s="4" t="s">
        <v>62</v>
      </c>
      <c r="Y55" s="17" t="s">
        <v>45</v>
      </c>
      <c r="Z55" s="17"/>
      <c r="AA55" s="4" t="s">
        <v>46</v>
      </c>
      <c r="AB55" s="4" t="s">
        <v>47</v>
      </c>
      <c r="AC55" s="4" t="s">
        <v>48</v>
      </c>
      <c r="AD55" s="4" t="s">
        <v>49</v>
      </c>
      <c r="AE55" s="4" t="s">
        <v>50</v>
      </c>
      <c r="AF55" s="4" t="s">
        <v>41</v>
      </c>
      <c r="AG55" s="4" t="s">
        <v>51</v>
      </c>
    </row>
    <row r="56" spans="1:33" ht="16.5" customHeight="1" x14ac:dyDescent="0.2">
      <c r="A56" s="2" t="s">
        <v>31</v>
      </c>
      <c r="B56" s="15" t="s">
        <v>32</v>
      </c>
      <c r="C56" s="15"/>
      <c r="D56" s="15"/>
      <c r="E56" s="16" t="s">
        <v>33</v>
      </c>
      <c r="F56" s="16"/>
      <c r="G56" s="17" t="s">
        <v>34</v>
      </c>
      <c r="H56" s="17"/>
      <c r="I56" s="17"/>
      <c r="J56" s="3" t="s">
        <v>35</v>
      </c>
      <c r="K56" s="4" t="s">
        <v>138</v>
      </c>
      <c r="L56" s="4" t="s">
        <v>77</v>
      </c>
      <c r="N56" s="17" t="s">
        <v>193</v>
      </c>
      <c r="O56" s="17"/>
      <c r="P56" s="17" t="s">
        <v>194</v>
      </c>
      <c r="Q56" s="17"/>
      <c r="R56" s="17"/>
      <c r="S56" s="3" t="s">
        <v>40</v>
      </c>
      <c r="T56" s="17" t="s">
        <v>41</v>
      </c>
      <c r="U56" s="17"/>
      <c r="V56" s="4" t="s">
        <v>55</v>
      </c>
      <c r="W56" s="4" t="s">
        <v>61</v>
      </c>
      <c r="X56" s="4" t="s">
        <v>195</v>
      </c>
      <c r="Y56" s="17" t="s">
        <v>45</v>
      </c>
      <c r="Z56" s="17"/>
      <c r="AA56" s="4" t="s">
        <v>46</v>
      </c>
      <c r="AB56" s="4" t="s">
        <v>47</v>
      </c>
      <c r="AC56" s="4" t="s">
        <v>48</v>
      </c>
      <c r="AD56" s="4" t="s">
        <v>82</v>
      </c>
      <c r="AE56" s="4" t="s">
        <v>50</v>
      </c>
      <c r="AF56" s="4" t="s">
        <v>41</v>
      </c>
      <c r="AG56" s="4" t="s">
        <v>51</v>
      </c>
    </row>
    <row r="57" spans="1:33" ht="16.5" customHeight="1" x14ac:dyDescent="0.2">
      <c r="A57" s="2" t="s">
        <v>31</v>
      </c>
      <c r="B57" s="15" t="s">
        <v>32</v>
      </c>
      <c r="C57" s="15"/>
      <c r="D57" s="15"/>
      <c r="E57" s="16" t="s">
        <v>33</v>
      </c>
      <c r="F57" s="16"/>
      <c r="G57" s="17" t="s">
        <v>34</v>
      </c>
      <c r="H57" s="17"/>
      <c r="I57" s="17"/>
      <c r="J57" s="3" t="s">
        <v>35</v>
      </c>
      <c r="K57" s="4" t="s">
        <v>138</v>
      </c>
      <c r="L57" s="4" t="s">
        <v>196</v>
      </c>
      <c r="N57" s="17" t="s">
        <v>193</v>
      </c>
      <c r="O57" s="17"/>
      <c r="P57" s="17" t="s">
        <v>194</v>
      </c>
      <c r="Q57" s="17"/>
      <c r="R57" s="17"/>
      <c r="S57" s="3" t="s">
        <v>40</v>
      </c>
      <c r="T57" s="17" t="s">
        <v>41</v>
      </c>
      <c r="U57" s="17"/>
      <c r="V57" s="4" t="s">
        <v>55</v>
      </c>
      <c r="W57" s="4" t="s">
        <v>61</v>
      </c>
      <c r="X57" s="4" t="s">
        <v>195</v>
      </c>
      <c r="Y57" s="17" t="s">
        <v>45</v>
      </c>
      <c r="Z57" s="17"/>
      <c r="AA57" s="4" t="s">
        <v>46</v>
      </c>
      <c r="AB57" s="4" t="s">
        <v>47</v>
      </c>
      <c r="AC57" s="4" t="s">
        <v>48</v>
      </c>
      <c r="AD57" s="4" t="s">
        <v>197</v>
      </c>
      <c r="AE57" s="4" t="s">
        <v>50</v>
      </c>
      <c r="AF57" s="4" t="s">
        <v>41</v>
      </c>
      <c r="AG57" s="4" t="s">
        <v>51</v>
      </c>
    </row>
    <row r="58" spans="1:33" ht="16.5" customHeight="1" x14ac:dyDescent="0.2">
      <c r="A58" s="2" t="s">
        <v>31</v>
      </c>
      <c r="B58" s="15" t="s">
        <v>32</v>
      </c>
      <c r="C58" s="15"/>
      <c r="D58" s="15"/>
      <c r="E58" s="16" t="s">
        <v>33</v>
      </c>
      <c r="F58" s="16"/>
      <c r="G58" s="17" t="s">
        <v>34</v>
      </c>
      <c r="H58" s="17"/>
      <c r="I58" s="17"/>
      <c r="J58" s="3" t="s">
        <v>35</v>
      </c>
      <c r="K58" s="4" t="s">
        <v>138</v>
      </c>
      <c r="L58" s="4" t="s">
        <v>196</v>
      </c>
      <c r="N58" s="17" t="s">
        <v>193</v>
      </c>
      <c r="O58" s="17"/>
      <c r="P58" s="17" t="s">
        <v>194</v>
      </c>
      <c r="Q58" s="17"/>
      <c r="R58" s="17"/>
      <c r="S58" s="3" t="s">
        <v>40</v>
      </c>
      <c r="T58" s="17" t="s">
        <v>41</v>
      </c>
      <c r="U58" s="17"/>
      <c r="V58" s="4" t="s">
        <v>198</v>
      </c>
      <c r="W58" s="4" t="s">
        <v>61</v>
      </c>
      <c r="X58" s="4" t="s">
        <v>199</v>
      </c>
      <c r="Y58" s="17" t="s">
        <v>45</v>
      </c>
      <c r="Z58" s="17"/>
      <c r="AA58" s="4" t="s">
        <v>46</v>
      </c>
      <c r="AB58" s="4" t="s">
        <v>47</v>
      </c>
      <c r="AC58" s="4" t="s">
        <v>48</v>
      </c>
      <c r="AD58" s="4" t="s">
        <v>197</v>
      </c>
      <c r="AE58" s="4" t="s">
        <v>50</v>
      </c>
      <c r="AF58" s="4" t="s">
        <v>41</v>
      </c>
      <c r="AG58" s="4" t="s">
        <v>51</v>
      </c>
    </row>
    <row r="59" spans="1:33" ht="16.5" customHeight="1" x14ac:dyDescent="0.2">
      <c r="A59" s="2" t="s">
        <v>31</v>
      </c>
      <c r="B59" s="15" t="s">
        <v>32</v>
      </c>
      <c r="C59" s="15"/>
      <c r="D59" s="15"/>
      <c r="E59" s="16" t="s">
        <v>33</v>
      </c>
      <c r="F59" s="16"/>
      <c r="G59" s="17" t="s">
        <v>34</v>
      </c>
      <c r="H59" s="17"/>
      <c r="I59" s="17"/>
      <c r="J59" s="3" t="s">
        <v>35</v>
      </c>
      <c r="K59" s="4" t="s">
        <v>138</v>
      </c>
      <c r="L59" s="4" t="s">
        <v>77</v>
      </c>
      <c r="N59" s="17" t="s">
        <v>193</v>
      </c>
      <c r="O59" s="17"/>
      <c r="P59" s="17" t="s">
        <v>194</v>
      </c>
      <c r="Q59" s="17"/>
      <c r="R59" s="17"/>
      <c r="S59" s="3" t="s">
        <v>40</v>
      </c>
      <c r="T59" s="17" t="s">
        <v>41</v>
      </c>
      <c r="U59" s="17"/>
      <c r="V59" s="4" t="s">
        <v>198</v>
      </c>
      <c r="W59" s="4" t="s">
        <v>61</v>
      </c>
      <c r="X59" s="4" t="s">
        <v>199</v>
      </c>
      <c r="Y59" s="17" t="s">
        <v>45</v>
      </c>
      <c r="Z59" s="17"/>
      <c r="AA59" s="4" t="s">
        <v>46</v>
      </c>
      <c r="AB59" s="4" t="s">
        <v>47</v>
      </c>
      <c r="AC59" s="4" t="s">
        <v>48</v>
      </c>
      <c r="AD59" s="4" t="s">
        <v>82</v>
      </c>
      <c r="AE59" s="4" t="s">
        <v>50</v>
      </c>
      <c r="AF59" s="4" t="s">
        <v>41</v>
      </c>
      <c r="AG59" s="4" t="s">
        <v>51</v>
      </c>
    </row>
    <row r="60" spans="1:33" ht="16.5" customHeight="1" x14ac:dyDescent="0.2">
      <c r="A60" s="2" t="s">
        <v>31</v>
      </c>
      <c r="B60" s="15" t="s">
        <v>32</v>
      </c>
      <c r="C60" s="15"/>
      <c r="D60" s="15"/>
      <c r="E60" s="16" t="s">
        <v>33</v>
      </c>
      <c r="F60" s="16"/>
      <c r="G60" s="17" t="s">
        <v>34</v>
      </c>
      <c r="H60" s="17"/>
      <c r="I60" s="17"/>
      <c r="J60" s="3" t="s">
        <v>35</v>
      </c>
      <c r="K60" s="4" t="s">
        <v>138</v>
      </c>
      <c r="L60" s="4" t="s">
        <v>77</v>
      </c>
      <c r="N60" s="17" t="s">
        <v>193</v>
      </c>
      <c r="O60" s="17"/>
      <c r="P60" s="17" t="s">
        <v>194</v>
      </c>
      <c r="Q60" s="17"/>
      <c r="R60" s="17"/>
      <c r="S60" s="3" t="s">
        <v>40</v>
      </c>
      <c r="T60" s="17" t="s">
        <v>41</v>
      </c>
      <c r="U60" s="17"/>
      <c r="V60" s="4" t="s">
        <v>200</v>
      </c>
      <c r="W60" s="4" t="s">
        <v>61</v>
      </c>
      <c r="X60" s="4" t="s">
        <v>56</v>
      </c>
      <c r="Y60" s="17" t="s">
        <v>45</v>
      </c>
      <c r="Z60" s="17"/>
      <c r="AA60" s="4" t="s">
        <v>46</v>
      </c>
      <c r="AB60" s="4" t="s">
        <v>47</v>
      </c>
      <c r="AC60" s="4" t="s">
        <v>48</v>
      </c>
      <c r="AD60" s="4" t="s">
        <v>82</v>
      </c>
      <c r="AE60" s="4" t="s">
        <v>50</v>
      </c>
      <c r="AF60" s="4" t="s">
        <v>41</v>
      </c>
      <c r="AG60" s="4" t="s">
        <v>51</v>
      </c>
    </row>
    <row r="61" spans="1:33" ht="16.5" customHeight="1" x14ac:dyDescent="0.2">
      <c r="A61" s="2" t="s">
        <v>31</v>
      </c>
      <c r="B61" s="15" t="s">
        <v>32</v>
      </c>
      <c r="C61" s="15"/>
      <c r="D61" s="15"/>
      <c r="E61" s="16" t="s">
        <v>33</v>
      </c>
      <c r="F61" s="16"/>
      <c r="G61" s="17" t="s">
        <v>34</v>
      </c>
      <c r="H61" s="17"/>
      <c r="I61" s="17"/>
      <c r="J61" s="3" t="s">
        <v>35</v>
      </c>
      <c r="K61" s="4" t="s">
        <v>138</v>
      </c>
      <c r="L61" s="4" t="s">
        <v>196</v>
      </c>
      <c r="N61" s="17" t="s">
        <v>193</v>
      </c>
      <c r="O61" s="17"/>
      <c r="P61" s="17" t="s">
        <v>194</v>
      </c>
      <c r="Q61" s="17"/>
      <c r="R61" s="17"/>
      <c r="S61" s="3" t="s">
        <v>40</v>
      </c>
      <c r="T61" s="17" t="s">
        <v>41</v>
      </c>
      <c r="U61" s="17"/>
      <c r="V61" s="4" t="s">
        <v>200</v>
      </c>
      <c r="W61" s="4" t="s">
        <v>61</v>
      </c>
      <c r="X61" s="4" t="s">
        <v>56</v>
      </c>
      <c r="Y61" s="17" t="s">
        <v>45</v>
      </c>
      <c r="Z61" s="17"/>
      <c r="AA61" s="4" t="s">
        <v>46</v>
      </c>
      <c r="AB61" s="4" t="s">
        <v>47</v>
      </c>
      <c r="AC61" s="4" t="s">
        <v>48</v>
      </c>
      <c r="AD61" s="4" t="s">
        <v>197</v>
      </c>
      <c r="AE61" s="4" t="s">
        <v>50</v>
      </c>
      <c r="AF61" s="4" t="s">
        <v>41</v>
      </c>
      <c r="AG61" s="4" t="s">
        <v>51</v>
      </c>
    </row>
    <row r="62" spans="1:33" ht="16.5" customHeight="1" x14ac:dyDescent="0.2">
      <c r="A62" s="2" t="s">
        <v>31</v>
      </c>
      <c r="B62" s="15" t="s">
        <v>32</v>
      </c>
      <c r="C62" s="15"/>
      <c r="D62" s="15"/>
      <c r="E62" s="16" t="s">
        <v>33</v>
      </c>
      <c r="F62" s="16"/>
      <c r="G62" s="17" t="s">
        <v>34</v>
      </c>
      <c r="H62" s="17"/>
      <c r="I62" s="17"/>
      <c r="J62" s="3" t="s">
        <v>35</v>
      </c>
      <c r="K62" s="4" t="s">
        <v>138</v>
      </c>
      <c r="L62" s="4" t="s">
        <v>77</v>
      </c>
      <c r="N62" s="17" t="s">
        <v>193</v>
      </c>
      <c r="O62" s="17"/>
      <c r="P62" s="17" t="s">
        <v>194</v>
      </c>
      <c r="Q62" s="17"/>
      <c r="R62" s="17"/>
      <c r="S62" s="3" t="s">
        <v>40</v>
      </c>
      <c r="T62" s="17" t="s">
        <v>41</v>
      </c>
      <c r="U62" s="17"/>
      <c r="V62" s="4" t="s">
        <v>201</v>
      </c>
      <c r="W62" s="4" t="s">
        <v>61</v>
      </c>
      <c r="X62" s="4" t="s">
        <v>70</v>
      </c>
      <c r="Y62" s="17" t="s">
        <v>45</v>
      </c>
      <c r="Z62" s="17"/>
      <c r="AA62" s="4" t="s">
        <v>46</v>
      </c>
      <c r="AB62" s="4" t="s">
        <v>47</v>
      </c>
      <c r="AC62" s="4" t="s">
        <v>48</v>
      </c>
      <c r="AD62" s="4" t="s">
        <v>82</v>
      </c>
      <c r="AE62" s="4" t="s">
        <v>50</v>
      </c>
      <c r="AF62" s="4" t="s">
        <v>41</v>
      </c>
      <c r="AG62" s="4" t="s">
        <v>51</v>
      </c>
    </row>
    <row r="63" spans="1:33" ht="16.5" customHeight="1" x14ac:dyDescent="0.2">
      <c r="A63" s="2" t="s">
        <v>31</v>
      </c>
      <c r="B63" s="15" t="s">
        <v>32</v>
      </c>
      <c r="C63" s="15"/>
      <c r="D63" s="15"/>
      <c r="E63" s="16" t="s">
        <v>33</v>
      </c>
      <c r="F63" s="16"/>
      <c r="G63" s="17" t="s">
        <v>34</v>
      </c>
      <c r="H63" s="17"/>
      <c r="I63" s="17"/>
      <c r="J63" s="3" t="s">
        <v>35</v>
      </c>
      <c r="K63" s="4" t="s">
        <v>138</v>
      </c>
      <c r="L63" s="4" t="s">
        <v>196</v>
      </c>
      <c r="N63" s="17" t="s">
        <v>193</v>
      </c>
      <c r="O63" s="17"/>
      <c r="P63" s="17" t="s">
        <v>194</v>
      </c>
      <c r="Q63" s="17"/>
      <c r="R63" s="17"/>
      <c r="S63" s="3" t="s">
        <v>40</v>
      </c>
      <c r="T63" s="17" t="s">
        <v>41</v>
      </c>
      <c r="U63" s="17"/>
      <c r="V63" s="4" t="s">
        <v>201</v>
      </c>
      <c r="W63" s="4" t="s">
        <v>61</v>
      </c>
      <c r="X63" s="4" t="s">
        <v>70</v>
      </c>
      <c r="Y63" s="17" t="s">
        <v>45</v>
      </c>
      <c r="Z63" s="17"/>
      <c r="AA63" s="4" t="s">
        <v>46</v>
      </c>
      <c r="AB63" s="4" t="s">
        <v>47</v>
      </c>
      <c r="AC63" s="4" t="s">
        <v>48</v>
      </c>
      <c r="AD63" s="4" t="s">
        <v>197</v>
      </c>
      <c r="AE63" s="4" t="s">
        <v>50</v>
      </c>
      <c r="AF63" s="4" t="s">
        <v>41</v>
      </c>
      <c r="AG63" s="4" t="s">
        <v>51</v>
      </c>
    </row>
    <row r="64" spans="1:33" ht="16.5" customHeight="1" x14ac:dyDescent="0.2">
      <c r="A64" s="2" t="s">
        <v>31</v>
      </c>
      <c r="B64" s="15" t="s">
        <v>32</v>
      </c>
      <c r="C64" s="15"/>
      <c r="D64" s="15"/>
      <c r="E64" s="16" t="s">
        <v>33</v>
      </c>
      <c r="F64" s="16"/>
      <c r="G64" s="17" t="s">
        <v>34</v>
      </c>
      <c r="H64" s="17"/>
      <c r="I64" s="17"/>
      <c r="J64" s="3" t="s">
        <v>35</v>
      </c>
      <c r="K64" s="4" t="s">
        <v>202</v>
      </c>
      <c r="L64" s="4" t="s">
        <v>58</v>
      </c>
      <c r="N64" s="17" t="s">
        <v>203</v>
      </c>
      <c r="O64" s="17"/>
      <c r="P64" s="17" t="s">
        <v>204</v>
      </c>
      <c r="Q64" s="17"/>
      <c r="R64" s="17"/>
      <c r="S64" s="3" t="s">
        <v>40</v>
      </c>
      <c r="T64" s="17" t="s">
        <v>41</v>
      </c>
      <c r="U64" s="17"/>
      <c r="V64" s="4" t="s">
        <v>42</v>
      </c>
      <c r="W64" s="4" t="s">
        <v>205</v>
      </c>
      <c r="X64" s="4" t="s">
        <v>206</v>
      </c>
      <c r="Y64" s="17" t="s">
        <v>45</v>
      </c>
      <c r="Z64" s="17"/>
      <c r="AA64" s="4" t="s">
        <v>46</v>
      </c>
      <c r="AB64" s="4" t="s">
        <v>47</v>
      </c>
      <c r="AC64" s="4" t="s">
        <v>48</v>
      </c>
      <c r="AD64" s="4" t="s">
        <v>137</v>
      </c>
      <c r="AE64" s="4" t="s">
        <v>50</v>
      </c>
      <c r="AF64" s="4" t="s">
        <v>41</v>
      </c>
      <c r="AG64" s="4" t="s">
        <v>51</v>
      </c>
    </row>
    <row r="65" spans="1:33" ht="16.5" customHeight="1" x14ac:dyDescent="0.2">
      <c r="A65" s="2" t="s">
        <v>31</v>
      </c>
      <c r="B65" s="15" t="s">
        <v>32</v>
      </c>
      <c r="C65" s="15"/>
      <c r="D65" s="15"/>
      <c r="E65" s="16" t="s">
        <v>33</v>
      </c>
      <c r="F65" s="16"/>
      <c r="G65" s="17" t="s">
        <v>34</v>
      </c>
      <c r="H65" s="17"/>
      <c r="I65" s="17"/>
      <c r="J65" s="3" t="s">
        <v>35</v>
      </c>
      <c r="K65" s="4" t="s">
        <v>66</v>
      </c>
      <c r="L65" s="4" t="s">
        <v>77</v>
      </c>
      <c r="N65" s="17" t="s">
        <v>207</v>
      </c>
      <c r="O65" s="17"/>
      <c r="P65" s="17" t="s">
        <v>208</v>
      </c>
      <c r="Q65" s="17"/>
      <c r="R65" s="17"/>
      <c r="S65" s="3" t="s">
        <v>40</v>
      </c>
      <c r="T65" s="17" t="s">
        <v>41</v>
      </c>
      <c r="U65" s="17"/>
      <c r="V65" s="4" t="s">
        <v>42</v>
      </c>
      <c r="W65" s="4" t="s">
        <v>205</v>
      </c>
      <c r="X65" s="4" t="s">
        <v>206</v>
      </c>
      <c r="Y65" s="17" t="s">
        <v>45</v>
      </c>
      <c r="Z65" s="17"/>
      <c r="AA65" s="4" t="s">
        <v>46</v>
      </c>
      <c r="AB65" s="4" t="s">
        <v>47</v>
      </c>
      <c r="AC65" s="4" t="s">
        <v>48</v>
      </c>
      <c r="AD65" s="4" t="s">
        <v>82</v>
      </c>
      <c r="AE65" s="4" t="s">
        <v>50</v>
      </c>
      <c r="AF65" s="4" t="s">
        <v>41</v>
      </c>
      <c r="AG65" s="4" t="s">
        <v>51</v>
      </c>
    </row>
    <row r="66" spans="1:33" ht="16.5" customHeight="1" x14ac:dyDescent="0.2">
      <c r="A66" s="2" t="s">
        <v>31</v>
      </c>
      <c r="B66" s="15" t="s">
        <v>32</v>
      </c>
      <c r="C66" s="15"/>
      <c r="D66" s="15"/>
      <c r="E66" s="16" t="s">
        <v>33</v>
      </c>
      <c r="F66" s="16"/>
      <c r="G66" s="17" t="s">
        <v>34</v>
      </c>
      <c r="H66" s="17"/>
      <c r="I66" s="17"/>
      <c r="J66" s="3" t="s">
        <v>35</v>
      </c>
      <c r="K66" s="4" t="s">
        <v>52</v>
      </c>
      <c r="L66" s="4" t="s">
        <v>77</v>
      </c>
      <c r="N66" s="17" t="s">
        <v>209</v>
      </c>
      <c r="O66" s="17"/>
      <c r="P66" s="17" t="s">
        <v>210</v>
      </c>
      <c r="Q66" s="17"/>
      <c r="R66" s="17"/>
      <c r="S66" s="3" t="s">
        <v>40</v>
      </c>
      <c r="T66" s="17" t="s">
        <v>41</v>
      </c>
      <c r="U66" s="17"/>
      <c r="V66" s="4" t="s">
        <v>42</v>
      </c>
      <c r="W66" s="4" t="s">
        <v>55</v>
      </c>
      <c r="X66" s="4" t="s">
        <v>56</v>
      </c>
      <c r="Y66" s="17" t="s">
        <v>45</v>
      </c>
      <c r="Z66" s="17"/>
      <c r="AA66" s="4" t="s">
        <v>46</v>
      </c>
      <c r="AB66" s="4" t="s">
        <v>47</v>
      </c>
      <c r="AC66" s="4" t="s">
        <v>48</v>
      </c>
      <c r="AD66" s="4" t="s">
        <v>82</v>
      </c>
      <c r="AE66" s="4" t="s">
        <v>50</v>
      </c>
      <c r="AF66" s="4" t="s">
        <v>41</v>
      </c>
      <c r="AG66" s="4" t="s">
        <v>51</v>
      </c>
    </row>
    <row r="67" spans="1:33" ht="16.5" customHeight="1" x14ac:dyDescent="0.2">
      <c r="A67" s="2" t="s">
        <v>31</v>
      </c>
      <c r="B67" s="15" t="s">
        <v>32</v>
      </c>
      <c r="C67" s="15"/>
      <c r="D67" s="15"/>
      <c r="E67" s="16" t="s">
        <v>33</v>
      </c>
      <c r="F67" s="16"/>
      <c r="G67" s="17" t="s">
        <v>34</v>
      </c>
      <c r="H67" s="17"/>
      <c r="I67" s="17"/>
      <c r="J67" s="3" t="s">
        <v>35</v>
      </c>
      <c r="K67" s="4" t="s">
        <v>52</v>
      </c>
      <c r="L67" s="4" t="s">
        <v>77</v>
      </c>
      <c r="N67" s="17" t="s">
        <v>211</v>
      </c>
      <c r="O67" s="17"/>
      <c r="P67" s="17" t="s">
        <v>212</v>
      </c>
      <c r="Q67" s="17"/>
      <c r="R67" s="17"/>
      <c r="S67" s="3" t="s">
        <v>40</v>
      </c>
      <c r="T67" s="17" t="s">
        <v>41</v>
      </c>
      <c r="U67" s="17"/>
      <c r="V67" s="4" t="s">
        <v>42</v>
      </c>
      <c r="W67" s="4" t="s">
        <v>69</v>
      </c>
      <c r="X67" s="4" t="s">
        <v>70</v>
      </c>
      <c r="Y67" s="17" t="s">
        <v>45</v>
      </c>
      <c r="Z67" s="17"/>
      <c r="AA67" s="4" t="s">
        <v>46</v>
      </c>
      <c r="AB67" s="4" t="s">
        <v>47</v>
      </c>
      <c r="AC67" s="4" t="s">
        <v>48</v>
      </c>
      <c r="AD67" s="4" t="s">
        <v>82</v>
      </c>
      <c r="AE67" s="4" t="s">
        <v>50</v>
      </c>
      <c r="AF67" s="4" t="s">
        <v>41</v>
      </c>
      <c r="AG67" s="4" t="s">
        <v>51</v>
      </c>
    </row>
    <row r="68" spans="1:33" ht="16.5" customHeight="1" x14ac:dyDescent="0.2">
      <c r="A68" s="2" t="s">
        <v>31</v>
      </c>
      <c r="B68" s="15" t="s">
        <v>32</v>
      </c>
      <c r="C68" s="15"/>
      <c r="D68" s="15"/>
      <c r="E68" s="16" t="s">
        <v>33</v>
      </c>
      <c r="F68" s="16"/>
      <c r="G68" s="17" t="s">
        <v>34</v>
      </c>
      <c r="H68" s="17"/>
      <c r="I68" s="17"/>
      <c r="J68" s="3" t="s">
        <v>35</v>
      </c>
      <c r="K68" s="4" t="s">
        <v>213</v>
      </c>
      <c r="L68" s="4" t="s">
        <v>77</v>
      </c>
      <c r="N68" s="17" t="s">
        <v>214</v>
      </c>
      <c r="O68" s="17"/>
      <c r="P68" s="17" t="s">
        <v>215</v>
      </c>
      <c r="Q68" s="17"/>
      <c r="R68" s="17"/>
      <c r="S68" s="3" t="s">
        <v>40</v>
      </c>
      <c r="T68" s="17" t="s">
        <v>41</v>
      </c>
      <c r="U68" s="17"/>
      <c r="V68" s="4" t="s">
        <v>42</v>
      </c>
      <c r="W68" s="4" t="s">
        <v>69</v>
      </c>
      <c r="X68" s="4" t="s">
        <v>70</v>
      </c>
      <c r="Y68" s="17" t="s">
        <v>45</v>
      </c>
      <c r="Z68" s="17"/>
      <c r="AA68" s="4" t="s">
        <v>46</v>
      </c>
      <c r="AB68" s="4" t="s">
        <v>47</v>
      </c>
      <c r="AC68" s="4" t="s">
        <v>48</v>
      </c>
      <c r="AD68" s="4" t="s">
        <v>82</v>
      </c>
      <c r="AE68" s="4" t="s">
        <v>50</v>
      </c>
      <c r="AF68" s="4" t="s">
        <v>41</v>
      </c>
      <c r="AG68" s="4" t="s">
        <v>51</v>
      </c>
    </row>
    <row r="69" spans="1:33" ht="16.5" customHeight="1" x14ac:dyDescent="0.2">
      <c r="A69" s="2" t="s">
        <v>31</v>
      </c>
      <c r="B69" s="15" t="s">
        <v>32</v>
      </c>
      <c r="C69" s="15"/>
      <c r="D69" s="15"/>
      <c r="E69" s="16" t="s">
        <v>33</v>
      </c>
      <c r="F69" s="16"/>
      <c r="G69" s="17" t="s">
        <v>34</v>
      </c>
      <c r="H69" s="17"/>
      <c r="I69" s="17"/>
      <c r="J69" s="3" t="s">
        <v>35</v>
      </c>
      <c r="K69" s="4" t="s">
        <v>102</v>
      </c>
      <c r="L69" s="4" t="s">
        <v>77</v>
      </c>
      <c r="N69" s="17" t="s">
        <v>216</v>
      </c>
      <c r="O69" s="17"/>
      <c r="P69" s="17" t="s">
        <v>217</v>
      </c>
      <c r="Q69" s="17"/>
      <c r="R69" s="17"/>
      <c r="S69" s="3" t="s">
        <v>40</v>
      </c>
      <c r="T69" s="17" t="s">
        <v>41</v>
      </c>
      <c r="U69" s="17"/>
      <c r="V69" s="4" t="s">
        <v>42</v>
      </c>
      <c r="W69" s="4" t="s">
        <v>69</v>
      </c>
      <c r="X69" s="4" t="s">
        <v>70</v>
      </c>
      <c r="Y69" s="17" t="s">
        <v>45</v>
      </c>
      <c r="Z69" s="17"/>
      <c r="AA69" s="4" t="s">
        <v>46</v>
      </c>
      <c r="AB69" s="4" t="s">
        <v>47</v>
      </c>
      <c r="AC69" s="4" t="s">
        <v>48</v>
      </c>
      <c r="AD69" s="4" t="s">
        <v>82</v>
      </c>
      <c r="AE69" s="4" t="s">
        <v>50</v>
      </c>
      <c r="AF69" s="4" t="s">
        <v>41</v>
      </c>
      <c r="AG69" s="4" t="s">
        <v>51</v>
      </c>
    </row>
    <row r="70" spans="1:33" ht="16.5" customHeight="1" x14ac:dyDescent="0.2">
      <c r="A70" s="2" t="s">
        <v>31</v>
      </c>
      <c r="B70" s="15" t="s">
        <v>32</v>
      </c>
      <c r="C70" s="15"/>
      <c r="D70" s="15"/>
      <c r="E70" s="16" t="s">
        <v>33</v>
      </c>
      <c r="F70" s="16"/>
      <c r="G70" s="17" t="s">
        <v>34</v>
      </c>
      <c r="H70" s="17"/>
      <c r="I70" s="17"/>
      <c r="J70" s="3" t="s">
        <v>35</v>
      </c>
      <c r="K70" s="4" t="s">
        <v>179</v>
      </c>
      <c r="L70" s="4" t="s">
        <v>37</v>
      </c>
      <c r="N70" s="17" t="s">
        <v>218</v>
      </c>
      <c r="O70" s="17"/>
      <c r="P70" s="17" t="s">
        <v>219</v>
      </c>
      <c r="Q70" s="17"/>
      <c r="R70" s="17"/>
      <c r="S70" s="3" t="s">
        <v>40</v>
      </c>
      <c r="T70" s="17" t="s">
        <v>41</v>
      </c>
      <c r="U70" s="17"/>
      <c r="V70" s="4" t="s">
        <v>42</v>
      </c>
      <c r="W70" s="4" t="s">
        <v>220</v>
      </c>
      <c r="X70" s="4" t="s">
        <v>221</v>
      </c>
      <c r="Y70" s="17" t="s">
        <v>63</v>
      </c>
      <c r="Z70" s="17"/>
      <c r="AA70" s="4" t="s">
        <v>46</v>
      </c>
      <c r="AB70" s="4" t="s">
        <v>47</v>
      </c>
      <c r="AC70" s="4" t="s">
        <v>64</v>
      </c>
      <c r="AD70" s="4" t="s">
        <v>164</v>
      </c>
      <c r="AE70" s="4" t="s">
        <v>50</v>
      </c>
      <c r="AF70" s="4" t="s">
        <v>41</v>
      </c>
      <c r="AG70" s="4" t="s">
        <v>51</v>
      </c>
    </row>
    <row r="71" spans="1:33" ht="16.5" customHeight="1" x14ac:dyDescent="0.2">
      <c r="A71" s="2" t="s">
        <v>31</v>
      </c>
      <c r="B71" s="15" t="s">
        <v>32</v>
      </c>
      <c r="C71" s="15"/>
      <c r="D71" s="15"/>
      <c r="E71" s="16" t="s">
        <v>33</v>
      </c>
      <c r="F71" s="16"/>
      <c r="G71" s="17" t="s">
        <v>34</v>
      </c>
      <c r="H71" s="17"/>
      <c r="I71" s="17"/>
      <c r="J71" s="3" t="s">
        <v>35</v>
      </c>
      <c r="K71" s="4" t="s">
        <v>159</v>
      </c>
      <c r="L71" s="4" t="s">
        <v>37</v>
      </c>
      <c r="N71" s="17" t="s">
        <v>222</v>
      </c>
      <c r="O71" s="17"/>
      <c r="P71" s="17" t="s">
        <v>223</v>
      </c>
      <c r="Q71" s="17"/>
      <c r="R71" s="17"/>
      <c r="S71" s="3" t="s">
        <v>40</v>
      </c>
      <c r="T71" s="17" t="s">
        <v>41</v>
      </c>
      <c r="U71" s="17"/>
      <c r="V71" s="4" t="s">
        <v>42</v>
      </c>
      <c r="W71" s="4" t="s">
        <v>224</v>
      </c>
      <c r="X71" s="4" t="s">
        <v>225</v>
      </c>
      <c r="Y71" s="17" t="s">
        <v>63</v>
      </c>
      <c r="Z71" s="17"/>
      <c r="AA71" s="4" t="s">
        <v>46</v>
      </c>
      <c r="AB71" s="4" t="s">
        <v>47</v>
      </c>
      <c r="AC71" s="4" t="s">
        <v>64</v>
      </c>
      <c r="AD71" s="4" t="s">
        <v>164</v>
      </c>
      <c r="AE71" s="4" t="s">
        <v>50</v>
      </c>
      <c r="AF71" s="4" t="s">
        <v>41</v>
      </c>
      <c r="AG71" s="4" t="s">
        <v>51</v>
      </c>
    </row>
    <row r="72" spans="1:33" ht="16.5" customHeight="1" x14ac:dyDescent="0.2">
      <c r="A72" s="2" t="s">
        <v>31</v>
      </c>
      <c r="B72" s="15" t="s">
        <v>32</v>
      </c>
      <c r="C72" s="15"/>
      <c r="D72" s="15"/>
      <c r="E72" s="16" t="s">
        <v>33</v>
      </c>
      <c r="F72" s="16"/>
      <c r="G72" s="17" t="s">
        <v>226</v>
      </c>
      <c r="H72" s="17"/>
      <c r="I72" s="17"/>
      <c r="J72" s="3" t="s">
        <v>35</v>
      </c>
      <c r="K72" s="4" t="s">
        <v>36</v>
      </c>
      <c r="L72" s="4" t="s">
        <v>37</v>
      </c>
      <c r="N72" s="17" t="s">
        <v>227</v>
      </c>
      <c r="O72" s="17"/>
      <c r="P72" s="17" t="s">
        <v>228</v>
      </c>
      <c r="Q72" s="17"/>
      <c r="R72" s="17"/>
      <c r="S72" s="3" t="s">
        <v>40</v>
      </c>
      <c r="T72" s="17" t="s">
        <v>41</v>
      </c>
      <c r="U72" s="17"/>
      <c r="V72" s="4" t="s">
        <v>42</v>
      </c>
      <c r="W72" s="4" t="s">
        <v>74</v>
      </c>
      <c r="X72" s="4" t="s">
        <v>75</v>
      </c>
      <c r="Y72" s="17" t="s">
        <v>45</v>
      </c>
      <c r="Z72" s="17"/>
      <c r="AA72" s="4" t="s">
        <v>46</v>
      </c>
      <c r="AB72" s="4" t="s">
        <v>47</v>
      </c>
      <c r="AC72" s="4" t="s">
        <v>48</v>
      </c>
      <c r="AD72" s="4" t="s">
        <v>49</v>
      </c>
      <c r="AE72" s="4" t="s">
        <v>50</v>
      </c>
      <c r="AF72" s="4" t="s">
        <v>41</v>
      </c>
      <c r="AG72" s="4" t="s">
        <v>229</v>
      </c>
    </row>
    <row r="73" spans="1:33" ht="16.5" customHeight="1" x14ac:dyDescent="0.2">
      <c r="A73" s="2" t="s">
        <v>31</v>
      </c>
      <c r="B73" s="15" t="s">
        <v>32</v>
      </c>
      <c r="C73" s="15"/>
      <c r="D73" s="15"/>
      <c r="E73" s="16" t="s">
        <v>33</v>
      </c>
      <c r="F73" s="16"/>
      <c r="G73" s="17" t="s">
        <v>226</v>
      </c>
      <c r="H73" s="17"/>
      <c r="I73" s="17"/>
      <c r="J73" s="3" t="s">
        <v>35</v>
      </c>
      <c r="K73" s="4" t="s">
        <v>230</v>
      </c>
      <c r="L73" s="4" t="s">
        <v>37</v>
      </c>
      <c r="N73" s="17" t="s">
        <v>231</v>
      </c>
      <c r="O73" s="17"/>
      <c r="P73" s="17" t="s">
        <v>232</v>
      </c>
      <c r="Q73" s="17"/>
      <c r="R73" s="17"/>
      <c r="S73" s="3" t="s">
        <v>40</v>
      </c>
      <c r="T73" s="17" t="s">
        <v>41</v>
      </c>
      <c r="U73" s="17"/>
      <c r="V73" s="4" t="s">
        <v>42</v>
      </c>
      <c r="W73" s="4" t="s">
        <v>80</v>
      </c>
      <c r="X73" s="4" t="s">
        <v>81</v>
      </c>
      <c r="Y73" s="17" t="s">
        <v>45</v>
      </c>
      <c r="Z73" s="17"/>
      <c r="AA73" s="4" t="s">
        <v>46</v>
      </c>
      <c r="AB73" s="4" t="s">
        <v>47</v>
      </c>
      <c r="AC73" s="4" t="s">
        <v>48</v>
      </c>
      <c r="AD73" s="4" t="s">
        <v>49</v>
      </c>
      <c r="AE73" s="4" t="s">
        <v>50</v>
      </c>
      <c r="AF73" s="4" t="s">
        <v>41</v>
      </c>
      <c r="AG73" s="4" t="s">
        <v>229</v>
      </c>
    </row>
    <row r="74" spans="1:33" ht="16.5" customHeight="1" x14ac:dyDescent="0.2">
      <c r="A74" s="2" t="s">
        <v>31</v>
      </c>
      <c r="B74" s="15" t="s">
        <v>32</v>
      </c>
      <c r="C74" s="15"/>
      <c r="D74" s="15"/>
      <c r="E74" s="16" t="s">
        <v>33</v>
      </c>
      <c r="F74" s="16"/>
      <c r="G74" s="17" t="s">
        <v>226</v>
      </c>
      <c r="H74" s="17"/>
      <c r="I74" s="17"/>
      <c r="J74" s="3" t="s">
        <v>35</v>
      </c>
      <c r="K74" s="4" t="s">
        <v>102</v>
      </c>
      <c r="L74" s="4" t="s">
        <v>37</v>
      </c>
      <c r="N74" s="17" t="s">
        <v>233</v>
      </c>
      <c r="O74" s="17"/>
      <c r="P74" s="17" t="s">
        <v>234</v>
      </c>
      <c r="Q74" s="17"/>
      <c r="R74" s="17"/>
      <c r="S74" s="3" t="s">
        <v>40</v>
      </c>
      <c r="T74" s="17" t="s">
        <v>41</v>
      </c>
      <c r="U74" s="17"/>
      <c r="V74" s="4" t="s">
        <v>42</v>
      </c>
      <c r="W74" s="4" t="s">
        <v>198</v>
      </c>
      <c r="X74" s="4" t="s">
        <v>199</v>
      </c>
      <c r="Y74" s="17" t="s">
        <v>45</v>
      </c>
      <c r="Z74" s="17"/>
      <c r="AA74" s="4" t="s">
        <v>46</v>
      </c>
      <c r="AB74" s="4" t="s">
        <v>47</v>
      </c>
      <c r="AC74" s="4" t="s">
        <v>48</v>
      </c>
      <c r="AD74" s="4" t="s">
        <v>49</v>
      </c>
      <c r="AE74" s="4" t="s">
        <v>50</v>
      </c>
      <c r="AF74" s="4" t="s">
        <v>41</v>
      </c>
      <c r="AG74" s="4" t="s">
        <v>229</v>
      </c>
    </row>
    <row r="75" spans="1:33" ht="16.5" customHeight="1" x14ac:dyDescent="0.2">
      <c r="A75" s="2" t="s">
        <v>31</v>
      </c>
      <c r="B75" s="15" t="s">
        <v>32</v>
      </c>
      <c r="C75" s="15"/>
      <c r="D75" s="15"/>
      <c r="E75" s="16" t="s">
        <v>33</v>
      </c>
      <c r="F75" s="16"/>
      <c r="G75" s="17" t="s">
        <v>226</v>
      </c>
      <c r="H75" s="17"/>
      <c r="I75" s="17"/>
      <c r="J75" s="3" t="s">
        <v>35</v>
      </c>
      <c r="K75" s="4" t="s">
        <v>52</v>
      </c>
      <c r="L75" s="4" t="s">
        <v>37</v>
      </c>
      <c r="N75" s="17" t="s">
        <v>235</v>
      </c>
      <c r="O75" s="17"/>
      <c r="P75" s="17" t="s">
        <v>236</v>
      </c>
      <c r="Q75" s="17"/>
      <c r="R75" s="17"/>
      <c r="S75" s="3" t="s">
        <v>40</v>
      </c>
      <c r="T75" s="17" t="s">
        <v>41</v>
      </c>
      <c r="U75" s="17"/>
      <c r="V75" s="4" t="s">
        <v>42</v>
      </c>
      <c r="W75" s="4" t="s">
        <v>198</v>
      </c>
      <c r="X75" s="4" t="s">
        <v>199</v>
      </c>
      <c r="Y75" s="17" t="s">
        <v>45</v>
      </c>
      <c r="Z75" s="17"/>
      <c r="AA75" s="4" t="s">
        <v>46</v>
      </c>
      <c r="AB75" s="4" t="s">
        <v>47</v>
      </c>
      <c r="AC75" s="4" t="s">
        <v>48</v>
      </c>
      <c r="AD75" s="4" t="s">
        <v>49</v>
      </c>
      <c r="AE75" s="4" t="s">
        <v>50</v>
      </c>
      <c r="AF75" s="4" t="s">
        <v>41</v>
      </c>
      <c r="AG75" s="4" t="s">
        <v>229</v>
      </c>
    </row>
    <row r="76" spans="1:33" ht="16.5" customHeight="1" x14ac:dyDescent="0.2">
      <c r="A76" s="2" t="s">
        <v>31</v>
      </c>
      <c r="B76" s="15" t="s">
        <v>32</v>
      </c>
      <c r="C76" s="15"/>
      <c r="D76" s="15"/>
      <c r="E76" s="16" t="s">
        <v>33</v>
      </c>
      <c r="F76" s="16"/>
      <c r="G76" s="17" t="s">
        <v>226</v>
      </c>
      <c r="H76" s="17"/>
      <c r="I76" s="17"/>
      <c r="J76" s="3" t="s">
        <v>35</v>
      </c>
      <c r="K76" s="4" t="s">
        <v>237</v>
      </c>
      <c r="L76" s="4" t="s">
        <v>37</v>
      </c>
      <c r="N76" s="17" t="s">
        <v>238</v>
      </c>
      <c r="O76" s="17"/>
      <c r="P76" s="17" t="s">
        <v>239</v>
      </c>
      <c r="Q76" s="17"/>
      <c r="R76" s="17"/>
      <c r="S76" s="3" t="s">
        <v>40</v>
      </c>
      <c r="T76" s="17" t="s">
        <v>41</v>
      </c>
      <c r="U76" s="17"/>
      <c r="V76" s="4" t="s">
        <v>42</v>
      </c>
      <c r="W76" s="4" t="s">
        <v>240</v>
      </c>
      <c r="X76" s="4" t="s">
        <v>241</v>
      </c>
      <c r="Y76" s="17" t="s">
        <v>63</v>
      </c>
      <c r="Z76" s="17"/>
      <c r="AA76" s="4" t="s">
        <v>46</v>
      </c>
      <c r="AB76" s="4" t="s">
        <v>47</v>
      </c>
      <c r="AC76" s="4" t="s">
        <v>64</v>
      </c>
      <c r="AD76" s="4" t="s">
        <v>164</v>
      </c>
      <c r="AE76" s="4" t="s">
        <v>50</v>
      </c>
      <c r="AF76" s="4" t="s">
        <v>41</v>
      </c>
      <c r="AG76" s="4" t="s">
        <v>229</v>
      </c>
    </row>
    <row r="77" spans="1:33" ht="16.5" customHeight="1" x14ac:dyDescent="0.2">
      <c r="A77" s="2" t="s">
        <v>31</v>
      </c>
      <c r="B77" s="15" t="s">
        <v>32</v>
      </c>
      <c r="C77" s="15"/>
      <c r="D77" s="15"/>
      <c r="E77" s="16" t="s">
        <v>33</v>
      </c>
      <c r="F77" s="16"/>
      <c r="G77" s="17" t="s">
        <v>226</v>
      </c>
      <c r="H77" s="17"/>
      <c r="I77" s="17"/>
      <c r="J77" s="3" t="s">
        <v>35</v>
      </c>
      <c r="K77" s="4" t="s">
        <v>97</v>
      </c>
      <c r="L77" s="4" t="s">
        <v>37</v>
      </c>
      <c r="N77" s="17" t="s">
        <v>242</v>
      </c>
      <c r="O77" s="17"/>
      <c r="P77" s="17" t="s">
        <v>243</v>
      </c>
      <c r="Q77" s="17"/>
      <c r="R77" s="17"/>
      <c r="S77" s="3" t="s">
        <v>40</v>
      </c>
      <c r="T77" s="17" t="s">
        <v>41</v>
      </c>
      <c r="U77" s="17"/>
      <c r="V77" s="4" t="s">
        <v>42</v>
      </c>
      <c r="W77" s="4" t="s">
        <v>244</v>
      </c>
      <c r="X77" s="4" t="s">
        <v>245</v>
      </c>
      <c r="Y77" s="17" t="s">
        <v>45</v>
      </c>
      <c r="Z77" s="17"/>
      <c r="AA77" s="4" t="s">
        <v>46</v>
      </c>
      <c r="AB77" s="4" t="s">
        <v>47</v>
      </c>
      <c r="AC77" s="4" t="s">
        <v>48</v>
      </c>
      <c r="AD77" s="4" t="s">
        <v>49</v>
      </c>
      <c r="AE77" s="4" t="s">
        <v>50</v>
      </c>
      <c r="AF77" s="4" t="s">
        <v>41</v>
      </c>
      <c r="AG77" s="4" t="s">
        <v>229</v>
      </c>
    </row>
    <row r="78" spans="1:33" ht="16.5" customHeight="1" x14ac:dyDescent="0.2">
      <c r="A78" s="2" t="s">
        <v>31</v>
      </c>
      <c r="B78" s="15" t="s">
        <v>32</v>
      </c>
      <c r="C78" s="15"/>
      <c r="D78" s="15"/>
      <c r="E78" s="16" t="s">
        <v>33</v>
      </c>
      <c r="F78" s="16"/>
      <c r="G78" s="17" t="s">
        <v>226</v>
      </c>
      <c r="H78" s="17"/>
      <c r="I78" s="17"/>
      <c r="J78" s="3" t="s">
        <v>35</v>
      </c>
      <c r="K78" s="4" t="s">
        <v>97</v>
      </c>
      <c r="L78" s="4" t="s">
        <v>37</v>
      </c>
      <c r="N78" s="17" t="s">
        <v>246</v>
      </c>
      <c r="O78" s="17"/>
      <c r="P78" s="17" t="s">
        <v>247</v>
      </c>
      <c r="Q78" s="17"/>
      <c r="R78" s="17"/>
      <c r="S78" s="3" t="s">
        <v>40</v>
      </c>
      <c r="T78" s="17" t="s">
        <v>41</v>
      </c>
      <c r="U78" s="17"/>
      <c r="V78" s="4" t="s">
        <v>42</v>
      </c>
      <c r="W78" s="4" t="s">
        <v>248</v>
      </c>
      <c r="X78" s="4" t="s">
        <v>249</v>
      </c>
      <c r="Y78" s="17" t="s">
        <v>45</v>
      </c>
      <c r="Z78" s="17"/>
      <c r="AA78" s="4" t="s">
        <v>46</v>
      </c>
      <c r="AB78" s="4" t="s">
        <v>47</v>
      </c>
      <c r="AC78" s="4" t="s">
        <v>48</v>
      </c>
      <c r="AD78" s="4" t="s">
        <v>49</v>
      </c>
      <c r="AE78" s="4" t="s">
        <v>50</v>
      </c>
      <c r="AF78" s="4" t="s">
        <v>41</v>
      </c>
      <c r="AG78" s="4" t="s">
        <v>229</v>
      </c>
    </row>
    <row r="79" spans="1:33" ht="16.5" customHeight="1" x14ac:dyDescent="0.2">
      <c r="A79" s="2" t="s">
        <v>31</v>
      </c>
      <c r="B79" s="15" t="s">
        <v>32</v>
      </c>
      <c r="C79" s="15"/>
      <c r="D79" s="15"/>
      <c r="E79" s="16" t="s">
        <v>33</v>
      </c>
      <c r="F79" s="16"/>
      <c r="G79" s="17" t="s">
        <v>250</v>
      </c>
      <c r="H79" s="17"/>
      <c r="I79" s="17"/>
      <c r="J79" s="3" t="s">
        <v>35</v>
      </c>
      <c r="K79" s="4" t="s">
        <v>138</v>
      </c>
      <c r="L79" s="4" t="s">
        <v>37</v>
      </c>
      <c r="N79" s="17" t="s">
        <v>251</v>
      </c>
      <c r="O79" s="17"/>
      <c r="P79" s="17" t="s">
        <v>252</v>
      </c>
      <c r="Q79" s="17"/>
      <c r="R79" s="17"/>
      <c r="S79" s="3" t="s">
        <v>40</v>
      </c>
      <c r="T79" s="17" t="s">
        <v>41</v>
      </c>
      <c r="U79" s="17"/>
      <c r="V79" s="4" t="s">
        <v>42</v>
      </c>
      <c r="W79" s="4" t="s">
        <v>253</v>
      </c>
      <c r="X79" s="4" t="s">
        <v>254</v>
      </c>
      <c r="Y79" s="17" t="s">
        <v>45</v>
      </c>
      <c r="Z79" s="17"/>
      <c r="AA79" s="4" t="s">
        <v>46</v>
      </c>
      <c r="AB79" s="4" t="s">
        <v>47</v>
      </c>
      <c r="AC79" s="4" t="s">
        <v>48</v>
      </c>
      <c r="AD79" s="4" t="s">
        <v>49</v>
      </c>
      <c r="AE79" s="4" t="s">
        <v>50</v>
      </c>
      <c r="AF79" s="4" t="s">
        <v>41</v>
      </c>
      <c r="AG79" s="4" t="s">
        <v>255</v>
      </c>
    </row>
    <row r="80" spans="1:33" ht="16.5" customHeight="1" x14ac:dyDescent="0.2">
      <c r="A80" s="2" t="s">
        <v>31</v>
      </c>
      <c r="B80" s="15" t="s">
        <v>32</v>
      </c>
      <c r="C80" s="15"/>
      <c r="D80" s="15"/>
      <c r="E80" s="16" t="s">
        <v>33</v>
      </c>
      <c r="F80" s="16"/>
      <c r="G80" s="17" t="s">
        <v>250</v>
      </c>
      <c r="H80" s="17"/>
      <c r="I80" s="17"/>
      <c r="J80" s="3" t="s">
        <v>35</v>
      </c>
      <c r="K80" s="4" t="s">
        <v>97</v>
      </c>
      <c r="L80" s="4" t="s">
        <v>58</v>
      </c>
      <c r="N80" s="17" t="s">
        <v>256</v>
      </c>
      <c r="O80" s="17"/>
      <c r="P80" s="17" t="s">
        <v>257</v>
      </c>
      <c r="Q80" s="17"/>
      <c r="R80" s="17"/>
      <c r="S80" s="3" t="s">
        <v>40</v>
      </c>
      <c r="T80" s="17" t="s">
        <v>41</v>
      </c>
      <c r="U80" s="17"/>
      <c r="V80" s="4" t="s">
        <v>42</v>
      </c>
      <c r="W80" s="4" t="s">
        <v>200</v>
      </c>
      <c r="X80" s="4" t="s">
        <v>195</v>
      </c>
      <c r="Y80" s="17" t="s">
        <v>45</v>
      </c>
      <c r="Z80" s="17"/>
      <c r="AA80" s="4" t="s">
        <v>46</v>
      </c>
      <c r="AB80" s="4" t="s">
        <v>47</v>
      </c>
      <c r="AC80" s="4" t="s">
        <v>48</v>
      </c>
      <c r="AD80" s="4" t="s">
        <v>137</v>
      </c>
      <c r="AE80" s="4" t="s">
        <v>50</v>
      </c>
      <c r="AF80" s="4" t="s">
        <v>41</v>
      </c>
      <c r="AG80" s="4" t="s">
        <v>255</v>
      </c>
    </row>
    <row r="81" spans="1:33" ht="16.5" customHeight="1" x14ac:dyDescent="0.2">
      <c r="A81" s="2" t="s">
        <v>31</v>
      </c>
      <c r="B81" s="15" t="s">
        <v>32</v>
      </c>
      <c r="C81" s="15"/>
      <c r="D81" s="15"/>
      <c r="E81" s="16" t="s">
        <v>33</v>
      </c>
      <c r="F81" s="16"/>
      <c r="G81" s="17" t="s">
        <v>258</v>
      </c>
      <c r="H81" s="17"/>
      <c r="I81" s="17"/>
      <c r="J81" s="3" t="s">
        <v>35</v>
      </c>
      <c r="K81" s="4" t="s">
        <v>237</v>
      </c>
      <c r="L81" s="4" t="s">
        <v>259</v>
      </c>
      <c r="N81" s="17" t="s">
        <v>260</v>
      </c>
      <c r="O81" s="17"/>
      <c r="P81" s="17" t="s">
        <v>261</v>
      </c>
      <c r="Q81" s="17"/>
      <c r="R81" s="17"/>
      <c r="S81" s="3" t="s">
        <v>40</v>
      </c>
      <c r="T81" s="17" t="s">
        <v>41</v>
      </c>
      <c r="U81" s="17"/>
      <c r="V81" s="4" t="s">
        <v>42</v>
      </c>
      <c r="W81" s="4" t="s">
        <v>153</v>
      </c>
      <c r="X81" s="4" t="s">
        <v>154</v>
      </c>
      <c r="Y81" s="17" t="s">
        <v>63</v>
      </c>
      <c r="Z81" s="17"/>
      <c r="AA81" s="4" t="s">
        <v>46</v>
      </c>
      <c r="AB81" s="4" t="s">
        <v>47</v>
      </c>
      <c r="AC81" s="4" t="s">
        <v>64</v>
      </c>
      <c r="AD81" s="4" t="s">
        <v>137</v>
      </c>
      <c r="AE81" s="4" t="s">
        <v>50</v>
      </c>
      <c r="AF81" s="4" t="s">
        <v>41</v>
      </c>
      <c r="AG81" s="4" t="s">
        <v>262</v>
      </c>
    </row>
    <row r="82" spans="1:33" ht="16.5" customHeight="1" x14ac:dyDescent="0.2">
      <c r="A82" s="2" t="s">
        <v>31</v>
      </c>
      <c r="B82" s="15" t="s">
        <v>32</v>
      </c>
      <c r="C82" s="15"/>
      <c r="D82" s="15"/>
      <c r="E82" s="16" t="s">
        <v>33</v>
      </c>
      <c r="F82" s="16"/>
      <c r="G82" s="17" t="s">
        <v>263</v>
      </c>
      <c r="H82" s="17"/>
      <c r="I82" s="17"/>
      <c r="J82" s="3" t="s">
        <v>35</v>
      </c>
      <c r="K82" s="4" t="s">
        <v>66</v>
      </c>
      <c r="L82" s="4" t="s">
        <v>37</v>
      </c>
      <c r="N82" s="17" t="s">
        <v>264</v>
      </c>
      <c r="O82" s="17"/>
      <c r="P82" s="17" t="s">
        <v>265</v>
      </c>
      <c r="Q82" s="17"/>
      <c r="R82" s="17"/>
      <c r="S82" s="3" t="s">
        <v>40</v>
      </c>
      <c r="T82" s="17" t="s">
        <v>41</v>
      </c>
      <c r="U82" s="17"/>
      <c r="V82" s="4" t="s">
        <v>42</v>
      </c>
      <c r="W82" s="4" t="s">
        <v>201</v>
      </c>
      <c r="X82" s="4" t="s">
        <v>266</v>
      </c>
      <c r="Y82" s="17" t="s">
        <v>45</v>
      </c>
      <c r="Z82" s="17"/>
      <c r="AA82" s="4" t="s">
        <v>46</v>
      </c>
      <c r="AB82" s="4" t="s">
        <v>47</v>
      </c>
      <c r="AC82" s="4" t="s">
        <v>48</v>
      </c>
      <c r="AD82" s="4" t="s">
        <v>49</v>
      </c>
      <c r="AE82" s="4" t="s">
        <v>50</v>
      </c>
      <c r="AF82" s="4" t="s">
        <v>41</v>
      </c>
      <c r="AG82" s="4" t="s">
        <v>267</v>
      </c>
    </row>
    <row r="83" spans="1:33" ht="16.5" customHeight="1" x14ac:dyDescent="0.2">
      <c r="A83" s="2" t="s">
        <v>31</v>
      </c>
      <c r="B83" s="15" t="s">
        <v>32</v>
      </c>
      <c r="C83" s="15"/>
      <c r="D83" s="15"/>
      <c r="E83" s="16" t="s">
        <v>33</v>
      </c>
      <c r="F83" s="16"/>
      <c r="G83" s="17" t="s">
        <v>268</v>
      </c>
      <c r="H83" s="17"/>
      <c r="I83" s="17"/>
      <c r="J83" s="3" t="s">
        <v>35</v>
      </c>
      <c r="K83" s="4" t="s">
        <v>107</v>
      </c>
      <c r="L83" s="4" t="s">
        <v>37</v>
      </c>
      <c r="N83" s="17" t="s">
        <v>269</v>
      </c>
      <c r="O83" s="17"/>
      <c r="P83" s="17" t="s">
        <v>270</v>
      </c>
      <c r="Q83" s="17"/>
      <c r="R83" s="17"/>
      <c r="S83" s="3" t="s">
        <v>40</v>
      </c>
      <c r="T83" s="17" t="s">
        <v>41</v>
      </c>
      <c r="U83" s="17"/>
      <c r="V83" s="4" t="s">
        <v>42</v>
      </c>
      <c r="W83" s="4" t="s">
        <v>61</v>
      </c>
      <c r="X83" s="4" t="s">
        <v>62</v>
      </c>
      <c r="Y83" s="17" t="s">
        <v>45</v>
      </c>
      <c r="Z83" s="17"/>
      <c r="AA83" s="4" t="s">
        <v>46</v>
      </c>
      <c r="AB83" s="4" t="s">
        <v>47</v>
      </c>
      <c r="AC83" s="4" t="s">
        <v>48</v>
      </c>
      <c r="AD83" s="4" t="s">
        <v>49</v>
      </c>
      <c r="AE83" s="4" t="s">
        <v>50</v>
      </c>
      <c r="AF83" s="4" t="s">
        <v>41</v>
      </c>
      <c r="AG83" s="4" t="s">
        <v>271</v>
      </c>
    </row>
    <row r="84" spans="1:33" ht="16.5" customHeight="1" x14ac:dyDescent="0.2">
      <c r="A84" s="2" t="s">
        <v>31</v>
      </c>
      <c r="B84" s="15" t="s">
        <v>32</v>
      </c>
      <c r="C84" s="15"/>
      <c r="D84" s="15"/>
      <c r="E84" s="16" t="s">
        <v>33</v>
      </c>
      <c r="F84" s="16"/>
      <c r="G84" s="17" t="s">
        <v>268</v>
      </c>
      <c r="H84" s="17"/>
      <c r="I84" s="17"/>
      <c r="J84" s="3" t="s">
        <v>35</v>
      </c>
      <c r="K84" s="4" t="s">
        <v>107</v>
      </c>
      <c r="L84" s="4" t="s">
        <v>37</v>
      </c>
      <c r="N84" s="17" t="s">
        <v>269</v>
      </c>
      <c r="O84" s="17"/>
      <c r="P84" s="17" t="s">
        <v>270</v>
      </c>
      <c r="Q84" s="17"/>
      <c r="R84" s="17"/>
      <c r="S84" s="3" t="s">
        <v>40</v>
      </c>
      <c r="T84" s="17" t="s">
        <v>41</v>
      </c>
      <c r="U84" s="17"/>
      <c r="V84" s="4" t="s">
        <v>248</v>
      </c>
      <c r="W84" s="4" t="s">
        <v>61</v>
      </c>
      <c r="X84" s="4" t="s">
        <v>272</v>
      </c>
      <c r="Y84" s="17" t="s">
        <v>45</v>
      </c>
      <c r="Z84" s="17"/>
      <c r="AA84" s="4" t="s">
        <v>46</v>
      </c>
      <c r="AB84" s="4" t="s">
        <v>47</v>
      </c>
      <c r="AC84" s="4" t="s">
        <v>48</v>
      </c>
      <c r="AD84" s="4" t="s">
        <v>49</v>
      </c>
      <c r="AE84" s="4" t="s">
        <v>50</v>
      </c>
      <c r="AF84" s="4" t="s">
        <v>41</v>
      </c>
      <c r="AG84" s="4" t="s">
        <v>271</v>
      </c>
    </row>
    <row r="85" spans="1:33" ht="16.5" customHeight="1" x14ac:dyDescent="0.2">
      <c r="A85" s="2" t="s">
        <v>31</v>
      </c>
      <c r="B85" s="15" t="s">
        <v>32</v>
      </c>
      <c r="C85" s="15"/>
      <c r="D85" s="15"/>
      <c r="E85" s="16" t="s">
        <v>33</v>
      </c>
      <c r="F85" s="16"/>
      <c r="G85" s="17" t="s">
        <v>268</v>
      </c>
      <c r="H85" s="17"/>
      <c r="I85" s="17"/>
      <c r="J85" s="3" t="s">
        <v>35</v>
      </c>
      <c r="K85" s="4" t="s">
        <v>107</v>
      </c>
      <c r="L85" s="4" t="s">
        <v>37</v>
      </c>
      <c r="N85" s="17" t="s">
        <v>273</v>
      </c>
      <c r="O85" s="17"/>
      <c r="P85" s="17" t="s">
        <v>274</v>
      </c>
      <c r="Q85" s="17"/>
      <c r="R85" s="17"/>
      <c r="S85" s="3" t="s">
        <v>40</v>
      </c>
      <c r="T85" s="17" t="s">
        <v>41</v>
      </c>
      <c r="U85" s="17"/>
      <c r="V85" s="4" t="s">
        <v>42</v>
      </c>
      <c r="W85" s="4" t="s">
        <v>275</v>
      </c>
      <c r="X85" s="4" t="s">
        <v>276</v>
      </c>
      <c r="Y85" s="17" t="s">
        <v>45</v>
      </c>
      <c r="Z85" s="17"/>
      <c r="AA85" s="4" t="s">
        <v>46</v>
      </c>
      <c r="AB85" s="4" t="s">
        <v>47</v>
      </c>
      <c r="AC85" s="4" t="s">
        <v>48</v>
      </c>
      <c r="AD85" s="4" t="s">
        <v>49</v>
      </c>
      <c r="AE85" s="4" t="s">
        <v>50</v>
      </c>
      <c r="AF85" s="4" t="s">
        <v>41</v>
      </c>
      <c r="AG85" s="4" t="s">
        <v>271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15" t="s">
        <v>32</v>
      </c>
      <c r="C88" s="15"/>
      <c r="D88" s="15"/>
      <c r="E88" s="16" t="s">
        <v>33</v>
      </c>
      <c r="F88" s="16"/>
      <c r="G88" s="17" t="s">
        <v>268</v>
      </c>
      <c r="H88" s="17"/>
      <c r="I88" s="17"/>
      <c r="J88" s="3" t="s">
        <v>35</v>
      </c>
      <c r="K88" s="4" t="s">
        <v>179</v>
      </c>
      <c r="L88" s="4" t="s">
        <v>37</v>
      </c>
      <c r="N88" s="17" t="s">
        <v>277</v>
      </c>
      <c r="O88" s="17"/>
      <c r="P88" s="17" t="s">
        <v>278</v>
      </c>
      <c r="Q88" s="17"/>
      <c r="R88" s="17"/>
      <c r="S88" s="3" t="s">
        <v>40</v>
      </c>
      <c r="T88" s="17" t="s">
        <v>41</v>
      </c>
      <c r="U88" s="17"/>
      <c r="V88" s="4" t="s">
        <v>42</v>
      </c>
      <c r="W88" s="4" t="s">
        <v>100</v>
      </c>
      <c r="X88" s="4" t="s">
        <v>101</v>
      </c>
      <c r="Y88" s="17" t="s">
        <v>63</v>
      </c>
      <c r="Z88" s="17"/>
      <c r="AA88" s="4" t="s">
        <v>46</v>
      </c>
      <c r="AB88" s="4" t="s">
        <v>47</v>
      </c>
      <c r="AC88" s="4" t="s">
        <v>64</v>
      </c>
      <c r="AD88" s="4" t="s">
        <v>164</v>
      </c>
      <c r="AE88" s="4" t="s">
        <v>50</v>
      </c>
      <c r="AF88" s="4" t="s">
        <v>41</v>
      </c>
      <c r="AG88" s="4" t="s">
        <v>271</v>
      </c>
    </row>
    <row r="89" spans="1:33" ht="16.5" customHeight="1" x14ac:dyDescent="0.2">
      <c r="A89" s="2" t="s">
        <v>31</v>
      </c>
      <c r="B89" s="15" t="s">
        <v>32</v>
      </c>
      <c r="C89" s="15"/>
      <c r="D89" s="15"/>
      <c r="E89" s="16" t="s">
        <v>33</v>
      </c>
      <c r="F89" s="16"/>
      <c r="G89" s="17" t="s">
        <v>279</v>
      </c>
      <c r="H89" s="17"/>
      <c r="I89" s="17"/>
      <c r="J89" s="3" t="s">
        <v>35</v>
      </c>
      <c r="K89" s="4" t="s">
        <v>97</v>
      </c>
      <c r="L89" s="4" t="s">
        <v>37</v>
      </c>
      <c r="N89" s="17" t="s">
        <v>280</v>
      </c>
      <c r="O89" s="17"/>
      <c r="P89" s="17" t="s">
        <v>281</v>
      </c>
      <c r="Q89" s="17"/>
      <c r="R89" s="17"/>
      <c r="S89" s="3" t="s">
        <v>40</v>
      </c>
      <c r="T89" s="17" t="s">
        <v>41</v>
      </c>
      <c r="U89" s="17"/>
      <c r="V89" s="4" t="s">
        <v>42</v>
      </c>
      <c r="W89" s="4" t="s">
        <v>80</v>
      </c>
      <c r="X89" s="4" t="s">
        <v>81</v>
      </c>
      <c r="Y89" s="17" t="s">
        <v>45</v>
      </c>
      <c r="Z89" s="17"/>
      <c r="AA89" s="4" t="s">
        <v>46</v>
      </c>
      <c r="AB89" s="4" t="s">
        <v>47</v>
      </c>
      <c r="AC89" s="4" t="s">
        <v>48</v>
      </c>
      <c r="AD89" s="4" t="s">
        <v>49</v>
      </c>
      <c r="AE89" s="4" t="s">
        <v>50</v>
      </c>
      <c r="AF89" s="4" t="s">
        <v>41</v>
      </c>
      <c r="AG89" s="4" t="s">
        <v>282</v>
      </c>
    </row>
    <row r="90" spans="1:33" ht="16.5" customHeight="1" x14ac:dyDescent="0.2">
      <c r="A90" s="2" t="s">
        <v>31</v>
      </c>
      <c r="B90" s="15" t="s">
        <v>32</v>
      </c>
      <c r="C90" s="15"/>
      <c r="D90" s="15"/>
      <c r="E90" s="16" t="s">
        <v>33</v>
      </c>
      <c r="F90" s="16"/>
      <c r="G90" s="17" t="s">
        <v>279</v>
      </c>
      <c r="H90" s="17"/>
      <c r="I90" s="17"/>
      <c r="J90" s="3" t="s">
        <v>35</v>
      </c>
      <c r="K90" s="4" t="s">
        <v>36</v>
      </c>
      <c r="L90" s="4" t="s">
        <v>77</v>
      </c>
      <c r="N90" s="17" t="s">
        <v>283</v>
      </c>
      <c r="O90" s="17"/>
      <c r="P90" s="17" t="s">
        <v>284</v>
      </c>
      <c r="Q90" s="17"/>
      <c r="R90" s="17"/>
      <c r="S90" s="3" t="s">
        <v>40</v>
      </c>
      <c r="T90" s="17" t="s">
        <v>41</v>
      </c>
      <c r="U90" s="17"/>
      <c r="V90" s="4" t="s">
        <v>42</v>
      </c>
      <c r="W90" s="4" t="s">
        <v>100</v>
      </c>
      <c r="X90" s="4" t="s">
        <v>101</v>
      </c>
      <c r="Y90" s="17" t="s">
        <v>45</v>
      </c>
      <c r="Z90" s="17"/>
      <c r="AA90" s="4" t="s">
        <v>46</v>
      </c>
      <c r="AB90" s="4" t="s">
        <v>47</v>
      </c>
      <c r="AC90" s="4" t="s">
        <v>48</v>
      </c>
      <c r="AD90" s="4" t="s">
        <v>82</v>
      </c>
      <c r="AE90" s="4" t="s">
        <v>50</v>
      </c>
      <c r="AF90" s="4" t="s">
        <v>41</v>
      </c>
      <c r="AG90" s="4" t="s">
        <v>282</v>
      </c>
    </row>
    <row r="91" spans="1:33" ht="16.5" customHeight="1" x14ac:dyDescent="0.2">
      <c r="A91" s="2" t="s">
        <v>31</v>
      </c>
      <c r="B91" s="15" t="s">
        <v>285</v>
      </c>
      <c r="C91" s="15"/>
      <c r="D91" s="15"/>
      <c r="E91" s="16" t="s">
        <v>33</v>
      </c>
      <c r="F91" s="16"/>
      <c r="G91" s="17" t="s">
        <v>279</v>
      </c>
      <c r="H91" s="17"/>
      <c r="I91" s="17"/>
      <c r="J91" s="3" t="s">
        <v>286</v>
      </c>
      <c r="K91" s="4" t="s">
        <v>287</v>
      </c>
      <c r="N91" s="17" t="s">
        <v>288</v>
      </c>
      <c r="O91" s="17"/>
      <c r="P91" s="17" t="s">
        <v>289</v>
      </c>
      <c r="Q91" s="17"/>
      <c r="R91" s="17"/>
      <c r="S91" s="3" t="s">
        <v>40</v>
      </c>
      <c r="T91" s="17" t="s">
        <v>290</v>
      </c>
      <c r="U91" s="17"/>
      <c r="V91" s="4" t="s">
        <v>248</v>
      </c>
      <c r="W91" s="4" t="s">
        <v>69</v>
      </c>
      <c r="X91" s="4" t="s">
        <v>291</v>
      </c>
      <c r="Y91" s="17" t="s">
        <v>292</v>
      </c>
      <c r="Z91" s="17"/>
      <c r="AA91" s="4" t="s">
        <v>46</v>
      </c>
      <c r="AB91" s="4" t="s">
        <v>293</v>
      </c>
      <c r="AC91" s="4" t="s">
        <v>294</v>
      </c>
      <c r="AD91" s="4" t="s">
        <v>295</v>
      </c>
      <c r="AE91" s="4" t="s">
        <v>50</v>
      </c>
      <c r="AF91" s="4" t="s">
        <v>41</v>
      </c>
      <c r="AG91" s="4" t="s">
        <v>282</v>
      </c>
    </row>
    <row r="92" spans="1:33" ht="16.5" customHeight="1" x14ac:dyDescent="0.2">
      <c r="A92" s="2" t="s">
        <v>31</v>
      </c>
      <c r="B92" s="15" t="s">
        <v>32</v>
      </c>
      <c r="C92" s="15"/>
      <c r="D92" s="15"/>
      <c r="E92" s="16" t="s">
        <v>33</v>
      </c>
      <c r="F92" s="16"/>
      <c r="G92" s="17" t="s">
        <v>279</v>
      </c>
      <c r="H92" s="17"/>
      <c r="I92" s="17"/>
      <c r="J92" s="3" t="s">
        <v>35</v>
      </c>
      <c r="K92" s="4" t="s">
        <v>36</v>
      </c>
      <c r="L92" s="4" t="s">
        <v>77</v>
      </c>
      <c r="N92" s="17" t="s">
        <v>296</v>
      </c>
      <c r="O92" s="17"/>
      <c r="P92" s="17" t="s">
        <v>297</v>
      </c>
      <c r="Q92" s="17"/>
      <c r="R92" s="17"/>
      <c r="S92" s="3" t="s">
        <v>40</v>
      </c>
      <c r="T92" s="17" t="s">
        <v>41</v>
      </c>
      <c r="U92" s="17"/>
      <c r="V92" s="4" t="s">
        <v>42</v>
      </c>
      <c r="W92" s="4" t="s">
        <v>298</v>
      </c>
      <c r="X92" s="4" t="s">
        <v>299</v>
      </c>
      <c r="Y92" s="17" t="s">
        <v>45</v>
      </c>
      <c r="Z92" s="17"/>
      <c r="AA92" s="4" t="s">
        <v>46</v>
      </c>
      <c r="AB92" s="4" t="s">
        <v>47</v>
      </c>
      <c r="AC92" s="4" t="s">
        <v>76</v>
      </c>
      <c r="AD92" s="4" t="s">
        <v>41</v>
      </c>
      <c r="AE92" s="4" t="s">
        <v>50</v>
      </c>
      <c r="AF92" s="4" t="s">
        <v>41</v>
      </c>
      <c r="AG92" s="4" t="s">
        <v>282</v>
      </c>
    </row>
    <row r="93" spans="1:33" ht="16.5" customHeight="1" x14ac:dyDescent="0.2">
      <c r="A93" s="2" t="s">
        <v>31</v>
      </c>
      <c r="B93" s="15" t="s">
        <v>32</v>
      </c>
      <c r="C93" s="15"/>
      <c r="D93" s="15"/>
      <c r="E93" s="16" t="s">
        <v>33</v>
      </c>
      <c r="F93" s="16"/>
      <c r="G93" s="17" t="s">
        <v>279</v>
      </c>
      <c r="H93" s="17"/>
      <c r="I93" s="17"/>
      <c r="J93" s="3" t="s">
        <v>35</v>
      </c>
      <c r="K93" s="4" t="s">
        <v>102</v>
      </c>
      <c r="L93" s="4" t="s">
        <v>37</v>
      </c>
      <c r="N93" s="17" t="s">
        <v>300</v>
      </c>
      <c r="O93" s="17"/>
      <c r="P93" s="17" t="s">
        <v>301</v>
      </c>
      <c r="Q93" s="17"/>
      <c r="R93" s="17"/>
      <c r="S93" s="3" t="s">
        <v>40</v>
      </c>
      <c r="T93" s="17" t="s">
        <v>41</v>
      </c>
      <c r="U93" s="17"/>
      <c r="V93" s="4" t="s">
        <v>42</v>
      </c>
      <c r="W93" s="4" t="s">
        <v>302</v>
      </c>
      <c r="X93" s="4" t="s">
        <v>303</v>
      </c>
      <c r="Y93" s="17" t="s">
        <v>45</v>
      </c>
      <c r="Z93" s="17"/>
      <c r="AA93" s="4" t="s">
        <v>46</v>
      </c>
      <c r="AB93" s="4" t="s">
        <v>47</v>
      </c>
      <c r="AC93" s="4" t="s">
        <v>48</v>
      </c>
      <c r="AD93" s="4" t="s">
        <v>49</v>
      </c>
      <c r="AE93" s="4" t="s">
        <v>50</v>
      </c>
      <c r="AF93" s="4" t="s">
        <v>41</v>
      </c>
      <c r="AG93" s="4" t="s">
        <v>282</v>
      </c>
    </row>
    <row r="94" spans="1:33" ht="16.5" customHeight="1" x14ac:dyDescent="0.2">
      <c r="A94" s="2" t="s">
        <v>31</v>
      </c>
      <c r="B94" s="15" t="s">
        <v>32</v>
      </c>
      <c r="C94" s="15"/>
      <c r="D94" s="15"/>
      <c r="E94" s="16" t="s">
        <v>33</v>
      </c>
      <c r="F94" s="16"/>
      <c r="G94" s="17" t="s">
        <v>279</v>
      </c>
      <c r="H94" s="17"/>
      <c r="I94" s="17"/>
      <c r="J94" s="3" t="s">
        <v>35</v>
      </c>
      <c r="K94" s="4" t="s">
        <v>36</v>
      </c>
      <c r="L94" s="4" t="s">
        <v>37</v>
      </c>
      <c r="N94" s="17" t="s">
        <v>304</v>
      </c>
      <c r="O94" s="17"/>
      <c r="P94" s="17" t="s">
        <v>305</v>
      </c>
      <c r="Q94" s="17"/>
      <c r="R94" s="17"/>
      <c r="S94" s="3" t="s">
        <v>40</v>
      </c>
      <c r="T94" s="17" t="s">
        <v>41</v>
      </c>
      <c r="U94" s="17"/>
      <c r="V94" s="4" t="s">
        <v>42</v>
      </c>
      <c r="W94" s="4" t="s">
        <v>100</v>
      </c>
      <c r="X94" s="4" t="s">
        <v>101</v>
      </c>
      <c r="Y94" s="17" t="s">
        <v>45</v>
      </c>
      <c r="Z94" s="17"/>
      <c r="AA94" s="4" t="s">
        <v>46</v>
      </c>
      <c r="AB94" s="4" t="s">
        <v>47</v>
      </c>
      <c r="AC94" s="4" t="s">
        <v>48</v>
      </c>
      <c r="AD94" s="4" t="s">
        <v>49</v>
      </c>
      <c r="AE94" s="4" t="s">
        <v>50</v>
      </c>
      <c r="AF94" s="4" t="s">
        <v>41</v>
      </c>
      <c r="AG94" s="4" t="s">
        <v>282</v>
      </c>
    </row>
    <row r="95" spans="1:33" ht="16.5" customHeight="1" x14ac:dyDescent="0.2">
      <c r="A95" s="2" t="s">
        <v>31</v>
      </c>
      <c r="B95" s="15" t="s">
        <v>32</v>
      </c>
      <c r="C95" s="15"/>
      <c r="D95" s="15"/>
      <c r="E95" s="16" t="s">
        <v>33</v>
      </c>
      <c r="F95" s="16"/>
      <c r="G95" s="17" t="s">
        <v>279</v>
      </c>
      <c r="H95" s="17"/>
      <c r="I95" s="17"/>
      <c r="J95" s="3" t="s">
        <v>35</v>
      </c>
      <c r="K95" s="4" t="s">
        <v>36</v>
      </c>
      <c r="L95" s="4" t="s">
        <v>58</v>
      </c>
      <c r="N95" s="17" t="s">
        <v>306</v>
      </c>
      <c r="O95" s="17"/>
      <c r="P95" s="17" t="s">
        <v>307</v>
      </c>
      <c r="Q95" s="17"/>
      <c r="R95" s="17"/>
      <c r="S95" s="3" t="s">
        <v>40</v>
      </c>
      <c r="T95" s="17" t="s">
        <v>41</v>
      </c>
      <c r="U95" s="17"/>
      <c r="V95" s="4" t="s">
        <v>42</v>
      </c>
      <c r="W95" s="4" t="s">
        <v>100</v>
      </c>
      <c r="X95" s="4" t="s">
        <v>101</v>
      </c>
      <c r="Y95" s="17" t="s">
        <v>45</v>
      </c>
      <c r="Z95" s="17"/>
      <c r="AA95" s="4" t="s">
        <v>46</v>
      </c>
      <c r="AB95" s="4" t="s">
        <v>47</v>
      </c>
      <c r="AC95" s="4" t="s">
        <v>48</v>
      </c>
      <c r="AD95" s="4" t="s">
        <v>137</v>
      </c>
      <c r="AE95" s="4" t="s">
        <v>50</v>
      </c>
      <c r="AF95" s="4" t="s">
        <v>41</v>
      </c>
      <c r="AG95" s="4" t="s">
        <v>282</v>
      </c>
    </row>
    <row r="96" spans="1:33" ht="16.5" customHeight="1" x14ac:dyDescent="0.2">
      <c r="A96" s="2" t="s">
        <v>31</v>
      </c>
      <c r="B96" s="15" t="s">
        <v>32</v>
      </c>
      <c r="C96" s="15"/>
      <c r="D96" s="15"/>
      <c r="E96" s="16" t="s">
        <v>33</v>
      </c>
      <c r="F96" s="16"/>
      <c r="G96" s="17" t="s">
        <v>279</v>
      </c>
      <c r="H96" s="17"/>
      <c r="I96" s="17"/>
      <c r="J96" s="3" t="s">
        <v>35</v>
      </c>
      <c r="K96" s="4" t="s">
        <v>107</v>
      </c>
      <c r="L96" s="4" t="s">
        <v>37</v>
      </c>
      <c r="N96" s="17" t="s">
        <v>308</v>
      </c>
      <c r="O96" s="17"/>
      <c r="P96" s="17" t="s">
        <v>309</v>
      </c>
      <c r="Q96" s="17"/>
      <c r="R96" s="17"/>
      <c r="S96" s="3" t="s">
        <v>40</v>
      </c>
      <c r="T96" s="17" t="s">
        <v>41</v>
      </c>
      <c r="U96" s="17"/>
      <c r="V96" s="4" t="s">
        <v>42</v>
      </c>
      <c r="W96" s="4" t="s">
        <v>201</v>
      </c>
      <c r="X96" s="4" t="s">
        <v>266</v>
      </c>
      <c r="Y96" s="17" t="s">
        <v>45</v>
      </c>
      <c r="Z96" s="17"/>
      <c r="AA96" s="4" t="s">
        <v>46</v>
      </c>
      <c r="AB96" s="4" t="s">
        <v>47</v>
      </c>
      <c r="AC96" s="4" t="s">
        <v>48</v>
      </c>
      <c r="AD96" s="4" t="s">
        <v>49</v>
      </c>
      <c r="AE96" s="4" t="s">
        <v>50</v>
      </c>
      <c r="AF96" s="4" t="s">
        <v>41</v>
      </c>
      <c r="AG96" s="4" t="s">
        <v>282</v>
      </c>
    </row>
    <row r="97" spans="1:33" ht="16.5" customHeight="1" x14ac:dyDescent="0.2">
      <c r="A97" s="2" t="s">
        <v>31</v>
      </c>
      <c r="B97" s="15" t="s">
        <v>32</v>
      </c>
      <c r="C97" s="15"/>
      <c r="D97" s="15"/>
      <c r="E97" s="16" t="s">
        <v>33</v>
      </c>
      <c r="F97" s="16"/>
      <c r="G97" s="17" t="s">
        <v>279</v>
      </c>
      <c r="H97" s="17"/>
      <c r="I97" s="17"/>
      <c r="J97" s="3" t="s">
        <v>35</v>
      </c>
      <c r="K97" s="4" t="s">
        <v>107</v>
      </c>
      <c r="L97" s="4" t="s">
        <v>37</v>
      </c>
      <c r="N97" s="17" t="s">
        <v>310</v>
      </c>
      <c r="O97" s="17"/>
      <c r="P97" s="17" t="s">
        <v>311</v>
      </c>
      <c r="Q97" s="17"/>
      <c r="R97" s="17"/>
      <c r="S97" s="3" t="s">
        <v>40</v>
      </c>
      <c r="T97" s="17" t="s">
        <v>41</v>
      </c>
      <c r="U97" s="17"/>
      <c r="V97" s="4" t="s">
        <v>42</v>
      </c>
      <c r="W97" s="4" t="s">
        <v>312</v>
      </c>
      <c r="X97" s="4" t="s">
        <v>313</v>
      </c>
      <c r="Y97" s="17" t="s">
        <v>45</v>
      </c>
      <c r="Z97" s="17"/>
      <c r="AA97" s="4" t="s">
        <v>46</v>
      </c>
      <c r="AB97" s="4" t="s">
        <v>47</v>
      </c>
      <c r="AC97" s="4" t="s">
        <v>48</v>
      </c>
      <c r="AD97" s="4" t="s">
        <v>49</v>
      </c>
      <c r="AE97" s="4" t="s">
        <v>50</v>
      </c>
      <c r="AF97" s="4" t="s">
        <v>41</v>
      </c>
      <c r="AG97" s="4" t="s">
        <v>282</v>
      </c>
    </row>
    <row r="98" spans="1:33" ht="16.5" customHeight="1" x14ac:dyDescent="0.2">
      <c r="A98" s="2" t="s">
        <v>31</v>
      </c>
      <c r="B98" s="15" t="s">
        <v>32</v>
      </c>
      <c r="C98" s="15"/>
      <c r="D98" s="15"/>
      <c r="E98" s="16" t="s">
        <v>33</v>
      </c>
      <c r="F98" s="16"/>
      <c r="G98" s="17" t="s">
        <v>279</v>
      </c>
      <c r="H98" s="17"/>
      <c r="I98" s="17"/>
      <c r="J98" s="3" t="s">
        <v>35</v>
      </c>
      <c r="K98" s="4" t="s">
        <v>314</v>
      </c>
      <c r="L98" s="4" t="s">
        <v>37</v>
      </c>
      <c r="N98" s="17" t="s">
        <v>315</v>
      </c>
      <c r="O98" s="17"/>
      <c r="P98" s="17" t="s">
        <v>316</v>
      </c>
      <c r="Q98" s="17"/>
      <c r="R98" s="17"/>
      <c r="S98" s="3" t="s">
        <v>40</v>
      </c>
      <c r="T98" s="17" t="s">
        <v>41</v>
      </c>
      <c r="U98" s="17"/>
      <c r="V98" s="4" t="s">
        <v>42</v>
      </c>
      <c r="W98" s="4" t="s">
        <v>74</v>
      </c>
      <c r="X98" s="4" t="s">
        <v>75</v>
      </c>
      <c r="Y98" s="17" t="s">
        <v>63</v>
      </c>
      <c r="Z98" s="17"/>
      <c r="AA98" s="4" t="s">
        <v>46</v>
      </c>
      <c r="AB98" s="4" t="s">
        <v>47</v>
      </c>
      <c r="AC98" s="4" t="s">
        <v>64</v>
      </c>
      <c r="AD98" s="4" t="s">
        <v>164</v>
      </c>
      <c r="AE98" s="4" t="s">
        <v>50</v>
      </c>
      <c r="AF98" s="4" t="s">
        <v>41</v>
      </c>
      <c r="AG98" s="4" t="s">
        <v>282</v>
      </c>
    </row>
    <row r="99" spans="1:33" ht="16.5" customHeight="1" x14ac:dyDescent="0.2">
      <c r="A99" s="2" t="s">
        <v>31</v>
      </c>
      <c r="B99" s="15" t="s">
        <v>32</v>
      </c>
      <c r="C99" s="15"/>
      <c r="D99" s="15"/>
      <c r="E99" s="16" t="s">
        <v>33</v>
      </c>
      <c r="F99" s="16"/>
      <c r="G99" s="17" t="s">
        <v>279</v>
      </c>
      <c r="H99" s="17"/>
      <c r="I99" s="17"/>
      <c r="J99" s="3" t="s">
        <v>35</v>
      </c>
      <c r="K99" s="4" t="s">
        <v>36</v>
      </c>
      <c r="L99" s="4" t="s">
        <v>77</v>
      </c>
      <c r="N99" s="17" t="s">
        <v>317</v>
      </c>
      <c r="O99" s="17"/>
      <c r="P99" s="17" t="s">
        <v>318</v>
      </c>
      <c r="Q99" s="17"/>
      <c r="R99" s="17"/>
      <c r="S99" s="3" t="s">
        <v>40</v>
      </c>
      <c r="T99" s="17" t="s">
        <v>41</v>
      </c>
      <c r="U99" s="17"/>
      <c r="V99" s="4" t="s">
        <v>42</v>
      </c>
      <c r="W99" s="4" t="s">
        <v>319</v>
      </c>
      <c r="X99" s="4" t="s">
        <v>320</v>
      </c>
      <c r="Y99" s="17" t="s">
        <v>45</v>
      </c>
      <c r="Z99" s="17"/>
      <c r="AA99" s="4" t="s">
        <v>46</v>
      </c>
      <c r="AB99" s="4" t="s">
        <v>47</v>
      </c>
      <c r="AC99" s="4" t="s">
        <v>48</v>
      </c>
      <c r="AD99" s="4" t="s">
        <v>82</v>
      </c>
      <c r="AE99" s="4" t="s">
        <v>50</v>
      </c>
      <c r="AF99" s="4" t="s">
        <v>41</v>
      </c>
      <c r="AG99" s="4" t="s">
        <v>282</v>
      </c>
    </row>
    <row r="100" spans="1:33" ht="16.5" customHeight="1" x14ac:dyDescent="0.2">
      <c r="A100" s="2" t="s">
        <v>31</v>
      </c>
      <c r="B100" s="15" t="s">
        <v>32</v>
      </c>
      <c r="C100" s="15"/>
      <c r="D100" s="15"/>
      <c r="E100" s="16" t="s">
        <v>33</v>
      </c>
      <c r="F100" s="16"/>
      <c r="G100" s="17" t="s">
        <v>279</v>
      </c>
      <c r="H100" s="17"/>
      <c r="I100" s="17"/>
      <c r="J100" s="3" t="s">
        <v>35</v>
      </c>
      <c r="K100" s="4" t="s">
        <v>102</v>
      </c>
      <c r="L100" s="4" t="s">
        <v>37</v>
      </c>
      <c r="N100" s="17" t="s">
        <v>321</v>
      </c>
      <c r="O100" s="17"/>
      <c r="P100" s="17" t="s">
        <v>322</v>
      </c>
      <c r="Q100" s="17"/>
      <c r="R100" s="17"/>
      <c r="S100" s="3" t="s">
        <v>40</v>
      </c>
      <c r="T100" s="17" t="s">
        <v>41</v>
      </c>
      <c r="U100" s="17"/>
      <c r="V100" s="4" t="s">
        <v>42</v>
      </c>
      <c r="W100" s="4" t="s">
        <v>80</v>
      </c>
      <c r="X100" s="4" t="s">
        <v>81</v>
      </c>
      <c r="Y100" s="17" t="s">
        <v>45</v>
      </c>
      <c r="Z100" s="17"/>
      <c r="AA100" s="4" t="s">
        <v>46</v>
      </c>
      <c r="AB100" s="4" t="s">
        <v>47</v>
      </c>
      <c r="AC100" s="4" t="s">
        <v>48</v>
      </c>
      <c r="AD100" s="4" t="s">
        <v>49</v>
      </c>
      <c r="AE100" s="4" t="s">
        <v>50</v>
      </c>
      <c r="AF100" s="4" t="s">
        <v>41</v>
      </c>
      <c r="AG100" s="4" t="s">
        <v>282</v>
      </c>
    </row>
    <row r="101" spans="1:33" ht="16.5" customHeight="1" x14ac:dyDescent="0.2">
      <c r="A101" s="2" t="s">
        <v>31</v>
      </c>
      <c r="B101" s="15" t="s">
        <v>32</v>
      </c>
      <c r="C101" s="15"/>
      <c r="D101" s="15"/>
      <c r="E101" s="16" t="s">
        <v>33</v>
      </c>
      <c r="F101" s="16"/>
      <c r="G101" s="17" t="s">
        <v>279</v>
      </c>
      <c r="H101" s="17"/>
      <c r="I101" s="17"/>
      <c r="J101" s="3" t="s">
        <v>35</v>
      </c>
      <c r="K101" s="4" t="s">
        <v>102</v>
      </c>
      <c r="L101" s="4" t="s">
        <v>37</v>
      </c>
      <c r="N101" s="17" t="s">
        <v>323</v>
      </c>
      <c r="O101" s="17"/>
      <c r="P101" s="17" t="s">
        <v>324</v>
      </c>
      <c r="Q101" s="17"/>
      <c r="R101" s="17"/>
      <c r="S101" s="3" t="s">
        <v>40</v>
      </c>
      <c r="T101" s="17" t="s">
        <v>41</v>
      </c>
      <c r="U101" s="17"/>
      <c r="V101" s="4" t="s">
        <v>42</v>
      </c>
      <c r="W101" s="4" t="s">
        <v>325</v>
      </c>
      <c r="X101" s="4" t="s">
        <v>326</v>
      </c>
      <c r="Y101" s="17" t="s">
        <v>45</v>
      </c>
      <c r="Z101" s="17"/>
      <c r="AA101" s="4" t="s">
        <v>46</v>
      </c>
      <c r="AB101" s="4" t="s">
        <v>47</v>
      </c>
      <c r="AC101" s="4" t="s">
        <v>48</v>
      </c>
      <c r="AD101" s="4" t="s">
        <v>49</v>
      </c>
      <c r="AE101" s="4" t="s">
        <v>50</v>
      </c>
      <c r="AF101" s="4" t="s">
        <v>41</v>
      </c>
      <c r="AG101" s="4" t="s">
        <v>282</v>
      </c>
    </row>
    <row r="102" spans="1:33" ht="16.5" customHeight="1" x14ac:dyDescent="0.2">
      <c r="A102" s="2" t="s">
        <v>31</v>
      </c>
      <c r="B102" s="15" t="s">
        <v>32</v>
      </c>
      <c r="C102" s="15"/>
      <c r="D102" s="15"/>
      <c r="E102" s="16" t="s">
        <v>33</v>
      </c>
      <c r="F102" s="16"/>
      <c r="G102" s="17" t="s">
        <v>279</v>
      </c>
      <c r="H102" s="17"/>
      <c r="I102" s="17"/>
      <c r="J102" s="3" t="s">
        <v>35</v>
      </c>
      <c r="K102" s="4" t="s">
        <v>36</v>
      </c>
      <c r="L102" s="4" t="s">
        <v>37</v>
      </c>
      <c r="N102" s="17" t="s">
        <v>327</v>
      </c>
      <c r="O102" s="17"/>
      <c r="P102" s="17" t="s">
        <v>328</v>
      </c>
      <c r="Q102" s="17"/>
      <c r="R102" s="17"/>
      <c r="S102" s="3" t="s">
        <v>40</v>
      </c>
      <c r="T102" s="17" t="s">
        <v>41</v>
      </c>
      <c r="U102" s="17"/>
      <c r="V102" s="4" t="s">
        <v>42</v>
      </c>
      <c r="W102" s="4" t="s">
        <v>302</v>
      </c>
      <c r="X102" s="4" t="s">
        <v>303</v>
      </c>
      <c r="Y102" s="17" t="s">
        <v>45</v>
      </c>
      <c r="Z102" s="17"/>
      <c r="AA102" s="4" t="s">
        <v>46</v>
      </c>
      <c r="AB102" s="4" t="s">
        <v>47</v>
      </c>
      <c r="AC102" s="4" t="s">
        <v>48</v>
      </c>
      <c r="AD102" s="4" t="s">
        <v>49</v>
      </c>
      <c r="AE102" s="4" t="s">
        <v>50</v>
      </c>
      <c r="AF102" s="4" t="s">
        <v>41</v>
      </c>
      <c r="AG102" s="4" t="s">
        <v>282</v>
      </c>
    </row>
    <row r="103" spans="1:33" ht="16.5" customHeight="1" x14ac:dyDescent="0.2">
      <c r="A103" s="2" t="s">
        <v>31</v>
      </c>
      <c r="B103" s="15" t="s">
        <v>32</v>
      </c>
      <c r="C103" s="15"/>
      <c r="D103" s="15"/>
      <c r="E103" s="16" t="s">
        <v>33</v>
      </c>
      <c r="F103" s="16"/>
      <c r="G103" s="17" t="s">
        <v>279</v>
      </c>
      <c r="H103" s="17"/>
      <c r="I103" s="17"/>
      <c r="J103" s="3" t="s">
        <v>35</v>
      </c>
      <c r="K103" s="4" t="s">
        <v>329</v>
      </c>
      <c r="L103" s="4" t="s">
        <v>37</v>
      </c>
      <c r="N103" s="17" t="s">
        <v>330</v>
      </c>
      <c r="O103" s="17"/>
      <c r="P103" s="17" t="s">
        <v>331</v>
      </c>
      <c r="Q103" s="17"/>
      <c r="R103" s="17"/>
      <c r="S103" s="3" t="s">
        <v>40</v>
      </c>
      <c r="T103" s="17" t="s">
        <v>41</v>
      </c>
      <c r="U103" s="17"/>
      <c r="V103" s="4" t="s">
        <v>42</v>
      </c>
      <c r="W103" s="4" t="s">
        <v>275</v>
      </c>
      <c r="X103" s="4" t="s">
        <v>276</v>
      </c>
      <c r="Y103" s="17" t="s">
        <v>63</v>
      </c>
      <c r="Z103" s="17"/>
      <c r="AA103" s="4" t="s">
        <v>46</v>
      </c>
      <c r="AB103" s="4" t="s">
        <v>47</v>
      </c>
      <c r="AC103" s="4" t="s">
        <v>64</v>
      </c>
      <c r="AD103" s="4" t="s">
        <v>164</v>
      </c>
      <c r="AE103" s="4" t="s">
        <v>50</v>
      </c>
      <c r="AF103" s="4" t="s">
        <v>41</v>
      </c>
      <c r="AG103" s="4" t="s">
        <v>282</v>
      </c>
    </row>
    <row r="104" spans="1:33" ht="16.5" customHeight="1" x14ac:dyDescent="0.2">
      <c r="A104" s="2" t="s">
        <v>31</v>
      </c>
      <c r="B104" s="15" t="s">
        <v>32</v>
      </c>
      <c r="C104" s="15"/>
      <c r="D104" s="15"/>
      <c r="E104" s="16" t="s">
        <v>33</v>
      </c>
      <c r="F104" s="16"/>
      <c r="G104" s="17" t="s">
        <v>279</v>
      </c>
      <c r="H104" s="17"/>
      <c r="I104" s="17"/>
      <c r="J104" s="3" t="s">
        <v>35</v>
      </c>
      <c r="K104" s="4" t="s">
        <v>36</v>
      </c>
      <c r="L104" s="4" t="s">
        <v>77</v>
      </c>
      <c r="N104" s="17" t="s">
        <v>332</v>
      </c>
      <c r="O104" s="17"/>
      <c r="P104" s="17" t="s">
        <v>333</v>
      </c>
      <c r="Q104" s="17"/>
      <c r="R104" s="17"/>
      <c r="S104" s="3" t="s">
        <v>40</v>
      </c>
      <c r="T104" s="17" t="s">
        <v>41</v>
      </c>
      <c r="U104" s="17"/>
      <c r="V104" s="4" t="s">
        <v>42</v>
      </c>
      <c r="W104" s="4" t="s">
        <v>74</v>
      </c>
      <c r="X104" s="4" t="s">
        <v>75</v>
      </c>
      <c r="Y104" s="17" t="s">
        <v>45</v>
      </c>
      <c r="Z104" s="17"/>
      <c r="AA104" s="4" t="s">
        <v>46</v>
      </c>
      <c r="AB104" s="4" t="s">
        <v>47</v>
      </c>
      <c r="AC104" s="4" t="s">
        <v>48</v>
      </c>
      <c r="AD104" s="4" t="s">
        <v>82</v>
      </c>
      <c r="AE104" s="4" t="s">
        <v>50</v>
      </c>
      <c r="AF104" s="4" t="s">
        <v>41</v>
      </c>
      <c r="AG104" s="4" t="s">
        <v>282</v>
      </c>
    </row>
    <row r="105" spans="1:33" ht="16.5" customHeight="1" x14ac:dyDescent="0.2">
      <c r="A105" s="2" t="s">
        <v>31</v>
      </c>
      <c r="B105" s="15" t="s">
        <v>32</v>
      </c>
      <c r="C105" s="15"/>
      <c r="D105" s="15"/>
      <c r="E105" s="16" t="s">
        <v>33</v>
      </c>
      <c r="F105" s="16"/>
      <c r="G105" s="17" t="s">
        <v>279</v>
      </c>
      <c r="H105" s="17"/>
      <c r="I105" s="17"/>
      <c r="J105" s="3" t="s">
        <v>35</v>
      </c>
      <c r="K105" s="4" t="s">
        <v>36</v>
      </c>
      <c r="L105" s="4" t="s">
        <v>37</v>
      </c>
      <c r="N105" s="17" t="s">
        <v>334</v>
      </c>
      <c r="O105" s="17"/>
      <c r="P105" s="17" t="s">
        <v>335</v>
      </c>
      <c r="Q105" s="17"/>
      <c r="R105" s="17"/>
      <c r="S105" s="3" t="s">
        <v>40</v>
      </c>
      <c r="T105" s="17" t="s">
        <v>41</v>
      </c>
      <c r="U105" s="17"/>
      <c r="V105" s="4" t="s">
        <v>42</v>
      </c>
      <c r="W105" s="4" t="s">
        <v>336</v>
      </c>
      <c r="X105" s="4" t="s">
        <v>337</v>
      </c>
      <c r="Y105" s="17" t="s">
        <v>45</v>
      </c>
      <c r="Z105" s="17"/>
      <c r="AA105" s="4" t="s">
        <v>46</v>
      </c>
      <c r="AB105" s="4" t="s">
        <v>47</v>
      </c>
      <c r="AC105" s="4" t="s">
        <v>48</v>
      </c>
      <c r="AD105" s="4" t="s">
        <v>49</v>
      </c>
      <c r="AE105" s="4" t="s">
        <v>50</v>
      </c>
      <c r="AF105" s="4" t="s">
        <v>41</v>
      </c>
      <c r="AG105" s="4" t="s">
        <v>282</v>
      </c>
    </row>
    <row r="106" spans="1:33" ht="16.5" customHeight="1" x14ac:dyDescent="0.2">
      <c r="A106" s="2" t="s">
        <v>31</v>
      </c>
      <c r="B106" s="15" t="s">
        <v>32</v>
      </c>
      <c r="C106" s="15"/>
      <c r="D106" s="15"/>
      <c r="E106" s="16" t="s">
        <v>33</v>
      </c>
      <c r="F106" s="16"/>
      <c r="G106" s="17" t="s">
        <v>279</v>
      </c>
      <c r="H106" s="17"/>
      <c r="I106" s="17"/>
      <c r="J106" s="3" t="s">
        <v>35</v>
      </c>
      <c r="K106" s="4" t="s">
        <v>52</v>
      </c>
      <c r="L106" s="4" t="s">
        <v>196</v>
      </c>
      <c r="N106" s="17" t="s">
        <v>338</v>
      </c>
      <c r="O106" s="17"/>
      <c r="P106" s="17" t="s">
        <v>339</v>
      </c>
      <c r="Q106" s="17"/>
      <c r="R106" s="17"/>
      <c r="S106" s="3" t="s">
        <v>40</v>
      </c>
      <c r="T106" s="17" t="s">
        <v>41</v>
      </c>
      <c r="U106" s="17"/>
      <c r="V106" s="4" t="s">
        <v>248</v>
      </c>
      <c r="W106" s="4" t="s">
        <v>312</v>
      </c>
      <c r="X106" s="4" t="s">
        <v>340</v>
      </c>
      <c r="Y106" s="17" t="s">
        <v>45</v>
      </c>
      <c r="Z106" s="17"/>
      <c r="AA106" s="4" t="s">
        <v>46</v>
      </c>
      <c r="AB106" s="4" t="s">
        <v>47</v>
      </c>
      <c r="AC106" s="4" t="s">
        <v>48</v>
      </c>
      <c r="AD106" s="4" t="s">
        <v>197</v>
      </c>
      <c r="AE106" s="4" t="s">
        <v>50</v>
      </c>
      <c r="AF106" s="4" t="s">
        <v>41</v>
      </c>
      <c r="AG106" s="4" t="s">
        <v>282</v>
      </c>
    </row>
    <row r="107" spans="1:33" ht="16.5" customHeight="1" x14ac:dyDescent="0.2">
      <c r="A107" s="2" t="s">
        <v>31</v>
      </c>
      <c r="B107" s="15" t="s">
        <v>32</v>
      </c>
      <c r="C107" s="15"/>
      <c r="D107" s="15"/>
      <c r="E107" s="16" t="s">
        <v>33</v>
      </c>
      <c r="F107" s="16"/>
      <c r="G107" s="17" t="s">
        <v>279</v>
      </c>
      <c r="H107" s="17"/>
      <c r="I107" s="17"/>
      <c r="J107" s="3" t="s">
        <v>35</v>
      </c>
      <c r="K107" s="4" t="s">
        <v>36</v>
      </c>
      <c r="L107" s="4" t="s">
        <v>37</v>
      </c>
      <c r="N107" s="17" t="s">
        <v>341</v>
      </c>
      <c r="O107" s="17"/>
      <c r="P107" s="17" t="s">
        <v>342</v>
      </c>
      <c r="Q107" s="17"/>
      <c r="R107" s="17"/>
      <c r="S107" s="3" t="s">
        <v>40</v>
      </c>
      <c r="T107" s="17" t="s">
        <v>41</v>
      </c>
      <c r="U107" s="17"/>
      <c r="V107" s="4" t="s">
        <v>42</v>
      </c>
      <c r="W107" s="4" t="s">
        <v>100</v>
      </c>
      <c r="X107" s="4" t="s">
        <v>101</v>
      </c>
      <c r="Y107" s="17" t="s">
        <v>45</v>
      </c>
      <c r="Z107" s="17"/>
      <c r="AA107" s="4" t="s">
        <v>46</v>
      </c>
      <c r="AB107" s="4" t="s">
        <v>47</v>
      </c>
      <c r="AC107" s="4" t="s">
        <v>48</v>
      </c>
      <c r="AD107" s="4" t="s">
        <v>49</v>
      </c>
      <c r="AE107" s="4" t="s">
        <v>50</v>
      </c>
      <c r="AF107" s="4" t="s">
        <v>41</v>
      </c>
      <c r="AG107" s="4" t="s">
        <v>282</v>
      </c>
    </row>
    <row r="108" spans="1:33" ht="16.5" customHeight="1" x14ac:dyDescent="0.2">
      <c r="A108" s="2" t="s">
        <v>31</v>
      </c>
      <c r="B108" s="15" t="s">
        <v>32</v>
      </c>
      <c r="C108" s="15"/>
      <c r="D108" s="15"/>
      <c r="E108" s="16" t="s">
        <v>33</v>
      </c>
      <c r="F108" s="16"/>
      <c r="G108" s="17" t="s">
        <v>279</v>
      </c>
      <c r="H108" s="17"/>
      <c r="I108" s="17"/>
      <c r="J108" s="3" t="s">
        <v>35</v>
      </c>
      <c r="K108" s="4" t="s">
        <v>57</v>
      </c>
      <c r="L108" s="4" t="s">
        <v>37</v>
      </c>
      <c r="N108" s="17" t="s">
        <v>343</v>
      </c>
      <c r="O108" s="17"/>
      <c r="P108" s="17" t="s">
        <v>344</v>
      </c>
      <c r="Q108" s="17"/>
      <c r="R108" s="17"/>
      <c r="S108" s="3" t="s">
        <v>40</v>
      </c>
      <c r="T108" s="17" t="s">
        <v>41</v>
      </c>
      <c r="U108" s="17"/>
      <c r="V108" s="4" t="s">
        <v>42</v>
      </c>
      <c r="W108" s="4" t="s">
        <v>224</v>
      </c>
      <c r="X108" s="4" t="s">
        <v>225</v>
      </c>
      <c r="Y108" s="17" t="s">
        <v>63</v>
      </c>
      <c r="Z108" s="17"/>
      <c r="AA108" s="4" t="s">
        <v>46</v>
      </c>
      <c r="AB108" s="4" t="s">
        <v>47</v>
      </c>
      <c r="AC108" s="4" t="s">
        <v>64</v>
      </c>
      <c r="AD108" s="4" t="s">
        <v>164</v>
      </c>
      <c r="AE108" s="4" t="s">
        <v>50</v>
      </c>
      <c r="AF108" s="4" t="s">
        <v>41</v>
      </c>
      <c r="AG108" s="4" t="s">
        <v>282</v>
      </c>
    </row>
    <row r="109" spans="1:33" ht="16.5" customHeight="1" x14ac:dyDescent="0.2">
      <c r="A109" s="2" t="s">
        <v>31</v>
      </c>
      <c r="B109" s="15" t="s">
        <v>32</v>
      </c>
      <c r="C109" s="15"/>
      <c r="D109" s="15"/>
      <c r="E109" s="16" t="s">
        <v>33</v>
      </c>
      <c r="F109" s="16"/>
      <c r="G109" s="17" t="s">
        <v>279</v>
      </c>
      <c r="H109" s="17"/>
      <c r="I109" s="17"/>
      <c r="J109" s="3" t="s">
        <v>35</v>
      </c>
      <c r="K109" s="4" t="s">
        <v>36</v>
      </c>
      <c r="L109" s="4" t="s">
        <v>77</v>
      </c>
      <c r="N109" s="17" t="s">
        <v>345</v>
      </c>
      <c r="O109" s="17"/>
      <c r="P109" s="17" t="s">
        <v>346</v>
      </c>
      <c r="Q109" s="17"/>
      <c r="R109" s="17"/>
      <c r="S109" s="3" t="s">
        <v>40</v>
      </c>
      <c r="T109" s="17" t="s">
        <v>41</v>
      </c>
      <c r="U109" s="17"/>
      <c r="V109" s="4" t="s">
        <v>42</v>
      </c>
      <c r="W109" s="4" t="s">
        <v>100</v>
      </c>
      <c r="X109" s="4" t="s">
        <v>101</v>
      </c>
      <c r="Y109" s="17" t="s">
        <v>45</v>
      </c>
      <c r="Z109" s="17"/>
      <c r="AA109" s="4" t="s">
        <v>46</v>
      </c>
      <c r="AB109" s="4" t="s">
        <v>47</v>
      </c>
      <c r="AC109" s="4" t="s">
        <v>48</v>
      </c>
      <c r="AD109" s="4" t="s">
        <v>82</v>
      </c>
      <c r="AE109" s="4" t="s">
        <v>50</v>
      </c>
      <c r="AF109" s="4" t="s">
        <v>41</v>
      </c>
      <c r="AG109" s="4" t="s">
        <v>282</v>
      </c>
    </row>
    <row r="110" spans="1:33" ht="16.5" customHeight="1" x14ac:dyDescent="0.2">
      <c r="A110" s="2" t="s">
        <v>31</v>
      </c>
      <c r="B110" s="15" t="s">
        <v>32</v>
      </c>
      <c r="C110" s="15"/>
      <c r="D110" s="15"/>
      <c r="E110" s="16" t="s">
        <v>33</v>
      </c>
      <c r="F110" s="16"/>
      <c r="G110" s="17" t="s">
        <v>279</v>
      </c>
      <c r="H110" s="17"/>
      <c r="I110" s="17"/>
      <c r="J110" s="3" t="s">
        <v>35</v>
      </c>
      <c r="K110" s="4" t="s">
        <v>107</v>
      </c>
      <c r="L110" s="4" t="s">
        <v>37</v>
      </c>
      <c r="N110" s="17" t="s">
        <v>347</v>
      </c>
      <c r="O110" s="17"/>
      <c r="P110" s="17" t="s">
        <v>348</v>
      </c>
      <c r="Q110" s="17"/>
      <c r="R110" s="17"/>
      <c r="S110" s="3" t="s">
        <v>40</v>
      </c>
      <c r="T110" s="17" t="s">
        <v>41</v>
      </c>
      <c r="U110" s="17"/>
      <c r="V110" s="4" t="s">
        <v>42</v>
      </c>
      <c r="W110" s="4" t="s">
        <v>100</v>
      </c>
      <c r="X110" s="4" t="s">
        <v>101</v>
      </c>
      <c r="Y110" s="17" t="s">
        <v>45</v>
      </c>
      <c r="Z110" s="17"/>
      <c r="AA110" s="4" t="s">
        <v>46</v>
      </c>
      <c r="AB110" s="4" t="s">
        <v>47</v>
      </c>
      <c r="AC110" s="4" t="s">
        <v>48</v>
      </c>
      <c r="AD110" s="4" t="s">
        <v>49</v>
      </c>
      <c r="AE110" s="4" t="s">
        <v>50</v>
      </c>
      <c r="AF110" s="4" t="s">
        <v>41</v>
      </c>
      <c r="AG110" s="4" t="s">
        <v>282</v>
      </c>
    </row>
    <row r="111" spans="1:33" ht="16.5" customHeight="1" x14ac:dyDescent="0.2">
      <c r="A111" s="2" t="s">
        <v>31</v>
      </c>
      <c r="B111" s="15" t="s">
        <v>32</v>
      </c>
      <c r="C111" s="15"/>
      <c r="D111" s="15"/>
      <c r="E111" s="16" t="s">
        <v>33</v>
      </c>
      <c r="F111" s="16"/>
      <c r="G111" s="17" t="s">
        <v>279</v>
      </c>
      <c r="H111" s="17"/>
      <c r="I111" s="17"/>
      <c r="J111" s="3" t="s">
        <v>35</v>
      </c>
      <c r="K111" s="4" t="s">
        <v>202</v>
      </c>
      <c r="L111" s="4" t="s">
        <v>37</v>
      </c>
      <c r="N111" s="17" t="s">
        <v>349</v>
      </c>
      <c r="O111" s="17"/>
      <c r="P111" s="17" t="s">
        <v>350</v>
      </c>
      <c r="Q111" s="17"/>
      <c r="R111" s="17"/>
      <c r="S111" s="3" t="s">
        <v>40</v>
      </c>
      <c r="T111" s="17" t="s">
        <v>41</v>
      </c>
      <c r="U111" s="17"/>
      <c r="V111" s="4" t="s">
        <v>42</v>
      </c>
      <c r="W111" s="4" t="s">
        <v>100</v>
      </c>
      <c r="X111" s="4" t="s">
        <v>101</v>
      </c>
      <c r="Y111" s="17" t="s">
        <v>45</v>
      </c>
      <c r="Z111" s="17"/>
      <c r="AA111" s="4" t="s">
        <v>46</v>
      </c>
      <c r="AB111" s="4" t="s">
        <v>47</v>
      </c>
      <c r="AC111" s="4" t="s">
        <v>48</v>
      </c>
      <c r="AD111" s="4" t="s">
        <v>49</v>
      </c>
      <c r="AE111" s="4" t="s">
        <v>50</v>
      </c>
      <c r="AF111" s="4" t="s">
        <v>41</v>
      </c>
      <c r="AG111" s="4" t="s">
        <v>282</v>
      </c>
    </row>
    <row r="112" spans="1:33" ht="16.5" customHeight="1" x14ac:dyDescent="0.2">
      <c r="A112" s="2" t="s">
        <v>31</v>
      </c>
      <c r="B112" s="15" t="s">
        <v>32</v>
      </c>
      <c r="C112" s="15"/>
      <c r="D112" s="15"/>
      <c r="E112" s="16" t="s">
        <v>33</v>
      </c>
      <c r="F112" s="16"/>
      <c r="G112" s="17" t="s">
        <v>279</v>
      </c>
      <c r="H112" s="17"/>
      <c r="I112" s="17"/>
      <c r="J112" s="3" t="s">
        <v>35</v>
      </c>
      <c r="K112" s="4" t="s">
        <v>102</v>
      </c>
      <c r="L112" s="4" t="s">
        <v>77</v>
      </c>
      <c r="N112" s="17" t="s">
        <v>351</v>
      </c>
      <c r="O112" s="17"/>
      <c r="P112" s="17" t="s">
        <v>352</v>
      </c>
      <c r="Q112" s="17"/>
      <c r="R112" s="17"/>
      <c r="S112" s="3" t="s">
        <v>40</v>
      </c>
      <c r="T112" s="17" t="s">
        <v>41</v>
      </c>
      <c r="U112" s="17"/>
      <c r="V112" s="4" t="s">
        <v>42</v>
      </c>
      <c r="W112" s="4" t="s">
        <v>201</v>
      </c>
      <c r="X112" s="4" t="s">
        <v>266</v>
      </c>
      <c r="Y112" s="17" t="s">
        <v>45</v>
      </c>
      <c r="Z112" s="17"/>
      <c r="AA112" s="4" t="s">
        <v>46</v>
      </c>
      <c r="AB112" s="4" t="s">
        <v>47</v>
      </c>
      <c r="AC112" s="4" t="s">
        <v>48</v>
      </c>
      <c r="AD112" s="4" t="s">
        <v>82</v>
      </c>
      <c r="AE112" s="4" t="s">
        <v>50</v>
      </c>
      <c r="AF112" s="4" t="s">
        <v>41</v>
      </c>
      <c r="AG112" s="4" t="s">
        <v>282</v>
      </c>
    </row>
    <row r="113" spans="1:33" ht="16.5" customHeight="1" x14ac:dyDescent="0.2">
      <c r="A113" s="2" t="s">
        <v>31</v>
      </c>
      <c r="B113" s="15" t="s">
        <v>32</v>
      </c>
      <c r="C113" s="15"/>
      <c r="D113" s="15"/>
      <c r="E113" s="16" t="s">
        <v>33</v>
      </c>
      <c r="F113" s="16"/>
      <c r="G113" s="17" t="s">
        <v>279</v>
      </c>
      <c r="H113" s="17"/>
      <c r="I113" s="17"/>
      <c r="J113" s="3" t="s">
        <v>35</v>
      </c>
      <c r="K113" s="4" t="s">
        <v>36</v>
      </c>
      <c r="L113" s="4" t="s">
        <v>37</v>
      </c>
      <c r="N113" s="17" t="s">
        <v>353</v>
      </c>
      <c r="O113" s="17"/>
      <c r="P113" s="17" t="s">
        <v>354</v>
      </c>
      <c r="Q113" s="17"/>
      <c r="R113" s="17"/>
      <c r="S113" s="3" t="s">
        <v>40</v>
      </c>
      <c r="T113" s="17" t="s">
        <v>41</v>
      </c>
      <c r="U113" s="17"/>
      <c r="V113" s="4" t="s">
        <v>42</v>
      </c>
      <c r="W113" s="4" t="s">
        <v>355</v>
      </c>
      <c r="X113" s="4" t="s">
        <v>356</v>
      </c>
      <c r="Y113" s="17" t="s">
        <v>45</v>
      </c>
      <c r="Z113" s="17"/>
      <c r="AA113" s="4" t="s">
        <v>46</v>
      </c>
      <c r="AB113" s="4" t="s">
        <v>47</v>
      </c>
      <c r="AC113" s="4" t="s">
        <v>48</v>
      </c>
      <c r="AD113" s="4" t="s">
        <v>49</v>
      </c>
      <c r="AE113" s="4" t="s">
        <v>50</v>
      </c>
      <c r="AF113" s="4" t="s">
        <v>41</v>
      </c>
      <c r="AG113" s="4" t="s">
        <v>282</v>
      </c>
    </row>
    <row r="114" spans="1:33" ht="16.5" customHeight="1" x14ac:dyDescent="0.2">
      <c r="A114" s="2" t="s">
        <v>31</v>
      </c>
      <c r="B114" s="15" t="s">
        <v>32</v>
      </c>
      <c r="C114" s="15"/>
      <c r="D114" s="15"/>
      <c r="E114" s="16" t="s">
        <v>33</v>
      </c>
      <c r="F114" s="16"/>
      <c r="G114" s="17" t="s">
        <v>279</v>
      </c>
      <c r="H114" s="17"/>
      <c r="I114" s="17"/>
      <c r="J114" s="3" t="s">
        <v>35</v>
      </c>
      <c r="K114" s="4" t="s">
        <v>159</v>
      </c>
      <c r="L114" s="4" t="s">
        <v>37</v>
      </c>
      <c r="N114" s="17" t="s">
        <v>357</v>
      </c>
      <c r="O114" s="17"/>
      <c r="P114" s="17" t="s">
        <v>358</v>
      </c>
      <c r="Q114" s="17"/>
      <c r="R114" s="17"/>
      <c r="S114" s="3" t="s">
        <v>40</v>
      </c>
      <c r="T114" s="17" t="s">
        <v>41</v>
      </c>
      <c r="U114" s="17"/>
      <c r="V114" s="4" t="s">
        <v>42</v>
      </c>
      <c r="W114" s="4" t="s">
        <v>355</v>
      </c>
      <c r="X114" s="4" t="s">
        <v>356</v>
      </c>
      <c r="Y114" s="17" t="s">
        <v>63</v>
      </c>
      <c r="Z114" s="17"/>
      <c r="AA114" s="4" t="s">
        <v>46</v>
      </c>
      <c r="AB114" s="4" t="s">
        <v>47</v>
      </c>
      <c r="AC114" s="4" t="s">
        <v>64</v>
      </c>
      <c r="AD114" s="4" t="s">
        <v>164</v>
      </c>
      <c r="AE114" s="4" t="s">
        <v>50</v>
      </c>
      <c r="AF114" s="4" t="s">
        <v>41</v>
      </c>
      <c r="AG114" s="4" t="s">
        <v>282</v>
      </c>
    </row>
    <row r="115" spans="1:33" ht="16.5" customHeight="1" x14ac:dyDescent="0.2">
      <c r="A115" s="2" t="s">
        <v>31</v>
      </c>
      <c r="B115" s="15" t="s">
        <v>32</v>
      </c>
      <c r="C115" s="15"/>
      <c r="D115" s="15"/>
      <c r="E115" s="16" t="s">
        <v>33</v>
      </c>
      <c r="F115" s="16"/>
      <c r="G115" s="17" t="s">
        <v>279</v>
      </c>
      <c r="H115" s="17"/>
      <c r="I115" s="17"/>
      <c r="J115" s="3" t="s">
        <v>35</v>
      </c>
      <c r="K115" s="4" t="s">
        <v>36</v>
      </c>
      <c r="L115" s="4" t="s">
        <v>259</v>
      </c>
      <c r="N115" s="17" t="s">
        <v>359</v>
      </c>
      <c r="O115" s="17"/>
      <c r="P115" s="17" t="s">
        <v>360</v>
      </c>
      <c r="Q115" s="17"/>
      <c r="R115" s="17"/>
      <c r="S115" s="3" t="s">
        <v>40</v>
      </c>
      <c r="T115" s="17" t="s">
        <v>41</v>
      </c>
      <c r="U115" s="17"/>
      <c r="V115" s="4" t="s">
        <v>42</v>
      </c>
      <c r="W115" s="4" t="s">
        <v>361</v>
      </c>
      <c r="X115" s="4" t="s">
        <v>362</v>
      </c>
      <c r="Y115" s="17" t="s">
        <v>45</v>
      </c>
      <c r="Z115" s="17"/>
      <c r="AA115" s="4" t="s">
        <v>46</v>
      </c>
      <c r="AB115" s="4" t="s">
        <v>47</v>
      </c>
      <c r="AC115" s="4" t="s">
        <v>48</v>
      </c>
      <c r="AD115" s="4" t="s">
        <v>363</v>
      </c>
      <c r="AE115" s="4" t="s">
        <v>50</v>
      </c>
      <c r="AF115" s="4" t="s">
        <v>41</v>
      </c>
      <c r="AG115" s="4" t="s">
        <v>282</v>
      </c>
    </row>
    <row r="116" spans="1:33" ht="16.5" customHeight="1" x14ac:dyDescent="0.2">
      <c r="A116" s="2" t="s">
        <v>31</v>
      </c>
      <c r="B116" s="15" t="s">
        <v>32</v>
      </c>
      <c r="C116" s="15"/>
      <c r="D116" s="15"/>
      <c r="E116" s="16" t="s">
        <v>33</v>
      </c>
      <c r="F116" s="16"/>
      <c r="G116" s="17" t="s">
        <v>279</v>
      </c>
      <c r="H116" s="17"/>
      <c r="I116" s="17"/>
      <c r="J116" s="3" t="s">
        <v>35</v>
      </c>
      <c r="K116" s="4" t="s">
        <v>36</v>
      </c>
      <c r="L116" s="4" t="s">
        <v>37</v>
      </c>
      <c r="N116" s="17" t="s">
        <v>364</v>
      </c>
      <c r="O116" s="17"/>
      <c r="P116" s="17" t="s">
        <v>365</v>
      </c>
      <c r="Q116" s="17"/>
      <c r="R116" s="17"/>
      <c r="S116" s="3" t="s">
        <v>40</v>
      </c>
      <c r="T116" s="17" t="s">
        <v>41</v>
      </c>
      <c r="U116" s="17"/>
      <c r="V116" s="4" t="s">
        <v>42</v>
      </c>
      <c r="W116" s="4" t="s">
        <v>74</v>
      </c>
      <c r="X116" s="4" t="s">
        <v>75</v>
      </c>
      <c r="Y116" s="17" t="s">
        <v>45</v>
      </c>
      <c r="Z116" s="17"/>
      <c r="AA116" s="4" t="s">
        <v>46</v>
      </c>
      <c r="AB116" s="4" t="s">
        <v>47</v>
      </c>
      <c r="AC116" s="4" t="s">
        <v>48</v>
      </c>
      <c r="AD116" s="4" t="s">
        <v>49</v>
      </c>
      <c r="AE116" s="4" t="s">
        <v>50</v>
      </c>
      <c r="AF116" s="4" t="s">
        <v>41</v>
      </c>
      <c r="AG116" s="4" t="s">
        <v>282</v>
      </c>
    </row>
    <row r="117" spans="1:33" ht="16.5" customHeight="1" x14ac:dyDescent="0.2">
      <c r="A117" s="2" t="s">
        <v>31</v>
      </c>
      <c r="B117" s="15" t="s">
        <v>32</v>
      </c>
      <c r="C117" s="15"/>
      <c r="D117" s="15"/>
      <c r="E117" s="16" t="s">
        <v>33</v>
      </c>
      <c r="F117" s="16"/>
      <c r="G117" s="17" t="s">
        <v>279</v>
      </c>
      <c r="H117" s="17"/>
      <c r="I117" s="17"/>
      <c r="J117" s="3" t="s">
        <v>35</v>
      </c>
      <c r="K117" s="4" t="s">
        <v>97</v>
      </c>
      <c r="L117" s="4" t="s">
        <v>77</v>
      </c>
      <c r="N117" s="17" t="s">
        <v>366</v>
      </c>
      <c r="O117" s="17"/>
      <c r="P117" s="17" t="s">
        <v>367</v>
      </c>
      <c r="Q117" s="17"/>
      <c r="R117" s="17"/>
      <c r="S117" s="3" t="s">
        <v>40</v>
      </c>
      <c r="T117" s="17" t="s">
        <v>41</v>
      </c>
      <c r="U117" s="17"/>
      <c r="V117" s="4" t="s">
        <v>42</v>
      </c>
      <c r="W117" s="4" t="s">
        <v>74</v>
      </c>
      <c r="X117" s="4" t="s">
        <v>75</v>
      </c>
      <c r="Y117" s="17" t="s">
        <v>45</v>
      </c>
      <c r="Z117" s="17"/>
      <c r="AA117" s="4" t="s">
        <v>46</v>
      </c>
      <c r="AB117" s="4" t="s">
        <v>47</v>
      </c>
      <c r="AC117" s="4" t="s">
        <v>48</v>
      </c>
      <c r="AD117" s="4" t="s">
        <v>82</v>
      </c>
      <c r="AE117" s="4" t="s">
        <v>50</v>
      </c>
      <c r="AF117" s="4" t="s">
        <v>41</v>
      </c>
      <c r="AG117" s="4" t="s">
        <v>282</v>
      </c>
    </row>
    <row r="118" spans="1:33" ht="16.5" customHeight="1" x14ac:dyDescent="0.2">
      <c r="A118" s="2" t="s">
        <v>31</v>
      </c>
      <c r="B118" s="15" t="s">
        <v>32</v>
      </c>
      <c r="C118" s="15"/>
      <c r="D118" s="15"/>
      <c r="E118" s="16" t="s">
        <v>33</v>
      </c>
      <c r="F118" s="16"/>
      <c r="G118" s="17" t="s">
        <v>279</v>
      </c>
      <c r="H118" s="17"/>
      <c r="I118" s="17"/>
      <c r="J118" s="3" t="s">
        <v>35</v>
      </c>
      <c r="K118" s="4" t="s">
        <v>107</v>
      </c>
      <c r="L118" s="4" t="s">
        <v>259</v>
      </c>
      <c r="N118" s="17" t="s">
        <v>368</v>
      </c>
      <c r="O118" s="17"/>
      <c r="P118" s="17" t="s">
        <v>369</v>
      </c>
      <c r="Q118" s="17"/>
      <c r="R118" s="17"/>
      <c r="S118" s="3" t="s">
        <v>40</v>
      </c>
      <c r="T118" s="17" t="s">
        <v>41</v>
      </c>
      <c r="U118" s="17"/>
      <c r="V118" s="4" t="s">
        <v>42</v>
      </c>
      <c r="W118" s="4" t="s">
        <v>61</v>
      </c>
      <c r="X118" s="4" t="s">
        <v>62</v>
      </c>
      <c r="Y118" s="17" t="s">
        <v>45</v>
      </c>
      <c r="Z118" s="17"/>
      <c r="AA118" s="4" t="s">
        <v>46</v>
      </c>
      <c r="AB118" s="4" t="s">
        <v>47</v>
      </c>
      <c r="AC118" s="4" t="s">
        <v>48</v>
      </c>
      <c r="AD118" s="4" t="s">
        <v>363</v>
      </c>
      <c r="AE118" s="4" t="s">
        <v>50</v>
      </c>
      <c r="AF118" s="4" t="s">
        <v>41</v>
      </c>
      <c r="AG118" s="4" t="s">
        <v>282</v>
      </c>
    </row>
    <row r="119" spans="1:33" ht="16.5" customHeight="1" x14ac:dyDescent="0.2">
      <c r="A119" s="2" t="s">
        <v>31</v>
      </c>
      <c r="B119" s="15" t="s">
        <v>32</v>
      </c>
      <c r="C119" s="15"/>
      <c r="D119" s="15"/>
      <c r="E119" s="16" t="s">
        <v>33</v>
      </c>
      <c r="F119" s="16"/>
      <c r="G119" s="17" t="s">
        <v>279</v>
      </c>
      <c r="H119" s="17"/>
      <c r="I119" s="17"/>
      <c r="J119" s="3" t="s">
        <v>35</v>
      </c>
      <c r="K119" s="4" t="s">
        <v>102</v>
      </c>
      <c r="L119" s="4" t="s">
        <v>37</v>
      </c>
      <c r="N119" s="17" t="s">
        <v>370</v>
      </c>
      <c r="O119" s="17"/>
      <c r="P119" s="17" t="s">
        <v>371</v>
      </c>
      <c r="Q119" s="17"/>
      <c r="R119" s="17"/>
      <c r="S119" s="3" t="s">
        <v>40</v>
      </c>
      <c r="T119" s="17" t="s">
        <v>41</v>
      </c>
      <c r="U119" s="17"/>
      <c r="V119" s="4" t="s">
        <v>42</v>
      </c>
      <c r="W119" s="4" t="s">
        <v>372</v>
      </c>
      <c r="X119" s="4" t="s">
        <v>373</v>
      </c>
      <c r="Y119" s="17" t="s">
        <v>45</v>
      </c>
      <c r="Z119" s="17"/>
      <c r="AA119" s="4" t="s">
        <v>46</v>
      </c>
      <c r="AB119" s="4" t="s">
        <v>47</v>
      </c>
      <c r="AC119" s="4" t="s">
        <v>48</v>
      </c>
      <c r="AD119" s="4" t="s">
        <v>49</v>
      </c>
      <c r="AE119" s="4" t="s">
        <v>50</v>
      </c>
      <c r="AF119" s="4" t="s">
        <v>41</v>
      </c>
      <c r="AG119" s="4" t="s">
        <v>282</v>
      </c>
    </row>
    <row r="120" spans="1:33" ht="16.5" customHeight="1" x14ac:dyDescent="0.2">
      <c r="A120" s="2" t="s">
        <v>31</v>
      </c>
      <c r="B120" s="15" t="s">
        <v>32</v>
      </c>
      <c r="C120" s="15"/>
      <c r="D120" s="15"/>
      <c r="E120" s="16" t="s">
        <v>33</v>
      </c>
      <c r="F120" s="16"/>
      <c r="G120" s="17" t="s">
        <v>279</v>
      </c>
      <c r="H120" s="17"/>
      <c r="I120" s="17"/>
      <c r="J120" s="3" t="s">
        <v>35</v>
      </c>
      <c r="K120" s="4" t="s">
        <v>202</v>
      </c>
      <c r="L120" s="4" t="s">
        <v>58</v>
      </c>
      <c r="N120" s="17" t="s">
        <v>374</v>
      </c>
      <c r="O120" s="17"/>
      <c r="P120" s="17" t="s">
        <v>375</v>
      </c>
      <c r="Q120" s="17"/>
      <c r="R120" s="17"/>
      <c r="S120" s="3" t="s">
        <v>40</v>
      </c>
      <c r="T120" s="17" t="s">
        <v>41</v>
      </c>
      <c r="U120" s="17"/>
      <c r="V120" s="4" t="s">
        <v>42</v>
      </c>
      <c r="W120" s="4" t="s">
        <v>80</v>
      </c>
      <c r="X120" s="4" t="s">
        <v>81</v>
      </c>
      <c r="Y120" s="17" t="s">
        <v>45</v>
      </c>
      <c r="Z120" s="17"/>
      <c r="AA120" s="4" t="s">
        <v>46</v>
      </c>
      <c r="AB120" s="4" t="s">
        <v>47</v>
      </c>
      <c r="AC120" s="4" t="s">
        <v>48</v>
      </c>
      <c r="AD120" s="4" t="s">
        <v>137</v>
      </c>
      <c r="AE120" s="4" t="s">
        <v>50</v>
      </c>
      <c r="AF120" s="4" t="s">
        <v>41</v>
      </c>
      <c r="AG120" s="4" t="s">
        <v>282</v>
      </c>
    </row>
    <row r="121" spans="1:33" ht="16.5" customHeight="1" x14ac:dyDescent="0.2">
      <c r="A121" s="2" t="s">
        <v>31</v>
      </c>
      <c r="B121" s="15" t="s">
        <v>32</v>
      </c>
      <c r="C121" s="15"/>
      <c r="D121" s="15"/>
      <c r="E121" s="16" t="s">
        <v>33</v>
      </c>
      <c r="F121" s="16"/>
      <c r="G121" s="17" t="s">
        <v>279</v>
      </c>
      <c r="H121" s="17"/>
      <c r="I121" s="17"/>
      <c r="J121" s="3" t="s">
        <v>35</v>
      </c>
      <c r="K121" s="4" t="s">
        <v>97</v>
      </c>
      <c r="L121" s="4" t="s">
        <v>37</v>
      </c>
      <c r="N121" s="17" t="s">
        <v>376</v>
      </c>
      <c r="O121" s="17"/>
      <c r="P121" s="17" t="s">
        <v>377</v>
      </c>
      <c r="Q121" s="17"/>
      <c r="R121" s="17"/>
      <c r="S121" s="3" t="s">
        <v>40</v>
      </c>
      <c r="T121" s="17" t="s">
        <v>41</v>
      </c>
      <c r="U121" s="17"/>
      <c r="V121" s="4" t="s">
        <v>42</v>
      </c>
      <c r="W121" s="4" t="s">
        <v>80</v>
      </c>
      <c r="X121" s="4" t="s">
        <v>81</v>
      </c>
      <c r="Y121" s="17" t="s">
        <v>45</v>
      </c>
      <c r="Z121" s="17"/>
      <c r="AA121" s="4" t="s">
        <v>46</v>
      </c>
      <c r="AB121" s="4" t="s">
        <v>47</v>
      </c>
      <c r="AC121" s="4" t="s">
        <v>48</v>
      </c>
      <c r="AD121" s="4" t="s">
        <v>49</v>
      </c>
      <c r="AE121" s="4" t="s">
        <v>50</v>
      </c>
      <c r="AF121" s="4" t="s">
        <v>41</v>
      </c>
      <c r="AG121" s="4" t="s">
        <v>282</v>
      </c>
    </row>
    <row r="122" spans="1:33" ht="16.5" customHeight="1" x14ac:dyDescent="0.2">
      <c r="A122" s="2" t="s">
        <v>31</v>
      </c>
      <c r="B122" s="15" t="s">
        <v>32</v>
      </c>
      <c r="C122" s="15"/>
      <c r="D122" s="15"/>
      <c r="E122" s="16" t="s">
        <v>33</v>
      </c>
      <c r="F122" s="16"/>
      <c r="G122" s="17" t="s">
        <v>279</v>
      </c>
      <c r="H122" s="17"/>
      <c r="I122" s="17"/>
      <c r="J122" s="3" t="s">
        <v>35</v>
      </c>
      <c r="K122" s="4" t="s">
        <v>36</v>
      </c>
      <c r="L122" s="4" t="s">
        <v>37</v>
      </c>
      <c r="N122" s="17" t="s">
        <v>378</v>
      </c>
      <c r="O122" s="17"/>
      <c r="P122" s="17" t="s">
        <v>379</v>
      </c>
      <c r="Q122" s="17"/>
      <c r="R122" s="17"/>
      <c r="S122" s="3" t="s">
        <v>40</v>
      </c>
      <c r="T122" s="17" t="s">
        <v>41</v>
      </c>
      <c r="U122" s="17"/>
      <c r="V122" s="4" t="s">
        <v>42</v>
      </c>
      <c r="W122" s="4" t="s">
        <v>69</v>
      </c>
      <c r="X122" s="4" t="s">
        <v>70</v>
      </c>
      <c r="Y122" s="17" t="s">
        <v>45</v>
      </c>
      <c r="Z122" s="17"/>
      <c r="AA122" s="4" t="s">
        <v>46</v>
      </c>
      <c r="AB122" s="4" t="s">
        <v>47</v>
      </c>
      <c r="AC122" s="4" t="s">
        <v>48</v>
      </c>
      <c r="AD122" s="4" t="s">
        <v>49</v>
      </c>
      <c r="AE122" s="4" t="s">
        <v>50</v>
      </c>
      <c r="AF122" s="4" t="s">
        <v>41</v>
      </c>
      <c r="AG122" s="4" t="s">
        <v>282</v>
      </c>
    </row>
    <row r="123" spans="1:33" ht="16.5" customHeight="1" x14ac:dyDescent="0.2">
      <c r="A123" s="2" t="s">
        <v>31</v>
      </c>
      <c r="B123" s="15" t="s">
        <v>32</v>
      </c>
      <c r="C123" s="15"/>
      <c r="D123" s="15"/>
      <c r="E123" s="16" t="s">
        <v>33</v>
      </c>
      <c r="F123" s="16"/>
      <c r="G123" s="17" t="s">
        <v>279</v>
      </c>
      <c r="H123" s="17"/>
      <c r="I123" s="17"/>
      <c r="J123" s="3" t="s">
        <v>35</v>
      </c>
      <c r="K123" s="4" t="s">
        <v>97</v>
      </c>
      <c r="L123" s="4" t="s">
        <v>37</v>
      </c>
      <c r="N123" s="17" t="s">
        <v>380</v>
      </c>
      <c r="O123" s="17"/>
      <c r="P123" s="17" t="s">
        <v>381</v>
      </c>
      <c r="Q123" s="17"/>
      <c r="R123" s="17"/>
      <c r="S123" s="3" t="s">
        <v>40</v>
      </c>
      <c r="T123" s="17" t="s">
        <v>41</v>
      </c>
      <c r="U123" s="17"/>
      <c r="V123" s="4" t="s">
        <v>42</v>
      </c>
      <c r="W123" s="4" t="s">
        <v>141</v>
      </c>
      <c r="X123" s="4" t="s">
        <v>142</v>
      </c>
      <c r="Y123" s="17" t="s">
        <v>45</v>
      </c>
      <c r="Z123" s="17"/>
      <c r="AA123" s="4" t="s">
        <v>46</v>
      </c>
      <c r="AB123" s="4" t="s">
        <v>47</v>
      </c>
      <c r="AC123" s="4" t="s">
        <v>48</v>
      </c>
      <c r="AD123" s="4" t="s">
        <v>49</v>
      </c>
      <c r="AE123" s="4" t="s">
        <v>50</v>
      </c>
      <c r="AF123" s="4" t="s">
        <v>41</v>
      </c>
      <c r="AG123" s="4" t="s">
        <v>282</v>
      </c>
    </row>
    <row r="124" spans="1:33" ht="16.5" customHeight="1" x14ac:dyDescent="0.2">
      <c r="A124" s="2" t="s">
        <v>31</v>
      </c>
      <c r="B124" s="15" t="s">
        <v>32</v>
      </c>
      <c r="C124" s="15"/>
      <c r="D124" s="15"/>
      <c r="E124" s="16" t="s">
        <v>33</v>
      </c>
      <c r="F124" s="16"/>
      <c r="G124" s="17" t="s">
        <v>279</v>
      </c>
      <c r="H124" s="17"/>
      <c r="I124" s="17"/>
      <c r="J124" s="3" t="s">
        <v>35</v>
      </c>
      <c r="K124" s="4" t="s">
        <v>57</v>
      </c>
      <c r="L124" s="4" t="s">
        <v>37</v>
      </c>
      <c r="N124" s="17" t="s">
        <v>382</v>
      </c>
      <c r="O124" s="17"/>
      <c r="P124" s="17" t="s">
        <v>383</v>
      </c>
      <c r="Q124" s="17"/>
      <c r="R124" s="17"/>
      <c r="S124" s="3" t="s">
        <v>40</v>
      </c>
      <c r="T124" s="17" t="s">
        <v>41</v>
      </c>
      <c r="U124" s="17"/>
      <c r="V124" s="4" t="s">
        <v>42</v>
      </c>
      <c r="W124" s="4" t="s">
        <v>384</v>
      </c>
      <c r="X124" s="4" t="s">
        <v>385</v>
      </c>
      <c r="Y124" s="17" t="s">
        <v>63</v>
      </c>
      <c r="Z124" s="17"/>
      <c r="AA124" s="4" t="s">
        <v>46</v>
      </c>
      <c r="AB124" s="4" t="s">
        <v>47</v>
      </c>
      <c r="AC124" s="4" t="s">
        <v>64</v>
      </c>
      <c r="AD124" s="4" t="s">
        <v>164</v>
      </c>
      <c r="AE124" s="4" t="s">
        <v>50</v>
      </c>
      <c r="AF124" s="4" t="s">
        <v>41</v>
      </c>
      <c r="AG124" s="4" t="s">
        <v>282</v>
      </c>
    </row>
    <row r="125" spans="1:33" ht="16.5" customHeight="1" x14ac:dyDescent="0.2">
      <c r="A125" s="2" t="s">
        <v>31</v>
      </c>
      <c r="B125" s="15" t="s">
        <v>32</v>
      </c>
      <c r="C125" s="15"/>
      <c r="D125" s="15"/>
      <c r="E125" s="16" t="s">
        <v>33</v>
      </c>
      <c r="F125" s="16"/>
      <c r="G125" s="17" t="s">
        <v>279</v>
      </c>
      <c r="H125" s="17"/>
      <c r="I125" s="17"/>
      <c r="J125" s="3" t="s">
        <v>35</v>
      </c>
      <c r="K125" s="4" t="s">
        <v>202</v>
      </c>
      <c r="L125" s="4" t="s">
        <v>71</v>
      </c>
      <c r="N125" s="17" t="s">
        <v>386</v>
      </c>
      <c r="O125" s="17"/>
      <c r="P125" s="17" t="s">
        <v>387</v>
      </c>
      <c r="Q125" s="17"/>
      <c r="R125" s="17"/>
      <c r="S125" s="3" t="s">
        <v>40</v>
      </c>
      <c r="T125" s="17" t="s">
        <v>41</v>
      </c>
      <c r="U125" s="17"/>
      <c r="V125" s="4" t="s">
        <v>42</v>
      </c>
      <c r="W125" s="4" t="s">
        <v>141</v>
      </c>
      <c r="X125" s="4" t="s">
        <v>142</v>
      </c>
      <c r="Y125" s="17" t="s">
        <v>45</v>
      </c>
      <c r="Z125" s="17"/>
      <c r="AA125" s="4" t="s">
        <v>46</v>
      </c>
      <c r="AB125" s="4" t="s">
        <v>47</v>
      </c>
      <c r="AC125" s="4" t="s">
        <v>48</v>
      </c>
      <c r="AD125" s="4" t="s">
        <v>114</v>
      </c>
      <c r="AE125" s="4" t="s">
        <v>50</v>
      </c>
      <c r="AF125" s="4" t="s">
        <v>41</v>
      </c>
      <c r="AG125" s="4" t="s">
        <v>282</v>
      </c>
    </row>
    <row r="126" spans="1:33" ht="16.5" customHeight="1" x14ac:dyDescent="0.2">
      <c r="A126" s="2" t="s">
        <v>31</v>
      </c>
      <c r="B126" s="15" t="s">
        <v>32</v>
      </c>
      <c r="C126" s="15"/>
      <c r="D126" s="15"/>
      <c r="E126" s="16" t="s">
        <v>33</v>
      </c>
      <c r="F126" s="16"/>
      <c r="G126" s="17" t="s">
        <v>279</v>
      </c>
      <c r="H126" s="17"/>
      <c r="I126" s="17"/>
      <c r="J126" s="3" t="s">
        <v>35</v>
      </c>
      <c r="K126" s="4" t="s">
        <v>314</v>
      </c>
      <c r="L126" s="4" t="s">
        <v>37</v>
      </c>
      <c r="N126" s="17" t="s">
        <v>388</v>
      </c>
      <c r="O126" s="17"/>
      <c r="P126" s="17" t="s">
        <v>389</v>
      </c>
      <c r="Q126" s="17"/>
      <c r="R126" s="17"/>
      <c r="S126" s="3" t="s">
        <v>40</v>
      </c>
      <c r="T126" s="17" t="s">
        <v>41</v>
      </c>
      <c r="U126" s="17"/>
      <c r="V126" s="4" t="s">
        <v>42</v>
      </c>
      <c r="W126" s="4" t="s">
        <v>224</v>
      </c>
      <c r="X126" s="4" t="s">
        <v>225</v>
      </c>
      <c r="Y126" s="17" t="s">
        <v>63</v>
      </c>
      <c r="Z126" s="17"/>
      <c r="AA126" s="4" t="s">
        <v>46</v>
      </c>
      <c r="AB126" s="4" t="s">
        <v>47</v>
      </c>
      <c r="AC126" s="4" t="s">
        <v>64</v>
      </c>
      <c r="AD126" s="4" t="s">
        <v>164</v>
      </c>
      <c r="AE126" s="4" t="s">
        <v>50</v>
      </c>
      <c r="AF126" s="4" t="s">
        <v>41</v>
      </c>
      <c r="AG126" s="4" t="s">
        <v>282</v>
      </c>
    </row>
    <row r="127" spans="1:33" ht="16.5" customHeight="1" x14ac:dyDescent="0.2">
      <c r="A127" s="2" t="s">
        <v>31</v>
      </c>
      <c r="B127" s="15" t="s">
        <v>32</v>
      </c>
      <c r="C127" s="15"/>
      <c r="D127" s="15"/>
      <c r="E127" s="16" t="s">
        <v>33</v>
      </c>
      <c r="F127" s="16"/>
      <c r="G127" s="17" t="s">
        <v>279</v>
      </c>
      <c r="H127" s="17"/>
      <c r="I127" s="17"/>
      <c r="J127" s="3" t="s">
        <v>35</v>
      </c>
      <c r="K127" s="4" t="s">
        <v>179</v>
      </c>
      <c r="L127" s="4" t="s">
        <v>71</v>
      </c>
      <c r="N127" s="17" t="s">
        <v>390</v>
      </c>
      <c r="O127" s="17"/>
      <c r="P127" s="17" t="s">
        <v>391</v>
      </c>
      <c r="Q127" s="17"/>
      <c r="R127" s="17"/>
      <c r="S127" s="3" t="s">
        <v>40</v>
      </c>
      <c r="T127" s="17" t="s">
        <v>41</v>
      </c>
      <c r="U127" s="17"/>
      <c r="V127" s="4" t="s">
        <v>42</v>
      </c>
      <c r="W127" s="4" t="s">
        <v>205</v>
      </c>
      <c r="X127" s="4" t="s">
        <v>206</v>
      </c>
      <c r="Y127" s="17" t="s">
        <v>63</v>
      </c>
      <c r="Z127" s="17"/>
      <c r="AA127" s="4" t="s">
        <v>46</v>
      </c>
      <c r="AB127" s="4" t="s">
        <v>47</v>
      </c>
      <c r="AC127" s="4" t="s">
        <v>64</v>
      </c>
      <c r="AD127" s="4" t="s">
        <v>392</v>
      </c>
      <c r="AE127" s="4" t="s">
        <v>50</v>
      </c>
      <c r="AF127" s="4" t="s">
        <v>41</v>
      </c>
      <c r="AG127" s="4" t="s">
        <v>282</v>
      </c>
    </row>
    <row r="128" spans="1:33" ht="16.5" customHeight="1" x14ac:dyDescent="0.2">
      <c r="A128" s="2" t="s">
        <v>31</v>
      </c>
      <c r="B128" s="15" t="s">
        <v>32</v>
      </c>
      <c r="C128" s="15"/>
      <c r="D128" s="15"/>
      <c r="E128" s="16" t="s">
        <v>33</v>
      </c>
      <c r="F128" s="16"/>
      <c r="G128" s="17" t="s">
        <v>279</v>
      </c>
      <c r="H128" s="17"/>
      <c r="I128" s="17"/>
      <c r="J128" s="3" t="s">
        <v>35</v>
      </c>
      <c r="K128" s="4" t="s">
        <v>314</v>
      </c>
      <c r="L128" s="4" t="s">
        <v>37</v>
      </c>
      <c r="N128" s="17" t="s">
        <v>393</v>
      </c>
      <c r="O128" s="17"/>
      <c r="P128" s="17" t="s">
        <v>394</v>
      </c>
      <c r="Q128" s="17"/>
      <c r="R128" s="17"/>
      <c r="S128" s="3" t="s">
        <v>40</v>
      </c>
      <c r="T128" s="17" t="s">
        <v>41</v>
      </c>
      <c r="U128" s="17"/>
      <c r="V128" s="4" t="s">
        <v>42</v>
      </c>
      <c r="W128" s="4" t="s">
        <v>302</v>
      </c>
      <c r="X128" s="4" t="s">
        <v>303</v>
      </c>
      <c r="Y128" s="17" t="s">
        <v>63</v>
      </c>
      <c r="Z128" s="17"/>
      <c r="AA128" s="4" t="s">
        <v>46</v>
      </c>
      <c r="AB128" s="4" t="s">
        <v>47</v>
      </c>
      <c r="AC128" s="4" t="s">
        <v>64</v>
      </c>
      <c r="AD128" s="4" t="s">
        <v>164</v>
      </c>
      <c r="AE128" s="4" t="s">
        <v>50</v>
      </c>
      <c r="AF128" s="4" t="s">
        <v>41</v>
      </c>
      <c r="AG128" s="4" t="s">
        <v>282</v>
      </c>
    </row>
    <row r="129" spans="1:33" ht="16.5" customHeight="1" x14ac:dyDescent="0.2">
      <c r="A129" s="2" t="s">
        <v>31</v>
      </c>
      <c r="B129" s="15" t="s">
        <v>32</v>
      </c>
      <c r="C129" s="15"/>
      <c r="D129" s="15"/>
      <c r="E129" s="16" t="s">
        <v>33</v>
      </c>
      <c r="F129" s="16"/>
      <c r="G129" s="17" t="s">
        <v>279</v>
      </c>
      <c r="H129" s="17"/>
      <c r="I129" s="17"/>
      <c r="J129" s="3" t="s">
        <v>35</v>
      </c>
      <c r="K129" s="4" t="s">
        <v>97</v>
      </c>
      <c r="L129" s="4" t="s">
        <v>259</v>
      </c>
      <c r="N129" s="17" t="s">
        <v>395</v>
      </c>
      <c r="O129" s="17"/>
      <c r="P129" s="17" t="s">
        <v>396</v>
      </c>
      <c r="Q129" s="17"/>
      <c r="R129" s="17"/>
      <c r="S129" s="3" t="s">
        <v>40</v>
      </c>
      <c r="T129" s="17" t="s">
        <v>41</v>
      </c>
      <c r="U129" s="17"/>
      <c r="V129" s="4" t="s">
        <v>42</v>
      </c>
      <c r="W129" s="4" t="s">
        <v>397</v>
      </c>
      <c r="X129" s="4" t="s">
        <v>398</v>
      </c>
      <c r="Y129" s="17" t="s">
        <v>45</v>
      </c>
      <c r="Z129" s="17"/>
      <c r="AA129" s="4" t="s">
        <v>46</v>
      </c>
      <c r="AB129" s="4" t="s">
        <v>47</v>
      </c>
      <c r="AC129" s="4" t="s">
        <v>48</v>
      </c>
      <c r="AD129" s="4" t="s">
        <v>363</v>
      </c>
      <c r="AE129" s="4" t="s">
        <v>50</v>
      </c>
      <c r="AF129" s="4" t="s">
        <v>41</v>
      </c>
      <c r="AG129" s="4" t="s">
        <v>282</v>
      </c>
    </row>
    <row r="130" spans="1:33" ht="16.5" customHeight="1" x14ac:dyDescent="0.2">
      <c r="A130" s="2" t="s">
        <v>31</v>
      </c>
      <c r="B130" s="15" t="s">
        <v>32</v>
      </c>
      <c r="C130" s="15"/>
      <c r="D130" s="15"/>
      <c r="E130" s="16" t="s">
        <v>33</v>
      </c>
      <c r="F130" s="16"/>
      <c r="G130" s="17" t="s">
        <v>279</v>
      </c>
      <c r="H130" s="17"/>
      <c r="I130" s="17"/>
      <c r="J130" s="3" t="s">
        <v>35</v>
      </c>
      <c r="K130" s="4" t="s">
        <v>107</v>
      </c>
      <c r="L130" s="4" t="s">
        <v>37</v>
      </c>
      <c r="N130" s="17" t="s">
        <v>399</v>
      </c>
      <c r="O130" s="17"/>
      <c r="P130" s="17" t="s">
        <v>400</v>
      </c>
      <c r="Q130" s="17"/>
      <c r="R130" s="17"/>
      <c r="S130" s="3" t="s">
        <v>40</v>
      </c>
      <c r="T130" s="17" t="s">
        <v>41</v>
      </c>
      <c r="U130" s="17"/>
      <c r="V130" s="4" t="s">
        <v>42</v>
      </c>
      <c r="W130" s="4" t="s">
        <v>201</v>
      </c>
      <c r="X130" s="4" t="s">
        <v>266</v>
      </c>
      <c r="Y130" s="17" t="s">
        <v>45</v>
      </c>
      <c r="Z130" s="17"/>
      <c r="AA130" s="4" t="s">
        <v>46</v>
      </c>
      <c r="AB130" s="4" t="s">
        <v>47</v>
      </c>
      <c r="AC130" s="4" t="s">
        <v>48</v>
      </c>
      <c r="AD130" s="4" t="s">
        <v>49</v>
      </c>
      <c r="AE130" s="4" t="s">
        <v>50</v>
      </c>
      <c r="AF130" s="4" t="s">
        <v>41</v>
      </c>
      <c r="AG130" s="4" t="s">
        <v>282</v>
      </c>
    </row>
    <row r="131" spans="1:33" ht="16.5" customHeight="1" x14ac:dyDescent="0.2">
      <c r="A131" s="2" t="s">
        <v>31</v>
      </c>
      <c r="B131" s="15" t="s">
        <v>32</v>
      </c>
      <c r="C131" s="15"/>
      <c r="D131" s="15"/>
      <c r="E131" s="16" t="s">
        <v>33</v>
      </c>
      <c r="F131" s="16"/>
      <c r="G131" s="17" t="s">
        <v>279</v>
      </c>
      <c r="H131" s="17"/>
      <c r="I131" s="17"/>
      <c r="J131" s="3" t="s">
        <v>35</v>
      </c>
      <c r="K131" s="4" t="s">
        <v>102</v>
      </c>
      <c r="L131" s="4" t="s">
        <v>77</v>
      </c>
      <c r="N131" s="17" t="s">
        <v>401</v>
      </c>
      <c r="O131" s="17"/>
      <c r="P131" s="17" t="s">
        <v>402</v>
      </c>
      <c r="Q131" s="17"/>
      <c r="R131" s="17"/>
      <c r="S131" s="3" t="s">
        <v>40</v>
      </c>
      <c r="T131" s="17" t="s">
        <v>41</v>
      </c>
      <c r="U131" s="17"/>
      <c r="V131" s="4" t="s">
        <v>42</v>
      </c>
      <c r="W131" s="4" t="s">
        <v>69</v>
      </c>
      <c r="X131" s="4" t="s">
        <v>70</v>
      </c>
      <c r="Y131" s="17" t="s">
        <v>45</v>
      </c>
      <c r="Z131" s="17"/>
      <c r="AA131" s="4" t="s">
        <v>46</v>
      </c>
      <c r="AB131" s="4" t="s">
        <v>47</v>
      </c>
      <c r="AC131" s="4" t="s">
        <v>48</v>
      </c>
      <c r="AD131" s="4" t="s">
        <v>82</v>
      </c>
      <c r="AE131" s="4" t="s">
        <v>50</v>
      </c>
      <c r="AF131" s="4" t="s">
        <v>41</v>
      </c>
      <c r="AG131" s="4" t="s">
        <v>282</v>
      </c>
    </row>
    <row r="132" spans="1:33" ht="16.5" customHeight="1" x14ac:dyDescent="0.2">
      <c r="A132" s="2" t="s">
        <v>31</v>
      </c>
      <c r="B132" s="15" t="s">
        <v>32</v>
      </c>
      <c r="C132" s="15"/>
      <c r="D132" s="15"/>
      <c r="E132" s="16" t="s">
        <v>33</v>
      </c>
      <c r="F132" s="16"/>
      <c r="G132" s="17" t="s">
        <v>279</v>
      </c>
      <c r="H132" s="17"/>
      <c r="I132" s="17"/>
      <c r="J132" s="3" t="s">
        <v>35</v>
      </c>
      <c r="K132" s="4" t="s">
        <v>36</v>
      </c>
      <c r="L132" s="4" t="s">
        <v>71</v>
      </c>
      <c r="N132" s="17" t="s">
        <v>403</v>
      </c>
      <c r="O132" s="17"/>
      <c r="P132" s="17" t="s">
        <v>404</v>
      </c>
      <c r="Q132" s="17"/>
      <c r="R132" s="17"/>
      <c r="S132" s="3" t="s">
        <v>40</v>
      </c>
      <c r="T132" s="17" t="s">
        <v>41</v>
      </c>
      <c r="U132" s="17"/>
      <c r="V132" s="4" t="s">
        <v>42</v>
      </c>
      <c r="W132" s="4" t="s">
        <v>69</v>
      </c>
      <c r="X132" s="4" t="s">
        <v>70</v>
      </c>
      <c r="Y132" s="17" t="s">
        <v>45</v>
      </c>
      <c r="Z132" s="17"/>
      <c r="AA132" s="4" t="s">
        <v>46</v>
      </c>
      <c r="AB132" s="4" t="s">
        <v>47</v>
      </c>
      <c r="AC132" s="4" t="s">
        <v>48</v>
      </c>
      <c r="AD132" s="4" t="s">
        <v>114</v>
      </c>
      <c r="AE132" s="4" t="s">
        <v>50</v>
      </c>
      <c r="AF132" s="4" t="s">
        <v>41</v>
      </c>
      <c r="AG132" s="4" t="s">
        <v>282</v>
      </c>
    </row>
    <row r="133" spans="1:33" ht="16.5" customHeight="1" x14ac:dyDescent="0.2">
      <c r="A133" s="2" t="s">
        <v>31</v>
      </c>
      <c r="B133" s="15" t="s">
        <v>32</v>
      </c>
      <c r="C133" s="15"/>
      <c r="D133" s="15"/>
      <c r="E133" s="16" t="s">
        <v>33</v>
      </c>
      <c r="F133" s="16"/>
      <c r="G133" s="17" t="s">
        <v>279</v>
      </c>
      <c r="H133" s="17"/>
      <c r="I133" s="17"/>
      <c r="J133" s="3" t="s">
        <v>35</v>
      </c>
      <c r="K133" s="4" t="s">
        <v>314</v>
      </c>
      <c r="L133" s="4" t="s">
        <v>37</v>
      </c>
      <c r="N133" s="17" t="s">
        <v>405</v>
      </c>
      <c r="O133" s="17"/>
      <c r="P133" s="17" t="s">
        <v>406</v>
      </c>
      <c r="Q133" s="17"/>
      <c r="R133" s="17"/>
      <c r="S133" s="3" t="s">
        <v>40</v>
      </c>
      <c r="T133" s="17" t="s">
        <v>41</v>
      </c>
      <c r="U133" s="17"/>
      <c r="V133" s="4" t="s">
        <v>42</v>
      </c>
      <c r="W133" s="4" t="s">
        <v>69</v>
      </c>
      <c r="X133" s="4" t="s">
        <v>70</v>
      </c>
      <c r="Y133" s="17" t="s">
        <v>63</v>
      </c>
      <c r="Z133" s="17"/>
      <c r="AA133" s="4" t="s">
        <v>46</v>
      </c>
      <c r="AB133" s="4" t="s">
        <v>47</v>
      </c>
      <c r="AC133" s="4" t="s">
        <v>64</v>
      </c>
      <c r="AD133" s="4" t="s">
        <v>164</v>
      </c>
      <c r="AE133" s="4" t="s">
        <v>50</v>
      </c>
      <c r="AF133" s="4" t="s">
        <v>41</v>
      </c>
      <c r="AG133" s="4" t="s">
        <v>282</v>
      </c>
    </row>
    <row r="134" spans="1:33" ht="16.5" customHeight="1" x14ac:dyDescent="0.2">
      <c r="A134" s="2" t="s">
        <v>31</v>
      </c>
      <c r="B134" s="15" t="s">
        <v>32</v>
      </c>
      <c r="C134" s="15"/>
      <c r="D134" s="15"/>
      <c r="E134" s="16" t="s">
        <v>33</v>
      </c>
      <c r="F134" s="16"/>
      <c r="G134" s="17" t="s">
        <v>279</v>
      </c>
      <c r="H134" s="17"/>
      <c r="I134" s="17"/>
      <c r="J134" s="3" t="s">
        <v>35</v>
      </c>
      <c r="K134" s="4" t="s">
        <v>36</v>
      </c>
      <c r="L134" s="4" t="s">
        <v>71</v>
      </c>
      <c r="N134" s="17" t="s">
        <v>407</v>
      </c>
      <c r="O134" s="17"/>
      <c r="P134" s="17" t="s">
        <v>408</v>
      </c>
      <c r="Q134" s="17"/>
      <c r="R134" s="17"/>
      <c r="S134" s="3" t="s">
        <v>40</v>
      </c>
      <c r="T134" s="17" t="s">
        <v>41</v>
      </c>
      <c r="U134" s="17"/>
      <c r="V134" s="4" t="s">
        <v>42</v>
      </c>
      <c r="W134" s="4" t="s">
        <v>240</v>
      </c>
      <c r="X134" s="4" t="s">
        <v>241</v>
      </c>
      <c r="Y134" s="17" t="s">
        <v>45</v>
      </c>
      <c r="Z134" s="17"/>
      <c r="AA134" s="4" t="s">
        <v>46</v>
      </c>
      <c r="AB134" s="4" t="s">
        <v>47</v>
      </c>
      <c r="AC134" s="4" t="s">
        <v>48</v>
      </c>
      <c r="AD134" s="4" t="s">
        <v>114</v>
      </c>
      <c r="AE134" s="4" t="s">
        <v>50</v>
      </c>
      <c r="AF134" s="4" t="s">
        <v>41</v>
      </c>
      <c r="AG134" s="4" t="s">
        <v>282</v>
      </c>
    </row>
    <row r="135" spans="1:33" ht="16.5" customHeight="1" x14ac:dyDescent="0.2">
      <c r="A135" s="2" t="s">
        <v>31</v>
      </c>
      <c r="B135" s="15" t="s">
        <v>32</v>
      </c>
      <c r="C135" s="15"/>
      <c r="D135" s="15"/>
      <c r="E135" s="16" t="s">
        <v>33</v>
      </c>
      <c r="F135" s="16"/>
      <c r="G135" s="17" t="s">
        <v>279</v>
      </c>
      <c r="H135" s="17"/>
      <c r="I135" s="17"/>
      <c r="J135" s="3" t="s">
        <v>35</v>
      </c>
      <c r="K135" s="4" t="s">
        <v>36</v>
      </c>
      <c r="L135" s="4" t="s">
        <v>37</v>
      </c>
      <c r="N135" s="17" t="s">
        <v>409</v>
      </c>
      <c r="O135" s="17"/>
      <c r="P135" s="17" t="s">
        <v>410</v>
      </c>
      <c r="Q135" s="17"/>
      <c r="R135" s="17"/>
      <c r="S135" s="3" t="s">
        <v>40</v>
      </c>
      <c r="T135" s="17" t="s">
        <v>41</v>
      </c>
      <c r="U135" s="17"/>
      <c r="V135" s="4" t="s">
        <v>42</v>
      </c>
      <c r="W135" s="4" t="s">
        <v>240</v>
      </c>
      <c r="X135" s="4" t="s">
        <v>241</v>
      </c>
      <c r="Y135" s="17" t="s">
        <v>45</v>
      </c>
      <c r="Z135" s="17"/>
      <c r="AA135" s="4" t="s">
        <v>46</v>
      </c>
      <c r="AB135" s="4" t="s">
        <v>47</v>
      </c>
      <c r="AC135" s="4" t="s">
        <v>48</v>
      </c>
      <c r="AD135" s="4" t="s">
        <v>49</v>
      </c>
      <c r="AE135" s="4" t="s">
        <v>50</v>
      </c>
      <c r="AF135" s="4" t="s">
        <v>41</v>
      </c>
      <c r="AG135" s="4" t="s">
        <v>282</v>
      </c>
    </row>
    <row r="136" spans="1:33" ht="16.5" customHeight="1" x14ac:dyDescent="0.2">
      <c r="A136" s="2" t="s">
        <v>31</v>
      </c>
      <c r="B136" s="15" t="s">
        <v>32</v>
      </c>
      <c r="C136" s="15"/>
      <c r="D136" s="15"/>
      <c r="E136" s="16" t="s">
        <v>33</v>
      </c>
      <c r="F136" s="16"/>
      <c r="G136" s="17" t="s">
        <v>279</v>
      </c>
      <c r="H136" s="17"/>
      <c r="I136" s="17"/>
      <c r="J136" s="3" t="s">
        <v>35</v>
      </c>
      <c r="K136" s="4" t="s">
        <v>107</v>
      </c>
      <c r="L136" s="4" t="s">
        <v>37</v>
      </c>
      <c r="N136" s="17" t="s">
        <v>411</v>
      </c>
      <c r="O136" s="17"/>
      <c r="P136" s="17" t="s">
        <v>412</v>
      </c>
      <c r="Q136" s="17"/>
      <c r="R136" s="17"/>
      <c r="S136" s="3" t="s">
        <v>40</v>
      </c>
      <c r="T136" s="17" t="s">
        <v>41</v>
      </c>
      <c r="U136" s="17"/>
      <c r="V136" s="4" t="s">
        <v>42</v>
      </c>
      <c r="W136" s="4" t="s">
        <v>240</v>
      </c>
      <c r="X136" s="4" t="s">
        <v>241</v>
      </c>
      <c r="Y136" s="17" t="s">
        <v>45</v>
      </c>
      <c r="Z136" s="17"/>
      <c r="AA136" s="4" t="s">
        <v>46</v>
      </c>
      <c r="AB136" s="4" t="s">
        <v>47</v>
      </c>
      <c r="AC136" s="4" t="s">
        <v>48</v>
      </c>
      <c r="AD136" s="4" t="s">
        <v>49</v>
      </c>
      <c r="AE136" s="4" t="s">
        <v>50</v>
      </c>
      <c r="AF136" s="4" t="s">
        <v>41</v>
      </c>
      <c r="AG136" s="4" t="s">
        <v>282</v>
      </c>
    </row>
    <row r="137" spans="1:33" ht="16.5" customHeight="1" x14ac:dyDescent="0.2">
      <c r="A137" s="2" t="s">
        <v>31</v>
      </c>
      <c r="B137" s="15" t="s">
        <v>32</v>
      </c>
      <c r="C137" s="15"/>
      <c r="D137" s="15"/>
      <c r="E137" s="16" t="s">
        <v>33</v>
      </c>
      <c r="F137" s="16"/>
      <c r="G137" s="17" t="s">
        <v>279</v>
      </c>
      <c r="H137" s="17"/>
      <c r="I137" s="17"/>
      <c r="J137" s="3" t="s">
        <v>35</v>
      </c>
      <c r="K137" s="4" t="s">
        <v>36</v>
      </c>
      <c r="L137" s="4" t="s">
        <v>77</v>
      </c>
      <c r="N137" s="17" t="s">
        <v>413</v>
      </c>
      <c r="O137" s="17"/>
      <c r="P137" s="17" t="s">
        <v>414</v>
      </c>
      <c r="Q137" s="17"/>
      <c r="R137" s="17"/>
      <c r="S137" s="3" t="s">
        <v>40</v>
      </c>
      <c r="T137" s="17" t="s">
        <v>41</v>
      </c>
      <c r="U137" s="17"/>
      <c r="V137" s="4" t="s">
        <v>42</v>
      </c>
      <c r="W137" s="4" t="s">
        <v>240</v>
      </c>
      <c r="X137" s="4" t="s">
        <v>241</v>
      </c>
      <c r="Y137" s="17" t="s">
        <v>45</v>
      </c>
      <c r="Z137" s="17"/>
      <c r="AA137" s="4" t="s">
        <v>46</v>
      </c>
      <c r="AB137" s="4" t="s">
        <v>47</v>
      </c>
      <c r="AC137" s="4" t="s">
        <v>48</v>
      </c>
      <c r="AD137" s="4" t="s">
        <v>82</v>
      </c>
      <c r="AE137" s="4" t="s">
        <v>50</v>
      </c>
      <c r="AF137" s="4" t="s">
        <v>41</v>
      </c>
      <c r="AG137" s="4" t="s">
        <v>282</v>
      </c>
    </row>
    <row r="138" spans="1:33" ht="16.5" customHeight="1" x14ac:dyDescent="0.2">
      <c r="A138" s="2" t="s">
        <v>31</v>
      </c>
      <c r="B138" s="15" t="s">
        <v>32</v>
      </c>
      <c r="C138" s="15"/>
      <c r="D138" s="15"/>
      <c r="E138" s="16" t="s">
        <v>33</v>
      </c>
      <c r="F138" s="16"/>
      <c r="G138" s="17" t="s">
        <v>279</v>
      </c>
      <c r="H138" s="17"/>
      <c r="I138" s="17"/>
      <c r="J138" s="3" t="s">
        <v>35</v>
      </c>
      <c r="K138" s="4" t="s">
        <v>36</v>
      </c>
      <c r="L138" s="4" t="s">
        <v>37</v>
      </c>
      <c r="N138" s="17" t="s">
        <v>415</v>
      </c>
      <c r="O138" s="17"/>
      <c r="P138" s="17" t="s">
        <v>416</v>
      </c>
      <c r="Q138" s="17"/>
      <c r="R138" s="17"/>
      <c r="S138" s="3" t="s">
        <v>40</v>
      </c>
      <c r="T138" s="17" t="s">
        <v>41</v>
      </c>
      <c r="U138" s="17"/>
      <c r="V138" s="4" t="s">
        <v>42</v>
      </c>
      <c r="W138" s="4" t="s">
        <v>43</v>
      </c>
      <c r="X138" s="4" t="s">
        <v>44</v>
      </c>
      <c r="Y138" s="17" t="s">
        <v>45</v>
      </c>
      <c r="Z138" s="17"/>
      <c r="AA138" s="4" t="s">
        <v>46</v>
      </c>
      <c r="AB138" s="4" t="s">
        <v>47</v>
      </c>
      <c r="AC138" s="4" t="s">
        <v>48</v>
      </c>
      <c r="AD138" s="4" t="s">
        <v>49</v>
      </c>
      <c r="AE138" s="4" t="s">
        <v>50</v>
      </c>
      <c r="AF138" s="4" t="s">
        <v>41</v>
      </c>
      <c r="AG138" s="4" t="s">
        <v>282</v>
      </c>
    </row>
    <row r="139" spans="1:33" ht="16.5" customHeight="1" x14ac:dyDescent="0.2">
      <c r="A139" s="2" t="s">
        <v>31</v>
      </c>
      <c r="B139" s="15" t="s">
        <v>32</v>
      </c>
      <c r="C139" s="15"/>
      <c r="D139" s="15"/>
      <c r="E139" s="16" t="s">
        <v>33</v>
      </c>
      <c r="F139" s="16"/>
      <c r="G139" s="17" t="s">
        <v>279</v>
      </c>
      <c r="H139" s="17"/>
      <c r="I139" s="17"/>
      <c r="J139" s="3" t="s">
        <v>35</v>
      </c>
      <c r="K139" s="4" t="s">
        <v>314</v>
      </c>
      <c r="L139" s="4" t="s">
        <v>77</v>
      </c>
      <c r="N139" s="17" t="s">
        <v>417</v>
      </c>
      <c r="O139" s="17"/>
      <c r="P139" s="17" t="s">
        <v>418</v>
      </c>
      <c r="Q139" s="17"/>
      <c r="R139" s="17"/>
      <c r="S139" s="3" t="s">
        <v>40</v>
      </c>
      <c r="T139" s="17" t="s">
        <v>41</v>
      </c>
      <c r="U139" s="17"/>
      <c r="V139" s="4" t="s">
        <v>42</v>
      </c>
      <c r="W139" s="4" t="s">
        <v>43</v>
      </c>
      <c r="X139" s="4" t="s">
        <v>44</v>
      </c>
      <c r="Y139" s="17" t="s">
        <v>63</v>
      </c>
      <c r="Z139" s="17"/>
      <c r="AA139" s="4" t="s">
        <v>46</v>
      </c>
      <c r="AB139" s="4" t="s">
        <v>47</v>
      </c>
      <c r="AC139" s="4" t="s">
        <v>64</v>
      </c>
      <c r="AD139" s="4" t="s">
        <v>419</v>
      </c>
      <c r="AE139" s="4" t="s">
        <v>50</v>
      </c>
      <c r="AF139" s="4" t="s">
        <v>41</v>
      </c>
      <c r="AG139" s="4" t="s">
        <v>282</v>
      </c>
    </row>
    <row r="140" spans="1:33" ht="16.5" customHeight="1" x14ac:dyDescent="0.2">
      <c r="A140" s="2" t="s">
        <v>31</v>
      </c>
      <c r="B140" s="15" t="s">
        <v>32</v>
      </c>
      <c r="C140" s="15"/>
      <c r="D140" s="15"/>
      <c r="E140" s="16" t="s">
        <v>33</v>
      </c>
      <c r="F140" s="16"/>
      <c r="G140" s="17" t="s">
        <v>279</v>
      </c>
      <c r="H140" s="17"/>
      <c r="I140" s="17"/>
      <c r="J140" s="3" t="s">
        <v>35</v>
      </c>
      <c r="K140" s="4" t="s">
        <v>57</v>
      </c>
      <c r="L140" s="4" t="s">
        <v>420</v>
      </c>
      <c r="N140" s="17" t="s">
        <v>421</v>
      </c>
      <c r="O140" s="17"/>
      <c r="P140" s="17" t="s">
        <v>422</v>
      </c>
      <c r="Q140" s="17"/>
      <c r="R140" s="17"/>
      <c r="S140" s="3" t="s">
        <v>40</v>
      </c>
      <c r="T140" s="17" t="s">
        <v>41</v>
      </c>
      <c r="U140" s="17"/>
      <c r="V140" s="4" t="s">
        <v>248</v>
      </c>
      <c r="W140" s="4" t="s">
        <v>384</v>
      </c>
      <c r="X140" s="4" t="s">
        <v>249</v>
      </c>
      <c r="Y140" s="17" t="s">
        <v>63</v>
      </c>
      <c r="Z140" s="17"/>
      <c r="AA140" s="4" t="s">
        <v>46</v>
      </c>
      <c r="AB140" s="4" t="s">
        <v>47</v>
      </c>
      <c r="AC140" s="4" t="s">
        <v>64</v>
      </c>
      <c r="AD140" s="4" t="s">
        <v>423</v>
      </c>
      <c r="AE140" s="4" t="s">
        <v>50</v>
      </c>
      <c r="AF140" s="4" t="s">
        <v>41</v>
      </c>
      <c r="AG140" s="4" t="s">
        <v>282</v>
      </c>
    </row>
    <row r="141" spans="1:33" ht="16.5" customHeight="1" x14ac:dyDescent="0.2">
      <c r="A141" s="2" t="s">
        <v>31</v>
      </c>
      <c r="B141" s="15" t="s">
        <v>32</v>
      </c>
      <c r="C141" s="15"/>
      <c r="D141" s="15"/>
      <c r="E141" s="16" t="s">
        <v>33</v>
      </c>
      <c r="F141" s="16"/>
      <c r="G141" s="17" t="s">
        <v>279</v>
      </c>
      <c r="H141" s="17"/>
      <c r="I141" s="17"/>
      <c r="J141" s="3" t="s">
        <v>35</v>
      </c>
      <c r="K141" s="4" t="s">
        <v>57</v>
      </c>
      <c r="L141" s="4" t="s">
        <v>420</v>
      </c>
      <c r="N141" s="17" t="s">
        <v>424</v>
      </c>
      <c r="O141" s="17"/>
      <c r="P141" s="17" t="s">
        <v>425</v>
      </c>
      <c r="Q141" s="17"/>
      <c r="R141" s="17"/>
      <c r="S141" s="3" t="s">
        <v>40</v>
      </c>
      <c r="T141" s="17" t="s">
        <v>41</v>
      </c>
      <c r="U141" s="17"/>
      <c r="V141" s="4" t="s">
        <v>248</v>
      </c>
      <c r="W141" s="4" t="s">
        <v>384</v>
      </c>
      <c r="X141" s="4" t="s">
        <v>249</v>
      </c>
      <c r="Y141" s="17" t="s">
        <v>63</v>
      </c>
      <c r="Z141" s="17"/>
      <c r="AA141" s="4" t="s">
        <v>46</v>
      </c>
      <c r="AB141" s="4" t="s">
        <v>47</v>
      </c>
      <c r="AC141" s="4" t="s">
        <v>64</v>
      </c>
      <c r="AD141" s="4" t="s">
        <v>423</v>
      </c>
      <c r="AE141" s="4" t="s">
        <v>50</v>
      </c>
      <c r="AF141" s="4" t="s">
        <v>41</v>
      </c>
      <c r="AG141" s="4" t="s">
        <v>282</v>
      </c>
    </row>
    <row r="142" spans="1:33" ht="16.5" customHeight="1" x14ac:dyDescent="0.2">
      <c r="A142" s="2" t="s">
        <v>31</v>
      </c>
      <c r="B142" s="15" t="s">
        <v>32</v>
      </c>
      <c r="C142" s="15"/>
      <c r="D142" s="15"/>
      <c r="E142" s="16" t="s">
        <v>33</v>
      </c>
      <c r="F142" s="16"/>
      <c r="G142" s="17" t="s">
        <v>426</v>
      </c>
      <c r="H142" s="17"/>
      <c r="I142" s="17"/>
      <c r="J142" s="3" t="s">
        <v>35</v>
      </c>
      <c r="K142" s="4" t="s">
        <v>427</v>
      </c>
      <c r="L142" s="4" t="s">
        <v>37</v>
      </c>
      <c r="N142" s="17" t="s">
        <v>428</v>
      </c>
      <c r="O142" s="17"/>
      <c r="P142" s="17" t="s">
        <v>429</v>
      </c>
      <c r="Q142" s="17"/>
      <c r="R142" s="17"/>
      <c r="S142" s="3" t="s">
        <v>40</v>
      </c>
      <c r="T142" s="17" t="s">
        <v>41</v>
      </c>
      <c r="U142" s="17"/>
      <c r="V142" s="4" t="s">
        <v>42</v>
      </c>
      <c r="W142" s="4" t="s">
        <v>69</v>
      </c>
      <c r="X142" s="4" t="s">
        <v>70</v>
      </c>
      <c r="Y142" s="17" t="s">
        <v>45</v>
      </c>
      <c r="Z142" s="17"/>
      <c r="AA142" s="4" t="s">
        <v>46</v>
      </c>
      <c r="AB142" s="4" t="s">
        <v>47</v>
      </c>
      <c r="AC142" s="4" t="s">
        <v>48</v>
      </c>
      <c r="AD142" s="4" t="s">
        <v>49</v>
      </c>
      <c r="AE142" s="4" t="s">
        <v>50</v>
      </c>
      <c r="AF142" s="4" t="s">
        <v>41</v>
      </c>
      <c r="AG142" s="4" t="s">
        <v>430</v>
      </c>
    </row>
    <row r="143" spans="1:33" ht="16.5" customHeight="1" x14ac:dyDescent="0.2">
      <c r="A143" s="2" t="s">
        <v>31</v>
      </c>
      <c r="B143" s="15" t="s">
        <v>32</v>
      </c>
      <c r="C143" s="15"/>
      <c r="D143" s="15"/>
      <c r="E143" s="16" t="s">
        <v>33</v>
      </c>
      <c r="F143" s="16"/>
      <c r="G143" s="17" t="s">
        <v>426</v>
      </c>
      <c r="H143" s="17"/>
      <c r="I143" s="17"/>
      <c r="J143" s="3" t="s">
        <v>35</v>
      </c>
      <c r="K143" s="4" t="s">
        <v>431</v>
      </c>
      <c r="L143" s="4" t="s">
        <v>37</v>
      </c>
      <c r="N143" s="17" t="s">
        <v>432</v>
      </c>
      <c r="O143" s="17"/>
      <c r="P143" s="17" t="s">
        <v>433</v>
      </c>
      <c r="Q143" s="17"/>
      <c r="R143" s="17"/>
      <c r="S143" s="3" t="s">
        <v>40</v>
      </c>
      <c r="T143" s="17" t="s">
        <v>41</v>
      </c>
      <c r="U143" s="17"/>
      <c r="V143" s="4" t="s">
        <v>42</v>
      </c>
      <c r="W143" s="4" t="s">
        <v>224</v>
      </c>
      <c r="X143" s="4" t="s">
        <v>225</v>
      </c>
      <c r="Y143" s="17" t="s">
        <v>45</v>
      </c>
      <c r="Z143" s="17"/>
      <c r="AA143" s="4" t="s">
        <v>46</v>
      </c>
      <c r="AB143" s="4" t="s">
        <v>47</v>
      </c>
      <c r="AC143" s="4" t="s">
        <v>48</v>
      </c>
      <c r="AD143" s="4" t="s">
        <v>49</v>
      </c>
      <c r="AE143" s="4" t="s">
        <v>50</v>
      </c>
      <c r="AF143" s="4" t="s">
        <v>41</v>
      </c>
      <c r="AG143" s="4" t="s">
        <v>430</v>
      </c>
    </row>
    <row r="144" spans="1:33" ht="16.5" customHeight="1" x14ac:dyDescent="0.2">
      <c r="A144" s="2" t="s">
        <v>31</v>
      </c>
      <c r="B144" s="15" t="s">
        <v>32</v>
      </c>
      <c r="C144" s="15"/>
      <c r="D144" s="15"/>
      <c r="E144" s="16" t="s">
        <v>33</v>
      </c>
      <c r="F144" s="16"/>
      <c r="G144" s="17" t="s">
        <v>434</v>
      </c>
      <c r="H144" s="17"/>
      <c r="I144" s="17"/>
      <c r="J144" s="3" t="s">
        <v>35</v>
      </c>
      <c r="K144" s="4" t="s">
        <v>237</v>
      </c>
      <c r="L144" s="4" t="s">
        <v>37</v>
      </c>
      <c r="N144" s="17" t="s">
        <v>435</v>
      </c>
      <c r="O144" s="17"/>
      <c r="P144" s="17" t="s">
        <v>436</v>
      </c>
      <c r="Q144" s="17"/>
      <c r="R144" s="17"/>
      <c r="S144" s="3" t="s">
        <v>40</v>
      </c>
      <c r="T144" s="17" t="s">
        <v>41</v>
      </c>
      <c r="U144" s="17"/>
      <c r="V144" s="4" t="s">
        <v>42</v>
      </c>
      <c r="W144" s="4" t="s">
        <v>43</v>
      </c>
      <c r="X144" s="4" t="s">
        <v>44</v>
      </c>
      <c r="Y144" s="17" t="s">
        <v>63</v>
      </c>
      <c r="Z144" s="17"/>
      <c r="AA144" s="4" t="s">
        <v>46</v>
      </c>
      <c r="AB144" s="4" t="s">
        <v>47</v>
      </c>
      <c r="AC144" s="4" t="s">
        <v>64</v>
      </c>
      <c r="AD144" s="4" t="s">
        <v>164</v>
      </c>
      <c r="AE144" s="4" t="s">
        <v>50</v>
      </c>
      <c r="AF144" s="4" t="s">
        <v>41</v>
      </c>
      <c r="AG144" s="4" t="s">
        <v>437</v>
      </c>
    </row>
    <row r="145" spans="1:33" ht="16.5" customHeight="1" x14ac:dyDescent="0.2">
      <c r="A145" s="2" t="s">
        <v>31</v>
      </c>
      <c r="B145" s="15" t="s">
        <v>438</v>
      </c>
      <c r="C145" s="15"/>
      <c r="D145" s="15"/>
      <c r="E145" s="16" t="s">
        <v>33</v>
      </c>
      <c r="F145" s="16"/>
      <c r="G145" s="17" t="s">
        <v>439</v>
      </c>
      <c r="H145" s="17"/>
      <c r="I145" s="17"/>
      <c r="J145" s="3" t="s">
        <v>35</v>
      </c>
      <c r="K145" s="4" t="s">
        <v>440</v>
      </c>
      <c r="L145" s="4" t="s">
        <v>37</v>
      </c>
      <c r="N145" s="17" t="s">
        <v>441</v>
      </c>
      <c r="O145" s="17"/>
      <c r="P145" s="17" t="s">
        <v>442</v>
      </c>
      <c r="Q145" s="17"/>
      <c r="R145" s="17"/>
      <c r="S145" s="3" t="s">
        <v>40</v>
      </c>
      <c r="T145" s="17" t="s">
        <v>41</v>
      </c>
      <c r="U145" s="17"/>
      <c r="V145" s="4" t="s">
        <v>42</v>
      </c>
      <c r="W145" s="4" t="s">
        <v>248</v>
      </c>
      <c r="X145" s="4" t="s">
        <v>249</v>
      </c>
      <c r="Y145" s="17" t="s">
        <v>443</v>
      </c>
      <c r="Z145" s="17"/>
      <c r="AA145" s="4" t="s">
        <v>46</v>
      </c>
      <c r="AB145" s="4" t="s">
        <v>47</v>
      </c>
      <c r="AD145" s="4" t="s">
        <v>41</v>
      </c>
      <c r="AE145" s="4" t="s">
        <v>50</v>
      </c>
      <c r="AF145" s="4" t="s">
        <v>41</v>
      </c>
      <c r="AG145" s="4" t="s">
        <v>444</v>
      </c>
    </row>
    <row r="146" spans="1:33" ht="16.5" customHeight="1" x14ac:dyDescent="0.2">
      <c r="A146" s="2" t="s">
        <v>31</v>
      </c>
      <c r="B146" s="15" t="s">
        <v>32</v>
      </c>
      <c r="C146" s="15"/>
      <c r="D146" s="15"/>
      <c r="E146" s="16" t="s">
        <v>33</v>
      </c>
      <c r="F146" s="16"/>
      <c r="G146" s="17" t="s">
        <v>439</v>
      </c>
      <c r="H146" s="17"/>
      <c r="I146" s="17"/>
      <c r="J146" s="3" t="s">
        <v>35</v>
      </c>
      <c r="K146" s="4" t="s">
        <v>66</v>
      </c>
      <c r="L146" s="4" t="s">
        <v>77</v>
      </c>
      <c r="N146" s="17" t="s">
        <v>445</v>
      </c>
      <c r="O146" s="17"/>
      <c r="P146" s="17" t="s">
        <v>446</v>
      </c>
      <c r="Q146" s="17"/>
      <c r="R146" s="17"/>
      <c r="S146" s="3" t="s">
        <v>40</v>
      </c>
      <c r="T146" s="17" t="s">
        <v>41</v>
      </c>
      <c r="U146" s="17"/>
      <c r="V146" s="4" t="s">
        <v>42</v>
      </c>
      <c r="W146" s="4" t="s">
        <v>447</v>
      </c>
      <c r="X146" s="4" t="s">
        <v>448</v>
      </c>
      <c r="Y146" s="17" t="s">
        <v>45</v>
      </c>
      <c r="Z146" s="17"/>
      <c r="AA146" s="4" t="s">
        <v>46</v>
      </c>
      <c r="AB146" s="4" t="s">
        <v>47</v>
      </c>
      <c r="AC146" s="4" t="s">
        <v>48</v>
      </c>
      <c r="AD146" s="4" t="s">
        <v>82</v>
      </c>
      <c r="AE146" s="4" t="s">
        <v>50</v>
      </c>
      <c r="AF146" s="4" t="s">
        <v>41</v>
      </c>
      <c r="AG146" s="4" t="s">
        <v>444</v>
      </c>
    </row>
    <row r="147" spans="1:33" ht="16.5" customHeight="1" x14ac:dyDescent="0.2">
      <c r="A147" s="2" t="s">
        <v>31</v>
      </c>
      <c r="B147" s="15" t="s">
        <v>285</v>
      </c>
      <c r="C147" s="15"/>
      <c r="D147" s="15"/>
      <c r="E147" s="16" t="s">
        <v>33</v>
      </c>
      <c r="F147" s="16"/>
      <c r="G147" s="17" t="s">
        <v>439</v>
      </c>
      <c r="H147" s="17"/>
      <c r="I147" s="17"/>
      <c r="J147" s="3" t="s">
        <v>286</v>
      </c>
      <c r="K147" s="4" t="s">
        <v>449</v>
      </c>
      <c r="N147" s="17" t="s">
        <v>445</v>
      </c>
      <c r="O147" s="17"/>
      <c r="P147" s="17" t="s">
        <v>446</v>
      </c>
      <c r="Q147" s="17"/>
      <c r="R147" s="17"/>
      <c r="S147" s="3" t="s">
        <v>40</v>
      </c>
      <c r="T147" s="17" t="s">
        <v>450</v>
      </c>
      <c r="U147" s="17"/>
      <c r="V147" s="4" t="s">
        <v>42</v>
      </c>
      <c r="W147" s="4" t="s">
        <v>69</v>
      </c>
      <c r="X147" s="4" t="s">
        <v>448</v>
      </c>
      <c r="Y147" s="17" t="s">
        <v>292</v>
      </c>
      <c r="Z147" s="17"/>
      <c r="AA147" s="4" t="s">
        <v>46</v>
      </c>
      <c r="AB147" s="4" t="s">
        <v>293</v>
      </c>
      <c r="AC147" s="4" t="s">
        <v>294</v>
      </c>
      <c r="AD147" s="4" t="s">
        <v>451</v>
      </c>
      <c r="AE147" s="4" t="s">
        <v>50</v>
      </c>
      <c r="AF147" s="4" t="s">
        <v>41</v>
      </c>
      <c r="AG147" s="4" t="s">
        <v>444</v>
      </c>
    </row>
    <row r="148" spans="1:33" ht="16.5" customHeight="1" x14ac:dyDescent="0.2">
      <c r="A148" s="2" t="s">
        <v>31</v>
      </c>
      <c r="B148" s="15" t="s">
        <v>32</v>
      </c>
      <c r="C148" s="15"/>
      <c r="D148" s="15"/>
      <c r="E148" s="16" t="s">
        <v>33</v>
      </c>
      <c r="F148" s="16"/>
      <c r="G148" s="17" t="s">
        <v>439</v>
      </c>
      <c r="H148" s="17"/>
      <c r="I148" s="17"/>
      <c r="J148" s="3" t="s">
        <v>35</v>
      </c>
      <c r="K148" s="4" t="s">
        <v>314</v>
      </c>
      <c r="L148" s="4" t="s">
        <v>37</v>
      </c>
      <c r="N148" s="17" t="s">
        <v>452</v>
      </c>
      <c r="O148" s="17"/>
      <c r="P148" s="17" t="s">
        <v>453</v>
      </c>
      <c r="Q148" s="17"/>
      <c r="R148" s="17"/>
      <c r="S148" s="3" t="s">
        <v>40</v>
      </c>
      <c r="T148" s="17" t="s">
        <v>41</v>
      </c>
      <c r="U148" s="17"/>
      <c r="V148" s="4" t="s">
        <v>42</v>
      </c>
      <c r="W148" s="4" t="s">
        <v>173</v>
      </c>
      <c r="X148" s="4" t="s">
        <v>174</v>
      </c>
      <c r="Y148" s="17" t="s">
        <v>63</v>
      </c>
      <c r="Z148" s="17"/>
      <c r="AA148" s="4" t="s">
        <v>46</v>
      </c>
      <c r="AB148" s="4" t="s">
        <v>47</v>
      </c>
      <c r="AC148" s="4" t="s">
        <v>64</v>
      </c>
      <c r="AD148" s="4" t="s">
        <v>164</v>
      </c>
      <c r="AE148" s="4" t="s">
        <v>50</v>
      </c>
      <c r="AF148" s="4" t="s">
        <v>41</v>
      </c>
      <c r="AG148" s="4" t="s">
        <v>444</v>
      </c>
    </row>
    <row r="149" spans="1:33" ht="16.5" customHeight="1" x14ac:dyDescent="0.2">
      <c r="A149" s="2" t="s">
        <v>31</v>
      </c>
      <c r="B149" s="15" t="s">
        <v>32</v>
      </c>
      <c r="C149" s="15"/>
      <c r="D149" s="15"/>
      <c r="E149" s="16" t="s">
        <v>33</v>
      </c>
      <c r="F149" s="16"/>
      <c r="G149" s="17" t="s">
        <v>454</v>
      </c>
      <c r="H149" s="17"/>
      <c r="I149" s="17"/>
      <c r="J149" s="3" t="s">
        <v>35</v>
      </c>
      <c r="K149" s="4" t="s">
        <v>159</v>
      </c>
      <c r="L149" s="4" t="s">
        <v>37</v>
      </c>
      <c r="N149" s="17" t="s">
        <v>455</v>
      </c>
      <c r="O149" s="17"/>
      <c r="P149" s="17" t="s">
        <v>456</v>
      </c>
      <c r="Q149" s="17"/>
      <c r="R149" s="17"/>
      <c r="S149" s="3" t="s">
        <v>40</v>
      </c>
      <c r="T149" s="17" t="s">
        <v>41</v>
      </c>
      <c r="U149" s="17"/>
      <c r="V149" s="4" t="s">
        <v>42</v>
      </c>
      <c r="W149" s="4" t="s">
        <v>141</v>
      </c>
      <c r="X149" s="4" t="s">
        <v>142</v>
      </c>
      <c r="Y149" s="17" t="s">
        <v>63</v>
      </c>
      <c r="Z149" s="17"/>
      <c r="AA149" s="4" t="s">
        <v>46</v>
      </c>
      <c r="AB149" s="4" t="s">
        <v>47</v>
      </c>
      <c r="AC149" s="4" t="s">
        <v>64</v>
      </c>
      <c r="AD149" s="4" t="s">
        <v>164</v>
      </c>
      <c r="AE149" s="4" t="s">
        <v>50</v>
      </c>
      <c r="AF149" s="4" t="s">
        <v>41</v>
      </c>
      <c r="AG149" s="4" t="s">
        <v>457</v>
      </c>
    </row>
    <row r="150" spans="1:33" ht="16.5" customHeight="1" x14ac:dyDescent="0.2">
      <c r="A150" s="2" t="s">
        <v>31</v>
      </c>
      <c r="B150" s="15" t="s">
        <v>32</v>
      </c>
      <c r="C150" s="15"/>
      <c r="D150" s="15"/>
      <c r="E150" s="16" t="s">
        <v>33</v>
      </c>
      <c r="F150" s="16"/>
      <c r="G150" s="17" t="s">
        <v>454</v>
      </c>
      <c r="H150" s="17"/>
      <c r="I150" s="17"/>
      <c r="J150" s="3" t="s">
        <v>35</v>
      </c>
      <c r="K150" s="4" t="s">
        <v>431</v>
      </c>
      <c r="L150" s="4" t="s">
        <v>37</v>
      </c>
      <c r="N150" s="17" t="s">
        <v>458</v>
      </c>
      <c r="O150" s="17"/>
      <c r="P150" s="17" t="s">
        <v>459</v>
      </c>
      <c r="Q150" s="17"/>
      <c r="R150" s="17"/>
      <c r="S150" s="3" t="s">
        <v>40</v>
      </c>
      <c r="T150" s="17" t="s">
        <v>41</v>
      </c>
      <c r="U150" s="17"/>
      <c r="V150" s="4" t="s">
        <v>42</v>
      </c>
      <c r="W150" s="4" t="s">
        <v>361</v>
      </c>
      <c r="X150" s="4" t="s">
        <v>362</v>
      </c>
      <c r="Y150" s="17" t="s">
        <v>45</v>
      </c>
      <c r="Z150" s="17"/>
      <c r="AA150" s="4" t="s">
        <v>46</v>
      </c>
      <c r="AB150" s="4" t="s">
        <v>47</v>
      </c>
      <c r="AC150" s="4" t="s">
        <v>48</v>
      </c>
      <c r="AD150" s="4" t="s">
        <v>49</v>
      </c>
      <c r="AE150" s="4" t="s">
        <v>50</v>
      </c>
      <c r="AF150" s="4" t="s">
        <v>41</v>
      </c>
      <c r="AG150" s="4" t="s">
        <v>457</v>
      </c>
    </row>
    <row r="151" spans="1:33" ht="16.5" customHeight="1" x14ac:dyDescent="0.2">
      <c r="A151" s="2" t="s">
        <v>31</v>
      </c>
      <c r="B151" s="15" t="s">
        <v>32</v>
      </c>
      <c r="C151" s="15"/>
      <c r="D151" s="15"/>
      <c r="E151" s="16" t="s">
        <v>33</v>
      </c>
      <c r="F151" s="16"/>
      <c r="G151" s="17" t="s">
        <v>454</v>
      </c>
      <c r="H151" s="17"/>
      <c r="I151" s="17"/>
      <c r="J151" s="3" t="s">
        <v>35</v>
      </c>
      <c r="K151" s="4" t="s">
        <v>159</v>
      </c>
      <c r="L151" s="4" t="s">
        <v>37</v>
      </c>
      <c r="N151" s="17" t="s">
        <v>460</v>
      </c>
      <c r="O151" s="17"/>
      <c r="P151" s="17" t="s">
        <v>461</v>
      </c>
      <c r="Q151" s="17"/>
      <c r="R151" s="17"/>
      <c r="S151" s="3" t="s">
        <v>40</v>
      </c>
      <c r="T151" s="17" t="s">
        <v>41</v>
      </c>
      <c r="U151" s="17"/>
      <c r="V151" s="4" t="s">
        <v>42</v>
      </c>
      <c r="W151" s="4" t="s">
        <v>69</v>
      </c>
      <c r="X151" s="4" t="s">
        <v>70</v>
      </c>
      <c r="Y151" s="17" t="s">
        <v>63</v>
      </c>
      <c r="Z151" s="17"/>
      <c r="AA151" s="4" t="s">
        <v>46</v>
      </c>
      <c r="AB151" s="4" t="s">
        <v>47</v>
      </c>
      <c r="AC151" s="4" t="s">
        <v>64</v>
      </c>
      <c r="AD151" s="4" t="s">
        <v>164</v>
      </c>
      <c r="AE151" s="4" t="s">
        <v>50</v>
      </c>
      <c r="AF151" s="4" t="s">
        <v>41</v>
      </c>
      <c r="AG151" s="4" t="s">
        <v>457</v>
      </c>
    </row>
    <row r="152" spans="1:33" ht="16.5" customHeight="1" x14ac:dyDescent="0.2">
      <c r="A152" s="2" t="s">
        <v>31</v>
      </c>
      <c r="B152" s="15" t="s">
        <v>32</v>
      </c>
      <c r="C152" s="15"/>
      <c r="D152" s="15"/>
      <c r="E152" s="16" t="s">
        <v>33</v>
      </c>
      <c r="F152" s="16"/>
      <c r="G152" s="17" t="s">
        <v>454</v>
      </c>
      <c r="H152" s="17"/>
      <c r="I152" s="17"/>
      <c r="J152" s="3" t="s">
        <v>35</v>
      </c>
      <c r="K152" s="4" t="s">
        <v>97</v>
      </c>
      <c r="L152" s="4" t="s">
        <v>77</v>
      </c>
      <c r="N152" s="17" t="s">
        <v>462</v>
      </c>
      <c r="O152" s="17"/>
      <c r="P152" s="17" t="s">
        <v>463</v>
      </c>
      <c r="Q152" s="17"/>
      <c r="R152" s="17"/>
      <c r="S152" s="3" t="s">
        <v>40</v>
      </c>
      <c r="T152" s="17" t="s">
        <v>41</v>
      </c>
      <c r="U152" s="17"/>
      <c r="V152" s="4" t="s">
        <v>42</v>
      </c>
      <c r="W152" s="4" t="s">
        <v>69</v>
      </c>
      <c r="X152" s="4" t="s">
        <v>70</v>
      </c>
      <c r="Y152" s="17" t="s">
        <v>45</v>
      </c>
      <c r="Z152" s="17"/>
      <c r="AA152" s="4" t="s">
        <v>46</v>
      </c>
      <c r="AB152" s="4" t="s">
        <v>47</v>
      </c>
      <c r="AC152" s="4" t="s">
        <v>48</v>
      </c>
      <c r="AD152" s="4" t="s">
        <v>82</v>
      </c>
      <c r="AE152" s="4" t="s">
        <v>50</v>
      </c>
      <c r="AF152" s="4" t="s">
        <v>41</v>
      </c>
      <c r="AG152" s="4" t="s">
        <v>457</v>
      </c>
    </row>
    <row r="153" spans="1:33" ht="16.5" customHeight="1" x14ac:dyDescent="0.2">
      <c r="A153" s="2" t="s">
        <v>31</v>
      </c>
      <c r="B153" s="15" t="s">
        <v>32</v>
      </c>
      <c r="C153" s="15"/>
      <c r="D153" s="15"/>
      <c r="E153" s="16" t="s">
        <v>33</v>
      </c>
      <c r="F153" s="16"/>
      <c r="G153" s="17" t="s">
        <v>464</v>
      </c>
      <c r="H153" s="17"/>
      <c r="I153" s="17"/>
      <c r="J153" s="3" t="s">
        <v>35</v>
      </c>
      <c r="K153" s="4" t="s">
        <v>36</v>
      </c>
      <c r="L153" s="4" t="s">
        <v>37</v>
      </c>
      <c r="N153" s="17" t="s">
        <v>465</v>
      </c>
      <c r="O153" s="17"/>
      <c r="P153" s="17" t="s">
        <v>466</v>
      </c>
      <c r="Q153" s="17"/>
      <c r="R153" s="17"/>
      <c r="S153" s="3" t="s">
        <v>40</v>
      </c>
      <c r="T153" s="17" t="s">
        <v>41</v>
      </c>
      <c r="U153" s="17"/>
      <c r="V153" s="4" t="s">
        <v>42</v>
      </c>
      <c r="W153" s="4" t="s">
        <v>61</v>
      </c>
      <c r="X153" s="4" t="s">
        <v>62</v>
      </c>
      <c r="Y153" s="17" t="s">
        <v>45</v>
      </c>
      <c r="Z153" s="17"/>
      <c r="AA153" s="4" t="s">
        <v>46</v>
      </c>
      <c r="AB153" s="4" t="s">
        <v>47</v>
      </c>
      <c r="AC153" s="4" t="s">
        <v>48</v>
      </c>
      <c r="AD153" s="4" t="s">
        <v>49</v>
      </c>
      <c r="AE153" s="4" t="s">
        <v>50</v>
      </c>
      <c r="AF153" s="4" t="s">
        <v>41</v>
      </c>
      <c r="AG153" s="4" t="s">
        <v>467</v>
      </c>
    </row>
    <row r="154" spans="1:33" ht="16.5" customHeight="1" x14ac:dyDescent="0.2">
      <c r="A154" s="2" t="s">
        <v>31</v>
      </c>
      <c r="B154" s="15" t="s">
        <v>468</v>
      </c>
      <c r="C154" s="15"/>
      <c r="D154" s="15"/>
      <c r="E154" s="16" t="s">
        <v>33</v>
      </c>
      <c r="F154" s="16"/>
      <c r="G154" s="17" t="s">
        <v>469</v>
      </c>
      <c r="H154" s="17"/>
      <c r="I154" s="17"/>
      <c r="J154" s="3" t="s">
        <v>35</v>
      </c>
      <c r="K154" s="4" t="s">
        <v>470</v>
      </c>
      <c r="L154" s="4" t="s">
        <v>37</v>
      </c>
      <c r="N154" s="17" t="s">
        <v>471</v>
      </c>
      <c r="O154" s="17"/>
      <c r="P154" s="17" t="s">
        <v>472</v>
      </c>
      <c r="Q154" s="17"/>
      <c r="R154" s="17"/>
      <c r="S154" s="3" t="s">
        <v>40</v>
      </c>
      <c r="T154" s="17" t="s">
        <v>41</v>
      </c>
      <c r="U154" s="17"/>
      <c r="V154" s="4" t="s">
        <v>42</v>
      </c>
      <c r="W154" s="4" t="s">
        <v>69</v>
      </c>
      <c r="X154" s="4" t="s">
        <v>70</v>
      </c>
      <c r="Y154" s="17" t="s">
        <v>473</v>
      </c>
      <c r="Z154" s="17"/>
      <c r="AA154" s="4" t="s">
        <v>46</v>
      </c>
      <c r="AB154" s="4" t="s">
        <v>47</v>
      </c>
      <c r="AD154" s="4" t="s">
        <v>41</v>
      </c>
      <c r="AE154" s="4" t="s">
        <v>50</v>
      </c>
      <c r="AF154" s="4" t="s">
        <v>41</v>
      </c>
      <c r="AG154" s="4" t="s">
        <v>474</v>
      </c>
    </row>
    <row r="155" spans="1:33" ht="16.5" customHeight="1" x14ac:dyDescent="0.2">
      <c r="A155" s="2" t="s">
        <v>31</v>
      </c>
      <c r="B155" s="15" t="s">
        <v>468</v>
      </c>
      <c r="C155" s="15"/>
      <c r="D155" s="15"/>
      <c r="E155" s="16" t="s">
        <v>33</v>
      </c>
      <c r="F155" s="16"/>
      <c r="G155" s="17" t="s">
        <v>469</v>
      </c>
      <c r="H155" s="17"/>
      <c r="I155" s="17"/>
      <c r="J155" s="3" t="s">
        <v>35</v>
      </c>
      <c r="K155" s="4" t="s">
        <v>470</v>
      </c>
      <c r="L155" s="4" t="s">
        <v>37</v>
      </c>
      <c r="N155" s="17" t="s">
        <v>475</v>
      </c>
      <c r="O155" s="17"/>
      <c r="P155" s="17" t="s">
        <v>476</v>
      </c>
      <c r="Q155" s="17"/>
      <c r="R155" s="17"/>
      <c r="S155" s="3" t="s">
        <v>40</v>
      </c>
      <c r="T155" s="17" t="s">
        <v>41</v>
      </c>
      <c r="U155" s="17"/>
      <c r="V155" s="4" t="s">
        <v>42</v>
      </c>
      <c r="W155" s="4" t="s">
        <v>69</v>
      </c>
      <c r="X155" s="4" t="s">
        <v>70</v>
      </c>
      <c r="Y155" s="17" t="s">
        <v>473</v>
      </c>
      <c r="Z155" s="17"/>
      <c r="AA155" s="4" t="s">
        <v>46</v>
      </c>
      <c r="AB155" s="4" t="s">
        <v>47</v>
      </c>
      <c r="AD155" s="4" t="s">
        <v>41</v>
      </c>
      <c r="AE155" s="4" t="s">
        <v>50</v>
      </c>
      <c r="AF155" s="4" t="s">
        <v>41</v>
      </c>
      <c r="AG155" s="4" t="s">
        <v>474</v>
      </c>
    </row>
    <row r="156" spans="1:33" ht="16.5" customHeight="1" x14ac:dyDescent="0.2">
      <c r="A156" s="2" t="s">
        <v>31</v>
      </c>
      <c r="B156" s="15" t="s">
        <v>32</v>
      </c>
      <c r="C156" s="15"/>
      <c r="D156" s="15"/>
      <c r="E156" s="16" t="s">
        <v>33</v>
      </c>
      <c r="F156" s="16"/>
      <c r="G156" s="17" t="s">
        <v>469</v>
      </c>
      <c r="H156" s="17"/>
      <c r="I156" s="17"/>
      <c r="J156" s="3" t="s">
        <v>35</v>
      </c>
      <c r="K156" s="4" t="s">
        <v>237</v>
      </c>
      <c r="L156" s="4" t="s">
        <v>37</v>
      </c>
      <c r="N156" s="17" t="s">
        <v>477</v>
      </c>
      <c r="O156" s="17"/>
      <c r="P156" s="17" t="s">
        <v>478</v>
      </c>
      <c r="Q156" s="17"/>
      <c r="R156" s="17"/>
      <c r="S156" s="3" t="s">
        <v>40</v>
      </c>
      <c r="T156" s="17" t="s">
        <v>41</v>
      </c>
      <c r="U156" s="17"/>
      <c r="V156" s="4" t="s">
        <v>42</v>
      </c>
      <c r="W156" s="4" t="s">
        <v>224</v>
      </c>
      <c r="X156" s="4" t="s">
        <v>225</v>
      </c>
      <c r="Y156" s="17" t="s">
        <v>63</v>
      </c>
      <c r="Z156" s="17"/>
      <c r="AA156" s="4" t="s">
        <v>46</v>
      </c>
      <c r="AB156" s="4" t="s">
        <v>47</v>
      </c>
      <c r="AC156" s="4" t="s">
        <v>64</v>
      </c>
      <c r="AD156" s="4" t="s">
        <v>164</v>
      </c>
      <c r="AE156" s="4" t="s">
        <v>50</v>
      </c>
      <c r="AF156" s="4" t="s">
        <v>41</v>
      </c>
      <c r="AG156" s="4" t="s">
        <v>474</v>
      </c>
    </row>
    <row r="157" spans="1:33" ht="16.5" customHeight="1" x14ac:dyDescent="0.2">
      <c r="A157" s="2" t="s">
        <v>31</v>
      </c>
      <c r="B157" s="15" t="s">
        <v>32</v>
      </c>
      <c r="C157" s="15"/>
      <c r="D157" s="15"/>
      <c r="E157" s="16" t="s">
        <v>33</v>
      </c>
      <c r="F157" s="16"/>
      <c r="G157" s="17" t="s">
        <v>469</v>
      </c>
      <c r="H157" s="17"/>
      <c r="I157" s="17"/>
      <c r="J157" s="3" t="s">
        <v>35</v>
      </c>
      <c r="K157" s="4" t="s">
        <v>237</v>
      </c>
      <c r="L157" s="4" t="s">
        <v>420</v>
      </c>
      <c r="N157" s="17" t="s">
        <v>477</v>
      </c>
      <c r="O157" s="17"/>
      <c r="P157" s="17" t="s">
        <v>478</v>
      </c>
      <c r="Q157" s="17"/>
      <c r="R157" s="17"/>
      <c r="S157" s="3" t="s">
        <v>40</v>
      </c>
      <c r="T157" s="17" t="s">
        <v>41</v>
      </c>
      <c r="U157" s="17"/>
      <c r="V157" s="4" t="s">
        <v>248</v>
      </c>
      <c r="W157" s="4" t="s">
        <v>224</v>
      </c>
      <c r="X157" s="4" t="s">
        <v>245</v>
      </c>
      <c r="Y157" s="17" t="s">
        <v>63</v>
      </c>
      <c r="Z157" s="17"/>
      <c r="AA157" s="4" t="s">
        <v>46</v>
      </c>
      <c r="AB157" s="4" t="s">
        <v>47</v>
      </c>
      <c r="AC157" s="4" t="s">
        <v>64</v>
      </c>
      <c r="AD157" s="4" t="s">
        <v>423</v>
      </c>
      <c r="AE157" s="4" t="s">
        <v>50</v>
      </c>
      <c r="AF157" s="4" t="s">
        <v>41</v>
      </c>
      <c r="AG157" s="4" t="s">
        <v>474</v>
      </c>
    </row>
    <row r="158" spans="1:33" ht="16.5" customHeight="1" x14ac:dyDescent="0.2">
      <c r="A158" s="2" t="s">
        <v>31</v>
      </c>
      <c r="B158" s="15" t="s">
        <v>32</v>
      </c>
      <c r="C158" s="15"/>
      <c r="D158" s="15"/>
      <c r="E158" s="16" t="s">
        <v>33</v>
      </c>
      <c r="F158" s="16"/>
      <c r="G158" s="17" t="s">
        <v>469</v>
      </c>
      <c r="H158" s="17"/>
      <c r="I158" s="17"/>
      <c r="J158" s="3" t="s">
        <v>35</v>
      </c>
      <c r="K158" s="4" t="s">
        <v>237</v>
      </c>
      <c r="L158" s="4" t="s">
        <v>37</v>
      </c>
      <c r="N158" s="17" t="s">
        <v>477</v>
      </c>
      <c r="O158" s="17"/>
      <c r="P158" s="17" t="s">
        <v>478</v>
      </c>
      <c r="Q158" s="17"/>
      <c r="R158" s="17"/>
      <c r="S158" s="3" t="s">
        <v>40</v>
      </c>
      <c r="T158" s="17" t="s">
        <v>41</v>
      </c>
      <c r="U158" s="17"/>
      <c r="V158" s="4" t="s">
        <v>248</v>
      </c>
      <c r="W158" s="4" t="s">
        <v>224</v>
      </c>
      <c r="X158" s="4" t="s">
        <v>245</v>
      </c>
      <c r="Y158" s="17" t="s">
        <v>63</v>
      </c>
      <c r="Z158" s="17"/>
      <c r="AA158" s="4" t="s">
        <v>46</v>
      </c>
      <c r="AB158" s="4" t="s">
        <v>47</v>
      </c>
      <c r="AC158" s="4" t="s">
        <v>64</v>
      </c>
      <c r="AD158" s="4" t="s">
        <v>164</v>
      </c>
      <c r="AE158" s="4" t="s">
        <v>50</v>
      </c>
      <c r="AF158" s="4" t="s">
        <v>41</v>
      </c>
      <c r="AG158" s="4" t="s">
        <v>474</v>
      </c>
    </row>
    <row r="159" spans="1:33" ht="16.5" customHeight="1" x14ac:dyDescent="0.2">
      <c r="A159" s="2" t="s">
        <v>31</v>
      </c>
      <c r="B159" s="15" t="s">
        <v>32</v>
      </c>
      <c r="C159" s="15"/>
      <c r="D159" s="15"/>
      <c r="E159" s="16" t="s">
        <v>33</v>
      </c>
      <c r="F159" s="16"/>
      <c r="G159" s="17" t="s">
        <v>469</v>
      </c>
      <c r="H159" s="17"/>
      <c r="I159" s="17"/>
      <c r="J159" s="3" t="s">
        <v>35</v>
      </c>
      <c r="K159" s="4" t="s">
        <v>97</v>
      </c>
      <c r="L159" s="4" t="s">
        <v>37</v>
      </c>
      <c r="N159" s="17" t="s">
        <v>479</v>
      </c>
      <c r="O159" s="17"/>
      <c r="P159" s="17" t="s">
        <v>480</v>
      </c>
      <c r="Q159" s="17"/>
      <c r="R159" s="17"/>
      <c r="S159" s="3" t="s">
        <v>40</v>
      </c>
      <c r="T159" s="17" t="s">
        <v>41</v>
      </c>
      <c r="U159" s="17"/>
      <c r="V159" s="4" t="s">
        <v>42</v>
      </c>
      <c r="W159" s="4" t="s">
        <v>384</v>
      </c>
      <c r="X159" s="4" t="s">
        <v>385</v>
      </c>
      <c r="Y159" s="17" t="s">
        <v>45</v>
      </c>
      <c r="Z159" s="17"/>
      <c r="AA159" s="4" t="s">
        <v>46</v>
      </c>
      <c r="AB159" s="4" t="s">
        <v>47</v>
      </c>
      <c r="AC159" s="4" t="s">
        <v>48</v>
      </c>
      <c r="AD159" s="4" t="s">
        <v>49</v>
      </c>
      <c r="AE159" s="4" t="s">
        <v>50</v>
      </c>
      <c r="AF159" s="4" t="s">
        <v>41</v>
      </c>
      <c r="AG159" s="4" t="s">
        <v>474</v>
      </c>
    </row>
    <row r="160" spans="1:33" ht="16.5" customHeight="1" x14ac:dyDescent="0.2">
      <c r="A160" s="2" t="s">
        <v>31</v>
      </c>
      <c r="B160" s="15" t="s">
        <v>32</v>
      </c>
      <c r="C160" s="15"/>
      <c r="D160" s="15"/>
      <c r="E160" s="16" t="s">
        <v>33</v>
      </c>
      <c r="F160" s="16"/>
      <c r="G160" s="17" t="s">
        <v>469</v>
      </c>
      <c r="H160" s="17"/>
      <c r="I160" s="17"/>
      <c r="J160" s="3" t="s">
        <v>35</v>
      </c>
      <c r="K160" s="4" t="s">
        <v>97</v>
      </c>
      <c r="L160" s="4" t="s">
        <v>37</v>
      </c>
      <c r="N160" s="17" t="s">
        <v>479</v>
      </c>
      <c r="O160" s="17"/>
      <c r="P160" s="17" t="s">
        <v>480</v>
      </c>
      <c r="Q160" s="17"/>
      <c r="R160" s="17"/>
      <c r="S160" s="3" t="s">
        <v>40</v>
      </c>
      <c r="T160" s="17" t="s">
        <v>41</v>
      </c>
      <c r="U160" s="17"/>
      <c r="V160" s="4" t="s">
        <v>248</v>
      </c>
      <c r="W160" s="4" t="s">
        <v>384</v>
      </c>
      <c r="X160" s="4" t="s">
        <v>249</v>
      </c>
      <c r="Y160" s="17" t="s">
        <v>45</v>
      </c>
      <c r="Z160" s="17"/>
      <c r="AA160" s="4" t="s">
        <v>46</v>
      </c>
      <c r="AB160" s="4" t="s">
        <v>47</v>
      </c>
      <c r="AC160" s="4" t="s">
        <v>48</v>
      </c>
      <c r="AD160" s="4" t="s">
        <v>49</v>
      </c>
      <c r="AE160" s="4" t="s">
        <v>50</v>
      </c>
      <c r="AF160" s="4" t="s">
        <v>41</v>
      </c>
      <c r="AG160" s="4" t="s">
        <v>474</v>
      </c>
    </row>
    <row r="161" spans="1:33" ht="16.5" customHeight="1" x14ac:dyDescent="0.2">
      <c r="A161" s="2" t="s">
        <v>31</v>
      </c>
      <c r="B161" s="15" t="s">
        <v>32</v>
      </c>
      <c r="C161" s="15"/>
      <c r="D161" s="15"/>
      <c r="E161" s="16" t="s">
        <v>33</v>
      </c>
      <c r="F161" s="16"/>
      <c r="G161" s="17" t="s">
        <v>481</v>
      </c>
      <c r="H161" s="17"/>
      <c r="I161" s="17"/>
      <c r="J161" s="3" t="s">
        <v>35</v>
      </c>
      <c r="K161" s="4" t="s">
        <v>97</v>
      </c>
      <c r="L161" s="4" t="s">
        <v>77</v>
      </c>
      <c r="N161" s="17" t="s">
        <v>482</v>
      </c>
      <c r="O161" s="17"/>
      <c r="P161" s="17" t="s">
        <v>483</v>
      </c>
      <c r="Q161" s="17"/>
      <c r="R161" s="17"/>
      <c r="S161" s="3" t="s">
        <v>40</v>
      </c>
      <c r="T161" s="17" t="s">
        <v>41</v>
      </c>
      <c r="U161" s="17"/>
      <c r="V161" s="4" t="s">
        <v>42</v>
      </c>
      <c r="W161" s="4" t="s">
        <v>224</v>
      </c>
      <c r="X161" s="4" t="s">
        <v>225</v>
      </c>
      <c r="Y161" s="17" t="s">
        <v>45</v>
      </c>
      <c r="Z161" s="17"/>
      <c r="AA161" s="4" t="s">
        <v>46</v>
      </c>
      <c r="AB161" s="4" t="s">
        <v>47</v>
      </c>
      <c r="AC161" s="4" t="s">
        <v>48</v>
      </c>
      <c r="AD161" s="4" t="s">
        <v>82</v>
      </c>
      <c r="AE161" s="4" t="s">
        <v>50</v>
      </c>
      <c r="AF161" s="4" t="s">
        <v>41</v>
      </c>
      <c r="AG161" s="4" t="s">
        <v>484</v>
      </c>
    </row>
    <row r="162" spans="1:33" ht="16.5" customHeight="1" x14ac:dyDescent="0.2">
      <c r="A162" s="2" t="s">
        <v>31</v>
      </c>
      <c r="B162" s="15" t="s">
        <v>32</v>
      </c>
      <c r="C162" s="15"/>
      <c r="D162" s="15"/>
      <c r="E162" s="16" t="s">
        <v>33</v>
      </c>
      <c r="F162" s="16"/>
      <c r="G162" s="17" t="s">
        <v>481</v>
      </c>
      <c r="H162" s="17"/>
      <c r="I162" s="17"/>
      <c r="J162" s="3" t="s">
        <v>35</v>
      </c>
      <c r="K162" s="4" t="s">
        <v>314</v>
      </c>
      <c r="L162" s="4" t="s">
        <v>37</v>
      </c>
      <c r="N162" s="17" t="s">
        <v>485</v>
      </c>
      <c r="O162" s="17"/>
      <c r="P162" s="17" t="s">
        <v>486</v>
      </c>
      <c r="Q162" s="17"/>
      <c r="R162" s="17"/>
      <c r="S162" s="3" t="s">
        <v>40</v>
      </c>
      <c r="T162" s="17" t="s">
        <v>41</v>
      </c>
      <c r="U162" s="17"/>
      <c r="V162" s="4" t="s">
        <v>42</v>
      </c>
      <c r="W162" s="4" t="s">
        <v>298</v>
      </c>
      <c r="X162" s="4" t="s">
        <v>299</v>
      </c>
      <c r="Y162" s="17" t="s">
        <v>63</v>
      </c>
      <c r="Z162" s="17"/>
      <c r="AA162" s="4" t="s">
        <v>46</v>
      </c>
      <c r="AB162" s="4" t="s">
        <v>47</v>
      </c>
      <c r="AC162" s="4" t="s">
        <v>64</v>
      </c>
      <c r="AD162" s="4" t="s">
        <v>164</v>
      </c>
      <c r="AE162" s="4" t="s">
        <v>50</v>
      </c>
      <c r="AF162" s="4" t="s">
        <v>41</v>
      </c>
      <c r="AG162" s="4" t="s">
        <v>484</v>
      </c>
    </row>
    <row r="163" spans="1:33" ht="16.5" customHeight="1" x14ac:dyDescent="0.2">
      <c r="A163" s="2" t="s">
        <v>31</v>
      </c>
      <c r="B163" s="15" t="s">
        <v>32</v>
      </c>
      <c r="C163" s="15"/>
      <c r="D163" s="15"/>
      <c r="E163" s="16" t="s">
        <v>33</v>
      </c>
      <c r="F163" s="16"/>
      <c r="G163" s="17" t="s">
        <v>481</v>
      </c>
      <c r="H163" s="17"/>
      <c r="I163" s="17"/>
      <c r="J163" s="3" t="s">
        <v>35</v>
      </c>
      <c r="K163" s="4" t="s">
        <v>66</v>
      </c>
      <c r="L163" s="4" t="s">
        <v>37</v>
      </c>
      <c r="N163" s="17" t="s">
        <v>487</v>
      </c>
      <c r="O163" s="17"/>
      <c r="P163" s="17" t="s">
        <v>488</v>
      </c>
      <c r="Q163" s="17"/>
      <c r="R163" s="17"/>
      <c r="S163" s="3" t="s">
        <v>40</v>
      </c>
      <c r="T163" s="17" t="s">
        <v>41</v>
      </c>
      <c r="U163" s="17"/>
      <c r="V163" s="4" t="s">
        <v>42</v>
      </c>
      <c r="W163" s="4" t="s">
        <v>153</v>
      </c>
      <c r="X163" s="4" t="s">
        <v>154</v>
      </c>
      <c r="Y163" s="17" t="s">
        <v>45</v>
      </c>
      <c r="Z163" s="17"/>
      <c r="AA163" s="4" t="s">
        <v>46</v>
      </c>
      <c r="AB163" s="4" t="s">
        <v>47</v>
      </c>
      <c r="AC163" s="4" t="s">
        <v>48</v>
      </c>
      <c r="AD163" s="4" t="s">
        <v>49</v>
      </c>
      <c r="AE163" s="4" t="s">
        <v>50</v>
      </c>
      <c r="AF163" s="4" t="s">
        <v>41</v>
      </c>
      <c r="AG163" s="4" t="s">
        <v>484</v>
      </c>
    </row>
    <row r="164" spans="1:33" ht="16.5" customHeight="1" x14ac:dyDescent="0.2">
      <c r="A164" s="2" t="s">
        <v>31</v>
      </c>
      <c r="B164" s="15" t="s">
        <v>32</v>
      </c>
      <c r="C164" s="15"/>
      <c r="D164" s="15"/>
      <c r="E164" s="16" t="s">
        <v>33</v>
      </c>
      <c r="F164" s="16"/>
      <c r="G164" s="17" t="s">
        <v>481</v>
      </c>
      <c r="H164" s="17"/>
      <c r="I164" s="17"/>
      <c r="J164" s="3" t="s">
        <v>35</v>
      </c>
      <c r="K164" s="4" t="s">
        <v>97</v>
      </c>
      <c r="L164" s="4" t="s">
        <v>37</v>
      </c>
      <c r="N164" s="17" t="s">
        <v>489</v>
      </c>
      <c r="O164" s="17"/>
      <c r="P164" s="17" t="s">
        <v>490</v>
      </c>
      <c r="Q164" s="17"/>
      <c r="R164" s="17"/>
      <c r="S164" s="3" t="s">
        <v>40</v>
      </c>
      <c r="T164" s="17" t="s">
        <v>41</v>
      </c>
      <c r="U164" s="17"/>
      <c r="V164" s="4" t="s">
        <v>42</v>
      </c>
      <c r="W164" s="4" t="s">
        <v>43</v>
      </c>
      <c r="X164" s="4" t="s">
        <v>44</v>
      </c>
      <c r="Y164" s="17" t="s">
        <v>45</v>
      </c>
      <c r="Z164" s="17"/>
      <c r="AA164" s="4" t="s">
        <v>46</v>
      </c>
      <c r="AB164" s="4" t="s">
        <v>47</v>
      </c>
      <c r="AC164" s="4" t="s">
        <v>48</v>
      </c>
      <c r="AD164" s="4" t="s">
        <v>49</v>
      </c>
      <c r="AE164" s="4" t="s">
        <v>50</v>
      </c>
      <c r="AF164" s="4" t="s">
        <v>41</v>
      </c>
      <c r="AG164" s="4" t="s">
        <v>484</v>
      </c>
    </row>
    <row r="165" spans="1:33" ht="16.5" customHeight="1" x14ac:dyDescent="0.2">
      <c r="A165" s="2" t="s">
        <v>31</v>
      </c>
      <c r="B165" s="15" t="s">
        <v>32</v>
      </c>
      <c r="C165" s="15"/>
      <c r="D165" s="15"/>
      <c r="E165" s="16" t="s">
        <v>33</v>
      </c>
      <c r="F165" s="16"/>
      <c r="G165" s="17" t="s">
        <v>491</v>
      </c>
      <c r="H165" s="17"/>
      <c r="I165" s="17"/>
      <c r="J165" s="3" t="s">
        <v>35</v>
      </c>
      <c r="K165" s="4" t="s">
        <v>66</v>
      </c>
      <c r="L165" s="4" t="s">
        <v>37</v>
      </c>
      <c r="N165" s="17" t="s">
        <v>492</v>
      </c>
      <c r="O165" s="17"/>
      <c r="P165" s="17" t="s">
        <v>493</v>
      </c>
      <c r="Q165" s="17"/>
      <c r="R165" s="17"/>
      <c r="S165" s="3" t="s">
        <v>40</v>
      </c>
      <c r="T165" s="17" t="s">
        <v>41</v>
      </c>
      <c r="U165" s="17"/>
      <c r="V165" s="4" t="s">
        <v>42</v>
      </c>
      <c r="W165" s="4" t="s">
        <v>69</v>
      </c>
      <c r="X165" s="4" t="s">
        <v>70</v>
      </c>
      <c r="Y165" s="17" t="s">
        <v>45</v>
      </c>
      <c r="Z165" s="17"/>
      <c r="AA165" s="4" t="s">
        <v>46</v>
      </c>
      <c r="AB165" s="4" t="s">
        <v>47</v>
      </c>
      <c r="AC165" s="4" t="s">
        <v>48</v>
      </c>
      <c r="AD165" s="4" t="s">
        <v>49</v>
      </c>
      <c r="AE165" s="4" t="s">
        <v>50</v>
      </c>
      <c r="AF165" s="4" t="s">
        <v>41</v>
      </c>
      <c r="AG165" s="4" t="s">
        <v>494</v>
      </c>
    </row>
    <row r="166" spans="1:33" ht="16.5" customHeight="1" x14ac:dyDescent="0.2">
      <c r="A166" s="2" t="s">
        <v>31</v>
      </c>
      <c r="B166" s="15" t="s">
        <v>32</v>
      </c>
      <c r="C166" s="15"/>
      <c r="D166" s="15"/>
      <c r="E166" s="16" t="s">
        <v>33</v>
      </c>
      <c r="F166" s="16"/>
      <c r="G166" s="17" t="s">
        <v>491</v>
      </c>
      <c r="H166" s="17"/>
      <c r="I166" s="17"/>
      <c r="J166" s="3" t="s">
        <v>35</v>
      </c>
      <c r="K166" s="4" t="s">
        <v>237</v>
      </c>
      <c r="L166" s="4" t="s">
        <v>37</v>
      </c>
      <c r="N166" s="17" t="s">
        <v>495</v>
      </c>
      <c r="O166" s="17"/>
      <c r="P166" s="17" t="s">
        <v>496</v>
      </c>
      <c r="Q166" s="17"/>
      <c r="R166" s="17"/>
      <c r="S166" s="3" t="s">
        <v>40</v>
      </c>
      <c r="T166" s="17" t="s">
        <v>41</v>
      </c>
      <c r="U166" s="17"/>
      <c r="V166" s="4" t="s">
        <v>42</v>
      </c>
      <c r="W166" s="4" t="s">
        <v>43</v>
      </c>
      <c r="X166" s="4" t="s">
        <v>44</v>
      </c>
      <c r="Y166" s="17" t="s">
        <v>63</v>
      </c>
      <c r="Z166" s="17"/>
      <c r="AA166" s="4" t="s">
        <v>46</v>
      </c>
      <c r="AB166" s="4" t="s">
        <v>47</v>
      </c>
      <c r="AC166" s="4" t="s">
        <v>64</v>
      </c>
      <c r="AD166" s="4" t="s">
        <v>164</v>
      </c>
      <c r="AE166" s="4" t="s">
        <v>50</v>
      </c>
      <c r="AF166" s="4" t="s">
        <v>41</v>
      </c>
      <c r="AG166" s="4" t="s">
        <v>494</v>
      </c>
    </row>
    <row r="167" spans="1:33" ht="0.75" customHeight="1" x14ac:dyDescent="0.2"/>
    <row r="168" spans="1:33" ht="12" customHeight="1" x14ac:dyDescent="0.2"/>
    <row r="169" spans="1:33" ht="16.5" customHeight="1" x14ac:dyDescent="0.2">
      <c r="A169" s="2" t="s">
        <v>31</v>
      </c>
      <c r="B169" s="15" t="s">
        <v>32</v>
      </c>
      <c r="C169" s="15"/>
      <c r="D169" s="15"/>
      <c r="E169" s="16" t="s">
        <v>33</v>
      </c>
      <c r="F169" s="16"/>
      <c r="G169" s="17" t="s">
        <v>497</v>
      </c>
      <c r="H169" s="17"/>
      <c r="I169" s="17"/>
      <c r="J169" s="3" t="s">
        <v>35</v>
      </c>
      <c r="K169" s="4" t="s">
        <v>97</v>
      </c>
      <c r="L169" s="4" t="s">
        <v>58</v>
      </c>
      <c r="N169" s="17" t="s">
        <v>498</v>
      </c>
      <c r="O169" s="17"/>
      <c r="P169" s="17" t="s">
        <v>499</v>
      </c>
      <c r="Q169" s="17"/>
      <c r="R169" s="17"/>
      <c r="S169" s="3" t="s">
        <v>40</v>
      </c>
      <c r="T169" s="17" t="s">
        <v>41</v>
      </c>
      <c r="U169" s="17"/>
      <c r="V169" s="4" t="s">
        <v>42</v>
      </c>
      <c r="W169" s="4" t="s">
        <v>240</v>
      </c>
      <c r="X169" s="4" t="s">
        <v>241</v>
      </c>
      <c r="Y169" s="17" t="s">
        <v>45</v>
      </c>
      <c r="Z169" s="17"/>
      <c r="AA169" s="4" t="s">
        <v>46</v>
      </c>
      <c r="AB169" s="4" t="s">
        <v>47</v>
      </c>
      <c r="AC169" s="4" t="s">
        <v>48</v>
      </c>
      <c r="AD169" s="4" t="s">
        <v>137</v>
      </c>
      <c r="AE169" s="4" t="s">
        <v>50</v>
      </c>
      <c r="AF169" s="4" t="s">
        <v>41</v>
      </c>
      <c r="AG169" s="4" t="s">
        <v>500</v>
      </c>
    </row>
    <row r="170" spans="1:33" ht="16.5" customHeight="1" x14ac:dyDescent="0.2">
      <c r="A170" s="2" t="s">
        <v>31</v>
      </c>
      <c r="B170" s="15" t="s">
        <v>32</v>
      </c>
      <c r="C170" s="15"/>
      <c r="D170" s="15"/>
      <c r="E170" s="16" t="s">
        <v>33</v>
      </c>
      <c r="F170" s="16"/>
      <c r="G170" s="17" t="s">
        <v>501</v>
      </c>
      <c r="H170" s="17"/>
      <c r="I170" s="17"/>
      <c r="J170" s="3" t="s">
        <v>35</v>
      </c>
      <c r="K170" s="4" t="s">
        <v>66</v>
      </c>
      <c r="L170" s="4" t="s">
        <v>37</v>
      </c>
      <c r="N170" s="17" t="s">
        <v>502</v>
      </c>
      <c r="O170" s="17"/>
      <c r="P170" s="17" t="s">
        <v>503</v>
      </c>
      <c r="Q170" s="17"/>
      <c r="R170" s="17"/>
      <c r="S170" s="3" t="s">
        <v>40</v>
      </c>
      <c r="T170" s="17" t="s">
        <v>41</v>
      </c>
      <c r="U170" s="17"/>
      <c r="V170" s="4" t="s">
        <v>42</v>
      </c>
      <c r="W170" s="4" t="s">
        <v>504</v>
      </c>
      <c r="X170" s="4" t="s">
        <v>505</v>
      </c>
      <c r="Y170" s="17" t="s">
        <v>45</v>
      </c>
      <c r="Z170" s="17"/>
      <c r="AA170" s="4" t="s">
        <v>46</v>
      </c>
      <c r="AB170" s="4" t="s">
        <v>47</v>
      </c>
      <c r="AC170" s="4" t="s">
        <v>76</v>
      </c>
      <c r="AD170" s="4" t="s">
        <v>41</v>
      </c>
      <c r="AE170" s="4" t="s">
        <v>50</v>
      </c>
      <c r="AF170" s="4" t="s">
        <v>41</v>
      </c>
      <c r="AG170" s="4" t="s">
        <v>506</v>
      </c>
    </row>
    <row r="171" spans="1:33" ht="16.5" customHeight="1" x14ac:dyDescent="0.2">
      <c r="A171" s="2" t="s">
        <v>31</v>
      </c>
      <c r="B171" s="15" t="s">
        <v>32</v>
      </c>
      <c r="C171" s="15"/>
      <c r="D171" s="15"/>
      <c r="E171" s="16" t="s">
        <v>33</v>
      </c>
      <c r="F171" s="16"/>
      <c r="G171" s="17" t="s">
        <v>507</v>
      </c>
      <c r="H171" s="17"/>
      <c r="I171" s="17"/>
      <c r="J171" s="3" t="s">
        <v>35</v>
      </c>
      <c r="K171" s="4" t="s">
        <v>97</v>
      </c>
      <c r="L171" s="4" t="s">
        <v>37</v>
      </c>
      <c r="N171" s="17" t="s">
        <v>508</v>
      </c>
      <c r="O171" s="17"/>
      <c r="P171" s="17" t="s">
        <v>509</v>
      </c>
      <c r="Q171" s="17"/>
      <c r="R171" s="17"/>
      <c r="S171" s="3" t="s">
        <v>40</v>
      </c>
      <c r="T171" s="17" t="s">
        <v>41</v>
      </c>
      <c r="U171" s="17"/>
      <c r="V171" s="4" t="s">
        <v>42</v>
      </c>
      <c r="W171" s="4" t="s">
        <v>240</v>
      </c>
      <c r="X171" s="4" t="s">
        <v>241</v>
      </c>
      <c r="Y171" s="17" t="s">
        <v>45</v>
      </c>
      <c r="Z171" s="17"/>
      <c r="AA171" s="4" t="s">
        <v>46</v>
      </c>
      <c r="AB171" s="4" t="s">
        <v>47</v>
      </c>
      <c r="AC171" s="4" t="s">
        <v>48</v>
      </c>
      <c r="AD171" s="4" t="s">
        <v>49</v>
      </c>
      <c r="AE171" s="4" t="s">
        <v>50</v>
      </c>
      <c r="AF171" s="4" t="s">
        <v>41</v>
      </c>
      <c r="AG171" s="4" t="s">
        <v>510</v>
      </c>
    </row>
    <row r="172" spans="1:33" ht="16.5" customHeight="1" x14ac:dyDescent="0.2">
      <c r="A172" s="2" t="s">
        <v>31</v>
      </c>
      <c r="B172" s="15" t="s">
        <v>32</v>
      </c>
      <c r="C172" s="15"/>
      <c r="D172" s="15"/>
      <c r="E172" s="16" t="s">
        <v>33</v>
      </c>
      <c r="F172" s="16"/>
      <c r="G172" s="17" t="s">
        <v>511</v>
      </c>
      <c r="H172" s="17"/>
      <c r="I172" s="17"/>
      <c r="J172" s="3" t="s">
        <v>35</v>
      </c>
      <c r="K172" s="4" t="s">
        <v>102</v>
      </c>
      <c r="L172" s="4" t="s">
        <v>77</v>
      </c>
      <c r="N172" s="17" t="s">
        <v>512</v>
      </c>
      <c r="O172" s="17"/>
      <c r="P172" s="17" t="s">
        <v>513</v>
      </c>
      <c r="Q172" s="17"/>
      <c r="R172" s="17"/>
      <c r="S172" s="3" t="s">
        <v>40</v>
      </c>
      <c r="T172" s="17" t="s">
        <v>41</v>
      </c>
      <c r="U172" s="17"/>
      <c r="V172" s="4" t="s">
        <v>42</v>
      </c>
      <c r="W172" s="4" t="s">
        <v>302</v>
      </c>
      <c r="X172" s="4" t="s">
        <v>303</v>
      </c>
      <c r="Y172" s="17" t="s">
        <v>45</v>
      </c>
      <c r="Z172" s="17"/>
      <c r="AA172" s="4" t="s">
        <v>46</v>
      </c>
      <c r="AB172" s="4" t="s">
        <v>47</v>
      </c>
      <c r="AC172" s="4" t="s">
        <v>48</v>
      </c>
      <c r="AD172" s="4" t="s">
        <v>82</v>
      </c>
      <c r="AE172" s="4" t="s">
        <v>50</v>
      </c>
      <c r="AF172" s="4" t="s">
        <v>41</v>
      </c>
      <c r="AG172" s="4" t="s">
        <v>514</v>
      </c>
    </row>
    <row r="173" spans="1:33" ht="16.5" customHeight="1" x14ac:dyDescent="0.2">
      <c r="A173" s="2" t="s">
        <v>31</v>
      </c>
      <c r="B173" s="15" t="s">
        <v>32</v>
      </c>
      <c r="C173" s="15"/>
      <c r="D173" s="15"/>
      <c r="E173" s="16" t="s">
        <v>33</v>
      </c>
      <c r="F173" s="16"/>
      <c r="G173" s="17" t="s">
        <v>511</v>
      </c>
      <c r="H173" s="17"/>
      <c r="I173" s="17"/>
      <c r="J173" s="3" t="s">
        <v>35</v>
      </c>
      <c r="K173" s="4" t="s">
        <v>515</v>
      </c>
      <c r="L173" s="4" t="s">
        <v>77</v>
      </c>
      <c r="N173" s="17" t="s">
        <v>516</v>
      </c>
      <c r="O173" s="17"/>
      <c r="P173" s="17" t="s">
        <v>517</v>
      </c>
      <c r="Q173" s="17"/>
      <c r="R173" s="17"/>
      <c r="S173" s="3" t="s">
        <v>40</v>
      </c>
      <c r="T173" s="17" t="s">
        <v>41</v>
      </c>
      <c r="U173" s="17"/>
      <c r="V173" s="4" t="s">
        <v>42</v>
      </c>
      <c r="W173" s="4" t="s">
        <v>80</v>
      </c>
      <c r="X173" s="4" t="s">
        <v>81</v>
      </c>
      <c r="Y173" s="17" t="s">
        <v>45</v>
      </c>
      <c r="Z173" s="17"/>
      <c r="AA173" s="4" t="s">
        <v>46</v>
      </c>
      <c r="AB173" s="4" t="s">
        <v>47</v>
      </c>
      <c r="AC173" s="4" t="s">
        <v>48</v>
      </c>
      <c r="AD173" s="4" t="s">
        <v>82</v>
      </c>
      <c r="AE173" s="4" t="s">
        <v>50</v>
      </c>
      <c r="AF173" s="4" t="s">
        <v>41</v>
      </c>
      <c r="AG173" s="4" t="s">
        <v>514</v>
      </c>
    </row>
    <row r="174" spans="1:33" ht="16.5" customHeight="1" x14ac:dyDescent="0.2">
      <c r="A174" s="2" t="s">
        <v>31</v>
      </c>
      <c r="B174" s="15" t="s">
        <v>32</v>
      </c>
      <c r="C174" s="15"/>
      <c r="D174" s="15"/>
      <c r="E174" s="16" t="s">
        <v>33</v>
      </c>
      <c r="F174" s="16"/>
      <c r="G174" s="17" t="s">
        <v>511</v>
      </c>
      <c r="H174" s="17"/>
      <c r="I174" s="17"/>
      <c r="J174" s="3" t="s">
        <v>35</v>
      </c>
      <c r="K174" s="4" t="s">
        <v>102</v>
      </c>
      <c r="L174" s="4" t="s">
        <v>77</v>
      </c>
      <c r="N174" s="17" t="s">
        <v>518</v>
      </c>
      <c r="O174" s="17"/>
      <c r="P174" s="17" t="s">
        <v>519</v>
      </c>
      <c r="Q174" s="17"/>
      <c r="R174" s="17"/>
      <c r="S174" s="3" t="s">
        <v>40</v>
      </c>
      <c r="T174" s="17" t="s">
        <v>41</v>
      </c>
      <c r="U174" s="17"/>
      <c r="V174" s="4" t="s">
        <v>42</v>
      </c>
      <c r="W174" s="4" t="s">
        <v>80</v>
      </c>
      <c r="X174" s="4" t="s">
        <v>81</v>
      </c>
      <c r="Y174" s="17" t="s">
        <v>45</v>
      </c>
      <c r="Z174" s="17"/>
      <c r="AA174" s="4" t="s">
        <v>46</v>
      </c>
      <c r="AB174" s="4" t="s">
        <v>47</v>
      </c>
      <c r="AC174" s="4" t="s">
        <v>48</v>
      </c>
      <c r="AD174" s="4" t="s">
        <v>82</v>
      </c>
      <c r="AE174" s="4" t="s">
        <v>50</v>
      </c>
      <c r="AF174" s="4" t="s">
        <v>41</v>
      </c>
      <c r="AG174" s="4" t="s">
        <v>514</v>
      </c>
    </row>
    <row r="175" spans="1:33" ht="16.5" customHeight="1" x14ac:dyDescent="0.2">
      <c r="A175" s="2" t="s">
        <v>31</v>
      </c>
      <c r="B175" s="15" t="s">
        <v>32</v>
      </c>
      <c r="C175" s="15"/>
      <c r="D175" s="15"/>
      <c r="E175" s="16" t="s">
        <v>33</v>
      </c>
      <c r="F175" s="16"/>
      <c r="G175" s="17" t="s">
        <v>511</v>
      </c>
      <c r="H175" s="17"/>
      <c r="I175" s="17"/>
      <c r="J175" s="3" t="s">
        <v>35</v>
      </c>
      <c r="K175" s="4" t="s">
        <v>520</v>
      </c>
      <c r="L175" s="4" t="s">
        <v>37</v>
      </c>
      <c r="N175" s="17" t="s">
        <v>521</v>
      </c>
      <c r="O175" s="17"/>
      <c r="P175" s="17" t="s">
        <v>522</v>
      </c>
      <c r="Q175" s="17"/>
      <c r="R175" s="17"/>
      <c r="S175" s="3" t="s">
        <v>40</v>
      </c>
      <c r="T175" s="17" t="s">
        <v>41</v>
      </c>
      <c r="U175" s="17"/>
      <c r="V175" s="4" t="s">
        <v>42</v>
      </c>
      <c r="W175" s="4" t="s">
        <v>141</v>
      </c>
      <c r="X175" s="4" t="s">
        <v>142</v>
      </c>
      <c r="Y175" s="17" t="s">
        <v>45</v>
      </c>
      <c r="Z175" s="17"/>
      <c r="AA175" s="4" t="s">
        <v>46</v>
      </c>
      <c r="AB175" s="4" t="s">
        <v>47</v>
      </c>
      <c r="AC175" s="4" t="s">
        <v>48</v>
      </c>
      <c r="AD175" s="4" t="s">
        <v>49</v>
      </c>
      <c r="AE175" s="4" t="s">
        <v>50</v>
      </c>
      <c r="AF175" s="4" t="s">
        <v>41</v>
      </c>
      <c r="AG175" s="4" t="s">
        <v>514</v>
      </c>
    </row>
    <row r="176" spans="1:33" ht="16.5" customHeight="1" x14ac:dyDescent="0.2">
      <c r="A176" s="2" t="s">
        <v>31</v>
      </c>
      <c r="B176" s="15" t="s">
        <v>32</v>
      </c>
      <c r="C176" s="15"/>
      <c r="D176" s="15"/>
      <c r="E176" s="16" t="s">
        <v>33</v>
      </c>
      <c r="F176" s="16"/>
      <c r="G176" s="17" t="s">
        <v>511</v>
      </c>
      <c r="H176" s="17"/>
      <c r="I176" s="17"/>
      <c r="J176" s="3" t="s">
        <v>35</v>
      </c>
      <c r="K176" s="4" t="s">
        <v>102</v>
      </c>
      <c r="L176" s="4" t="s">
        <v>37</v>
      </c>
      <c r="N176" s="17" t="s">
        <v>523</v>
      </c>
      <c r="O176" s="17"/>
      <c r="P176" s="17" t="s">
        <v>524</v>
      </c>
      <c r="Q176" s="17"/>
      <c r="R176" s="17"/>
      <c r="S176" s="3" t="s">
        <v>40</v>
      </c>
      <c r="T176" s="17" t="s">
        <v>41</v>
      </c>
      <c r="U176" s="17"/>
      <c r="V176" s="4" t="s">
        <v>42</v>
      </c>
      <c r="W176" s="4" t="s">
        <v>61</v>
      </c>
      <c r="X176" s="4" t="s">
        <v>62</v>
      </c>
      <c r="Y176" s="17" t="s">
        <v>45</v>
      </c>
      <c r="Z176" s="17"/>
      <c r="AA176" s="4" t="s">
        <v>46</v>
      </c>
      <c r="AB176" s="4" t="s">
        <v>47</v>
      </c>
      <c r="AC176" s="4" t="s">
        <v>48</v>
      </c>
      <c r="AD176" s="4" t="s">
        <v>49</v>
      </c>
      <c r="AE176" s="4" t="s">
        <v>50</v>
      </c>
      <c r="AF176" s="4" t="s">
        <v>41</v>
      </c>
      <c r="AG176" s="4" t="s">
        <v>514</v>
      </c>
    </row>
    <row r="177" spans="1:33" ht="16.5" customHeight="1" x14ac:dyDescent="0.2">
      <c r="A177" s="2" t="s">
        <v>31</v>
      </c>
      <c r="B177" s="15" t="s">
        <v>32</v>
      </c>
      <c r="C177" s="15"/>
      <c r="D177" s="15"/>
      <c r="E177" s="16" t="s">
        <v>33</v>
      </c>
      <c r="F177" s="16"/>
      <c r="G177" s="17" t="s">
        <v>511</v>
      </c>
      <c r="H177" s="17"/>
      <c r="I177" s="17"/>
      <c r="J177" s="3" t="s">
        <v>35</v>
      </c>
      <c r="K177" s="4" t="s">
        <v>57</v>
      </c>
      <c r="L177" s="4" t="s">
        <v>37</v>
      </c>
      <c r="N177" s="17" t="s">
        <v>525</v>
      </c>
      <c r="O177" s="17"/>
      <c r="P177" s="17" t="s">
        <v>526</v>
      </c>
      <c r="Q177" s="17"/>
      <c r="R177" s="17"/>
      <c r="S177" s="3" t="s">
        <v>40</v>
      </c>
      <c r="T177" s="17" t="s">
        <v>41</v>
      </c>
      <c r="U177" s="17"/>
      <c r="V177" s="4" t="s">
        <v>42</v>
      </c>
      <c r="W177" s="4" t="s">
        <v>248</v>
      </c>
      <c r="X177" s="4" t="s">
        <v>249</v>
      </c>
      <c r="Y177" s="17" t="s">
        <v>63</v>
      </c>
      <c r="Z177" s="17"/>
      <c r="AA177" s="4" t="s">
        <v>46</v>
      </c>
      <c r="AB177" s="4" t="s">
        <v>47</v>
      </c>
      <c r="AC177" s="4" t="s">
        <v>64</v>
      </c>
      <c r="AD177" s="4" t="s">
        <v>164</v>
      </c>
      <c r="AE177" s="4" t="s">
        <v>50</v>
      </c>
      <c r="AF177" s="4" t="s">
        <v>41</v>
      </c>
      <c r="AG177" s="4" t="s">
        <v>514</v>
      </c>
    </row>
    <row r="178" spans="1:33" ht="16.5" customHeight="1" x14ac:dyDescent="0.2">
      <c r="A178" s="2" t="s">
        <v>31</v>
      </c>
      <c r="B178" s="15" t="s">
        <v>32</v>
      </c>
      <c r="C178" s="15"/>
      <c r="D178" s="15"/>
      <c r="E178" s="16" t="s">
        <v>33</v>
      </c>
      <c r="F178" s="16"/>
      <c r="G178" s="17" t="s">
        <v>511</v>
      </c>
      <c r="H178" s="17"/>
      <c r="I178" s="17"/>
      <c r="J178" s="3" t="s">
        <v>35</v>
      </c>
      <c r="K178" s="4" t="s">
        <v>329</v>
      </c>
      <c r="L178" s="4" t="s">
        <v>37</v>
      </c>
      <c r="N178" s="17" t="s">
        <v>527</v>
      </c>
      <c r="O178" s="17"/>
      <c r="P178" s="17" t="s">
        <v>528</v>
      </c>
      <c r="Q178" s="17"/>
      <c r="R178" s="17"/>
      <c r="S178" s="3" t="s">
        <v>40</v>
      </c>
      <c r="T178" s="17" t="s">
        <v>41</v>
      </c>
      <c r="U178" s="17"/>
      <c r="V178" s="4" t="s">
        <v>248</v>
      </c>
      <c r="W178" s="4" t="s">
        <v>240</v>
      </c>
      <c r="X178" s="4" t="s">
        <v>221</v>
      </c>
      <c r="Y178" s="17" t="s">
        <v>63</v>
      </c>
      <c r="Z178" s="17"/>
      <c r="AA178" s="4" t="s">
        <v>46</v>
      </c>
      <c r="AB178" s="4" t="s">
        <v>47</v>
      </c>
      <c r="AC178" s="4" t="s">
        <v>64</v>
      </c>
      <c r="AD178" s="4" t="s">
        <v>164</v>
      </c>
      <c r="AE178" s="4" t="s">
        <v>50</v>
      </c>
      <c r="AF178" s="4" t="s">
        <v>41</v>
      </c>
      <c r="AG178" s="4" t="s">
        <v>514</v>
      </c>
    </row>
    <row r="179" spans="1:33" ht="16.5" customHeight="1" x14ac:dyDescent="0.2">
      <c r="A179" s="2" t="s">
        <v>31</v>
      </c>
      <c r="B179" s="15" t="s">
        <v>32</v>
      </c>
      <c r="C179" s="15"/>
      <c r="D179" s="15"/>
      <c r="E179" s="16" t="s">
        <v>33</v>
      </c>
      <c r="F179" s="16"/>
      <c r="G179" s="17" t="s">
        <v>511</v>
      </c>
      <c r="H179" s="17"/>
      <c r="I179" s="17"/>
      <c r="J179" s="3" t="s">
        <v>35</v>
      </c>
      <c r="K179" s="4" t="s">
        <v>520</v>
      </c>
      <c r="L179" s="4" t="s">
        <v>58</v>
      </c>
      <c r="N179" s="17" t="s">
        <v>529</v>
      </c>
      <c r="O179" s="17"/>
      <c r="P179" s="17" t="s">
        <v>530</v>
      </c>
      <c r="Q179" s="17"/>
      <c r="R179" s="17"/>
      <c r="S179" s="3" t="s">
        <v>40</v>
      </c>
      <c r="T179" s="17" t="s">
        <v>41</v>
      </c>
      <c r="U179" s="17"/>
      <c r="V179" s="4" t="s">
        <v>42</v>
      </c>
      <c r="W179" s="4" t="s">
        <v>244</v>
      </c>
      <c r="X179" s="4" t="s">
        <v>245</v>
      </c>
      <c r="Y179" s="17" t="s">
        <v>45</v>
      </c>
      <c r="Z179" s="17"/>
      <c r="AA179" s="4" t="s">
        <v>46</v>
      </c>
      <c r="AB179" s="4" t="s">
        <v>47</v>
      </c>
      <c r="AC179" s="4" t="s">
        <v>48</v>
      </c>
      <c r="AD179" s="4" t="s">
        <v>137</v>
      </c>
      <c r="AE179" s="4" t="s">
        <v>50</v>
      </c>
      <c r="AF179" s="4" t="s">
        <v>41</v>
      </c>
      <c r="AG179" s="4" t="s">
        <v>514</v>
      </c>
    </row>
    <row r="180" spans="1:33" ht="16.5" customHeight="1" x14ac:dyDescent="0.2">
      <c r="A180" s="2" t="s">
        <v>31</v>
      </c>
      <c r="B180" s="15" t="s">
        <v>32</v>
      </c>
      <c r="C180" s="15"/>
      <c r="D180" s="15"/>
      <c r="E180" s="16" t="s">
        <v>33</v>
      </c>
      <c r="F180" s="16"/>
      <c r="G180" s="17" t="s">
        <v>511</v>
      </c>
      <c r="H180" s="17"/>
      <c r="I180" s="17"/>
      <c r="J180" s="3" t="s">
        <v>35</v>
      </c>
      <c r="K180" s="4" t="s">
        <v>179</v>
      </c>
      <c r="L180" s="4" t="s">
        <v>37</v>
      </c>
      <c r="N180" s="17" t="s">
        <v>531</v>
      </c>
      <c r="O180" s="17"/>
      <c r="P180" s="17" t="s">
        <v>532</v>
      </c>
      <c r="Q180" s="17"/>
      <c r="R180" s="17"/>
      <c r="S180" s="3" t="s">
        <v>40</v>
      </c>
      <c r="T180" s="17" t="s">
        <v>41</v>
      </c>
      <c r="U180" s="17"/>
      <c r="V180" s="4" t="s">
        <v>42</v>
      </c>
      <c r="W180" s="4" t="s">
        <v>244</v>
      </c>
      <c r="X180" s="4" t="s">
        <v>245</v>
      </c>
      <c r="Y180" s="17" t="s">
        <v>63</v>
      </c>
      <c r="Z180" s="17"/>
      <c r="AA180" s="4" t="s">
        <v>46</v>
      </c>
      <c r="AB180" s="4" t="s">
        <v>47</v>
      </c>
      <c r="AC180" s="4" t="s">
        <v>64</v>
      </c>
      <c r="AD180" s="4" t="s">
        <v>164</v>
      </c>
      <c r="AE180" s="4" t="s">
        <v>50</v>
      </c>
      <c r="AF180" s="4" t="s">
        <v>41</v>
      </c>
      <c r="AG180" s="4" t="s">
        <v>514</v>
      </c>
    </row>
    <row r="181" spans="1:33" ht="16.5" customHeight="1" x14ac:dyDescent="0.2">
      <c r="A181" s="2" t="s">
        <v>31</v>
      </c>
      <c r="B181" s="15" t="s">
        <v>32</v>
      </c>
      <c r="C181" s="15"/>
      <c r="D181" s="15"/>
      <c r="E181" s="16" t="s">
        <v>33</v>
      </c>
      <c r="F181" s="16"/>
      <c r="G181" s="17" t="s">
        <v>533</v>
      </c>
      <c r="H181" s="17"/>
      <c r="I181" s="17"/>
      <c r="J181" s="3" t="s">
        <v>35</v>
      </c>
      <c r="K181" s="4" t="s">
        <v>179</v>
      </c>
      <c r="L181" s="4" t="s">
        <v>37</v>
      </c>
      <c r="N181" s="17" t="s">
        <v>534</v>
      </c>
      <c r="O181" s="17"/>
      <c r="P181" s="17" t="s">
        <v>535</v>
      </c>
      <c r="Q181" s="17"/>
      <c r="R181" s="17"/>
      <c r="S181" s="3" t="s">
        <v>40</v>
      </c>
      <c r="T181" s="17" t="s">
        <v>41</v>
      </c>
      <c r="U181" s="17"/>
      <c r="V181" s="4" t="s">
        <v>42</v>
      </c>
      <c r="W181" s="4" t="s">
        <v>384</v>
      </c>
      <c r="X181" s="4" t="s">
        <v>385</v>
      </c>
      <c r="Y181" s="17" t="s">
        <v>63</v>
      </c>
      <c r="Z181" s="17"/>
      <c r="AA181" s="4" t="s">
        <v>46</v>
      </c>
      <c r="AB181" s="4" t="s">
        <v>47</v>
      </c>
      <c r="AC181" s="4" t="s">
        <v>64</v>
      </c>
      <c r="AD181" s="4" t="s">
        <v>164</v>
      </c>
      <c r="AE181" s="4" t="s">
        <v>50</v>
      </c>
      <c r="AF181" s="4" t="s">
        <v>41</v>
      </c>
      <c r="AG181" s="4" t="s">
        <v>536</v>
      </c>
    </row>
    <row r="182" spans="1:33" ht="16.5" customHeight="1" x14ac:dyDescent="0.2">
      <c r="A182" s="2" t="s">
        <v>31</v>
      </c>
      <c r="B182" s="15" t="s">
        <v>32</v>
      </c>
      <c r="C182" s="15"/>
      <c r="D182" s="15"/>
      <c r="E182" s="16" t="s">
        <v>33</v>
      </c>
      <c r="F182" s="16"/>
      <c r="G182" s="17" t="s">
        <v>533</v>
      </c>
      <c r="H182" s="17"/>
      <c r="I182" s="17"/>
      <c r="J182" s="3" t="s">
        <v>35</v>
      </c>
      <c r="K182" s="4" t="s">
        <v>329</v>
      </c>
      <c r="L182" s="4" t="s">
        <v>58</v>
      </c>
      <c r="N182" s="17" t="s">
        <v>537</v>
      </c>
      <c r="O182" s="17"/>
      <c r="P182" s="17" t="s">
        <v>538</v>
      </c>
      <c r="Q182" s="17"/>
      <c r="R182" s="17"/>
      <c r="S182" s="3" t="s">
        <v>40</v>
      </c>
      <c r="T182" s="17" t="s">
        <v>41</v>
      </c>
      <c r="U182" s="17"/>
      <c r="V182" s="4" t="s">
        <v>42</v>
      </c>
      <c r="W182" s="4" t="s">
        <v>69</v>
      </c>
      <c r="X182" s="4" t="s">
        <v>70</v>
      </c>
      <c r="Y182" s="17" t="s">
        <v>63</v>
      </c>
      <c r="Z182" s="17"/>
      <c r="AA182" s="4" t="s">
        <v>46</v>
      </c>
      <c r="AB182" s="4" t="s">
        <v>47</v>
      </c>
      <c r="AC182" s="4" t="s">
        <v>64</v>
      </c>
      <c r="AD182" s="4" t="s">
        <v>65</v>
      </c>
      <c r="AE182" s="4" t="s">
        <v>50</v>
      </c>
      <c r="AF182" s="4" t="s">
        <v>41</v>
      </c>
      <c r="AG182" s="4" t="s">
        <v>536</v>
      </c>
    </row>
    <row r="183" spans="1:33" ht="16.5" customHeight="1" x14ac:dyDescent="0.2">
      <c r="A183" s="2" t="s">
        <v>31</v>
      </c>
      <c r="B183" s="15" t="s">
        <v>32</v>
      </c>
      <c r="C183" s="15"/>
      <c r="D183" s="15"/>
      <c r="E183" s="16" t="s">
        <v>33</v>
      </c>
      <c r="F183" s="16"/>
      <c r="G183" s="17" t="s">
        <v>539</v>
      </c>
      <c r="H183" s="17"/>
      <c r="I183" s="17"/>
      <c r="J183" s="3" t="s">
        <v>35</v>
      </c>
      <c r="K183" s="4" t="s">
        <v>179</v>
      </c>
      <c r="L183" s="4" t="s">
        <v>77</v>
      </c>
      <c r="N183" s="17" t="s">
        <v>540</v>
      </c>
      <c r="O183" s="17"/>
      <c r="P183" s="17" t="s">
        <v>541</v>
      </c>
      <c r="Q183" s="17"/>
      <c r="R183" s="17"/>
      <c r="S183" s="3" t="s">
        <v>40</v>
      </c>
      <c r="T183" s="17" t="s">
        <v>41</v>
      </c>
      <c r="U183" s="17"/>
      <c r="V183" s="4" t="s">
        <v>42</v>
      </c>
      <c r="W183" s="4" t="s">
        <v>224</v>
      </c>
      <c r="X183" s="4" t="s">
        <v>225</v>
      </c>
      <c r="Y183" s="17" t="s">
        <v>63</v>
      </c>
      <c r="Z183" s="17"/>
      <c r="AA183" s="4" t="s">
        <v>46</v>
      </c>
      <c r="AB183" s="4" t="s">
        <v>47</v>
      </c>
      <c r="AC183" s="4" t="s">
        <v>64</v>
      </c>
      <c r="AD183" s="4" t="s">
        <v>419</v>
      </c>
      <c r="AE183" s="4" t="s">
        <v>50</v>
      </c>
      <c r="AF183" s="4" t="s">
        <v>41</v>
      </c>
      <c r="AG183" s="4" t="s">
        <v>542</v>
      </c>
    </row>
    <row r="184" spans="1:33" ht="16.5" customHeight="1" x14ac:dyDescent="0.2">
      <c r="A184" s="2" t="s">
        <v>31</v>
      </c>
      <c r="B184" s="15" t="s">
        <v>32</v>
      </c>
      <c r="C184" s="15"/>
      <c r="D184" s="15"/>
      <c r="E184" s="16" t="s">
        <v>33</v>
      </c>
      <c r="F184" s="16"/>
      <c r="G184" s="17" t="s">
        <v>543</v>
      </c>
      <c r="H184" s="17"/>
      <c r="I184" s="17"/>
      <c r="J184" s="3" t="s">
        <v>35</v>
      </c>
      <c r="K184" s="4" t="s">
        <v>213</v>
      </c>
      <c r="L184" s="4" t="s">
        <v>77</v>
      </c>
      <c r="N184" s="17" t="s">
        <v>544</v>
      </c>
      <c r="O184" s="17"/>
      <c r="P184" s="17" t="s">
        <v>545</v>
      </c>
      <c r="Q184" s="17"/>
      <c r="R184" s="17"/>
      <c r="S184" s="3" t="s">
        <v>40</v>
      </c>
      <c r="T184" s="17" t="s">
        <v>41</v>
      </c>
      <c r="U184" s="17"/>
      <c r="V184" s="4" t="s">
        <v>42</v>
      </c>
      <c r="W184" s="4" t="s">
        <v>201</v>
      </c>
      <c r="X184" s="4" t="s">
        <v>266</v>
      </c>
      <c r="Y184" s="17" t="s">
        <v>45</v>
      </c>
      <c r="Z184" s="17"/>
      <c r="AA184" s="4" t="s">
        <v>46</v>
      </c>
      <c r="AB184" s="4" t="s">
        <v>47</v>
      </c>
      <c r="AC184" s="4" t="s">
        <v>48</v>
      </c>
      <c r="AD184" s="4" t="s">
        <v>82</v>
      </c>
      <c r="AE184" s="4" t="s">
        <v>50</v>
      </c>
      <c r="AF184" s="4" t="s">
        <v>41</v>
      </c>
      <c r="AG184" s="4" t="s">
        <v>546</v>
      </c>
    </row>
    <row r="185" spans="1:33" ht="16.5" customHeight="1" x14ac:dyDescent="0.2">
      <c r="A185" s="2" t="s">
        <v>31</v>
      </c>
      <c r="B185" s="15" t="s">
        <v>32</v>
      </c>
      <c r="C185" s="15"/>
      <c r="D185" s="15"/>
      <c r="E185" s="16" t="s">
        <v>33</v>
      </c>
      <c r="F185" s="16"/>
      <c r="G185" s="17" t="s">
        <v>543</v>
      </c>
      <c r="H185" s="17"/>
      <c r="I185" s="17"/>
      <c r="J185" s="3" t="s">
        <v>35</v>
      </c>
      <c r="K185" s="4" t="s">
        <v>237</v>
      </c>
      <c r="L185" s="4" t="s">
        <v>37</v>
      </c>
      <c r="N185" s="17" t="s">
        <v>547</v>
      </c>
      <c r="O185" s="17"/>
      <c r="P185" s="17" t="s">
        <v>548</v>
      </c>
      <c r="Q185" s="17"/>
      <c r="R185" s="17"/>
      <c r="S185" s="3" t="s">
        <v>40</v>
      </c>
      <c r="T185" s="17" t="s">
        <v>41</v>
      </c>
      <c r="U185" s="17"/>
      <c r="V185" s="4" t="s">
        <v>42</v>
      </c>
      <c r="W185" s="4" t="s">
        <v>240</v>
      </c>
      <c r="X185" s="4" t="s">
        <v>241</v>
      </c>
      <c r="Y185" s="17" t="s">
        <v>63</v>
      </c>
      <c r="Z185" s="17"/>
      <c r="AA185" s="4" t="s">
        <v>46</v>
      </c>
      <c r="AB185" s="4" t="s">
        <v>47</v>
      </c>
      <c r="AC185" s="4" t="s">
        <v>64</v>
      </c>
      <c r="AD185" s="4" t="s">
        <v>164</v>
      </c>
      <c r="AE185" s="4" t="s">
        <v>50</v>
      </c>
      <c r="AF185" s="4" t="s">
        <v>41</v>
      </c>
      <c r="AG185" s="4" t="s">
        <v>546</v>
      </c>
    </row>
    <row r="186" spans="1:33" ht="16.5" customHeight="1" x14ac:dyDescent="0.2">
      <c r="A186" s="2" t="s">
        <v>31</v>
      </c>
      <c r="B186" s="15" t="s">
        <v>32</v>
      </c>
      <c r="C186" s="15"/>
      <c r="D186" s="15"/>
      <c r="E186" s="16" t="s">
        <v>33</v>
      </c>
      <c r="F186" s="16"/>
      <c r="G186" s="17" t="s">
        <v>543</v>
      </c>
      <c r="H186" s="17"/>
      <c r="I186" s="17"/>
      <c r="J186" s="3" t="s">
        <v>35</v>
      </c>
      <c r="K186" s="4" t="s">
        <v>237</v>
      </c>
      <c r="L186" s="4" t="s">
        <v>37</v>
      </c>
      <c r="N186" s="17" t="s">
        <v>549</v>
      </c>
      <c r="O186" s="17"/>
      <c r="P186" s="17" t="s">
        <v>550</v>
      </c>
      <c r="Q186" s="17"/>
      <c r="R186" s="17"/>
      <c r="S186" s="3" t="s">
        <v>40</v>
      </c>
      <c r="T186" s="17" t="s">
        <v>41</v>
      </c>
      <c r="U186" s="17"/>
      <c r="V186" s="4" t="s">
        <v>248</v>
      </c>
      <c r="W186" s="4" t="s">
        <v>384</v>
      </c>
      <c r="X186" s="4" t="s">
        <v>249</v>
      </c>
      <c r="Y186" s="17" t="s">
        <v>63</v>
      </c>
      <c r="Z186" s="17"/>
      <c r="AA186" s="4" t="s">
        <v>46</v>
      </c>
      <c r="AB186" s="4" t="s">
        <v>47</v>
      </c>
      <c r="AC186" s="4" t="s">
        <v>64</v>
      </c>
      <c r="AD186" s="4" t="s">
        <v>164</v>
      </c>
      <c r="AE186" s="4" t="s">
        <v>50</v>
      </c>
      <c r="AF186" s="4" t="s">
        <v>41</v>
      </c>
      <c r="AG186" s="4" t="s">
        <v>546</v>
      </c>
    </row>
    <row r="187" spans="1:33" ht="16.5" customHeight="1" x14ac:dyDescent="0.2">
      <c r="A187" s="2" t="s">
        <v>31</v>
      </c>
      <c r="B187" s="15" t="s">
        <v>32</v>
      </c>
      <c r="C187" s="15"/>
      <c r="D187" s="15"/>
      <c r="E187" s="16" t="s">
        <v>33</v>
      </c>
      <c r="F187" s="16"/>
      <c r="G187" s="17" t="s">
        <v>551</v>
      </c>
      <c r="H187" s="17"/>
      <c r="I187" s="17"/>
      <c r="J187" s="3" t="s">
        <v>35</v>
      </c>
      <c r="K187" s="4" t="s">
        <v>36</v>
      </c>
      <c r="L187" s="4" t="s">
        <v>37</v>
      </c>
      <c r="N187" s="17" t="s">
        <v>552</v>
      </c>
      <c r="O187" s="17"/>
      <c r="P187" s="17" t="s">
        <v>553</v>
      </c>
      <c r="Q187" s="17"/>
      <c r="R187" s="17"/>
      <c r="S187" s="3" t="s">
        <v>40</v>
      </c>
      <c r="T187" s="17" t="s">
        <v>41</v>
      </c>
      <c r="U187" s="17"/>
      <c r="V187" s="4" t="s">
        <v>42</v>
      </c>
      <c r="W187" s="4" t="s">
        <v>554</v>
      </c>
      <c r="X187" s="4" t="s">
        <v>555</v>
      </c>
      <c r="Y187" s="17" t="s">
        <v>45</v>
      </c>
      <c r="Z187" s="17"/>
      <c r="AA187" s="4" t="s">
        <v>46</v>
      </c>
      <c r="AB187" s="4" t="s">
        <v>47</v>
      </c>
      <c r="AC187" s="4" t="s">
        <v>48</v>
      </c>
      <c r="AD187" s="4" t="s">
        <v>49</v>
      </c>
      <c r="AE187" s="4" t="s">
        <v>50</v>
      </c>
      <c r="AF187" s="4" t="s">
        <v>41</v>
      </c>
      <c r="AG187" s="4" t="s">
        <v>556</v>
      </c>
    </row>
    <row r="188" spans="1:33" ht="16.5" customHeight="1" x14ac:dyDescent="0.2">
      <c r="A188" s="2" t="s">
        <v>31</v>
      </c>
      <c r="B188" s="15" t="s">
        <v>32</v>
      </c>
      <c r="C188" s="15"/>
      <c r="D188" s="15"/>
      <c r="E188" s="16" t="s">
        <v>33</v>
      </c>
      <c r="F188" s="16"/>
      <c r="G188" s="17" t="s">
        <v>557</v>
      </c>
      <c r="H188" s="17"/>
      <c r="I188" s="17"/>
      <c r="J188" s="3" t="s">
        <v>35</v>
      </c>
      <c r="K188" s="4" t="s">
        <v>102</v>
      </c>
      <c r="L188" s="4" t="s">
        <v>58</v>
      </c>
      <c r="N188" s="17" t="s">
        <v>558</v>
      </c>
      <c r="O188" s="17"/>
      <c r="P188" s="17" t="s">
        <v>559</v>
      </c>
      <c r="Q188" s="17"/>
      <c r="R188" s="17"/>
      <c r="S188" s="3" t="s">
        <v>40</v>
      </c>
      <c r="T188" s="17" t="s">
        <v>41</v>
      </c>
      <c r="U188" s="17"/>
      <c r="V188" s="4" t="s">
        <v>42</v>
      </c>
      <c r="W188" s="4" t="s">
        <v>89</v>
      </c>
      <c r="X188" s="4" t="s">
        <v>90</v>
      </c>
      <c r="Y188" s="17" t="s">
        <v>45</v>
      </c>
      <c r="Z188" s="17"/>
      <c r="AA188" s="4" t="s">
        <v>46</v>
      </c>
      <c r="AB188" s="4" t="s">
        <v>47</v>
      </c>
      <c r="AC188" s="4" t="s">
        <v>48</v>
      </c>
      <c r="AD188" s="4" t="s">
        <v>137</v>
      </c>
      <c r="AE188" s="4" t="s">
        <v>50</v>
      </c>
      <c r="AF188" s="4" t="s">
        <v>41</v>
      </c>
      <c r="AG188" s="4" t="s">
        <v>560</v>
      </c>
    </row>
    <row r="189" spans="1:33" ht="16.5" customHeight="1" x14ac:dyDescent="0.2">
      <c r="A189" s="2" t="s">
        <v>31</v>
      </c>
      <c r="B189" s="15" t="s">
        <v>32</v>
      </c>
      <c r="C189" s="15"/>
      <c r="D189" s="15"/>
      <c r="E189" s="16" t="s">
        <v>33</v>
      </c>
      <c r="F189" s="16"/>
      <c r="G189" s="17" t="s">
        <v>557</v>
      </c>
      <c r="H189" s="17"/>
      <c r="I189" s="17"/>
      <c r="J189" s="3" t="s">
        <v>35</v>
      </c>
      <c r="K189" s="4" t="s">
        <v>329</v>
      </c>
      <c r="L189" s="4" t="s">
        <v>58</v>
      </c>
      <c r="N189" s="17" t="s">
        <v>561</v>
      </c>
      <c r="O189" s="17"/>
      <c r="P189" s="17" t="s">
        <v>562</v>
      </c>
      <c r="Q189" s="17"/>
      <c r="R189" s="17"/>
      <c r="S189" s="3" t="s">
        <v>40</v>
      </c>
      <c r="T189" s="17" t="s">
        <v>41</v>
      </c>
      <c r="U189" s="17"/>
      <c r="V189" s="4" t="s">
        <v>42</v>
      </c>
      <c r="W189" s="4" t="s">
        <v>563</v>
      </c>
      <c r="X189" s="4" t="s">
        <v>272</v>
      </c>
      <c r="Y189" s="17" t="s">
        <v>63</v>
      </c>
      <c r="Z189" s="17"/>
      <c r="AA189" s="4" t="s">
        <v>46</v>
      </c>
      <c r="AB189" s="4" t="s">
        <v>47</v>
      </c>
      <c r="AC189" s="4" t="s">
        <v>64</v>
      </c>
      <c r="AD189" s="4" t="s">
        <v>65</v>
      </c>
      <c r="AE189" s="4" t="s">
        <v>50</v>
      </c>
      <c r="AF189" s="4" t="s">
        <v>41</v>
      </c>
      <c r="AG189" s="4" t="s">
        <v>560</v>
      </c>
    </row>
    <row r="190" spans="1:33" ht="16.5" customHeight="1" x14ac:dyDescent="0.2">
      <c r="A190" s="2" t="s">
        <v>31</v>
      </c>
      <c r="B190" s="15" t="s">
        <v>32</v>
      </c>
      <c r="C190" s="15"/>
      <c r="D190" s="15"/>
      <c r="E190" s="16" t="s">
        <v>33</v>
      </c>
      <c r="F190" s="16"/>
      <c r="G190" s="17" t="s">
        <v>564</v>
      </c>
      <c r="H190" s="17"/>
      <c r="I190" s="17"/>
      <c r="J190" s="3" t="s">
        <v>35</v>
      </c>
      <c r="K190" s="4" t="s">
        <v>329</v>
      </c>
      <c r="L190" s="4" t="s">
        <v>37</v>
      </c>
      <c r="N190" s="17" t="s">
        <v>565</v>
      </c>
      <c r="O190" s="17"/>
      <c r="P190" s="17" t="s">
        <v>566</v>
      </c>
      <c r="Q190" s="17"/>
      <c r="R190" s="17"/>
      <c r="S190" s="3" t="s">
        <v>40</v>
      </c>
      <c r="T190" s="17" t="s">
        <v>41</v>
      </c>
      <c r="U190" s="17"/>
      <c r="V190" s="4" t="s">
        <v>42</v>
      </c>
      <c r="W190" s="4" t="s">
        <v>69</v>
      </c>
      <c r="X190" s="4" t="s">
        <v>70</v>
      </c>
      <c r="Y190" s="17" t="s">
        <v>63</v>
      </c>
      <c r="Z190" s="17"/>
      <c r="AA190" s="4" t="s">
        <v>46</v>
      </c>
      <c r="AB190" s="4" t="s">
        <v>47</v>
      </c>
      <c r="AC190" s="4" t="s">
        <v>64</v>
      </c>
      <c r="AD190" s="4" t="s">
        <v>164</v>
      </c>
      <c r="AE190" s="4" t="s">
        <v>50</v>
      </c>
      <c r="AF190" s="4" t="s">
        <v>41</v>
      </c>
      <c r="AG190" s="4" t="s">
        <v>567</v>
      </c>
    </row>
    <row r="191" spans="1:33" ht="16.5" customHeight="1" x14ac:dyDescent="0.2">
      <c r="A191" s="2" t="s">
        <v>31</v>
      </c>
      <c r="B191" s="15" t="s">
        <v>32</v>
      </c>
      <c r="C191" s="15"/>
      <c r="D191" s="15"/>
      <c r="E191" s="16" t="s">
        <v>33</v>
      </c>
      <c r="F191" s="16"/>
      <c r="G191" s="17" t="s">
        <v>564</v>
      </c>
      <c r="H191" s="17"/>
      <c r="I191" s="17"/>
      <c r="J191" s="3" t="s">
        <v>35</v>
      </c>
      <c r="K191" s="4" t="s">
        <v>97</v>
      </c>
      <c r="L191" s="4" t="s">
        <v>77</v>
      </c>
      <c r="N191" s="17" t="s">
        <v>568</v>
      </c>
      <c r="O191" s="17"/>
      <c r="P191" s="17" t="s">
        <v>569</v>
      </c>
      <c r="Q191" s="17"/>
      <c r="R191" s="17"/>
      <c r="S191" s="3" t="s">
        <v>40</v>
      </c>
      <c r="T191" s="17" t="s">
        <v>41</v>
      </c>
      <c r="U191" s="17"/>
      <c r="V191" s="4" t="s">
        <v>42</v>
      </c>
      <c r="W191" s="4" t="s">
        <v>69</v>
      </c>
      <c r="X191" s="4" t="s">
        <v>70</v>
      </c>
      <c r="Y191" s="17" t="s">
        <v>45</v>
      </c>
      <c r="Z191" s="17"/>
      <c r="AA191" s="4" t="s">
        <v>46</v>
      </c>
      <c r="AB191" s="4" t="s">
        <v>47</v>
      </c>
      <c r="AC191" s="4" t="s">
        <v>48</v>
      </c>
      <c r="AD191" s="4" t="s">
        <v>82</v>
      </c>
      <c r="AE191" s="4" t="s">
        <v>50</v>
      </c>
      <c r="AF191" s="4" t="s">
        <v>41</v>
      </c>
      <c r="AG191" s="4" t="s">
        <v>567</v>
      </c>
    </row>
    <row r="192" spans="1:33" ht="16.5" customHeight="1" x14ac:dyDescent="0.2">
      <c r="A192" s="2" t="s">
        <v>31</v>
      </c>
      <c r="B192" s="15" t="s">
        <v>32</v>
      </c>
      <c r="C192" s="15"/>
      <c r="D192" s="15"/>
      <c r="E192" s="16" t="s">
        <v>33</v>
      </c>
      <c r="F192" s="16"/>
      <c r="G192" s="17" t="s">
        <v>564</v>
      </c>
      <c r="H192" s="17"/>
      <c r="I192" s="17"/>
      <c r="J192" s="3" t="s">
        <v>35</v>
      </c>
      <c r="K192" s="4" t="s">
        <v>329</v>
      </c>
      <c r="L192" s="4" t="s">
        <v>37</v>
      </c>
      <c r="N192" s="17" t="s">
        <v>570</v>
      </c>
      <c r="O192" s="17"/>
      <c r="P192" s="17" t="s">
        <v>571</v>
      </c>
      <c r="Q192" s="17"/>
      <c r="R192" s="17"/>
      <c r="S192" s="3" t="s">
        <v>40</v>
      </c>
      <c r="T192" s="17" t="s">
        <v>41</v>
      </c>
      <c r="U192" s="17"/>
      <c r="V192" s="4" t="s">
        <v>42</v>
      </c>
      <c r="W192" s="4" t="s">
        <v>69</v>
      </c>
      <c r="X192" s="4" t="s">
        <v>70</v>
      </c>
      <c r="Y192" s="17" t="s">
        <v>63</v>
      </c>
      <c r="Z192" s="17"/>
      <c r="AA192" s="4" t="s">
        <v>46</v>
      </c>
      <c r="AB192" s="4" t="s">
        <v>47</v>
      </c>
      <c r="AC192" s="4" t="s">
        <v>64</v>
      </c>
      <c r="AD192" s="4" t="s">
        <v>164</v>
      </c>
      <c r="AE192" s="4" t="s">
        <v>50</v>
      </c>
      <c r="AF192" s="4" t="s">
        <v>41</v>
      </c>
      <c r="AG192" s="4" t="s">
        <v>567</v>
      </c>
    </row>
    <row r="193" spans="1:33" ht="16.5" customHeight="1" x14ac:dyDescent="0.2">
      <c r="A193" s="2" t="s">
        <v>31</v>
      </c>
      <c r="B193" s="15" t="s">
        <v>32</v>
      </c>
      <c r="C193" s="15"/>
      <c r="D193" s="15"/>
      <c r="E193" s="16" t="s">
        <v>33</v>
      </c>
      <c r="F193" s="16"/>
      <c r="G193" s="17" t="s">
        <v>564</v>
      </c>
      <c r="H193" s="17"/>
      <c r="I193" s="17"/>
      <c r="J193" s="3" t="s">
        <v>35</v>
      </c>
      <c r="K193" s="4" t="s">
        <v>66</v>
      </c>
      <c r="L193" s="4" t="s">
        <v>77</v>
      </c>
      <c r="N193" s="17" t="s">
        <v>572</v>
      </c>
      <c r="O193" s="17"/>
      <c r="P193" s="17" t="s">
        <v>573</v>
      </c>
      <c r="Q193" s="17"/>
      <c r="R193" s="17"/>
      <c r="S193" s="3" t="s">
        <v>40</v>
      </c>
      <c r="T193" s="17" t="s">
        <v>41</v>
      </c>
      <c r="U193" s="17"/>
      <c r="V193" s="4" t="s">
        <v>248</v>
      </c>
      <c r="W193" s="4" t="s">
        <v>43</v>
      </c>
      <c r="X193" s="4" t="s">
        <v>225</v>
      </c>
      <c r="Y193" s="17" t="s">
        <v>45</v>
      </c>
      <c r="Z193" s="17"/>
      <c r="AA193" s="4" t="s">
        <v>46</v>
      </c>
      <c r="AB193" s="4" t="s">
        <v>47</v>
      </c>
      <c r="AC193" s="4" t="s">
        <v>48</v>
      </c>
      <c r="AD193" s="4" t="s">
        <v>82</v>
      </c>
      <c r="AE193" s="4" t="s">
        <v>50</v>
      </c>
      <c r="AF193" s="4" t="s">
        <v>41</v>
      </c>
      <c r="AG193" s="4" t="s">
        <v>567</v>
      </c>
    </row>
    <row r="194" spans="1:33" ht="16.5" customHeight="1" x14ac:dyDescent="0.2">
      <c r="A194" s="2" t="s">
        <v>31</v>
      </c>
      <c r="B194" s="15" t="s">
        <v>32</v>
      </c>
      <c r="C194" s="15"/>
      <c r="D194" s="15"/>
      <c r="E194" s="16" t="s">
        <v>33</v>
      </c>
      <c r="F194" s="16"/>
      <c r="G194" s="17" t="s">
        <v>564</v>
      </c>
      <c r="H194" s="17"/>
      <c r="I194" s="17"/>
      <c r="J194" s="3" t="s">
        <v>35</v>
      </c>
      <c r="K194" s="4" t="s">
        <v>66</v>
      </c>
      <c r="L194" s="4" t="s">
        <v>77</v>
      </c>
      <c r="N194" s="17" t="s">
        <v>572</v>
      </c>
      <c r="O194" s="17"/>
      <c r="P194" s="17" t="s">
        <v>573</v>
      </c>
      <c r="Q194" s="17"/>
      <c r="R194" s="17"/>
      <c r="S194" s="3" t="s">
        <v>40</v>
      </c>
      <c r="T194" s="17" t="s">
        <v>41</v>
      </c>
      <c r="U194" s="17"/>
      <c r="V194" s="4" t="s">
        <v>384</v>
      </c>
      <c r="W194" s="4" t="s">
        <v>43</v>
      </c>
      <c r="X194" s="4" t="s">
        <v>245</v>
      </c>
      <c r="Y194" s="17" t="s">
        <v>45</v>
      </c>
      <c r="Z194" s="17"/>
      <c r="AA194" s="4" t="s">
        <v>46</v>
      </c>
      <c r="AB194" s="4" t="s">
        <v>47</v>
      </c>
      <c r="AC194" s="4" t="s">
        <v>48</v>
      </c>
      <c r="AD194" s="4" t="s">
        <v>82</v>
      </c>
      <c r="AE194" s="4" t="s">
        <v>50</v>
      </c>
      <c r="AF194" s="4" t="s">
        <v>41</v>
      </c>
      <c r="AG194" s="4" t="s">
        <v>567</v>
      </c>
    </row>
    <row r="195" spans="1:33" ht="16.5" customHeight="1" x14ac:dyDescent="0.2">
      <c r="A195" s="2" t="s">
        <v>31</v>
      </c>
      <c r="B195" s="15" t="s">
        <v>32</v>
      </c>
      <c r="C195" s="15"/>
      <c r="D195" s="15"/>
      <c r="E195" s="16" t="s">
        <v>33</v>
      </c>
      <c r="F195" s="16"/>
      <c r="G195" s="17" t="s">
        <v>564</v>
      </c>
      <c r="H195" s="17"/>
      <c r="I195" s="17"/>
      <c r="J195" s="3" t="s">
        <v>35</v>
      </c>
      <c r="K195" s="4" t="s">
        <v>66</v>
      </c>
      <c r="L195" s="4" t="s">
        <v>77</v>
      </c>
      <c r="N195" s="17" t="s">
        <v>572</v>
      </c>
      <c r="O195" s="17"/>
      <c r="P195" s="17" t="s">
        <v>573</v>
      </c>
      <c r="Q195" s="17"/>
      <c r="R195" s="17"/>
      <c r="S195" s="3" t="s">
        <v>40</v>
      </c>
      <c r="T195" s="17" t="s">
        <v>41</v>
      </c>
      <c r="U195" s="17"/>
      <c r="V195" s="4" t="s">
        <v>244</v>
      </c>
      <c r="W195" s="4" t="s">
        <v>43</v>
      </c>
      <c r="X195" s="4" t="s">
        <v>385</v>
      </c>
      <c r="Y195" s="17" t="s">
        <v>45</v>
      </c>
      <c r="Z195" s="17"/>
      <c r="AA195" s="4" t="s">
        <v>46</v>
      </c>
      <c r="AB195" s="4" t="s">
        <v>47</v>
      </c>
      <c r="AC195" s="4" t="s">
        <v>48</v>
      </c>
      <c r="AD195" s="4" t="s">
        <v>82</v>
      </c>
      <c r="AE195" s="4" t="s">
        <v>50</v>
      </c>
      <c r="AF195" s="4" t="s">
        <v>41</v>
      </c>
      <c r="AG195" s="4" t="s">
        <v>567</v>
      </c>
    </row>
    <row r="196" spans="1:33" ht="16.5" customHeight="1" x14ac:dyDescent="0.2">
      <c r="A196" s="2" t="s">
        <v>31</v>
      </c>
      <c r="B196" s="15" t="s">
        <v>32</v>
      </c>
      <c r="C196" s="15"/>
      <c r="D196" s="15"/>
      <c r="E196" s="16" t="s">
        <v>33</v>
      </c>
      <c r="F196" s="16"/>
      <c r="G196" s="17" t="s">
        <v>574</v>
      </c>
      <c r="H196" s="17"/>
      <c r="I196" s="17"/>
      <c r="J196" s="3" t="s">
        <v>35</v>
      </c>
      <c r="K196" s="4" t="s">
        <v>138</v>
      </c>
      <c r="L196" s="4" t="s">
        <v>37</v>
      </c>
      <c r="N196" s="17" t="s">
        <v>575</v>
      </c>
      <c r="O196" s="17"/>
      <c r="P196" s="17" t="s">
        <v>576</v>
      </c>
      <c r="Q196" s="17"/>
      <c r="R196" s="17"/>
      <c r="S196" s="3" t="s">
        <v>40</v>
      </c>
      <c r="T196" s="17" t="s">
        <v>41</v>
      </c>
      <c r="U196" s="17"/>
      <c r="V196" s="4" t="s">
        <v>42</v>
      </c>
      <c r="W196" s="4" t="s">
        <v>43</v>
      </c>
      <c r="X196" s="4" t="s">
        <v>44</v>
      </c>
      <c r="Y196" s="17" t="s">
        <v>45</v>
      </c>
      <c r="Z196" s="17"/>
      <c r="AA196" s="4" t="s">
        <v>46</v>
      </c>
      <c r="AB196" s="4" t="s">
        <v>47</v>
      </c>
      <c r="AC196" s="4" t="s">
        <v>48</v>
      </c>
      <c r="AD196" s="4" t="s">
        <v>49</v>
      </c>
      <c r="AE196" s="4" t="s">
        <v>50</v>
      </c>
      <c r="AF196" s="4" t="s">
        <v>41</v>
      </c>
      <c r="AG196" s="4" t="s">
        <v>577</v>
      </c>
    </row>
    <row r="197" spans="1:33" ht="16.5" customHeight="1" x14ac:dyDescent="0.2">
      <c r="A197" s="2" t="s">
        <v>31</v>
      </c>
      <c r="B197" s="15" t="s">
        <v>32</v>
      </c>
      <c r="C197" s="15"/>
      <c r="D197" s="15"/>
      <c r="E197" s="16" t="s">
        <v>33</v>
      </c>
      <c r="F197" s="16"/>
      <c r="G197" s="17" t="s">
        <v>574</v>
      </c>
      <c r="H197" s="17"/>
      <c r="I197" s="17"/>
      <c r="J197" s="3" t="s">
        <v>35</v>
      </c>
      <c r="K197" s="4" t="s">
        <v>179</v>
      </c>
      <c r="L197" s="4" t="s">
        <v>37</v>
      </c>
      <c r="N197" s="17" t="s">
        <v>578</v>
      </c>
      <c r="O197" s="17"/>
      <c r="P197" s="17" t="s">
        <v>579</v>
      </c>
      <c r="Q197" s="17"/>
      <c r="R197" s="17"/>
      <c r="S197" s="3" t="s">
        <v>40</v>
      </c>
      <c r="T197" s="17" t="s">
        <v>41</v>
      </c>
      <c r="U197" s="17"/>
      <c r="V197" s="4" t="s">
        <v>42</v>
      </c>
      <c r="W197" s="4" t="s">
        <v>224</v>
      </c>
      <c r="X197" s="4" t="s">
        <v>225</v>
      </c>
      <c r="Y197" s="17" t="s">
        <v>63</v>
      </c>
      <c r="Z197" s="17"/>
      <c r="AA197" s="4" t="s">
        <v>46</v>
      </c>
      <c r="AB197" s="4" t="s">
        <v>47</v>
      </c>
      <c r="AC197" s="4" t="s">
        <v>64</v>
      </c>
      <c r="AD197" s="4" t="s">
        <v>164</v>
      </c>
      <c r="AE197" s="4" t="s">
        <v>50</v>
      </c>
      <c r="AF197" s="4" t="s">
        <v>41</v>
      </c>
      <c r="AG197" s="4" t="s">
        <v>577</v>
      </c>
    </row>
    <row r="198" spans="1:33" ht="16.5" customHeight="1" x14ac:dyDescent="0.2">
      <c r="A198" s="2" t="s">
        <v>31</v>
      </c>
      <c r="B198" s="15" t="s">
        <v>32</v>
      </c>
      <c r="C198" s="15"/>
      <c r="D198" s="15"/>
      <c r="E198" s="16" t="s">
        <v>33</v>
      </c>
      <c r="F198" s="16"/>
      <c r="G198" s="17" t="s">
        <v>580</v>
      </c>
      <c r="H198" s="17"/>
      <c r="I198" s="17"/>
      <c r="J198" s="3" t="s">
        <v>35</v>
      </c>
      <c r="K198" s="4" t="s">
        <v>36</v>
      </c>
      <c r="L198" s="4" t="s">
        <v>37</v>
      </c>
      <c r="N198" s="17" t="s">
        <v>581</v>
      </c>
      <c r="O198" s="17"/>
      <c r="P198" s="17" t="s">
        <v>582</v>
      </c>
      <c r="Q198" s="17"/>
      <c r="R198" s="17"/>
      <c r="S198" s="3" t="s">
        <v>40</v>
      </c>
      <c r="T198" s="17" t="s">
        <v>41</v>
      </c>
      <c r="U198" s="17"/>
      <c r="V198" s="4" t="s">
        <v>42</v>
      </c>
      <c r="W198" s="4" t="s">
        <v>224</v>
      </c>
      <c r="X198" s="4" t="s">
        <v>225</v>
      </c>
      <c r="Y198" s="17" t="s">
        <v>45</v>
      </c>
      <c r="Z198" s="17"/>
      <c r="AA198" s="4" t="s">
        <v>46</v>
      </c>
      <c r="AB198" s="4" t="s">
        <v>47</v>
      </c>
      <c r="AC198" s="4" t="s">
        <v>48</v>
      </c>
      <c r="AD198" s="4" t="s">
        <v>49</v>
      </c>
      <c r="AE198" s="4" t="s">
        <v>50</v>
      </c>
      <c r="AF198" s="4" t="s">
        <v>41</v>
      </c>
      <c r="AG198" s="4" t="s">
        <v>583</v>
      </c>
    </row>
    <row r="199" spans="1:33" ht="16.5" customHeight="1" x14ac:dyDescent="0.2">
      <c r="A199" s="2" t="s">
        <v>31</v>
      </c>
      <c r="B199" s="15" t="s">
        <v>32</v>
      </c>
      <c r="C199" s="15"/>
      <c r="D199" s="15"/>
      <c r="E199" s="16" t="s">
        <v>33</v>
      </c>
      <c r="F199" s="16"/>
      <c r="G199" s="17" t="s">
        <v>580</v>
      </c>
      <c r="H199" s="17"/>
      <c r="I199" s="17"/>
      <c r="J199" s="3" t="s">
        <v>35</v>
      </c>
      <c r="K199" s="4" t="s">
        <v>329</v>
      </c>
      <c r="L199" s="4" t="s">
        <v>37</v>
      </c>
      <c r="N199" s="17" t="s">
        <v>584</v>
      </c>
      <c r="O199" s="17"/>
      <c r="P199" s="17" t="s">
        <v>585</v>
      </c>
      <c r="Q199" s="17"/>
      <c r="R199" s="17"/>
      <c r="S199" s="3" t="s">
        <v>40</v>
      </c>
      <c r="T199" s="17" t="s">
        <v>41</v>
      </c>
      <c r="U199" s="17"/>
      <c r="V199" s="4" t="s">
        <v>42</v>
      </c>
      <c r="W199" s="4" t="s">
        <v>384</v>
      </c>
      <c r="X199" s="4" t="s">
        <v>385</v>
      </c>
      <c r="Y199" s="17" t="s">
        <v>63</v>
      </c>
      <c r="Z199" s="17"/>
      <c r="AA199" s="4" t="s">
        <v>46</v>
      </c>
      <c r="AB199" s="4" t="s">
        <v>47</v>
      </c>
      <c r="AC199" s="4" t="s">
        <v>64</v>
      </c>
      <c r="AD199" s="4" t="s">
        <v>164</v>
      </c>
      <c r="AE199" s="4" t="s">
        <v>50</v>
      </c>
      <c r="AF199" s="4" t="s">
        <v>41</v>
      </c>
      <c r="AG199" s="4" t="s">
        <v>583</v>
      </c>
    </row>
    <row r="200" spans="1:33" ht="16.5" customHeight="1" x14ac:dyDescent="0.2">
      <c r="A200" s="2" t="s">
        <v>31</v>
      </c>
      <c r="B200" s="15" t="s">
        <v>32</v>
      </c>
      <c r="C200" s="15"/>
      <c r="D200" s="15"/>
      <c r="E200" s="16" t="s">
        <v>33</v>
      </c>
      <c r="F200" s="16"/>
      <c r="G200" s="17" t="s">
        <v>580</v>
      </c>
      <c r="H200" s="17"/>
      <c r="I200" s="17"/>
      <c r="J200" s="3" t="s">
        <v>35</v>
      </c>
      <c r="K200" s="4" t="s">
        <v>314</v>
      </c>
      <c r="L200" s="4" t="s">
        <v>37</v>
      </c>
      <c r="N200" s="17" t="s">
        <v>586</v>
      </c>
      <c r="O200" s="17"/>
      <c r="P200" s="17" t="s">
        <v>587</v>
      </c>
      <c r="Q200" s="17"/>
      <c r="R200" s="17"/>
      <c r="S200" s="3" t="s">
        <v>40</v>
      </c>
      <c r="T200" s="17" t="s">
        <v>41</v>
      </c>
      <c r="U200" s="17"/>
      <c r="V200" s="4" t="s">
        <v>42</v>
      </c>
      <c r="W200" s="4" t="s">
        <v>224</v>
      </c>
      <c r="X200" s="4" t="s">
        <v>225</v>
      </c>
      <c r="Y200" s="17" t="s">
        <v>63</v>
      </c>
      <c r="Z200" s="17"/>
      <c r="AA200" s="4" t="s">
        <v>46</v>
      </c>
      <c r="AB200" s="4" t="s">
        <v>47</v>
      </c>
      <c r="AC200" s="4" t="s">
        <v>64</v>
      </c>
      <c r="AD200" s="4" t="s">
        <v>164</v>
      </c>
      <c r="AE200" s="4" t="s">
        <v>50</v>
      </c>
      <c r="AF200" s="4" t="s">
        <v>41</v>
      </c>
      <c r="AG200" s="4" t="s">
        <v>583</v>
      </c>
    </row>
    <row r="201" spans="1:33" ht="16.5" customHeight="1" x14ac:dyDescent="0.2">
      <c r="A201" s="2" t="s">
        <v>31</v>
      </c>
      <c r="B201" s="15" t="s">
        <v>32</v>
      </c>
      <c r="C201" s="15"/>
      <c r="D201" s="15"/>
      <c r="E201" s="16" t="s">
        <v>33</v>
      </c>
      <c r="F201" s="16"/>
      <c r="G201" s="17" t="s">
        <v>580</v>
      </c>
      <c r="H201" s="17"/>
      <c r="I201" s="17"/>
      <c r="J201" s="3" t="s">
        <v>35</v>
      </c>
      <c r="K201" s="4" t="s">
        <v>52</v>
      </c>
      <c r="L201" s="4" t="s">
        <v>37</v>
      </c>
      <c r="N201" s="17" t="s">
        <v>588</v>
      </c>
      <c r="O201" s="17"/>
      <c r="P201" s="17" t="s">
        <v>589</v>
      </c>
      <c r="Q201" s="17"/>
      <c r="R201" s="17"/>
      <c r="S201" s="3" t="s">
        <v>40</v>
      </c>
      <c r="T201" s="17" t="s">
        <v>41</v>
      </c>
      <c r="U201" s="17"/>
      <c r="V201" s="4" t="s">
        <v>42</v>
      </c>
      <c r="W201" s="4" t="s">
        <v>43</v>
      </c>
      <c r="X201" s="4" t="s">
        <v>44</v>
      </c>
      <c r="Y201" s="17" t="s">
        <v>45</v>
      </c>
      <c r="Z201" s="17"/>
      <c r="AA201" s="4" t="s">
        <v>46</v>
      </c>
      <c r="AB201" s="4" t="s">
        <v>47</v>
      </c>
      <c r="AC201" s="4" t="s">
        <v>48</v>
      </c>
      <c r="AD201" s="4" t="s">
        <v>49</v>
      </c>
      <c r="AE201" s="4" t="s">
        <v>50</v>
      </c>
      <c r="AF201" s="4" t="s">
        <v>41</v>
      </c>
      <c r="AG201" s="4" t="s">
        <v>583</v>
      </c>
    </row>
    <row r="202" spans="1:33" ht="16.5" customHeight="1" x14ac:dyDescent="0.2">
      <c r="A202" s="2" t="s">
        <v>31</v>
      </c>
      <c r="B202" s="15" t="s">
        <v>32</v>
      </c>
      <c r="C202" s="15"/>
      <c r="D202" s="15"/>
      <c r="E202" s="16" t="s">
        <v>33</v>
      </c>
      <c r="F202" s="16"/>
      <c r="G202" s="17" t="s">
        <v>580</v>
      </c>
      <c r="H202" s="17"/>
      <c r="I202" s="17"/>
      <c r="J202" s="3" t="s">
        <v>35</v>
      </c>
      <c r="K202" s="4" t="s">
        <v>97</v>
      </c>
      <c r="L202" s="4" t="s">
        <v>37</v>
      </c>
      <c r="N202" s="17" t="s">
        <v>590</v>
      </c>
      <c r="O202" s="17"/>
      <c r="P202" s="17" t="s">
        <v>591</v>
      </c>
      <c r="Q202" s="17"/>
      <c r="R202" s="17"/>
      <c r="S202" s="3" t="s">
        <v>40</v>
      </c>
      <c r="T202" s="17" t="s">
        <v>41</v>
      </c>
      <c r="U202" s="17"/>
      <c r="V202" s="4" t="s">
        <v>42</v>
      </c>
      <c r="W202" s="4" t="s">
        <v>224</v>
      </c>
      <c r="X202" s="4" t="s">
        <v>225</v>
      </c>
      <c r="Y202" s="17" t="s">
        <v>45</v>
      </c>
      <c r="Z202" s="17"/>
      <c r="AA202" s="4" t="s">
        <v>46</v>
      </c>
      <c r="AB202" s="4" t="s">
        <v>47</v>
      </c>
      <c r="AC202" s="4" t="s">
        <v>48</v>
      </c>
      <c r="AD202" s="4" t="s">
        <v>49</v>
      </c>
      <c r="AE202" s="4" t="s">
        <v>50</v>
      </c>
      <c r="AF202" s="4" t="s">
        <v>41</v>
      </c>
      <c r="AG202" s="4" t="s">
        <v>583</v>
      </c>
    </row>
    <row r="203" spans="1:33" ht="16.5" customHeight="1" x14ac:dyDescent="0.2">
      <c r="A203" s="2" t="s">
        <v>31</v>
      </c>
      <c r="B203" s="15" t="s">
        <v>32</v>
      </c>
      <c r="C203" s="15"/>
      <c r="D203" s="15"/>
      <c r="E203" s="16" t="s">
        <v>33</v>
      </c>
      <c r="F203" s="16"/>
      <c r="G203" s="17" t="s">
        <v>580</v>
      </c>
      <c r="H203" s="17"/>
      <c r="I203" s="17"/>
      <c r="J203" s="3" t="s">
        <v>35</v>
      </c>
      <c r="K203" s="4" t="s">
        <v>179</v>
      </c>
      <c r="L203" s="4" t="s">
        <v>37</v>
      </c>
      <c r="N203" s="17" t="s">
        <v>592</v>
      </c>
      <c r="O203" s="17"/>
      <c r="P203" s="17" t="s">
        <v>593</v>
      </c>
      <c r="Q203" s="17"/>
      <c r="R203" s="17"/>
      <c r="S203" s="3" t="s">
        <v>40</v>
      </c>
      <c r="T203" s="17" t="s">
        <v>41</v>
      </c>
      <c r="U203" s="17"/>
      <c r="V203" s="4" t="s">
        <v>42</v>
      </c>
      <c r="W203" s="4" t="s">
        <v>43</v>
      </c>
      <c r="X203" s="4" t="s">
        <v>44</v>
      </c>
      <c r="Y203" s="17" t="s">
        <v>63</v>
      </c>
      <c r="Z203" s="17"/>
      <c r="AA203" s="4" t="s">
        <v>46</v>
      </c>
      <c r="AB203" s="4" t="s">
        <v>47</v>
      </c>
      <c r="AC203" s="4" t="s">
        <v>64</v>
      </c>
      <c r="AD203" s="4" t="s">
        <v>164</v>
      </c>
      <c r="AE203" s="4" t="s">
        <v>50</v>
      </c>
      <c r="AF203" s="4" t="s">
        <v>41</v>
      </c>
      <c r="AG203" s="4" t="s">
        <v>583</v>
      </c>
    </row>
    <row r="204" spans="1:33" ht="16.5" customHeight="1" x14ac:dyDescent="0.2">
      <c r="A204" s="2" t="s">
        <v>31</v>
      </c>
      <c r="B204" s="15" t="s">
        <v>32</v>
      </c>
      <c r="C204" s="15"/>
      <c r="D204" s="15"/>
      <c r="E204" s="16" t="s">
        <v>33</v>
      </c>
      <c r="F204" s="16"/>
      <c r="G204" s="17" t="s">
        <v>580</v>
      </c>
      <c r="H204" s="17"/>
      <c r="I204" s="17"/>
      <c r="J204" s="3" t="s">
        <v>35</v>
      </c>
      <c r="K204" s="4" t="s">
        <v>179</v>
      </c>
      <c r="L204" s="4" t="s">
        <v>37</v>
      </c>
      <c r="N204" s="17" t="s">
        <v>594</v>
      </c>
      <c r="O204" s="17"/>
      <c r="P204" s="17" t="s">
        <v>595</v>
      </c>
      <c r="Q204" s="17"/>
      <c r="R204" s="17"/>
      <c r="S204" s="3" t="s">
        <v>40</v>
      </c>
      <c r="T204" s="17" t="s">
        <v>41</v>
      </c>
      <c r="U204" s="17"/>
      <c r="V204" s="4" t="s">
        <v>42</v>
      </c>
      <c r="W204" s="4" t="s">
        <v>43</v>
      </c>
      <c r="X204" s="4" t="s">
        <v>44</v>
      </c>
      <c r="Y204" s="17" t="s">
        <v>63</v>
      </c>
      <c r="Z204" s="17"/>
      <c r="AA204" s="4" t="s">
        <v>46</v>
      </c>
      <c r="AB204" s="4" t="s">
        <v>47</v>
      </c>
      <c r="AC204" s="4" t="s">
        <v>64</v>
      </c>
      <c r="AD204" s="4" t="s">
        <v>164</v>
      </c>
      <c r="AE204" s="4" t="s">
        <v>50</v>
      </c>
      <c r="AF204" s="4" t="s">
        <v>41</v>
      </c>
      <c r="AG204" s="4" t="s">
        <v>583</v>
      </c>
    </row>
    <row r="205" spans="1:33" ht="16.5" customHeight="1" x14ac:dyDescent="0.2">
      <c r="A205" s="2" t="s">
        <v>31</v>
      </c>
      <c r="B205" s="15" t="s">
        <v>32</v>
      </c>
      <c r="C205" s="15"/>
      <c r="D205" s="15"/>
      <c r="E205" s="16" t="s">
        <v>33</v>
      </c>
      <c r="F205" s="16"/>
      <c r="G205" s="17" t="s">
        <v>580</v>
      </c>
      <c r="H205" s="17"/>
      <c r="I205" s="17"/>
      <c r="J205" s="3" t="s">
        <v>35</v>
      </c>
      <c r="K205" s="4" t="s">
        <v>179</v>
      </c>
      <c r="L205" s="4" t="s">
        <v>37</v>
      </c>
      <c r="N205" s="17" t="s">
        <v>596</v>
      </c>
      <c r="O205" s="17"/>
      <c r="P205" s="17" t="s">
        <v>597</v>
      </c>
      <c r="Q205" s="17"/>
      <c r="R205" s="17"/>
      <c r="S205" s="3" t="s">
        <v>40</v>
      </c>
      <c r="T205" s="17" t="s">
        <v>41</v>
      </c>
      <c r="U205" s="17"/>
      <c r="V205" s="4" t="s">
        <v>42</v>
      </c>
      <c r="W205" s="4" t="s">
        <v>224</v>
      </c>
      <c r="X205" s="4" t="s">
        <v>225</v>
      </c>
      <c r="Y205" s="17" t="s">
        <v>63</v>
      </c>
      <c r="Z205" s="17"/>
      <c r="AA205" s="4" t="s">
        <v>46</v>
      </c>
      <c r="AB205" s="4" t="s">
        <v>47</v>
      </c>
      <c r="AC205" s="4" t="s">
        <v>64</v>
      </c>
      <c r="AD205" s="4" t="s">
        <v>164</v>
      </c>
      <c r="AE205" s="4" t="s">
        <v>50</v>
      </c>
      <c r="AF205" s="4" t="s">
        <v>41</v>
      </c>
      <c r="AG205" s="4" t="s">
        <v>583</v>
      </c>
    </row>
    <row r="206" spans="1:33" ht="16.5" customHeight="1" x14ac:dyDescent="0.2">
      <c r="A206" s="2" t="s">
        <v>31</v>
      </c>
      <c r="B206" s="15" t="s">
        <v>32</v>
      </c>
      <c r="C206" s="15"/>
      <c r="D206" s="15"/>
      <c r="E206" s="16" t="s">
        <v>33</v>
      </c>
      <c r="F206" s="16"/>
      <c r="G206" s="17" t="s">
        <v>580</v>
      </c>
      <c r="H206" s="17"/>
      <c r="I206" s="17"/>
      <c r="J206" s="3" t="s">
        <v>35</v>
      </c>
      <c r="K206" s="4" t="s">
        <v>36</v>
      </c>
      <c r="L206" s="4" t="s">
        <v>37</v>
      </c>
      <c r="N206" s="17" t="s">
        <v>598</v>
      </c>
      <c r="O206" s="17"/>
      <c r="P206" s="17" t="s">
        <v>599</v>
      </c>
      <c r="Q206" s="17"/>
      <c r="R206" s="17"/>
      <c r="S206" s="3" t="s">
        <v>40</v>
      </c>
      <c r="T206" s="17" t="s">
        <v>41</v>
      </c>
      <c r="U206" s="17"/>
      <c r="V206" s="4" t="s">
        <v>42</v>
      </c>
      <c r="W206" s="4" t="s">
        <v>244</v>
      </c>
      <c r="X206" s="4" t="s">
        <v>245</v>
      </c>
      <c r="Y206" s="17" t="s">
        <v>45</v>
      </c>
      <c r="Z206" s="17"/>
      <c r="AA206" s="4" t="s">
        <v>46</v>
      </c>
      <c r="AB206" s="4" t="s">
        <v>47</v>
      </c>
      <c r="AC206" s="4" t="s">
        <v>48</v>
      </c>
      <c r="AD206" s="4" t="s">
        <v>49</v>
      </c>
      <c r="AE206" s="4" t="s">
        <v>50</v>
      </c>
      <c r="AF206" s="4" t="s">
        <v>41</v>
      </c>
      <c r="AG206" s="4" t="s">
        <v>583</v>
      </c>
    </row>
    <row r="207" spans="1:33" ht="16.5" customHeight="1" x14ac:dyDescent="0.2">
      <c r="A207" s="2" t="s">
        <v>31</v>
      </c>
      <c r="B207" s="15" t="s">
        <v>32</v>
      </c>
      <c r="C207" s="15"/>
      <c r="D207" s="15"/>
      <c r="E207" s="16" t="s">
        <v>33</v>
      </c>
      <c r="F207" s="16"/>
      <c r="G207" s="17" t="s">
        <v>580</v>
      </c>
      <c r="H207" s="17"/>
      <c r="I207" s="17"/>
      <c r="J207" s="3" t="s">
        <v>35</v>
      </c>
      <c r="K207" s="4" t="s">
        <v>179</v>
      </c>
      <c r="L207" s="4" t="s">
        <v>37</v>
      </c>
      <c r="N207" s="17" t="s">
        <v>600</v>
      </c>
      <c r="O207" s="17"/>
      <c r="P207" s="17" t="s">
        <v>601</v>
      </c>
      <c r="Q207" s="17"/>
      <c r="R207" s="17"/>
      <c r="S207" s="3" t="s">
        <v>40</v>
      </c>
      <c r="T207" s="17" t="s">
        <v>41</v>
      </c>
      <c r="U207" s="17"/>
      <c r="V207" s="4" t="s">
        <v>42</v>
      </c>
      <c r="W207" s="4" t="s">
        <v>244</v>
      </c>
      <c r="X207" s="4" t="s">
        <v>245</v>
      </c>
      <c r="Y207" s="17" t="s">
        <v>63</v>
      </c>
      <c r="Z207" s="17"/>
      <c r="AA207" s="4" t="s">
        <v>46</v>
      </c>
      <c r="AB207" s="4" t="s">
        <v>47</v>
      </c>
      <c r="AC207" s="4" t="s">
        <v>64</v>
      </c>
      <c r="AD207" s="4" t="s">
        <v>164</v>
      </c>
      <c r="AE207" s="4" t="s">
        <v>50</v>
      </c>
      <c r="AF207" s="4" t="s">
        <v>41</v>
      </c>
      <c r="AG207" s="4" t="s">
        <v>583</v>
      </c>
    </row>
    <row r="208" spans="1:33" ht="16.5" customHeight="1" x14ac:dyDescent="0.2">
      <c r="A208" s="2" t="s">
        <v>31</v>
      </c>
      <c r="B208" s="15" t="s">
        <v>32</v>
      </c>
      <c r="C208" s="15"/>
      <c r="D208" s="15"/>
      <c r="E208" s="16" t="s">
        <v>33</v>
      </c>
      <c r="F208" s="16"/>
      <c r="G208" s="17" t="s">
        <v>580</v>
      </c>
      <c r="H208" s="17"/>
      <c r="I208" s="17"/>
      <c r="J208" s="3" t="s">
        <v>35</v>
      </c>
      <c r="K208" s="4" t="s">
        <v>179</v>
      </c>
      <c r="L208" s="4" t="s">
        <v>37</v>
      </c>
      <c r="N208" s="17" t="s">
        <v>602</v>
      </c>
      <c r="O208" s="17"/>
      <c r="P208" s="17" t="s">
        <v>603</v>
      </c>
      <c r="Q208" s="17"/>
      <c r="R208" s="17"/>
      <c r="S208" s="3" t="s">
        <v>40</v>
      </c>
      <c r="T208" s="17" t="s">
        <v>41</v>
      </c>
      <c r="U208" s="17"/>
      <c r="V208" s="4" t="s">
        <v>42</v>
      </c>
      <c r="W208" s="4" t="s">
        <v>244</v>
      </c>
      <c r="X208" s="4" t="s">
        <v>245</v>
      </c>
      <c r="Y208" s="17" t="s">
        <v>63</v>
      </c>
      <c r="Z208" s="17"/>
      <c r="AA208" s="4" t="s">
        <v>46</v>
      </c>
      <c r="AB208" s="4" t="s">
        <v>47</v>
      </c>
      <c r="AC208" s="4" t="s">
        <v>64</v>
      </c>
      <c r="AD208" s="4" t="s">
        <v>164</v>
      </c>
      <c r="AE208" s="4" t="s">
        <v>50</v>
      </c>
      <c r="AF208" s="4" t="s">
        <v>41</v>
      </c>
      <c r="AG208" s="4" t="s">
        <v>583</v>
      </c>
    </row>
    <row r="209" spans="1:33" ht="16.5" customHeight="1" x14ac:dyDescent="0.2">
      <c r="A209" s="2" t="s">
        <v>31</v>
      </c>
      <c r="B209" s="15" t="s">
        <v>32</v>
      </c>
      <c r="C209" s="15"/>
      <c r="D209" s="15"/>
      <c r="E209" s="16" t="s">
        <v>33</v>
      </c>
      <c r="F209" s="16"/>
      <c r="G209" s="17" t="s">
        <v>580</v>
      </c>
      <c r="H209" s="17"/>
      <c r="I209" s="17"/>
      <c r="J209" s="3" t="s">
        <v>35</v>
      </c>
      <c r="K209" s="4" t="s">
        <v>179</v>
      </c>
      <c r="L209" s="4" t="s">
        <v>37</v>
      </c>
      <c r="N209" s="17" t="s">
        <v>604</v>
      </c>
      <c r="O209" s="17"/>
      <c r="P209" s="17" t="s">
        <v>605</v>
      </c>
      <c r="Q209" s="17"/>
      <c r="R209" s="17"/>
      <c r="S209" s="3" t="s">
        <v>40</v>
      </c>
      <c r="T209" s="17" t="s">
        <v>41</v>
      </c>
      <c r="U209" s="17"/>
      <c r="V209" s="4" t="s">
        <v>42</v>
      </c>
      <c r="W209" s="4" t="s">
        <v>244</v>
      </c>
      <c r="X209" s="4" t="s">
        <v>245</v>
      </c>
      <c r="Y209" s="17" t="s">
        <v>63</v>
      </c>
      <c r="Z209" s="17"/>
      <c r="AA209" s="4" t="s">
        <v>46</v>
      </c>
      <c r="AB209" s="4" t="s">
        <v>47</v>
      </c>
      <c r="AC209" s="4" t="s">
        <v>64</v>
      </c>
      <c r="AD209" s="4" t="s">
        <v>164</v>
      </c>
      <c r="AE209" s="4" t="s">
        <v>50</v>
      </c>
      <c r="AF209" s="4" t="s">
        <v>41</v>
      </c>
      <c r="AG209" s="4" t="s">
        <v>583</v>
      </c>
    </row>
    <row r="210" spans="1:33" ht="16.5" customHeight="1" x14ac:dyDescent="0.2">
      <c r="A210" s="2" t="s">
        <v>31</v>
      </c>
      <c r="B210" s="15" t="s">
        <v>32</v>
      </c>
      <c r="C210" s="15"/>
      <c r="D210" s="15"/>
      <c r="E210" s="16" t="s">
        <v>33</v>
      </c>
      <c r="F210" s="16"/>
      <c r="G210" s="17" t="s">
        <v>580</v>
      </c>
      <c r="H210" s="17"/>
      <c r="I210" s="17"/>
      <c r="J210" s="3" t="s">
        <v>35</v>
      </c>
      <c r="K210" s="4" t="s">
        <v>314</v>
      </c>
      <c r="L210" s="4" t="s">
        <v>37</v>
      </c>
      <c r="N210" s="17" t="s">
        <v>606</v>
      </c>
      <c r="O210" s="17"/>
      <c r="P210" s="17" t="s">
        <v>607</v>
      </c>
      <c r="Q210" s="17"/>
      <c r="R210" s="17"/>
      <c r="S210" s="3" t="s">
        <v>40</v>
      </c>
      <c r="T210" s="17" t="s">
        <v>41</v>
      </c>
      <c r="U210" s="17"/>
      <c r="V210" s="4" t="s">
        <v>42</v>
      </c>
      <c r="W210" s="4" t="s">
        <v>384</v>
      </c>
      <c r="X210" s="4" t="s">
        <v>385</v>
      </c>
      <c r="Y210" s="17" t="s">
        <v>63</v>
      </c>
      <c r="Z210" s="17"/>
      <c r="AA210" s="4" t="s">
        <v>46</v>
      </c>
      <c r="AB210" s="4" t="s">
        <v>47</v>
      </c>
      <c r="AC210" s="4" t="s">
        <v>64</v>
      </c>
      <c r="AD210" s="4" t="s">
        <v>164</v>
      </c>
      <c r="AE210" s="4" t="s">
        <v>50</v>
      </c>
      <c r="AF210" s="4" t="s">
        <v>41</v>
      </c>
      <c r="AG210" s="4" t="s">
        <v>583</v>
      </c>
    </row>
    <row r="211" spans="1:33" ht="16.5" customHeight="1" x14ac:dyDescent="0.2">
      <c r="A211" s="2" t="s">
        <v>31</v>
      </c>
      <c r="B211" s="15" t="s">
        <v>32</v>
      </c>
      <c r="C211" s="15"/>
      <c r="D211" s="15"/>
      <c r="E211" s="16" t="s">
        <v>33</v>
      </c>
      <c r="F211" s="16"/>
      <c r="G211" s="17" t="s">
        <v>580</v>
      </c>
      <c r="H211" s="17"/>
      <c r="I211" s="17"/>
      <c r="J211" s="3" t="s">
        <v>35</v>
      </c>
      <c r="K211" s="4" t="s">
        <v>36</v>
      </c>
      <c r="L211" s="4" t="s">
        <v>37</v>
      </c>
      <c r="N211" s="17" t="s">
        <v>608</v>
      </c>
      <c r="O211" s="17"/>
      <c r="P211" s="17" t="s">
        <v>609</v>
      </c>
      <c r="Q211" s="17"/>
      <c r="R211" s="17"/>
      <c r="S211" s="3" t="s">
        <v>40</v>
      </c>
      <c r="T211" s="17" t="s">
        <v>41</v>
      </c>
      <c r="U211" s="17"/>
      <c r="V211" s="4" t="s">
        <v>42</v>
      </c>
      <c r="W211" s="4" t="s">
        <v>384</v>
      </c>
      <c r="X211" s="4" t="s">
        <v>385</v>
      </c>
      <c r="Y211" s="17" t="s">
        <v>45</v>
      </c>
      <c r="Z211" s="17"/>
      <c r="AA211" s="4" t="s">
        <v>46</v>
      </c>
      <c r="AB211" s="4" t="s">
        <v>47</v>
      </c>
      <c r="AC211" s="4" t="s">
        <v>48</v>
      </c>
      <c r="AD211" s="4" t="s">
        <v>49</v>
      </c>
      <c r="AE211" s="4" t="s">
        <v>50</v>
      </c>
      <c r="AF211" s="4" t="s">
        <v>41</v>
      </c>
      <c r="AG211" s="4" t="s">
        <v>583</v>
      </c>
    </row>
    <row r="212" spans="1:33" ht="16.5" customHeight="1" x14ac:dyDescent="0.2">
      <c r="A212" s="2" t="s">
        <v>31</v>
      </c>
      <c r="B212" s="15" t="s">
        <v>32</v>
      </c>
      <c r="C212" s="15"/>
      <c r="D212" s="15"/>
      <c r="E212" s="16" t="s">
        <v>33</v>
      </c>
      <c r="F212" s="16"/>
      <c r="G212" s="17" t="s">
        <v>580</v>
      </c>
      <c r="H212" s="17"/>
      <c r="I212" s="17"/>
      <c r="J212" s="3" t="s">
        <v>35</v>
      </c>
      <c r="K212" s="4" t="s">
        <v>36</v>
      </c>
      <c r="L212" s="4" t="s">
        <v>37</v>
      </c>
      <c r="N212" s="17" t="s">
        <v>608</v>
      </c>
      <c r="O212" s="17"/>
      <c r="P212" s="17" t="s">
        <v>609</v>
      </c>
      <c r="Q212" s="17"/>
      <c r="R212" s="17"/>
      <c r="S212" s="3" t="s">
        <v>40</v>
      </c>
      <c r="T212" s="17" t="s">
        <v>41</v>
      </c>
      <c r="U212" s="17"/>
      <c r="V212" s="4" t="s">
        <v>248</v>
      </c>
      <c r="W212" s="4" t="s">
        <v>384</v>
      </c>
      <c r="X212" s="4" t="s">
        <v>249</v>
      </c>
      <c r="Y212" s="17" t="s">
        <v>45</v>
      </c>
      <c r="Z212" s="17"/>
      <c r="AA212" s="4" t="s">
        <v>46</v>
      </c>
      <c r="AB212" s="4" t="s">
        <v>47</v>
      </c>
      <c r="AC212" s="4" t="s">
        <v>48</v>
      </c>
      <c r="AD212" s="4" t="s">
        <v>49</v>
      </c>
      <c r="AE212" s="4" t="s">
        <v>50</v>
      </c>
      <c r="AF212" s="4" t="s">
        <v>41</v>
      </c>
      <c r="AG212" s="4" t="s">
        <v>583</v>
      </c>
    </row>
    <row r="213" spans="1:33" ht="16.5" customHeight="1" x14ac:dyDescent="0.2">
      <c r="A213" s="2" t="s">
        <v>31</v>
      </c>
      <c r="B213" s="15" t="s">
        <v>32</v>
      </c>
      <c r="C213" s="15"/>
      <c r="D213" s="15"/>
      <c r="E213" s="16" t="s">
        <v>33</v>
      </c>
      <c r="F213" s="16"/>
      <c r="G213" s="17" t="s">
        <v>580</v>
      </c>
      <c r="H213" s="17"/>
      <c r="I213" s="17"/>
      <c r="J213" s="3" t="s">
        <v>35</v>
      </c>
      <c r="K213" s="4" t="s">
        <v>314</v>
      </c>
      <c r="L213" s="4" t="s">
        <v>77</v>
      </c>
      <c r="N213" s="17" t="s">
        <v>610</v>
      </c>
      <c r="O213" s="17"/>
      <c r="P213" s="17" t="s">
        <v>611</v>
      </c>
      <c r="Q213" s="17"/>
      <c r="R213" s="17"/>
      <c r="S213" s="3" t="s">
        <v>40</v>
      </c>
      <c r="T213" s="17" t="s">
        <v>41</v>
      </c>
      <c r="U213" s="17"/>
      <c r="V213" s="4" t="s">
        <v>42</v>
      </c>
      <c r="W213" s="4" t="s">
        <v>248</v>
      </c>
      <c r="X213" s="4" t="s">
        <v>249</v>
      </c>
      <c r="Y213" s="17" t="s">
        <v>63</v>
      </c>
      <c r="Z213" s="17"/>
      <c r="AA213" s="4" t="s">
        <v>46</v>
      </c>
      <c r="AB213" s="4" t="s">
        <v>47</v>
      </c>
      <c r="AC213" s="4" t="s">
        <v>64</v>
      </c>
      <c r="AD213" s="4" t="s">
        <v>419</v>
      </c>
      <c r="AE213" s="4" t="s">
        <v>50</v>
      </c>
      <c r="AF213" s="4" t="s">
        <v>41</v>
      </c>
      <c r="AG213" s="4" t="s">
        <v>583</v>
      </c>
    </row>
    <row r="214" spans="1:33" ht="16.5" customHeight="1" x14ac:dyDescent="0.2">
      <c r="A214" s="2" t="s">
        <v>31</v>
      </c>
      <c r="B214" s="15" t="s">
        <v>32</v>
      </c>
      <c r="C214" s="15"/>
      <c r="D214" s="15"/>
      <c r="E214" s="16" t="s">
        <v>33</v>
      </c>
      <c r="F214" s="16"/>
      <c r="G214" s="17" t="s">
        <v>580</v>
      </c>
      <c r="H214" s="17"/>
      <c r="I214" s="17"/>
      <c r="J214" s="3" t="s">
        <v>35</v>
      </c>
      <c r="K214" s="4" t="s">
        <v>515</v>
      </c>
      <c r="L214" s="4" t="s">
        <v>37</v>
      </c>
      <c r="N214" s="17" t="s">
        <v>612</v>
      </c>
      <c r="O214" s="17"/>
      <c r="P214" s="17" t="s">
        <v>613</v>
      </c>
      <c r="Q214" s="17"/>
      <c r="R214" s="17"/>
      <c r="S214" s="3" t="s">
        <v>40</v>
      </c>
      <c r="T214" s="17" t="s">
        <v>41</v>
      </c>
      <c r="U214" s="17"/>
      <c r="V214" s="4" t="s">
        <v>42</v>
      </c>
      <c r="W214" s="4" t="s">
        <v>248</v>
      </c>
      <c r="X214" s="4" t="s">
        <v>249</v>
      </c>
      <c r="Y214" s="17" t="s">
        <v>45</v>
      </c>
      <c r="Z214" s="17"/>
      <c r="AA214" s="4" t="s">
        <v>46</v>
      </c>
      <c r="AB214" s="4" t="s">
        <v>47</v>
      </c>
      <c r="AC214" s="4" t="s">
        <v>48</v>
      </c>
      <c r="AD214" s="4" t="s">
        <v>49</v>
      </c>
      <c r="AE214" s="4" t="s">
        <v>50</v>
      </c>
      <c r="AF214" s="4" t="s">
        <v>41</v>
      </c>
      <c r="AG214" s="4" t="s">
        <v>583</v>
      </c>
    </row>
    <row r="215" spans="1:33" ht="16.5" customHeight="1" x14ac:dyDescent="0.2">
      <c r="A215" s="2" t="s">
        <v>31</v>
      </c>
      <c r="B215" s="15" t="s">
        <v>32</v>
      </c>
      <c r="C215" s="15"/>
      <c r="D215" s="15"/>
      <c r="E215" s="16" t="s">
        <v>33</v>
      </c>
      <c r="F215" s="16"/>
      <c r="G215" s="17" t="s">
        <v>614</v>
      </c>
      <c r="H215" s="17"/>
      <c r="I215" s="17"/>
      <c r="J215" s="3" t="s">
        <v>35</v>
      </c>
      <c r="K215" s="4" t="s">
        <v>179</v>
      </c>
      <c r="L215" s="4" t="s">
        <v>37</v>
      </c>
      <c r="N215" s="17" t="s">
        <v>615</v>
      </c>
      <c r="O215" s="17"/>
      <c r="P215" s="17" t="s">
        <v>616</v>
      </c>
      <c r="Q215" s="17"/>
      <c r="R215" s="17"/>
      <c r="S215" s="3" t="s">
        <v>40</v>
      </c>
      <c r="T215" s="17" t="s">
        <v>41</v>
      </c>
      <c r="U215" s="17"/>
      <c r="V215" s="4" t="s">
        <v>42</v>
      </c>
      <c r="W215" s="4" t="s">
        <v>384</v>
      </c>
      <c r="X215" s="4" t="s">
        <v>385</v>
      </c>
      <c r="Y215" s="17" t="s">
        <v>63</v>
      </c>
      <c r="Z215" s="17"/>
      <c r="AA215" s="4" t="s">
        <v>46</v>
      </c>
      <c r="AB215" s="4" t="s">
        <v>47</v>
      </c>
      <c r="AC215" s="4" t="s">
        <v>64</v>
      </c>
      <c r="AD215" s="4" t="s">
        <v>164</v>
      </c>
      <c r="AE215" s="4" t="s">
        <v>50</v>
      </c>
      <c r="AF215" s="4" t="s">
        <v>41</v>
      </c>
      <c r="AG215" s="4" t="s">
        <v>617</v>
      </c>
    </row>
    <row r="216" spans="1:33" ht="16.5" customHeight="1" x14ac:dyDescent="0.2">
      <c r="A216" s="2" t="s">
        <v>31</v>
      </c>
      <c r="B216" s="15" t="s">
        <v>32</v>
      </c>
      <c r="C216" s="15"/>
      <c r="D216" s="15"/>
      <c r="E216" s="16" t="s">
        <v>33</v>
      </c>
      <c r="F216" s="16"/>
      <c r="G216" s="17" t="s">
        <v>614</v>
      </c>
      <c r="H216" s="17"/>
      <c r="I216" s="17"/>
      <c r="J216" s="3" t="s">
        <v>35</v>
      </c>
      <c r="K216" s="4" t="s">
        <v>182</v>
      </c>
      <c r="L216" s="4" t="s">
        <v>58</v>
      </c>
      <c r="N216" s="17" t="s">
        <v>618</v>
      </c>
      <c r="O216" s="17"/>
      <c r="P216" s="17" t="s">
        <v>619</v>
      </c>
      <c r="Q216" s="17"/>
      <c r="R216" s="17"/>
      <c r="S216" s="3" t="s">
        <v>40</v>
      </c>
      <c r="T216" s="17" t="s">
        <v>41</v>
      </c>
      <c r="U216" s="17"/>
      <c r="V216" s="4" t="s">
        <v>42</v>
      </c>
      <c r="W216" s="4" t="s">
        <v>43</v>
      </c>
      <c r="X216" s="4" t="s">
        <v>44</v>
      </c>
      <c r="Y216" s="17" t="s">
        <v>45</v>
      </c>
      <c r="Z216" s="17"/>
      <c r="AA216" s="4" t="s">
        <v>46</v>
      </c>
      <c r="AB216" s="4" t="s">
        <v>47</v>
      </c>
      <c r="AC216" s="4" t="s">
        <v>76</v>
      </c>
      <c r="AD216" s="4" t="s">
        <v>41</v>
      </c>
      <c r="AE216" s="4" t="s">
        <v>50</v>
      </c>
      <c r="AF216" s="4" t="s">
        <v>41</v>
      </c>
      <c r="AG216" s="4" t="s">
        <v>617</v>
      </c>
    </row>
    <row r="217" spans="1:33" ht="16.5" customHeight="1" x14ac:dyDescent="0.2">
      <c r="A217" s="2" t="s">
        <v>31</v>
      </c>
      <c r="B217" s="15" t="s">
        <v>32</v>
      </c>
      <c r="C217" s="15"/>
      <c r="D217" s="15"/>
      <c r="E217" s="16" t="s">
        <v>33</v>
      </c>
      <c r="F217" s="16"/>
      <c r="G217" s="17" t="s">
        <v>614</v>
      </c>
      <c r="H217" s="17"/>
      <c r="I217" s="17"/>
      <c r="J217" s="3" t="s">
        <v>35</v>
      </c>
      <c r="K217" s="4" t="s">
        <v>179</v>
      </c>
      <c r="L217" s="4" t="s">
        <v>37</v>
      </c>
      <c r="N217" s="17" t="s">
        <v>620</v>
      </c>
      <c r="O217" s="17"/>
      <c r="P217" s="17" t="s">
        <v>621</v>
      </c>
      <c r="Q217" s="17"/>
      <c r="R217" s="17"/>
      <c r="S217" s="3" t="s">
        <v>40</v>
      </c>
      <c r="T217" s="17" t="s">
        <v>41</v>
      </c>
      <c r="U217" s="17"/>
      <c r="V217" s="4" t="s">
        <v>42</v>
      </c>
      <c r="W217" s="4" t="s">
        <v>220</v>
      </c>
      <c r="X217" s="4" t="s">
        <v>221</v>
      </c>
      <c r="Y217" s="17" t="s">
        <v>63</v>
      </c>
      <c r="Z217" s="17"/>
      <c r="AA217" s="4" t="s">
        <v>46</v>
      </c>
      <c r="AB217" s="4" t="s">
        <v>47</v>
      </c>
      <c r="AC217" s="4" t="s">
        <v>64</v>
      </c>
      <c r="AD217" s="4" t="s">
        <v>164</v>
      </c>
      <c r="AE217" s="4" t="s">
        <v>50</v>
      </c>
      <c r="AF217" s="4" t="s">
        <v>41</v>
      </c>
      <c r="AG217" s="4" t="s">
        <v>617</v>
      </c>
    </row>
    <row r="218" spans="1:33" ht="16.5" customHeight="1" x14ac:dyDescent="0.2">
      <c r="A218" s="2" t="s">
        <v>31</v>
      </c>
      <c r="B218" s="15" t="s">
        <v>32</v>
      </c>
      <c r="C218" s="15"/>
      <c r="D218" s="15"/>
      <c r="E218" s="16" t="s">
        <v>33</v>
      </c>
      <c r="F218" s="16"/>
      <c r="G218" s="17" t="s">
        <v>614</v>
      </c>
      <c r="H218" s="17"/>
      <c r="I218" s="17"/>
      <c r="J218" s="3" t="s">
        <v>35</v>
      </c>
      <c r="K218" s="4" t="s">
        <v>314</v>
      </c>
      <c r="L218" s="4" t="s">
        <v>37</v>
      </c>
      <c r="N218" s="17" t="s">
        <v>622</v>
      </c>
      <c r="O218" s="17"/>
      <c r="P218" s="17" t="s">
        <v>623</v>
      </c>
      <c r="Q218" s="17"/>
      <c r="R218" s="17"/>
      <c r="S218" s="3" t="s">
        <v>40</v>
      </c>
      <c r="T218" s="17" t="s">
        <v>41</v>
      </c>
      <c r="U218" s="17"/>
      <c r="V218" s="4" t="s">
        <v>42</v>
      </c>
      <c r="W218" s="4" t="s">
        <v>43</v>
      </c>
      <c r="X218" s="4" t="s">
        <v>44</v>
      </c>
      <c r="Y218" s="17" t="s">
        <v>63</v>
      </c>
      <c r="Z218" s="17"/>
      <c r="AA218" s="4" t="s">
        <v>46</v>
      </c>
      <c r="AB218" s="4" t="s">
        <v>47</v>
      </c>
      <c r="AC218" s="4" t="s">
        <v>64</v>
      </c>
      <c r="AD218" s="4" t="s">
        <v>164</v>
      </c>
      <c r="AE218" s="4" t="s">
        <v>50</v>
      </c>
      <c r="AF218" s="4" t="s">
        <v>41</v>
      </c>
      <c r="AG218" s="4" t="s">
        <v>617</v>
      </c>
    </row>
    <row r="219" spans="1:33" ht="16.5" customHeight="1" x14ac:dyDescent="0.2">
      <c r="A219" s="2" t="s">
        <v>31</v>
      </c>
      <c r="B219" s="15" t="s">
        <v>32</v>
      </c>
      <c r="C219" s="15"/>
      <c r="D219" s="15"/>
      <c r="E219" s="16" t="s">
        <v>33</v>
      </c>
      <c r="F219" s="16"/>
      <c r="G219" s="17" t="s">
        <v>614</v>
      </c>
      <c r="H219" s="17"/>
      <c r="I219" s="17"/>
      <c r="J219" s="3" t="s">
        <v>35</v>
      </c>
      <c r="K219" s="4" t="s">
        <v>314</v>
      </c>
      <c r="L219" s="4" t="s">
        <v>37</v>
      </c>
      <c r="N219" s="17" t="s">
        <v>624</v>
      </c>
      <c r="O219" s="17"/>
      <c r="P219" s="17" t="s">
        <v>625</v>
      </c>
      <c r="Q219" s="17"/>
      <c r="R219" s="17"/>
      <c r="S219" s="3" t="s">
        <v>40</v>
      </c>
      <c r="T219" s="17" t="s">
        <v>41</v>
      </c>
      <c r="U219" s="17"/>
      <c r="V219" s="4" t="s">
        <v>42</v>
      </c>
      <c r="W219" s="4" t="s">
        <v>43</v>
      </c>
      <c r="X219" s="4" t="s">
        <v>44</v>
      </c>
      <c r="Y219" s="17" t="s">
        <v>63</v>
      </c>
      <c r="Z219" s="17"/>
      <c r="AA219" s="4" t="s">
        <v>46</v>
      </c>
      <c r="AB219" s="4" t="s">
        <v>47</v>
      </c>
      <c r="AC219" s="4" t="s">
        <v>64</v>
      </c>
      <c r="AD219" s="4" t="s">
        <v>164</v>
      </c>
      <c r="AE219" s="4" t="s">
        <v>50</v>
      </c>
      <c r="AF219" s="4" t="s">
        <v>41</v>
      </c>
      <c r="AG219" s="4" t="s">
        <v>617</v>
      </c>
    </row>
    <row r="220" spans="1:33" ht="16.5" customHeight="1" x14ac:dyDescent="0.2">
      <c r="A220" s="2" t="s">
        <v>31</v>
      </c>
      <c r="B220" s="15" t="s">
        <v>32</v>
      </c>
      <c r="C220" s="15"/>
      <c r="D220" s="15"/>
      <c r="E220" s="16" t="s">
        <v>33</v>
      </c>
      <c r="F220" s="16"/>
      <c r="G220" s="17" t="s">
        <v>614</v>
      </c>
      <c r="H220" s="17"/>
      <c r="I220" s="17"/>
      <c r="J220" s="3" t="s">
        <v>35</v>
      </c>
      <c r="K220" s="4" t="s">
        <v>314</v>
      </c>
      <c r="L220" s="4" t="s">
        <v>37</v>
      </c>
      <c r="N220" s="17" t="s">
        <v>626</v>
      </c>
      <c r="O220" s="17"/>
      <c r="P220" s="17" t="s">
        <v>627</v>
      </c>
      <c r="Q220" s="17"/>
      <c r="R220" s="17"/>
      <c r="S220" s="3" t="s">
        <v>40</v>
      </c>
      <c r="T220" s="17" t="s">
        <v>41</v>
      </c>
      <c r="U220" s="17"/>
      <c r="V220" s="4" t="s">
        <v>42</v>
      </c>
      <c r="W220" s="4" t="s">
        <v>384</v>
      </c>
      <c r="X220" s="4" t="s">
        <v>385</v>
      </c>
      <c r="Y220" s="17" t="s">
        <v>63</v>
      </c>
      <c r="Z220" s="17"/>
      <c r="AA220" s="4" t="s">
        <v>46</v>
      </c>
      <c r="AB220" s="4" t="s">
        <v>47</v>
      </c>
      <c r="AC220" s="4" t="s">
        <v>64</v>
      </c>
      <c r="AD220" s="4" t="s">
        <v>164</v>
      </c>
      <c r="AE220" s="4" t="s">
        <v>50</v>
      </c>
      <c r="AF220" s="4" t="s">
        <v>41</v>
      </c>
      <c r="AG220" s="4" t="s">
        <v>617</v>
      </c>
    </row>
    <row r="221" spans="1:33" ht="16.5" customHeight="1" x14ac:dyDescent="0.2">
      <c r="A221" s="2" t="s">
        <v>31</v>
      </c>
      <c r="B221" s="15" t="s">
        <v>32</v>
      </c>
      <c r="C221" s="15"/>
      <c r="D221" s="15"/>
      <c r="E221" s="16" t="s">
        <v>33</v>
      </c>
      <c r="F221" s="16"/>
      <c r="G221" s="17" t="s">
        <v>614</v>
      </c>
      <c r="H221" s="17"/>
      <c r="I221" s="17"/>
      <c r="J221" s="3" t="s">
        <v>35</v>
      </c>
      <c r="K221" s="4" t="s">
        <v>179</v>
      </c>
      <c r="L221" s="4" t="s">
        <v>37</v>
      </c>
      <c r="N221" s="17" t="s">
        <v>628</v>
      </c>
      <c r="O221" s="17"/>
      <c r="P221" s="17" t="s">
        <v>629</v>
      </c>
      <c r="Q221" s="17"/>
      <c r="R221" s="17"/>
      <c r="S221" s="3" t="s">
        <v>40</v>
      </c>
      <c r="T221" s="17" t="s">
        <v>41</v>
      </c>
      <c r="U221" s="17"/>
      <c r="V221" s="4" t="s">
        <v>42</v>
      </c>
      <c r="W221" s="4" t="s">
        <v>384</v>
      </c>
      <c r="X221" s="4" t="s">
        <v>385</v>
      </c>
      <c r="Y221" s="17" t="s">
        <v>63</v>
      </c>
      <c r="Z221" s="17"/>
      <c r="AA221" s="4" t="s">
        <v>46</v>
      </c>
      <c r="AB221" s="4" t="s">
        <v>47</v>
      </c>
      <c r="AC221" s="4" t="s">
        <v>64</v>
      </c>
      <c r="AD221" s="4" t="s">
        <v>164</v>
      </c>
      <c r="AE221" s="4" t="s">
        <v>50</v>
      </c>
      <c r="AF221" s="4" t="s">
        <v>41</v>
      </c>
      <c r="AG221" s="4" t="s">
        <v>617</v>
      </c>
    </row>
    <row r="222" spans="1:33" ht="16.5" customHeight="1" x14ac:dyDescent="0.2">
      <c r="A222" s="2" t="s">
        <v>31</v>
      </c>
      <c r="B222" s="15" t="s">
        <v>32</v>
      </c>
      <c r="C222" s="15"/>
      <c r="D222" s="15"/>
      <c r="E222" s="16" t="s">
        <v>33</v>
      </c>
      <c r="F222" s="16"/>
      <c r="G222" s="17" t="s">
        <v>614</v>
      </c>
      <c r="H222" s="17"/>
      <c r="I222" s="17"/>
      <c r="J222" s="3" t="s">
        <v>35</v>
      </c>
      <c r="K222" s="4" t="s">
        <v>179</v>
      </c>
      <c r="L222" s="4" t="s">
        <v>77</v>
      </c>
      <c r="N222" s="17" t="s">
        <v>630</v>
      </c>
      <c r="O222" s="17"/>
      <c r="P222" s="17" t="s">
        <v>631</v>
      </c>
      <c r="Q222" s="17"/>
      <c r="R222" s="17"/>
      <c r="S222" s="3" t="s">
        <v>40</v>
      </c>
      <c r="T222" s="17" t="s">
        <v>41</v>
      </c>
      <c r="U222" s="17"/>
      <c r="V222" s="4" t="s">
        <v>42</v>
      </c>
      <c r="W222" s="4" t="s">
        <v>384</v>
      </c>
      <c r="X222" s="4" t="s">
        <v>385</v>
      </c>
      <c r="Y222" s="17" t="s">
        <v>63</v>
      </c>
      <c r="Z222" s="17"/>
      <c r="AA222" s="4" t="s">
        <v>46</v>
      </c>
      <c r="AB222" s="4" t="s">
        <v>47</v>
      </c>
      <c r="AC222" s="4" t="s">
        <v>64</v>
      </c>
      <c r="AD222" s="4" t="s">
        <v>419</v>
      </c>
      <c r="AE222" s="4" t="s">
        <v>50</v>
      </c>
      <c r="AF222" s="4" t="s">
        <v>41</v>
      </c>
      <c r="AG222" s="4" t="s">
        <v>617</v>
      </c>
    </row>
    <row r="223" spans="1:33" ht="16.5" customHeight="1" x14ac:dyDescent="0.2">
      <c r="A223" s="2" t="s">
        <v>31</v>
      </c>
      <c r="B223" s="15" t="s">
        <v>32</v>
      </c>
      <c r="C223" s="15"/>
      <c r="D223" s="15"/>
      <c r="E223" s="16" t="s">
        <v>33</v>
      </c>
      <c r="F223" s="16"/>
      <c r="G223" s="17" t="s">
        <v>632</v>
      </c>
      <c r="H223" s="17"/>
      <c r="I223" s="17"/>
      <c r="J223" s="3" t="s">
        <v>35</v>
      </c>
      <c r="K223" s="4" t="s">
        <v>237</v>
      </c>
      <c r="L223" s="4" t="s">
        <v>77</v>
      </c>
      <c r="N223" s="17" t="s">
        <v>633</v>
      </c>
      <c r="O223" s="17"/>
      <c r="P223" s="17" t="s">
        <v>634</v>
      </c>
      <c r="Q223" s="17"/>
      <c r="R223" s="17"/>
      <c r="S223" s="3" t="s">
        <v>40</v>
      </c>
      <c r="T223" s="17" t="s">
        <v>41</v>
      </c>
      <c r="U223" s="17"/>
      <c r="V223" s="4" t="s">
        <v>42</v>
      </c>
      <c r="W223" s="4" t="s">
        <v>224</v>
      </c>
      <c r="X223" s="4" t="s">
        <v>225</v>
      </c>
      <c r="Y223" s="17" t="s">
        <v>63</v>
      </c>
      <c r="Z223" s="17"/>
      <c r="AA223" s="4" t="s">
        <v>46</v>
      </c>
      <c r="AB223" s="4" t="s">
        <v>47</v>
      </c>
      <c r="AC223" s="4" t="s">
        <v>64</v>
      </c>
      <c r="AD223" s="4" t="s">
        <v>419</v>
      </c>
      <c r="AE223" s="4" t="s">
        <v>50</v>
      </c>
      <c r="AF223" s="4" t="s">
        <v>41</v>
      </c>
      <c r="AG223" s="4" t="s">
        <v>635</v>
      </c>
    </row>
    <row r="224" spans="1:33" ht="16.5" customHeight="1" x14ac:dyDescent="0.2">
      <c r="A224" s="2" t="s">
        <v>31</v>
      </c>
      <c r="B224" s="15" t="s">
        <v>32</v>
      </c>
      <c r="C224" s="15"/>
      <c r="D224" s="15"/>
      <c r="E224" s="16" t="s">
        <v>33</v>
      </c>
      <c r="F224" s="16"/>
      <c r="G224" s="17" t="s">
        <v>632</v>
      </c>
      <c r="H224" s="17"/>
      <c r="I224" s="17"/>
      <c r="J224" s="3" t="s">
        <v>35</v>
      </c>
      <c r="K224" s="4" t="s">
        <v>237</v>
      </c>
      <c r="L224" s="4" t="s">
        <v>37</v>
      </c>
      <c r="N224" s="17" t="s">
        <v>636</v>
      </c>
      <c r="O224" s="17"/>
      <c r="P224" s="17" t="s">
        <v>637</v>
      </c>
      <c r="Q224" s="17"/>
      <c r="R224" s="17"/>
      <c r="S224" s="3" t="s">
        <v>40</v>
      </c>
      <c r="T224" s="17" t="s">
        <v>41</v>
      </c>
      <c r="U224" s="17"/>
      <c r="V224" s="4" t="s">
        <v>42</v>
      </c>
      <c r="W224" s="4" t="s">
        <v>244</v>
      </c>
      <c r="X224" s="4" t="s">
        <v>245</v>
      </c>
      <c r="Y224" s="17" t="s">
        <v>63</v>
      </c>
      <c r="Z224" s="17"/>
      <c r="AA224" s="4" t="s">
        <v>46</v>
      </c>
      <c r="AB224" s="4" t="s">
        <v>47</v>
      </c>
      <c r="AC224" s="4" t="s">
        <v>64</v>
      </c>
      <c r="AD224" s="4" t="s">
        <v>164</v>
      </c>
      <c r="AE224" s="4" t="s">
        <v>50</v>
      </c>
      <c r="AF224" s="4" t="s">
        <v>41</v>
      </c>
      <c r="AG224" s="4" t="s">
        <v>635</v>
      </c>
    </row>
    <row r="225" spans="1:33" s="8" customFormat="1" ht="16.5" customHeight="1" x14ac:dyDescent="0.2">
      <c r="A225" s="5" t="s">
        <v>31</v>
      </c>
      <c r="B225" s="18" t="s">
        <v>32</v>
      </c>
      <c r="C225" s="18"/>
      <c r="D225" s="18"/>
      <c r="E225" s="19" t="s">
        <v>33</v>
      </c>
      <c r="F225" s="19"/>
      <c r="G225" s="20" t="s">
        <v>632</v>
      </c>
      <c r="H225" s="20"/>
      <c r="I225" s="20"/>
      <c r="J225" s="6" t="s">
        <v>35</v>
      </c>
      <c r="K225" s="7" t="s">
        <v>237</v>
      </c>
      <c r="L225" s="7" t="s">
        <v>37</v>
      </c>
      <c r="N225" s="20" t="s">
        <v>638</v>
      </c>
      <c r="O225" s="20"/>
      <c r="P225" s="20" t="s">
        <v>639</v>
      </c>
      <c r="Q225" s="20"/>
      <c r="R225" s="20"/>
      <c r="S225" s="6" t="s">
        <v>40</v>
      </c>
      <c r="T225" s="20" t="s">
        <v>41</v>
      </c>
      <c r="U225" s="20"/>
      <c r="V225" s="7" t="s">
        <v>42</v>
      </c>
      <c r="W225" s="7" t="s">
        <v>384</v>
      </c>
      <c r="X225" s="7" t="s">
        <v>385</v>
      </c>
      <c r="Y225" s="20" t="s">
        <v>63</v>
      </c>
      <c r="Z225" s="20"/>
      <c r="AA225" s="7" t="s">
        <v>46</v>
      </c>
      <c r="AB225" s="7" t="s">
        <v>47</v>
      </c>
      <c r="AC225" s="7" t="s">
        <v>64</v>
      </c>
      <c r="AD225" s="7" t="s">
        <v>164</v>
      </c>
      <c r="AE225" s="7" t="s">
        <v>50</v>
      </c>
      <c r="AF225" s="7" t="s">
        <v>41</v>
      </c>
      <c r="AG225" s="7" t="s">
        <v>635</v>
      </c>
    </row>
    <row r="226" spans="1:33" s="8" customFormat="1" ht="16.5" customHeight="1" x14ac:dyDescent="0.2">
      <c r="A226" s="5" t="s">
        <v>31</v>
      </c>
      <c r="B226" s="18" t="s">
        <v>285</v>
      </c>
      <c r="C226" s="18"/>
      <c r="D226" s="18"/>
      <c r="E226" s="19" t="s">
        <v>33</v>
      </c>
      <c r="F226" s="19"/>
      <c r="G226" s="20" t="s">
        <v>632</v>
      </c>
      <c r="H226" s="20"/>
      <c r="I226" s="20"/>
      <c r="J226" s="6" t="s">
        <v>286</v>
      </c>
      <c r="K226" s="7" t="s">
        <v>640</v>
      </c>
      <c r="N226" s="20" t="s">
        <v>638</v>
      </c>
      <c r="O226" s="20"/>
      <c r="P226" s="20" t="s">
        <v>639</v>
      </c>
      <c r="Q226" s="20"/>
      <c r="R226" s="20"/>
      <c r="S226" s="6" t="s">
        <v>40</v>
      </c>
      <c r="T226" s="20" t="s">
        <v>641</v>
      </c>
      <c r="U226" s="20"/>
      <c r="V226" s="7" t="s">
        <v>42</v>
      </c>
      <c r="W226" s="7" t="s">
        <v>384</v>
      </c>
      <c r="X226" s="7" t="s">
        <v>385</v>
      </c>
      <c r="Y226" s="20" t="s">
        <v>292</v>
      </c>
      <c r="Z226" s="20"/>
      <c r="AA226" s="7" t="s">
        <v>46</v>
      </c>
      <c r="AB226" s="7" t="s">
        <v>293</v>
      </c>
      <c r="AC226" s="7" t="s">
        <v>642</v>
      </c>
      <c r="AD226" s="7" t="s">
        <v>643</v>
      </c>
      <c r="AE226" s="7" t="s">
        <v>50</v>
      </c>
      <c r="AF226" s="7" t="s">
        <v>41</v>
      </c>
      <c r="AG226" s="7" t="s">
        <v>635</v>
      </c>
    </row>
    <row r="227" spans="1:33" s="8" customFormat="1" ht="16.5" customHeight="1" x14ac:dyDescent="0.2">
      <c r="A227" s="5" t="s">
        <v>31</v>
      </c>
      <c r="B227" s="18" t="s">
        <v>285</v>
      </c>
      <c r="C227" s="18"/>
      <c r="D227" s="18"/>
      <c r="E227" s="19" t="s">
        <v>33</v>
      </c>
      <c r="F227" s="19"/>
      <c r="G227" s="20" t="s">
        <v>632</v>
      </c>
      <c r="H227" s="20"/>
      <c r="I227" s="20"/>
      <c r="J227" s="6" t="s">
        <v>286</v>
      </c>
      <c r="K227" s="7" t="s">
        <v>640</v>
      </c>
      <c r="N227" s="20" t="s">
        <v>638</v>
      </c>
      <c r="O227" s="20"/>
      <c r="P227" s="20" t="s">
        <v>639</v>
      </c>
      <c r="Q227" s="20"/>
      <c r="R227" s="20"/>
      <c r="S227" s="6" t="s">
        <v>40</v>
      </c>
      <c r="T227" s="20" t="s">
        <v>641</v>
      </c>
      <c r="U227" s="20"/>
      <c r="V227" s="7" t="s">
        <v>248</v>
      </c>
      <c r="W227" s="7" t="s">
        <v>384</v>
      </c>
      <c r="X227" s="7" t="s">
        <v>249</v>
      </c>
      <c r="Y227" s="20" t="s">
        <v>292</v>
      </c>
      <c r="Z227" s="20"/>
      <c r="AA227" s="7" t="s">
        <v>46</v>
      </c>
      <c r="AB227" s="7" t="s">
        <v>293</v>
      </c>
      <c r="AC227" s="7" t="s">
        <v>642</v>
      </c>
      <c r="AD227" s="7" t="s">
        <v>643</v>
      </c>
      <c r="AE227" s="7" t="s">
        <v>50</v>
      </c>
      <c r="AF227" s="7" t="s">
        <v>41</v>
      </c>
      <c r="AG227" s="7" t="s">
        <v>635</v>
      </c>
    </row>
    <row r="228" spans="1:33" ht="16.5" customHeight="1" x14ac:dyDescent="0.2">
      <c r="A228" s="2" t="s">
        <v>31</v>
      </c>
      <c r="B228" s="15" t="s">
        <v>32</v>
      </c>
      <c r="C228" s="15"/>
      <c r="D228" s="15"/>
      <c r="E228" s="16" t="s">
        <v>33</v>
      </c>
      <c r="F228" s="16"/>
      <c r="G228" s="17" t="s">
        <v>644</v>
      </c>
      <c r="H228" s="17"/>
      <c r="I228" s="17"/>
      <c r="J228" s="3" t="s">
        <v>35</v>
      </c>
      <c r="K228" s="4" t="s">
        <v>329</v>
      </c>
      <c r="L228" s="4" t="s">
        <v>37</v>
      </c>
      <c r="N228" s="17" t="s">
        <v>645</v>
      </c>
      <c r="O228" s="17"/>
      <c r="P228" s="17" t="s">
        <v>646</v>
      </c>
      <c r="Q228" s="17"/>
      <c r="R228" s="17"/>
      <c r="S228" s="3" t="s">
        <v>40</v>
      </c>
      <c r="T228" s="17" t="s">
        <v>41</v>
      </c>
      <c r="U228" s="17"/>
      <c r="V228" s="4" t="s">
        <v>42</v>
      </c>
      <c r="W228" s="4" t="s">
        <v>244</v>
      </c>
      <c r="X228" s="4" t="s">
        <v>245</v>
      </c>
      <c r="Y228" s="17" t="s">
        <v>63</v>
      </c>
      <c r="Z228" s="17"/>
      <c r="AA228" s="4" t="s">
        <v>46</v>
      </c>
      <c r="AB228" s="4" t="s">
        <v>47</v>
      </c>
      <c r="AC228" s="4" t="s">
        <v>64</v>
      </c>
      <c r="AD228" s="4" t="s">
        <v>164</v>
      </c>
      <c r="AE228" s="4" t="s">
        <v>50</v>
      </c>
      <c r="AF228" s="4" t="s">
        <v>41</v>
      </c>
      <c r="AG228" s="4" t="s">
        <v>647</v>
      </c>
    </row>
    <row r="229" spans="1:33" ht="282" customHeight="1" x14ac:dyDescent="0.2"/>
    <row r="230" spans="1:33" ht="12" customHeight="1" x14ac:dyDescent="0.2"/>
  </sheetData>
  <mergeCells count="1486">
    <mergeCell ref="B228:D228"/>
    <mergeCell ref="E228:F228"/>
    <mergeCell ref="G228:I228"/>
    <mergeCell ref="N228:O228"/>
    <mergeCell ref="P228:R228"/>
    <mergeCell ref="T228:U228"/>
    <mergeCell ref="Y228:Z228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2:D222"/>
    <mergeCell ref="E222:F222"/>
    <mergeCell ref="G222:I222"/>
    <mergeCell ref="N222:O222"/>
    <mergeCell ref="P222:R222"/>
    <mergeCell ref="T222:U222"/>
    <mergeCell ref="Y222:Z222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66:D166"/>
    <mergeCell ref="E166:F166"/>
    <mergeCell ref="G166:I166"/>
    <mergeCell ref="N166:O166"/>
    <mergeCell ref="P166:R166"/>
    <mergeCell ref="T166:U166"/>
    <mergeCell ref="Y166:Z16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E67A0-3BD0-41C7-A4D4-6F30C638A577}">
  <dimension ref="A1:AK212"/>
  <sheetViews>
    <sheetView tabSelected="1" topLeftCell="A184" workbookViewId="0">
      <selection activeCell="E204" sqref="E204"/>
    </sheetView>
  </sheetViews>
  <sheetFormatPr defaultColWidth="6.85546875" defaultRowHeight="15" customHeight="1" x14ac:dyDescent="0.2"/>
  <cols>
    <col min="1" max="2" width="22" style="22" customWidth="1"/>
    <col min="3" max="3" width="17.42578125" style="22" bestFit="1" customWidth="1"/>
    <col min="4" max="4" width="13.140625" style="22" bestFit="1" customWidth="1"/>
    <col min="5" max="5" width="13.140625" style="22" customWidth="1"/>
    <col min="6" max="6" width="20.7109375" style="22" customWidth="1"/>
    <col min="7" max="7" width="15.85546875" style="22" bestFit="1" customWidth="1"/>
    <col min="8" max="9" width="13.140625" style="22" customWidth="1"/>
    <col min="10" max="11" width="14.140625" style="22" customWidth="1"/>
    <col min="12" max="12" width="16.42578125" style="22" bestFit="1" customWidth="1"/>
    <col min="13" max="13" width="13.42578125" style="22" customWidth="1"/>
    <col min="14" max="14" width="13.5703125" style="22" customWidth="1"/>
    <col min="15" max="16384" width="6.85546875" style="22"/>
  </cols>
  <sheetData>
    <row r="1" spans="1:37" ht="15" customHeight="1" x14ac:dyDescent="0.2">
      <c r="A1" s="21"/>
      <c r="B1" s="21"/>
      <c r="C1" s="21" t="s">
        <v>15</v>
      </c>
      <c r="D1" s="21" t="s">
        <v>16</v>
      </c>
      <c r="E1" s="21"/>
      <c r="F1" s="21" t="s">
        <v>17</v>
      </c>
      <c r="G1" s="21" t="s">
        <v>19</v>
      </c>
      <c r="H1" s="21" t="s">
        <v>20</v>
      </c>
      <c r="I1" s="21"/>
      <c r="J1" s="21" t="s">
        <v>21</v>
      </c>
      <c r="K1" s="21"/>
      <c r="L1" s="21" t="s">
        <v>23</v>
      </c>
      <c r="M1" s="21" t="s">
        <v>26</v>
      </c>
      <c r="N1" s="21" t="s">
        <v>27</v>
      </c>
    </row>
    <row r="2" spans="1:37" ht="15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37" ht="15" customHeight="1" x14ac:dyDescent="0.2">
      <c r="A3" s="5" t="s">
        <v>679</v>
      </c>
      <c r="B3" s="5">
        <v>18201929</v>
      </c>
      <c r="C3" s="23"/>
      <c r="D3" s="25">
        <v>944324120</v>
      </c>
      <c r="E3" s="24" t="str">
        <f>CONCATENATE(1,D3)</f>
        <v>1944324120</v>
      </c>
      <c r="F3" s="5" t="s">
        <v>639</v>
      </c>
      <c r="G3" s="5">
        <v>14.95</v>
      </c>
      <c r="H3" s="25">
        <v>20250901</v>
      </c>
      <c r="I3" s="24" t="str">
        <f>TEXT(DATE(LEFT(H3,4), MID(H3,5,2), RIGHT(H3,2)), "M/d/yyyy")</f>
        <v>9/1/2025</v>
      </c>
      <c r="J3" s="25">
        <v>20250701</v>
      </c>
      <c r="K3" s="24" t="str">
        <f>TEXT(DATE(LEFT(J3,4), MID(J3,5,2), RIGHT(J3,2)), "M/d/yyyy")</f>
        <v>7/1/2025</v>
      </c>
      <c r="L3" s="5" t="s">
        <v>292</v>
      </c>
      <c r="M3" s="25">
        <v>0.06</v>
      </c>
      <c r="N3" s="5">
        <v>0.9</v>
      </c>
      <c r="O3" s="22" t="s">
        <v>682</v>
      </c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</row>
    <row r="4" spans="1:37" ht="15" customHeight="1" x14ac:dyDescent="0.2">
      <c r="A4" s="5" t="s">
        <v>679</v>
      </c>
      <c r="B4" s="5">
        <v>18201929</v>
      </c>
      <c r="C4" s="23"/>
      <c r="D4" s="25">
        <v>944324120</v>
      </c>
      <c r="E4" s="24" t="str">
        <f>CONCATENATE(1,D4)</f>
        <v>1944324120</v>
      </c>
      <c r="F4" s="5" t="s">
        <v>639</v>
      </c>
      <c r="G4" s="5">
        <v>14.95</v>
      </c>
      <c r="H4" s="25">
        <v>20250801</v>
      </c>
      <c r="I4" s="24" t="str">
        <f>TEXT(DATE(LEFT(H4,4), MID(H4,5,2), RIGHT(H4,2)), "M/d/yyyy")</f>
        <v>8/1/2025</v>
      </c>
      <c r="J4" s="25">
        <v>20250701</v>
      </c>
      <c r="K4" s="24" t="str">
        <f>TEXT(DATE(LEFT(J4,4), MID(J4,5,2), RIGHT(J4,2)), "M/d/yyyy")</f>
        <v>7/1/2025</v>
      </c>
      <c r="L4" s="5" t="s">
        <v>292</v>
      </c>
      <c r="M4" s="25">
        <v>0.06</v>
      </c>
      <c r="N4" s="5">
        <v>0.9</v>
      </c>
      <c r="O4" s="22" t="s">
        <v>682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</row>
    <row r="5" spans="1:37" ht="15" customHeight="1" x14ac:dyDescent="0.2">
      <c r="A5" s="5" t="s">
        <v>676</v>
      </c>
      <c r="B5" s="5">
        <v>21348299</v>
      </c>
      <c r="C5" s="25"/>
      <c r="D5" s="25">
        <v>944248233</v>
      </c>
      <c r="E5" s="25">
        <v>944248233</v>
      </c>
      <c r="F5" s="5" t="s">
        <v>576</v>
      </c>
      <c r="G5" s="5">
        <v>0</v>
      </c>
      <c r="H5" s="25">
        <v>20250901</v>
      </c>
      <c r="I5" s="24" t="str">
        <f>TEXT(DATE(LEFT(H5,4), MID(H5,5,2), RIGHT(H5,2)), "M/d/yyyy")</f>
        <v>9/1/2025</v>
      </c>
      <c r="J5" s="25">
        <v>20250401</v>
      </c>
      <c r="K5" s="24" t="str">
        <f>TEXT(DATE(LEFT(J5,4), MID(J5,5,2), RIGHT(J5,2)), "M/d/yyyy")</f>
        <v>4/1/2025</v>
      </c>
      <c r="L5" s="5" t="s">
        <v>45</v>
      </c>
      <c r="M5" s="25">
        <v>25</v>
      </c>
      <c r="N5" s="5">
        <v>25</v>
      </c>
      <c r="O5" s="22" t="s">
        <v>681</v>
      </c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</row>
    <row r="6" spans="1:37" ht="15" customHeight="1" x14ac:dyDescent="0.2">
      <c r="A6" s="5" t="s">
        <v>677</v>
      </c>
      <c r="B6" s="5">
        <v>21435997</v>
      </c>
      <c r="C6" s="25"/>
      <c r="D6" s="25">
        <v>923721014</v>
      </c>
      <c r="E6" s="25">
        <v>923721014</v>
      </c>
      <c r="F6" s="5" t="s">
        <v>582</v>
      </c>
      <c r="G6" s="5">
        <v>0</v>
      </c>
      <c r="H6" s="25">
        <v>20250901</v>
      </c>
      <c r="I6" s="24" t="str">
        <f>TEXT(DATE(LEFT(H6,4), MID(H6,5,2), RIGHT(H6,2)), "M/d/yyyy")</f>
        <v>9/1/2025</v>
      </c>
      <c r="J6" s="25">
        <v>20250501</v>
      </c>
      <c r="K6" s="24" t="str">
        <f>TEXT(DATE(LEFT(J6,4), MID(J6,5,2), RIGHT(J6,2)), "M/d/yyyy")</f>
        <v>5/1/2025</v>
      </c>
      <c r="L6" s="5" t="s">
        <v>45</v>
      </c>
      <c r="M6" s="25">
        <v>25</v>
      </c>
      <c r="N6" s="5">
        <v>25</v>
      </c>
      <c r="O6" s="22" t="s">
        <v>681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</row>
    <row r="7" spans="1:37" ht="15" customHeight="1" x14ac:dyDescent="0.2">
      <c r="A7" s="5" t="s">
        <v>677</v>
      </c>
      <c r="B7" s="5">
        <v>21435997</v>
      </c>
      <c r="C7" s="25"/>
      <c r="D7" s="25">
        <v>943141828</v>
      </c>
      <c r="E7" s="25">
        <v>943141828</v>
      </c>
      <c r="F7" s="5" t="s">
        <v>589</v>
      </c>
      <c r="G7" s="5">
        <v>0</v>
      </c>
      <c r="H7" s="25">
        <v>20250901</v>
      </c>
      <c r="I7" s="24" t="str">
        <f>TEXT(DATE(LEFT(H7,4), MID(H7,5,2), RIGHT(H7,2)), "M/d/yyyy")</f>
        <v>9/1/2025</v>
      </c>
      <c r="J7" s="25">
        <v>20250401</v>
      </c>
      <c r="K7" s="24" t="str">
        <f>TEXT(DATE(LEFT(J7,4), MID(J7,5,2), RIGHT(J7,2)), "M/d/yyyy")</f>
        <v>4/1/2025</v>
      </c>
      <c r="L7" s="5" t="s">
        <v>45</v>
      </c>
      <c r="M7" s="25">
        <v>25</v>
      </c>
      <c r="N7" s="5">
        <v>25</v>
      </c>
      <c r="O7" s="22" t="s">
        <v>681</v>
      </c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</row>
    <row r="8" spans="1:37" ht="15" customHeight="1" x14ac:dyDescent="0.2">
      <c r="A8" s="5" t="s">
        <v>677</v>
      </c>
      <c r="B8" s="5">
        <v>21435997</v>
      </c>
      <c r="C8" s="25"/>
      <c r="D8" s="25">
        <v>943628736</v>
      </c>
      <c r="E8" s="25">
        <v>943628736</v>
      </c>
      <c r="F8" s="5" t="s">
        <v>591</v>
      </c>
      <c r="G8" s="5">
        <v>0</v>
      </c>
      <c r="H8" s="25">
        <v>20250901</v>
      </c>
      <c r="I8" s="24" t="str">
        <f>TEXT(DATE(LEFT(H8,4), MID(H8,5,2), RIGHT(H8,2)), "M/d/yyyy")</f>
        <v>9/1/2025</v>
      </c>
      <c r="J8" s="25">
        <v>20250501</v>
      </c>
      <c r="K8" s="24" t="str">
        <f>TEXT(DATE(LEFT(J8,4), MID(J8,5,2), RIGHT(J8,2)), "M/d/yyyy")</f>
        <v>5/1/2025</v>
      </c>
      <c r="L8" s="5" t="s">
        <v>45</v>
      </c>
      <c r="M8" s="25">
        <v>25</v>
      </c>
      <c r="N8" s="5">
        <v>25</v>
      </c>
      <c r="O8" s="22" t="s">
        <v>681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</row>
    <row r="9" spans="1:37" ht="15" customHeight="1" x14ac:dyDescent="0.2">
      <c r="A9" s="5" t="s">
        <v>677</v>
      </c>
      <c r="B9" s="5">
        <v>21435997</v>
      </c>
      <c r="C9" s="25"/>
      <c r="D9" s="25">
        <v>944274915</v>
      </c>
      <c r="E9" s="25">
        <v>944274915</v>
      </c>
      <c r="F9" s="5" t="s">
        <v>599</v>
      </c>
      <c r="G9" s="5">
        <v>0</v>
      </c>
      <c r="H9" s="25">
        <v>20250901</v>
      </c>
      <c r="I9" s="24" t="str">
        <f>TEXT(DATE(LEFT(H9,4), MID(H9,5,2), RIGHT(H9,2)), "M/d/yyyy")</f>
        <v>9/1/2025</v>
      </c>
      <c r="J9" s="25">
        <v>20250601</v>
      </c>
      <c r="K9" s="24" t="str">
        <f>TEXT(DATE(LEFT(J9,4), MID(J9,5,2), RIGHT(J9,2)), "M/d/yyyy")</f>
        <v>6/1/2025</v>
      </c>
      <c r="L9" s="5" t="s">
        <v>45</v>
      </c>
      <c r="M9" s="25">
        <v>25</v>
      </c>
      <c r="N9" s="5">
        <v>25</v>
      </c>
      <c r="O9" s="22" t="s">
        <v>681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</row>
    <row r="10" spans="1:37" s="23" customFormat="1" ht="15" customHeight="1" x14ac:dyDescent="0.2">
      <c r="A10" s="5" t="s">
        <v>677</v>
      </c>
      <c r="B10" s="5">
        <v>21435997</v>
      </c>
      <c r="C10" s="25"/>
      <c r="D10" s="25">
        <v>944326295</v>
      </c>
      <c r="E10" s="25">
        <v>944326295</v>
      </c>
      <c r="F10" s="5" t="s">
        <v>609</v>
      </c>
      <c r="G10" s="5">
        <v>0</v>
      </c>
      <c r="H10" s="25">
        <v>20250901</v>
      </c>
      <c r="I10" s="24" t="str">
        <f>TEXT(DATE(LEFT(H10,4), MID(H10,5,2), RIGHT(H10,2)), "M/d/yyyy")</f>
        <v>9/1/2025</v>
      </c>
      <c r="J10" s="25">
        <v>20250701</v>
      </c>
      <c r="K10" s="24" t="str">
        <f>TEXT(DATE(LEFT(J10,4), MID(J10,5,2), RIGHT(J10,2)), "M/d/yyyy")</f>
        <v>7/1/2025</v>
      </c>
      <c r="L10" s="5" t="s">
        <v>45</v>
      </c>
      <c r="M10" s="25">
        <v>25</v>
      </c>
      <c r="N10" s="5">
        <v>25</v>
      </c>
      <c r="O10" s="22" t="s">
        <v>681</v>
      </c>
    </row>
    <row r="11" spans="1:37" s="23" customFormat="1" ht="15" customHeight="1" x14ac:dyDescent="0.2">
      <c r="A11" s="5" t="s">
        <v>677</v>
      </c>
      <c r="B11" s="5">
        <v>21435997</v>
      </c>
      <c r="C11" s="25"/>
      <c r="D11" s="25">
        <v>944326295</v>
      </c>
      <c r="E11" s="25">
        <v>944326295</v>
      </c>
      <c r="F11" s="5" t="s">
        <v>609</v>
      </c>
      <c r="G11" s="5">
        <v>0</v>
      </c>
      <c r="H11" s="25">
        <v>20250801</v>
      </c>
      <c r="I11" s="24" t="str">
        <f>TEXT(DATE(LEFT(H11,4), MID(H11,5,2), RIGHT(H11,2)), "M/d/yyyy")</f>
        <v>8/1/2025</v>
      </c>
      <c r="J11" s="25">
        <v>20250701</v>
      </c>
      <c r="K11" s="24" t="str">
        <f>TEXT(DATE(LEFT(J11,4), MID(J11,5,2), RIGHT(J11,2)), "M/d/yyyy")</f>
        <v>7/1/2025</v>
      </c>
      <c r="L11" s="5" t="s">
        <v>45</v>
      </c>
      <c r="M11" s="25">
        <v>25</v>
      </c>
      <c r="N11" s="5">
        <v>25</v>
      </c>
      <c r="O11" s="22" t="s">
        <v>681</v>
      </c>
    </row>
    <row r="12" spans="1:37" ht="15" customHeight="1" x14ac:dyDescent="0.2">
      <c r="A12" s="5" t="s">
        <v>677</v>
      </c>
      <c r="B12" s="5">
        <v>21435997</v>
      </c>
      <c r="C12" s="25"/>
      <c r="D12" s="25">
        <v>944342409</v>
      </c>
      <c r="E12" s="25">
        <v>944342409</v>
      </c>
      <c r="F12" s="5" t="s">
        <v>613</v>
      </c>
      <c r="G12" s="5">
        <v>0</v>
      </c>
      <c r="H12" s="25">
        <v>20250901</v>
      </c>
      <c r="I12" s="24" t="str">
        <f>TEXT(DATE(LEFT(H12,4), MID(H12,5,2), RIGHT(H12,2)), "M/d/yyyy")</f>
        <v>9/1/2025</v>
      </c>
      <c r="J12" s="25">
        <v>20250801</v>
      </c>
      <c r="K12" s="24" t="str">
        <f>TEXT(DATE(LEFT(J12,4), MID(J12,5,2), RIGHT(J12,2)), "M/d/yyyy")</f>
        <v>8/1/2025</v>
      </c>
      <c r="L12" s="5" t="s">
        <v>45</v>
      </c>
      <c r="M12" s="25">
        <v>25</v>
      </c>
      <c r="N12" s="5">
        <v>25</v>
      </c>
      <c r="O12" s="22" t="s">
        <v>681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</row>
    <row r="13" spans="1:37" ht="15" customHeight="1" x14ac:dyDescent="0.2">
      <c r="A13" s="5" t="s">
        <v>675</v>
      </c>
      <c r="B13" s="5">
        <v>21283956</v>
      </c>
      <c r="C13" s="25" t="s">
        <v>648</v>
      </c>
      <c r="D13" s="25">
        <v>944116961</v>
      </c>
      <c r="E13" s="25">
        <v>944116961</v>
      </c>
      <c r="F13" s="5" t="s">
        <v>569</v>
      </c>
      <c r="G13" s="5">
        <v>0</v>
      </c>
      <c r="H13" s="25">
        <v>20250901</v>
      </c>
      <c r="I13" s="24" t="str">
        <f>TEXT(DATE(LEFT(H13,4), MID(H13,5,2), RIGHT(H13,2)), "M/d/yyyy")</f>
        <v>9/1/2025</v>
      </c>
      <c r="J13" s="25">
        <v>20250101</v>
      </c>
      <c r="K13" s="24" t="str">
        <f>TEXT(DATE(LEFT(J13,4), MID(J13,5,2), RIGHT(J13,2)), "M/d/yyyy")</f>
        <v>1/1/2025</v>
      </c>
      <c r="L13" s="5" t="s">
        <v>45</v>
      </c>
      <c r="M13" s="25">
        <v>25</v>
      </c>
      <c r="N13" s="5">
        <v>50</v>
      </c>
      <c r="O13" s="22" t="s">
        <v>681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</row>
    <row r="14" spans="1:37" ht="15" customHeight="1" x14ac:dyDescent="0.2">
      <c r="A14" s="5" t="s">
        <v>675</v>
      </c>
      <c r="B14" s="5">
        <v>21283956</v>
      </c>
      <c r="C14" s="25" t="s">
        <v>648</v>
      </c>
      <c r="D14" s="25">
        <v>944250792</v>
      </c>
      <c r="E14" s="25">
        <v>944250792</v>
      </c>
      <c r="F14" s="5" t="s">
        <v>573</v>
      </c>
      <c r="G14" s="5">
        <v>0</v>
      </c>
      <c r="H14" s="25">
        <v>20250801</v>
      </c>
      <c r="I14" s="24" t="str">
        <f>TEXT(DATE(LEFT(H14,4), MID(H14,5,2), RIGHT(H14,2)), "M/d/yyyy")</f>
        <v>8/1/2025</v>
      </c>
      <c r="J14" s="25">
        <v>20250401</v>
      </c>
      <c r="K14" s="24" t="str">
        <f>TEXT(DATE(LEFT(J14,4), MID(J14,5,2), RIGHT(J14,2)), "M/d/yyyy")</f>
        <v>4/1/2025</v>
      </c>
      <c r="L14" s="5" t="s">
        <v>45</v>
      </c>
      <c r="M14" s="25">
        <v>25</v>
      </c>
      <c r="N14" s="5">
        <v>50</v>
      </c>
      <c r="O14" s="22" t="s">
        <v>681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</row>
    <row r="15" spans="1:37" ht="15" customHeight="1" x14ac:dyDescent="0.2">
      <c r="A15" s="5" t="s">
        <v>675</v>
      </c>
      <c r="B15" s="5">
        <v>21283956</v>
      </c>
      <c r="C15" s="25" t="s">
        <v>648</v>
      </c>
      <c r="D15" s="25">
        <v>944250792</v>
      </c>
      <c r="E15" s="25">
        <v>944250792</v>
      </c>
      <c r="F15" s="5" t="s">
        <v>573</v>
      </c>
      <c r="G15" s="5">
        <v>0</v>
      </c>
      <c r="H15" s="25">
        <v>20250701</v>
      </c>
      <c r="I15" s="24" t="str">
        <f>TEXT(DATE(LEFT(H15,4), MID(H15,5,2), RIGHT(H15,2)), "M/d/yyyy")</f>
        <v>7/1/2025</v>
      </c>
      <c r="J15" s="25">
        <v>20250401</v>
      </c>
      <c r="K15" s="24" t="str">
        <f>TEXT(DATE(LEFT(J15,4), MID(J15,5,2), RIGHT(J15,2)), "M/d/yyyy")</f>
        <v>4/1/2025</v>
      </c>
      <c r="L15" s="5" t="s">
        <v>45</v>
      </c>
      <c r="M15" s="25">
        <v>25</v>
      </c>
      <c r="N15" s="5">
        <v>50</v>
      </c>
      <c r="O15" s="22" t="s">
        <v>681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</row>
    <row r="16" spans="1:37" ht="15" customHeight="1" x14ac:dyDescent="0.2">
      <c r="A16" s="5" t="s">
        <v>675</v>
      </c>
      <c r="B16" s="5">
        <v>21283956</v>
      </c>
      <c r="C16" s="25" t="s">
        <v>648</v>
      </c>
      <c r="D16" s="25">
        <v>944250792</v>
      </c>
      <c r="E16" s="25">
        <v>944250792</v>
      </c>
      <c r="F16" s="5" t="s">
        <v>573</v>
      </c>
      <c r="G16" s="5">
        <v>0</v>
      </c>
      <c r="H16" s="25">
        <v>20250601</v>
      </c>
      <c r="I16" s="24" t="str">
        <f>TEXT(DATE(LEFT(H16,4), MID(H16,5,2), RIGHT(H16,2)), "M/d/yyyy")</f>
        <v>6/1/2025</v>
      </c>
      <c r="J16" s="25">
        <v>20250401</v>
      </c>
      <c r="K16" s="24" t="str">
        <f>TEXT(DATE(LEFT(J16,4), MID(J16,5,2), RIGHT(J16,2)), "M/d/yyyy")</f>
        <v>4/1/2025</v>
      </c>
      <c r="L16" s="5" t="s">
        <v>45</v>
      </c>
      <c r="M16" s="25">
        <v>25</v>
      </c>
      <c r="N16" s="5">
        <v>50</v>
      </c>
      <c r="O16" s="22" t="s">
        <v>681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pans="1:15" s="23" customFormat="1" ht="15" customHeight="1" x14ac:dyDescent="0.2">
      <c r="A17" s="5" t="s">
        <v>676</v>
      </c>
      <c r="B17" s="5">
        <v>21348299</v>
      </c>
      <c r="C17" s="25"/>
      <c r="D17" s="25">
        <v>944254610</v>
      </c>
      <c r="E17" s="25">
        <v>944254610</v>
      </c>
      <c r="F17" s="5" t="s">
        <v>579</v>
      </c>
      <c r="G17" s="5">
        <v>0</v>
      </c>
      <c r="H17" s="25">
        <v>20250901</v>
      </c>
      <c r="I17" s="24" t="str">
        <f>TEXT(DATE(LEFT(H17,4), MID(H17,5,2), RIGHT(H17,2)), "M/d/yyyy")</f>
        <v>9/1/2025</v>
      </c>
      <c r="J17" s="25">
        <v>20250501</v>
      </c>
      <c r="K17" s="24" t="str">
        <f>TEXT(DATE(LEFT(J17,4), MID(J17,5,2), RIGHT(J17,2)), "M/d/yyyy")</f>
        <v>5/1/2025</v>
      </c>
      <c r="L17" s="5" t="s">
        <v>63</v>
      </c>
      <c r="M17" s="25">
        <v>20</v>
      </c>
      <c r="N17" s="5">
        <v>20</v>
      </c>
      <c r="O17" s="22" t="s">
        <v>683</v>
      </c>
    </row>
    <row r="18" spans="1:15" s="23" customFormat="1" ht="15" customHeight="1" x14ac:dyDescent="0.2">
      <c r="A18" s="5" t="s">
        <v>677</v>
      </c>
      <c r="B18" s="5">
        <v>21435997</v>
      </c>
      <c r="C18" s="25"/>
      <c r="D18" s="25">
        <v>925326405</v>
      </c>
      <c r="E18" s="25">
        <v>925326405</v>
      </c>
      <c r="F18" s="5" t="s">
        <v>585</v>
      </c>
      <c r="G18" s="5">
        <v>0</v>
      </c>
      <c r="H18" s="25">
        <v>20250901</v>
      </c>
      <c r="I18" s="24" t="str">
        <f>TEXT(DATE(LEFT(H18,4), MID(H18,5,2), RIGHT(H18,2)), "M/d/yyyy")</f>
        <v>9/1/2025</v>
      </c>
      <c r="J18" s="25">
        <v>20250701</v>
      </c>
      <c r="K18" s="24" t="str">
        <f>TEXT(DATE(LEFT(J18,4), MID(J18,5,2), RIGHT(J18,2)), "M/d/yyyy")</f>
        <v>7/1/2025</v>
      </c>
      <c r="L18" s="5" t="s">
        <v>63</v>
      </c>
      <c r="M18" s="25">
        <v>20</v>
      </c>
      <c r="N18" s="5">
        <v>20</v>
      </c>
      <c r="O18" s="22" t="s">
        <v>683</v>
      </c>
    </row>
    <row r="19" spans="1:15" s="23" customFormat="1" ht="15" customHeight="1" x14ac:dyDescent="0.2">
      <c r="A19" s="5" t="s">
        <v>677</v>
      </c>
      <c r="B19" s="5">
        <v>21435997</v>
      </c>
      <c r="C19" s="25"/>
      <c r="D19" s="25">
        <v>925571076</v>
      </c>
      <c r="E19" s="25">
        <v>925571076</v>
      </c>
      <c r="F19" s="5" t="s">
        <v>587</v>
      </c>
      <c r="G19" s="5">
        <v>0</v>
      </c>
      <c r="H19" s="25">
        <v>20250901</v>
      </c>
      <c r="I19" s="24" t="str">
        <f>TEXT(DATE(LEFT(H19,4), MID(H19,5,2), RIGHT(H19,2)), "M/d/yyyy")</f>
        <v>9/1/2025</v>
      </c>
      <c r="J19" s="25">
        <v>20250501</v>
      </c>
      <c r="K19" s="24" t="str">
        <f>TEXT(DATE(LEFT(J19,4), MID(J19,5,2), RIGHT(J19,2)), "M/d/yyyy")</f>
        <v>5/1/2025</v>
      </c>
      <c r="L19" s="5" t="s">
        <v>63</v>
      </c>
      <c r="M19" s="25">
        <v>20</v>
      </c>
      <c r="N19" s="5">
        <v>20</v>
      </c>
      <c r="O19" s="22" t="s">
        <v>683</v>
      </c>
    </row>
    <row r="20" spans="1:15" s="23" customFormat="1" ht="15" customHeight="1" x14ac:dyDescent="0.2">
      <c r="A20" s="5" t="s">
        <v>677</v>
      </c>
      <c r="B20" s="5">
        <v>21435997</v>
      </c>
      <c r="C20" s="25"/>
      <c r="D20" s="25">
        <v>944249118</v>
      </c>
      <c r="E20" s="25">
        <v>944249118</v>
      </c>
      <c r="F20" s="5" t="s">
        <v>593</v>
      </c>
      <c r="G20" s="5">
        <v>0</v>
      </c>
      <c r="H20" s="25">
        <v>20250901</v>
      </c>
      <c r="I20" s="24" t="str">
        <f>TEXT(DATE(LEFT(H20,4), MID(H20,5,2), RIGHT(H20,2)), "M/d/yyyy")</f>
        <v>9/1/2025</v>
      </c>
      <c r="J20" s="25">
        <v>20250401</v>
      </c>
      <c r="K20" s="24" t="str">
        <f>TEXT(DATE(LEFT(J20,4), MID(J20,5,2), RIGHT(J20,2)), "M/d/yyyy")</f>
        <v>4/1/2025</v>
      </c>
      <c r="L20" s="5" t="s">
        <v>63</v>
      </c>
      <c r="M20" s="25">
        <v>20</v>
      </c>
      <c r="N20" s="5">
        <v>20</v>
      </c>
      <c r="O20" s="22" t="s">
        <v>683</v>
      </c>
    </row>
    <row r="21" spans="1:15" s="23" customFormat="1" ht="15" customHeight="1" x14ac:dyDescent="0.2">
      <c r="A21" s="5" t="s">
        <v>677</v>
      </c>
      <c r="B21" s="5">
        <v>21435997</v>
      </c>
      <c r="C21" s="25"/>
      <c r="D21" s="25">
        <v>944252004</v>
      </c>
      <c r="E21" s="25">
        <v>944252004</v>
      </c>
      <c r="F21" s="5" t="s">
        <v>595</v>
      </c>
      <c r="G21" s="5">
        <v>0</v>
      </c>
      <c r="H21" s="25">
        <v>20250901</v>
      </c>
      <c r="I21" s="24" t="str">
        <f>TEXT(DATE(LEFT(H21,4), MID(H21,5,2), RIGHT(H21,2)), "M/d/yyyy")</f>
        <v>9/1/2025</v>
      </c>
      <c r="J21" s="25">
        <v>20250401</v>
      </c>
      <c r="K21" s="24" t="str">
        <f>TEXT(DATE(LEFT(J21,4), MID(J21,5,2), RIGHT(J21,2)), "M/d/yyyy")</f>
        <v>4/1/2025</v>
      </c>
      <c r="L21" s="5" t="s">
        <v>63</v>
      </c>
      <c r="M21" s="25">
        <v>20</v>
      </c>
      <c r="N21" s="5">
        <v>20</v>
      </c>
      <c r="O21" s="22" t="s">
        <v>683</v>
      </c>
    </row>
    <row r="22" spans="1:15" s="23" customFormat="1" ht="15" customHeight="1" x14ac:dyDescent="0.2">
      <c r="A22" s="5" t="s">
        <v>677</v>
      </c>
      <c r="B22" s="5">
        <v>21435997</v>
      </c>
      <c r="C22" s="25"/>
      <c r="D22" s="25">
        <v>944253272</v>
      </c>
      <c r="E22" s="25">
        <v>944253272</v>
      </c>
      <c r="F22" s="5" t="s">
        <v>597</v>
      </c>
      <c r="G22" s="5">
        <v>0</v>
      </c>
      <c r="H22" s="25">
        <v>20250901</v>
      </c>
      <c r="I22" s="24" t="str">
        <f>TEXT(DATE(LEFT(H22,4), MID(H22,5,2), RIGHT(H22,2)), "M/d/yyyy")</f>
        <v>9/1/2025</v>
      </c>
      <c r="J22" s="25">
        <v>20250501</v>
      </c>
      <c r="K22" s="24" t="str">
        <f>TEXT(DATE(LEFT(J22,4), MID(J22,5,2), RIGHT(J22,2)), "M/d/yyyy")</f>
        <v>5/1/2025</v>
      </c>
      <c r="L22" s="5" t="s">
        <v>63</v>
      </c>
      <c r="M22" s="25">
        <v>20</v>
      </c>
      <c r="N22" s="5">
        <v>20</v>
      </c>
      <c r="O22" s="22" t="s">
        <v>683</v>
      </c>
    </row>
    <row r="23" spans="1:15" s="23" customFormat="1" ht="15" customHeight="1" x14ac:dyDescent="0.2">
      <c r="A23" s="5" t="s">
        <v>677</v>
      </c>
      <c r="B23" s="5">
        <v>21435997</v>
      </c>
      <c r="C23" s="25"/>
      <c r="D23" s="25">
        <v>944277157</v>
      </c>
      <c r="E23" s="25">
        <v>944277157</v>
      </c>
      <c r="F23" s="5" t="s">
        <v>601</v>
      </c>
      <c r="G23" s="5">
        <v>0</v>
      </c>
      <c r="H23" s="25">
        <v>20250901</v>
      </c>
      <c r="I23" s="24" t="str">
        <f>TEXT(DATE(LEFT(H23,4), MID(H23,5,2), RIGHT(H23,2)), "M/d/yyyy")</f>
        <v>9/1/2025</v>
      </c>
      <c r="J23" s="25">
        <v>20250601</v>
      </c>
      <c r="K23" s="24" t="str">
        <f>TEXT(DATE(LEFT(J23,4), MID(J23,5,2), RIGHT(J23,2)), "M/d/yyyy")</f>
        <v>6/1/2025</v>
      </c>
      <c r="L23" s="5" t="s">
        <v>63</v>
      </c>
      <c r="M23" s="25">
        <v>20</v>
      </c>
      <c r="N23" s="5">
        <v>20</v>
      </c>
      <c r="O23" s="22" t="s">
        <v>683</v>
      </c>
    </row>
    <row r="24" spans="1:15" s="23" customFormat="1" ht="15" customHeight="1" x14ac:dyDescent="0.2">
      <c r="A24" s="5" t="s">
        <v>677</v>
      </c>
      <c r="B24" s="5">
        <v>21435997</v>
      </c>
      <c r="C24" s="25"/>
      <c r="D24" s="25">
        <v>944277790</v>
      </c>
      <c r="E24" s="25">
        <v>944277790</v>
      </c>
      <c r="F24" s="5" t="s">
        <v>603</v>
      </c>
      <c r="G24" s="5">
        <v>0</v>
      </c>
      <c r="H24" s="25">
        <v>20250901</v>
      </c>
      <c r="I24" s="24" t="str">
        <f>TEXT(DATE(LEFT(H24,4), MID(H24,5,2), RIGHT(H24,2)), "M/d/yyyy")</f>
        <v>9/1/2025</v>
      </c>
      <c r="J24" s="25">
        <v>20250601</v>
      </c>
      <c r="K24" s="24" t="str">
        <f>TEXT(DATE(LEFT(J24,4), MID(J24,5,2), RIGHT(J24,2)), "M/d/yyyy")</f>
        <v>6/1/2025</v>
      </c>
      <c r="L24" s="5" t="s">
        <v>63</v>
      </c>
      <c r="M24" s="25">
        <v>20</v>
      </c>
      <c r="N24" s="5">
        <v>20</v>
      </c>
      <c r="O24" s="22" t="s">
        <v>683</v>
      </c>
    </row>
    <row r="25" spans="1:15" s="23" customFormat="1" ht="15" customHeight="1" x14ac:dyDescent="0.2">
      <c r="A25" s="5" t="s">
        <v>677</v>
      </c>
      <c r="B25" s="5">
        <v>21435997</v>
      </c>
      <c r="C25" s="25"/>
      <c r="D25" s="25">
        <v>944294162</v>
      </c>
      <c r="E25" s="25">
        <v>944294162</v>
      </c>
      <c r="F25" s="5" t="s">
        <v>605</v>
      </c>
      <c r="G25" s="5">
        <v>0</v>
      </c>
      <c r="H25" s="25">
        <v>20250901</v>
      </c>
      <c r="I25" s="24" t="str">
        <f>TEXT(DATE(LEFT(H25,4), MID(H25,5,2), RIGHT(H25,2)), "M/d/yyyy")</f>
        <v>9/1/2025</v>
      </c>
      <c r="J25" s="25">
        <v>20250601</v>
      </c>
      <c r="K25" s="24" t="str">
        <f>TEXT(DATE(LEFT(J25,4), MID(J25,5,2), RIGHT(J25,2)), "M/d/yyyy")</f>
        <v>6/1/2025</v>
      </c>
      <c r="L25" s="5" t="s">
        <v>63</v>
      </c>
      <c r="M25" s="25">
        <v>20</v>
      </c>
      <c r="N25" s="5">
        <v>20</v>
      </c>
      <c r="O25" s="22" t="s">
        <v>683</v>
      </c>
    </row>
    <row r="26" spans="1:15" s="23" customFormat="1" ht="15" customHeight="1" x14ac:dyDescent="0.2">
      <c r="A26" s="5" t="s">
        <v>677</v>
      </c>
      <c r="B26" s="5">
        <v>21435997</v>
      </c>
      <c r="C26" s="25"/>
      <c r="D26" s="25">
        <v>944309580</v>
      </c>
      <c r="E26" s="25">
        <v>944309580</v>
      </c>
      <c r="F26" s="5" t="s">
        <v>607</v>
      </c>
      <c r="G26" s="5">
        <v>0</v>
      </c>
      <c r="H26" s="25">
        <v>20250901</v>
      </c>
      <c r="I26" s="24" t="str">
        <f>TEXT(DATE(LEFT(H26,4), MID(H26,5,2), RIGHT(H26,2)), "M/d/yyyy")</f>
        <v>9/1/2025</v>
      </c>
      <c r="J26" s="25">
        <v>20250701</v>
      </c>
      <c r="K26" s="24" t="str">
        <f>TEXT(DATE(LEFT(J26,4), MID(J26,5,2), RIGHT(J26,2)), "M/d/yyyy")</f>
        <v>7/1/2025</v>
      </c>
      <c r="L26" s="5" t="s">
        <v>63</v>
      </c>
      <c r="M26" s="25">
        <v>20</v>
      </c>
      <c r="N26" s="5">
        <v>20</v>
      </c>
      <c r="O26" s="22" t="s">
        <v>683</v>
      </c>
    </row>
    <row r="27" spans="1:15" s="23" customFormat="1" ht="15" customHeight="1" x14ac:dyDescent="0.2">
      <c r="A27" s="5" t="s">
        <v>679</v>
      </c>
      <c r="B27" s="5">
        <v>18201929</v>
      </c>
      <c r="C27" s="25"/>
      <c r="D27" s="25">
        <v>944278321</v>
      </c>
      <c r="E27" s="25">
        <v>944278321</v>
      </c>
      <c r="F27" s="5" t="s">
        <v>637</v>
      </c>
      <c r="G27" s="5">
        <v>0</v>
      </c>
      <c r="H27" s="25">
        <v>20250901</v>
      </c>
      <c r="I27" s="24" t="str">
        <f>TEXT(DATE(LEFT(H27,4), MID(H27,5,2), RIGHT(H27,2)), "M/d/yyyy")</f>
        <v>9/1/2025</v>
      </c>
      <c r="J27" s="25">
        <v>20250601</v>
      </c>
      <c r="K27" s="24" t="str">
        <f>TEXT(DATE(LEFT(J27,4), MID(J27,5,2), RIGHT(J27,2)), "M/d/yyyy")</f>
        <v>6/1/2025</v>
      </c>
      <c r="L27" s="5" t="s">
        <v>63</v>
      </c>
      <c r="M27" s="25">
        <v>20</v>
      </c>
      <c r="N27" s="5">
        <v>20</v>
      </c>
      <c r="O27" s="22" t="s">
        <v>683</v>
      </c>
    </row>
    <row r="28" spans="1:15" s="23" customFormat="1" ht="15" customHeight="1" x14ac:dyDescent="0.2">
      <c r="A28" s="5" t="s">
        <v>679</v>
      </c>
      <c r="B28" s="5">
        <v>18201929</v>
      </c>
      <c r="C28" s="25"/>
      <c r="D28" s="25">
        <v>944324120</v>
      </c>
      <c r="E28" s="25">
        <v>944324120</v>
      </c>
      <c r="F28" s="5" t="s">
        <v>639</v>
      </c>
      <c r="G28" s="5">
        <v>0</v>
      </c>
      <c r="H28" s="25">
        <v>20250901</v>
      </c>
      <c r="I28" s="24" t="str">
        <f>TEXT(DATE(LEFT(H28,4), MID(H28,5,2), RIGHT(H28,2)), "M/d/yyyy")</f>
        <v>9/1/2025</v>
      </c>
      <c r="J28" s="25">
        <v>20250701</v>
      </c>
      <c r="K28" s="24" t="str">
        <f>TEXT(DATE(LEFT(J28,4), MID(J28,5,2), RIGHT(J28,2)), "M/d/yyyy")</f>
        <v>7/1/2025</v>
      </c>
      <c r="L28" s="5" t="s">
        <v>63</v>
      </c>
      <c r="M28" s="25">
        <v>20</v>
      </c>
      <c r="N28" s="5">
        <v>20</v>
      </c>
      <c r="O28" s="22" t="s">
        <v>683</v>
      </c>
    </row>
    <row r="29" spans="1:15" s="23" customFormat="1" ht="15" customHeight="1" x14ac:dyDescent="0.2">
      <c r="A29" s="5" t="s">
        <v>678</v>
      </c>
      <c r="B29" s="5">
        <v>21421111</v>
      </c>
      <c r="C29" s="25"/>
      <c r="D29" s="25">
        <v>943243804</v>
      </c>
      <c r="E29" s="25">
        <v>943243804</v>
      </c>
      <c r="F29" s="5" t="s">
        <v>616</v>
      </c>
      <c r="G29" s="5">
        <v>0</v>
      </c>
      <c r="H29" s="25">
        <v>20250901</v>
      </c>
      <c r="I29" s="24" t="str">
        <f>TEXT(DATE(LEFT(H29,4), MID(H29,5,2), RIGHT(H29,2)), "M/d/yyyy")</f>
        <v>9/1/2025</v>
      </c>
      <c r="J29" s="25">
        <v>20250701</v>
      </c>
      <c r="K29" s="24" t="str">
        <f>TEXT(DATE(LEFT(J29,4), MID(J29,5,2), RIGHT(J29,2)), "M/d/yyyy")</f>
        <v>7/1/2025</v>
      </c>
      <c r="L29" s="5" t="s">
        <v>63</v>
      </c>
      <c r="M29" s="25">
        <v>20</v>
      </c>
      <c r="N29" s="5">
        <v>20</v>
      </c>
      <c r="O29" s="22" t="s">
        <v>683</v>
      </c>
    </row>
    <row r="30" spans="1:15" s="23" customFormat="1" ht="15" customHeight="1" x14ac:dyDescent="0.2">
      <c r="A30" s="5" t="s">
        <v>678</v>
      </c>
      <c r="B30" s="5">
        <v>21421111</v>
      </c>
      <c r="C30" s="25"/>
      <c r="D30" s="25">
        <v>944231265</v>
      </c>
      <c r="E30" s="25">
        <v>944231265</v>
      </c>
      <c r="F30" s="5" t="s">
        <v>621</v>
      </c>
      <c r="G30" s="5">
        <v>0</v>
      </c>
      <c r="H30" s="25">
        <v>20250901</v>
      </c>
      <c r="I30" s="24" t="str">
        <f>TEXT(DATE(LEFT(H30,4), MID(H30,5,2), RIGHT(H30,2)), "M/d/yyyy")</f>
        <v>9/1/2025</v>
      </c>
      <c r="J30" s="25">
        <v>20250301</v>
      </c>
      <c r="K30" s="24" t="str">
        <f>TEXT(DATE(LEFT(J30,4), MID(J30,5,2), RIGHT(J30,2)), "M/d/yyyy")</f>
        <v>3/1/2025</v>
      </c>
      <c r="L30" s="5" t="s">
        <v>63</v>
      </c>
      <c r="M30" s="25">
        <v>20</v>
      </c>
      <c r="N30" s="5">
        <v>20</v>
      </c>
      <c r="O30" s="22" t="s">
        <v>683</v>
      </c>
    </row>
    <row r="31" spans="1:15" s="23" customFormat="1" ht="15" customHeight="1" x14ac:dyDescent="0.2">
      <c r="A31" s="5" t="s">
        <v>678</v>
      </c>
      <c r="B31" s="5">
        <v>21421111</v>
      </c>
      <c r="C31" s="25"/>
      <c r="D31" s="25">
        <v>944238599</v>
      </c>
      <c r="E31" s="25">
        <v>944238599</v>
      </c>
      <c r="F31" s="5" t="s">
        <v>623</v>
      </c>
      <c r="G31" s="5">
        <v>0</v>
      </c>
      <c r="H31" s="25">
        <v>20250901</v>
      </c>
      <c r="I31" s="24" t="str">
        <f>TEXT(DATE(LEFT(H31,4), MID(H31,5,2), RIGHT(H31,2)), "M/d/yyyy")</f>
        <v>9/1/2025</v>
      </c>
      <c r="J31" s="25">
        <v>20250401</v>
      </c>
      <c r="K31" s="24" t="str">
        <f>TEXT(DATE(LEFT(J31,4), MID(J31,5,2), RIGHT(J31,2)), "M/d/yyyy")</f>
        <v>4/1/2025</v>
      </c>
      <c r="L31" s="5" t="s">
        <v>63</v>
      </c>
      <c r="M31" s="25">
        <v>20</v>
      </c>
      <c r="N31" s="5">
        <v>20</v>
      </c>
      <c r="O31" s="22" t="s">
        <v>683</v>
      </c>
    </row>
    <row r="32" spans="1:15" s="23" customFormat="1" ht="15" customHeight="1" x14ac:dyDescent="0.2">
      <c r="A32" s="5" t="s">
        <v>678</v>
      </c>
      <c r="B32" s="5">
        <v>21421111</v>
      </c>
      <c r="C32" s="25"/>
      <c r="D32" s="25">
        <v>944251810</v>
      </c>
      <c r="E32" s="25">
        <v>944251810</v>
      </c>
      <c r="F32" s="5" t="s">
        <v>625</v>
      </c>
      <c r="G32" s="5">
        <v>0</v>
      </c>
      <c r="H32" s="25">
        <v>20250901</v>
      </c>
      <c r="I32" s="24" t="str">
        <f>TEXT(DATE(LEFT(H32,4), MID(H32,5,2), RIGHT(H32,2)), "M/d/yyyy")</f>
        <v>9/1/2025</v>
      </c>
      <c r="J32" s="25">
        <v>20250401</v>
      </c>
      <c r="K32" s="24" t="str">
        <f>TEXT(DATE(LEFT(J32,4), MID(J32,5,2), RIGHT(J32,2)), "M/d/yyyy")</f>
        <v>4/1/2025</v>
      </c>
      <c r="L32" s="5" t="s">
        <v>63</v>
      </c>
      <c r="M32" s="25">
        <v>20</v>
      </c>
      <c r="N32" s="5">
        <v>20</v>
      </c>
      <c r="O32" s="22" t="s">
        <v>683</v>
      </c>
    </row>
    <row r="33" spans="1:37" s="23" customFormat="1" ht="15" customHeight="1" x14ac:dyDescent="0.2">
      <c r="A33" s="5" t="s">
        <v>678</v>
      </c>
      <c r="B33" s="5">
        <v>21421111</v>
      </c>
      <c r="C33" s="25"/>
      <c r="D33" s="25">
        <v>944311770</v>
      </c>
      <c r="E33" s="25">
        <v>944311770</v>
      </c>
      <c r="F33" s="5" t="s">
        <v>627</v>
      </c>
      <c r="G33" s="5">
        <v>0</v>
      </c>
      <c r="H33" s="25">
        <v>20250901</v>
      </c>
      <c r="I33" s="24" t="str">
        <f>TEXT(DATE(LEFT(H33,4), MID(H33,5,2), RIGHT(H33,2)), "M/d/yyyy")</f>
        <v>9/1/2025</v>
      </c>
      <c r="J33" s="25">
        <v>20250701</v>
      </c>
      <c r="K33" s="24" t="str">
        <f>TEXT(DATE(LEFT(J33,4), MID(J33,5,2), RIGHT(J33,2)), "M/d/yyyy")</f>
        <v>7/1/2025</v>
      </c>
      <c r="L33" s="5" t="s">
        <v>63</v>
      </c>
      <c r="M33" s="25">
        <v>20</v>
      </c>
      <c r="N33" s="5">
        <v>20</v>
      </c>
      <c r="O33" s="22" t="s">
        <v>683</v>
      </c>
    </row>
    <row r="34" spans="1:37" ht="15" customHeight="1" x14ac:dyDescent="0.2">
      <c r="A34" s="5" t="s">
        <v>678</v>
      </c>
      <c r="B34" s="5">
        <v>21421111</v>
      </c>
      <c r="C34" s="25"/>
      <c r="D34" s="25">
        <v>944323484</v>
      </c>
      <c r="E34" s="25">
        <v>944323484</v>
      </c>
      <c r="F34" s="5" t="s">
        <v>629</v>
      </c>
      <c r="G34" s="5">
        <v>0</v>
      </c>
      <c r="H34" s="25">
        <v>20250901</v>
      </c>
      <c r="I34" s="24" t="str">
        <f>TEXT(DATE(LEFT(H34,4), MID(H34,5,2), RIGHT(H34,2)), "M/d/yyyy")</f>
        <v>9/1/2025</v>
      </c>
      <c r="J34" s="25">
        <v>20250701</v>
      </c>
      <c r="K34" s="24" t="str">
        <f>TEXT(DATE(LEFT(J34,4), MID(J34,5,2), RIGHT(J34,2)), "M/d/yyyy")</f>
        <v>7/1/2025</v>
      </c>
      <c r="L34" s="5" t="s">
        <v>63</v>
      </c>
      <c r="M34" s="25">
        <v>20</v>
      </c>
      <c r="N34" s="5">
        <v>20</v>
      </c>
      <c r="O34" s="22" t="s">
        <v>683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spans="1:37" ht="15" customHeight="1" x14ac:dyDescent="0.2">
      <c r="A35" s="5" t="s">
        <v>680</v>
      </c>
      <c r="B35" s="5">
        <v>16615811</v>
      </c>
      <c r="C35" s="25"/>
      <c r="D35" s="25">
        <v>944280291</v>
      </c>
      <c r="E35" s="25">
        <v>944280291</v>
      </c>
      <c r="F35" s="5" t="s">
        <v>646</v>
      </c>
      <c r="G35" s="5">
        <v>0</v>
      </c>
      <c r="H35" s="25">
        <v>20250901</v>
      </c>
      <c r="I35" s="24" t="str">
        <f>TEXT(DATE(LEFT(H35,4), MID(H35,5,2), RIGHT(H35,2)), "M/d/yyyy")</f>
        <v>9/1/2025</v>
      </c>
      <c r="J35" s="25">
        <v>20250601</v>
      </c>
      <c r="K35" s="24" t="str">
        <f>TEXT(DATE(LEFT(J35,4), MID(J35,5,2), RIGHT(J35,2)), "M/d/yyyy")</f>
        <v>6/1/2025</v>
      </c>
      <c r="L35" s="5" t="s">
        <v>63</v>
      </c>
      <c r="M35" s="25">
        <v>20</v>
      </c>
      <c r="N35" s="5">
        <v>20</v>
      </c>
      <c r="O35" s="22" t="s">
        <v>683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spans="1:37" ht="15" customHeight="1" x14ac:dyDescent="0.2">
      <c r="A36" s="5" t="s">
        <v>675</v>
      </c>
      <c r="B36" s="5">
        <v>21283956</v>
      </c>
      <c r="C36" s="25"/>
      <c r="D36" s="25">
        <v>944099258</v>
      </c>
      <c r="E36" s="25">
        <v>944099258</v>
      </c>
      <c r="F36" s="5" t="s">
        <v>566</v>
      </c>
      <c r="G36" s="5">
        <v>0</v>
      </c>
      <c r="H36" s="25">
        <v>20250901</v>
      </c>
      <c r="I36" s="24" t="str">
        <f>TEXT(DATE(LEFT(H36,4), MID(H36,5,2), RIGHT(H36,2)), "M/d/yyyy")</f>
        <v>9/1/2025</v>
      </c>
      <c r="J36" s="25">
        <v>20250101</v>
      </c>
      <c r="K36" s="24" t="str">
        <f>TEXT(DATE(LEFT(J36,4), MID(J36,5,2), RIGHT(J36,2)), "M/d/yyyy")</f>
        <v>1/1/2025</v>
      </c>
      <c r="L36" s="5" t="s">
        <v>63</v>
      </c>
      <c r="M36" s="25">
        <v>20</v>
      </c>
      <c r="N36" s="5">
        <v>20</v>
      </c>
      <c r="O36" s="22" t="s">
        <v>683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pans="1:37" ht="15" customHeight="1" x14ac:dyDescent="0.2">
      <c r="A37" s="5" t="s">
        <v>675</v>
      </c>
      <c r="B37" s="5">
        <v>21283956</v>
      </c>
      <c r="C37" s="25"/>
      <c r="D37" s="25">
        <v>944138850</v>
      </c>
      <c r="E37" s="25">
        <v>944138850</v>
      </c>
      <c r="F37" s="5" t="s">
        <v>571</v>
      </c>
      <c r="G37" s="5">
        <v>0</v>
      </c>
      <c r="H37" s="25">
        <v>20250901</v>
      </c>
      <c r="I37" s="24" t="str">
        <f>TEXT(DATE(LEFT(H37,4), MID(H37,5,2), RIGHT(H37,2)), "M/d/yyyy")</f>
        <v>9/1/2025</v>
      </c>
      <c r="J37" s="25">
        <v>20250101</v>
      </c>
      <c r="K37" s="24" t="str">
        <f>TEXT(DATE(LEFT(J37,4), MID(J37,5,2), RIGHT(J37,2)), "M/d/yyyy")</f>
        <v>1/1/2025</v>
      </c>
      <c r="L37" s="5" t="s">
        <v>63</v>
      </c>
      <c r="M37" s="25">
        <v>20</v>
      </c>
      <c r="N37" s="5">
        <v>20</v>
      </c>
      <c r="O37" s="22" t="s">
        <v>683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spans="1:37" ht="15" customHeight="1" x14ac:dyDescent="0.2">
      <c r="A38" s="5" t="s">
        <v>677</v>
      </c>
      <c r="B38" s="5">
        <v>21435997</v>
      </c>
      <c r="C38" s="25" t="s">
        <v>648</v>
      </c>
      <c r="D38" s="25">
        <v>944340656</v>
      </c>
      <c r="E38" s="25">
        <v>944340656</v>
      </c>
      <c r="F38" s="5" t="s">
        <v>611</v>
      </c>
      <c r="G38" s="5">
        <v>0</v>
      </c>
      <c r="H38" s="25">
        <v>20250901</v>
      </c>
      <c r="I38" s="24" t="str">
        <f>TEXT(DATE(LEFT(H38,4), MID(H38,5,2), RIGHT(H38,2)), "M/d/yyyy")</f>
        <v>9/1/2025</v>
      </c>
      <c r="J38" s="25">
        <v>20250801</v>
      </c>
      <c r="K38" s="24" t="str">
        <f>TEXT(DATE(LEFT(J38,4), MID(J38,5,2), RIGHT(J38,2)), "M/d/yyyy")</f>
        <v>8/1/2025</v>
      </c>
      <c r="L38" s="5" t="s">
        <v>63</v>
      </c>
      <c r="M38" s="25">
        <v>20</v>
      </c>
      <c r="N38" s="5">
        <v>40</v>
      </c>
      <c r="O38" s="22" t="s">
        <v>683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pans="1:37" ht="15" customHeight="1" x14ac:dyDescent="0.2">
      <c r="A39" s="5" t="s">
        <v>679</v>
      </c>
      <c r="B39" s="5">
        <v>18201929</v>
      </c>
      <c r="C39" s="25" t="s">
        <v>648</v>
      </c>
      <c r="D39" s="25">
        <v>944263163</v>
      </c>
      <c r="E39" s="25">
        <v>944263163</v>
      </c>
      <c r="F39" s="5" t="s">
        <v>634</v>
      </c>
      <c r="G39" s="5">
        <v>0</v>
      </c>
      <c r="H39" s="25">
        <v>20250901</v>
      </c>
      <c r="I39" s="24" t="str">
        <f>TEXT(DATE(LEFT(H39,4), MID(H39,5,2), RIGHT(H39,2)), "M/d/yyyy")</f>
        <v>9/1/2025</v>
      </c>
      <c r="J39" s="25">
        <v>20250501</v>
      </c>
      <c r="K39" s="24" t="str">
        <f>TEXT(DATE(LEFT(J39,4), MID(J39,5,2), RIGHT(J39,2)), "M/d/yyyy")</f>
        <v>5/1/2025</v>
      </c>
      <c r="L39" s="5" t="s">
        <v>63</v>
      </c>
      <c r="M39" s="25">
        <v>20</v>
      </c>
      <c r="N39" s="5">
        <v>40</v>
      </c>
      <c r="O39" s="22" t="s">
        <v>683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spans="1:37" ht="15" customHeight="1" x14ac:dyDescent="0.2">
      <c r="A40" s="5" t="s">
        <v>678</v>
      </c>
      <c r="B40" s="5">
        <v>21421111</v>
      </c>
      <c r="C40" s="25" t="s">
        <v>648</v>
      </c>
      <c r="D40" s="25">
        <v>944324093</v>
      </c>
      <c r="E40" s="25">
        <v>944324093</v>
      </c>
      <c r="F40" s="5" t="s">
        <v>631</v>
      </c>
      <c r="G40" s="5">
        <v>0</v>
      </c>
      <c r="H40" s="25">
        <v>20250901</v>
      </c>
      <c r="I40" s="24" t="str">
        <f>TEXT(DATE(LEFT(H40,4), MID(H40,5,2), RIGHT(H40,2)), "M/d/yyyy")</f>
        <v>9/1/2025</v>
      </c>
      <c r="J40" s="25">
        <v>20250701</v>
      </c>
      <c r="K40" s="24" t="str">
        <f>TEXT(DATE(LEFT(J40,4), MID(J40,5,2), RIGHT(J40,2)), "M/d/yyyy")</f>
        <v>7/1/2025</v>
      </c>
      <c r="L40" s="5" t="s">
        <v>63</v>
      </c>
      <c r="M40" s="25">
        <v>20</v>
      </c>
      <c r="N40" s="5">
        <v>40</v>
      </c>
      <c r="O40" s="22" t="s">
        <v>683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spans="1:37" ht="15" customHeight="1" x14ac:dyDescent="0.2">
      <c r="A41" s="2" t="s">
        <v>658</v>
      </c>
      <c r="B41" s="2">
        <v>1706194</v>
      </c>
      <c r="D41" s="24">
        <v>893769789</v>
      </c>
      <c r="E41" s="24" t="str">
        <f>CONCATENATE(1,D41)</f>
        <v>1893769789</v>
      </c>
      <c r="F41" s="2" t="s">
        <v>289</v>
      </c>
      <c r="G41" s="2">
        <v>-375</v>
      </c>
      <c r="H41" s="24">
        <v>20250801</v>
      </c>
      <c r="I41" s="24" t="str">
        <f>TEXT(DATE(LEFT(H41,4), MID(H41,5,2), RIGHT(H41,2)), "M/d/yyyy")</f>
        <v>8/1/2025</v>
      </c>
      <c r="J41" s="24">
        <v>20250101</v>
      </c>
      <c r="K41" s="24" t="str">
        <f>TEXT(DATE(LEFT(J41,4), MID(J41,5,2), RIGHT(J41,2)), "M/d/yyyy")</f>
        <v>1/1/2025</v>
      </c>
      <c r="L41" s="2" t="s">
        <v>292</v>
      </c>
      <c r="M41" s="24">
        <v>0.04</v>
      </c>
      <c r="N41" s="2">
        <v>-15</v>
      </c>
      <c r="O41" s="22" t="s">
        <v>682</v>
      </c>
      <c r="T41" s="22">
        <v>0.15</v>
      </c>
      <c r="U41" s="22">
        <f>T41/M41</f>
        <v>3.75</v>
      </c>
    </row>
    <row r="42" spans="1:37" ht="15" customHeight="1" x14ac:dyDescent="0.2">
      <c r="A42" s="2" t="s">
        <v>661</v>
      </c>
      <c r="B42" s="2">
        <v>9213293</v>
      </c>
      <c r="D42" s="24">
        <v>924114074</v>
      </c>
      <c r="E42" s="24" t="str">
        <f>CONCATENATE(1,D42)</f>
        <v>1924114074</v>
      </c>
      <c r="F42" s="2" t="s">
        <v>446</v>
      </c>
      <c r="G42" s="2">
        <v>75.84</v>
      </c>
      <c r="H42" s="24">
        <v>20250901</v>
      </c>
      <c r="I42" s="24" t="str">
        <f>TEXT(DATE(LEFT(H42,4), MID(H42,5,2), RIGHT(H42,2)), "M/d/yyyy")</f>
        <v>9/1/2025</v>
      </c>
      <c r="J42" s="24">
        <v>20250101</v>
      </c>
      <c r="K42" s="24" t="str">
        <f>TEXT(DATE(LEFT(J42,4), MID(J42,5,2), RIGHT(J42,2)), "M/d/yyyy")</f>
        <v>1/1/2025</v>
      </c>
      <c r="L42" s="2" t="s">
        <v>292</v>
      </c>
      <c r="M42" s="24">
        <v>0.04</v>
      </c>
      <c r="N42" s="2">
        <v>3.03</v>
      </c>
      <c r="O42" s="22" t="s">
        <v>682</v>
      </c>
      <c r="S42" s="23"/>
    </row>
    <row r="43" spans="1:37" ht="15" customHeight="1" x14ac:dyDescent="0.2">
      <c r="A43" s="2" t="s">
        <v>652</v>
      </c>
      <c r="B43" s="2">
        <v>8307933</v>
      </c>
      <c r="C43" s="2" t="s">
        <v>648</v>
      </c>
      <c r="D43" s="24">
        <v>943558708</v>
      </c>
      <c r="E43" s="24">
        <v>943558708</v>
      </c>
      <c r="F43" s="2" t="s">
        <v>194</v>
      </c>
      <c r="G43" s="2">
        <v>0</v>
      </c>
      <c r="H43" s="24">
        <v>20241201</v>
      </c>
      <c r="I43" s="24" t="str">
        <f>TEXT(DATE(LEFT(H43,4), MID(H43,5,2), RIGHT(H43,2)), "M/d/yyyy")</f>
        <v>12/1/2024</v>
      </c>
      <c r="J43" s="24">
        <v>20240101</v>
      </c>
      <c r="K43" s="24" t="str">
        <f>TEXT(DATE(LEFT(J43,4), MID(J43,5,2), RIGHT(J43,2)), "M/d/yyyy")</f>
        <v>1/1/2024</v>
      </c>
      <c r="L43" s="2" t="s">
        <v>45</v>
      </c>
      <c r="M43" s="24">
        <v>25</v>
      </c>
      <c r="N43" s="2">
        <v>-50</v>
      </c>
      <c r="O43" s="22" t="s">
        <v>681</v>
      </c>
    </row>
    <row r="44" spans="1:37" ht="15" customHeight="1" x14ac:dyDescent="0.2">
      <c r="A44" s="2" t="s">
        <v>652</v>
      </c>
      <c r="B44" s="2">
        <v>8307933</v>
      </c>
      <c r="C44" s="2" t="s">
        <v>648</v>
      </c>
      <c r="D44" s="24">
        <v>943558708</v>
      </c>
      <c r="E44" s="24">
        <v>943558708</v>
      </c>
      <c r="F44" s="2" t="s">
        <v>194</v>
      </c>
      <c r="G44" s="2">
        <v>0</v>
      </c>
      <c r="H44" s="24">
        <v>20241101</v>
      </c>
      <c r="I44" s="24" t="str">
        <f>TEXT(DATE(LEFT(H44,4), MID(H44,5,2), RIGHT(H44,2)), "M/d/yyyy")</f>
        <v>11/1/2024</v>
      </c>
      <c r="J44" s="24">
        <v>20240101</v>
      </c>
      <c r="K44" s="24" t="str">
        <f>TEXT(DATE(LEFT(J44,4), MID(J44,5,2), RIGHT(J44,2)), "M/d/yyyy")</f>
        <v>1/1/2024</v>
      </c>
      <c r="L44" s="2" t="s">
        <v>45</v>
      </c>
      <c r="M44" s="24">
        <v>25</v>
      </c>
      <c r="N44" s="2">
        <v>-50</v>
      </c>
      <c r="O44" s="22" t="s">
        <v>681</v>
      </c>
    </row>
    <row r="45" spans="1:37" ht="15" customHeight="1" x14ac:dyDescent="0.2">
      <c r="A45" s="2" t="s">
        <v>652</v>
      </c>
      <c r="B45" s="2">
        <v>8307933</v>
      </c>
      <c r="C45" s="2" t="s">
        <v>648</v>
      </c>
      <c r="D45" s="24">
        <v>943558708</v>
      </c>
      <c r="E45" s="24">
        <v>943558708</v>
      </c>
      <c r="F45" s="2" t="s">
        <v>194</v>
      </c>
      <c r="G45" s="2">
        <v>0</v>
      </c>
      <c r="H45" s="24">
        <v>20241001</v>
      </c>
      <c r="I45" s="24" t="str">
        <f>TEXT(DATE(LEFT(H45,4), MID(H45,5,2), RIGHT(H45,2)), "M/d/yyyy")</f>
        <v>10/1/2024</v>
      </c>
      <c r="J45" s="24">
        <v>20240101</v>
      </c>
      <c r="K45" s="24" t="str">
        <f>TEXT(DATE(LEFT(J45,4), MID(J45,5,2), RIGHT(J45,2)), "M/d/yyyy")</f>
        <v>1/1/2024</v>
      </c>
      <c r="L45" s="2" t="s">
        <v>45</v>
      </c>
      <c r="M45" s="24">
        <v>25</v>
      </c>
      <c r="N45" s="2">
        <v>-50</v>
      </c>
      <c r="O45" s="22" t="s">
        <v>681</v>
      </c>
    </row>
    <row r="46" spans="1:37" ht="15" customHeight="1" x14ac:dyDescent="0.2">
      <c r="A46" s="2" t="s">
        <v>652</v>
      </c>
      <c r="B46" s="2">
        <v>8307933</v>
      </c>
      <c r="C46" s="2" t="s">
        <v>648</v>
      </c>
      <c r="D46" s="24">
        <v>943558708</v>
      </c>
      <c r="E46" s="24">
        <v>943558708</v>
      </c>
      <c r="F46" s="2" t="s">
        <v>194</v>
      </c>
      <c r="G46" s="2">
        <v>0</v>
      </c>
      <c r="H46" s="24">
        <v>20240901</v>
      </c>
      <c r="I46" s="24" t="str">
        <f>TEXT(DATE(LEFT(H46,4), MID(H46,5,2), RIGHT(H46,2)), "M/d/yyyy")</f>
        <v>9/1/2024</v>
      </c>
      <c r="J46" s="24">
        <v>20240101</v>
      </c>
      <c r="K46" s="24" t="str">
        <f>TEXT(DATE(LEFT(J46,4), MID(J46,5,2), RIGHT(J46,2)), "M/d/yyyy")</f>
        <v>1/1/2024</v>
      </c>
      <c r="L46" s="2" t="s">
        <v>45</v>
      </c>
      <c r="M46" s="24">
        <v>25</v>
      </c>
      <c r="N46" s="2">
        <v>-50</v>
      </c>
      <c r="O46" s="22" t="s">
        <v>681</v>
      </c>
    </row>
    <row r="47" spans="1:37" ht="15" customHeight="1" x14ac:dyDescent="0.2">
      <c r="A47" s="2" t="s">
        <v>658</v>
      </c>
      <c r="B47" s="2">
        <v>1706194</v>
      </c>
      <c r="C47" s="2" t="s">
        <v>648</v>
      </c>
      <c r="D47" s="24">
        <v>925353197</v>
      </c>
      <c r="E47" s="24">
        <v>925353197</v>
      </c>
      <c r="F47" s="2" t="s">
        <v>339</v>
      </c>
      <c r="G47" s="2">
        <v>0</v>
      </c>
      <c r="H47" s="24">
        <v>20250801</v>
      </c>
      <c r="I47" s="24" t="str">
        <f>TEXT(DATE(LEFT(H47,4), MID(H47,5,2), RIGHT(H47,2)), "M/d/yyyy")</f>
        <v>8/1/2025</v>
      </c>
      <c r="J47" s="24">
        <v>20200101</v>
      </c>
      <c r="K47" s="24" t="str">
        <f>TEXT(DATE(LEFT(J47,4), MID(J47,5,2), RIGHT(J47,2)), "M/d/yyyy")</f>
        <v>1/1/2020</v>
      </c>
      <c r="L47" s="2" t="s">
        <v>45</v>
      </c>
      <c r="M47" s="24">
        <v>25</v>
      </c>
      <c r="N47" s="2">
        <v>-50</v>
      </c>
      <c r="O47" s="22" t="s">
        <v>681</v>
      </c>
    </row>
    <row r="48" spans="1:37" ht="15" customHeight="1" x14ac:dyDescent="0.2">
      <c r="A48" s="2" t="s">
        <v>654</v>
      </c>
      <c r="B48" s="2">
        <v>9079571</v>
      </c>
      <c r="C48" s="24"/>
      <c r="D48" s="24">
        <v>943107197</v>
      </c>
      <c r="E48" s="24">
        <v>943107197</v>
      </c>
      <c r="F48" s="2" t="s">
        <v>252</v>
      </c>
      <c r="G48" s="2">
        <v>0</v>
      </c>
      <c r="H48" s="24">
        <v>20250901</v>
      </c>
      <c r="I48" s="24" t="str">
        <f>TEXT(DATE(LEFT(H48,4), MID(H48,5,2), RIGHT(H48,2)), "M/d/yyyy")</f>
        <v>9/1/2025</v>
      </c>
      <c r="J48" s="24">
        <v>20230901</v>
      </c>
      <c r="K48" s="24" t="str">
        <f>TEXT(DATE(LEFT(J48,4), MID(J48,5,2), RIGHT(J48,2)), "M/d/yyyy")</f>
        <v>9/1/2023</v>
      </c>
      <c r="L48" s="2" t="s">
        <v>45</v>
      </c>
      <c r="M48" s="24">
        <v>25</v>
      </c>
      <c r="N48" s="2">
        <v>25</v>
      </c>
      <c r="O48" s="22" t="s">
        <v>681</v>
      </c>
    </row>
    <row r="49" spans="1:15" ht="15" customHeight="1" x14ac:dyDescent="0.2">
      <c r="A49" s="2" t="s">
        <v>673</v>
      </c>
      <c r="B49" s="2">
        <v>18775576</v>
      </c>
      <c r="C49" s="24"/>
      <c r="D49" s="24">
        <v>924006903</v>
      </c>
      <c r="E49" s="24">
        <v>924006903</v>
      </c>
      <c r="F49" s="2" t="s">
        <v>553</v>
      </c>
      <c r="G49" s="2">
        <v>0</v>
      </c>
      <c r="H49" s="24">
        <v>20250901</v>
      </c>
      <c r="I49" s="24" t="str">
        <f>TEXT(DATE(LEFT(H49,4), MID(H49,5,2), RIGHT(H49,2)), "M/d/yyyy")</f>
        <v>9/1/2025</v>
      </c>
      <c r="J49" s="24">
        <v>20231001</v>
      </c>
      <c r="K49" s="24" t="str">
        <f>TEXT(DATE(LEFT(J49,4), MID(J49,5,2), RIGHT(J49,2)), "M/d/yyyy")</f>
        <v>10/1/2023</v>
      </c>
      <c r="L49" s="2" t="s">
        <v>45</v>
      </c>
      <c r="M49" s="24">
        <v>25</v>
      </c>
      <c r="N49" s="2">
        <v>25</v>
      </c>
      <c r="O49" s="22" t="s">
        <v>681</v>
      </c>
    </row>
    <row r="50" spans="1:15" ht="15" customHeight="1" x14ac:dyDescent="0.2">
      <c r="A50" s="2" t="s">
        <v>662</v>
      </c>
      <c r="B50" s="2">
        <v>7470776</v>
      </c>
      <c r="C50" s="24"/>
      <c r="D50" s="24">
        <v>943074903</v>
      </c>
      <c r="E50" s="24">
        <v>943074903</v>
      </c>
      <c r="F50" s="2" t="s">
        <v>459</v>
      </c>
      <c r="G50" s="2">
        <v>0</v>
      </c>
      <c r="H50" s="24">
        <v>20250901</v>
      </c>
      <c r="I50" s="24" t="str">
        <f>TEXT(DATE(LEFT(H50,4), MID(H50,5,2), RIGHT(H50,2)), "M/d/yyyy")</f>
        <v>9/1/2025</v>
      </c>
      <c r="J50" s="24">
        <v>20230701</v>
      </c>
      <c r="K50" s="24" t="str">
        <f>TEXT(DATE(LEFT(J50,4), MID(J50,5,2), RIGHT(J50,2)), "M/d/yyyy")</f>
        <v>7/1/2023</v>
      </c>
      <c r="L50" s="2" t="s">
        <v>45</v>
      </c>
      <c r="M50" s="24">
        <v>25</v>
      </c>
      <c r="N50" s="2">
        <v>25</v>
      </c>
      <c r="O50" s="22" t="s">
        <v>681</v>
      </c>
    </row>
    <row r="51" spans="1:15" ht="15" customHeight="1" x14ac:dyDescent="0.2">
      <c r="A51" s="2" t="s">
        <v>666</v>
      </c>
      <c r="B51" s="2">
        <v>19586992</v>
      </c>
      <c r="C51" s="24"/>
      <c r="D51" s="24">
        <v>925098395</v>
      </c>
      <c r="E51" s="24">
        <v>925098395</v>
      </c>
      <c r="F51" s="2" t="s">
        <v>493</v>
      </c>
      <c r="G51" s="2">
        <v>0</v>
      </c>
      <c r="H51" s="24">
        <v>20250901</v>
      </c>
      <c r="I51" s="24" t="str">
        <f>TEXT(DATE(LEFT(H51,4), MID(H51,5,2), RIGHT(H51,2)), "M/d/yyyy")</f>
        <v>9/1/2025</v>
      </c>
      <c r="J51" s="24">
        <v>20250101</v>
      </c>
      <c r="K51" s="24" t="str">
        <f>TEXT(DATE(LEFT(J51,4), MID(J51,5,2), RIGHT(J51,2)), "M/d/yyyy")</f>
        <v>1/1/2025</v>
      </c>
      <c r="L51" s="2" t="s">
        <v>45</v>
      </c>
      <c r="M51" s="24">
        <v>25</v>
      </c>
      <c r="N51" s="2">
        <v>25</v>
      </c>
      <c r="O51" s="22" t="s">
        <v>681</v>
      </c>
    </row>
    <row r="52" spans="1:15" ht="15" customHeight="1" x14ac:dyDescent="0.2">
      <c r="A52" s="2" t="s">
        <v>669</v>
      </c>
      <c r="B52" s="2">
        <v>20003537</v>
      </c>
      <c r="C52" s="24"/>
      <c r="D52" s="24">
        <v>925919562</v>
      </c>
      <c r="E52" s="24">
        <v>925919562</v>
      </c>
      <c r="F52" s="2" t="s">
        <v>522</v>
      </c>
      <c r="G52" s="2">
        <v>0</v>
      </c>
      <c r="H52" s="24">
        <v>20250901</v>
      </c>
      <c r="I52" s="24" t="str">
        <f>TEXT(DATE(LEFT(H52,4), MID(H52,5,2), RIGHT(H52,2)), "M/d/yyyy")</f>
        <v>9/1/2025</v>
      </c>
      <c r="J52" s="24">
        <v>20230201</v>
      </c>
      <c r="K52" s="24" t="str">
        <f>TEXT(DATE(LEFT(J52,4), MID(J52,5,2), RIGHT(J52,2)), "M/d/yyyy")</f>
        <v>2/1/2023</v>
      </c>
      <c r="L52" s="2" t="s">
        <v>45</v>
      </c>
      <c r="M52" s="24">
        <v>25</v>
      </c>
      <c r="N52" s="2">
        <v>25</v>
      </c>
      <c r="O52" s="22" t="s">
        <v>681</v>
      </c>
    </row>
    <row r="53" spans="1:15" ht="15" customHeight="1" x14ac:dyDescent="0.2">
      <c r="A53" s="2" t="s">
        <v>669</v>
      </c>
      <c r="B53" s="2">
        <v>20003537</v>
      </c>
      <c r="C53" s="24"/>
      <c r="D53" s="24">
        <v>943452674</v>
      </c>
      <c r="E53" s="24">
        <v>943452674</v>
      </c>
      <c r="F53" s="2" t="s">
        <v>524</v>
      </c>
      <c r="G53" s="2">
        <v>0</v>
      </c>
      <c r="H53" s="24">
        <v>20250901</v>
      </c>
      <c r="I53" s="24" t="str">
        <f>TEXT(DATE(LEFT(H53,4), MID(H53,5,2), RIGHT(H53,2)), "M/d/yyyy")</f>
        <v>9/1/2025</v>
      </c>
      <c r="J53" s="24">
        <v>20240101</v>
      </c>
      <c r="K53" s="24" t="str">
        <f>TEXT(DATE(LEFT(J53,4), MID(J53,5,2), RIGHT(J53,2)), "M/d/yyyy")</f>
        <v>1/1/2024</v>
      </c>
      <c r="L53" s="2" t="s">
        <v>45</v>
      </c>
      <c r="M53" s="24">
        <v>25</v>
      </c>
      <c r="N53" s="2">
        <v>25</v>
      </c>
      <c r="O53" s="22" t="s">
        <v>681</v>
      </c>
    </row>
    <row r="54" spans="1:15" ht="15" customHeight="1" x14ac:dyDescent="0.2">
      <c r="A54" s="2" t="s">
        <v>652</v>
      </c>
      <c r="B54" s="2">
        <v>8307933</v>
      </c>
      <c r="C54" s="24"/>
      <c r="D54" s="24">
        <v>893511760</v>
      </c>
      <c r="E54" s="24">
        <v>893511760</v>
      </c>
      <c r="F54" s="2" t="s">
        <v>39</v>
      </c>
      <c r="G54" s="2">
        <v>0</v>
      </c>
      <c r="H54" s="24">
        <v>20250901</v>
      </c>
      <c r="I54" s="24" t="str">
        <f>TEXT(DATE(LEFT(H54,4), MID(H54,5,2), RIGHT(H54,2)), "M/d/yyyy")</f>
        <v>9/1/2025</v>
      </c>
      <c r="J54" s="24">
        <v>20250401</v>
      </c>
      <c r="K54" s="24" t="str">
        <f>TEXT(DATE(LEFT(J54,4), MID(J54,5,2), RIGHT(J54,2)), "M/d/yyyy")</f>
        <v>4/1/2025</v>
      </c>
      <c r="L54" s="2" t="s">
        <v>45</v>
      </c>
      <c r="M54" s="24">
        <v>25</v>
      </c>
      <c r="N54" s="2">
        <v>25</v>
      </c>
      <c r="O54" s="22" t="s">
        <v>681</v>
      </c>
    </row>
    <row r="55" spans="1:15" ht="15" customHeight="1" x14ac:dyDescent="0.2">
      <c r="A55" s="2" t="s">
        <v>652</v>
      </c>
      <c r="B55" s="2">
        <v>8307933</v>
      </c>
      <c r="C55" s="24"/>
      <c r="D55" s="24">
        <v>893781602</v>
      </c>
      <c r="E55" s="24">
        <v>893781602</v>
      </c>
      <c r="F55" s="2" t="s">
        <v>54</v>
      </c>
      <c r="G55" s="2">
        <v>0</v>
      </c>
      <c r="H55" s="24">
        <v>20250901</v>
      </c>
      <c r="I55" s="24" t="str">
        <f>TEXT(DATE(LEFT(H55,4), MID(H55,5,2), RIGHT(H55,2)), "M/d/yyyy")</f>
        <v>9/1/2025</v>
      </c>
      <c r="J55" s="24">
        <v>20241201</v>
      </c>
      <c r="K55" s="24" t="str">
        <f>TEXT(DATE(LEFT(J55,4), MID(J55,5,2), RIGHT(J55,2)), "M/d/yyyy")</f>
        <v>12/1/2024</v>
      </c>
      <c r="L55" s="2" t="s">
        <v>45</v>
      </c>
      <c r="M55" s="24">
        <v>25</v>
      </c>
      <c r="N55" s="2">
        <v>25</v>
      </c>
      <c r="O55" s="22" t="s">
        <v>681</v>
      </c>
    </row>
    <row r="56" spans="1:15" ht="15" customHeight="1" x14ac:dyDescent="0.2">
      <c r="A56" s="2" t="s">
        <v>652</v>
      </c>
      <c r="B56" s="2">
        <v>8307933</v>
      </c>
      <c r="C56" s="24"/>
      <c r="D56" s="24">
        <v>924192935</v>
      </c>
      <c r="E56" s="24">
        <v>924192935</v>
      </c>
      <c r="F56" s="2" t="s">
        <v>68</v>
      </c>
      <c r="G56" s="2">
        <v>0</v>
      </c>
      <c r="H56" s="24">
        <v>20250901</v>
      </c>
      <c r="I56" s="24" t="str">
        <f>TEXT(DATE(LEFT(H56,4), MID(H56,5,2), RIGHT(H56,2)), "M/d/yyyy")</f>
        <v>9/1/2025</v>
      </c>
      <c r="J56" s="24">
        <v>20250101</v>
      </c>
      <c r="K56" s="24" t="str">
        <f>TEXT(DATE(LEFT(J56,4), MID(J56,5,2), RIGHT(J56,2)), "M/d/yyyy")</f>
        <v>1/1/2025</v>
      </c>
      <c r="L56" s="2" t="s">
        <v>45</v>
      </c>
      <c r="M56" s="24">
        <v>25</v>
      </c>
      <c r="N56" s="2">
        <v>25</v>
      </c>
      <c r="O56" s="22" t="s">
        <v>681</v>
      </c>
    </row>
    <row r="57" spans="1:15" ht="15" customHeight="1" x14ac:dyDescent="0.2">
      <c r="A57" s="2" t="s">
        <v>652</v>
      </c>
      <c r="B57" s="2">
        <v>8307933</v>
      </c>
      <c r="C57" s="24"/>
      <c r="D57" s="24">
        <v>924941153</v>
      </c>
      <c r="E57" s="24">
        <v>924941153</v>
      </c>
      <c r="F57" s="2" t="s">
        <v>84</v>
      </c>
      <c r="G57" s="2">
        <v>0</v>
      </c>
      <c r="H57" s="24">
        <v>20250901</v>
      </c>
      <c r="I57" s="24" t="str">
        <f>TEXT(DATE(LEFT(H57,4), MID(H57,5,2), RIGHT(H57,2)), "M/d/yyyy")</f>
        <v>9/1/2025</v>
      </c>
      <c r="J57" s="24">
        <v>20240501</v>
      </c>
      <c r="K57" s="24" t="str">
        <f>TEXT(DATE(LEFT(J57,4), MID(J57,5,2), RIGHT(J57,2)), "M/d/yyyy")</f>
        <v>5/1/2024</v>
      </c>
      <c r="L57" s="2" t="s">
        <v>45</v>
      </c>
      <c r="M57" s="24">
        <v>25</v>
      </c>
      <c r="N57" s="2">
        <v>25</v>
      </c>
      <c r="O57" s="22" t="s">
        <v>681</v>
      </c>
    </row>
    <row r="58" spans="1:15" ht="15" customHeight="1" x14ac:dyDescent="0.2">
      <c r="A58" s="2" t="s">
        <v>652</v>
      </c>
      <c r="B58" s="2">
        <v>8307933</v>
      </c>
      <c r="C58" s="24"/>
      <c r="D58" s="24">
        <v>925145455</v>
      </c>
      <c r="E58" s="24">
        <v>925145455</v>
      </c>
      <c r="F58" s="2" t="s">
        <v>92</v>
      </c>
      <c r="G58" s="2">
        <v>0</v>
      </c>
      <c r="H58" s="24">
        <v>20250901</v>
      </c>
      <c r="I58" s="24" t="str">
        <f>TEXT(DATE(LEFT(H58,4), MID(H58,5,2), RIGHT(H58,2)), "M/d/yyyy")</f>
        <v>9/1/2025</v>
      </c>
      <c r="J58" s="24">
        <v>20220101</v>
      </c>
      <c r="K58" s="24" t="str">
        <f>TEXT(DATE(LEFT(J58,4), MID(J58,5,2), RIGHT(J58,2)), "M/d/yyyy")</f>
        <v>1/1/2022</v>
      </c>
      <c r="L58" s="2" t="s">
        <v>45</v>
      </c>
      <c r="M58" s="24">
        <v>25</v>
      </c>
      <c r="N58" s="2">
        <v>25</v>
      </c>
      <c r="O58" s="22" t="s">
        <v>681</v>
      </c>
    </row>
    <row r="59" spans="1:15" ht="15" customHeight="1" x14ac:dyDescent="0.2">
      <c r="A59" s="2" t="s">
        <v>652</v>
      </c>
      <c r="B59" s="2">
        <v>8307933</v>
      </c>
      <c r="C59" s="24"/>
      <c r="D59" s="24">
        <v>925319540</v>
      </c>
      <c r="E59" s="24">
        <v>925319540</v>
      </c>
      <c r="F59" s="2" t="s">
        <v>94</v>
      </c>
      <c r="G59" s="2">
        <v>0</v>
      </c>
      <c r="H59" s="24">
        <v>20250901</v>
      </c>
      <c r="I59" s="24" t="str">
        <f>TEXT(DATE(LEFT(H59,4), MID(H59,5,2), RIGHT(H59,2)), "M/d/yyyy")</f>
        <v>9/1/2025</v>
      </c>
      <c r="J59" s="24">
        <v>20190601</v>
      </c>
      <c r="K59" s="24" t="str">
        <f>TEXT(DATE(LEFT(J59,4), MID(J59,5,2), RIGHT(J59,2)), "M/d/yyyy")</f>
        <v>6/1/2019</v>
      </c>
      <c r="L59" s="2" t="s">
        <v>45</v>
      </c>
      <c r="M59" s="24">
        <v>25</v>
      </c>
      <c r="N59" s="2">
        <v>25</v>
      </c>
      <c r="O59" s="22" t="s">
        <v>681</v>
      </c>
    </row>
    <row r="60" spans="1:15" ht="15" customHeight="1" x14ac:dyDescent="0.2">
      <c r="A60" s="2" t="s">
        <v>652</v>
      </c>
      <c r="B60" s="2">
        <v>8307933</v>
      </c>
      <c r="C60" s="24"/>
      <c r="D60" s="24">
        <v>925449446</v>
      </c>
      <c r="E60" s="24">
        <v>925449446</v>
      </c>
      <c r="F60" s="2" t="s">
        <v>104</v>
      </c>
      <c r="G60" s="2">
        <v>0</v>
      </c>
      <c r="H60" s="24">
        <v>20250901</v>
      </c>
      <c r="I60" s="24" t="str">
        <f>TEXT(DATE(LEFT(H60,4), MID(H60,5,2), RIGHT(H60,2)), "M/d/yyyy")</f>
        <v>9/1/2025</v>
      </c>
      <c r="J60" s="24">
        <v>20210101</v>
      </c>
      <c r="K60" s="24" t="str">
        <f>TEXT(DATE(LEFT(J60,4), MID(J60,5,2), RIGHT(J60,2)), "M/d/yyyy")</f>
        <v>1/1/2021</v>
      </c>
      <c r="L60" s="2" t="s">
        <v>45</v>
      </c>
      <c r="M60" s="24">
        <v>25</v>
      </c>
      <c r="N60" s="2">
        <v>25</v>
      </c>
      <c r="O60" s="22" t="s">
        <v>681</v>
      </c>
    </row>
    <row r="61" spans="1:15" ht="15" customHeight="1" x14ac:dyDescent="0.2">
      <c r="A61" s="2" t="s">
        <v>652</v>
      </c>
      <c r="B61" s="2">
        <v>8307933</v>
      </c>
      <c r="C61" s="24"/>
      <c r="D61" s="24">
        <v>925599337</v>
      </c>
      <c r="E61" s="24">
        <v>925599337</v>
      </c>
      <c r="F61" s="2" t="s">
        <v>106</v>
      </c>
      <c r="G61" s="2">
        <v>0</v>
      </c>
      <c r="H61" s="24">
        <v>20250901</v>
      </c>
      <c r="I61" s="24" t="str">
        <f>TEXT(DATE(LEFT(H61,4), MID(H61,5,2), RIGHT(H61,2)), "M/d/yyyy")</f>
        <v>9/1/2025</v>
      </c>
      <c r="J61" s="24">
        <v>20220101</v>
      </c>
      <c r="K61" s="24" t="str">
        <f>TEXT(DATE(LEFT(J61,4), MID(J61,5,2), RIGHT(J61,2)), "M/d/yyyy")</f>
        <v>1/1/2022</v>
      </c>
      <c r="L61" s="2" t="s">
        <v>45</v>
      </c>
      <c r="M61" s="24">
        <v>25</v>
      </c>
      <c r="N61" s="2">
        <v>25</v>
      </c>
      <c r="O61" s="22" t="s">
        <v>681</v>
      </c>
    </row>
    <row r="62" spans="1:15" ht="15" customHeight="1" x14ac:dyDescent="0.2">
      <c r="A62" s="2" t="s">
        <v>652</v>
      </c>
      <c r="B62" s="2">
        <v>8307933</v>
      </c>
      <c r="C62" s="24"/>
      <c r="D62" s="24">
        <v>925603148</v>
      </c>
      <c r="E62" s="24">
        <v>925603148</v>
      </c>
      <c r="F62" s="2" t="s">
        <v>109</v>
      </c>
      <c r="G62" s="2">
        <v>0</v>
      </c>
      <c r="H62" s="24">
        <v>20250901</v>
      </c>
      <c r="I62" s="24" t="str">
        <f>TEXT(DATE(LEFT(H62,4), MID(H62,5,2), RIGHT(H62,2)), "M/d/yyyy")</f>
        <v>9/1/2025</v>
      </c>
      <c r="J62" s="24">
        <v>20220101</v>
      </c>
      <c r="K62" s="24" t="str">
        <f>TEXT(DATE(LEFT(J62,4), MID(J62,5,2), RIGHT(J62,2)), "M/d/yyyy")</f>
        <v>1/1/2022</v>
      </c>
      <c r="L62" s="2" t="s">
        <v>45</v>
      </c>
      <c r="M62" s="24">
        <v>25</v>
      </c>
      <c r="N62" s="2">
        <v>25</v>
      </c>
      <c r="O62" s="22" t="s">
        <v>681</v>
      </c>
    </row>
    <row r="63" spans="1:15" ht="15" customHeight="1" x14ac:dyDescent="0.2">
      <c r="A63" s="2" t="s">
        <v>652</v>
      </c>
      <c r="B63" s="2">
        <v>8307933</v>
      </c>
      <c r="C63" s="24"/>
      <c r="D63" s="24">
        <v>925713773</v>
      </c>
      <c r="E63" s="24">
        <v>925713773</v>
      </c>
      <c r="F63" s="2" t="s">
        <v>124</v>
      </c>
      <c r="G63" s="2">
        <v>0</v>
      </c>
      <c r="H63" s="24">
        <v>20250901</v>
      </c>
      <c r="I63" s="24" t="str">
        <f>TEXT(DATE(LEFT(H63,4), MID(H63,5,2), RIGHT(H63,2)), "M/d/yyyy")</f>
        <v>9/1/2025</v>
      </c>
      <c r="J63" s="24">
        <v>20220801</v>
      </c>
      <c r="K63" s="24" t="str">
        <f>TEXT(DATE(LEFT(J63,4), MID(J63,5,2), RIGHT(J63,2)), "M/d/yyyy")</f>
        <v>8/1/2022</v>
      </c>
      <c r="L63" s="2" t="s">
        <v>45</v>
      </c>
      <c r="M63" s="24">
        <v>25</v>
      </c>
      <c r="N63" s="2">
        <v>25</v>
      </c>
      <c r="O63" s="22" t="s">
        <v>681</v>
      </c>
    </row>
    <row r="64" spans="1:15" ht="15" customHeight="1" x14ac:dyDescent="0.2">
      <c r="A64" s="2" t="s">
        <v>652</v>
      </c>
      <c r="B64" s="2">
        <v>8307933</v>
      </c>
      <c r="C64" s="24"/>
      <c r="D64" s="24">
        <v>925833175</v>
      </c>
      <c r="E64" s="24">
        <v>925833175</v>
      </c>
      <c r="F64" s="2" t="s">
        <v>132</v>
      </c>
      <c r="G64" s="2">
        <v>0</v>
      </c>
      <c r="H64" s="24">
        <v>20250901</v>
      </c>
      <c r="I64" s="24" t="str">
        <f>TEXT(DATE(LEFT(H64,4), MID(H64,5,2), RIGHT(H64,2)), "M/d/yyyy")</f>
        <v>9/1/2025</v>
      </c>
      <c r="J64" s="24">
        <v>20241201</v>
      </c>
      <c r="K64" s="24" t="str">
        <f>TEXT(DATE(LEFT(J64,4), MID(J64,5,2), RIGHT(J64,2)), "M/d/yyyy")</f>
        <v>12/1/2024</v>
      </c>
      <c r="L64" s="2" t="s">
        <v>45</v>
      </c>
      <c r="M64" s="24">
        <v>25</v>
      </c>
      <c r="N64" s="2">
        <v>25</v>
      </c>
      <c r="O64" s="22" t="s">
        <v>681</v>
      </c>
    </row>
    <row r="65" spans="1:15" ht="15" customHeight="1" x14ac:dyDescent="0.2">
      <c r="A65" s="2" t="s">
        <v>652</v>
      </c>
      <c r="B65" s="2">
        <v>8307933</v>
      </c>
      <c r="C65" s="24"/>
      <c r="D65" s="24">
        <v>925898517</v>
      </c>
      <c r="E65" s="24">
        <v>925898517</v>
      </c>
      <c r="F65" s="2" t="s">
        <v>140</v>
      </c>
      <c r="G65" s="2">
        <v>0</v>
      </c>
      <c r="H65" s="24">
        <v>20250901</v>
      </c>
      <c r="I65" s="24" t="str">
        <f>TEXT(DATE(LEFT(H65,4), MID(H65,5,2), RIGHT(H65,2)), "M/d/yyyy")</f>
        <v>9/1/2025</v>
      </c>
      <c r="J65" s="24">
        <v>20230201</v>
      </c>
      <c r="K65" s="24" t="str">
        <f>TEXT(DATE(LEFT(J65,4), MID(J65,5,2), RIGHT(J65,2)), "M/d/yyyy")</f>
        <v>2/1/2023</v>
      </c>
      <c r="L65" s="2" t="s">
        <v>45</v>
      </c>
      <c r="M65" s="24">
        <v>25</v>
      </c>
      <c r="N65" s="2">
        <v>25</v>
      </c>
      <c r="O65" s="22" t="s">
        <v>681</v>
      </c>
    </row>
    <row r="66" spans="1:15" ht="15" customHeight="1" x14ac:dyDescent="0.2">
      <c r="A66" s="2" t="s">
        <v>652</v>
      </c>
      <c r="B66" s="2">
        <v>8307933</v>
      </c>
      <c r="C66" s="24"/>
      <c r="D66" s="24">
        <v>925949016</v>
      </c>
      <c r="E66" s="24">
        <v>925949016</v>
      </c>
      <c r="F66" s="2" t="s">
        <v>146</v>
      </c>
      <c r="G66" s="2">
        <v>0</v>
      </c>
      <c r="H66" s="24">
        <v>20250901</v>
      </c>
      <c r="I66" s="24" t="str">
        <f>TEXT(DATE(LEFT(H66,4), MID(H66,5,2), RIGHT(H66,2)), "M/d/yyyy")</f>
        <v>9/1/2025</v>
      </c>
      <c r="J66" s="24">
        <v>20230301</v>
      </c>
      <c r="K66" s="24" t="str">
        <f>TEXT(DATE(LEFT(J66,4), MID(J66,5,2), RIGHT(J66,2)), "M/d/yyyy")</f>
        <v>3/1/2023</v>
      </c>
      <c r="L66" s="2" t="s">
        <v>45</v>
      </c>
      <c r="M66" s="24">
        <v>25</v>
      </c>
      <c r="N66" s="2">
        <v>25</v>
      </c>
      <c r="O66" s="22" t="s">
        <v>681</v>
      </c>
    </row>
    <row r="67" spans="1:15" ht="15" customHeight="1" x14ac:dyDescent="0.2">
      <c r="A67" s="2" t="s">
        <v>652</v>
      </c>
      <c r="B67" s="2">
        <v>8307933</v>
      </c>
      <c r="C67" s="24"/>
      <c r="D67" s="24">
        <v>925949720</v>
      </c>
      <c r="E67" s="24">
        <v>925949720</v>
      </c>
      <c r="F67" s="2" t="s">
        <v>150</v>
      </c>
      <c r="G67" s="2">
        <v>0</v>
      </c>
      <c r="H67" s="24">
        <v>20250901</v>
      </c>
      <c r="I67" s="24" t="str">
        <f>TEXT(DATE(LEFT(H67,4), MID(H67,5,2), RIGHT(H67,2)), "M/d/yyyy")</f>
        <v>9/1/2025</v>
      </c>
      <c r="J67" s="24">
        <v>20230301</v>
      </c>
      <c r="K67" s="24" t="str">
        <f>TEXT(DATE(LEFT(J67,4), MID(J67,5,2), RIGHT(J67,2)), "M/d/yyyy")</f>
        <v>3/1/2023</v>
      </c>
      <c r="L67" s="2" t="s">
        <v>45</v>
      </c>
      <c r="M67" s="24">
        <v>25</v>
      </c>
      <c r="N67" s="2">
        <v>25</v>
      </c>
      <c r="O67" s="22" t="s">
        <v>681</v>
      </c>
    </row>
    <row r="68" spans="1:15" ht="15" customHeight="1" x14ac:dyDescent="0.2">
      <c r="A68" s="2" t="s">
        <v>652</v>
      </c>
      <c r="B68" s="2">
        <v>8307933</v>
      </c>
      <c r="C68" s="24"/>
      <c r="D68" s="24">
        <v>943009818</v>
      </c>
      <c r="E68" s="24">
        <v>943009818</v>
      </c>
      <c r="F68" s="2" t="s">
        <v>156</v>
      </c>
      <c r="G68" s="2">
        <v>0</v>
      </c>
      <c r="H68" s="24">
        <v>20250901</v>
      </c>
      <c r="I68" s="24" t="str">
        <f>TEXT(DATE(LEFT(H68,4), MID(H68,5,2), RIGHT(H68,2)), "M/d/yyyy")</f>
        <v>9/1/2025</v>
      </c>
      <c r="J68" s="24">
        <v>20210701</v>
      </c>
      <c r="K68" s="24" t="str">
        <f>TEXT(DATE(LEFT(J68,4), MID(J68,5,2), RIGHT(J68,2)), "M/d/yyyy")</f>
        <v>7/1/2021</v>
      </c>
      <c r="L68" s="2" t="s">
        <v>45</v>
      </c>
      <c r="M68" s="24">
        <v>25</v>
      </c>
      <c r="N68" s="2">
        <v>25</v>
      </c>
      <c r="O68" s="22" t="s">
        <v>681</v>
      </c>
    </row>
    <row r="69" spans="1:15" ht="15" customHeight="1" x14ac:dyDescent="0.2">
      <c r="A69" s="2" t="s">
        <v>652</v>
      </c>
      <c r="B69" s="2">
        <v>8307933</v>
      </c>
      <c r="C69" s="24"/>
      <c r="D69" s="24">
        <v>943035272</v>
      </c>
      <c r="E69" s="24">
        <v>943035272</v>
      </c>
      <c r="F69" s="2" t="s">
        <v>166</v>
      </c>
      <c r="G69" s="2">
        <v>0</v>
      </c>
      <c r="H69" s="24">
        <v>20250901</v>
      </c>
      <c r="I69" s="24" t="str">
        <f>TEXT(DATE(LEFT(H69,4), MID(H69,5,2), RIGHT(H69,2)), "M/d/yyyy")</f>
        <v>9/1/2025</v>
      </c>
      <c r="J69" s="24">
        <v>20220301</v>
      </c>
      <c r="K69" s="24" t="str">
        <f>TEXT(DATE(LEFT(J69,4), MID(J69,5,2), RIGHT(J69,2)), "M/d/yyyy")</f>
        <v>3/1/2022</v>
      </c>
      <c r="L69" s="2" t="s">
        <v>45</v>
      </c>
      <c r="M69" s="24">
        <v>25</v>
      </c>
      <c r="N69" s="2">
        <v>25</v>
      </c>
      <c r="O69" s="22" t="s">
        <v>681</v>
      </c>
    </row>
    <row r="70" spans="1:15" ht="15" customHeight="1" x14ac:dyDescent="0.2">
      <c r="A70" s="2" t="s">
        <v>652</v>
      </c>
      <c r="B70" s="2">
        <v>8307933</v>
      </c>
      <c r="C70" s="24"/>
      <c r="D70" s="24">
        <v>943045439</v>
      </c>
      <c r="E70" s="24">
        <v>943045439</v>
      </c>
      <c r="F70" s="2" t="s">
        <v>168</v>
      </c>
      <c r="G70" s="2">
        <v>0</v>
      </c>
      <c r="H70" s="24">
        <v>20250901</v>
      </c>
      <c r="I70" s="24" t="str">
        <f>TEXT(DATE(LEFT(H70,4), MID(H70,5,2), RIGHT(H70,2)), "M/d/yyyy")</f>
        <v>9/1/2025</v>
      </c>
      <c r="J70" s="24">
        <v>20230601</v>
      </c>
      <c r="K70" s="24" t="str">
        <f>TEXT(DATE(LEFT(J70,4), MID(J70,5,2), RIGHT(J70,2)), "M/d/yyyy")</f>
        <v>6/1/2023</v>
      </c>
      <c r="L70" s="2" t="s">
        <v>45</v>
      </c>
      <c r="M70" s="24">
        <v>25</v>
      </c>
      <c r="N70" s="2">
        <v>25</v>
      </c>
      <c r="O70" s="22" t="s">
        <v>681</v>
      </c>
    </row>
    <row r="71" spans="1:15" ht="15" customHeight="1" x14ac:dyDescent="0.2">
      <c r="A71" s="2" t="s">
        <v>652</v>
      </c>
      <c r="B71" s="2">
        <v>8307933</v>
      </c>
      <c r="C71" s="24"/>
      <c r="D71" s="24">
        <v>943169327</v>
      </c>
      <c r="E71" s="24">
        <v>943169327</v>
      </c>
      <c r="F71" s="2" t="s">
        <v>172</v>
      </c>
      <c r="G71" s="2">
        <v>0</v>
      </c>
      <c r="H71" s="24">
        <v>20250901</v>
      </c>
      <c r="I71" s="24" t="str">
        <f>TEXT(DATE(LEFT(H71,4), MID(H71,5,2), RIGHT(H71,2)), "M/d/yyyy")</f>
        <v>9/1/2025</v>
      </c>
      <c r="J71" s="24">
        <v>20231101</v>
      </c>
      <c r="K71" s="24" t="str">
        <f>TEXT(DATE(LEFT(J71,4), MID(J71,5,2), RIGHT(J71,2)), "M/d/yyyy")</f>
        <v>11/1/2023</v>
      </c>
      <c r="L71" s="2" t="s">
        <v>45</v>
      </c>
      <c r="M71" s="24">
        <v>25</v>
      </c>
      <c r="N71" s="2">
        <v>25</v>
      </c>
      <c r="O71" s="22" t="s">
        <v>681</v>
      </c>
    </row>
    <row r="72" spans="1:15" ht="15" customHeight="1" x14ac:dyDescent="0.2">
      <c r="A72" s="2" t="s">
        <v>652</v>
      </c>
      <c r="B72" s="2">
        <v>8307933</v>
      </c>
      <c r="C72" s="24"/>
      <c r="D72" s="24">
        <v>943273702</v>
      </c>
      <c r="E72" s="24">
        <v>943273702</v>
      </c>
      <c r="F72" s="2" t="s">
        <v>176</v>
      </c>
      <c r="G72" s="2">
        <v>0</v>
      </c>
      <c r="H72" s="24">
        <v>20250901</v>
      </c>
      <c r="I72" s="24" t="str">
        <f>TEXT(DATE(LEFT(H72,4), MID(H72,5,2), RIGHT(H72,2)), "M/d/yyyy")</f>
        <v>9/1/2025</v>
      </c>
      <c r="J72" s="24">
        <v>20231201</v>
      </c>
      <c r="K72" s="24" t="str">
        <f>TEXT(DATE(LEFT(J72,4), MID(J72,5,2), RIGHT(J72,2)), "M/d/yyyy")</f>
        <v>12/1/2023</v>
      </c>
      <c r="L72" s="2" t="s">
        <v>45</v>
      </c>
      <c r="M72" s="24">
        <v>25</v>
      </c>
      <c r="N72" s="2">
        <v>25</v>
      </c>
      <c r="O72" s="22" t="s">
        <v>681</v>
      </c>
    </row>
    <row r="73" spans="1:15" ht="15" customHeight="1" x14ac:dyDescent="0.2">
      <c r="A73" s="2" t="s">
        <v>652</v>
      </c>
      <c r="B73" s="2">
        <v>8307933</v>
      </c>
      <c r="C73" s="24"/>
      <c r="D73" s="24">
        <v>943372637</v>
      </c>
      <c r="E73" s="24">
        <v>943372637</v>
      </c>
      <c r="F73" s="2" t="s">
        <v>186</v>
      </c>
      <c r="G73" s="2">
        <v>0</v>
      </c>
      <c r="H73" s="24">
        <v>20250901</v>
      </c>
      <c r="I73" s="24" t="str">
        <f>TEXT(DATE(LEFT(H73,4), MID(H73,5,2), RIGHT(H73,2)), "M/d/yyyy")</f>
        <v>9/1/2025</v>
      </c>
      <c r="J73" s="24">
        <v>20240101</v>
      </c>
      <c r="K73" s="24" t="str">
        <f>TEXT(DATE(LEFT(J73,4), MID(J73,5,2), RIGHT(J73,2)), "M/d/yyyy")</f>
        <v>1/1/2024</v>
      </c>
      <c r="L73" s="2" t="s">
        <v>45</v>
      </c>
      <c r="M73" s="24">
        <v>25</v>
      </c>
      <c r="N73" s="2">
        <v>25</v>
      </c>
      <c r="O73" s="22" t="s">
        <v>681</v>
      </c>
    </row>
    <row r="74" spans="1:15" ht="15" customHeight="1" x14ac:dyDescent="0.2">
      <c r="A74" s="2" t="s">
        <v>652</v>
      </c>
      <c r="B74" s="2">
        <v>8307933</v>
      </c>
      <c r="C74" s="24"/>
      <c r="D74" s="24">
        <v>943435843</v>
      </c>
      <c r="E74" s="24">
        <v>943435843</v>
      </c>
      <c r="F74" s="2" t="s">
        <v>188</v>
      </c>
      <c r="G74" s="2">
        <v>0</v>
      </c>
      <c r="H74" s="24">
        <v>20250901</v>
      </c>
      <c r="I74" s="24" t="str">
        <f>TEXT(DATE(LEFT(H74,4), MID(H74,5,2), RIGHT(H74,2)), "M/d/yyyy")</f>
        <v>9/1/2025</v>
      </c>
      <c r="J74" s="24">
        <v>20240101</v>
      </c>
      <c r="K74" s="24" t="str">
        <f>TEXT(DATE(LEFT(J74,4), MID(J74,5,2), RIGHT(J74,2)), "M/d/yyyy")</f>
        <v>1/1/2024</v>
      </c>
      <c r="L74" s="2" t="s">
        <v>45</v>
      </c>
      <c r="M74" s="24">
        <v>25</v>
      </c>
      <c r="N74" s="2">
        <v>25</v>
      </c>
      <c r="O74" s="22" t="s">
        <v>681</v>
      </c>
    </row>
    <row r="75" spans="1:15" ht="15" customHeight="1" x14ac:dyDescent="0.2">
      <c r="A75" s="2" t="s">
        <v>652</v>
      </c>
      <c r="B75" s="2">
        <v>8307933</v>
      </c>
      <c r="C75" s="24"/>
      <c r="D75" s="24">
        <v>943494724</v>
      </c>
      <c r="E75" s="24">
        <v>943494724</v>
      </c>
      <c r="F75" s="2" t="s">
        <v>192</v>
      </c>
      <c r="G75" s="2">
        <v>0</v>
      </c>
      <c r="H75" s="24">
        <v>20250901</v>
      </c>
      <c r="I75" s="24" t="str">
        <f>TEXT(DATE(LEFT(H75,4), MID(H75,5,2), RIGHT(H75,2)), "M/d/yyyy")</f>
        <v>9/1/2025</v>
      </c>
      <c r="J75" s="24">
        <v>20240101</v>
      </c>
      <c r="K75" s="24" t="str">
        <f>TEXT(DATE(LEFT(J75,4), MID(J75,5,2), RIGHT(J75,2)), "M/d/yyyy")</f>
        <v>1/1/2024</v>
      </c>
      <c r="L75" s="2" t="s">
        <v>45</v>
      </c>
      <c r="M75" s="24">
        <v>25</v>
      </c>
      <c r="N75" s="2">
        <v>25</v>
      </c>
      <c r="O75" s="22" t="s">
        <v>681</v>
      </c>
    </row>
    <row r="76" spans="1:15" ht="15" customHeight="1" x14ac:dyDescent="0.2">
      <c r="A76" s="2" t="s">
        <v>668</v>
      </c>
      <c r="B76" s="2">
        <v>16865615</v>
      </c>
      <c r="C76" s="24"/>
      <c r="D76" s="24">
        <v>944175933</v>
      </c>
      <c r="E76" s="24">
        <v>944175933</v>
      </c>
      <c r="F76" s="2" t="s">
        <v>509</v>
      </c>
      <c r="G76" s="2">
        <v>0</v>
      </c>
      <c r="H76" s="24">
        <v>20250901</v>
      </c>
      <c r="I76" s="24" t="str">
        <f>TEXT(DATE(LEFT(H76,4), MID(H76,5,2), RIGHT(H76,2)), "M/d/yyyy")</f>
        <v>9/1/2025</v>
      </c>
      <c r="J76" s="24">
        <v>20250201</v>
      </c>
      <c r="K76" s="24" t="str">
        <f>TEXT(DATE(LEFT(J76,4), MID(J76,5,2), RIGHT(J76,2)), "M/d/yyyy")</f>
        <v>2/1/2025</v>
      </c>
      <c r="L76" s="2" t="s">
        <v>45</v>
      </c>
      <c r="M76" s="24">
        <v>25</v>
      </c>
      <c r="N76" s="2">
        <v>25</v>
      </c>
      <c r="O76" s="22" t="s">
        <v>681</v>
      </c>
    </row>
    <row r="77" spans="1:15" ht="15" customHeight="1" x14ac:dyDescent="0.2">
      <c r="A77" s="2" t="s">
        <v>659</v>
      </c>
      <c r="B77" s="2">
        <v>17071294</v>
      </c>
      <c r="C77" s="24"/>
      <c r="D77" s="24">
        <v>944163313</v>
      </c>
      <c r="E77" s="24">
        <v>944163313</v>
      </c>
      <c r="F77" s="2" t="s">
        <v>429</v>
      </c>
      <c r="G77" s="2">
        <v>0</v>
      </c>
      <c r="H77" s="24">
        <v>20250901</v>
      </c>
      <c r="I77" s="24" t="str">
        <f>TEXT(DATE(LEFT(H77,4), MID(H77,5,2), RIGHT(H77,2)), "M/d/yyyy")</f>
        <v>9/1/2025</v>
      </c>
      <c r="J77" s="24">
        <v>20250101</v>
      </c>
      <c r="K77" s="24" t="str">
        <f>TEXT(DATE(LEFT(J77,4), MID(J77,5,2), RIGHT(J77,2)), "M/d/yyyy")</f>
        <v>1/1/2025</v>
      </c>
      <c r="L77" s="2" t="s">
        <v>45</v>
      </c>
      <c r="M77" s="24">
        <v>25</v>
      </c>
      <c r="N77" s="2">
        <v>25</v>
      </c>
      <c r="O77" s="22" t="s">
        <v>681</v>
      </c>
    </row>
    <row r="78" spans="1:15" ht="15" customHeight="1" x14ac:dyDescent="0.2">
      <c r="A78" s="2" t="s">
        <v>659</v>
      </c>
      <c r="B78" s="2">
        <v>17071294</v>
      </c>
      <c r="C78" s="24"/>
      <c r="D78" s="24">
        <v>944272492</v>
      </c>
      <c r="E78" s="24">
        <v>944272492</v>
      </c>
      <c r="F78" s="2" t="s">
        <v>433</v>
      </c>
      <c r="G78" s="2">
        <v>0</v>
      </c>
      <c r="H78" s="24">
        <v>20250901</v>
      </c>
      <c r="I78" s="24" t="str">
        <f>TEXT(DATE(LEFT(H78,4), MID(H78,5,2), RIGHT(H78,2)), "M/d/yyyy")</f>
        <v>9/1/2025</v>
      </c>
      <c r="J78" s="24">
        <v>20250501</v>
      </c>
      <c r="K78" s="24" t="str">
        <f>TEXT(DATE(LEFT(J78,4), MID(J78,5,2), RIGHT(J78,2)), "M/d/yyyy")</f>
        <v>5/1/2025</v>
      </c>
      <c r="L78" s="2" t="s">
        <v>45</v>
      </c>
      <c r="M78" s="24">
        <v>25</v>
      </c>
      <c r="N78" s="2">
        <v>25</v>
      </c>
      <c r="O78" s="22" t="s">
        <v>681</v>
      </c>
    </row>
    <row r="79" spans="1:15" ht="15" customHeight="1" x14ac:dyDescent="0.2">
      <c r="A79" s="2" t="s">
        <v>657</v>
      </c>
      <c r="B79" s="2">
        <v>18134413</v>
      </c>
      <c r="C79" s="24"/>
      <c r="D79" s="24">
        <v>924227221</v>
      </c>
      <c r="E79" s="24">
        <v>924227221</v>
      </c>
      <c r="F79" s="2" t="s">
        <v>270</v>
      </c>
      <c r="G79" s="2">
        <v>0</v>
      </c>
      <c r="H79" s="24">
        <v>20250901</v>
      </c>
      <c r="I79" s="24" t="str">
        <f>TEXT(DATE(LEFT(H79,4), MID(H79,5,2), RIGHT(H79,2)), "M/d/yyyy")</f>
        <v>9/1/2025</v>
      </c>
      <c r="J79" s="24">
        <v>20240101</v>
      </c>
      <c r="K79" s="24" t="str">
        <f>TEXT(DATE(LEFT(J79,4), MID(J79,5,2), RIGHT(J79,2)), "M/d/yyyy")</f>
        <v>1/1/2024</v>
      </c>
      <c r="L79" s="2" t="s">
        <v>45</v>
      </c>
      <c r="M79" s="24">
        <v>25</v>
      </c>
      <c r="N79" s="2">
        <v>25</v>
      </c>
      <c r="O79" s="22" t="s">
        <v>681</v>
      </c>
    </row>
    <row r="80" spans="1:15" ht="15" customHeight="1" x14ac:dyDescent="0.2">
      <c r="A80" s="2" t="s">
        <v>657</v>
      </c>
      <c r="B80" s="2">
        <v>18134413</v>
      </c>
      <c r="C80" s="24"/>
      <c r="D80" s="24">
        <v>924227221</v>
      </c>
      <c r="E80" s="24">
        <v>924227221</v>
      </c>
      <c r="F80" s="2" t="s">
        <v>270</v>
      </c>
      <c r="G80" s="2">
        <v>0</v>
      </c>
      <c r="H80" s="24">
        <v>20250801</v>
      </c>
      <c r="I80" s="24" t="str">
        <f>TEXT(DATE(LEFT(H80,4), MID(H80,5,2), RIGHT(H80,2)), "M/d/yyyy")</f>
        <v>8/1/2025</v>
      </c>
      <c r="J80" s="24">
        <v>20240101</v>
      </c>
      <c r="K80" s="24" t="str">
        <f>TEXT(DATE(LEFT(J80,4), MID(J80,5,2), RIGHT(J80,2)), "M/d/yyyy")</f>
        <v>1/1/2024</v>
      </c>
      <c r="L80" s="2" t="s">
        <v>45</v>
      </c>
      <c r="M80" s="24">
        <v>25</v>
      </c>
      <c r="N80" s="2">
        <v>25</v>
      </c>
      <c r="O80" s="22" t="s">
        <v>681</v>
      </c>
    </row>
    <row r="81" spans="1:15" ht="15" customHeight="1" x14ac:dyDescent="0.2">
      <c r="A81" s="2" t="s">
        <v>657</v>
      </c>
      <c r="B81" s="2">
        <v>18134413</v>
      </c>
      <c r="C81" s="24"/>
      <c r="D81" s="24">
        <v>925254609</v>
      </c>
      <c r="E81" s="24">
        <v>925254609</v>
      </c>
      <c r="F81" s="2" t="s">
        <v>274</v>
      </c>
      <c r="G81" s="2">
        <v>0</v>
      </c>
      <c r="H81" s="24">
        <v>20250901</v>
      </c>
      <c r="I81" s="24" t="str">
        <f>TEXT(DATE(LEFT(H81,4), MID(H81,5,2), RIGHT(H81,2)), "M/d/yyyy")</f>
        <v>9/1/2025</v>
      </c>
      <c r="J81" s="24">
        <v>20190101</v>
      </c>
      <c r="K81" s="24" t="str">
        <f>TEXT(DATE(LEFT(J81,4), MID(J81,5,2), RIGHT(J81,2)), "M/d/yyyy")</f>
        <v>1/1/2019</v>
      </c>
      <c r="L81" s="2" t="s">
        <v>45</v>
      </c>
      <c r="M81" s="24">
        <v>25</v>
      </c>
      <c r="N81" s="2">
        <v>25</v>
      </c>
      <c r="O81" s="22" t="s">
        <v>681</v>
      </c>
    </row>
    <row r="82" spans="1:15" ht="15" customHeight="1" x14ac:dyDescent="0.2">
      <c r="A82" s="2" t="s">
        <v>658</v>
      </c>
      <c r="B82" s="2">
        <v>1706194</v>
      </c>
      <c r="C82" s="24"/>
      <c r="D82" s="24">
        <v>893308450</v>
      </c>
      <c r="E82" s="24">
        <v>893308450</v>
      </c>
      <c r="F82" s="2" t="s">
        <v>281</v>
      </c>
      <c r="G82" s="2">
        <v>0</v>
      </c>
      <c r="H82" s="24">
        <v>20250901</v>
      </c>
      <c r="I82" s="24" t="str">
        <f>TEXT(DATE(LEFT(H82,4), MID(H82,5,2), RIGHT(H82,2)), "M/d/yyyy")</f>
        <v>9/1/2025</v>
      </c>
      <c r="J82" s="24">
        <v>20230101</v>
      </c>
      <c r="K82" s="24" t="str">
        <f>TEXT(DATE(LEFT(J82,4), MID(J82,5,2), RIGHT(J82,2)), "M/d/yyyy")</f>
        <v>1/1/2023</v>
      </c>
      <c r="L82" s="2" t="s">
        <v>45</v>
      </c>
      <c r="M82" s="24">
        <v>25</v>
      </c>
      <c r="N82" s="2">
        <v>25</v>
      </c>
      <c r="O82" s="22" t="s">
        <v>681</v>
      </c>
    </row>
    <row r="83" spans="1:15" ht="15" customHeight="1" x14ac:dyDescent="0.2">
      <c r="A83" s="2" t="s">
        <v>658</v>
      </c>
      <c r="B83" s="2">
        <v>1706194</v>
      </c>
      <c r="C83" s="24"/>
      <c r="D83" s="24">
        <v>924005102</v>
      </c>
      <c r="E83" s="24">
        <v>924005102</v>
      </c>
      <c r="F83" s="2" t="s">
        <v>301</v>
      </c>
      <c r="G83" s="2">
        <v>0</v>
      </c>
      <c r="H83" s="24">
        <v>20250901</v>
      </c>
      <c r="I83" s="24" t="str">
        <f>TEXT(DATE(LEFT(H83,4), MID(H83,5,2), RIGHT(H83,2)), "M/d/yyyy")</f>
        <v>9/1/2025</v>
      </c>
      <c r="J83" s="24">
        <v>20240401</v>
      </c>
      <c r="K83" s="24" t="str">
        <f>TEXT(DATE(LEFT(J83,4), MID(J83,5,2), RIGHT(J83,2)), "M/d/yyyy")</f>
        <v>4/1/2024</v>
      </c>
      <c r="L83" s="2" t="s">
        <v>45</v>
      </c>
      <c r="M83" s="24">
        <v>25</v>
      </c>
      <c r="N83" s="2">
        <v>25</v>
      </c>
      <c r="O83" s="22" t="s">
        <v>681</v>
      </c>
    </row>
    <row r="84" spans="1:15" ht="15" customHeight="1" x14ac:dyDescent="0.2">
      <c r="A84" s="2" t="s">
        <v>658</v>
      </c>
      <c r="B84" s="2">
        <v>1706194</v>
      </c>
      <c r="C84" s="24"/>
      <c r="D84" s="24">
        <v>924142066</v>
      </c>
      <c r="E84" s="24">
        <v>924142066</v>
      </c>
      <c r="F84" s="2" t="s">
        <v>305</v>
      </c>
      <c r="G84" s="2">
        <v>0</v>
      </c>
      <c r="H84" s="24">
        <v>20250901</v>
      </c>
      <c r="I84" s="24" t="str">
        <f>TEXT(DATE(LEFT(H84,4), MID(H84,5,2), RIGHT(H84,2)), "M/d/yyyy")</f>
        <v>9/1/2025</v>
      </c>
      <c r="J84" s="24">
        <v>20210101</v>
      </c>
      <c r="K84" s="24" t="str">
        <f>TEXT(DATE(LEFT(J84,4), MID(J84,5,2), RIGHT(J84,2)), "M/d/yyyy")</f>
        <v>1/1/2021</v>
      </c>
      <c r="L84" s="2" t="s">
        <v>45</v>
      </c>
      <c r="M84" s="24">
        <v>25</v>
      </c>
      <c r="N84" s="2">
        <v>25</v>
      </c>
      <c r="O84" s="22" t="s">
        <v>681</v>
      </c>
    </row>
    <row r="85" spans="1:15" ht="15" customHeight="1" x14ac:dyDescent="0.2">
      <c r="A85" s="2" t="s">
        <v>658</v>
      </c>
      <c r="B85" s="2">
        <v>1706194</v>
      </c>
      <c r="C85" s="24"/>
      <c r="D85" s="24">
        <v>924867605</v>
      </c>
      <c r="E85" s="24">
        <v>924867605</v>
      </c>
      <c r="F85" s="2" t="s">
        <v>309</v>
      </c>
      <c r="G85" s="2">
        <v>0</v>
      </c>
      <c r="H85" s="24">
        <v>20250901</v>
      </c>
      <c r="I85" s="24" t="str">
        <f>TEXT(DATE(LEFT(H85,4), MID(H85,5,2), RIGHT(H85,2)), "M/d/yyyy")</f>
        <v>9/1/2025</v>
      </c>
      <c r="J85" s="24">
        <v>20240901</v>
      </c>
      <c r="K85" s="24" t="str">
        <f>TEXT(DATE(LEFT(J85,4), MID(J85,5,2), RIGHT(J85,2)), "M/d/yyyy")</f>
        <v>9/1/2024</v>
      </c>
      <c r="L85" s="2" t="s">
        <v>45</v>
      </c>
      <c r="M85" s="24">
        <v>25</v>
      </c>
      <c r="N85" s="2">
        <v>25</v>
      </c>
      <c r="O85" s="22" t="s">
        <v>681</v>
      </c>
    </row>
    <row r="86" spans="1:15" ht="15" customHeight="1" x14ac:dyDescent="0.2">
      <c r="A86" s="2" t="s">
        <v>658</v>
      </c>
      <c r="B86" s="2">
        <v>1706194</v>
      </c>
      <c r="C86" s="24"/>
      <c r="D86" s="24">
        <v>924955708</v>
      </c>
      <c r="E86" s="24">
        <v>924955708</v>
      </c>
      <c r="F86" s="2" t="s">
        <v>311</v>
      </c>
      <c r="G86" s="2">
        <v>0</v>
      </c>
      <c r="H86" s="24">
        <v>20250901</v>
      </c>
      <c r="I86" s="24" t="str">
        <f>TEXT(DATE(LEFT(H86,4), MID(H86,5,2), RIGHT(H86,2)), "M/d/yyyy")</f>
        <v>9/1/2025</v>
      </c>
      <c r="J86" s="24">
        <v>20200101</v>
      </c>
      <c r="K86" s="24" t="str">
        <f>TEXT(DATE(LEFT(J86,4), MID(J86,5,2), RIGHT(J86,2)), "M/d/yyyy")</f>
        <v>1/1/2020</v>
      </c>
      <c r="L86" s="2" t="s">
        <v>45</v>
      </c>
      <c r="M86" s="24">
        <v>25</v>
      </c>
      <c r="N86" s="2">
        <v>25</v>
      </c>
      <c r="O86" s="22" t="s">
        <v>681</v>
      </c>
    </row>
    <row r="87" spans="1:15" ht="15" customHeight="1" x14ac:dyDescent="0.2">
      <c r="A87" s="2" t="s">
        <v>658</v>
      </c>
      <c r="B87" s="2">
        <v>1706194</v>
      </c>
      <c r="C87" s="24"/>
      <c r="D87" s="24">
        <v>925100575</v>
      </c>
      <c r="E87" s="24">
        <v>925100575</v>
      </c>
      <c r="F87" s="2" t="s">
        <v>322</v>
      </c>
      <c r="G87" s="2">
        <v>0</v>
      </c>
      <c r="H87" s="24">
        <v>20250901</v>
      </c>
      <c r="I87" s="24" t="str">
        <f>TEXT(DATE(LEFT(H87,4), MID(H87,5,2), RIGHT(H87,2)), "M/d/yyyy")</f>
        <v>9/1/2025</v>
      </c>
      <c r="J87" s="24">
        <v>20230101</v>
      </c>
      <c r="K87" s="24" t="str">
        <f>TEXT(DATE(LEFT(J87,4), MID(J87,5,2), RIGHT(J87,2)), "M/d/yyyy")</f>
        <v>1/1/2023</v>
      </c>
      <c r="L87" s="2" t="s">
        <v>45</v>
      </c>
      <c r="M87" s="24">
        <v>25</v>
      </c>
      <c r="N87" s="2">
        <v>25</v>
      </c>
      <c r="O87" s="22" t="s">
        <v>681</v>
      </c>
    </row>
    <row r="88" spans="1:15" ht="15" customHeight="1" x14ac:dyDescent="0.2">
      <c r="A88" s="2" t="s">
        <v>658</v>
      </c>
      <c r="B88" s="2">
        <v>1706194</v>
      </c>
      <c r="C88" s="24"/>
      <c r="D88" s="24">
        <v>925148516</v>
      </c>
      <c r="E88" s="24">
        <v>925148516</v>
      </c>
      <c r="F88" s="2" t="s">
        <v>324</v>
      </c>
      <c r="G88" s="2">
        <v>0</v>
      </c>
      <c r="H88" s="24">
        <v>20250901</v>
      </c>
      <c r="I88" s="24" t="str">
        <f>TEXT(DATE(LEFT(H88,4), MID(H88,5,2), RIGHT(H88,2)), "M/d/yyyy")</f>
        <v>9/1/2025</v>
      </c>
      <c r="J88" s="24">
        <v>20170301</v>
      </c>
      <c r="K88" s="24" t="str">
        <f>TEXT(DATE(LEFT(J88,4), MID(J88,5,2), RIGHT(J88,2)), "M/d/yyyy")</f>
        <v>3/1/2017</v>
      </c>
      <c r="L88" s="2" t="s">
        <v>45</v>
      </c>
      <c r="M88" s="24">
        <v>25</v>
      </c>
      <c r="N88" s="2">
        <v>25</v>
      </c>
      <c r="O88" s="22" t="s">
        <v>681</v>
      </c>
    </row>
    <row r="89" spans="1:15" ht="15" customHeight="1" x14ac:dyDescent="0.2">
      <c r="A89" s="2" t="s">
        <v>658</v>
      </c>
      <c r="B89" s="2">
        <v>1706194</v>
      </c>
      <c r="C89" s="24"/>
      <c r="D89" s="24">
        <v>925183832</v>
      </c>
      <c r="E89" s="24">
        <v>925183832</v>
      </c>
      <c r="F89" s="2" t="s">
        <v>328</v>
      </c>
      <c r="G89" s="2">
        <v>0</v>
      </c>
      <c r="H89" s="24">
        <v>20250901</v>
      </c>
      <c r="I89" s="24" t="str">
        <f>TEXT(DATE(LEFT(H89,4), MID(H89,5,2), RIGHT(H89,2)), "M/d/yyyy")</f>
        <v>9/1/2025</v>
      </c>
      <c r="J89" s="24">
        <v>20240401</v>
      </c>
      <c r="K89" s="24" t="str">
        <f>TEXT(DATE(LEFT(J89,4), MID(J89,5,2), RIGHT(J89,2)), "M/d/yyyy")</f>
        <v>4/1/2024</v>
      </c>
      <c r="L89" s="2" t="s">
        <v>45</v>
      </c>
      <c r="M89" s="24">
        <v>25</v>
      </c>
      <c r="N89" s="2">
        <v>25</v>
      </c>
      <c r="O89" s="22" t="s">
        <v>681</v>
      </c>
    </row>
    <row r="90" spans="1:15" ht="15" customHeight="1" x14ac:dyDescent="0.2">
      <c r="A90" s="2" t="s">
        <v>658</v>
      </c>
      <c r="B90" s="2">
        <v>1706194</v>
      </c>
      <c r="C90" s="24"/>
      <c r="D90" s="24">
        <v>925352115</v>
      </c>
      <c r="E90" s="24">
        <v>925352115</v>
      </c>
      <c r="F90" s="2" t="s">
        <v>335</v>
      </c>
      <c r="G90" s="2">
        <v>0</v>
      </c>
      <c r="H90" s="24">
        <v>20250901</v>
      </c>
      <c r="I90" s="24" t="str">
        <f>TEXT(DATE(LEFT(H90,4), MID(H90,5,2), RIGHT(H90,2)), "M/d/yyyy")</f>
        <v>9/1/2025</v>
      </c>
      <c r="J90" s="24">
        <v>20191201</v>
      </c>
      <c r="K90" s="24" t="str">
        <f>TEXT(DATE(LEFT(J90,4), MID(J90,5,2), RIGHT(J90,2)), "M/d/yyyy")</f>
        <v>12/1/2019</v>
      </c>
      <c r="L90" s="2" t="s">
        <v>45</v>
      </c>
      <c r="M90" s="24">
        <v>25</v>
      </c>
      <c r="N90" s="2">
        <v>25</v>
      </c>
      <c r="O90" s="22" t="s">
        <v>681</v>
      </c>
    </row>
    <row r="91" spans="1:15" ht="15" customHeight="1" x14ac:dyDescent="0.2">
      <c r="A91" s="2" t="s">
        <v>658</v>
      </c>
      <c r="B91" s="2">
        <v>1706194</v>
      </c>
      <c r="C91" s="24"/>
      <c r="D91" s="24">
        <v>925439912</v>
      </c>
      <c r="E91" s="24">
        <v>925439912</v>
      </c>
      <c r="F91" s="2" t="s">
        <v>342</v>
      </c>
      <c r="G91" s="2">
        <v>0</v>
      </c>
      <c r="H91" s="24">
        <v>20250901</v>
      </c>
      <c r="I91" s="24" t="str">
        <f>TEXT(DATE(LEFT(H91,4), MID(H91,5,2), RIGHT(H91,2)), "M/d/yyyy")</f>
        <v>9/1/2025</v>
      </c>
      <c r="J91" s="24">
        <v>20210101</v>
      </c>
      <c r="K91" s="24" t="str">
        <f>TEXT(DATE(LEFT(J91,4), MID(J91,5,2), RIGHT(J91,2)), "M/d/yyyy")</f>
        <v>1/1/2021</v>
      </c>
      <c r="L91" s="2" t="s">
        <v>45</v>
      </c>
      <c r="M91" s="24">
        <v>25</v>
      </c>
      <c r="N91" s="2">
        <v>25</v>
      </c>
      <c r="O91" s="22" t="s">
        <v>681</v>
      </c>
    </row>
    <row r="92" spans="1:15" ht="15" customHeight="1" x14ac:dyDescent="0.2">
      <c r="A92" s="2" t="s">
        <v>658</v>
      </c>
      <c r="B92" s="2">
        <v>1706194</v>
      </c>
      <c r="C92" s="24"/>
      <c r="D92" s="24">
        <v>925449744</v>
      </c>
      <c r="E92" s="24">
        <v>925449744</v>
      </c>
      <c r="F92" s="2" t="s">
        <v>348</v>
      </c>
      <c r="G92" s="2">
        <v>0</v>
      </c>
      <c r="H92" s="24">
        <v>20250901</v>
      </c>
      <c r="I92" s="24" t="str">
        <f>TEXT(DATE(LEFT(H92,4), MID(H92,5,2), RIGHT(H92,2)), "M/d/yyyy")</f>
        <v>9/1/2025</v>
      </c>
      <c r="J92" s="24">
        <v>20210101</v>
      </c>
      <c r="K92" s="24" t="str">
        <f>TEXT(DATE(LEFT(J92,4), MID(J92,5,2), RIGHT(J92,2)), "M/d/yyyy")</f>
        <v>1/1/2021</v>
      </c>
      <c r="L92" s="2" t="s">
        <v>45</v>
      </c>
      <c r="M92" s="24">
        <v>25</v>
      </c>
      <c r="N92" s="2">
        <v>25</v>
      </c>
      <c r="O92" s="22" t="s">
        <v>681</v>
      </c>
    </row>
    <row r="93" spans="1:15" ht="15" customHeight="1" x14ac:dyDescent="0.2">
      <c r="A93" s="2" t="s">
        <v>658</v>
      </c>
      <c r="B93" s="2">
        <v>1706194</v>
      </c>
      <c r="C93" s="24"/>
      <c r="D93" s="24">
        <v>925488083</v>
      </c>
      <c r="E93" s="24">
        <v>925488083</v>
      </c>
      <c r="F93" s="2" t="s">
        <v>350</v>
      </c>
      <c r="G93" s="2">
        <v>0</v>
      </c>
      <c r="H93" s="24">
        <v>20250901</v>
      </c>
      <c r="I93" s="24" t="str">
        <f>TEXT(DATE(LEFT(H93,4), MID(H93,5,2), RIGHT(H93,2)), "M/d/yyyy")</f>
        <v>9/1/2025</v>
      </c>
      <c r="J93" s="24">
        <v>20210101</v>
      </c>
      <c r="K93" s="24" t="str">
        <f>TEXT(DATE(LEFT(J93,4), MID(J93,5,2), RIGHT(J93,2)), "M/d/yyyy")</f>
        <v>1/1/2021</v>
      </c>
      <c r="L93" s="2" t="s">
        <v>45</v>
      </c>
      <c r="M93" s="24">
        <v>25</v>
      </c>
      <c r="N93" s="2">
        <v>25</v>
      </c>
      <c r="O93" s="22" t="s">
        <v>681</v>
      </c>
    </row>
    <row r="94" spans="1:15" ht="15" customHeight="1" x14ac:dyDescent="0.2">
      <c r="A94" s="2" t="s">
        <v>658</v>
      </c>
      <c r="B94" s="2">
        <v>1706194</v>
      </c>
      <c r="C94" s="24"/>
      <c r="D94" s="24">
        <v>925553385</v>
      </c>
      <c r="E94" s="24">
        <v>925553385</v>
      </c>
      <c r="F94" s="2" t="s">
        <v>354</v>
      </c>
      <c r="G94" s="2">
        <v>0</v>
      </c>
      <c r="H94" s="24">
        <v>20250901</v>
      </c>
      <c r="I94" s="24" t="str">
        <f>TEXT(DATE(LEFT(H94,4), MID(H94,5,2), RIGHT(H94,2)), "M/d/yyyy")</f>
        <v>9/1/2025</v>
      </c>
      <c r="J94" s="24">
        <v>20210601</v>
      </c>
      <c r="K94" s="24" t="str">
        <f>TEXT(DATE(LEFT(J94,4), MID(J94,5,2), RIGHT(J94,2)), "M/d/yyyy")</f>
        <v>6/1/2021</v>
      </c>
      <c r="L94" s="2" t="s">
        <v>45</v>
      </c>
      <c r="M94" s="24">
        <v>25</v>
      </c>
      <c r="N94" s="2">
        <v>25</v>
      </c>
      <c r="O94" s="22" t="s">
        <v>681</v>
      </c>
    </row>
    <row r="95" spans="1:15" ht="15" customHeight="1" x14ac:dyDescent="0.2">
      <c r="A95" s="2" t="s">
        <v>658</v>
      </c>
      <c r="B95" s="2">
        <v>1706194</v>
      </c>
      <c r="C95" s="24"/>
      <c r="D95" s="24">
        <v>925609037</v>
      </c>
      <c r="E95" s="24">
        <v>925609037</v>
      </c>
      <c r="F95" s="2" t="s">
        <v>365</v>
      </c>
      <c r="G95" s="2">
        <v>0</v>
      </c>
      <c r="H95" s="24">
        <v>20250901</v>
      </c>
      <c r="I95" s="24" t="str">
        <f>TEXT(DATE(LEFT(H95,4), MID(H95,5,2), RIGHT(H95,2)), "M/d/yyyy")</f>
        <v>9/1/2025</v>
      </c>
      <c r="J95" s="24">
        <v>20220101</v>
      </c>
      <c r="K95" s="24" t="str">
        <f>TEXT(DATE(LEFT(J95,4), MID(J95,5,2), RIGHT(J95,2)), "M/d/yyyy")</f>
        <v>1/1/2022</v>
      </c>
      <c r="L95" s="2" t="s">
        <v>45</v>
      </c>
      <c r="M95" s="24">
        <v>25</v>
      </c>
      <c r="N95" s="2">
        <v>25</v>
      </c>
      <c r="O95" s="22" t="s">
        <v>681</v>
      </c>
    </row>
    <row r="96" spans="1:15" ht="15" customHeight="1" x14ac:dyDescent="0.2">
      <c r="A96" s="2" t="s">
        <v>658</v>
      </c>
      <c r="B96" s="2">
        <v>1706194</v>
      </c>
      <c r="C96" s="24"/>
      <c r="D96" s="24">
        <v>925794500</v>
      </c>
      <c r="E96" s="24">
        <v>925794500</v>
      </c>
      <c r="F96" s="2" t="s">
        <v>371</v>
      </c>
      <c r="G96" s="2">
        <v>0</v>
      </c>
      <c r="H96" s="24">
        <v>20250901</v>
      </c>
      <c r="I96" s="24" t="str">
        <f>TEXT(DATE(LEFT(H96,4), MID(H96,5,2), RIGHT(H96,2)), "M/d/yyyy")</f>
        <v>9/1/2025</v>
      </c>
      <c r="J96" s="24">
        <v>20221101</v>
      </c>
      <c r="K96" s="24" t="str">
        <f>TEXT(DATE(LEFT(J96,4), MID(J96,5,2), RIGHT(J96,2)), "M/d/yyyy")</f>
        <v>11/1/2022</v>
      </c>
      <c r="L96" s="2" t="s">
        <v>45</v>
      </c>
      <c r="M96" s="24">
        <v>25</v>
      </c>
      <c r="N96" s="2">
        <v>25</v>
      </c>
      <c r="O96" s="22" t="s">
        <v>681</v>
      </c>
    </row>
    <row r="97" spans="1:37" s="23" customFormat="1" ht="15" customHeight="1" x14ac:dyDescent="0.2">
      <c r="A97" s="2" t="s">
        <v>658</v>
      </c>
      <c r="B97" s="2">
        <v>1706194</v>
      </c>
      <c r="C97" s="24"/>
      <c r="D97" s="24">
        <v>925843285</v>
      </c>
      <c r="E97" s="24">
        <v>925843285</v>
      </c>
      <c r="F97" s="2" t="s">
        <v>377</v>
      </c>
      <c r="G97" s="2">
        <v>0</v>
      </c>
      <c r="H97" s="24">
        <v>20250901</v>
      </c>
      <c r="I97" s="24" t="str">
        <f>TEXT(DATE(LEFT(H97,4), MID(H97,5,2), RIGHT(H97,2)), "M/d/yyyy")</f>
        <v>9/1/2025</v>
      </c>
      <c r="J97" s="24">
        <v>20230101</v>
      </c>
      <c r="K97" s="24" t="str">
        <f>TEXT(DATE(LEFT(J97,4), MID(J97,5,2), RIGHT(J97,2)), "M/d/yyyy")</f>
        <v>1/1/2023</v>
      </c>
      <c r="L97" s="2" t="s">
        <v>45</v>
      </c>
      <c r="M97" s="24">
        <v>25</v>
      </c>
      <c r="N97" s="2">
        <v>25</v>
      </c>
      <c r="O97" s="22" t="s">
        <v>681</v>
      </c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</row>
    <row r="98" spans="1:37" s="23" customFormat="1" ht="15" customHeight="1" x14ac:dyDescent="0.2">
      <c r="A98" s="2" t="s">
        <v>658</v>
      </c>
      <c r="B98" s="2">
        <v>1706194</v>
      </c>
      <c r="C98" s="24"/>
      <c r="D98" s="24">
        <v>925844008</v>
      </c>
      <c r="E98" s="24">
        <v>925844008</v>
      </c>
      <c r="F98" s="2" t="s">
        <v>379</v>
      </c>
      <c r="G98" s="2">
        <v>0</v>
      </c>
      <c r="H98" s="24">
        <v>20250901</v>
      </c>
      <c r="I98" s="24" t="str">
        <f>TEXT(DATE(LEFT(H98,4), MID(H98,5,2), RIGHT(H98,2)), "M/d/yyyy")</f>
        <v>9/1/2025</v>
      </c>
      <c r="J98" s="24">
        <v>20250101</v>
      </c>
      <c r="K98" s="24" t="str">
        <f>TEXT(DATE(LEFT(J98,4), MID(J98,5,2), RIGHT(J98,2)), "M/d/yyyy")</f>
        <v>1/1/2025</v>
      </c>
      <c r="L98" s="2" t="s">
        <v>45</v>
      </c>
      <c r="M98" s="24">
        <v>25</v>
      </c>
      <c r="N98" s="2">
        <v>25</v>
      </c>
      <c r="O98" s="22" t="s">
        <v>681</v>
      </c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</row>
    <row r="99" spans="1:37" s="23" customFormat="1" ht="15" customHeight="1" x14ac:dyDescent="0.2">
      <c r="A99" s="2" t="s">
        <v>658</v>
      </c>
      <c r="B99" s="2">
        <v>1706194</v>
      </c>
      <c r="C99" s="24"/>
      <c r="D99" s="24">
        <v>925914971</v>
      </c>
      <c r="E99" s="24">
        <v>925914971</v>
      </c>
      <c r="F99" s="2" t="s">
        <v>381</v>
      </c>
      <c r="G99" s="2">
        <v>0</v>
      </c>
      <c r="H99" s="24">
        <v>20250901</v>
      </c>
      <c r="I99" s="24" t="str">
        <f>TEXT(DATE(LEFT(H99,4), MID(H99,5,2), RIGHT(H99,2)), "M/d/yyyy")</f>
        <v>9/1/2025</v>
      </c>
      <c r="J99" s="24">
        <v>20230201</v>
      </c>
      <c r="K99" s="24" t="str">
        <f>TEXT(DATE(LEFT(J99,4), MID(J99,5,2), RIGHT(J99,2)), "M/d/yyyy")</f>
        <v>2/1/2023</v>
      </c>
      <c r="L99" s="2" t="s">
        <v>45</v>
      </c>
      <c r="M99" s="24">
        <v>25</v>
      </c>
      <c r="N99" s="2">
        <v>25</v>
      </c>
      <c r="O99" s="22" t="s">
        <v>681</v>
      </c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</row>
    <row r="100" spans="1:37" s="23" customFormat="1" ht="15" customHeight="1" x14ac:dyDescent="0.2">
      <c r="A100" s="2" t="s">
        <v>658</v>
      </c>
      <c r="B100" s="2">
        <v>1706194</v>
      </c>
      <c r="C100" s="24"/>
      <c r="D100" s="24">
        <v>943987506</v>
      </c>
      <c r="E100" s="24">
        <v>943987506</v>
      </c>
      <c r="F100" s="2" t="s">
        <v>400</v>
      </c>
      <c r="G100" s="2">
        <v>0</v>
      </c>
      <c r="H100" s="24">
        <v>20250901</v>
      </c>
      <c r="I100" s="24" t="str">
        <f>TEXT(DATE(LEFT(H100,4), MID(H100,5,2), RIGHT(H100,2)), "M/d/yyyy")</f>
        <v>9/1/2025</v>
      </c>
      <c r="J100" s="24">
        <v>20240901</v>
      </c>
      <c r="K100" s="24" t="str">
        <f>TEXT(DATE(LEFT(J100,4), MID(J100,5,2), RIGHT(J100,2)), "M/d/yyyy")</f>
        <v>9/1/2024</v>
      </c>
      <c r="L100" s="2" t="s">
        <v>45</v>
      </c>
      <c r="M100" s="24">
        <v>25</v>
      </c>
      <c r="N100" s="2">
        <v>25</v>
      </c>
      <c r="O100" s="22" t="s">
        <v>681</v>
      </c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</row>
    <row r="101" spans="1:37" s="23" customFormat="1" ht="15" customHeight="1" x14ac:dyDescent="0.2">
      <c r="A101" s="2" t="s">
        <v>658</v>
      </c>
      <c r="B101" s="2">
        <v>1706194</v>
      </c>
      <c r="C101" s="24"/>
      <c r="D101" s="24">
        <v>944187839</v>
      </c>
      <c r="E101" s="24">
        <v>944187839</v>
      </c>
      <c r="F101" s="2" t="s">
        <v>410</v>
      </c>
      <c r="G101" s="2">
        <v>0</v>
      </c>
      <c r="H101" s="24">
        <v>20250901</v>
      </c>
      <c r="I101" s="24" t="str">
        <f>TEXT(DATE(LEFT(H101,4), MID(H101,5,2), RIGHT(H101,2)), "M/d/yyyy")</f>
        <v>9/1/2025</v>
      </c>
      <c r="J101" s="24">
        <v>20250201</v>
      </c>
      <c r="K101" s="24" t="str">
        <f>TEXT(DATE(LEFT(J101,4), MID(J101,5,2), RIGHT(J101,2)), "M/d/yyyy")</f>
        <v>2/1/2025</v>
      </c>
      <c r="L101" s="2" t="s">
        <v>45</v>
      </c>
      <c r="M101" s="24">
        <v>25</v>
      </c>
      <c r="N101" s="2">
        <v>25</v>
      </c>
      <c r="O101" s="22" t="s">
        <v>681</v>
      </c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</row>
    <row r="102" spans="1:37" ht="15" customHeight="1" x14ac:dyDescent="0.2">
      <c r="A102" s="2" t="s">
        <v>658</v>
      </c>
      <c r="B102" s="2">
        <v>1706194</v>
      </c>
      <c r="C102" s="24"/>
      <c r="D102" s="24">
        <v>944190460</v>
      </c>
      <c r="E102" s="24">
        <v>944190460</v>
      </c>
      <c r="F102" s="2" t="s">
        <v>412</v>
      </c>
      <c r="G102" s="2">
        <v>0</v>
      </c>
      <c r="H102" s="24">
        <v>20250901</v>
      </c>
      <c r="I102" s="24" t="str">
        <f>TEXT(DATE(LEFT(H102,4), MID(H102,5,2), RIGHT(H102,2)), "M/d/yyyy")</f>
        <v>9/1/2025</v>
      </c>
      <c r="J102" s="24">
        <v>20250201</v>
      </c>
      <c r="K102" s="24" t="str">
        <f>TEXT(DATE(LEFT(J102,4), MID(J102,5,2), RIGHT(J102,2)), "M/d/yyyy")</f>
        <v>2/1/2025</v>
      </c>
      <c r="L102" s="2" t="s">
        <v>45</v>
      </c>
      <c r="M102" s="24">
        <v>25</v>
      </c>
      <c r="N102" s="2">
        <v>25</v>
      </c>
      <c r="O102" s="22" t="s">
        <v>681</v>
      </c>
    </row>
    <row r="103" spans="1:37" ht="15" customHeight="1" x14ac:dyDescent="0.2">
      <c r="A103" s="2" t="s">
        <v>658</v>
      </c>
      <c r="B103" s="2">
        <v>1706194</v>
      </c>
      <c r="C103" s="24"/>
      <c r="D103" s="24">
        <v>944236404</v>
      </c>
      <c r="E103" s="24">
        <v>944236404</v>
      </c>
      <c r="F103" s="2" t="s">
        <v>416</v>
      </c>
      <c r="G103" s="2">
        <v>0</v>
      </c>
      <c r="H103" s="24">
        <v>20250901</v>
      </c>
      <c r="I103" s="24" t="str">
        <f>TEXT(DATE(LEFT(H103,4), MID(H103,5,2), RIGHT(H103,2)), "M/d/yyyy")</f>
        <v>9/1/2025</v>
      </c>
      <c r="J103" s="24">
        <v>20250401</v>
      </c>
      <c r="K103" s="24" t="str">
        <f>TEXT(DATE(LEFT(J103,4), MID(J103,5,2), RIGHT(J103,2)), "M/d/yyyy")</f>
        <v>4/1/2025</v>
      </c>
      <c r="L103" s="2" t="s">
        <v>45</v>
      </c>
      <c r="M103" s="24">
        <v>25</v>
      </c>
      <c r="N103" s="2">
        <v>25</v>
      </c>
      <c r="O103" s="22" t="s">
        <v>681</v>
      </c>
    </row>
    <row r="104" spans="1:37" ht="15" customHeight="1" x14ac:dyDescent="0.2">
      <c r="A104" s="2" t="s">
        <v>656</v>
      </c>
      <c r="B104" s="2">
        <v>19206583</v>
      </c>
      <c r="C104" s="24"/>
      <c r="D104" s="24">
        <v>943979269</v>
      </c>
      <c r="E104" s="24">
        <v>943979269</v>
      </c>
      <c r="F104" s="2" t="s">
        <v>265</v>
      </c>
      <c r="G104" s="2">
        <v>0</v>
      </c>
      <c r="H104" s="24">
        <v>20250901</v>
      </c>
      <c r="I104" s="24" t="str">
        <f>TEXT(DATE(LEFT(H104,4), MID(H104,5,2), RIGHT(H104,2)), "M/d/yyyy")</f>
        <v>9/1/2025</v>
      </c>
      <c r="J104" s="24">
        <v>20240901</v>
      </c>
      <c r="K104" s="24" t="str">
        <f>TEXT(DATE(LEFT(J104,4), MID(J104,5,2), RIGHT(J104,2)), "M/d/yyyy")</f>
        <v>9/1/2024</v>
      </c>
      <c r="L104" s="2" t="s">
        <v>45</v>
      </c>
      <c r="M104" s="24">
        <v>25</v>
      </c>
      <c r="N104" s="2">
        <v>25</v>
      </c>
      <c r="O104" s="22" t="s">
        <v>681</v>
      </c>
    </row>
    <row r="105" spans="1:37" ht="15" customHeight="1" x14ac:dyDescent="0.2">
      <c r="A105" s="2" t="s">
        <v>664</v>
      </c>
      <c r="B105" s="2">
        <v>19200754</v>
      </c>
      <c r="C105" s="24"/>
      <c r="D105" s="24">
        <v>944324995</v>
      </c>
      <c r="E105" s="24">
        <v>944324995</v>
      </c>
      <c r="F105" s="2" t="s">
        <v>480</v>
      </c>
      <c r="G105" s="2">
        <v>0</v>
      </c>
      <c r="H105" s="24">
        <v>20250901</v>
      </c>
      <c r="I105" s="24" t="str">
        <f>TEXT(DATE(LEFT(H105,4), MID(H105,5,2), RIGHT(H105,2)), "M/d/yyyy")</f>
        <v>9/1/2025</v>
      </c>
      <c r="J105" s="24">
        <v>20250701</v>
      </c>
      <c r="K105" s="24" t="str">
        <f>TEXT(DATE(LEFT(J105,4), MID(J105,5,2), RIGHT(J105,2)), "M/d/yyyy")</f>
        <v>7/1/2025</v>
      </c>
      <c r="L105" s="2" t="s">
        <v>45</v>
      </c>
      <c r="M105" s="24">
        <v>25</v>
      </c>
      <c r="N105" s="2">
        <v>25</v>
      </c>
      <c r="O105" s="22" t="s">
        <v>681</v>
      </c>
    </row>
    <row r="106" spans="1:37" ht="15" customHeight="1" x14ac:dyDescent="0.2">
      <c r="A106" s="2" t="s">
        <v>664</v>
      </c>
      <c r="B106" s="2">
        <v>19200754</v>
      </c>
      <c r="C106" s="24"/>
      <c r="D106" s="24">
        <v>944324995</v>
      </c>
      <c r="E106" s="24">
        <v>944324995</v>
      </c>
      <c r="F106" s="2" t="s">
        <v>480</v>
      </c>
      <c r="G106" s="2">
        <v>0</v>
      </c>
      <c r="H106" s="24">
        <v>20250801</v>
      </c>
      <c r="I106" s="24" t="str">
        <f>TEXT(DATE(LEFT(H106,4), MID(H106,5,2), RIGHT(H106,2)), "M/d/yyyy")</f>
        <v>8/1/2025</v>
      </c>
      <c r="J106" s="24">
        <v>20250701</v>
      </c>
      <c r="K106" s="24" t="str">
        <f>TEXT(DATE(LEFT(J106,4), MID(J106,5,2), RIGHT(J106,2)), "M/d/yyyy")</f>
        <v>7/1/2025</v>
      </c>
      <c r="L106" s="2" t="s">
        <v>45</v>
      </c>
      <c r="M106" s="24">
        <v>25</v>
      </c>
      <c r="N106" s="2">
        <v>25</v>
      </c>
      <c r="O106" s="22" t="s">
        <v>681</v>
      </c>
    </row>
    <row r="107" spans="1:37" s="23" customFormat="1" ht="15" customHeight="1" x14ac:dyDescent="0.2">
      <c r="A107" s="2" t="s">
        <v>665</v>
      </c>
      <c r="B107" s="2">
        <v>16633294</v>
      </c>
      <c r="C107" s="24"/>
      <c r="D107" s="24">
        <v>925980589</v>
      </c>
      <c r="E107" s="24">
        <v>925980589</v>
      </c>
      <c r="F107" s="2" t="s">
        <v>488</v>
      </c>
      <c r="G107" s="2">
        <v>0</v>
      </c>
      <c r="H107" s="24">
        <v>20250901</v>
      </c>
      <c r="I107" s="24" t="str">
        <f>TEXT(DATE(LEFT(H107,4), MID(H107,5,2), RIGHT(H107,2)), "M/d/yyyy")</f>
        <v>9/1/2025</v>
      </c>
      <c r="J107" s="24">
        <v>20230501</v>
      </c>
      <c r="K107" s="24" t="str">
        <f>TEXT(DATE(LEFT(J107,4), MID(J107,5,2), RIGHT(J107,2)), "M/d/yyyy")</f>
        <v>5/1/2023</v>
      </c>
      <c r="L107" s="2" t="s">
        <v>45</v>
      </c>
      <c r="M107" s="24">
        <v>25</v>
      </c>
      <c r="N107" s="2">
        <v>25</v>
      </c>
      <c r="O107" s="22" t="s">
        <v>681</v>
      </c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</row>
    <row r="108" spans="1:37" s="23" customFormat="1" ht="15" customHeight="1" x14ac:dyDescent="0.2">
      <c r="A108" s="2" t="s">
        <v>665</v>
      </c>
      <c r="B108" s="2">
        <v>16633294</v>
      </c>
      <c r="C108" s="24"/>
      <c r="D108" s="24">
        <v>944250752</v>
      </c>
      <c r="E108" s="24">
        <v>944250752</v>
      </c>
      <c r="F108" s="2" t="s">
        <v>490</v>
      </c>
      <c r="G108" s="2">
        <v>0</v>
      </c>
      <c r="H108" s="24">
        <v>20250901</v>
      </c>
      <c r="I108" s="24" t="str">
        <f>TEXT(DATE(LEFT(H108,4), MID(H108,5,2), RIGHT(H108,2)), "M/d/yyyy")</f>
        <v>9/1/2025</v>
      </c>
      <c r="J108" s="24">
        <v>20250401</v>
      </c>
      <c r="K108" s="24" t="str">
        <f>TEXT(DATE(LEFT(J108,4), MID(J108,5,2), RIGHT(J108,2)), "M/d/yyyy")</f>
        <v>4/1/2025</v>
      </c>
      <c r="L108" s="2" t="s">
        <v>45</v>
      </c>
      <c r="M108" s="24">
        <v>25</v>
      </c>
      <c r="N108" s="2">
        <v>25</v>
      </c>
      <c r="O108" s="22" t="s">
        <v>681</v>
      </c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</row>
    <row r="109" spans="1:37" s="23" customFormat="1" ht="15" customHeight="1" x14ac:dyDescent="0.2">
      <c r="A109" s="2" t="s">
        <v>653</v>
      </c>
      <c r="B109" s="2">
        <v>8977234</v>
      </c>
      <c r="C109" s="24"/>
      <c r="D109" s="24">
        <v>924449459</v>
      </c>
      <c r="E109" s="24">
        <v>924449459</v>
      </c>
      <c r="F109" s="2" t="s">
        <v>228</v>
      </c>
      <c r="G109" s="2">
        <v>0</v>
      </c>
      <c r="H109" s="24">
        <v>20250901</v>
      </c>
      <c r="I109" s="24" t="str">
        <f>TEXT(DATE(LEFT(H109,4), MID(H109,5,2), RIGHT(H109,2)), "M/d/yyyy")</f>
        <v>9/1/2025</v>
      </c>
      <c r="J109" s="24">
        <v>20220101</v>
      </c>
      <c r="K109" s="24" t="str">
        <f>TEXT(DATE(LEFT(J109,4), MID(J109,5,2), RIGHT(J109,2)), "M/d/yyyy")</f>
        <v>1/1/2022</v>
      </c>
      <c r="L109" s="2" t="s">
        <v>45</v>
      </c>
      <c r="M109" s="24">
        <v>25</v>
      </c>
      <c r="N109" s="2">
        <v>25</v>
      </c>
      <c r="O109" s="22" t="s">
        <v>681</v>
      </c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</row>
    <row r="110" spans="1:37" s="23" customFormat="1" ht="15" customHeight="1" x14ac:dyDescent="0.2">
      <c r="A110" s="2" t="s">
        <v>653</v>
      </c>
      <c r="B110" s="2">
        <v>8977234</v>
      </c>
      <c r="C110" s="24"/>
      <c r="D110" s="24">
        <v>925811827</v>
      </c>
      <c r="E110" s="24">
        <v>925811827</v>
      </c>
      <c r="F110" s="2" t="s">
        <v>232</v>
      </c>
      <c r="G110" s="2">
        <v>0</v>
      </c>
      <c r="H110" s="24">
        <v>20250901</v>
      </c>
      <c r="I110" s="24" t="str">
        <f>TEXT(DATE(LEFT(H110,4), MID(H110,5,2), RIGHT(H110,2)), "M/d/yyyy")</f>
        <v>9/1/2025</v>
      </c>
      <c r="J110" s="24">
        <v>20230101</v>
      </c>
      <c r="K110" s="24" t="str">
        <f>TEXT(DATE(LEFT(J110,4), MID(J110,5,2), RIGHT(J110,2)), "M/d/yyyy")</f>
        <v>1/1/2023</v>
      </c>
      <c r="L110" s="2" t="s">
        <v>45</v>
      </c>
      <c r="M110" s="24">
        <v>25</v>
      </c>
      <c r="N110" s="2">
        <v>25</v>
      </c>
      <c r="O110" s="22" t="s">
        <v>681</v>
      </c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</row>
    <row r="111" spans="1:37" s="23" customFormat="1" ht="15" customHeight="1" x14ac:dyDescent="0.2">
      <c r="A111" s="2" t="s">
        <v>653</v>
      </c>
      <c r="B111" s="2">
        <v>8977234</v>
      </c>
      <c r="C111" s="24"/>
      <c r="D111" s="24">
        <v>944022804</v>
      </c>
      <c r="E111" s="24">
        <v>944022804</v>
      </c>
      <c r="F111" s="2" t="s">
        <v>234</v>
      </c>
      <c r="G111" s="2">
        <v>0</v>
      </c>
      <c r="H111" s="24">
        <v>20250901</v>
      </c>
      <c r="I111" s="24" t="str">
        <f>TEXT(DATE(LEFT(H111,4), MID(H111,5,2), RIGHT(H111,2)), "M/d/yyyy")</f>
        <v>9/1/2025</v>
      </c>
      <c r="J111" s="24">
        <v>20241101</v>
      </c>
      <c r="K111" s="24" t="str">
        <f>TEXT(DATE(LEFT(J111,4), MID(J111,5,2), RIGHT(J111,2)), "M/d/yyyy")</f>
        <v>11/1/2024</v>
      </c>
      <c r="L111" s="2" t="s">
        <v>45</v>
      </c>
      <c r="M111" s="24">
        <v>25</v>
      </c>
      <c r="N111" s="2">
        <v>25</v>
      </c>
      <c r="O111" s="22" t="s">
        <v>681</v>
      </c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</row>
    <row r="112" spans="1:37" s="23" customFormat="1" ht="15" customHeight="1" x14ac:dyDescent="0.2">
      <c r="A112" s="2" t="s">
        <v>653</v>
      </c>
      <c r="B112" s="2">
        <v>8977234</v>
      </c>
      <c r="C112" s="24"/>
      <c r="D112" s="24">
        <v>944023584</v>
      </c>
      <c r="E112" s="24">
        <v>944023584</v>
      </c>
      <c r="F112" s="2" t="s">
        <v>236</v>
      </c>
      <c r="G112" s="2">
        <v>0</v>
      </c>
      <c r="H112" s="24">
        <v>20250901</v>
      </c>
      <c r="I112" s="24" t="str">
        <f>TEXT(DATE(LEFT(H112,4), MID(H112,5,2), RIGHT(H112,2)), "M/d/yyyy")</f>
        <v>9/1/2025</v>
      </c>
      <c r="J112" s="24">
        <v>20241101</v>
      </c>
      <c r="K112" s="24" t="str">
        <f>TEXT(DATE(LEFT(J112,4), MID(J112,5,2), RIGHT(J112,2)), "M/d/yyyy")</f>
        <v>11/1/2024</v>
      </c>
      <c r="L112" s="2" t="s">
        <v>45</v>
      </c>
      <c r="M112" s="24">
        <v>25</v>
      </c>
      <c r="N112" s="2">
        <v>25</v>
      </c>
      <c r="O112" s="22" t="s">
        <v>681</v>
      </c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</row>
    <row r="113" spans="1:37" s="23" customFormat="1" ht="15" customHeight="1" x14ac:dyDescent="0.2">
      <c r="A113" s="2" t="s">
        <v>653</v>
      </c>
      <c r="B113" s="2">
        <v>8977234</v>
      </c>
      <c r="C113" s="24"/>
      <c r="D113" s="24">
        <v>944280271</v>
      </c>
      <c r="E113" s="24">
        <v>944280271</v>
      </c>
      <c r="F113" s="2" t="s">
        <v>243</v>
      </c>
      <c r="G113" s="2">
        <v>0</v>
      </c>
      <c r="H113" s="24">
        <v>20250901</v>
      </c>
      <c r="I113" s="24" t="str">
        <f>TEXT(DATE(LEFT(H113,4), MID(H113,5,2), RIGHT(H113,2)), "M/d/yyyy")</f>
        <v>9/1/2025</v>
      </c>
      <c r="J113" s="24">
        <v>20250601</v>
      </c>
      <c r="K113" s="24" t="str">
        <f>TEXT(DATE(LEFT(J113,4), MID(J113,5,2), RIGHT(J113,2)), "M/d/yyyy")</f>
        <v>6/1/2025</v>
      </c>
      <c r="L113" s="2" t="s">
        <v>45</v>
      </c>
      <c r="M113" s="24">
        <v>25</v>
      </c>
      <c r="N113" s="2">
        <v>25</v>
      </c>
      <c r="O113" s="22" t="s">
        <v>681</v>
      </c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</row>
    <row r="114" spans="1:37" s="23" customFormat="1" ht="15" customHeight="1" x14ac:dyDescent="0.2">
      <c r="A114" s="2" t="s">
        <v>653</v>
      </c>
      <c r="B114" s="2">
        <v>8977234</v>
      </c>
      <c r="C114" s="24"/>
      <c r="D114" s="24">
        <v>944344267</v>
      </c>
      <c r="E114" s="24">
        <v>944344267</v>
      </c>
      <c r="F114" s="2" t="s">
        <v>247</v>
      </c>
      <c r="G114" s="2">
        <v>0</v>
      </c>
      <c r="H114" s="24">
        <v>20250901</v>
      </c>
      <c r="I114" s="24" t="str">
        <f>TEXT(DATE(LEFT(H114,4), MID(H114,5,2), RIGHT(H114,2)), "M/d/yyyy")</f>
        <v>9/1/2025</v>
      </c>
      <c r="J114" s="24">
        <v>20250801</v>
      </c>
      <c r="K114" s="24" t="str">
        <f>TEXT(DATE(LEFT(J114,4), MID(J114,5,2), RIGHT(J114,2)), "M/d/yyyy")</f>
        <v>8/1/2025</v>
      </c>
      <c r="L114" s="2" t="s">
        <v>45</v>
      </c>
      <c r="M114" s="24">
        <v>25</v>
      </c>
      <c r="N114" s="2">
        <v>25</v>
      </c>
      <c r="O114" s="22" t="s">
        <v>681</v>
      </c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</row>
    <row r="115" spans="1:37" ht="15" customHeight="1" x14ac:dyDescent="0.2">
      <c r="A115" s="2" t="s">
        <v>663</v>
      </c>
      <c r="B115" s="2">
        <v>19645587</v>
      </c>
      <c r="C115" s="24"/>
      <c r="D115" s="24">
        <v>943482223</v>
      </c>
      <c r="E115" s="24">
        <v>943482223</v>
      </c>
      <c r="F115" s="2" t="s">
        <v>466</v>
      </c>
      <c r="G115" s="2">
        <v>0</v>
      </c>
      <c r="H115" s="24">
        <v>20250901</v>
      </c>
      <c r="I115" s="24" t="str">
        <f>TEXT(DATE(LEFT(H115,4), MID(H115,5,2), RIGHT(H115,2)), "M/d/yyyy")</f>
        <v>9/1/2025</v>
      </c>
      <c r="J115" s="24">
        <v>20240101</v>
      </c>
      <c r="K115" s="24" t="str">
        <f>TEXT(DATE(LEFT(J115,4), MID(J115,5,2), RIGHT(J115,2)), "M/d/yyyy")</f>
        <v>1/1/2024</v>
      </c>
      <c r="L115" s="2" t="s">
        <v>45</v>
      </c>
      <c r="M115" s="24">
        <v>25</v>
      </c>
      <c r="N115" s="2">
        <v>25</v>
      </c>
      <c r="O115" s="22" t="s">
        <v>681</v>
      </c>
    </row>
    <row r="116" spans="1:37" ht="15" customHeight="1" x14ac:dyDescent="0.2">
      <c r="A116" s="2" t="s">
        <v>662</v>
      </c>
      <c r="B116" s="2">
        <v>7470776</v>
      </c>
      <c r="C116" s="24" t="s">
        <v>648</v>
      </c>
      <c r="D116" s="24">
        <v>944119769</v>
      </c>
      <c r="E116" s="24">
        <v>944119769</v>
      </c>
      <c r="F116" s="2" t="s">
        <v>463</v>
      </c>
      <c r="G116" s="2">
        <v>0</v>
      </c>
      <c r="H116" s="24">
        <v>20250901</v>
      </c>
      <c r="I116" s="24" t="str">
        <f>TEXT(DATE(LEFT(H116,4), MID(H116,5,2), RIGHT(H116,2)), "M/d/yyyy")</f>
        <v>9/1/2025</v>
      </c>
      <c r="J116" s="24">
        <v>20250101</v>
      </c>
      <c r="K116" s="24" t="str">
        <f>TEXT(DATE(LEFT(J116,4), MID(J116,5,2), RIGHT(J116,2)), "M/d/yyyy")</f>
        <v>1/1/2025</v>
      </c>
      <c r="L116" s="2" t="s">
        <v>45</v>
      </c>
      <c r="M116" s="24">
        <v>25</v>
      </c>
      <c r="N116" s="2">
        <v>50</v>
      </c>
      <c r="O116" s="22" t="s">
        <v>681</v>
      </c>
    </row>
    <row r="117" spans="1:37" ht="15" customHeight="1" x14ac:dyDescent="0.2">
      <c r="A117" s="2" t="s">
        <v>669</v>
      </c>
      <c r="B117" s="2">
        <v>20003537</v>
      </c>
      <c r="C117" s="24" t="s">
        <v>648</v>
      </c>
      <c r="D117" s="24">
        <v>925161195</v>
      </c>
      <c r="E117" s="24">
        <v>925161195</v>
      </c>
      <c r="F117" s="2" t="s">
        <v>513</v>
      </c>
      <c r="G117" s="2">
        <v>0</v>
      </c>
      <c r="H117" s="24">
        <v>20250901</v>
      </c>
      <c r="I117" s="24" t="str">
        <f>TEXT(DATE(LEFT(H117,4), MID(H117,5,2), RIGHT(H117,2)), "M/d/yyyy")</f>
        <v>9/1/2025</v>
      </c>
      <c r="J117" s="24">
        <v>20240401</v>
      </c>
      <c r="K117" s="24" t="str">
        <f>TEXT(DATE(LEFT(J117,4), MID(J117,5,2), RIGHT(J117,2)), "M/d/yyyy")</f>
        <v>4/1/2024</v>
      </c>
      <c r="L117" s="2" t="s">
        <v>45</v>
      </c>
      <c r="M117" s="24">
        <v>25</v>
      </c>
      <c r="N117" s="2">
        <v>50</v>
      </c>
      <c r="O117" s="22" t="s">
        <v>681</v>
      </c>
    </row>
    <row r="118" spans="1:37" ht="15" customHeight="1" x14ac:dyDescent="0.2">
      <c r="A118" s="2" t="s">
        <v>669</v>
      </c>
      <c r="B118" s="2">
        <v>20003537</v>
      </c>
      <c r="C118" s="24" t="s">
        <v>648</v>
      </c>
      <c r="D118" s="24">
        <v>925818695</v>
      </c>
      <c r="E118" s="24">
        <v>925818695</v>
      </c>
      <c r="F118" s="2" t="s">
        <v>517</v>
      </c>
      <c r="G118" s="2">
        <v>0</v>
      </c>
      <c r="H118" s="24">
        <v>20250901</v>
      </c>
      <c r="I118" s="24" t="str">
        <f>TEXT(DATE(LEFT(H118,4), MID(H118,5,2), RIGHT(H118,2)), "M/d/yyyy")</f>
        <v>9/1/2025</v>
      </c>
      <c r="J118" s="24">
        <v>20230101</v>
      </c>
      <c r="K118" s="24" t="str">
        <f>TEXT(DATE(LEFT(J118,4), MID(J118,5,2), RIGHT(J118,2)), "M/d/yyyy")</f>
        <v>1/1/2023</v>
      </c>
      <c r="L118" s="2" t="s">
        <v>45</v>
      </c>
      <c r="M118" s="24">
        <v>25</v>
      </c>
      <c r="N118" s="2">
        <v>50</v>
      </c>
      <c r="O118" s="22" t="s">
        <v>681</v>
      </c>
    </row>
    <row r="119" spans="1:37" ht="15" customHeight="1" x14ac:dyDescent="0.2">
      <c r="A119" s="2" t="s">
        <v>669</v>
      </c>
      <c r="B119" s="2">
        <v>20003537</v>
      </c>
      <c r="C119" s="24" t="s">
        <v>648</v>
      </c>
      <c r="D119" s="24">
        <v>925874824</v>
      </c>
      <c r="E119" s="24">
        <v>925874824</v>
      </c>
      <c r="F119" s="2" t="s">
        <v>519</v>
      </c>
      <c r="G119" s="2">
        <v>0</v>
      </c>
      <c r="H119" s="24">
        <v>20250901</v>
      </c>
      <c r="I119" s="24" t="str">
        <f>TEXT(DATE(LEFT(H119,4), MID(H119,5,2), RIGHT(H119,2)), "M/d/yyyy")</f>
        <v>9/1/2025</v>
      </c>
      <c r="J119" s="24">
        <v>20230101</v>
      </c>
      <c r="K119" s="24" t="str">
        <f>TEXT(DATE(LEFT(J119,4), MID(J119,5,2), RIGHT(J119,2)), "M/d/yyyy")</f>
        <v>1/1/2023</v>
      </c>
      <c r="L119" s="2" t="s">
        <v>45</v>
      </c>
      <c r="M119" s="24">
        <v>25</v>
      </c>
      <c r="N119" s="2">
        <v>50</v>
      </c>
      <c r="O119" s="22" t="s">
        <v>681</v>
      </c>
    </row>
    <row r="120" spans="1:37" ht="15" customHeight="1" x14ac:dyDescent="0.2">
      <c r="A120" s="2" t="s">
        <v>661</v>
      </c>
      <c r="B120" s="2">
        <v>9213293</v>
      </c>
      <c r="C120" s="24" t="s">
        <v>648</v>
      </c>
      <c r="D120" s="24">
        <v>924114074</v>
      </c>
      <c r="E120" s="24">
        <v>924114074</v>
      </c>
      <c r="F120" s="2" t="s">
        <v>446</v>
      </c>
      <c r="G120" s="2">
        <v>0</v>
      </c>
      <c r="H120" s="24">
        <v>20250901</v>
      </c>
      <c r="I120" s="24" t="str">
        <f>TEXT(DATE(LEFT(H120,4), MID(H120,5,2), RIGHT(H120,2)), "M/d/yyyy")</f>
        <v>9/1/2025</v>
      </c>
      <c r="J120" s="24">
        <v>20211001</v>
      </c>
      <c r="K120" s="24" t="str">
        <f>TEXT(DATE(LEFT(J120,4), MID(J120,5,2), RIGHT(J120,2)), "M/d/yyyy")</f>
        <v>10/1/2021</v>
      </c>
      <c r="L120" s="2" t="s">
        <v>45</v>
      </c>
      <c r="M120" s="24">
        <v>25</v>
      </c>
      <c r="N120" s="2">
        <v>50</v>
      </c>
      <c r="O120" s="22" t="s">
        <v>681</v>
      </c>
    </row>
    <row r="121" spans="1:37" ht="15" customHeight="1" x14ac:dyDescent="0.2">
      <c r="A121" s="2" t="s">
        <v>652</v>
      </c>
      <c r="B121" s="2">
        <v>8307933</v>
      </c>
      <c r="C121" s="24" t="s">
        <v>648</v>
      </c>
      <c r="D121" s="24">
        <v>924519406</v>
      </c>
      <c r="E121" s="24">
        <v>924519406</v>
      </c>
      <c r="F121" s="2" t="s">
        <v>79</v>
      </c>
      <c r="G121" s="2">
        <v>0</v>
      </c>
      <c r="H121" s="24">
        <v>20250901</v>
      </c>
      <c r="I121" s="24" t="str">
        <f>TEXT(DATE(LEFT(H121,4), MID(H121,5,2), RIGHT(H121,2)), "M/d/yyyy")</f>
        <v>9/1/2025</v>
      </c>
      <c r="J121" s="24">
        <v>20230101</v>
      </c>
      <c r="K121" s="24" t="str">
        <f>TEXT(DATE(LEFT(J121,4), MID(J121,5,2), RIGHT(J121,2)), "M/d/yyyy")</f>
        <v>1/1/2023</v>
      </c>
      <c r="L121" s="2" t="s">
        <v>45</v>
      </c>
      <c r="M121" s="24">
        <v>25</v>
      </c>
      <c r="N121" s="2">
        <v>50</v>
      </c>
      <c r="O121" s="22" t="s">
        <v>681</v>
      </c>
    </row>
    <row r="122" spans="1:37" ht="15" customHeight="1" x14ac:dyDescent="0.2">
      <c r="A122" s="2" t="s">
        <v>652</v>
      </c>
      <c r="B122" s="2">
        <v>8307933</v>
      </c>
      <c r="C122" s="24" t="s">
        <v>648</v>
      </c>
      <c r="D122" s="24">
        <v>924992747</v>
      </c>
      <c r="E122" s="24">
        <v>924992747</v>
      </c>
      <c r="F122" s="2" t="s">
        <v>88</v>
      </c>
      <c r="G122" s="2">
        <v>0</v>
      </c>
      <c r="H122" s="24">
        <v>20250901</v>
      </c>
      <c r="I122" s="24" t="str">
        <f>TEXT(DATE(LEFT(H122,4), MID(H122,5,2), RIGHT(H122,2)), "M/d/yyyy")</f>
        <v>9/1/2025</v>
      </c>
      <c r="J122" s="24">
        <v>20230401</v>
      </c>
      <c r="K122" s="24" t="str">
        <f>TEXT(DATE(LEFT(J122,4), MID(J122,5,2), RIGHT(J122,2)), "M/d/yyyy")</f>
        <v>4/1/2023</v>
      </c>
      <c r="L122" s="2" t="s">
        <v>45</v>
      </c>
      <c r="M122" s="24">
        <v>25</v>
      </c>
      <c r="N122" s="2">
        <v>50</v>
      </c>
      <c r="O122" s="22" t="s">
        <v>681</v>
      </c>
    </row>
    <row r="123" spans="1:37" ht="15" customHeight="1" x14ac:dyDescent="0.2">
      <c r="A123" s="2" t="s">
        <v>652</v>
      </c>
      <c r="B123" s="2">
        <v>8307933</v>
      </c>
      <c r="C123" s="24" t="s">
        <v>648</v>
      </c>
      <c r="D123" s="24">
        <v>925432854</v>
      </c>
      <c r="E123" s="24">
        <v>925432854</v>
      </c>
      <c r="F123" s="2" t="s">
        <v>99</v>
      </c>
      <c r="G123" s="2">
        <v>0</v>
      </c>
      <c r="H123" s="24">
        <v>20250901</v>
      </c>
      <c r="I123" s="24" t="str">
        <f>TEXT(DATE(LEFT(H123,4), MID(H123,5,2), RIGHT(H123,2)), "M/d/yyyy")</f>
        <v>9/1/2025</v>
      </c>
      <c r="J123" s="24">
        <v>20210101</v>
      </c>
      <c r="K123" s="24" t="str">
        <f>TEXT(DATE(LEFT(J123,4), MID(J123,5,2), RIGHT(J123,2)), "M/d/yyyy")</f>
        <v>1/1/2021</v>
      </c>
      <c r="L123" s="2" t="s">
        <v>45</v>
      </c>
      <c r="M123" s="24">
        <v>25</v>
      </c>
      <c r="N123" s="2">
        <v>50</v>
      </c>
      <c r="O123" s="22" t="s">
        <v>681</v>
      </c>
    </row>
    <row r="124" spans="1:37" ht="15" customHeight="1" x14ac:dyDescent="0.2">
      <c r="A124" s="2" t="s">
        <v>652</v>
      </c>
      <c r="B124" s="2">
        <v>8307933</v>
      </c>
      <c r="C124" s="24" t="s">
        <v>648</v>
      </c>
      <c r="D124" s="24">
        <v>925704532</v>
      </c>
      <c r="E124" s="24">
        <v>925704532</v>
      </c>
      <c r="F124" s="2" t="s">
        <v>116</v>
      </c>
      <c r="G124" s="2">
        <v>0</v>
      </c>
      <c r="H124" s="24">
        <v>20250901</v>
      </c>
      <c r="I124" s="24" t="str">
        <f>TEXT(DATE(LEFT(H124,4), MID(H124,5,2), RIGHT(H124,2)), "M/d/yyyy")</f>
        <v>9/1/2025</v>
      </c>
      <c r="J124" s="24">
        <v>20220601</v>
      </c>
      <c r="K124" s="24" t="str">
        <f>TEXT(DATE(LEFT(J124,4), MID(J124,5,2), RIGHT(J124,2)), "M/d/yyyy")</f>
        <v>6/1/2022</v>
      </c>
      <c r="L124" s="2" t="s">
        <v>45</v>
      </c>
      <c r="M124" s="24">
        <v>25</v>
      </c>
      <c r="N124" s="2">
        <v>50</v>
      </c>
      <c r="O124" s="22" t="s">
        <v>681</v>
      </c>
    </row>
    <row r="125" spans="1:37" ht="15" customHeight="1" x14ac:dyDescent="0.2">
      <c r="A125" s="2" t="s">
        <v>652</v>
      </c>
      <c r="B125" s="2">
        <v>8307933</v>
      </c>
      <c r="C125" s="24" t="s">
        <v>648</v>
      </c>
      <c r="D125" s="24">
        <v>925713018</v>
      </c>
      <c r="E125" s="24">
        <v>925713018</v>
      </c>
      <c r="F125" s="2" t="s">
        <v>120</v>
      </c>
      <c r="G125" s="2">
        <v>0</v>
      </c>
      <c r="H125" s="24">
        <v>20250901</v>
      </c>
      <c r="I125" s="24" t="str">
        <f>TEXT(DATE(LEFT(H125,4), MID(H125,5,2), RIGHT(H125,2)), "M/d/yyyy")</f>
        <v>9/1/2025</v>
      </c>
      <c r="J125" s="24">
        <v>20220701</v>
      </c>
      <c r="K125" s="24" t="str">
        <f>TEXT(DATE(LEFT(J125,4), MID(J125,5,2), RIGHT(J125,2)), "M/d/yyyy")</f>
        <v>7/1/2022</v>
      </c>
      <c r="L125" s="2" t="s">
        <v>45</v>
      </c>
      <c r="M125" s="24">
        <v>25</v>
      </c>
      <c r="N125" s="2">
        <v>50</v>
      </c>
      <c r="O125" s="22" t="s">
        <v>681</v>
      </c>
    </row>
    <row r="126" spans="1:37" ht="15" customHeight="1" x14ac:dyDescent="0.2">
      <c r="A126" s="2" t="s">
        <v>652</v>
      </c>
      <c r="B126" s="2">
        <v>8307933</v>
      </c>
      <c r="C126" s="24" t="s">
        <v>648</v>
      </c>
      <c r="D126" s="24">
        <v>925750946</v>
      </c>
      <c r="E126" s="24">
        <v>925750946</v>
      </c>
      <c r="F126" s="2" t="s">
        <v>128</v>
      </c>
      <c r="G126" s="2">
        <v>0</v>
      </c>
      <c r="H126" s="24">
        <v>20250901</v>
      </c>
      <c r="I126" s="24" t="str">
        <f>TEXT(DATE(LEFT(H126,4), MID(H126,5,2), RIGHT(H126,2)), "M/d/yyyy")</f>
        <v>9/1/2025</v>
      </c>
      <c r="J126" s="24">
        <v>20221001</v>
      </c>
      <c r="K126" s="24" t="str">
        <f>TEXT(DATE(LEFT(J126,4), MID(J126,5,2), RIGHT(J126,2)), "M/d/yyyy")</f>
        <v>10/1/2022</v>
      </c>
      <c r="L126" s="2" t="s">
        <v>45</v>
      </c>
      <c r="M126" s="24">
        <v>25</v>
      </c>
      <c r="N126" s="2">
        <v>50</v>
      </c>
      <c r="O126" s="22" t="s">
        <v>681</v>
      </c>
    </row>
    <row r="127" spans="1:37" ht="15" customHeight="1" x14ac:dyDescent="0.2">
      <c r="A127" s="2" t="s">
        <v>652</v>
      </c>
      <c r="B127" s="2">
        <v>8307933</v>
      </c>
      <c r="C127" s="24" t="s">
        <v>648</v>
      </c>
      <c r="D127" s="24">
        <v>925839971</v>
      </c>
      <c r="E127" s="24">
        <v>925839971</v>
      </c>
      <c r="F127" s="2" t="s">
        <v>134</v>
      </c>
      <c r="G127" s="2">
        <v>0</v>
      </c>
      <c r="H127" s="24">
        <v>20250901</v>
      </c>
      <c r="I127" s="24" t="str">
        <f>TEXT(DATE(LEFT(H127,4), MID(H127,5,2), RIGHT(H127,2)), "M/d/yyyy")</f>
        <v>9/1/2025</v>
      </c>
      <c r="J127" s="24">
        <v>20230101</v>
      </c>
      <c r="K127" s="24" t="str">
        <f>TEXT(DATE(LEFT(J127,4), MID(J127,5,2), RIGHT(J127,2)), "M/d/yyyy")</f>
        <v>1/1/2023</v>
      </c>
      <c r="L127" s="2" t="s">
        <v>45</v>
      </c>
      <c r="M127" s="24">
        <v>25</v>
      </c>
      <c r="N127" s="2">
        <v>50</v>
      </c>
      <c r="O127" s="22" t="s">
        <v>681</v>
      </c>
    </row>
    <row r="128" spans="1:37" ht="15" customHeight="1" x14ac:dyDescent="0.2">
      <c r="A128" s="2" t="s">
        <v>652</v>
      </c>
      <c r="B128" s="2">
        <v>8307933</v>
      </c>
      <c r="C128" s="24" t="s">
        <v>648</v>
      </c>
      <c r="D128" s="24">
        <v>925926443</v>
      </c>
      <c r="E128" s="24">
        <v>925926443</v>
      </c>
      <c r="F128" s="2" t="s">
        <v>144</v>
      </c>
      <c r="G128" s="2">
        <v>0</v>
      </c>
      <c r="H128" s="24">
        <v>20250901</v>
      </c>
      <c r="I128" s="24" t="str">
        <f>TEXT(DATE(LEFT(H128,4), MID(H128,5,2), RIGHT(H128,2)), "M/d/yyyy")</f>
        <v>9/1/2025</v>
      </c>
      <c r="J128" s="24">
        <v>20230201</v>
      </c>
      <c r="K128" s="24" t="str">
        <f>TEXT(DATE(LEFT(J128,4), MID(J128,5,2), RIGHT(J128,2)), "M/d/yyyy")</f>
        <v>2/1/2023</v>
      </c>
      <c r="L128" s="2" t="s">
        <v>45</v>
      </c>
      <c r="M128" s="24">
        <v>25</v>
      </c>
      <c r="N128" s="2">
        <v>50</v>
      </c>
      <c r="O128" s="22" t="s">
        <v>681</v>
      </c>
    </row>
    <row r="129" spans="1:15" ht="15" customHeight="1" x14ac:dyDescent="0.2">
      <c r="A129" s="2" t="s">
        <v>652</v>
      </c>
      <c r="B129" s="2">
        <v>8307933</v>
      </c>
      <c r="C129" s="24" t="s">
        <v>648</v>
      </c>
      <c r="D129" s="24">
        <v>925976024</v>
      </c>
      <c r="E129" s="24">
        <v>925976024</v>
      </c>
      <c r="F129" s="2" t="s">
        <v>152</v>
      </c>
      <c r="G129" s="2">
        <v>0</v>
      </c>
      <c r="H129" s="24">
        <v>20250901</v>
      </c>
      <c r="I129" s="24" t="str">
        <f>TEXT(DATE(LEFT(H129,4), MID(H129,5,2), RIGHT(H129,2)), "M/d/yyyy")</f>
        <v>9/1/2025</v>
      </c>
      <c r="J129" s="24">
        <v>20230501</v>
      </c>
      <c r="K129" s="24" t="str">
        <f>TEXT(DATE(LEFT(J129,4), MID(J129,5,2), RIGHT(J129,2)), "M/d/yyyy")</f>
        <v>5/1/2023</v>
      </c>
      <c r="L129" s="2" t="s">
        <v>45</v>
      </c>
      <c r="M129" s="24">
        <v>25</v>
      </c>
      <c r="N129" s="2">
        <v>50</v>
      </c>
      <c r="O129" s="22" t="s">
        <v>681</v>
      </c>
    </row>
    <row r="130" spans="1:15" ht="15" customHeight="1" x14ac:dyDescent="0.2">
      <c r="A130" s="2" t="s">
        <v>652</v>
      </c>
      <c r="B130" s="2">
        <v>8307933</v>
      </c>
      <c r="C130" s="24" t="s">
        <v>648</v>
      </c>
      <c r="D130" s="24">
        <v>943306958</v>
      </c>
      <c r="E130" s="24">
        <v>943306958</v>
      </c>
      <c r="F130" s="2" t="s">
        <v>184</v>
      </c>
      <c r="G130" s="2">
        <v>0</v>
      </c>
      <c r="H130" s="24">
        <v>20250901</v>
      </c>
      <c r="I130" s="24" t="str">
        <f>TEXT(DATE(LEFT(H130,4), MID(H130,5,2), RIGHT(H130,2)), "M/d/yyyy")</f>
        <v>9/1/2025</v>
      </c>
      <c r="J130" s="24">
        <v>20250101</v>
      </c>
      <c r="K130" s="24" t="str">
        <f>TEXT(DATE(LEFT(J130,4), MID(J130,5,2), RIGHT(J130,2)), "M/d/yyyy")</f>
        <v>1/1/2025</v>
      </c>
      <c r="L130" s="2" t="s">
        <v>45</v>
      </c>
      <c r="M130" s="24">
        <v>25</v>
      </c>
      <c r="N130" s="2">
        <v>50</v>
      </c>
      <c r="O130" s="22" t="s">
        <v>681</v>
      </c>
    </row>
    <row r="131" spans="1:15" ht="15" customHeight="1" x14ac:dyDescent="0.2">
      <c r="A131" s="2" t="s">
        <v>652</v>
      </c>
      <c r="B131" s="2">
        <v>8307933</v>
      </c>
      <c r="C131" s="24" t="s">
        <v>648</v>
      </c>
      <c r="D131" s="24">
        <v>943558708</v>
      </c>
      <c r="E131" s="24">
        <v>943558708</v>
      </c>
      <c r="F131" s="2" t="s">
        <v>194</v>
      </c>
      <c r="G131" s="2">
        <v>0</v>
      </c>
      <c r="H131" s="24">
        <v>20241201</v>
      </c>
      <c r="I131" s="24" t="str">
        <f>TEXT(DATE(LEFT(H131,4), MID(H131,5,2), RIGHT(H131,2)), "M/d/yyyy")</f>
        <v>12/1/2024</v>
      </c>
      <c r="J131" s="24">
        <v>20240101</v>
      </c>
      <c r="K131" s="24" t="str">
        <f>TEXT(DATE(LEFT(J131,4), MID(J131,5,2), RIGHT(J131,2)), "M/d/yyyy")</f>
        <v>1/1/2024</v>
      </c>
      <c r="L131" s="2" t="s">
        <v>45</v>
      </c>
      <c r="M131" s="24">
        <v>25</v>
      </c>
      <c r="N131" s="2">
        <v>50</v>
      </c>
      <c r="O131" s="22" t="s">
        <v>681</v>
      </c>
    </row>
    <row r="132" spans="1:15" ht="15" customHeight="1" x14ac:dyDescent="0.2">
      <c r="A132" s="2" t="s">
        <v>652</v>
      </c>
      <c r="B132" s="2">
        <v>8307933</v>
      </c>
      <c r="C132" s="24" t="s">
        <v>648</v>
      </c>
      <c r="D132" s="24">
        <v>943558708</v>
      </c>
      <c r="E132" s="24">
        <v>943558708</v>
      </c>
      <c r="F132" s="2" t="s">
        <v>194</v>
      </c>
      <c r="G132" s="2">
        <v>0</v>
      </c>
      <c r="H132" s="24">
        <v>20241101</v>
      </c>
      <c r="I132" s="24" t="str">
        <f>TEXT(DATE(LEFT(H132,4), MID(H132,5,2), RIGHT(H132,2)), "M/d/yyyy")</f>
        <v>11/1/2024</v>
      </c>
      <c r="J132" s="24">
        <v>20240101</v>
      </c>
      <c r="K132" s="24" t="str">
        <f>TEXT(DATE(LEFT(J132,4), MID(J132,5,2), RIGHT(J132,2)), "M/d/yyyy")</f>
        <v>1/1/2024</v>
      </c>
      <c r="L132" s="2" t="s">
        <v>45</v>
      </c>
      <c r="M132" s="24">
        <v>25</v>
      </c>
      <c r="N132" s="2">
        <v>50</v>
      </c>
      <c r="O132" s="22" t="s">
        <v>681</v>
      </c>
    </row>
    <row r="133" spans="1:15" ht="15" customHeight="1" x14ac:dyDescent="0.2">
      <c r="A133" s="2" t="s">
        <v>652</v>
      </c>
      <c r="B133" s="2">
        <v>8307933</v>
      </c>
      <c r="C133" s="24" t="s">
        <v>648</v>
      </c>
      <c r="D133" s="24">
        <v>943558708</v>
      </c>
      <c r="E133" s="24">
        <v>943558708</v>
      </c>
      <c r="F133" s="2" t="s">
        <v>194</v>
      </c>
      <c r="G133" s="2">
        <v>0</v>
      </c>
      <c r="H133" s="24">
        <v>20241001</v>
      </c>
      <c r="I133" s="24" t="str">
        <f>TEXT(DATE(LEFT(H133,4), MID(H133,5,2), RIGHT(H133,2)), "M/d/yyyy")</f>
        <v>10/1/2024</v>
      </c>
      <c r="J133" s="24">
        <v>20240101</v>
      </c>
      <c r="K133" s="24" t="str">
        <f>TEXT(DATE(LEFT(J133,4), MID(J133,5,2), RIGHT(J133,2)), "M/d/yyyy")</f>
        <v>1/1/2024</v>
      </c>
      <c r="L133" s="2" t="s">
        <v>45</v>
      </c>
      <c r="M133" s="24">
        <v>25</v>
      </c>
      <c r="N133" s="2">
        <v>50</v>
      </c>
      <c r="O133" s="22" t="s">
        <v>681</v>
      </c>
    </row>
    <row r="134" spans="1:15" ht="15" customHeight="1" x14ac:dyDescent="0.2">
      <c r="A134" s="2" t="s">
        <v>652</v>
      </c>
      <c r="B134" s="2">
        <v>8307933</v>
      </c>
      <c r="C134" s="24" t="s">
        <v>648</v>
      </c>
      <c r="D134" s="24">
        <v>943558708</v>
      </c>
      <c r="E134" s="24">
        <v>943558708</v>
      </c>
      <c r="F134" s="2" t="s">
        <v>194</v>
      </c>
      <c r="G134" s="2">
        <v>0</v>
      </c>
      <c r="H134" s="24">
        <v>20240901</v>
      </c>
      <c r="I134" s="24" t="str">
        <f>TEXT(DATE(LEFT(H134,4), MID(H134,5,2), RIGHT(H134,2)), "M/d/yyyy")</f>
        <v>9/1/2024</v>
      </c>
      <c r="J134" s="24">
        <v>20240101</v>
      </c>
      <c r="K134" s="24" t="str">
        <f>TEXT(DATE(LEFT(J134,4), MID(J134,5,2), RIGHT(J134,2)), "M/d/yyyy")</f>
        <v>1/1/2024</v>
      </c>
      <c r="L134" s="2" t="s">
        <v>45</v>
      </c>
      <c r="M134" s="24">
        <v>25</v>
      </c>
      <c r="N134" s="2">
        <v>50</v>
      </c>
      <c r="O134" s="22" t="s">
        <v>681</v>
      </c>
    </row>
    <row r="135" spans="1:15" ht="15" customHeight="1" x14ac:dyDescent="0.2">
      <c r="A135" s="2" t="s">
        <v>652</v>
      </c>
      <c r="B135" s="2">
        <v>8307933</v>
      </c>
      <c r="C135" s="24" t="s">
        <v>648</v>
      </c>
      <c r="D135" s="24">
        <v>943695999</v>
      </c>
      <c r="E135" s="24">
        <v>943695999</v>
      </c>
      <c r="F135" s="2" t="s">
        <v>208</v>
      </c>
      <c r="G135" s="2">
        <v>0</v>
      </c>
      <c r="H135" s="24">
        <v>20250901</v>
      </c>
      <c r="I135" s="24" t="str">
        <f>TEXT(DATE(LEFT(H135,4), MID(H135,5,2), RIGHT(H135,2)), "M/d/yyyy")</f>
        <v>9/1/2025</v>
      </c>
      <c r="J135" s="24">
        <v>20240301</v>
      </c>
      <c r="K135" s="24" t="str">
        <f>TEXT(DATE(LEFT(J135,4), MID(J135,5,2), RIGHT(J135,2)), "M/d/yyyy")</f>
        <v>3/1/2024</v>
      </c>
      <c r="L135" s="2" t="s">
        <v>45</v>
      </c>
      <c r="M135" s="24">
        <v>25</v>
      </c>
      <c r="N135" s="2">
        <v>50</v>
      </c>
      <c r="O135" s="22" t="s">
        <v>681</v>
      </c>
    </row>
    <row r="136" spans="1:15" ht="15" customHeight="1" x14ac:dyDescent="0.2">
      <c r="A136" s="2" t="s">
        <v>652</v>
      </c>
      <c r="B136" s="2">
        <v>8307933</v>
      </c>
      <c r="C136" s="24" t="s">
        <v>648</v>
      </c>
      <c r="D136" s="24">
        <v>944075807</v>
      </c>
      <c r="E136" s="24">
        <v>944075807</v>
      </c>
      <c r="F136" s="2" t="s">
        <v>210</v>
      </c>
      <c r="G136" s="2">
        <v>0</v>
      </c>
      <c r="H136" s="24">
        <v>20250901</v>
      </c>
      <c r="I136" s="24" t="str">
        <f>TEXT(DATE(LEFT(H136,4), MID(H136,5,2), RIGHT(H136,2)), "M/d/yyyy")</f>
        <v>9/1/2025</v>
      </c>
      <c r="J136" s="24">
        <v>20241201</v>
      </c>
      <c r="K136" s="24" t="str">
        <f>TEXT(DATE(LEFT(J136,4), MID(J136,5,2), RIGHT(J136,2)), "M/d/yyyy")</f>
        <v>12/1/2024</v>
      </c>
      <c r="L136" s="2" t="s">
        <v>45</v>
      </c>
      <c r="M136" s="24">
        <v>25</v>
      </c>
      <c r="N136" s="2">
        <v>50</v>
      </c>
      <c r="O136" s="22" t="s">
        <v>681</v>
      </c>
    </row>
    <row r="137" spans="1:15" ht="15" customHeight="1" x14ac:dyDescent="0.2">
      <c r="A137" s="2" t="s">
        <v>652</v>
      </c>
      <c r="B137" s="2">
        <v>8307933</v>
      </c>
      <c r="C137" s="24" t="s">
        <v>648</v>
      </c>
      <c r="D137" s="24">
        <v>944077287</v>
      </c>
      <c r="E137" s="24">
        <v>944077287</v>
      </c>
      <c r="F137" s="2" t="s">
        <v>212</v>
      </c>
      <c r="G137" s="2">
        <v>0</v>
      </c>
      <c r="H137" s="24">
        <v>20250901</v>
      </c>
      <c r="I137" s="24" t="str">
        <f>TEXT(DATE(LEFT(H137,4), MID(H137,5,2), RIGHT(H137,2)), "M/d/yyyy")</f>
        <v>9/1/2025</v>
      </c>
      <c r="J137" s="24">
        <v>20250101</v>
      </c>
      <c r="K137" s="24" t="str">
        <f>TEXT(DATE(LEFT(J137,4), MID(J137,5,2), RIGHT(J137,2)), "M/d/yyyy")</f>
        <v>1/1/2025</v>
      </c>
      <c r="L137" s="2" t="s">
        <v>45</v>
      </c>
      <c r="M137" s="24">
        <v>25</v>
      </c>
      <c r="N137" s="2">
        <v>50</v>
      </c>
      <c r="O137" s="22" t="s">
        <v>681</v>
      </c>
    </row>
    <row r="138" spans="1:15" ht="15" customHeight="1" x14ac:dyDescent="0.2">
      <c r="A138" s="2" t="s">
        <v>652</v>
      </c>
      <c r="B138" s="2">
        <v>8307933</v>
      </c>
      <c r="C138" s="24" t="s">
        <v>648</v>
      </c>
      <c r="D138" s="24">
        <v>944117696</v>
      </c>
      <c r="E138" s="24">
        <v>944117696</v>
      </c>
      <c r="F138" s="2" t="s">
        <v>215</v>
      </c>
      <c r="G138" s="2">
        <v>0</v>
      </c>
      <c r="H138" s="24">
        <v>20250901</v>
      </c>
      <c r="I138" s="24" t="str">
        <f>TEXT(DATE(LEFT(H138,4), MID(H138,5,2), RIGHT(H138,2)), "M/d/yyyy")</f>
        <v>9/1/2025</v>
      </c>
      <c r="J138" s="24">
        <v>20250101</v>
      </c>
      <c r="K138" s="24" t="str">
        <f>TEXT(DATE(LEFT(J138,4), MID(J138,5,2), RIGHT(J138,2)), "M/d/yyyy")</f>
        <v>1/1/2025</v>
      </c>
      <c r="L138" s="2" t="s">
        <v>45</v>
      </c>
      <c r="M138" s="24">
        <v>25</v>
      </c>
      <c r="N138" s="2">
        <v>50</v>
      </c>
      <c r="O138" s="22" t="s">
        <v>681</v>
      </c>
    </row>
    <row r="139" spans="1:15" ht="15" customHeight="1" x14ac:dyDescent="0.2">
      <c r="A139" s="2" t="s">
        <v>652</v>
      </c>
      <c r="B139" s="2">
        <v>8307933</v>
      </c>
      <c r="C139" s="24" t="s">
        <v>648</v>
      </c>
      <c r="D139" s="24">
        <v>944117852</v>
      </c>
      <c r="E139" s="24">
        <v>944117852</v>
      </c>
      <c r="F139" s="2" t="s">
        <v>217</v>
      </c>
      <c r="G139" s="2">
        <v>0</v>
      </c>
      <c r="H139" s="24">
        <v>20250901</v>
      </c>
      <c r="I139" s="24" t="str">
        <f>TEXT(DATE(LEFT(H139,4), MID(H139,5,2), RIGHT(H139,2)), "M/d/yyyy")</f>
        <v>9/1/2025</v>
      </c>
      <c r="J139" s="24">
        <v>20250101</v>
      </c>
      <c r="K139" s="24" t="str">
        <f>TEXT(DATE(LEFT(J139,4), MID(J139,5,2), RIGHT(J139,2)), "M/d/yyyy")</f>
        <v>1/1/2025</v>
      </c>
      <c r="L139" s="2" t="s">
        <v>45</v>
      </c>
      <c r="M139" s="24">
        <v>25</v>
      </c>
      <c r="N139" s="2">
        <v>50</v>
      </c>
      <c r="O139" s="22" t="s">
        <v>681</v>
      </c>
    </row>
    <row r="140" spans="1:15" ht="15" customHeight="1" x14ac:dyDescent="0.2">
      <c r="A140" s="2" t="s">
        <v>672</v>
      </c>
      <c r="B140" s="2">
        <v>16683808</v>
      </c>
      <c r="C140" s="24" t="s">
        <v>648</v>
      </c>
      <c r="D140" s="24">
        <v>943976221</v>
      </c>
      <c r="E140" s="24">
        <v>943976221</v>
      </c>
      <c r="F140" s="2" t="s">
        <v>545</v>
      </c>
      <c r="G140" s="2">
        <v>0</v>
      </c>
      <c r="H140" s="24">
        <v>20250901</v>
      </c>
      <c r="I140" s="24" t="str">
        <f>TEXT(DATE(LEFT(H140,4), MID(H140,5,2), RIGHT(H140,2)), "M/d/yyyy")</f>
        <v>9/1/2025</v>
      </c>
      <c r="J140" s="24">
        <v>20240901</v>
      </c>
      <c r="K140" s="24" t="str">
        <f>TEXT(DATE(LEFT(J140,4), MID(J140,5,2), RIGHT(J140,2)), "M/d/yyyy")</f>
        <v>9/1/2024</v>
      </c>
      <c r="L140" s="2" t="s">
        <v>45</v>
      </c>
      <c r="M140" s="24">
        <v>25</v>
      </c>
      <c r="N140" s="2">
        <v>50</v>
      </c>
      <c r="O140" s="22" t="s">
        <v>681</v>
      </c>
    </row>
    <row r="141" spans="1:15" ht="15" customHeight="1" x14ac:dyDescent="0.2">
      <c r="A141" s="2" t="s">
        <v>658</v>
      </c>
      <c r="B141" s="2">
        <v>1706194</v>
      </c>
      <c r="C141" s="24" t="s">
        <v>648</v>
      </c>
      <c r="D141" s="24">
        <v>893625516</v>
      </c>
      <c r="E141" s="24">
        <v>893625516</v>
      </c>
      <c r="F141" s="2" t="s">
        <v>284</v>
      </c>
      <c r="G141" s="2">
        <v>0</v>
      </c>
      <c r="H141" s="24">
        <v>20250901</v>
      </c>
      <c r="I141" s="24" t="str">
        <f>TEXT(DATE(LEFT(H141,4), MID(H141,5,2), RIGHT(H141,2)), "M/d/yyyy")</f>
        <v>9/1/2025</v>
      </c>
      <c r="J141" s="24">
        <v>20210101</v>
      </c>
      <c r="K141" s="24" t="str">
        <f>TEXT(DATE(LEFT(J141,4), MID(J141,5,2), RIGHT(J141,2)), "M/d/yyyy")</f>
        <v>1/1/2021</v>
      </c>
      <c r="L141" s="2" t="s">
        <v>45</v>
      </c>
      <c r="M141" s="24">
        <v>25</v>
      </c>
      <c r="N141" s="2">
        <v>50</v>
      </c>
      <c r="O141" s="22" t="s">
        <v>681</v>
      </c>
    </row>
    <row r="142" spans="1:15" ht="15" customHeight="1" x14ac:dyDescent="0.2">
      <c r="A142" s="2" t="s">
        <v>658</v>
      </c>
      <c r="B142" s="2">
        <v>1706194</v>
      </c>
      <c r="C142" s="24" t="s">
        <v>648</v>
      </c>
      <c r="D142" s="24">
        <v>925096120</v>
      </c>
      <c r="E142" s="24">
        <v>925096120</v>
      </c>
      <c r="F142" s="2" t="s">
        <v>318</v>
      </c>
      <c r="G142" s="2">
        <v>0</v>
      </c>
      <c r="H142" s="24">
        <v>20250901</v>
      </c>
      <c r="I142" s="24" t="str">
        <f>TEXT(DATE(LEFT(H142,4), MID(H142,5,2), RIGHT(H142,2)), "M/d/yyyy")</f>
        <v>9/1/2025</v>
      </c>
      <c r="J142" s="24">
        <v>20180101</v>
      </c>
      <c r="K142" s="24" t="str">
        <f>TEXT(DATE(LEFT(J142,4), MID(J142,5,2), RIGHT(J142,2)), "M/d/yyyy")</f>
        <v>1/1/2018</v>
      </c>
      <c r="L142" s="2" t="s">
        <v>45</v>
      </c>
      <c r="M142" s="24">
        <v>25</v>
      </c>
      <c r="N142" s="2">
        <v>50</v>
      </c>
      <c r="O142" s="22" t="s">
        <v>681</v>
      </c>
    </row>
    <row r="143" spans="1:15" ht="15" customHeight="1" x14ac:dyDescent="0.2">
      <c r="A143" s="2" t="s">
        <v>658</v>
      </c>
      <c r="B143" s="2">
        <v>1706194</v>
      </c>
      <c r="C143" s="24" t="s">
        <v>648</v>
      </c>
      <c r="D143" s="24">
        <v>925320079</v>
      </c>
      <c r="E143" s="24">
        <v>925320079</v>
      </c>
      <c r="F143" s="2" t="s">
        <v>333</v>
      </c>
      <c r="G143" s="2">
        <v>0</v>
      </c>
      <c r="H143" s="24">
        <v>20250901</v>
      </c>
      <c r="I143" s="24" t="str">
        <f>TEXT(DATE(LEFT(H143,4), MID(H143,5,2), RIGHT(H143,2)), "M/d/yyyy")</f>
        <v>9/1/2025</v>
      </c>
      <c r="J143" s="24">
        <v>20220101</v>
      </c>
      <c r="K143" s="24" t="str">
        <f>TEXT(DATE(LEFT(J143,4), MID(J143,5,2), RIGHT(J143,2)), "M/d/yyyy")</f>
        <v>1/1/2022</v>
      </c>
      <c r="L143" s="2" t="s">
        <v>45</v>
      </c>
      <c r="M143" s="24">
        <v>25</v>
      </c>
      <c r="N143" s="2">
        <v>50</v>
      </c>
      <c r="O143" s="22" t="s">
        <v>681</v>
      </c>
    </row>
    <row r="144" spans="1:15" ht="15" customHeight="1" x14ac:dyDescent="0.2">
      <c r="A144" s="2" t="s">
        <v>658</v>
      </c>
      <c r="B144" s="2">
        <v>1706194</v>
      </c>
      <c r="C144" s="24" t="s">
        <v>648</v>
      </c>
      <c r="D144" s="24">
        <v>925448460</v>
      </c>
      <c r="E144" s="24">
        <v>925448460</v>
      </c>
      <c r="F144" s="2" t="s">
        <v>346</v>
      </c>
      <c r="G144" s="2">
        <v>0</v>
      </c>
      <c r="H144" s="24">
        <v>20250901</v>
      </c>
      <c r="I144" s="24" t="str">
        <f>TEXT(DATE(LEFT(H144,4), MID(H144,5,2), RIGHT(H144,2)), "M/d/yyyy")</f>
        <v>9/1/2025</v>
      </c>
      <c r="J144" s="24">
        <v>20210101</v>
      </c>
      <c r="K144" s="24" t="str">
        <f>TEXT(DATE(LEFT(J144,4), MID(J144,5,2), RIGHT(J144,2)), "M/d/yyyy")</f>
        <v>1/1/2021</v>
      </c>
      <c r="L144" s="2" t="s">
        <v>45</v>
      </c>
      <c r="M144" s="24">
        <v>25</v>
      </c>
      <c r="N144" s="2">
        <v>50</v>
      </c>
      <c r="O144" s="22" t="s">
        <v>681</v>
      </c>
    </row>
    <row r="145" spans="1:15" ht="15" customHeight="1" x14ac:dyDescent="0.2">
      <c r="A145" s="2" t="s">
        <v>658</v>
      </c>
      <c r="B145" s="2">
        <v>1706194</v>
      </c>
      <c r="C145" s="24" t="s">
        <v>648</v>
      </c>
      <c r="D145" s="24">
        <v>925551038</v>
      </c>
      <c r="E145" s="24">
        <v>925551038</v>
      </c>
      <c r="F145" s="2" t="s">
        <v>352</v>
      </c>
      <c r="G145" s="2">
        <v>0</v>
      </c>
      <c r="H145" s="24">
        <v>20250901</v>
      </c>
      <c r="I145" s="24" t="str">
        <f>TEXT(DATE(LEFT(H145,4), MID(H145,5,2), RIGHT(H145,2)), "M/d/yyyy")</f>
        <v>9/1/2025</v>
      </c>
      <c r="J145" s="24">
        <v>20240901</v>
      </c>
      <c r="K145" s="24" t="str">
        <f>TEXT(DATE(LEFT(J145,4), MID(J145,5,2), RIGHT(J145,2)), "M/d/yyyy")</f>
        <v>9/1/2024</v>
      </c>
      <c r="L145" s="2" t="s">
        <v>45</v>
      </c>
      <c r="M145" s="24">
        <v>25</v>
      </c>
      <c r="N145" s="2">
        <v>50</v>
      </c>
      <c r="O145" s="22" t="s">
        <v>681</v>
      </c>
    </row>
    <row r="146" spans="1:15" ht="15" customHeight="1" x14ac:dyDescent="0.2">
      <c r="A146" s="2" t="s">
        <v>658</v>
      </c>
      <c r="B146" s="2">
        <v>1706194</v>
      </c>
      <c r="C146" s="24" t="s">
        <v>648</v>
      </c>
      <c r="D146" s="24">
        <v>925611876</v>
      </c>
      <c r="E146" s="24">
        <v>925611876</v>
      </c>
      <c r="F146" s="2" t="s">
        <v>367</v>
      </c>
      <c r="G146" s="2">
        <v>0</v>
      </c>
      <c r="H146" s="24">
        <v>20250901</v>
      </c>
      <c r="I146" s="24" t="str">
        <f>TEXT(DATE(LEFT(H146,4), MID(H146,5,2), RIGHT(H146,2)), "M/d/yyyy")</f>
        <v>9/1/2025</v>
      </c>
      <c r="J146" s="24">
        <v>20220101</v>
      </c>
      <c r="K146" s="24" t="str">
        <f>TEXT(DATE(LEFT(J146,4), MID(J146,5,2), RIGHT(J146,2)), "M/d/yyyy")</f>
        <v>1/1/2022</v>
      </c>
      <c r="L146" s="2" t="s">
        <v>45</v>
      </c>
      <c r="M146" s="24">
        <v>25</v>
      </c>
      <c r="N146" s="2">
        <v>50</v>
      </c>
      <c r="O146" s="22" t="s">
        <v>681</v>
      </c>
    </row>
    <row r="147" spans="1:15" ht="15" customHeight="1" x14ac:dyDescent="0.2">
      <c r="A147" s="2" t="s">
        <v>658</v>
      </c>
      <c r="B147" s="2">
        <v>1706194</v>
      </c>
      <c r="C147" s="24" t="s">
        <v>648</v>
      </c>
      <c r="D147" s="24">
        <v>944109554</v>
      </c>
      <c r="E147" s="24">
        <v>944109554</v>
      </c>
      <c r="F147" s="2" t="s">
        <v>402</v>
      </c>
      <c r="G147" s="2">
        <v>0</v>
      </c>
      <c r="H147" s="24">
        <v>20250901</v>
      </c>
      <c r="I147" s="24" t="str">
        <f>TEXT(DATE(LEFT(H147,4), MID(H147,5,2), RIGHT(H147,2)), "M/d/yyyy")</f>
        <v>9/1/2025</v>
      </c>
      <c r="J147" s="24">
        <v>20250101</v>
      </c>
      <c r="K147" s="24" t="str">
        <f>TEXT(DATE(LEFT(J147,4), MID(J147,5,2), RIGHT(J147,2)), "M/d/yyyy")</f>
        <v>1/1/2025</v>
      </c>
      <c r="L147" s="2" t="s">
        <v>45</v>
      </c>
      <c r="M147" s="24">
        <v>25</v>
      </c>
      <c r="N147" s="2">
        <v>50</v>
      </c>
      <c r="O147" s="22" t="s">
        <v>681</v>
      </c>
    </row>
    <row r="148" spans="1:15" ht="15" customHeight="1" x14ac:dyDescent="0.2">
      <c r="A148" s="2" t="s">
        <v>658</v>
      </c>
      <c r="B148" s="2">
        <v>1706194</v>
      </c>
      <c r="C148" s="24" t="s">
        <v>648</v>
      </c>
      <c r="D148" s="24">
        <v>944196799</v>
      </c>
      <c r="E148" s="24">
        <v>944196799</v>
      </c>
      <c r="F148" s="2" t="s">
        <v>414</v>
      </c>
      <c r="G148" s="2">
        <v>0</v>
      </c>
      <c r="H148" s="24">
        <v>20250901</v>
      </c>
      <c r="I148" s="24" t="str">
        <f>TEXT(DATE(LEFT(H148,4), MID(H148,5,2), RIGHT(H148,2)), "M/d/yyyy")</f>
        <v>9/1/2025</v>
      </c>
      <c r="J148" s="24">
        <v>20250201</v>
      </c>
      <c r="K148" s="24" t="str">
        <f>TEXT(DATE(LEFT(J148,4), MID(J148,5,2), RIGHT(J148,2)), "M/d/yyyy")</f>
        <v>2/1/2025</v>
      </c>
      <c r="L148" s="2" t="s">
        <v>45</v>
      </c>
      <c r="M148" s="24">
        <v>25</v>
      </c>
      <c r="N148" s="2">
        <v>50</v>
      </c>
      <c r="O148" s="22" t="s">
        <v>681</v>
      </c>
    </row>
    <row r="149" spans="1:15" ht="15" customHeight="1" x14ac:dyDescent="0.2">
      <c r="A149" s="2" t="s">
        <v>665</v>
      </c>
      <c r="B149" s="2">
        <v>16633294</v>
      </c>
      <c r="C149" s="24" t="s">
        <v>648</v>
      </c>
      <c r="D149" s="24">
        <v>893452503</v>
      </c>
      <c r="E149" s="24">
        <v>893452503</v>
      </c>
      <c r="F149" s="2" t="s">
        <v>483</v>
      </c>
      <c r="G149" s="2">
        <v>0</v>
      </c>
      <c r="H149" s="24">
        <v>20250901</v>
      </c>
      <c r="I149" s="24" t="str">
        <f>TEXT(DATE(LEFT(H149,4), MID(H149,5,2), RIGHT(H149,2)), "M/d/yyyy")</f>
        <v>9/1/2025</v>
      </c>
      <c r="J149" s="24">
        <v>20250501</v>
      </c>
      <c r="K149" s="24" t="str">
        <f>TEXT(DATE(LEFT(J149,4), MID(J149,5,2), RIGHT(J149,2)), "M/d/yyyy")</f>
        <v>5/1/2025</v>
      </c>
      <c r="L149" s="2" t="s">
        <v>45</v>
      </c>
      <c r="M149" s="24">
        <v>25</v>
      </c>
      <c r="N149" s="2">
        <v>50</v>
      </c>
      <c r="O149" s="22" t="s">
        <v>681</v>
      </c>
    </row>
    <row r="150" spans="1:15" ht="15" customHeight="1" x14ac:dyDescent="0.2">
      <c r="A150" s="2" t="s">
        <v>652</v>
      </c>
      <c r="B150" s="2">
        <v>8307933</v>
      </c>
      <c r="C150" s="24" t="s">
        <v>649</v>
      </c>
      <c r="D150" s="24">
        <v>925677277</v>
      </c>
      <c r="E150" s="24">
        <v>925677277</v>
      </c>
      <c r="F150" s="2" t="s">
        <v>111</v>
      </c>
      <c r="G150" s="2">
        <v>0</v>
      </c>
      <c r="H150" s="24">
        <v>20250901</v>
      </c>
      <c r="I150" s="24" t="str">
        <f>TEXT(DATE(LEFT(H150,4), MID(H150,5,2), RIGHT(H150,2)), "M/d/yyyy")</f>
        <v>9/1/2025</v>
      </c>
      <c r="J150" s="24">
        <v>20220301</v>
      </c>
      <c r="K150" s="24" t="str">
        <f>TEXT(DATE(LEFT(J150,4), MID(J150,5,2), RIGHT(J150,2)), "M/d/yyyy")</f>
        <v>3/1/2022</v>
      </c>
      <c r="L150" s="2" t="s">
        <v>45</v>
      </c>
      <c r="M150" s="24">
        <v>25</v>
      </c>
      <c r="N150" s="2">
        <v>75</v>
      </c>
      <c r="O150" s="22" t="s">
        <v>681</v>
      </c>
    </row>
    <row r="151" spans="1:15" ht="15" customHeight="1" x14ac:dyDescent="0.2">
      <c r="A151" s="2" t="s">
        <v>658</v>
      </c>
      <c r="B151" s="2">
        <v>1706194</v>
      </c>
      <c r="C151" s="24" t="s">
        <v>649</v>
      </c>
      <c r="D151" s="24">
        <v>927920962</v>
      </c>
      <c r="E151" s="24">
        <v>927920962</v>
      </c>
      <c r="F151" s="2" t="s">
        <v>387</v>
      </c>
      <c r="G151" s="2">
        <v>0</v>
      </c>
      <c r="H151" s="24">
        <v>20250901</v>
      </c>
      <c r="I151" s="24" t="str">
        <f>TEXT(DATE(LEFT(H151,4), MID(H151,5,2), RIGHT(H151,2)), "M/d/yyyy")</f>
        <v>9/1/2025</v>
      </c>
      <c r="J151" s="24">
        <v>20230201</v>
      </c>
      <c r="K151" s="24" t="str">
        <f>TEXT(DATE(LEFT(J151,4), MID(J151,5,2), RIGHT(J151,2)), "M/d/yyyy")</f>
        <v>2/1/2023</v>
      </c>
      <c r="L151" s="2" t="s">
        <v>45</v>
      </c>
      <c r="M151" s="24">
        <v>25</v>
      </c>
      <c r="N151" s="2">
        <v>75</v>
      </c>
      <c r="O151" s="22" t="s">
        <v>681</v>
      </c>
    </row>
    <row r="152" spans="1:15" ht="15" customHeight="1" x14ac:dyDescent="0.2">
      <c r="A152" s="2" t="s">
        <v>658</v>
      </c>
      <c r="B152" s="2">
        <v>1706194</v>
      </c>
      <c r="C152" s="24" t="s">
        <v>649</v>
      </c>
      <c r="D152" s="24">
        <v>944157847</v>
      </c>
      <c r="E152" s="24">
        <v>944157847</v>
      </c>
      <c r="F152" s="2" t="s">
        <v>404</v>
      </c>
      <c r="G152" s="2">
        <v>0</v>
      </c>
      <c r="H152" s="24">
        <v>20250901</v>
      </c>
      <c r="I152" s="24" t="str">
        <f>TEXT(DATE(LEFT(H152,4), MID(H152,5,2), RIGHT(H152,2)), "M/d/yyyy")</f>
        <v>9/1/2025</v>
      </c>
      <c r="J152" s="24">
        <v>20250101</v>
      </c>
      <c r="K152" s="24" t="str">
        <f>TEXT(DATE(LEFT(J152,4), MID(J152,5,2), RIGHT(J152,2)), "M/d/yyyy")</f>
        <v>1/1/2025</v>
      </c>
      <c r="L152" s="2" t="s">
        <v>45</v>
      </c>
      <c r="M152" s="24">
        <v>25</v>
      </c>
      <c r="N152" s="2">
        <v>75</v>
      </c>
      <c r="O152" s="22" t="s">
        <v>681</v>
      </c>
    </row>
    <row r="153" spans="1:15" ht="15" customHeight="1" x14ac:dyDescent="0.2">
      <c r="A153" s="2" t="s">
        <v>658</v>
      </c>
      <c r="B153" s="2">
        <v>1706194</v>
      </c>
      <c r="C153" s="24" t="s">
        <v>649</v>
      </c>
      <c r="D153" s="24">
        <v>944185904</v>
      </c>
      <c r="E153" s="24">
        <v>944185904</v>
      </c>
      <c r="F153" s="2" t="s">
        <v>408</v>
      </c>
      <c r="G153" s="2">
        <v>0</v>
      </c>
      <c r="H153" s="24">
        <v>20250901</v>
      </c>
      <c r="I153" s="24" t="str">
        <f>TEXT(DATE(LEFT(H153,4), MID(H153,5,2), RIGHT(H153,2)), "M/d/yyyy")</f>
        <v>9/1/2025</v>
      </c>
      <c r="J153" s="24">
        <v>20250201</v>
      </c>
      <c r="K153" s="24" t="str">
        <f>TEXT(DATE(LEFT(J153,4), MID(J153,5,2), RIGHT(J153,2)), "M/d/yyyy")</f>
        <v>2/1/2025</v>
      </c>
      <c r="L153" s="2" t="s">
        <v>45</v>
      </c>
      <c r="M153" s="24">
        <v>25</v>
      </c>
      <c r="N153" s="2">
        <v>75</v>
      </c>
      <c r="O153" s="22" t="s">
        <v>681</v>
      </c>
    </row>
    <row r="154" spans="1:15" ht="15" customHeight="1" x14ac:dyDescent="0.2">
      <c r="A154" s="2" t="s">
        <v>654</v>
      </c>
      <c r="B154" s="2">
        <v>9079571</v>
      </c>
      <c r="C154" s="24" t="s">
        <v>650</v>
      </c>
      <c r="D154" s="24">
        <v>944023937</v>
      </c>
      <c r="E154" s="24">
        <v>944023937</v>
      </c>
      <c r="F154" s="2" t="s">
        <v>257</v>
      </c>
      <c r="G154" s="2">
        <v>0</v>
      </c>
      <c r="H154" s="24">
        <v>20250901</v>
      </c>
      <c r="I154" s="24" t="str">
        <f>TEXT(DATE(LEFT(H154,4), MID(H154,5,2), RIGHT(H154,2)), "M/d/yyyy")</f>
        <v>9/1/2025</v>
      </c>
      <c r="J154" s="24">
        <v>20241001</v>
      </c>
      <c r="K154" s="24" t="str">
        <f>TEXT(DATE(LEFT(J154,4), MID(J154,5,2), RIGHT(J154,2)), "M/d/yyyy")</f>
        <v>10/1/2024</v>
      </c>
      <c r="L154" s="2" t="s">
        <v>45</v>
      </c>
      <c r="M154" s="24">
        <v>25</v>
      </c>
      <c r="N154" s="2">
        <v>100</v>
      </c>
      <c r="O154" s="22" t="s">
        <v>681</v>
      </c>
    </row>
    <row r="155" spans="1:15" ht="15" customHeight="1" x14ac:dyDescent="0.2">
      <c r="A155" s="2" t="s">
        <v>669</v>
      </c>
      <c r="B155" s="2">
        <v>20003537</v>
      </c>
      <c r="C155" s="24" t="s">
        <v>650</v>
      </c>
      <c r="D155" s="24">
        <v>944280969</v>
      </c>
      <c r="E155" s="24">
        <v>944280969</v>
      </c>
      <c r="F155" s="2" t="s">
        <v>530</v>
      </c>
      <c r="G155" s="2">
        <v>0</v>
      </c>
      <c r="H155" s="24">
        <v>20250901</v>
      </c>
      <c r="I155" s="24" t="str">
        <f>TEXT(DATE(LEFT(H155,4), MID(H155,5,2), RIGHT(H155,2)), "M/d/yyyy")</f>
        <v>9/1/2025</v>
      </c>
      <c r="J155" s="24">
        <v>20250601</v>
      </c>
      <c r="K155" s="24" t="str">
        <f>TEXT(DATE(LEFT(J155,4), MID(J155,5,2), RIGHT(J155,2)), "M/d/yyyy")</f>
        <v>6/1/2025</v>
      </c>
      <c r="L155" s="2" t="s">
        <v>45</v>
      </c>
      <c r="M155" s="24">
        <v>25</v>
      </c>
      <c r="N155" s="2">
        <v>100</v>
      </c>
      <c r="O155" s="22" t="s">
        <v>681</v>
      </c>
    </row>
    <row r="156" spans="1:15" ht="15" customHeight="1" x14ac:dyDescent="0.2">
      <c r="A156" s="2" t="s">
        <v>652</v>
      </c>
      <c r="B156" s="2">
        <v>8307933</v>
      </c>
      <c r="C156" s="24" t="s">
        <v>650</v>
      </c>
      <c r="D156" s="24">
        <v>925864248</v>
      </c>
      <c r="E156" s="24">
        <v>925864248</v>
      </c>
      <c r="F156" s="2" t="s">
        <v>136</v>
      </c>
      <c r="G156" s="2">
        <v>0</v>
      </c>
      <c r="H156" s="24">
        <v>20250901</v>
      </c>
      <c r="I156" s="24" t="str">
        <f>TEXT(DATE(LEFT(H156,4), MID(H156,5,2), RIGHT(H156,2)), "M/d/yyyy")</f>
        <v>9/1/2025</v>
      </c>
      <c r="J156" s="24">
        <v>20230101</v>
      </c>
      <c r="K156" s="24" t="str">
        <f>TEXT(DATE(LEFT(J156,4), MID(J156,5,2), RIGHT(J156,2)), "M/d/yyyy")</f>
        <v>1/1/2023</v>
      </c>
      <c r="L156" s="2" t="s">
        <v>45</v>
      </c>
      <c r="M156" s="24">
        <v>25</v>
      </c>
      <c r="N156" s="2">
        <v>100</v>
      </c>
      <c r="O156" s="22" t="s">
        <v>681</v>
      </c>
    </row>
    <row r="157" spans="1:15" ht="15" customHeight="1" x14ac:dyDescent="0.2">
      <c r="A157" s="2" t="s">
        <v>652</v>
      </c>
      <c r="B157" s="2">
        <v>8307933</v>
      </c>
      <c r="C157" s="24" t="s">
        <v>650</v>
      </c>
      <c r="D157" s="24">
        <v>943692939</v>
      </c>
      <c r="E157" s="24">
        <v>943692939</v>
      </c>
      <c r="F157" s="2" t="s">
        <v>204</v>
      </c>
      <c r="G157" s="2">
        <v>0</v>
      </c>
      <c r="H157" s="24">
        <v>20250901</v>
      </c>
      <c r="I157" s="24" t="str">
        <f>TEXT(DATE(LEFT(H157,4), MID(H157,5,2), RIGHT(H157,2)), "M/d/yyyy")</f>
        <v>9/1/2025</v>
      </c>
      <c r="J157" s="24">
        <v>20240301</v>
      </c>
      <c r="K157" s="24" t="str">
        <f>TEXT(DATE(LEFT(J157,4), MID(J157,5,2), RIGHT(J157,2)), "M/d/yyyy")</f>
        <v>3/1/2024</v>
      </c>
      <c r="L157" s="2" t="s">
        <v>45</v>
      </c>
      <c r="M157" s="24">
        <v>25</v>
      </c>
      <c r="N157" s="2">
        <v>100</v>
      </c>
      <c r="O157" s="22" t="s">
        <v>681</v>
      </c>
    </row>
    <row r="158" spans="1:15" ht="15" customHeight="1" x14ac:dyDescent="0.2">
      <c r="A158" s="2" t="s">
        <v>674</v>
      </c>
      <c r="B158" s="2">
        <v>6634327</v>
      </c>
      <c r="C158" s="24" t="s">
        <v>650</v>
      </c>
      <c r="D158" s="24">
        <v>925964157</v>
      </c>
      <c r="E158" s="24">
        <v>925964157</v>
      </c>
      <c r="F158" s="2" t="s">
        <v>559</v>
      </c>
      <c r="G158" s="2">
        <v>0</v>
      </c>
      <c r="H158" s="24">
        <v>20250901</v>
      </c>
      <c r="I158" s="24" t="str">
        <f>TEXT(DATE(LEFT(H158,4), MID(H158,5,2), RIGHT(H158,2)), "M/d/yyyy")</f>
        <v>9/1/2025</v>
      </c>
      <c r="J158" s="24">
        <v>20230401</v>
      </c>
      <c r="K158" s="24" t="str">
        <f>TEXT(DATE(LEFT(J158,4), MID(J158,5,2), RIGHT(J158,2)), "M/d/yyyy")</f>
        <v>4/1/2023</v>
      </c>
      <c r="L158" s="2" t="s">
        <v>45</v>
      </c>
      <c r="M158" s="24">
        <v>25</v>
      </c>
      <c r="N158" s="2">
        <v>100</v>
      </c>
      <c r="O158" s="22" t="s">
        <v>681</v>
      </c>
    </row>
    <row r="159" spans="1:15" ht="15" customHeight="1" x14ac:dyDescent="0.2">
      <c r="A159" s="2" t="s">
        <v>658</v>
      </c>
      <c r="B159" s="2">
        <v>1706194</v>
      </c>
      <c r="C159" s="24" t="s">
        <v>650</v>
      </c>
      <c r="D159" s="24">
        <v>924558840</v>
      </c>
      <c r="E159" s="24">
        <v>924558840</v>
      </c>
      <c r="F159" s="2" t="s">
        <v>307</v>
      </c>
      <c r="G159" s="2">
        <v>0</v>
      </c>
      <c r="H159" s="24">
        <v>20250901</v>
      </c>
      <c r="I159" s="24" t="str">
        <f>TEXT(DATE(LEFT(H159,4), MID(H159,5,2), RIGHT(H159,2)), "M/d/yyyy")</f>
        <v>9/1/2025</v>
      </c>
      <c r="J159" s="24">
        <v>20210101</v>
      </c>
      <c r="K159" s="24" t="str">
        <f>TEXT(DATE(LEFT(J159,4), MID(J159,5,2), RIGHT(J159,2)), "M/d/yyyy")</f>
        <v>1/1/2021</v>
      </c>
      <c r="L159" s="2" t="s">
        <v>45</v>
      </c>
      <c r="M159" s="24">
        <v>25</v>
      </c>
      <c r="N159" s="2">
        <v>100</v>
      </c>
      <c r="O159" s="22" t="s">
        <v>681</v>
      </c>
    </row>
    <row r="160" spans="1:15" ht="15" customHeight="1" x14ac:dyDescent="0.2">
      <c r="A160" s="2" t="s">
        <v>658</v>
      </c>
      <c r="B160" s="2">
        <v>1706194</v>
      </c>
      <c r="C160" s="24" t="s">
        <v>650</v>
      </c>
      <c r="D160" s="24">
        <v>925821790</v>
      </c>
      <c r="E160" s="24">
        <v>925821790</v>
      </c>
      <c r="F160" s="2" t="s">
        <v>375</v>
      </c>
      <c r="G160" s="2">
        <v>0</v>
      </c>
      <c r="H160" s="24">
        <v>20250901</v>
      </c>
      <c r="I160" s="24" t="str">
        <f>TEXT(DATE(LEFT(H160,4), MID(H160,5,2), RIGHT(H160,2)), "M/d/yyyy")</f>
        <v>9/1/2025</v>
      </c>
      <c r="J160" s="24">
        <v>20230101</v>
      </c>
      <c r="K160" s="24" t="str">
        <f>TEXT(DATE(LEFT(J160,4), MID(J160,5,2), RIGHT(J160,2)), "M/d/yyyy")</f>
        <v>1/1/2023</v>
      </c>
      <c r="L160" s="2" t="s">
        <v>45</v>
      </c>
      <c r="M160" s="24">
        <v>25</v>
      </c>
      <c r="N160" s="2">
        <v>100</v>
      </c>
      <c r="O160" s="22" t="s">
        <v>681</v>
      </c>
    </row>
    <row r="161" spans="1:37" ht="15" customHeight="1" x14ac:dyDescent="0.2">
      <c r="A161" s="2" t="s">
        <v>667</v>
      </c>
      <c r="B161" s="2">
        <v>19396223</v>
      </c>
      <c r="C161" s="24" t="s">
        <v>650</v>
      </c>
      <c r="D161" s="24">
        <v>944202542</v>
      </c>
      <c r="E161" s="24">
        <v>944202542</v>
      </c>
      <c r="F161" s="2" t="s">
        <v>499</v>
      </c>
      <c r="G161" s="2">
        <v>0</v>
      </c>
      <c r="H161" s="24">
        <v>20250901</v>
      </c>
      <c r="I161" s="24" t="str">
        <f>TEXT(DATE(LEFT(H161,4), MID(H161,5,2), RIGHT(H161,2)), "M/d/yyyy")</f>
        <v>9/1/2025</v>
      </c>
      <c r="J161" s="24">
        <v>20250201</v>
      </c>
      <c r="K161" s="24" t="str">
        <f>TEXT(DATE(LEFT(J161,4), MID(J161,5,2), RIGHT(J161,2)), "M/d/yyyy")</f>
        <v>2/1/2025</v>
      </c>
      <c r="L161" s="2" t="s">
        <v>45</v>
      </c>
      <c r="M161" s="24">
        <v>25</v>
      </c>
      <c r="N161" s="2">
        <v>100</v>
      </c>
      <c r="O161" s="22" t="s">
        <v>681</v>
      </c>
    </row>
    <row r="162" spans="1:37" ht="15" customHeight="1" x14ac:dyDescent="0.2">
      <c r="A162" s="2" t="s">
        <v>658</v>
      </c>
      <c r="B162" s="2">
        <v>1706194</v>
      </c>
      <c r="C162" s="24" t="s">
        <v>651</v>
      </c>
      <c r="D162" s="24">
        <v>925575892</v>
      </c>
      <c r="E162" s="24">
        <v>925575892</v>
      </c>
      <c r="F162" s="2" t="s">
        <v>360</v>
      </c>
      <c r="G162" s="2">
        <v>0</v>
      </c>
      <c r="H162" s="24">
        <v>20250901</v>
      </c>
      <c r="I162" s="24" t="str">
        <f>TEXT(DATE(LEFT(H162,4), MID(H162,5,2), RIGHT(H162,2)), "M/d/yyyy")</f>
        <v>9/1/2025</v>
      </c>
      <c r="J162" s="24">
        <v>20230701</v>
      </c>
      <c r="K162" s="24" t="str">
        <f>TEXT(DATE(LEFT(J162,4), MID(J162,5,2), RIGHT(J162,2)), "M/d/yyyy")</f>
        <v>7/1/2023</v>
      </c>
      <c r="L162" s="2" t="s">
        <v>45</v>
      </c>
      <c r="M162" s="24">
        <v>25</v>
      </c>
      <c r="N162" s="2">
        <v>125</v>
      </c>
      <c r="O162" s="22" t="s">
        <v>681</v>
      </c>
    </row>
    <row r="163" spans="1:37" ht="15" customHeight="1" x14ac:dyDescent="0.2">
      <c r="A163" s="2" t="s">
        <v>658</v>
      </c>
      <c r="B163" s="2">
        <v>1706194</v>
      </c>
      <c r="C163" s="24" t="s">
        <v>651</v>
      </c>
      <c r="D163" s="24">
        <v>925626716</v>
      </c>
      <c r="E163" s="24">
        <v>925626716</v>
      </c>
      <c r="F163" s="2" t="s">
        <v>369</v>
      </c>
      <c r="G163" s="2">
        <v>0</v>
      </c>
      <c r="H163" s="24">
        <v>20250901</v>
      </c>
      <c r="I163" s="24" t="str">
        <f>TEXT(DATE(LEFT(H163,4), MID(H163,5,2), RIGHT(H163,2)), "M/d/yyyy")</f>
        <v>9/1/2025</v>
      </c>
      <c r="J163" s="24">
        <v>20240101</v>
      </c>
      <c r="K163" s="24" t="str">
        <f>TEXT(DATE(LEFT(J163,4), MID(J163,5,2), RIGHT(J163,2)), "M/d/yyyy")</f>
        <v>1/1/2024</v>
      </c>
      <c r="L163" s="2" t="s">
        <v>45</v>
      </c>
      <c r="M163" s="24">
        <v>25</v>
      </c>
      <c r="N163" s="2">
        <v>125</v>
      </c>
      <c r="O163" s="22" t="s">
        <v>681</v>
      </c>
    </row>
    <row r="164" spans="1:37" ht="15" customHeight="1" x14ac:dyDescent="0.2">
      <c r="A164" s="2" t="s">
        <v>658</v>
      </c>
      <c r="B164" s="2">
        <v>1706194</v>
      </c>
      <c r="C164" s="24" t="s">
        <v>651</v>
      </c>
      <c r="D164" s="24">
        <v>943937057</v>
      </c>
      <c r="E164" s="24">
        <v>943937057</v>
      </c>
      <c r="F164" s="2" t="s">
        <v>396</v>
      </c>
      <c r="G164" s="2">
        <v>0</v>
      </c>
      <c r="H164" s="24">
        <v>20250901</v>
      </c>
      <c r="I164" s="24" t="str">
        <f>TEXT(DATE(LEFT(H164,4), MID(H164,5,2), RIGHT(H164,2)), "M/d/yyyy")</f>
        <v>9/1/2025</v>
      </c>
      <c r="J164" s="24">
        <v>20240801</v>
      </c>
      <c r="K164" s="24" t="str">
        <f>TEXT(DATE(LEFT(J164,4), MID(J164,5,2), RIGHT(J164,2)), "M/d/yyyy")</f>
        <v>8/1/2024</v>
      </c>
      <c r="L164" s="2" t="s">
        <v>45</v>
      </c>
      <c r="M164" s="24">
        <v>25</v>
      </c>
      <c r="N164" s="2">
        <v>125</v>
      </c>
      <c r="O164" s="22" t="s">
        <v>681</v>
      </c>
    </row>
    <row r="165" spans="1:37" ht="15" customHeight="1" x14ac:dyDescent="0.2">
      <c r="A165" s="2" t="s">
        <v>658</v>
      </c>
      <c r="B165" s="2">
        <v>1706194</v>
      </c>
      <c r="C165" s="2"/>
      <c r="D165" s="24">
        <v>944304326</v>
      </c>
      <c r="E165" s="24">
        <v>944304326</v>
      </c>
      <c r="F165" s="2" t="s">
        <v>422</v>
      </c>
      <c r="G165" s="2">
        <v>0</v>
      </c>
      <c r="H165" s="24">
        <v>20250801</v>
      </c>
      <c r="I165" s="24" t="str">
        <f>TEXT(DATE(LEFT(H165,4), MID(H165,5,2), RIGHT(H165,2)), "M/d/yyyy")</f>
        <v>8/1/2025</v>
      </c>
      <c r="J165" s="24">
        <v>20250701</v>
      </c>
      <c r="K165" s="24" t="str">
        <f>TEXT(DATE(LEFT(J165,4), MID(J165,5,2), RIGHT(J165,2)), "M/d/yyyy")</f>
        <v>7/1/2025</v>
      </c>
      <c r="L165" s="2" t="s">
        <v>63</v>
      </c>
      <c r="M165" s="24">
        <v>20</v>
      </c>
      <c r="N165" s="2">
        <v>-20</v>
      </c>
      <c r="O165" s="22" t="s">
        <v>683</v>
      </c>
    </row>
    <row r="166" spans="1:37" ht="15" customHeight="1" x14ac:dyDescent="0.2">
      <c r="A166" s="2" t="s">
        <v>658</v>
      </c>
      <c r="B166" s="2">
        <v>1706194</v>
      </c>
      <c r="C166" s="2"/>
      <c r="D166" s="24">
        <v>944304335</v>
      </c>
      <c r="E166" s="24">
        <v>944304335</v>
      </c>
      <c r="F166" s="2" t="s">
        <v>425</v>
      </c>
      <c r="G166" s="2">
        <v>0</v>
      </c>
      <c r="H166" s="24">
        <v>20250801</v>
      </c>
      <c r="I166" s="24" t="str">
        <f>TEXT(DATE(LEFT(H166,4), MID(H166,5,2), RIGHT(H166,2)), "M/d/yyyy")</f>
        <v>8/1/2025</v>
      </c>
      <c r="J166" s="24">
        <v>20250701</v>
      </c>
      <c r="K166" s="24" t="str">
        <f>TEXT(DATE(LEFT(J166,4), MID(J166,5,2), RIGHT(J166,2)), "M/d/yyyy")</f>
        <v>7/1/2025</v>
      </c>
      <c r="L166" s="2" t="s">
        <v>63</v>
      </c>
      <c r="M166" s="24">
        <v>20</v>
      </c>
      <c r="N166" s="2">
        <v>-20</v>
      </c>
      <c r="O166" s="22" t="s">
        <v>683</v>
      </c>
    </row>
    <row r="167" spans="1:37" ht="15" customHeight="1" x14ac:dyDescent="0.2">
      <c r="A167" s="2" t="s">
        <v>664</v>
      </c>
      <c r="B167" s="2">
        <v>19200754</v>
      </c>
      <c r="C167" s="2"/>
      <c r="D167" s="24">
        <v>921547947</v>
      </c>
      <c r="E167" s="24">
        <v>921547947</v>
      </c>
      <c r="F167" s="2" t="s">
        <v>478</v>
      </c>
      <c r="G167" s="2">
        <v>0</v>
      </c>
      <c r="H167" s="24">
        <v>20250801</v>
      </c>
      <c r="I167" s="24" t="str">
        <f>TEXT(DATE(LEFT(H167,4), MID(H167,5,2), RIGHT(H167,2)), "M/d/yyyy")</f>
        <v>8/1/2025</v>
      </c>
      <c r="J167" s="24">
        <v>20250501</v>
      </c>
      <c r="K167" s="24" t="str">
        <f>TEXT(DATE(LEFT(J167,4), MID(J167,5,2), RIGHT(J167,2)), "M/d/yyyy")</f>
        <v>5/1/2025</v>
      </c>
      <c r="L167" s="2" t="s">
        <v>63</v>
      </c>
      <c r="M167" s="24">
        <v>20</v>
      </c>
      <c r="N167" s="2">
        <v>-20</v>
      </c>
      <c r="O167" s="22" t="s">
        <v>683</v>
      </c>
    </row>
    <row r="168" spans="1:37" ht="15" customHeight="1" x14ac:dyDescent="0.2">
      <c r="A168" s="2" t="s">
        <v>662</v>
      </c>
      <c r="B168" s="2">
        <v>7470776</v>
      </c>
      <c r="C168" s="24"/>
      <c r="D168" s="24">
        <v>925117411</v>
      </c>
      <c r="E168" s="24">
        <v>925117411</v>
      </c>
      <c r="F168" s="2" t="s">
        <v>456</v>
      </c>
      <c r="G168" s="2">
        <v>0</v>
      </c>
      <c r="H168" s="24">
        <v>20250901</v>
      </c>
      <c r="I168" s="24" t="str">
        <f>TEXT(DATE(LEFT(H168,4), MID(H168,5,2), RIGHT(H168,2)), "M/d/yyyy")</f>
        <v>9/1/2025</v>
      </c>
      <c r="J168" s="24">
        <v>20230201</v>
      </c>
      <c r="K168" s="24" t="str">
        <f>TEXT(DATE(LEFT(J168,4), MID(J168,5,2), RIGHT(J168,2)), "M/d/yyyy")</f>
        <v>2/1/2023</v>
      </c>
      <c r="L168" s="2" t="s">
        <v>63</v>
      </c>
      <c r="M168" s="24">
        <v>20</v>
      </c>
      <c r="N168" s="2">
        <v>20</v>
      </c>
      <c r="O168" s="22" t="s">
        <v>683</v>
      </c>
    </row>
    <row r="169" spans="1:37" ht="15" customHeight="1" x14ac:dyDescent="0.2">
      <c r="A169" s="2" t="s">
        <v>662</v>
      </c>
      <c r="B169" s="2">
        <v>7470776</v>
      </c>
      <c r="C169" s="24"/>
      <c r="D169" s="24">
        <v>944096921</v>
      </c>
      <c r="E169" s="24">
        <v>944096921</v>
      </c>
      <c r="F169" s="2" t="s">
        <v>461</v>
      </c>
      <c r="G169" s="2">
        <v>0</v>
      </c>
      <c r="H169" s="24">
        <v>20250901</v>
      </c>
      <c r="I169" s="24" t="str">
        <f>TEXT(DATE(LEFT(H169,4), MID(H169,5,2), RIGHT(H169,2)), "M/d/yyyy")</f>
        <v>9/1/2025</v>
      </c>
      <c r="J169" s="24">
        <v>20250101</v>
      </c>
      <c r="K169" s="24" t="str">
        <f>TEXT(DATE(LEFT(J169,4), MID(J169,5,2), RIGHT(J169,2)), "M/d/yyyy")</f>
        <v>1/1/2025</v>
      </c>
      <c r="L169" s="2" t="s">
        <v>63</v>
      </c>
      <c r="M169" s="24">
        <v>20</v>
      </c>
      <c r="N169" s="2">
        <v>20</v>
      </c>
      <c r="O169" s="22" t="s">
        <v>683</v>
      </c>
    </row>
    <row r="170" spans="1:37" ht="15" customHeight="1" x14ac:dyDescent="0.2">
      <c r="A170" s="2" t="s">
        <v>666</v>
      </c>
      <c r="B170" s="2">
        <v>19586992</v>
      </c>
      <c r="C170" s="24"/>
      <c r="D170" s="24">
        <v>944238690</v>
      </c>
      <c r="E170" s="24">
        <v>944238690</v>
      </c>
      <c r="F170" s="2" t="s">
        <v>496</v>
      </c>
      <c r="G170" s="2">
        <v>0</v>
      </c>
      <c r="H170" s="24">
        <v>20250901</v>
      </c>
      <c r="I170" s="24" t="str">
        <f>TEXT(DATE(LEFT(H170,4), MID(H170,5,2), RIGHT(H170,2)), "M/d/yyyy")</f>
        <v>9/1/2025</v>
      </c>
      <c r="J170" s="24">
        <v>20250401</v>
      </c>
      <c r="K170" s="24" t="str">
        <f>TEXT(DATE(LEFT(J170,4), MID(J170,5,2), RIGHT(J170,2)), "M/d/yyyy")</f>
        <v>4/1/2025</v>
      </c>
      <c r="L170" s="2" t="s">
        <v>63</v>
      </c>
      <c r="M170" s="24">
        <v>20</v>
      </c>
      <c r="N170" s="2">
        <v>20</v>
      </c>
      <c r="O170" s="22" t="s">
        <v>683</v>
      </c>
    </row>
    <row r="171" spans="1:37" ht="15" customHeight="1" x14ac:dyDescent="0.2">
      <c r="A171" s="2" t="s">
        <v>669</v>
      </c>
      <c r="B171" s="2">
        <v>20003537</v>
      </c>
      <c r="C171" s="24"/>
      <c r="D171" s="24">
        <v>944154522</v>
      </c>
      <c r="E171" s="24">
        <v>944154522</v>
      </c>
      <c r="F171" s="2" t="s">
        <v>526</v>
      </c>
      <c r="G171" s="2">
        <v>0</v>
      </c>
      <c r="H171" s="24">
        <v>20250901</v>
      </c>
      <c r="I171" s="24" t="str">
        <f>TEXT(DATE(LEFT(H171,4), MID(H171,5,2), RIGHT(H171,2)), "M/d/yyyy")</f>
        <v>9/1/2025</v>
      </c>
      <c r="J171" s="24">
        <v>20250801</v>
      </c>
      <c r="K171" s="24" t="str">
        <f>TEXT(DATE(LEFT(J171,4), MID(J171,5,2), RIGHT(J171,2)), "M/d/yyyy")</f>
        <v>8/1/2025</v>
      </c>
      <c r="L171" s="2" t="s">
        <v>63</v>
      </c>
      <c r="M171" s="24">
        <v>20</v>
      </c>
      <c r="N171" s="2">
        <v>20</v>
      </c>
      <c r="O171" s="22" t="s">
        <v>683</v>
      </c>
    </row>
    <row r="172" spans="1:37" ht="15" customHeight="1" x14ac:dyDescent="0.2">
      <c r="A172" s="2" t="s">
        <v>669</v>
      </c>
      <c r="B172" s="2">
        <v>20003537</v>
      </c>
      <c r="C172" s="24"/>
      <c r="D172" s="24">
        <v>944204650</v>
      </c>
      <c r="E172" s="24">
        <v>944204650</v>
      </c>
      <c r="F172" s="2" t="s">
        <v>528</v>
      </c>
      <c r="G172" s="2">
        <v>0</v>
      </c>
      <c r="H172" s="24">
        <v>20250801</v>
      </c>
      <c r="I172" s="24" t="str">
        <f>TEXT(DATE(LEFT(H172,4), MID(H172,5,2), RIGHT(H172,2)), "M/d/yyyy")</f>
        <v>8/1/2025</v>
      </c>
      <c r="J172" s="24">
        <v>20250201</v>
      </c>
      <c r="K172" s="24" t="str">
        <f>TEXT(DATE(LEFT(J172,4), MID(J172,5,2), RIGHT(J172,2)), "M/d/yyyy")</f>
        <v>2/1/2025</v>
      </c>
      <c r="L172" s="2" t="s">
        <v>63</v>
      </c>
      <c r="M172" s="24">
        <v>20</v>
      </c>
      <c r="N172" s="2">
        <v>20</v>
      </c>
      <c r="O172" s="22" t="s">
        <v>683</v>
      </c>
    </row>
    <row r="173" spans="1:37" s="23" customFormat="1" ht="15" customHeight="1" x14ac:dyDescent="0.2">
      <c r="A173" s="2" t="s">
        <v>669</v>
      </c>
      <c r="B173" s="2">
        <v>20003537</v>
      </c>
      <c r="C173" s="24"/>
      <c r="D173" s="24">
        <v>944298811</v>
      </c>
      <c r="E173" s="24">
        <v>944298811</v>
      </c>
      <c r="F173" s="2" t="s">
        <v>532</v>
      </c>
      <c r="G173" s="2">
        <v>0</v>
      </c>
      <c r="H173" s="24">
        <v>20250901</v>
      </c>
      <c r="I173" s="24" t="str">
        <f>TEXT(DATE(LEFT(H173,4), MID(H173,5,2), RIGHT(H173,2)), "M/d/yyyy")</f>
        <v>9/1/2025</v>
      </c>
      <c r="J173" s="24">
        <v>20250601</v>
      </c>
      <c r="K173" s="24" t="str">
        <f>TEXT(DATE(LEFT(J173,4), MID(J173,5,2), RIGHT(J173,2)), "M/d/yyyy")</f>
        <v>6/1/2025</v>
      </c>
      <c r="L173" s="2" t="s">
        <v>63</v>
      </c>
      <c r="M173" s="24">
        <v>20</v>
      </c>
      <c r="N173" s="2">
        <v>20</v>
      </c>
      <c r="O173" s="22" t="s">
        <v>683</v>
      </c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</row>
    <row r="174" spans="1:37" ht="15" customHeight="1" x14ac:dyDescent="0.2">
      <c r="A174" s="2" t="s">
        <v>661</v>
      </c>
      <c r="B174" s="2">
        <v>9213293</v>
      </c>
      <c r="C174" s="24"/>
      <c r="D174" s="24">
        <v>943170509</v>
      </c>
      <c r="E174" s="24">
        <v>943170509</v>
      </c>
      <c r="F174" s="2" t="s">
        <v>453</v>
      </c>
      <c r="G174" s="2">
        <v>0</v>
      </c>
      <c r="H174" s="24">
        <v>20250901</v>
      </c>
      <c r="I174" s="24" t="str">
        <f>TEXT(DATE(LEFT(H174,4), MID(H174,5,2), RIGHT(H174,2)), "M/d/yyyy")</f>
        <v>9/1/2025</v>
      </c>
      <c r="J174" s="24">
        <v>20231101</v>
      </c>
      <c r="K174" s="24" t="str">
        <f>TEXT(DATE(LEFT(J174,4), MID(J174,5,2), RIGHT(J174,2)), "M/d/yyyy")</f>
        <v>11/1/2023</v>
      </c>
      <c r="L174" s="2" t="s">
        <v>63</v>
      </c>
      <c r="M174" s="24">
        <v>20</v>
      </c>
      <c r="N174" s="2">
        <v>20</v>
      </c>
      <c r="O174" s="22" t="s">
        <v>683</v>
      </c>
    </row>
    <row r="175" spans="1:37" ht="15" customHeight="1" x14ac:dyDescent="0.2">
      <c r="A175" s="2" t="s">
        <v>652</v>
      </c>
      <c r="B175" s="2">
        <v>8307933</v>
      </c>
      <c r="C175" s="24"/>
      <c r="D175" s="24">
        <v>943013126</v>
      </c>
      <c r="E175" s="24">
        <v>943013126</v>
      </c>
      <c r="F175" s="2" t="s">
        <v>161</v>
      </c>
      <c r="G175" s="2">
        <v>0</v>
      </c>
      <c r="H175" s="24">
        <v>20250901</v>
      </c>
      <c r="I175" s="24" t="str">
        <f>TEXT(DATE(LEFT(H175,4), MID(H175,5,2), RIGHT(H175,2)), "M/d/yyyy")</f>
        <v>9/1/2025</v>
      </c>
      <c r="J175" s="24">
        <v>20210801</v>
      </c>
      <c r="K175" s="24" t="str">
        <f>TEXT(DATE(LEFT(J175,4), MID(J175,5,2), RIGHT(J175,2)), "M/d/yyyy")</f>
        <v>8/1/2021</v>
      </c>
      <c r="L175" s="2" t="s">
        <v>63</v>
      </c>
      <c r="M175" s="24">
        <v>20</v>
      </c>
      <c r="N175" s="2">
        <v>20</v>
      </c>
      <c r="O175" s="22" t="s">
        <v>683</v>
      </c>
    </row>
    <row r="176" spans="1:37" ht="15" customHeight="1" x14ac:dyDescent="0.2">
      <c r="A176" s="2" t="s">
        <v>652</v>
      </c>
      <c r="B176" s="2">
        <v>8307933</v>
      </c>
      <c r="C176" s="24"/>
      <c r="D176" s="24">
        <v>943285224</v>
      </c>
      <c r="E176" s="24">
        <v>943285224</v>
      </c>
      <c r="F176" s="2" t="s">
        <v>181</v>
      </c>
      <c r="G176" s="2">
        <v>0</v>
      </c>
      <c r="H176" s="24">
        <v>20250901</v>
      </c>
      <c r="I176" s="24" t="str">
        <f>TEXT(DATE(LEFT(H176,4), MID(H176,5,2), RIGHT(H176,2)), "M/d/yyyy")</f>
        <v>9/1/2025</v>
      </c>
      <c r="J176" s="24">
        <v>20240101</v>
      </c>
      <c r="K176" s="24" t="str">
        <f>TEXT(DATE(LEFT(J176,4), MID(J176,5,2), RIGHT(J176,2)), "M/d/yyyy")</f>
        <v>1/1/2024</v>
      </c>
      <c r="L176" s="2" t="s">
        <v>63</v>
      </c>
      <c r="M176" s="24">
        <v>20</v>
      </c>
      <c r="N176" s="2">
        <v>20</v>
      </c>
      <c r="O176" s="22" t="s">
        <v>683</v>
      </c>
    </row>
    <row r="177" spans="1:15" ht="15" customHeight="1" x14ac:dyDescent="0.2">
      <c r="A177" s="2" t="s">
        <v>652</v>
      </c>
      <c r="B177" s="2">
        <v>8307933</v>
      </c>
      <c r="C177" s="24"/>
      <c r="D177" s="24">
        <v>943490069</v>
      </c>
      <c r="E177" s="24">
        <v>943490069</v>
      </c>
      <c r="F177" s="2" t="s">
        <v>190</v>
      </c>
      <c r="G177" s="2">
        <v>0</v>
      </c>
      <c r="H177" s="24">
        <v>20250901</v>
      </c>
      <c r="I177" s="24" t="str">
        <f>TEXT(DATE(LEFT(H177,4), MID(H177,5,2), RIGHT(H177,2)), "M/d/yyyy")</f>
        <v>9/1/2025</v>
      </c>
      <c r="J177" s="24">
        <v>20240101</v>
      </c>
      <c r="K177" s="24" t="str">
        <f>TEXT(DATE(LEFT(J177,4), MID(J177,5,2), RIGHT(J177,2)), "M/d/yyyy")</f>
        <v>1/1/2024</v>
      </c>
      <c r="L177" s="2" t="s">
        <v>63</v>
      </c>
      <c r="M177" s="24">
        <v>20</v>
      </c>
      <c r="N177" s="2">
        <v>20</v>
      </c>
      <c r="O177" s="22" t="s">
        <v>683</v>
      </c>
    </row>
    <row r="178" spans="1:15" ht="15" customHeight="1" x14ac:dyDescent="0.2">
      <c r="A178" s="2" t="s">
        <v>652</v>
      </c>
      <c r="B178" s="2">
        <v>8307933</v>
      </c>
      <c r="C178" s="24"/>
      <c r="D178" s="24">
        <v>944226388</v>
      </c>
      <c r="E178" s="24">
        <v>944226388</v>
      </c>
      <c r="F178" s="2" t="s">
        <v>219</v>
      </c>
      <c r="G178" s="2">
        <v>0</v>
      </c>
      <c r="H178" s="24">
        <v>20250901</v>
      </c>
      <c r="I178" s="24" t="str">
        <f>TEXT(DATE(LEFT(H178,4), MID(H178,5,2), RIGHT(H178,2)), "M/d/yyyy")</f>
        <v>9/1/2025</v>
      </c>
      <c r="J178" s="24">
        <v>20250301</v>
      </c>
      <c r="K178" s="24" t="str">
        <f>TEXT(DATE(LEFT(J178,4), MID(J178,5,2), RIGHT(J178,2)), "M/d/yyyy")</f>
        <v>3/1/2025</v>
      </c>
      <c r="L178" s="2" t="s">
        <v>63</v>
      </c>
      <c r="M178" s="24">
        <v>20</v>
      </c>
      <c r="N178" s="2">
        <v>20</v>
      </c>
      <c r="O178" s="22" t="s">
        <v>683</v>
      </c>
    </row>
    <row r="179" spans="1:15" ht="15" customHeight="1" x14ac:dyDescent="0.2">
      <c r="A179" s="2" t="s">
        <v>652</v>
      </c>
      <c r="B179" s="2">
        <v>8307933</v>
      </c>
      <c r="C179" s="24"/>
      <c r="D179" s="24">
        <v>944269432</v>
      </c>
      <c r="E179" s="24">
        <v>944269432</v>
      </c>
      <c r="F179" s="2" t="s">
        <v>223</v>
      </c>
      <c r="G179" s="2">
        <v>0</v>
      </c>
      <c r="H179" s="24">
        <v>20250901</v>
      </c>
      <c r="I179" s="24" t="str">
        <f>TEXT(DATE(LEFT(H179,4), MID(H179,5,2), RIGHT(H179,2)), "M/d/yyyy")</f>
        <v>9/1/2025</v>
      </c>
      <c r="J179" s="24">
        <v>20250501</v>
      </c>
      <c r="K179" s="24" t="str">
        <f>TEXT(DATE(LEFT(J179,4), MID(J179,5,2), RIGHT(J179,2)), "M/d/yyyy")</f>
        <v>5/1/2025</v>
      </c>
      <c r="L179" s="2" t="s">
        <v>63</v>
      </c>
      <c r="M179" s="24">
        <v>20</v>
      </c>
      <c r="N179" s="2">
        <v>20</v>
      </c>
      <c r="O179" s="22" t="s">
        <v>683</v>
      </c>
    </row>
    <row r="180" spans="1:15" ht="15" customHeight="1" x14ac:dyDescent="0.2">
      <c r="A180" s="2" t="s">
        <v>672</v>
      </c>
      <c r="B180" s="2">
        <v>16683808</v>
      </c>
      <c r="C180" s="24"/>
      <c r="D180" s="24">
        <v>944157694</v>
      </c>
      <c r="E180" s="24">
        <v>944157694</v>
      </c>
      <c r="F180" s="2" t="s">
        <v>548</v>
      </c>
      <c r="G180" s="2">
        <v>0</v>
      </c>
      <c r="H180" s="24">
        <v>20250901</v>
      </c>
      <c r="I180" s="24" t="str">
        <f>TEXT(DATE(LEFT(H180,4), MID(H180,5,2), RIGHT(H180,2)), "M/d/yyyy")</f>
        <v>9/1/2025</v>
      </c>
      <c r="J180" s="24">
        <v>20250201</v>
      </c>
      <c r="K180" s="24" t="str">
        <f>TEXT(DATE(LEFT(J180,4), MID(J180,5,2), RIGHT(J180,2)), "M/d/yyyy")</f>
        <v>2/1/2025</v>
      </c>
      <c r="L180" s="2" t="s">
        <v>63</v>
      </c>
      <c r="M180" s="24">
        <v>20</v>
      </c>
      <c r="N180" s="2">
        <v>20</v>
      </c>
      <c r="O180" s="22" t="s">
        <v>683</v>
      </c>
    </row>
    <row r="181" spans="1:15" ht="15" customHeight="1" x14ac:dyDescent="0.2">
      <c r="A181" s="2" t="s">
        <v>672</v>
      </c>
      <c r="B181" s="2">
        <v>16683808</v>
      </c>
      <c r="C181" s="24"/>
      <c r="D181" s="24">
        <v>944325752</v>
      </c>
      <c r="E181" s="24">
        <v>944325752</v>
      </c>
      <c r="F181" s="2" t="s">
        <v>550</v>
      </c>
      <c r="G181" s="2">
        <v>0</v>
      </c>
      <c r="H181" s="24">
        <v>20250801</v>
      </c>
      <c r="I181" s="24" t="str">
        <f>TEXT(DATE(LEFT(H181,4), MID(H181,5,2), RIGHT(H181,2)), "M/d/yyyy")</f>
        <v>8/1/2025</v>
      </c>
      <c r="J181" s="24">
        <v>20250701</v>
      </c>
      <c r="K181" s="24" t="str">
        <f>TEXT(DATE(LEFT(J181,4), MID(J181,5,2), RIGHT(J181,2)), "M/d/yyyy")</f>
        <v>7/1/2025</v>
      </c>
      <c r="L181" s="2" t="s">
        <v>63</v>
      </c>
      <c r="M181" s="24">
        <v>20</v>
      </c>
      <c r="N181" s="2">
        <v>20</v>
      </c>
      <c r="O181" s="22" t="s">
        <v>683</v>
      </c>
    </row>
    <row r="182" spans="1:15" ht="15" customHeight="1" x14ac:dyDescent="0.2">
      <c r="A182" s="2" t="s">
        <v>657</v>
      </c>
      <c r="B182" s="2">
        <v>18134413</v>
      </c>
      <c r="C182" s="24"/>
      <c r="D182" s="24">
        <v>925469091</v>
      </c>
      <c r="E182" s="24">
        <v>925469091</v>
      </c>
      <c r="F182" s="2" t="s">
        <v>278</v>
      </c>
      <c r="G182" s="2">
        <v>0</v>
      </c>
      <c r="H182" s="24">
        <v>20250901</v>
      </c>
      <c r="I182" s="24" t="str">
        <f>TEXT(DATE(LEFT(H182,4), MID(H182,5,2), RIGHT(H182,2)), "M/d/yyyy")</f>
        <v>9/1/2025</v>
      </c>
      <c r="J182" s="24">
        <v>20210101</v>
      </c>
      <c r="K182" s="24" t="str">
        <f>TEXT(DATE(LEFT(J182,4), MID(J182,5,2), RIGHT(J182,2)), "M/d/yyyy")</f>
        <v>1/1/2021</v>
      </c>
      <c r="L182" s="2" t="s">
        <v>63</v>
      </c>
      <c r="M182" s="24">
        <v>20</v>
      </c>
      <c r="N182" s="2">
        <v>20</v>
      </c>
      <c r="O182" s="22" t="s">
        <v>683</v>
      </c>
    </row>
    <row r="183" spans="1:15" ht="15" customHeight="1" x14ac:dyDescent="0.2">
      <c r="A183" s="2" t="s">
        <v>658</v>
      </c>
      <c r="B183" s="2">
        <v>1706194</v>
      </c>
      <c r="C183" s="24"/>
      <c r="D183" s="24">
        <v>924984155</v>
      </c>
      <c r="E183" s="24">
        <v>924984155</v>
      </c>
      <c r="F183" s="2" t="s">
        <v>316</v>
      </c>
      <c r="G183" s="2">
        <v>0</v>
      </c>
      <c r="H183" s="24">
        <v>20250901</v>
      </c>
      <c r="I183" s="24" t="str">
        <f>TEXT(DATE(LEFT(H183,4), MID(H183,5,2), RIGHT(H183,2)), "M/d/yyyy")</f>
        <v>9/1/2025</v>
      </c>
      <c r="J183" s="24">
        <v>20220101</v>
      </c>
      <c r="K183" s="24" t="str">
        <f>TEXT(DATE(LEFT(J183,4), MID(J183,5,2), RIGHT(J183,2)), "M/d/yyyy")</f>
        <v>1/1/2022</v>
      </c>
      <c r="L183" s="2" t="s">
        <v>63</v>
      </c>
      <c r="M183" s="24">
        <v>20</v>
      </c>
      <c r="N183" s="2">
        <v>20</v>
      </c>
      <c r="O183" s="22" t="s">
        <v>683</v>
      </c>
    </row>
    <row r="184" spans="1:15" ht="15" customHeight="1" x14ac:dyDescent="0.2">
      <c r="A184" s="2" t="s">
        <v>658</v>
      </c>
      <c r="B184" s="2">
        <v>1706194</v>
      </c>
      <c r="C184" s="24"/>
      <c r="D184" s="24">
        <v>925278861</v>
      </c>
      <c r="E184" s="24">
        <v>925278861</v>
      </c>
      <c r="F184" s="2" t="s">
        <v>331</v>
      </c>
      <c r="G184" s="2">
        <v>0</v>
      </c>
      <c r="H184" s="24">
        <v>20250901</v>
      </c>
      <c r="I184" s="24" t="str">
        <f>TEXT(DATE(LEFT(H184,4), MID(H184,5,2), RIGHT(H184,2)), "M/d/yyyy")</f>
        <v>9/1/2025</v>
      </c>
      <c r="J184" s="24">
        <v>20190101</v>
      </c>
      <c r="K184" s="24" t="str">
        <f>TEXT(DATE(LEFT(J184,4), MID(J184,5,2), RIGHT(J184,2)), "M/d/yyyy")</f>
        <v>1/1/2019</v>
      </c>
      <c r="L184" s="2" t="s">
        <v>63</v>
      </c>
      <c r="M184" s="24">
        <v>20</v>
      </c>
      <c r="N184" s="2">
        <v>20</v>
      </c>
      <c r="O184" s="22" t="s">
        <v>683</v>
      </c>
    </row>
    <row r="185" spans="1:15" ht="15" customHeight="1" x14ac:dyDescent="0.2">
      <c r="A185" s="2" t="s">
        <v>658</v>
      </c>
      <c r="B185" s="2">
        <v>1706194</v>
      </c>
      <c r="C185" s="24"/>
      <c r="D185" s="24">
        <v>925444460</v>
      </c>
      <c r="E185" s="24">
        <v>925444460</v>
      </c>
      <c r="F185" s="2" t="s">
        <v>344</v>
      </c>
      <c r="G185" s="2">
        <v>0</v>
      </c>
      <c r="H185" s="24">
        <v>20250901</v>
      </c>
      <c r="I185" s="24" t="str">
        <f>TEXT(DATE(LEFT(H185,4), MID(H185,5,2), RIGHT(H185,2)), "M/d/yyyy")</f>
        <v>9/1/2025</v>
      </c>
      <c r="J185" s="24">
        <v>20250501</v>
      </c>
      <c r="K185" s="24" t="str">
        <f>TEXT(DATE(LEFT(J185,4), MID(J185,5,2), RIGHT(J185,2)), "M/d/yyyy")</f>
        <v>5/1/2025</v>
      </c>
      <c r="L185" s="2" t="s">
        <v>63</v>
      </c>
      <c r="M185" s="24">
        <v>20</v>
      </c>
      <c r="N185" s="2">
        <v>20</v>
      </c>
      <c r="O185" s="22" t="s">
        <v>683</v>
      </c>
    </row>
    <row r="186" spans="1:15" ht="15" customHeight="1" x14ac:dyDescent="0.2">
      <c r="A186" s="2" t="s">
        <v>658</v>
      </c>
      <c r="B186" s="2">
        <v>1706194</v>
      </c>
      <c r="C186" s="24"/>
      <c r="D186" s="24">
        <v>925556803</v>
      </c>
      <c r="E186" s="24">
        <v>925556803</v>
      </c>
      <c r="F186" s="2" t="s">
        <v>358</v>
      </c>
      <c r="G186" s="2">
        <v>0</v>
      </c>
      <c r="H186" s="24">
        <v>20250901</v>
      </c>
      <c r="I186" s="24" t="str">
        <f>TEXT(DATE(LEFT(H186,4), MID(H186,5,2), RIGHT(H186,2)), "M/d/yyyy")</f>
        <v>9/1/2025</v>
      </c>
      <c r="J186" s="24">
        <v>20210601</v>
      </c>
      <c r="K186" s="24" t="str">
        <f>TEXT(DATE(LEFT(J186,4), MID(J186,5,2), RIGHT(J186,2)), "M/d/yyyy")</f>
        <v>6/1/2021</v>
      </c>
      <c r="L186" s="2" t="s">
        <v>63</v>
      </c>
      <c r="M186" s="24">
        <v>20</v>
      </c>
      <c r="N186" s="2">
        <v>20</v>
      </c>
      <c r="O186" s="22" t="s">
        <v>683</v>
      </c>
    </row>
    <row r="187" spans="1:15" ht="15" customHeight="1" x14ac:dyDescent="0.2">
      <c r="A187" s="2" t="s">
        <v>658</v>
      </c>
      <c r="B187" s="2">
        <v>1706194</v>
      </c>
      <c r="C187" s="24"/>
      <c r="D187" s="24">
        <v>925976128</v>
      </c>
      <c r="E187" s="24">
        <v>925976128</v>
      </c>
      <c r="F187" s="2" t="s">
        <v>383</v>
      </c>
      <c r="G187" s="2">
        <v>0</v>
      </c>
      <c r="H187" s="24">
        <v>20250901</v>
      </c>
      <c r="I187" s="24" t="str">
        <f>TEXT(DATE(LEFT(H187,4), MID(H187,5,2), RIGHT(H187,2)), "M/d/yyyy")</f>
        <v>9/1/2025</v>
      </c>
      <c r="J187" s="24">
        <v>20250701</v>
      </c>
      <c r="K187" s="24" t="str">
        <f>TEXT(DATE(LEFT(J187,4), MID(J187,5,2), RIGHT(J187,2)), "M/d/yyyy")</f>
        <v>7/1/2025</v>
      </c>
      <c r="L187" s="2" t="s">
        <v>63</v>
      </c>
      <c r="M187" s="24">
        <v>20</v>
      </c>
      <c r="N187" s="2">
        <v>20</v>
      </c>
      <c r="O187" s="22" t="s">
        <v>683</v>
      </c>
    </row>
    <row r="188" spans="1:15" ht="15" customHeight="1" x14ac:dyDescent="0.2">
      <c r="A188" s="2" t="s">
        <v>658</v>
      </c>
      <c r="B188" s="2">
        <v>1706194</v>
      </c>
      <c r="C188" s="24"/>
      <c r="D188" s="24">
        <v>943019454</v>
      </c>
      <c r="E188" s="24">
        <v>943019454</v>
      </c>
      <c r="F188" s="2" t="s">
        <v>389</v>
      </c>
      <c r="G188" s="2">
        <v>0</v>
      </c>
      <c r="H188" s="24">
        <v>20250901</v>
      </c>
      <c r="I188" s="24" t="str">
        <f>TEXT(DATE(LEFT(H188,4), MID(H188,5,2), RIGHT(H188,2)), "M/d/yyyy")</f>
        <v>9/1/2025</v>
      </c>
      <c r="J188" s="24">
        <v>20250501</v>
      </c>
      <c r="K188" s="24" t="str">
        <f>TEXT(DATE(LEFT(J188,4), MID(J188,5,2), RIGHT(J188,2)), "M/d/yyyy")</f>
        <v>5/1/2025</v>
      </c>
      <c r="L188" s="2" t="s">
        <v>63</v>
      </c>
      <c r="M188" s="24">
        <v>20</v>
      </c>
      <c r="N188" s="2">
        <v>20</v>
      </c>
      <c r="O188" s="22" t="s">
        <v>683</v>
      </c>
    </row>
    <row r="189" spans="1:15" ht="15" customHeight="1" x14ac:dyDescent="0.2">
      <c r="A189" s="2" t="s">
        <v>658</v>
      </c>
      <c r="B189" s="2">
        <v>1706194</v>
      </c>
      <c r="C189" s="24"/>
      <c r="D189" s="24">
        <v>943731535</v>
      </c>
      <c r="E189" s="24">
        <v>943731535</v>
      </c>
      <c r="F189" s="2" t="s">
        <v>394</v>
      </c>
      <c r="G189" s="2">
        <v>0</v>
      </c>
      <c r="H189" s="24">
        <v>20250901</v>
      </c>
      <c r="I189" s="24" t="str">
        <f>TEXT(DATE(LEFT(H189,4), MID(H189,5,2), RIGHT(H189,2)), "M/d/yyyy")</f>
        <v>9/1/2025</v>
      </c>
      <c r="J189" s="24">
        <v>20240401</v>
      </c>
      <c r="K189" s="24" t="str">
        <f>TEXT(DATE(LEFT(J189,4), MID(J189,5,2), RIGHT(J189,2)), "M/d/yyyy")</f>
        <v>4/1/2024</v>
      </c>
      <c r="L189" s="2" t="s">
        <v>63</v>
      </c>
      <c r="M189" s="24">
        <v>20</v>
      </c>
      <c r="N189" s="2">
        <v>20</v>
      </c>
      <c r="O189" s="22" t="s">
        <v>683</v>
      </c>
    </row>
    <row r="190" spans="1:15" ht="15" customHeight="1" x14ac:dyDescent="0.2">
      <c r="A190" s="2" t="s">
        <v>658</v>
      </c>
      <c r="B190" s="2">
        <v>1706194</v>
      </c>
      <c r="C190" s="24"/>
      <c r="D190" s="24">
        <v>944167408</v>
      </c>
      <c r="E190" s="24">
        <v>944167408</v>
      </c>
      <c r="F190" s="2" t="s">
        <v>406</v>
      </c>
      <c r="G190" s="2">
        <v>0</v>
      </c>
      <c r="H190" s="24">
        <v>20250901</v>
      </c>
      <c r="I190" s="24" t="str">
        <f>TEXT(DATE(LEFT(H190,4), MID(H190,5,2), RIGHT(H190,2)), "M/d/yyyy")</f>
        <v>9/1/2025</v>
      </c>
      <c r="J190" s="24">
        <v>20250101</v>
      </c>
      <c r="K190" s="24" t="str">
        <f>TEXT(DATE(LEFT(J190,4), MID(J190,5,2), RIGHT(J190,2)), "M/d/yyyy")</f>
        <v>1/1/2025</v>
      </c>
      <c r="L190" s="2" t="s">
        <v>63</v>
      </c>
      <c r="M190" s="24">
        <v>20</v>
      </c>
      <c r="N190" s="2">
        <v>20</v>
      </c>
      <c r="O190" s="22" t="s">
        <v>683</v>
      </c>
    </row>
    <row r="191" spans="1:15" ht="15" customHeight="1" x14ac:dyDescent="0.2">
      <c r="A191" s="2" t="s">
        <v>664</v>
      </c>
      <c r="B191" s="2">
        <v>19200754</v>
      </c>
      <c r="C191" s="24"/>
      <c r="D191" s="24">
        <v>921547947</v>
      </c>
      <c r="E191" s="24">
        <v>921547947</v>
      </c>
      <c r="F191" s="2" t="s">
        <v>478</v>
      </c>
      <c r="G191" s="2">
        <v>0</v>
      </c>
      <c r="H191" s="24">
        <v>20250901</v>
      </c>
      <c r="I191" s="24" t="str">
        <f>TEXT(DATE(LEFT(H191,4), MID(H191,5,2), RIGHT(H191,2)), "M/d/yyyy")</f>
        <v>9/1/2025</v>
      </c>
      <c r="J191" s="24">
        <v>20250501</v>
      </c>
      <c r="K191" s="24" t="str">
        <f>TEXT(DATE(LEFT(J191,4), MID(J191,5,2), RIGHT(J191,2)), "M/d/yyyy")</f>
        <v>5/1/2025</v>
      </c>
      <c r="L191" s="2" t="s">
        <v>63</v>
      </c>
      <c r="M191" s="24">
        <v>20</v>
      </c>
      <c r="N191" s="2">
        <v>20</v>
      </c>
      <c r="O191" s="22" t="s">
        <v>683</v>
      </c>
    </row>
    <row r="192" spans="1:15" ht="15" customHeight="1" x14ac:dyDescent="0.2">
      <c r="A192" s="2" t="s">
        <v>664</v>
      </c>
      <c r="B192" s="2">
        <v>19200754</v>
      </c>
      <c r="C192" s="24"/>
      <c r="D192" s="24">
        <v>921547947</v>
      </c>
      <c r="E192" s="24">
        <v>921547947</v>
      </c>
      <c r="F192" s="2" t="s">
        <v>478</v>
      </c>
      <c r="G192" s="2">
        <v>0</v>
      </c>
      <c r="H192" s="24">
        <v>20250801</v>
      </c>
      <c r="I192" s="24" t="str">
        <f>TEXT(DATE(LEFT(H192,4), MID(H192,5,2), RIGHT(H192,2)), "M/d/yyyy")</f>
        <v>8/1/2025</v>
      </c>
      <c r="J192" s="24">
        <v>20250501</v>
      </c>
      <c r="K192" s="24" t="str">
        <f>TEXT(DATE(LEFT(J192,4), MID(J192,5,2), RIGHT(J192,2)), "M/d/yyyy")</f>
        <v>5/1/2025</v>
      </c>
      <c r="L192" s="2" t="s">
        <v>63</v>
      </c>
      <c r="M192" s="24">
        <v>20</v>
      </c>
      <c r="N192" s="2">
        <v>20</v>
      </c>
      <c r="O192" s="22" t="s">
        <v>683</v>
      </c>
    </row>
    <row r="193" spans="1:37" ht="15" customHeight="1" x14ac:dyDescent="0.2">
      <c r="A193" s="2" t="s">
        <v>665</v>
      </c>
      <c r="B193" s="2">
        <v>16633294</v>
      </c>
      <c r="C193" s="24"/>
      <c r="D193" s="24">
        <v>925092467</v>
      </c>
      <c r="E193" s="24">
        <v>925092467</v>
      </c>
      <c r="F193" s="2" t="s">
        <v>486</v>
      </c>
      <c r="G193" s="2">
        <v>0</v>
      </c>
      <c r="H193" s="24">
        <v>20250901</v>
      </c>
      <c r="I193" s="24" t="str">
        <f>TEXT(DATE(LEFT(H193,4), MID(H193,5,2), RIGHT(H193,2)), "M/d/yyyy")</f>
        <v>9/1/2025</v>
      </c>
      <c r="J193" s="24">
        <v>20170101</v>
      </c>
      <c r="K193" s="24" t="str">
        <f>TEXT(DATE(LEFT(J193,4), MID(J193,5,2), RIGHT(J193,2)), "M/d/yyyy")</f>
        <v>1/1/2017</v>
      </c>
      <c r="L193" s="2" t="s">
        <v>63</v>
      </c>
      <c r="M193" s="24">
        <v>20</v>
      </c>
      <c r="N193" s="2">
        <v>20</v>
      </c>
      <c r="O193" s="22" t="s">
        <v>683</v>
      </c>
    </row>
    <row r="194" spans="1:37" ht="15" customHeight="1" x14ac:dyDescent="0.2">
      <c r="A194" s="2" t="s">
        <v>653</v>
      </c>
      <c r="B194" s="2">
        <v>8977234</v>
      </c>
      <c r="C194" s="24"/>
      <c r="D194" s="24">
        <v>944176453</v>
      </c>
      <c r="E194" s="24">
        <v>944176453</v>
      </c>
      <c r="F194" s="2" t="s">
        <v>239</v>
      </c>
      <c r="G194" s="2">
        <v>0</v>
      </c>
      <c r="H194" s="24">
        <v>20250901</v>
      </c>
      <c r="I194" s="24" t="str">
        <f>TEXT(DATE(LEFT(H194,4), MID(H194,5,2), RIGHT(H194,2)), "M/d/yyyy")</f>
        <v>9/1/2025</v>
      </c>
      <c r="J194" s="24">
        <v>20250201</v>
      </c>
      <c r="K194" s="24" t="str">
        <f>TEXT(DATE(LEFT(J194,4), MID(J194,5,2), RIGHT(J194,2)), "M/d/yyyy")</f>
        <v>2/1/2025</v>
      </c>
      <c r="L194" s="2" t="s">
        <v>63</v>
      </c>
      <c r="M194" s="24">
        <v>20</v>
      </c>
      <c r="N194" s="2">
        <v>20</v>
      </c>
      <c r="O194" s="22" t="s">
        <v>683</v>
      </c>
    </row>
    <row r="195" spans="1:37" ht="15" customHeight="1" x14ac:dyDescent="0.2">
      <c r="A195" s="2" t="s">
        <v>660</v>
      </c>
      <c r="B195" s="2">
        <v>18581063</v>
      </c>
      <c r="C195" s="24"/>
      <c r="D195" s="24">
        <v>944241924</v>
      </c>
      <c r="E195" s="24">
        <v>944241924</v>
      </c>
      <c r="F195" s="2" t="s">
        <v>436</v>
      </c>
      <c r="G195" s="2">
        <v>0</v>
      </c>
      <c r="H195" s="24">
        <v>20250901</v>
      </c>
      <c r="I195" s="24" t="str">
        <f>TEXT(DATE(LEFT(H195,4), MID(H195,5,2), RIGHT(H195,2)), "M/d/yyyy")</f>
        <v>9/1/2025</v>
      </c>
      <c r="J195" s="24">
        <v>20250401</v>
      </c>
      <c r="K195" s="24" t="str">
        <f>TEXT(DATE(LEFT(J195,4), MID(J195,5,2), RIGHT(J195,2)), "M/d/yyyy")</f>
        <v>4/1/2025</v>
      </c>
      <c r="L195" s="2" t="s">
        <v>63</v>
      </c>
      <c r="M195" s="24">
        <v>20</v>
      </c>
      <c r="N195" s="2">
        <v>20</v>
      </c>
      <c r="O195" s="22" t="s">
        <v>683</v>
      </c>
    </row>
    <row r="196" spans="1:37" ht="15" customHeight="1" x14ac:dyDescent="0.2">
      <c r="A196" s="2" t="s">
        <v>670</v>
      </c>
      <c r="B196" s="2">
        <v>20490188</v>
      </c>
      <c r="C196" s="24"/>
      <c r="D196" s="24">
        <v>924989793</v>
      </c>
      <c r="E196" s="24">
        <v>924989793</v>
      </c>
      <c r="F196" s="2" t="s">
        <v>535</v>
      </c>
      <c r="G196" s="2">
        <v>0</v>
      </c>
      <c r="H196" s="24">
        <v>20250901</v>
      </c>
      <c r="I196" s="24" t="str">
        <f>TEXT(DATE(LEFT(H196,4), MID(H196,5,2), RIGHT(H196,2)), "M/d/yyyy")</f>
        <v>9/1/2025</v>
      </c>
      <c r="J196" s="24">
        <v>20250701</v>
      </c>
      <c r="K196" s="24" t="str">
        <f>TEXT(DATE(LEFT(J196,4), MID(J196,5,2), RIGHT(J196,2)), "M/d/yyyy")</f>
        <v>7/1/2025</v>
      </c>
      <c r="L196" s="2" t="s">
        <v>63</v>
      </c>
      <c r="M196" s="24">
        <v>20</v>
      </c>
      <c r="N196" s="2">
        <v>20</v>
      </c>
      <c r="O196" s="22" t="s">
        <v>683</v>
      </c>
    </row>
    <row r="197" spans="1:37" ht="15" customHeight="1" x14ac:dyDescent="0.2">
      <c r="A197" s="2" t="s">
        <v>671</v>
      </c>
      <c r="B197" s="2">
        <v>8325282</v>
      </c>
      <c r="C197" s="24" t="s">
        <v>648</v>
      </c>
      <c r="D197" s="24">
        <v>944258680</v>
      </c>
      <c r="E197" s="24">
        <v>944258680</v>
      </c>
      <c r="F197" s="2" t="s">
        <v>541</v>
      </c>
      <c r="G197" s="2">
        <v>0</v>
      </c>
      <c r="H197" s="24">
        <v>20250901</v>
      </c>
      <c r="I197" s="24" t="str">
        <f>TEXT(DATE(LEFT(H197,4), MID(H197,5,2), RIGHT(H197,2)), "M/d/yyyy")</f>
        <v>9/1/2025</v>
      </c>
      <c r="J197" s="24">
        <v>20250501</v>
      </c>
      <c r="K197" s="24" t="str">
        <f>TEXT(DATE(LEFT(J197,4), MID(J197,5,2), RIGHT(J197,2)), "M/d/yyyy")</f>
        <v>5/1/2025</v>
      </c>
      <c r="L197" s="2" t="s">
        <v>63</v>
      </c>
      <c r="M197" s="24">
        <v>20</v>
      </c>
      <c r="N197" s="2">
        <v>40</v>
      </c>
      <c r="O197" s="22" t="s">
        <v>683</v>
      </c>
    </row>
    <row r="198" spans="1:37" s="23" customFormat="1" ht="15" customHeight="1" x14ac:dyDescent="0.2">
      <c r="A198" s="2" t="s">
        <v>658</v>
      </c>
      <c r="B198" s="2">
        <v>1706194</v>
      </c>
      <c r="C198" s="24" t="s">
        <v>648</v>
      </c>
      <c r="D198" s="24">
        <v>944253084</v>
      </c>
      <c r="E198" s="24">
        <v>944253084</v>
      </c>
      <c r="F198" s="2" t="s">
        <v>418</v>
      </c>
      <c r="G198" s="2">
        <v>0</v>
      </c>
      <c r="H198" s="24">
        <v>20250901</v>
      </c>
      <c r="I198" s="24" t="str">
        <f>TEXT(DATE(LEFT(H198,4), MID(H198,5,2), RIGHT(H198,2)), "M/d/yyyy")</f>
        <v>9/1/2025</v>
      </c>
      <c r="J198" s="24">
        <v>20250401</v>
      </c>
      <c r="K198" s="24" t="str">
        <f>TEXT(DATE(LEFT(J198,4), MID(J198,5,2), RIGHT(J198,2)), "M/d/yyyy")</f>
        <v>4/1/2025</v>
      </c>
      <c r="L198" s="2" t="s">
        <v>63</v>
      </c>
      <c r="M198" s="24">
        <v>20</v>
      </c>
      <c r="N198" s="2">
        <v>40</v>
      </c>
      <c r="O198" s="22" t="s">
        <v>683</v>
      </c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</row>
    <row r="199" spans="1:37" s="23" customFormat="1" ht="15" customHeight="1" x14ac:dyDescent="0.2">
      <c r="A199" s="2" t="s">
        <v>658</v>
      </c>
      <c r="B199" s="2">
        <v>1706194</v>
      </c>
      <c r="C199" s="24" t="s">
        <v>649</v>
      </c>
      <c r="D199" s="24">
        <v>943724625</v>
      </c>
      <c r="E199" s="24">
        <v>943724625</v>
      </c>
      <c r="F199" s="2" t="s">
        <v>391</v>
      </c>
      <c r="G199" s="2">
        <v>0</v>
      </c>
      <c r="H199" s="24">
        <v>20250901</v>
      </c>
      <c r="I199" s="24" t="str">
        <f>TEXT(DATE(LEFT(H199,4), MID(H199,5,2), RIGHT(H199,2)), "M/d/yyyy")</f>
        <v>9/1/2025</v>
      </c>
      <c r="J199" s="24">
        <v>20240301</v>
      </c>
      <c r="K199" s="24" t="str">
        <f>TEXT(DATE(LEFT(J199,4), MID(J199,5,2), RIGHT(J199,2)), "M/d/yyyy")</f>
        <v>3/1/2024</v>
      </c>
      <c r="L199" s="2" t="s">
        <v>63</v>
      </c>
      <c r="M199" s="24">
        <v>20</v>
      </c>
      <c r="N199" s="2">
        <v>60</v>
      </c>
      <c r="O199" s="22" t="s">
        <v>683</v>
      </c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</row>
    <row r="200" spans="1:37" s="23" customFormat="1" ht="15" customHeight="1" x14ac:dyDescent="0.2">
      <c r="A200" s="2" t="s">
        <v>652</v>
      </c>
      <c r="B200" s="2">
        <v>8307933</v>
      </c>
      <c r="C200" s="24" t="s">
        <v>650</v>
      </c>
      <c r="D200" s="24">
        <v>923860802</v>
      </c>
      <c r="E200" s="24">
        <v>923860802</v>
      </c>
      <c r="F200" s="2" t="s">
        <v>60</v>
      </c>
      <c r="G200" s="2">
        <v>0</v>
      </c>
      <c r="H200" s="24">
        <v>20250901</v>
      </c>
      <c r="I200" s="24" t="str">
        <f>TEXT(DATE(LEFT(H200,4), MID(H200,5,2), RIGHT(H200,2)), "M/d/yyyy")</f>
        <v>9/1/2025</v>
      </c>
      <c r="J200" s="24">
        <v>20240101</v>
      </c>
      <c r="K200" s="24" t="str">
        <f>TEXT(DATE(LEFT(J200,4), MID(J200,5,2), RIGHT(J200,2)), "M/d/yyyy")</f>
        <v>1/1/2024</v>
      </c>
      <c r="L200" s="2" t="s">
        <v>63</v>
      </c>
      <c r="M200" s="24">
        <v>20</v>
      </c>
      <c r="N200" s="2">
        <v>80</v>
      </c>
      <c r="O200" s="22" t="s">
        <v>683</v>
      </c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</row>
    <row r="201" spans="1:37" s="23" customFormat="1" ht="15" customHeight="1" x14ac:dyDescent="0.2">
      <c r="A201" s="2" t="s">
        <v>674</v>
      </c>
      <c r="B201" s="2">
        <v>6634327</v>
      </c>
      <c r="C201" s="24" t="s">
        <v>650</v>
      </c>
      <c r="D201" s="24">
        <v>943600902</v>
      </c>
      <c r="E201" s="24">
        <v>943600902</v>
      </c>
      <c r="F201" s="2" t="s">
        <v>562</v>
      </c>
      <c r="G201" s="2">
        <v>0</v>
      </c>
      <c r="H201" s="24">
        <v>20250901</v>
      </c>
      <c r="I201" s="24" t="str">
        <f>TEXT(DATE(LEFT(H201,4), MID(H201,5,2), RIGHT(H201,2)), "M/d/yyyy")</f>
        <v>9/1/2025</v>
      </c>
      <c r="J201" s="24">
        <v>20240201</v>
      </c>
      <c r="K201" s="24" t="str">
        <f>TEXT(DATE(LEFT(J201,4), MID(J201,5,2), RIGHT(J201,2)), "M/d/yyyy")</f>
        <v>2/1/2024</v>
      </c>
      <c r="L201" s="2" t="s">
        <v>63</v>
      </c>
      <c r="M201" s="24">
        <v>20</v>
      </c>
      <c r="N201" s="2">
        <v>80</v>
      </c>
      <c r="O201" s="22" t="s">
        <v>683</v>
      </c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</row>
    <row r="202" spans="1:37" s="23" customFormat="1" ht="15" customHeight="1" x14ac:dyDescent="0.2">
      <c r="A202" s="2" t="s">
        <v>670</v>
      </c>
      <c r="B202" s="2">
        <v>20490188</v>
      </c>
      <c r="C202" s="24" t="s">
        <v>650</v>
      </c>
      <c r="D202" s="24">
        <v>944148662</v>
      </c>
      <c r="E202" s="24">
        <v>944148662</v>
      </c>
      <c r="F202" s="2" t="s">
        <v>538</v>
      </c>
      <c r="G202" s="2">
        <v>0</v>
      </c>
      <c r="H202" s="24">
        <v>20250901</v>
      </c>
      <c r="I202" s="24" t="str">
        <f>TEXT(DATE(LEFT(H202,4), MID(H202,5,2), RIGHT(H202,2)), "M/d/yyyy")</f>
        <v>9/1/2025</v>
      </c>
      <c r="J202" s="24">
        <v>20250101</v>
      </c>
      <c r="K202" s="24" t="str">
        <f>TEXT(DATE(LEFT(J202,4), MID(J202,5,2), RIGHT(J202,2)), "M/d/yyyy")</f>
        <v>1/1/2025</v>
      </c>
      <c r="L202" s="2" t="s">
        <v>63</v>
      </c>
      <c r="M202" s="24">
        <v>20</v>
      </c>
      <c r="N202" s="2">
        <v>80</v>
      </c>
      <c r="O202" s="22" t="s">
        <v>683</v>
      </c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</row>
    <row r="203" spans="1:37" s="23" customFormat="1" ht="15" customHeight="1" x14ac:dyDescent="0.2">
      <c r="A203" s="2" t="s">
        <v>655</v>
      </c>
      <c r="B203" s="2">
        <v>17425766</v>
      </c>
      <c r="C203" s="24" t="s">
        <v>651</v>
      </c>
      <c r="D203" s="24">
        <v>925991152</v>
      </c>
      <c r="E203" s="24">
        <v>925991152</v>
      </c>
      <c r="F203" s="2" t="s">
        <v>261</v>
      </c>
      <c r="G203" s="2">
        <v>0</v>
      </c>
      <c r="H203" s="24">
        <v>20250901</v>
      </c>
      <c r="I203" s="24" t="str">
        <f>TEXT(DATE(LEFT(H203,4), MID(H203,5,2), RIGHT(H203,2)), "M/d/yyyy")</f>
        <v>9/1/2025</v>
      </c>
      <c r="J203" s="24">
        <v>20230501</v>
      </c>
      <c r="K203" s="24" t="str">
        <f>TEXT(DATE(LEFT(J203,4), MID(J203,5,2), RIGHT(J203,2)), "M/d/yyyy")</f>
        <v>5/1/2023</v>
      </c>
      <c r="L203" s="2" t="s">
        <v>63</v>
      </c>
      <c r="M203" s="24">
        <v>20</v>
      </c>
      <c r="N203" s="2">
        <v>100</v>
      </c>
      <c r="O203" s="22" t="s">
        <v>683</v>
      </c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</row>
    <row r="204" spans="1:37" ht="15" customHeight="1" x14ac:dyDescent="0.2">
      <c r="A204" s="2" t="s">
        <v>664</v>
      </c>
      <c r="B204" s="2">
        <v>19200754</v>
      </c>
      <c r="D204" s="26">
        <v>394835</v>
      </c>
      <c r="E204" s="26">
        <v>394835</v>
      </c>
      <c r="F204" s="27" t="s">
        <v>684</v>
      </c>
      <c r="G204" s="27">
        <v>1109.97</v>
      </c>
      <c r="H204" s="27"/>
      <c r="I204" s="28">
        <v>45839</v>
      </c>
      <c r="J204" s="27"/>
      <c r="K204" s="28">
        <v>45505</v>
      </c>
      <c r="L204" s="27"/>
      <c r="M204" s="22">
        <v>4.25</v>
      </c>
      <c r="N204" s="22">
        <v>47.17</v>
      </c>
      <c r="O204" s="22" t="s">
        <v>685</v>
      </c>
    </row>
    <row r="206" spans="1:37" ht="15" customHeight="1" x14ac:dyDescent="0.2">
      <c r="N206" s="22">
        <f>-12*3</f>
        <v>-36</v>
      </c>
    </row>
    <row r="212" spans="14:14" ht="15" customHeight="1" x14ac:dyDescent="0.2">
      <c r="N212" s="22">
        <f>6566-6580.85</f>
        <v>-14.850000000000364</v>
      </c>
    </row>
  </sheetData>
  <sortState xmlns:xlrd2="http://schemas.microsoft.com/office/spreadsheetml/2017/richdata2" ref="A3:AK204">
    <sortCondition sortBy="cellColor" ref="A3:A204" dxfId="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 Irene Cabel</cp:lastModifiedBy>
  <dcterms:created xsi:type="dcterms:W3CDTF">2025-08-21T16:54:54Z</dcterms:created>
  <dcterms:modified xsi:type="dcterms:W3CDTF">2025-08-27T16:18:46Z</dcterms:modified>
</cp:coreProperties>
</file>