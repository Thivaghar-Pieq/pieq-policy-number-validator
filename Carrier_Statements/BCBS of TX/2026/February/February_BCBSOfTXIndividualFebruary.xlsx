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JOVruKd4BAU26f2o+P97fD4DRU52ab5kD+jMpmzyQg="/>
    </ext>
  </extLst>
</workbook>
</file>

<file path=xl/sharedStrings.xml><?xml version="1.0" encoding="utf-8"?>
<sst xmlns="http://schemas.openxmlformats.org/spreadsheetml/2006/main" count="5856" uniqueCount="598">
  <si>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</si>
  <si>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</si>
  <si>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</si>
  <si>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</si>
  <si>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</si>
  <si>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</si>
  <si>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</si>
  <si>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</si>
  <si>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February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</si>
  <si>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</si>
  <si>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</si>
  <si>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</si>
  <si>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</si>
  <si>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</si>
  <si>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</si>
  <si>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</si>
  <si>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</si>
  <si>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</si>
  <si>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</si>
  <si>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</si>
  <si>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</si>
  <si>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</si>
  <si>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</si>
  <si>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</si>
  <si>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</si>
  <si>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</si>
  <si>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</si>
  <si>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</si>
  <si>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</si>
  <si>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</si>
  <si>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</si>
  <si>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</si>
  <si>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</t>
  </si>
  <si>
    <t>PR</t>
  </si>
  <si>
    <t>107865344-SU-JASON R HOFFMANN</t>
  </si>
  <si>
    <t>H</t>
  </si>
  <si>
    <t>TST202</t>
  </si>
  <si>
    <t>000862084810</t>
  </si>
  <si>
    <t>CURLIN, DAYNA</t>
  </si>
  <si>
    <t>P</t>
  </si>
  <si>
    <t>000,142.41</t>
  </si>
  <si>
    <t>20260301</t>
  </si>
  <si>
    <t>20250801</t>
  </si>
  <si>
    <t>007</t>
  </si>
  <si>
    <t>MUW</t>
  </si>
  <si>
    <t>N</t>
  </si>
  <si>
    <t>100.00</t>
  </si>
  <si>
    <t>0.2000</t>
  </si>
  <si>
    <t>000,028.48</t>
  </si>
  <si>
    <t>0.0000</t>
  </si>
  <si>
    <t>000,000.00</t>
  </si>
  <si>
    <t>107865344</t>
  </si>
  <si>
    <t>107866950-SU-GREGORY K TEIPEL</t>
  </si>
  <si>
    <t>000862092028</t>
  </si>
  <si>
    <t>YAKULIS, ALEXANDER</t>
  </si>
  <si>
    <t>000,169.53</t>
  </si>
  <si>
    <t>20260101</t>
  </si>
  <si>
    <t>002</t>
  </si>
  <si>
    <t>000,033.91</t>
  </si>
  <si>
    <t>107866950</t>
  </si>
  <si>
    <t>000862092052</t>
  </si>
  <si>
    <t>YAKULIS, MARGUERITE</t>
  </si>
  <si>
    <t>000,143.87</t>
  </si>
  <si>
    <t>000,028.77</t>
  </si>
  <si>
    <t>$/Member</t>
  </si>
  <si>
    <t>000625</t>
  </si>
  <si>
    <t>3</t>
  </si>
  <si>
    <t>000924461173</t>
  </si>
  <si>
    <t>BAKER, PAULA</t>
  </si>
  <si>
    <t>20260401</t>
  </si>
  <si>
    <t>20220101</t>
  </si>
  <si>
    <t>051</t>
  </si>
  <si>
    <t>BLUEADVANTAGE^</t>
  </si>
  <si>
    <t>$01.00</t>
  </si>
  <si>
    <t>025.00</t>
  </si>
  <si>
    <t>000,075.00</t>
  </si>
  <si>
    <t>000637</t>
  </si>
  <si>
    <t>2</t>
  </si>
  <si>
    <t>000924519406</t>
  </si>
  <si>
    <t>MIRTSCHING, BARRY</t>
  </si>
  <si>
    <t>20230101</t>
  </si>
  <si>
    <t>039</t>
  </si>
  <si>
    <t>000,050.00</t>
  </si>
  <si>
    <t>000924992747</t>
  </si>
  <si>
    <t>QUIGLEY, KENNETH</t>
  </si>
  <si>
    <t>20230401</t>
  </si>
  <si>
    <t>036</t>
  </si>
  <si>
    <t>752301</t>
  </si>
  <si>
    <t>1</t>
  </si>
  <si>
    <t>000925145455</t>
  </si>
  <si>
    <t>RHODES, JAMES</t>
  </si>
  <si>
    <t>000,025.00</t>
  </si>
  <si>
    <t>050</t>
  </si>
  <si>
    <t>562301</t>
  </si>
  <si>
    <t>000925432854</t>
  </si>
  <si>
    <t>EZNACK, JAMES</t>
  </si>
  <si>
    <t>20210101</t>
  </si>
  <si>
    <t>063</t>
  </si>
  <si>
    <t>572301</t>
  </si>
  <si>
    <t>000925449446</t>
  </si>
  <si>
    <t>CAFFEY, BONNIE</t>
  </si>
  <si>
    <t>000925590704</t>
  </si>
  <si>
    <t>HARRELL, REBECCA</t>
  </si>
  <si>
    <t>003</t>
  </si>
  <si>
    <t>000925677277</t>
  </si>
  <si>
    <t>VAUGHAN, EDILLIA</t>
  </si>
  <si>
    <t>20220301</t>
  </si>
  <si>
    <t>049</t>
  </si>
  <si>
    <t>000631</t>
  </si>
  <si>
    <t>000925704532</t>
  </si>
  <si>
    <t>LAROUX, CHARLES</t>
  </si>
  <si>
    <t>20220601</t>
  </si>
  <si>
    <t>045</t>
  </si>
  <si>
    <t>000925713018</t>
  </si>
  <si>
    <t>BEAN, MELINDA</t>
  </si>
  <si>
    <t>20220701</t>
  </si>
  <si>
    <t>000925750946</t>
  </si>
  <si>
    <t>LEE, TRACY</t>
  </si>
  <si>
    <t>20221001</t>
  </si>
  <si>
    <t>042</t>
  </si>
  <si>
    <t>000698</t>
  </si>
  <si>
    <t>000925818826</t>
  </si>
  <si>
    <t>PEARCE, MARCUS</t>
  </si>
  <si>
    <t>000925833175</t>
  </si>
  <si>
    <t>SMITH, KIM</t>
  </si>
  <si>
    <t>20241201</t>
  </si>
  <si>
    <t>016</t>
  </si>
  <si>
    <t>000925839971</t>
  </si>
  <si>
    <t>SOLDEVILLA, MONICA</t>
  </si>
  <si>
    <t>000925864248</t>
  </si>
  <si>
    <t>CALLAHAN, RALANE</t>
  </si>
  <si>
    <t>000925949016</t>
  </si>
  <si>
    <t>KIEREN, MELISSA</t>
  </si>
  <si>
    <t>20230301</t>
  </si>
  <si>
    <t>037</t>
  </si>
  <si>
    <t>000925949720</t>
  </si>
  <si>
    <t>KIEREN, DONNA</t>
  </si>
  <si>
    <t>000925976024</t>
  </si>
  <si>
    <t>GOLDEN, KRISTIE</t>
  </si>
  <si>
    <t>20230501</t>
  </si>
  <si>
    <t>035</t>
  </si>
  <si>
    <t>000943009818</t>
  </si>
  <si>
    <t>WELLS, MELINDA</t>
  </si>
  <si>
    <t>20210701</t>
  </si>
  <si>
    <t>057</t>
  </si>
  <si>
    <t>000943169327</t>
  </si>
  <si>
    <t>ROBERTSON, BUNNY</t>
  </si>
  <si>
    <t>20231101</t>
  </si>
  <si>
    <t>029</t>
  </si>
  <si>
    <t>028</t>
  </si>
  <si>
    <t>20260201</t>
  </si>
  <si>
    <t>027</t>
  </si>
  <si>
    <t>000943372637</t>
  </si>
  <si>
    <t>HOPSON, WILLIAM</t>
  </si>
  <si>
    <t>20240101</t>
  </si>
  <si>
    <t>000943435843</t>
  </si>
  <si>
    <t>PETRICH, ROBIN</t>
  </si>
  <si>
    <t>4</t>
  </si>
  <si>
    <t>000943692939</t>
  </si>
  <si>
    <t>MORRIS, DIANE</t>
  </si>
  <si>
    <t>20240301</t>
  </si>
  <si>
    <t>025</t>
  </si>
  <si>
    <t>000,100.00</t>
  </si>
  <si>
    <t>000944075807</t>
  </si>
  <si>
    <t>REYNOLDS, BRYAN</t>
  </si>
  <si>
    <t>000969</t>
  </si>
  <si>
    <t>000944269432</t>
  </si>
  <si>
    <t>BLOUNT, BARRY</t>
  </si>
  <si>
    <t>20250501</t>
  </si>
  <si>
    <t>011</t>
  </si>
  <si>
    <t>MYBLUEHEALTH^</t>
  </si>
  <si>
    <t>020.00</t>
  </si>
  <si>
    <t>000,020.00</t>
  </si>
  <si>
    <t>000966</t>
  </si>
  <si>
    <t>000944381416</t>
  </si>
  <si>
    <t>PICKENS, NIKO</t>
  </si>
  <si>
    <t>20251101</t>
  </si>
  <si>
    <t>005</t>
  </si>
  <si>
    <t>000944414965</t>
  </si>
  <si>
    <t>PENA, LUCINDA</t>
  </si>
  <si>
    <t>000870</t>
  </si>
  <si>
    <t>000944516216</t>
  </si>
  <si>
    <t>GONZALES, BLANCA</t>
  </si>
  <si>
    <t>000,060.00</t>
  </si>
  <si>
    <t>107869934-SU-RYAN J CALTAGIRONE</t>
  </si>
  <si>
    <t>662301</t>
  </si>
  <si>
    <t>000893486751</t>
  </si>
  <si>
    <t>RAMOS, ROY</t>
  </si>
  <si>
    <t>107869934</t>
  </si>
  <si>
    <t>000924449459</t>
  </si>
  <si>
    <t>HANNON, TIMOTHY</t>
  </si>
  <si>
    <t>000924457583</t>
  </si>
  <si>
    <t>NORRIS, CHRISTY</t>
  </si>
  <si>
    <t>000925386011</t>
  </si>
  <si>
    <t>NALVEN, DANA</t>
  </si>
  <si>
    <t>000925811827</t>
  </si>
  <si>
    <t>PARKS, BARBARA</t>
  </si>
  <si>
    <t>000943314954</t>
  </si>
  <si>
    <t>MADDOX, BREANNA</t>
  </si>
  <si>
    <t>001</t>
  </si>
  <si>
    <t>000944344267</t>
  </si>
  <si>
    <t>NAMIO, SANDRA</t>
  </si>
  <si>
    <t>008</t>
  </si>
  <si>
    <t>000944395187</t>
  </si>
  <si>
    <t>HANNIBAL, QUILLAN</t>
  </si>
  <si>
    <t>000944517283</t>
  </si>
  <si>
    <t>SOWELL, TODD</t>
  </si>
  <si>
    <t>000,040.00</t>
  </si>
  <si>
    <t>107870004-SU-ADAM J RICHTER</t>
  </si>
  <si>
    <t>000643</t>
  </si>
  <si>
    <t>000943107197</t>
  </si>
  <si>
    <t>MCGOURTY, ASHLEY</t>
  </si>
  <si>
    <t>20230901</t>
  </si>
  <si>
    <t>031</t>
  </si>
  <si>
    <t>107870004</t>
  </si>
  <si>
    <t>D</t>
  </si>
  <si>
    <t>424764</t>
  </si>
  <si>
    <t>000944471536</t>
  </si>
  <si>
    <t>PATEL, NAYAN</t>
  </si>
  <si>
    <t>000,058.51</t>
  </si>
  <si>
    <t>DENPPO^</t>
  </si>
  <si>
    <t>0.0600</t>
  </si>
  <si>
    <t>000,003.51</t>
  </si>
  <si>
    <t>107879207-SU-LORI ANN TUNSTALL</t>
  </si>
  <si>
    <t>000925254609</t>
  </si>
  <si>
    <t>DAVIS, LAONNA</t>
  </si>
  <si>
    <t>20190101</t>
  </si>
  <si>
    <t>087</t>
  </si>
  <si>
    <t>107879207</t>
  </si>
  <si>
    <t>000854</t>
  </si>
  <si>
    <t>000925469091</t>
  </si>
  <si>
    <t>DENNIS, REBECCA</t>
  </si>
  <si>
    <t>107888447-SU-MATTHEW DAUGHERTY</t>
  </si>
  <si>
    <t>000893009355</t>
  </si>
  <si>
    <t>EAKINS, GARY</t>
  </si>
  <si>
    <t>107888447</t>
  </si>
  <si>
    <t>000893308450</t>
  </si>
  <si>
    <t>HINOJOSA, NATHAN</t>
  </si>
  <si>
    <t>000893625516</t>
  </si>
  <si>
    <t>CARTWRIGHT, SANDRA</t>
  </si>
  <si>
    <t>000859</t>
  </si>
  <si>
    <t>000923786834</t>
  </si>
  <si>
    <t>PATTERSON, JAMES</t>
  </si>
  <si>
    <t>000923825513</t>
  </si>
  <si>
    <t>HARRIS, SARAH</t>
  </si>
  <si>
    <t>000924867605</t>
  </si>
  <si>
    <t>BENKE, KRIS</t>
  </si>
  <si>
    <t>20240901</t>
  </si>
  <si>
    <t>019</t>
  </si>
  <si>
    <t>000877</t>
  </si>
  <si>
    <t>000924873354</t>
  </si>
  <si>
    <t>DURBIN, MARLIN</t>
  </si>
  <si>
    <t>000947</t>
  </si>
  <si>
    <t>000924955708</t>
  </si>
  <si>
    <t>BALENTINE, IRENE</t>
  </si>
  <si>
    <t>20200101</t>
  </si>
  <si>
    <t>075</t>
  </si>
  <si>
    <t>000924984155</t>
  </si>
  <si>
    <t>ZHAO, JINGJIE</t>
  </si>
  <si>
    <t>000925148516</t>
  </si>
  <si>
    <t>CANTRELL, LINDZIE</t>
  </si>
  <si>
    <t>20170301</t>
  </si>
  <si>
    <t>109</t>
  </si>
  <si>
    <t>000925183832</t>
  </si>
  <si>
    <t>JASPERSON, JAMES</t>
  </si>
  <si>
    <t>20240401</t>
  </si>
  <si>
    <t>024</t>
  </si>
  <si>
    <t>000925278861</t>
  </si>
  <si>
    <t>TORRES, RAQUEL</t>
  </si>
  <si>
    <t>000925352115</t>
  </si>
  <si>
    <t>KUCHARSKI, KIMBERLY</t>
  </si>
  <si>
    <t>20191201</t>
  </si>
  <si>
    <t>076</t>
  </si>
  <si>
    <t>000925361549</t>
  </si>
  <si>
    <t>MILLER, KELLY</t>
  </si>
  <si>
    <t>000925388220</t>
  </si>
  <si>
    <t>RIOS, BELSIA</t>
  </si>
  <si>
    <t>000925444460</t>
  </si>
  <si>
    <t>SCHULTZ, TAYLOR</t>
  </si>
  <si>
    <t>000925488083</t>
  </si>
  <si>
    <t>GUTIERREZ, ANNIE</t>
  </si>
  <si>
    <t>000925553385</t>
  </si>
  <si>
    <t>SOSVILLE, ISABELLA</t>
  </si>
  <si>
    <t>20210601</t>
  </si>
  <si>
    <t>058</t>
  </si>
  <si>
    <t>000925609037</t>
  </si>
  <si>
    <t>HODGE, NATALIE</t>
  </si>
  <si>
    <t>5</t>
  </si>
  <si>
    <t>000925626716</t>
  </si>
  <si>
    <t>CHAVARRIA, ANABEL</t>
  </si>
  <si>
    <t>000,125.00</t>
  </si>
  <si>
    <t>000925844008</t>
  </si>
  <si>
    <t>GARZA, PATRICK</t>
  </si>
  <si>
    <t>20250101</t>
  </si>
  <si>
    <t>015</t>
  </si>
  <si>
    <t>014</t>
  </si>
  <si>
    <t>000925914971</t>
  </si>
  <si>
    <t>BLAHUTA, GLENN</t>
  </si>
  <si>
    <t>20230201</t>
  </si>
  <si>
    <t>038</t>
  </si>
  <si>
    <t>000927920962</t>
  </si>
  <si>
    <t>VIGIL, ZACHARY</t>
  </si>
  <si>
    <t>000943019454</t>
  </si>
  <si>
    <t>WEATHERSTONE, ALISSA</t>
  </si>
  <si>
    <t>000943637302</t>
  </si>
  <si>
    <t>WILLIAMS, KAYLIN</t>
  </si>
  <si>
    <t>000943724625</t>
  </si>
  <si>
    <t>MARTINEZ, ALDO</t>
  </si>
  <si>
    <t>000943937057</t>
  </si>
  <si>
    <t>PENNINGTON, BRYAN</t>
  </si>
  <si>
    <t>20240801</t>
  </si>
  <si>
    <t>020</t>
  </si>
  <si>
    <t>000944157847</t>
  </si>
  <si>
    <t>VALLE, MARCO</t>
  </si>
  <si>
    <t>000944185904</t>
  </si>
  <si>
    <t>GRAVES, WHITNEY</t>
  </si>
  <si>
    <t>20250201</t>
  </si>
  <si>
    <t>013</t>
  </si>
  <si>
    <t>012</t>
  </si>
  <si>
    <t>000944190460</t>
  </si>
  <si>
    <t>ROBERTS, ALVIN</t>
  </si>
  <si>
    <t>000944196799</t>
  </si>
  <si>
    <t>AKIN, RANDALL</t>
  </si>
  <si>
    <t>000944236404</t>
  </si>
  <si>
    <t>DAY, EMMY</t>
  </si>
  <si>
    <t>20250401</t>
  </si>
  <si>
    <t>000964</t>
  </si>
  <si>
    <t>1-</t>
  </si>
  <si>
    <t>000944251141</t>
  </si>
  <si>
    <t>BEARD, STACEY</t>
  </si>
  <si>
    <t>000,025.00-</t>
  </si>
  <si>
    <t>000944401483</t>
  </si>
  <si>
    <t>JONES-SMITH, DESTINY</t>
  </si>
  <si>
    <t>20251201</t>
  </si>
  <si>
    <t>004</t>
  </si>
  <si>
    <t>000944422937</t>
  </si>
  <si>
    <t>BOYD, DARREN</t>
  </si>
  <si>
    <t>000970</t>
  </si>
  <si>
    <t>000944494658</t>
  </si>
  <si>
    <t>TABARES, CATHERINE</t>
  </si>
  <si>
    <t>000944494714</t>
  </si>
  <si>
    <t>TABARES, ISABEL</t>
  </si>
  <si>
    <t>3-</t>
  </si>
  <si>
    <t>000944502655</t>
  </si>
  <si>
    <t>YEARWOOD, RORY</t>
  </si>
  <si>
    <t>000,060.00-</t>
  </si>
  <si>
    <t>000944510639</t>
  </si>
  <si>
    <t>BEARD, ROBERT</t>
  </si>
  <si>
    <t>000944565290</t>
  </si>
  <si>
    <t>PHILLIPS, DEANTHONY</t>
  </si>
  <si>
    <t>107924880-SU-HEIDI JO LIBBY</t>
  </si>
  <si>
    <t>000944272492</t>
  </si>
  <si>
    <t>ROULEAU, PAUL</t>
  </si>
  <si>
    <t>107924880</t>
  </si>
  <si>
    <t>010</t>
  </si>
  <si>
    <t>107928696-SU-ANDREW J CHOI</t>
  </si>
  <si>
    <t>000925117411</t>
  </si>
  <si>
    <t>STELCHEK, DAVID</t>
  </si>
  <si>
    <t>107928696</t>
  </si>
  <si>
    <t>000944096921</t>
  </si>
  <si>
    <t>VIENGSOMBAT, DEONNA</t>
  </si>
  <si>
    <t>000944119769</t>
  </si>
  <si>
    <t>PRITCHETT, VERONICA</t>
  </si>
  <si>
    <t>107928715-SU-RICARDO D SANTOS</t>
  </si>
  <si>
    <t>000921547947</t>
  </si>
  <si>
    <t>ALMAZO, LUIS</t>
  </si>
  <si>
    <t>107928715</t>
  </si>
  <si>
    <t>000925989286</t>
  </si>
  <si>
    <t>FERRELL, ALEC</t>
  </si>
  <si>
    <t>107928723-SU-RICHARD A YALE</t>
  </si>
  <si>
    <t>000893012639</t>
  </si>
  <si>
    <t>FASKE, SHEILA</t>
  </si>
  <si>
    <t>20250812</t>
  </si>
  <si>
    <t>107928723</t>
  </si>
  <si>
    <t>000944457398</t>
  </si>
  <si>
    <t>STRALOW, JORDAN</t>
  </si>
  <si>
    <t>107928855-SU-BARRY L SCHUMANN</t>
  </si>
  <si>
    <t>000925591756</t>
  </si>
  <si>
    <t>GUILLEN, LAURA</t>
  </si>
  <si>
    <t>20250901</t>
  </si>
  <si>
    <t>107928855</t>
  </si>
  <si>
    <t>107932909-SU-CHAD J YALE</t>
  </si>
  <si>
    <t>000893730017</t>
  </si>
  <si>
    <t>METZLER, RUSSELL</t>
  </si>
  <si>
    <t>107932909</t>
  </si>
  <si>
    <t>000925072741</t>
  </si>
  <si>
    <t>SANTOS, RENE</t>
  </si>
  <si>
    <t>20250808</t>
  </si>
  <si>
    <t>000925818695</t>
  </si>
  <si>
    <t>SCOTT, JASON</t>
  </si>
  <si>
    <t>000655</t>
  </si>
  <si>
    <t>000925919562</t>
  </si>
  <si>
    <t>CALDERON, TRINIDAD</t>
  </si>
  <si>
    <t>000943162072</t>
  </si>
  <si>
    <t>MACHUCA, REYNALDO</t>
  </si>
  <si>
    <t>000943452674</t>
  </si>
  <si>
    <t>KABA, IMANI</t>
  </si>
  <si>
    <t>000943998228</t>
  </si>
  <si>
    <t>RAMIREZDURAN, GABRIELA</t>
  </si>
  <si>
    <t>000944280969</t>
  </si>
  <si>
    <t>BURNS, CODY</t>
  </si>
  <si>
    <t>20250601</t>
  </si>
  <si>
    <t>000944349452</t>
  </si>
  <si>
    <t>PETITE, LINDA</t>
  </si>
  <si>
    <t>107934271-SU-TOM EDWARD SERIO</t>
  </si>
  <si>
    <t>000862090702</t>
  </si>
  <si>
    <t>ROBERTS, LISA</t>
  </si>
  <si>
    <t>000,178.92</t>
  </si>
  <si>
    <t>000,035.78</t>
  </si>
  <si>
    <t>107934271</t>
  </si>
  <si>
    <t>424762</t>
  </si>
  <si>
    <t>000924989793</t>
  </si>
  <si>
    <t>TODD, LLUVIA</t>
  </si>
  <si>
    <t>000,015.01</t>
  </si>
  <si>
    <t>000,000.90</t>
  </si>
  <si>
    <t>000944418310</t>
  </si>
  <si>
    <t>CAPES, RANDY</t>
  </si>
  <si>
    <t>107934278-SU-DALE JON WALENGA</t>
  </si>
  <si>
    <t>000944258680</t>
  </si>
  <si>
    <t>SHERMAN, PATRICIA</t>
  </si>
  <si>
    <t>107934278</t>
  </si>
  <si>
    <t>107934472-SU-JONATHAN ALOFF</t>
  </si>
  <si>
    <t>000742</t>
  </si>
  <si>
    <t>000943976221</t>
  </si>
  <si>
    <t>EPPERSON, BILLY</t>
  </si>
  <si>
    <t>107934472</t>
  </si>
  <si>
    <t>000944157694</t>
  </si>
  <si>
    <t>LUCAS, KATHLEEN</t>
  </si>
  <si>
    <t>107941419-SU-BRIAN CHRISTOPHER STROHMAN</t>
  </si>
  <si>
    <t>000944403673</t>
  </si>
  <si>
    <t>TURNER, AUDREY</t>
  </si>
  <si>
    <t>107941419</t>
  </si>
  <si>
    <t>107944691-SU-JOEL N LEE</t>
  </si>
  <si>
    <t>000925964157</t>
  </si>
  <si>
    <t>WICK, DOUGLAS</t>
  </si>
  <si>
    <t>000,080.00</t>
  </si>
  <si>
    <t>107944691</t>
  </si>
  <si>
    <t>107954804-SU-VICTOR FUENTES</t>
  </si>
  <si>
    <t>000924024563</t>
  </si>
  <si>
    <t>REYES, DIEGO</t>
  </si>
  <si>
    <t>107954804</t>
  </si>
  <si>
    <t>000944116961</t>
  </si>
  <si>
    <t>BOSMAN, DANNY</t>
  </si>
  <si>
    <t>000944250792</t>
  </si>
  <si>
    <t>RESENDEZ, LAURA</t>
  </si>
  <si>
    <t>000944378284</t>
  </si>
  <si>
    <t>GREEN, WENDY</t>
  </si>
  <si>
    <t>107959667-SU-JARED KINYUA</t>
  </si>
  <si>
    <t>000943134439</t>
  </si>
  <si>
    <t>FRANCIS, CAROLINE</t>
  </si>
  <si>
    <t>107959667</t>
  </si>
  <si>
    <t>000944346601</t>
  </si>
  <si>
    <t>JAYARAMARAJU, PRAKASH</t>
  </si>
  <si>
    <t>107960927-SU-BARRY GORDON BRENNER</t>
  </si>
  <si>
    <t>000944248233</t>
  </si>
  <si>
    <t>MARTINEZ, MATTHEW</t>
  </si>
  <si>
    <t>107960927</t>
  </si>
  <si>
    <t>000944423783</t>
  </si>
  <si>
    <t>OLMOS, MARIA</t>
  </si>
  <si>
    <t>000944425372</t>
  </si>
  <si>
    <t>BENAVIDES CASTRO, TANIA PATRICIA</t>
  </si>
  <si>
    <t>107961029-SU-CHRISTOPHER BROUSSEAU</t>
  </si>
  <si>
    <t>000923721014</t>
  </si>
  <si>
    <t>LIGHTFOOT, JONATHAN</t>
  </si>
  <si>
    <t>107961029</t>
  </si>
  <si>
    <t>000925271143</t>
  </si>
  <si>
    <t>SMITH, SUZZANNE</t>
  </si>
  <si>
    <t>000925326405</t>
  </si>
  <si>
    <t>GRAPE, SHELLY</t>
  </si>
  <si>
    <t>20250701</t>
  </si>
  <si>
    <t>009</t>
  </si>
  <si>
    <t>000925571076</t>
  </si>
  <si>
    <t>TUBBS, LATRICE</t>
  </si>
  <si>
    <t>000943566891</t>
  </si>
  <si>
    <t>KOWALSKI, DARYL</t>
  </si>
  <si>
    <t>000943628736</t>
  </si>
  <si>
    <t>WEBSTER, LINDSAY</t>
  </si>
  <si>
    <t>000943982396</t>
  </si>
  <si>
    <t>HERRERA, ANTHONY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</si>
  <si>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</si>
  <si>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</si>
  <si>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</si>
  <si>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</si>
  <si>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</si>
  <si>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</si>
  <si>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000944340656</t>
  </si>
  <si>
    <t>GOWRU, SUJATHA</t>
  </si>
  <si>
    <t>000944395251</t>
  </si>
  <si>
    <t>PADILLA, DESEREE</t>
  </si>
  <si>
    <t>000944406649</t>
  </si>
  <si>
    <t>DALY, CHRISTY</t>
  </si>
  <si>
    <t>000944431589</t>
  </si>
  <si>
    <t>RODRIGUEZ, GABRIELA</t>
  </si>
  <si>
    <t>107961242-SU-KIRK ANTHONY TIGUE</t>
  </si>
  <si>
    <t>000925072162</t>
  </si>
  <si>
    <t>JACOBSON, LEIGH</t>
  </si>
  <si>
    <t>20230701</t>
  </si>
  <si>
    <t>033</t>
  </si>
  <si>
    <t>107961242</t>
  </si>
  <si>
    <t>000925953037</t>
  </si>
  <si>
    <t>MCCOY, MARQUE</t>
  </si>
  <si>
    <t>000943626660</t>
  </si>
  <si>
    <t>HENDRIX, TERRICA</t>
  </si>
  <si>
    <t>000944238599</t>
  </si>
  <si>
    <t>SPENCER, TIWAN</t>
  </si>
  <si>
    <t>000,020.00-</t>
  </si>
  <si>
    <t>000944248144</t>
  </si>
  <si>
    <t>SNEED, KIMBERLY</t>
  </si>
  <si>
    <t>000944311770</t>
  </si>
  <si>
    <t>BIZZIERI, JOSEPH</t>
  </si>
  <si>
    <t>000944376589</t>
  </si>
  <si>
    <t>MATTHEW-GEORGE, DORCAS</t>
  </si>
  <si>
    <t>20251001</t>
  </si>
  <si>
    <t>006</t>
  </si>
  <si>
    <t>000944412910</t>
  </si>
  <si>
    <t>ULLMAN, ZANE</t>
  </si>
  <si>
    <t>107965218-SU-JAKE P SHULMAN</t>
  </si>
  <si>
    <t>000944278321</t>
  </si>
  <si>
    <t>PEREZ, FERNANDO</t>
  </si>
  <si>
    <t>107965218</t>
  </si>
  <si>
    <t>000944453324</t>
  </si>
  <si>
    <t>BATTS, SARA</t>
  </si>
  <si>
    <t>000944455606</t>
  </si>
  <si>
    <t>HERNANDEZ, RAY</t>
  </si>
  <si>
    <t>107970013-SU-JOHN R RISLEY</t>
  </si>
  <si>
    <t>000944424871</t>
  </si>
  <si>
    <t>MINK, DONNA</t>
  </si>
  <si>
    <t>107970013</t>
  </si>
  <si>
    <t>107970908-SU-DANNA GREEN</t>
  </si>
  <si>
    <t>000944563432</t>
  </si>
  <si>
    <t>STRINGER, AMBER</t>
  </si>
  <si>
    <t>107970908</t>
  </si>
  <si>
    <t>107971859-SU-TALIAH FERGUSON</t>
  </si>
  <si>
    <t>000943972101</t>
  </si>
  <si>
    <t>MORENO, CHRISTINA</t>
  </si>
  <si>
    <t>20250721</t>
  </si>
  <si>
    <t>107971859</t>
  </si>
  <si>
    <t>107972477-SU-ZAMEER AMIN KOTADIA</t>
  </si>
  <si>
    <t>000924439530</t>
  </si>
  <si>
    <t>LALANI, ATIK</t>
  </si>
  <si>
    <t>107972477</t>
  </si>
  <si>
    <t>000925900309</t>
  </si>
  <si>
    <t>KOTADIA, ZAMEER</t>
  </si>
  <si>
    <t>000943085876</t>
  </si>
  <si>
    <t>DOUGLAS, MICHELE</t>
  </si>
  <si>
    <t>20230801</t>
  </si>
  <si>
    <t>032</t>
  </si>
  <si>
    <t>000965</t>
  </si>
  <si>
    <t>000944180032</t>
  </si>
  <si>
    <t>MANJEE, SAMIR</t>
  </si>
  <si>
    <t>000944457036</t>
  </si>
  <si>
    <t>HOGLAND, SUZY</t>
  </si>
  <si>
    <t>000944469065</t>
  </si>
  <si>
    <t>MATTE, AUDREY</t>
  </si>
  <si>
    <t>000944499836</t>
  </si>
  <si>
    <t>HARRIS, EMILY</t>
  </si>
  <si>
    <t>107976026-SU-ERICA SOLIVAN</t>
  </si>
  <si>
    <t>000944332230</t>
  </si>
  <si>
    <t>LEATHERS, SHERRI</t>
  </si>
  <si>
    <t>107976026</t>
  </si>
  <si>
    <t>107983850-SU-H A ALLAN</t>
  </si>
  <si>
    <t>000924975765</t>
  </si>
  <si>
    <t>DRAKES, OBLANTHA</t>
  </si>
  <si>
    <t>107983850</t>
  </si>
  <si>
    <t>000944179882</t>
  </si>
  <si>
    <t>MEJIA, RICARDO</t>
  </si>
  <si>
    <t>000944432390</t>
  </si>
  <si>
    <t>MILLIS, PAYTON</t>
  </si>
  <si>
    <t>000944460109</t>
  </si>
  <si>
    <t>MOUTON, NICOLE</t>
  </si>
  <si>
    <t>107984310-SU-COLLEEN JERGER</t>
  </si>
  <si>
    <t>000924805072</t>
  </si>
  <si>
    <t>CESPED, EMILEE</t>
  </si>
  <si>
    <t>026</t>
  </si>
  <si>
    <t>107984310</t>
  </si>
  <si>
    <t>000925392287</t>
  </si>
  <si>
    <t>YESEL, GARY</t>
  </si>
  <si>
    <t>20200201</t>
  </si>
  <si>
    <t>074</t>
  </si>
  <si>
    <t>000943895618</t>
  </si>
  <si>
    <t>RODGERS, TORI</t>
  </si>
  <si>
    <t>000944128658</t>
  </si>
  <si>
    <t>DELABAR, JOAN</t>
  </si>
  <si>
    <t>000944461305</t>
  </si>
  <si>
    <t>FLORES, AURORA</t>
  </si>
  <si>
    <t>107992886-SU-KENNETH WEITZMAN</t>
  </si>
  <si>
    <t>000944412878</t>
  </si>
  <si>
    <t>WATTHANASING, URAIWAN</t>
  </si>
  <si>
    <t>107992886</t>
  </si>
  <si>
    <t>742301</t>
  </si>
  <si>
    <t>000944458583</t>
  </si>
  <si>
    <t>SIGMON, TIMOTHY</t>
  </si>
  <si>
    <t>pro</t>
  </si>
  <si>
    <t>BCBS of TX medsupp Aged 65-69</t>
  </si>
  <si>
    <t>BCBS of TX BA HMOSM, BA +</t>
  </si>
  <si>
    <t>BCBS of TX MyB HMO Plans</t>
  </si>
  <si>
    <t>BCBS of TX All Dental Plans</t>
  </si>
  <si>
    <t>[PMPM=3]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</si>
</sst>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2" fillId="3" fontId="6" numFmtId="0" xfId="0" applyAlignment="1" applyBorder="1" applyFont="1">
      <alignment horizontal="center" shrinkToFit="0" vertical="top" wrapText="1"/>
    </xf>
    <xf borderId="1" fillId="3" fontId="6" numFmtId="1" xfId="0" applyAlignment="1" applyBorder="1" applyFont="1" applyNumberFormat="1">
      <alignment horizontal="center" shrinkToFit="0" vertical="top" wrapText="1"/>
    </xf>
    <xf borderId="2" fillId="3" fontId="6" numFmtId="4" xfId="0" applyAlignment="1" applyBorder="1" applyFont="1" applyNumberFormat="1">
      <alignment horizontal="center" shrinkToFit="0" vertical="top" wrapText="1"/>
    </xf>
    <xf borderId="8" fillId="3" fontId="6" numFmtId="0" xfId="0" applyAlignment="1" applyBorder="1" applyFont="1">
      <alignment horizontal="center" shrinkToFit="0" vertical="top" wrapText="1"/>
    </xf>
    <xf borderId="2" fillId="3" fontId="6" numFmtId="0" xfId="0" applyAlignment="1" applyBorder="1" applyFont="1">
      <alignment horizontal="center" readingOrder="0" shrinkToFit="0" vertical="top" wrapText="1"/>
    </xf>
    <xf borderId="8" fillId="3" fontId="6" numFmtId="4" xfId="0" applyAlignment="1" applyBorder="1" applyFont="1" applyNumberFormat="1">
      <alignment horizontal="center" shrinkToFit="0" vertical="top" wrapText="1"/>
    </xf>
    <xf borderId="0" fillId="0" fontId="8" numFmtId="0" xfId="0" applyFont="1"/>
    <xf borderId="0" fillId="0" fontId="7" numFmtId="1" xfId="0" applyAlignment="1" applyFont="1" applyNumberFormat="1">
      <alignment horizontal="right" vertical="top"/>
    </xf>
    <xf borderId="0" fillId="0" fontId="7" numFmtId="4" xfId="0" applyAlignment="1" applyFont="1" applyNumberFormat="1">
      <alignment horizontal="right" vertical="top"/>
    </xf>
    <xf borderId="0" fillId="0" fontId="7" numFmtId="0" xfId="0" applyAlignment="1" applyFont="1">
      <alignment horizontal="right" readingOrder="0" vertical="top"/>
    </xf>
    <xf borderId="0" fillId="0" fontId="7" numFmtId="4" xfId="0" applyAlignment="1" applyFont="1" applyNumberFormat="1">
      <alignment horizontal="right" readingOrder="0" vertical="top"/>
    </xf>
    <xf borderId="0" fillId="0" fontId="7" numFmtId="1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3</xdr:row>
      <xdr:rowOff>0</xdr:rowOff>
    </xdr:from>
    <xdr:ext cx="209550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0" width="13.63"/>
    <col customWidth="1" min="31" max="31" width="11.0"/>
    <col customWidth="1" min="32" max="32" width="2.63"/>
    <col customWidth="1" min="33" max="33" width="13.38"/>
    <col customWidth="1" min="34" max="34" width="13.25"/>
  </cols>
  <sheetData>
    <row r="1" ht="11.25" customHeight="1"/>
    <row r="2" ht="6.0" customHeight="1"/>
    <row r="3" ht="10.5" customHeight="1">
      <c r="R3" s="1" t="s">
        <v>0</v>
      </c>
    </row>
    <row r="4" ht="3.0" customHeight="1">
      <c r="A4" s="2" t="s">
        <v>1</v>
      </c>
      <c r="C4" s="3" t="s">
        <v>2</v>
      </c>
    </row>
    <row r="5" ht="6.75" customHeight="1"/>
    <row r="6" ht="3.75" customHeight="1">
      <c r="Q6" s="4" t="s">
        <v>3</v>
      </c>
    </row>
    <row r="7" ht="19.5" customHeight="1"/>
    <row r="8" ht="9.75" customHeight="1"/>
    <row r="9" ht="7.5" customHeight="1">
      <c r="A9" s="2" t="s">
        <v>4</v>
      </c>
      <c r="C9" s="3" t="s">
        <v>5</v>
      </c>
    </row>
    <row r="10" ht="6.0" customHeight="1"/>
    <row r="11" ht="13.5" customHeight="1">
      <c r="A11" s="2" t="s">
        <v>6</v>
      </c>
      <c r="C11" s="3" t="s">
        <v>7</v>
      </c>
    </row>
    <row r="12" ht="12.0" customHeight="1"/>
    <row r="13" ht="25.5" customHeight="1">
      <c r="A13" s="5" t="s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</row>
    <row r="14" ht="28.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ht="12.75" customHeight="1">
      <c r="A15" s="11" t="s">
        <v>9</v>
      </c>
      <c r="B15" s="12" t="s">
        <v>10</v>
      </c>
      <c r="C15" s="13"/>
      <c r="D15" s="12" t="s">
        <v>11</v>
      </c>
      <c r="E15" s="13"/>
      <c r="F15" s="12" t="s">
        <v>12</v>
      </c>
      <c r="G15" s="6"/>
      <c r="H15" s="6"/>
      <c r="I15" s="13"/>
      <c r="J15" s="11" t="s">
        <v>13</v>
      </c>
      <c r="K15" s="11" t="s">
        <v>14</v>
      </c>
      <c r="L15" s="11" t="s">
        <v>15</v>
      </c>
      <c r="N15" s="12" t="s">
        <v>16</v>
      </c>
      <c r="O15" s="13"/>
      <c r="P15" s="12" t="s">
        <v>17</v>
      </c>
      <c r="Q15" s="6"/>
      <c r="R15" s="13"/>
      <c r="S15" s="11" t="s">
        <v>18</v>
      </c>
      <c r="T15" s="12" t="s">
        <v>19</v>
      </c>
      <c r="U15" s="13"/>
      <c r="V15" s="11" t="s">
        <v>20</v>
      </c>
      <c r="W15" s="11" t="s">
        <v>21</v>
      </c>
      <c r="X15" s="11" t="s">
        <v>22</v>
      </c>
      <c r="Y15" s="12" t="s">
        <v>23</v>
      </c>
      <c r="Z15" s="13"/>
      <c r="AA15" s="11" t="s">
        <v>24</v>
      </c>
      <c r="AB15" s="11" t="s">
        <v>25</v>
      </c>
      <c r="AC15" s="11" t="s">
        <v>26</v>
      </c>
      <c r="AD15" s="11" t="s">
        <v>27</v>
      </c>
      <c r="AE15" s="12" t="s">
        <v>28</v>
      </c>
      <c r="AF15" s="13"/>
      <c r="AG15" s="11" t="s">
        <v>29</v>
      </c>
      <c r="AH15" s="11" t="s">
        <v>30</v>
      </c>
    </row>
    <row r="16" ht="14.25" customHeight="1">
      <c r="A16" s="14"/>
      <c r="B16" s="8"/>
      <c r="C16" s="15"/>
      <c r="D16" s="8"/>
      <c r="E16" s="15"/>
      <c r="F16" s="8"/>
      <c r="G16" s="9"/>
      <c r="H16" s="9"/>
      <c r="I16" s="15"/>
      <c r="J16" s="14"/>
      <c r="K16" s="14"/>
      <c r="L16" s="16"/>
      <c r="N16" s="17"/>
      <c r="O16" s="18"/>
      <c r="P16" s="8"/>
      <c r="Q16" s="9"/>
      <c r="R16" s="15"/>
      <c r="S16" s="14"/>
      <c r="T16" s="8"/>
      <c r="U16" s="15"/>
      <c r="V16" s="14"/>
      <c r="W16" s="14"/>
      <c r="X16" s="14"/>
      <c r="Y16" s="8"/>
      <c r="Z16" s="15"/>
      <c r="AA16" s="14"/>
      <c r="AB16" s="14"/>
      <c r="AC16" s="14"/>
      <c r="AD16" s="14"/>
      <c r="AE16" s="8"/>
      <c r="AF16" s="15"/>
      <c r="AG16" s="14"/>
      <c r="AH16" s="14"/>
    </row>
    <row r="17" ht="0.75" customHeight="1">
      <c r="L17" s="14"/>
      <c r="N17" s="8"/>
      <c r="O17" s="15"/>
    </row>
    <row r="18" ht="12.7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N18" s="21" t="s">
        <v>37</v>
      </c>
      <c r="P18" s="21" t="s">
        <v>38</v>
      </c>
      <c r="S18" s="20" t="s">
        <v>39</v>
      </c>
      <c r="T18" s="21" t="s">
        <v>40</v>
      </c>
      <c r="V18" s="21" t="s">
        <v>41</v>
      </c>
      <c r="W18" s="21" t="s">
        <v>42</v>
      </c>
      <c r="X18" s="21" t="s">
        <v>43</v>
      </c>
      <c r="Y18" s="21" t="s">
        <v>44</v>
      </c>
      <c r="AA18" s="21" t="s">
        <v>45</v>
      </c>
      <c r="AB18" s="21" t="s">
        <v>46</v>
      </c>
      <c r="AC18" s="21" t="s">
        <v>47</v>
      </c>
      <c r="AD18" s="21" t="s">
        <v>48</v>
      </c>
      <c r="AE18" s="21" t="s">
        <v>49</v>
      </c>
      <c r="AG18" s="21" t="s">
        <v>50</v>
      </c>
      <c r="AH18" s="21" t="s">
        <v>51</v>
      </c>
    </row>
    <row r="19" ht="14.25" customHeight="1"/>
    <row r="20" ht="16.5" customHeight="1">
      <c r="A20" s="19" t="s">
        <v>31</v>
      </c>
      <c r="B20" s="19" t="s">
        <v>32</v>
      </c>
      <c r="E20" s="20" t="s">
        <v>33</v>
      </c>
      <c r="G20" s="21" t="s">
        <v>52</v>
      </c>
      <c r="J20" s="20" t="s">
        <v>35</v>
      </c>
      <c r="K20" s="21" t="s">
        <v>36</v>
      </c>
      <c r="N20" s="21" t="s">
        <v>53</v>
      </c>
      <c r="P20" s="21" t="s">
        <v>54</v>
      </c>
      <c r="S20" s="20" t="s">
        <v>39</v>
      </c>
      <c r="T20" s="21" t="s">
        <v>55</v>
      </c>
      <c r="V20" s="21" t="s">
        <v>41</v>
      </c>
      <c r="W20" s="21" t="s">
        <v>56</v>
      </c>
      <c r="X20" s="21" t="s">
        <v>57</v>
      </c>
      <c r="Y20" s="21" t="s">
        <v>44</v>
      </c>
      <c r="AA20" s="21" t="s">
        <v>45</v>
      </c>
      <c r="AB20" s="21" t="s">
        <v>46</v>
      </c>
      <c r="AC20" s="21" t="s">
        <v>47</v>
      </c>
      <c r="AD20" s="21" t="s">
        <v>58</v>
      </c>
      <c r="AE20" s="21" t="s">
        <v>49</v>
      </c>
      <c r="AG20" s="21" t="s">
        <v>50</v>
      </c>
      <c r="AH20" s="21" t="s">
        <v>59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52</v>
      </c>
      <c r="J21" s="20" t="s">
        <v>35</v>
      </c>
      <c r="K21" s="21" t="s">
        <v>36</v>
      </c>
      <c r="N21" s="21" t="s">
        <v>60</v>
      </c>
      <c r="P21" s="21" t="s">
        <v>61</v>
      </c>
      <c r="S21" s="20" t="s">
        <v>39</v>
      </c>
      <c r="T21" s="21" t="s">
        <v>62</v>
      </c>
      <c r="V21" s="21" t="s">
        <v>41</v>
      </c>
      <c r="W21" s="21" t="s">
        <v>56</v>
      </c>
      <c r="X21" s="21" t="s">
        <v>57</v>
      </c>
      <c r="Y21" s="21" t="s">
        <v>44</v>
      </c>
      <c r="AA21" s="21" t="s">
        <v>45</v>
      </c>
      <c r="AB21" s="21" t="s">
        <v>46</v>
      </c>
      <c r="AC21" s="21" t="s">
        <v>47</v>
      </c>
      <c r="AD21" s="21" t="s">
        <v>63</v>
      </c>
      <c r="AE21" s="21" t="s">
        <v>49</v>
      </c>
      <c r="AG21" s="21" t="s">
        <v>50</v>
      </c>
      <c r="AH21" s="21" t="s">
        <v>59</v>
      </c>
    </row>
    <row r="22" ht="16.5" customHeight="1">
      <c r="A22" s="19" t="s">
        <v>31</v>
      </c>
      <c r="B22" s="19" t="s">
        <v>64</v>
      </c>
      <c r="E22" s="20" t="s">
        <v>33</v>
      </c>
      <c r="G22" s="21" t="s">
        <v>52</v>
      </c>
      <c r="J22" s="20" t="s">
        <v>35</v>
      </c>
      <c r="K22" s="21" t="s">
        <v>65</v>
      </c>
      <c r="L22" s="21" t="s">
        <v>66</v>
      </c>
      <c r="N22" s="21" t="s">
        <v>67</v>
      </c>
      <c r="P22" s="21" t="s">
        <v>68</v>
      </c>
      <c r="S22" s="20" t="s">
        <v>39</v>
      </c>
      <c r="T22" s="21" t="s">
        <v>50</v>
      </c>
      <c r="V22" s="21" t="s">
        <v>69</v>
      </c>
      <c r="W22" s="21" t="s">
        <v>70</v>
      </c>
      <c r="X22" s="21" t="s">
        <v>71</v>
      </c>
      <c r="Y22" s="21" t="s">
        <v>72</v>
      </c>
      <c r="AA22" s="21" t="s">
        <v>45</v>
      </c>
      <c r="AB22" s="21" t="s">
        <v>73</v>
      </c>
      <c r="AC22" s="21" t="s">
        <v>74</v>
      </c>
      <c r="AD22" s="21" t="s">
        <v>75</v>
      </c>
      <c r="AE22" s="21" t="s">
        <v>49</v>
      </c>
      <c r="AG22" s="21" t="s">
        <v>50</v>
      </c>
      <c r="AH22" s="21" t="s">
        <v>59</v>
      </c>
    </row>
    <row r="23" ht="16.5" customHeight="1">
      <c r="A23" s="19" t="s">
        <v>31</v>
      </c>
      <c r="B23" s="19" t="s">
        <v>64</v>
      </c>
      <c r="E23" s="20" t="s">
        <v>33</v>
      </c>
      <c r="G23" s="21" t="s">
        <v>52</v>
      </c>
      <c r="J23" s="20" t="s">
        <v>35</v>
      </c>
      <c r="K23" s="21" t="s">
        <v>76</v>
      </c>
      <c r="L23" s="21" t="s">
        <v>77</v>
      </c>
      <c r="N23" s="21" t="s">
        <v>78</v>
      </c>
      <c r="P23" s="21" t="s">
        <v>79</v>
      </c>
      <c r="S23" s="20" t="s">
        <v>39</v>
      </c>
      <c r="T23" s="21" t="s">
        <v>50</v>
      </c>
      <c r="V23" s="21" t="s">
        <v>69</v>
      </c>
      <c r="W23" s="21" t="s">
        <v>80</v>
      </c>
      <c r="X23" s="21" t="s">
        <v>81</v>
      </c>
      <c r="Y23" s="21" t="s">
        <v>72</v>
      </c>
      <c r="AA23" s="21" t="s">
        <v>45</v>
      </c>
      <c r="AB23" s="21" t="s">
        <v>73</v>
      </c>
      <c r="AC23" s="21" t="s">
        <v>74</v>
      </c>
      <c r="AD23" s="21" t="s">
        <v>82</v>
      </c>
      <c r="AE23" s="21" t="s">
        <v>49</v>
      </c>
      <c r="AG23" s="21" t="s">
        <v>50</v>
      </c>
      <c r="AH23" s="21" t="s">
        <v>59</v>
      </c>
    </row>
    <row r="24" ht="16.5" customHeight="1">
      <c r="A24" s="19" t="s">
        <v>31</v>
      </c>
      <c r="B24" s="19" t="s">
        <v>64</v>
      </c>
      <c r="E24" s="20" t="s">
        <v>33</v>
      </c>
      <c r="G24" s="21" t="s">
        <v>52</v>
      </c>
      <c r="J24" s="20" t="s">
        <v>35</v>
      </c>
      <c r="K24" s="21" t="s">
        <v>76</v>
      </c>
      <c r="L24" s="21" t="s">
        <v>77</v>
      </c>
      <c r="N24" s="21" t="s">
        <v>83</v>
      </c>
      <c r="P24" s="21" t="s">
        <v>84</v>
      </c>
      <c r="S24" s="20" t="s">
        <v>39</v>
      </c>
      <c r="T24" s="21" t="s">
        <v>50</v>
      </c>
      <c r="V24" s="21" t="s">
        <v>69</v>
      </c>
      <c r="W24" s="21" t="s">
        <v>85</v>
      </c>
      <c r="X24" s="21" t="s">
        <v>86</v>
      </c>
      <c r="Y24" s="21" t="s">
        <v>72</v>
      </c>
      <c r="AA24" s="21" t="s">
        <v>45</v>
      </c>
      <c r="AB24" s="21" t="s">
        <v>73</v>
      </c>
      <c r="AC24" s="21" t="s">
        <v>74</v>
      </c>
      <c r="AD24" s="21" t="s">
        <v>82</v>
      </c>
      <c r="AE24" s="21" t="s">
        <v>49</v>
      </c>
      <c r="AG24" s="21" t="s">
        <v>50</v>
      </c>
      <c r="AH24" s="21" t="s">
        <v>59</v>
      </c>
    </row>
    <row r="25" ht="16.5" customHeight="1">
      <c r="A25" s="19" t="s">
        <v>31</v>
      </c>
      <c r="B25" s="19" t="s">
        <v>64</v>
      </c>
      <c r="E25" s="20" t="s">
        <v>33</v>
      </c>
      <c r="G25" s="21" t="s">
        <v>52</v>
      </c>
      <c r="J25" s="20" t="s">
        <v>35</v>
      </c>
      <c r="K25" s="21" t="s">
        <v>87</v>
      </c>
      <c r="L25" s="21" t="s">
        <v>88</v>
      </c>
      <c r="N25" s="21" t="s">
        <v>89</v>
      </c>
      <c r="P25" s="21" t="s">
        <v>90</v>
      </c>
      <c r="S25" s="20" t="s">
        <v>39</v>
      </c>
      <c r="T25" s="21" t="s">
        <v>50</v>
      </c>
      <c r="V25" s="21" t="s">
        <v>69</v>
      </c>
      <c r="W25" s="21" t="s">
        <v>70</v>
      </c>
      <c r="X25" s="21" t="s">
        <v>71</v>
      </c>
      <c r="Y25" s="21" t="s">
        <v>72</v>
      </c>
      <c r="AA25" s="21" t="s">
        <v>45</v>
      </c>
      <c r="AB25" s="21" t="s">
        <v>73</v>
      </c>
      <c r="AC25" s="21" t="s">
        <v>74</v>
      </c>
      <c r="AD25" s="21" t="s">
        <v>91</v>
      </c>
      <c r="AE25" s="21" t="s">
        <v>49</v>
      </c>
      <c r="AG25" s="21" t="s">
        <v>50</v>
      </c>
      <c r="AH25" s="21" t="s">
        <v>59</v>
      </c>
    </row>
    <row r="26" ht="16.5" customHeight="1">
      <c r="A26" s="19" t="s">
        <v>31</v>
      </c>
      <c r="B26" s="19" t="s">
        <v>64</v>
      </c>
      <c r="E26" s="20" t="s">
        <v>33</v>
      </c>
      <c r="G26" s="21" t="s">
        <v>52</v>
      </c>
      <c r="J26" s="20" t="s">
        <v>35</v>
      </c>
      <c r="K26" s="21" t="s">
        <v>87</v>
      </c>
      <c r="L26" s="21" t="s">
        <v>88</v>
      </c>
      <c r="N26" s="21" t="s">
        <v>89</v>
      </c>
      <c r="P26" s="21" t="s">
        <v>90</v>
      </c>
      <c r="S26" s="20" t="s">
        <v>39</v>
      </c>
      <c r="T26" s="21" t="s">
        <v>50</v>
      </c>
      <c r="V26" s="21" t="s">
        <v>41</v>
      </c>
      <c r="W26" s="21" t="s">
        <v>70</v>
      </c>
      <c r="X26" s="21" t="s">
        <v>92</v>
      </c>
      <c r="Y26" s="21" t="s">
        <v>72</v>
      </c>
      <c r="AA26" s="21" t="s">
        <v>45</v>
      </c>
      <c r="AB26" s="21" t="s">
        <v>73</v>
      </c>
      <c r="AC26" s="21" t="s">
        <v>74</v>
      </c>
      <c r="AD26" s="21" t="s">
        <v>91</v>
      </c>
      <c r="AE26" s="21" t="s">
        <v>49</v>
      </c>
      <c r="AG26" s="21" t="s">
        <v>50</v>
      </c>
      <c r="AH26" s="21" t="s">
        <v>59</v>
      </c>
    </row>
    <row r="27" ht="16.5" customHeight="1">
      <c r="A27" s="19" t="s">
        <v>31</v>
      </c>
      <c r="B27" s="19" t="s">
        <v>64</v>
      </c>
      <c r="E27" s="20" t="s">
        <v>33</v>
      </c>
      <c r="G27" s="21" t="s">
        <v>52</v>
      </c>
      <c r="J27" s="20" t="s">
        <v>35</v>
      </c>
      <c r="K27" s="21" t="s">
        <v>93</v>
      </c>
      <c r="L27" s="21" t="s">
        <v>77</v>
      </c>
      <c r="N27" s="21" t="s">
        <v>94</v>
      </c>
      <c r="P27" s="21" t="s">
        <v>95</v>
      </c>
      <c r="S27" s="20" t="s">
        <v>39</v>
      </c>
      <c r="T27" s="21" t="s">
        <v>50</v>
      </c>
      <c r="V27" s="21" t="s">
        <v>69</v>
      </c>
      <c r="W27" s="21" t="s">
        <v>96</v>
      </c>
      <c r="X27" s="21" t="s">
        <v>97</v>
      </c>
      <c r="Y27" s="21" t="s">
        <v>72</v>
      </c>
      <c r="AA27" s="21" t="s">
        <v>45</v>
      </c>
      <c r="AB27" s="21" t="s">
        <v>73</v>
      </c>
      <c r="AC27" s="21" t="s">
        <v>74</v>
      </c>
      <c r="AD27" s="21" t="s">
        <v>82</v>
      </c>
      <c r="AE27" s="21" t="s">
        <v>49</v>
      </c>
      <c r="AG27" s="21" t="s">
        <v>50</v>
      </c>
      <c r="AH27" s="21" t="s">
        <v>59</v>
      </c>
    </row>
    <row r="28" ht="16.5" customHeight="1">
      <c r="A28" s="19" t="s">
        <v>31</v>
      </c>
      <c r="B28" s="19" t="s">
        <v>64</v>
      </c>
      <c r="E28" s="20" t="s">
        <v>33</v>
      </c>
      <c r="G28" s="21" t="s">
        <v>52</v>
      </c>
      <c r="J28" s="20" t="s">
        <v>35</v>
      </c>
      <c r="K28" s="21" t="s">
        <v>98</v>
      </c>
      <c r="L28" s="21" t="s">
        <v>88</v>
      </c>
      <c r="N28" s="21" t="s">
        <v>99</v>
      </c>
      <c r="P28" s="21" t="s">
        <v>100</v>
      </c>
      <c r="S28" s="20" t="s">
        <v>39</v>
      </c>
      <c r="T28" s="21" t="s">
        <v>50</v>
      </c>
      <c r="V28" s="21" t="s">
        <v>69</v>
      </c>
      <c r="W28" s="21" t="s">
        <v>96</v>
      </c>
      <c r="X28" s="21" t="s">
        <v>97</v>
      </c>
      <c r="Y28" s="21" t="s">
        <v>72</v>
      </c>
      <c r="AA28" s="21" t="s">
        <v>45</v>
      </c>
      <c r="AB28" s="21" t="s">
        <v>73</v>
      </c>
      <c r="AC28" s="21" t="s">
        <v>74</v>
      </c>
      <c r="AD28" s="21" t="s">
        <v>91</v>
      </c>
      <c r="AE28" s="21" t="s">
        <v>49</v>
      </c>
      <c r="AG28" s="21" t="s">
        <v>50</v>
      </c>
      <c r="AH28" s="21" t="s">
        <v>59</v>
      </c>
    </row>
    <row r="29" ht="16.5" customHeight="1">
      <c r="A29" s="19" t="s">
        <v>31</v>
      </c>
      <c r="B29" s="19" t="s">
        <v>64</v>
      </c>
      <c r="E29" s="20" t="s">
        <v>33</v>
      </c>
      <c r="G29" s="21" t="s">
        <v>52</v>
      </c>
      <c r="J29" s="20" t="s">
        <v>35</v>
      </c>
      <c r="K29" s="21" t="s">
        <v>93</v>
      </c>
      <c r="L29" s="21" t="s">
        <v>88</v>
      </c>
      <c r="N29" s="21" t="s">
        <v>101</v>
      </c>
      <c r="P29" s="21" t="s">
        <v>102</v>
      </c>
      <c r="S29" s="20" t="s">
        <v>39</v>
      </c>
      <c r="T29" s="21" t="s">
        <v>50</v>
      </c>
      <c r="V29" s="21" t="s">
        <v>69</v>
      </c>
      <c r="W29" s="21" t="s">
        <v>56</v>
      </c>
      <c r="X29" s="21" t="s">
        <v>103</v>
      </c>
      <c r="Y29" s="21" t="s">
        <v>72</v>
      </c>
      <c r="AA29" s="21" t="s">
        <v>45</v>
      </c>
      <c r="AB29" s="21" t="s">
        <v>73</v>
      </c>
      <c r="AC29" s="21" t="s">
        <v>74</v>
      </c>
      <c r="AD29" s="21" t="s">
        <v>91</v>
      </c>
      <c r="AE29" s="21" t="s">
        <v>49</v>
      </c>
      <c r="AG29" s="21" t="s">
        <v>50</v>
      </c>
      <c r="AH29" s="21" t="s">
        <v>59</v>
      </c>
    </row>
    <row r="30" ht="16.5" customHeight="1">
      <c r="A30" s="19" t="s">
        <v>31</v>
      </c>
      <c r="B30" s="19" t="s">
        <v>64</v>
      </c>
      <c r="E30" s="20" t="s">
        <v>33</v>
      </c>
      <c r="G30" s="21" t="s">
        <v>52</v>
      </c>
      <c r="J30" s="20" t="s">
        <v>35</v>
      </c>
      <c r="K30" s="21" t="s">
        <v>65</v>
      </c>
      <c r="L30" s="21" t="s">
        <v>66</v>
      </c>
      <c r="N30" s="21" t="s">
        <v>104</v>
      </c>
      <c r="P30" s="21" t="s">
        <v>105</v>
      </c>
      <c r="S30" s="20" t="s">
        <v>39</v>
      </c>
      <c r="T30" s="21" t="s">
        <v>50</v>
      </c>
      <c r="V30" s="21" t="s">
        <v>69</v>
      </c>
      <c r="W30" s="21" t="s">
        <v>106</v>
      </c>
      <c r="X30" s="21" t="s">
        <v>107</v>
      </c>
      <c r="Y30" s="21" t="s">
        <v>72</v>
      </c>
      <c r="AA30" s="21" t="s">
        <v>45</v>
      </c>
      <c r="AB30" s="21" t="s">
        <v>73</v>
      </c>
      <c r="AC30" s="21" t="s">
        <v>74</v>
      </c>
      <c r="AD30" s="21" t="s">
        <v>75</v>
      </c>
      <c r="AE30" s="21" t="s">
        <v>49</v>
      </c>
      <c r="AG30" s="21" t="s">
        <v>50</v>
      </c>
      <c r="AH30" s="21" t="s">
        <v>59</v>
      </c>
    </row>
    <row r="31" ht="16.5" customHeight="1">
      <c r="A31" s="19" t="s">
        <v>31</v>
      </c>
      <c r="B31" s="19" t="s">
        <v>64</v>
      </c>
      <c r="E31" s="20" t="s">
        <v>33</v>
      </c>
      <c r="G31" s="21" t="s">
        <v>52</v>
      </c>
      <c r="J31" s="20" t="s">
        <v>35</v>
      </c>
      <c r="K31" s="21" t="s">
        <v>108</v>
      </c>
      <c r="L31" s="21" t="s">
        <v>77</v>
      </c>
      <c r="N31" s="21" t="s">
        <v>109</v>
      </c>
      <c r="P31" s="21" t="s">
        <v>110</v>
      </c>
      <c r="S31" s="20" t="s">
        <v>39</v>
      </c>
      <c r="T31" s="21" t="s">
        <v>50</v>
      </c>
      <c r="V31" s="21" t="s">
        <v>41</v>
      </c>
      <c r="W31" s="21" t="s">
        <v>111</v>
      </c>
      <c r="X31" s="21" t="s">
        <v>112</v>
      </c>
      <c r="Y31" s="21" t="s">
        <v>72</v>
      </c>
      <c r="AA31" s="21" t="s">
        <v>45</v>
      </c>
      <c r="AB31" s="21" t="s">
        <v>73</v>
      </c>
      <c r="AC31" s="21" t="s">
        <v>74</v>
      </c>
      <c r="AD31" s="21" t="s">
        <v>82</v>
      </c>
      <c r="AE31" s="21" t="s">
        <v>49</v>
      </c>
      <c r="AG31" s="21" t="s">
        <v>50</v>
      </c>
      <c r="AH31" s="21" t="s">
        <v>59</v>
      </c>
    </row>
    <row r="32" ht="16.5" customHeight="1">
      <c r="A32" s="19" t="s">
        <v>31</v>
      </c>
      <c r="B32" s="19" t="s">
        <v>64</v>
      </c>
      <c r="E32" s="20" t="s">
        <v>33</v>
      </c>
      <c r="G32" s="21" t="s">
        <v>52</v>
      </c>
      <c r="J32" s="20" t="s">
        <v>35</v>
      </c>
      <c r="K32" s="21" t="s">
        <v>76</v>
      </c>
      <c r="L32" s="21" t="s">
        <v>77</v>
      </c>
      <c r="N32" s="21" t="s">
        <v>113</v>
      </c>
      <c r="P32" s="21" t="s">
        <v>114</v>
      </c>
      <c r="S32" s="20" t="s">
        <v>39</v>
      </c>
      <c r="T32" s="21" t="s">
        <v>50</v>
      </c>
      <c r="V32" s="21" t="s">
        <v>69</v>
      </c>
      <c r="W32" s="21" t="s">
        <v>115</v>
      </c>
      <c r="X32" s="21" t="s">
        <v>112</v>
      </c>
      <c r="Y32" s="21" t="s">
        <v>72</v>
      </c>
      <c r="AA32" s="21" t="s">
        <v>45</v>
      </c>
      <c r="AB32" s="21" t="s">
        <v>73</v>
      </c>
      <c r="AC32" s="21" t="s">
        <v>74</v>
      </c>
      <c r="AD32" s="21" t="s">
        <v>82</v>
      </c>
      <c r="AE32" s="21" t="s">
        <v>49</v>
      </c>
      <c r="AG32" s="21" t="s">
        <v>50</v>
      </c>
      <c r="AH32" s="21" t="s">
        <v>59</v>
      </c>
    </row>
    <row r="33" ht="16.5" customHeight="1">
      <c r="A33" s="19" t="s">
        <v>31</v>
      </c>
      <c r="B33" s="19" t="s">
        <v>64</v>
      </c>
      <c r="E33" s="20" t="s">
        <v>33</v>
      </c>
      <c r="G33" s="21" t="s">
        <v>52</v>
      </c>
      <c r="J33" s="20" t="s">
        <v>35</v>
      </c>
      <c r="K33" s="21" t="s">
        <v>93</v>
      </c>
      <c r="L33" s="21" t="s">
        <v>77</v>
      </c>
      <c r="N33" s="21" t="s">
        <v>116</v>
      </c>
      <c r="P33" s="21" t="s">
        <v>117</v>
      </c>
      <c r="S33" s="20" t="s">
        <v>39</v>
      </c>
      <c r="T33" s="21" t="s">
        <v>50</v>
      </c>
      <c r="V33" s="21" t="s">
        <v>69</v>
      </c>
      <c r="W33" s="21" t="s">
        <v>118</v>
      </c>
      <c r="X33" s="21" t="s">
        <v>119</v>
      </c>
      <c r="Y33" s="21" t="s">
        <v>72</v>
      </c>
      <c r="AA33" s="21" t="s">
        <v>45</v>
      </c>
      <c r="AB33" s="21" t="s">
        <v>73</v>
      </c>
      <c r="AC33" s="21" t="s">
        <v>74</v>
      </c>
      <c r="AD33" s="21" t="s">
        <v>82</v>
      </c>
      <c r="AE33" s="21" t="s">
        <v>49</v>
      </c>
      <c r="AG33" s="21" t="s">
        <v>50</v>
      </c>
      <c r="AH33" s="21" t="s">
        <v>59</v>
      </c>
    </row>
    <row r="34" ht="16.5" customHeight="1">
      <c r="A34" s="19" t="s">
        <v>31</v>
      </c>
      <c r="B34" s="19" t="s">
        <v>64</v>
      </c>
      <c r="E34" s="20" t="s">
        <v>33</v>
      </c>
      <c r="G34" s="21" t="s">
        <v>52</v>
      </c>
      <c r="J34" s="20" t="s">
        <v>35</v>
      </c>
      <c r="K34" s="21" t="s">
        <v>120</v>
      </c>
      <c r="L34" s="21" t="s">
        <v>77</v>
      </c>
      <c r="N34" s="21" t="s">
        <v>121</v>
      </c>
      <c r="P34" s="21" t="s">
        <v>122</v>
      </c>
      <c r="S34" s="20" t="s">
        <v>39</v>
      </c>
      <c r="T34" s="21" t="s">
        <v>50</v>
      </c>
      <c r="V34" s="21" t="s">
        <v>69</v>
      </c>
      <c r="W34" s="21" t="s">
        <v>56</v>
      </c>
      <c r="X34" s="21" t="s">
        <v>103</v>
      </c>
      <c r="Y34" s="21" t="s">
        <v>72</v>
      </c>
      <c r="AA34" s="21" t="s">
        <v>45</v>
      </c>
      <c r="AB34" s="21" t="s">
        <v>73</v>
      </c>
      <c r="AC34" s="21" t="s">
        <v>74</v>
      </c>
      <c r="AD34" s="21" t="s">
        <v>82</v>
      </c>
      <c r="AE34" s="21" t="s">
        <v>49</v>
      </c>
      <c r="AG34" s="21" t="s">
        <v>50</v>
      </c>
      <c r="AH34" s="21" t="s">
        <v>59</v>
      </c>
    </row>
    <row r="35" ht="16.5" customHeight="1">
      <c r="A35" s="19" t="s">
        <v>31</v>
      </c>
      <c r="B35" s="19" t="s">
        <v>64</v>
      </c>
      <c r="E35" s="20" t="s">
        <v>33</v>
      </c>
      <c r="G35" s="21" t="s">
        <v>52</v>
      </c>
      <c r="J35" s="20" t="s">
        <v>35</v>
      </c>
      <c r="K35" s="21" t="s">
        <v>93</v>
      </c>
      <c r="L35" s="21" t="s">
        <v>88</v>
      </c>
      <c r="N35" s="21" t="s">
        <v>123</v>
      </c>
      <c r="P35" s="21" t="s">
        <v>124</v>
      </c>
      <c r="S35" s="20" t="s">
        <v>39</v>
      </c>
      <c r="T35" s="21" t="s">
        <v>50</v>
      </c>
      <c r="V35" s="21" t="s">
        <v>69</v>
      </c>
      <c r="W35" s="21" t="s">
        <v>125</v>
      </c>
      <c r="X35" s="21" t="s">
        <v>126</v>
      </c>
      <c r="Y35" s="21" t="s">
        <v>72</v>
      </c>
      <c r="AA35" s="21" t="s">
        <v>45</v>
      </c>
      <c r="AB35" s="21" t="s">
        <v>73</v>
      </c>
      <c r="AC35" s="21" t="s">
        <v>74</v>
      </c>
      <c r="AD35" s="21" t="s">
        <v>91</v>
      </c>
      <c r="AE35" s="21" t="s">
        <v>49</v>
      </c>
      <c r="AG35" s="21" t="s">
        <v>50</v>
      </c>
      <c r="AH35" s="21" t="s">
        <v>59</v>
      </c>
    </row>
    <row r="36" ht="16.5" customHeight="1">
      <c r="A36" s="19" t="s">
        <v>31</v>
      </c>
      <c r="B36" s="19" t="s">
        <v>64</v>
      </c>
      <c r="E36" s="20" t="s">
        <v>33</v>
      </c>
      <c r="G36" s="21" t="s">
        <v>52</v>
      </c>
      <c r="J36" s="20" t="s">
        <v>35</v>
      </c>
      <c r="K36" s="21" t="s">
        <v>76</v>
      </c>
      <c r="L36" s="21" t="s">
        <v>77</v>
      </c>
      <c r="N36" s="21" t="s">
        <v>127</v>
      </c>
      <c r="P36" s="21" t="s">
        <v>128</v>
      </c>
      <c r="S36" s="20" t="s">
        <v>39</v>
      </c>
      <c r="T36" s="21" t="s">
        <v>50</v>
      </c>
      <c r="V36" s="21" t="s">
        <v>69</v>
      </c>
      <c r="W36" s="21" t="s">
        <v>80</v>
      </c>
      <c r="X36" s="21" t="s">
        <v>81</v>
      </c>
      <c r="Y36" s="21" t="s">
        <v>72</v>
      </c>
      <c r="AA36" s="21" t="s">
        <v>45</v>
      </c>
      <c r="AB36" s="21" t="s">
        <v>73</v>
      </c>
      <c r="AC36" s="21" t="s">
        <v>74</v>
      </c>
      <c r="AD36" s="21" t="s">
        <v>82</v>
      </c>
      <c r="AE36" s="21" t="s">
        <v>49</v>
      </c>
      <c r="AG36" s="21" t="s">
        <v>50</v>
      </c>
      <c r="AH36" s="21" t="s">
        <v>59</v>
      </c>
    </row>
    <row r="37" ht="16.5" customHeight="1">
      <c r="A37" s="19" t="s">
        <v>31</v>
      </c>
      <c r="B37" s="19" t="s">
        <v>64</v>
      </c>
      <c r="E37" s="20" t="s">
        <v>33</v>
      </c>
      <c r="G37" s="21" t="s">
        <v>52</v>
      </c>
      <c r="J37" s="20" t="s">
        <v>35</v>
      </c>
      <c r="K37" s="21" t="s">
        <v>76</v>
      </c>
      <c r="L37" s="21" t="s">
        <v>66</v>
      </c>
      <c r="N37" s="21" t="s">
        <v>129</v>
      </c>
      <c r="P37" s="21" t="s">
        <v>130</v>
      </c>
      <c r="S37" s="20" t="s">
        <v>39</v>
      </c>
      <c r="T37" s="21" t="s">
        <v>50</v>
      </c>
      <c r="V37" s="21" t="s">
        <v>69</v>
      </c>
      <c r="W37" s="21" t="s">
        <v>80</v>
      </c>
      <c r="X37" s="21" t="s">
        <v>81</v>
      </c>
      <c r="Y37" s="21" t="s">
        <v>72</v>
      </c>
      <c r="AA37" s="21" t="s">
        <v>45</v>
      </c>
      <c r="AB37" s="21" t="s">
        <v>73</v>
      </c>
      <c r="AC37" s="21" t="s">
        <v>74</v>
      </c>
      <c r="AD37" s="21" t="s">
        <v>75</v>
      </c>
      <c r="AE37" s="21" t="s">
        <v>49</v>
      </c>
      <c r="AG37" s="21" t="s">
        <v>50</v>
      </c>
      <c r="AH37" s="21" t="s">
        <v>59</v>
      </c>
    </row>
    <row r="38" ht="16.5" customHeight="1">
      <c r="A38" s="19" t="s">
        <v>31</v>
      </c>
      <c r="B38" s="19" t="s">
        <v>64</v>
      </c>
      <c r="E38" s="20" t="s">
        <v>33</v>
      </c>
      <c r="G38" s="21" t="s">
        <v>52</v>
      </c>
      <c r="J38" s="20" t="s">
        <v>35</v>
      </c>
      <c r="K38" s="21" t="s">
        <v>87</v>
      </c>
      <c r="L38" s="21" t="s">
        <v>88</v>
      </c>
      <c r="N38" s="21" t="s">
        <v>131</v>
      </c>
      <c r="P38" s="21" t="s">
        <v>132</v>
      </c>
      <c r="S38" s="20" t="s">
        <v>39</v>
      </c>
      <c r="T38" s="21" t="s">
        <v>50</v>
      </c>
      <c r="V38" s="21" t="s">
        <v>69</v>
      </c>
      <c r="W38" s="21" t="s">
        <v>133</v>
      </c>
      <c r="X38" s="21" t="s">
        <v>134</v>
      </c>
      <c r="Y38" s="21" t="s">
        <v>72</v>
      </c>
      <c r="AA38" s="21" t="s">
        <v>45</v>
      </c>
      <c r="AB38" s="21" t="s">
        <v>73</v>
      </c>
      <c r="AC38" s="21" t="s">
        <v>74</v>
      </c>
      <c r="AD38" s="21" t="s">
        <v>91</v>
      </c>
      <c r="AE38" s="21" t="s">
        <v>49</v>
      </c>
      <c r="AG38" s="21" t="s">
        <v>50</v>
      </c>
      <c r="AH38" s="21" t="s">
        <v>59</v>
      </c>
    </row>
    <row r="39" ht="16.5" customHeight="1">
      <c r="A39" s="19" t="s">
        <v>31</v>
      </c>
      <c r="B39" s="19" t="s">
        <v>64</v>
      </c>
      <c r="E39" s="20" t="s">
        <v>33</v>
      </c>
      <c r="G39" s="21" t="s">
        <v>52</v>
      </c>
      <c r="J39" s="20" t="s">
        <v>35</v>
      </c>
      <c r="K39" s="21" t="s">
        <v>87</v>
      </c>
      <c r="L39" s="21" t="s">
        <v>88</v>
      </c>
      <c r="N39" s="21" t="s">
        <v>135</v>
      </c>
      <c r="P39" s="21" t="s">
        <v>136</v>
      </c>
      <c r="S39" s="20" t="s">
        <v>39</v>
      </c>
      <c r="T39" s="21" t="s">
        <v>50</v>
      </c>
      <c r="V39" s="21" t="s">
        <v>69</v>
      </c>
      <c r="W39" s="21" t="s">
        <v>133</v>
      </c>
      <c r="X39" s="21" t="s">
        <v>134</v>
      </c>
      <c r="Y39" s="21" t="s">
        <v>72</v>
      </c>
      <c r="AA39" s="21" t="s">
        <v>45</v>
      </c>
      <c r="AB39" s="21" t="s">
        <v>73</v>
      </c>
      <c r="AC39" s="21" t="s">
        <v>74</v>
      </c>
      <c r="AD39" s="21" t="s">
        <v>91</v>
      </c>
      <c r="AE39" s="21" t="s">
        <v>49</v>
      </c>
      <c r="AG39" s="21" t="s">
        <v>50</v>
      </c>
      <c r="AH39" s="21" t="s">
        <v>59</v>
      </c>
    </row>
    <row r="40" ht="16.5" customHeight="1">
      <c r="A40" s="19" t="s">
        <v>31</v>
      </c>
      <c r="B40" s="19" t="s">
        <v>64</v>
      </c>
      <c r="E40" s="20" t="s">
        <v>33</v>
      </c>
      <c r="G40" s="21" t="s">
        <v>52</v>
      </c>
      <c r="J40" s="20" t="s">
        <v>35</v>
      </c>
      <c r="K40" s="21" t="s">
        <v>93</v>
      </c>
      <c r="L40" s="21" t="s">
        <v>88</v>
      </c>
      <c r="N40" s="21" t="s">
        <v>137</v>
      </c>
      <c r="P40" s="21" t="s">
        <v>138</v>
      </c>
      <c r="S40" s="20" t="s">
        <v>39</v>
      </c>
      <c r="T40" s="21" t="s">
        <v>50</v>
      </c>
      <c r="V40" s="21" t="s">
        <v>69</v>
      </c>
      <c r="W40" s="21" t="s">
        <v>139</v>
      </c>
      <c r="X40" s="21" t="s">
        <v>140</v>
      </c>
      <c r="Y40" s="21" t="s">
        <v>72</v>
      </c>
      <c r="AA40" s="21" t="s">
        <v>45</v>
      </c>
      <c r="AB40" s="21" t="s">
        <v>73</v>
      </c>
      <c r="AC40" s="21" t="s">
        <v>74</v>
      </c>
      <c r="AD40" s="21" t="s">
        <v>91</v>
      </c>
      <c r="AE40" s="21" t="s">
        <v>49</v>
      </c>
      <c r="AG40" s="21" t="s">
        <v>50</v>
      </c>
      <c r="AH40" s="21" t="s">
        <v>59</v>
      </c>
    </row>
    <row r="41" ht="16.5" customHeight="1">
      <c r="A41" s="19" t="s">
        <v>31</v>
      </c>
      <c r="B41" s="19" t="s">
        <v>64</v>
      </c>
      <c r="E41" s="20" t="s">
        <v>33</v>
      </c>
      <c r="G41" s="21" t="s">
        <v>52</v>
      </c>
      <c r="J41" s="20" t="s">
        <v>35</v>
      </c>
      <c r="K41" s="21" t="s">
        <v>76</v>
      </c>
      <c r="L41" s="21" t="s">
        <v>88</v>
      </c>
      <c r="N41" s="21" t="s">
        <v>141</v>
      </c>
      <c r="P41" s="21" t="s">
        <v>142</v>
      </c>
      <c r="S41" s="20" t="s">
        <v>39</v>
      </c>
      <c r="T41" s="21" t="s">
        <v>50</v>
      </c>
      <c r="V41" s="21" t="s">
        <v>69</v>
      </c>
      <c r="W41" s="21" t="s">
        <v>143</v>
      </c>
      <c r="X41" s="21" t="s">
        <v>144</v>
      </c>
      <c r="Y41" s="21" t="s">
        <v>72</v>
      </c>
      <c r="AA41" s="21" t="s">
        <v>45</v>
      </c>
      <c r="AB41" s="21" t="s">
        <v>73</v>
      </c>
      <c r="AC41" s="21" t="s">
        <v>74</v>
      </c>
      <c r="AD41" s="21" t="s">
        <v>91</v>
      </c>
      <c r="AE41" s="21" t="s">
        <v>49</v>
      </c>
      <c r="AG41" s="21" t="s">
        <v>50</v>
      </c>
      <c r="AH41" s="21" t="s">
        <v>59</v>
      </c>
    </row>
    <row r="42" ht="16.5" customHeight="1">
      <c r="A42" s="19" t="s">
        <v>31</v>
      </c>
      <c r="B42" s="19" t="s">
        <v>64</v>
      </c>
      <c r="E42" s="20" t="s">
        <v>33</v>
      </c>
      <c r="G42" s="21" t="s">
        <v>52</v>
      </c>
      <c r="J42" s="20" t="s">
        <v>35</v>
      </c>
      <c r="K42" s="21" t="s">
        <v>87</v>
      </c>
      <c r="L42" s="21" t="s">
        <v>88</v>
      </c>
      <c r="N42" s="21" t="s">
        <v>145</v>
      </c>
      <c r="P42" s="21" t="s">
        <v>146</v>
      </c>
      <c r="S42" s="20" t="s">
        <v>39</v>
      </c>
      <c r="T42" s="21" t="s">
        <v>50</v>
      </c>
      <c r="V42" s="21" t="s">
        <v>69</v>
      </c>
      <c r="W42" s="21" t="s">
        <v>147</v>
      </c>
      <c r="X42" s="21" t="s">
        <v>148</v>
      </c>
      <c r="Y42" s="21" t="s">
        <v>72</v>
      </c>
      <c r="AA42" s="21" t="s">
        <v>45</v>
      </c>
      <c r="AB42" s="21" t="s">
        <v>73</v>
      </c>
      <c r="AC42" s="21" t="s">
        <v>74</v>
      </c>
      <c r="AD42" s="21" t="s">
        <v>91</v>
      </c>
      <c r="AE42" s="21" t="s">
        <v>49</v>
      </c>
      <c r="AG42" s="21" t="s">
        <v>50</v>
      </c>
      <c r="AH42" s="21" t="s">
        <v>59</v>
      </c>
    </row>
    <row r="43" ht="16.5" customHeight="1">
      <c r="A43" s="19" t="s">
        <v>31</v>
      </c>
      <c r="B43" s="19" t="s">
        <v>64</v>
      </c>
      <c r="E43" s="20" t="s">
        <v>33</v>
      </c>
      <c r="G43" s="21" t="s">
        <v>52</v>
      </c>
      <c r="J43" s="20" t="s">
        <v>35</v>
      </c>
      <c r="K43" s="21" t="s">
        <v>87</v>
      </c>
      <c r="L43" s="21" t="s">
        <v>88</v>
      </c>
      <c r="N43" s="21" t="s">
        <v>145</v>
      </c>
      <c r="P43" s="21" t="s">
        <v>146</v>
      </c>
      <c r="S43" s="20" t="s">
        <v>39</v>
      </c>
      <c r="T43" s="21" t="s">
        <v>50</v>
      </c>
      <c r="V43" s="21" t="s">
        <v>41</v>
      </c>
      <c r="W43" s="21" t="s">
        <v>147</v>
      </c>
      <c r="X43" s="21" t="s">
        <v>149</v>
      </c>
      <c r="Y43" s="21" t="s">
        <v>72</v>
      </c>
      <c r="AA43" s="21" t="s">
        <v>45</v>
      </c>
      <c r="AB43" s="21" t="s">
        <v>73</v>
      </c>
      <c r="AC43" s="21" t="s">
        <v>74</v>
      </c>
      <c r="AD43" s="21" t="s">
        <v>91</v>
      </c>
      <c r="AE43" s="21" t="s">
        <v>49</v>
      </c>
      <c r="AG43" s="21" t="s">
        <v>50</v>
      </c>
      <c r="AH43" s="21" t="s">
        <v>59</v>
      </c>
    </row>
    <row r="44" ht="16.5" customHeight="1">
      <c r="A44" s="19" t="s">
        <v>31</v>
      </c>
      <c r="B44" s="19" t="s">
        <v>64</v>
      </c>
      <c r="E44" s="20" t="s">
        <v>33</v>
      </c>
      <c r="G44" s="21" t="s">
        <v>52</v>
      </c>
      <c r="J44" s="20" t="s">
        <v>35</v>
      </c>
      <c r="K44" s="21" t="s">
        <v>87</v>
      </c>
      <c r="L44" s="21" t="s">
        <v>88</v>
      </c>
      <c r="N44" s="21" t="s">
        <v>145</v>
      </c>
      <c r="P44" s="21" t="s">
        <v>146</v>
      </c>
      <c r="S44" s="20" t="s">
        <v>39</v>
      </c>
      <c r="T44" s="21" t="s">
        <v>50</v>
      </c>
      <c r="V44" s="21" t="s">
        <v>150</v>
      </c>
      <c r="W44" s="21" t="s">
        <v>147</v>
      </c>
      <c r="X44" s="21" t="s">
        <v>151</v>
      </c>
      <c r="Y44" s="21" t="s">
        <v>72</v>
      </c>
      <c r="AA44" s="21" t="s">
        <v>45</v>
      </c>
      <c r="AB44" s="21" t="s">
        <v>73</v>
      </c>
      <c r="AC44" s="21" t="s">
        <v>74</v>
      </c>
      <c r="AD44" s="21" t="s">
        <v>91</v>
      </c>
      <c r="AE44" s="21" t="s">
        <v>49</v>
      </c>
      <c r="AG44" s="21" t="s">
        <v>50</v>
      </c>
      <c r="AH44" s="21" t="s">
        <v>59</v>
      </c>
    </row>
    <row r="45" ht="16.5" customHeight="1">
      <c r="A45" s="19" t="s">
        <v>31</v>
      </c>
      <c r="B45" s="19" t="s">
        <v>64</v>
      </c>
      <c r="E45" s="20" t="s">
        <v>33</v>
      </c>
      <c r="G45" s="21" t="s">
        <v>52</v>
      </c>
      <c r="J45" s="20" t="s">
        <v>35</v>
      </c>
      <c r="K45" s="21" t="s">
        <v>76</v>
      </c>
      <c r="L45" s="21" t="s">
        <v>88</v>
      </c>
      <c r="N45" s="21" t="s">
        <v>152</v>
      </c>
      <c r="P45" s="21" t="s">
        <v>153</v>
      </c>
      <c r="S45" s="20" t="s">
        <v>39</v>
      </c>
      <c r="T45" s="21" t="s">
        <v>50</v>
      </c>
      <c r="V45" s="21" t="s">
        <v>69</v>
      </c>
      <c r="W45" s="21" t="s">
        <v>154</v>
      </c>
      <c r="X45" s="21" t="s">
        <v>151</v>
      </c>
      <c r="Y45" s="21" t="s">
        <v>72</v>
      </c>
      <c r="AA45" s="21" t="s">
        <v>45</v>
      </c>
      <c r="AB45" s="21" t="s">
        <v>73</v>
      </c>
      <c r="AC45" s="21" t="s">
        <v>74</v>
      </c>
      <c r="AD45" s="21" t="s">
        <v>91</v>
      </c>
      <c r="AE45" s="21" t="s">
        <v>49</v>
      </c>
      <c r="AG45" s="21" t="s">
        <v>50</v>
      </c>
      <c r="AH45" s="21" t="s">
        <v>59</v>
      </c>
    </row>
    <row r="46" ht="16.5" customHeight="1">
      <c r="A46" s="19" t="s">
        <v>31</v>
      </c>
      <c r="B46" s="19" t="s">
        <v>64</v>
      </c>
      <c r="E46" s="20" t="s">
        <v>33</v>
      </c>
      <c r="G46" s="21" t="s">
        <v>52</v>
      </c>
      <c r="J46" s="20" t="s">
        <v>35</v>
      </c>
      <c r="K46" s="21" t="s">
        <v>76</v>
      </c>
      <c r="L46" s="21" t="s">
        <v>88</v>
      </c>
      <c r="N46" s="21" t="s">
        <v>155</v>
      </c>
      <c r="P46" s="21" t="s">
        <v>156</v>
      </c>
      <c r="S46" s="20" t="s">
        <v>39</v>
      </c>
      <c r="T46" s="21" t="s">
        <v>50</v>
      </c>
      <c r="V46" s="21" t="s">
        <v>69</v>
      </c>
      <c r="W46" s="21" t="s">
        <v>154</v>
      </c>
      <c r="X46" s="21" t="s">
        <v>151</v>
      </c>
      <c r="Y46" s="21" t="s">
        <v>72</v>
      </c>
      <c r="AA46" s="21" t="s">
        <v>45</v>
      </c>
      <c r="AB46" s="21" t="s">
        <v>73</v>
      </c>
      <c r="AC46" s="21" t="s">
        <v>74</v>
      </c>
      <c r="AD46" s="21" t="s">
        <v>91</v>
      </c>
      <c r="AE46" s="21" t="s">
        <v>49</v>
      </c>
      <c r="AG46" s="21" t="s">
        <v>50</v>
      </c>
      <c r="AH46" s="21" t="s">
        <v>59</v>
      </c>
    </row>
    <row r="47" ht="16.5" customHeight="1">
      <c r="A47" s="19" t="s">
        <v>31</v>
      </c>
      <c r="B47" s="19" t="s">
        <v>64</v>
      </c>
      <c r="E47" s="20" t="s">
        <v>33</v>
      </c>
      <c r="G47" s="21" t="s">
        <v>52</v>
      </c>
      <c r="J47" s="20" t="s">
        <v>35</v>
      </c>
      <c r="K47" s="21" t="s">
        <v>98</v>
      </c>
      <c r="L47" s="21" t="s">
        <v>157</v>
      </c>
      <c r="N47" s="21" t="s">
        <v>158</v>
      </c>
      <c r="P47" s="21" t="s">
        <v>159</v>
      </c>
      <c r="S47" s="20" t="s">
        <v>39</v>
      </c>
      <c r="T47" s="21" t="s">
        <v>50</v>
      </c>
      <c r="V47" s="21" t="s">
        <v>69</v>
      </c>
      <c r="W47" s="21" t="s">
        <v>160</v>
      </c>
      <c r="X47" s="21" t="s">
        <v>161</v>
      </c>
      <c r="Y47" s="21" t="s">
        <v>72</v>
      </c>
      <c r="AA47" s="21" t="s">
        <v>45</v>
      </c>
      <c r="AB47" s="21" t="s">
        <v>73</v>
      </c>
      <c r="AC47" s="21" t="s">
        <v>74</v>
      </c>
      <c r="AD47" s="21" t="s">
        <v>162</v>
      </c>
      <c r="AE47" s="21" t="s">
        <v>49</v>
      </c>
      <c r="AG47" s="21" t="s">
        <v>50</v>
      </c>
      <c r="AH47" s="21" t="s">
        <v>59</v>
      </c>
    </row>
    <row r="48" ht="16.5" customHeight="1">
      <c r="A48" s="19" t="s">
        <v>31</v>
      </c>
      <c r="B48" s="19" t="s">
        <v>64</v>
      </c>
      <c r="E48" s="20" t="s">
        <v>33</v>
      </c>
      <c r="G48" s="21" t="s">
        <v>52</v>
      </c>
      <c r="J48" s="20" t="s">
        <v>35</v>
      </c>
      <c r="K48" s="21" t="s">
        <v>93</v>
      </c>
      <c r="L48" s="21" t="s">
        <v>77</v>
      </c>
      <c r="N48" s="21" t="s">
        <v>163</v>
      </c>
      <c r="P48" s="21" t="s">
        <v>164</v>
      </c>
      <c r="S48" s="20" t="s">
        <v>39</v>
      </c>
      <c r="T48" s="21" t="s">
        <v>50</v>
      </c>
      <c r="V48" s="21" t="s">
        <v>69</v>
      </c>
      <c r="W48" s="21" t="s">
        <v>125</v>
      </c>
      <c r="X48" s="21" t="s">
        <v>126</v>
      </c>
      <c r="Y48" s="21" t="s">
        <v>72</v>
      </c>
      <c r="AA48" s="21" t="s">
        <v>45</v>
      </c>
      <c r="AB48" s="21" t="s">
        <v>73</v>
      </c>
      <c r="AC48" s="21" t="s">
        <v>74</v>
      </c>
      <c r="AD48" s="21" t="s">
        <v>82</v>
      </c>
      <c r="AE48" s="21" t="s">
        <v>49</v>
      </c>
      <c r="AG48" s="21" t="s">
        <v>50</v>
      </c>
      <c r="AH48" s="21" t="s">
        <v>59</v>
      </c>
    </row>
    <row r="49" ht="16.5" customHeight="1">
      <c r="A49" s="19" t="s">
        <v>31</v>
      </c>
      <c r="B49" s="19" t="s">
        <v>64</v>
      </c>
      <c r="E49" s="20" t="s">
        <v>33</v>
      </c>
      <c r="G49" s="21" t="s">
        <v>52</v>
      </c>
      <c r="J49" s="20" t="s">
        <v>35</v>
      </c>
      <c r="K49" s="21" t="s">
        <v>165</v>
      </c>
      <c r="L49" s="21" t="s">
        <v>88</v>
      </c>
      <c r="N49" s="21" t="s">
        <v>166</v>
      </c>
      <c r="P49" s="21" t="s">
        <v>167</v>
      </c>
      <c r="S49" s="20" t="s">
        <v>39</v>
      </c>
      <c r="T49" s="21" t="s">
        <v>50</v>
      </c>
      <c r="V49" s="21" t="s">
        <v>69</v>
      </c>
      <c r="W49" s="21" t="s">
        <v>168</v>
      </c>
      <c r="X49" s="21" t="s">
        <v>169</v>
      </c>
      <c r="Y49" s="21" t="s">
        <v>170</v>
      </c>
      <c r="AA49" s="21" t="s">
        <v>45</v>
      </c>
      <c r="AB49" s="21" t="s">
        <v>73</v>
      </c>
      <c r="AC49" s="21" t="s">
        <v>171</v>
      </c>
      <c r="AD49" s="21" t="s">
        <v>172</v>
      </c>
      <c r="AE49" s="21" t="s">
        <v>49</v>
      </c>
      <c r="AG49" s="21" t="s">
        <v>50</v>
      </c>
      <c r="AH49" s="21" t="s">
        <v>59</v>
      </c>
    </row>
    <row r="50" ht="16.5" customHeight="1">
      <c r="A50" s="19" t="s">
        <v>31</v>
      </c>
      <c r="B50" s="19" t="s">
        <v>64</v>
      </c>
      <c r="E50" s="20" t="s">
        <v>33</v>
      </c>
      <c r="G50" s="21" t="s">
        <v>52</v>
      </c>
      <c r="J50" s="20" t="s">
        <v>35</v>
      </c>
      <c r="K50" s="21" t="s">
        <v>173</v>
      </c>
      <c r="L50" s="21" t="s">
        <v>88</v>
      </c>
      <c r="N50" s="21" t="s">
        <v>174</v>
      </c>
      <c r="P50" s="21" t="s">
        <v>175</v>
      </c>
      <c r="S50" s="20" t="s">
        <v>39</v>
      </c>
      <c r="T50" s="21" t="s">
        <v>50</v>
      </c>
      <c r="V50" s="21" t="s">
        <v>69</v>
      </c>
      <c r="W50" s="21" t="s">
        <v>176</v>
      </c>
      <c r="X50" s="21" t="s">
        <v>177</v>
      </c>
      <c r="Y50" s="21" t="s">
        <v>170</v>
      </c>
      <c r="AA50" s="21" t="s">
        <v>45</v>
      </c>
      <c r="AB50" s="21" t="s">
        <v>73</v>
      </c>
      <c r="AC50" s="21" t="s">
        <v>171</v>
      </c>
      <c r="AD50" s="21" t="s">
        <v>172</v>
      </c>
      <c r="AE50" s="21" t="s">
        <v>49</v>
      </c>
      <c r="AG50" s="21" t="s">
        <v>50</v>
      </c>
      <c r="AH50" s="21" t="s">
        <v>59</v>
      </c>
    </row>
    <row r="51" ht="16.5" customHeight="1">
      <c r="A51" s="19" t="s">
        <v>31</v>
      </c>
      <c r="B51" s="19" t="s">
        <v>64</v>
      </c>
      <c r="E51" s="20" t="s">
        <v>33</v>
      </c>
      <c r="G51" s="21" t="s">
        <v>52</v>
      </c>
      <c r="J51" s="20" t="s">
        <v>35</v>
      </c>
      <c r="K51" s="21" t="s">
        <v>93</v>
      </c>
      <c r="L51" s="21" t="s">
        <v>88</v>
      </c>
      <c r="N51" s="21" t="s">
        <v>178</v>
      </c>
      <c r="P51" s="21" t="s">
        <v>179</v>
      </c>
      <c r="S51" s="20" t="s">
        <v>39</v>
      </c>
      <c r="T51" s="21" t="s">
        <v>50</v>
      </c>
      <c r="V51" s="21" t="s">
        <v>69</v>
      </c>
      <c r="W51" s="21" t="s">
        <v>56</v>
      </c>
      <c r="X51" s="21" t="s">
        <v>103</v>
      </c>
      <c r="Y51" s="21" t="s">
        <v>72</v>
      </c>
      <c r="AA51" s="21" t="s">
        <v>45</v>
      </c>
      <c r="AB51" s="21" t="s">
        <v>73</v>
      </c>
      <c r="AC51" s="21" t="s">
        <v>74</v>
      </c>
      <c r="AD51" s="21" t="s">
        <v>91</v>
      </c>
      <c r="AE51" s="21" t="s">
        <v>49</v>
      </c>
      <c r="AG51" s="21" t="s">
        <v>50</v>
      </c>
      <c r="AH51" s="21" t="s">
        <v>59</v>
      </c>
    </row>
    <row r="52" ht="16.5" customHeight="1">
      <c r="A52" s="19" t="s">
        <v>31</v>
      </c>
      <c r="B52" s="19" t="s">
        <v>64</v>
      </c>
      <c r="E52" s="20" t="s">
        <v>33</v>
      </c>
      <c r="G52" s="21" t="s">
        <v>52</v>
      </c>
      <c r="J52" s="20" t="s">
        <v>35</v>
      </c>
      <c r="K52" s="21" t="s">
        <v>180</v>
      </c>
      <c r="L52" s="21" t="s">
        <v>66</v>
      </c>
      <c r="N52" s="21" t="s">
        <v>181</v>
      </c>
      <c r="P52" s="21" t="s">
        <v>182</v>
      </c>
      <c r="S52" s="20" t="s">
        <v>39</v>
      </c>
      <c r="T52" s="21" t="s">
        <v>50</v>
      </c>
      <c r="V52" s="21" t="s">
        <v>69</v>
      </c>
      <c r="W52" s="21" t="s">
        <v>56</v>
      </c>
      <c r="X52" s="21" t="s">
        <v>103</v>
      </c>
      <c r="Y52" s="21" t="s">
        <v>170</v>
      </c>
      <c r="AA52" s="21" t="s">
        <v>45</v>
      </c>
      <c r="AB52" s="21" t="s">
        <v>73</v>
      </c>
      <c r="AC52" s="21" t="s">
        <v>171</v>
      </c>
      <c r="AD52" s="21" t="s">
        <v>183</v>
      </c>
      <c r="AE52" s="21" t="s">
        <v>49</v>
      </c>
      <c r="AG52" s="21" t="s">
        <v>50</v>
      </c>
      <c r="AH52" s="21" t="s">
        <v>59</v>
      </c>
    </row>
    <row r="53" ht="16.5" customHeight="1">
      <c r="A53" s="19" t="s">
        <v>31</v>
      </c>
      <c r="B53" s="19" t="s">
        <v>64</v>
      </c>
      <c r="E53" s="20" t="s">
        <v>33</v>
      </c>
      <c r="G53" s="21" t="s">
        <v>184</v>
      </c>
      <c r="J53" s="20" t="s">
        <v>35</v>
      </c>
      <c r="K53" s="21" t="s">
        <v>185</v>
      </c>
      <c r="L53" s="21" t="s">
        <v>88</v>
      </c>
      <c r="N53" s="21" t="s">
        <v>186</v>
      </c>
      <c r="P53" s="21" t="s">
        <v>187</v>
      </c>
      <c r="S53" s="20" t="s">
        <v>39</v>
      </c>
      <c r="T53" s="21" t="s">
        <v>50</v>
      </c>
      <c r="V53" s="21" t="s">
        <v>69</v>
      </c>
      <c r="W53" s="21" t="s">
        <v>56</v>
      </c>
      <c r="X53" s="21" t="s">
        <v>103</v>
      </c>
      <c r="Y53" s="21" t="s">
        <v>72</v>
      </c>
      <c r="AA53" s="21" t="s">
        <v>45</v>
      </c>
      <c r="AB53" s="21" t="s">
        <v>73</v>
      </c>
      <c r="AC53" s="21" t="s">
        <v>74</v>
      </c>
      <c r="AD53" s="21" t="s">
        <v>91</v>
      </c>
      <c r="AE53" s="21" t="s">
        <v>49</v>
      </c>
      <c r="AG53" s="21" t="s">
        <v>50</v>
      </c>
      <c r="AH53" s="21" t="s">
        <v>188</v>
      </c>
    </row>
    <row r="54" ht="16.5" customHeight="1">
      <c r="A54" s="19" t="s">
        <v>31</v>
      </c>
      <c r="B54" s="19" t="s">
        <v>64</v>
      </c>
      <c r="E54" s="20" t="s">
        <v>33</v>
      </c>
      <c r="G54" s="21" t="s">
        <v>184</v>
      </c>
      <c r="J54" s="20" t="s">
        <v>35</v>
      </c>
      <c r="K54" s="21" t="s">
        <v>76</v>
      </c>
      <c r="L54" s="21" t="s">
        <v>88</v>
      </c>
      <c r="N54" s="21" t="s">
        <v>189</v>
      </c>
      <c r="P54" s="21" t="s">
        <v>190</v>
      </c>
      <c r="S54" s="20" t="s">
        <v>39</v>
      </c>
      <c r="T54" s="21" t="s">
        <v>50</v>
      </c>
      <c r="V54" s="21" t="s">
        <v>69</v>
      </c>
      <c r="W54" s="21" t="s">
        <v>70</v>
      </c>
      <c r="X54" s="21" t="s">
        <v>71</v>
      </c>
      <c r="Y54" s="21" t="s">
        <v>72</v>
      </c>
      <c r="AA54" s="21" t="s">
        <v>45</v>
      </c>
      <c r="AB54" s="21" t="s">
        <v>73</v>
      </c>
      <c r="AC54" s="21" t="s">
        <v>74</v>
      </c>
      <c r="AD54" s="21" t="s">
        <v>91</v>
      </c>
      <c r="AE54" s="21" t="s">
        <v>49</v>
      </c>
      <c r="AG54" s="21" t="s">
        <v>50</v>
      </c>
      <c r="AH54" s="21" t="s">
        <v>188</v>
      </c>
    </row>
    <row r="55" ht="16.5" customHeight="1">
      <c r="A55" s="19" t="s">
        <v>31</v>
      </c>
      <c r="B55" s="19" t="s">
        <v>64</v>
      </c>
      <c r="E55" s="20" t="s">
        <v>33</v>
      </c>
      <c r="G55" s="21" t="s">
        <v>184</v>
      </c>
      <c r="J55" s="20" t="s">
        <v>35</v>
      </c>
      <c r="K55" s="21" t="s">
        <v>165</v>
      </c>
      <c r="L55" s="21" t="s">
        <v>88</v>
      </c>
      <c r="N55" s="21" t="s">
        <v>191</v>
      </c>
      <c r="P55" s="21" t="s">
        <v>192</v>
      </c>
      <c r="S55" s="20" t="s">
        <v>39</v>
      </c>
      <c r="T55" s="21" t="s">
        <v>50</v>
      </c>
      <c r="V55" s="21" t="s">
        <v>69</v>
      </c>
      <c r="W55" s="21" t="s">
        <v>56</v>
      </c>
      <c r="X55" s="21" t="s">
        <v>103</v>
      </c>
      <c r="Y55" s="21" t="s">
        <v>170</v>
      </c>
      <c r="AA55" s="21" t="s">
        <v>45</v>
      </c>
      <c r="AB55" s="21" t="s">
        <v>73</v>
      </c>
      <c r="AC55" s="21" t="s">
        <v>171</v>
      </c>
      <c r="AD55" s="21" t="s">
        <v>172</v>
      </c>
      <c r="AE55" s="21" t="s">
        <v>49</v>
      </c>
      <c r="AG55" s="21" t="s">
        <v>50</v>
      </c>
      <c r="AH55" s="21" t="s">
        <v>188</v>
      </c>
    </row>
    <row r="56" ht="16.5" customHeight="1">
      <c r="A56" s="19" t="s">
        <v>31</v>
      </c>
      <c r="B56" s="19" t="s">
        <v>64</v>
      </c>
      <c r="E56" s="20" t="s">
        <v>33</v>
      </c>
      <c r="G56" s="21" t="s">
        <v>184</v>
      </c>
      <c r="J56" s="20" t="s">
        <v>35</v>
      </c>
      <c r="K56" s="21" t="s">
        <v>173</v>
      </c>
      <c r="L56" s="21" t="s">
        <v>88</v>
      </c>
      <c r="N56" s="21" t="s">
        <v>193</v>
      </c>
      <c r="P56" s="21" t="s">
        <v>194</v>
      </c>
      <c r="S56" s="20" t="s">
        <v>39</v>
      </c>
      <c r="T56" s="21" t="s">
        <v>50</v>
      </c>
      <c r="V56" s="21" t="s">
        <v>69</v>
      </c>
      <c r="W56" s="21" t="s">
        <v>56</v>
      </c>
      <c r="X56" s="21" t="s">
        <v>103</v>
      </c>
      <c r="Y56" s="21" t="s">
        <v>170</v>
      </c>
      <c r="AA56" s="21" t="s">
        <v>45</v>
      </c>
      <c r="AB56" s="21" t="s">
        <v>73</v>
      </c>
      <c r="AC56" s="21" t="s">
        <v>171</v>
      </c>
      <c r="AD56" s="21" t="s">
        <v>172</v>
      </c>
      <c r="AE56" s="21" t="s">
        <v>49</v>
      </c>
      <c r="AG56" s="21" t="s">
        <v>50</v>
      </c>
      <c r="AH56" s="21" t="s">
        <v>188</v>
      </c>
    </row>
    <row r="57" ht="16.5" customHeight="1">
      <c r="A57" s="19" t="s">
        <v>31</v>
      </c>
      <c r="B57" s="19" t="s">
        <v>64</v>
      </c>
      <c r="E57" s="20" t="s">
        <v>33</v>
      </c>
      <c r="G57" s="21" t="s">
        <v>184</v>
      </c>
      <c r="J57" s="20" t="s">
        <v>35</v>
      </c>
      <c r="K57" s="21" t="s">
        <v>185</v>
      </c>
      <c r="L57" s="21" t="s">
        <v>88</v>
      </c>
      <c r="N57" s="21" t="s">
        <v>195</v>
      </c>
      <c r="P57" s="21" t="s">
        <v>196</v>
      </c>
      <c r="S57" s="20" t="s">
        <v>39</v>
      </c>
      <c r="T57" s="21" t="s">
        <v>50</v>
      </c>
      <c r="V57" s="21" t="s">
        <v>69</v>
      </c>
      <c r="W57" s="21" t="s">
        <v>80</v>
      </c>
      <c r="X57" s="21" t="s">
        <v>81</v>
      </c>
      <c r="Y57" s="21" t="s">
        <v>72</v>
      </c>
      <c r="AA57" s="21" t="s">
        <v>45</v>
      </c>
      <c r="AB57" s="21" t="s">
        <v>73</v>
      </c>
      <c r="AC57" s="21" t="s">
        <v>74</v>
      </c>
      <c r="AD57" s="21" t="s">
        <v>91</v>
      </c>
      <c r="AE57" s="21" t="s">
        <v>49</v>
      </c>
      <c r="AG57" s="21" t="s">
        <v>50</v>
      </c>
      <c r="AH57" s="21" t="s">
        <v>188</v>
      </c>
    </row>
    <row r="58" ht="16.5" customHeight="1">
      <c r="A58" s="19" t="s">
        <v>31</v>
      </c>
      <c r="B58" s="19" t="s">
        <v>64</v>
      </c>
      <c r="E58" s="20" t="s">
        <v>33</v>
      </c>
      <c r="G58" s="21" t="s">
        <v>184</v>
      </c>
      <c r="J58" s="20" t="s">
        <v>35</v>
      </c>
      <c r="K58" s="21" t="s">
        <v>173</v>
      </c>
      <c r="L58" s="21" t="s">
        <v>88</v>
      </c>
      <c r="N58" s="21" t="s">
        <v>197</v>
      </c>
      <c r="P58" s="21" t="s">
        <v>198</v>
      </c>
      <c r="S58" s="20" t="s">
        <v>39</v>
      </c>
      <c r="T58" s="21" t="s">
        <v>50</v>
      </c>
      <c r="V58" s="21" t="s">
        <v>69</v>
      </c>
      <c r="W58" s="21" t="s">
        <v>41</v>
      </c>
      <c r="X58" s="21" t="s">
        <v>199</v>
      </c>
      <c r="Y58" s="21" t="s">
        <v>170</v>
      </c>
      <c r="AA58" s="21" t="s">
        <v>45</v>
      </c>
      <c r="AB58" s="21" t="s">
        <v>73</v>
      </c>
      <c r="AC58" s="21" t="s">
        <v>171</v>
      </c>
      <c r="AD58" s="21" t="s">
        <v>172</v>
      </c>
      <c r="AE58" s="21" t="s">
        <v>49</v>
      </c>
      <c r="AG58" s="21" t="s">
        <v>50</v>
      </c>
      <c r="AH58" s="21" t="s">
        <v>188</v>
      </c>
    </row>
    <row r="59" ht="16.5" customHeight="1">
      <c r="A59" s="19" t="s">
        <v>31</v>
      </c>
      <c r="B59" s="19" t="s">
        <v>64</v>
      </c>
      <c r="E59" s="20" t="s">
        <v>33</v>
      </c>
      <c r="G59" s="21" t="s">
        <v>184</v>
      </c>
      <c r="J59" s="20" t="s">
        <v>35</v>
      </c>
      <c r="K59" s="21" t="s">
        <v>93</v>
      </c>
      <c r="L59" s="21" t="s">
        <v>88</v>
      </c>
      <c r="N59" s="21" t="s">
        <v>200</v>
      </c>
      <c r="P59" s="21" t="s">
        <v>201</v>
      </c>
      <c r="S59" s="20" t="s">
        <v>39</v>
      </c>
      <c r="T59" s="21" t="s">
        <v>50</v>
      </c>
      <c r="V59" s="21" t="s">
        <v>69</v>
      </c>
      <c r="W59" s="21" t="s">
        <v>42</v>
      </c>
      <c r="X59" s="21" t="s">
        <v>202</v>
      </c>
      <c r="Y59" s="21" t="s">
        <v>72</v>
      </c>
      <c r="AA59" s="21" t="s">
        <v>45</v>
      </c>
      <c r="AB59" s="21" t="s">
        <v>73</v>
      </c>
      <c r="AC59" s="21" t="s">
        <v>74</v>
      </c>
      <c r="AD59" s="21" t="s">
        <v>91</v>
      </c>
      <c r="AE59" s="21" t="s">
        <v>49</v>
      </c>
      <c r="AG59" s="21" t="s">
        <v>50</v>
      </c>
      <c r="AH59" s="21" t="s">
        <v>188</v>
      </c>
    </row>
    <row r="60" ht="16.5" customHeight="1">
      <c r="A60" s="19" t="s">
        <v>31</v>
      </c>
      <c r="B60" s="19" t="s">
        <v>64</v>
      </c>
      <c r="E60" s="20" t="s">
        <v>33</v>
      </c>
      <c r="G60" s="21" t="s">
        <v>184</v>
      </c>
      <c r="J60" s="20" t="s">
        <v>35</v>
      </c>
      <c r="K60" s="21" t="s">
        <v>173</v>
      </c>
      <c r="L60" s="21" t="s">
        <v>88</v>
      </c>
      <c r="N60" s="21" t="s">
        <v>203</v>
      </c>
      <c r="P60" s="21" t="s">
        <v>204</v>
      </c>
      <c r="S60" s="20" t="s">
        <v>39</v>
      </c>
      <c r="T60" s="21" t="s">
        <v>50</v>
      </c>
      <c r="V60" s="21" t="s">
        <v>69</v>
      </c>
      <c r="W60" s="21" t="s">
        <v>56</v>
      </c>
      <c r="X60" s="21" t="s">
        <v>103</v>
      </c>
      <c r="Y60" s="21" t="s">
        <v>170</v>
      </c>
      <c r="AA60" s="21" t="s">
        <v>45</v>
      </c>
      <c r="AB60" s="21" t="s">
        <v>73</v>
      </c>
      <c r="AC60" s="21" t="s">
        <v>171</v>
      </c>
      <c r="AD60" s="21" t="s">
        <v>172</v>
      </c>
      <c r="AE60" s="21" t="s">
        <v>49</v>
      </c>
      <c r="AG60" s="21" t="s">
        <v>50</v>
      </c>
      <c r="AH60" s="21" t="s">
        <v>188</v>
      </c>
    </row>
    <row r="61" ht="16.5" customHeight="1">
      <c r="A61" s="19" t="s">
        <v>31</v>
      </c>
      <c r="B61" s="19" t="s">
        <v>64</v>
      </c>
      <c r="E61" s="20" t="s">
        <v>33</v>
      </c>
      <c r="G61" s="21" t="s">
        <v>184</v>
      </c>
      <c r="J61" s="20" t="s">
        <v>35</v>
      </c>
      <c r="K61" s="21" t="s">
        <v>173</v>
      </c>
      <c r="L61" s="21" t="s">
        <v>77</v>
      </c>
      <c r="N61" s="21" t="s">
        <v>205</v>
      </c>
      <c r="P61" s="21" t="s">
        <v>206</v>
      </c>
      <c r="S61" s="20" t="s">
        <v>39</v>
      </c>
      <c r="T61" s="21" t="s">
        <v>50</v>
      </c>
      <c r="V61" s="21" t="s">
        <v>41</v>
      </c>
      <c r="W61" s="21" t="s">
        <v>56</v>
      </c>
      <c r="X61" s="21" t="s">
        <v>57</v>
      </c>
      <c r="Y61" s="21" t="s">
        <v>170</v>
      </c>
      <c r="AA61" s="21" t="s">
        <v>45</v>
      </c>
      <c r="AB61" s="21" t="s">
        <v>73</v>
      </c>
      <c r="AC61" s="21" t="s">
        <v>171</v>
      </c>
      <c r="AD61" s="21" t="s">
        <v>207</v>
      </c>
      <c r="AE61" s="21" t="s">
        <v>49</v>
      </c>
      <c r="AG61" s="21" t="s">
        <v>50</v>
      </c>
      <c r="AH61" s="21" t="s">
        <v>188</v>
      </c>
    </row>
    <row r="62" ht="16.5" customHeight="1">
      <c r="A62" s="19" t="s">
        <v>31</v>
      </c>
      <c r="B62" s="19" t="s">
        <v>64</v>
      </c>
      <c r="E62" s="20" t="s">
        <v>33</v>
      </c>
      <c r="G62" s="21" t="s">
        <v>208</v>
      </c>
      <c r="J62" s="20" t="s">
        <v>35</v>
      </c>
      <c r="K62" s="21" t="s">
        <v>209</v>
      </c>
      <c r="L62" s="21" t="s">
        <v>88</v>
      </c>
      <c r="N62" s="21" t="s">
        <v>210</v>
      </c>
      <c r="P62" s="21" t="s">
        <v>211</v>
      </c>
      <c r="S62" s="20" t="s">
        <v>39</v>
      </c>
      <c r="T62" s="21" t="s">
        <v>50</v>
      </c>
      <c r="V62" s="21" t="s">
        <v>69</v>
      </c>
      <c r="W62" s="21" t="s">
        <v>212</v>
      </c>
      <c r="X62" s="21" t="s">
        <v>213</v>
      </c>
      <c r="Y62" s="21" t="s">
        <v>72</v>
      </c>
      <c r="AA62" s="21" t="s">
        <v>45</v>
      </c>
      <c r="AB62" s="21" t="s">
        <v>73</v>
      </c>
      <c r="AC62" s="21" t="s">
        <v>74</v>
      </c>
      <c r="AD62" s="21" t="s">
        <v>91</v>
      </c>
      <c r="AE62" s="21" t="s">
        <v>49</v>
      </c>
      <c r="AG62" s="21" t="s">
        <v>50</v>
      </c>
      <c r="AH62" s="21" t="s">
        <v>214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208</v>
      </c>
      <c r="J63" s="20" t="s">
        <v>215</v>
      </c>
      <c r="K63" s="21" t="s">
        <v>216</v>
      </c>
      <c r="N63" s="21" t="s">
        <v>217</v>
      </c>
      <c r="P63" s="21" t="s">
        <v>218</v>
      </c>
      <c r="S63" s="20" t="s">
        <v>39</v>
      </c>
      <c r="T63" s="21" t="s">
        <v>219</v>
      </c>
      <c r="V63" s="21" t="s">
        <v>69</v>
      </c>
      <c r="W63" s="21" t="s">
        <v>56</v>
      </c>
      <c r="X63" s="21" t="s">
        <v>103</v>
      </c>
      <c r="Y63" s="21" t="s">
        <v>220</v>
      </c>
      <c r="AA63" s="21" t="s">
        <v>45</v>
      </c>
      <c r="AB63" s="21" t="s">
        <v>46</v>
      </c>
      <c r="AC63" s="21" t="s">
        <v>221</v>
      </c>
      <c r="AD63" s="21" t="s">
        <v>222</v>
      </c>
      <c r="AE63" s="21" t="s">
        <v>49</v>
      </c>
      <c r="AG63" s="21" t="s">
        <v>50</v>
      </c>
      <c r="AH63" s="21" t="s">
        <v>214</v>
      </c>
    </row>
    <row r="64" ht="16.5" customHeight="1">
      <c r="A64" s="19" t="s">
        <v>31</v>
      </c>
      <c r="B64" s="19" t="s">
        <v>64</v>
      </c>
      <c r="E64" s="20" t="s">
        <v>33</v>
      </c>
      <c r="G64" s="21" t="s">
        <v>223</v>
      </c>
      <c r="J64" s="20" t="s">
        <v>35</v>
      </c>
      <c r="K64" s="21" t="s">
        <v>65</v>
      </c>
      <c r="L64" s="21" t="s">
        <v>88</v>
      </c>
      <c r="N64" s="21" t="s">
        <v>224</v>
      </c>
      <c r="P64" s="21" t="s">
        <v>225</v>
      </c>
      <c r="S64" s="20" t="s">
        <v>39</v>
      </c>
      <c r="T64" s="21" t="s">
        <v>50</v>
      </c>
      <c r="V64" s="21" t="s">
        <v>69</v>
      </c>
      <c r="W64" s="21" t="s">
        <v>226</v>
      </c>
      <c r="X64" s="21" t="s">
        <v>227</v>
      </c>
      <c r="Y64" s="21" t="s">
        <v>72</v>
      </c>
      <c r="AA64" s="21" t="s">
        <v>45</v>
      </c>
      <c r="AB64" s="21" t="s">
        <v>73</v>
      </c>
      <c r="AC64" s="21" t="s">
        <v>74</v>
      </c>
      <c r="AD64" s="21" t="s">
        <v>91</v>
      </c>
      <c r="AE64" s="21" t="s">
        <v>49</v>
      </c>
      <c r="AG64" s="21" t="s">
        <v>50</v>
      </c>
      <c r="AH64" s="21" t="s">
        <v>228</v>
      </c>
    </row>
    <row r="65" ht="16.5" customHeight="1">
      <c r="A65" s="19" t="s">
        <v>31</v>
      </c>
      <c r="B65" s="19" t="s">
        <v>64</v>
      </c>
      <c r="E65" s="20" t="s">
        <v>33</v>
      </c>
      <c r="G65" s="21" t="s">
        <v>223</v>
      </c>
      <c r="J65" s="20" t="s">
        <v>35</v>
      </c>
      <c r="K65" s="21" t="s">
        <v>229</v>
      </c>
      <c r="L65" s="21" t="s">
        <v>88</v>
      </c>
      <c r="N65" s="21" t="s">
        <v>230</v>
      </c>
      <c r="P65" s="21" t="s">
        <v>231</v>
      </c>
      <c r="S65" s="20" t="s">
        <v>39</v>
      </c>
      <c r="T65" s="21" t="s">
        <v>50</v>
      </c>
      <c r="V65" s="21" t="s">
        <v>69</v>
      </c>
      <c r="W65" s="21" t="s">
        <v>96</v>
      </c>
      <c r="X65" s="21" t="s">
        <v>97</v>
      </c>
      <c r="Y65" s="21" t="s">
        <v>170</v>
      </c>
      <c r="AA65" s="21" t="s">
        <v>45</v>
      </c>
      <c r="AB65" s="21" t="s">
        <v>73</v>
      </c>
      <c r="AC65" s="21" t="s">
        <v>171</v>
      </c>
      <c r="AD65" s="21" t="s">
        <v>172</v>
      </c>
      <c r="AE65" s="21" t="s">
        <v>49</v>
      </c>
      <c r="AG65" s="21" t="s">
        <v>50</v>
      </c>
      <c r="AH65" s="21" t="s">
        <v>228</v>
      </c>
    </row>
    <row r="66" ht="16.5" customHeight="1">
      <c r="A66" s="19" t="s">
        <v>31</v>
      </c>
      <c r="B66" s="19" t="s">
        <v>64</v>
      </c>
      <c r="E66" s="20" t="s">
        <v>33</v>
      </c>
      <c r="G66" s="21" t="s">
        <v>232</v>
      </c>
      <c r="J66" s="20" t="s">
        <v>35</v>
      </c>
      <c r="K66" s="21" t="s">
        <v>76</v>
      </c>
      <c r="L66" s="21" t="s">
        <v>77</v>
      </c>
      <c r="N66" s="21" t="s">
        <v>233</v>
      </c>
      <c r="P66" s="21" t="s">
        <v>234</v>
      </c>
      <c r="S66" s="20" t="s">
        <v>39</v>
      </c>
      <c r="T66" s="21" t="s">
        <v>50</v>
      </c>
      <c r="V66" s="21" t="s">
        <v>69</v>
      </c>
      <c r="W66" s="21" t="s">
        <v>56</v>
      </c>
      <c r="X66" s="21" t="s">
        <v>103</v>
      </c>
      <c r="Y66" s="21" t="s">
        <v>72</v>
      </c>
      <c r="AA66" s="21" t="s">
        <v>45</v>
      </c>
      <c r="AB66" s="21" t="s">
        <v>73</v>
      </c>
      <c r="AC66" s="21" t="s">
        <v>74</v>
      </c>
      <c r="AD66" s="21" t="s">
        <v>82</v>
      </c>
      <c r="AE66" s="21" t="s">
        <v>49</v>
      </c>
      <c r="AG66" s="21" t="s">
        <v>50</v>
      </c>
      <c r="AH66" s="21" t="s">
        <v>235</v>
      </c>
    </row>
    <row r="67" ht="16.5" customHeight="1">
      <c r="A67" s="19" t="s">
        <v>31</v>
      </c>
      <c r="B67" s="19" t="s">
        <v>64</v>
      </c>
      <c r="E67" s="20" t="s">
        <v>33</v>
      </c>
      <c r="G67" s="21" t="s">
        <v>232</v>
      </c>
      <c r="J67" s="20" t="s">
        <v>35</v>
      </c>
      <c r="K67" s="21" t="s">
        <v>93</v>
      </c>
      <c r="L67" s="21" t="s">
        <v>88</v>
      </c>
      <c r="N67" s="21" t="s">
        <v>236</v>
      </c>
      <c r="P67" s="21" t="s">
        <v>237</v>
      </c>
      <c r="S67" s="20" t="s">
        <v>39</v>
      </c>
      <c r="T67" s="21" t="s">
        <v>50</v>
      </c>
      <c r="V67" s="21" t="s">
        <v>69</v>
      </c>
      <c r="W67" s="21" t="s">
        <v>80</v>
      </c>
      <c r="X67" s="21" t="s">
        <v>81</v>
      </c>
      <c r="Y67" s="21" t="s">
        <v>72</v>
      </c>
      <c r="AA67" s="21" t="s">
        <v>45</v>
      </c>
      <c r="AB67" s="21" t="s">
        <v>73</v>
      </c>
      <c r="AC67" s="21" t="s">
        <v>74</v>
      </c>
      <c r="AD67" s="21" t="s">
        <v>91</v>
      </c>
      <c r="AE67" s="21" t="s">
        <v>49</v>
      </c>
      <c r="AG67" s="21" t="s">
        <v>50</v>
      </c>
      <c r="AH67" s="21" t="s">
        <v>235</v>
      </c>
    </row>
    <row r="68" ht="16.5" customHeight="1">
      <c r="A68" s="19" t="s">
        <v>31</v>
      </c>
      <c r="B68" s="19" t="s">
        <v>64</v>
      </c>
      <c r="E68" s="20" t="s">
        <v>33</v>
      </c>
      <c r="G68" s="21" t="s">
        <v>232</v>
      </c>
      <c r="J68" s="20" t="s">
        <v>35</v>
      </c>
      <c r="K68" s="21" t="s">
        <v>76</v>
      </c>
      <c r="L68" s="21" t="s">
        <v>77</v>
      </c>
      <c r="N68" s="21" t="s">
        <v>238</v>
      </c>
      <c r="P68" s="21" t="s">
        <v>239</v>
      </c>
      <c r="S68" s="20" t="s">
        <v>39</v>
      </c>
      <c r="T68" s="21" t="s">
        <v>50</v>
      </c>
      <c r="V68" s="21" t="s">
        <v>69</v>
      </c>
      <c r="W68" s="21" t="s">
        <v>96</v>
      </c>
      <c r="X68" s="21" t="s">
        <v>97</v>
      </c>
      <c r="Y68" s="21" t="s">
        <v>72</v>
      </c>
      <c r="AA68" s="21" t="s">
        <v>45</v>
      </c>
      <c r="AB68" s="21" t="s">
        <v>73</v>
      </c>
      <c r="AC68" s="21" t="s">
        <v>74</v>
      </c>
      <c r="AD68" s="21" t="s">
        <v>82</v>
      </c>
      <c r="AE68" s="21" t="s">
        <v>49</v>
      </c>
      <c r="AG68" s="21" t="s">
        <v>50</v>
      </c>
      <c r="AH68" s="21" t="s">
        <v>235</v>
      </c>
    </row>
    <row r="69" ht="16.5" customHeight="1">
      <c r="A69" s="19" t="s">
        <v>31</v>
      </c>
      <c r="B69" s="19" t="s">
        <v>64</v>
      </c>
      <c r="E69" s="20" t="s">
        <v>33</v>
      </c>
      <c r="G69" s="21" t="s">
        <v>232</v>
      </c>
      <c r="J69" s="20" t="s">
        <v>35</v>
      </c>
      <c r="K69" s="21" t="s">
        <v>240</v>
      </c>
      <c r="L69" s="21" t="s">
        <v>88</v>
      </c>
      <c r="N69" s="21" t="s">
        <v>241</v>
      </c>
      <c r="P69" s="21" t="s">
        <v>242</v>
      </c>
      <c r="S69" s="20" t="s">
        <v>39</v>
      </c>
      <c r="T69" s="21" t="s">
        <v>50</v>
      </c>
      <c r="V69" s="21" t="s">
        <v>69</v>
      </c>
      <c r="W69" s="21" t="s">
        <v>150</v>
      </c>
      <c r="X69" s="21" t="s">
        <v>57</v>
      </c>
      <c r="Y69" s="21" t="s">
        <v>170</v>
      </c>
      <c r="AA69" s="21" t="s">
        <v>45</v>
      </c>
      <c r="AB69" s="21" t="s">
        <v>73</v>
      </c>
      <c r="AC69" s="21" t="s">
        <v>171</v>
      </c>
      <c r="AD69" s="21" t="s">
        <v>172</v>
      </c>
      <c r="AE69" s="21" t="s">
        <v>49</v>
      </c>
      <c r="AG69" s="21" t="s">
        <v>50</v>
      </c>
      <c r="AH69" s="21" t="s">
        <v>235</v>
      </c>
    </row>
    <row r="70" ht="16.5" customHeight="1">
      <c r="A70" s="19" t="s">
        <v>31</v>
      </c>
      <c r="B70" s="19" t="s">
        <v>64</v>
      </c>
      <c r="E70" s="20" t="s">
        <v>33</v>
      </c>
      <c r="G70" s="21" t="s">
        <v>232</v>
      </c>
      <c r="J70" s="20" t="s">
        <v>35</v>
      </c>
      <c r="K70" s="21" t="s">
        <v>185</v>
      </c>
      <c r="L70" s="21" t="s">
        <v>88</v>
      </c>
      <c r="N70" s="21" t="s">
        <v>243</v>
      </c>
      <c r="P70" s="21" t="s">
        <v>244</v>
      </c>
      <c r="S70" s="20" t="s">
        <v>39</v>
      </c>
      <c r="T70" s="21" t="s">
        <v>50</v>
      </c>
      <c r="V70" s="21" t="s">
        <v>69</v>
      </c>
      <c r="W70" s="21" t="s">
        <v>56</v>
      </c>
      <c r="X70" s="21" t="s">
        <v>103</v>
      </c>
      <c r="Y70" s="21" t="s">
        <v>72</v>
      </c>
      <c r="AA70" s="21" t="s">
        <v>45</v>
      </c>
      <c r="AB70" s="21" t="s">
        <v>73</v>
      </c>
      <c r="AC70" s="21" t="s">
        <v>74</v>
      </c>
      <c r="AD70" s="21" t="s">
        <v>91</v>
      </c>
      <c r="AE70" s="21" t="s">
        <v>49</v>
      </c>
      <c r="AG70" s="21" t="s">
        <v>50</v>
      </c>
      <c r="AH70" s="21" t="s">
        <v>235</v>
      </c>
    </row>
    <row r="71" ht="16.5" customHeight="1">
      <c r="A71" s="19" t="s">
        <v>31</v>
      </c>
      <c r="B71" s="19" t="s">
        <v>64</v>
      </c>
      <c r="E71" s="20" t="s">
        <v>33</v>
      </c>
      <c r="G71" s="21" t="s">
        <v>232</v>
      </c>
      <c r="J71" s="20" t="s">
        <v>35</v>
      </c>
      <c r="K71" s="21" t="s">
        <v>108</v>
      </c>
      <c r="L71" s="21" t="s">
        <v>88</v>
      </c>
      <c r="N71" s="21" t="s">
        <v>245</v>
      </c>
      <c r="P71" s="21" t="s">
        <v>246</v>
      </c>
      <c r="S71" s="20" t="s">
        <v>39</v>
      </c>
      <c r="T71" s="21" t="s">
        <v>50</v>
      </c>
      <c r="V71" s="21" t="s">
        <v>69</v>
      </c>
      <c r="W71" s="21" t="s">
        <v>247</v>
      </c>
      <c r="X71" s="21" t="s">
        <v>248</v>
      </c>
      <c r="Y71" s="21" t="s">
        <v>72</v>
      </c>
      <c r="AA71" s="21" t="s">
        <v>45</v>
      </c>
      <c r="AB71" s="21" t="s">
        <v>73</v>
      </c>
      <c r="AC71" s="21" t="s">
        <v>74</v>
      </c>
      <c r="AD71" s="21" t="s">
        <v>91</v>
      </c>
      <c r="AE71" s="21" t="s">
        <v>49</v>
      </c>
      <c r="AG71" s="21" t="s">
        <v>50</v>
      </c>
      <c r="AH71" s="21" t="s">
        <v>235</v>
      </c>
    </row>
    <row r="72" ht="16.5" customHeight="1">
      <c r="A72" s="19" t="s">
        <v>31</v>
      </c>
      <c r="B72" s="19" t="s">
        <v>64</v>
      </c>
      <c r="E72" s="20" t="s">
        <v>33</v>
      </c>
      <c r="G72" s="21" t="s">
        <v>232</v>
      </c>
      <c r="J72" s="20" t="s">
        <v>35</v>
      </c>
      <c r="K72" s="21" t="s">
        <v>249</v>
      </c>
      <c r="L72" s="21" t="s">
        <v>88</v>
      </c>
      <c r="N72" s="21" t="s">
        <v>250</v>
      </c>
      <c r="P72" s="21" t="s">
        <v>251</v>
      </c>
      <c r="S72" s="20" t="s">
        <v>39</v>
      </c>
      <c r="T72" s="21" t="s">
        <v>50</v>
      </c>
      <c r="V72" s="21" t="s">
        <v>69</v>
      </c>
      <c r="W72" s="21" t="s">
        <v>56</v>
      </c>
      <c r="X72" s="21" t="s">
        <v>103</v>
      </c>
      <c r="Y72" s="21" t="s">
        <v>72</v>
      </c>
      <c r="AA72" s="21" t="s">
        <v>45</v>
      </c>
      <c r="AB72" s="21" t="s">
        <v>73</v>
      </c>
      <c r="AC72" s="21" t="s">
        <v>74</v>
      </c>
      <c r="AD72" s="21" t="s">
        <v>91</v>
      </c>
      <c r="AE72" s="21" t="s">
        <v>49</v>
      </c>
      <c r="AG72" s="21" t="s">
        <v>50</v>
      </c>
      <c r="AH72" s="21" t="s">
        <v>235</v>
      </c>
    </row>
    <row r="73" ht="16.5" customHeight="1">
      <c r="A73" s="19" t="s">
        <v>31</v>
      </c>
      <c r="B73" s="19" t="s">
        <v>64</v>
      </c>
      <c r="E73" s="20" t="s">
        <v>33</v>
      </c>
      <c r="G73" s="21" t="s">
        <v>232</v>
      </c>
      <c r="J73" s="20" t="s">
        <v>35</v>
      </c>
      <c r="K73" s="21" t="s">
        <v>252</v>
      </c>
      <c r="L73" s="21" t="s">
        <v>88</v>
      </c>
      <c r="N73" s="21" t="s">
        <v>253</v>
      </c>
      <c r="P73" s="21" t="s">
        <v>254</v>
      </c>
      <c r="S73" s="20" t="s">
        <v>39</v>
      </c>
      <c r="T73" s="21" t="s">
        <v>50</v>
      </c>
      <c r="V73" s="21" t="s">
        <v>69</v>
      </c>
      <c r="W73" s="21" t="s">
        <v>255</v>
      </c>
      <c r="X73" s="21" t="s">
        <v>256</v>
      </c>
      <c r="Y73" s="21" t="s">
        <v>72</v>
      </c>
      <c r="AA73" s="21" t="s">
        <v>45</v>
      </c>
      <c r="AB73" s="21" t="s">
        <v>73</v>
      </c>
      <c r="AC73" s="21" t="s">
        <v>74</v>
      </c>
      <c r="AD73" s="21" t="s">
        <v>91</v>
      </c>
      <c r="AE73" s="21" t="s">
        <v>49</v>
      </c>
      <c r="AG73" s="21" t="s">
        <v>50</v>
      </c>
      <c r="AH73" s="21" t="s">
        <v>235</v>
      </c>
    </row>
    <row r="74" ht="16.5" customHeight="1">
      <c r="A74" s="19" t="s">
        <v>31</v>
      </c>
      <c r="B74" s="19" t="s">
        <v>64</v>
      </c>
      <c r="E74" s="20" t="s">
        <v>33</v>
      </c>
      <c r="G74" s="21" t="s">
        <v>232</v>
      </c>
      <c r="J74" s="20" t="s">
        <v>35</v>
      </c>
      <c r="K74" s="21" t="s">
        <v>173</v>
      </c>
      <c r="L74" s="21" t="s">
        <v>88</v>
      </c>
      <c r="N74" s="21" t="s">
        <v>257</v>
      </c>
      <c r="P74" s="21" t="s">
        <v>258</v>
      </c>
      <c r="S74" s="20" t="s">
        <v>39</v>
      </c>
      <c r="T74" s="21" t="s">
        <v>50</v>
      </c>
      <c r="V74" s="21" t="s">
        <v>69</v>
      </c>
      <c r="W74" s="21" t="s">
        <v>70</v>
      </c>
      <c r="X74" s="21" t="s">
        <v>71</v>
      </c>
      <c r="Y74" s="21" t="s">
        <v>170</v>
      </c>
      <c r="AA74" s="21" t="s">
        <v>45</v>
      </c>
      <c r="AB74" s="21" t="s">
        <v>73</v>
      </c>
      <c r="AC74" s="21" t="s">
        <v>171</v>
      </c>
      <c r="AD74" s="21" t="s">
        <v>172</v>
      </c>
      <c r="AE74" s="21" t="s">
        <v>49</v>
      </c>
      <c r="AG74" s="21" t="s">
        <v>50</v>
      </c>
      <c r="AH74" s="21" t="s">
        <v>235</v>
      </c>
    </row>
    <row r="75" ht="16.5" customHeight="1">
      <c r="A75" s="19" t="s">
        <v>31</v>
      </c>
      <c r="B75" s="19" t="s">
        <v>64</v>
      </c>
      <c r="E75" s="20" t="s">
        <v>33</v>
      </c>
      <c r="G75" s="21" t="s">
        <v>232</v>
      </c>
      <c r="J75" s="20" t="s">
        <v>35</v>
      </c>
      <c r="K75" s="21" t="s">
        <v>173</v>
      </c>
      <c r="L75" s="21" t="s">
        <v>88</v>
      </c>
      <c r="N75" s="21" t="s">
        <v>257</v>
      </c>
      <c r="P75" s="21" t="s">
        <v>258</v>
      </c>
      <c r="S75" s="20" t="s">
        <v>39</v>
      </c>
      <c r="T75" s="21" t="s">
        <v>50</v>
      </c>
      <c r="V75" s="21" t="s">
        <v>41</v>
      </c>
      <c r="W75" s="21" t="s">
        <v>70</v>
      </c>
      <c r="X75" s="21" t="s">
        <v>92</v>
      </c>
      <c r="Y75" s="21" t="s">
        <v>170</v>
      </c>
      <c r="AA75" s="21" t="s">
        <v>45</v>
      </c>
      <c r="AB75" s="21" t="s">
        <v>73</v>
      </c>
      <c r="AC75" s="21" t="s">
        <v>171</v>
      </c>
      <c r="AD75" s="21" t="s">
        <v>172</v>
      </c>
      <c r="AE75" s="21" t="s">
        <v>49</v>
      </c>
      <c r="AG75" s="21" t="s">
        <v>50</v>
      </c>
      <c r="AH75" s="21" t="s">
        <v>235</v>
      </c>
    </row>
    <row r="76" ht="16.5" customHeight="1">
      <c r="A76" s="19" t="s">
        <v>31</v>
      </c>
      <c r="B76" s="19" t="s">
        <v>64</v>
      </c>
      <c r="E76" s="20" t="s">
        <v>33</v>
      </c>
      <c r="G76" s="21" t="s">
        <v>232</v>
      </c>
      <c r="J76" s="20" t="s">
        <v>35</v>
      </c>
      <c r="K76" s="21" t="s">
        <v>93</v>
      </c>
      <c r="L76" s="21" t="s">
        <v>88</v>
      </c>
      <c r="N76" s="21" t="s">
        <v>259</v>
      </c>
      <c r="P76" s="21" t="s">
        <v>260</v>
      </c>
      <c r="S76" s="20" t="s">
        <v>39</v>
      </c>
      <c r="T76" s="21" t="s">
        <v>50</v>
      </c>
      <c r="V76" s="21" t="s">
        <v>69</v>
      </c>
      <c r="W76" s="21" t="s">
        <v>261</v>
      </c>
      <c r="X76" s="21" t="s">
        <v>262</v>
      </c>
      <c r="Y76" s="21" t="s">
        <v>72</v>
      </c>
      <c r="AA76" s="21" t="s">
        <v>45</v>
      </c>
      <c r="AB76" s="21" t="s">
        <v>73</v>
      </c>
      <c r="AC76" s="21" t="s">
        <v>74</v>
      </c>
      <c r="AD76" s="21" t="s">
        <v>91</v>
      </c>
      <c r="AE76" s="21" t="s">
        <v>49</v>
      </c>
      <c r="AG76" s="21" t="s">
        <v>50</v>
      </c>
      <c r="AH76" s="21" t="s">
        <v>235</v>
      </c>
    </row>
    <row r="77" ht="16.5" customHeight="1">
      <c r="A77" s="19" t="s">
        <v>31</v>
      </c>
      <c r="B77" s="19" t="s">
        <v>64</v>
      </c>
      <c r="E77" s="20" t="s">
        <v>33</v>
      </c>
      <c r="G77" s="21" t="s">
        <v>232</v>
      </c>
      <c r="J77" s="20" t="s">
        <v>35</v>
      </c>
      <c r="K77" s="21" t="s">
        <v>76</v>
      </c>
      <c r="L77" s="21" t="s">
        <v>88</v>
      </c>
      <c r="N77" s="21" t="s">
        <v>263</v>
      </c>
      <c r="P77" s="21" t="s">
        <v>264</v>
      </c>
      <c r="S77" s="20" t="s">
        <v>39</v>
      </c>
      <c r="T77" s="21" t="s">
        <v>50</v>
      </c>
      <c r="V77" s="21" t="s">
        <v>69</v>
      </c>
      <c r="W77" s="21" t="s">
        <v>265</v>
      </c>
      <c r="X77" s="21" t="s">
        <v>266</v>
      </c>
      <c r="Y77" s="21" t="s">
        <v>72</v>
      </c>
      <c r="AA77" s="21" t="s">
        <v>45</v>
      </c>
      <c r="AB77" s="21" t="s">
        <v>73</v>
      </c>
      <c r="AC77" s="21" t="s">
        <v>74</v>
      </c>
      <c r="AD77" s="21" t="s">
        <v>91</v>
      </c>
      <c r="AE77" s="21" t="s">
        <v>49</v>
      </c>
      <c r="AG77" s="21" t="s">
        <v>50</v>
      </c>
      <c r="AH77" s="21" t="s">
        <v>235</v>
      </c>
    </row>
    <row r="78" ht="16.5" customHeight="1">
      <c r="A78" s="19" t="s">
        <v>31</v>
      </c>
      <c r="B78" s="19" t="s">
        <v>64</v>
      </c>
      <c r="E78" s="20" t="s">
        <v>33</v>
      </c>
      <c r="G78" s="21" t="s">
        <v>232</v>
      </c>
      <c r="J78" s="20" t="s">
        <v>35</v>
      </c>
      <c r="K78" s="21" t="s">
        <v>240</v>
      </c>
      <c r="L78" s="21" t="s">
        <v>88</v>
      </c>
      <c r="N78" s="21" t="s">
        <v>267</v>
      </c>
      <c r="P78" s="21" t="s">
        <v>268</v>
      </c>
      <c r="S78" s="20" t="s">
        <v>39</v>
      </c>
      <c r="T78" s="21" t="s">
        <v>50</v>
      </c>
      <c r="V78" s="21" t="s">
        <v>69</v>
      </c>
      <c r="W78" s="21" t="s">
        <v>226</v>
      </c>
      <c r="X78" s="21" t="s">
        <v>227</v>
      </c>
      <c r="Y78" s="21" t="s">
        <v>170</v>
      </c>
      <c r="AA78" s="21" t="s">
        <v>45</v>
      </c>
      <c r="AB78" s="21" t="s">
        <v>73</v>
      </c>
      <c r="AC78" s="21" t="s">
        <v>171</v>
      </c>
      <c r="AD78" s="21" t="s">
        <v>172</v>
      </c>
      <c r="AE78" s="21" t="s">
        <v>49</v>
      </c>
      <c r="AG78" s="21" t="s">
        <v>50</v>
      </c>
      <c r="AH78" s="21" t="s">
        <v>235</v>
      </c>
    </row>
    <row r="79" ht="16.5" customHeight="1">
      <c r="A79" s="19" t="s">
        <v>31</v>
      </c>
      <c r="B79" s="19" t="s">
        <v>64</v>
      </c>
      <c r="E79" s="20" t="s">
        <v>33</v>
      </c>
      <c r="G79" s="21" t="s">
        <v>232</v>
      </c>
      <c r="J79" s="20" t="s">
        <v>35</v>
      </c>
      <c r="K79" s="21" t="s">
        <v>76</v>
      </c>
      <c r="L79" s="21" t="s">
        <v>88</v>
      </c>
      <c r="N79" s="21" t="s">
        <v>269</v>
      </c>
      <c r="P79" s="21" t="s">
        <v>270</v>
      </c>
      <c r="S79" s="20" t="s">
        <v>39</v>
      </c>
      <c r="T79" s="21" t="s">
        <v>50</v>
      </c>
      <c r="V79" s="21" t="s">
        <v>69</v>
      </c>
      <c r="W79" s="21" t="s">
        <v>271</v>
      </c>
      <c r="X79" s="21" t="s">
        <v>272</v>
      </c>
      <c r="Y79" s="21" t="s">
        <v>72</v>
      </c>
      <c r="AA79" s="21" t="s">
        <v>45</v>
      </c>
      <c r="AB79" s="21" t="s">
        <v>73</v>
      </c>
      <c r="AC79" s="21" t="s">
        <v>74</v>
      </c>
      <c r="AD79" s="21" t="s">
        <v>91</v>
      </c>
      <c r="AE79" s="21" t="s">
        <v>49</v>
      </c>
      <c r="AG79" s="21" t="s">
        <v>50</v>
      </c>
      <c r="AH79" s="21" t="s">
        <v>235</v>
      </c>
    </row>
    <row r="80" ht="16.5" customHeight="1">
      <c r="A80" s="19" t="s">
        <v>31</v>
      </c>
      <c r="B80" s="19" t="s">
        <v>64</v>
      </c>
      <c r="E80" s="20" t="s">
        <v>33</v>
      </c>
      <c r="G80" s="21" t="s">
        <v>232</v>
      </c>
      <c r="J80" s="20" t="s">
        <v>35</v>
      </c>
      <c r="K80" s="21" t="s">
        <v>93</v>
      </c>
      <c r="L80" s="21" t="s">
        <v>88</v>
      </c>
      <c r="N80" s="21" t="s">
        <v>273</v>
      </c>
      <c r="P80" s="21" t="s">
        <v>274</v>
      </c>
      <c r="S80" s="20" t="s">
        <v>39</v>
      </c>
      <c r="T80" s="21" t="s">
        <v>50</v>
      </c>
      <c r="V80" s="21" t="s">
        <v>69</v>
      </c>
      <c r="W80" s="21" t="s">
        <v>150</v>
      </c>
      <c r="X80" s="21" t="s">
        <v>57</v>
      </c>
      <c r="Y80" s="21" t="s">
        <v>72</v>
      </c>
      <c r="AA80" s="21" t="s">
        <v>45</v>
      </c>
      <c r="AB80" s="21" t="s">
        <v>73</v>
      </c>
      <c r="AC80" s="21" t="s">
        <v>74</v>
      </c>
      <c r="AD80" s="21" t="s">
        <v>91</v>
      </c>
      <c r="AE80" s="21" t="s">
        <v>49</v>
      </c>
      <c r="AG80" s="21" t="s">
        <v>50</v>
      </c>
      <c r="AH80" s="21" t="s">
        <v>235</v>
      </c>
    </row>
    <row r="81" ht="16.5" customHeight="1">
      <c r="A81" s="19" t="s">
        <v>31</v>
      </c>
      <c r="B81" s="19" t="s">
        <v>64</v>
      </c>
      <c r="E81" s="20" t="s">
        <v>33</v>
      </c>
      <c r="G81" s="21" t="s">
        <v>232</v>
      </c>
      <c r="J81" s="20" t="s">
        <v>35</v>
      </c>
      <c r="K81" s="21" t="s">
        <v>252</v>
      </c>
      <c r="L81" s="21" t="s">
        <v>88</v>
      </c>
      <c r="N81" s="21" t="s">
        <v>275</v>
      </c>
      <c r="P81" s="21" t="s">
        <v>276</v>
      </c>
      <c r="S81" s="20" t="s">
        <v>39</v>
      </c>
      <c r="T81" s="21" t="s">
        <v>50</v>
      </c>
      <c r="V81" s="21" t="s">
        <v>69</v>
      </c>
      <c r="W81" s="21" t="s">
        <v>41</v>
      </c>
      <c r="X81" s="21" t="s">
        <v>199</v>
      </c>
      <c r="Y81" s="21" t="s">
        <v>72</v>
      </c>
      <c r="AA81" s="21" t="s">
        <v>45</v>
      </c>
      <c r="AB81" s="21" t="s">
        <v>73</v>
      </c>
      <c r="AC81" s="21" t="s">
        <v>74</v>
      </c>
      <c r="AD81" s="21" t="s">
        <v>91</v>
      </c>
      <c r="AE81" s="21" t="s">
        <v>49</v>
      </c>
      <c r="AG81" s="21" t="s">
        <v>50</v>
      </c>
      <c r="AH81" s="21" t="s">
        <v>235</v>
      </c>
    </row>
    <row r="82" ht="16.5" customHeight="1">
      <c r="A82" s="19" t="s">
        <v>31</v>
      </c>
      <c r="B82" s="19" t="s">
        <v>64</v>
      </c>
      <c r="E82" s="20" t="s">
        <v>33</v>
      </c>
      <c r="G82" s="21" t="s">
        <v>232</v>
      </c>
      <c r="J82" s="20" t="s">
        <v>35</v>
      </c>
      <c r="K82" s="21" t="s">
        <v>180</v>
      </c>
      <c r="L82" s="21" t="s">
        <v>88</v>
      </c>
      <c r="N82" s="21" t="s">
        <v>277</v>
      </c>
      <c r="P82" s="21" t="s">
        <v>278</v>
      </c>
      <c r="S82" s="20" t="s">
        <v>39</v>
      </c>
      <c r="T82" s="21" t="s">
        <v>50</v>
      </c>
      <c r="V82" s="21" t="s">
        <v>69</v>
      </c>
      <c r="W82" s="21" t="s">
        <v>168</v>
      </c>
      <c r="X82" s="21" t="s">
        <v>169</v>
      </c>
      <c r="Y82" s="21" t="s">
        <v>170</v>
      </c>
      <c r="AA82" s="21" t="s">
        <v>45</v>
      </c>
      <c r="AB82" s="21" t="s">
        <v>73</v>
      </c>
      <c r="AC82" s="21" t="s">
        <v>171</v>
      </c>
      <c r="AD82" s="21" t="s">
        <v>172</v>
      </c>
      <c r="AE82" s="21" t="s">
        <v>49</v>
      </c>
      <c r="AG82" s="21" t="s">
        <v>50</v>
      </c>
      <c r="AH82" s="21" t="s">
        <v>235</v>
      </c>
    </row>
    <row r="83" ht="16.5" customHeight="1">
      <c r="A83" s="19" t="s">
        <v>31</v>
      </c>
      <c r="B83" s="19" t="s">
        <v>64</v>
      </c>
      <c r="E83" s="20" t="s">
        <v>33</v>
      </c>
      <c r="G83" s="21" t="s">
        <v>232</v>
      </c>
      <c r="J83" s="20" t="s">
        <v>35</v>
      </c>
      <c r="K83" s="21" t="s">
        <v>185</v>
      </c>
      <c r="L83" s="21" t="s">
        <v>88</v>
      </c>
      <c r="N83" s="21" t="s">
        <v>279</v>
      </c>
      <c r="P83" s="21" t="s">
        <v>280</v>
      </c>
      <c r="S83" s="20" t="s">
        <v>39</v>
      </c>
      <c r="T83" s="21" t="s">
        <v>50</v>
      </c>
      <c r="V83" s="21" t="s">
        <v>69</v>
      </c>
      <c r="W83" s="21" t="s">
        <v>96</v>
      </c>
      <c r="X83" s="21" t="s">
        <v>97</v>
      </c>
      <c r="Y83" s="21" t="s">
        <v>72</v>
      </c>
      <c r="AA83" s="21" t="s">
        <v>45</v>
      </c>
      <c r="AB83" s="21" t="s">
        <v>73</v>
      </c>
      <c r="AC83" s="21" t="s">
        <v>74</v>
      </c>
      <c r="AD83" s="21" t="s">
        <v>91</v>
      </c>
      <c r="AE83" s="21" t="s">
        <v>49</v>
      </c>
      <c r="AG83" s="21" t="s">
        <v>50</v>
      </c>
      <c r="AH83" s="21" t="s">
        <v>235</v>
      </c>
    </row>
    <row r="84" ht="16.5" customHeight="1">
      <c r="A84" s="19" t="s">
        <v>31</v>
      </c>
      <c r="B84" s="19" t="s">
        <v>64</v>
      </c>
      <c r="E84" s="20" t="s">
        <v>33</v>
      </c>
      <c r="G84" s="21" t="s">
        <v>232</v>
      </c>
      <c r="J84" s="20" t="s">
        <v>35</v>
      </c>
      <c r="K84" s="21" t="s">
        <v>76</v>
      </c>
      <c r="L84" s="21" t="s">
        <v>88</v>
      </c>
      <c r="N84" s="21" t="s">
        <v>281</v>
      </c>
      <c r="P84" s="21" t="s">
        <v>282</v>
      </c>
      <c r="S84" s="20" t="s">
        <v>39</v>
      </c>
      <c r="T84" s="21" t="s">
        <v>50</v>
      </c>
      <c r="V84" s="21" t="s">
        <v>69</v>
      </c>
      <c r="W84" s="21" t="s">
        <v>283</v>
      </c>
      <c r="X84" s="21" t="s">
        <v>284</v>
      </c>
      <c r="Y84" s="21" t="s">
        <v>72</v>
      </c>
      <c r="AA84" s="21" t="s">
        <v>45</v>
      </c>
      <c r="AB84" s="21" t="s">
        <v>73</v>
      </c>
      <c r="AC84" s="21" t="s">
        <v>74</v>
      </c>
      <c r="AD84" s="21" t="s">
        <v>91</v>
      </c>
      <c r="AE84" s="21" t="s">
        <v>49</v>
      </c>
      <c r="AG84" s="21" t="s">
        <v>50</v>
      </c>
      <c r="AH84" s="21" t="s">
        <v>235</v>
      </c>
    </row>
    <row r="85" ht="16.5" customHeight="1">
      <c r="A85" s="19" t="s">
        <v>31</v>
      </c>
      <c r="B85" s="19" t="s">
        <v>64</v>
      </c>
      <c r="E85" s="20" t="s">
        <v>33</v>
      </c>
      <c r="G85" s="21" t="s">
        <v>232</v>
      </c>
      <c r="J85" s="20" t="s">
        <v>35</v>
      </c>
      <c r="K85" s="21" t="s">
        <v>76</v>
      </c>
      <c r="L85" s="21" t="s">
        <v>88</v>
      </c>
      <c r="N85" s="21" t="s">
        <v>285</v>
      </c>
      <c r="P85" s="21" t="s">
        <v>286</v>
      </c>
      <c r="S85" s="20" t="s">
        <v>39</v>
      </c>
      <c r="T85" s="21" t="s">
        <v>50</v>
      </c>
      <c r="V85" s="21" t="s">
        <v>69</v>
      </c>
      <c r="W85" s="21" t="s">
        <v>70</v>
      </c>
      <c r="X85" s="21" t="s">
        <v>71</v>
      </c>
      <c r="Y85" s="21" t="s">
        <v>72</v>
      </c>
      <c r="AA85" s="21" t="s">
        <v>45</v>
      </c>
      <c r="AB85" s="21" t="s">
        <v>73</v>
      </c>
      <c r="AC85" s="21" t="s">
        <v>74</v>
      </c>
      <c r="AD85" s="21" t="s">
        <v>91</v>
      </c>
      <c r="AE85" s="21" t="s">
        <v>49</v>
      </c>
      <c r="AG85" s="21" t="s">
        <v>50</v>
      </c>
      <c r="AH85" s="21" t="s">
        <v>235</v>
      </c>
    </row>
    <row r="86" ht="16.5" customHeight="1">
      <c r="A86" s="19" t="s">
        <v>31</v>
      </c>
      <c r="B86" s="19" t="s">
        <v>64</v>
      </c>
      <c r="E86" s="20" t="s">
        <v>33</v>
      </c>
      <c r="G86" s="21" t="s">
        <v>232</v>
      </c>
      <c r="J86" s="20" t="s">
        <v>35</v>
      </c>
      <c r="K86" s="21" t="s">
        <v>108</v>
      </c>
      <c r="L86" s="21" t="s">
        <v>287</v>
      </c>
      <c r="N86" s="21" t="s">
        <v>288</v>
      </c>
      <c r="P86" s="21" t="s">
        <v>289</v>
      </c>
      <c r="S86" s="20" t="s">
        <v>39</v>
      </c>
      <c r="T86" s="21" t="s">
        <v>50</v>
      </c>
      <c r="V86" s="21" t="s">
        <v>69</v>
      </c>
      <c r="W86" s="21" t="s">
        <v>154</v>
      </c>
      <c r="X86" s="21" t="s">
        <v>151</v>
      </c>
      <c r="Y86" s="21" t="s">
        <v>72</v>
      </c>
      <c r="AA86" s="21" t="s">
        <v>45</v>
      </c>
      <c r="AB86" s="21" t="s">
        <v>73</v>
      </c>
      <c r="AC86" s="21" t="s">
        <v>74</v>
      </c>
      <c r="AD86" s="21" t="s">
        <v>290</v>
      </c>
      <c r="AE86" s="21" t="s">
        <v>49</v>
      </c>
      <c r="AG86" s="21" t="s">
        <v>50</v>
      </c>
      <c r="AH86" s="21" t="s">
        <v>235</v>
      </c>
    </row>
    <row r="87" ht="16.5" customHeight="1">
      <c r="A87" s="19" t="s">
        <v>31</v>
      </c>
      <c r="B87" s="19" t="s">
        <v>64</v>
      </c>
      <c r="E87" s="20" t="s">
        <v>33</v>
      </c>
      <c r="G87" s="21" t="s">
        <v>232</v>
      </c>
      <c r="J87" s="20" t="s">
        <v>35</v>
      </c>
      <c r="K87" s="21" t="s">
        <v>76</v>
      </c>
      <c r="L87" s="21" t="s">
        <v>88</v>
      </c>
      <c r="N87" s="21" t="s">
        <v>291</v>
      </c>
      <c r="P87" s="21" t="s">
        <v>292</v>
      </c>
      <c r="S87" s="20" t="s">
        <v>39</v>
      </c>
      <c r="T87" s="21" t="s">
        <v>50</v>
      </c>
      <c r="V87" s="21" t="s">
        <v>69</v>
      </c>
      <c r="W87" s="21" t="s">
        <v>293</v>
      </c>
      <c r="X87" s="21" t="s">
        <v>294</v>
      </c>
      <c r="Y87" s="21" t="s">
        <v>72</v>
      </c>
      <c r="AA87" s="21" t="s">
        <v>45</v>
      </c>
      <c r="AB87" s="21" t="s">
        <v>73</v>
      </c>
      <c r="AC87" s="21" t="s">
        <v>74</v>
      </c>
      <c r="AD87" s="21" t="s">
        <v>91</v>
      </c>
      <c r="AE87" s="21" t="s">
        <v>49</v>
      </c>
      <c r="AG87" s="21" t="s">
        <v>50</v>
      </c>
      <c r="AH87" s="21" t="s">
        <v>235</v>
      </c>
    </row>
    <row r="88" ht="6.0" customHeight="1"/>
    <row r="89" ht="12.0" customHeight="1"/>
    <row r="90" ht="16.5" customHeight="1">
      <c r="A90" s="19" t="s">
        <v>31</v>
      </c>
      <c r="B90" s="19" t="s">
        <v>64</v>
      </c>
      <c r="E90" s="20" t="s">
        <v>33</v>
      </c>
      <c r="G90" s="21" t="s">
        <v>232</v>
      </c>
      <c r="J90" s="20" t="s">
        <v>35</v>
      </c>
      <c r="K90" s="21" t="s">
        <v>76</v>
      </c>
      <c r="L90" s="21" t="s">
        <v>88</v>
      </c>
      <c r="N90" s="21" t="s">
        <v>291</v>
      </c>
      <c r="P90" s="21" t="s">
        <v>292</v>
      </c>
      <c r="S90" s="20" t="s">
        <v>39</v>
      </c>
      <c r="T90" s="21" t="s">
        <v>50</v>
      </c>
      <c r="V90" s="21" t="s">
        <v>41</v>
      </c>
      <c r="W90" s="21" t="s">
        <v>293</v>
      </c>
      <c r="X90" s="21" t="s">
        <v>295</v>
      </c>
      <c r="Y90" s="21" t="s">
        <v>72</v>
      </c>
      <c r="AA90" s="21" t="s">
        <v>45</v>
      </c>
      <c r="AB90" s="21" t="s">
        <v>73</v>
      </c>
      <c r="AC90" s="21" t="s">
        <v>74</v>
      </c>
      <c r="AD90" s="21" t="s">
        <v>91</v>
      </c>
      <c r="AE90" s="21" t="s">
        <v>49</v>
      </c>
      <c r="AG90" s="21" t="s">
        <v>50</v>
      </c>
      <c r="AH90" s="21" t="s">
        <v>235</v>
      </c>
    </row>
    <row r="91" ht="16.5" customHeight="1">
      <c r="A91" s="19" t="s">
        <v>31</v>
      </c>
      <c r="B91" s="19" t="s">
        <v>64</v>
      </c>
      <c r="E91" s="20" t="s">
        <v>33</v>
      </c>
      <c r="G91" s="21" t="s">
        <v>232</v>
      </c>
      <c r="J91" s="20" t="s">
        <v>35</v>
      </c>
      <c r="K91" s="21" t="s">
        <v>93</v>
      </c>
      <c r="L91" s="21" t="s">
        <v>88</v>
      </c>
      <c r="N91" s="21" t="s">
        <v>296</v>
      </c>
      <c r="P91" s="21" t="s">
        <v>297</v>
      </c>
      <c r="S91" s="20" t="s">
        <v>39</v>
      </c>
      <c r="T91" s="21" t="s">
        <v>50</v>
      </c>
      <c r="V91" s="21" t="s">
        <v>69</v>
      </c>
      <c r="W91" s="21" t="s">
        <v>298</v>
      </c>
      <c r="X91" s="21" t="s">
        <v>299</v>
      </c>
      <c r="Y91" s="21" t="s">
        <v>72</v>
      </c>
      <c r="AA91" s="21" t="s">
        <v>45</v>
      </c>
      <c r="AB91" s="21" t="s">
        <v>73</v>
      </c>
      <c r="AC91" s="21" t="s">
        <v>74</v>
      </c>
      <c r="AD91" s="21" t="s">
        <v>91</v>
      </c>
      <c r="AE91" s="21" t="s">
        <v>49</v>
      </c>
      <c r="AG91" s="21" t="s">
        <v>50</v>
      </c>
      <c r="AH91" s="21" t="s">
        <v>235</v>
      </c>
    </row>
    <row r="92" ht="16.5" customHeight="1">
      <c r="A92" s="19" t="s">
        <v>31</v>
      </c>
      <c r="B92" s="19" t="s">
        <v>64</v>
      </c>
      <c r="E92" s="20" t="s">
        <v>33</v>
      </c>
      <c r="G92" s="21" t="s">
        <v>232</v>
      </c>
      <c r="J92" s="20" t="s">
        <v>35</v>
      </c>
      <c r="K92" s="21" t="s">
        <v>249</v>
      </c>
      <c r="L92" s="21" t="s">
        <v>77</v>
      </c>
      <c r="N92" s="21" t="s">
        <v>300</v>
      </c>
      <c r="P92" s="21" t="s">
        <v>301</v>
      </c>
      <c r="S92" s="20" t="s">
        <v>39</v>
      </c>
      <c r="T92" s="21" t="s">
        <v>50</v>
      </c>
      <c r="V92" s="21" t="s">
        <v>41</v>
      </c>
      <c r="W92" s="21" t="s">
        <v>298</v>
      </c>
      <c r="X92" s="21" t="s">
        <v>134</v>
      </c>
      <c r="Y92" s="21" t="s">
        <v>72</v>
      </c>
      <c r="AA92" s="21" t="s">
        <v>45</v>
      </c>
      <c r="AB92" s="21" t="s">
        <v>73</v>
      </c>
      <c r="AC92" s="21" t="s">
        <v>74</v>
      </c>
      <c r="AD92" s="21" t="s">
        <v>82</v>
      </c>
      <c r="AE92" s="21" t="s">
        <v>49</v>
      </c>
      <c r="AG92" s="21" t="s">
        <v>50</v>
      </c>
      <c r="AH92" s="21" t="s">
        <v>235</v>
      </c>
    </row>
    <row r="93" ht="16.5" customHeight="1">
      <c r="A93" s="19" t="s">
        <v>31</v>
      </c>
      <c r="B93" s="19" t="s">
        <v>64</v>
      </c>
      <c r="E93" s="20" t="s">
        <v>33</v>
      </c>
      <c r="G93" s="21" t="s">
        <v>232</v>
      </c>
      <c r="J93" s="20" t="s">
        <v>35</v>
      </c>
      <c r="K93" s="21" t="s">
        <v>240</v>
      </c>
      <c r="L93" s="21" t="s">
        <v>88</v>
      </c>
      <c r="N93" s="21" t="s">
        <v>302</v>
      </c>
      <c r="P93" s="21" t="s">
        <v>303</v>
      </c>
      <c r="S93" s="20" t="s">
        <v>39</v>
      </c>
      <c r="T93" s="21" t="s">
        <v>50</v>
      </c>
      <c r="V93" s="21" t="s">
        <v>69</v>
      </c>
      <c r="W93" s="21" t="s">
        <v>168</v>
      </c>
      <c r="X93" s="21" t="s">
        <v>169</v>
      </c>
      <c r="Y93" s="21" t="s">
        <v>170</v>
      </c>
      <c r="AA93" s="21" t="s">
        <v>45</v>
      </c>
      <c r="AB93" s="21" t="s">
        <v>73</v>
      </c>
      <c r="AC93" s="21" t="s">
        <v>171</v>
      </c>
      <c r="AD93" s="21" t="s">
        <v>172</v>
      </c>
      <c r="AE93" s="21" t="s">
        <v>49</v>
      </c>
      <c r="AG93" s="21" t="s">
        <v>50</v>
      </c>
      <c r="AH93" s="21" t="s">
        <v>235</v>
      </c>
    </row>
    <row r="94" ht="16.5" customHeight="1">
      <c r="A94" s="19" t="s">
        <v>31</v>
      </c>
      <c r="B94" s="19" t="s">
        <v>64</v>
      </c>
      <c r="E94" s="20" t="s">
        <v>33</v>
      </c>
      <c r="G94" s="21" t="s">
        <v>232</v>
      </c>
      <c r="J94" s="20" t="s">
        <v>35</v>
      </c>
      <c r="K94" s="21" t="s">
        <v>240</v>
      </c>
      <c r="L94" s="21" t="s">
        <v>88</v>
      </c>
      <c r="N94" s="21" t="s">
        <v>304</v>
      </c>
      <c r="P94" s="21" t="s">
        <v>305</v>
      </c>
      <c r="S94" s="20" t="s">
        <v>39</v>
      </c>
      <c r="T94" s="21" t="s">
        <v>50</v>
      </c>
      <c r="V94" s="21" t="s">
        <v>69</v>
      </c>
      <c r="W94" s="21" t="s">
        <v>56</v>
      </c>
      <c r="X94" s="21" t="s">
        <v>103</v>
      </c>
      <c r="Y94" s="21" t="s">
        <v>170</v>
      </c>
      <c r="AA94" s="21" t="s">
        <v>45</v>
      </c>
      <c r="AB94" s="21" t="s">
        <v>73</v>
      </c>
      <c r="AC94" s="21" t="s">
        <v>171</v>
      </c>
      <c r="AD94" s="21" t="s">
        <v>172</v>
      </c>
      <c r="AE94" s="21" t="s">
        <v>49</v>
      </c>
      <c r="AG94" s="21" t="s">
        <v>50</v>
      </c>
      <c r="AH94" s="21" t="s">
        <v>235</v>
      </c>
    </row>
    <row r="95" ht="16.5" customHeight="1">
      <c r="A95" s="19" t="s">
        <v>31</v>
      </c>
      <c r="B95" s="19" t="s">
        <v>64</v>
      </c>
      <c r="E95" s="20" t="s">
        <v>33</v>
      </c>
      <c r="G95" s="21" t="s">
        <v>232</v>
      </c>
      <c r="J95" s="20" t="s">
        <v>35</v>
      </c>
      <c r="K95" s="21" t="s">
        <v>240</v>
      </c>
      <c r="L95" s="21" t="s">
        <v>66</v>
      </c>
      <c r="N95" s="21" t="s">
        <v>306</v>
      </c>
      <c r="P95" s="21" t="s">
        <v>307</v>
      </c>
      <c r="S95" s="20" t="s">
        <v>39</v>
      </c>
      <c r="T95" s="21" t="s">
        <v>50</v>
      </c>
      <c r="V95" s="21" t="s">
        <v>69</v>
      </c>
      <c r="W95" s="21" t="s">
        <v>160</v>
      </c>
      <c r="X95" s="21" t="s">
        <v>161</v>
      </c>
      <c r="Y95" s="21" t="s">
        <v>170</v>
      </c>
      <c r="AA95" s="21" t="s">
        <v>45</v>
      </c>
      <c r="AB95" s="21" t="s">
        <v>73</v>
      </c>
      <c r="AC95" s="21" t="s">
        <v>171</v>
      </c>
      <c r="AD95" s="21" t="s">
        <v>183</v>
      </c>
      <c r="AE95" s="21" t="s">
        <v>49</v>
      </c>
      <c r="AG95" s="21" t="s">
        <v>50</v>
      </c>
      <c r="AH95" s="21" t="s">
        <v>235</v>
      </c>
    </row>
    <row r="96" ht="16.5" customHeight="1">
      <c r="A96" s="19" t="s">
        <v>31</v>
      </c>
      <c r="B96" s="19" t="s">
        <v>64</v>
      </c>
      <c r="E96" s="20" t="s">
        <v>33</v>
      </c>
      <c r="G96" s="21" t="s">
        <v>232</v>
      </c>
      <c r="J96" s="20" t="s">
        <v>35</v>
      </c>
      <c r="K96" s="21" t="s">
        <v>93</v>
      </c>
      <c r="L96" s="21" t="s">
        <v>287</v>
      </c>
      <c r="N96" s="21" t="s">
        <v>308</v>
      </c>
      <c r="P96" s="21" t="s">
        <v>309</v>
      </c>
      <c r="S96" s="20" t="s">
        <v>39</v>
      </c>
      <c r="T96" s="21" t="s">
        <v>50</v>
      </c>
      <c r="V96" s="21" t="s">
        <v>69</v>
      </c>
      <c r="W96" s="21" t="s">
        <v>310</v>
      </c>
      <c r="X96" s="21" t="s">
        <v>311</v>
      </c>
      <c r="Y96" s="21" t="s">
        <v>72</v>
      </c>
      <c r="AA96" s="21" t="s">
        <v>45</v>
      </c>
      <c r="AB96" s="21" t="s">
        <v>73</v>
      </c>
      <c r="AC96" s="21" t="s">
        <v>74</v>
      </c>
      <c r="AD96" s="21" t="s">
        <v>290</v>
      </c>
      <c r="AE96" s="21" t="s">
        <v>49</v>
      </c>
      <c r="AG96" s="21" t="s">
        <v>50</v>
      </c>
      <c r="AH96" s="21" t="s">
        <v>235</v>
      </c>
    </row>
    <row r="97" ht="16.5" customHeight="1">
      <c r="A97" s="19" t="s">
        <v>31</v>
      </c>
      <c r="B97" s="19" t="s">
        <v>64</v>
      </c>
      <c r="E97" s="20" t="s">
        <v>33</v>
      </c>
      <c r="G97" s="21" t="s">
        <v>232</v>
      </c>
      <c r="J97" s="20" t="s">
        <v>35</v>
      </c>
      <c r="K97" s="21" t="s">
        <v>240</v>
      </c>
      <c r="L97" s="21" t="s">
        <v>66</v>
      </c>
      <c r="N97" s="21" t="s">
        <v>312</v>
      </c>
      <c r="P97" s="21" t="s">
        <v>313</v>
      </c>
      <c r="S97" s="20" t="s">
        <v>39</v>
      </c>
      <c r="T97" s="21" t="s">
        <v>50</v>
      </c>
      <c r="V97" s="21" t="s">
        <v>69</v>
      </c>
      <c r="W97" s="21" t="s">
        <v>293</v>
      </c>
      <c r="X97" s="21" t="s">
        <v>294</v>
      </c>
      <c r="Y97" s="21" t="s">
        <v>170</v>
      </c>
      <c r="AA97" s="21" t="s">
        <v>45</v>
      </c>
      <c r="AB97" s="21" t="s">
        <v>73</v>
      </c>
      <c r="AC97" s="21" t="s">
        <v>171</v>
      </c>
      <c r="AD97" s="21" t="s">
        <v>183</v>
      </c>
      <c r="AE97" s="21" t="s">
        <v>49</v>
      </c>
      <c r="AG97" s="21" t="s">
        <v>50</v>
      </c>
      <c r="AH97" s="21" t="s">
        <v>235</v>
      </c>
    </row>
    <row r="98" ht="16.5" customHeight="1">
      <c r="A98" s="19" t="s">
        <v>31</v>
      </c>
      <c r="B98" s="19" t="s">
        <v>64</v>
      </c>
      <c r="E98" s="20" t="s">
        <v>33</v>
      </c>
      <c r="G98" s="21" t="s">
        <v>232</v>
      </c>
      <c r="J98" s="20" t="s">
        <v>35</v>
      </c>
      <c r="K98" s="21" t="s">
        <v>76</v>
      </c>
      <c r="L98" s="21" t="s">
        <v>66</v>
      </c>
      <c r="N98" s="21" t="s">
        <v>314</v>
      </c>
      <c r="P98" s="21" t="s">
        <v>315</v>
      </c>
      <c r="S98" s="20" t="s">
        <v>39</v>
      </c>
      <c r="T98" s="21" t="s">
        <v>50</v>
      </c>
      <c r="V98" s="21" t="s">
        <v>41</v>
      </c>
      <c r="W98" s="21" t="s">
        <v>316</v>
      </c>
      <c r="X98" s="21" t="s">
        <v>317</v>
      </c>
      <c r="Y98" s="21" t="s">
        <v>72</v>
      </c>
      <c r="AA98" s="21" t="s">
        <v>45</v>
      </c>
      <c r="AB98" s="21" t="s">
        <v>73</v>
      </c>
      <c r="AC98" s="21" t="s">
        <v>74</v>
      </c>
      <c r="AD98" s="21" t="s">
        <v>75</v>
      </c>
      <c r="AE98" s="21" t="s">
        <v>49</v>
      </c>
      <c r="AG98" s="21" t="s">
        <v>50</v>
      </c>
      <c r="AH98" s="21" t="s">
        <v>235</v>
      </c>
    </row>
    <row r="99" ht="16.5" customHeight="1">
      <c r="A99" s="19" t="s">
        <v>31</v>
      </c>
      <c r="B99" s="19" t="s">
        <v>64</v>
      </c>
      <c r="E99" s="20" t="s">
        <v>33</v>
      </c>
      <c r="G99" s="21" t="s">
        <v>232</v>
      </c>
      <c r="J99" s="20" t="s">
        <v>35</v>
      </c>
      <c r="K99" s="21" t="s">
        <v>76</v>
      </c>
      <c r="L99" s="21" t="s">
        <v>66</v>
      </c>
      <c r="N99" s="21" t="s">
        <v>314</v>
      </c>
      <c r="P99" s="21" t="s">
        <v>315</v>
      </c>
      <c r="S99" s="20" t="s">
        <v>39</v>
      </c>
      <c r="T99" s="21" t="s">
        <v>50</v>
      </c>
      <c r="V99" s="21" t="s">
        <v>150</v>
      </c>
      <c r="W99" s="21" t="s">
        <v>316</v>
      </c>
      <c r="X99" s="21" t="s">
        <v>318</v>
      </c>
      <c r="Y99" s="21" t="s">
        <v>72</v>
      </c>
      <c r="AA99" s="21" t="s">
        <v>45</v>
      </c>
      <c r="AB99" s="21" t="s">
        <v>73</v>
      </c>
      <c r="AC99" s="21" t="s">
        <v>74</v>
      </c>
      <c r="AD99" s="21" t="s">
        <v>75</v>
      </c>
      <c r="AE99" s="21" t="s">
        <v>49</v>
      </c>
      <c r="AG99" s="21" t="s">
        <v>50</v>
      </c>
      <c r="AH99" s="21" t="s">
        <v>235</v>
      </c>
    </row>
    <row r="100" ht="16.5" customHeight="1">
      <c r="A100" s="19" t="s">
        <v>31</v>
      </c>
      <c r="B100" s="19" t="s">
        <v>64</v>
      </c>
      <c r="E100" s="20" t="s">
        <v>33</v>
      </c>
      <c r="G100" s="21" t="s">
        <v>232</v>
      </c>
      <c r="J100" s="20" t="s">
        <v>35</v>
      </c>
      <c r="K100" s="21" t="s">
        <v>108</v>
      </c>
      <c r="L100" s="21" t="s">
        <v>88</v>
      </c>
      <c r="N100" s="21" t="s">
        <v>319</v>
      </c>
      <c r="P100" s="21" t="s">
        <v>320</v>
      </c>
      <c r="S100" s="20" t="s">
        <v>39</v>
      </c>
      <c r="T100" s="21" t="s">
        <v>50</v>
      </c>
      <c r="V100" s="21" t="s">
        <v>69</v>
      </c>
      <c r="W100" s="21" t="s">
        <v>316</v>
      </c>
      <c r="X100" s="21" t="s">
        <v>295</v>
      </c>
      <c r="Y100" s="21" t="s">
        <v>72</v>
      </c>
      <c r="AA100" s="21" t="s">
        <v>45</v>
      </c>
      <c r="AB100" s="21" t="s">
        <v>73</v>
      </c>
      <c r="AC100" s="21" t="s">
        <v>74</v>
      </c>
      <c r="AD100" s="21" t="s">
        <v>91</v>
      </c>
      <c r="AE100" s="21" t="s">
        <v>49</v>
      </c>
      <c r="AG100" s="21" t="s">
        <v>50</v>
      </c>
      <c r="AH100" s="21" t="s">
        <v>235</v>
      </c>
    </row>
    <row r="101" ht="16.5" customHeight="1">
      <c r="A101" s="19" t="s">
        <v>31</v>
      </c>
      <c r="B101" s="19" t="s">
        <v>64</v>
      </c>
      <c r="E101" s="20" t="s">
        <v>33</v>
      </c>
      <c r="G101" s="21" t="s">
        <v>232</v>
      </c>
      <c r="J101" s="20" t="s">
        <v>35</v>
      </c>
      <c r="K101" s="21" t="s">
        <v>76</v>
      </c>
      <c r="L101" s="21" t="s">
        <v>77</v>
      </c>
      <c r="N101" s="21" t="s">
        <v>321</v>
      </c>
      <c r="P101" s="21" t="s">
        <v>322</v>
      </c>
      <c r="S101" s="20" t="s">
        <v>39</v>
      </c>
      <c r="T101" s="21" t="s">
        <v>50</v>
      </c>
      <c r="V101" s="21" t="s">
        <v>69</v>
      </c>
      <c r="W101" s="21" t="s">
        <v>316</v>
      </c>
      <c r="X101" s="21" t="s">
        <v>295</v>
      </c>
      <c r="Y101" s="21" t="s">
        <v>72</v>
      </c>
      <c r="AA101" s="21" t="s">
        <v>45</v>
      </c>
      <c r="AB101" s="21" t="s">
        <v>73</v>
      </c>
      <c r="AC101" s="21" t="s">
        <v>74</v>
      </c>
      <c r="AD101" s="21" t="s">
        <v>82</v>
      </c>
      <c r="AE101" s="21" t="s">
        <v>49</v>
      </c>
      <c r="AG101" s="21" t="s">
        <v>50</v>
      </c>
      <c r="AH101" s="21" t="s">
        <v>235</v>
      </c>
    </row>
    <row r="102" ht="16.5" customHeight="1">
      <c r="A102" s="19" t="s">
        <v>31</v>
      </c>
      <c r="B102" s="19" t="s">
        <v>64</v>
      </c>
      <c r="E102" s="20" t="s">
        <v>33</v>
      </c>
      <c r="G102" s="21" t="s">
        <v>232</v>
      </c>
      <c r="J102" s="20" t="s">
        <v>35</v>
      </c>
      <c r="K102" s="21" t="s">
        <v>76</v>
      </c>
      <c r="L102" s="21" t="s">
        <v>88</v>
      </c>
      <c r="N102" s="21" t="s">
        <v>323</v>
      </c>
      <c r="P102" s="21" t="s">
        <v>324</v>
      </c>
      <c r="S102" s="20" t="s">
        <v>39</v>
      </c>
      <c r="T102" s="21" t="s">
        <v>50</v>
      </c>
      <c r="V102" s="21" t="s">
        <v>69</v>
      </c>
      <c r="W102" s="21" t="s">
        <v>325</v>
      </c>
      <c r="X102" s="21" t="s">
        <v>318</v>
      </c>
      <c r="Y102" s="21" t="s">
        <v>72</v>
      </c>
      <c r="AA102" s="21" t="s">
        <v>45</v>
      </c>
      <c r="AB102" s="21" t="s">
        <v>73</v>
      </c>
      <c r="AC102" s="21" t="s">
        <v>74</v>
      </c>
      <c r="AD102" s="21" t="s">
        <v>91</v>
      </c>
      <c r="AE102" s="21" t="s">
        <v>49</v>
      </c>
      <c r="AG102" s="21" t="s">
        <v>50</v>
      </c>
      <c r="AH102" s="21" t="s">
        <v>235</v>
      </c>
    </row>
    <row r="103" ht="16.5" customHeight="1">
      <c r="A103" s="19" t="s">
        <v>31</v>
      </c>
      <c r="B103" s="19" t="s">
        <v>64</v>
      </c>
      <c r="E103" s="20" t="s">
        <v>33</v>
      </c>
      <c r="G103" s="21" t="s">
        <v>232</v>
      </c>
      <c r="J103" s="20" t="s">
        <v>35</v>
      </c>
      <c r="K103" s="21" t="s">
        <v>326</v>
      </c>
      <c r="L103" s="21" t="s">
        <v>327</v>
      </c>
      <c r="N103" s="21" t="s">
        <v>328</v>
      </c>
      <c r="P103" s="21" t="s">
        <v>329</v>
      </c>
      <c r="S103" s="20" t="s">
        <v>39</v>
      </c>
      <c r="T103" s="21" t="s">
        <v>50</v>
      </c>
      <c r="V103" s="21" t="s">
        <v>41</v>
      </c>
      <c r="W103" s="21" t="s">
        <v>56</v>
      </c>
      <c r="X103" s="21" t="s">
        <v>57</v>
      </c>
      <c r="Y103" s="21" t="s">
        <v>72</v>
      </c>
      <c r="AA103" s="21" t="s">
        <v>45</v>
      </c>
      <c r="AB103" s="21" t="s">
        <v>73</v>
      </c>
      <c r="AC103" s="21" t="s">
        <v>74</v>
      </c>
      <c r="AD103" s="21" t="s">
        <v>330</v>
      </c>
      <c r="AE103" s="21" t="s">
        <v>49</v>
      </c>
      <c r="AG103" s="21" t="s">
        <v>50</v>
      </c>
      <c r="AH103" s="21" t="s">
        <v>235</v>
      </c>
    </row>
    <row r="104" ht="16.5" customHeight="1">
      <c r="A104" s="19" t="s">
        <v>31</v>
      </c>
      <c r="B104" s="19" t="s">
        <v>64</v>
      </c>
      <c r="E104" s="20" t="s">
        <v>33</v>
      </c>
      <c r="G104" s="21" t="s">
        <v>232</v>
      </c>
      <c r="J104" s="20" t="s">
        <v>35</v>
      </c>
      <c r="K104" s="21" t="s">
        <v>326</v>
      </c>
      <c r="L104" s="21" t="s">
        <v>88</v>
      </c>
      <c r="N104" s="21" t="s">
        <v>328</v>
      </c>
      <c r="P104" s="21" t="s">
        <v>329</v>
      </c>
      <c r="S104" s="20" t="s">
        <v>39</v>
      </c>
      <c r="T104" s="21" t="s">
        <v>50</v>
      </c>
      <c r="V104" s="21" t="s">
        <v>41</v>
      </c>
      <c r="W104" s="21" t="s">
        <v>56</v>
      </c>
      <c r="X104" s="21" t="s">
        <v>57</v>
      </c>
      <c r="Y104" s="21" t="s">
        <v>72</v>
      </c>
      <c r="AA104" s="21" t="s">
        <v>45</v>
      </c>
      <c r="AB104" s="21" t="s">
        <v>73</v>
      </c>
      <c r="AC104" s="21" t="s">
        <v>74</v>
      </c>
      <c r="AD104" s="21" t="s">
        <v>91</v>
      </c>
      <c r="AE104" s="21" t="s">
        <v>49</v>
      </c>
      <c r="AG104" s="21" t="s">
        <v>50</v>
      </c>
      <c r="AH104" s="21" t="s">
        <v>235</v>
      </c>
    </row>
    <row r="105" ht="16.5" customHeight="1">
      <c r="A105" s="19" t="s">
        <v>31</v>
      </c>
      <c r="B105" s="19" t="s">
        <v>64</v>
      </c>
      <c r="E105" s="20" t="s">
        <v>33</v>
      </c>
      <c r="G105" s="21" t="s">
        <v>232</v>
      </c>
      <c r="J105" s="20" t="s">
        <v>35</v>
      </c>
      <c r="K105" s="21" t="s">
        <v>173</v>
      </c>
      <c r="L105" s="21" t="s">
        <v>88</v>
      </c>
      <c r="N105" s="21" t="s">
        <v>331</v>
      </c>
      <c r="P105" s="21" t="s">
        <v>332</v>
      </c>
      <c r="S105" s="20" t="s">
        <v>39</v>
      </c>
      <c r="T105" s="21" t="s">
        <v>50</v>
      </c>
      <c r="V105" s="21" t="s">
        <v>69</v>
      </c>
      <c r="W105" s="21" t="s">
        <v>333</v>
      </c>
      <c r="X105" s="21" t="s">
        <v>334</v>
      </c>
      <c r="Y105" s="21" t="s">
        <v>170</v>
      </c>
      <c r="AA105" s="21" t="s">
        <v>45</v>
      </c>
      <c r="AB105" s="21" t="s">
        <v>73</v>
      </c>
      <c r="AC105" s="21" t="s">
        <v>171</v>
      </c>
      <c r="AD105" s="21" t="s">
        <v>172</v>
      </c>
      <c r="AE105" s="21" t="s">
        <v>49</v>
      </c>
      <c r="AG105" s="21" t="s">
        <v>50</v>
      </c>
      <c r="AH105" s="21" t="s">
        <v>235</v>
      </c>
    </row>
    <row r="106" ht="16.5" customHeight="1">
      <c r="A106" s="19" t="s">
        <v>31</v>
      </c>
      <c r="B106" s="19" t="s">
        <v>64</v>
      </c>
      <c r="E106" s="20" t="s">
        <v>33</v>
      </c>
      <c r="G106" s="21" t="s">
        <v>232</v>
      </c>
      <c r="J106" s="20" t="s">
        <v>35</v>
      </c>
      <c r="K106" s="21" t="s">
        <v>209</v>
      </c>
      <c r="L106" s="21" t="s">
        <v>88</v>
      </c>
      <c r="N106" s="21" t="s">
        <v>335</v>
      </c>
      <c r="P106" s="21" t="s">
        <v>336</v>
      </c>
      <c r="S106" s="20" t="s">
        <v>39</v>
      </c>
      <c r="T106" s="21" t="s">
        <v>50</v>
      </c>
      <c r="V106" s="21" t="s">
        <v>69</v>
      </c>
      <c r="W106" s="21" t="s">
        <v>56</v>
      </c>
      <c r="X106" s="21" t="s">
        <v>103</v>
      </c>
      <c r="Y106" s="21" t="s">
        <v>72</v>
      </c>
      <c r="AA106" s="21" t="s">
        <v>45</v>
      </c>
      <c r="AB106" s="21" t="s">
        <v>73</v>
      </c>
      <c r="AC106" s="21" t="s">
        <v>74</v>
      </c>
      <c r="AD106" s="21" t="s">
        <v>91</v>
      </c>
      <c r="AE106" s="21" t="s">
        <v>49</v>
      </c>
      <c r="AG106" s="21" t="s">
        <v>50</v>
      </c>
      <c r="AH106" s="21" t="s">
        <v>235</v>
      </c>
    </row>
    <row r="107" ht="16.5" customHeight="1">
      <c r="A107" s="19" t="s">
        <v>31</v>
      </c>
      <c r="B107" s="19" t="s">
        <v>64</v>
      </c>
      <c r="E107" s="20" t="s">
        <v>33</v>
      </c>
      <c r="G107" s="21" t="s">
        <v>232</v>
      </c>
      <c r="J107" s="20" t="s">
        <v>35</v>
      </c>
      <c r="K107" s="21" t="s">
        <v>209</v>
      </c>
      <c r="L107" s="21" t="s">
        <v>88</v>
      </c>
      <c r="N107" s="21" t="s">
        <v>335</v>
      </c>
      <c r="P107" s="21" t="s">
        <v>336</v>
      </c>
      <c r="S107" s="20" t="s">
        <v>39</v>
      </c>
      <c r="T107" s="21" t="s">
        <v>50</v>
      </c>
      <c r="V107" s="21" t="s">
        <v>41</v>
      </c>
      <c r="W107" s="21" t="s">
        <v>56</v>
      </c>
      <c r="X107" s="21" t="s">
        <v>57</v>
      </c>
      <c r="Y107" s="21" t="s">
        <v>72</v>
      </c>
      <c r="AA107" s="21" t="s">
        <v>45</v>
      </c>
      <c r="AB107" s="21" t="s">
        <v>73</v>
      </c>
      <c r="AC107" s="21" t="s">
        <v>74</v>
      </c>
      <c r="AD107" s="21" t="s">
        <v>91</v>
      </c>
      <c r="AE107" s="21" t="s">
        <v>49</v>
      </c>
      <c r="AG107" s="21" t="s">
        <v>50</v>
      </c>
      <c r="AH107" s="21" t="s">
        <v>235</v>
      </c>
    </row>
    <row r="108" ht="16.5" customHeight="1">
      <c r="A108" s="19" t="s">
        <v>31</v>
      </c>
      <c r="B108" s="19" t="s">
        <v>64</v>
      </c>
      <c r="E108" s="20" t="s">
        <v>33</v>
      </c>
      <c r="G108" s="21" t="s">
        <v>232</v>
      </c>
      <c r="J108" s="20" t="s">
        <v>35</v>
      </c>
      <c r="K108" s="21" t="s">
        <v>337</v>
      </c>
      <c r="L108" s="21" t="s">
        <v>88</v>
      </c>
      <c r="N108" s="21" t="s">
        <v>338</v>
      </c>
      <c r="P108" s="21" t="s">
        <v>339</v>
      </c>
      <c r="S108" s="20" t="s">
        <v>39</v>
      </c>
      <c r="T108" s="21" t="s">
        <v>50</v>
      </c>
      <c r="V108" s="21" t="s">
        <v>69</v>
      </c>
      <c r="W108" s="21" t="s">
        <v>56</v>
      </c>
      <c r="X108" s="21" t="s">
        <v>103</v>
      </c>
      <c r="Y108" s="21" t="s">
        <v>170</v>
      </c>
      <c r="AA108" s="21" t="s">
        <v>45</v>
      </c>
      <c r="AB108" s="21" t="s">
        <v>73</v>
      </c>
      <c r="AC108" s="21" t="s">
        <v>171</v>
      </c>
      <c r="AD108" s="21" t="s">
        <v>172</v>
      </c>
      <c r="AE108" s="21" t="s">
        <v>49</v>
      </c>
      <c r="AG108" s="21" t="s">
        <v>50</v>
      </c>
      <c r="AH108" s="21" t="s">
        <v>235</v>
      </c>
    </row>
    <row r="109" ht="16.5" customHeight="1">
      <c r="A109" s="19" t="s">
        <v>31</v>
      </c>
      <c r="B109" s="19" t="s">
        <v>64</v>
      </c>
      <c r="E109" s="20" t="s">
        <v>33</v>
      </c>
      <c r="G109" s="21" t="s">
        <v>232</v>
      </c>
      <c r="J109" s="20" t="s">
        <v>35</v>
      </c>
      <c r="K109" s="21" t="s">
        <v>173</v>
      </c>
      <c r="L109" s="21" t="s">
        <v>88</v>
      </c>
      <c r="N109" s="21" t="s">
        <v>340</v>
      </c>
      <c r="P109" s="21" t="s">
        <v>341</v>
      </c>
      <c r="S109" s="20" t="s">
        <v>39</v>
      </c>
      <c r="T109" s="21" t="s">
        <v>50</v>
      </c>
      <c r="V109" s="21" t="s">
        <v>41</v>
      </c>
      <c r="W109" s="21" t="s">
        <v>56</v>
      </c>
      <c r="X109" s="21" t="s">
        <v>57</v>
      </c>
      <c r="Y109" s="21" t="s">
        <v>170</v>
      </c>
      <c r="AA109" s="21" t="s">
        <v>45</v>
      </c>
      <c r="AB109" s="21" t="s">
        <v>73</v>
      </c>
      <c r="AC109" s="21" t="s">
        <v>171</v>
      </c>
      <c r="AD109" s="21" t="s">
        <v>172</v>
      </c>
      <c r="AE109" s="21" t="s">
        <v>49</v>
      </c>
      <c r="AG109" s="21" t="s">
        <v>50</v>
      </c>
      <c r="AH109" s="21" t="s">
        <v>235</v>
      </c>
    </row>
    <row r="110" ht="16.5" customHeight="1">
      <c r="A110" s="19" t="s">
        <v>31</v>
      </c>
      <c r="B110" s="19" t="s">
        <v>64</v>
      </c>
      <c r="E110" s="20" t="s">
        <v>33</v>
      </c>
      <c r="G110" s="21" t="s">
        <v>232</v>
      </c>
      <c r="J110" s="20" t="s">
        <v>35</v>
      </c>
      <c r="K110" s="21" t="s">
        <v>173</v>
      </c>
      <c r="L110" s="21" t="s">
        <v>342</v>
      </c>
      <c r="N110" s="21" t="s">
        <v>343</v>
      </c>
      <c r="P110" s="21" t="s">
        <v>344</v>
      </c>
      <c r="S110" s="20" t="s">
        <v>39</v>
      </c>
      <c r="T110" s="21" t="s">
        <v>50</v>
      </c>
      <c r="V110" s="21" t="s">
        <v>41</v>
      </c>
      <c r="W110" s="21" t="s">
        <v>56</v>
      </c>
      <c r="X110" s="21" t="s">
        <v>57</v>
      </c>
      <c r="Y110" s="21" t="s">
        <v>170</v>
      </c>
      <c r="AA110" s="21" t="s">
        <v>45</v>
      </c>
      <c r="AB110" s="21" t="s">
        <v>73</v>
      </c>
      <c r="AC110" s="21" t="s">
        <v>171</v>
      </c>
      <c r="AD110" s="21" t="s">
        <v>345</v>
      </c>
      <c r="AE110" s="21" t="s">
        <v>49</v>
      </c>
      <c r="AG110" s="21" t="s">
        <v>50</v>
      </c>
      <c r="AH110" s="21" t="s">
        <v>235</v>
      </c>
    </row>
    <row r="111" ht="16.5" customHeight="1">
      <c r="A111" s="19" t="s">
        <v>31</v>
      </c>
      <c r="B111" s="19" t="s">
        <v>64</v>
      </c>
      <c r="E111" s="20" t="s">
        <v>33</v>
      </c>
      <c r="G111" s="21" t="s">
        <v>232</v>
      </c>
      <c r="J111" s="20" t="s">
        <v>35</v>
      </c>
      <c r="K111" s="21" t="s">
        <v>93</v>
      </c>
      <c r="L111" s="21" t="s">
        <v>327</v>
      </c>
      <c r="N111" s="21" t="s">
        <v>346</v>
      </c>
      <c r="P111" s="21" t="s">
        <v>347</v>
      </c>
      <c r="S111" s="20" t="s">
        <v>39</v>
      </c>
      <c r="T111" s="21" t="s">
        <v>50</v>
      </c>
      <c r="V111" s="21" t="s">
        <v>69</v>
      </c>
      <c r="W111" s="21" t="s">
        <v>56</v>
      </c>
      <c r="X111" s="21" t="s">
        <v>103</v>
      </c>
      <c r="Y111" s="21" t="s">
        <v>72</v>
      </c>
      <c r="AA111" s="21" t="s">
        <v>45</v>
      </c>
      <c r="AB111" s="21" t="s">
        <v>73</v>
      </c>
      <c r="AC111" s="21" t="s">
        <v>74</v>
      </c>
      <c r="AD111" s="21" t="s">
        <v>330</v>
      </c>
      <c r="AE111" s="21" t="s">
        <v>49</v>
      </c>
      <c r="AG111" s="21" t="s">
        <v>50</v>
      </c>
      <c r="AH111" s="21" t="s">
        <v>235</v>
      </c>
    </row>
    <row r="112" ht="16.5" customHeight="1">
      <c r="A112" s="19" t="s">
        <v>31</v>
      </c>
      <c r="B112" s="19" t="s">
        <v>64</v>
      </c>
      <c r="E112" s="20" t="s">
        <v>33</v>
      </c>
      <c r="G112" s="21" t="s">
        <v>232</v>
      </c>
      <c r="J112" s="20" t="s">
        <v>35</v>
      </c>
      <c r="K112" s="21" t="s">
        <v>93</v>
      </c>
      <c r="L112" s="21" t="s">
        <v>88</v>
      </c>
      <c r="N112" s="21" t="s">
        <v>346</v>
      </c>
      <c r="P112" s="21" t="s">
        <v>347</v>
      </c>
      <c r="S112" s="20" t="s">
        <v>39</v>
      </c>
      <c r="T112" s="21" t="s">
        <v>50</v>
      </c>
      <c r="V112" s="21" t="s">
        <v>69</v>
      </c>
      <c r="W112" s="21" t="s">
        <v>56</v>
      </c>
      <c r="X112" s="21" t="s">
        <v>103</v>
      </c>
      <c r="Y112" s="21" t="s">
        <v>72</v>
      </c>
      <c r="AA112" s="21" t="s">
        <v>45</v>
      </c>
      <c r="AB112" s="21" t="s">
        <v>73</v>
      </c>
      <c r="AC112" s="21" t="s">
        <v>74</v>
      </c>
      <c r="AD112" s="21" t="s">
        <v>91</v>
      </c>
      <c r="AE112" s="21" t="s">
        <v>49</v>
      </c>
      <c r="AG112" s="21" t="s">
        <v>50</v>
      </c>
      <c r="AH112" s="21" t="s">
        <v>235</v>
      </c>
    </row>
    <row r="113" ht="16.5" customHeight="1">
      <c r="A113" s="19" t="s">
        <v>31</v>
      </c>
      <c r="B113" s="19" t="s">
        <v>64</v>
      </c>
      <c r="E113" s="20" t="s">
        <v>33</v>
      </c>
      <c r="G113" s="21" t="s">
        <v>232</v>
      </c>
      <c r="J113" s="20" t="s">
        <v>35</v>
      </c>
      <c r="K113" s="21" t="s">
        <v>240</v>
      </c>
      <c r="L113" s="21" t="s">
        <v>88</v>
      </c>
      <c r="N113" s="21" t="s">
        <v>348</v>
      </c>
      <c r="P113" s="21" t="s">
        <v>349</v>
      </c>
      <c r="S113" s="20" t="s">
        <v>39</v>
      </c>
      <c r="T113" s="21" t="s">
        <v>50</v>
      </c>
      <c r="V113" s="21" t="s">
        <v>69</v>
      </c>
      <c r="W113" s="21" t="s">
        <v>41</v>
      </c>
      <c r="X113" s="21" t="s">
        <v>199</v>
      </c>
      <c r="Y113" s="21" t="s">
        <v>170</v>
      </c>
      <c r="AA113" s="21" t="s">
        <v>45</v>
      </c>
      <c r="AB113" s="21" t="s">
        <v>73</v>
      </c>
      <c r="AC113" s="21" t="s">
        <v>171</v>
      </c>
      <c r="AD113" s="21" t="s">
        <v>172</v>
      </c>
      <c r="AE113" s="21" t="s">
        <v>49</v>
      </c>
      <c r="AG113" s="21" t="s">
        <v>50</v>
      </c>
      <c r="AH113" s="21" t="s">
        <v>235</v>
      </c>
    </row>
    <row r="114" ht="16.5" customHeight="1">
      <c r="A114" s="19" t="s">
        <v>31</v>
      </c>
      <c r="B114" s="19" t="s">
        <v>64</v>
      </c>
      <c r="E114" s="20" t="s">
        <v>33</v>
      </c>
      <c r="G114" s="21" t="s">
        <v>350</v>
      </c>
      <c r="J114" s="20" t="s">
        <v>35</v>
      </c>
      <c r="K114" s="21" t="s">
        <v>337</v>
      </c>
      <c r="L114" s="21" t="s">
        <v>88</v>
      </c>
      <c r="N114" s="21" t="s">
        <v>351</v>
      </c>
      <c r="P114" s="21" t="s">
        <v>352</v>
      </c>
      <c r="S114" s="20" t="s">
        <v>39</v>
      </c>
      <c r="T114" s="21" t="s">
        <v>50</v>
      </c>
      <c r="V114" s="21" t="s">
        <v>69</v>
      </c>
      <c r="W114" s="21" t="s">
        <v>168</v>
      </c>
      <c r="X114" s="21" t="s">
        <v>169</v>
      </c>
      <c r="Y114" s="21" t="s">
        <v>170</v>
      </c>
      <c r="AA114" s="21" t="s">
        <v>45</v>
      </c>
      <c r="AB114" s="21" t="s">
        <v>73</v>
      </c>
      <c r="AC114" s="21" t="s">
        <v>171</v>
      </c>
      <c r="AD114" s="21" t="s">
        <v>172</v>
      </c>
      <c r="AE114" s="21" t="s">
        <v>49</v>
      </c>
      <c r="AG114" s="21" t="s">
        <v>50</v>
      </c>
      <c r="AH114" s="21" t="s">
        <v>353</v>
      </c>
    </row>
    <row r="115" ht="16.5" customHeight="1">
      <c r="A115" s="19" t="s">
        <v>31</v>
      </c>
      <c r="B115" s="19" t="s">
        <v>64</v>
      </c>
      <c r="E115" s="20" t="s">
        <v>33</v>
      </c>
      <c r="G115" s="21" t="s">
        <v>350</v>
      </c>
      <c r="J115" s="20" t="s">
        <v>35</v>
      </c>
      <c r="K115" s="21" t="s">
        <v>337</v>
      </c>
      <c r="L115" s="21" t="s">
        <v>88</v>
      </c>
      <c r="N115" s="21" t="s">
        <v>351</v>
      </c>
      <c r="P115" s="21" t="s">
        <v>352</v>
      </c>
      <c r="S115" s="20" t="s">
        <v>39</v>
      </c>
      <c r="T115" s="21" t="s">
        <v>50</v>
      </c>
      <c r="V115" s="21" t="s">
        <v>41</v>
      </c>
      <c r="W115" s="21" t="s">
        <v>168</v>
      </c>
      <c r="X115" s="21" t="s">
        <v>354</v>
      </c>
      <c r="Y115" s="21" t="s">
        <v>170</v>
      </c>
      <c r="AA115" s="21" t="s">
        <v>45</v>
      </c>
      <c r="AB115" s="21" t="s">
        <v>73</v>
      </c>
      <c r="AC115" s="21" t="s">
        <v>171</v>
      </c>
      <c r="AD115" s="21" t="s">
        <v>172</v>
      </c>
      <c r="AE115" s="21" t="s">
        <v>49</v>
      </c>
      <c r="AG115" s="21" t="s">
        <v>50</v>
      </c>
      <c r="AH115" s="21" t="s">
        <v>353</v>
      </c>
    </row>
    <row r="116" ht="16.5" customHeight="1">
      <c r="A116" s="19" t="s">
        <v>31</v>
      </c>
      <c r="B116" s="19" t="s">
        <v>64</v>
      </c>
      <c r="E116" s="20" t="s">
        <v>33</v>
      </c>
      <c r="G116" s="21" t="s">
        <v>355</v>
      </c>
      <c r="J116" s="20" t="s">
        <v>35</v>
      </c>
      <c r="K116" s="21" t="s">
        <v>173</v>
      </c>
      <c r="L116" s="21" t="s">
        <v>88</v>
      </c>
      <c r="N116" s="21" t="s">
        <v>356</v>
      </c>
      <c r="P116" s="21" t="s">
        <v>357</v>
      </c>
      <c r="S116" s="20" t="s">
        <v>39</v>
      </c>
      <c r="T116" s="21" t="s">
        <v>50</v>
      </c>
      <c r="V116" s="21" t="s">
        <v>69</v>
      </c>
      <c r="W116" s="21" t="s">
        <v>298</v>
      </c>
      <c r="X116" s="21" t="s">
        <v>299</v>
      </c>
      <c r="Y116" s="21" t="s">
        <v>170</v>
      </c>
      <c r="AA116" s="21" t="s">
        <v>45</v>
      </c>
      <c r="AB116" s="21" t="s">
        <v>73</v>
      </c>
      <c r="AC116" s="21" t="s">
        <v>171</v>
      </c>
      <c r="AD116" s="21" t="s">
        <v>172</v>
      </c>
      <c r="AE116" s="21" t="s">
        <v>49</v>
      </c>
      <c r="AG116" s="21" t="s">
        <v>50</v>
      </c>
      <c r="AH116" s="21" t="s">
        <v>358</v>
      </c>
    </row>
    <row r="117" ht="16.5" customHeight="1">
      <c r="A117" s="19" t="s">
        <v>31</v>
      </c>
      <c r="B117" s="19" t="s">
        <v>64</v>
      </c>
      <c r="E117" s="20" t="s">
        <v>33</v>
      </c>
      <c r="G117" s="21" t="s">
        <v>355</v>
      </c>
      <c r="J117" s="20" t="s">
        <v>35</v>
      </c>
      <c r="K117" s="21" t="s">
        <v>165</v>
      </c>
      <c r="L117" s="21" t="s">
        <v>88</v>
      </c>
      <c r="N117" s="21" t="s">
        <v>359</v>
      </c>
      <c r="P117" s="21" t="s">
        <v>360</v>
      </c>
      <c r="S117" s="20" t="s">
        <v>39</v>
      </c>
      <c r="T117" s="21" t="s">
        <v>50</v>
      </c>
      <c r="V117" s="21" t="s">
        <v>69</v>
      </c>
      <c r="W117" s="21" t="s">
        <v>293</v>
      </c>
      <c r="X117" s="21" t="s">
        <v>294</v>
      </c>
      <c r="Y117" s="21" t="s">
        <v>170</v>
      </c>
      <c r="AA117" s="21" t="s">
        <v>45</v>
      </c>
      <c r="AB117" s="21" t="s">
        <v>73</v>
      </c>
      <c r="AC117" s="21" t="s">
        <v>171</v>
      </c>
      <c r="AD117" s="21" t="s">
        <v>172</v>
      </c>
      <c r="AE117" s="21" t="s">
        <v>49</v>
      </c>
      <c r="AG117" s="21" t="s">
        <v>50</v>
      </c>
      <c r="AH117" s="21" t="s">
        <v>358</v>
      </c>
    </row>
    <row r="118" ht="16.5" customHeight="1">
      <c r="A118" s="19" t="s">
        <v>31</v>
      </c>
      <c r="B118" s="19" t="s">
        <v>64</v>
      </c>
      <c r="E118" s="20" t="s">
        <v>33</v>
      </c>
      <c r="G118" s="21" t="s">
        <v>355</v>
      </c>
      <c r="J118" s="20" t="s">
        <v>35</v>
      </c>
      <c r="K118" s="21" t="s">
        <v>93</v>
      </c>
      <c r="L118" s="21" t="s">
        <v>77</v>
      </c>
      <c r="N118" s="21" t="s">
        <v>361</v>
      </c>
      <c r="P118" s="21" t="s">
        <v>362</v>
      </c>
      <c r="S118" s="20" t="s">
        <v>39</v>
      </c>
      <c r="T118" s="21" t="s">
        <v>50</v>
      </c>
      <c r="V118" s="21" t="s">
        <v>69</v>
      </c>
      <c r="W118" s="21" t="s">
        <v>293</v>
      </c>
      <c r="X118" s="21" t="s">
        <v>294</v>
      </c>
      <c r="Y118" s="21" t="s">
        <v>72</v>
      </c>
      <c r="AA118" s="21" t="s">
        <v>45</v>
      </c>
      <c r="AB118" s="21" t="s">
        <v>73</v>
      </c>
      <c r="AC118" s="21" t="s">
        <v>74</v>
      </c>
      <c r="AD118" s="21" t="s">
        <v>82</v>
      </c>
      <c r="AE118" s="21" t="s">
        <v>49</v>
      </c>
      <c r="AG118" s="21" t="s">
        <v>50</v>
      </c>
      <c r="AH118" s="21" t="s">
        <v>358</v>
      </c>
    </row>
    <row r="119" ht="16.5" customHeight="1">
      <c r="A119" s="19" t="s">
        <v>31</v>
      </c>
      <c r="B119" s="19" t="s">
        <v>64</v>
      </c>
      <c r="E119" s="20" t="s">
        <v>33</v>
      </c>
      <c r="G119" s="21" t="s">
        <v>363</v>
      </c>
      <c r="J119" s="20" t="s">
        <v>35</v>
      </c>
      <c r="K119" s="21" t="s">
        <v>173</v>
      </c>
      <c r="L119" s="21" t="s">
        <v>88</v>
      </c>
      <c r="N119" s="21" t="s">
        <v>364</v>
      </c>
      <c r="P119" s="21" t="s">
        <v>365</v>
      </c>
      <c r="S119" s="20" t="s">
        <v>39</v>
      </c>
      <c r="T119" s="21" t="s">
        <v>50</v>
      </c>
      <c r="V119" s="21" t="s">
        <v>69</v>
      </c>
      <c r="W119" s="21" t="s">
        <v>168</v>
      </c>
      <c r="X119" s="21" t="s">
        <v>169</v>
      </c>
      <c r="Y119" s="21" t="s">
        <v>170</v>
      </c>
      <c r="AA119" s="21" t="s">
        <v>45</v>
      </c>
      <c r="AB119" s="21" t="s">
        <v>73</v>
      </c>
      <c r="AC119" s="21" t="s">
        <v>171</v>
      </c>
      <c r="AD119" s="21" t="s">
        <v>172</v>
      </c>
      <c r="AE119" s="21" t="s">
        <v>49</v>
      </c>
      <c r="AG119" s="21" t="s">
        <v>50</v>
      </c>
      <c r="AH119" s="21" t="s">
        <v>366</v>
      </c>
    </row>
    <row r="120" ht="16.5" customHeight="1">
      <c r="A120" s="19" t="s">
        <v>31</v>
      </c>
      <c r="B120" s="19" t="s">
        <v>64</v>
      </c>
      <c r="E120" s="20" t="s">
        <v>33</v>
      </c>
      <c r="G120" s="21" t="s">
        <v>363</v>
      </c>
      <c r="J120" s="20" t="s">
        <v>35</v>
      </c>
      <c r="K120" s="21" t="s">
        <v>93</v>
      </c>
      <c r="L120" s="21" t="s">
        <v>88</v>
      </c>
      <c r="N120" s="21" t="s">
        <v>367</v>
      </c>
      <c r="P120" s="21" t="s">
        <v>368</v>
      </c>
      <c r="S120" s="20" t="s">
        <v>39</v>
      </c>
      <c r="T120" s="21" t="s">
        <v>50</v>
      </c>
      <c r="V120" s="21" t="s">
        <v>69</v>
      </c>
      <c r="W120" s="21" t="s">
        <v>150</v>
      </c>
      <c r="X120" s="21" t="s">
        <v>57</v>
      </c>
      <c r="Y120" s="21" t="s">
        <v>72</v>
      </c>
      <c r="AA120" s="21" t="s">
        <v>45</v>
      </c>
      <c r="AB120" s="21" t="s">
        <v>73</v>
      </c>
      <c r="AC120" s="21" t="s">
        <v>74</v>
      </c>
      <c r="AD120" s="21" t="s">
        <v>91</v>
      </c>
      <c r="AE120" s="21" t="s">
        <v>49</v>
      </c>
      <c r="AG120" s="21" t="s">
        <v>50</v>
      </c>
      <c r="AH120" s="21" t="s">
        <v>366</v>
      </c>
    </row>
    <row r="121" ht="16.5" customHeight="1">
      <c r="A121" s="19" t="s">
        <v>31</v>
      </c>
      <c r="B121" s="19" t="s">
        <v>64</v>
      </c>
      <c r="E121" s="20" t="s">
        <v>33</v>
      </c>
      <c r="G121" s="21" t="s">
        <v>369</v>
      </c>
      <c r="J121" s="20" t="s">
        <v>35</v>
      </c>
      <c r="K121" s="21" t="s">
        <v>65</v>
      </c>
      <c r="L121" s="21" t="s">
        <v>88</v>
      </c>
      <c r="N121" s="21" t="s">
        <v>370</v>
      </c>
      <c r="P121" s="21" t="s">
        <v>371</v>
      </c>
      <c r="S121" s="20" t="s">
        <v>39</v>
      </c>
      <c r="T121" s="21" t="s">
        <v>50</v>
      </c>
      <c r="V121" s="21" t="s">
        <v>69</v>
      </c>
      <c r="W121" s="21" t="s">
        <v>372</v>
      </c>
      <c r="X121" s="21" t="s">
        <v>202</v>
      </c>
      <c r="Y121" s="21" t="s">
        <v>72</v>
      </c>
      <c r="AA121" s="21" t="s">
        <v>45</v>
      </c>
      <c r="AB121" s="21" t="s">
        <v>73</v>
      </c>
      <c r="AC121" s="21" t="s">
        <v>74</v>
      </c>
      <c r="AD121" s="21" t="s">
        <v>91</v>
      </c>
      <c r="AE121" s="21" t="s">
        <v>49</v>
      </c>
      <c r="AG121" s="21" t="s">
        <v>50</v>
      </c>
      <c r="AH121" s="21" t="s">
        <v>373</v>
      </c>
    </row>
    <row r="122" ht="16.5" customHeight="1">
      <c r="A122" s="19" t="s">
        <v>31</v>
      </c>
      <c r="B122" s="19" t="s">
        <v>64</v>
      </c>
      <c r="E122" s="20" t="s">
        <v>33</v>
      </c>
      <c r="G122" s="21" t="s">
        <v>369</v>
      </c>
      <c r="J122" s="20" t="s">
        <v>35</v>
      </c>
      <c r="K122" s="21" t="s">
        <v>173</v>
      </c>
      <c r="L122" s="21" t="s">
        <v>88</v>
      </c>
      <c r="N122" s="21" t="s">
        <v>374</v>
      </c>
      <c r="P122" s="21" t="s">
        <v>375</v>
      </c>
      <c r="S122" s="20" t="s">
        <v>39</v>
      </c>
      <c r="T122" s="21" t="s">
        <v>50</v>
      </c>
      <c r="V122" s="21" t="s">
        <v>69</v>
      </c>
      <c r="W122" s="21" t="s">
        <v>56</v>
      </c>
      <c r="X122" s="21" t="s">
        <v>103</v>
      </c>
      <c r="Y122" s="21" t="s">
        <v>170</v>
      </c>
      <c r="AA122" s="21" t="s">
        <v>45</v>
      </c>
      <c r="AB122" s="21" t="s">
        <v>73</v>
      </c>
      <c r="AC122" s="21" t="s">
        <v>171</v>
      </c>
      <c r="AD122" s="21" t="s">
        <v>172</v>
      </c>
      <c r="AE122" s="21" t="s">
        <v>49</v>
      </c>
      <c r="AG122" s="21" t="s">
        <v>50</v>
      </c>
      <c r="AH122" s="21" t="s">
        <v>373</v>
      </c>
    </row>
    <row r="123" ht="16.5" customHeight="1">
      <c r="A123" s="19" t="s">
        <v>31</v>
      </c>
      <c r="B123" s="19" t="s">
        <v>64</v>
      </c>
      <c r="E123" s="20" t="s">
        <v>33</v>
      </c>
      <c r="G123" s="21" t="s">
        <v>376</v>
      </c>
      <c r="J123" s="20" t="s">
        <v>35</v>
      </c>
      <c r="K123" s="21" t="s">
        <v>173</v>
      </c>
      <c r="L123" s="21" t="s">
        <v>88</v>
      </c>
      <c r="N123" s="21" t="s">
        <v>377</v>
      </c>
      <c r="P123" s="21" t="s">
        <v>378</v>
      </c>
      <c r="S123" s="20" t="s">
        <v>39</v>
      </c>
      <c r="T123" s="21" t="s">
        <v>50</v>
      </c>
      <c r="V123" s="21" t="s">
        <v>69</v>
      </c>
      <c r="W123" s="21" t="s">
        <v>379</v>
      </c>
      <c r="X123" s="21" t="s">
        <v>43</v>
      </c>
      <c r="Y123" s="21" t="s">
        <v>170</v>
      </c>
      <c r="AA123" s="21" t="s">
        <v>45</v>
      </c>
      <c r="AB123" s="21" t="s">
        <v>73</v>
      </c>
      <c r="AC123" s="21" t="s">
        <v>171</v>
      </c>
      <c r="AD123" s="21" t="s">
        <v>172</v>
      </c>
      <c r="AE123" s="21" t="s">
        <v>49</v>
      </c>
      <c r="AG123" s="21" t="s">
        <v>50</v>
      </c>
      <c r="AH123" s="21" t="s">
        <v>380</v>
      </c>
    </row>
    <row r="124" ht="16.5" customHeight="1">
      <c r="A124" s="19" t="s">
        <v>31</v>
      </c>
      <c r="B124" s="19" t="s">
        <v>64</v>
      </c>
      <c r="E124" s="20" t="s">
        <v>33</v>
      </c>
      <c r="G124" s="21" t="s">
        <v>381</v>
      </c>
      <c r="J124" s="20" t="s">
        <v>35</v>
      </c>
      <c r="K124" s="21" t="s">
        <v>240</v>
      </c>
      <c r="L124" s="21" t="s">
        <v>77</v>
      </c>
      <c r="N124" s="21" t="s">
        <v>382</v>
      </c>
      <c r="P124" s="21" t="s">
        <v>383</v>
      </c>
      <c r="S124" s="20" t="s">
        <v>39</v>
      </c>
      <c r="T124" s="21" t="s">
        <v>50</v>
      </c>
      <c r="V124" s="21" t="s">
        <v>69</v>
      </c>
      <c r="W124" s="21" t="s">
        <v>150</v>
      </c>
      <c r="X124" s="21" t="s">
        <v>57</v>
      </c>
      <c r="Y124" s="21" t="s">
        <v>170</v>
      </c>
      <c r="AA124" s="21" t="s">
        <v>45</v>
      </c>
      <c r="AB124" s="21" t="s">
        <v>73</v>
      </c>
      <c r="AC124" s="21" t="s">
        <v>171</v>
      </c>
      <c r="AD124" s="21" t="s">
        <v>207</v>
      </c>
      <c r="AE124" s="21" t="s">
        <v>49</v>
      </c>
      <c r="AG124" s="21" t="s">
        <v>50</v>
      </c>
      <c r="AH124" s="21" t="s">
        <v>384</v>
      </c>
    </row>
    <row r="125" ht="16.5" customHeight="1">
      <c r="A125" s="19" t="s">
        <v>31</v>
      </c>
      <c r="B125" s="19" t="s">
        <v>64</v>
      </c>
      <c r="E125" s="20" t="s">
        <v>33</v>
      </c>
      <c r="G125" s="21" t="s">
        <v>381</v>
      </c>
      <c r="J125" s="20" t="s">
        <v>35</v>
      </c>
      <c r="K125" s="21" t="s">
        <v>229</v>
      </c>
      <c r="L125" s="21" t="s">
        <v>88</v>
      </c>
      <c r="N125" s="21" t="s">
        <v>385</v>
      </c>
      <c r="P125" s="21" t="s">
        <v>386</v>
      </c>
      <c r="S125" s="20" t="s">
        <v>39</v>
      </c>
      <c r="T125" s="21" t="s">
        <v>50</v>
      </c>
      <c r="V125" s="21" t="s">
        <v>69</v>
      </c>
      <c r="W125" s="21" t="s">
        <v>387</v>
      </c>
      <c r="X125" s="21" t="s">
        <v>202</v>
      </c>
      <c r="Y125" s="21" t="s">
        <v>170</v>
      </c>
      <c r="AA125" s="21" t="s">
        <v>45</v>
      </c>
      <c r="AB125" s="21" t="s">
        <v>73</v>
      </c>
      <c r="AC125" s="21" t="s">
        <v>171</v>
      </c>
      <c r="AD125" s="21" t="s">
        <v>172</v>
      </c>
      <c r="AE125" s="21" t="s">
        <v>49</v>
      </c>
      <c r="AG125" s="21" t="s">
        <v>50</v>
      </c>
      <c r="AH125" s="21" t="s">
        <v>384</v>
      </c>
    </row>
    <row r="126" ht="16.5" customHeight="1">
      <c r="A126" s="19" t="s">
        <v>31</v>
      </c>
      <c r="B126" s="19" t="s">
        <v>64</v>
      </c>
      <c r="E126" s="20" t="s">
        <v>33</v>
      </c>
      <c r="G126" s="21" t="s">
        <v>381</v>
      </c>
      <c r="J126" s="20" t="s">
        <v>35</v>
      </c>
      <c r="K126" s="21" t="s">
        <v>252</v>
      </c>
      <c r="L126" s="21" t="s">
        <v>77</v>
      </c>
      <c r="N126" s="21" t="s">
        <v>388</v>
      </c>
      <c r="P126" s="21" t="s">
        <v>389</v>
      </c>
      <c r="S126" s="20" t="s">
        <v>39</v>
      </c>
      <c r="T126" s="21" t="s">
        <v>50</v>
      </c>
      <c r="V126" s="21" t="s">
        <v>69</v>
      </c>
      <c r="W126" s="21" t="s">
        <v>80</v>
      </c>
      <c r="X126" s="21" t="s">
        <v>81</v>
      </c>
      <c r="Y126" s="21" t="s">
        <v>72</v>
      </c>
      <c r="AA126" s="21" t="s">
        <v>45</v>
      </c>
      <c r="AB126" s="21" t="s">
        <v>73</v>
      </c>
      <c r="AC126" s="21" t="s">
        <v>74</v>
      </c>
      <c r="AD126" s="21" t="s">
        <v>82</v>
      </c>
      <c r="AE126" s="21" t="s">
        <v>49</v>
      </c>
      <c r="AG126" s="21" t="s">
        <v>50</v>
      </c>
      <c r="AH126" s="21" t="s">
        <v>384</v>
      </c>
    </row>
    <row r="127" ht="16.5" customHeight="1">
      <c r="A127" s="19" t="s">
        <v>31</v>
      </c>
      <c r="B127" s="19" t="s">
        <v>64</v>
      </c>
      <c r="E127" s="20" t="s">
        <v>33</v>
      </c>
      <c r="G127" s="21" t="s">
        <v>381</v>
      </c>
      <c r="J127" s="20" t="s">
        <v>35</v>
      </c>
      <c r="K127" s="21" t="s">
        <v>390</v>
      </c>
      <c r="L127" s="21" t="s">
        <v>88</v>
      </c>
      <c r="N127" s="21" t="s">
        <v>391</v>
      </c>
      <c r="P127" s="21" t="s">
        <v>392</v>
      </c>
      <c r="S127" s="20" t="s">
        <v>39</v>
      </c>
      <c r="T127" s="21" t="s">
        <v>50</v>
      </c>
      <c r="V127" s="21" t="s">
        <v>69</v>
      </c>
      <c r="W127" s="21" t="s">
        <v>298</v>
      </c>
      <c r="X127" s="21" t="s">
        <v>299</v>
      </c>
      <c r="Y127" s="21" t="s">
        <v>72</v>
      </c>
      <c r="AA127" s="21" t="s">
        <v>45</v>
      </c>
      <c r="AB127" s="21" t="s">
        <v>73</v>
      </c>
      <c r="AC127" s="21" t="s">
        <v>74</v>
      </c>
      <c r="AD127" s="21" t="s">
        <v>91</v>
      </c>
      <c r="AE127" s="21" t="s">
        <v>49</v>
      </c>
      <c r="AG127" s="21" t="s">
        <v>50</v>
      </c>
      <c r="AH127" s="21" t="s">
        <v>384</v>
      </c>
    </row>
    <row r="128" ht="16.5" customHeight="1">
      <c r="A128" s="19" t="s">
        <v>31</v>
      </c>
      <c r="B128" s="19" t="s">
        <v>64</v>
      </c>
      <c r="E128" s="20" t="s">
        <v>33</v>
      </c>
      <c r="G128" s="21" t="s">
        <v>381</v>
      </c>
      <c r="J128" s="20" t="s">
        <v>35</v>
      </c>
      <c r="K128" s="21" t="s">
        <v>229</v>
      </c>
      <c r="L128" s="21" t="s">
        <v>77</v>
      </c>
      <c r="N128" s="21" t="s">
        <v>393</v>
      </c>
      <c r="P128" s="21" t="s">
        <v>394</v>
      </c>
      <c r="S128" s="20" t="s">
        <v>39</v>
      </c>
      <c r="T128" s="21" t="s">
        <v>50</v>
      </c>
      <c r="V128" s="21" t="s">
        <v>69</v>
      </c>
      <c r="W128" s="21" t="s">
        <v>56</v>
      </c>
      <c r="X128" s="21" t="s">
        <v>103</v>
      </c>
      <c r="Y128" s="21" t="s">
        <v>170</v>
      </c>
      <c r="AA128" s="21" t="s">
        <v>45</v>
      </c>
      <c r="AB128" s="21" t="s">
        <v>73</v>
      </c>
      <c r="AC128" s="21" t="s">
        <v>171</v>
      </c>
      <c r="AD128" s="21" t="s">
        <v>207</v>
      </c>
      <c r="AE128" s="21" t="s">
        <v>49</v>
      </c>
      <c r="AG128" s="21" t="s">
        <v>50</v>
      </c>
      <c r="AH128" s="21" t="s">
        <v>384</v>
      </c>
    </row>
    <row r="129" ht="16.5" customHeight="1">
      <c r="A129" s="19" t="s">
        <v>31</v>
      </c>
      <c r="B129" s="19" t="s">
        <v>64</v>
      </c>
      <c r="E129" s="20" t="s">
        <v>33</v>
      </c>
      <c r="G129" s="21" t="s">
        <v>381</v>
      </c>
      <c r="J129" s="20" t="s">
        <v>35</v>
      </c>
      <c r="K129" s="21" t="s">
        <v>98</v>
      </c>
      <c r="L129" s="21" t="s">
        <v>88</v>
      </c>
      <c r="N129" s="21" t="s">
        <v>395</v>
      </c>
      <c r="P129" s="21" t="s">
        <v>396</v>
      </c>
      <c r="S129" s="20" t="s">
        <v>39</v>
      </c>
      <c r="T129" s="21" t="s">
        <v>50</v>
      </c>
      <c r="V129" s="21" t="s">
        <v>69</v>
      </c>
      <c r="W129" s="21" t="s">
        <v>154</v>
      </c>
      <c r="X129" s="21" t="s">
        <v>151</v>
      </c>
      <c r="Y129" s="21" t="s">
        <v>72</v>
      </c>
      <c r="AA129" s="21" t="s">
        <v>45</v>
      </c>
      <c r="AB129" s="21" t="s">
        <v>73</v>
      </c>
      <c r="AC129" s="21" t="s">
        <v>74</v>
      </c>
      <c r="AD129" s="21" t="s">
        <v>91</v>
      </c>
      <c r="AE129" s="21" t="s">
        <v>49</v>
      </c>
      <c r="AG129" s="21" t="s">
        <v>50</v>
      </c>
      <c r="AH129" s="21" t="s">
        <v>384</v>
      </c>
    </row>
    <row r="130" ht="16.5" customHeight="1">
      <c r="A130" s="19" t="s">
        <v>31</v>
      </c>
      <c r="B130" s="19" t="s">
        <v>64</v>
      </c>
      <c r="E130" s="20" t="s">
        <v>33</v>
      </c>
      <c r="G130" s="21" t="s">
        <v>381</v>
      </c>
      <c r="J130" s="20" t="s">
        <v>35</v>
      </c>
      <c r="K130" s="21" t="s">
        <v>240</v>
      </c>
      <c r="L130" s="21" t="s">
        <v>88</v>
      </c>
      <c r="N130" s="21" t="s">
        <v>397</v>
      </c>
      <c r="P130" s="21" t="s">
        <v>398</v>
      </c>
      <c r="S130" s="20" t="s">
        <v>39</v>
      </c>
      <c r="T130" s="21" t="s">
        <v>50</v>
      </c>
      <c r="V130" s="21" t="s">
        <v>69</v>
      </c>
      <c r="W130" s="21" t="s">
        <v>56</v>
      </c>
      <c r="X130" s="21" t="s">
        <v>103</v>
      </c>
      <c r="Y130" s="21" t="s">
        <v>170</v>
      </c>
      <c r="AA130" s="21" t="s">
        <v>45</v>
      </c>
      <c r="AB130" s="21" t="s">
        <v>73</v>
      </c>
      <c r="AC130" s="21" t="s">
        <v>171</v>
      </c>
      <c r="AD130" s="21" t="s">
        <v>172</v>
      </c>
      <c r="AE130" s="21" t="s">
        <v>49</v>
      </c>
      <c r="AG130" s="21" t="s">
        <v>50</v>
      </c>
      <c r="AH130" s="21" t="s">
        <v>384</v>
      </c>
    </row>
    <row r="131" ht="16.5" customHeight="1">
      <c r="A131" s="19" t="s">
        <v>31</v>
      </c>
      <c r="B131" s="19" t="s">
        <v>64</v>
      </c>
      <c r="E131" s="20" t="s">
        <v>33</v>
      </c>
      <c r="G131" s="21" t="s">
        <v>381</v>
      </c>
      <c r="J131" s="20" t="s">
        <v>35</v>
      </c>
      <c r="K131" s="21" t="s">
        <v>93</v>
      </c>
      <c r="L131" s="21" t="s">
        <v>157</v>
      </c>
      <c r="N131" s="21" t="s">
        <v>399</v>
      </c>
      <c r="P131" s="21" t="s">
        <v>400</v>
      </c>
      <c r="S131" s="20" t="s">
        <v>39</v>
      </c>
      <c r="T131" s="21" t="s">
        <v>50</v>
      </c>
      <c r="V131" s="21" t="s">
        <v>69</v>
      </c>
      <c r="W131" s="21" t="s">
        <v>401</v>
      </c>
      <c r="X131" s="21" t="s">
        <v>354</v>
      </c>
      <c r="Y131" s="21" t="s">
        <v>72</v>
      </c>
      <c r="AA131" s="21" t="s">
        <v>45</v>
      </c>
      <c r="AB131" s="21" t="s">
        <v>73</v>
      </c>
      <c r="AC131" s="21" t="s">
        <v>74</v>
      </c>
      <c r="AD131" s="21" t="s">
        <v>162</v>
      </c>
      <c r="AE131" s="21" t="s">
        <v>49</v>
      </c>
      <c r="AG131" s="21" t="s">
        <v>50</v>
      </c>
      <c r="AH131" s="21" t="s">
        <v>384</v>
      </c>
    </row>
    <row r="132" ht="16.5" customHeight="1">
      <c r="A132" s="19" t="s">
        <v>31</v>
      </c>
      <c r="B132" s="19" t="s">
        <v>64</v>
      </c>
      <c r="E132" s="20" t="s">
        <v>33</v>
      </c>
      <c r="G132" s="21" t="s">
        <v>381</v>
      </c>
      <c r="J132" s="20" t="s">
        <v>35</v>
      </c>
      <c r="K132" s="21" t="s">
        <v>229</v>
      </c>
      <c r="L132" s="21" t="s">
        <v>88</v>
      </c>
      <c r="N132" s="21" t="s">
        <v>402</v>
      </c>
      <c r="P132" s="21" t="s">
        <v>403</v>
      </c>
      <c r="S132" s="20" t="s">
        <v>39</v>
      </c>
      <c r="T132" s="21" t="s">
        <v>50</v>
      </c>
      <c r="V132" s="21" t="s">
        <v>41</v>
      </c>
      <c r="W132" s="21" t="s">
        <v>42</v>
      </c>
      <c r="X132" s="21" t="s">
        <v>43</v>
      </c>
      <c r="Y132" s="21" t="s">
        <v>170</v>
      </c>
      <c r="AA132" s="21" t="s">
        <v>45</v>
      </c>
      <c r="AB132" s="21" t="s">
        <v>73</v>
      </c>
      <c r="AC132" s="21" t="s">
        <v>171</v>
      </c>
      <c r="AD132" s="21" t="s">
        <v>172</v>
      </c>
      <c r="AE132" s="21" t="s">
        <v>49</v>
      </c>
      <c r="AG132" s="21" t="s">
        <v>50</v>
      </c>
      <c r="AH132" s="21" t="s">
        <v>384</v>
      </c>
    </row>
    <row r="133" ht="16.5" customHeight="1">
      <c r="A133" s="19" t="s">
        <v>31</v>
      </c>
      <c r="B133" s="19" t="s">
        <v>32</v>
      </c>
      <c r="E133" s="20" t="s">
        <v>33</v>
      </c>
      <c r="G133" s="21" t="s">
        <v>404</v>
      </c>
      <c r="J133" s="20" t="s">
        <v>35</v>
      </c>
      <c r="K133" s="21" t="s">
        <v>36</v>
      </c>
      <c r="N133" s="21" t="s">
        <v>405</v>
      </c>
      <c r="P133" s="21" t="s">
        <v>406</v>
      </c>
      <c r="S133" s="20" t="s">
        <v>39</v>
      </c>
      <c r="T133" s="21" t="s">
        <v>407</v>
      </c>
      <c r="V133" s="21" t="s">
        <v>41</v>
      </c>
      <c r="W133" s="21" t="s">
        <v>56</v>
      </c>
      <c r="X133" s="21" t="s">
        <v>57</v>
      </c>
      <c r="Y133" s="21" t="s">
        <v>44</v>
      </c>
      <c r="AA133" s="21" t="s">
        <v>45</v>
      </c>
      <c r="AB133" s="21" t="s">
        <v>46</v>
      </c>
      <c r="AC133" s="21" t="s">
        <v>47</v>
      </c>
      <c r="AD133" s="21" t="s">
        <v>408</v>
      </c>
      <c r="AE133" s="21" t="s">
        <v>49</v>
      </c>
      <c r="AG133" s="21" t="s">
        <v>50</v>
      </c>
      <c r="AH133" s="21" t="s">
        <v>409</v>
      </c>
    </row>
    <row r="134" ht="16.5" customHeight="1">
      <c r="A134" s="19" t="s">
        <v>31</v>
      </c>
      <c r="B134" s="19" t="s">
        <v>32</v>
      </c>
      <c r="E134" s="20" t="s">
        <v>33</v>
      </c>
      <c r="G134" s="21" t="s">
        <v>404</v>
      </c>
      <c r="J134" s="20" t="s">
        <v>215</v>
      </c>
      <c r="K134" s="21" t="s">
        <v>410</v>
      </c>
      <c r="N134" s="21" t="s">
        <v>411</v>
      </c>
      <c r="P134" s="21" t="s">
        <v>412</v>
      </c>
      <c r="S134" s="20" t="s">
        <v>39</v>
      </c>
      <c r="T134" s="21" t="s">
        <v>413</v>
      </c>
      <c r="V134" s="21" t="s">
        <v>41</v>
      </c>
      <c r="W134" s="21" t="s">
        <v>150</v>
      </c>
      <c r="X134" s="21" t="s">
        <v>199</v>
      </c>
      <c r="Y134" s="21" t="s">
        <v>220</v>
      </c>
      <c r="AA134" s="21" t="s">
        <v>45</v>
      </c>
      <c r="AB134" s="21" t="s">
        <v>46</v>
      </c>
      <c r="AC134" s="21" t="s">
        <v>221</v>
      </c>
      <c r="AD134" s="21" t="s">
        <v>414</v>
      </c>
      <c r="AE134" s="21" t="s">
        <v>49</v>
      </c>
      <c r="AG134" s="21" t="s">
        <v>50</v>
      </c>
      <c r="AH134" s="21" t="s">
        <v>409</v>
      </c>
    </row>
    <row r="135" ht="16.5" customHeight="1">
      <c r="A135" s="19" t="s">
        <v>31</v>
      </c>
      <c r="B135" s="19" t="s">
        <v>64</v>
      </c>
      <c r="E135" s="20" t="s">
        <v>33</v>
      </c>
      <c r="G135" s="21" t="s">
        <v>404</v>
      </c>
      <c r="J135" s="20" t="s">
        <v>35</v>
      </c>
      <c r="K135" s="21" t="s">
        <v>98</v>
      </c>
      <c r="L135" s="21" t="s">
        <v>88</v>
      </c>
      <c r="N135" s="21" t="s">
        <v>415</v>
      </c>
      <c r="P135" s="21" t="s">
        <v>416</v>
      </c>
      <c r="S135" s="20" t="s">
        <v>39</v>
      </c>
      <c r="T135" s="21" t="s">
        <v>50</v>
      </c>
      <c r="V135" s="21" t="s">
        <v>69</v>
      </c>
      <c r="W135" s="21" t="s">
        <v>56</v>
      </c>
      <c r="X135" s="21" t="s">
        <v>103</v>
      </c>
      <c r="Y135" s="21" t="s">
        <v>72</v>
      </c>
      <c r="AA135" s="21" t="s">
        <v>45</v>
      </c>
      <c r="AB135" s="21" t="s">
        <v>73</v>
      </c>
      <c r="AC135" s="21" t="s">
        <v>74</v>
      </c>
      <c r="AD135" s="21" t="s">
        <v>91</v>
      </c>
      <c r="AE135" s="21" t="s">
        <v>49</v>
      </c>
      <c r="AG135" s="21" t="s">
        <v>50</v>
      </c>
      <c r="AH135" s="21" t="s">
        <v>409</v>
      </c>
    </row>
    <row r="136" ht="16.5" customHeight="1">
      <c r="A136" s="19" t="s">
        <v>31</v>
      </c>
      <c r="B136" s="19" t="s">
        <v>64</v>
      </c>
      <c r="E136" s="20" t="s">
        <v>33</v>
      </c>
      <c r="G136" s="21" t="s">
        <v>417</v>
      </c>
      <c r="J136" s="20" t="s">
        <v>35</v>
      </c>
      <c r="K136" s="21" t="s">
        <v>229</v>
      </c>
      <c r="L136" s="21" t="s">
        <v>77</v>
      </c>
      <c r="N136" s="21" t="s">
        <v>418</v>
      </c>
      <c r="P136" s="21" t="s">
        <v>419</v>
      </c>
      <c r="S136" s="20" t="s">
        <v>39</v>
      </c>
      <c r="T136" s="21" t="s">
        <v>50</v>
      </c>
      <c r="V136" s="21" t="s">
        <v>69</v>
      </c>
      <c r="W136" s="21" t="s">
        <v>168</v>
      </c>
      <c r="X136" s="21" t="s">
        <v>169</v>
      </c>
      <c r="Y136" s="21" t="s">
        <v>170</v>
      </c>
      <c r="AA136" s="21" t="s">
        <v>45</v>
      </c>
      <c r="AB136" s="21" t="s">
        <v>73</v>
      </c>
      <c r="AC136" s="21" t="s">
        <v>171</v>
      </c>
      <c r="AD136" s="21" t="s">
        <v>207</v>
      </c>
      <c r="AE136" s="21" t="s">
        <v>49</v>
      </c>
      <c r="AG136" s="21" t="s">
        <v>50</v>
      </c>
      <c r="AH136" s="21" t="s">
        <v>420</v>
      </c>
    </row>
    <row r="137" ht="16.5" customHeight="1">
      <c r="A137" s="19" t="s">
        <v>31</v>
      </c>
      <c r="B137" s="19" t="s">
        <v>64</v>
      </c>
      <c r="E137" s="20" t="s">
        <v>33</v>
      </c>
      <c r="G137" s="21" t="s">
        <v>421</v>
      </c>
      <c r="J137" s="20" t="s">
        <v>35</v>
      </c>
      <c r="K137" s="21" t="s">
        <v>422</v>
      </c>
      <c r="L137" s="21" t="s">
        <v>77</v>
      </c>
      <c r="N137" s="21" t="s">
        <v>423</v>
      </c>
      <c r="P137" s="21" t="s">
        <v>424</v>
      </c>
      <c r="S137" s="20" t="s">
        <v>39</v>
      </c>
      <c r="T137" s="21" t="s">
        <v>50</v>
      </c>
      <c r="V137" s="21" t="s">
        <v>69</v>
      </c>
      <c r="W137" s="21" t="s">
        <v>247</v>
      </c>
      <c r="X137" s="21" t="s">
        <v>248</v>
      </c>
      <c r="Y137" s="21" t="s">
        <v>72</v>
      </c>
      <c r="AA137" s="21" t="s">
        <v>45</v>
      </c>
      <c r="AB137" s="21" t="s">
        <v>73</v>
      </c>
      <c r="AC137" s="21" t="s">
        <v>74</v>
      </c>
      <c r="AD137" s="21" t="s">
        <v>82</v>
      </c>
      <c r="AE137" s="21" t="s">
        <v>49</v>
      </c>
      <c r="AG137" s="21" t="s">
        <v>50</v>
      </c>
      <c r="AH137" s="21" t="s">
        <v>425</v>
      </c>
    </row>
    <row r="138" ht="16.5" customHeight="1">
      <c r="A138" s="19" t="s">
        <v>31</v>
      </c>
      <c r="B138" s="19" t="s">
        <v>64</v>
      </c>
      <c r="E138" s="20" t="s">
        <v>33</v>
      </c>
      <c r="G138" s="21" t="s">
        <v>421</v>
      </c>
      <c r="J138" s="20" t="s">
        <v>35</v>
      </c>
      <c r="K138" s="21" t="s">
        <v>173</v>
      </c>
      <c r="L138" s="21" t="s">
        <v>88</v>
      </c>
      <c r="N138" s="21" t="s">
        <v>426</v>
      </c>
      <c r="P138" s="21" t="s">
        <v>427</v>
      </c>
      <c r="S138" s="20" t="s">
        <v>39</v>
      </c>
      <c r="T138" s="21" t="s">
        <v>50</v>
      </c>
      <c r="V138" s="21" t="s">
        <v>69</v>
      </c>
      <c r="W138" s="21" t="s">
        <v>316</v>
      </c>
      <c r="X138" s="21" t="s">
        <v>295</v>
      </c>
      <c r="Y138" s="21" t="s">
        <v>170</v>
      </c>
      <c r="AA138" s="21" t="s">
        <v>45</v>
      </c>
      <c r="AB138" s="21" t="s">
        <v>73</v>
      </c>
      <c r="AC138" s="21" t="s">
        <v>171</v>
      </c>
      <c r="AD138" s="21" t="s">
        <v>172</v>
      </c>
      <c r="AE138" s="21" t="s">
        <v>49</v>
      </c>
      <c r="AG138" s="21" t="s">
        <v>50</v>
      </c>
      <c r="AH138" s="21" t="s">
        <v>425</v>
      </c>
    </row>
    <row r="139" ht="16.5" customHeight="1">
      <c r="A139" s="19" t="s">
        <v>31</v>
      </c>
      <c r="B139" s="19" t="s">
        <v>64</v>
      </c>
      <c r="E139" s="20" t="s">
        <v>33</v>
      </c>
      <c r="G139" s="21" t="s">
        <v>428</v>
      </c>
      <c r="J139" s="20" t="s">
        <v>35</v>
      </c>
      <c r="K139" s="21" t="s">
        <v>65</v>
      </c>
      <c r="L139" s="21" t="s">
        <v>77</v>
      </c>
      <c r="N139" s="21" t="s">
        <v>429</v>
      </c>
      <c r="P139" s="21" t="s">
        <v>430</v>
      </c>
      <c r="S139" s="20" t="s">
        <v>39</v>
      </c>
      <c r="T139" s="21" t="s">
        <v>50</v>
      </c>
      <c r="V139" s="21" t="s">
        <v>69</v>
      </c>
      <c r="W139" s="21" t="s">
        <v>56</v>
      </c>
      <c r="X139" s="21" t="s">
        <v>103</v>
      </c>
      <c r="Y139" s="21" t="s">
        <v>72</v>
      </c>
      <c r="AA139" s="21" t="s">
        <v>45</v>
      </c>
      <c r="AB139" s="21" t="s">
        <v>73</v>
      </c>
      <c r="AC139" s="21" t="s">
        <v>74</v>
      </c>
      <c r="AD139" s="21" t="s">
        <v>82</v>
      </c>
      <c r="AE139" s="21" t="s">
        <v>49</v>
      </c>
      <c r="AG139" s="21" t="s">
        <v>50</v>
      </c>
      <c r="AH139" s="21" t="s">
        <v>431</v>
      </c>
    </row>
    <row r="140" ht="16.5" customHeight="1">
      <c r="A140" s="19" t="s">
        <v>31</v>
      </c>
      <c r="B140" s="19" t="s">
        <v>64</v>
      </c>
      <c r="E140" s="20" t="s">
        <v>33</v>
      </c>
      <c r="G140" s="21" t="s">
        <v>432</v>
      </c>
      <c r="J140" s="20" t="s">
        <v>35</v>
      </c>
      <c r="K140" s="21" t="s">
        <v>240</v>
      </c>
      <c r="L140" s="21" t="s">
        <v>157</v>
      </c>
      <c r="N140" s="21" t="s">
        <v>433</v>
      </c>
      <c r="P140" s="21" t="s">
        <v>434</v>
      </c>
      <c r="S140" s="20" t="s">
        <v>39</v>
      </c>
      <c r="T140" s="21" t="s">
        <v>50</v>
      </c>
      <c r="V140" s="21" t="s">
        <v>69</v>
      </c>
      <c r="W140" s="21" t="s">
        <v>85</v>
      </c>
      <c r="X140" s="21" t="s">
        <v>86</v>
      </c>
      <c r="Y140" s="21" t="s">
        <v>170</v>
      </c>
      <c r="AA140" s="21" t="s">
        <v>45</v>
      </c>
      <c r="AB140" s="21" t="s">
        <v>73</v>
      </c>
      <c r="AC140" s="21" t="s">
        <v>171</v>
      </c>
      <c r="AD140" s="21" t="s">
        <v>435</v>
      </c>
      <c r="AE140" s="21" t="s">
        <v>49</v>
      </c>
      <c r="AG140" s="21" t="s">
        <v>50</v>
      </c>
      <c r="AH140" s="21" t="s">
        <v>436</v>
      </c>
    </row>
    <row r="141" ht="16.5" customHeight="1">
      <c r="A141" s="19" t="s">
        <v>31</v>
      </c>
      <c r="B141" s="19" t="s">
        <v>64</v>
      </c>
      <c r="E141" s="20" t="s">
        <v>33</v>
      </c>
      <c r="G141" s="21" t="s">
        <v>437</v>
      </c>
      <c r="J141" s="20" t="s">
        <v>35</v>
      </c>
      <c r="K141" s="21" t="s">
        <v>337</v>
      </c>
      <c r="L141" s="21" t="s">
        <v>77</v>
      </c>
      <c r="N141" s="21" t="s">
        <v>438</v>
      </c>
      <c r="P141" s="21" t="s">
        <v>439</v>
      </c>
      <c r="S141" s="20" t="s">
        <v>39</v>
      </c>
      <c r="T141" s="21" t="s">
        <v>50</v>
      </c>
      <c r="V141" s="21" t="s">
        <v>69</v>
      </c>
      <c r="W141" s="21" t="s">
        <v>154</v>
      </c>
      <c r="X141" s="21" t="s">
        <v>151</v>
      </c>
      <c r="Y141" s="21" t="s">
        <v>170</v>
      </c>
      <c r="AA141" s="21" t="s">
        <v>45</v>
      </c>
      <c r="AB141" s="21" t="s">
        <v>73</v>
      </c>
      <c r="AC141" s="21" t="s">
        <v>171</v>
      </c>
      <c r="AD141" s="21" t="s">
        <v>207</v>
      </c>
      <c r="AE141" s="21" t="s">
        <v>49</v>
      </c>
      <c r="AG141" s="21" t="s">
        <v>50</v>
      </c>
      <c r="AH141" s="21" t="s">
        <v>440</v>
      </c>
    </row>
    <row r="142" ht="16.5" customHeight="1">
      <c r="A142" s="19" t="s">
        <v>31</v>
      </c>
      <c r="B142" s="19" t="s">
        <v>64</v>
      </c>
      <c r="E142" s="20" t="s">
        <v>33</v>
      </c>
      <c r="G142" s="21" t="s">
        <v>437</v>
      </c>
      <c r="J142" s="20" t="s">
        <v>35</v>
      </c>
      <c r="K142" s="21" t="s">
        <v>93</v>
      </c>
      <c r="L142" s="21" t="s">
        <v>77</v>
      </c>
      <c r="N142" s="21" t="s">
        <v>441</v>
      </c>
      <c r="P142" s="21" t="s">
        <v>442</v>
      </c>
      <c r="S142" s="20" t="s">
        <v>39</v>
      </c>
      <c r="T142" s="21" t="s">
        <v>50</v>
      </c>
      <c r="V142" s="21" t="s">
        <v>69</v>
      </c>
      <c r="W142" s="21" t="s">
        <v>293</v>
      </c>
      <c r="X142" s="21" t="s">
        <v>294</v>
      </c>
      <c r="Y142" s="21" t="s">
        <v>72</v>
      </c>
      <c r="AA142" s="21" t="s">
        <v>45</v>
      </c>
      <c r="AB142" s="21" t="s">
        <v>73</v>
      </c>
      <c r="AC142" s="21" t="s">
        <v>74</v>
      </c>
      <c r="AD142" s="21" t="s">
        <v>82</v>
      </c>
      <c r="AE142" s="21" t="s">
        <v>49</v>
      </c>
      <c r="AG142" s="21" t="s">
        <v>50</v>
      </c>
      <c r="AH142" s="21" t="s">
        <v>440</v>
      </c>
    </row>
    <row r="143" ht="16.5" customHeight="1">
      <c r="A143" s="19" t="s">
        <v>31</v>
      </c>
      <c r="B143" s="19" t="s">
        <v>64</v>
      </c>
      <c r="E143" s="20" t="s">
        <v>33</v>
      </c>
      <c r="G143" s="21" t="s">
        <v>437</v>
      </c>
      <c r="J143" s="20" t="s">
        <v>35</v>
      </c>
      <c r="K143" s="21" t="s">
        <v>337</v>
      </c>
      <c r="L143" s="21" t="s">
        <v>88</v>
      </c>
      <c r="N143" s="21" t="s">
        <v>443</v>
      </c>
      <c r="P143" s="21" t="s">
        <v>444</v>
      </c>
      <c r="S143" s="20" t="s">
        <v>39</v>
      </c>
      <c r="T143" s="21" t="s">
        <v>50</v>
      </c>
      <c r="V143" s="21" t="s">
        <v>150</v>
      </c>
      <c r="W143" s="21" t="s">
        <v>325</v>
      </c>
      <c r="X143" s="21" t="s">
        <v>354</v>
      </c>
      <c r="Y143" s="21" t="s">
        <v>170</v>
      </c>
      <c r="AA143" s="21" t="s">
        <v>45</v>
      </c>
      <c r="AB143" s="21" t="s">
        <v>73</v>
      </c>
      <c r="AC143" s="21" t="s">
        <v>171</v>
      </c>
      <c r="AD143" s="21" t="s">
        <v>172</v>
      </c>
      <c r="AE143" s="21" t="s">
        <v>49</v>
      </c>
      <c r="AG143" s="21" t="s">
        <v>50</v>
      </c>
      <c r="AH143" s="21" t="s">
        <v>440</v>
      </c>
    </row>
    <row r="144" ht="16.5" customHeight="1">
      <c r="A144" s="19" t="s">
        <v>31</v>
      </c>
      <c r="B144" s="19" t="s">
        <v>64</v>
      </c>
      <c r="E144" s="20" t="s">
        <v>33</v>
      </c>
      <c r="G144" s="21" t="s">
        <v>437</v>
      </c>
      <c r="J144" s="20" t="s">
        <v>35</v>
      </c>
      <c r="K144" s="21" t="s">
        <v>87</v>
      </c>
      <c r="L144" s="21" t="s">
        <v>88</v>
      </c>
      <c r="N144" s="21" t="s">
        <v>445</v>
      </c>
      <c r="P144" s="21" t="s">
        <v>446</v>
      </c>
      <c r="S144" s="20" t="s">
        <v>39</v>
      </c>
      <c r="T144" s="21" t="s">
        <v>50</v>
      </c>
      <c r="V144" s="21" t="s">
        <v>69</v>
      </c>
      <c r="W144" s="21" t="s">
        <v>379</v>
      </c>
      <c r="X144" s="21" t="s">
        <v>43</v>
      </c>
      <c r="Y144" s="21" t="s">
        <v>72</v>
      </c>
      <c r="AA144" s="21" t="s">
        <v>45</v>
      </c>
      <c r="AB144" s="21" t="s">
        <v>73</v>
      </c>
      <c r="AC144" s="21" t="s">
        <v>74</v>
      </c>
      <c r="AD144" s="21" t="s">
        <v>91</v>
      </c>
      <c r="AE144" s="21" t="s">
        <v>49</v>
      </c>
      <c r="AG144" s="21" t="s">
        <v>50</v>
      </c>
      <c r="AH144" s="21" t="s">
        <v>440</v>
      </c>
    </row>
    <row r="145" ht="16.5" customHeight="1">
      <c r="A145" s="19" t="s">
        <v>31</v>
      </c>
      <c r="B145" s="19" t="s">
        <v>64</v>
      </c>
      <c r="E145" s="20" t="s">
        <v>33</v>
      </c>
      <c r="G145" s="21" t="s">
        <v>447</v>
      </c>
      <c r="J145" s="20" t="s">
        <v>35</v>
      </c>
      <c r="K145" s="21" t="s">
        <v>229</v>
      </c>
      <c r="L145" s="21" t="s">
        <v>88</v>
      </c>
      <c r="N145" s="21" t="s">
        <v>448</v>
      </c>
      <c r="P145" s="21" t="s">
        <v>449</v>
      </c>
      <c r="S145" s="20" t="s">
        <v>39</v>
      </c>
      <c r="T145" s="21" t="s">
        <v>50</v>
      </c>
      <c r="V145" s="21" t="s">
        <v>69</v>
      </c>
      <c r="W145" s="21" t="s">
        <v>212</v>
      </c>
      <c r="X145" s="21" t="s">
        <v>213</v>
      </c>
      <c r="Y145" s="21" t="s">
        <v>170</v>
      </c>
      <c r="AA145" s="21" t="s">
        <v>45</v>
      </c>
      <c r="AB145" s="21" t="s">
        <v>73</v>
      </c>
      <c r="AC145" s="21" t="s">
        <v>171</v>
      </c>
      <c r="AD145" s="21" t="s">
        <v>172</v>
      </c>
      <c r="AE145" s="21" t="s">
        <v>49</v>
      </c>
      <c r="AG145" s="21" t="s">
        <v>50</v>
      </c>
      <c r="AH145" s="21" t="s">
        <v>450</v>
      </c>
    </row>
    <row r="146" ht="16.5" customHeight="1">
      <c r="A146" s="19" t="s">
        <v>31</v>
      </c>
      <c r="B146" s="19" t="s">
        <v>64</v>
      </c>
      <c r="E146" s="20" t="s">
        <v>33</v>
      </c>
      <c r="G146" s="21" t="s">
        <v>447</v>
      </c>
      <c r="J146" s="20" t="s">
        <v>35</v>
      </c>
      <c r="K146" s="21" t="s">
        <v>65</v>
      </c>
      <c r="L146" s="21" t="s">
        <v>157</v>
      </c>
      <c r="N146" s="21" t="s">
        <v>451</v>
      </c>
      <c r="P146" s="21" t="s">
        <v>452</v>
      </c>
      <c r="S146" s="20" t="s">
        <v>39</v>
      </c>
      <c r="T146" s="21" t="s">
        <v>50</v>
      </c>
      <c r="V146" s="21" t="s">
        <v>69</v>
      </c>
      <c r="W146" s="21" t="s">
        <v>42</v>
      </c>
      <c r="X146" s="21" t="s">
        <v>202</v>
      </c>
      <c r="Y146" s="21" t="s">
        <v>72</v>
      </c>
      <c r="AA146" s="21" t="s">
        <v>45</v>
      </c>
      <c r="AB146" s="21" t="s">
        <v>73</v>
      </c>
      <c r="AC146" s="21" t="s">
        <v>74</v>
      </c>
      <c r="AD146" s="21" t="s">
        <v>162</v>
      </c>
      <c r="AE146" s="21" t="s">
        <v>49</v>
      </c>
      <c r="AG146" s="21" t="s">
        <v>50</v>
      </c>
      <c r="AH146" s="21" t="s">
        <v>450</v>
      </c>
    </row>
    <row r="147" ht="16.5" customHeight="1">
      <c r="A147" s="19" t="s">
        <v>31</v>
      </c>
      <c r="B147" s="19" t="s">
        <v>64</v>
      </c>
      <c r="E147" s="20" t="s">
        <v>33</v>
      </c>
      <c r="G147" s="21" t="s">
        <v>453</v>
      </c>
      <c r="J147" s="20" t="s">
        <v>35</v>
      </c>
      <c r="K147" s="21" t="s">
        <v>209</v>
      </c>
      <c r="L147" s="21" t="s">
        <v>88</v>
      </c>
      <c r="N147" s="21" t="s">
        <v>454</v>
      </c>
      <c r="P147" s="21" t="s">
        <v>455</v>
      </c>
      <c r="S147" s="20" t="s">
        <v>39</v>
      </c>
      <c r="T147" s="21" t="s">
        <v>50</v>
      </c>
      <c r="V147" s="21" t="s">
        <v>69</v>
      </c>
      <c r="W147" s="21" t="s">
        <v>325</v>
      </c>
      <c r="X147" s="21" t="s">
        <v>318</v>
      </c>
      <c r="Y147" s="21" t="s">
        <v>72</v>
      </c>
      <c r="AA147" s="21" t="s">
        <v>45</v>
      </c>
      <c r="AB147" s="21" t="s">
        <v>73</v>
      </c>
      <c r="AC147" s="21" t="s">
        <v>74</v>
      </c>
      <c r="AD147" s="21" t="s">
        <v>91</v>
      </c>
      <c r="AE147" s="21" t="s">
        <v>49</v>
      </c>
      <c r="AG147" s="21" t="s">
        <v>50</v>
      </c>
      <c r="AH147" s="21" t="s">
        <v>456</v>
      </c>
    </row>
    <row r="148" ht="16.5" customHeight="1">
      <c r="A148" s="19" t="s">
        <v>31</v>
      </c>
      <c r="B148" s="19" t="s">
        <v>64</v>
      </c>
      <c r="E148" s="20" t="s">
        <v>33</v>
      </c>
      <c r="G148" s="21" t="s">
        <v>453</v>
      </c>
      <c r="J148" s="20" t="s">
        <v>35</v>
      </c>
      <c r="K148" s="21" t="s">
        <v>93</v>
      </c>
      <c r="L148" s="21" t="s">
        <v>77</v>
      </c>
      <c r="N148" s="21" t="s">
        <v>457</v>
      </c>
      <c r="P148" s="21" t="s">
        <v>458</v>
      </c>
      <c r="S148" s="20" t="s">
        <v>39</v>
      </c>
      <c r="T148" s="21" t="s">
        <v>50</v>
      </c>
      <c r="V148" s="21" t="s">
        <v>69</v>
      </c>
      <c r="W148" s="21" t="s">
        <v>56</v>
      </c>
      <c r="X148" s="21" t="s">
        <v>103</v>
      </c>
      <c r="Y148" s="21" t="s">
        <v>72</v>
      </c>
      <c r="AA148" s="21" t="s">
        <v>45</v>
      </c>
      <c r="AB148" s="21" t="s">
        <v>73</v>
      </c>
      <c r="AC148" s="21" t="s">
        <v>74</v>
      </c>
      <c r="AD148" s="21" t="s">
        <v>82</v>
      </c>
      <c r="AE148" s="21" t="s">
        <v>49</v>
      </c>
      <c r="AG148" s="21" t="s">
        <v>50</v>
      </c>
      <c r="AH148" s="21" t="s">
        <v>456</v>
      </c>
    </row>
    <row r="149" ht="16.5" customHeight="1">
      <c r="A149" s="19" t="s">
        <v>31</v>
      </c>
      <c r="B149" s="19" t="s">
        <v>64</v>
      </c>
      <c r="E149" s="20" t="s">
        <v>33</v>
      </c>
      <c r="G149" s="21" t="s">
        <v>453</v>
      </c>
      <c r="J149" s="20" t="s">
        <v>35</v>
      </c>
      <c r="K149" s="21" t="s">
        <v>173</v>
      </c>
      <c r="L149" s="21" t="s">
        <v>77</v>
      </c>
      <c r="N149" s="21" t="s">
        <v>459</v>
      </c>
      <c r="P149" s="21" t="s">
        <v>460</v>
      </c>
      <c r="S149" s="20" t="s">
        <v>39</v>
      </c>
      <c r="T149" s="21" t="s">
        <v>50</v>
      </c>
      <c r="V149" s="21" t="s">
        <v>69</v>
      </c>
      <c r="W149" s="21" t="s">
        <v>333</v>
      </c>
      <c r="X149" s="21" t="s">
        <v>334</v>
      </c>
      <c r="Y149" s="21" t="s">
        <v>170</v>
      </c>
      <c r="AA149" s="21" t="s">
        <v>45</v>
      </c>
      <c r="AB149" s="21" t="s">
        <v>73</v>
      </c>
      <c r="AC149" s="21" t="s">
        <v>171</v>
      </c>
      <c r="AD149" s="21" t="s">
        <v>207</v>
      </c>
      <c r="AE149" s="21" t="s">
        <v>49</v>
      </c>
      <c r="AG149" s="21" t="s">
        <v>50</v>
      </c>
      <c r="AH149" s="21" t="s">
        <v>456</v>
      </c>
    </row>
    <row r="150" ht="16.5" customHeight="1">
      <c r="A150" s="19" t="s">
        <v>31</v>
      </c>
      <c r="B150" s="19" t="s">
        <v>64</v>
      </c>
      <c r="E150" s="20" t="s">
        <v>33</v>
      </c>
      <c r="G150" s="21" t="s">
        <v>461</v>
      </c>
      <c r="J150" s="20" t="s">
        <v>35</v>
      </c>
      <c r="K150" s="21" t="s">
        <v>76</v>
      </c>
      <c r="L150" s="21" t="s">
        <v>88</v>
      </c>
      <c r="N150" s="21" t="s">
        <v>462</v>
      </c>
      <c r="P150" s="21" t="s">
        <v>463</v>
      </c>
      <c r="S150" s="20" t="s">
        <v>39</v>
      </c>
      <c r="T150" s="21" t="s">
        <v>50</v>
      </c>
      <c r="V150" s="21" t="s">
        <v>69</v>
      </c>
      <c r="W150" s="21" t="s">
        <v>168</v>
      </c>
      <c r="X150" s="21" t="s">
        <v>169</v>
      </c>
      <c r="Y150" s="21" t="s">
        <v>72</v>
      </c>
      <c r="AA150" s="21" t="s">
        <v>45</v>
      </c>
      <c r="AB150" s="21" t="s">
        <v>73</v>
      </c>
      <c r="AC150" s="21" t="s">
        <v>74</v>
      </c>
      <c r="AD150" s="21" t="s">
        <v>91</v>
      </c>
      <c r="AE150" s="21" t="s">
        <v>49</v>
      </c>
      <c r="AG150" s="21" t="s">
        <v>50</v>
      </c>
      <c r="AH150" s="21" t="s">
        <v>464</v>
      </c>
    </row>
    <row r="151" ht="16.5" customHeight="1">
      <c r="A151" s="19" t="s">
        <v>31</v>
      </c>
      <c r="B151" s="19" t="s">
        <v>64</v>
      </c>
      <c r="E151" s="20" t="s">
        <v>33</v>
      </c>
      <c r="G151" s="21" t="s">
        <v>461</v>
      </c>
      <c r="J151" s="20" t="s">
        <v>35</v>
      </c>
      <c r="K151" s="21" t="s">
        <v>240</v>
      </c>
      <c r="L151" s="21" t="s">
        <v>88</v>
      </c>
      <c r="N151" s="21" t="s">
        <v>465</v>
      </c>
      <c r="P151" s="21" t="s">
        <v>466</v>
      </c>
      <c r="S151" s="20" t="s">
        <v>39</v>
      </c>
      <c r="T151" s="21" t="s">
        <v>50</v>
      </c>
      <c r="V151" s="21" t="s">
        <v>69</v>
      </c>
      <c r="W151" s="21" t="s">
        <v>56</v>
      </c>
      <c r="X151" s="21" t="s">
        <v>103</v>
      </c>
      <c r="Y151" s="21" t="s">
        <v>170</v>
      </c>
      <c r="AA151" s="21" t="s">
        <v>45</v>
      </c>
      <c r="AB151" s="21" t="s">
        <v>73</v>
      </c>
      <c r="AC151" s="21" t="s">
        <v>171</v>
      </c>
      <c r="AD151" s="21" t="s">
        <v>172</v>
      </c>
      <c r="AE151" s="21" t="s">
        <v>49</v>
      </c>
      <c r="AG151" s="21" t="s">
        <v>50</v>
      </c>
      <c r="AH151" s="21" t="s">
        <v>464</v>
      </c>
    </row>
    <row r="152" ht="16.5" customHeight="1">
      <c r="A152" s="19" t="s">
        <v>31</v>
      </c>
      <c r="B152" s="19" t="s">
        <v>64</v>
      </c>
      <c r="E152" s="20" t="s">
        <v>33</v>
      </c>
      <c r="G152" s="21" t="s">
        <v>461</v>
      </c>
      <c r="J152" s="20" t="s">
        <v>35</v>
      </c>
      <c r="K152" s="21" t="s">
        <v>337</v>
      </c>
      <c r="L152" s="21" t="s">
        <v>88</v>
      </c>
      <c r="N152" s="21" t="s">
        <v>467</v>
      </c>
      <c r="P152" s="21" t="s">
        <v>468</v>
      </c>
      <c r="S152" s="20" t="s">
        <v>39</v>
      </c>
      <c r="T152" s="21" t="s">
        <v>50</v>
      </c>
      <c r="V152" s="21" t="s">
        <v>69</v>
      </c>
      <c r="W152" s="21" t="s">
        <v>469</v>
      </c>
      <c r="X152" s="21" t="s">
        <v>470</v>
      </c>
      <c r="Y152" s="21" t="s">
        <v>170</v>
      </c>
      <c r="AA152" s="21" t="s">
        <v>45</v>
      </c>
      <c r="AB152" s="21" t="s">
        <v>73</v>
      </c>
      <c r="AC152" s="21" t="s">
        <v>171</v>
      </c>
      <c r="AD152" s="21" t="s">
        <v>172</v>
      </c>
      <c r="AE152" s="21" t="s">
        <v>49</v>
      </c>
      <c r="AG152" s="21" t="s">
        <v>50</v>
      </c>
      <c r="AH152" s="21" t="s">
        <v>464</v>
      </c>
    </row>
    <row r="153" ht="16.5" customHeight="1">
      <c r="A153" s="19" t="s">
        <v>31</v>
      </c>
      <c r="B153" s="19" t="s">
        <v>64</v>
      </c>
      <c r="E153" s="20" t="s">
        <v>33</v>
      </c>
      <c r="G153" s="21" t="s">
        <v>461</v>
      </c>
      <c r="J153" s="20" t="s">
        <v>35</v>
      </c>
      <c r="K153" s="21" t="s">
        <v>240</v>
      </c>
      <c r="L153" s="21" t="s">
        <v>88</v>
      </c>
      <c r="N153" s="21" t="s">
        <v>471</v>
      </c>
      <c r="P153" s="21" t="s">
        <v>472</v>
      </c>
      <c r="S153" s="20" t="s">
        <v>39</v>
      </c>
      <c r="T153" s="21" t="s">
        <v>50</v>
      </c>
      <c r="V153" s="21" t="s">
        <v>69</v>
      </c>
      <c r="W153" s="21" t="s">
        <v>168</v>
      </c>
      <c r="X153" s="21" t="s">
        <v>169</v>
      </c>
      <c r="Y153" s="21" t="s">
        <v>170</v>
      </c>
      <c r="AA153" s="21" t="s">
        <v>45</v>
      </c>
      <c r="AB153" s="21" t="s">
        <v>73</v>
      </c>
      <c r="AC153" s="21" t="s">
        <v>171</v>
      </c>
      <c r="AD153" s="21" t="s">
        <v>172</v>
      </c>
      <c r="AE153" s="21" t="s">
        <v>49</v>
      </c>
      <c r="AG153" s="21" t="s">
        <v>50</v>
      </c>
      <c r="AH153" s="21" t="s">
        <v>464</v>
      </c>
    </row>
    <row r="154" ht="16.5" customHeight="1">
      <c r="A154" s="19" t="s">
        <v>31</v>
      </c>
      <c r="B154" s="19" t="s">
        <v>64</v>
      </c>
      <c r="E154" s="20" t="s">
        <v>33</v>
      </c>
      <c r="G154" s="21" t="s">
        <v>461</v>
      </c>
      <c r="J154" s="20" t="s">
        <v>35</v>
      </c>
      <c r="K154" s="21" t="s">
        <v>240</v>
      </c>
      <c r="L154" s="21" t="s">
        <v>88</v>
      </c>
      <c r="N154" s="21" t="s">
        <v>471</v>
      </c>
      <c r="P154" s="21" t="s">
        <v>472</v>
      </c>
      <c r="S154" s="20" t="s">
        <v>39</v>
      </c>
      <c r="T154" s="21" t="s">
        <v>50</v>
      </c>
      <c r="V154" s="21" t="s">
        <v>41</v>
      </c>
      <c r="W154" s="21" t="s">
        <v>168</v>
      </c>
      <c r="X154" s="21" t="s">
        <v>354</v>
      </c>
      <c r="Y154" s="21" t="s">
        <v>170</v>
      </c>
      <c r="AA154" s="21" t="s">
        <v>45</v>
      </c>
      <c r="AB154" s="21" t="s">
        <v>73</v>
      </c>
      <c r="AC154" s="21" t="s">
        <v>171</v>
      </c>
      <c r="AD154" s="21" t="s">
        <v>172</v>
      </c>
      <c r="AE154" s="21" t="s">
        <v>49</v>
      </c>
      <c r="AG154" s="21" t="s">
        <v>50</v>
      </c>
      <c r="AH154" s="21" t="s">
        <v>464</v>
      </c>
    </row>
    <row r="155" ht="16.5" customHeight="1">
      <c r="A155" s="19" t="s">
        <v>31</v>
      </c>
      <c r="B155" s="19" t="s">
        <v>64</v>
      </c>
      <c r="E155" s="20" t="s">
        <v>33</v>
      </c>
      <c r="G155" s="21" t="s">
        <v>461</v>
      </c>
      <c r="J155" s="20" t="s">
        <v>35</v>
      </c>
      <c r="K155" s="21" t="s">
        <v>240</v>
      </c>
      <c r="L155" s="21" t="s">
        <v>88</v>
      </c>
      <c r="N155" s="21" t="s">
        <v>471</v>
      </c>
      <c r="P155" s="21" t="s">
        <v>472</v>
      </c>
      <c r="S155" s="20" t="s">
        <v>39</v>
      </c>
      <c r="T155" s="21" t="s">
        <v>50</v>
      </c>
      <c r="V155" s="21" t="s">
        <v>150</v>
      </c>
      <c r="W155" s="21" t="s">
        <v>168</v>
      </c>
      <c r="X155" s="21" t="s">
        <v>470</v>
      </c>
      <c r="Y155" s="21" t="s">
        <v>170</v>
      </c>
      <c r="AA155" s="21" t="s">
        <v>45</v>
      </c>
      <c r="AB155" s="21" t="s">
        <v>73</v>
      </c>
      <c r="AC155" s="21" t="s">
        <v>171</v>
      </c>
      <c r="AD155" s="21" t="s">
        <v>172</v>
      </c>
      <c r="AE155" s="21" t="s">
        <v>49</v>
      </c>
      <c r="AG155" s="21" t="s">
        <v>50</v>
      </c>
      <c r="AH155" s="21" t="s">
        <v>464</v>
      </c>
    </row>
    <row r="156" ht="16.5" customHeight="1">
      <c r="A156" s="19" t="s">
        <v>31</v>
      </c>
      <c r="B156" s="19" t="s">
        <v>64</v>
      </c>
      <c r="E156" s="20" t="s">
        <v>33</v>
      </c>
      <c r="G156" s="21" t="s">
        <v>461</v>
      </c>
      <c r="J156" s="20" t="s">
        <v>35</v>
      </c>
      <c r="K156" s="21" t="s">
        <v>229</v>
      </c>
      <c r="L156" s="21" t="s">
        <v>88</v>
      </c>
      <c r="N156" s="21" t="s">
        <v>473</v>
      </c>
      <c r="P156" s="21" t="s">
        <v>474</v>
      </c>
      <c r="S156" s="20" t="s">
        <v>39</v>
      </c>
      <c r="T156" s="21" t="s">
        <v>50</v>
      </c>
      <c r="V156" s="21" t="s">
        <v>69</v>
      </c>
      <c r="W156" s="21" t="s">
        <v>150</v>
      </c>
      <c r="X156" s="21" t="s">
        <v>57</v>
      </c>
      <c r="Y156" s="21" t="s">
        <v>170</v>
      </c>
      <c r="AA156" s="21" t="s">
        <v>45</v>
      </c>
      <c r="AB156" s="21" t="s">
        <v>73</v>
      </c>
      <c r="AC156" s="21" t="s">
        <v>171</v>
      </c>
      <c r="AD156" s="21" t="s">
        <v>172</v>
      </c>
      <c r="AE156" s="21" t="s">
        <v>49</v>
      </c>
      <c r="AG156" s="21" t="s">
        <v>50</v>
      </c>
      <c r="AH156" s="21" t="s">
        <v>464</v>
      </c>
    </row>
    <row r="157" ht="16.5" customHeight="1">
      <c r="A157" s="19" t="s">
        <v>31</v>
      </c>
      <c r="B157" s="19" t="s">
        <v>64</v>
      </c>
      <c r="E157" s="20" t="s">
        <v>33</v>
      </c>
      <c r="G157" s="21" t="s">
        <v>461</v>
      </c>
      <c r="J157" s="20" t="s">
        <v>35</v>
      </c>
      <c r="K157" s="21" t="s">
        <v>93</v>
      </c>
      <c r="L157" s="21" t="s">
        <v>88</v>
      </c>
      <c r="N157" s="21" t="s">
        <v>475</v>
      </c>
      <c r="P157" s="21" t="s">
        <v>476</v>
      </c>
      <c r="S157" s="20" t="s">
        <v>39</v>
      </c>
      <c r="T157" s="21" t="s">
        <v>50</v>
      </c>
      <c r="V157" s="21" t="s">
        <v>69</v>
      </c>
      <c r="W157" s="21" t="s">
        <v>168</v>
      </c>
      <c r="X157" s="21" t="s">
        <v>169</v>
      </c>
      <c r="Y157" s="21" t="s">
        <v>72</v>
      </c>
      <c r="AA157" s="21" t="s">
        <v>45</v>
      </c>
      <c r="AB157" s="21" t="s">
        <v>73</v>
      </c>
      <c r="AC157" s="21" t="s">
        <v>74</v>
      </c>
      <c r="AD157" s="21" t="s">
        <v>91</v>
      </c>
      <c r="AE157" s="21" t="s">
        <v>49</v>
      </c>
      <c r="AG157" s="21" t="s">
        <v>50</v>
      </c>
      <c r="AH157" s="21" t="s">
        <v>464</v>
      </c>
    </row>
    <row r="158" ht="16.5" customHeight="1">
      <c r="A158" s="19" t="s">
        <v>31</v>
      </c>
      <c r="B158" s="19" t="s">
        <v>64</v>
      </c>
      <c r="E158" s="20" t="s">
        <v>33</v>
      </c>
      <c r="G158" s="21" t="s">
        <v>461</v>
      </c>
      <c r="J158" s="20" t="s">
        <v>35</v>
      </c>
      <c r="K158" s="21" t="s">
        <v>229</v>
      </c>
      <c r="L158" s="21" t="s">
        <v>88</v>
      </c>
      <c r="N158" s="21" t="s">
        <v>477</v>
      </c>
      <c r="P158" s="21" t="s">
        <v>478</v>
      </c>
      <c r="S158" s="20" t="s">
        <v>39</v>
      </c>
      <c r="T158" s="21" t="s">
        <v>50</v>
      </c>
      <c r="V158" s="21" t="s">
        <v>69</v>
      </c>
      <c r="W158" s="21" t="s">
        <v>56</v>
      </c>
      <c r="X158" s="21" t="s">
        <v>103</v>
      </c>
      <c r="Y158" s="21" t="s">
        <v>170</v>
      </c>
      <c r="AA158" s="21" t="s">
        <v>45</v>
      </c>
      <c r="AB158" s="21" t="s">
        <v>73</v>
      </c>
      <c r="AC158" s="21" t="s">
        <v>171</v>
      </c>
      <c r="AD158" s="21" t="s">
        <v>172</v>
      </c>
      <c r="AE158" s="21" t="s">
        <v>49</v>
      </c>
      <c r="AG158" s="21" t="s">
        <v>50</v>
      </c>
      <c r="AH158" s="21" t="s">
        <v>464</v>
      </c>
    </row>
    <row r="159" ht="16.5" customHeight="1">
      <c r="A159" s="19" t="s">
        <v>31</v>
      </c>
      <c r="B159" s="19" t="s">
        <v>64</v>
      </c>
      <c r="E159" s="20" t="s">
        <v>33</v>
      </c>
      <c r="G159" s="21" t="s">
        <v>461</v>
      </c>
      <c r="J159" s="20" t="s">
        <v>35</v>
      </c>
      <c r="K159" s="21" t="s">
        <v>240</v>
      </c>
      <c r="L159" s="21" t="s">
        <v>77</v>
      </c>
      <c r="N159" s="21" t="s">
        <v>479</v>
      </c>
      <c r="P159" s="21" t="s">
        <v>480</v>
      </c>
      <c r="S159" s="20" t="s">
        <v>39</v>
      </c>
      <c r="T159" s="21" t="s">
        <v>50</v>
      </c>
      <c r="V159" s="21" t="s">
        <v>69</v>
      </c>
      <c r="W159" s="21" t="s">
        <v>325</v>
      </c>
      <c r="X159" s="21" t="s">
        <v>318</v>
      </c>
      <c r="Y159" s="21" t="s">
        <v>170</v>
      </c>
      <c r="AA159" s="21" t="s">
        <v>45</v>
      </c>
      <c r="AB159" s="21" t="s">
        <v>73</v>
      </c>
      <c r="AC159" s="21" t="s">
        <v>171</v>
      </c>
      <c r="AD159" s="21" t="s">
        <v>207</v>
      </c>
      <c r="AE159" s="21" t="s">
        <v>49</v>
      </c>
      <c r="AG159" s="21" t="s">
        <v>50</v>
      </c>
      <c r="AH159" s="21" t="s">
        <v>464</v>
      </c>
    </row>
    <row r="160" ht="16.5" customHeight="1">
      <c r="A160" s="19" t="s">
        <v>31</v>
      </c>
      <c r="B160" s="19" t="s">
        <v>64</v>
      </c>
      <c r="E160" s="20" t="s">
        <v>33</v>
      </c>
      <c r="G160" s="21" t="s">
        <v>461</v>
      </c>
      <c r="J160" s="20" t="s">
        <v>35</v>
      </c>
      <c r="K160" s="21" t="s">
        <v>240</v>
      </c>
      <c r="L160" s="21" t="s">
        <v>88</v>
      </c>
      <c r="N160" s="21" t="s">
        <v>481</v>
      </c>
      <c r="P160" s="21" t="s">
        <v>482</v>
      </c>
      <c r="S160" s="20" t="s">
        <v>39</v>
      </c>
      <c r="T160" s="21" t="s">
        <v>50</v>
      </c>
      <c r="V160" s="21" t="s">
        <v>69</v>
      </c>
      <c r="W160" s="21" t="s">
        <v>325</v>
      </c>
      <c r="X160" s="21" t="s">
        <v>318</v>
      </c>
      <c r="Y160" s="21" t="s">
        <v>170</v>
      </c>
      <c r="AA160" s="21" t="s">
        <v>45</v>
      </c>
      <c r="AB160" s="21" t="s">
        <v>73</v>
      </c>
      <c r="AC160" s="21" t="s">
        <v>171</v>
      </c>
      <c r="AD160" s="21" t="s">
        <v>172</v>
      </c>
      <c r="AE160" s="21" t="s">
        <v>49</v>
      </c>
      <c r="AG160" s="21" t="s">
        <v>50</v>
      </c>
      <c r="AH160" s="21" t="s">
        <v>464</v>
      </c>
    </row>
    <row r="161" ht="16.5" customHeight="1">
      <c r="A161" s="19" t="s">
        <v>31</v>
      </c>
      <c r="B161" s="19" t="s">
        <v>64</v>
      </c>
      <c r="E161" s="20" t="s">
        <v>33</v>
      </c>
      <c r="G161" s="21" t="s">
        <v>461</v>
      </c>
      <c r="J161" s="20" t="s">
        <v>35</v>
      </c>
      <c r="K161" s="21" t="s">
        <v>229</v>
      </c>
      <c r="L161" s="21" t="s">
        <v>88</v>
      </c>
      <c r="N161" s="21" t="s">
        <v>483</v>
      </c>
      <c r="P161" s="21" t="s">
        <v>484</v>
      </c>
      <c r="S161" s="20" t="s">
        <v>39</v>
      </c>
      <c r="T161" s="21" t="s">
        <v>50</v>
      </c>
      <c r="V161" s="21" t="s">
        <v>69</v>
      </c>
      <c r="W161" s="21" t="s">
        <v>168</v>
      </c>
      <c r="X161" s="21" t="s">
        <v>169</v>
      </c>
      <c r="Y161" s="21" t="s">
        <v>170</v>
      </c>
      <c r="AA161" s="21" t="s">
        <v>45</v>
      </c>
      <c r="AB161" s="21" t="s">
        <v>73</v>
      </c>
      <c r="AC161" s="21" t="s">
        <v>171</v>
      </c>
      <c r="AD161" s="21" t="s">
        <v>172</v>
      </c>
      <c r="AE161" s="21" t="s">
        <v>49</v>
      </c>
      <c r="AG161" s="21" t="s">
        <v>50</v>
      </c>
      <c r="AH161" s="21" t="s">
        <v>464</v>
      </c>
    </row>
    <row r="162" ht="16.5" customHeight="1">
      <c r="A162" s="19" t="s">
        <v>31</v>
      </c>
      <c r="B162" s="19" t="s">
        <v>64</v>
      </c>
      <c r="E162" s="20" t="s">
        <v>33</v>
      </c>
      <c r="G162" s="21" t="s">
        <v>461</v>
      </c>
      <c r="J162" s="20" t="s">
        <v>35</v>
      </c>
      <c r="K162" s="21" t="s">
        <v>173</v>
      </c>
      <c r="L162" s="21" t="s">
        <v>77</v>
      </c>
      <c r="N162" s="21" t="s">
        <v>485</v>
      </c>
      <c r="P162" s="21" t="s">
        <v>486</v>
      </c>
      <c r="S162" s="20" t="s">
        <v>39</v>
      </c>
      <c r="T162" s="21" t="s">
        <v>50</v>
      </c>
      <c r="V162" s="21" t="s">
        <v>69</v>
      </c>
      <c r="W162" s="21" t="s">
        <v>42</v>
      </c>
      <c r="X162" s="21" t="s">
        <v>202</v>
      </c>
      <c r="Y162" s="21" t="s">
        <v>170</v>
      </c>
      <c r="AA162" s="21" t="s">
        <v>45</v>
      </c>
      <c r="AB162" s="21" t="s">
        <v>73</v>
      </c>
      <c r="AC162" s="21" t="s">
        <v>171</v>
      </c>
      <c r="AD162" s="21" t="s">
        <v>207</v>
      </c>
      <c r="AE162" s="21" t="s">
        <v>49</v>
      </c>
      <c r="AG162" s="21" t="s">
        <v>50</v>
      </c>
      <c r="AH162" s="21" t="s">
        <v>464</v>
      </c>
    </row>
    <row r="163" ht="16.5" customHeight="1">
      <c r="A163" s="19" t="s">
        <v>31</v>
      </c>
      <c r="B163" s="19" t="s">
        <v>64</v>
      </c>
      <c r="E163" s="20" t="s">
        <v>33</v>
      </c>
      <c r="G163" s="21" t="s">
        <v>461</v>
      </c>
      <c r="J163" s="20" t="s">
        <v>35</v>
      </c>
      <c r="K163" s="21" t="s">
        <v>240</v>
      </c>
      <c r="L163" s="21" t="s">
        <v>88</v>
      </c>
      <c r="N163" s="21" t="s">
        <v>487</v>
      </c>
      <c r="P163" s="21" t="s">
        <v>488</v>
      </c>
      <c r="S163" s="20" t="s">
        <v>39</v>
      </c>
      <c r="T163" s="21" t="s">
        <v>50</v>
      </c>
      <c r="V163" s="21" t="s">
        <v>69</v>
      </c>
      <c r="W163" s="21" t="s">
        <v>56</v>
      </c>
      <c r="X163" s="21" t="s">
        <v>103</v>
      </c>
      <c r="Y163" s="21" t="s">
        <v>170</v>
      </c>
      <c r="AA163" s="21" t="s">
        <v>45</v>
      </c>
      <c r="AB163" s="21" t="s">
        <v>73</v>
      </c>
      <c r="AC163" s="21" t="s">
        <v>171</v>
      </c>
      <c r="AD163" s="21" t="s">
        <v>172</v>
      </c>
      <c r="AE163" s="21" t="s">
        <v>49</v>
      </c>
      <c r="AG163" s="21" t="s">
        <v>50</v>
      </c>
      <c r="AH163" s="21" t="s">
        <v>464</v>
      </c>
    </row>
    <row r="164" ht="16.5" customHeight="1">
      <c r="A164" s="19" t="s">
        <v>31</v>
      </c>
      <c r="B164" s="19" t="s">
        <v>64</v>
      </c>
      <c r="E164" s="20" t="s">
        <v>33</v>
      </c>
      <c r="G164" s="21" t="s">
        <v>461</v>
      </c>
      <c r="J164" s="20" t="s">
        <v>35</v>
      </c>
      <c r="K164" s="21" t="s">
        <v>76</v>
      </c>
      <c r="L164" s="21" t="s">
        <v>88</v>
      </c>
      <c r="N164" s="21" t="s">
        <v>489</v>
      </c>
      <c r="P164" s="21" t="s">
        <v>490</v>
      </c>
      <c r="S164" s="20" t="s">
        <v>39</v>
      </c>
      <c r="T164" s="21" t="s">
        <v>50</v>
      </c>
      <c r="V164" s="21" t="s">
        <v>69</v>
      </c>
      <c r="W164" s="21" t="s">
        <v>56</v>
      </c>
      <c r="X164" s="21" t="s">
        <v>103</v>
      </c>
      <c r="Y164" s="21" t="s">
        <v>72</v>
      </c>
      <c r="AA164" s="21" t="s">
        <v>45</v>
      </c>
      <c r="AB164" s="21" t="s">
        <v>73</v>
      </c>
      <c r="AC164" s="21" t="s">
        <v>74</v>
      </c>
      <c r="AD164" s="21" t="s">
        <v>91</v>
      </c>
      <c r="AE164" s="21" t="s">
        <v>49</v>
      </c>
      <c r="AG164" s="21" t="s">
        <v>50</v>
      </c>
      <c r="AH164" s="21" t="s">
        <v>464</v>
      </c>
    </row>
    <row r="165" ht="16.5" customHeight="1">
      <c r="A165" s="19" t="s">
        <v>31</v>
      </c>
      <c r="B165" s="19" t="s">
        <v>64</v>
      </c>
      <c r="E165" s="20" t="s">
        <v>33</v>
      </c>
      <c r="G165" s="21" t="s">
        <v>461</v>
      </c>
      <c r="J165" s="20" t="s">
        <v>35</v>
      </c>
      <c r="K165" s="21" t="s">
        <v>87</v>
      </c>
      <c r="L165" s="21" t="s">
        <v>88</v>
      </c>
      <c r="N165" s="21" t="s">
        <v>491</v>
      </c>
      <c r="P165" s="21" t="s">
        <v>492</v>
      </c>
      <c r="S165" s="20" t="s">
        <v>39</v>
      </c>
      <c r="T165" s="21" t="s">
        <v>50</v>
      </c>
      <c r="V165" s="21" t="s">
        <v>69</v>
      </c>
      <c r="W165" s="21" t="s">
        <v>56</v>
      </c>
      <c r="X165" s="21" t="s">
        <v>103</v>
      </c>
      <c r="Y165" s="21" t="s">
        <v>72</v>
      </c>
      <c r="AA165" s="21" t="s">
        <v>45</v>
      </c>
      <c r="AB165" s="21" t="s">
        <v>73</v>
      </c>
      <c r="AC165" s="21" t="s">
        <v>74</v>
      </c>
      <c r="AD165" s="21" t="s">
        <v>91</v>
      </c>
      <c r="AE165" s="21" t="s">
        <v>49</v>
      </c>
      <c r="AG165" s="21" t="s">
        <v>50</v>
      </c>
      <c r="AH165" s="21" t="s">
        <v>464</v>
      </c>
    </row>
    <row r="166" ht="16.5" customHeight="1">
      <c r="A166" s="19" t="s">
        <v>31</v>
      </c>
      <c r="B166" s="19" t="s">
        <v>64</v>
      </c>
      <c r="E166" s="20" t="s">
        <v>33</v>
      </c>
      <c r="G166" s="21" t="s">
        <v>493</v>
      </c>
      <c r="J166" s="20" t="s">
        <v>35</v>
      </c>
      <c r="K166" s="21" t="s">
        <v>98</v>
      </c>
      <c r="L166" s="21" t="s">
        <v>66</v>
      </c>
      <c r="N166" s="21" t="s">
        <v>494</v>
      </c>
      <c r="P166" s="21" t="s">
        <v>495</v>
      </c>
      <c r="S166" s="20" t="s">
        <v>39</v>
      </c>
      <c r="T166" s="21" t="s">
        <v>50</v>
      </c>
      <c r="V166" s="21" t="s">
        <v>69</v>
      </c>
      <c r="W166" s="21" t="s">
        <v>496</v>
      </c>
      <c r="X166" s="21" t="s">
        <v>497</v>
      </c>
      <c r="Y166" s="21" t="s">
        <v>72</v>
      </c>
      <c r="AA166" s="21" t="s">
        <v>45</v>
      </c>
      <c r="AB166" s="21" t="s">
        <v>73</v>
      </c>
      <c r="AC166" s="21" t="s">
        <v>74</v>
      </c>
      <c r="AD166" s="21" t="s">
        <v>75</v>
      </c>
      <c r="AE166" s="21" t="s">
        <v>49</v>
      </c>
      <c r="AG166" s="21" t="s">
        <v>50</v>
      </c>
      <c r="AH166" s="21" t="s">
        <v>498</v>
      </c>
    </row>
    <row r="167" ht="16.5" customHeight="1">
      <c r="A167" s="19" t="s">
        <v>31</v>
      </c>
      <c r="B167" s="19" t="s">
        <v>64</v>
      </c>
      <c r="E167" s="20" t="s">
        <v>33</v>
      </c>
      <c r="G167" s="21" t="s">
        <v>493</v>
      </c>
      <c r="J167" s="20" t="s">
        <v>35</v>
      </c>
      <c r="K167" s="21" t="s">
        <v>229</v>
      </c>
      <c r="L167" s="21" t="s">
        <v>88</v>
      </c>
      <c r="N167" s="21" t="s">
        <v>499</v>
      </c>
      <c r="P167" s="21" t="s">
        <v>500</v>
      </c>
      <c r="S167" s="20" t="s">
        <v>39</v>
      </c>
      <c r="T167" s="21" t="s">
        <v>50</v>
      </c>
      <c r="V167" s="21" t="s">
        <v>69</v>
      </c>
      <c r="W167" s="21" t="s">
        <v>56</v>
      </c>
      <c r="X167" s="21" t="s">
        <v>103</v>
      </c>
      <c r="Y167" s="21" t="s">
        <v>170</v>
      </c>
      <c r="AA167" s="21" t="s">
        <v>45</v>
      </c>
      <c r="AB167" s="21" t="s">
        <v>73</v>
      </c>
      <c r="AC167" s="21" t="s">
        <v>171</v>
      </c>
      <c r="AD167" s="21" t="s">
        <v>172</v>
      </c>
      <c r="AE167" s="21" t="s">
        <v>49</v>
      </c>
      <c r="AG167" s="21" t="s">
        <v>50</v>
      </c>
      <c r="AH167" s="21" t="s">
        <v>498</v>
      </c>
    </row>
    <row r="168" ht="16.5" customHeight="1">
      <c r="A168" s="19" t="s">
        <v>31</v>
      </c>
      <c r="B168" s="19" t="s">
        <v>64</v>
      </c>
      <c r="E168" s="20" t="s">
        <v>33</v>
      </c>
      <c r="G168" s="21" t="s">
        <v>493</v>
      </c>
      <c r="J168" s="20" t="s">
        <v>35</v>
      </c>
      <c r="K168" s="21" t="s">
        <v>249</v>
      </c>
      <c r="L168" s="21" t="s">
        <v>157</v>
      </c>
      <c r="N168" s="21" t="s">
        <v>501</v>
      </c>
      <c r="P168" s="21" t="s">
        <v>502</v>
      </c>
      <c r="S168" s="20" t="s">
        <v>39</v>
      </c>
      <c r="T168" s="21" t="s">
        <v>50</v>
      </c>
      <c r="V168" s="21" t="s">
        <v>69</v>
      </c>
      <c r="W168" s="21" t="s">
        <v>325</v>
      </c>
      <c r="X168" s="21" t="s">
        <v>318</v>
      </c>
      <c r="Y168" s="21" t="s">
        <v>72</v>
      </c>
      <c r="AA168" s="21" t="s">
        <v>45</v>
      </c>
      <c r="AB168" s="21" t="s">
        <v>73</v>
      </c>
      <c r="AC168" s="21" t="s">
        <v>74</v>
      </c>
      <c r="AD168" s="21" t="s">
        <v>162</v>
      </c>
      <c r="AE168" s="21" t="s">
        <v>49</v>
      </c>
      <c r="AG168" s="21" t="s">
        <v>50</v>
      </c>
      <c r="AH168" s="21" t="s">
        <v>498</v>
      </c>
    </row>
    <row r="169" ht="0.75" customHeight="1"/>
    <row r="170" ht="12.0" customHeight="1"/>
    <row r="171" ht="16.5" customHeight="1">
      <c r="A171" s="19" t="s">
        <v>31</v>
      </c>
      <c r="B171" s="19" t="s">
        <v>64</v>
      </c>
      <c r="E171" s="20" t="s">
        <v>33</v>
      </c>
      <c r="G171" s="21" t="s">
        <v>493</v>
      </c>
      <c r="J171" s="20" t="s">
        <v>35</v>
      </c>
      <c r="K171" s="21" t="s">
        <v>240</v>
      </c>
      <c r="L171" s="21" t="s">
        <v>327</v>
      </c>
      <c r="N171" s="21" t="s">
        <v>503</v>
      </c>
      <c r="P171" s="21" t="s">
        <v>504</v>
      </c>
      <c r="S171" s="20" t="s">
        <v>39</v>
      </c>
      <c r="T171" s="21" t="s">
        <v>50</v>
      </c>
      <c r="V171" s="21" t="s">
        <v>69</v>
      </c>
      <c r="W171" s="21" t="s">
        <v>325</v>
      </c>
      <c r="X171" s="21" t="s">
        <v>318</v>
      </c>
      <c r="Y171" s="21" t="s">
        <v>170</v>
      </c>
      <c r="AA171" s="21" t="s">
        <v>45</v>
      </c>
      <c r="AB171" s="21" t="s">
        <v>73</v>
      </c>
      <c r="AC171" s="21" t="s">
        <v>171</v>
      </c>
      <c r="AD171" s="21" t="s">
        <v>505</v>
      </c>
      <c r="AE171" s="21" t="s">
        <v>49</v>
      </c>
      <c r="AG171" s="21" t="s">
        <v>50</v>
      </c>
      <c r="AH171" s="21" t="s">
        <v>498</v>
      </c>
    </row>
    <row r="172" ht="16.5" customHeight="1">
      <c r="A172" s="19" t="s">
        <v>31</v>
      </c>
      <c r="B172" s="19" t="s">
        <v>64</v>
      </c>
      <c r="E172" s="20" t="s">
        <v>33</v>
      </c>
      <c r="G172" s="21" t="s">
        <v>493</v>
      </c>
      <c r="J172" s="20" t="s">
        <v>35</v>
      </c>
      <c r="K172" s="21" t="s">
        <v>240</v>
      </c>
      <c r="L172" s="21" t="s">
        <v>88</v>
      </c>
      <c r="N172" s="21" t="s">
        <v>503</v>
      </c>
      <c r="P172" s="21" t="s">
        <v>504</v>
      </c>
      <c r="S172" s="20" t="s">
        <v>39</v>
      </c>
      <c r="T172" s="21" t="s">
        <v>50</v>
      </c>
      <c r="V172" s="21" t="s">
        <v>69</v>
      </c>
      <c r="W172" s="21" t="s">
        <v>325</v>
      </c>
      <c r="X172" s="21" t="s">
        <v>318</v>
      </c>
      <c r="Y172" s="21" t="s">
        <v>170</v>
      </c>
      <c r="AA172" s="21" t="s">
        <v>45</v>
      </c>
      <c r="AB172" s="21" t="s">
        <v>73</v>
      </c>
      <c r="AC172" s="21" t="s">
        <v>171</v>
      </c>
      <c r="AD172" s="21" t="s">
        <v>172</v>
      </c>
      <c r="AE172" s="21" t="s">
        <v>49</v>
      </c>
      <c r="AG172" s="21" t="s">
        <v>50</v>
      </c>
      <c r="AH172" s="21" t="s">
        <v>498</v>
      </c>
    </row>
    <row r="173" ht="16.5" customHeight="1">
      <c r="A173" s="19" t="s">
        <v>31</v>
      </c>
      <c r="B173" s="19" t="s">
        <v>64</v>
      </c>
      <c r="E173" s="20" t="s">
        <v>33</v>
      </c>
      <c r="G173" s="21" t="s">
        <v>493</v>
      </c>
      <c r="J173" s="20" t="s">
        <v>35</v>
      </c>
      <c r="K173" s="21" t="s">
        <v>240</v>
      </c>
      <c r="L173" s="21" t="s">
        <v>327</v>
      </c>
      <c r="N173" s="21" t="s">
        <v>503</v>
      </c>
      <c r="P173" s="21" t="s">
        <v>504</v>
      </c>
      <c r="S173" s="20" t="s">
        <v>39</v>
      </c>
      <c r="T173" s="21" t="s">
        <v>50</v>
      </c>
      <c r="V173" s="21" t="s">
        <v>41</v>
      </c>
      <c r="W173" s="21" t="s">
        <v>325</v>
      </c>
      <c r="X173" s="21" t="s">
        <v>169</v>
      </c>
      <c r="Y173" s="21" t="s">
        <v>170</v>
      </c>
      <c r="AA173" s="21" t="s">
        <v>45</v>
      </c>
      <c r="AB173" s="21" t="s">
        <v>73</v>
      </c>
      <c r="AC173" s="21" t="s">
        <v>171</v>
      </c>
      <c r="AD173" s="21" t="s">
        <v>505</v>
      </c>
      <c r="AE173" s="21" t="s">
        <v>49</v>
      </c>
      <c r="AG173" s="21" t="s">
        <v>50</v>
      </c>
      <c r="AH173" s="21" t="s">
        <v>498</v>
      </c>
    </row>
    <row r="174" ht="16.5" customHeight="1">
      <c r="A174" s="19" t="s">
        <v>31</v>
      </c>
      <c r="B174" s="19" t="s">
        <v>64</v>
      </c>
      <c r="E174" s="20" t="s">
        <v>33</v>
      </c>
      <c r="G174" s="21" t="s">
        <v>493</v>
      </c>
      <c r="J174" s="20" t="s">
        <v>35</v>
      </c>
      <c r="K174" s="21" t="s">
        <v>76</v>
      </c>
      <c r="L174" s="21" t="s">
        <v>88</v>
      </c>
      <c r="N174" s="21" t="s">
        <v>506</v>
      </c>
      <c r="P174" s="21" t="s">
        <v>507</v>
      </c>
      <c r="S174" s="20" t="s">
        <v>39</v>
      </c>
      <c r="T174" s="21" t="s">
        <v>50</v>
      </c>
      <c r="V174" s="21" t="s">
        <v>69</v>
      </c>
      <c r="W174" s="21" t="s">
        <v>333</v>
      </c>
      <c r="X174" s="21" t="s">
        <v>334</v>
      </c>
      <c r="Y174" s="21" t="s">
        <v>72</v>
      </c>
      <c r="AA174" s="21" t="s">
        <v>45</v>
      </c>
      <c r="AB174" s="21" t="s">
        <v>73</v>
      </c>
      <c r="AC174" s="21" t="s">
        <v>74</v>
      </c>
      <c r="AD174" s="21" t="s">
        <v>91</v>
      </c>
      <c r="AE174" s="21" t="s">
        <v>49</v>
      </c>
      <c r="AG174" s="21" t="s">
        <v>50</v>
      </c>
      <c r="AH174" s="21" t="s">
        <v>498</v>
      </c>
    </row>
    <row r="175" ht="16.5" customHeight="1">
      <c r="A175" s="19" t="s">
        <v>31</v>
      </c>
      <c r="B175" s="19" t="s">
        <v>64</v>
      </c>
      <c r="E175" s="20" t="s">
        <v>33</v>
      </c>
      <c r="G175" s="21" t="s">
        <v>493</v>
      </c>
      <c r="J175" s="20" t="s">
        <v>35</v>
      </c>
      <c r="K175" s="21" t="s">
        <v>76</v>
      </c>
      <c r="L175" s="21" t="s">
        <v>88</v>
      </c>
      <c r="N175" s="21" t="s">
        <v>508</v>
      </c>
      <c r="P175" s="21" t="s">
        <v>509</v>
      </c>
      <c r="S175" s="20" t="s">
        <v>39</v>
      </c>
      <c r="T175" s="21" t="s">
        <v>50</v>
      </c>
      <c r="V175" s="21" t="s">
        <v>69</v>
      </c>
      <c r="W175" s="21" t="s">
        <v>469</v>
      </c>
      <c r="X175" s="21" t="s">
        <v>470</v>
      </c>
      <c r="Y175" s="21" t="s">
        <v>72</v>
      </c>
      <c r="AA175" s="21" t="s">
        <v>45</v>
      </c>
      <c r="AB175" s="21" t="s">
        <v>73</v>
      </c>
      <c r="AC175" s="21" t="s">
        <v>74</v>
      </c>
      <c r="AD175" s="21" t="s">
        <v>91</v>
      </c>
      <c r="AE175" s="21" t="s">
        <v>49</v>
      </c>
      <c r="AG175" s="21" t="s">
        <v>50</v>
      </c>
      <c r="AH175" s="21" t="s">
        <v>498</v>
      </c>
    </row>
    <row r="176" ht="16.5" customHeight="1">
      <c r="A176" s="19" t="s">
        <v>31</v>
      </c>
      <c r="B176" s="19" t="s">
        <v>64</v>
      </c>
      <c r="E176" s="20" t="s">
        <v>33</v>
      </c>
      <c r="G176" s="21" t="s">
        <v>493</v>
      </c>
      <c r="J176" s="20" t="s">
        <v>35</v>
      </c>
      <c r="K176" s="21" t="s">
        <v>76</v>
      </c>
      <c r="L176" s="21" t="s">
        <v>88</v>
      </c>
      <c r="N176" s="21" t="s">
        <v>508</v>
      </c>
      <c r="P176" s="21" t="s">
        <v>509</v>
      </c>
      <c r="S176" s="20" t="s">
        <v>39</v>
      </c>
      <c r="T176" s="21" t="s">
        <v>50</v>
      </c>
      <c r="V176" s="21" t="s">
        <v>41</v>
      </c>
      <c r="W176" s="21" t="s">
        <v>469</v>
      </c>
      <c r="X176" s="21" t="s">
        <v>202</v>
      </c>
      <c r="Y176" s="21" t="s">
        <v>72</v>
      </c>
      <c r="AA176" s="21" t="s">
        <v>45</v>
      </c>
      <c r="AB176" s="21" t="s">
        <v>73</v>
      </c>
      <c r="AC176" s="21" t="s">
        <v>74</v>
      </c>
      <c r="AD176" s="21" t="s">
        <v>91</v>
      </c>
      <c r="AE176" s="21" t="s">
        <v>49</v>
      </c>
      <c r="AG176" s="21" t="s">
        <v>50</v>
      </c>
      <c r="AH176" s="21" t="s">
        <v>498</v>
      </c>
    </row>
    <row r="177" ht="16.5" customHeight="1">
      <c r="A177" s="19" t="s">
        <v>31</v>
      </c>
      <c r="B177" s="19" t="s">
        <v>64</v>
      </c>
      <c r="E177" s="20" t="s">
        <v>33</v>
      </c>
      <c r="G177" s="21" t="s">
        <v>493</v>
      </c>
      <c r="J177" s="20" t="s">
        <v>35</v>
      </c>
      <c r="K177" s="21" t="s">
        <v>240</v>
      </c>
      <c r="L177" s="21" t="s">
        <v>88</v>
      </c>
      <c r="N177" s="21" t="s">
        <v>510</v>
      </c>
      <c r="P177" s="21" t="s">
        <v>511</v>
      </c>
      <c r="S177" s="20" t="s">
        <v>39</v>
      </c>
      <c r="T177" s="21" t="s">
        <v>50</v>
      </c>
      <c r="V177" s="21" t="s">
        <v>69</v>
      </c>
      <c r="W177" s="21" t="s">
        <v>512</v>
      </c>
      <c r="X177" s="21" t="s">
        <v>513</v>
      </c>
      <c r="Y177" s="21" t="s">
        <v>170</v>
      </c>
      <c r="AA177" s="21" t="s">
        <v>45</v>
      </c>
      <c r="AB177" s="21" t="s">
        <v>73</v>
      </c>
      <c r="AC177" s="21" t="s">
        <v>171</v>
      </c>
      <c r="AD177" s="21" t="s">
        <v>172</v>
      </c>
      <c r="AE177" s="21" t="s">
        <v>49</v>
      </c>
      <c r="AG177" s="21" t="s">
        <v>50</v>
      </c>
      <c r="AH177" s="21" t="s">
        <v>498</v>
      </c>
    </row>
    <row r="178" ht="16.5" customHeight="1">
      <c r="A178" s="19" t="s">
        <v>31</v>
      </c>
      <c r="B178" s="19" t="s">
        <v>64</v>
      </c>
      <c r="E178" s="20" t="s">
        <v>33</v>
      </c>
      <c r="G178" s="21" t="s">
        <v>493</v>
      </c>
      <c r="J178" s="20" t="s">
        <v>35</v>
      </c>
      <c r="K178" s="21" t="s">
        <v>229</v>
      </c>
      <c r="L178" s="21" t="s">
        <v>88</v>
      </c>
      <c r="N178" s="21" t="s">
        <v>514</v>
      </c>
      <c r="P178" s="21" t="s">
        <v>515</v>
      </c>
      <c r="S178" s="20" t="s">
        <v>39</v>
      </c>
      <c r="T178" s="21" t="s">
        <v>50</v>
      </c>
      <c r="V178" s="21" t="s">
        <v>69</v>
      </c>
      <c r="W178" s="21" t="s">
        <v>56</v>
      </c>
      <c r="X178" s="21" t="s">
        <v>103</v>
      </c>
      <c r="Y178" s="21" t="s">
        <v>170</v>
      </c>
      <c r="AA178" s="21" t="s">
        <v>45</v>
      </c>
      <c r="AB178" s="21" t="s">
        <v>73</v>
      </c>
      <c r="AC178" s="21" t="s">
        <v>171</v>
      </c>
      <c r="AD178" s="21" t="s">
        <v>172</v>
      </c>
      <c r="AE178" s="21" t="s">
        <v>49</v>
      </c>
      <c r="AG178" s="21" t="s">
        <v>50</v>
      </c>
      <c r="AH178" s="21" t="s">
        <v>498</v>
      </c>
    </row>
    <row r="179" ht="16.5" customHeight="1">
      <c r="A179" s="19" t="s">
        <v>31</v>
      </c>
      <c r="B179" s="19" t="s">
        <v>64</v>
      </c>
      <c r="E179" s="20" t="s">
        <v>33</v>
      </c>
      <c r="G179" s="21" t="s">
        <v>516</v>
      </c>
      <c r="J179" s="20" t="s">
        <v>35</v>
      </c>
      <c r="K179" s="21" t="s">
        <v>173</v>
      </c>
      <c r="L179" s="21" t="s">
        <v>88</v>
      </c>
      <c r="N179" s="21" t="s">
        <v>517</v>
      </c>
      <c r="P179" s="21" t="s">
        <v>518</v>
      </c>
      <c r="S179" s="20" t="s">
        <v>39</v>
      </c>
      <c r="T179" s="21" t="s">
        <v>50</v>
      </c>
      <c r="V179" s="21" t="s">
        <v>69</v>
      </c>
      <c r="W179" s="21" t="s">
        <v>401</v>
      </c>
      <c r="X179" s="21" t="s">
        <v>354</v>
      </c>
      <c r="Y179" s="21" t="s">
        <v>170</v>
      </c>
      <c r="AA179" s="21" t="s">
        <v>45</v>
      </c>
      <c r="AB179" s="21" t="s">
        <v>73</v>
      </c>
      <c r="AC179" s="21" t="s">
        <v>171</v>
      </c>
      <c r="AD179" s="21" t="s">
        <v>172</v>
      </c>
      <c r="AE179" s="21" t="s">
        <v>49</v>
      </c>
      <c r="AG179" s="21" t="s">
        <v>50</v>
      </c>
      <c r="AH179" s="21" t="s">
        <v>519</v>
      </c>
    </row>
    <row r="180" ht="16.5" customHeight="1">
      <c r="A180" s="19" t="s">
        <v>31</v>
      </c>
      <c r="B180" s="19" t="s">
        <v>64</v>
      </c>
      <c r="E180" s="20" t="s">
        <v>33</v>
      </c>
      <c r="G180" s="21" t="s">
        <v>516</v>
      </c>
      <c r="J180" s="20" t="s">
        <v>35</v>
      </c>
      <c r="K180" s="21" t="s">
        <v>240</v>
      </c>
      <c r="L180" s="21" t="s">
        <v>77</v>
      </c>
      <c r="N180" s="21" t="s">
        <v>520</v>
      </c>
      <c r="P180" s="21" t="s">
        <v>521</v>
      </c>
      <c r="S180" s="20" t="s">
        <v>39</v>
      </c>
      <c r="T180" s="21" t="s">
        <v>50</v>
      </c>
      <c r="V180" s="21" t="s">
        <v>69</v>
      </c>
      <c r="W180" s="21" t="s">
        <v>56</v>
      </c>
      <c r="X180" s="21" t="s">
        <v>103</v>
      </c>
      <c r="Y180" s="21" t="s">
        <v>170</v>
      </c>
      <c r="AA180" s="21" t="s">
        <v>45</v>
      </c>
      <c r="AB180" s="21" t="s">
        <v>73</v>
      </c>
      <c r="AC180" s="21" t="s">
        <v>171</v>
      </c>
      <c r="AD180" s="21" t="s">
        <v>207</v>
      </c>
      <c r="AE180" s="21" t="s">
        <v>49</v>
      </c>
      <c r="AG180" s="21" t="s">
        <v>50</v>
      </c>
      <c r="AH180" s="21" t="s">
        <v>519</v>
      </c>
    </row>
    <row r="181" ht="16.5" customHeight="1">
      <c r="A181" s="19" t="s">
        <v>31</v>
      </c>
      <c r="B181" s="19" t="s">
        <v>64</v>
      </c>
      <c r="E181" s="20" t="s">
        <v>33</v>
      </c>
      <c r="G181" s="21" t="s">
        <v>516</v>
      </c>
      <c r="J181" s="20" t="s">
        <v>35</v>
      </c>
      <c r="K181" s="21" t="s">
        <v>173</v>
      </c>
      <c r="L181" s="21" t="s">
        <v>77</v>
      </c>
      <c r="N181" s="21" t="s">
        <v>522</v>
      </c>
      <c r="P181" s="21" t="s">
        <v>523</v>
      </c>
      <c r="S181" s="20" t="s">
        <v>39</v>
      </c>
      <c r="T181" s="21" t="s">
        <v>50</v>
      </c>
      <c r="V181" s="21" t="s">
        <v>69</v>
      </c>
      <c r="W181" s="21" t="s">
        <v>56</v>
      </c>
      <c r="X181" s="21" t="s">
        <v>103</v>
      </c>
      <c r="Y181" s="21" t="s">
        <v>170</v>
      </c>
      <c r="AA181" s="21" t="s">
        <v>45</v>
      </c>
      <c r="AB181" s="21" t="s">
        <v>73</v>
      </c>
      <c r="AC181" s="21" t="s">
        <v>171</v>
      </c>
      <c r="AD181" s="21" t="s">
        <v>207</v>
      </c>
      <c r="AE181" s="21" t="s">
        <v>49</v>
      </c>
      <c r="AG181" s="21" t="s">
        <v>50</v>
      </c>
      <c r="AH181" s="21" t="s">
        <v>519</v>
      </c>
    </row>
    <row r="182" ht="16.5" customHeight="1">
      <c r="A182" s="19" t="s">
        <v>31</v>
      </c>
      <c r="B182" s="19" t="s">
        <v>64</v>
      </c>
      <c r="E182" s="20" t="s">
        <v>33</v>
      </c>
      <c r="G182" s="21" t="s">
        <v>524</v>
      </c>
      <c r="J182" s="20" t="s">
        <v>35</v>
      </c>
      <c r="K182" s="21" t="s">
        <v>240</v>
      </c>
      <c r="L182" s="21" t="s">
        <v>88</v>
      </c>
      <c r="N182" s="21" t="s">
        <v>525</v>
      </c>
      <c r="P182" s="21" t="s">
        <v>526</v>
      </c>
      <c r="S182" s="20" t="s">
        <v>39</v>
      </c>
      <c r="T182" s="21" t="s">
        <v>50</v>
      </c>
      <c r="V182" s="21" t="s">
        <v>69</v>
      </c>
      <c r="W182" s="21" t="s">
        <v>56</v>
      </c>
      <c r="X182" s="21" t="s">
        <v>103</v>
      </c>
      <c r="Y182" s="21" t="s">
        <v>170</v>
      </c>
      <c r="AA182" s="21" t="s">
        <v>45</v>
      </c>
      <c r="AB182" s="21" t="s">
        <v>73</v>
      </c>
      <c r="AC182" s="21" t="s">
        <v>171</v>
      </c>
      <c r="AD182" s="21" t="s">
        <v>172</v>
      </c>
      <c r="AE182" s="21" t="s">
        <v>49</v>
      </c>
      <c r="AG182" s="21" t="s">
        <v>50</v>
      </c>
      <c r="AH182" s="21" t="s">
        <v>527</v>
      </c>
    </row>
    <row r="183" ht="16.5" customHeight="1">
      <c r="A183" s="19" t="s">
        <v>31</v>
      </c>
      <c r="B183" s="19" t="s">
        <v>64</v>
      </c>
      <c r="E183" s="20" t="s">
        <v>33</v>
      </c>
      <c r="G183" s="21" t="s">
        <v>528</v>
      </c>
      <c r="J183" s="20" t="s">
        <v>35</v>
      </c>
      <c r="K183" s="21" t="s">
        <v>173</v>
      </c>
      <c r="L183" s="21" t="s">
        <v>77</v>
      </c>
      <c r="N183" s="21" t="s">
        <v>529</v>
      </c>
      <c r="P183" s="21" t="s">
        <v>530</v>
      </c>
      <c r="S183" s="20" t="s">
        <v>39</v>
      </c>
      <c r="T183" s="21" t="s">
        <v>50</v>
      </c>
      <c r="V183" s="21" t="s">
        <v>41</v>
      </c>
      <c r="W183" s="21" t="s">
        <v>150</v>
      </c>
      <c r="X183" s="21" t="s">
        <v>199</v>
      </c>
      <c r="Y183" s="21" t="s">
        <v>170</v>
      </c>
      <c r="AA183" s="21" t="s">
        <v>45</v>
      </c>
      <c r="AB183" s="21" t="s">
        <v>73</v>
      </c>
      <c r="AC183" s="21" t="s">
        <v>171</v>
      </c>
      <c r="AD183" s="21" t="s">
        <v>207</v>
      </c>
      <c r="AE183" s="21" t="s">
        <v>49</v>
      </c>
      <c r="AG183" s="21" t="s">
        <v>50</v>
      </c>
      <c r="AH183" s="21" t="s">
        <v>531</v>
      </c>
    </row>
    <row r="184" ht="16.5" customHeight="1">
      <c r="A184" s="19" t="s">
        <v>31</v>
      </c>
      <c r="B184" s="19" t="s">
        <v>64</v>
      </c>
      <c r="E184" s="20" t="s">
        <v>33</v>
      </c>
      <c r="G184" s="21" t="s">
        <v>532</v>
      </c>
      <c r="J184" s="20" t="s">
        <v>35</v>
      </c>
      <c r="K184" s="21" t="s">
        <v>65</v>
      </c>
      <c r="L184" s="21" t="s">
        <v>77</v>
      </c>
      <c r="N184" s="21" t="s">
        <v>533</v>
      </c>
      <c r="P184" s="21" t="s">
        <v>534</v>
      </c>
      <c r="S184" s="20" t="s">
        <v>39</v>
      </c>
      <c r="T184" s="21" t="s">
        <v>50</v>
      </c>
      <c r="V184" s="21" t="s">
        <v>69</v>
      </c>
      <c r="W184" s="21" t="s">
        <v>535</v>
      </c>
      <c r="X184" s="21" t="s">
        <v>470</v>
      </c>
      <c r="Y184" s="21" t="s">
        <v>72</v>
      </c>
      <c r="AA184" s="21" t="s">
        <v>45</v>
      </c>
      <c r="AB184" s="21" t="s">
        <v>73</v>
      </c>
      <c r="AC184" s="21" t="s">
        <v>74</v>
      </c>
      <c r="AD184" s="21" t="s">
        <v>82</v>
      </c>
      <c r="AE184" s="21" t="s">
        <v>49</v>
      </c>
      <c r="AG184" s="21" t="s">
        <v>50</v>
      </c>
      <c r="AH184" s="21" t="s">
        <v>536</v>
      </c>
    </row>
    <row r="185" ht="16.5" customHeight="1">
      <c r="A185" s="19" t="s">
        <v>31</v>
      </c>
      <c r="B185" s="19" t="s">
        <v>64</v>
      </c>
      <c r="E185" s="20" t="s">
        <v>33</v>
      </c>
      <c r="G185" s="21" t="s">
        <v>537</v>
      </c>
      <c r="J185" s="20" t="s">
        <v>35</v>
      </c>
      <c r="K185" s="21" t="s">
        <v>93</v>
      </c>
      <c r="L185" s="21" t="s">
        <v>88</v>
      </c>
      <c r="N185" s="21" t="s">
        <v>538</v>
      </c>
      <c r="P185" s="21" t="s">
        <v>539</v>
      </c>
      <c r="S185" s="20" t="s">
        <v>39</v>
      </c>
      <c r="T185" s="21" t="s">
        <v>50</v>
      </c>
      <c r="V185" s="21" t="s">
        <v>69</v>
      </c>
      <c r="W185" s="21" t="s">
        <v>56</v>
      </c>
      <c r="X185" s="21" t="s">
        <v>103</v>
      </c>
      <c r="Y185" s="21" t="s">
        <v>72</v>
      </c>
      <c r="AA185" s="21" t="s">
        <v>45</v>
      </c>
      <c r="AB185" s="21" t="s">
        <v>73</v>
      </c>
      <c r="AC185" s="21" t="s">
        <v>74</v>
      </c>
      <c r="AD185" s="21" t="s">
        <v>91</v>
      </c>
      <c r="AE185" s="21" t="s">
        <v>49</v>
      </c>
      <c r="AG185" s="21" t="s">
        <v>50</v>
      </c>
      <c r="AH185" s="21" t="s">
        <v>540</v>
      </c>
    </row>
    <row r="186" ht="16.5" customHeight="1">
      <c r="A186" s="19" t="s">
        <v>31</v>
      </c>
      <c r="B186" s="19" t="s">
        <v>64</v>
      </c>
      <c r="E186" s="20" t="s">
        <v>33</v>
      </c>
      <c r="G186" s="21" t="s">
        <v>537</v>
      </c>
      <c r="J186" s="20" t="s">
        <v>35</v>
      </c>
      <c r="K186" s="21" t="s">
        <v>240</v>
      </c>
      <c r="L186" s="21" t="s">
        <v>88</v>
      </c>
      <c r="N186" s="21" t="s">
        <v>541</v>
      </c>
      <c r="P186" s="21" t="s">
        <v>542</v>
      </c>
      <c r="S186" s="20" t="s">
        <v>39</v>
      </c>
      <c r="T186" s="21" t="s">
        <v>50</v>
      </c>
      <c r="V186" s="21" t="s">
        <v>69</v>
      </c>
      <c r="W186" s="21" t="s">
        <v>298</v>
      </c>
      <c r="X186" s="21" t="s">
        <v>299</v>
      </c>
      <c r="Y186" s="21" t="s">
        <v>170</v>
      </c>
      <c r="AA186" s="21" t="s">
        <v>45</v>
      </c>
      <c r="AB186" s="21" t="s">
        <v>73</v>
      </c>
      <c r="AC186" s="21" t="s">
        <v>171</v>
      </c>
      <c r="AD186" s="21" t="s">
        <v>172</v>
      </c>
      <c r="AE186" s="21" t="s">
        <v>49</v>
      </c>
      <c r="AG186" s="21" t="s">
        <v>50</v>
      </c>
      <c r="AH186" s="21" t="s">
        <v>540</v>
      </c>
    </row>
    <row r="187" ht="16.5" customHeight="1">
      <c r="A187" s="19" t="s">
        <v>31</v>
      </c>
      <c r="B187" s="19" t="s">
        <v>64</v>
      </c>
      <c r="E187" s="20" t="s">
        <v>33</v>
      </c>
      <c r="G187" s="21" t="s">
        <v>537</v>
      </c>
      <c r="J187" s="20" t="s">
        <v>35</v>
      </c>
      <c r="K187" s="21" t="s">
        <v>229</v>
      </c>
      <c r="L187" s="21" t="s">
        <v>88</v>
      </c>
      <c r="N187" s="21" t="s">
        <v>543</v>
      </c>
      <c r="P187" s="21" t="s">
        <v>544</v>
      </c>
      <c r="S187" s="20" t="s">
        <v>39</v>
      </c>
      <c r="T187" s="21" t="s">
        <v>50</v>
      </c>
      <c r="V187" s="21" t="s">
        <v>69</v>
      </c>
      <c r="W187" s="21" t="s">
        <v>545</v>
      </c>
      <c r="X187" s="21" t="s">
        <v>546</v>
      </c>
      <c r="Y187" s="21" t="s">
        <v>170</v>
      </c>
      <c r="AA187" s="21" t="s">
        <v>45</v>
      </c>
      <c r="AB187" s="21" t="s">
        <v>73</v>
      </c>
      <c r="AC187" s="21" t="s">
        <v>171</v>
      </c>
      <c r="AD187" s="21" t="s">
        <v>172</v>
      </c>
      <c r="AE187" s="21" t="s">
        <v>49</v>
      </c>
      <c r="AG187" s="21" t="s">
        <v>50</v>
      </c>
      <c r="AH187" s="21" t="s">
        <v>540</v>
      </c>
    </row>
    <row r="188" ht="16.5" customHeight="1">
      <c r="A188" s="19" t="s">
        <v>31</v>
      </c>
      <c r="B188" s="19" t="s">
        <v>64</v>
      </c>
      <c r="E188" s="20" t="s">
        <v>33</v>
      </c>
      <c r="G188" s="21" t="s">
        <v>537</v>
      </c>
      <c r="J188" s="20" t="s">
        <v>35</v>
      </c>
      <c r="K188" s="21" t="s">
        <v>547</v>
      </c>
      <c r="L188" s="21" t="s">
        <v>88</v>
      </c>
      <c r="N188" s="21" t="s">
        <v>548</v>
      </c>
      <c r="P188" s="21" t="s">
        <v>549</v>
      </c>
      <c r="S188" s="20" t="s">
        <v>39</v>
      </c>
      <c r="T188" s="21" t="s">
        <v>50</v>
      </c>
      <c r="V188" s="21" t="s">
        <v>69</v>
      </c>
      <c r="W188" s="21" t="s">
        <v>293</v>
      </c>
      <c r="X188" s="21" t="s">
        <v>294</v>
      </c>
      <c r="Y188" s="21" t="s">
        <v>170</v>
      </c>
      <c r="AA188" s="21" t="s">
        <v>45</v>
      </c>
      <c r="AB188" s="21" t="s">
        <v>73</v>
      </c>
      <c r="AC188" s="21" t="s">
        <v>171</v>
      </c>
      <c r="AD188" s="21" t="s">
        <v>172</v>
      </c>
      <c r="AE188" s="21" t="s">
        <v>49</v>
      </c>
      <c r="AG188" s="21" t="s">
        <v>50</v>
      </c>
      <c r="AH188" s="21" t="s">
        <v>540</v>
      </c>
    </row>
    <row r="189" ht="16.5" customHeight="1">
      <c r="A189" s="19" t="s">
        <v>31</v>
      </c>
      <c r="B189" s="19" t="s">
        <v>64</v>
      </c>
      <c r="E189" s="20" t="s">
        <v>33</v>
      </c>
      <c r="G189" s="21" t="s">
        <v>537</v>
      </c>
      <c r="J189" s="20" t="s">
        <v>35</v>
      </c>
      <c r="K189" s="21" t="s">
        <v>76</v>
      </c>
      <c r="L189" s="21" t="s">
        <v>88</v>
      </c>
      <c r="N189" s="21" t="s">
        <v>550</v>
      </c>
      <c r="P189" s="21" t="s">
        <v>551</v>
      </c>
      <c r="S189" s="20" t="s">
        <v>39</v>
      </c>
      <c r="T189" s="21" t="s">
        <v>50</v>
      </c>
      <c r="V189" s="21" t="s">
        <v>69</v>
      </c>
      <c r="W189" s="21" t="s">
        <v>56</v>
      </c>
      <c r="X189" s="21" t="s">
        <v>103</v>
      </c>
      <c r="Y189" s="21" t="s">
        <v>72</v>
      </c>
      <c r="AA189" s="21" t="s">
        <v>45</v>
      </c>
      <c r="AB189" s="21" t="s">
        <v>73</v>
      </c>
      <c r="AC189" s="21" t="s">
        <v>74</v>
      </c>
      <c r="AD189" s="21" t="s">
        <v>91</v>
      </c>
      <c r="AE189" s="21" t="s">
        <v>49</v>
      </c>
      <c r="AG189" s="21" t="s">
        <v>50</v>
      </c>
      <c r="AH189" s="21" t="s">
        <v>540</v>
      </c>
    </row>
    <row r="190" ht="16.5" customHeight="1">
      <c r="A190" s="19" t="s">
        <v>31</v>
      </c>
      <c r="B190" s="19" t="s">
        <v>64</v>
      </c>
      <c r="E190" s="20" t="s">
        <v>33</v>
      </c>
      <c r="G190" s="21" t="s">
        <v>537</v>
      </c>
      <c r="J190" s="20" t="s">
        <v>35</v>
      </c>
      <c r="K190" s="21" t="s">
        <v>337</v>
      </c>
      <c r="L190" s="21" t="s">
        <v>88</v>
      </c>
      <c r="N190" s="21" t="s">
        <v>552</v>
      </c>
      <c r="P190" s="21" t="s">
        <v>553</v>
      </c>
      <c r="S190" s="20" t="s">
        <v>39</v>
      </c>
      <c r="T190" s="21" t="s">
        <v>50</v>
      </c>
      <c r="V190" s="21" t="s">
        <v>69</v>
      </c>
      <c r="W190" s="21" t="s">
        <v>56</v>
      </c>
      <c r="X190" s="21" t="s">
        <v>103</v>
      </c>
      <c r="Y190" s="21" t="s">
        <v>170</v>
      </c>
      <c r="AA190" s="21" t="s">
        <v>45</v>
      </c>
      <c r="AB190" s="21" t="s">
        <v>73</v>
      </c>
      <c r="AC190" s="21" t="s">
        <v>171</v>
      </c>
      <c r="AD190" s="21" t="s">
        <v>172</v>
      </c>
      <c r="AE190" s="21" t="s">
        <v>49</v>
      </c>
      <c r="AG190" s="21" t="s">
        <v>50</v>
      </c>
      <c r="AH190" s="21" t="s">
        <v>540</v>
      </c>
    </row>
    <row r="191" ht="16.5" customHeight="1">
      <c r="A191" s="19" t="s">
        <v>31</v>
      </c>
      <c r="B191" s="19" t="s">
        <v>64</v>
      </c>
      <c r="E191" s="20" t="s">
        <v>33</v>
      </c>
      <c r="G191" s="21" t="s">
        <v>537</v>
      </c>
      <c r="J191" s="20" t="s">
        <v>35</v>
      </c>
      <c r="K191" s="21" t="s">
        <v>65</v>
      </c>
      <c r="L191" s="21" t="s">
        <v>88</v>
      </c>
      <c r="N191" s="21" t="s">
        <v>554</v>
      </c>
      <c r="P191" s="21" t="s">
        <v>555</v>
      </c>
      <c r="S191" s="20" t="s">
        <v>39</v>
      </c>
      <c r="T191" s="21" t="s">
        <v>50</v>
      </c>
      <c r="V191" s="21" t="s">
        <v>69</v>
      </c>
      <c r="W191" s="21" t="s">
        <v>56</v>
      </c>
      <c r="X191" s="21" t="s">
        <v>103</v>
      </c>
      <c r="Y191" s="21" t="s">
        <v>72</v>
      </c>
      <c r="AA191" s="21" t="s">
        <v>45</v>
      </c>
      <c r="AB191" s="21" t="s">
        <v>73</v>
      </c>
      <c r="AC191" s="21" t="s">
        <v>74</v>
      </c>
      <c r="AD191" s="21" t="s">
        <v>91</v>
      </c>
      <c r="AE191" s="21" t="s">
        <v>49</v>
      </c>
      <c r="AG191" s="21" t="s">
        <v>50</v>
      </c>
      <c r="AH191" s="21" t="s">
        <v>540</v>
      </c>
    </row>
    <row r="192" ht="16.5" customHeight="1">
      <c r="A192" s="19" t="s">
        <v>31</v>
      </c>
      <c r="B192" s="19" t="s">
        <v>64</v>
      </c>
      <c r="E192" s="20" t="s">
        <v>33</v>
      </c>
      <c r="G192" s="21" t="s">
        <v>537</v>
      </c>
      <c r="J192" s="20" t="s">
        <v>35</v>
      </c>
      <c r="K192" s="21" t="s">
        <v>65</v>
      </c>
      <c r="L192" s="21" t="s">
        <v>88</v>
      </c>
      <c r="N192" s="21" t="s">
        <v>554</v>
      </c>
      <c r="P192" s="21" t="s">
        <v>555</v>
      </c>
      <c r="S192" s="20" t="s">
        <v>39</v>
      </c>
      <c r="T192" s="21" t="s">
        <v>50</v>
      </c>
      <c r="V192" s="21" t="s">
        <v>41</v>
      </c>
      <c r="W192" s="21" t="s">
        <v>56</v>
      </c>
      <c r="X192" s="21" t="s">
        <v>57</v>
      </c>
      <c r="Y192" s="21" t="s">
        <v>72</v>
      </c>
      <c r="AA192" s="21" t="s">
        <v>45</v>
      </c>
      <c r="AB192" s="21" t="s">
        <v>73</v>
      </c>
      <c r="AC192" s="21" t="s">
        <v>74</v>
      </c>
      <c r="AD192" s="21" t="s">
        <v>91</v>
      </c>
      <c r="AE192" s="21" t="s">
        <v>49</v>
      </c>
      <c r="AG192" s="21" t="s">
        <v>50</v>
      </c>
      <c r="AH192" s="21" t="s">
        <v>540</v>
      </c>
    </row>
    <row r="193" ht="16.5" customHeight="1">
      <c r="A193" s="19" t="s">
        <v>31</v>
      </c>
      <c r="B193" s="19" t="s">
        <v>64</v>
      </c>
      <c r="E193" s="20" t="s">
        <v>33</v>
      </c>
      <c r="G193" s="21" t="s">
        <v>556</v>
      </c>
      <c r="J193" s="20" t="s">
        <v>35</v>
      </c>
      <c r="K193" s="21" t="s">
        <v>93</v>
      </c>
      <c r="L193" s="21" t="s">
        <v>77</v>
      </c>
      <c r="N193" s="21" t="s">
        <v>557</v>
      </c>
      <c r="P193" s="21" t="s">
        <v>558</v>
      </c>
      <c r="S193" s="20" t="s">
        <v>39</v>
      </c>
      <c r="T193" s="21" t="s">
        <v>50</v>
      </c>
      <c r="V193" s="21" t="s">
        <v>69</v>
      </c>
      <c r="W193" s="21" t="s">
        <v>42</v>
      </c>
      <c r="X193" s="21" t="s">
        <v>202</v>
      </c>
      <c r="Y193" s="21" t="s">
        <v>72</v>
      </c>
      <c r="AA193" s="21" t="s">
        <v>45</v>
      </c>
      <c r="AB193" s="21" t="s">
        <v>73</v>
      </c>
      <c r="AC193" s="21" t="s">
        <v>74</v>
      </c>
      <c r="AD193" s="21" t="s">
        <v>82</v>
      </c>
      <c r="AE193" s="21" t="s">
        <v>49</v>
      </c>
      <c r="AG193" s="21" t="s">
        <v>50</v>
      </c>
      <c r="AH193" s="21" t="s">
        <v>559</v>
      </c>
    </row>
    <row r="194" ht="16.5" customHeight="1">
      <c r="A194" s="19" t="s">
        <v>31</v>
      </c>
      <c r="B194" s="19" t="s">
        <v>64</v>
      </c>
      <c r="E194" s="20" t="s">
        <v>33</v>
      </c>
      <c r="G194" s="21" t="s">
        <v>560</v>
      </c>
      <c r="J194" s="20" t="s">
        <v>35</v>
      </c>
      <c r="K194" s="21" t="s">
        <v>229</v>
      </c>
      <c r="L194" s="21" t="s">
        <v>88</v>
      </c>
      <c r="N194" s="21" t="s">
        <v>561</v>
      </c>
      <c r="P194" s="21" t="s">
        <v>562</v>
      </c>
      <c r="S194" s="20" t="s">
        <v>39</v>
      </c>
      <c r="T194" s="21" t="s">
        <v>50</v>
      </c>
      <c r="V194" s="21" t="s">
        <v>69</v>
      </c>
      <c r="W194" s="21" t="s">
        <v>56</v>
      </c>
      <c r="X194" s="21" t="s">
        <v>103</v>
      </c>
      <c r="Y194" s="21" t="s">
        <v>170</v>
      </c>
      <c r="AA194" s="21" t="s">
        <v>45</v>
      </c>
      <c r="AB194" s="21" t="s">
        <v>73</v>
      </c>
      <c r="AC194" s="21" t="s">
        <v>171</v>
      </c>
      <c r="AD194" s="21" t="s">
        <v>172</v>
      </c>
      <c r="AE194" s="21" t="s">
        <v>49</v>
      </c>
      <c r="AG194" s="21" t="s">
        <v>50</v>
      </c>
      <c r="AH194" s="21" t="s">
        <v>563</v>
      </c>
    </row>
    <row r="195" ht="16.5" customHeight="1">
      <c r="A195" s="19" t="s">
        <v>31</v>
      </c>
      <c r="B195" s="19" t="s">
        <v>64</v>
      </c>
      <c r="E195" s="20" t="s">
        <v>33</v>
      </c>
      <c r="G195" s="21" t="s">
        <v>560</v>
      </c>
      <c r="J195" s="20" t="s">
        <v>35</v>
      </c>
      <c r="K195" s="21" t="s">
        <v>240</v>
      </c>
      <c r="L195" s="21" t="s">
        <v>88</v>
      </c>
      <c r="N195" s="21" t="s">
        <v>564</v>
      </c>
      <c r="P195" s="21" t="s">
        <v>565</v>
      </c>
      <c r="S195" s="20" t="s">
        <v>39</v>
      </c>
      <c r="T195" s="21" t="s">
        <v>50</v>
      </c>
      <c r="V195" s="21" t="s">
        <v>69</v>
      </c>
      <c r="W195" s="21" t="s">
        <v>176</v>
      </c>
      <c r="X195" s="21" t="s">
        <v>177</v>
      </c>
      <c r="Y195" s="21" t="s">
        <v>170</v>
      </c>
      <c r="AA195" s="21" t="s">
        <v>45</v>
      </c>
      <c r="AB195" s="21" t="s">
        <v>73</v>
      </c>
      <c r="AC195" s="21" t="s">
        <v>171</v>
      </c>
      <c r="AD195" s="21" t="s">
        <v>172</v>
      </c>
      <c r="AE195" s="21" t="s">
        <v>49</v>
      </c>
      <c r="AG195" s="21" t="s">
        <v>50</v>
      </c>
      <c r="AH195" s="21" t="s">
        <v>563</v>
      </c>
    </row>
    <row r="196" ht="16.5" customHeight="1">
      <c r="A196" s="19" t="s">
        <v>31</v>
      </c>
      <c r="B196" s="19" t="s">
        <v>64</v>
      </c>
      <c r="E196" s="20" t="s">
        <v>33</v>
      </c>
      <c r="G196" s="21" t="s">
        <v>560</v>
      </c>
      <c r="J196" s="20" t="s">
        <v>35</v>
      </c>
      <c r="K196" s="21" t="s">
        <v>240</v>
      </c>
      <c r="L196" s="21" t="s">
        <v>88</v>
      </c>
      <c r="N196" s="21" t="s">
        <v>566</v>
      </c>
      <c r="P196" s="21" t="s">
        <v>567</v>
      </c>
      <c r="S196" s="20" t="s">
        <v>39</v>
      </c>
      <c r="T196" s="21" t="s">
        <v>50</v>
      </c>
      <c r="V196" s="21" t="s">
        <v>69</v>
      </c>
      <c r="W196" s="21" t="s">
        <v>56</v>
      </c>
      <c r="X196" s="21" t="s">
        <v>103</v>
      </c>
      <c r="Y196" s="21" t="s">
        <v>170</v>
      </c>
      <c r="AA196" s="21" t="s">
        <v>45</v>
      </c>
      <c r="AB196" s="21" t="s">
        <v>73</v>
      </c>
      <c r="AC196" s="21" t="s">
        <v>171</v>
      </c>
      <c r="AD196" s="21" t="s">
        <v>172</v>
      </c>
      <c r="AE196" s="21" t="s">
        <v>49</v>
      </c>
      <c r="AG196" s="21" t="s">
        <v>50</v>
      </c>
      <c r="AH196" s="21" t="s">
        <v>563</v>
      </c>
    </row>
    <row r="197" ht="16.5" customHeight="1">
      <c r="A197" s="19" t="s">
        <v>31</v>
      </c>
      <c r="B197" s="19" t="s">
        <v>64</v>
      </c>
      <c r="E197" s="20" t="s">
        <v>33</v>
      </c>
      <c r="G197" s="21" t="s">
        <v>560</v>
      </c>
      <c r="J197" s="20" t="s">
        <v>35</v>
      </c>
      <c r="K197" s="21" t="s">
        <v>240</v>
      </c>
      <c r="L197" s="21" t="s">
        <v>66</v>
      </c>
      <c r="N197" s="21" t="s">
        <v>568</v>
      </c>
      <c r="P197" s="21" t="s">
        <v>569</v>
      </c>
      <c r="S197" s="20" t="s">
        <v>39</v>
      </c>
      <c r="T197" s="21" t="s">
        <v>50</v>
      </c>
      <c r="V197" s="21" t="s">
        <v>69</v>
      </c>
      <c r="W197" s="21" t="s">
        <v>56</v>
      </c>
      <c r="X197" s="21" t="s">
        <v>103</v>
      </c>
      <c r="Y197" s="21" t="s">
        <v>170</v>
      </c>
      <c r="AA197" s="21" t="s">
        <v>45</v>
      </c>
      <c r="AB197" s="21" t="s">
        <v>73</v>
      </c>
      <c r="AC197" s="21" t="s">
        <v>171</v>
      </c>
      <c r="AD197" s="21" t="s">
        <v>183</v>
      </c>
      <c r="AE197" s="21" t="s">
        <v>49</v>
      </c>
      <c r="AG197" s="21" t="s">
        <v>50</v>
      </c>
      <c r="AH197" s="21" t="s">
        <v>563</v>
      </c>
    </row>
    <row r="198" ht="16.5" customHeight="1">
      <c r="A198" s="19" t="s">
        <v>31</v>
      </c>
      <c r="B198" s="19" t="s">
        <v>64</v>
      </c>
      <c r="E198" s="20" t="s">
        <v>33</v>
      </c>
      <c r="G198" s="21" t="s">
        <v>570</v>
      </c>
      <c r="J198" s="20" t="s">
        <v>35</v>
      </c>
      <c r="K198" s="21" t="s">
        <v>65</v>
      </c>
      <c r="L198" s="21" t="s">
        <v>88</v>
      </c>
      <c r="N198" s="21" t="s">
        <v>571</v>
      </c>
      <c r="P198" s="21" t="s">
        <v>572</v>
      </c>
      <c r="S198" s="20" t="s">
        <v>39</v>
      </c>
      <c r="T198" s="21" t="s">
        <v>50</v>
      </c>
      <c r="V198" s="21" t="s">
        <v>41</v>
      </c>
      <c r="W198" s="21" t="s">
        <v>154</v>
      </c>
      <c r="X198" s="21" t="s">
        <v>573</v>
      </c>
      <c r="Y198" s="21" t="s">
        <v>72</v>
      </c>
      <c r="AA198" s="21" t="s">
        <v>45</v>
      </c>
      <c r="AB198" s="21" t="s">
        <v>73</v>
      </c>
      <c r="AC198" s="21" t="s">
        <v>74</v>
      </c>
      <c r="AD198" s="21" t="s">
        <v>91</v>
      </c>
      <c r="AE198" s="21" t="s">
        <v>49</v>
      </c>
      <c r="AG198" s="21" t="s">
        <v>50</v>
      </c>
      <c r="AH198" s="21" t="s">
        <v>574</v>
      </c>
    </row>
    <row r="199" ht="16.5" customHeight="1">
      <c r="A199" s="19" t="s">
        <v>31</v>
      </c>
      <c r="B199" s="19" t="s">
        <v>64</v>
      </c>
      <c r="E199" s="20" t="s">
        <v>33</v>
      </c>
      <c r="G199" s="21" t="s">
        <v>570</v>
      </c>
      <c r="J199" s="20" t="s">
        <v>35</v>
      </c>
      <c r="K199" s="21" t="s">
        <v>65</v>
      </c>
      <c r="L199" s="21" t="s">
        <v>77</v>
      </c>
      <c r="N199" s="21" t="s">
        <v>575</v>
      </c>
      <c r="P199" s="21" t="s">
        <v>576</v>
      </c>
      <c r="S199" s="20" t="s">
        <v>39</v>
      </c>
      <c r="T199" s="21" t="s">
        <v>50</v>
      </c>
      <c r="V199" s="21" t="s">
        <v>69</v>
      </c>
      <c r="W199" s="21" t="s">
        <v>577</v>
      </c>
      <c r="X199" s="21" t="s">
        <v>578</v>
      </c>
      <c r="Y199" s="21" t="s">
        <v>72</v>
      </c>
      <c r="AA199" s="21" t="s">
        <v>45</v>
      </c>
      <c r="AB199" s="21" t="s">
        <v>73</v>
      </c>
      <c r="AC199" s="21" t="s">
        <v>74</v>
      </c>
      <c r="AD199" s="21" t="s">
        <v>82</v>
      </c>
      <c r="AE199" s="21" t="s">
        <v>49</v>
      </c>
      <c r="AG199" s="21" t="s">
        <v>50</v>
      </c>
      <c r="AH199" s="21" t="s">
        <v>574</v>
      </c>
    </row>
    <row r="200" ht="16.5" customHeight="1">
      <c r="A200" s="19" t="s">
        <v>31</v>
      </c>
      <c r="B200" s="19" t="s">
        <v>64</v>
      </c>
      <c r="E200" s="20" t="s">
        <v>33</v>
      </c>
      <c r="G200" s="21" t="s">
        <v>570</v>
      </c>
      <c r="J200" s="20" t="s">
        <v>35</v>
      </c>
      <c r="K200" s="21" t="s">
        <v>76</v>
      </c>
      <c r="L200" s="21" t="s">
        <v>88</v>
      </c>
      <c r="N200" s="21" t="s">
        <v>579</v>
      </c>
      <c r="P200" s="21" t="s">
        <v>580</v>
      </c>
      <c r="S200" s="20" t="s">
        <v>39</v>
      </c>
      <c r="T200" s="21" t="s">
        <v>50</v>
      </c>
      <c r="V200" s="21" t="s">
        <v>69</v>
      </c>
      <c r="W200" s="21" t="s">
        <v>56</v>
      </c>
      <c r="X200" s="21" t="s">
        <v>103</v>
      </c>
      <c r="Y200" s="21" t="s">
        <v>72</v>
      </c>
      <c r="AA200" s="21" t="s">
        <v>45</v>
      </c>
      <c r="AB200" s="21" t="s">
        <v>73</v>
      </c>
      <c r="AC200" s="21" t="s">
        <v>74</v>
      </c>
      <c r="AD200" s="21" t="s">
        <v>91</v>
      </c>
      <c r="AE200" s="21" t="s">
        <v>49</v>
      </c>
      <c r="AG200" s="21" t="s">
        <v>50</v>
      </c>
      <c r="AH200" s="21" t="s">
        <v>574</v>
      </c>
    </row>
    <row r="201" ht="16.5" customHeight="1">
      <c r="A201" s="19" t="s">
        <v>31</v>
      </c>
      <c r="B201" s="19" t="s">
        <v>64</v>
      </c>
      <c r="E201" s="20" t="s">
        <v>33</v>
      </c>
      <c r="G201" s="21" t="s">
        <v>570</v>
      </c>
      <c r="J201" s="20" t="s">
        <v>35</v>
      </c>
      <c r="K201" s="21" t="s">
        <v>173</v>
      </c>
      <c r="L201" s="21" t="s">
        <v>77</v>
      </c>
      <c r="N201" s="21" t="s">
        <v>581</v>
      </c>
      <c r="P201" s="21" t="s">
        <v>582</v>
      </c>
      <c r="S201" s="20" t="s">
        <v>39</v>
      </c>
      <c r="T201" s="21" t="s">
        <v>50</v>
      </c>
      <c r="V201" s="21" t="s">
        <v>69</v>
      </c>
      <c r="W201" s="21" t="s">
        <v>293</v>
      </c>
      <c r="X201" s="21" t="s">
        <v>294</v>
      </c>
      <c r="Y201" s="21" t="s">
        <v>170</v>
      </c>
      <c r="AA201" s="21" t="s">
        <v>45</v>
      </c>
      <c r="AB201" s="21" t="s">
        <v>73</v>
      </c>
      <c r="AC201" s="21" t="s">
        <v>171</v>
      </c>
      <c r="AD201" s="21" t="s">
        <v>207</v>
      </c>
      <c r="AE201" s="21" t="s">
        <v>49</v>
      </c>
      <c r="AG201" s="21" t="s">
        <v>50</v>
      </c>
      <c r="AH201" s="21" t="s">
        <v>574</v>
      </c>
    </row>
    <row r="202" ht="16.5" customHeight="1">
      <c r="A202" s="19" t="s">
        <v>31</v>
      </c>
      <c r="B202" s="19" t="s">
        <v>64</v>
      </c>
      <c r="E202" s="20" t="s">
        <v>33</v>
      </c>
      <c r="G202" s="21" t="s">
        <v>570</v>
      </c>
      <c r="J202" s="20" t="s">
        <v>35</v>
      </c>
      <c r="K202" s="21" t="s">
        <v>337</v>
      </c>
      <c r="L202" s="21" t="s">
        <v>88</v>
      </c>
      <c r="N202" s="21" t="s">
        <v>583</v>
      </c>
      <c r="P202" s="21" t="s">
        <v>584</v>
      </c>
      <c r="S202" s="20" t="s">
        <v>39</v>
      </c>
      <c r="T202" s="21" t="s">
        <v>50</v>
      </c>
      <c r="V202" s="21" t="s">
        <v>69</v>
      </c>
      <c r="W202" s="21" t="s">
        <v>56</v>
      </c>
      <c r="X202" s="21" t="s">
        <v>103</v>
      </c>
      <c r="Y202" s="21" t="s">
        <v>170</v>
      </c>
      <c r="AA202" s="21" t="s">
        <v>45</v>
      </c>
      <c r="AB202" s="21" t="s">
        <v>73</v>
      </c>
      <c r="AC202" s="21" t="s">
        <v>171</v>
      </c>
      <c r="AD202" s="21" t="s">
        <v>172</v>
      </c>
      <c r="AE202" s="21" t="s">
        <v>49</v>
      </c>
      <c r="AG202" s="21" t="s">
        <v>50</v>
      </c>
      <c r="AH202" s="21" t="s">
        <v>574</v>
      </c>
    </row>
    <row r="203" ht="16.5" customHeight="1">
      <c r="A203" s="19" t="s">
        <v>31</v>
      </c>
      <c r="B203" s="19" t="s">
        <v>64</v>
      </c>
      <c r="E203" s="20" t="s">
        <v>33</v>
      </c>
      <c r="G203" s="21" t="s">
        <v>585</v>
      </c>
      <c r="J203" s="20" t="s">
        <v>35</v>
      </c>
      <c r="K203" s="21" t="s">
        <v>93</v>
      </c>
      <c r="L203" s="21" t="s">
        <v>88</v>
      </c>
      <c r="N203" s="21" t="s">
        <v>586</v>
      </c>
      <c r="P203" s="21" t="s">
        <v>587</v>
      </c>
      <c r="S203" s="20" t="s">
        <v>39</v>
      </c>
      <c r="T203" s="21" t="s">
        <v>50</v>
      </c>
      <c r="V203" s="21" t="s">
        <v>69</v>
      </c>
      <c r="W203" s="21" t="s">
        <v>56</v>
      </c>
      <c r="X203" s="21" t="s">
        <v>103</v>
      </c>
      <c r="Y203" s="21" t="s">
        <v>72</v>
      </c>
      <c r="AA203" s="21" t="s">
        <v>45</v>
      </c>
      <c r="AB203" s="21" t="s">
        <v>73</v>
      </c>
      <c r="AC203" s="21" t="s">
        <v>74</v>
      </c>
      <c r="AD203" s="21" t="s">
        <v>91</v>
      </c>
      <c r="AE203" s="21" t="s">
        <v>49</v>
      </c>
      <c r="AG203" s="21" t="s">
        <v>50</v>
      </c>
      <c r="AH203" s="21" t="s">
        <v>588</v>
      </c>
    </row>
    <row r="204" ht="16.5" customHeight="1">
      <c r="A204" s="19" t="s">
        <v>31</v>
      </c>
      <c r="B204" s="19" t="s">
        <v>64</v>
      </c>
      <c r="E204" s="20" t="s">
        <v>33</v>
      </c>
      <c r="G204" s="21" t="s">
        <v>585</v>
      </c>
      <c r="J204" s="20" t="s">
        <v>35</v>
      </c>
      <c r="K204" s="21" t="s">
        <v>589</v>
      </c>
      <c r="L204" s="21" t="s">
        <v>88</v>
      </c>
      <c r="N204" s="21" t="s">
        <v>590</v>
      </c>
      <c r="P204" s="21" t="s">
        <v>591</v>
      </c>
      <c r="S204" s="20" t="s">
        <v>39</v>
      </c>
      <c r="T204" s="21" t="s">
        <v>50</v>
      </c>
      <c r="V204" s="21" t="s">
        <v>69</v>
      </c>
      <c r="W204" s="21" t="s">
        <v>56</v>
      </c>
      <c r="X204" s="21" t="s">
        <v>103</v>
      </c>
      <c r="Y204" s="21" t="s">
        <v>72</v>
      </c>
      <c r="AA204" s="21" t="s">
        <v>45</v>
      </c>
      <c r="AB204" s="21" t="s">
        <v>73</v>
      </c>
      <c r="AC204" s="21" t="s">
        <v>74</v>
      </c>
      <c r="AD204" s="21" t="s">
        <v>91</v>
      </c>
      <c r="AE204" s="21" t="s">
        <v>49</v>
      </c>
      <c r="AG204" s="21" t="s">
        <v>50</v>
      </c>
      <c r="AH204" s="21" t="s">
        <v>588</v>
      </c>
    </row>
    <row r="205" ht="409.5" customHeight="1"/>
    <row r="206" ht="12.0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6">
    <mergeCell ref="R3:T5"/>
    <mergeCell ref="A4:A6"/>
    <mergeCell ref="C4:H6"/>
    <mergeCell ref="Q6:T8"/>
    <mergeCell ref="C9:G10"/>
    <mergeCell ref="C11:D11"/>
    <mergeCell ref="A13:AH14"/>
    <mergeCell ref="L15:L17"/>
    <mergeCell ref="N15:O17"/>
    <mergeCell ref="P15:R16"/>
    <mergeCell ref="S15:S16"/>
    <mergeCell ref="T15:U16"/>
    <mergeCell ref="V15:V16"/>
    <mergeCell ref="W15:W16"/>
    <mergeCell ref="AG15:AG16"/>
    <mergeCell ref="AH15:AH16"/>
    <mergeCell ref="X15:X16"/>
    <mergeCell ref="Y15:Z16"/>
    <mergeCell ref="AA15:AA16"/>
    <mergeCell ref="AB15:AB16"/>
    <mergeCell ref="AC15:AC16"/>
    <mergeCell ref="AD15:AD16"/>
    <mergeCell ref="AE15:AF16"/>
    <mergeCell ref="B18:D18"/>
    <mergeCell ref="E18:F18"/>
    <mergeCell ref="G18:I18"/>
    <mergeCell ref="N18:O18"/>
    <mergeCell ref="P18:R18"/>
    <mergeCell ref="T18:U18"/>
    <mergeCell ref="Y18:Z18"/>
    <mergeCell ref="AE18:AF18"/>
    <mergeCell ref="A9:A10"/>
    <mergeCell ref="A15:A16"/>
    <mergeCell ref="B15:C16"/>
    <mergeCell ref="D15:E16"/>
    <mergeCell ref="F15:I16"/>
    <mergeCell ref="J15:J16"/>
    <mergeCell ref="K15:K16"/>
    <mergeCell ref="Y21:Z21"/>
    <mergeCell ref="AE21:AF21"/>
    <mergeCell ref="E24:F24"/>
    <mergeCell ref="G24:I24"/>
    <mergeCell ref="N24:O24"/>
    <mergeCell ref="P24:R24"/>
    <mergeCell ref="T24:U24"/>
    <mergeCell ref="Y24:Z24"/>
    <mergeCell ref="AE24:AF24"/>
    <mergeCell ref="B24:D24"/>
    <mergeCell ref="B25:D25"/>
    <mergeCell ref="E25:F25"/>
    <mergeCell ref="G25:I25"/>
    <mergeCell ref="N25:O25"/>
    <mergeCell ref="P25:R25"/>
    <mergeCell ref="T25:U25"/>
    <mergeCell ref="E26:F26"/>
    <mergeCell ref="G26:I26"/>
    <mergeCell ref="N26:O26"/>
    <mergeCell ref="P26:R26"/>
    <mergeCell ref="T26:U26"/>
    <mergeCell ref="Y26:Z26"/>
    <mergeCell ref="AE26:AF26"/>
    <mergeCell ref="B26:D26"/>
    <mergeCell ref="B27:D27"/>
    <mergeCell ref="E27:F27"/>
    <mergeCell ref="G27:I27"/>
    <mergeCell ref="N27:O27"/>
    <mergeCell ref="P27:R27"/>
    <mergeCell ref="T27:U27"/>
    <mergeCell ref="Y27:Z27"/>
    <mergeCell ref="Y28:Z28"/>
    <mergeCell ref="AE27:AF27"/>
    <mergeCell ref="E28:F28"/>
    <mergeCell ref="G28:I28"/>
    <mergeCell ref="N28:O28"/>
    <mergeCell ref="P28:R28"/>
    <mergeCell ref="T28:U28"/>
    <mergeCell ref="AE28:AF28"/>
    <mergeCell ref="Y29:Z29"/>
    <mergeCell ref="AE29:AF29"/>
    <mergeCell ref="B28:D28"/>
    <mergeCell ref="B29:D29"/>
    <mergeCell ref="E29:F29"/>
    <mergeCell ref="G29:I29"/>
    <mergeCell ref="N29:O29"/>
    <mergeCell ref="P29:R29"/>
    <mergeCell ref="T29:U29"/>
    <mergeCell ref="E30:F30"/>
    <mergeCell ref="G30:I30"/>
    <mergeCell ref="N30:O30"/>
    <mergeCell ref="P30:R30"/>
    <mergeCell ref="T30:U30"/>
    <mergeCell ref="Y30:Z30"/>
    <mergeCell ref="AE30:AF30"/>
    <mergeCell ref="B30:D30"/>
    <mergeCell ref="B31:D31"/>
    <mergeCell ref="E31:F31"/>
    <mergeCell ref="G31:I31"/>
    <mergeCell ref="N31:O31"/>
    <mergeCell ref="P31:R31"/>
    <mergeCell ref="T31:U31"/>
    <mergeCell ref="Y31:Z31"/>
    <mergeCell ref="Y32:Z32"/>
    <mergeCell ref="AE31:AF31"/>
    <mergeCell ref="E32:F32"/>
    <mergeCell ref="G32:I32"/>
    <mergeCell ref="N32:O32"/>
    <mergeCell ref="P32:R32"/>
    <mergeCell ref="T32:U32"/>
    <mergeCell ref="AE32:AF32"/>
    <mergeCell ref="Y33:Z33"/>
    <mergeCell ref="AE33:AF33"/>
    <mergeCell ref="B32:D32"/>
    <mergeCell ref="B33:D33"/>
    <mergeCell ref="E33:F33"/>
    <mergeCell ref="G33:I33"/>
    <mergeCell ref="N33:O33"/>
    <mergeCell ref="P33:R33"/>
    <mergeCell ref="T33:U33"/>
    <mergeCell ref="E34:F34"/>
    <mergeCell ref="G34:I34"/>
    <mergeCell ref="N34:O34"/>
    <mergeCell ref="P34:R34"/>
    <mergeCell ref="T34:U34"/>
    <mergeCell ref="Y34:Z34"/>
    <mergeCell ref="AE34:AF34"/>
    <mergeCell ref="B34:D34"/>
    <mergeCell ref="B35:D35"/>
    <mergeCell ref="E35:F35"/>
    <mergeCell ref="G35:I35"/>
    <mergeCell ref="N35:O35"/>
    <mergeCell ref="P35:R35"/>
    <mergeCell ref="T35:U35"/>
    <mergeCell ref="Y35:Z35"/>
    <mergeCell ref="Y36:Z36"/>
    <mergeCell ref="AE35:AF35"/>
    <mergeCell ref="E36:F36"/>
    <mergeCell ref="G36:I36"/>
    <mergeCell ref="N36:O36"/>
    <mergeCell ref="P36:R36"/>
    <mergeCell ref="T36:U36"/>
    <mergeCell ref="AE36:AF36"/>
    <mergeCell ref="Y37:Z37"/>
    <mergeCell ref="AE37:AF37"/>
    <mergeCell ref="B36:D36"/>
    <mergeCell ref="B37:D37"/>
    <mergeCell ref="E37:F37"/>
    <mergeCell ref="G37:I37"/>
    <mergeCell ref="N37:O37"/>
    <mergeCell ref="P37:R37"/>
    <mergeCell ref="T37:U37"/>
    <mergeCell ref="E38:F38"/>
    <mergeCell ref="G38:I38"/>
    <mergeCell ref="N38:O38"/>
    <mergeCell ref="P38:R38"/>
    <mergeCell ref="T38:U38"/>
    <mergeCell ref="Y38:Z38"/>
    <mergeCell ref="AE38:AF38"/>
    <mergeCell ref="B38:D38"/>
    <mergeCell ref="B39:D39"/>
    <mergeCell ref="E39:F39"/>
    <mergeCell ref="G39:I39"/>
    <mergeCell ref="N39:O39"/>
    <mergeCell ref="P39:R39"/>
    <mergeCell ref="T39:U39"/>
    <mergeCell ref="Y39:Z39"/>
    <mergeCell ref="Y40:Z40"/>
    <mergeCell ref="AE39:AF39"/>
    <mergeCell ref="E40:F40"/>
    <mergeCell ref="G40:I40"/>
    <mergeCell ref="N40:O40"/>
    <mergeCell ref="P40:R40"/>
    <mergeCell ref="T40:U40"/>
    <mergeCell ref="AE40:AF40"/>
    <mergeCell ref="Y41:Z41"/>
    <mergeCell ref="AE41:AF41"/>
    <mergeCell ref="B40:D40"/>
    <mergeCell ref="B41:D41"/>
    <mergeCell ref="E41:F41"/>
    <mergeCell ref="G41:I41"/>
    <mergeCell ref="N41:O41"/>
    <mergeCell ref="P41:R41"/>
    <mergeCell ref="T41:U41"/>
    <mergeCell ref="E42:F42"/>
    <mergeCell ref="G42:I42"/>
    <mergeCell ref="N42:O42"/>
    <mergeCell ref="P42:R42"/>
    <mergeCell ref="T42:U42"/>
    <mergeCell ref="Y42:Z42"/>
    <mergeCell ref="AE42:AF42"/>
    <mergeCell ref="B42:D42"/>
    <mergeCell ref="B43:D43"/>
    <mergeCell ref="E43:F43"/>
    <mergeCell ref="G43:I43"/>
    <mergeCell ref="N43:O43"/>
    <mergeCell ref="P43:R43"/>
    <mergeCell ref="T43:U43"/>
    <mergeCell ref="Y43:Z43"/>
    <mergeCell ref="Y44:Z44"/>
    <mergeCell ref="AE43:AF43"/>
    <mergeCell ref="E44:F44"/>
    <mergeCell ref="G44:I44"/>
    <mergeCell ref="N44:O44"/>
    <mergeCell ref="P44:R44"/>
    <mergeCell ref="T44:U44"/>
    <mergeCell ref="AE44:AF44"/>
    <mergeCell ref="Y45:Z45"/>
    <mergeCell ref="AE45:AF45"/>
    <mergeCell ref="B44:D44"/>
    <mergeCell ref="B45:D45"/>
    <mergeCell ref="E45:F45"/>
    <mergeCell ref="G45:I45"/>
    <mergeCell ref="N45:O45"/>
    <mergeCell ref="P45:R45"/>
    <mergeCell ref="T45:U45"/>
    <mergeCell ref="E46:F46"/>
    <mergeCell ref="G46:I46"/>
    <mergeCell ref="N46:O46"/>
    <mergeCell ref="P46:R46"/>
    <mergeCell ref="T46:U46"/>
    <mergeCell ref="Y46:Z46"/>
    <mergeCell ref="AE46:AF46"/>
    <mergeCell ref="B46:D46"/>
    <mergeCell ref="B47:D47"/>
    <mergeCell ref="E47:F47"/>
    <mergeCell ref="G47:I47"/>
    <mergeCell ref="N47:O47"/>
    <mergeCell ref="P47:R47"/>
    <mergeCell ref="T47:U47"/>
    <mergeCell ref="Y47:Z47"/>
    <mergeCell ref="Y48:Z48"/>
    <mergeCell ref="AE47:AF47"/>
    <mergeCell ref="E48:F48"/>
    <mergeCell ref="G48:I48"/>
    <mergeCell ref="N48:O48"/>
    <mergeCell ref="P48:R48"/>
    <mergeCell ref="T48:U48"/>
    <mergeCell ref="AE48:AF48"/>
    <mergeCell ref="Y49:Z49"/>
    <mergeCell ref="AE49:AF49"/>
    <mergeCell ref="B48:D48"/>
    <mergeCell ref="B49:D49"/>
    <mergeCell ref="E49:F49"/>
    <mergeCell ref="G49:I49"/>
    <mergeCell ref="N49:O49"/>
    <mergeCell ref="P49:R49"/>
    <mergeCell ref="T49:U49"/>
    <mergeCell ref="Y51:Z51"/>
    <mergeCell ref="Y52:Z52"/>
    <mergeCell ref="AE51:AF51"/>
    <mergeCell ref="E52:F52"/>
    <mergeCell ref="G52:I52"/>
    <mergeCell ref="N52:O52"/>
    <mergeCell ref="P52:R52"/>
    <mergeCell ref="T52:U52"/>
    <mergeCell ref="AE52:AF52"/>
    <mergeCell ref="E50:F50"/>
    <mergeCell ref="G50:I50"/>
    <mergeCell ref="N50:O50"/>
    <mergeCell ref="P50:R50"/>
    <mergeCell ref="T50:U50"/>
    <mergeCell ref="Y50:Z50"/>
    <mergeCell ref="AE50:AF50"/>
    <mergeCell ref="B50:D50"/>
    <mergeCell ref="B51:D51"/>
    <mergeCell ref="E51:F51"/>
    <mergeCell ref="G51:I51"/>
    <mergeCell ref="N51:O51"/>
    <mergeCell ref="P51:R51"/>
    <mergeCell ref="T51:U51"/>
    <mergeCell ref="Y53:Z53"/>
    <mergeCell ref="AE53:AF53"/>
    <mergeCell ref="B52:D52"/>
    <mergeCell ref="B53:D53"/>
    <mergeCell ref="E53:F53"/>
    <mergeCell ref="G53:I53"/>
    <mergeCell ref="N53:O53"/>
    <mergeCell ref="P53:R53"/>
    <mergeCell ref="T53:U53"/>
    <mergeCell ref="E54:F54"/>
    <mergeCell ref="G54:I54"/>
    <mergeCell ref="N54:O54"/>
    <mergeCell ref="P54:R54"/>
    <mergeCell ref="T54:U54"/>
    <mergeCell ref="Y54:Z54"/>
    <mergeCell ref="AE54:AF54"/>
    <mergeCell ref="B54:D54"/>
    <mergeCell ref="B55:D55"/>
    <mergeCell ref="E55:F55"/>
    <mergeCell ref="G55:I55"/>
    <mergeCell ref="N55:O55"/>
    <mergeCell ref="P55:R55"/>
    <mergeCell ref="T55:U55"/>
    <mergeCell ref="Y55:Z55"/>
    <mergeCell ref="Y56:Z56"/>
    <mergeCell ref="AE55:AF55"/>
    <mergeCell ref="E56:F56"/>
    <mergeCell ref="G56:I56"/>
    <mergeCell ref="N56:O56"/>
    <mergeCell ref="P56:R56"/>
    <mergeCell ref="T56:U56"/>
    <mergeCell ref="AE56:AF56"/>
    <mergeCell ref="Y57:Z57"/>
    <mergeCell ref="AE57:AF57"/>
    <mergeCell ref="B56:D56"/>
    <mergeCell ref="B57:D57"/>
    <mergeCell ref="E57:F57"/>
    <mergeCell ref="G57:I57"/>
    <mergeCell ref="N57:O57"/>
    <mergeCell ref="P57:R57"/>
    <mergeCell ref="T57:U57"/>
    <mergeCell ref="E58:F58"/>
    <mergeCell ref="G58:I58"/>
    <mergeCell ref="N58:O58"/>
    <mergeCell ref="P58:R58"/>
    <mergeCell ref="T58:U58"/>
    <mergeCell ref="Y58:Z58"/>
    <mergeCell ref="AE58:AF58"/>
    <mergeCell ref="B58:D58"/>
    <mergeCell ref="B59:D59"/>
    <mergeCell ref="E59:F59"/>
    <mergeCell ref="G59:I59"/>
    <mergeCell ref="N59:O59"/>
    <mergeCell ref="P59:R59"/>
    <mergeCell ref="T59:U59"/>
    <mergeCell ref="Y59:Z59"/>
    <mergeCell ref="Y60:Z60"/>
    <mergeCell ref="AE59:AF59"/>
    <mergeCell ref="E60:F60"/>
    <mergeCell ref="G60:I60"/>
    <mergeCell ref="N60:O60"/>
    <mergeCell ref="P60:R60"/>
    <mergeCell ref="T60:U60"/>
    <mergeCell ref="AE60:AF60"/>
    <mergeCell ref="Y61:Z61"/>
    <mergeCell ref="AE61:AF61"/>
    <mergeCell ref="B60:D60"/>
    <mergeCell ref="B61:D61"/>
    <mergeCell ref="E61:F61"/>
    <mergeCell ref="G61:I61"/>
    <mergeCell ref="N61:O61"/>
    <mergeCell ref="P61:R61"/>
    <mergeCell ref="T61:U61"/>
    <mergeCell ref="E62:F62"/>
    <mergeCell ref="G62:I62"/>
    <mergeCell ref="N62:O62"/>
    <mergeCell ref="P62:R62"/>
    <mergeCell ref="T62:U62"/>
    <mergeCell ref="Y62:Z62"/>
    <mergeCell ref="AE62:AF62"/>
    <mergeCell ref="B62:D62"/>
    <mergeCell ref="B63:D63"/>
    <mergeCell ref="E63:F63"/>
    <mergeCell ref="G63:I63"/>
    <mergeCell ref="N63:O63"/>
    <mergeCell ref="P63:R63"/>
    <mergeCell ref="T63:U63"/>
    <mergeCell ref="Y63:Z63"/>
    <mergeCell ref="Y64:Z64"/>
    <mergeCell ref="AE63:AF63"/>
    <mergeCell ref="E64:F64"/>
    <mergeCell ref="G64:I64"/>
    <mergeCell ref="N64:O64"/>
    <mergeCell ref="P64:R64"/>
    <mergeCell ref="T64:U64"/>
    <mergeCell ref="AE64:AF64"/>
    <mergeCell ref="Y65:Z65"/>
    <mergeCell ref="AE65:AF65"/>
    <mergeCell ref="B64:D64"/>
    <mergeCell ref="B65:D65"/>
    <mergeCell ref="E65:F65"/>
    <mergeCell ref="G65:I65"/>
    <mergeCell ref="N65:O65"/>
    <mergeCell ref="P65:R65"/>
    <mergeCell ref="T65:U65"/>
    <mergeCell ref="E66:F66"/>
    <mergeCell ref="G66:I66"/>
    <mergeCell ref="N66:O66"/>
    <mergeCell ref="P66:R66"/>
    <mergeCell ref="T66:U66"/>
    <mergeCell ref="Y66:Z66"/>
    <mergeCell ref="AE66:AF66"/>
    <mergeCell ref="B66:D66"/>
    <mergeCell ref="B67:D67"/>
    <mergeCell ref="E67:F67"/>
    <mergeCell ref="G67:I67"/>
    <mergeCell ref="N67:O67"/>
    <mergeCell ref="P67:R67"/>
    <mergeCell ref="T67:U67"/>
    <mergeCell ref="Y67:Z67"/>
    <mergeCell ref="Y68:Z68"/>
    <mergeCell ref="AE67:AF67"/>
    <mergeCell ref="E68:F68"/>
    <mergeCell ref="G68:I68"/>
    <mergeCell ref="N68:O68"/>
    <mergeCell ref="P68:R68"/>
    <mergeCell ref="T68:U68"/>
    <mergeCell ref="AE68:AF68"/>
    <mergeCell ref="Y69:Z69"/>
    <mergeCell ref="AE69:AF69"/>
    <mergeCell ref="B68:D68"/>
    <mergeCell ref="B69:D69"/>
    <mergeCell ref="E69:F69"/>
    <mergeCell ref="G69:I69"/>
    <mergeCell ref="N69:O69"/>
    <mergeCell ref="P69:R69"/>
    <mergeCell ref="T69:U69"/>
    <mergeCell ref="E70:F70"/>
    <mergeCell ref="G70:I70"/>
    <mergeCell ref="N70:O70"/>
    <mergeCell ref="P70:R70"/>
    <mergeCell ref="T70:U70"/>
    <mergeCell ref="Y70:Z70"/>
    <mergeCell ref="AE70:AF70"/>
    <mergeCell ref="B70:D70"/>
    <mergeCell ref="B71:D71"/>
    <mergeCell ref="E71:F71"/>
    <mergeCell ref="G71:I71"/>
    <mergeCell ref="N71:O71"/>
    <mergeCell ref="P71:R71"/>
    <mergeCell ref="T71:U71"/>
    <mergeCell ref="Y71:Z71"/>
    <mergeCell ref="Y72:Z72"/>
    <mergeCell ref="AE71:AF71"/>
    <mergeCell ref="E72:F72"/>
    <mergeCell ref="G72:I72"/>
    <mergeCell ref="N72:O72"/>
    <mergeCell ref="P72:R72"/>
    <mergeCell ref="T72:U72"/>
    <mergeCell ref="AE72:AF72"/>
    <mergeCell ref="Y73:Z73"/>
    <mergeCell ref="AE73:AF73"/>
    <mergeCell ref="B72:D72"/>
    <mergeCell ref="B73:D73"/>
    <mergeCell ref="E73:F73"/>
    <mergeCell ref="G73:I73"/>
    <mergeCell ref="N73:O73"/>
    <mergeCell ref="P73:R73"/>
    <mergeCell ref="T73:U73"/>
    <mergeCell ref="E74:F74"/>
    <mergeCell ref="G74:I74"/>
    <mergeCell ref="N74:O74"/>
    <mergeCell ref="P74:R74"/>
    <mergeCell ref="T74:U74"/>
    <mergeCell ref="Y74:Z74"/>
    <mergeCell ref="AE74:AF74"/>
    <mergeCell ref="B74:D74"/>
    <mergeCell ref="B75:D75"/>
    <mergeCell ref="E75:F75"/>
    <mergeCell ref="G75:I75"/>
    <mergeCell ref="N75:O75"/>
    <mergeCell ref="P75:R75"/>
    <mergeCell ref="T75:U75"/>
    <mergeCell ref="Y75:Z75"/>
    <mergeCell ref="Y76:Z76"/>
    <mergeCell ref="AE75:AF75"/>
    <mergeCell ref="E76:F76"/>
    <mergeCell ref="G76:I76"/>
    <mergeCell ref="N76:O76"/>
    <mergeCell ref="P76:R76"/>
    <mergeCell ref="T76:U76"/>
    <mergeCell ref="AE76:AF76"/>
    <mergeCell ref="Y77:Z77"/>
    <mergeCell ref="AE77:AF77"/>
    <mergeCell ref="B76:D76"/>
    <mergeCell ref="B77:D77"/>
    <mergeCell ref="E77:F77"/>
    <mergeCell ref="G77:I77"/>
    <mergeCell ref="N77:O77"/>
    <mergeCell ref="P77:R77"/>
    <mergeCell ref="T77:U77"/>
    <mergeCell ref="Y79:Z79"/>
    <mergeCell ref="Y80:Z80"/>
    <mergeCell ref="AE79:AF79"/>
    <mergeCell ref="E80:F80"/>
    <mergeCell ref="G80:I80"/>
    <mergeCell ref="N80:O80"/>
    <mergeCell ref="P80:R80"/>
    <mergeCell ref="T80:U80"/>
    <mergeCell ref="AE80:AF80"/>
    <mergeCell ref="E78:F78"/>
    <mergeCell ref="G78:I78"/>
    <mergeCell ref="N78:O78"/>
    <mergeCell ref="P78:R78"/>
    <mergeCell ref="T78:U78"/>
    <mergeCell ref="Y78:Z78"/>
    <mergeCell ref="AE78:AF78"/>
    <mergeCell ref="B78:D78"/>
    <mergeCell ref="B79:D79"/>
    <mergeCell ref="E79:F79"/>
    <mergeCell ref="G79:I79"/>
    <mergeCell ref="N79:O79"/>
    <mergeCell ref="P79:R79"/>
    <mergeCell ref="T79:U79"/>
    <mergeCell ref="Y81:Z81"/>
    <mergeCell ref="AE81:AF81"/>
    <mergeCell ref="B80:D80"/>
    <mergeCell ref="B81:D81"/>
    <mergeCell ref="E81:F81"/>
    <mergeCell ref="G81:I81"/>
    <mergeCell ref="N81:O81"/>
    <mergeCell ref="P81:R81"/>
    <mergeCell ref="T81:U81"/>
    <mergeCell ref="E82:F82"/>
    <mergeCell ref="G82:I82"/>
    <mergeCell ref="N82:O82"/>
    <mergeCell ref="P82:R82"/>
    <mergeCell ref="T82:U82"/>
    <mergeCell ref="Y82:Z82"/>
    <mergeCell ref="AE82:AF82"/>
    <mergeCell ref="B82:D82"/>
    <mergeCell ref="B83:D83"/>
    <mergeCell ref="E83:F83"/>
    <mergeCell ref="G83:I83"/>
    <mergeCell ref="N83:O83"/>
    <mergeCell ref="P83:R83"/>
    <mergeCell ref="T83:U83"/>
    <mergeCell ref="Y83:Z83"/>
    <mergeCell ref="Y84:Z84"/>
    <mergeCell ref="AE83:AF83"/>
    <mergeCell ref="E84:F84"/>
    <mergeCell ref="G84:I84"/>
    <mergeCell ref="N84:O84"/>
    <mergeCell ref="P84:R84"/>
    <mergeCell ref="T84:U84"/>
    <mergeCell ref="AE84:AF84"/>
    <mergeCell ref="Y85:Z85"/>
    <mergeCell ref="AE85:AF85"/>
    <mergeCell ref="B84:D84"/>
    <mergeCell ref="B85:D85"/>
    <mergeCell ref="E85:F85"/>
    <mergeCell ref="G85:I85"/>
    <mergeCell ref="N85:O85"/>
    <mergeCell ref="P85:R85"/>
    <mergeCell ref="T85:U85"/>
    <mergeCell ref="E86:F86"/>
    <mergeCell ref="G86:I86"/>
    <mergeCell ref="N86:O86"/>
    <mergeCell ref="P86:R86"/>
    <mergeCell ref="T86:U86"/>
    <mergeCell ref="Y86:Z86"/>
    <mergeCell ref="AE86:AF86"/>
    <mergeCell ref="B86:D86"/>
    <mergeCell ref="B87:D87"/>
    <mergeCell ref="E87:F87"/>
    <mergeCell ref="G87:I87"/>
    <mergeCell ref="N87:O87"/>
    <mergeCell ref="P87:R87"/>
    <mergeCell ref="T87:U87"/>
    <mergeCell ref="Y91:Z91"/>
    <mergeCell ref="AE91:AF91"/>
    <mergeCell ref="B90:D90"/>
    <mergeCell ref="B91:D91"/>
    <mergeCell ref="E91:F91"/>
    <mergeCell ref="G91:I91"/>
    <mergeCell ref="N91:O91"/>
    <mergeCell ref="P91:R91"/>
    <mergeCell ref="T91:U91"/>
    <mergeCell ref="Y153:Z153"/>
    <mergeCell ref="AE153:AF153"/>
    <mergeCell ref="B152:D152"/>
    <mergeCell ref="B153:D153"/>
    <mergeCell ref="E153:F153"/>
    <mergeCell ref="G153:I153"/>
    <mergeCell ref="N153:O153"/>
    <mergeCell ref="P153:R153"/>
    <mergeCell ref="T153:U153"/>
    <mergeCell ref="E154:F154"/>
    <mergeCell ref="G154:I154"/>
    <mergeCell ref="N154:O154"/>
    <mergeCell ref="P154:R154"/>
    <mergeCell ref="T154:U154"/>
    <mergeCell ref="Y154:Z154"/>
    <mergeCell ref="AE154:AF154"/>
    <mergeCell ref="B154:D154"/>
    <mergeCell ref="B155:D155"/>
    <mergeCell ref="E155:F155"/>
    <mergeCell ref="G155:I155"/>
    <mergeCell ref="N155:O155"/>
    <mergeCell ref="P155:R155"/>
    <mergeCell ref="T155:U155"/>
    <mergeCell ref="Y155:Z155"/>
    <mergeCell ref="Y156:Z156"/>
    <mergeCell ref="AE155:AF155"/>
    <mergeCell ref="E156:F156"/>
    <mergeCell ref="G156:I156"/>
    <mergeCell ref="N156:O156"/>
    <mergeCell ref="P156:R156"/>
    <mergeCell ref="T156:U156"/>
    <mergeCell ref="AE156:AF156"/>
    <mergeCell ref="Y157:Z157"/>
    <mergeCell ref="AE157:AF157"/>
    <mergeCell ref="B156:D156"/>
    <mergeCell ref="B157:D157"/>
    <mergeCell ref="E157:F157"/>
    <mergeCell ref="G157:I157"/>
    <mergeCell ref="N157:O157"/>
    <mergeCell ref="P157:R157"/>
    <mergeCell ref="T157:U157"/>
    <mergeCell ref="E158:F158"/>
    <mergeCell ref="G158:I158"/>
    <mergeCell ref="N158:O158"/>
    <mergeCell ref="P158:R158"/>
    <mergeCell ref="T158:U158"/>
    <mergeCell ref="Y158:Z158"/>
    <mergeCell ref="AE158:AF158"/>
    <mergeCell ref="B158:D158"/>
    <mergeCell ref="B159:D159"/>
    <mergeCell ref="E159:F159"/>
    <mergeCell ref="G159:I159"/>
    <mergeCell ref="N159:O159"/>
    <mergeCell ref="P159:R159"/>
    <mergeCell ref="T159:U159"/>
    <mergeCell ref="Y159:Z159"/>
    <mergeCell ref="Y160:Z160"/>
    <mergeCell ref="AE159:AF159"/>
    <mergeCell ref="E160:F160"/>
    <mergeCell ref="G160:I160"/>
    <mergeCell ref="N160:O160"/>
    <mergeCell ref="P160:R160"/>
    <mergeCell ref="T160:U160"/>
    <mergeCell ref="AE160:AF160"/>
    <mergeCell ref="Y161:Z161"/>
    <mergeCell ref="AE161:AF161"/>
    <mergeCell ref="B160:D160"/>
    <mergeCell ref="B161:D161"/>
    <mergeCell ref="E161:F161"/>
    <mergeCell ref="G161:I161"/>
    <mergeCell ref="N161:O161"/>
    <mergeCell ref="P161:R161"/>
    <mergeCell ref="T161:U161"/>
    <mergeCell ref="E162:F162"/>
    <mergeCell ref="G162:I162"/>
    <mergeCell ref="N162:O162"/>
    <mergeCell ref="P162:R162"/>
    <mergeCell ref="T162:U162"/>
    <mergeCell ref="Y162:Z162"/>
    <mergeCell ref="AE162:AF162"/>
    <mergeCell ref="B162:D162"/>
    <mergeCell ref="B163:D163"/>
    <mergeCell ref="E163:F163"/>
    <mergeCell ref="G163:I163"/>
    <mergeCell ref="N163:O163"/>
    <mergeCell ref="P163:R163"/>
    <mergeCell ref="T163:U163"/>
    <mergeCell ref="Y163:Z163"/>
    <mergeCell ref="Y164:Z164"/>
    <mergeCell ref="AE163:AF163"/>
    <mergeCell ref="E164:F164"/>
    <mergeCell ref="G164:I164"/>
    <mergeCell ref="N164:O164"/>
    <mergeCell ref="P164:R164"/>
    <mergeCell ref="T164:U164"/>
    <mergeCell ref="AE164:AF164"/>
    <mergeCell ref="Y165:Z165"/>
    <mergeCell ref="AE165:AF165"/>
    <mergeCell ref="B164:D164"/>
    <mergeCell ref="B165:D165"/>
    <mergeCell ref="E165:F165"/>
    <mergeCell ref="G165:I165"/>
    <mergeCell ref="N165:O165"/>
    <mergeCell ref="P165:R165"/>
    <mergeCell ref="T165:U165"/>
    <mergeCell ref="E166:F166"/>
    <mergeCell ref="G166:I166"/>
    <mergeCell ref="N166:O166"/>
    <mergeCell ref="P166:R166"/>
    <mergeCell ref="T166:U166"/>
    <mergeCell ref="Y166:Z166"/>
    <mergeCell ref="AE166:AF166"/>
    <mergeCell ref="B166:D166"/>
    <mergeCell ref="B167:D167"/>
    <mergeCell ref="E167:F167"/>
    <mergeCell ref="G167:I167"/>
    <mergeCell ref="N167:O167"/>
    <mergeCell ref="P167:R167"/>
    <mergeCell ref="T167:U167"/>
    <mergeCell ref="Y167:Z167"/>
    <mergeCell ref="Y168:Z168"/>
    <mergeCell ref="AE167:AF167"/>
    <mergeCell ref="E168:F168"/>
    <mergeCell ref="G168:I168"/>
    <mergeCell ref="N168:O168"/>
    <mergeCell ref="P168:R168"/>
    <mergeCell ref="T168:U168"/>
    <mergeCell ref="AE168:AF168"/>
    <mergeCell ref="Y175:Z175"/>
    <mergeCell ref="AE175:AF175"/>
    <mergeCell ref="E176:F176"/>
    <mergeCell ref="G176:I176"/>
    <mergeCell ref="N176:O176"/>
    <mergeCell ref="P176:R176"/>
    <mergeCell ref="T176:U176"/>
    <mergeCell ref="Y176:Z176"/>
    <mergeCell ref="AE176:AF176"/>
    <mergeCell ref="B174:D174"/>
    <mergeCell ref="B175:D175"/>
    <mergeCell ref="E175:F175"/>
    <mergeCell ref="G175:I175"/>
    <mergeCell ref="N175:O175"/>
    <mergeCell ref="P175:R175"/>
    <mergeCell ref="T175:U175"/>
    <mergeCell ref="B176:D176"/>
    <mergeCell ref="B177:D177"/>
    <mergeCell ref="E177:F177"/>
    <mergeCell ref="G177:I177"/>
    <mergeCell ref="N177:O177"/>
    <mergeCell ref="P177:R177"/>
    <mergeCell ref="T177:U177"/>
    <mergeCell ref="E100:F100"/>
    <mergeCell ref="G100:I100"/>
    <mergeCell ref="N100:O100"/>
    <mergeCell ref="P100:R100"/>
    <mergeCell ref="T100:U100"/>
    <mergeCell ref="Y100:Z100"/>
    <mergeCell ref="AE100:AF100"/>
    <mergeCell ref="B100:D100"/>
    <mergeCell ref="B101:D101"/>
    <mergeCell ref="E101:F101"/>
    <mergeCell ref="G101:I101"/>
    <mergeCell ref="N101:O101"/>
    <mergeCell ref="P101:R101"/>
    <mergeCell ref="T101:U101"/>
    <mergeCell ref="E102:F102"/>
    <mergeCell ref="G102:I102"/>
    <mergeCell ref="N102:O102"/>
    <mergeCell ref="P102:R102"/>
    <mergeCell ref="T102:U102"/>
    <mergeCell ref="Y102:Z102"/>
    <mergeCell ref="AE102:AF102"/>
    <mergeCell ref="Y103:Z103"/>
    <mergeCell ref="AE103:AF103"/>
    <mergeCell ref="B102:D102"/>
    <mergeCell ref="B103:D103"/>
    <mergeCell ref="E103:F103"/>
    <mergeCell ref="G103:I103"/>
    <mergeCell ref="N103:O103"/>
    <mergeCell ref="P103:R103"/>
    <mergeCell ref="T103:U103"/>
    <mergeCell ref="Y105:Z105"/>
    <mergeCell ref="AE105:AF105"/>
    <mergeCell ref="Y171:Z171"/>
    <mergeCell ref="AE171:AF171"/>
    <mergeCell ref="B168:D168"/>
    <mergeCell ref="B171:D171"/>
    <mergeCell ref="E171:F171"/>
    <mergeCell ref="G171:I171"/>
    <mergeCell ref="N171:O171"/>
    <mergeCell ref="P171:R171"/>
    <mergeCell ref="T171:U171"/>
    <mergeCell ref="E172:F172"/>
    <mergeCell ref="G172:I172"/>
    <mergeCell ref="N172:O172"/>
    <mergeCell ref="P172:R172"/>
    <mergeCell ref="T172:U172"/>
    <mergeCell ref="Y172:Z172"/>
    <mergeCell ref="AE172:AF172"/>
    <mergeCell ref="Y173:Z173"/>
    <mergeCell ref="AE173:AF173"/>
    <mergeCell ref="B172:D172"/>
    <mergeCell ref="B173:D173"/>
    <mergeCell ref="E173:F173"/>
    <mergeCell ref="G173:I173"/>
    <mergeCell ref="N173:O173"/>
    <mergeCell ref="P173:R173"/>
    <mergeCell ref="T173:U173"/>
    <mergeCell ref="E174:F174"/>
    <mergeCell ref="G174:I174"/>
    <mergeCell ref="N174:O174"/>
    <mergeCell ref="P174:R174"/>
    <mergeCell ref="T174:U174"/>
    <mergeCell ref="Y174:Z174"/>
    <mergeCell ref="AE174:AF174"/>
    <mergeCell ref="Y177:Z177"/>
    <mergeCell ref="AE177:AF177"/>
    <mergeCell ref="Y187:Z187"/>
    <mergeCell ref="AE187:AF187"/>
    <mergeCell ref="E178:F178"/>
    <mergeCell ref="G178:I178"/>
    <mergeCell ref="N178:O178"/>
    <mergeCell ref="P178:R178"/>
    <mergeCell ref="T178:U178"/>
    <mergeCell ref="Y178:Z178"/>
    <mergeCell ref="AE178:AF178"/>
    <mergeCell ref="B178:D178"/>
    <mergeCell ref="B179:D179"/>
    <mergeCell ref="E179:F179"/>
    <mergeCell ref="G179:I179"/>
    <mergeCell ref="N179:O179"/>
    <mergeCell ref="P179:R179"/>
    <mergeCell ref="T179:U179"/>
    <mergeCell ref="Y179:Z179"/>
    <mergeCell ref="Y180:Z180"/>
    <mergeCell ref="AE179:AF179"/>
    <mergeCell ref="E180:F180"/>
    <mergeCell ref="G180:I180"/>
    <mergeCell ref="N180:O180"/>
    <mergeCell ref="P180:R180"/>
    <mergeCell ref="T180:U180"/>
    <mergeCell ref="AE180:AF180"/>
    <mergeCell ref="Y181:Z181"/>
    <mergeCell ref="AE181:AF181"/>
    <mergeCell ref="B180:D180"/>
    <mergeCell ref="B181:D181"/>
    <mergeCell ref="E181:F181"/>
    <mergeCell ref="G181:I181"/>
    <mergeCell ref="N181:O181"/>
    <mergeCell ref="P181:R181"/>
    <mergeCell ref="T181:U181"/>
    <mergeCell ref="E182:F182"/>
    <mergeCell ref="G182:I182"/>
    <mergeCell ref="N182:O182"/>
    <mergeCell ref="P182:R182"/>
    <mergeCell ref="T182:U182"/>
    <mergeCell ref="Y182:Z182"/>
    <mergeCell ref="AE182:AF182"/>
    <mergeCell ref="B182:D182"/>
    <mergeCell ref="B183:D183"/>
    <mergeCell ref="E183:F183"/>
    <mergeCell ref="G183:I183"/>
    <mergeCell ref="N183:O183"/>
    <mergeCell ref="P183:R183"/>
    <mergeCell ref="T183:U183"/>
    <mergeCell ref="Y183:Z183"/>
    <mergeCell ref="Y184:Z184"/>
    <mergeCell ref="AE183:AF183"/>
    <mergeCell ref="E184:F184"/>
    <mergeCell ref="G184:I184"/>
    <mergeCell ref="N184:O184"/>
    <mergeCell ref="P184:R184"/>
    <mergeCell ref="T184:U184"/>
    <mergeCell ref="AE184:AF184"/>
    <mergeCell ref="Y185:Z185"/>
    <mergeCell ref="AE185:AF185"/>
    <mergeCell ref="B184:D184"/>
    <mergeCell ref="B185:D185"/>
    <mergeCell ref="E185:F185"/>
    <mergeCell ref="G185:I185"/>
    <mergeCell ref="N185:O185"/>
    <mergeCell ref="P185:R185"/>
    <mergeCell ref="T185:U185"/>
    <mergeCell ref="E190:F190"/>
    <mergeCell ref="G190:I190"/>
    <mergeCell ref="N190:O190"/>
    <mergeCell ref="P190:R190"/>
    <mergeCell ref="T190:U190"/>
    <mergeCell ref="Y190:Z190"/>
    <mergeCell ref="AE190:AF190"/>
    <mergeCell ref="B190:D190"/>
    <mergeCell ref="B191:D191"/>
    <mergeCell ref="E191:F191"/>
    <mergeCell ref="G191:I191"/>
    <mergeCell ref="N191:O191"/>
    <mergeCell ref="P191:R191"/>
    <mergeCell ref="T191:U191"/>
    <mergeCell ref="E200:F200"/>
    <mergeCell ref="G200:I200"/>
    <mergeCell ref="N200:O200"/>
    <mergeCell ref="P200:R200"/>
    <mergeCell ref="T200:U200"/>
    <mergeCell ref="Y200:Z200"/>
    <mergeCell ref="AE200:AF200"/>
    <mergeCell ref="B200:D200"/>
    <mergeCell ref="B201:D201"/>
    <mergeCell ref="E201:F201"/>
    <mergeCell ref="G201:I201"/>
    <mergeCell ref="N201:O201"/>
    <mergeCell ref="P201:R201"/>
    <mergeCell ref="T201:U201"/>
    <mergeCell ref="Y203:Z203"/>
    <mergeCell ref="AE203:AF203"/>
    <mergeCell ref="B202:D202"/>
    <mergeCell ref="B203:D203"/>
    <mergeCell ref="E203:F203"/>
    <mergeCell ref="G203:I203"/>
    <mergeCell ref="N203:O203"/>
    <mergeCell ref="P203:R203"/>
    <mergeCell ref="T203:U203"/>
    <mergeCell ref="E186:F186"/>
    <mergeCell ref="G186:I186"/>
    <mergeCell ref="N186:O186"/>
    <mergeCell ref="P186:R186"/>
    <mergeCell ref="T186:U186"/>
    <mergeCell ref="Y186:Z186"/>
    <mergeCell ref="AE186:AF186"/>
    <mergeCell ref="B186:D186"/>
    <mergeCell ref="B187:D187"/>
    <mergeCell ref="E187:F187"/>
    <mergeCell ref="G187:I187"/>
    <mergeCell ref="N187:O187"/>
    <mergeCell ref="P187:R187"/>
    <mergeCell ref="T187:U187"/>
    <mergeCell ref="E188:F188"/>
    <mergeCell ref="G188:I188"/>
    <mergeCell ref="N188:O188"/>
    <mergeCell ref="P188:R188"/>
    <mergeCell ref="T188:U188"/>
    <mergeCell ref="Y188:Z188"/>
    <mergeCell ref="AE188:AF188"/>
    <mergeCell ref="Y189:Z189"/>
    <mergeCell ref="AE189:AF189"/>
    <mergeCell ref="B188:D188"/>
    <mergeCell ref="B189:D189"/>
    <mergeCell ref="E189:F189"/>
    <mergeCell ref="G189:I189"/>
    <mergeCell ref="N189:O189"/>
    <mergeCell ref="P189:R189"/>
    <mergeCell ref="T189:U189"/>
    <mergeCell ref="Y191:Z191"/>
    <mergeCell ref="AE191:AF191"/>
    <mergeCell ref="B204:D204"/>
    <mergeCell ref="E204:F204"/>
    <mergeCell ref="G204:I204"/>
    <mergeCell ref="N204:O204"/>
    <mergeCell ref="P204:R204"/>
    <mergeCell ref="T204:U204"/>
    <mergeCell ref="Y204:Z204"/>
    <mergeCell ref="AE204:AF204"/>
    <mergeCell ref="E192:F192"/>
    <mergeCell ref="G192:I192"/>
    <mergeCell ref="N192:O192"/>
    <mergeCell ref="P192:R192"/>
    <mergeCell ref="T192:U192"/>
    <mergeCell ref="Y192:Z192"/>
    <mergeCell ref="AE192:AF192"/>
    <mergeCell ref="B192:D192"/>
    <mergeCell ref="B193:D193"/>
    <mergeCell ref="E193:F193"/>
    <mergeCell ref="G193:I193"/>
    <mergeCell ref="N193:O193"/>
    <mergeCell ref="P193:R193"/>
    <mergeCell ref="T193:U193"/>
    <mergeCell ref="Y193:Z193"/>
    <mergeCell ref="Y194:Z194"/>
    <mergeCell ref="AE193:AF193"/>
    <mergeCell ref="E194:F194"/>
    <mergeCell ref="G194:I194"/>
    <mergeCell ref="N194:O194"/>
    <mergeCell ref="P194:R194"/>
    <mergeCell ref="T194:U194"/>
    <mergeCell ref="AE194:AF194"/>
    <mergeCell ref="Y195:Z195"/>
    <mergeCell ref="AE195:AF195"/>
    <mergeCell ref="B194:D194"/>
    <mergeCell ref="B195:D195"/>
    <mergeCell ref="E195:F195"/>
    <mergeCell ref="G195:I195"/>
    <mergeCell ref="N195:O195"/>
    <mergeCell ref="P195:R195"/>
    <mergeCell ref="T195:U195"/>
    <mergeCell ref="E196:F196"/>
    <mergeCell ref="G196:I196"/>
    <mergeCell ref="N196:O196"/>
    <mergeCell ref="P196:R196"/>
    <mergeCell ref="T196:U196"/>
    <mergeCell ref="Y196:Z196"/>
    <mergeCell ref="AE196:AF196"/>
    <mergeCell ref="B196:D196"/>
    <mergeCell ref="B197:D197"/>
    <mergeCell ref="E197:F197"/>
    <mergeCell ref="G197:I197"/>
    <mergeCell ref="N197:O197"/>
    <mergeCell ref="P197:R197"/>
    <mergeCell ref="T197:U197"/>
    <mergeCell ref="Y197:Z197"/>
    <mergeCell ref="Y198:Z198"/>
    <mergeCell ref="AE197:AF197"/>
    <mergeCell ref="E198:F198"/>
    <mergeCell ref="G198:I198"/>
    <mergeCell ref="N198:O198"/>
    <mergeCell ref="P198:R198"/>
    <mergeCell ref="T198:U198"/>
    <mergeCell ref="AE198:AF198"/>
    <mergeCell ref="Y199:Z199"/>
    <mergeCell ref="AE199:AF199"/>
    <mergeCell ref="B198:D198"/>
    <mergeCell ref="B199:D199"/>
    <mergeCell ref="E199:F199"/>
    <mergeCell ref="G199:I199"/>
    <mergeCell ref="N199:O199"/>
    <mergeCell ref="P199:R199"/>
    <mergeCell ref="T199:U199"/>
    <mergeCell ref="Y201:Z201"/>
    <mergeCell ref="Y202:Z202"/>
    <mergeCell ref="AE201:AF201"/>
    <mergeCell ref="E202:F202"/>
    <mergeCell ref="G202:I202"/>
    <mergeCell ref="N202:O202"/>
    <mergeCell ref="P202:R202"/>
    <mergeCell ref="T202:U202"/>
    <mergeCell ref="AE202:AF202"/>
    <mergeCell ref="T90:U90"/>
    <mergeCell ref="Y90:Z90"/>
    <mergeCell ref="Y87:Z87"/>
    <mergeCell ref="AE87:AF87"/>
    <mergeCell ref="E90:F90"/>
    <mergeCell ref="G90:I90"/>
    <mergeCell ref="N90:O90"/>
    <mergeCell ref="P90:R90"/>
    <mergeCell ref="AE90:AF90"/>
    <mergeCell ref="E20:F20"/>
    <mergeCell ref="G20:I20"/>
    <mergeCell ref="N20:O20"/>
    <mergeCell ref="P20:R20"/>
    <mergeCell ref="T20:U20"/>
    <mergeCell ref="Y20:Z20"/>
    <mergeCell ref="AE20:AF20"/>
    <mergeCell ref="B20:D20"/>
    <mergeCell ref="B21:D21"/>
    <mergeCell ref="E21:F21"/>
    <mergeCell ref="G21:I21"/>
    <mergeCell ref="N21:O21"/>
    <mergeCell ref="P21:R21"/>
    <mergeCell ref="T21:U21"/>
    <mergeCell ref="E22:F22"/>
    <mergeCell ref="G22:I22"/>
    <mergeCell ref="N22:O22"/>
    <mergeCell ref="P22:R22"/>
    <mergeCell ref="T22:U22"/>
    <mergeCell ref="Y22:Z22"/>
    <mergeCell ref="AE22:AF22"/>
    <mergeCell ref="Y23:Z23"/>
    <mergeCell ref="AE23:AF23"/>
    <mergeCell ref="B22:D22"/>
    <mergeCell ref="B23:D23"/>
    <mergeCell ref="E23:F23"/>
    <mergeCell ref="G23:I23"/>
    <mergeCell ref="N23:O23"/>
    <mergeCell ref="P23:R23"/>
    <mergeCell ref="T23:U23"/>
    <mergeCell ref="Y25:Z25"/>
    <mergeCell ref="AE25:AF25"/>
    <mergeCell ref="Y101:Z101"/>
    <mergeCell ref="AE101:AF101"/>
    <mergeCell ref="E92:F92"/>
    <mergeCell ref="G92:I92"/>
    <mergeCell ref="N92:O92"/>
    <mergeCell ref="P92:R92"/>
    <mergeCell ref="T92:U92"/>
    <mergeCell ref="Y92:Z92"/>
    <mergeCell ref="AE92:AF92"/>
    <mergeCell ref="B92:D92"/>
    <mergeCell ref="B93:D93"/>
    <mergeCell ref="E93:F93"/>
    <mergeCell ref="G93:I93"/>
    <mergeCell ref="N93:O93"/>
    <mergeCell ref="P93:R93"/>
    <mergeCell ref="T93:U93"/>
    <mergeCell ref="Y93:Z93"/>
    <mergeCell ref="Y94:Z94"/>
    <mergeCell ref="AE93:AF93"/>
    <mergeCell ref="E94:F94"/>
    <mergeCell ref="G94:I94"/>
    <mergeCell ref="N94:O94"/>
    <mergeCell ref="P94:R94"/>
    <mergeCell ref="T94:U94"/>
    <mergeCell ref="AE94:AF94"/>
    <mergeCell ref="Y95:Z95"/>
    <mergeCell ref="AE95:AF95"/>
    <mergeCell ref="B94:D94"/>
    <mergeCell ref="B95:D95"/>
    <mergeCell ref="E95:F95"/>
    <mergeCell ref="G95:I95"/>
    <mergeCell ref="N95:O95"/>
    <mergeCell ref="P95:R95"/>
    <mergeCell ref="T95:U95"/>
    <mergeCell ref="E96:F96"/>
    <mergeCell ref="G96:I96"/>
    <mergeCell ref="N96:O96"/>
    <mergeCell ref="P96:R96"/>
    <mergeCell ref="T96:U96"/>
    <mergeCell ref="Y96:Z96"/>
    <mergeCell ref="AE96:AF96"/>
    <mergeCell ref="B96:D96"/>
    <mergeCell ref="B97:D97"/>
    <mergeCell ref="E97:F97"/>
    <mergeCell ref="G97:I97"/>
    <mergeCell ref="N97:O97"/>
    <mergeCell ref="P97:R97"/>
    <mergeCell ref="T97:U97"/>
    <mergeCell ref="Y97:Z97"/>
    <mergeCell ref="Y98:Z98"/>
    <mergeCell ref="AE97:AF97"/>
    <mergeCell ref="E98:F98"/>
    <mergeCell ref="G98:I98"/>
    <mergeCell ref="N98:O98"/>
    <mergeCell ref="P98:R98"/>
    <mergeCell ref="T98:U98"/>
    <mergeCell ref="AE98:AF98"/>
    <mergeCell ref="Y99:Z99"/>
    <mergeCell ref="AE99:AF99"/>
    <mergeCell ref="B98:D98"/>
    <mergeCell ref="B99:D99"/>
    <mergeCell ref="E99:F99"/>
    <mergeCell ref="G99:I99"/>
    <mergeCell ref="N99:O99"/>
    <mergeCell ref="P99:R99"/>
    <mergeCell ref="T99:U99"/>
    <mergeCell ref="E104:F104"/>
    <mergeCell ref="G104:I104"/>
    <mergeCell ref="N104:O104"/>
    <mergeCell ref="P104:R104"/>
    <mergeCell ref="T104:U104"/>
    <mergeCell ref="Y104:Z104"/>
    <mergeCell ref="AE104:AF104"/>
    <mergeCell ref="B104:D104"/>
    <mergeCell ref="B105:D105"/>
    <mergeCell ref="E105:F105"/>
    <mergeCell ref="G105:I105"/>
    <mergeCell ref="N105:O105"/>
    <mergeCell ref="P105:R105"/>
    <mergeCell ref="T105:U105"/>
    <mergeCell ref="E106:F106"/>
    <mergeCell ref="G106:I106"/>
    <mergeCell ref="N106:O106"/>
    <mergeCell ref="P106:R106"/>
    <mergeCell ref="T106:U106"/>
    <mergeCell ref="Y106:Z106"/>
    <mergeCell ref="AE106:AF106"/>
    <mergeCell ref="B106:D106"/>
    <mergeCell ref="B107:D107"/>
    <mergeCell ref="E107:F107"/>
    <mergeCell ref="G107:I107"/>
    <mergeCell ref="N107:O107"/>
    <mergeCell ref="P107:R107"/>
    <mergeCell ref="T107:U107"/>
    <mergeCell ref="Y107:Z107"/>
    <mergeCell ref="Y108:Z108"/>
    <mergeCell ref="AE107:AF107"/>
    <mergeCell ref="E108:F108"/>
    <mergeCell ref="G108:I108"/>
    <mergeCell ref="N108:O108"/>
    <mergeCell ref="P108:R108"/>
    <mergeCell ref="T108:U108"/>
    <mergeCell ref="AE108:AF108"/>
    <mergeCell ref="Y109:Z109"/>
    <mergeCell ref="AE109:AF109"/>
    <mergeCell ref="B108:D108"/>
    <mergeCell ref="B109:D109"/>
    <mergeCell ref="E109:F109"/>
    <mergeCell ref="G109:I109"/>
    <mergeCell ref="N109:O109"/>
    <mergeCell ref="P109:R109"/>
    <mergeCell ref="T109:U109"/>
    <mergeCell ref="E110:F110"/>
    <mergeCell ref="G110:I110"/>
    <mergeCell ref="N110:O110"/>
    <mergeCell ref="P110:R110"/>
    <mergeCell ref="T110:U110"/>
    <mergeCell ref="Y110:Z110"/>
    <mergeCell ref="AE110:AF110"/>
    <mergeCell ref="B110:D110"/>
    <mergeCell ref="B111:D111"/>
    <mergeCell ref="E111:F111"/>
    <mergeCell ref="G111:I111"/>
    <mergeCell ref="N111:O111"/>
    <mergeCell ref="P111:R111"/>
    <mergeCell ref="T111:U111"/>
    <mergeCell ref="Y111:Z111"/>
    <mergeCell ref="Y112:Z112"/>
    <mergeCell ref="AE111:AF111"/>
    <mergeCell ref="E112:F112"/>
    <mergeCell ref="G112:I112"/>
    <mergeCell ref="N112:O112"/>
    <mergeCell ref="P112:R112"/>
    <mergeCell ref="T112:U112"/>
    <mergeCell ref="AE112:AF112"/>
    <mergeCell ref="Y113:Z113"/>
    <mergeCell ref="AE113:AF113"/>
    <mergeCell ref="B112:D112"/>
    <mergeCell ref="B113:D113"/>
    <mergeCell ref="E113:F113"/>
    <mergeCell ref="G113:I113"/>
    <mergeCell ref="N113:O113"/>
    <mergeCell ref="P113:R113"/>
    <mergeCell ref="T113:U113"/>
    <mergeCell ref="Y115:Z115"/>
    <mergeCell ref="Y116:Z116"/>
    <mergeCell ref="AE115:AF115"/>
    <mergeCell ref="E116:F116"/>
    <mergeCell ref="G116:I116"/>
    <mergeCell ref="N116:O116"/>
    <mergeCell ref="P116:R116"/>
    <mergeCell ref="T116:U116"/>
    <mergeCell ref="AE116:AF116"/>
    <mergeCell ref="E114:F114"/>
    <mergeCell ref="G114:I114"/>
    <mergeCell ref="N114:O114"/>
    <mergeCell ref="P114:R114"/>
    <mergeCell ref="T114:U114"/>
    <mergeCell ref="Y114:Z114"/>
    <mergeCell ref="AE114:AF114"/>
    <mergeCell ref="B114:D114"/>
    <mergeCell ref="B115:D115"/>
    <mergeCell ref="E115:F115"/>
    <mergeCell ref="G115:I115"/>
    <mergeCell ref="N115:O115"/>
    <mergeCell ref="P115:R115"/>
    <mergeCell ref="T115:U115"/>
    <mergeCell ref="Y117:Z117"/>
    <mergeCell ref="AE117:AF117"/>
    <mergeCell ref="B116:D116"/>
    <mergeCell ref="B117:D117"/>
    <mergeCell ref="E117:F117"/>
    <mergeCell ref="G117:I117"/>
    <mergeCell ref="N117:O117"/>
    <mergeCell ref="P117:R117"/>
    <mergeCell ref="T117:U117"/>
    <mergeCell ref="E118:F118"/>
    <mergeCell ref="G118:I118"/>
    <mergeCell ref="N118:O118"/>
    <mergeCell ref="P118:R118"/>
    <mergeCell ref="T118:U118"/>
    <mergeCell ref="Y118:Z118"/>
    <mergeCell ref="AE118:AF118"/>
    <mergeCell ref="B118:D118"/>
    <mergeCell ref="B119:D119"/>
    <mergeCell ref="E119:F119"/>
    <mergeCell ref="G119:I119"/>
    <mergeCell ref="N119:O119"/>
    <mergeCell ref="P119:R119"/>
    <mergeCell ref="T119:U119"/>
    <mergeCell ref="Y119:Z119"/>
    <mergeCell ref="Y120:Z120"/>
    <mergeCell ref="AE119:AF119"/>
    <mergeCell ref="E120:F120"/>
    <mergeCell ref="G120:I120"/>
    <mergeCell ref="N120:O120"/>
    <mergeCell ref="P120:R120"/>
    <mergeCell ref="T120:U120"/>
    <mergeCell ref="AE120:AF120"/>
    <mergeCell ref="Y121:Z121"/>
    <mergeCell ref="AE121:AF121"/>
    <mergeCell ref="B120:D120"/>
    <mergeCell ref="B121:D121"/>
    <mergeCell ref="E121:F121"/>
    <mergeCell ref="G121:I121"/>
    <mergeCell ref="N121:O121"/>
    <mergeCell ref="P121:R121"/>
    <mergeCell ref="T121:U121"/>
    <mergeCell ref="E122:F122"/>
    <mergeCell ref="G122:I122"/>
    <mergeCell ref="N122:O122"/>
    <mergeCell ref="P122:R122"/>
    <mergeCell ref="T122:U122"/>
    <mergeCell ref="Y122:Z122"/>
    <mergeCell ref="AE122:AF122"/>
    <mergeCell ref="B122:D122"/>
    <mergeCell ref="B123:D123"/>
    <mergeCell ref="E123:F123"/>
    <mergeCell ref="G123:I123"/>
    <mergeCell ref="N123:O123"/>
    <mergeCell ref="P123:R123"/>
    <mergeCell ref="T123:U123"/>
    <mergeCell ref="Y123:Z123"/>
    <mergeCell ref="Y124:Z124"/>
    <mergeCell ref="AE123:AF123"/>
    <mergeCell ref="E124:F124"/>
    <mergeCell ref="G124:I124"/>
    <mergeCell ref="N124:O124"/>
    <mergeCell ref="P124:R124"/>
    <mergeCell ref="T124:U124"/>
    <mergeCell ref="AE124:AF124"/>
    <mergeCell ref="Y125:Z125"/>
    <mergeCell ref="AE125:AF125"/>
    <mergeCell ref="B124:D124"/>
    <mergeCell ref="B125:D125"/>
    <mergeCell ref="E125:F125"/>
    <mergeCell ref="G125:I125"/>
    <mergeCell ref="N125:O125"/>
    <mergeCell ref="P125:R125"/>
    <mergeCell ref="T125:U125"/>
    <mergeCell ref="E126:F126"/>
    <mergeCell ref="G126:I126"/>
    <mergeCell ref="N126:O126"/>
    <mergeCell ref="P126:R126"/>
    <mergeCell ref="T126:U126"/>
    <mergeCell ref="Y126:Z126"/>
    <mergeCell ref="AE126:AF126"/>
    <mergeCell ref="B126:D126"/>
    <mergeCell ref="B127:D127"/>
    <mergeCell ref="E127:F127"/>
    <mergeCell ref="G127:I127"/>
    <mergeCell ref="N127:O127"/>
    <mergeCell ref="P127:R127"/>
    <mergeCell ref="T127:U127"/>
    <mergeCell ref="Y127:Z127"/>
    <mergeCell ref="Y128:Z128"/>
    <mergeCell ref="AE127:AF127"/>
    <mergeCell ref="E128:F128"/>
    <mergeCell ref="G128:I128"/>
    <mergeCell ref="N128:O128"/>
    <mergeCell ref="P128:R128"/>
    <mergeCell ref="T128:U128"/>
    <mergeCell ref="AE128:AF128"/>
    <mergeCell ref="Y129:Z129"/>
    <mergeCell ref="AE129:AF129"/>
    <mergeCell ref="B128:D128"/>
    <mergeCell ref="B129:D129"/>
    <mergeCell ref="E129:F129"/>
    <mergeCell ref="G129:I129"/>
    <mergeCell ref="N129:O129"/>
    <mergeCell ref="P129:R129"/>
    <mergeCell ref="T129:U129"/>
    <mergeCell ref="E130:F130"/>
    <mergeCell ref="G130:I130"/>
    <mergeCell ref="N130:O130"/>
    <mergeCell ref="P130:R130"/>
    <mergeCell ref="T130:U130"/>
    <mergeCell ref="Y130:Z130"/>
    <mergeCell ref="AE130:AF130"/>
    <mergeCell ref="B130:D130"/>
    <mergeCell ref="B131:D131"/>
    <mergeCell ref="E131:F131"/>
    <mergeCell ref="G131:I131"/>
    <mergeCell ref="N131:O131"/>
    <mergeCell ref="P131:R131"/>
    <mergeCell ref="T131:U131"/>
    <mergeCell ref="Y131:Z131"/>
    <mergeCell ref="Y132:Z132"/>
    <mergeCell ref="AE131:AF131"/>
    <mergeCell ref="E132:F132"/>
    <mergeCell ref="G132:I132"/>
    <mergeCell ref="N132:O132"/>
    <mergeCell ref="P132:R132"/>
    <mergeCell ref="T132:U132"/>
    <mergeCell ref="AE132:AF132"/>
    <mergeCell ref="Y133:Z133"/>
    <mergeCell ref="AE133:AF133"/>
    <mergeCell ref="B132:D132"/>
    <mergeCell ref="B133:D133"/>
    <mergeCell ref="E133:F133"/>
    <mergeCell ref="G133:I133"/>
    <mergeCell ref="N133:O133"/>
    <mergeCell ref="P133:R133"/>
    <mergeCell ref="T133:U133"/>
    <mergeCell ref="E134:F134"/>
    <mergeCell ref="G134:I134"/>
    <mergeCell ref="N134:O134"/>
    <mergeCell ref="P134:R134"/>
    <mergeCell ref="T134:U134"/>
    <mergeCell ref="Y134:Z134"/>
    <mergeCell ref="AE134:AF134"/>
    <mergeCell ref="B134:D134"/>
    <mergeCell ref="B135:D135"/>
    <mergeCell ref="E135:F135"/>
    <mergeCell ref="G135:I135"/>
    <mergeCell ref="N135:O135"/>
    <mergeCell ref="P135:R135"/>
    <mergeCell ref="T135:U135"/>
    <mergeCell ref="Y135:Z135"/>
    <mergeCell ref="Y136:Z136"/>
    <mergeCell ref="AE135:AF135"/>
    <mergeCell ref="E136:F136"/>
    <mergeCell ref="G136:I136"/>
    <mergeCell ref="N136:O136"/>
    <mergeCell ref="P136:R136"/>
    <mergeCell ref="T136:U136"/>
    <mergeCell ref="AE136:AF136"/>
    <mergeCell ref="Y137:Z137"/>
    <mergeCell ref="AE137:AF137"/>
    <mergeCell ref="B136:D136"/>
    <mergeCell ref="B137:D137"/>
    <mergeCell ref="E137:F137"/>
    <mergeCell ref="G137:I137"/>
    <mergeCell ref="N137:O137"/>
    <mergeCell ref="P137:R137"/>
    <mergeCell ref="T137:U137"/>
    <mergeCell ref="E138:F138"/>
    <mergeCell ref="G138:I138"/>
    <mergeCell ref="N138:O138"/>
    <mergeCell ref="P138:R138"/>
    <mergeCell ref="T138:U138"/>
    <mergeCell ref="Y138:Z138"/>
    <mergeCell ref="AE138:AF138"/>
    <mergeCell ref="B138:D138"/>
    <mergeCell ref="B139:D139"/>
    <mergeCell ref="E139:F139"/>
    <mergeCell ref="G139:I139"/>
    <mergeCell ref="N139:O139"/>
    <mergeCell ref="P139:R139"/>
    <mergeCell ref="T139:U139"/>
    <mergeCell ref="Y139:Z139"/>
    <mergeCell ref="Y140:Z140"/>
    <mergeCell ref="AE139:AF139"/>
    <mergeCell ref="E140:F140"/>
    <mergeCell ref="G140:I140"/>
    <mergeCell ref="N140:O140"/>
    <mergeCell ref="P140:R140"/>
    <mergeCell ref="T140:U140"/>
    <mergeCell ref="AE140:AF140"/>
    <mergeCell ref="Y141:Z141"/>
    <mergeCell ref="AE141:AF141"/>
    <mergeCell ref="B140:D140"/>
    <mergeCell ref="B141:D141"/>
    <mergeCell ref="E141:F141"/>
    <mergeCell ref="G141:I141"/>
    <mergeCell ref="N141:O141"/>
    <mergeCell ref="P141:R141"/>
    <mergeCell ref="T141:U141"/>
    <mergeCell ref="Y143:Z143"/>
    <mergeCell ref="Y144:Z144"/>
    <mergeCell ref="AE143:AF143"/>
    <mergeCell ref="E144:F144"/>
    <mergeCell ref="G144:I144"/>
    <mergeCell ref="N144:O144"/>
    <mergeCell ref="P144:R144"/>
    <mergeCell ref="T144:U144"/>
    <mergeCell ref="AE144:AF144"/>
    <mergeCell ref="E142:F142"/>
    <mergeCell ref="G142:I142"/>
    <mergeCell ref="N142:O142"/>
    <mergeCell ref="P142:R142"/>
    <mergeCell ref="T142:U142"/>
    <mergeCell ref="Y142:Z142"/>
    <mergeCell ref="AE142:AF142"/>
    <mergeCell ref="B142:D142"/>
    <mergeCell ref="B143:D143"/>
    <mergeCell ref="E143:F143"/>
    <mergeCell ref="G143:I143"/>
    <mergeCell ref="N143:O143"/>
    <mergeCell ref="P143:R143"/>
    <mergeCell ref="T143:U143"/>
    <mergeCell ref="Y145:Z145"/>
    <mergeCell ref="AE145:AF145"/>
    <mergeCell ref="B144:D144"/>
    <mergeCell ref="B145:D145"/>
    <mergeCell ref="E145:F145"/>
    <mergeCell ref="G145:I145"/>
    <mergeCell ref="N145:O145"/>
    <mergeCell ref="P145:R145"/>
    <mergeCell ref="T145:U145"/>
    <mergeCell ref="E146:F146"/>
    <mergeCell ref="G146:I146"/>
    <mergeCell ref="N146:O146"/>
    <mergeCell ref="P146:R146"/>
    <mergeCell ref="T146:U146"/>
    <mergeCell ref="Y146:Z146"/>
    <mergeCell ref="AE146:AF146"/>
    <mergeCell ref="B146:D146"/>
    <mergeCell ref="B147:D147"/>
    <mergeCell ref="E147:F147"/>
    <mergeCell ref="G147:I147"/>
    <mergeCell ref="N147:O147"/>
    <mergeCell ref="P147:R147"/>
    <mergeCell ref="T147:U147"/>
    <mergeCell ref="Y147:Z147"/>
    <mergeCell ref="Y148:Z148"/>
    <mergeCell ref="AE147:AF147"/>
    <mergeCell ref="E148:F148"/>
    <mergeCell ref="G148:I148"/>
    <mergeCell ref="N148:O148"/>
    <mergeCell ref="P148:R148"/>
    <mergeCell ref="T148:U148"/>
    <mergeCell ref="AE148:AF148"/>
    <mergeCell ref="Y149:Z149"/>
    <mergeCell ref="AE149:AF149"/>
    <mergeCell ref="B148:D148"/>
    <mergeCell ref="B149:D149"/>
    <mergeCell ref="E149:F149"/>
    <mergeCell ref="G149:I149"/>
    <mergeCell ref="N149:O149"/>
    <mergeCell ref="P149:R149"/>
    <mergeCell ref="T149:U149"/>
    <mergeCell ref="E150:F150"/>
    <mergeCell ref="G150:I150"/>
    <mergeCell ref="N150:O150"/>
    <mergeCell ref="P150:R150"/>
    <mergeCell ref="T150:U150"/>
    <mergeCell ref="Y150:Z150"/>
    <mergeCell ref="AE150:AF150"/>
    <mergeCell ref="B150:D150"/>
    <mergeCell ref="B151:D151"/>
    <mergeCell ref="E151:F151"/>
    <mergeCell ref="G151:I151"/>
    <mergeCell ref="N151:O151"/>
    <mergeCell ref="P151:R151"/>
    <mergeCell ref="T151:U151"/>
    <mergeCell ref="Y151:Z151"/>
    <mergeCell ref="Y152:Z152"/>
    <mergeCell ref="AE151:AF151"/>
    <mergeCell ref="E152:F152"/>
    <mergeCell ref="G152:I152"/>
    <mergeCell ref="N152:O152"/>
    <mergeCell ref="P152:R152"/>
    <mergeCell ref="T152:U152"/>
    <mergeCell ref="AE152:AF152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3" width="36.5"/>
    <col customWidth="1" min="4" max="4" width="10.5"/>
    <col customWidth="1" min="5" max="5" width="15.25"/>
    <col customWidth="1" min="6" max="6" width="11.0"/>
    <col customWidth="1" min="7" max="7" width="28.38"/>
    <col customWidth="1" min="8" max="8" width="8.5"/>
    <col customWidth="1" min="9" max="10" width="10.0"/>
    <col customWidth="1" min="11" max="12" width="10.88"/>
    <col customWidth="1" min="13" max="13" width="14.63"/>
    <col customWidth="1" min="14" max="14" width="23.88"/>
    <col customWidth="1" min="15" max="15" width="12.75"/>
    <col customWidth="1" min="16" max="16" width="10.0"/>
    <col customWidth="1" min="17" max="17" width="13.63"/>
  </cols>
  <sheetData>
    <row r="1" ht="12.75" customHeight="1">
      <c r="A1" s="11" t="s">
        <v>9</v>
      </c>
      <c r="B1" s="22"/>
      <c r="C1" s="22"/>
      <c r="D1" s="11" t="s">
        <v>15</v>
      </c>
      <c r="F1" s="23" t="s">
        <v>16</v>
      </c>
      <c r="G1" s="22" t="s">
        <v>17</v>
      </c>
      <c r="H1" s="24" t="s">
        <v>19</v>
      </c>
      <c r="I1" s="25" t="s">
        <v>20</v>
      </c>
      <c r="J1" s="25"/>
      <c r="K1" s="25" t="s">
        <v>21</v>
      </c>
      <c r="L1" s="22"/>
      <c r="M1" s="22" t="s">
        <v>23</v>
      </c>
      <c r="N1" s="26" t="s">
        <v>592</v>
      </c>
      <c r="O1" s="25" t="s">
        <v>25</v>
      </c>
      <c r="P1" s="25" t="s">
        <v>26</v>
      </c>
      <c r="Q1" s="27" t="s">
        <v>27</v>
      </c>
    </row>
    <row r="2" ht="12.75" customHeight="1">
      <c r="A2" s="19" t="s">
        <v>31</v>
      </c>
      <c r="B2" s="21" t="s">
        <v>34</v>
      </c>
      <c r="C2" s="21" t="str">
        <f t="shared" ref="C2:C183" si="1">MID(B2, FIND("-SU-", B2) + 4, LEN(B2))</f>
        <v>JASON R HOFFMANN</v>
      </c>
      <c r="E2" s="28" t="str">
        <f t="shared" ref="E2:E7" si="2">IF(D2&gt;1,"[PMPM="&amp;D2&amp;"]","")</f>
        <v/>
      </c>
      <c r="F2" s="29">
        <v>8.6208481E8</v>
      </c>
      <c r="G2" s="21" t="s">
        <v>38</v>
      </c>
      <c r="H2" s="30">
        <v>142.41</v>
      </c>
      <c r="I2" s="21" t="s">
        <v>41</v>
      </c>
      <c r="J2" s="21" t="str">
        <f t="shared" ref="J2:J183" si="3">TEXT(DATE(LEFT(I2,4), MID(I2,5,2), RIGHT(I2,2)), "M/d/yyyy") </f>
        <v>3/1/2026</v>
      </c>
      <c r="K2" s="21" t="s">
        <v>42</v>
      </c>
      <c r="L2" s="21" t="str">
        <f t="shared" ref="L2:L183" si="4">TEXT(DATE(LEFT(K2,4), MID(K2,5,2), RIGHT(K2,2)), "M/d/yyyy") </f>
        <v>8/1/2025</v>
      </c>
      <c r="M2" s="21" t="s">
        <v>44</v>
      </c>
      <c r="N2" s="31" t="s">
        <v>593</v>
      </c>
      <c r="O2" s="21" t="s">
        <v>46</v>
      </c>
      <c r="P2" s="21" t="s">
        <v>47</v>
      </c>
      <c r="Q2" s="30">
        <v>28.48</v>
      </c>
    </row>
    <row r="3" ht="16.5" customHeight="1">
      <c r="A3" s="19" t="s">
        <v>31</v>
      </c>
      <c r="B3" s="21" t="s">
        <v>52</v>
      </c>
      <c r="C3" s="21" t="str">
        <f t="shared" si="1"/>
        <v>GREGORY K TEIPEL</v>
      </c>
      <c r="E3" s="28" t="str">
        <f t="shared" si="2"/>
        <v/>
      </c>
      <c r="F3" s="29">
        <v>8.62092028E8</v>
      </c>
      <c r="G3" s="21" t="s">
        <v>54</v>
      </c>
      <c r="H3" s="30">
        <v>169.53</v>
      </c>
      <c r="I3" s="21" t="s">
        <v>41</v>
      </c>
      <c r="J3" s="21" t="str">
        <f t="shared" si="3"/>
        <v>3/1/2026</v>
      </c>
      <c r="K3" s="21" t="s">
        <v>56</v>
      </c>
      <c r="L3" s="21" t="str">
        <f t="shared" si="4"/>
        <v>1/1/2026</v>
      </c>
      <c r="M3" s="21" t="s">
        <v>44</v>
      </c>
      <c r="N3" s="31" t="s">
        <v>593</v>
      </c>
      <c r="O3" s="21" t="s">
        <v>46</v>
      </c>
      <c r="P3" s="21" t="s">
        <v>47</v>
      </c>
      <c r="Q3" s="30">
        <v>33.91</v>
      </c>
    </row>
    <row r="4" ht="16.5" customHeight="1">
      <c r="A4" s="19" t="s">
        <v>31</v>
      </c>
      <c r="B4" s="21" t="s">
        <v>52</v>
      </c>
      <c r="C4" s="21" t="str">
        <f t="shared" si="1"/>
        <v>GREGORY K TEIPEL</v>
      </c>
      <c r="E4" s="28" t="str">
        <f t="shared" si="2"/>
        <v/>
      </c>
      <c r="F4" s="29">
        <v>8.62092052E8</v>
      </c>
      <c r="G4" s="21" t="s">
        <v>61</v>
      </c>
      <c r="H4" s="30">
        <v>143.87</v>
      </c>
      <c r="I4" s="21" t="s">
        <v>41</v>
      </c>
      <c r="J4" s="21" t="str">
        <f t="shared" si="3"/>
        <v>3/1/2026</v>
      </c>
      <c r="K4" s="21" t="s">
        <v>56</v>
      </c>
      <c r="L4" s="21" t="str">
        <f t="shared" si="4"/>
        <v>1/1/2026</v>
      </c>
      <c r="M4" s="21" t="s">
        <v>44</v>
      </c>
      <c r="N4" s="31" t="s">
        <v>593</v>
      </c>
      <c r="O4" s="21" t="s">
        <v>46</v>
      </c>
      <c r="P4" s="21" t="s">
        <v>47</v>
      </c>
      <c r="Q4" s="30">
        <v>28.77</v>
      </c>
    </row>
    <row r="5" ht="16.5" customHeight="1">
      <c r="A5" s="19" t="s">
        <v>31</v>
      </c>
      <c r="B5" s="21" t="s">
        <v>52</v>
      </c>
      <c r="C5" s="21" t="str">
        <f t="shared" si="1"/>
        <v>GREGORY K TEIPEL</v>
      </c>
      <c r="D5" s="21" t="s">
        <v>66</v>
      </c>
      <c r="E5" s="28" t="str">
        <f t="shared" si="2"/>
        <v>[PMPM=3]</v>
      </c>
      <c r="F5" s="29">
        <v>9.24461173E8</v>
      </c>
      <c r="G5" s="21" t="s">
        <v>68</v>
      </c>
      <c r="H5" s="32">
        <v>1.0</v>
      </c>
      <c r="I5" s="21" t="s">
        <v>69</v>
      </c>
      <c r="J5" s="21" t="str">
        <f t="shared" si="3"/>
        <v>4/1/2026</v>
      </c>
      <c r="K5" s="21" t="s">
        <v>70</v>
      </c>
      <c r="L5" s="21" t="str">
        <f t="shared" si="4"/>
        <v>1/1/2022</v>
      </c>
      <c r="M5" s="21" t="s">
        <v>72</v>
      </c>
      <c r="N5" s="31" t="s">
        <v>594</v>
      </c>
      <c r="O5" s="21" t="s">
        <v>73</v>
      </c>
      <c r="P5" s="21" t="s">
        <v>74</v>
      </c>
      <c r="Q5" s="30">
        <v>75.0</v>
      </c>
    </row>
    <row r="6" ht="16.5" customHeight="1">
      <c r="A6" s="19" t="s">
        <v>31</v>
      </c>
      <c r="B6" s="21" t="s">
        <v>52</v>
      </c>
      <c r="C6" s="21" t="str">
        <f t="shared" si="1"/>
        <v>GREGORY K TEIPEL</v>
      </c>
      <c r="D6" s="21" t="s">
        <v>77</v>
      </c>
      <c r="E6" s="28" t="str">
        <f t="shared" si="2"/>
        <v>[PMPM=2]</v>
      </c>
      <c r="F6" s="29">
        <v>9.24519406E8</v>
      </c>
      <c r="G6" s="21" t="s">
        <v>79</v>
      </c>
      <c r="H6" s="32">
        <v>1.0</v>
      </c>
      <c r="I6" s="21" t="s">
        <v>69</v>
      </c>
      <c r="J6" s="21" t="str">
        <f t="shared" si="3"/>
        <v>4/1/2026</v>
      </c>
      <c r="K6" s="21" t="s">
        <v>80</v>
      </c>
      <c r="L6" s="21" t="str">
        <f t="shared" si="4"/>
        <v>1/1/2023</v>
      </c>
      <c r="M6" s="21" t="s">
        <v>72</v>
      </c>
      <c r="N6" s="31" t="s">
        <v>594</v>
      </c>
      <c r="O6" s="21" t="s">
        <v>73</v>
      </c>
      <c r="P6" s="21" t="s">
        <v>74</v>
      </c>
      <c r="Q6" s="30">
        <v>50.0</v>
      </c>
    </row>
    <row r="7" ht="16.5" customHeight="1">
      <c r="A7" s="19" t="s">
        <v>31</v>
      </c>
      <c r="B7" s="21" t="s">
        <v>52</v>
      </c>
      <c r="C7" s="21" t="str">
        <f t="shared" si="1"/>
        <v>GREGORY K TEIPEL</v>
      </c>
      <c r="D7" s="21" t="s">
        <v>77</v>
      </c>
      <c r="E7" s="28" t="str">
        <f t="shared" si="2"/>
        <v>[PMPM=2]</v>
      </c>
      <c r="F7" s="29">
        <v>9.24992747E8</v>
      </c>
      <c r="G7" s="21" t="s">
        <v>84</v>
      </c>
      <c r="H7" s="32">
        <v>1.0</v>
      </c>
      <c r="I7" s="21" t="s">
        <v>69</v>
      </c>
      <c r="J7" s="21" t="str">
        <f t="shared" si="3"/>
        <v>4/1/2026</v>
      </c>
      <c r="K7" s="21" t="s">
        <v>85</v>
      </c>
      <c r="L7" s="21" t="str">
        <f t="shared" si="4"/>
        <v>4/1/2023</v>
      </c>
      <c r="M7" s="21" t="s">
        <v>72</v>
      </c>
      <c r="N7" s="31" t="s">
        <v>594</v>
      </c>
      <c r="O7" s="21" t="s">
        <v>73</v>
      </c>
      <c r="P7" s="21" t="s">
        <v>74</v>
      </c>
      <c r="Q7" s="30">
        <v>50.0</v>
      </c>
    </row>
    <row r="8" ht="16.5" customHeight="1">
      <c r="A8" s="19" t="s">
        <v>31</v>
      </c>
      <c r="B8" s="21" t="s">
        <v>52</v>
      </c>
      <c r="C8" s="21" t="str">
        <f t="shared" si="1"/>
        <v>GREGORY K TEIPEL</v>
      </c>
      <c r="D8" s="21" t="s">
        <v>88</v>
      </c>
      <c r="F8" s="29">
        <v>9.25145455E8</v>
      </c>
      <c r="G8" s="21" t="s">
        <v>90</v>
      </c>
      <c r="H8" s="32">
        <v>1.0</v>
      </c>
      <c r="I8" s="21" t="s">
        <v>69</v>
      </c>
      <c r="J8" s="21" t="str">
        <f t="shared" si="3"/>
        <v>4/1/2026</v>
      </c>
      <c r="K8" s="21" t="s">
        <v>70</v>
      </c>
      <c r="L8" s="21" t="str">
        <f t="shared" si="4"/>
        <v>1/1/2022</v>
      </c>
      <c r="M8" s="21" t="s">
        <v>72</v>
      </c>
      <c r="N8" s="31" t="s">
        <v>594</v>
      </c>
      <c r="O8" s="21" t="s">
        <v>73</v>
      </c>
      <c r="P8" s="21" t="s">
        <v>74</v>
      </c>
      <c r="Q8" s="30">
        <v>25.0</v>
      </c>
    </row>
    <row r="9" ht="16.5" customHeight="1">
      <c r="A9" s="19" t="s">
        <v>31</v>
      </c>
      <c r="B9" s="21" t="s">
        <v>52</v>
      </c>
      <c r="C9" s="21" t="str">
        <f t="shared" si="1"/>
        <v>GREGORY K TEIPEL</v>
      </c>
      <c r="D9" s="21" t="s">
        <v>88</v>
      </c>
      <c r="F9" s="29">
        <v>9.25145455E8</v>
      </c>
      <c r="G9" s="21" t="s">
        <v>90</v>
      </c>
      <c r="H9" s="32">
        <v>1.0</v>
      </c>
      <c r="I9" s="21" t="s">
        <v>41</v>
      </c>
      <c r="J9" s="21" t="str">
        <f t="shared" si="3"/>
        <v>3/1/2026</v>
      </c>
      <c r="K9" s="21" t="s">
        <v>70</v>
      </c>
      <c r="L9" s="21" t="str">
        <f t="shared" si="4"/>
        <v>1/1/2022</v>
      </c>
      <c r="M9" s="21" t="s">
        <v>72</v>
      </c>
      <c r="N9" s="31" t="s">
        <v>594</v>
      </c>
      <c r="O9" s="21" t="s">
        <v>73</v>
      </c>
      <c r="P9" s="21" t="s">
        <v>74</v>
      </c>
      <c r="Q9" s="30">
        <v>25.0</v>
      </c>
    </row>
    <row r="10" ht="16.5" customHeight="1">
      <c r="A10" s="19" t="s">
        <v>31</v>
      </c>
      <c r="B10" s="21" t="s">
        <v>52</v>
      </c>
      <c r="C10" s="21" t="str">
        <f t="shared" si="1"/>
        <v>GREGORY K TEIPEL</v>
      </c>
      <c r="D10" s="21" t="s">
        <v>77</v>
      </c>
      <c r="E10" s="28" t="str">
        <f>IF(D10&gt;1,"[PMPM="&amp;D10&amp;"]","")</f>
        <v>[PMPM=2]</v>
      </c>
      <c r="F10" s="29">
        <v>9.25432854E8</v>
      </c>
      <c r="G10" s="21" t="s">
        <v>95</v>
      </c>
      <c r="H10" s="32">
        <v>1.0</v>
      </c>
      <c r="I10" s="21" t="s">
        <v>69</v>
      </c>
      <c r="J10" s="21" t="str">
        <f t="shared" si="3"/>
        <v>4/1/2026</v>
      </c>
      <c r="K10" s="21" t="s">
        <v>96</v>
      </c>
      <c r="L10" s="21" t="str">
        <f t="shared" si="4"/>
        <v>1/1/2021</v>
      </c>
      <c r="M10" s="21" t="s">
        <v>72</v>
      </c>
      <c r="N10" s="31" t="s">
        <v>594</v>
      </c>
      <c r="O10" s="21" t="s">
        <v>73</v>
      </c>
      <c r="P10" s="21" t="s">
        <v>74</v>
      </c>
      <c r="Q10" s="30">
        <v>50.0</v>
      </c>
    </row>
    <row r="11" ht="16.5" customHeight="1">
      <c r="A11" s="19" t="s">
        <v>31</v>
      </c>
      <c r="B11" s="21" t="s">
        <v>52</v>
      </c>
      <c r="C11" s="21" t="str">
        <f t="shared" si="1"/>
        <v>GREGORY K TEIPEL</v>
      </c>
      <c r="D11" s="21" t="s">
        <v>88</v>
      </c>
      <c r="F11" s="29">
        <v>9.25449446E8</v>
      </c>
      <c r="G11" s="21" t="s">
        <v>100</v>
      </c>
      <c r="H11" s="32">
        <v>1.0</v>
      </c>
      <c r="I11" s="21" t="s">
        <v>69</v>
      </c>
      <c r="J11" s="21" t="str">
        <f t="shared" si="3"/>
        <v>4/1/2026</v>
      </c>
      <c r="K11" s="21" t="s">
        <v>96</v>
      </c>
      <c r="L11" s="21" t="str">
        <f t="shared" si="4"/>
        <v>1/1/2021</v>
      </c>
      <c r="M11" s="21" t="s">
        <v>72</v>
      </c>
      <c r="N11" s="31" t="s">
        <v>594</v>
      </c>
      <c r="O11" s="21" t="s">
        <v>73</v>
      </c>
      <c r="P11" s="21" t="s">
        <v>74</v>
      </c>
      <c r="Q11" s="30">
        <v>25.0</v>
      </c>
    </row>
    <row r="12" ht="16.5" customHeight="1">
      <c r="A12" s="19" t="s">
        <v>31</v>
      </c>
      <c r="B12" s="21" t="s">
        <v>52</v>
      </c>
      <c r="C12" s="21" t="str">
        <f t="shared" si="1"/>
        <v>GREGORY K TEIPEL</v>
      </c>
      <c r="D12" s="21" t="s">
        <v>88</v>
      </c>
      <c r="F12" s="29">
        <v>9.25590704E8</v>
      </c>
      <c r="G12" s="21" t="s">
        <v>102</v>
      </c>
      <c r="H12" s="32">
        <v>1.0</v>
      </c>
      <c r="I12" s="21" t="s">
        <v>69</v>
      </c>
      <c r="J12" s="21" t="str">
        <f t="shared" si="3"/>
        <v>4/1/2026</v>
      </c>
      <c r="K12" s="21" t="s">
        <v>56</v>
      </c>
      <c r="L12" s="21" t="str">
        <f t="shared" si="4"/>
        <v>1/1/2026</v>
      </c>
      <c r="M12" s="21" t="s">
        <v>72</v>
      </c>
      <c r="N12" s="31" t="s">
        <v>594</v>
      </c>
      <c r="O12" s="21" t="s">
        <v>73</v>
      </c>
      <c r="P12" s="21" t="s">
        <v>74</v>
      </c>
      <c r="Q12" s="30">
        <v>25.0</v>
      </c>
    </row>
    <row r="13" ht="16.5" customHeight="1">
      <c r="A13" s="19" t="s">
        <v>31</v>
      </c>
      <c r="B13" s="21" t="s">
        <v>52</v>
      </c>
      <c r="C13" s="21" t="str">
        <f t="shared" si="1"/>
        <v>GREGORY K TEIPEL</v>
      </c>
      <c r="D13" s="21" t="s">
        <v>66</v>
      </c>
      <c r="E13" s="28" t="str">
        <f t="shared" ref="E13:E17" si="5">IF(D13&gt;1,"[PMPM="&amp;D13&amp;"]","")</f>
        <v>[PMPM=3]</v>
      </c>
      <c r="F13" s="29">
        <v>9.25677277E8</v>
      </c>
      <c r="G13" s="21" t="s">
        <v>105</v>
      </c>
      <c r="H13" s="32">
        <v>1.0</v>
      </c>
      <c r="I13" s="21" t="s">
        <v>69</v>
      </c>
      <c r="J13" s="21" t="str">
        <f t="shared" si="3"/>
        <v>4/1/2026</v>
      </c>
      <c r="K13" s="21" t="s">
        <v>106</v>
      </c>
      <c r="L13" s="21" t="str">
        <f t="shared" si="4"/>
        <v>3/1/2022</v>
      </c>
      <c r="M13" s="21" t="s">
        <v>72</v>
      </c>
      <c r="N13" s="31" t="s">
        <v>594</v>
      </c>
      <c r="O13" s="21" t="s">
        <v>73</v>
      </c>
      <c r="P13" s="21" t="s">
        <v>74</v>
      </c>
      <c r="Q13" s="30">
        <v>75.0</v>
      </c>
    </row>
    <row r="14" ht="16.5" customHeight="1">
      <c r="A14" s="19" t="s">
        <v>31</v>
      </c>
      <c r="B14" s="21" t="s">
        <v>52</v>
      </c>
      <c r="C14" s="21" t="str">
        <f t="shared" si="1"/>
        <v>GREGORY K TEIPEL</v>
      </c>
      <c r="D14" s="21" t="s">
        <v>77</v>
      </c>
      <c r="E14" s="28" t="str">
        <f t="shared" si="5"/>
        <v>[PMPM=2]</v>
      </c>
      <c r="F14" s="29">
        <v>9.25704532E8</v>
      </c>
      <c r="G14" s="21" t="s">
        <v>110</v>
      </c>
      <c r="H14" s="32">
        <v>1.0</v>
      </c>
      <c r="I14" s="21" t="s">
        <v>41</v>
      </c>
      <c r="J14" s="21" t="str">
        <f t="shared" si="3"/>
        <v>3/1/2026</v>
      </c>
      <c r="K14" s="21" t="s">
        <v>111</v>
      </c>
      <c r="L14" s="21" t="str">
        <f t="shared" si="4"/>
        <v>6/1/2022</v>
      </c>
      <c r="M14" s="21" t="s">
        <v>72</v>
      </c>
      <c r="N14" s="31" t="s">
        <v>594</v>
      </c>
      <c r="O14" s="21" t="s">
        <v>73</v>
      </c>
      <c r="P14" s="21" t="s">
        <v>74</v>
      </c>
      <c r="Q14" s="30">
        <v>50.0</v>
      </c>
    </row>
    <row r="15" ht="16.5" customHeight="1">
      <c r="A15" s="19" t="s">
        <v>31</v>
      </c>
      <c r="B15" s="21" t="s">
        <v>52</v>
      </c>
      <c r="C15" s="21" t="str">
        <f t="shared" si="1"/>
        <v>GREGORY K TEIPEL</v>
      </c>
      <c r="D15" s="21" t="s">
        <v>77</v>
      </c>
      <c r="E15" s="28" t="str">
        <f t="shared" si="5"/>
        <v>[PMPM=2]</v>
      </c>
      <c r="F15" s="29">
        <v>9.25713018E8</v>
      </c>
      <c r="G15" s="21" t="s">
        <v>114</v>
      </c>
      <c r="H15" s="32">
        <v>1.0</v>
      </c>
      <c r="I15" s="21" t="s">
        <v>69</v>
      </c>
      <c r="J15" s="21" t="str">
        <f t="shared" si="3"/>
        <v>4/1/2026</v>
      </c>
      <c r="K15" s="21" t="s">
        <v>115</v>
      </c>
      <c r="L15" s="21" t="str">
        <f t="shared" si="4"/>
        <v>7/1/2022</v>
      </c>
      <c r="M15" s="21" t="s">
        <v>72</v>
      </c>
      <c r="N15" s="31" t="s">
        <v>594</v>
      </c>
      <c r="O15" s="21" t="s">
        <v>73</v>
      </c>
      <c r="P15" s="21" t="s">
        <v>74</v>
      </c>
      <c r="Q15" s="30">
        <v>50.0</v>
      </c>
    </row>
    <row r="16" ht="16.5" customHeight="1">
      <c r="A16" s="19" t="s">
        <v>31</v>
      </c>
      <c r="B16" s="21" t="s">
        <v>52</v>
      </c>
      <c r="C16" s="21" t="str">
        <f t="shared" si="1"/>
        <v>GREGORY K TEIPEL</v>
      </c>
      <c r="D16" s="21" t="s">
        <v>77</v>
      </c>
      <c r="E16" s="28" t="str">
        <f t="shared" si="5"/>
        <v>[PMPM=2]</v>
      </c>
      <c r="F16" s="29">
        <v>9.25750946E8</v>
      </c>
      <c r="G16" s="21" t="s">
        <v>117</v>
      </c>
      <c r="H16" s="32">
        <v>1.0</v>
      </c>
      <c r="I16" s="21" t="s">
        <v>69</v>
      </c>
      <c r="J16" s="21" t="str">
        <f t="shared" si="3"/>
        <v>4/1/2026</v>
      </c>
      <c r="K16" s="21" t="s">
        <v>118</v>
      </c>
      <c r="L16" s="21" t="str">
        <f t="shared" si="4"/>
        <v>10/1/2022</v>
      </c>
      <c r="M16" s="21" t="s">
        <v>72</v>
      </c>
      <c r="N16" s="31" t="s">
        <v>594</v>
      </c>
      <c r="O16" s="21" t="s">
        <v>73</v>
      </c>
      <c r="P16" s="21" t="s">
        <v>74</v>
      </c>
      <c r="Q16" s="30">
        <v>50.0</v>
      </c>
    </row>
    <row r="17" ht="16.5" customHeight="1">
      <c r="A17" s="19" t="s">
        <v>31</v>
      </c>
      <c r="B17" s="21" t="s">
        <v>52</v>
      </c>
      <c r="C17" s="21" t="str">
        <f t="shared" si="1"/>
        <v>GREGORY K TEIPEL</v>
      </c>
      <c r="D17" s="21" t="s">
        <v>77</v>
      </c>
      <c r="E17" s="28" t="str">
        <f t="shared" si="5"/>
        <v>[PMPM=2]</v>
      </c>
      <c r="F17" s="29">
        <v>9.25818826E8</v>
      </c>
      <c r="G17" s="21" t="s">
        <v>122</v>
      </c>
      <c r="H17" s="32">
        <v>1.0</v>
      </c>
      <c r="I17" s="21" t="s">
        <v>69</v>
      </c>
      <c r="J17" s="21" t="str">
        <f t="shared" si="3"/>
        <v>4/1/2026</v>
      </c>
      <c r="K17" s="21" t="s">
        <v>56</v>
      </c>
      <c r="L17" s="21" t="str">
        <f t="shared" si="4"/>
        <v>1/1/2026</v>
      </c>
      <c r="M17" s="21" t="s">
        <v>72</v>
      </c>
      <c r="N17" s="31" t="s">
        <v>594</v>
      </c>
      <c r="O17" s="21" t="s">
        <v>73</v>
      </c>
      <c r="P17" s="21" t="s">
        <v>74</v>
      </c>
      <c r="Q17" s="30">
        <v>50.0</v>
      </c>
    </row>
    <row r="18" ht="16.5" customHeight="1">
      <c r="A18" s="19" t="s">
        <v>31</v>
      </c>
      <c r="B18" s="21" t="s">
        <v>52</v>
      </c>
      <c r="C18" s="21" t="str">
        <f t="shared" si="1"/>
        <v>GREGORY K TEIPEL</v>
      </c>
      <c r="D18" s="21" t="s">
        <v>88</v>
      </c>
      <c r="F18" s="29">
        <v>9.25833175E8</v>
      </c>
      <c r="G18" s="21" t="s">
        <v>124</v>
      </c>
      <c r="H18" s="32">
        <v>1.0</v>
      </c>
      <c r="I18" s="21" t="s">
        <v>69</v>
      </c>
      <c r="J18" s="21" t="str">
        <f t="shared" si="3"/>
        <v>4/1/2026</v>
      </c>
      <c r="K18" s="21" t="s">
        <v>125</v>
      </c>
      <c r="L18" s="21" t="str">
        <f t="shared" si="4"/>
        <v>12/1/2024</v>
      </c>
      <c r="M18" s="21" t="s">
        <v>72</v>
      </c>
      <c r="N18" s="31" t="s">
        <v>594</v>
      </c>
      <c r="O18" s="21" t="s">
        <v>73</v>
      </c>
      <c r="P18" s="21" t="s">
        <v>74</v>
      </c>
      <c r="Q18" s="30">
        <v>25.0</v>
      </c>
    </row>
    <row r="19" ht="16.5" customHeight="1">
      <c r="A19" s="19" t="s">
        <v>31</v>
      </c>
      <c r="B19" s="21" t="s">
        <v>52</v>
      </c>
      <c r="C19" s="21" t="str">
        <f t="shared" si="1"/>
        <v>GREGORY K TEIPEL</v>
      </c>
      <c r="D19" s="21" t="s">
        <v>77</v>
      </c>
      <c r="E19" s="28" t="str">
        <f t="shared" ref="E19:E20" si="6">IF(D19&gt;1,"[PMPM="&amp;D19&amp;"]","")</f>
        <v>[PMPM=2]</v>
      </c>
      <c r="F19" s="29">
        <v>9.25839971E8</v>
      </c>
      <c r="G19" s="21" t="s">
        <v>128</v>
      </c>
      <c r="H19" s="32">
        <v>1.0</v>
      </c>
      <c r="I19" s="21" t="s">
        <v>69</v>
      </c>
      <c r="J19" s="21" t="str">
        <f t="shared" si="3"/>
        <v>4/1/2026</v>
      </c>
      <c r="K19" s="21" t="s">
        <v>80</v>
      </c>
      <c r="L19" s="21" t="str">
        <f t="shared" si="4"/>
        <v>1/1/2023</v>
      </c>
      <c r="M19" s="21" t="s">
        <v>72</v>
      </c>
      <c r="N19" s="31" t="s">
        <v>594</v>
      </c>
      <c r="O19" s="21" t="s">
        <v>73</v>
      </c>
      <c r="P19" s="21" t="s">
        <v>74</v>
      </c>
      <c r="Q19" s="30">
        <v>50.0</v>
      </c>
    </row>
    <row r="20" ht="16.5" customHeight="1">
      <c r="A20" s="19" t="s">
        <v>31</v>
      </c>
      <c r="B20" s="21" t="s">
        <v>52</v>
      </c>
      <c r="C20" s="21" t="str">
        <f t="shared" si="1"/>
        <v>GREGORY K TEIPEL</v>
      </c>
      <c r="D20" s="21" t="s">
        <v>66</v>
      </c>
      <c r="E20" s="28" t="str">
        <f t="shared" si="6"/>
        <v>[PMPM=3]</v>
      </c>
      <c r="F20" s="29">
        <v>9.25864248E8</v>
      </c>
      <c r="G20" s="21" t="s">
        <v>130</v>
      </c>
      <c r="H20" s="32">
        <v>1.0</v>
      </c>
      <c r="I20" s="21" t="s">
        <v>69</v>
      </c>
      <c r="J20" s="21" t="str">
        <f t="shared" si="3"/>
        <v>4/1/2026</v>
      </c>
      <c r="K20" s="21" t="s">
        <v>80</v>
      </c>
      <c r="L20" s="21" t="str">
        <f t="shared" si="4"/>
        <v>1/1/2023</v>
      </c>
      <c r="M20" s="21" t="s">
        <v>72</v>
      </c>
      <c r="N20" s="31" t="s">
        <v>594</v>
      </c>
      <c r="O20" s="21" t="s">
        <v>73</v>
      </c>
      <c r="P20" s="21" t="s">
        <v>74</v>
      </c>
      <c r="Q20" s="30">
        <v>75.0</v>
      </c>
    </row>
    <row r="21" ht="16.5" customHeight="1">
      <c r="A21" s="19" t="s">
        <v>31</v>
      </c>
      <c r="B21" s="21" t="s">
        <v>52</v>
      </c>
      <c r="C21" s="21" t="str">
        <f t="shared" si="1"/>
        <v>GREGORY K TEIPEL</v>
      </c>
      <c r="D21" s="21" t="s">
        <v>88</v>
      </c>
      <c r="F21" s="29">
        <v>9.25949016E8</v>
      </c>
      <c r="G21" s="21" t="s">
        <v>132</v>
      </c>
      <c r="H21" s="32">
        <v>1.0</v>
      </c>
      <c r="I21" s="21" t="s">
        <v>69</v>
      </c>
      <c r="J21" s="21" t="str">
        <f t="shared" si="3"/>
        <v>4/1/2026</v>
      </c>
      <c r="K21" s="21" t="s">
        <v>133</v>
      </c>
      <c r="L21" s="21" t="str">
        <f t="shared" si="4"/>
        <v>3/1/2023</v>
      </c>
      <c r="M21" s="21" t="s">
        <v>72</v>
      </c>
      <c r="N21" s="31" t="s">
        <v>594</v>
      </c>
      <c r="O21" s="21" t="s">
        <v>73</v>
      </c>
      <c r="P21" s="21" t="s">
        <v>74</v>
      </c>
      <c r="Q21" s="30">
        <v>25.0</v>
      </c>
    </row>
    <row r="22" ht="16.5" customHeight="1">
      <c r="A22" s="19" t="s">
        <v>31</v>
      </c>
      <c r="B22" s="21" t="s">
        <v>52</v>
      </c>
      <c r="C22" s="21" t="str">
        <f t="shared" si="1"/>
        <v>GREGORY K TEIPEL</v>
      </c>
      <c r="D22" s="21" t="s">
        <v>88</v>
      </c>
      <c r="F22" s="29">
        <v>9.2594972E8</v>
      </c>
      <c r="G22" s="21" t="s">
        <v>136</v>
      </c>
      <c r="H22" s="32">
        <v>1.0</v>
      </c>
      <c r="I22" s="21" t="s">
        <v>69</v>
      </c>
      <c r="J22" s="21" t="str">
        <f t="shared" si="3"/>
        <v>4/1/2026</v>
      </c>
      <c r="K22" s="21" t="s">
        <v>133</v>
      </c>
      <c r="L22" s="21" t="str">
        <f t="shared" si="4"/>
        <v>3/1/2023</v>
      </c>
      <c r="M22" s="21" t="s">
        <v>72</v>
      </c>
      <c r="N22" s="31" t="s">
        <v>594</v>
      </c>
      <c r="O22" s="21" t="s">
        <v>73</v>
      </c>
      <c r="P22" s="21" t="s">
        <v>74</v>
      </c>
      <c r="Q22" s="30">
        <v>25.0</v>
      </c>
    </row>
    <row r="23" ht="16.5" customHeight="1">
      <c r="A23" s="19" t="s">
        <v>31</v>
      </c>
      <c r="B23" s="21" t="s">
        <v>52</v>
      </c>
      <c r="C23" s="21" t="str">
        <f t="shared" si="1"/>
        <v>GREGORY K TEIPEL</v>
      </c>
      <c r="D23" s="21" t="s">
        <v>88</v>
      </c>
      <c r="F23" s="29">
        <v>9.25976024E8</v>
      </c>
      <c r="G23" s="21" t="s">
        <v>138</v>
      </c>
      <c r="H23" s="32">
        <v>1.0</v>
      </c>
      <c r="I23" s="21" t="s">
        <v>69</v>
      </c>
      <c r="J23" s="21" t="str">
        <f t="shared" si="3"/>
        <v>4/1/2026</v>
      </c>
      <c r="K23" s="21" t="s">
        <v>139</v>
      </c>
      <c r="L23" s="21" t="str">
        <f t="shared" si="4"/>
        <v>5/1/2023</v>
      </c>
      <c r="M23" s="21" t="s">
        <v>72</v>
      </c>
      <c r="N23" s="31" t="s">
        <v>594</v>
      </c>
      <c r="O23" s="21" t="s">
        <v>73</v>
      </c>
      <c r="P23" s="21" t="s">
        <v>74</v>
      </c>
      <c r="Q23" s="30">
        <v>25.0</v>
      </c>
    </row>
    <row r="24" ht="16.5" customHeight="1">
      <c r="A24" s="19" t="s">
        <v>31</v>
      </c>
      <c r="B24" s="21" t="s">
        <v>52</v>
      </c>
      <c r="C24" s="21" t="str">
        <f t="shared" si="1"/>
        <v>GREGORY K TEIPEL</v>
      </c>
      <c r="D24" s="21" t="s">
        <v>88</v>
      </c>
      <c r="F24" s="29">
        <v>9.43009818E8</v>
      </c>
      <c r="G24" s="21" t="s">
        <v>142</v>
      </c>
      <c r="H24" s="32">
        <v>1.0</v>
      </c>
      <c r="I24" s="21" t="s">
        <v>69</v>
      </c>
      <c r="J24" s="21" t="str">
        <f t="shared" si="3"/>
        <v>4/1/2026</v>
      </c>
      <c r="K24" s="21" t="s">
        <v>143</v>
      </c>
      <c r="L24" s="21" t="str">
        <f t="shared" si="4"/>
        <v>7/1/2021</v>
      </c>
      <c r="M24" s="21" t="s">
        <v>72</v>
      </c>
      <c r="N24" s="31" t="s">
        <v>594</v>
      </c>
      <c r="O24" s="21" t="s">
        <v>73</v>
      </c>
      <c r="P24" s="21" t="s">
        <v>74</v>
      </c>
      <c r="Q24" s="30">
        <v>25.0</v>
      </c>
    </row>
    <row r="25" ht="16.5" customHeight="1">
      <c r="A25" s="19" t="s">
        <v>31</v>
      </c>
      <c r="B25" s="21" t="s">
        <v>52</v>
      </c>
      <c r="C25" s="21" t="str">
        <f t="shared" si="1"/>
        <v>GREGORY K TEIPEL</v>
      </c>
      <c r="D25" s="21" t="s">
        <v>88</v>
      </c>
      <c r="F25" s="29">
        <v>9.43169327E8</v>
      </c>
      <c r="G25" s="21" t="s">
        <v>146</v>
      </c>
      <c r="H25" s="32">
        <v>1.0</v>
      </c>
      <c r="I25" s="21" t="s">
        <v>69</v>
      </c>
      <c r="J25" s="21" t="str">
        <f t="shared" si="3"/>
        <v>4/1/2026</v>
      </c>
      <c r="K25" s="21" t="s">
        <v>147</v>
      </c>
      <c r="L25" s="21" t="str">
        <f t="shared" si="4"/>
        <v>11/1/2023</v>
      </c>
      <c r="M25" s="21" t="s">
        <v>72</v>
      </c>
      <c r="N25" s="31" t="s">
        <v>594</v>
      </c>
      <c r="O25" s="21" t="s">
        <v>73</v>
      </c>
      <c r="P25" s="21" t="s">
        <v>74</v>
      </c>
      <c r="Q25" s="30">
        <v>25.0</v>
      </c>
    </row>
    <row r="26" ht="16.5" customHeight="1">
      <c r="A26" s="19" t="s">
        <v>31</v>
      </c>
      <c r="B26" s="21" t="s">
        <v>52</v>
      </c>
      <c r="C26" s="21" t="str">
        <f t="shared" si="1"/>
        <v>GREGORY K TEIPEL</v>
      </c>
      <c r="D26" s="21" t="s">
        <v>88</v>
      </c>
      <c r="F26" s="29">
        <v>9.43169327E8</v>
      </c>
      <c r="G26" s="21" t="s">
        <v>146</v>
      </c>
      <c r="H26" s="32">
        <v>1.0</v>
      </c>
      <c r="I26" s="21" t="s">
        <v>41</v>
      </c>
      <c r="J26" s="21" t="str">
        <f t="shared" si="3"/>
        <v>3/1/2026</v>
      </c>
      <c r="K26" s="21" t="s">
        <v>147</v>
      </c>
      <c r="L26" s="21" t="str">
        <f t="shared" si="4"/>
        <v>11/1/2023</v>
      </c>
      <c r="M26" s="21" t="s">
        <v>72</v>
      </c>
      <c r="N26" s="31" t="s">
        <v>594</v>
      </c>
      <c r="O26" s="21" t="s">
        <v>73</v>
      </c>
      <c r="P26" s="21" t="s">
        <v>74</v>
      </c>
      <c r="Q26" s="30">
        <v>25.0</v>
      </c>
    </row>
    <row r="27" ht="16.5" customHeight="1">
      <c r="A27" s="19" t="s">
        <v>31</v>
      </c>
      <c r="B27" s="21" t="s">
        <v>52</v>
      </c>
      <c r="C27" s="21" t="str">
        <f t="shared" si="1"/>
        <v>GREGORY K TEIPEL</v>
      </c>
      <c r="D27" s="21" t="s">
        <v>88</v>
      </c>
      <c r="F27" s="29">
        <v>9.43169327E8</v>
      </c>
      <c r="G27" s="21" t="s">
        <v>146</v>
      </c>
      <c r="H27" s="32">
        <v>1.0</v>
      </c>
      <c r="I27" s="21" t="s">
        <v>150</v>
      </c>
      <c r="J27" s="21" t="str">
        <f t="shared" si="3"/>
        <v>2/1/2026</v>
      </c>
      <c r="K27" s="21" t="s">
        <v>147</v>
      </c>
      <c r="L27" s="21" t="str">
        <f t="shared" si="4"/>
        <v>11/1/2023</v>
      </c>
      <c r="M27" s="21" t="s">
        <v>72</v>
      </c>
      <c r="N27" s="31" t="s">
        <v>594</v>
      </c>
      <c r="O27" s="21" t="s">
        <v>73</v>
      </c>
      <c r="P27" s="21" t="s">
        <v>74</v>
      </c>
      <c r="Q27" s="30">
        <v>25.0</v>
      </c>
    </row>
    <row r="28" ht="16.5" customHeight="1">
      <c r="A28" s="19" t="s">
        <v>31</v>
      </c>
      <c r="B28" s="21" t="s">
        <v>52</v>
      </c>
      <c r="C28" s="21" t="str">
        <f t="shared" si="1"/>
        <v>GREGORY K TEIPEL</v>
      </c>
      <c r="D28" s="21" t="s">
        <v>88</v>
      </c>
      <c r="F28" s="29">
        <v>9.43372637E8</v>
      </c>
      <c r="G28" s="21" t="s">
        <v>153</v>
      </c>
      <c r="H28" s="32">
        <v>1.0</v>
      </c>
      <c r="I28" s="21" t="s">
        <v>69</v>
      </c>
      <c r="J28" s="21" t="str">
        <f t="shared" si="3"/>
        <v>4/1/2026</v>
      </c>
      <c r="K28" s="21" t="s">
        <v>154</v>
      </c>
      <c r="L28" s="21" t="str">
        <f t="shared" si="4"/>
        <v>1/1/2024</v>
      </c>
      <c r="M28" s="21" t="s">
        <v>72</v>
      </c>
      <c r="N28" s="31" t="s">
        <v>594</v>
      </c>
      <c r="O28" s="21" t="s">
        <v>73</v>
      </c>
      <c r="P28" s="21" t="s">
        <v>74</v>
      </c>
      <c r="Q28" s="30">
        <v>25.0</v>
      </c>
    </row>
    <row r="29" ht="16.5" customHeight="1">
      <c r="A29" s="19" t="s">
        <v>31</v>
      </c>
      <c r="B29" s="21" t="s">
        <v>52</v>
      </c>
      <c r="C29" s="21" t="str">
        <f t="shared" si="1"/>
        <v>GREGORY K TEIPEL</v>
      </c>
      <c r="D29" s="21" t="s">
        <v>88</v>
      </c>
      <c r="F29" s="29">
        <v>9.43435843E8</v>
      </c>
      <c r="G29" s="21" t="s">
        <v>156</v>
      </c>
      <c r="H29" s="32">
        <v>1.0</v>
      </c>
      <c r="I29" s="21" t="s">
        <v>69</v>
      </c>
      <c r="J29" s="21" t="str">
        <f t="shared" si="3"/>
        <v>4/1/2026</v>
      </c>
      <c r="K29" s="21" t="s">
        <v>154</v>
      </c>
      <c r="L29" s="21" t="str">
        <f t="shared" si="4"/>
        <v>1/1/2024</v>
      </c>
      <c r="M29" s="21" t="s">
        <v>72</v>
      </c>
      <c r="N29" s="31" t="s">
        <v>594</v>
      </c>
      <c r="O29" s="21" t="s">
        <v>73</v>
      </c>
      <c r="P29" s="21" t="s">
        <v>74</v>
      </c>
      <c r="Q29" s="30">
        <v>25.0</v>
      </c>
    </row>
    <row r="30" ht="16.5" customHeight="1">
      <c r="A30" s="19" t="s">
        <v>31</v>
      </c>
      <c r="B30" s="21" t="s">
        <v>52</v>
      </c>
      <c r="C30" s="21" t="str">
        <f t="shared" si="1"/>
        <v>GREGORY K TEIPEL</v>
      </c>
      <c r="D30" s="21" t="s">
        <v>157</v>
      </c>
      <c r="E30" s="28" t="str">
        <f t="shared" ref="E30:E31" si="7">IF(D30&gt;1,"[PMPM="&amp;D30&amp;"]","")</f>
        <v>[PMPM=4]</v>
      </c>
      <c r="F30" s="29">
        <v>9.43692939E8</v>
      </c>
      <c r="G30" s="21" t="s">
        <v>159</v>
      </c>
      <c r="H30" s="32">
        <v>1.0</v>
      </c>
      <c r="I30" s="21" t="s">
        <v>69</v>
      </c>
      <c r="J30" s="21" t="str">
        <f t="shared" si="3"/>
        <v>4/1/2026</v>
      </c>
      <c r="K30" s="21" t="s">
        <v>160</v>
      </c>
      <c r="L30" s="21" t="str">
        <f t="shared" si="4"/>
        <v>3/1/2024</v>
      </c>
      <c r="M30" s="21" t="s">
        <v>72</v>
      </c>
      <c r="N30" s="31" t="s">
        <v>594</v>
      </c>
      <c r="O30" s="21" t="s">
        <v>73</v>
      </c>
      <c r="P30" s="21" t="s">
        <v>74</v>
      </c>
      <c r="Q30" s="30">
        <v>100.0</v>
      </c>
    </row>
    <row r="31" ht="16.5" customHeight="1">
      <c r="A31" s="19" t="s">
        <v>31</v>
      </c>
      <c r="B31" s="21" t="s">
        <v>52</v>
      </c>
      <c r="C31" s="21" t="str">
        <f t="shared" si="1"/>
        <v>GREGORY K TEIPEL</v>
      </c>
      <c r="D31" s="21" t="s">
        <v>77</v>
      </c>
      <c r="E31" s="28" t="str">
        <f t="shared" si="7"/>
        <v>[PMPM=2]</v>
      </c>
      <c r="F31" s="29">
        <v>9.44075807E8</v>
      </c>
      <c r="G31" s="21" t="s">
        <v>164</v>
      </c>
      <c r="H31" s="32">
        <v>1.0</v>
      </c>
      <c r="I31" s="21" t="s">
        <v>69</v>
      </c>
      <c r="J31" s="21" t="str">
        <f t="shared" si="3"/>
        <v>4/1/2026</v>
      </c>
      <c r="K31" s="21" t="s">
        <v>125</v>
      </c>
      <c r="L31" s="21" t="str">
        <f t="shared" si="4"/>
        <v>12/1/2024</v>
      </c>
      <c r="M31" s="21" t="s">
        <v>72</v>
      </c>
      <c r="N31" s="31" t="s">
        <v>594</v>
      </c>
      <c r="O31" s="21" t="s">
        <v>73</v>
      </c>
      <c r="P31" s="21" t="s">
        <v>74</v>
      </c>
      <c r="Q31" s="30">
        <v>50.0</v>
      </c>
    </row>
    <row r="32" ht="16.5" customHeight="1">
      <c r="A32" s="19" t="s">
        <v>31</v>
      </c>
      <c r="B32" s="21" t="s">
        <v>52</v>
      </c>
      <c r="C32" s="21" t="str">
        <f t="shared" si="1"/>
        <v>GREGORY K TEIPEL</v>
      </c>
      <c r="D32" s="21" t="s">
        <v>88</v>
      </c>
      <c r="F32" s="29">
        <v>9.44269432E8</v>
      </c>
      <c r="G32" s="21" t="s">
        <v>167</v>
      </c>
      <c r="H32" s="32">
        <v>1.0</v>
      </c>
      <c r="I32" s="21" t="s">
        <v>69</v>
      </c>
      <c r="J32" s="21" t="str">
        <f t="shared" si="3"/>
        <v>4/1/2026</v>
      </c>
      <c r="K32" s="21" t="s">
        <v>168</v>
      </c>
      <c r="L32" s="21" t="str">
        <f t="shared" si="4"/>
        <v>5/1/2025</v>
      </c>
      <c r="M32" s="21" t="s">
        <v>170</v>
      </c>
      <c r="N32" s="31" t="s">
        <v>595</v>
      </c>
      <c r="O32" s="21" t="s">
        <v>73</v>
      </c>
      <c r="P32" s="21" t="s">
        <v>171</v>
      </c>
      <c r="Q32" s="30">
        <v>20.0</v>
      </c>
    </row>
    <row r="33" ht="16.5" customHeight="1">
      <c r="A33" s="19" t="s">
        <v>31</v>
      </c>
      <c r="B33" s="21" t="s">
        <v>52</v>
      </c>
      <c r="C33" s="21" t="str">
        <f t="shared" si="1"/>
        <v>GREGORY K TEIPEL</v>
      </c>
      <c r="D33" s="21" t="s">
        <v>88</v>
      </c>
      <c r="F33" s="29">
        <v>9.44381416E8</v>
      </c>
      <c r="G33" s="21" t="s">
        <v>175</v>
      </c>
      <c r="H33" s="32">
        <v>1.0</v>
      </c>
      <c r="I33" s="21" t="s">
        <v>69</v>
      </c>
      <c r="J33" s="21" t="str">
        <f t="shared" si="3"/>
        <v>4/1/2026</v>
      </c>
      <c r="K33" s="21" t="s">
        <v>176</v>
      </c>
      <c r="L33" s="21" t="str">
        <f t="shared" si="4"/>
        <v>11/1/2025</v>
      </c>
      <c r="M33" s="21" t="s">
        <v>170</v>
      </c>
      <c r="N33" s="31" t="s">
        <v>595</v>
      </c>
      <c r="O33" s="21" t="s">
        <v>73</v>
      </c>
      <c r="P33" s="21" t="s">
        <v>171</v>
      </c>
      <c r="Q33" s="30">
        <v>20.0</v>
      </c>
    </row>
    <row r="34" ht="16.5" customHeight="1">
      <c r="A34" s="19" t="s">
        <v>31</v>
      </c>
      <c r="B34" s="21" t="s">
        <v>52</v>
      </c>
      <c r="C34" s="21" t="str">
        <f t="shared" si="1"/>
        <v>GREGORY K TEIPEL</v>
      </c>
      <c r="D34" s="21" t="s">
        <v>88</v>
      </c>
      <c r="F34" s="29">
        <v>9.44414965E8</v>
      </c>
      <c r="G34" s="21" t="s">
        <v>179</v>
      </c>
      <c r="H34" s="32">
        <v>1.0</v>
      </c>
      <c r="I34" s="21" t="s">
        <v>69</v>
      </c>
      <c r="J34" s="21" t="str">
        <f t="shared" si="3"/>
        <v>4/1/2026</v>
      </c>
      <c r="K34" s="21" t="s">
        <v>56</v>
      </c>
      <c r="L34" s="21" t="str">
        <f t="shared" si="4"/>
        <v>1/1/2026</v>
      </c>
      <c r="M34" s="21" t="s">
        <v>72</v>
      </c>
      <c r="N34" s="31" t="s">
        <v>594</v>
      </c>
      <c r="O34" s="21" t="s">
        <v>73</v>
      </c>
      <c r="P34" s="21" t="s">
        <v>74</v>
      </c>
      <c r="Q34" s="30">
        <v>25.0</v>
      </c>
    </row>
    <row r="35" ht="16.5" customHeight="1">
      <c r="A35" s="19" t="s">
        <v>31</v>
      </c>
      <c r="B35" s="21" t="s">
        <v>52</v>
      </c>
      <c r="C35" s="21" t="str">
        <f t="shared" si="1"/>
        <v>GREGORY K TEIPEL</v>
      </c>
      <c r="D35" s="21" t="s">
        <v>66</v>
      </c>
      <c r="E35" s="28" t="str">
        <f>IF(D35&gt;1,"[PMPM="&amp;D35&amp;"]","")</f>
        <v>[PMPM=3]</v>
      </c>
      <c r="F35" s="29">
        <v>9.44516216E8</v>
      </c>
      <c r="G35" s="21" t="s">
        <v>182</v>
      </c>
      <c r="H35" s="32">
        <v>1.0</v>
      </c>
      <c r="I35" s="21" t="s">
        <v>69</v>
      </c>
      <c r="J35" s="21" t="str">
        <f t="shared" si="3"/>
        <v>4/1/2026</v>
      </c>
      <c r="K35" s="21" t="s">
        <v>56</v>
      </c>
      <c r="L35" s="21" t="str">
        <f t="shared" si="4"/>
        <v>1/1/2026</v>
      </c>
      <c r="M35" s="21" t="s">
        <v>170</v>
      </c>
      <c r="N35" s="31" t="s">
        <v>595</v>
      </c>
      <c r="O35" s="21" t="s">
        <v>73</v>
      </c>
      <c r="P35" s="21" t="s">
        <v>171</v>
      </c>
      <c r="Q35" s="30">
        <v>60.0</v>
      </c>
    </row>
    <row r="36" ht="16.5" customHeight="1">
      <c r="A36" s="19" t="s">
        <v>31</v>
      </c>
      <c r="B36" s="21" t="s">
        <v>184</v>
      </c>
      <c r="C36" s="21" t="str">
        <f t="shared" si="1"/>
        <v>RYAN J CALTAGIRONE</v>
      </c>
      <c r="D36" s="21" t="s">
        <v>88</v>
      </c>
      <c r="F36" s="29">
        <v>8.93486751E8</v>
      </c>
      <c r="G36" s="21" t="s">
        <v>187</v>
      </c>
      <c r="H36" s="32">
        <v>1.0</v>
      </c>
      <c r="I36" s="21" t="s">
        <v>69</v>
      </c>
      <c r="J36" s="21" t="str">
        <f t="shared" si="3"/>
        <v>4/1/2026</v>
      </c>
      <c r="K36" s="21" t="s">
        <v>56</v>
      </c>
      <c r="L36" s="21" t="str">
        <f t="shared" si="4"/>
        <v>1/1/2026</v>
      </c>
      <c r="M36" s="21" t="s">
        <v>72</v>
      </c>
      <c r="N36" s="31" t="s">
        <v>594</v>
      </c>
      <c r="O36" s="21" t="s">
        <v>73</v>
      </c>
      <c r="P36" s="21" t="s">
        <v>74</v>
      </c>
      <c r="Q36" s="30">
        <v>25.0</v>
      </c>
    </row>
    <row r="37" ht="16.5" customHeight="1">
      <c r="A37" s="19" t="s">
        <v>31</v>
      </c>
      <c r="B37" s="21" t="s">
        <v>184</v>
      </c>
      <c r="C37" s="21" t="str">
        <f t="shared" si="1"/>
        <v>RYAN J CALTAGIRONE</v>
      </c>
      <c r="D37" s="21" t="s">
        <v>88</v>
      </c>
      <c r="F37" s="29">
        <v>9.24449459E8</v>
      </c>
      <c r="G37" s="21" t="s">
        <v>190</v>
      </c>
      <c r="H37" s="32">
        <v>1.0</v>
      </c>
      <c r="I37" s="21" t="s">
        <v>69</v>
      </c>
      <c r="J37" s="21" t="str">
        <f t="shared" si="3"/>
        <v>4/1/2026</v>
      </c>
      <c r="K37" s="21" t="s">
        <v>70</v>
      </c>
      <c r="L37" s="21" t="str">
        <f t="shared" si="4"/>
        <v>1/1/2022</v>
      </c>
      <c r="M37" s="21" t="s">
        <v>72</v>
      </c>
      <c r="N37" s="31" t="s">
        <v>594</v>
      </c>
      <c r="O37" s="21" t="s">
        <v>73</v>
      </c>
      <c r="P37" s="21" t="s">
        <v>74</v>
      </c>
      <c r="Q37" s="30">
        <v>25.0</v>
      </c>
    </row>
    <row r="38" ht="16.5" customHeight="1">
      <c r="A38" s="19" t="s">
        <v>31</v>
      </c>
      <c r="B38" s="21" t="s">
        <v>184</v>
      </c>
      <c r="C38" s="21" t="str">
        <f t="shared" si="1"/>
        <v>RYAN J CALTAGIRONE</v>
      </c>
      <c r="D38" s="21" t="s">
        <v>88</v>
      </c>
      <c r="F38" s="29">
        <v>9.24457583E8</v>
      </c>
      <c r="G38" s="21" t="s">
        <v>192</v>
      </c>
      <c r="H38" s="32">
        <v>1.0</v>
      </c>
      <c r="I38" s="21" t="s">
        <v>69</v>
      </c>
      <c r="J38" s="21" t="str">
        <f t="shared" si="3"/>
        <v>4/1/2026</v>
      </c>
      <c r="K38" s="21" t="s">
        <v>56</v>
      </c>
      <c r="L38" s="21" t="str">
        <f t="shared" si="4"/>
        <v>1/1/2026</v>
      </c>
      <c r="M38" s="21" t="s">
        <v>170</v>
      </c>
      <c r="N38" s="31" t="s">
        <v>595</v>
      </c>
      <c r="O38" s="21" t="s">
        <v>73</v>
      </c>
      <c r="P38" s="21" t="s">
        <v>171</v>
      </c>
      <c r="Q38" s="30">
        <v>20.0</v>
      </c>
    </row>
    <row r="39" ht="16.5" customHeight="1">
      <c r="A39" s="19" t="s">
        <v>31</v>
      </c>
      <c r="B39" s="21" t="s">
        <v>184</v>
      </c>
      <c r="C39" s="21" t="str">
        <f t="shared" si="1"/>
        <v>RYAN J CALTAGIRONE</v>
      </c>
      <c r="D39" s="21" t="s">
        <v>88</v>
      </c>
      <c r="F39" s="29">
        <v>9.25386011E8</v>
      </c>
      <c r="G39" s="21" t="s">
        <v>194</v>
      </c>
      <c r="H39" s="32">
        <v>1.0</v>
      </c>
      <c r="I39" s="21" t="s">
        <v>69</v>
      </c>
      <c r="J39" s="21" t="str">
        <f t="shared" si="3"/>
        <v>4/1/2026</v>
      </c>
      <c r="K39" s="21" t="s">
        <v>56</v>
      </c>
      <c r="L39" s="21" t="str">
        <f t="shared" si="4"/>
        <v>1/1/2026</v>
      </c>
      <c r="M39" s="21" t="s">
        <v>170</v>
      </c>
      <c r="N39" s="31" t="s">
        <v>595</v>
      </c>
      <c r="O39" s="21" t="s">
        <v>73</v>
      </c>
      <c r="P39" s="21" t="s">
        <v>171</v>
      </c>
      <c r="Q39" s="30">
        <v>20.0</v>
      </c>
    </row>
    <row r="40" ht="16.5" customHeight="1">
      <c r="A40" s="19" t="s">
        <v>31</v>
      </c>
      <c r="B40" s="21" t="s">
        <v>184</v>
      </c>
      <c r="C40" s="21" t="str">
        <f t="shared" si="1"/>
        <v>RYAN J CALTAGIRONE</v>
      </c>
      <c r="D40" s="21" t="s">
        <v>88</v>
      </c>
      <c r="F40" s="29">
        <v>9.25811827E8</v>
      </c>
      <c r="G40" s="21" t="s">
        <v>196</v>
      </c>
      <c r="H40" s="32">
        <v>1.0</v>
      </c>
      <c r="I40" s="21" t="s">
        <v>69</v>
      </c>
      <c r="J40" s="21" t="str">
        <f t="shared" si="3"/>
        <v>4/1/2026</v>
      </c>
      <c r="K40" s="21" t="s">
        <v>80</v>
      </c>
      <c r="L40" s="21" t="str">
        <f t="shared" si="4"/>
        <v>1/1/2023</v>
      </c>
      <c r="M40" s="21" t="s">
        <v>72</v>
      </c>
      <c r="N40" s="31" t="s">
        <v>594</v>
      </c>
      <c r="O40" s="21" t="s">
        <v>73</v>
      </c>
      <c r="P40" s="21" t="s">
        <v>74</v>
      </c>
      <c r="Q40" s="30">
        <v>25.0</v>
      </c>
    </row>
    <row r="41" ht="16.5" customHeight="1">
      <c r="A41" s="19" t="s">
        <v>31</v>
      </c>
      <c r="B41" s="21" t="s">
        <v>184</v>
      </c>
      <c r="C41" s="21" t="str">
        <f t="shared" si="1"/>
        <v>RYAN J CALTAGIRONE</v>
      </c>
      <c r="D41" s="21" t="s">
        <v>88</v>
      </c>
      <c r="F41" s="29">
        <v>9.43314954E8</v>
      </c>
      <c r="G41" s="21" t="s">
        <v>198</v>
      </c>
      <c r="H41" s="32">
        <v>1.0</v>
      </c>
      <c r="I41" s="21" t="s">
        <v>69</v>
      </c>
      <c r="J41" s="21" t="str">
        <f t="shared" si="3"/>
        <v>4/1/2026</v>
      </c>
      <c r="K41" s="21" t="s">
        <v>41</v>
      </c>
      <c r="L41" s="21" t="str">
        <f t="shared" si="4"/>
        <v>3/1/2026</v>
      </c>
      <c r="M41" s="21" t="s">
        <v>170</v>
      </c>
      <c r="N41" s="31" t="s">
        <v>595</v>
      </c>
      <c r="O41" s="21" t="s">
        <v>73</v>
      </c>
      <c r="P41" s="21" t="s">
        <v>171</v>
      </c>
      <c r="Q41" s="30">
        <v>20.0</v>
      </c>
    </row>
    <row r="42" ht="16.5" customHeight="1">
      <c r="A42" s="19" t="s">
        <v>31</v>
      </c>
      <c r="B42" s="21" t="s">
        <v>184</v>
      </c>
      <c r="C42" s="21" t="str">
        <f t="shared" si="1"/>
        <v>RYAN J CALTAGIRONE</v>
      </c>
      <c r="D42" s="21" t="s">
        <v>88</v>
      </c>
      <c r="F42" s="29">
        <v>9.44344267E8</v>
      </c>
      <c r="G42" s="21" t="s">
        <v>201</v>
      </c>
      <c r="H42" s="32">
        <v>1.0</v>
      </c>
      <c r="I42" s="21" t="s">
        <v>69</v>
      </c>
      <c r="J42" s="21" t="str">
        <f t="shared" si="3"/>
        <v>4/1/2026</v>
      </c>
      <c r="K42" s="21" t="s">
        <v>42</v>
      </c>
      <c r="L42" s="21" t="str">
        <f t="shared" si="4"/>
        <v>8/1/2025</v>
      </c>
      <c r="M42" s="21" t="s">
        <v>72</v>
      </c>
      <c r="N42" s="31" t="s">
        <v>594</v>
      </c>
      <c r="O42" s="21" t="s">
        <v>73</v>
      </c>
      <c r="P42" s="21" t="s">
        <v>74</v>
      </c>
      <c r="Q42" s="30">
        <v>25.0</v>
      </c>
    </row>
    <row r="43" ht="16.5" customHeight="1">
      <c r="A43" s="19" t="s">
        <v>31</v>
      </c>
      <c r="B43" s="21" t="s">
        <v>184</v>
      </c>
      <c r="C43" s="21" t="str">
        <f t="shared" si="1"/>
        <v>RYAN J CALTAGIRONE</v>
      </c>
      <c r="D43" s="21" t="s">
        <v>88</v>
      </c>
      <c r="F43" s="29">
        <v>9.44395187E8</v>
      </c>
      <c r="G43" s="21" t="s">
        <v>204</v>
      </c>
      <c r="H43" s="32">
        <v>1.0</v>
      </c>
      <c r="I43" s="21" t="s">
        <v>69</v>
      </c>
      <c r="J43" s="21" t="str">
        <f t="shared" si="3"/>
        <v>4/1/2026</v>
      </c>
      <c r="K43" s="21" t="s">
        <v>56</v>
      </c>
      <c r="L43" s="21" t="str">
        <f t="shared" si="4"/>
        <v>1/1/2026</v>
      </c>
      <c r="M43" s="21" t="s">
        <v>170</v>
      </c>
      <c r="N43" s="31" t="s">
        <v>595</v>
      </c>
      <c r="O43" s="21" t="s">
        <v>73</v>
      </c>
      <c r="P43" s="21" t="s">
        <v>171</v>
      </c>
      <c r="Q43" s="30">
        <v>20.0</v>
      </c>
    </row>
    <row r="44" ht="16.5" customHeight="1">
      <c r="A44" s="19" t="s">
        <v>31</v>
      </c>
      <c r="B44" s="21" t="s">
        <v>184</v>
      </c>
      <c r="C44" s="21" t="str">
        <f t="shared" si="1"/>
        <v>RYAN J CALTAGIRONE</v>
      </c>
      <c r="D44" s="21" t="s">
        <v>77</v>
      </c>
      <c r="E44" s="28" t="str">
        <f>IF(D44&gt;1,"[PMPM="&amp;D44&amp;"]","")</f>
        <v>[PMPM=2]</v>
      </c>
      <c r="F44" s="29">
        <v>9.44517283E8</v>
      </c>
      <c r="G44" s="21" t="s">
        <v>206</v>
      </c>
      <c r="H44" s="32">
        <v>1.0</v>
      </c>
      <c r="I44" s="21" t="s">
        <v>41</v>
      </c>
      <c r="J44" s="21" t="str">
        <f t="shared" si="3"/>
        <v>3/1/2026</v>
      </c>
      <c r="K44" s="21" t="s">
        <v>56</v>
      </c>
      <c r="L44" s="21" t="str">
        <f t="shared" si="4"/>
        <v>1/1/2026</v>
      </c>
      <c r="M44" s="21" t="s">
        <v>170</v>
      </c>
      <c r="N44" s="31" t="s">
        <v>595</v>
      </c>
      <c r="O44" s="21" t="s">
        <v>73</v>
      </c>
      <c r="P44" s="21" t="s">
        <v>171</v>
      </c>
      <c r="Q44" s="30">
        <v>40.0</v>
      </c>
    </row>
    <row r="45" ht="16.5" customHeight="1">
      <c r="A45" s="19" t="s">
        <v>31</v>
      </c>
      <c r="B45" s="21" t="s">
        <v>208</v>
      </c>
      <c r="C45" s="21" t="str">
        <f t="shared" si="1"/>
        <v>ADAM J RICHTER</v>
      </c>
      <c r="D45" s="21" t="s">
        <v>88</v>
      </c>
      <c r="F45" s="29">
        <v>9.43107197E8</v>
      </c>
      <c r="G45" s="21" t="s">
        <v>211</v>
      </c>
      <c r="H45" s="32">
        <v>1.0</v>
      </c>
      <c r="I45" s="21" t="s">
        <v>69</v>
      </c>
      <c r="J45" s="21" t="str">
        <f t="shared" si="3"/>
        <v>4/1/2026</v>
      </c>
      <c r="K45" s="21" t="s">
        <v>212</v>
      </c>
      <c r="L45" s="21" t="str">
        <f t="shared" si="4"/>
        <v>9/1/2023</v>
      </c>
      <c r="M45" s="21" t="s">
        <v>72</v>
      </c>
      <c r="N45" s="31" t="s">
        <v>594</v>
      </c>
      <c r="O45" s="21" t="s">
        <v>73</v>
      </c>
      <c r="P45" s="21" t="s">
        <v>74</v>
      </c>
      <c r="Q45" s="30">
        <v>25.0</v>
      </c>
    </row>
    <row r="46" ht="16.5" customHeight="1">
      <c r="A46" s="19" t="s">
        <v>31</v>
      </c>
      <c r="B46" s="21" t="s">
        <v>208</v>
      </c>
      <c r="C46" s="21" t="str">
        <f t="shared" si="1"/>
        <v>ADAM J RICHTER</v>
      </c>
      <c r="E46" s="28" t="str">
        <f>IF(D46&gt;1,"[PMPM="&amp;D46&amp;"]","")</f>
        <v/>
      </c>
      <c r="F46" s="33">
        <v>1.944471536E9</v>
      </c>
      <c r="G46" s="21" t="s">
        <v>218</v>
      </c>
      <c r="H46" s="30">
        <v>58.51</v>
      </c>
      <c r="I46" s="21" t="s">
        <v>69</v>
      </c>
      <c r="J46" s="21" t="str">
        <f t="shared" si="3"/>
        <v>4/1/2026</v>
      </c>
      <c r="K46" s="21" t="s">
        <v>56</v>
      </c>
      <c r="L46" s="21" t="str">
        <f t="shared" si="4"/>
        <v>1/1/2026</v>
      </c>
      <c r="M46" s="21" t="s">
        <v>220</v>
      </c>
      <c r="N46" s="31" t="s">
        <v>596</v>
      </c>
      <c r="O46" s="21" t="s">
        <v>46</v>
      </c>
      <c r="P46" s="21" t="s">
        <v>221</v>
      </c>
      <c r="Q46" s="30">
        <v>3.51</v>
      </c>
    </row>
    <row r="47" ht="16.5" customHeight="1">
      <c r="A47" s="19" t="s">
        <v>31</v>
      </c>
      <c r="B47" s="21" t="s">
        <v>223</v>
      </c>
      <c r="C47" s="21" t="str">
        <f t="shared" si="1"/>
        <v>LORI ANN TUNSTALL</v>
      </c>
      <c r="D47" s="21" t="s">
        <v>88</v>
      </c>
      <c r="F47" s="29">
        <v>9.25254609E8</v>
      </c>
      <c r="G47" s="21" t="s">
        <v>225</v>
      </c>
      <c r="H47" s="32">
        <v>1.0</v>
      </c>
      <c r="I47" s="21" t="s">
        <v>69</v>
      </c>
      <c r="J47" s="21" t="str">
        <f t="shared" si="3"/>
        <v>4/1/2026</v>
      </c>
      <c r="K47" s="21" t="s">
        <v>226</v>
      </c>
      <c r="L47" s="21" t="str">
        <f t="shared" si="4"/>
        <v>1/1/2019</v>
      </c>
      <c r="M47" s="21" t="s">
        <v>72</v>
      </c>
      <c r="N47" s="31" t="s">
        <v>594</v>
      </c>
      <c r="O47" s="21" t="s">
        <v>73</v>
      </c>
      <c r="P47" s="21" t="s">
        <v>74</v>
      </c>
      <c r="Q47" s="30">
        <v>25.0</v>
      </c>
    </row>
    <row r="48" ht="16.5" customHeight="1">
      <c r="A48" s="19" t="s">
        <v>31</v>
      </c>
      <c r="B48" s="21" t="s">
        <v>223</v>
      </c>
      <c r="C48" s="21" t="str">
        <f t="shared" si="1"/>
        <v>LORI ANN TUNSTALL</v>
      </c>
      <c r="D48" s="21" t="s">
        <v>88</v>
      </c>
      <c r="F48" s="29">
        <v>9.25469091E8</v>
      </c>
      <c r="G48" s="21" t="s">
        <v>231</v>
      </c>
      <c r="H48" s="32">
        <v>1.0</v>
      </c>
      <c r="I48" s="21" t="s">
        <v>69</v>
      </c>
      <c r="J48" s="21" t="str">
        <f t="shared" si="3"/>
        <v>4/1/2026</v>
      </c>
      <c r="K48" s="21" t="s">
        <v>96</v>
      </c>
      <c r="L48" s="21" t="str">
        <f t="shared" si="4"/>
        <v>1/1/2021</v>
      </c>
      <c r="M48" s="21" t="s">
        <v>170</v>
      </c>
      <c r="N48" s="31" t="s">
        <v>595</v>
      </c>
      <c r="O48" s="21" t="s">
        <v>73</v>
      </c>
      <c r="P48" s="21" t="s">
        <v>171</v>
      </c>
      <c r="Q48" s="30">
        <v>20.0</v>
      </c>
    </row>
    <row r="49" ht="16.5" customHeight="1">
      <c r="A49" s="19" t="s">
        <v>31</v>
      </c>
      <c r="B49" s="21" t="s">
        <v>232</v>
      </c>
      <c r="C49" s="21" t="str">
        <f t="shared" si="1"/>
        <v>MATTHEW DAUGHERTY</v>
      </c>
      <c r="D49" s="21" t="s">
        <v>77</v>
      </c>
      <c r="E49" s="28" t="str">
        <f>IF(D49&gt;1,"[PMPM="&amp;D49&amp;"]","")</f>
        <v>[PMPM=2]</v>
      </c>
      <c r="F49" s="29">
        <v>8.93009355E8</v>
      </c>
      <c r="G49" s="21" t="s">
        <v>234</v>
      </c>
      <c r="H49" s="32">
        <v>1.0</v>
      </c>
      <c r="I49" s="21" t="s">
        <v>69</v>
      </c>
      <c r="J49" s="21" t="str">
        <f t="shared" si="3"/>
        <v>4/1/2026</v>
      </c>
      <c r="K49" s="21" t="s">
        <v>56</v>
      </c>
      <c r="L49" s="21" t="str">
        <f t="shared" si="4"/>
        <v>1/1/2026</v>
      </c>
      <c r="M49" s="21" t="s">
        <v>72</v>
      </c>
      <c r="N49" s="31" t="s">
        <v>594</v>
      </c>
      <c r="O49" s="21" t="s">
        <v>73</v>
      </c>
      <c r="P49" s="21" t="s">
        <v>74</v>
      </c>
      <c r="Q49" s="30">
        <v>50.0</v>
      </c>
    </row>
    <row r="50" ht="16.5" customHeight="1">
      <c r="A50" s="19" t="s">
        <v>31</v>
      </c>
      <c r="B50" s="21" t="s">
        <v>232</v>
      </c>
      <c r="C50" s="21" t="str">
        <f t="shared" si="1"/>
        <v>MATTHEW DAUGHERTY</v>
      </c>
      <c r="D50" s="21" t="s">
        <v>88</v>
      </c>
      <c r="F50" s="29">
        <v>8.9330845E8</v>
      </c>
      <c r="G50" s="21" t="s">
        <v>237</v>
      </c>
      <c r="H50" s="32">
        <v>1.0</v>
      </c>
      <c r="I50" s="21" t="s">
        <v>69</v>
      </c>
      <c r="J50" s="21" t="str">
        <f t="shared" si="3"/>
        <v>4/1/2026</v>
      </c>
      <c r="K50" s="21" t="s">
        <v>80</v>
      </c>
      <c r="L50" s="21" t="str">
        <f t="shared" si="4"/>
        <v>1/1/2023</v>
      </c>
      <c r="M50" s="21" t="s">
        <v>72</v>
      </c>
      <c r="N50" s="31" t="s">
        <v>594</v>
      </c>
      <c r="O50" s="21" t="s">
        <v>73</v>
      </c>
      <c r="P50" s="21" t="s">
        <v>74</v>
      </c>
      <c r="Q50" s="30">
        <v>25.0</v>
      </c>
    </row>
    <row r="51" ht="16.5" customHeight="1">
      <c r="A51" s="19" t="s">
        <v>31</v>
      </c>
      <c r="B51" s="21" t="s">
        <v>232</v>
      </c>
      <c r="C51" s="21" t="str">
        <f t="shared" si="1"/>
        <v>MATTHEW DAUGHERTY</v>
      </c>
      <c r="D51" s="21" t="s">
        <v>77</v>
      </c>
      <c r="E51" s="28" t="str">
        <f>IF(D51&gt;1,"[PMPM="&amp;D51&amp;"]","")</f>
        <v>[PMPM=2]</v>
      </c>
      <c r="F51" s="29">
        <v>8.93625516E8</v>
      </c>
      <c r="G51" s="21" t="s">
        <v>239</v>
      </c>
      <c r="H51" s="32">
        <v>1.0</v>
      </c>
      <c r="I51" s="21" t="s">
        <v>69</v>
      </c>
      <c r="J51" s="21" t="str">
        <f t="shared" si="3"/>
        <v>4/1/2026</v>
      </c>
      <c r="K51" s="21" t="s">
        <v>96</v>
      </c>
      <c r="L51" s="21" t="str">
        <f t="shared" si="4"/>
        <v>1/1/2021</v>
      </c>
      <c r="M51" s="21" t="s">
        <v>72</v>
      </c>
      <c r="N51" s="31" t="s">
        <v>594</v>
      </c>
      <c r="O51" s="21" t="s">
        <v>73</v>
      </c>
      <c r="P51" s="21" t="s">
        <v>74</v>
      </c>
      <c r="Q51" s="30">
        <v>50.0</v>
      </c>
    </row>
    <row r="52" ht="16.5" customHeight="1">
      <c r="A52" s="19" t="s">
        <v>31</v>
      </c>
      <c r="B52" s="21" t="s">
        <v>232</v>
      </c>
      <c r="C52" s="21" t="str">
        <f t="shared" si="1"/>
        <v>MATTHEW DAUGHERTY</v>
      </c>
      <c r="D52" s="21" t="s">
        <v>88</v>
      </c>
      <c r="F52" s="29">
        <v>9.23786834E8</v>
      </c>
      <c r="G52" s="21" t="s">
        <v>242</v>
      </c>
      <c r="H52" s="32">
        <v>1.0</v>
      </c>
      <c r="I52" s="21" t="s">
        <v>69</v>
      </c>
      <c r="J52" s="21" t="str">
        <f t="shared" si="3"/>
        <v>4/1/2026</v>
      </c>
      <c r="K52" s="21" t="s">
        <v>150</v>
      </c>
      <c r="L52" s="21" t="str">
        <f t="shared" si="4"/>
        <v>2/1/2026</v>
      </c>
      <c r="M52" s="21" t="s">
        <v>170</v>
      </c>
      <c r="N52" s="31" t="s">
        <v>595</v>
      </c>
      <c r="O52" s="21" t="s">
        <v>73</v>
      </c>
      <c r="P52" s="21" t="s">
        <v>171</v>
      </c>
      <c r="Q52" s="30">
        <v>20.0</v>
      </c>
    </row>
    <row r="53" ht="16.5" customHeight="1">
      <c r="A53" s="19" t="s">
        <v>31</v>
      </c>
      <c r="B53" s="21" t="s">
        <v>232</v>
      </c>
      <c r="C53" s="21" t="str">
        <f t="shared" si="1"/>
        <v>MATTHEW DAUGHERTY</v>
      </c>
      <c r="D53" s="21" t="s">
        <v>88</v>
      </c>
      <c r="F53" s="29">
        <v>9.23825513E8</v>
      </c>
      <c r="G53" s="21" t="s">
        <v>244</v>
      </c>
      <c r="H53" s="32">
        <v>1.0</v>
      </c>
      <c r="I53" s="21" t="s">
        <v>69</v>
      </c>
      <c r="J53" s="21" t="str">
        <f t="shared" si="3"/>
        <v>4/1/2026</v>
      </c>
      <c r="K53" s="21" t="s">
        <v>56</v>
      </c>
      <c r="L53" s="21" t="str">
        <f t="shared" si="4"/>
        <v>1/1/2026</v>
      </c>
      <c r="M53" s="21" t="s">
        <v>72</v>
      </c>
      <c r="N53" s="31" t="s">
        <v>594</v>
      </c>
      <c r="O53" s="21" t="s">
        <v>73</v>
      </c>
      <c r="P53" s="21" t="s">
        <v>74</v>
      </c>
      <c r="Q53" s="30">
        <v>25.0</v>
      </c>
    </row>
    <row r="54" ht="16.5" customHeight="1">
      <c r="A54" s="19" t="s">
        <v>31</v>
      </c>
      <c r="B54" s="21" t="s">
        <v>232</v>
      </c>
      <c r="C54" s="21" t="str">
        <f t="shared" si="1"/>
        <v>MATTHEW DAUGHERTY</v>
      </c>
      <c r="D54" s="21" t="s">
        <v>88</v>
      </c>
      <c r="F54" s="29">
        <v>9.24867605E8</v>
      </c>
      <c r="G54" s="21" t="s">
        <v>246</v>
      </c>
      <c r="H54" s="32">
        <v>1.0</v>
      </c>
      <c r="I54" s="21" t="s">
        <v>69</v>
      </c>
      <c r="J54" s="21" t="str">
        <f t="shared" si="3"/>
        <v>4/1/2026</v>
      </c>
      <c r="K54" s="21" t="s">
        <v>247</v>
      </c>
      <c r="L54" s="21" t="str">
        <f t="shared" si="4"/>
        <v>9/1/2024</v>
      </c>
      <c r="M54" s="21" t="s">
        <v>72</v>
      </c>
      <c r="N54" s="31" t="s">
        <v>594</v>
      </c>
      <c r="O54" s="21" t="s">
        <v>73</v>
      </c>
      <c r="P54" s="21" t="s">
        <v>74</v>
      </c>
      <c r="Q54" s="30">
        <v>25.0</v>
      </c>
    </row>
    <row r="55" ht="16.5" customHeight="1">
      <c r="A55" s="19" t="s">
        <v>31</v>
      </c>
      <c r="B55" s="21" t="s">
        <v>232</v>
      </c>
      <c r="C55" s="21" t="str">
        <f t="shared" si="1"/>
        <v>MATTHEW DAUGHERTY</v>
      </c>
      <c r="D55" s="21" t="s">
        <v>88</v>
      </c>
      <c r="F55" s="29">
        <v>9.24873354E8</v>
      </c>
      <c r="G55" s="21" t="s">
        <v>251</v>
      </c>
      <c r="H55" s="32">
        <v>1.0</v>
      </c>
      <c r="I55" s="21" t="s">
        <v>69</v>
      </c>
      <c r="J55" s="21" t="str">
        <f t="shared" si="3"/>
        <v>4/1/2026</v>
      </c>
      <c r="K55" s="21" t="s">
        <v>56</v>
      </c>
      <c r="L55" s="21" t="str">
        <f t="shared" si="4"/>
        <v>1/1/2026</v>
      </c>
      <c r="M55" s="21" t="s">
        <v>72</v>
      </c>
      <c r="N55" s="31" t="s">
        <v>594</v>
      </c>
      <c r="O55" s="21" t="s">
        <v>73</v>
      </c>
      <c r="P55" s="21" t="s">
        <v>74</v>
      </c>
      <c r="Q55" s="30">
        <v>25.0</v>
      </c>
    </row>
    <row r="56" ht="16.5" customHeight="1">
      <c r="A56" s="19" t="s">
        <v>31</v>
      </c>
      <c r="B56" s="21" t="s">
        <v>232</v>
      </c>
      <c r="C56" s="21" t="str">
        <f t="shared" si="1"/>
        <v>MATTHEW DAUGHERTY</v>
      </c>
      <c r="D56" s="21" t="s">
        <v>88</v>
      </c>
      <c r="F56" s="29">
        <v>9.24955708E8</v>
      </c>
      <c r="G56" s="21" t="s">
        <v>254</v>
      </c>
      <c r="H56" s="32">
        <v>1.0</v>
      </c>
      <c r="I56" s="21" t="s">
        <v>69</v>
      </c>
      <c r="J56" s="21" t="str">
        <f t="shared" si="3"/>
        <v>4/1/2026</v>
      </c>
      <c r="K56" s="21" t="s">
        <v>255</v>
      </c>
      <c r="L56" s="21" t="str">
        <f t="shared" si="4"/>
        <v>1/1/2020</v>
      </c>
      <c r="M56" s="21" t="s">
        <v>72</v>
      </c>
      <c r="N56" s="31" t="s">
        <v>594</v>
      </c>
      <c r="O56" s="21" t="s">
        <v>73</v>
      </c>
      <c r="P56" s="21" t="s">
        <v>74</v>
      </c>
      <c r="Q56" s="30">
        <v>25.0</v>
      </c>
    </row>
    <row r="57" ht="16.5" customHeight="1">
      <c r="A57" s="19" t="s">
        <v>31</v>
      </c>
      <c r="B57" s="21" t="s">
        <v>232</v>
      </c>
      <c r="C57" s="21" t="str">
        <f t="shared" si="1"/>
        <v>MATTHEW DAUGHERTY</v>
      </c>
      <c r="D57" s="21" t="s">
        <v>88</v>
      </c>
      <c r="F57" s="29">
        <v>9.24984155E8</v>
      </c>
      <c r="G57" s="21" t="s">
        <v>258</v>
      </c>
      <c r="H57" s="32">
        <v>1.0</v>
      </c>
      <c r="I57" s="21" t="s">
        <v>69</v>
      </c>
      <c r="J57" s="21" t="str">
        <f t="shared" si="3"/>
        <v>4/1/2026</v>
      </c>
      <c r="K57" s="21" t="s">
        <v>70</v>
      </c>
      <c r="L57" s="21" t="str">
        <f t="shared" si="4"/>
        <v>1/1/2022</v>
      </c>
      <c r="M57" s="21" t="s">
        <v>170</v>
      </c>
      <c r="N57" s="31" t="s">
        <v>595</v>
      </c>
      <c r="O57" s="21" t="s">
        <v>73</v>
      </c>
      <c r="P57" s="21" t="s">
        <v>171</v>
      </c>
      <c r="Q57" s="30">
        <v>20.0</v>
      </c>
    </row>
    <row r="58" ht="16.5" customHeight="1">
      <c r="A58" s="19" t="s">
        <v>31</v>
      </c>
      <c r="B58" s="21" t="s">
        <v>232</v>
      </c>
      <c r="C58" s="21" t="str">
        <f t="shared" si="1"/>
        <v>MATTHEW DAUGHERTY</v>
      </c>
      <c r="D58" s="21" t="s">
        <v>88</v>
      </c>
      <c r="F58" s="29">
        <v>9.24984155E8</v>
      </c>
      <c r="G58" s="21" t="s">
        <v>258</v>
      </c>
      <c r="H58" s="32">
        <v>1.0</v>
      </c>
      <c r="I58" s="21" t="s">
        <v>41</v>
      </c>
      <c r="J58" s="21" t="str">
        <f t="shared" si="3"/>
        <v>3/1/2026</v>
      </c>
      <c r="K58" s="21" t="s">
        <v>70</v>
      </c>
      <c r="L58" s="21" t="str">
        <f t="shared" si="4"/>
        <v>1/1/2022</v>
      </c>
      <c r="M58" s="21" t="s">
        <v>170</v>
      </c>
      <c r="N58" s="31" t="s">
        <v>595</v>
      </c>
      <c r="O58" s="21" t="s">
        <v>73</v>
      </c>
      <c r="P58" s="21" t="s">
        <v>171</v>
      </c>
      <c r="Q58" s="30">
        <v>20.0</v>
      </c>
    </row>
    <row r="59" ht="16.5" customHeight="1">
      <c r="A59" s="19" t="s">
        <v>31</v>
      </c>
      <c r="B59" s="21" t="s">
        <v>232</v>
      </c>
      <c r="C59" s="21" t="str">
        <f t="shared" si="1"/>
        <v>MATTHEW DAUGHERTY</v>
      </c>
      <c r="D59" s="21" t="s">
        <v>88</v>
      </c>
      <c r="F59" s="29">
        <v>9.25148516E8</v>
      </c>
      <c r="G59" s="21" t="s">
        <v>260</v>
      </c>
      <c r="H59" s="32">
        <v>1.0</v>
      </c>
      <c r="I59" s="21" t="s">
        <v>69</v>
      </c>
      <c r="J59" s="21" t="str">
        <f t="shared" si="3"/>
        <v>4/1/2026</v>
      </c>
      <c r="K59" s="21" t="s">
        <v>261</v>
      </c>
      <c r="L59" s="21" t="str">
        <f t="shared" si="4"/>
        <v>3/1/2017</v>
      </c>
      <c r="M59" s="21" t="s">
        <v>72</v>
      </c>
      <c r="N59" s="31" t="s">
        <v>594</v>
      </c>
      <c r="O59" s="21" t="s">
        <v>73</v>
      </c>
      <c r="P59" s="21" t="s">
        <v>74</v>
      </c>
      <c r="Q59" s="30">
        <v>25.0</v>
      </c>
    </row>
    <row r="60" ht="16.5" customHeight="1">
      <c r="A60" s="19" t="s">
        <v>31</v>
      </c>
      <c r="B60" s="21" t="s">
        <v>232</v>
      </c>
      <c r="C60" s="21" t="str">
        <f t="shared" si="1"/>
        <v>MATTHEW DAUGHERTY</v>
      </c>
      <c r="D60" s="21" t="s">
        <v>88</v>
      </c>
      <c r="F60" s="29">
        <v>9.25183832E8</v>
      </c>
      <c r="G60" s="21" t="s">
        <v>264</v>
      </c>
      <c r="H60" s="32">
        <v>1.0</v>
      </c>
      <c r="I60" s="21" t="s">
        <v>69</v>
      </c>
      <c r="J60" s="21" t="str">
        <f t="shared" si="3"/>
        <v>4/1/2026</v>
      </c>
      <c r="K60" s="21" t="s">
        <v>265</v>
      </c>
      <c r="L60" s="21" t="str">
        <f t="shared" si="4"/>
        <v>4/1/2024</v>
      </c>
      <c r="M60" s="21" t="s">
        <v>72</v>
      </c>
      <c r="N60" s="31" t="s">
        <v>594</v>
      </c>
      <c r="O60" s="21" t="s">
        <v>73</v>
      </c>
      <c r="P60" s="21" t="s">
        <v>74</v>
      </c>
      <c r="Q60" s="30">
        <v>25.0</v>
      </c>
    </row>
    <row r="61" ht="16.5" customHeight="1">
      <c r="A61" s="19" t="s">
        <v>31</v>
      </c>
      <c r="B61" s="21" t="s">
        <v>232</v>
      </c>
      <c r="C61" s="21" t="str">
        <f t="shared" si="1"/>
        <v>MATTHEW DAUGHERTY</v>
      </c>
      <c r="D61" s="21" t="s">
        <v>88</v>
      </c>
      <c r="F61" s="29">
        <v>9.25278861E8</v>
      </c>
      <c r="G61" s="21" t="s">
        <v>268</v>
      </c>
      <c r="H61" s="32">
        <v>1.0</v>
      </c>
      <c r="I61" s="21" t="s">
        <v>69</v>
      </c>
      <c r="J61" s="21" t="str">
        <f t="shared" si="3"/>
        <v>4/1/2026</v>
      </c>
      <c r="K61" s="21" t="s">
        <v>226</v>
      </c>
      <c r="L61" s="21" t="str">
        <f t="shared" si="4"/>
        <v>1/1/2019</v>
      </c>
      <c r="M61" s="21" t="s">
        <v>170</v>
      </c>
      <c r="N61" s="31" t="s">
        <v>595</v>
      </c>
      <c r="O61" s="21" t="s">
        <v>73</v>
      </c>
      <c r="P61" s="21" t="s">
        <v>171</v>
      </c>
      <c r="Q61" s="30">
        <v>20.0</v>
      </c>
    </row>
    <row r="62" ht="16.5" customHeight="1">
      <c r="A62" s="19" t="s">
        <v>31</v>
      </c>
      <c r="B62" s="21" t="s">
        <v>232</v>
      </c>
      <c r="C62" s="21" t="str">
        <f t="shared" si="1"/>
        <v>MATTHEW DAUGHERTY</v>
      </c>
      <c r="D62" s="21" t="s">
        <v>88</v>
      </c>
      <c r="F62" s="29">
        <v>9.25352115E8</v>
      </c>
      <c r="G62" s="21" t="s">
        <v>270</v>
      </c>
      <c r="H62" s="32">
        <v>1.0</v>
      </c>
      <c r="I62" s="21" t="s">
        <v>69</v>
      </c>
      <c r="J62" s="21" t="str">
        <f t="shared" si="3"/>
        <v>4/1/2026</v>
      </c>
      <c r="K62" s="21" t="s">
        <v>271</v>
      </c>
      <c r="L62" s="21" t="str">
        <f t="shared" si="4"/>
        <v>12/1/2019</v>
      </c>
      <c r="M62" s="21" t="s">
        <v>72</v>
      </c>
      <c r="N62" s="31" t="s">
        <v>594</v>
      </c>
      <c r="O62" s="21" t="s">
        <v>73</v>
      </c>
      <c r="P62" s="21" t="s">
        <v>74</v>
      </c>
      <c r="Q62" s="30">
        <v>25.0</v>
      </c>
    </row>
    <row r="63" ht="16.5" customHeight="1">
      <c r="A63" s="19" t="s">
        <v>31</v>
      </c>
      <c r="B63" s="21" t="s">
        <v>232</v>
      </c>
      <c r="C63" s="21" t="str">
        <f t="shared" si="1"/>
        <v>MATTHEW DAUGHERTY</v>
      </c>
      <c r="D63" s="21" t="s">
        <v>88</v>
      </c>
      <c r="F63" s="29">
        <v>9.25361549E8</v>
      </c>
      <c r="G63" s="21" t="s">
        <v>274</v>
      </c>
      <c r="H63" s="32">
        <v>1.0</v>
      </c>
      <c r="I63" s="21" t="s">
        <v>69</v>
      </c>
      <c r="J63" s="21" t="str">
        <f t="shared" si="3"/>
        <v>4/1/2026</v>
      </c>
      <c r="K63" s="21" t="s">
        <v>150</v>
      </c>
      <c r="L63" s="21" t="str">
        <f t="shared" si="4"/>
        <v>2/1/2026</v>
      </c>
      <c r="M63" s="21" t="s">
        <v>72</v>
      </c>
      <c r="N63" s="31" t="s">
        <v>594</v>
      </c>
      <c r="O63" s="21" t="s">
        <v>73</v>
      </c>
      <c r="P63" s="21" t="s">
        <v>74</v>
      </c>
      <c r="Q63" s="30">
        <v>25.0</v>
      </c>
    </row>
    <row r="64" ht="16.5" customHeight="1">
      <c r="A64" s="19" t="s">
        <v>31</v>
      </c>
      <c r="B64" s="21" t="s">
        <v>232</v>
      </c>
      <c r="C64" s="21" t="str">
        <f t="shared" si="1"/>
        <v>MATTHEW DAUGHERTY</v>
      </c>
      <c r="D64" s="21" t="s">
        <v>88</v>
      </c>
      <c r="F64" s="29">
        <v>9.2538822E8</v>
      </c>
      <c r="G64" s="21" t="s">
        <v>276</v>
      </c>
      <c r="H64" s="32">
        <v>1.0</v>
      </c>
      <c r="I64" s="21" t="s">
        <v>69</v>
      </c>
      <c r="J64" s="21" t="str">
        <f t="shared" si="3"/>
        <v>4/1/2026</v>
      </c>
      <c r="K64" s="21" t="s">
        <v>41</v>
      </c>
      <c r="L64" s="21" t="str">
        <f t="shared" si="4"/>
        <v>3/1/2026</v>
      </c>
      <c r="M64" s="21" t="s">
        <v>72</v>
      </c>
      <c r="N64" s="31" t="s">
        <v>594</v>
      </c>
      <c r="O64" s="21" t="s">
        <v>73</v>
      </c>
      <c r="P64" s="21" t="s">
        <v>74</v>
      </c>
      <c r="Q64" s="30">
        <v>25.0</v>
      </c>
    </row>
    <row r="65" ht="16.5" customHeight="1">
      <c r="A65" s="19" t="s">
        <v>31</v>
      </c>
      <c r="B65" s="21" t="s">
        <v>232</v>
      </c>
      <c r="C65" s="21" t="str">
        <f t="shared" si="1"/>
        <v>MATTHEW DAUGHERTY</v>
      </c>
      <c r="D65" s="21" t="s">
        <v>88</v>
      </c>
      <c r="F65" s="29">
        <v>9.2544446E8</v>
      </c>
      <c r="G65" s="21" t="s">
        <v>278</v>
      </c>
      <c r="H65" s="32">
        <v>1.0</v>
      </c>
      <c r="I65" s="21" t="s">
        <v>69</v>
      </c>
      <c r="J65" s="21" t="str">
        <f t="shared" si="3"/>
        <v>4/1/2026</v>
      </c>
      <c r="K65" s="21" t="s">
        <v>168</v>
      </c>
      <c r="L65" s="21" t="str">
        <f t="shared" si="4"/>
        <v>5/1/2025</v>
      </c>
      <c r="M65" s="21" t="s">
        <v>170</v>
      </c>
      <c r="N65" s="31" t="s">
        <v>595</v>
      </c>
      <c r="O65" s="21" t="s">
        <v>73</v>
      </c>
      <c r="P65" s="21" t="s">
        <v>171</v>
      </c>
      <c r="Q65" s="30">
        <v>20.0</v>
      </c>
    </row>
    <row r="66" ht="16.5" customHeight="1">
      <c r="A66" s="19" t="s">
        <v>31</v>
      </c>
      <c r="B66" s="21" t="s">
        <v>232</v>
      </c>
      <c r="C66" s="21" t="str">
        <f t="shared" si="1"/>
        <v>MATTHEW DAUGHERTY</v>
      </c>
      <c r="D66" s="21" t="s">
        <v>88</v>
      </c>
      <c r="F66" s="29">
        <v>9.25488083E8</v>
      </c>
      <c r="G66" s="21" t="s">
        <v>280</v>
      </c>
      <c r="H66" s="32">
        <v>1.0</v>
      </c>
      <c r="I66" s="21" t="s">
        <v>69</v>
      </c>
      <c r="J66" s="21" t="str">
        <f t="shared" si="3"/>
        <v>4/1/2026</v>
      </c>
      <c r="K66" s="21" t="s">
        <v>96</v>
      </c>
      <c r="L66" s="21" t="str">
        <f t="shared" si="4"/>
        <v>1/1/2021</v>
      </c>
      <c r="M66" s="21" t="s">
        <v>72</v>
      </c>
      <c r="N66" s="31" t="s">
        <v>594</v>
      </c>
      <c r="O66" s="21" t="s">
        <v>73</v>
      </c>
      <c r="P66" s="21" t="s">
        <v>74</v>
      </c>
      <c r="Q66" s="30">
        <v>25.0</v>
      </c>
    </row>
    <row r="67" ht="16.5" customHeight="1">
      <c r="A67" s="19" t="s">
        <v>31</v>
      </c>
      <c r="B67" s="21" t="s">
        <v>232</v>
      </c>
      <c r="C67" s="21" t="str">
        <f t="shared" si="1"/>
        <v>MATTHEW DAUGHERTY</v>
      </c>
      <c r="D67" s="21" t="s">
        <v>88</v>
      </c>
      <c r="F67" s="29">
        <v>9.25553385E8</v>
      </c>
      <c r="G67" s="21" t="s">
        <v>282</v>
      </c>
      <c r="H67" s="32">
        <v>1.0</v>
      </c>
      <c r="I67" s="21" t="s">
        <v>69</v>
      </c>
      <c r="J67" s="21" t="str">
        <f t="shared" si="3"/>
        <v>4/1/2026</v>
      </c>
      <c r="K67" s="21" t="s">
        <v>283</v>
      </c>
      <c r="L67" s="21" t="str">
        <f t="shared" si="4"/>
        <v>6/1/2021</v>
      </c>
      <c r="M67" s="21" t="s">
        <v>72</v>
      </c>
      <c r="N67" s="31" t="s">
        <v>594</v>
      </c>
      <c r="O67" s="21" t="s">
        <v>73</v>
      </c>
      <c r="P67" s="21" t="s">
        <v>74</v>
      </c>
      <c r="Q67" s="30">
        <v>25.0</v>
      </c>
    </row>
    <row r="68" ht="16.5" customHeight="1">
      <c r="A68" s="19" t="s">
        <v>31</v>
      </c>
      <c r="B68" s="21" t="s">
        <v>232</v>
      </c>
      <c r="C68" s="21" t="str">
        <f t="shared" si="1"/>
        <v>MATTHEW DAUGHERTY</v>
      </c>
      <c r="D68" s="21" t="s">
        <v>88</v>
      </c>
      <c r="F68" s="29">
        <v>9.25609037E8</v>
      </c>
      <c r="G68" s="21" t="s">
        <v>286</v>
      </c>
      <c r="H68" s="32">
        <v>1.0</v>
      </c>
      <c r="I68" s="21" t="s">
        <v>69</v>
      </c>
      <c r="J68" s="21" t="str">
        <f t="shared" si="3"/>
        <v>4/1/2026</v>
      </c>
      <c r="K68" s="21" t="s">
        <v>70</v>
      </c>
      <c r="L68" s="21" t="str">
        <f t="shared" si="4"/>
        <v>1/1/2022</v>
      </c>
      <c r="M68" s="21" t="s">
        <v>72</v>
      </c>
      <c r="N68" s="31" t="s">
        <v>594</v>
      </c>
      <c r="O68" s="21" t="s">
        <v>73</v>
      </c>
      <c r="P68" s="21" t="s">
        <v>74</v>
      </c>
      <c r="Q68" s="30">
        <v>25.0</v>
      </c>
    </row>
    <row r="69" ht="16.5" customHeight="1">
      <c r="A69" s="19" t="s">
        <v>31</v>
      </c>
      <c r="B69" s="21" t="s">
        <v>232</v>
      </c>
      <c r="C69" s="21" t="str">
        <f t="shared" si="1"/>
        <v>MATTHEW DAUGHERTY</v>
      </c>
      <c r="D69" s="21" t="s">
        <v>287</v>
      </c>
      <c r="E69" s="28" t="str">
        <f>IF(D69&gt;1,"[PMPM="&amp;D69&amp;"]","")</f>
        <v>[PMPM=5]</v>
      </c>
      <c r="F69" s="29">
        <v>9.25626716E8</v>
      </c>
      <c r="G69" s="21" t="s">
        <v>289</v>
      </c>
      <c r="H69" s="32">
        <v>1.0</v>
      </c>
      <c r="I69" s="21" t="s">
        <v>69</v>
      </c>
      <c r="J69" s="21" t="str">
        <f t="shared" si="3"/>
        <v>4/1/2026</v>
      </c>
      <c r="K69" s="21" t="s">
        <v>154</v>
      </c>
      <c r="L69" s="21" t="str">
        <f t="shared" si="4"/>
        <v>1/1/2024</v>
      </c>
      <c r="M69" s="21" t="s">
        <v>72</v>
      </c>
      <c r="N69" s="31" t="s">
        <v>594</v>
      </c>
      <c r="O69" s="21" t="s">
        <v>73</v>
      </c>
      <c r="P69" s="21" t="s">
        <v>74</v>
      </c>
      <c r="Q69" s="30">
        <v>125.0</v>
      </c>
    </row>
    <row r="70" ht="16.5" customHeight="1">
      <c r="A70" s="19" t="s">
        <v>31</v>
      </c>
      <c r="B70" s="21" t="s">
        <v>232</v>
      </c>
      <c r="C70" s="21" t="str">
        <f t="shared" si="1"/>
        <v>MATTHEW DAUGHERTY</v>
      </c>
      <c r="D70" s="21" t="s">
        <v>88</v>
      </c>
      <c r="F70" s="29">
        <v>9.25844008E8</v>
      </c>
      <c r="G70" s="21" t="s">
        <v>292</v>
      </c>
      <c r="H70" s="32">
        <v>1.0</v>
      </c>
      <c r="I70" s="21" t="s">
        <v>69</v>
      </c>
      <c r="J70" s="21" t="str">
        <f t="shared" si="3"/>
        <v>4/1/2026</v>
      </c>
      <c r="K70" s="21" t="s">
        <v>293</v>
      </c>
      <c r="L70" s="21" t="str">
        <f t="shared" si="4"/>
        <v>1/1/2025</v>
      </c>
      <c r="M70" s="21" t="s">
        <v>72</v>
      </c>
      <c r="N70" s="31" t="s">
        <v>594</v>
      </c>
      <c r="O70" s="21" t="s">
        <v>73</v>
      </c>
      <c r="P70" s="21" t="s">
        <v>74</v>
      </c>
      <c r="Q70" s="30">
        <v>25.0</v>
      </c>
    </row>
    <row r="71" ht="16.5" customHeight="1">
      <c r="A71" s="19" t="s">
        <v>31</v>
      </c>
      <c r="B71" s="21" t="s">
        <v>232</v>
      </c>
      <c r="C71" s="21" t="str">
        <f t="shared" si="1"/>
        <v>MATTHEW DAUGHERTY</v>
      </c>
      <c r="D71" s="21" t="s">
        <v>88</v>
      </c>
      <c r="F71" s="29">
        <v>9.25844008E8</v>
      </c>
      <c r="G71" s="21" t="s">
        <v>292</v>
      </c>
      <c r="H71" s="32">
        <v>1.0</v>
      </c>
      <c r="I71" s="21" t="s">
        <v>41</v>
      </c>
      <c r="J71" s="21" t="str">
        <f t="shared" si="3"/>
        <v>3/1/2026</v>
      </c>
      <c r="K71" s="21" t="s">
        <v>293</v>
      </c>
      <c r="L71" s="21" t="str">
        <f t="shared" si="4"/>
        <v>1/1/2025</v>
      </c>
      <c r="M71" s="21" t="s">
        <v>72</v>
      </c>
      <c r="N71" s="31" t="s">
        <v>594</v>
      </c>
      <c r="O71" s="21" t="s">
        <v>73</v>
      </c>
      <c r="P71" s="21" t="s">
        <v>74</v>
      </c>
      <c r="Q71" s="30">
        <v>25.0</v>
      </c>
    </row>
    <row r="72" ht="16.5" customHeight="1">
      <c r="A72" s="19" t="s">
        <v>31</v>
      </c>
      <c r="B72" s="21" t="s">
        <v>232</v>
      </c>
      <c r="C72" s="21" t="str">
        <f t="shared" si="1"/>
        <v>MATTHEW DAUGHERTY</v>
      </c>
      <c r="D72" s="21" t="s">
        <v>88</v>
      </c>
      <c r="F72" s="29">
        <v>9.25914971E8</v>
      </c>
      <c r="G72" s="21" t="s">
        <v>297</v>
      </c>
      <c r="H72" s="32">
        <v>1.0</v>
      </c>
      <c r="I72" s="21" t="s">
        <v>69</v>
      </c>
      <c r="J72" s="21" t="str">
        <f t="shared" si="3"/>
        <v>4/1/2026</v>
      </c>
      <c r="K72" s="21" t="s">
        <v>298</v>
      </c>
      <c r="L72" s="21" t="str">
        <f t="shared" si="4"/>
        <v>2/1/2023</v>
      </c>
      <c r="M72" s="21" t="s">
        <v>72</v>
      </c>
      <c r="N72" s="31" t="s">
        <v>594</v>
      </c>
      <c r="O72" s="21" t="s">
        <v>73</v>
      </c>
      <c r="P72" s="21" t="s">
        <v>74</v>
      </c>
      <c r="Q72" s="30">
        <v>25.0</v>
      </c>
    </row>
    <row r="73" ht="16.5" customHeight="1">
      <c r="A73" s="19" t="s">
        <v>31</v>
      </c>
      <c r="B73" s="21" t="s">
        <v>232</v>
      </c>
      <c r="C73" s="21" t="str">
        <f t="shared" si="1"/>
        <v>MATTHEW DAUGHERTY</v>
      </c>
      <c r="D73" s="21" t="s">
        <v>77</v>
      </c>
      <c r="E73" s="28" t="str">
        <f>IF(D73&gt;1,"[PMPM="&amp;D73&amp;"]","")</f>
        <v>[PMPM=2]</v>
      </c>
      <c r="F73" s="29">
        <v>9.27920962E8</v>
      </c>
      <c r="G73" s="21" t="s">
        <v>301</v>
      </c>
      <c r="H73" s="32">
        <v>1.0</v>
      </c>
      <c r="I73" s="21" t="s">
        <v>41</v>
      </c>
      <c r="J73" s="21" t="str">
        <f t="shared" si="3"/>
        <v>3/1/2026</v>
      </c>
      <c r="K73" s="21" t="s">
        <v>298</v>
      </c>
      <c r="L73" s="21" t="str">
        <f t="shared" si="4"/>
        <v>2/1/2023</v>
      </c>
      <c r="M73" s="21" t="s">
        <v>72</v>
      </c>
      <c r="N73" s="31" t="s">
        <v>594</v>
      </c>
      <c r="O73" s="21" t="s">
        <v>73</v>
      </c>
      <c r="P73" s="21" t="s">
        <v>74</v>
      </c>
      <c r="Q73" s="30">
        <v>50.0</v>
      </c>
    </row>
    <row r="74" ht="16.5" customHeight="1">
      <c r="A74" s="19" t="s">
        <v>31</v>
      </c>
      <c r="B74" s="21" t="s">
        <v>232</v>
      </c>
      <c r="C74" s="21" t="str">
        <f t="shared" si="1"/>
        <v>MATTHEW DAUGHERTY</v>
      </c>
      <c r="D74" s="21" t="s">
        <v>88</v>
      </c>
      <c r="F74" s="29">
        <v>9.43019454E8</v>
      </c>
      <c r="G74" s="21" t="s">
        <v>303</v>
      </c>
      <c r="H74" s="32">
        <v>1.0</v>
      </c>
      <c r="I74" s="21" t="s">
        <v>69</v>
      </c>
      <c r="J74" s="21" t="str">
        <f t="shared" si="3"/>
        <v>4/1/2026</v>
      </c>
      <c r="K74" s="21" t="s">
        <v>168</v>
      </c>
      <c r="L74" s="21" t="str">
        <f t="shared" si="4"/>
        <v>5/1/2025</v>
      </c>
      <c r="M74" s="21" t="s">
        <v>170</v>
      </c>
      <c r="N74" s="31" t="s">
        <v>595</v>
      </c>
      <c r="O74" s="21" t="s">
        <v>73</v>
      </c>
      <c r="P74" s="21" t="s">
        <v>171</v>
      </c>
      <c r="Q74" s="30">
        <v>20.0</v>
      </c>
    </row>
    <row r="75" ht="16.5" customHeight="1">
      <c r="A75" s="19" t="s">
        <v>31</v>
      </c>
      <c r="B75" s="21" t="s">
        <v>232</v>
      </c>
      <c r="C75" s="21" t="str">
        <f t="shared" si="1"/>
        <v>MATTHEW DAUGHERTY</v>
      </c>
      <c r="D75" s="21" t="s">
        <v>88</v>
      </c>
      <c r="F75" s="29">
        <v>9.43637302E8</v>
      </c>
      <c r="G75" s="21" t="s">
        <v>305</v>
      </c>
      <c r="H75" s="32">
        <v>1.0</v>
      </c>
      <c r="I75" s="21" t="s">
        <v>69</v>
      </c>
      <c r="J75" s="21" t="str">
        <f t="shared" si="3"/>
        <v>4/1/2026</v>
      </c>
      <c r="K75" s="21" t="s">
        <v>56</v>
      </c>
      <c r="L75" s="21" t="str">
        <f t="shared" si="4"/>
        <v>1/1/2026</v>
      </c>
      <c r="M75" s="21" t="s">
        <v>170</v>
      </c>
      <c r="N75" s="31" t="s">
        <v>595</v>
      </c>
      <c r="O75" s="21" t="s">
        <v>73</v>
      </c>
      <c r="P75" s="21" t="s">
        <v>171</v>
      </c>
      <c r="Q75" s="30">
        <v>20.0</v>
      </c>
    </row>
    <row r="76" ht="16.5" customHeight="1">
      <c r="A76" s="19" t="s">
        <v>31</v>
      </c>
      <c r="B76" s="21" t="s">
        <v>232</v>
      </c>
      <c r="C76" s="21" t="str">
        <f t="shared" si="1"/>
        <v>MATTHEW DAUGHERTY</v>
      </c>
      <c r="D76" s="21" t="s">
        <v>66</v>
      </c>
      <c r="E76" s="28" t="str">
        <f t="shared" ref="E76:E80" si="8">IF(D76&gt;1,"[PMPM="&amp;D76&amp;"]","")</f>
        <v>[PMPM=3]</v>
      </c>
      <c r="F76" s="29">
        <v>9.43724625E8</v>
      </c>
      <c r="G76" s="21" t="s">
        <v>307</v>
      </c>
      <c r="H76" s="32">
        <v>1.0</v>
      </c>
      <c r="I76" s="21" t="s">
        <v>69</v>
      </c>
      <c r="J76" s="21" t="str">
        <f t="shared" si="3"/>
        <v>4/1/2026</v>
      </c>
      <c r="K76" s="21" t="s">
        <v>160</v>
      </c>
      <c r="L76" s="21" t="str">
        <f t="shared" si="4"/>
        <v>3/1/2024</v>
      </c>
      <c r="M76" s="21" t="s">
        <v>170</v>
      </c>
      <c r="N76" s="31" t="s">
        <v>595</v>
      </c>
      <c r="O76" s="21" t="s">
        <v>73</v>
      </c>
      <c r="P76" s="21" t="s">
        <v>171</v>
      </c>
      <c r="Q76" s="30">
        <v>60.0</v>
      </c>
    </row>
    <row r="77" ht="16.5" customHeight="1">
      <c r="A77" s="19" t="s">
        <v>31</v>
      </c>
      <c r="B77" s="21" t="s">
        <v>232</v>
      </c>
      <c r="C77" s="21" t="str">
        <f t="shared" si="1"/>
        <v>MATTHEW DAUGHERTY</v>
      </c>
      <c r="D77" s="21" t="s">
        <v>287</v>
      </c>
      <c r="E77" s="28" t="str">
        <f t="shared" si="8"/>
        <v>[PMPM=5]</v>
      </c>
      <c r="F77" s="29">
        <v>9.43937057E8</v>
      </c>
      <c r="G77" s="21" t="s">
        <v>309</v>
      </c>
      <c r="H77" s="32">
        <v>1.0</v>
      </c>
      <c r="I77" s="21" t="s">
        <v>69</v>
      </c>
      <c r="J77" s="21" t="str">
        <f t="shared" si="3"/>
        <v>4/1/2026</v>
      </c>
      <c r="K77" s="21" t="s">
        <v>310</v>
      </c>
      <c r="L77" s="21" t="str">
        <f t="shared" si="4"/>
        <v>8/1/2024</v>
      </c>
      <c r="M77" s="21" t="s">
        <v>72</v>
      </c>
      <c r="N77" s="31" t="s">
        <v>594</v>
      </c>
      <c r="O77" s="21" t="s">
        <v>73</v>
      </c>
      <c r="P77" s="21" t="s">
        <v>74</v>
      </c>
      <c r="Q77" s="30">
        <v>125.0</v>
      </c>
    </row>
    <row r="78" ht="16.5" customHeight="1">
      <c r="A78" s="19" t="s">
        <v>31</v>
      </c>
      <c r="B78" s="21" t="s">
        <v>232</v>
      </c>
      <c r="C78" s="21" t="str">
        <f t="shared" si="1"/>
        <v>MATTHEW DAUGHERTY</v>
      </c>
      <c r="D78" s="21" t="s">
        <v>66</v>
      </c>
      <c r="E78" s="28" t="str">
        <f t="shared" si="8"/>
        <v>[PMPM=3]</v>
      </c>
      <c r="F78" s="29">
        <v>9.44157847E8</v>
      </c>
      <c r="G78" s="21" t="s">
        <v>313</v>
      </c>
      <c r="H78" s="32">
        <v>1.0</v>
      </c>
      <c r="I78" s="21" t="s">
        <v>69</v>
      </c>
      <c r="J78" s="21" t="str">
        <f t="shared" si="3"/>
        <v>4/1/2026</v>
      </c>
      <c r="K78" s="21" t="s">
        <v>293</v>
      </c>
      <c r="L78" s="21" t="str">
        <f t="shared" si="4"/>
        <v>1/1/2025</v>
      </c>
      <c r="M78" s="21" t="s">
        <v>170</v>
      </c>
      <c r="N78" s="31" t="s">
        <v>595</v>
      </c>
      <c r="O78" s="21" t="s">
        <v>73</v>
      </c>
      <c r="P78" s="21" t="s">
        <v>171</v>
      </c>
      <c r="Q78" s="30">
        <v>60.0</v>
      </c>
    </row>
    <row r="79" ht="16.5" customHeight="1">
      <c r="A79" s="19" t="s">
        <v>31</v>
      </c>
      <c r="B79" s="21" t="s">
        <v>232</v>
      </c>
      <c r="C79" s="21" t="str">
        <f t="shared" si="1"/>
        <v>MATTHEW DAUGHERTY</v>
      </c>
      <c r="D79" s="21" t="s">
        <v>66</v>
      </c>
      <c r="E79" s="28" t="str">
        <f t="shared" si="8"/>
        <v>[PMPM=3]</v>
      </c>
      <c r="F79" s="29">
        <v>9.44185904E8</v>
      </c>
      <c r="G79" s="21" t="s">
        <v>315</v>
      </c>
      <c r="H79" s="32">
        <v>1.0</v>
      </c>
      <c r="I79" s="21" t="s">
        <v>41</v>
      </c>
      <c r="J79" s="21" t="str">
        <f t="shared" si="3"/>
        <v>3/1/2026</v>
      </c>
      <c r="K79" s="21" t="s">
        <v>316</v>
      </c>
      <c r="L79" s="21" t="str">
        <f t="shared" si="4"/>
        <v>2/1/2025</v>
      </c>
      <c r="M79" s="21" t="s">
        <v>72</v>
      </c>
      <c r="N79" s="31" t="s">
        <v>594</v>
      </c>
      <c r="O79" s="21" t="s">
        <v>73</v>
      </c>
      <c r="P79" s="21" t="s">
        <v>74</v>
      </c>
      <c r="Q79" s="30">
        <v>75.0</v>
      </c>
    </row>
    <row r="80" ht="16.5" customHeight="1">
      <c r="A80" s="19" t="s">
        <v>31</v>
      </c>
      <c r="B80" s="21" t="s">
        <v>232</v>
      </c>
      <c r="C80" s="21" t="str">
        <f t="shared" si="1"/>
        <v>MATTHEW DAUGHERTY</v>
      </c>
      <c r="D80" s="21" t="s">
        <v>66</v>
      </c>
      <c r="E80" s="28" t="str">
        <f t="shared" si="8"/>
        <v>[PMPM=3]</v>
      </c>
      <c r="F80" s="29">
        <v>9.44185904E8</v>
      </c>
      <c r="G80" s="21" t="s">
        <v>315</v>
      </c>
      <c r="H80" s="32">
        <v>1.0</v>
      </c>
      <c r="I80" s="21" t="s">
        <v>150</v>
      </c>
      <c r="J80" s="21" t="str">
        <f t="shared" si="3"/>
        <v>2/1/2026</v>
      </c>
      <c r="K80" s="21" t="s">
        <v>316</v>
      </c>
      <c r="L80" s="21" t="str">
        <f t="shared" si="4"/>
        <v>2/1/2025</v>
      </c>
      <c r="M80" s="21" t="s">
        <v>72</v>
      </c>
      <c r="N80" s="31" t="s">
        <v>594</v>
      </c>
      <c r="O80" s="21" t="s">
        <v>73</v>
      </c>
      <c r="P80" s="21" t="s">
        <v>74</v>
      </c>
      <c r="Q80" s="30">
        <v>75.0</v>
      </c>
    </row>
    <row r="81" ht="16.5" customHeight="1">
      <c r="A81" s="19" t="s">
        <v>31</v>
      </c>
      <c r="B81" s="21" t="s">
        <v>232</v>
      </c>
      <c r="C81" s="21" t="str">
        <f t="shared" si="1"/>
        <v>MATTHEW DAUGHERTY</v>
      </c>
      <c r="D81" s="21" t="s">
        <v>88</v>
      </c>
      <c r="F81" s="29">
        <v>9.4419046E8</v>
      </c>
      <c r="G81" s="21" t="s">
        <v>320</v>
      </c>
      <c r="H81" s="32">
        <v>1.0</v>
      </c>
      <c r="I81" s="21" t="s">
        <v>69</v>
      </c>
      <c r="J81" s="21" t="str">
        <f t="shared" si="3"/>
        <v>4/1/2026</v>
      </c>
      <c r="K81" s="21" t="s">
        <v>316</v>
      </c>
      <c r="L81" s="21" t="str">
        <f t="shared" si="4"/>
        <v>2/1/2025</v>
      </c>
      <c r="M81" s="21" t="s">
        <v>72</v>
      </c>
      <c r="N81" s="31" t="s">
        <v>594</v>
      </c>
      <c r="O81" s="21" t="s">
        <v>73</v>
      </c>
      <c r="P81" s="21" t="s">
        <v>74</v>
      </c>
      <c r="Q81" s="30">
        <v>25.0</v>
      </c>
    </row>
    <row r="82" ht="16.5" customHeight="1">
      <c r="A82" s="19" t="s">
        <v>31</v>
      </c>
      <c r="B82" s="21" t="s">
        <v>232</v>
      </c>
      <c r="C82" s="21" t="str">
        <f t="shared" si="1"/>
        <v>MATTHEW DAUGHERTY</v>
      </c>
      <c r="D82" s="21" t="s">
        <v>77</v>
      </c>
      <c r="E82" s="28" t="str">
        <f>IF(D82&gt;1,"[PMPM="&amp;D82&amp;"]","")</f>
        <v>[PMPM=2]</v>
      </c>
      <c r="F82" s="29">
        <v>9.44196799E8</v>
      </c>
      <c r="G82" s="21" t="s">
        <v>322</v>
      </c>
      <c r="H82" s="32">
        <v>1.0</v>
      </c>
      <c r="I82" s="21" t="s">
        <v>69</v>
      </c>
      <c r="J82" s="21" t="str">
        <f t="shared" si="3"/>
        <v>4/1/2026</v>
      </c>
      <c r="K82" s="21" t="s">
        <v>316</v>
      </c>
      <c r="L82" s="21" t="str">
        <f t="shared" si="4"/>
        <v>2/1/2025</v>
      </c>
      <c r="M82" s="21" t="s">
        <v>72</v>
      </c>
      <c r="N82" s="31" t="s">
        <v>594</v>
      </c>
      <c r="O82" s="21" t="s">
        <v>73</v>
      </c>
      <c r="P82" s="21" t="s">
        <v>74</v>
      </c>
      <c r="Q82" s="30">
        <v>50.0</v>
      </c>
    </row>
    <row r="83" ht="16.5" customHeight="1">
      <c r="A83" s="19" t="s">
        <v>31</v>
      </c>
      <c r="B83" s="21" t="s">
        <v>232</v>
      </c>
      <c r="C83" s="21" t="str">
        <f t="shared" si="1"/>
        <v>MATTHEW DAUGHERTY</v>
      </c>
      <c r="D83" s="21" t="s">
        <v>88</v>
      </c>
      <c r="F83" s="29">
        <v>9.44236404E8</v>
      </c>
      <c r="G83" s="21" t="s">
        <v>324</v>
      </c>
      <c r="H83" s="32">
        <v>1.0</v>
      </c>
      <c r="I83" s="21" t="s">
        <v>69</v>
      </c>
      <c r="J83" s="21" t="str">
        <f t="shared" si="3"/>
        <v>4/1/2026</v>
      </c>
      <c r="K83" s="21" t="s">
        <v>325</v>
      </c>
      <c r="L83" s="21" t="str">
        <f t="shared" si="4"/>
        <v>4/1/2025</v>
      </c>
      <c r="M83" s="21" t="s">
        <v>72</v>
      </c>
      <c r="N83" s="31" t="s">
        <v>594</v>
      </c>
      <c r="O83" s="21" t="s">
        <v>73</v>
      </c>
      <c r="P83" s="21" t="s">
        <v>74</v>
      </c>
      <c r="Q83" s="30">
        <v>25.0</v>
      </c>
    </row>
    <row r="84" ht="16.5" customHeight="1">
      <c r="A84" s="19" t="s">
        <v>31</v>
      </c>
      <c r="B84" s="21" t="s">
        <v>232</v>
      </c>
      <c r="C84" s="21" t="str">
        <f t="shared" si="1"/>
        <v>MATTHEW DAUGHERTY</v>
      </c>
      <c r="D84" s="21" t="s">
        <v>327</v>
      </c>
      <c r="F84" s="29">
        <v>9.44251141E8</v>
      </c>
      <c r="G84" s="21" t="s">
        <v>329</v>
      </c>
      <c r="H84" s="32">
        <v>-1.0</v>
      </c>
      <c r="I84" s="21" t="s">
        <v>41</v>
      </c>
      <c r="J84" s="21" t="str">
        <f t="shared" si="3"/>
        <v>3/1/2026</v>
      </c>
      <c r="K84" s="21" t="s">
        <v>56</v>
      </c>
      <c r="L84" s="21" t="str">
        <f t="shared" si="4"/>
        <v>1/1/2026</v>
      </c>
      <c r="M84" s="21" t="s">
        <v>72</v>
      </c>
      <c r="N84" s="31" t="s">
        <v>594</v>
      </c>
      <c r="O84" s="21" t="s">
        <v>73</v>
      </c>
      <c r="P84" s="21" t="s">
        <v>74</v>
      </c>
      <c r="Q84" s="32">
        <v>-25.0</v>
      </c>
    </row>
    <row r="85" ht="16.5" customHeight="1">
      <c r="A85" s="19" t="s">
        <v>31</v>
      </c>
      <c r="B85" s="21" t="s">
        <v>232</v>
      </c>
      <c r="C85" s="21" t="str">
        <f t="shared" si="1"/>
        <v>MATTHEW DAUGHERTY</v>
      </c>
      <c r="D85" s="21" t="s">
        <v>88</v>
      </c>
      <c r="F85" s="29">
        <v>9.44251141E8</v>
      </c>
      <c r="G85" s="21" t="s">
        <v>329</v>
      </c>
      <c r="H85" s="32">
        <v>1.0</v>
      </c>
      <c r="I85" s="21" t="s">
        <v>41</v>
      </c>
      <c r="J85" s="21" t="str">
        <f t="shared" si="3"/>
        <v>3/1/2026</v>
      </c>
      <c r="K85" s="21" t="s">
        <v>56</v>
      </c>
      <c r="L85" s="21" t="str">
        <f t="shared" si="4"/>
        <v>1/1/2026</v>
      </c>
      <c r="M85" s="21" t="s">
        <v>72</v>
      </c>
      <c r="N85" s="31" t="s">
        <v>594</v>
      </c>
      <c r="O85" s="21" t="s">
        <v>73</v>
      </c>
      <c r="P85" s="21" t="s">
        <v>74</v>
      </c>
      <c r="Q85" s="30">
        <v>25.0</v>
      </c>
    </row>
    <row r="86" ht="16.5" customHeight="1">
      <c r="A86" s="19" t="s">
        <v>31</v>
      </c>
      <c r="B86" s="21" t="s">
        <v>232</v>
      </c>
      <c r="C86" s="21" t="str">
        <f t="shared" si="1"/>
        <v>MATTHEW DAUGHERTY</v>
      </c>
      <c r="D86" s="21" t="s">
        <v>88</v>
      </c>
      <c r="F86" s="29">
        <v>9.44401483E8</v>
      </c>
      <c r="G86" s="21" t="s">
        <v>332</v>
      </c>
      <c r="H86" s="32">
        <v>1.0</v>
      </c>
      <c r="I86" s="21" t="s">
        <v>69</v>
      </c>
      <c r="J86" s="21" t="str">
        <f t="shared" si="3"/>
        <v>4/1/2026</v>
      </c>
      <c r="K86" s="21" t="s">
        <v>333</v>
      </c>
      <c r="L86" s="21" t="str">
        <f t="shared" si="4"/>
        <v>12/1/2025</v>
      </c>
      <c r="M86" s="21" t="s">
        <v>170</v>
      </c>
      <c r="N86" s="31" t="s">
        <v>595</v>
      </c>
      <c r="O86" s="21" t="s">
        <v>73</v>
      </c>
      <c r="P86" s="21" t="s">
        <v>171</v>
      </c>
      <c r="Q86" s="30">
        <v>20.0</v>
      </c>
    </row>
    <row r="87" ht="16.5" customHeight="1">
      <c r="A87" s="19" t="s">
        <v>31</v>
      </c>
      <c r="B87" s="21" t="s">
        <v>232</v>
      </c>
      <c r="C87" s="21" t="str">
        <f t="shared" si="1"/>
        <v>MATTHEW DAUGHERTY</v>
      </c>
      <c r="D87" s="21" t="s">
        <v>88</v>
      </c>
      <c r="F87" s="29">
        <v>9.44422937E8</v>
      </c>
      <c r="G87" s="21" t="s">
        <v>336</v>
      </c>
      <c r="H87" s="32">
        <v>1.0</v>
      </c>
      <c r="I87" s="21" t="s">
        <v>69</v>
      </c>
      <c r="J87" s="21" t="str">
        <f t="shared" si="3"/>
        <v>4/1/2026</v>
      </c>
      <c r="K87" s="21" t="s">
        <v>56</v>
      </c>
      <c r="L87" s="21" t="str">
        <f t="shared" si="4"/>
        <v>1/1/2026</v>
      </c>
      <c r="M87" s="21" t="s">
        <v>72</v>
      </c>
      <c r="N87" s="31" t="s">
        <v>594</v>
      </c>
      <c r="O87" s="21" t="s">
        <v>73</v>
      </c>
      <c r="P87" s="21" t="s">
        <v>74</v>
      </c>
      <c r="Q87" s="30">
        <v>25.0</v>
      </c>
    </row>
    <row r="88" ht="16.5" customHeight="1">
      <c r="A88" s="19" t="s">
        <v>31</v>
      </c>
      <c r="B88" s="21" t="s">
        <v>232</v>
      </c>
      <c r="C88" s="21" t="str">
        <f t="shared" si="1"/>
        <v>MATTHEW DAUGHERTY</v>
      </c>
      <c r="D88" s="21" t="s">
        <v>88</v>
      </c>
      <c r="F88" s="29">
        <v>9.44422937E8</v>
      </c>
      <c r="G88" s="21" t="s">
        <v>336</v>
      </c>
      <c r="H88" s="32">
        <v>1.0</v>
      </c>
      <c r="I88" s="21" t="s">
        <v>41</v>
      </c>
      <c r="J88" s="21" t="str">
        <f t="shared" si="3"/>
        <v>3/1/2026</v>
      </c>
      <c r="K88" s="21" t="s">
        <v>56</v>
      </c>
      <c r="L88" s="21" t="str">
        <f t="shared" si="4"/>
        <v>1/1/2026</v>
      </c>
      <c r="M88" s="21" t="s">
        <v>72</v>
      </c>
      <c r="N88" s="31" t="s">
        <v>594</v>
      </c>
      <c r="O88" s="21" t="s">
        <v>73</v>
      </c>
      <c r="P88" s="21" t="s">
        <v>74</v>
      </c>
      <c r="Q88" s="30">
        <v>25.0</v>
      </c>
    </row>
    <row r="89" ht="16.5" customHeight="1">
      <c r="A89" s="19" t="s">
        <v>31</v>
      </c>
      <c r="B89" s="21" t="s">
        <v>232</v>
      </c>
      <c r="C89" s="21" t="str">
        <f t="shared" si="1"/>
        <v>MATTHEW DAUGHERTY</v>
      </c>
      <c r="D89" s="21" t="s">
        <v>88</v>
      </c>
      <c r="F89" s="29">
        <v>9.44494658E8</v>
      </c>
      <c r="G89" s="21" t="s">
        <v>339</v>
      </c>
      <c r="H89" s="32">
        <v>1.0</v>
      </c>
      <c r="I89" s="21" t="s">
        <v>69</v>
      </c>
      <c r="J89" s="21" t="str">
        <f t="shared" si="3"/>
        <v>4/1/2026</v>
      </c>
      <c r="K89" s="21" t="s">
        <v>56</v>
      </c>
      <c r="L89" s="21" t="str">
        <f t="shared" si="4"/>
        <v>1/1/2026</v>
      </c>
      <c r="M89" s="21" t="s">
        <v>170</v>
      </c>
      <c r="N89" s="31" t="s">
        <v>595</v>
      </c>
      <c r="O89" s="21" t="s">
        <v>73</v>
      </c>
      <c r="P89" s="21" t="s">
        <v>171</v>
      </c>
      <c r="Q89" s="30">
        <v>20.0</v>
      </c>
    </row>
    <row r="90" ht="16.5" customHeight="1">
      <c r="A90" s="19" t="s">
        <v>31</v>
      </c>
      <c r="B90" s="21" t="s">
        <v>232</v>
      </c>
      <c r="C90" s="21" t="str">
        <f t="shared" si="1"/>
        <v>MATTHEW DAUGHERTY</v>
      </c>
      <c r="D90" s="21" t="s">
        <v>88</v>
      </c>
      <c r="F90" s="29">
        <v>9.44494714E8</v>
      </c>
      <c r="G90" s="21" t="s">
        <v>341</v>
      </c>
      <c r="H90" s="32">
        <v>1.0</v>
      </c>
      <c r="I90" s="21" t="s">
        <v>41</v>
      </c>
      <c r="J90" s="21" t="str">
        <f t="shared" si="3"/>
        <v>3/1/2026</v>
      </c>
      <c r="K90" s="21" t="s">
        <v>56</v>
      </c>
      <c r="L90" s="21" t="str">
        <f t="shared" si="4"/>
        <v>1/1/2026</v>
      </c>
      <c r="M90" s="21" t="s">
        <v>170</v>
      </c>
      <c r="N90" s="31" t="s">
        <v>595</v>
      </c>
      <c r="O90" s="21" t="s">
        <v>73</v>
      </c>
      <c r="P90" s="21" t="s">
        <v>171</v>
      </c>
      <c r="Q90" s="30">
        <v>20.0</v>
      </c>
    </row>
    <row r="91" ht="16.5" customHeight="1">
      <c r="A91" s="19" t="s">
        <v>31</v>
      </c>
      <c r="B91" s="21" t="s">
        <v>232</v>
      </c>
      <c r="C91" s="21" t="str">
        <f t="shared" si="1"/>
        <v>MATTHEW DAUGHERTY</v>
      </c>
      <c r="D91" s="21" t="s">
        <v>342</v>
      </c>
      <c r="E91" s="28" t="s">
        <v>597</v>
      </c>
      <c r="F91" s="29">
        <v>9.44502655E8</v>
      </c>
      <c r="G91" s="21" t="s">
        <v>344</v>
      </c>
      <c r="H91" s="32">
        <v>-1.0</v>
      </c>
      <c r="I91" s="21" t="s">
        <v>41</v>
      </c>
      <c r="J91" s="21" t="str">
        <f t="shared" si="3"/>
        <v>3/1/2026</v>
      </c>
      <c r="K91" s="21" t="s">
        <v>56</v>
      </c>
      <c r="L91" s="21" t="str">
        <f t="shared" si="4"/>
        <v>1/1/2026</v>
      </c>
      <c r="M91" s="21" t="s">
        <v>170</v>
      </c>
      <c r="N91" s="31" t="s">
        <v>595</v>
      </c>
      <c r="O91" s="21" t="s">
        <v>73</v>
      </c>
      <c r="P91" s="21" t="s">
        <v>171</v>
      </c>
      <c r="Q91" s="32">
        <v>-60.0</v>
      </c>
    </row>
    <row r="92" ht="16.5" customHeight="1">
      <c r="A92" s="19" t="s">
        <v>31</v>
      </c>
      <c r="B92" s="21" t="s">
        <v>232</v>
      </c>
      <c r="C92" s="21" t="str">
        <f t="shared" si="1"/>
        <v>MATTHEW DAUGHERTY</v>
      </c>
      <c r="D92" s="21" t="s">
        <v>327</v>
      </c>
      <c r="F92" s="29">
        <v>9.44510639E8</v>
      </c>
      <c r="G92" s="21" t="s">
        <v>347</v>
      </c>
      <c r="H92" s="32">
        <v>-1.0</v>
      </c>
      <c r="I92" s="21" t="s">
        <v>69</v>
      </c>
      <c r="J92" s="21" t="str">
        <f t="shared" si="3"/>
        <v>4/1/2026</v>
      </c>
      <c r="K92" s="21" t="s">
        <v>56</v>
      </c>
      <c r="L92" s="21" t="str">
        <f t="shared" si="4"/>
        <v>1/1/2026</v>
      </c>
      <c r="M92" s="21" t="s">
        <v>72</v>
      </c>
      <c r="N92" s="31" t="s">
        <v>594</v>
      </c>
      <c r="O92" s="21" t="s">
        <v>73</v>
      </c>
      <c r="P92" s="21" t="s">
        <v>74</v>
      </c>
      <c r="Q92" s="32">
        <v>-25.0</v>
      </c>
    </row>
    <row r="93" ht="16.5" customHeight="1">
      <c r="A93" s="19" t="s">
        <v>31</v>
      </c>
      <c r="B93" s="21" t="s">
        <v>232</v>
      </c>
      <c r="C93" s="21" t="str">
        <f t="shared" si="1"/>
        <v>MATTHEW DAUGHERTY</v>
      </c>
      <c r="D93" s="21" t="s">
        <v>88</v>
      </c>
      <c r="F93" s="29">
        <v>9.44510639E8</v>
      </c>
      <c r="G93" s="21" t="s">
        <v>347</v>
      </c>
      <c r="H93" s="32">
        <v>1.0</v>
      </c>
      <c r="I93" s="21" t="s">
        <v>69</v>
      </c>
      <c r="J93" s="21" t="str">
        <f t="shared" si="3"/>
        <v>4/1/2026</v>
      </c>
      <c r="K93" s="21" t="s">
        <v>56</v>
      </c>
      <c r="L93" s="21" t="str">
        <f t="shared" si="4"/>
        <v>1/1/2026</v>
      </c>
      <c r="M93" s="21" t="s">
        <v>72</v>
      </c>
      <c r="N93" s="31" t="s">
        <v>594</v>
      </c>
      <c r="O93" s="21" t="s">
        <v>73</v>
      </c>
      <c r="P93" s="21" t="s">
        <v>74</v>
      </c>
      <c r="Q93" s="30">
        <v>25.0</v>
      </c>
    </row>
    <row r="94" ht="16.5" customHeight="1">
      <c r="A94" s="19" t="s">
        <v>31</v>
      </c>
      <c r="B94" s="21" t="s">
        <v>232</v>
      </c>
      <c r="C94" s="21" t="str">
        <f t="shared" si="1"/>
        <v>MATTHEW DAUGHERTY</v>
      </c>
      <c r="D94" s="21" t="s">
        <v>88</v>
      </c>
      <c r="F94" s="29">
        <v>9.4456529E8</v>
      </c>
      <c r="G94" s="21" t="s">
        <v>349</v>
      </c>
      <c r="H94" s="32">
        <v>1.0</v>
      </c>
      <c r="I94" s="21" t="s">
        <v>69</v>
      </c>
      <c r="J94" s="21" t="str">
        <f t="shared" si="3"/>
        <v>4/1/2026</v>
      </c>
      <c r="K94" s="21" t="s">
        <v>41</v>
      </c>
      <c r="L94" s="21" t="str">
        <f t="shared" si="4"/>
        <v>3/1/2026</v>
      </c>
      <c r="M94" s="21" t="s">
        <v>170</v>
      </c>
      <c r="N94" s="31" t="s">
        <v>595</v>
      </c>
      <c r="O94" s="21" t="s">
        <v>73</v>
      </c>
      <c r="P94" s="21" t="s">
        <v>171</v>
      </c>
      <c r="Q94" s="30">
        <v>20.0</v>
      </c>
    </row>
    <row r="95" ht="16.5" customHeight="1">
      <c r="A95" s="19" t="s">
        <v>31</v>
      </c>
      <c r="B95" s="21" t="s">
        <v>350</v>
      </c>
      <c r="C95" s="21" t="str">
        <f t="shared" si="1"/>
        <v>HEIDI JO LIBBY</v>
      </c>
      <c r="D95" s="21" t="s">
        <v>88</v>
      </c>
      <c r="F95" s="29">
        <v>9.44272492E8</v>
      </c>
      <c r="G95" s="21" t="s">
        <v>352</v>
      </c>
      <c r="H95" s="32">
        <v>1.0</v>
      </c>
      <c r="I95" s="21" t="s">
        <v>69</v>
      </c>
      <c r="J95" s="21" t="str">
        <f t="shared" si="3"/>
        <v>4/1/2026</v>
      </c>
      <c r="K95" s="21" t="s">
        <v>168</v>
      </c>
      <c r="L95" s="21" t="str">
        <f t="shared" si="4"/>
        <v>5/1/2025</v>
      </c>
      <c r="M95" s="21" t="s">
        <v>170</v>
      </c>
      <c r="N95" s="31" t="s">
        <v>595</v>
      </c>
      <c r="O95" s="21" t="s">
        <v>73</v>
      </c>
      <c r="P95" s="21" t="s">
        <v>171</v>
      </c>
      <c r="Q95" s="30">
        <v>20.0</v>
      </c>
    </row>
    <row r="96" ht="16.5" customHeight="1">
      <c r="A96" s="19" t="s">
        <v>31</v>
      </c>
      <c r="B96" s="21" t="s">
        <v>350</v>
      </c>
      <c r="C96" s="21" t="str">
        <f t="shared" si="1"/>
        <v>HEIDI JO LIBBY</v>
      </c>
      <c r="D96" s="21" t="s">
        <v>88</v>
      </c>
      <c r="F96" s="29">
        <v>9.44272492E8</v>
      </c>
      <c r="G96" s="21" t="s">
        <v>352</v>
      </c>
      <c r="H96" s="32">
        <v>1.0</v>
      </c>
      <c r="I96" s="21" t="s">
        <v>41</v>
      </c>
      <c r="J96" s="21" t="str">
        <f t="shared" si="3"/>
        <v>3/1/2026</v>
      </c>
      <c r="K96" s="21" t="s">
        <v>168</v>
      </c>
      <c r="L96" s="21" t="str">
        <f t="shared" si="4"/>
        <v>5/1/2025</v>
      </c>
      <c r="M96" s="21" t="s">
        <v>170</v>
      </c>
      <c r="N96" s="31" t="s">
        <v>595</v>
      </c>
      <c r="O96" s="21" t="s">
        <v>73</v>
      </c>
      <c r="P96" s="21" t="s">
        <v>171</v>
      </c>
      <c r="Q96" s="30">
        <v>20.0</v>
      </c>
    </row>
    <row r="97" ht="16.5" customHeight="1">
      <c r="A97" s="19" t="s">
        <v>31</v>
      </c>
      <c r="B97" s="21" t="s">
        <v>355</v>
      </c>
      <c r="C97" s="21" t="str">
        <f t="shared" si="1"/>
        <v>ANDREW J CHOI</v>
      </c>
      <c r="D97" s="21" t="s">
        <v>88</v>
      </c>
      <c r="F97" s="29">
        <v>9.25117411E8</v>
      </c>
      <c r="G97" s="21" t="s">
        <v>357</v>
      </c>
      <c r="H97" s="32">
        <v>1.0</v>
      </c>
      <c r="I97" s="21" t="s">
        <v>69</v>
      </c>
      <c r="J97" s="21" t="str">
        <f t="shared" si="3"/>
        <v>4/1/2026</v>
      </c>
      <c r="K97" s="21" t="s">
        <v>298</v>
      </c>
      <c r="L97" s="21" t="str">
        <f t="shared" si="4"/>
        <v>2/1/2023</v>
      </c>
      <c r="M97" s="21" t="s">
        <v>170</v>
      </c>
      <c r="N97" s="31" t="s">
        <v>595</v>
      </c>
      <c r="O97" s="21" t="s">
        <v>73</v>
      </c>
      <c r="P97" s="21" t="s">
        <v>171</v>
      </c>
      <c r="Q97" s="30">
        <v>20.0</v>
      </c>
    </row>
    <row r="98" ht="16.5" customHeight="1">
      <c r="A98" s="19" t="s">
        <v>31</v>
      </c>
      <c r="B98" s="21" t="s">
        <v>355</v>
      </c>
      <c r="C98" s="21" t="str">
        <f t="shared" si="1"/>
        <v>ANDREW J CHOI</v>
      </c>
      <c r="D98" s="21" t="s">
        <v>88</v>
      </c>
      <c r="F98" s="29">
        <v>9.44096921E8</v>
      </c>
      <c r="G98" s="21" t="s">
        <v>360</v>
      </c>
      <c r="H98" s="32">
        <v>1.0</v>
      </c>
      <c r="I98" s="21" t="s">
        <v>69</v>
      </c>
      <c r="J98" s="21" t="str">
        <f t="shared" si="3"/>
        <v>4/1/2026</v>
      </c>
      <c r="K98" s="21" t="s">
        <v>293</v>
      </c>
      <c r="L98" s="21" t="str">
        <f t="shared" si="4"/>
        <v>1/1/2025</v>
      </c>
      <c r="M98" s="21" t="s">
        <v>170</v>
      </c>
      <c r="N98" s="31" t="s">
        <v>595</v>
      </c>
      <c r="O98" s="21" t="s">
        <v>73</v>
      </c>
      <c r="P98" s="21" t="s">
        <v>171</v>
      </c>
      <c r="Q98" s="30">
        <v>20.0</v>
      </c>
    </row>
    <row r="99" ht="16.5" customHeight="1">
      <c r="A99" s="19" t="s">
        <v>31</v>
      </c>
      <c r="B99" s="21" t="s">
        <v>355</v>
      </c>
      <c r="C99" s="21" t="str">
        <f t="shared" si="1"/>
        <v>ANDREW J CHOI</v>
      </c>
      <c r="D99" s="21" t="s">
        <v>77</v>
      </c>
      <c r="E99" s="28" t="str">
        <f>IF(D99&gt;1,"[PMPM="&amp;D99&amp;"]","")</f>
        <v>[PMPM=2]</v>
      </c>
      <c r="F99" s="29">
        <v>9.44119769E8</v>
      </c>
      <c r="G99" s="21" t="s">
        <v>362</v>
      </c>
      <c r="H99" s="32">
        <v>1.0</v>
      </c>
      <c r="I99" s="21" t="s">
        <v>69</v>
      </c>
      <c r="J99" s="21" t="str">
        <f t="shared" si="3"/>
        <v>4/1/2026</v>
      </c>
      <c r="K99" s="21" t="s">
        <v>293</v>
      </c>
      <c r="L99" s="21" t="str">
        <f t="shared" si="4"/>
        <v>1/1/2025</v>
      </c>
      <c r="M99" s="21" t="s">
        <v>72</v>
      </c>
      <c r="N99" s="31" t="s">
        <v>594</v>
      </c>
      <c r="O99" s="21" t="s">
        <v>73</v>
      </c>
      <c r="P99" s="21" t="s">
        <v>74</v>
      </c>
      <c r="Q99" s="30">
        <v>50.0</v>
      </c>
    </row>
    <row r="100" ht="16.5" customHeight="1">
      <c r="A100" s="19" t="s">
        <v>31</v>
      </c>
      <c r="B100" s="21" t="s">
        <v>363</v>
      </c>
      <c r="C100" s="21" t="str">
        <f t="shared" si="1"/>
        <v>RICARDO D SANTOS</v>
      </c>
      <c r="D100" s="21" t="s">
        <v>88</v>
      </c>
      <c r="F100" s="29">
        <v>9.21547947E8</v>
      </c>
      <c r="G100" s="21" t="s">
        <v>365</v>
      </c>
      <c r="H100" s="32">
        <v>1.0</v>
      </c>
      <c r="I100" s="21" t="s">
        <v>69</v>
      </c>
      <c r="J100" s="21" t="str">
        <f t="shared" si="3"/>
        <v>4/1/2026</v>
      </c>
      <c r="K100" s="21" t="s">
        <v>168</v>
      </c>
      <c r="L100" s="21" t="str">
        <f t="shared" si="4"/>
        <v>5/1/2025</v>
      </c>
      <c r="M100" s="21" t="s">
        <v>170</v>
      </c>
      <c r="N100" s="31" t="s">
        <v>595</v>
      </c>
      <c r="O100" s="21" t="s">
        <v>73</v>
      </c>
      <c r="P100" s="21" t="s">
        <v>171</v>
      </c>
      <c r="Q100" s="30">
        <v>20.0</v>
      </c>
    </row>
    <row r="101" ht="16.5" customHeight="1">
      <c r="A101" s="19" t="s">
        <v>31</v>
      </c>
      <c r="B101" s="21" t="s">
        <v>363</v>
      </c>
      <c r="C101" s="21" t="str">
        <f t="shared" si="1"/>
        <v>RICARDO D SANTOS</v>
      </c>
      <c r="D101" s="21" t="s">
        <v>88</v>
      </c>
      <c r="F101" s="29">
        <v>9.25989286E8</v>
      </c>
      <c r="G101" s="21" t="s">
        <v>368</v>
      </c>
      <c r="H101" s="32">
        <v>1.0</v>
      </c>
      <c r="I101" s="21" t="s">
        <v>69</v>
      </c>
      <c r="J101" s="21" t="str">
        <f t="shared" si="3"/>
        <v>4/1/2026</v>
      </c>
      <c r="K101" s="21" t="s">
        <v>150</v>
      </c>
      <c r="L101" s="21" t="str">
        <f t="shared" si="4"/>
        <v>2/1/2026</v>
      </c>
      <c r="M101" s="21" t="s">
        <v>72</v>
      </c>
      <c r="N101" s="31" t="s">
        <v>594</v>
      </c>
      <c r="O101" s="21" t="s">
        <v>73</v>
      </c>
      <c r="P101" s="21" t="s">
        <v>74</v>
      </c>
      <c r="Q101" s="30">
        <v>25.0</v>
      </c>
    </row>
    <row r="102" ht="16.5" customHeight="1">
      <c r="A102" s="19" t="s">
        <v>31</v>
      </c>
      <c r="B102" s="21" t="s">
        <v>369</v>
      </c>
      <c r="C102" s="21" t="str">
        <f t="shared" si="1"/>
        <v>RICHARD A YALE</v>
      </c>
      <c r="D102" s="21" t="s">
        <v>88</v>
      </c>
      <c r="F102" s="29">
        <v>8.93012639E8</v>
      </c>
      <c r="G102" s="21" t="s">
        <v>371</v>
      </c>
      <c r="H102" s="32">
        <v>1.0</v>
      </c>
      <c r="I102" s="21" t="s">
        <v>69</v>
      </c>
      <c r="J102" s="21" t="str">
        <f t="shared" si="3"/>
        <v>4/1/2026</v>
      </c>
      <c r="K102" s="21" t="s">
        <v>372</v>
      </c>
      <c r="L102" s="21" t="str">
        <f t="shared" si="4"/>
        <v>8/12/2025</v>
      </c>
      <c r="M102" s="21" t="s">
        <v>72</v>
      </c>
      <c r="N102" s="31" t="s">
        <v>594</v>
      </c>
      <c r="O102" s="21" t="s">
        <v>73</v>
      </c>
      <c r="P102" s="21" t="s">
        <v>74</v>
      </c>
      <c r="Q102" s="30">
        <v>25.0</v>
      </c>
    </row>
    <row r="103" ht="16.5" customHeight="1">
      <c r="A103" s="19" t="s">
        <v>31</v>
      </c>
      <c r="B103" s="21" t="s">
        <v>369</v>
      </c>
      <c r="C103" s="21" t="str">
        <f t="shared" si="1"/>
        <v>RICHARD A YALE</v>
      </c>
      <c r="D103" s="21" t="s">
        <v>88</v>
      </c>
      <c r="F103" s="29">
        <v>9.44457398E8</v>
      </c>
      <c r="G103" s="21" t="s">
        <v>375</v>
      </c>
      <c r="H103" s="32">
        <v>1.0</v>
      </c>
      <c r="I103" s="21" t="s">
        <v>69</v>
      </c>
      <c r="J103" s="21" t="str">
        <f t="shared" si="3"/>
        <v>4/1/2026</v>
      </c>
      <c r="K103" s="21" t="s">
        <v>56</v>
      </c>
      <c r="L103" s="21" t="str">
        <f t="shared" si="4"/>
        <v>1/1/2026</v>
      </c>
      <c r="M103" s="21" t="s">
        <v>170</v>
      </c>
      <c r="N103" s="31" t="s">
        <v>595</v>
      </c>
      <c r="O103" s="21" t="s">
        <v>73</v>
      </c>
      <c r="P103" s="21" t="s">
        <v>171</v>
      </c>
      <c r="Q103" s="30">
        <v>20.0</v>
      </c>
    </row>
    <row r="104" ht="16.5" customHeight="1">
      <c r="A104" s="19" t="s">
        <v>31</v>
      </c>
      <c r="B104" s="21" t="s">
        <v>376</v>
      </c>
      <c r="C104" s="21" t="str">
        <f t="shared" si="1"/>
        <v>BARRY L SCHUMANN</v>
      </c>
      <c r="D104" s="21" t="s">
        <v>88</v>
      </c>
      <c r="F104" s="29">
        <v>9.25591756E8</v>
      </c>
      <c r="G104" s="21" t="s">
        <v>378</v>
      </c>
      <c r="H104" s="32">
        <v>1.0</v>
      </c>
      <c r="I104" s="21" t="s">
        <v>69</v>
      </c>
      <c r="J104" s="21" t="str">
        <f t="shared" si="3"/>
        <v>4/1/2026</v>
      </c>
      <c r="K104" s="21" t="s">
        <v>379</v>
      </c>
      <c r="L104" s="21" t="str">
        <f t="shared" si="4"/>
        <v>9/1/2025</v>
      </c>
      <c r="M104" s="21" t="s">
        <v>170</v>
      </c>
      <c r="N104" s="31" t="s">
        <v>595</v>
      </c>
      <c r="O104" s="21" t="s">
        <v>73</v>
      </c>
      <c r="P104" s="21" t="s">
        <v>171</v>
      </c>
      <c r="Q104" s="30">
        <v>20.0</v>
      </c>
    </row>
    <row r="105" ht="16.5" customHeight="1">
      <c r="A105" s="19" t="s">
        <v>31</v>
      </c>
      <c r="B105" s="21" t="s">
        <v>381</v>
      </c>
      <c r="C105" s="21" t="str">
        <f t="shared" si="1"/>
        <v>CHAD J YALE</v>
      </c>
      <c r="D105" s="21" t="s">
        <v>77</v>
      </c>
      <c r="E105" s="28" t="str">
        <f>IF(D105&gt;1,"[PMPM="&amp;D105&amp;"]","")</f>
        <v>[PMPM=2]</v>
      </c>
      <c r="F105" s="29">
        <v>8.93730017E8</v>
      </c>
      <c r="G105" s="21" t="s">
        <v>383</v>
      </c>
      <c r="H105" s="32">
        <v>1.0</v>
      </c>
      <c r="I105" s="21" t="s">
        <v>69</v>
      </c>
      <c r="J105" s="21" t="str">
        <f t="shared" si="3"/>
        <v>4/1/2026</v>
      </c>
      <c r="K105" s="21" t="s">
        <v>150</v>
      </c>
      <c r="L105" s="21" t="str">
        <f t="shared" si="4"/>
        <v>2/1/2026</v>
      </c>
      <c r="M105" s="21" t="s">
        <v>170</v>
      </c>
      <c r="N105" s="31" t="s">
        <v>595</v>
      </c>
      <c r="O105" s="21" t="s">
        <v>73</v>
      </c>
      <c r="P105" s="21" t="s">
        <v>171</v>
      </c>
      <c r="Q105" s="30">
        <v>40.0</v>
      </c>
    </row>
    <row r="106" ht="16.5" customHeight="1">
      <c r="A106" s="19" t="s">
        <v>31</v>
      </c>
      <c r="B106" s="21" t="s">
        <v>381</v>
      </c>
      <c r="C106" s="21" t="str">
        <f t="shared" si="1"/>
        <v>CHAD J YALE</v>
      </c>
      <c r="D106" s="21" t="s">
        <v>88</v>
      </c>
      <c r="F106" s="29">
        <v>9.25072741E8</v>
      </c>
      <c r="G106" s="21" t="s">
        <v>386</v>
      </c>
      <c r="H106" s="32">
        <v>1.0</v>
      </c>
      <c r="I106" s="21" t="s">
        <v>69</v>
      </c>
      <c r="J106" s="21" t="str">
        <f t="shared" si="3"/>
        <v>4/1/2026</v>
      </c>
      <c r="K106" s="21" t="s">
        <v>387</v>
      </c>
      <c r="L106" s="21" t="str">
        <f t="shared" si="4"/>
        <v>8/8/2025</v>
      </c>
      <c r="M106" s="21" t="s">
        <v>170</v>
      </c>
      <c r="N106" s="31" t="s">
        <v>595</v>
      </c>
      <c r="O106" s="21" t="s">
        <v>73</v>
      </c>
      <c r="P106" s="21" t="s">
        <v>171</v>
      </c>
      <c r="Q106" s="30">
        <v>20.0</v>
      </c>
    </row>
    <row r="107" ht="16.5" customHeight="1">
      <c r="A107" s="19" t="s">
        <v>31</v>
      </c>
      <c r="B107" s="21" t="s">
        <v>381</v>
      </c>
      <c r="C107" s="21" t="str">
        <f t="shared" si="1"/>
        <v>CHAD J YALE</v>
      </c>
      <c r="D107" s="21" t="s">
        <v>77</v>
      </c>
      <c r="E107" s="28" t="str">
        <f>IF(D107&gt;1,"[PMPM="&amp;D107&amp;"]","")</f>
        <v>[PMPM=2]</v>
      </c>
      <c r="F107" s="29">
        <v>9.25818695E8</v>
      </c>
      <c r="G107" s="21" t="s">
        <v>389</v>
      </c>
      <c r="H107" s="32">
        <v>1.0</v>
      </c>
      <c r="I107" s="21" t="s">
        <v>69</v>
      </c>
      <c r="J107" s="21" t="str">
        <f t="shared" si="3"/>
        <v>4/1/2026</v>
      </c>
      <c r="K107" s="21" t="s">
        <v>80</v>
      </c>
      <c r="L107" s="21" t="str">
        <f t="shared" si="4"/>
        <v>1/1/2023</v>
      </c>
      <c r="M107" s="21" t="s">
        <v>72</v>
      </c>
      <c r="N107" s="31" t="s">
        <v>594</v>
      </c>
      <c r="O107" s="21" t="s">
        <v>73</v>
      </c>
      <c r="P107" s="21" t="s">
        <v>74</v>
      </c>
      <c r="Q107" s="30">
        <v>50.0</v>
      </c>
    </row>
    <row r="108" ht="16.5" customHeight="1">
      <c r="A108" s="19" t="s">
        <v>31</v>
      </c>
      <c r="B108" s="21" t="s">
        <v>381</v>
      </c>
      <c r="C108" s="21" t="str">
        <f t="shared" si="1"/>
        <v>CHAD J YALE</v>
      </c>
      <c r="D108" s="21" t="s">
        <v>88</v>
      </c>
      <c r="F108" s="29">
        <v>9.25919562E8</v>
      </c>
      <c r="G108" s="21" t="s">
        <v>392</v>
      </c>
      <c r="H108" s="32">
        <v>1.0</v>
      </c>
      <c r="I108" s="21" t="s">
        <v>69</v>
      </c>
      <c r="J108" s="21" t="str">
        <f t="shared" si="3"/>
        <v>4/1/2026</v>
      </c>
      <c r="K108" s="21" t="s">
        <v>298</v>
      </c>
      <c r="L108" s="21" t="str">
        <f t="shared" si="4"/>
        <v>2/1/2023</v>
      </c>
      <c r="M108" s="21" t="s">
        <v>72</v>
      </c>
      <c r="N108" s="31" t="s">
        <v>594</v>
      </c>
      <c r="O108" s="21" t="s">
        <v>73</v>
      </c>
      <c r="P108" s="21" t="s">
        <v>74</v>
      </c>
      <c r="Q108" s="30">
        <v>25.0</v>
      </c>
    </row>
    <row r="109" ht="16.5" customHeight="1">
      <c r="A109" s="19" t="s">
        <v>31</v>
      </c>
      <c r="B109" s="21" t="s">
        <v>381</v>
      </c>
      <c r="C109" s="21" t="str">
        <f t="shared" si="1"/>
        <v>CHAD J YALE</v>
      </c>
      <c r="D109" s="21" t="s">
        <v>77</v>
      </c>
      <c r="E109" s="28" t="str">
        <f>IF(D109&gt;1,"[PMPM="&amp;D109&amp;"]","")</f>
        <v>[PMPM=2]</v>
      </c>
      <c r="F109" s="29">
        <v>9.43162072E8</v>
      </c>
      <c r="G109" s="21" t="s">
        <v>394</v>
      </c>
      <c r="H109" s="32">
        <v>1.0</v>
      </c>
      <c r="I109" s="21" t="s">
        <v>69</v>
      </c>
      <c r="J109" s="21" t="str">
        <f t="shared" si="3"/>
        <v>4/1/2026</v>
      </c>
      <c r="K109" s="21" t="s">
        <v>56</v>
      </c>
      <c r="L109" s="21" t="str">
        <f t="shared" si="4"/>
        <v>1/1/2026</v>
      </c>
      <c r="M109" s="21" t="s">
        <v>170</v>
      </c>
      <c r="N109" s="31" t="s">
        <v>595</v>
      </c>
      <c r="O109" s="21" t="s">
        <v>73</v>
      </c>
      <c r="P109" s="21" t="s">
        <v>171</v>
      </c>
      <c r="Q109" s="30">
        <v>40.0</v>
      </c>
    </row>
    <row r="110" ht="16.5" customHeight="1">
      <c r="A110" s="19" t="s">
        <v>31</v>
      </c>
      <c r="B110" s="21" t="s">
        <v>381</v>
      </c>
      <c r="C110" s="21" t="str">
        <f t="shared" si="1"/>
        <v>CHAD J YALE</v>
      </c>
      <c r="D110" s="21" t="s">
        <v>88</v>
      </c>
      <c r="F110" s="29">
        <v>9.43452674E8</v>
      </c>
      <c r="G110" s="21" t="s">
        <v>396</v>
      </c>
      <c r="H110" s="32">
        <v>1.0</v>
      </c>
      <c r="I110" s="21" t="s">
        <v>69</v>
      </c>
      <c r="J110" s="21" t="str">
        <f t="shared" si="3"/>
        <v>4/1/2026</v>
      </c>
      <c r="K110" s="21" t="s">
        <v>154</v>
      </c>
      <c r="L110" s="21" t="str">
        <f t="shared" si="4"/>
        <v>1/1/2024</v>
      </c>
      <c r="M110" s="21" t="s">
        <v>72</v>
      </c>
      <c r="N110" s="31" t="s">
        <v>594</v>
      </c>
      <c r="O110" s="21" t="s">
        <v>73</v>
      </c>
      <c r="P110" s="21" t="s">
        <v>74</v>
      </c>
      <c r="Q110" s="30">
        <v>25.0</v>
      </c>
    </row>
    <row r="111" ht="16.5" customHeight="1">
      <c r="A111" s="19" t="s">
        <v>31</v>
      </c>
      <c r="B111" s="21" t="s">
        <v>381</v>
      </c>
      <c r="C111" s="21" t="str">
        <f t="shared" si="1"/>
        <v>CHAD J YALE</v>
      </c>
      <c r="D111" s="21" t="s">
        <v>88</v>
      </c>
      <c r="F111" s="29">
        <v>9.43998228E8</v>
      </c>
      <c r="G111" s="21" t="s">
        <v>398</v>
      </c>
      <c r="H111" s="32">
        <v>1.0</v>
      </c>
      <c r="I111" s="21" t="s">
        <v>69</v>
      </c>
      <c r="J111" s="21" t="str">
        <f t="shared" si="3"/>
        <v>4/1/2026</v>
      </c>
      <c r="K111" s="21" t="s">
        <v>56</v>
      </c>
      <c r="L111" s="21" t="str">
        <f t="shared" si="4"/>
        <v>1/1/2026</v>
      </c>
      <c r="M111" s="21" t="s">
        <v>170</v>
      </c>
      <c r="N111" s="31" t="s">
        <v>595</v>
      </c>
      <c r="O111" s="21" t="s">
        <v>73</v>
      </c>
      <c r="P111" s="21" t="s">
        <v>171</v>
      </c>
      <c r="Q111" s="30">
        <v>20.0</v>
      </c>
    </row>
    <row r="112" ht="16.5" customHeight="1">
      <c r="A112" s="19" t="s">
        <v>31</v>
      </c>
      <c r="B112" s="21" t="s">
        <v>381</v>
      </c>
      <c r="C112" s="21" t="str">
        <f t="shared" si="1"/>
        <v>CHAD J YALE</v>
      </c>
      <c r="D112" s="21" t="s">
        <v>157</v>
      </c>
      <c r="E112" s="28" t="str">
        <f>IF(D112&gt;1,"[PMPM="&amp;D112&amp;"]","")</f>
        <v>[PMPM=4]</v>
      </c>
      <c r="F112" s="29">
        <v>9.44280969E8</v>
      </c>
      <c r="G112" s="21" t="s">
        <v>400</v>
      </c>
      <c r="H112" s="32">
        <v>1.0</v>
      </c>
      <c r="I112" s="21" t="s">
        <v>69</v>
      </c>
      <c r="J112" s="21" t="str">
        <f t="shared" si="3"/>
        <v>4/1/2026</v>
      </c>
      <c r="K112" s="21" t="s">
        <v>401</v>
      </c>
      <c r="L112" s="21" t="str">
        <f t="shared" si="4"/>
        <v>6/1/2025</v>
      </c>
      <c r="M112" s="21" t="s">
        <v>72</v>
      </c>
      <c r="N112" s="31" t="s">
        <v>594</v>
      </c>
      <c r="O112" s="21" t="s">
        <v>73</v>
      </c>
      <c r="P112" s="21" t="s">
        <v>74</v>
      </c>
      <c r="Q112" s="30">
        <v>100.0</v>
      </c>
    </row>
    <row r="113" ht="16.5" customHeight="1">
      <c r="A113" s="19" t="s">
        <v>31</v>
      </c>
      <c r="B113" s="21" t="s">
        <v>381</v>
      </c>
      <c r="C113" s="21" t="str">
        <f t="shared" si="1"/>
        <v>CHAD J YALE</v>
      </c>
      <c r="D113" s="21" t="s">
        <v>88</v>
      </c>
      <c r="F113" s="29">
        <v>9.44349452E8</v>
      </c>
      <c r="G113" s="21" t="s">
        <v>403</v>
      </c>
      <c r="H113" s="32">
        <v>1.0</v>
      </c>
      <c r="I113" s="21" t="s">
        <v>41</v>
      </c>
      <c r="J113" s="21" t="str">
        <f t="shared" si="3"/>
        <v>3/1/2026</v>
      </c>
      <c r="K113" s="21" t="s">
        <v>42</v>
      </c>
      <c r="L113" s="21" t="str">
        <f t="shared" si="4"/>
        <v>8/1/2025</v>
      </c>
      <c r="M113" s="21" t="s">
        <v>170</v>
      </c>
      <c r="N113" s="31" t="s">
        <v>595</v>
      </c>
      <c r="O113" s="21" t="s">
        <v>73</v>
      </c>
      <c r="P113" s="21" t="s">
        <v>171</v>
      </c>
      <c r="Q113" s="30">
        <v>20.0</v>
      </c>
    </row>
    <row r="114" ht="16.5" customHeight="1">
      <c r="A114" s="19" t="s">
        <v>31</v>
      </c>
      <c r="B114" s="21" t="s">
        <v>404</v>
      </c>
      <c r="C114" s="21" t="str">
        <f t="shared" si="1"/>
        <v>TOM EDWARD SERIO</v>
      </c>
      <c r="E114" s="28" t="str">
        <f t="shared" ref="E114:E115" si="9">IF(D114&gt;1,"[PMPM="&amp;D114&amp;"]","")</f>
        <v/>
      </c>
      <c r="F114" s="29">
        <v>8.62090702E8</v>
      </c>
      <c r="G114" s="21" t="s">
        <v>406</v>
      </c>
      <c r="H114" s="30">
        <v>178.92</v>
      </c>
      <c r="I114" s="21" t="s">
        <v>41</v>
      </c>
      <c r="J114" s="21" t="str">
        <f t="shared" si="3"/>
        <v>3/1/2026</v>
      </c>
      <c r="K114" s="21" t="s">
        <v>56</v>
      </c>
      <c r="L114" s="21" t="str">
        <f t="shared" si="4"/>
        <v>1/1/2026</v>
      </c>
      <c r="M114" s="21" t="s">
        <v>44</v>
      </c>
      <c r="N114" s="31" t="s">
        <v>593</v>
      </c>
      <c r="O114" s="21" t="s">
        <v>46</v>
      </c>
      <c r="P114" s="21" t="s">
        <v>47</v>
      </c>
      <c r="Q114" s="30">
        <v>35.78</v>
      </c>
    </row>
    <row r="115" ht="16.5" customHeight="1">
      <c r="A115" s="19" t="s">
        <v>31</v>
      </c>
      <c r="B115" s="21" t="s">
        <v>404</v>
      </c>
      <c r="C115" s="21" t="str">
        <f t="shared" si="1"/>
        <v>TOM EDWARD SERIO</v>
      </c>
      <c r="E115" s="28" t="str">
        <f t="shared" si="9"/>
        <v/>
      </c>
      <c r="F115" s="33">
        <v>1.924989793E9</v>
      </c>
      <c r="G115" s="21" t="s">
        <v>412</v>
      </c>
      <c r="H115" s="30">
        <v>15.01</v>
      </c>
      <c r="I115" s="21" t="s">
        <v>41</v>
      </c>
      <c r="J115" s="21" t="str">
        <f t="shared" si="3"/>
        <v>3/1/2026</v>
      </c>
      <c r="K115" s="21" t="s">
        <v>150</v>
      </c>
      <c r="L115" s="21" t="str">
        <f t="shared" si="4"/>
        <v>2/1/2026</v>
      </c>
      <c r="M115" s="21" t="s">
        <v>220</v>
      </c>
      <c r="N115" s="31" t="s">
        <v>596</v>
      </c>
      <c r="O115" s="21" t="s">
        <v>46</v>
      </c>
      <c r="P115" s="21" t="s">
        <v>221</v>
      </c>
      <c r="Q115" s="30">
        <v>0.9</v>
      </c>
    </row>
    <row r="116" ht="16.5" customHeight="1">
      <c r="A116" s="19" t="s">
        <v>31</v>
      </c>
      <c r="B116" s="21" t="s">
        <v>404</v>
      </c>
      <c r="C116" s="21" t="str">
        <f t="shared" si="1"/>
        <v>TOM EDWARD SERIO</v>
      </c>
      <c r="D116" s="21" t="s">
        <v>88</v>
      </c>
      <c r="F116" s="29">
        <v>9.4441831E8</v>
      </c>
      <c r="G116" s="21" t="s">
        <v>416</v>
      </c>
      <c r="H116" s="32">
        <v>1.0</v>
      </c>
      <c r="I116" s="21" t="s">
        <v>69</v>
      </c>
      <c r="J116" s="21" t="str">
        <f t="shared" si="3"/>
        <v>4/1/2026</v>
      </c>
      <c r="K116" s="21" t="s">
        <v>56</v>
      </c>
      <c r="L116" s="21" t="str">
        <f t="shared" si="4"/>
        <v>1/1/2026</v>
      </c>
      <c r="M116" s="21" t="s">
        <v>72</v>
      </c>
      <c r="N116" s="31" t="s">
        <v>594</v>
      </c>
      <c r="O116" s="21" t="s">
        <v>73</v>
      </c>
      <c r="P116" s="21" t="s">
        <v>74</v>
      </c>
      <c r="Q116" s="30">
        <v>25.0</v>
      </c>
    </row>
    <row r="117" ht="16.5" customHeight="1">
      <c r="A117" s="19" t="s">
        <v>31</v>
      </c>
      <c r="B117" s="21" t="s">
        <v>417</v>
      </c>
      <c r="C117" s="21" t="str">
        <f t="shared" si="1"/>
        <v>DALE JON WALENGA</v>
      </c>
      <c r="D117" s="21" t="s">
        <v>77</v>
      </c>
      <c r="E117" s="28" t="str">
        <f t="shared" ref="E117:E118" si="10">IF(D117&gt;1,"[PMPM="&amp;D117&amp;"]","")</f>
        <v>[PMPM=2]</v>
      </c>
      <c r="F117" s="29">
        <v>9.4425868E8</v>
      </c>
      <c r="G117" s="21" t="s">
        <v>419</v>
      </c>
      <c r="H117" s="32">
        <v>1.0</v>
      </c>
      <c r="I117" s="21" t="s">
        <v>69</v>
      </c>
      <c r="J117" s="21" t="str">
        <f t="shared" si="3"/>
        <v>4/1/2026</v>
      </c>
      <c r="K117" s="21" t="s">
        <v>168</v>
      </c>
      <c r="L117" s="21" t="str">
        <f t="shared" si="4"/>
        <v>5/1/2025</v>
      </c>
      <c r="M117" s="21" t="s">
        <v>170</v>
      </c>
      <c r="N117" s="31" t="s">
        <v>595</v>
      </c>
      <c r="O117" s="21" t="s">
        <v>73</v>
      </c>
      <c r="P117" s="21" t="s">
        <v>171</v>
      </c>
      <c r="Q117" s="30">
        <v>40.0</v>
      </c>
    </row>
    <row r="118" ht="16.5" customHeight="1">
      <c r="A118" s="19" t="s">
        <v>31</v>
      </c>
      <c r="B118" s="21" t="s">
        <v>421</v>
      </c>
      <c r="C118" s="21" t="str">
        <f t="shared" si="1"/>
        <v>JONATHAN ALOFF</v>
      </c>
      <c r="D118" s="21" t="s">
        <v>77</v>
      </c>
      <c r="E118" s="28" t="str">
        <f t="shared" si="10"/>
        <v>[PMPM=2]</v>
      </c>
      <c r="F118" s="29">
        <v>9.43976221E8</v>
      </c>
      <c r="G118" s="21" t="s">
        <v>424</v>
      </c>
      <c r="H118" s="32">
        <v>1.0</v>
      </c>
      <c r="I118" s="21" t="s">
        <v>69</v>
      </c>
      <c r="J118" s="21" t="str">
        <f t="shared" si="3"/>
        <v>4/1/2026</v>
      </c>
      <c r="K118" s="21" t="s">
        <v>247</v>
      </c>
      <c r="L118" s="21" t="str">
        <f t="shared" si="4"/>
        <v>9/1/2024</v>
      </c>
      <c r="M118" s="21" t="s">
        <v>72</v>
      </c>
      <c r="N118" s="31" t="s">
        <v>594</v>
      </c>
      <c r="O118" s="21" t="s">
        <v>73</v>
      </c>
      <c r="P118" s="21" t="s">
        <v>74</v>
      </c>
      <c r="Q118" s="30">
        <v>50.0</v>
      </c>
    </row>
    <row r="119" ht="16.5" customHeight="1">
      <c r="A119" s="19" t="s">
        <v>31</v>
      </c>
      <c r="B119" s="21" t="s">
        <v>421</v>
      </c>
      <c r="C119" s="21" t="str">
        <f t="shared" si="1"/>
        <v>JONATHAN ALOFF</v>
      </c>
      <c r="D119" s="21" t="s">
        <v>88</v>
      </c>
      <c r="F119" s="29">
        <v>9.44157694E8</v>
      </c>
      <c r="G119" s="21" t="s">
        <v>427</v>
      </c>
      <c r="H119" s="32">
        <v>1.0</v>
      </c>
      <c r="I119" s="21" t="s">
        <v>69</v>
      </c>
      <c r="J119" s="21" t="str">
        <f t="shared" si="3"/>
        <v>4/1/2026</v>
      </c>
      <c r="K119" s="21" t="s">
        <v>316</v>
      </c>
      <c r="L119" s="21" t="str">
        <f t="shared" si="4"/>
        <v>2/1/2025</v>
      </c>
      <c r="M119" s="21" t="s">
        <v>170</v>
      </c>
      <c r="N119" s="31" t="s">
        <v>595</v>
      </c>
      <c r="O119" s="21" t="s">
        <v>73</v>
      </c>
      <c r="P119" s="21" t="s">
        <v>171</v>
      </c>
      <c r="Q119" s="30">
        <v>20.0</v>
      </c>
    </row>
    <row r="120" ht="16.5" customHeight="1">
      <c r="A120" s="19" t="s">
        <v>31</v>
      </c>
      <c r="B120" s="21" t="s">
        <v>428</v>
      </c>
      <c r="C120" s="21" t="str">
        <f t="shared" si="1"/>
        <v>BRIAN CHRISTOPHER STROHMAN</v>
      </c>
      <c r="D120" s="21" t="s">
        <v>77</v>
      </c>
      <c r="E120" s="28" t="str">
        <f t="shared" ref="E120:E123" si="11">IF(D120&gt;1,"[PMPM="&amp;D120&amp;"]","")</f>
        <v>[PMPM=2]</v>
      </c>
      <c r="F120" s="29">
        <v>9.44403673E8</v>
      </c>
      <c r="G120" s="21" t="s">
        <v>430</v>
      </c>
      <c r="H120" s="32">
        <v>1.0</v>
      </c>
      <c r="I120" s="21" t="s">
        <v>69</v>
      </c>
      <c r="J120" s="21" t="str">
        <f t="shared" si="3"/>
        <v>4/1/2026</v>
      </c>
      <c r="K120" s="21" t="s">
        <v>56</v>
      </c>
      <c r="L120" s="21" t="str">
        <f t="shared" si="4"/>
        <v>1/1/2026</v>
      </c>
      <c r="M120" s="21" t="s">
        <v>72</v>
      </c>
      <c r="N120" s="31" t="s">
        <v>594</v>
      </c>
      <c r="O120" s="21" t="s">
        <v>73</v>
      </c>
      <c r="P120" s="21" t="s">
        <v>74</v>
      </c>
      <c r="Q120" s="30">
        <v>50.0</v>
      </c>
    </row>
    <row r="121" ht="16.5" customHeight="1">
      <c r="A121" s="19" t="s">
        <v>31</v>
      </c>
      <c r="B121" s="21" t="s">
        <v>432</v>
      </c>
      <c r="C121" s="21" t="str">
        <f t="shared" si="1"/>
        <v>JOEL N LEE</v>
      </c>
      <c r="D121" s="21" t="s">
        <v>157</v>
      </c>
      <c r="E121" s="28" t="str">
        <f t="shared" si="11"/>
        <v>[PMPM=4]</v>
      </c>
      <c r="F121" s="29">
        <v>9.25964157E8</v>
      </c>
      <c r="G121" s="21" t="s">
        <v>434</v>
      </c>
      <c r="H121" s="32">
        <v>1.0</v>
      </c>
      <c r="I121" s="21" t="s">
        <v>69</v>
      </c>
      <c r="J121" s="21" t="str">
        <f t="shared" si="3"/>
        <v>4/1/2026</v>
      </c>
      <c r="K121" s="21" t="s">
        <v>85</v>
      </c>
      <c r="L121" s="21" t="str">
        <f t="shared" si="4"/>
        <v>4/1/2023</v>
      </c>
      <c r="M121" s="21" t="s">
        <v>170</v>
      </c>
      <c r="N121" s="31" t="s">
        <v>595</v>
      </c>
      <c r="O121" s="21" t="s">
        <v>73</v>
      </c>
      <c r="P121" s="21" t="s">
        <v>171</v>
      </c>
      <c r="Q121" s="30">
        <v>80.0</v>
      </c>
    </row>
    <row r="122" ht="16.5" customHeight="1">
      <c r="A122" s="19" t="s">
        <v>31</v>
      </c>
      <c r="B122" s="21" t="s">
        <v>437</v>
      </c>
      <c r="C122" s="21" t="str">
        <f t="shared" si="1"/>
        <v>VICTOR FUENTES</v>
      </c>
      <c r="D122" s="21" t="s">
        <v>77</v>
      </c>
      <c r="E122" s="28" t="str">
        <f t="shared" si="11"/>
        <v>[PMPM=2]</v>
      </c>
      <c r="F122" s="29">
        <v>9.24024563E8</v>
      </c>
      <c r="G122" s="21" t="s">
        <v>439</v>
      </c>
      <c r="H122" s="32">
        <v>1.0</v>
      </c>
      <c r="I122" s="21" t="s">
        <v>69</v>
      </c>
      <c r="J122" s="21" t="str">
        <f t="shared" si="3"/>
        <v>4/1/2026</v>
      </c>
      <c r="K122" s="21" t="s">
        <v>154</v>
      </c>
      <c r="L122" s="21" t="str">
        <f t="shared" si="4"/>
        <v>1/1/2024</v>
      </c>
      <c r="M122" s="21" t="s">
        <v>170</v>
      </c>
      <c r="N122" s="31" t="s">
        <v>595</v>
      </c>
      <c r="O122" s="21" t="s">
        <v>73</v>
      </c>
      <c r="P122" s="21" t="s">
        <v>171</v>
      </c>
      <c r="Q122" s="30">
        <v>40.0</v>
      </c>
    </row>
    <row r="123" ht="16.5" customHeight="1">
      <c r="A123" s="19" t="s">
        <v>31</v>
      </c>
      <c r="B123" s="21" t="s">
        <v>437</v>
      </c>
      <c r="C123" s="21" t="str">
        <f t="shared" si="1"/>
        <v>VICTOR FUENTES</v>
      </c>
      <c r="D123" s="21" t="s">
        <v>77</v>
      </c>
      <c r="E123" s="28" t="str">
        <f t="shared" si="11"/>
        <v>[PMPM=2]</v>
      </c>
      <c r="F123" s="29">
        <v>9.44116961E8</v>
      </c>
      <c r="G123" s="21" t="s">
        <v>442</v>
      </c>
      <c r="H123" s="32">
        <v>1.0</v>
      </c>
      <c r="I123" s="21" t="s">
        <v>69</v>
      </c>
      <c r="J123" s="21" t="str">
        <f t="shared" si="3"/>
        <v>4/1/2026</v>
      </c>
      <c r="K123" s="21" t="s">
        <v>293</v>
      </c>
      <c r="L123" s="21" t="str">
        <f t="shared" si="4"/>
        <v>1/1/2025</v>
      </c>
      <c r="M123" s="21" t="s">
        <v>72</v>
      </c>
      <c r="N123" s="31" t="s">
        <v>594</v>
      </c>
      <c r="O123" s="21" t="s">
        <v>73</v>
      </c>
      <c r="P123" s="21" t="s">
        <v>74</v>
      </c>
      <c r="Q123" s="30">
        <v>50.0</v>
      </c>
    </row>
    <row r="124" ht="16.5" customHeight="1">
      <c r="A124" s="19" t="s">
        <v>31</v>
      </c>
      <c r="B124" s="21" t="s">
        <v>437</v>
      </c>
      <c r="C124" s="21" t="str">
        <f t="shared" si="1"/>
        <v>VICTOR FUENTES</v>
      </c>
      <c r="D124" s="21" t="s">
        <v>88</v>
      </c>
      <c r="F124" s="29">
        <v>9.44250792E8</v>
      </c>
      <c r="G124" s="21" t="s">
        <v>444</v>
      </c>
      <c r="H124" s="32">
        <v>1.0</v>
      </c>
      <c r="I124" s="21" t="s">
        <v>150</v>
      </c>
      <c r="J124" s="21" t="str">
        <f t="shared" si="3"/>
        <v>2/1/2026</v>
      </c>
      <c r="K124" s="21" t="s">
        <v>325</v>
      </c>
      <c r="L124" s="21" t="str">
        <f t="shared" si="4"/>
        <v>4/1/2025</v>
      </c>
      <c r="M124" s="21" t="s">
        <v>170</v>
      </c>
      <c r="N124" s="31" t="s">
        <v>595</v>
      </c>
      <c r="O124" s="21" t="s">
        <v>73</v>
      </c>
      <c r="P124" s="21" t="s">
        <v>171</v>
      </c>
      <c r="Q124" s="30">
        <v>20.0</v>
      </c>
    </row>
    <row r="125" ht="16.5" customHeight="1">
      <c r="A125" s="19" t="s">
        <v>31</v>
      </c>
      <c r="B125" s="21" t="s">
        <v>437</v>
      </c>
      <c r="C125" s="21" t="str">
        <f t="shared" si="1"/>
        <v>VICTOR FUENTES</v>
      </c>
      <c r="D125" s="21" t="s">
        <v>88</v>
      </c>
      <c r="F125" s="29">
        <v>9.44378284E8</v>
      </c>
      <c r="G125" s="21" t="s">
        <v>446</v>
      </c>
      <c r="H125" s="32">
        <v>1.0</v>
      </c>
      <c r="I125" s="21" t="s">
        <v>69</v>
      </c>
      <c r="J125" s="21" t="str">
        <f t="shared" si="3"/>
        <v>4/1/2026</v>
      </c>
      <c r="K125" s="21" t="s">
        <v>379</v>
      </c>
      <c r="L125" s="21" t="str">
        <f t="shared" si="4"/>
        <v>9/1/2025</v>
      </c>
      <c r="M125" s="21" t="s">
        <v>72</v>
      </c>
      <c r="N125" s="31" t="s">
        <v>594</v>
      </c>
      <c r="O125" s="21" t="s">
        <v>73</v>
      </c>
      <c r="P125" s="21" t="s">
        <v>74</v>
      </c>
      <c r="Q125" s="30">
        <v>25.0</v>
      </c>
    </row>
    <row r="126" ht="16.5" customHeight="1">
      <c r="A126" s="19" t="s">
        <v>31</v>
      </c>
      <c r="B126" s="21" t="s">
        <v>447</v>
      </c>
      <c r="C126" s="21" t="str">
        <f t="shared" si="1"/>
        <v>JARED KINYUA</v>
      </c>
      <c r="D126" s="21" t="s">
        <v>88</v>
      </c>
      <c r="F126" s="29">
        <v>9.43134439E8</v>
      </c>
      <c r="G126" s="21" t="s">
        <v>449</v>
      </c>
      <c r="H126" s="32">
        <v>1.0</v>
      </c>
      <c r="I126" s="21" t="s">
        <v>69</v>
      </c>
      <c r="J126" s="21" t="str">
        <f t="shared" si="3"/>
        <v>4/1/2026</v>
      </c>
      <c r="K126" s="21" t="s">
        <v>212</v>
      </c>
      <c r="L126" s="21" t="str">
        <f t="shared" si="4"/>
        <v>9/1/2023</v>
      </c>
      <c r="M126" s="21" t="s">
        <v>170</v>
      </c>
      <c r="N126" s="31" t="s">
        <v>595</v>
      </c>
      <c r="O126" s="21" t="s">
        <v>73</v>
      </c>
      <c r="P126" s="21" t="s">
        <v>171</v>
      </c>
      <c r="Q126" s="30">
        <v>20.0</v>
      </c>
    </row>
    <row r="127" ht="16.5" customHeight="1">
      <c r="A127" s="19" t="s">
        <v>31</v>
      </c>
      <c r="B127" s="21" t="s">
        <v>447</v>
      </c>
      <c r="C127" s="21" t="str">
        <f t="shared" si="1"/>
        <v>JARED KINYUA</v>
      </c>
      <c r="D127" s="21" t="s">
        <v>157</v>
      </c>
      <c r="E127" s="28" t="str">
        <f>IF(D127&gt;1,"[PMPM="&amp;D127&amp;"]","")</f>
        <v>[PMPM=4]</v>
      </c>
      <c r="F127" s="29">
        <v>9.44346601E8</v>
      </c>
      <c r="G127" s="21" t="s">
        <v>452</v>
      </c>
      <c r="H127" s="32">
        <v>1.0</v>
      </c>
      <c r="I127" s="21" t="s">
        <v>69</v>
      </c>
      <c r="J127" s="21" t="str">
        <f t="shared" si="3"/>
        <v>4/1/2026</v>
      </c>
      <c r="K127" s="21" t="s">
        <v>42</v>
      </c>
      <c r="L127" s="21" t="str">
        <f t="shared" si="4"/>
        <v>8/1/2025</v>
      </c>
      <c r="M127" s="21" t="s">
        <v>72</v>
      </c>
      <c r="N127" s="31" t="s">
        <v>594</v>
      </c>
      <c r="O127" s="21" t="s">
        <v>73</v>
      </c>
      <c r="P127" s="21" t="s">
        <v>74</v>
      </c>
      <c r="Q127" s="30">
        <v>100.0</v>
      </c>
    </row>
    <row r="128" ht="16.5" customHeight="1">
      <c r="A128" s="19" t="s">
        <v>31</v>
      </c>
      <c r="B128" s="21" t="s">
        <v>453</v>
      </c>
      <c r="C128" s="21" t="str">
        <f t="shared" si="1"/>
        <v>BARRY GORDON BRENNER</v>
      </c>
      <c r="D128" s="21" t="s">
        <v>88</v>
      </c>
      <c r="F128" s="29">
        <v>9.44248233E8</v>
      </c>
      <c r="G128" s="21" t="s">
        <v>455</v>
      </c>
      <c r="H128" s="32">
        <v>1.0</v>
      </c>
      <c r="I128" s="21" t="s">
        <v>69</v>
      </c>
      <c r="J128" s="21" t="str">
        <f t="shared" si="3"/>
        <v>4/1/2026</v>
      </c>
      <c r="K128" s="21" t="s">
        <v>325</v>
      </c>
      <c r="L128" s="21" t="str">
        <f t="shared" si="4"/>
        <v>4/1/2025</v>
      </c>
      <c r="M128" s="21" t="s">
        <v>72</v>
      </c>
      <c r="N128" s="31" t="s">
        <v>594</v>
      </c>
      <c r="O128" s="21" t="s">
        <v>73</v>
      </c>
      <c r="P128" s="21" t="s">
        <v>74</v>
      </c>
      <c r="Q128" s="30">
        <v>25.0</v>
      </c>
    </row>
    <row r="129" ht="16.5" customHeight="1">
      <c r="A129" s="19" t="s">
        <v>31</v>
      </c>
      <c r="B129" s="21" t="s">
        <v>453</v>
      </c>
      <c r="C129" s="21" t="str">
        <f t="shared" si="1"/>
        <v>BARRY GORDON BRENNER</v>
      </c>
      <c r="D129" s="21" t="s">
        <v>77</v>
      </c>
      <c r="E129" s="28" t="str">
        <f t="shared" ref="E129:E130" si="12">IF(D129&gt;1,"[PMPM="&amp;D129&amp;"]","")</f>
        <v>[PMPM=2]</v>
      </c>
      <c r="F129" s="29">
        <v>9.44423783E8</v>
      </c>
      <c r="G129" s="21" t="s">
        <v>458</v>
      </c>
      <c r="H129" s="32">
        <v>1.0</v>
      </c>
      <c r="I129" s="21" t="s">
        <v>69</v>
      </c>
      <c r="J129" s="21" t="str">
        <f t="shared" si="3"/>
        <v>4/1/2026</v>
      </c>
      <c r="K129" s="21" t="s">
        <v>56</v>
      </c>
      <c r="L129" s="21" t="str">
        <f t="shared" si="4"/>
        <v>1/1/2026</v>
      </c>
      <c r="M129" s="21" t="s">
        <v>72</v>
      </c>
      <c r="N129" s="31" t="s">
        <v>594</v>
      </c>
      <c r="O129" s="21" t="s">
        <v>73</v>
      </c>
      <c r="P129" s="21" t="s">
        <v>74</v>
      </c>
      <c r="Q129" s="30">
        <v>50.0</v>
      </c>
    </row>
    <row r="130" ht="16.5" customHeight="1">
      <c r="A130" s="19" t="s">
        <v>31</v>
      </c>
      <c r="B130" s="21" t="s">
        <v>453</v>
      </c>
      <c r="C130" s="21" t="str">
        <f t="shared" si="1"/>
        <v>BARRY GORDON BRENNER</v>
      </c>
      <c r="D130" s="21" t="s">
        <v>77</v>
      </c>
      <c r="E130" s="28" t="str">
        <f t="shared" si="12"/>
        <v>[PMPM=2]</v>
      </c>
      <c r="F130" s="29">
        <v>9.44425372E8</v>
      </c>
      <c r="G130" s="21" t="s">
        <v>460</v>
      </c>
      <c r="H130" s="32">
        <v>1.0</v>
      </c>
      <c r="I130" s="21" t="s">
        <v>69</v>
      </c>
      <c r="J130" s="21" t="str">
        <f t="shared" si="3"/>
        <v>4/1/2026</v>
      </c>
      <c r="K130" s="21" t="s">
        <v>333</v>
      </c>
      <c r="L130" s="21" t="str">
        <f t="shared" si="4"/>
        <v>12/1/2025</v>
      </c>
      <c r="M130" s="21" t="s">
        <v>170</v>
      </c>
      <c r="N130" s="31" t="s">
        <v>595</v>
      </c>
      <c r="O130" s="21" t="s">
        <v>73</v>
      </c>
      <c r="P130" s="21" t="s">
        <v>171</v>
      </c>
      <c r="Q130" s="30">
        <v>40.0</v>
      </c>
    </row>
    <row r="131" ht="16.5" customHeight="1">
      <c r="A131" s="19" t="s">
        <v>31</v>
      </c>
      <c r="B131" s="21" t="s">
        <v>461</v>
      </c>
      <c r="C131" s="21" t="str">
        <f t="shared" si="1"/>
        <v>CHRISTOPHER BROUSSEAU</v>
      </c>
      <c r="D131" s="21" t="s">
        <v>88</v>
      </c>
      <c r="F131" s="29">
        <v>9.23721014E8</v>
      </c>
      <c r="G131" s="21" t="s">
        <v>463</v>
      </c>
      <c r="H131" s="32">
        <v>1.0</v>
      </c>
      <c r="I131" s="21" t="s">
        <v>69</v>
      </c>
      <c r="J131" s="21" t="str">
        <f t="shared" si="3"/>
        <v>4/1/2026</v>
      </c>
      <c r="K131" s="21" t="s">
        <v>168</v>
      </c>
      <c r="L131" s="21" t="str">
        <f t="shared" si="4"/>
        <v>5/1/2025</v>
      </c>
      <c r="M131" s="21" t="s">
        <v>72</v>
      </c>
      <c r="N131" s="31" t="s">
        <v>594</v>
      </c>
      <c r="O131" s="21" t="s">
        <v>73</v>
      </c>
      <c r="P131" s="21" t="s">
        <v>74</v>
      </c>
      <c r="Q131" s="30">
        <v>25.0</v>
      </c>
    </row>
    <row r="132" ht="16.5" customHeight="1">
      <c r="A132" s="19" t="s">
        <v>31</v>
      </c>
      <c r="B132" s="21" t="s">
        <v>461</v>
      </c>
      <c r="C132" s="21" t="str">
        <f t="shared" si="1"/>
        <v>CHRISTOPHER BROUSSEAU</v>
      </c>
      <c r="D132" s="21" t="s">
        <v>88</v>
      </c>
      <c r="F132" s="29">
        <v>9.25271143E8</v>
      </c>
      <c r="G132" s="21" t="s">
        <v>466</v>
      </c>
      <c r="H132" s="32">
        <v>1.0</v>
      </c>
      <c r="I132" s="21" t="s">
        <v>69</v>
      </c>
      <c r="J132" s="21" t="str">
        <f t="shared" si="3"/>
        <v>4/1/2026</v>
      </c>
      <c r="K132" s="21" t="s">
        <v>56</v>
      </c>
      <c r="L132" s="21" t="str">
        <f t="shared" si="4"/>
        <v>1/1/2026</v>
      </c>
      <c r="M132" s="21" t="s">
        <v>170</v>
      </c>
      <c r="N132" s="31" t="s">
        <v>595</v>
      </c>
      <c r="O132" s="21" t="s">
        <v>73</v>
      </c>
      <c r="P132" s="21" t="s">
        <v>171</v>
      </c>
      <c r="Q132" s="30">
        <v>20.0</v>
      </c>
    </row>
    <row r="133" ht="16.5" customHeight="1">
      <c r="A133" s="19" t="s">
        <v>31</v>
      </c>
      <c r="B133" s="21" t="s">
        <v>461</v>
      </c>
      <c r="C133" s="21" t="str">
        <f t="shared" si="1"/>
        <v>CHRISTOPHER BROUSSEAU</v>
      </c>
      <c r="D133" s="21" t="s">
        <v>88</v>
      </c>
      <c r="F133" s="29">
        <v>9.25326405E8</v>
      </c>
      <c r="G133" s="21" t="s">
        <v>468</v>
      </c>
      <c r="H133" s="32">
        <v>1.0</v>
      </c>
      <c r="I133" s="21" t="s">
        <v>69</v>
      </c>
      <c r="J133" s="21" t="str">
        <f t="shared" si="3"/>
        <v>4/1/2026</v>
      </c>
      <c r="K133" s="21" t="s">
        <v>469</v>
      </c>
      <c r="L133" s="21" t="str">
        <f t="shared" si="4"/>
        <v>7/1/2025</v>
      </c>
      <c r="M133" s="21" t="s">
        <v>170</v>
      </c>
      <c r="N133" s="31" t="s">
        <v>595</v>
      </c>
      <c r="O133" s="21" t="s">
        <v>73</v>
      </c>
      <c r="P133" s="21" t="s">
        <v>171</v>
      </c>
      <c r="Q133" s="30">
        <v>20.0</v>
      </c>
    </row>
    <row r="134" ht="16.5" customHeight="1">
      <c r="A134" s="19" t="s">
        <v>31</v>
      </c>
      <c r="B134" s="21" t="s">
        <v>461</v>
      </c>
      <c r="C134" s="21" t="str">
        <f t="shared" si="1"/>
        <v>CHRISTOPHER BROUSSEAU</v>
      </c>
      <c r="D134" s="21" t="s">
        <v>88</v>
      </c>
      <c r="F134" s="29">
        <v>9.25571076E8</v>
      </c>
      <c r="G134" s="21" t="s">
        <v>472</v>
      </c>
      <c r="H134" s="32">
        <v>1.0</v>
      </c>
      <c r="I134" s="21" t="s">
        <v>69</v>
      </c>
      <c r="J134" s="21" t="str">
        <f t="shared" si="3"/>
        <v>4/1/2026</v>
      </c>
      <c r="K134" s="21" t="s">
        <v>168</v>
      </c>
      <c r="L134" s="21" t="str">
        <f t="shared" si="4"/>
        <v>5/1/2025</v>
      </c>
      <c r="M134" s="21" t="s">
        <v>170</v>
      </c>
      <c r="N134" s="31" t="s">
        <v>595</v>
      </c>
      <c r="O134" s="21" t="s">
        <v>73</v>
      </c>
      <c r="P134" s="21" t="s">
        <v>171</v>
      </c>
      <c r="Q134" s="30">
        <v>20.0</v>
      </c>
    </row>
    <row r="135" ht="16.5" customHeight="1">
      <c r="A135" s="19" t="s">
        <v>31</v>
      </c>
      <c r="B135" s="21" t="s">
        <v>461</v>
      </c>
      <c r="C135" s="21" t="str">
        <f t="shared" si="1"/>
        <v>CHRISTOPHER BROUSSEAU</v>
      </c>
      <c r="D135" s="21" t="s">
        <v>88</v>
      </c>
      <c r="F135" s="29">
        <v>9.25571076E8</v>
      </c>
      <c r="G135" s="21" t="s">
        <v>472</v>
      </c>
      <c r="H135" s="32">
        <v>1.0</v>
      </c>
      <c r="I135" s="21" t="s">
        <v>41</v>
      </c>
      <c r="J135" s="21" t="str">
        <f t="shared" si="3"/>
        <v>3/1/2026</v>
      </c>
      <c r="K135" s="21" t="s">
        <v>168</v>
      </c>
      <c r="L135" s="21" t="str">
        <f t="shared" si="4"/>
        <v>5/1/2025</v>
      </c>
      <c r="M135" s="21" t="s">
        <v>170</v>
      </c>
      <c r="N135" s="31" t="s">
        <v>595</v>
      </c>
      <c r="O135" s="21" t="s">
        <v>73</v>
      </c>
      <c r="P135" s="21" t="s">
        <v>171</v>
      </c>
      <c r="Q135" s="30">
        <v>20.0</v>
      </c>
    </row>
    <row r="136" ht="16.5" customHeight="1">
      <c r="A136" s="19" t="s">
        <v>31</v>
      </c>
      <c r="B136" s="21" t="s">
        <v>461</v>
      </c>
      <c r="C136" s="21" t="str">
        <f t="shared" si="1"/>
        <v>CHRISTOPHER BROUSSEAU</v>
      </c>
      <c r="D136" s="21" t="s">
        <v>88</v>
      </c>
      <c r="F136" s="29">
        <v>9.25571076E8</v>
      </c>
      <c r="G136" s="21" t="s">
        <v>472</v>
      </c>
      <c r="H136" s="32">
        <v>1.0</v>
      </c>
      <c r="I136" s="21" t="s">
        <v>150</v>
      </c>
      <c r="J136" s="21" t="str">
        <f t="shared" si="3"/>
        <v>2/1/2026</v>
      </c>
      <c r="K136" s="21" t="s">
        <v>168</v>
      </c>
      <c r="L136" s="21" t="str">
        <f t="shared" si="4"/>
        <v>5/1/2025</v>
      </c>
      <c r="M136" s="21" t="s">
        <v>170</v>
      </c>
      <c r="N136" s="31" t="s">
        <v>595</v>
      </c>
      <c r="O136" s="21" t="s">
        <v>73</v>
      </c>
      <c r="P136" s="21" t="s">
        <v>171</v>
      </c>
      <c r="Q136" s="30">
        <v>20.0</v>
      </c>
    </row>
    <row r="137" ht="16.5" customHeight="1">
      <c r="A137" s="19" t="s">
        <v>31</v>
      </c>
      <c r="B137" s="21" t="s">
        <v>461</v>
      </c>
      <c r="C137" s="21" t="str">
        <f t="shared" si="1"/>
        <v>CHRISTOPHER BROUSSEAU</v>
      </c>
      <c r="D137" s="21" t="s">
        <v>88</v>
      </c>
      <c r="F137" s="29">
        <v>9.43566891E8</v>
      </c>
      <c r="G137" s="21" t="s">
        <v>474</v>
      </c>
      <c r="H137" s="32">
        <v>1.0</v>
      </c>
      <c r="I137" s="21" t="s">
        <v>69</v>
      </c>
      <c r="J137" s="21" t="str">
        <f t="shared" si="3"/>
        <v>4/1/2026</v>
      </c>
      <c r="K137" s="21" t="s">
        <v>150</v>
      </c>
      <c r="L137" s="21" t="str">
        <f t="shared" si="4"/>
        <v>2/1/2026</v>
      </c>
      <c r="M137" s="21" t="s">
        <v>170</v>
      </c>
      <c r="N137" s="31" t="s">
        <v>595</v>
      </c>
      <c r="O137" s="21" t="s">
        <v>73</v>
      </c>
      <c r="P137" s="21" t="s">
        <v>171</v>
      </c>
      <c r="Q137" s="30">
        <v>20.0</v>
      </c>
    </row>
    <row r="138" ht="16.5" customHeight="1">
      <c r="A138" s="19" t="s">
        <v>31</v>
      </c>
      <c r="B138" s="21" t="s">
        <v>461</v>
      </c>
      <c r="C138" s="21" t="str">
        <f t="shared" si="1"/>
        <v>CHRISTOPHER BROUSSEAU</v>
      </c>
      <c r="D138" s="21" t="s">
        <v>88</v>
      </c>
      <c r="F138" s="29">
        <v>9.43628736E8</v>
      </c>
      <c r="G138" s="21" t="s">
        <v>476</v>
      </c>
      <c r="H138" s="32">
        <v>1.0</v>
      </c>
      <c r="I138" s="21" t="s">
        <v>69</v>
      </c>
      <c r="J138" s="21" t="str">
        <f t="shared" si="3"/>
        <v>4/1/2026</v>
      </c>
      <c r="K138" s="21" t="s">
        <v>168</v>
      </c>
      <c r="L138" s="21" t="str">
        <f t="shared" si="4"/>
        <v>5/1/2025</v>
      </c>
      <c r="M138" s="21" t="s">
        <v>72</v>
      </c>
      <c r="N138" s="31" t="s">
        <v>594</v>
      </c>
      <c r="O138" s="21" t="s">
        <v>73</v>
      </c>
      <c r="P138" s="21" t="s">
        <v>74</v>
      </c>
      <c r="Q138" s="30">
        <v>25.0</v>
      </c>
    </row>
    <row r="139" ht="16.5" customHeight="1">
      <c r="A139" s="19" t="s">
        <v>31</v>
      </c>
      <c r="B139" s="21" t="s">
        <v>461</v>
      </c>
      <c r="C139" s="21" t="str">
        <f t="shared" si="1"/>
        <v>CHRISTOPHER BROUSSEAU</v>
      </c>
      <c r="D139" s="21" t="s">
        <v>88</v>
      </c>
      <c r="F139" s="29">
        <v>9.43982396E8</v>
      </c>
      <c r="G139" s="21" t="s">
        <v>478</v>
      </c>
      <c r="H139" s="32">
        <v>1.0</v>
      </c>
      <c r="I139" s="21" t="s">
        <v>69</v>
      </c>
      <c r="J139" s="21" t="str">
        <f t="shared" si="3"/>
        <v>4/1/2026</v>
      </c>
      <c r="K139" s="21" t="s">
        <v>56</v>
      </c>
      <c r="L139" s="21" t="str">
        <f t="shared" si="4"/>
        <v>1/1/2026</v>
      </c>
      <c r="M139" s="21" t="s">
        <v>170</v>
      </c>
      <c r="N139" s="31" t="s">
        <v>595</v>
      </c>
      <c r="O139" s="21" t="s">
        <v>73</v>
      </c>
      <c r="P139" s="21" t="s">
        <v>171</v>
      </c>
      <c r="Q139" s="30">
        <v>20.0</v>
      </c>
    </row>
    <row r="140" ht="16.5" customHeight="1">
      <c r="A140" s="19" t="s">
        <v>31</v>
      </c>
      <c r="B140" s="21" t="s">
        <v>461</v>
      </c>
      <c r="C140" s="21" t="str">
        <f t="shared" si="1"/>
        <v>CHRISTOPHER BROUSSEAU</v>
      </c>
      <c r="D140" s="21" t="s">
        <v>77</v>
      </c>
      <c r="E140" s="28" t="str">
        <f>IF(D140&gt;1,"[PMPM="&amp;D140&amp;"]","")</f>
        <v>[PMPM=2]</v>
      </c>
      <c r="F140" s="29">
        <v>9.44249118E8</v>
      </c>
      <c r="G140" s="21" t="s">
        <v>480</v>
      </c>
      <c r="H140" s="32">
        <v>1.0</v>
      </c>
      <c r="I140" s="21" t="s">
        <v>69</v>
      </c>
      <c r="J140" s="21" t="str">
        <f t="shared" si="3"/>
        <v>4/1/2026</v>
      </c>
      <c r="K140" s="21" t="s">
        <v>325</v>
      </c>
      <c r="L140" s="21" t="str">
        <f t="shared" si="4"/>
        <v>4/1/2025</v>
      </c>
      <c r="M140" s="21" t="s">
        <v>170</v>
      </c>
      <c r="N140" s="31" t="s">
        <v>595</v>
      </c>
      <c r="O140" s="21" t="s">
        <v>73</v>
      </c>
      <c r="P140" s="21" t="s">
        <v>171</v>
      </c>
      <c r="Q140" s="30">
        <v>40.0</v>
      </c>
    </row>
    <row r="141" ht="16.5" customHeight="1">
      <c r="A141" s="19" t="s">
        <v>31</v>
      </c>
      <c r="B141" s="21" t="s">
        <v>461</v>
      </c>
      <c r="C141" s="21" t="str">
        <f t="shared" si="1"/>
        <v>CHRISTOPHER BROUSSEAU</v>
      </c>
      <c r="D141" s="21" t="s">
        <v>88</v>
      </c>
      <c r="F141" s="29">
        <v>9.44252004E8</v>
      </c>
      <c r="G141" s="21" t="s">
        <v>482</v>
      </c>
      <c r="H141" s="32">
        <v>1.0</v>
      </c>
      <c r="I141" s="21" t="s">
        <v>69</v>
      </c>
      <c r="J141" s="21" t="str">
        <f t="shared" si="3"/>
        <v>4/1/2026</v>
      </c>
      <c r="K141" s="21" t="s">
        <v>325</v>
      </c>
      <c r="L141" s="21" t="str">
        <f t="shared" si="4"/>
        <v>4/1/2025</v>
      </c>
      <c r="M141" s="21" t="s">
        <v>170</v>
      </c>
      <c r="N141" s="31" t="s">
        <v>595</v>
      </c>
      <c r="O141" s="21" t="s">
        <v>73</v>
      </c>
      <c r="P141" s="21" t="s">
        <v>171</v>
      </c>
      <c r="Q141" s="30">
        <v>20.0</v>
      </c>
    </row>
    <row r="142" ht="16.5" customHeight="1">
      <c r="A142" s="19" t="s">
        <v>31</v>
      </c>
      <c r="B142" s="21" t="s">
        <v>461</v>
      </c>
      <c r="C142" s="21" t="str">
        <f t="shared" si="1"/>
        <v>CHRISTOPHER BROUSSEAU</v>
      </c>
      <c r="D142" s="21" t="s">
        <v>88</v>
      </c>
      <c r="F142" s="29">
        <v>9.44253272E8</v>
      </c>
      <c r="G142" s="21" t="s">
        <v>484</v>
      </c>
      <c r="H142" s="32">
        <v>1.0</v>
      </c>
      <c r="I142" s="21" t="s">
        <v>69</v>
      </c>
      <c r="J142" s="21" t="str">
        <f t="shared" si="3"/>
        <v>4/1/2026</v>
      </c>
      <c r="K142" s="21" t="s">
        <v>168</v>
      </c>
      <c r="L142" s="21" t="str">
        <f t="shared" si="4"/>
        <v>5/1/2025</v>
      </c>
      <c r="M142" s="21" t="s">
        <v>170</v>
      </c>
      <c r="N142" s="31" t="s">
        <v>595</v>
      </c>
      <c r="O142" s="21" t="s">
        <v>73</v>
      </c>
      <c r="P142" s="21" t="s">
        <v>171</v>
      </c>
      <c r="Q142" s="30">
        <v>20.0</v>
      </c>
    </row>
    <row r="143" ht="16.5" customHeight="1">
      <c r="A143" s="19" t="s">
        <v>31</v>
      </c>
      <c r="B143" s="21" t="s">
        <v>461</v>
      </c>
      <c r="C143" s="21" t="str">
        <f t="shared" si="1"/>
        <v>CHRISTOPHER BROUSSEAU</v>
      </c>
      <c r="D143" s="21" t="s">
        <v>77</v>
      </c>
      <c r="E143" s="28" t="str">
        <f>IF(D143&gt;1,"[PMPM="&amp;D143&amp;"]","")</f>
        <v>[PMPM=2]</v>
      </c>
      <c r="F143" s="29">
        <v>9.44340656E8</v>
      </c>
      <c r="G143" s="21" t="s">
        <v>486</v>
      </c>
      <c r="H143" s="32">
        <v>1.0</v>
      </c>
      <c r="I143" s="21" t="s">
        <v>69</v>
      </c>
      <c r="J143" s="21" t="str">
        <f t="shared" si="3"/>
        <v>4/1/2026</v>
      </c>
      <c r="K143" s="21" t="s">
        <v>42</v>
      </c>
      <c r="L143" s="21" t="str">
        <f t="shared" si="4"/>
        <v>8/1/2025</v>
      </c>
      <c r="M143" s="21" t="s">
        <v>170</v>
      </c>
      <c r="N143" s="31" t="s">
        <v>595</v>
      </c>
      <c r="O143" s="21" t="s">
        <v>73</v>
      </c>
      <c r="P143" s="21" t="s">
        <v>171</v>
      </c>
      <c r="Q143" s="30">
        <v>40.0</v>
      </c>
    </row>
    <row r="144" ht="16.5" customHeight="1">
      <c r="A144" s="19" t="s">
        <v>31</v>
      </c>
      <c r="B144" s="21" t="s">
        <v>461</v>
      </c>
      <c r="C144" s="21" t="str">
        <f t="shared" si="1"/>
        <v>CHRISTOPHER BROUSSEAU</v>
      </c>
      <c r="D144" s="21" t="s">
        <v>88</v>
      </c>
      <c r="F144" s="29">
        <v>9.44395251E8</v>
      </c>
      <c r="G144" s="21" t="s">
        <v>488</v>
      </c>
      <c r="H144" s="32">
        <v>1.0</v>
      </c>
      <c r="I144" s="21" t="s">
        <v>69</v>
      </c>
      <c r="J144" s="21" t="str">
        <f t="shared" si="3"/>
        <v>4/1/2026</v>
      </c>
      <c r="K144" s="21" t="s">
        <v>56</v>
      </c>
      <c r="L144" s="21" t="str">
        <f t="shared" si="4"/>
        <v>1/1/2026</v>
      </c>
      <c r="M144" s="21" t="s">
        <v>170</v>
      </c>
      <c r="N144" s="31" t="s">
        <v>595</v>
      </c>
      <c r="O144" s="21" t="s">
        <v>73</v>
      </c>
      <c r="P144" s="21" t="s">
        <v>171</v>
      </c>
      <c r="Q144" s="30">
        <v>20.0</v>
      </c>
    </row>
    <row r="145" ht="16.5" customHeight="1">
      <c r="A145" s="19" t="s">
        <v>31</v>
      </c>
      <c r="B145" s="21" t="s">
        <v>461</v>
      </c>
      <c r="C145" s="21" t="str">
        <f t="shared" si="1"/>
        <v>CHRISTOPHER BROUSSEAU</v>
      </c>
      <c r="D145" s="21" t="s">
        <v>88</v>
      </c>
      <c r="F145" s="29">
        <v>9.44406649E8</v>
      </c>
      <c r="G145" s="21" t="s">
        <v>490</v>
      </c>
      <c r="H145" s="32">
        <v>1.0</v>
      </c>
      <c r="I145" s="21" t="s">
        <v>69</v>
      </c>
      <c r="J145" s="21" t="str">
        <f t="shared" si="3"/>
        <v>4/1/2026</v>
      </c>
      <c r="K145" s="21" t="s">
        <v>56</v>
      </c>
      <c r="L145" s="21" t="str">
        <f t="shared" si="4"/>
        <v>1/1/2026</v>
      </c>
      <c r="M145" s="21" t="s">
        <v>72</v>
      </c>
      <c r="N145" s="31" t="s">
        <v>594</v>
      </c>
      <c r="O145" s="21" t="s">
        <v>73</v>
      </c>
      <c r="P145" s="21" t="s">
        <v>74</v>
      </c>
      <c r="Q145" s="30">
        <v>25.0</v>
      </c>
    </row>
    <row r="146" ht="16.5" customHeight="1">
      <c r="A146" s="19" t="s">
        <v>31</v>
      </c>
      <c r="B146" s="21" t="s">
        <v>461</v>
      </c>
      <c r="C146" s="21" t="str">
        <f t="shared" si="1"/>
        <v>CHRISTOPHER BROUSSEAU</v>
      </c>
      <c r="D146" s="21" t="s">
        <v>88</v>
      </c>
      <c r="F146" s="29">
        <v>9.44431589E8</v>
      </c>
      <c r="G146" s="21" t="s">
        <v>492</v>
      </c>
      <c r="H146" s="32">
        <v>1.0</v>
      </c>
      <c r="I146" s="21" t="s">
        <v>69</v>
      </c>
      <c r="J146" s="21" t="str">
        <f t="shared" si="3"/>
        <v>4/1/2026</v>
      </c>
      <c r="K146" s="21" t="s">
        <v>56</v>
      </c>
      <c r="L146" s="21" t="str">
        <f t="shared" si="4"/>
        <v>1/1/2026</v>
      </c>
      <c r="M146" s="21" t="s">
        <v>72</v>
      </c>
      <c r="N146" s="31" t="s">
        <v>594</v>
      </c>
      <c r="O146" s="21" t="s">
        <v>73</v>
      </c>
      <c r="P146" s="21" t="s">
        <v>74</v>
      </c>
      <c r="Q146" s="30">
        <v>25.0</v>
      </c>
    </row>
    <row r="147" ht="16.5" customHeight="1">
      <c r="A147" s="19" t="s">
        <v>31</v>
      </c>
      <c r="B147" s="21" t="s">
        <v>493</v>
      </c>
      <c r="C147" s="21" t="str">
        <f t="shared" si="1"/>
        <v>KIRK ANTHONY TIGUE</v>
      </c>
      <c r="D147" s="21" t="s">
        <v>66</v>
      </c>
      <c r="E147" s="28" t="str">
        <f>IF(D147&gt;1,"[PMPM="&amp;D147&amp;"]","")</f>
        <v>[PMPM=3]</v>
      </c>
      <c r="F147" s="29">
        <v>9.25072162E8</v>
      </c>
      <c r="G147" s="21" t="s">
        <v>495</v>
      </c>
      <c r="H147" s="32">
        <v>1.0</v>
      </c>
      <c r="I147" s="21" t="s">
        <v>69</v>
      </c>
      <c r="J147" s="21" t="str">
        <f t="shared" si="3"/>
        <v>4/1/2026</v>
      </c>
      <c r="K147" s="21" t="s">
        <v>496</v>
      </c>
      <c r="L147" s="21" t="str">
        <f t="shared" si="4"/>
        <v>7/1/2023</v>
      </c>
      <c r="M147" s="21" t="s">
        <v>72</v>
      </c>
      <c r="N147" s="31" t="s">
        <v>594</v>
      </c>
      <c r="O147" s="21" t="s">
        <v>73</v>
      </c>
      <c r="P147" s="21" t="s">
        <v>74</v>
      </c>
      <c r="Q147" s="30">
        <v>75.0</v>
      </c>
    </row>
    <row r="148" ht="16.5" customHeight="1">
      <c r="A148" s="19" t="s">
        <v>31</v>
      </c>
      <c r="B148" s="21" t="s">
        <v>493</v>
      </c>
      <c r="C148" s="21" t="str">
        <f t="shared" si="1"/>
        <v>KIRK ANTHONY TIGUE</v>
      </c>
      <c r="D148" s="21" t="s">
        <v>88</v>
      </c>
      <c r="F148" s="29">
        <v>9.25953037E8</v>
      </c>
      <c r="G148" s="21" t="s">
        <v>500</v>
      </c>
      <c r="H148" s="32">
        <v>1.0</v>
      </c>
      <c r="I148" s="21" t="s">
        <v>69</v>
      </c>
      <c r="J148" s="21" t="str">
        <f t="shared" si="3"/>
        <v>4/1/2026</v>
      </c>
      <c r="K148" s="21" t="s">
        <v>56</v>
      </c>
      <c r="L148" s="21" t="str">
        <f t="shared" si="4"/>
        <v>1/1/2026</v>
      </c>
      <c r="M148" s="21" t="s">
        <v>170</v>
      </c>
      <c r="N148" s="31" t="s">
        <v>595</v>
      </c>
      <c r="O148" s="21" t="s">
        <v>73</v>
      </c>
      <c r="P148" s="21" t="s">
        <v>171</v>
      </c>
      <c r="Q148" s="30">
        <v>20.0</v>
      </c>
    </row>
    <row r="149" ht="16.5" customHeight="1">
      <c r="A149" s="19" t="s">
        <v>31</v>
      </c>
      <c r="B149" s="21" t="s">
        <v>493</v>
      </c>
      <c r="C149" s="21" t="str">
        <f t="shared" si="1"/>
        <v>KIRK ANTHONY TIGUE</v>
      </c>
      <c r="D149" s="21" t="s">
        <v>157</v>
      </c>
      <c r="E149" s="28" t="str">
        <f>IF(D149&gt;1,"[PMPM="&amp;D149&amp;"]","")</f>
        <v>[PMPM=4]</v>
      </c>
      <c r="F149" s="29">
        <v>9.4362666E8</v>
      </c>
      <c r="G149" s="21" t="s">
        <v>502</v>
      </c>
      <c r="H149" s="32">
        <v>1.0</v>
      </c>
      <c r="I149" s="21" t="s">
        <v>69</v>
      </c>
      <c r="J149" s="21" t="str">
        <f t="shared" si="3"/>
        <v>4/1/2026</v>
      </c>
      <c r="K149" s="21" t="s">
        <v>325</v>
      </c>
      <c r="L149" s="21" t="str">
        <f t="shared" si="4"/>
        <v>4/1/2025</v>
      </c>
      <c r="M149" s="21" t="s">
        <v>72</v>
      </c>
      <c r="N149" s="31" t="s">
        <v>594</v>
      </c>
      <c r="O149" s="21" t="s">
        <v>73</v>
      </c>
      <c r="P149" s="21" t="s">
        <v>74</v>
      </c>
      <c r="Q149" s="30">
        <v>100.0</v>
      </c>
    </row>
    <row r="150" ht="16.5" customHeight="1">
      <c r="A150" s="19" t="s">
        <v>31</v>
      </c>
      <c r="B150" s="21" t="s">
        <v>493</v>
      </c>
      <c r="C150" s="21" t="str">
        <f t="shared" si="1"/>
        <v>KIRK ANTHONY TIGUE</v>
      </c>
      <c r="D150" s="21" t="s">
        <v>327</v>
      </c>
      <c r="F150" s="29">
        <v>9.44238599E8</v>
      </c>
      <c r="G150" s="21" t="s">
        <v>504</v>
      </c>
      <c r="H150" s="32">
        <v>-1.0</v>
      </c>
      <c r="I150" s="21" t="s">
        <v>69</v>
      </c>
      <c r="J150" s="21" t="str">
        <f t="shared" si="3"/>
        <v>4/1/2026</v>
      </c>
      <c r="K150" s="21" t="s">
        <v>325</v>
      </c>
      <c r="L150" s="21" t="str">
        <f t="shared" si="4"/>
        <v>4/1/2025</v>
      </c>
      <c r="M150" s="21" t="s">
        <v>170</v>
      </c>
      <c r="N150" s="31" t="s">
        <v>595</v>
      </c>
      <c r="O150" s="21" t="s">
        <v>73</v>
      </c>
      <c r="P150" s="21" t="s">
        <v>171</v>
      </c>
      <c r="Q150" s="32">
        <v>-20.0</v>
      </c>
    </row>
    <row r="151" ht="16.5" customHeight="1">
      <c r="A151" s="19" t="s">
        <v>31</v>
      </c>
      <c r="B151" s="21" t="s">
        <v>493</v>
      </c>
      <c r="C151" s="21" t="str">
        <f t="shared" si="1"/>
        <v>KIRK ANTHONY TIGUE</v>
      </c>
      <c r="D151" s="21" t="s">
        <v>88</v>
      </c>
      <c r="F151" s="29">
        <v>9.44238599E8</v>
      </c>
      <c r="G151" s="21" t="s">
        <v>504</v>
      </c>
      <c r="H151" s="32">
        <v>1.0</v>
      </c>
      <c r="I151" s="21" t="s">
        <v>69</v>
      </c>
      <c r="J151" s="21" t="str">
        <f t="shared" si="3"/>
        <v>4/1/2026</v>
      </c>
      <c r="K151" s="21" t="s">
        <v>325</v>
      </c>
      <c r="L151" s="21" t="str">
        <f t="shared" si="4"/>
        <v>4/1/2025</v>
      </c>
      <c r="M151" s="21" t="s">
        <v>170</v>
      </c>
      <c r="N151" s="31" t="s">
        <v>595</v>
      </c>
      <c r="O151" s="21" t="s">
        <v>73</v>
      </c>
      <c r="P151" s="21" t="s">
        <v>171</v>
      </c>
      <c r="Q151" s="30">
        <v>20.0</v>
      </c>
    </row>
    <row r="152" ht="16.5" customHeight="1">
      <c r="A152" s="19" t="s">
        <v>31</v>
      </c>
      <c r="B152" s="21" t="s">
        <v>493</v>
      </c>
      <c r="C152" s="21" t="str">
        <f t="shared" si="1"/>
        <v>KIRK ANTHONY TIGUE</v>
      </c>
      <c r="D152" s="21" t="s">
        <v>327</v>
      </c>
      <c r="F152" s="29">
        <v>9.44238599E8</v>
      </c>
      <c r="G152" s="21" t="s">
        <v>504</v>
      </c>
      <c r="H152" s="32">
        <v>-1.0</v>
      </c>
      <c r="I152" s="21" t="s">
        <v>41</v>
      </c>
      <c r="J152" s="21" t="str">
        <f t="shared" si="3"/>
        <v>3/1/2026</v>
      </c>
      <c r="K152" s="21" t="s">
        <v>325</v>
      </c>
      <c r="L152" s="21" t="str">
        <f t="shared" si="4"/>
        <v>4/1/2025</v>
      </c>
      <c r="M152" s="21" t="s">
        <v>170</v>
      </c>
      <c r="N152" s="31" t="s">
        <v>595</v>
      </c>
      <c r="O152" s="21" t="s">
        <v>73</v>
      </c>
      <c r="P152" s="21" t="s">
        <v>171</v>
      </c>
      <c r="Q152" s="32">
        <v>-20.0</v>
      </c>
    </row>
    <row r="153" ht="16.5" customHeight="1">
      <c r="A153" s="19" t="s">
        <v>31</v>
      </c>
      <c r="B153" s="21" t="s">
        <v>493</v>
      </c>
      <c r="C153" s="21" t="str">
        <f t="shared" si="1"/>
        <v>KIRK ANTHONY TIGUE</v>
      </c>
      <c r="D153" s="21" t="s">
        <v>88</v>
      </c>
      <c r="F153" s="29">
        <v>9.44248144E8</v>
      </c>
      <c r="G153" s="21" t="s">
        <v>507</v>
      </c>
      <c r="H153" s="32">
        <v>1.0</v>
      </c>
      <c r="I153" s="21" t="s">
        <v>69</v>
      </c>
      <c r="J153" s="21" t="str">
        <f t="shared" si="3"/>
        <v>4/1/2026</v>
      </c>
      <c r="K153" s="21" t="s">
        <v>333</v>
      </c>
      <c r="L153" s="21" t="str">
        <f t="shared" si="4"/>
        <v>12/1/2025</v>
      </c>
      <c r="M153" s="21" t="s">
        <v>72</v>
      </c>
      <c r="N153" s="31" t="s">
        <v>594</v>
      </c>
      <c r="O153" s="21" t="s">
        <v>73</v>
      </c>
      <c r="P153" s="21" t="s">
        <v>74</v>
      </c>
      <c r="Q153" s="30">
        <v>25.0</v>
      </c>
    </row>
    <row r="154" ht="16.5" customHeight="1">
      <c r="A154" s="19" t="s">
        <v>31</v>
      </c>
      <c r="B154" s="21" t="s">
        <v>493</v>
      </c>
      <c r="C154" s="21" t="str">
        <f t="shared" si="1"/>
        <v>KIRK ANTHONY TIGUE</v>
      </c>
      <c r="D154" s="21" t="s">
        <v>88</v>
      </c>
      <c r="F154" s="29">
        <v>9.4431177E8</v>
      </c>
      <c r="G154" s="21" t="s">
        <v>509</v>
      </c>
      <c r="H154" s="32">
        <v>1.0</v>
      </c>
      <c r="I154" s="21" t="s">
        <v>69</v>
      </c>
      <c r="J154" s="21" t="str">
        <f t="shared" si="3"/>
        <v>4/1/2026</v>
      </c>
      <c r="K154" s="21" t="s">
        <v>469</v>
      </c>
      <c r="L154" s="21" t="str">
        <f t="shared" si="4"/>
        <v>7/1/2025</v>
      </c>
      <c r="M154" s="21" t="s">
        <v>72</v>
      </c>
      <c r="N154" s="31" t="s">
        <v>594</v>
      </c>
      <c r="O154" s="21" t="s">
        <v>73</v>
      </c>
      <c r="P154" s="21" t="s">
        <v>74</v>
      </c>
      <c r="Q154" s="30">
        <v>25.0</v>
      </c>
    </row>
    <row r="155" ht="16.5" customHeight="1">
      <c r="A155" s="19" t="s">
        <v>31</v>
      </c>
      <c r="B155" s="21" t="s">
        <v>493</v>
      </c>
      <c r="C155" s="21" t="str">
        <f t="shared" si="1"/>
        <v>KIRK ANTHONY TIGUE</v>
      </c>
      <c r="D155" s="21" t="s">
        <v>88</v>
      </c>
      <c r="F155" s="29">
        <v>9.4431177E8</v>
      </c>
      <c r="G155" s="21" t="s">
        <v>509</v>
      </c>
      <c r="H155" s="32">
        <v>1.0</v>
      </c>
      <c r="I155" s="21" t="s">
        <v>41</v>
      </c>
      <c r="J155" s="21" t="str">
        <f t="shared" si="3"/>
        <v>3/1/2026</v>
      </c>
      <c r="K155" s="21" t="s">
        <v>469</v>
      </c>
      <c r="L155" s="21" t="str">
        <f t="shared" si="4"/>
        <v>7/1/2025</v>
      </c>
      <c r="M155" s="21" t="s">
        <v>72</v>
      </c>
      <c r="N155" s="31" t="s">
        <v>594</v>
      </c>
      <c r="O155" s="21" t="s">
        <v>73</v>
      </c>
      <c r="P155" s="21" t="s">
        <v>74</v>
      </c>
      <c r="Q155" s="30">
        <v>25.0</v>
      </c>
    </row>
    <row r="156" ht="16.5" customHeight="1">
      <c r="A156" s="19" t="s">
        <v>31</v>
      </c>
      <c r="B156" s="21" t="s">
        <v>493</v>
      </c>
      <c r="C156" s="21" t="str">
        <f t="shared" si="1"/>
        <v>KIRK ANTHONY TIGUE</v>
      </c>
      <c r="D156" s="21" t="s">
        <v>88</v>
      </c>
      <c r="F156" s="29">
        <v>9.44376589E8</v>
      </c>
      <c r="G156" s="21" t="s">
        <v>511</v>
      </c>
      <c r="H156" s="32">
        <v>1.0</v>
      </c>
      <c r="I156" s="21" t="s">
        <v>69</v>
      </c>
      <c r="J156" s="21" t="str">
        <f t="shared" si="3"/>
        <v>4/1/2026</v>
      </c>
      <c r="K156" s="21" t="s">
        <v>512</v>
      </c>
      <c r="L156" s="21" t="str">
        <f t="shared" si="4"/>
        <v>10/1/2025</v>
      </c>
      <c r="M156" s="21" t="s">
        <v>170</v>
      </c>
      <c r="N156" s="31" t="s">
        <v>595</v>
      </c>
      <c r="O156" s="21" t="s">
        <v>73</v>
      </c>
      <c r="P156" s="21" t="s">
        <v>171</v>
      </c>
      <c r="Q156" s="30">
        <v>20.0</v>
      </c>
    </row>
    <row r="157" ht="16.5" customHeight="1">
      <c r="A157" s="19" t="s">
        <v>31</v>
      </c>
      <c r="B157" s="21" t="s">
        <v>493</v>
      </c>
      <c r="C157" s="21" t="str">
        <f t="shared" si="1"/>
        <v>KIRK ANTHONY TIGUE</v>
      </c>
      <c r="D157" s="21" t="s">
        <v>88</v>
      </c>
      <c r="F157" s="29">
        <v>9.4441291E8</v>
      </c>
      <c r="G157" s="21" t="s">
        <v>515</v>
      </c>
      <c r="H157" s="32">
        <v>1.0</v>
      </c>
      <c r="I157" s="21" t="s">
        <v>69</v>
      </c>
      <c r="J157" s="21" t="str">
        <f t="shared" si="3"/>
        <v>4/1/2026</v>
      </c>
      <c r="K157" s="21" t="s">
        <v>56</v>
      </c>
      <c r="L157" s="21" t="str">
        <f t="shared" si="4"/>
        <v>1/1/2026</v>
      </c>
      <c r="M157" s="21" t="s">
        <v>170</v>
      </c>
      <c r="N157" s="31" t="s">
        <v>595</v>
      </c>
      <c r="O157" s="21" t="s">
        <v>73</v>
      </c>
      <c r="P157" s="21" t="s">
        <v>171</v>
      </c>
      <c r="Q157" s="30">
        <v>20.0</v>
      </c>
    </row>
    <row r="158" ht="16.5" customHeight="1">
      <c r="A158" s="19" t="s">
        <v>31</v>
      </c>
      <c r="B158" s="21" t="s">
        <v>516</v>
      </c>
      <c r="C158" s="21" t="str">
        <f t="shared" si="1"/>
        <v>JAKE P SHULMAN</v>
      </c>
      <c r="D158" s="21" t="s">
        <v>88</v>
      </c>
      <c r="F158" s="29">
        <v>9.44278321E8</v>
      </c>
      <c r="G158" s="21" t="s">
        <v>518</v>
      </c>
      <c r="H158" s="32">
        <v>1.0</v>
      </c>
      <c r="I158" s="21" t="s">
        <v>69</v>
      </c>
      <c r="J158" s="21" t="str">
        <f t="shared" si="3"/>
        <v>4/1/2026</v>
      </c>
      <c r="K158" s="21" t="s">
        <v>401</v>
      </c>
      <c r="L158" s="21" t="str">
        <f t="shared" si="4"/>
        <v>6/1/2025</v>
      </c>
      <c r="M158" s="21" t="s">
        <v>170</v>
      </c>
      <c r="N158" s="31" t="s">
        <v>595</v>
      </c>
      <c r="O158" s="21" t="s">
        <v>73</v>
      </c>
      <c r="P158" s="21" t="s">
        <v>171</v>
      </c>
      <c r="Q158" s="30">
        <v>20.0</v>
      </c>
    </row>
    <row r="159" ht="16.5" customHeight="1">
      <c r="A159" s="19" t="s">
        <v>31</v>
      </c>
      <c r="B159" s="21" t="s">
        <v>516</v>
      </c>
      <c r="C159" s="21" t="str">
        <f t="shared" si="1"/>
        <v>JAKE P SHULMAN</v>
      </c>
      <c r="D159" s="21" t="s">
        <v>77</v>
      </c>
      <c r="E159" s="28" t="str">
        <f t="shared" ref="E159:E160" si="13">IF(D159&gt;1,"[PMPM="&amp;D159&amp;"]","")</f>
        <v>[PMPM=2]</v>
      </c>
      <c r="F159" s="29">
        <v>9.44453324E8</v>
      </c>
      <c r="G159" s="21" t="s">
        <v>521</v>
      </c>
      <c r="H159" s="32">
        <v>1.0</v>
      </c>
      <c r="I159" s="21" t="s">
        <v>69</v>
      </c>
      <c r="J159" s="21" t="str">
        <f t="shared" si="3"/>
        <v>4/1/2026</v>
      </c>
      <c r="K159" s="21" t="s">
        <v>56</v>
      </c>
      <c r="L159" s="21" t="str">
        <f t="shared" si="4"/>
        <v>1/1/2026</v>
      </c>
      <c r="M159" s="21" t="s">
        <v>170</v>
      </c>
      <c r="N159" s="31" t="s">
        <v>595</v>
      </c>
      <c r="O159" s="21" t="s">
        <v>73</v>
      </c>
      <c r="P159" s="21" t="s">
        <v>171</v>
      </c>
      <c r="Q159" s="30">
        <v>40.0</v>
      </c>
    </row>
    <row r="160" ht="16.5" customHeight="1">
      <c r="A160" s="19" t="s">
        <v>31</v>
      </c>
      <c r="B160" s="21" t="s">
        <v>516</v>
      </c>
      <c r="C160" s="21" t="str">
        <f t="shared" si="1"/>
        <v>JAKE P SHULMAN</v>
      </c>
      <c r="D160" s="21" t="s">
        <v>77</v>
      </c>
      <c r="E160" s="28" t="str">
        <f t="shared" si="13"/>
        <v>[PMPM=2]</v>
      </c>
      <c r="F160" s="29">
        <v>9.44455606E8</v>
      </c>
      <c r="G160" s="21" t="s">
        <v>523</v>
      </c>
      <c r="H160" s="32">
        <v>1.0</v>
      </c>
      <c r="I160" s="21" t="s">
        <v>69</v>
      </c>
      <c r="J160" s="21" t="str">
        <f t="shared" si="3"/>
        <v>4/1/2026</v>
      </c>
      <c r="K160" s="21" t="s">
        <v>56</v>
      </c>
      <c r="L160" s="21" t="str">
        <f t="shared" si="4"/>
        <v>1/1/2026</v>
      </c>
      <c r="M160" s="21" t="s">
        <v>170</v>
      </c>
      <c r="N160" s="31" t="s">
        <v>595</v>
      </c>
      <c r="O160" s="21" t="s">
        <v>73</v>
      </c>
      <c r="P160" s="21" t="s">
        <v>171</v>
      </c>
      <c r="Q160" s="30">
        <v>40.0</v>
      </c>
    </row>
    <row r="161" ht="16.5" customHeight="1">
      <c r="A161" s="19" t="s">
        <v>31</v>
      </c>
      <c r="B161" s="21" t="s">
        <v>524</v>
      </c>
      <c r="C161" s="21" t="str">
        <f t="shared" si="1"/>
        <v>JOHN R RISLEY</v>
      </c>
      <c r="D161" s="21" t="s">
        <v>88</v>
      </c>
      <c r="F161" s="29">
        <v>9.44424871E8</v>
      </c>
      <c r="G161" s="21" t="s">
        <v>526</v>
      </c>
      <c r="H161" s="32">
        <v>1.0</v>
      </c>
      <c r="I161" s="21" t="s">
        <v>69</v>
      </c>
      <c r="J161" s="21" t="str">
        <f t="shared" si="3"/>
        <v>4/1/2026</v>
      </c>
      <c r="K161" s="21" t="s">
        <v>56</v>
      </c>
      <c r="L161" s="21" t="str">
        <f t="shared" si="4"/>
        <v>1/1/2026</v>
      </c>
      <c r="M161" s="21" t="s">
        <v>170</v>
      </c>
      <c r="N161" s="31" t="s">
        <v>595</v>
      </c>
      <c r="O161" s="21" t="s">
        <v>73</v>
      </c>
      <c r="P161" s="21" t="s">
        <v>171</v>
      </c>
      <c r="Q161" s="30">
        <v>20.0</v>
      </c>
    </row>
    <row r="162" ht="16.5" customHeight="1">
      <c r="A162" s="19" t="s">
        <v>31</v>
      </c>
      <c r="B162" s="21" t="s">
        <v>528</v>
      </c>
      <c r="C162" s="21" t="str">
        <f t="shared" si="1"/>
        <v>DANNA GREEN</v>
      </c>
      <c r="D162" s="21" t="s">
        <v>77</v>
      </c>
      <c r="E162" s="28" t="str">
        <f t="shared" ref="E162:E163" si="14">IF(D162&gt;1,"[PMPM="&amp;D162&amp;"]","")</f>
        <v>[PMPM=2]</v>
      </c>
      <c r="F162" s="29">
        <v>9.44563432E8</v>
      </c>
      <c r="G162" s="21" t="s">
        <v>530</v>
      </c>
      <c r="H162" s="32">
        <v>1.0</v>
      </c>
      <c r="I162" s="21" t="s">
        <v>41</v>
      </c>
      <c r="J162" s="21" t="str">
        <f t="shared" si="3"/>
        <v>3/1/2026</v>
      </c>
      <c r="K162" s="21" t="s">
        <v>150</v>
      </c>
      <c r="L162" s="21" t="str">
        <f t="shared" si="4"/>
        <v>2/1/2026</v>
      </c>
      <c r="M162" s="21" t="s">
        <v>170</v>
      </c>
      <c r="N162" s="31" t="s">
        <v>595</v>
      </c>
      <c r="O162" s="21" t="s">
        <v>73</v>
      </c>
      <c r="P162" s="21" t="s">
        <v>171</v>
      </c>
      <c r="Q162" s="30">
        <v>40.0</v>
      </c>
    </row>
    <row r="163" ht="16.5" customHeight="1">
      <c r="A163" s="19" t="s">
        <v>31</v>
      </c>
      <c r="B163" s="21" t="s">
        <v>532</v>
      </c>
      <c r="C163" s="21" t="str">
        <f t="shared" si="1"/>
        <v>TALIAH FERGUSON</v>
      </c>
      <c r="D163" s="21" t="s">
        <v>77</v>
      </c>
      <c r="E163" s="28" t="str">
        <f t="shared" si="14"/>
        <v>[PMPM=2]</v>
      </c>
      <c r="F163" s="29">
        <v>9.43972101E8</v>
      </c>
      <c r="G163" s="21" t="s">
        <v>534</v>
      </c>
      <c r="H163" s="32">
        <v>1.0</v>
      </c>
      <c r="I163" s="21" t="s">
        <v>69</v>
      </c>
      <c r="J163" s="21" t="str">
        <f t="shared" si="3"/>
        <v>4/1/2026</v>
      </c>
      <c r="K163" s="21" t="s">
        <v>535</v>
      </c>
      <c r="L163" s="21" t="str">
        <f t="shared" si="4"/>
        <v>7/21/2025</v>
      </c>
      <c r="M163" s="21" t="s">
        <v>72</v>
      </c>
      <c r="N163" s="31" t="s">
        <v>594</v>
      </c>
      <c r="O163" s="21" t="s">
        <v>73</v>
      </c>
      <c r="P163" s="21" t="s">
        <v>74</v>
      </c>
      <c r="Q163" s="30">
        <v>50.0</v>
      </c>
    </row>
    <row r="164" ht="16.5" customHeight="1">
      <c r="A164" s="19" t="s">
        <v>31</v>
      </c>
      <c r="B164" s="21" t="s">
        <v>537</v>
      </c>
      <c r="C164" s="21" t="str">
        <f t="shared" si="1"/>
        <v>ZAMEER AMIN KOTADIA</v>
      </c>
      <c r="D164" s="21" t="s">
        <v>88</v>
      </c>
      <c r="F164" s="29">
        <v>9.2443953E8</v>
      </c>
      <c r="G164" s="21" t="s">
        <v>539</v>
      </c>
      <c r="H164" s="32">
        <v>1.0</v>
      </c>
      <c r="I164" s="21" t="s">
        <v>69</v>
      </c>
      <c r="J164" s="21" t="str">
        <f t="shared" si="3"/>
        <v>4/1/2026</v>
      </c>
      <c r="K164" s="21" t="s">
        <v>56</v>
      </c>
      <c r="L164" s="21" t="str">
        <f t="shared" si="4"/>
        <v>1/1/2026</v>
      </c>
      <c r="M164" s="21" t="s">
        <v>72</v>
      </c>
      <c r="N164" s="31" t="s">
        <v>594</v>
      </c>
      <c r="O164" s="21" t="s">
        <v>73</v>
      </c>
      <c r="P164" s="21" t="s">
        <v>74</v>
      </c>
      <c r="Q164" s="30">
        <v>25.0</v>
      </c>
    </row>
    <row r="165" ht="16.5" customHeight="1">
      <c r="A165" s="19" t="s">
        <v>31</v>
      </c>
      <c r="B165" s="21" t="s">
        <v>537</v>
      </c>
      <c r="C165" s="21" t="str">
        <f t="shared" si="1"/>
        <v>ZAMEER AMIN KOTADIA</v>
      </c>
      <c r="D165" s="21" t="s">
        <v>88</v>
      </c>
      <c r="F165" s="29">
        <v>9.25900309E8</v>
      </c>
      <c r="G165" s="21" t="s">
        <v>542</v>
      </c>
      <c r="H165" s="32">
        <v>1.0</v>
      </c>
      <c r="I165" s="21" t="s">
        <v>69</v>
      </c>
      <c r="J165" s="21" t="str">
        <f t="shared" si="3"/>
        <v>4/1/2026</v>
      </c>
      <c r="K165" s="21" t="s">
        <v>298</v>
      </c>
      <c r="L165" s="21" t="str">
        <f t="shared" si="4"/>
        <v>2/1/2023</v>
      </c>
      <c r="M165" s="21" t="s">
        <v>170</v>
      </c>
      <c r="N165" s="31" t="s">
        <v>595</v>
      </c>
      <c r="O165" s="21" t="s">
        <v>73</v>
      </c>
      <c r="P165" s="21" t="s">
        <v>171</v>
      </c>
      <c r="Q165" s="30">
        <v>20.0</v>
      </c>
    </row>
    <row r="166" ht="16.5" customHeight="1">
      <c r="A166" s="19" t="s">
        <v>31</v>
      </c>
      <c r="B166" s="21" t="s">
        <v>537</v>
      </c>
      <c r="C166" s="21" t="str">
        <f t="shared" si="1"/>
        <v>ZAMEER AMIN KOTADIA</v>
      </c>
      <c r="D166" s="21" t="s">
        <v>88</v>
      </c>
      <c r="F166" s="29">
        <v>9.43085876E8</v>
      </c>
      <c r="G166" s="21" t="s">
        <v>544</v>
      </c>
      <c r="H166" s="32">
        <v>1.0</v>
      </c>
      <c r="I166" s="21" t="s">
        <v>69</v>
      </c>
      <c r="J166" s="21" t="str">
        <f t="shared" si="3"/>
        <v>4/1/2026</v>
      </c>
      <c r="K166" s="21" t="s">
        <v>545</v>
      </c>
      <c r="L166" s="21" t="str">
        <f t="shared" si="4"/>
        <v>8/1/2023</v>
      </c>
      <c r="M166" s="21" t="s">
        <v>170</v>
      </c>
      <c r="N166" s="31" t="s">
        <v>595</v>
      </c>
      <c r="O166" s="21" t="s">
        <v>73</v>
      </c>
      <c r="P166" s="21" t="s">
        <v>171</v>
      </c>
      <c r="Q166" s="30">
        <v>20.0</v>
      </c>
    </row>
    <row r="167" ht="16.5" customHeight="1">
      <c r="A167" s="19" t="s">
        <v>31</v>
      </c>
      <c r="B167" s="21" t="s">
        <v>537</v>
      </c>
      <c r="C167" s="21" t="str">
        <f t="shared" si="1"/>
        <v>ZAMEER AMIN KOTADIA</v>
      </c>
      <c r="D167" s="21" t="s">
        <v>88</v>
      </c>
      <c r="F167" s="29">
        <v>9.44180032E8</v>
      </c>
      <c r="G167" s="21" t="s">
        <v>549</v>
      </c>
      <c r="H167" s="32">
        <v>1.0</v>
      </c>
      <c r="I167" s="21" t="s">
        <v>69</v>
      </c>
      <c r="J167" s="21" t="str">
        <f t="shared" si="3"/>
        <v>4/1/2026</v>
      </c>
      <c r="K167" s="21" t="s">
        <v>293</v>
      </c>
      <c r="L167" s="21" t="str">
        <f t="shared" si="4"/>
        <v>1/1/2025</v>
      </c>
      <c r="M167" s="21" t="s">
        <v>170</v>
      </c>
      <c r="N167" s="31" t="s">
        <v>595</v>
      </c>
      <c r="O167" s="21" t="s">
        <v>73</v>
      </c>
      <c r="P167" s="21" t="s">
        <v>171</v>
      </c>
      <c r="Q167" s="30">
        <v>20.0</v>
      </c>
    </row>
    <row r="168" ht="16.5" customHeight="1">
      <c r="A168" s="19" t="s">
        <v>31</v>
      </c>
      <c r="B168" s="21" t="s">
        <v>537</v>
      </c>
      <c r="C168" s="21" t="str">
        <f t="shared" si="1"/>
        <v>ZAMEER AMIN KOTADIA</v>
      </c>
      <c r="D168" s="21" t="s">
        <v>88</v>
      </c>
      <c r="F168" s="29">
        <v>9.44457036E8</v>
      </c>
      <c r="G168" s="21" t="s">
        <v>551</v>
      </c>
      <c r="H168" s="32">
        <v>1.0</v>
      </c>
      <c r="I168" s="21" t="s">
        <v>69</v>
      </c>
      <c r="J168" s="21" t="str">
        <f t="shared" si="3"/>
        <v>4/1/2026</v>
      </c>
      <c r="K168" s="21" t="s">
        <v>56</v>
      </c>
      <c r="L168" s="21" t="str">
        <f t="shared" si="4"/>
        <v>1/1/2026</v>
      </c>
      <c r="M168" s="21" t="s">
        <v>72</v>
      </c>
      <c r="N168" s="31" t="s">
        <v>594</v>
      </c>
      <c r="O168" s="21" t="s">
        <v>73</v>
      </c>
      <c r="P168" s="21" t="s">
        <v>74</v>
      </c>
      <c r="Q168" s="30">
        <v>25.0</v>
      </c>
    </row>
    <row r="169" ht="16.5" customHeight="1">
      <c r="A169" s="19" t="s">
        <v>31</v>
      </c>
      <c r="B169" s="21" t="s">
        <v>537</v>
      </c>
      <c r="C169" s="21" t="str">
        <f t="shared" si="1"/>
        <v>ZAMEER AMIN KOTADIA</v>
      </c>
      <c r="D169" s="21" t="s">
        <v>88</v>
      </c>
      <c r="F169" s="29">
        <v>9.44469065E8</v>
      </c>
      <c r="G169" s="21" t="s">
        <v>553</v>
      </c>
      <c r="H169" s="32">
        <v>1.0</v>
      </c>
      <c r="I169" s="21" t="s">
        <v>69</v>
      </c>
      <c r="J169" s="21" t="str">
        <f t="shared" si="3"/>
        <v>4/1/2026</v>
      </c>
      <c r="K169" s="21" t="s">
        <v>56</v>
      </c>
      <c r="L169" s="21" t="str">
        <f t="shared" si="4"/>
        <v>1/1/2026</v>
      </c>
      <c r="M169" s="21" t="s">
        <v>170</v>
      </c>
      <c r="N169" s="31" t="s">
        <v>595</v>
      </c>
      <c r="O169" s="21" t="s">
        <v>73</v>
      </c>
      <c r="P169" s="21" t="s">
        <v>171</v>
      </c>
      <c r="Q169" s="30">
        <v>20.0</v>
      </c>
    </row>
    <row r="170" ht="16.5" customHeight="1">
      <c r="A170" s="19" t="s">
        <v>31</v>
      </c>
      <c r="B170" s="21" t="s">
        <v>537</v>
      </c>
      <c r="C170" s="21" t="str">
        <f t="shared" si="1"/>
        <v>ZAMEER AMIN KOTADIA</v>
      </c>
      <c r="D170" s="21" t="s">
        <v>88</v>
      </c>
      <c r="F170" s="29">
        <v>9.44499836E8</v>
      </c>
      <c r="G170" s="21" t="s">
        <v>555</v>
      </c>
      <c r="H170" s="32">
        <v>1.0</v>
      </c>
      <c r="I170" s="21" t="s">
        <v>69</v>
      </c>
      <c r="J170" s="21" t="str">
        <f t="shared" si="3"/>
        <v>4/1/2026</v>
      </c>
      <c r="K170" s="21" t="s">
        <v>56</v>
      </c>
      <c r="L170" s="21" t="str">
        <f t="shared" si="4"/>
        <v>1/1/2026</v>
      </c>
      <c r="M170" s="21" t="s">
        <v>72</v>
      </c>
      <c r="N170" s="31" t="s">
        <v>594</v>
      </c>
      <c r="O170" s="21" t="s">
        <v>73</v>
      </c>
      <c r="P170" s="21" t="s">
        <v>74</v>
      </c>
      <c r="Q170" s="30">
        <v>25.0</v>
      </c>
    </row>
    <row r="171" ht="16.5" customHeight="1">
      <c r="A171" s="19" t="s">
        <v>31</v>
      </c>
      <c r="B171" s="21" t="s">
        <v>537</v>
      </c>
      <c r="C171" s="21" t="str">
        <f t="shared" si="1"/>
        <v>ZAMEER AMIN KOTADIA</v>
      </c>
      <c r="D171" s="21" t="s">
        <v>88</v>
      </c>
      <c r="F171" s="29">
        <v>9.44499836E8</v>
      </c>
      <c r="G171" s="21" t="s">
        <v>555</v>
      </c>
      <c r="H171" s="32">
        <v>1.0</v>
      </c>
      <c r="I171" s="21" t="s">
        <v>41</v>
      </c>
      <c r="J171" s="21" t="str">
        <f t="shared" si="3"/>
        <v>3/1/2026</v>
      </c>
      <c r="K171" s="21" t="s">
        <v>56</v>
      </c>
      <c r="L171" s="21" t="str">
        <f t="shared" si="4"/>
        <v>1/1/2026</v>
      </c>
      <c r="M171" s="21" t="s">
        <v>72</v>
      </c>
      <c r="N171" s="31" t="s">
        <v>594</v>
      </c>
      <c r="O171" s="21" t="s">
        <v>73</v>
      </c>
      <c r="P171" s="21" t="s">
        <v>74</v>
      </c>
      <c r="Q171" s="30">
        <v>25.0</v>
      </c>
    </row>
    <row r="172" ht="16.5" customHeight="1">
      <c r="A172" s="19" t="s">
        <v>31</v>
      </c>
      <c r="B172" s="21" t="s">
        <v>556</v>
      </c>
      <c r="C172" s="21" t="str">
        <f t="shared" si="1"/>
        <v>ERICA SOLIVAN</v>
      </c>
      <c r="D172" s="21" t="s">
        <v>77</v>
      </c>
      <c r="E172" s="28" t="str">
        <f>IF(D172&gt;1,"[PMPM="&amp;D172&amp;"]","")</f>
        <v>[PMPM=2]</v>
      </c>
      <c r="F172" s="29">
        <v>9.4433223E8</v>
      </c>
      <c r="G172" s="21" t="s">
        <v>558</v>
      </c>
      <c r="H172" s="32">
        <v>1.0</v>
      </c>
      <c r="I172" s="21" t="s">
        <v>69</v>
      </c>
      <c r="J172" s="21" t="str">
        <f t="shared" si="3"/>
        <v>4/1/2026</v>
      </c>
      <c r="K172" s="21" t="s">
        <v>42</v>
      </c>
      <c r="L172" s="21" t="str">
        <f t="shared" si="4"/>
        <v>8/1/2025</v>
      </c>
      <c r="M172" s="21" t="s">
        <v>72</v>
      </c>
      <c r="N172" s="31" t="s">
        <v>594</v>
      </c>
      <c r="O172" s="21" t="s">
        <v>73</v>
      </c>
      <c r="P172" s="21" t="s">
        <v>74</v>
      </c>
      <c r="Q172" s="30">
        <v>50.0</v>
      </c>
    </row>
    <row r="173" ht="16.5" customHeight="1">
      <c r="A173" s="19" t="s">
        <v>31</v>
      </c>
      <c r="B173" s="21" t="s">
        <v>560</v>
      </c>
      <c r="C173" s="21" t="str">
        <f t="shared" si="1"/>
        <v>H A ALLAN</v>
      </c>
      <c r="D173" s="21" t="s">
        <v>88</v>
      </c>
      <c r="F173" s="29">
        <v>9.24975765E8</v>
      </c>
      <c r="G173" s="21" t="s">
        <v>562</v>
      </c>
      <c r="H173" s="32">
        <v>1.0</v>
      </c>
      <c r="I173" s="21" t="s">
        <v>69</v>
      </c>
      <c r="J173" s="21" t="str">
        <f t="shared" si="3"/>
        <v>4/1/2026</v>
      </c>
      <c r="K173" s="21" t="s">
        <v>56</v>
      </c>
      <c r="L173" s="21" t="str">
        <f t="shared" si="4"/>
        <v>1/1/2026</v>
      </c>
      <c r="M173" s="21" t="s">
        <v>170</v>
      </c>
      <c r="N173" s="31" t="s">
        <v>595</v>
      </c>
      <c r="O173" s="21" t="s">
        <v>73</v>
      </c>
      <c r="P173" s="21" t="s">
        <v>171</v>
      </c>
      <c r="Q173" s="30">
        <v>20.0</v>
      </c>
    </row>
    <row r="174" ht="16.5" customHeight="1">
      <c r="A174" s="19" t="s">
        <v>31</v>
      </c>
      <c r="B174" s="21" t="s">
        <v>560</v>
      </c>
      <c r="C174" s="21" t="str">
        <f t="shared" si="1"/>
        <v>H A ALLAN</v>
      </c>
      <c r="D174" s="21" t="s">
        <v>88</v>
      </c>
      <c r="F174" s="29">
        <v>9.44179882E8</v>
      </c>
      <c r="G174" s="21" t="s">
        <v>565</v>
      </c>
      <c r="H174" s="32">
        <v>1.0</v>
      </c>
      <c r="I174" s="21" t="s">
        <v>69</v>
      </c>
      <c r="J174" s="21" t="str">
        <f t="shared" si="3"/>
        <v>4/1/2026</v>
      </c>
      <c r="K174" s="21" t="s">
        <v>176</v>
      </c>
      <c r="L174" s="21" t="str">
        <f t="shared" si="4"/>
        <v>11/1/2025</v>
      </c>
      <c r="M174" s="21" t="s">
        <v>170</v>
      </c>
      <c r="N174" s="31" t="s">
        <v>595</v>
      </c>
      <c r="O174" s="21" t="s">
        <v>73</v>
      </c>
      <c r="P174" s="21" t="s">
        <v>171</v>
      </c>
      <c r="Q174" s="30">
        <v>20.0</v>
      </c>
    </row>
    <row r="175" ht="16.5" customHeight="1">
      <c r="A175" s="19" t="s">
        <v>31</v>
      </c>
      <c r="B175" s="21" t="s">
        <v>560</v>
      </c>
      <c r="C175" s="21" t="str">
        <f t="shared" si="1"/>
        <v>H A ALLAN</v>
      </c>
      <c r="D175" s="21" t="s">
        <v>88</v>
      </c>
      <c r="F175" s="29">
        <v>9.4443239E8</v>
      </c>
      <c r="G175" s="21" t="s">
        <v>567</v>
      </c>
      <c r="H175" s="32">
        <v>1.0</v>
      </c>
      <c r="I175" s="21" t="s">
        <v>69</v>
      </c>
      <c r="J175" s="21" t="str">
        <f t="shared" si="3"/>
        <v>4/1/2026</v>
      </c>
      <c r="K175" s="21" t="s">
        <v>56</v>
      </c>
      <c r="L175" s="21" t="str">
        <f t="shared" si="4"/>
        <v>1/1/2026</v>
      </c>
      <c r="M175" s="21" t="s">
        <v>170</v>
      </c>
      <c r="N175" s="31" t="s">
        <v>595</v>
      </c>
      <c r="O175" s="21" t="s">
        <v>73</v>
      </c>
      <c r="P175" s="21" t="s">
        <v>171</v>
      </c>
      <c r="Q175" s="30">
        <v>20.0</v>
      </c>
    </row>
    <row r="176" ht="16.5" customHeight="1">
      <c r="A176" s="19" t="s">
        <v>31</v>
      </c>
      <c r="B176" s="21" t="s">
        <v>560</v>
      </c>
      <c r="C176" s="21" t="str">
        <f t="shared" si="1"/>
        <v>H A ALLAN</v>
      </c>
      <c r="D176" s="21" t="s">
        <v>66</v>
      </c>
      <c r="E176" s="28" t="str">
        <f>IF(D176&gt;1,"[PMPM="&amp;D176&amp;"]","")</f>
        <v>[PMPM=3]</v>
      </c>
      <c r="F176" s="29">
        <v>9.44460109E8</v>
      </c>
      <c r="G176" s="21" t="s">
        <v>569</v>
      </c>
      <c r="H176" s="32">
        <v>1.0</v>
      </c>
      <c r="I176" s="21" t="s">
        <v>69</v>
      </c>
      <c r="J176" s="21" t="str">
        <f t="shared" si="3"/>
        <v>4/1/2026</v>
      </c>
      <c r="K176" s="21" t="s">
        <v>56</v>
      </c>
      <c r="L176" s="21" t="str">
        <f t="shared" si="4"/>
        <v>1/1/2026</v>
      </c>
      <c r="M176" s="21" t="s">
        <v>170</v>
      </c>
      <c r="N176" s="31" t="s">
        <v>595</v>
      </c>
      <c r="O176" s="21" t="s">
        <v>73</v>
      </c>
      <c r="P176" s="21" t="s">
        <v>171</v>
      </c>
      <c r="Q176" s="30">
        <v>60.0</v>
      </c>
    </row>
    <row r="177" ht="16.5" customHeight="1">
      <c r="A177" s="19" t="s">
        <v>31</v>
      </c>
      <c r="B177" s="21" t="s">
        <v>570</v>
      </c>
      <c r="C177" s="21" t="str">
        <f t="shared" si="1"/>
        <v>COLLEEN JERGER</v>
      </c>
      <c r="D177" s="21" t="s">
        <v>88</v>
      </c>
      <c r="F177" s="29">
        <v>9.24805072E8</v>
      </c>
      <c r="G177" s="21" t="s">
        <v>572</v>
      </c>
      <c r="H177" s="32">
        <v>1.0</v>
      </c>
      <c r="I177" s="21" t="s">
        <v>41</v>
      </c>
      <c r="J177" s="21" t="str">
        <f t="shared" si="3"/>
        <v>3/1/2026</v>
      </c>
      <c r="K177" s="21" t="s">
        <v>154</v>
      </c>
      <c r="L177" s="21" t="str">
        <f t="shared" si="4"/>
        <v>1/1/2024</v>
      </c>
      <c r="M177" s="21" t="s">
        <v>72</v>
      </c>
      <c r="N177" s="31" t="s">
        <v>594</v>
      </c>
      <c r="O177" s="21" t="s">
        <v>73</v>
      </c>
      <c r="P177" s="21" t="s">
        <v>74</v>
      </c>
      <c r="Q177" s="30">
        <v>25.0</v>
      </c>
    </row>
    <row r="178" ht="16.5" customHeight="1">
      <c r="A178" s="19" t="s">
        <v>31</v>
      </c>
      <c r="B178" s="21" t="s">
        <v>570</v>
      </c>
      <c r="C178" s="21" t="str">
        <f t="shared" si="1"/>
        <v>COLLEEN JERGER</v>
      </c>
      <c r="D178" s="21" t="s">
        <v>77</v>
      </c>
      <c r="E178" s="28" t="str">
        <f>IF(D178&gt;1,"[PMPM="&amp;D178&amp;"]","")</f>
        <v>[PMPM=2]</v>
      </c>
      <c r="F178" s="29">
        <v>9.25392287E8</v>
      </c>
      <c r="G178" s="21" t="s">
        <v>576</v>
      </c>
      <c r="H178" s="32">
        <v>1.0</v>
      </c>
      <c r="I178" s="21" t="s">
        <v>69</v>
      </c>
      <c r="J178" s="21" t="str">
        <f t="shared" si="3"/>
        <v>4/1/2026</v>
      </c>
      <c r="K178" s="21" t="s">
        <v>577</v>
      </c>
      <c r="L178" s="21" t="str">
        <f t="shared" si="4"/>
        <v>2/1/2020</v>
      </c>
      <c r="M178" s="21" t="s">
        <v>72</v>
      </c>
      <c r="N178" s="31" t="s">
        <v>594</v>
      </c>
      <c r="O178" s="21" t="s">
        <v>73</v>
      </c>
      <c r="P178" s="21" t="s">
        <v>74</v>
      </c>
      <c r="Q178" s="30">
        <v>50.0</v>
      </c>
    </row>
    <row r="179" ht="16.5" customHeight="1">
      <c r="A179" s="19" t="s">
        <v>31</v>
      </c>
      <c r="B179" s="21" t="s">
        <v>570</v>
      </c>
      <c r="C179" s="21" t="str">
        <f t="shared" si="1"/>
        <v>COLLEEN JERGER</v>
      </c>
      <c r="D179" s="21" t="s">
        <v>88</v>
      </c>
      <c r="F179" s="29">
        <v>9.43895618E8</v>
      </c>
      <c r="G179" s="21" t="s">
        <v>580</v>
      </c>
      <c r="H179" s="32">
        <v>1.0</v>
      </c>
      <c r="I179" s="21" t="s">
        <v>69</v>
      </c>
      <c r="J179" s="21" t="str">
        <f t="shared" si="3"/>
        <v>4/1/2026</v>
      </c>
      <c r="K179" s="21" t="s">
        <v>56</v>
      </c>
      <c r="L179" s="21" t="str">
        <f t="shared" si="4"/>
        <v>1/1/2026</v>
      </c>
      <c r="M179" s="21" t="s">
        <v>72</v>
      </c>
      <c r="N179" s="31" t="s">
        <v>594</v>
      </c>
      <c r="O179" s="21" t="s">
        <v>73</v>
      </c>
      <c r="P179" s="21" t="s">
        <v>74</v>
      </c>
      <c r="Q179" s="30">
        <v>25.0</v>
      </c>
    </row>
    <row r="180" ht="16.5" customHeight="1">
      <c r="A180" s="19" t="s">
        <v>31</v>
      </c>
      <c r="B180" s="21" t="s">
        <v>570</v>
      </c>
      <c r="C180" s="21" t="str">
        <f t="shared" si="1"/>
        <v>COLLEEN JERGER</v>
      </c>
      <c r="D180" s="21" t="s">
        <v>77</v>
      </c>
      <c r="E180" s="28" t="str">
        <f>IF(D180&gt;1,"[PMPM="&amp;D180&amp;"]","")</f>
        <v>[PMPM=2]</v>
      </c>
      <c r="F180" s="29">
        <v>9.44128658E8</v>
      </c>
      <c r="G180" s="21" t="s">
        <v>582</v>
      </c>
      <c r="H180" s="32">
        <v>1.0</v>
      </c>
      <c r="I180" s="21" t="s">
        <v>69</v>
      </c>
      <c r="J180" s="21" t="str">
        <f t="shared" si="3"/>
        <v>4/1/2026</v>
      </c>
      <c r="K180" s="21" t="s">
        <v>293</v>
      </c>
      <c r="L180" s="21" t="str">
        <f t="shared" si="4"/>
        <v>1/1/2025</v>
      </c>
      <c r="M180" s="21" t="s">
        <v>170</v>
      </c>
      <c r="N180" s="31" t="s">
        <v>595</v>
      </c>
      <c r="O180" s="21" t="s">
        <v>73</v>
      </c>
      <c r="P180" s="21" t="s">
        <v>171</v>
      </c>
      <c r="Q180" s="30">
        <v>40.0</v>
      </c>
    </row>
    <row r="181" ht="16.5" customHeight="1">
      <c r="A181" s="19" t="s">
        <v>31</v>
      </c>
      <c r="B181" s="21" t="s">
        <v>570</v>
      </c>
      <c r="C181" s="21" t="str">
        <f t="shared" si="1"/>
        <v>COLLEEN JERGER</v>
      </c>
      <c r="D181" s="21" t="s">
        <v>88</v>
      </c>
      <c r="F181" s="29">
        <v>9.44461305E8</v>
      </c>
      <c r="G181" s="21" t="s">
        <v>584</v>
      </c>
      <c r="H181" s="32">
        <v>1.0</v>
      </c>
      <c r="I181" s="21" t="s">
        <v>69</v>
      </c>
      <c r="J181" s="21" t="str">
        <f t="shared" si="3"/>
        <v>4/1/2026</v>
      </c>
      <c r="K181" s="21" t="s">
        <v>56</v>
      </c>
      <c r="L181" s="21" t="str">
        <f t="shared" si="4"/>
        <v>1/1/2026</v>
      </c>
      <c r="M181" s="21" t="s">
        <v>170</v>
      </c>
      <c r="N181" s="31" t="s">
        <v>595</v>
      </c>
      <c r="O181" s="21" t="s">
        <v>73</v>
      </c>
      <c r="P181" s="21" t="s">
        <v>171</v>
      </c>
      <c r="Q181" s="30">
        <v>20.0</v>
      </c>
    </row>
    <row r="182" ht="16.5" customHeight="1">
      <c r="A182" s="19" t="s">
        <v>31</v>
      </c>
      <c r="B182" s="21" t="s">
        <v>585</v>
      </c>
      <c r="C182" s="21" t="str">
        <f t="shared" si="1"/>
        <v>KENNETH WEITZMAN</v>
      </c>
      <c r="D182" s="21" t="s">
        <v>88</v>
      </c>
      <c r="F182" s="29">
        <v>9.44412878E8</v>
      </c>
      <c r="G182" s="21" t="s">
        <v>587</v>
      </c>
      <c r="H182" s="32">
        <v>1.0</v>
      </c>
      <c r="I182" s="21" t="s">
        <v>69</v>
      </c>
      <c r="J182" s="21" t="str">
        <f t="shared" si="3"/>
        <v>4/1/2026</v>
      </c>
      <c r="K182" s="21" t="s">
        <v>56</v>
      </c>
      <c r="L182" s="21" t="str">
        <f t="shared" si="4"/>
        <v>1/1/2026</v>
      </c>
      <c r="M182" s="21" t="s">
        <v>72</v>
      </c>
      <c r="N182" s="31" t="s">
        <v>594</v>
      </c>
      <c r="O182" s="21" t="s">
        <v>73</v>
      </c>
      <c r="P182" s="21" t="s">
        <v>74</v>
      </c>
      <c r="Q182" s="30">
        <v>25.0</v>
      </c>
    </row>
    <row r="183" ht="16.5" customHeight="1">
      <c r="A183" s="19" t="s">
        <v>31</v>
      </c>
      <c r="B183" s="21" t="s">
        <v>585</v>
      </c>
      <c r="C183" s="21" t="str">
        <f t="shared" si="1"/>
        <v>KENNETH WEITZMAN</v>
      </c>
      <c r="D183" s="21" t="s">
        <v>88</v>
      </c>
      <c r="F183" s="29">
        <v>9.44458583E8</v>
      </c>
      <c r="G183" s="21" t="s">
        <v>591</v>
      </c>
      <c r="H183" s="32">
        <v>1.0</v>
      </c>
      <c r="I183" s="21" t="s">
        <v>69</v>
      </c>
      <c r="J183" s="21" t="str">
        <f t="shared" si="3"/>
        <v>4/1/2026</v>
      </c>
      <c r="K183" s="21" t="s">
        <v>56</v>
      </c>
      <c r="L183" s="21" t="str">
        <f t="shared" si="4"/>
        <v>1/1/2026</v>
      </c>
      <c r="M183" s="21" t="s">
        <v>72</v>
      </c>
      <c r="N183" s="31" t="s">
        <v>594</v>
      </c>
      <c r="O183" s="21" t="s">
        <v>73</v>
      </c>
      <c r="P183" s="21" t="s">
        <v>74</v>
      </c>
      <c r="Q183" s="30">
        <v>25.0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2026-03-19T10:57:37Z</dcterms:created>
  <dc:creator>Crystal Decisions</dc:creator>
</cp:coreProperties>
</file>