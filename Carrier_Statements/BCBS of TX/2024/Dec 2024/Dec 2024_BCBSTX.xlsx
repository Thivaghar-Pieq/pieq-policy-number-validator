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BCBS of TX/2025/1-17-25/"/>
    </mc:Choice>
  </mc:AlternateContent>
  <xr:revisionPtr revIDLastSave="0" documentId="13_ncr:1_{9EA4366D-22C2-654D-8D6B-837C20E935BE}" xr6:coauthVersionLast="47" xr6:coauthVersionMax="47" xr10:uidLastSave="{00000000-0000-0000-0000-000000000000}"/>
  <bookViews>
    <workbookView xWindow="0" yWindow="500" windowWidth="19200" windowHeight="19360" activeTab="1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2" l="1"/>
  <c r="H66" i="2"/>
  <c r="H48" i="2"/>
  <c r="H27" i="2"/>
  <c r="H49" i="2"/>
  <c r="H28" i="2"/>
  <c r="H29" i="2"/>
  <c r="H50" i="2"/>
  <c r="H30" i="2"/>
  <c r="H51" i="2"/>
  <c r="H31" i="2"/>
  <c r="H32" i="2"/>
  <c r="H33" i="2"/>
  <c r="H23" i="2"/>
  <c r="H34" i="2"/>
  <c r="H35" i="2"/>
  <c r="H64" i="2"/>
  <c r="H65" i="2"/>
  <c r="H52" i="2"/>
  <c r="H53" i="2"/>
  <c r="H54" i="2"/>
  <c r="H55" i="2"/>
  <c r="H36" i="2"/>
  <c r="H56" i="2"/>
  <c r="H67" i="2"/>
  <c r="H37" i="2"/>
  <c r="H57" i="2"/>
  <c r="H38" i="2"/>
  <c r="H39" i="2"/>
  <c r="H58" i="2"/>
  <c r="H59" i="2"/>
  <c r="H24" i="2"/>
  <c r="H40" i="2"/>
  <c r="H41" i="2"/>
  <c r="H42" i="2"/>
  <c r="H43" i="2"/>
  <c r="H44" i="2"/>
  <c r="H25" i="2"/>
  <c r="H45" i="2"/>
  <c r="H46" i="2"/>
  <c r="H47" i="2"/>
  <c r="H68" i="2"/>
  <c r="H60" i="2"/>
  <c r="H61" i="2"/>
  <c r="H62" i="2"/>
  <c r="H63" i="2"/>
  <c r="H144" i="2"/>
  <c r="H145" i="2"/>
  <c r="H146" i="2"/>
  <c r="H4" i="2"/>
  <c r="H3" i="2"/>
  <c r="H5" i="2"/>
  <c r="H11" i="2"/>
  <c r="H142" i="2"/>
  <c r="H77" i="2"/>
  <c r="H78" i="2"/>
  <c r="H76" i="2"/>
  <c r="H79" i="2"/>
  <c r="H80" i="2"/>
  <c r="H100" i="2"/>
  <c r="H124" i="2"/>
  <c r="H101" i="2"/>
  <c r="H95" i="2"/>
  <c r="H102" i="2"/>
  <c r="H103" i="2"/>
  <c r="H104" i="2"/>
  <c r="H105" i="2"/>
  <c r="H137" i="2"/>
  <c r="H96" i="2"/>
  <c r="H125" i="2"/>
  <c r="H106" i="2"/>
  <c r="H107" i="2"/>
  <c r="H108" i="2"/>
  <c r="H126" i="2"/>
  <c r="H97" i="2"/>
  <c r="H127" i="2"/>
  <c r="H109" i="2"/>
  <c r="H110" i="2"/>
  <c r="H83" i="2"/>
  <c r="H84" i="2"/>
  <c r="H85" i="2"/>
  <c r="H86" i="2"/>
  <c r="H87" i="2"/>
  <c r="H88" i="2"/>
  <c r="H89" i="2"/>
  <c r="H90" i="2"/>
  <c r="H91" i="2"/>
  <c r="H92" i="2"/>
  <c r="H93" i="2"/>
  <c r="H94" i="2"/>
  <c r="H128" i="2"/>
  <c r="H111" i="2"/>
  <c r="H112" i="2"/>
  <c r="H113" i="2"/>
  <c r="H129" i="2"/>
  <c r="H114" i="2"/>
  <c r="H98" i="2"/>
  <c r="H139" i="2"/>
  <c r="H115" i="2"/>
  <c r="H130" i="2"/>
  <c r="H140" i="2"/>
  <c r="H131" i="2"/>
  <c r="H116" i="2"/>
  <c r="H117" i="2"/>
  <c r="H118" i="2"/>
  <c r="H138" i="2"/>
  <c r="H119" i="2"/>
  <c r="H120" i="2"/>
  <c r="H121" i="2"/>
  <c r="H134" i="2"/>
  <c r="H122" i="2"/>
  <c r="H81" i="2"/>
  <c r="H82" i="2"/>
  <c r="H132" i="2"/>
  <c r="H135" i="2"/>
  <c r="H99" i="2"/>
  <c r="H141" i="2"/>
  <c r="H123" i="2"/>
  <c r="H133" i="2"/>
  <c r="H136" i="2"/>
  <c r="H21" i="2"/>
  <c r="H18" i="2"/>
  <c r="H19" i="2"/>
  <c r="H20" i="2"/>
  <c r="H8" i="2"/>
  <c r="H7" i="2"/>
  <c r="H9" i="2"/>
  <c r="H147" i="2"/>
  <c r="H143" i="2"/>
  <c r="H10" i="2"/>
  <c r="H69" i="2"/>
  <c r="H15" i="2"/>
  <c r="H16" i="2"/>
  <c r="H17" i="2"/>
  <c r="H13" i="2"/>
  <c r="H14" i="2"/>
  <c r="H12" i="2"/>
  <c r="H148" i="2"/>
  <c r="H75" i="2"/>
  <c r="H74" i="2"/>
  <c r="H22" i="2"/>
  <c r="H73" i="2"/>
  <c r="H72" i="2"/>
  <c r="H71" i="2"/>
  <c r="H6" i="2"/>
  <c r="H149" i="2"/>
  <c r="H151" i="2"/>
  <c r="H150" i="2"/>
  <c r="H70" i="2"/>
  <c r="J26" i="2"/>
  <c r="J66" i="2"/>
  <c r="J48" i="2"/>
  <c r="J27" i="2"/>
  <c r="J49" i="2"/>
  <c r="J28" i="2"/>
  <c r="J29" i="2"/>
  <c r="J50" i="2"/>
  <c r="J30" i="2"/>
  <c r="J51" i="2"/>
  <c r="J31" i="2"/>
  <c r="J32" i="2"/>
  <c r="J33" i="2"/>
  <c r="J23" i="2"/>
  <c r="J34" i="2"/>
  <c r="J35" i="2"/>
  <c r="J64" i="2"/>
  <c r="J65" i="2"/>
  <c r="J52" i="2"/>
  <c r="J53" i="2"/>
  <c r="J54" i="2"/>
  <c r="J55" i="2"/>
  <c r="J36" i="2"/>
  <c r="J56" i="2"/>
  <c r="J67" i="2"/>
  <c r="J37" i="2"/>
  <c r="J57" i="2"/>
  <c r="J38" i="2"/>
  <c r="J39" i="2"/>
  <c r="J58" i="2"/>
  <c r="J59" i="2"/>
  <c r="J24" i="2"/>
  <c r="J40" i="2"/>
  <c r="J41" i="2"/>
  <c r="J42" i="2"/>
  <c r="J43" i="2"/>
  <c r="J44" i="2"/>
  <c r="J25" i="2"/>
  <c r="J45" i="2"/>
  <c r="J46" i="2"/>
  <c r="J47" i="2"/>
  <c r="J68" i="2"/>
  <c r="J60" i="2"/>
  <c r="J61" i="2"/>
  <c r="J62" i="2"/>
  <c r="J63" i="2"/>
  <c r="J144" i="2"/>
  <c r="J145" i="2"/>
  <c r="J146" i="2"/>
  <c r="J4" i="2"/>
  <c r="J3" i="2"/>
  <c r="J5" i="2"/>
  <c r="J11" i="2"/>
  <c r="J142" i="2"/>
  <c r="J77" i="2"/>
  <c r="J78" i="2"/>
  <c r="J76" i="2"/>
  <c r="J79" i="2"/>
  <c r="J80" i="2"/>
  <c r="J100" i="2"/>
  <c r="J124" i="2"/>
  <c r="J101" i="2"/>
  <c r="J95" i="2"/>
  <c r="J102" i="2"/>
  <c r="J103" i="2"/>
  <c r="J104" i="2"/>
  <c r="J105" i="2"/>
  <c r="J137" i="2"/>
  <c r="J96" i="2"/>
  <c r="J125" i="2"/>
  <c r="J106" i="2"/>
  <c r="J107" i="2"/>
  <c r="J108" i="2"/>
  <c r="J126" i="2"/>
  <c r="J97" i="2"/>
  <c r="J127" i="2"/>
  <c r="J109" i="2"/>
  <c r="J110" i="2"/>
  <c r="J83" i="2"/>
  <c r="J84" i="2"/>
  <c r="J85" i="2"/>
  <c r="J86" i="2"/>
  <c r="J87" i="2"/>
  <c r="J88" i="2"/>
  <c r="J89" i="2"/>
  <c r="J90" i="2"/>
  <c r="J91" i="2"/>
  <c r="J92" i="2"/>
  <c r="J93" i="2"/>
  <c r="J94" i="2"/>
  <c r="J128" i="2"/>
  <c r="J111" i="2"/>
  <c r="J112" i="2"/>
  <c r="J113" i="2"/>
  <c r="J129" i="2"/>
  <c r="J114" i="2"/>
  <c r="J98" i="2"/>
  <c r="J139" i="2"/>
  <c r="J115" i="2"/>
  <c r="J130" i="2"/>
  <c r="J140" i="2"/>
  <c r="J131" i="2"/>
  <c r="J116" i="2"/>
  <c r="J117" i="2"/>
  <c r="J118" i="2"/>
  <c r="J138" i="2"/>
  <c r="J119" i="2"/>
  <c r="J120" i="2"/>
  <c r="J121" i="2"/>
  <c r="J134" i="2"/>
  <c r="J122" i="2"/>
  <c r="J81" i="2"/>
  <c r="J82" i="2"/>
  <c r="J132" i="2"/>
  <c r="J135" i="2"/>
  <c r="J99" i="2"/>
  <c r="J141" i="2"/>
  <c r="J123" i="2"/>
  <c r="J133" i="2"/>
  <c r="J136" i="2"/>
  <c r="J21" i="2"/>
  <c r="J18" i="2"/>
  <c r="J19" i="2"/>
  <c r="J20" i="2"/>
  <c r="J8" i="2"/>
  <c r="J7" i="2"/>
  <c r="J9" i="2"/>
  <c r="J147" i="2"/>
  <c r="J143" i="2"/>
  <c r="J10" i="2"/>
  <c r="J69" i="2"/>
  <c r="J15" i="2"/>
  <c r="J16" i="2"/>
  <c r="J17" i="2"/>
  <c r="J13" i="2"/>
  <c r="J14" i="2"/>
  <c r="J12" i="2"/>
  <c r="J148" i="2"/>
  <c r="J75" i="2"/>
  <c r="J74" i="2"/>
  <c r="J22" i="2"/>
  <c r="J73" i="2"/>
  <c r="J72" i="2"/>
  <c r="J71" i="2"/>
  <c r="J6" i="2"/>
  <c r="J149" i="2"/>
  <c r="J151" i="2"/>
  <c r="J150" i="2"/>
  <c r="J70" i="2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" i="3"/>
</calcChain>
</file>

<file path=xl/sharedStrings.xml><?xml version="1.0" encoding="utf-8"?>
<sst xmlns="http://schemas.openxmlformats.org/spreadsheetml/2006/main" count="4531" uniqueCount="912">
  <si>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</si>
  <si>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</si>
  <si>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</si>
  <si>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</si>
  <si>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</si>
  <si>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107865342</t>
  </si>
  <si>
    <t>State:</t>
  </si>
  <si>
    <t>TX</t>
  </si>
  <si>
    <r>
      <t>Producer Commission Data - Individual</t>
    </r>
    <r>
      <rPr>
        <sz val="18"/>
        <color rgb="FFFFFFFF"/>
        <rFont val="Arial"/>
        <family val="2"/>
      </rPr>
      <t xml:space="preserve">
For Period: December 2024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</si>
  <si>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</si>
  <si>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</si>
  <si>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</si>
  <si>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</si>
  <si>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</si>
  <si>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</si>
  <si>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</si>
  <si>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</si>
  <si>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</si>
  <si>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</si>
  <si>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</si>
  <si>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</si>
  <si>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</si>
  <si>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</si>
  <si>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</si>
  <si>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</si>
  <si>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</si>
  <si>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</si>
  <si>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</si>
  <si>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</si>
  <si>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</si>
  <si>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</si>
  <si>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</si>
  <si>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$/Member</t>
  </si>
  <si>
    <t>PR</t>
  </si>
  <si>
    <t>107865344-SU-JASON R HOFFMANN</t>
  </si>
  <si>
    <t>H</t>
  </si>
  <si>
    <t>000966</t>
  </si>
  <si>
    <t>1</t>
  </si>
  <si>
    <t>000943511226</t>
  </si>
  <si>
    <t>SUTHERLAND, SHERRY</t>
  </si>
  <si>
    <t>P</t>
  </si>
  <si>
    <t>000,000.00</t>
  </si>
  <si>
    <t>20250201</t>
  </si>
  <si>
    <t>20240101</t>
  </si>
  <si>
    <t>013</t>
  </si>
  <si>
    <t>MYBLUEHEALTH^</t>
  </si>
  <si>
    <t>N</t>
  </si>
  <si>
    <t>$01.00</t>
  </si>
  <si>
    <t>020.00</t>
  </si>
  <si>
    <t>000,020.00</t>
  </si>
  <si>
    <t>0.0000</t>
  </si>
  <si>
    <t>107865344</t>
  </si>
  <si>
    <t>107866950-SU-GREGORY K TEIPEL</t>
  </si>
  <si>
    <t>000625</t>
  </si>
  <si>
    <t>000893781602</t>
  </si>
  <si>
    <t>RICE, JACKY</t>
  </si>
  <si>
    <t>20241201</t>
  </si>
  <si>
    <t>002</t>
  </si>
  <si>
    <t>BLUEADVANTAGE^</t>
  </si>
  <si>
    <t>025.00</t>
  </si>
  <si>
    <t>000,025.00</t>
  </si>
  <si>
    <t>107866950</t>
  </si>
  <si>
    <t>000870</t>
  </si>
  <si>
    <t>4</t>
  </si>
  <si>
    <t>000923860802</t>
  </si>
  <si>
    <t>PACHECO, VANESSA A</t>
  </si>
  <si>
    <t>000,080.00</t>
  </si>
  <si>
    <t>3</t>
  </si>
  <si>
    <t>000924461173</t>
  </si>
  <si>
    <t>BAKER, PAULA</t>
  </si>
  <si>
    <t>20220101</t>
  </si>
  <si>
    <t>037</t>
  </si>
  <si>
    <t>000.00</t>
  </si>
  <si>
    <t>000637</t>
  </si>
  <si>
    <t>2</t>
  </si>
  <si>
    <t>000924519406</t>
  </si>
  <si>
    <t>MIRTSCHING, BARRY</t>
  </si>
  <si>
    <t>20230101</t>
  </si>
  <si>
    <t>025</t>
  </si>
  <si>
    <t>000,050.00</t>
  </si>
  <si>
    <t>752301</t>
  </si>
  <si>
    <t>000924941153</t>
  </si>
  <si>
    <t>ROBERTSON, MICHAELA</t>
  </si>
  <si>
    <t>20240501</t>
  </si>
  <si>
    <t>009</t>
  </si>
  <si>
    <t>000924992747</t>
  </si>
  <si>
    <t>QUIGLEY, KENNETH</t>
  </si>
  <si>
    <t>20230401</t>
  </si>
  <si>
    <t>022</t>
  </si>
  <si>
    <t>000925145455</t>
  </si>
  <si>
    <t>RHODES, JAMES</t>
  </si>
  <si>
    <t>000631</t>
  </si>
  <si>
    <t>000925159707</t>
  </si>
  <si>
    <t>QUILLEN, LINDA</t>
  </si>
  <si>
    <t>20170601</t>
  </si>
  <si>
    <t>092</t>
  </si>
  <si>
    <t>000925172464</t>
  </si>
  <si>
    <t>HANKS, STACY</t>
  </si>
  <si>
    <t>20210101</t>
  </si>
  <si>
    <t>049</t>
  </si>
  <si>
    <t>000925319540</t>
  </si>
  <si>
    <t>FLANAGAN, MELANIE</t>
  </si>
  <si>
    <t>20190601</t>
  </si>
  <si>
    <t>068</t>
  </si>
  <si>
    <t>562301</t>
  </si>
  <si>
    <t>000925432854</t>
  </si>
  <si>
    <t>EZNACK, JAMES</t>
  </si>
  <si>
    <t>572301</t>
  </si>
  <si>
    <t>000925449446</t>
  </si>
  <si>
    <t>CAFFEY, BONNIE</t>
  </si>
  <si>
    <t>000925486861</t>
  </si>
  <si>
    <t>BURKS, TONY</t>
  </si>
  <si>
    <t>000925562559</t>
  </si>
  <si>
    <t>YAKULIS, MARGUERITE</t>
  </si>
  <si>
    <t>20210701</t>
  </si>
  <si>
    <t>043</t>
  </si>
  <si>
    <t>1-</t>
  </si>
  <si>
    <t>000925590704</t>
  </si>
  <si>
    <t>HARRELL, REBECCA</t>
  </si>
  <si>
    <t>20250101</t>
  </si>
  <si>
    <t>001</t>
  </si>
  <si>
    <t>000,025.00-</t>
  </si>
  <si>
    <t>000925599337</t>
  </si>
  <si>
    <t>DICKSON, MARY</t>
  </si>
  <si>
    <t>000925603148</t>
  </si>
  <si>
    <t>DURGAM, POORNIMA</t>
  </si>
  <si>
    <t>000925662361</t>
  </si>
  <si>
    <t>TREVINO, HECTOR</t>
  </si>
  <si>
    <t>20240901</t>
  </si>
  <si>
    <t>005</t>
  </si>
  <si>
    <t>000,060.00</t>
  </si>
  <si>
    <t>000925677277</t>
  </si>
  <si>
    <t>VAUGHAN, EDILLIA</t>
  </si>
  <si>
    <t>20220301</t>
  </si>
  <si>
    <t>035</t>
  </si>
  <si>
    <t>000,075.00</t>
  </si>
  <si>
    <t>000925713018</t>
  </si>
  <si>
    <t>BEAN, MELINDA</t>
  </si>
  <si>
    <t>20220701</t>
  </si>
  <si>
    <t>031</t>
  </si>
  <si>
    <t>000925713773</t>
  </si>
  <si>
    <t>ROJAS, VELMA</t>
  </si>
  <si>
    <t>20220801</t>
  </si>
  <si>
    <t>030</t>
  </si>
  <si>
    <t>000925750946</t>
  </si>
  <si>
    <t>LEE, TRACY</t>
  </si>
  <si>
    <t>20221001</t>
  </si>
  <si>
    <t>028</t>
  </si>
  <si>
    <t>000925839971</t>
  </si>
  <si>
    <t>SOLDEVILLA, MONICA</t>
  </si>
  <si>
    <t>000925849065</t>
  </si>
  <si>
    <t>MOLINA, ESMERALDA</t>
  </si>
  <si>
    <t>000925858355</t>
  </si>
  <si>
    <t>KELLY, DANIEL</t>
  </si>
  <si>
    <t>000925864248</t>
  </si>
  <si>
    <t>CALLAHAN, RALANE</t>
  </si>
  <si>
    <t>000,100.00</t>
  </si>
  <si>
    <t>000643</t>
  </si>
  <si>
    <t>000925898517</t>
  </si>
  <si>
    <t>PHILLIPS, SCOTT</t>
  </si>
  <si>
    <t>20230201</t>
  </si>
  <si>
    <t>024</t>
  </si>
  <si>
    <t>000925926443</t>
  </si>
  <si>
    <t>HERSHCOVICH, CARICE</t>
  </si>
  <si>
    <t>000925949016</t>
  </si>
  <si>
    <t>KIEREN, MELISSA</t>
  </si>
  <si>
    <t>20230301</t>
  </si>
  <si>
    <t>023</t>
  </si>
  <si>
    <t>000925949720</t>
  </si>
  <si>
    <t>KIEREN, DONNA</t>
  </si>
  <si>
    <t>000925976024</t>
  </si>
  <si>
    <t>GOLDEN, KRISTIE</t>
  </si>
  <si>
    <t>20230501</t>
  </si>
  <si>
    <t>021</t>
  </si>
  <si>
    <t>000943009818</t>
  </si>
  <si>
    <t>WELLS, MELINDA</t>
  </si>
  <si>
    <t>000969</t>
  </si>
  <si>
    <t>000943013126</t>
  </si>
  <si>
    <t>SWAIN, CHAMAIPORN</t>
  </si>
  <si>
    <t>20210801</t>
  </si>
  <si>
    <t>042</t>
  </si>
  <si>
    <t>000943035272</t>
  </si>
  <si>
    <t>YORK, GARY</t>
  </si>
  <si>
    <t>000943045439</t>
  </si>
  <si>
    <t>SANNER, PHILLIP</t>
  </si>
  <si>
    <t>20230601</t>
  </si>
  <si>
    <t>020</t>
  </si>
  <si>
    <t>000943137766</t>
  </si>
  <si>
    <t>CALLAHAN, PRESTON</t>
  </si>
  <si>
    <t>20231001</t>
  </si>
  <si>
    <t>016</t>
  </si>
  <si>
    <t>000943169327</t>
  </si>
  <si>
    <t>ROBERTSON, BUNNY</t>
  </si>
  <si>
    <t>20231101</t>
  </si>
  <si>
    <t>015</t>
  </si>
  <si>
    <t>000943273702</t>
  </si>
  <si>
    <t>LUMMUS, KATHY</t>
  </si>
  <si>
    <t>20231201</t>
  </si>
  <si>
    <t>014</t>
  </si>
  <si>
    <t>000854</t>
  </si>
  <si>
    <t>000943285224</t>
  </si>
  <si>
    <t>LEWIS, MICHAEL</t>
  </si>
  <si>
    <t>000943372637</t>
  </si>
  <si>
    <t>HOPSON, WILLIAM</t>
  </si>
  <si>
    <t>000943435843</t>
  </si>
  <si>
    <t>PETRICH, ROBIN</t>
  </si>
  <si>
    <t>000943494724</t>
  </si>
  <si>
    <t>JOHNSON, EDERLINA</t>
  </si>
  <si>
    <t>000877</t>
  </si>
  <si>
    <t>000943692939</t>
  </si>
  <si>
    <t>MORRIS, DIANE</t>
  </si>
  <si>
    <t>20240301</t>
  </si>
  <si>
    <t>011</t>
  </si>
  <si>
    <t>000943695999</t>
  </si>
  <si>
    <t>CAVE, JAMES</t>
  </si>
  <si>
    <t>000943801957</t>
  </si>
  <si>
    <t>MARTINEZ, MANUEL</t>
  </si>
  <si>
    <t>000742</t>
  </si>
  <si>
    <t>000944117696</t>
  </si>
  <si>
    <t>MORRIS, STEPHEN</t>
  </si>
  <si>
    <t>000944117852</t>
  </si>
  <si>
    <t>MANES, SYLENA</t>
  </si>
  <si>
    <t>107869934-SU-RYAN J CALTAGIRONE</t>
  </si>
  <si>
    <t>000924449459</t>
  </si>
  <si>
    <t>HANNON, TIMOTHY</t>
  </si>
  <si>
    <t>107869934</t>
  </si>
  <si>
    <t>000944022804</t>
  </si>
  <si>
    <t>BUENTELLO, JESUS</t>
  </si>
  <si>
    <t>20241101</t>
  </si>
  <si>
    <t>003</t>
  </si>
  <si>
    <t>000944023584</t>
  </si>
  <si>
    <t>CHARLES, CLAUDIA</t>
  </si>
  <si>
    <t>107870004-SU-ADAM J RICHTER</t>
  </si>
  <si>
    <t>000943107197</t>
  </si>
  <si>
    <t>MCGOURTY, ASHLEY</t>
  </si>
  <si>
    <t>20230901</t>
  </si>
  <si>
    <t>017</t>
  </si>
  <si>
    <t>107870004</t>
  </si>
  <si>
    <t>000859</t>
  </si>
  <si>
    <t>000943384243</t>
  </si>
  <si>
    <t>WULFF, PRENTICE</t>
  </si>
  <si>
    <t>000944023937</t>
  </si>
  <si>
    <t>MORALES, ROSAMARIA</t>
  </si>
  <si>
    <t>20241001</t>
  </si>
  <si>
    <t>004</t>
  </si>
  <si>
    <t>107872306-SU-CAROL FOLEY</t>
  </si>
  <si>
    <t>5</t>
  </si>
  <si>
    <t>000925991152</t>
  </si>
  <si>
    <t>JOHNSON, BENNY</t>
  </si>
  <si>
    <t>107872306</t>
  </si>
  <si>
    <t>107873513-SU-MICHELA ROZMAN</t>
  </si>
  <si>
    <t>000943979269</t>
  </si>
  <si>
    <t>SALTSMAN, RONNIE</t>
  </si>
  <si>
    <t>107873513</t>
  </si>
  <si>
    <t>107879207-SU-LORI ANN TUNSTALL</t>
  </si>
  <si>
    <t>000924227221</t>
  </si>
  <si>
    <t>BAILEY, BOBBY</t>
  </si>
  <si>
    <t>012</t>
  </si>
  <si>
    <t>107879207</t>
  </si>
  <si>
    <t>000925251103</t>
  </si>
  <si>
    <t>BAILEY, WALKER</t>
  </si>
  <si>
    <t>000925254609</t>
  </si>
  <si>
    <t>DAVIS, LAONNA</t>
  </si>
  <si>
    <t>20190101</t>
  </si>
  <si>
    <t>073</t>
  </si>
  <si>
    <t>000925469091</t>
  </si>
  <si>
    <t>DENNIS, REBECCA</t>
  </si>
  <si>
    <t>000,040.00</t>
  </si>
  <si>
    <t>107888447-SU-MATTHEW DAUGHERTY</t>
  </si>
  <si>
    <t>000893308450</t>
  </si>
  <si>
    <t>HINOJOSA, NATHAN</t>
  </si>
  <si>
    <t>107888447</t>
  </si>
  <si>
    <t>000893625516</t>
  </si>
  <si>
    <t>CARTWRIGHT, SANDRA</t>
  </si>
  <si>
    <t>000893769789</t>
  </si>
  <si>
    <t>MOORE, CHARLES</t>
  </si>
  <si>
    <t>20150301</t>
  </si>
  <si>
    <t>119</t>
  </si>
  <si>
    <t>% Premium</t>
  </si>
  <si>
    <t>D</t>
  </si>
  <si>
    <t>000899</t>
  </si>
  <si>
    <t>000,036.52</t>
  </si>
  <si>
    <t>DENPPO^</t>
  </si>
  <si>
    <t>100.00</t>
  </si>
  <si>
    <t>0.0400</t>
  </si>
  <si>
    <t>000,001.46</t>
  </si>
  <si>
    <t>000923846026</t>
  </si>
  <si>
    <t>TALLEY, LAURA</t>
  </si>
  <si>
    <t>20170101</t>
  </si>
  <si>
    <t>097</t>
  </si>
  <si>
    <t>000924005102</t>
  </si>
  <si>
    <t>LOWE, FRANCES</t>
  </si>
  <si>
    <t>20240401</t>
  </si>
  <si>
    <t>010</t>
  </si>
  <si>
    <t>000924142066</t>
  </si>
  <si>
    <t>BLACKLOCK, CHARLES</t>
  </si>
  <si>
    <t>000924164339</t>
  </si>
  <si>
    <t>HESTON, JOANNE</t>
  </si>
  <si>
    <t>000924183024</t>
  </si>
  <si>
    <t>RUTHERFORD, JOHN</t>
  </si>
  <si>
    <t>000924558840</t>
  </si>
  <si>
    <t>SANDOVAL, JESUS</t>
  </si>
  <si>
    <t>000924984155</t>
  </si>
  <si>
    <t>ZHAO, JINGJIE</t>
  </si>
  <si>
    <t>000925096120</t>
  </si>
  <si>
    <t>TALLEY, HEATHER</t>
  </si>
  <si>
    <t>20180101</t>
  </si>
  <si>
    <t>085</t>
  </si>
  <si>
    <t>000925100575</t>
  </si>
  <si>
    <t>PARRA, JUAN</t>
  </si>
  <si>
    <t>000925148516</t>
  </si>
  <si>
    <t>POWERS, LINDZIE</t>
  </si>
  <si>
    <t>20170301</t>
  </si>
  <si>
    <t>095</t>
  </si>
  <si>
    <t>000925183832</t>
  </si>
  <si>
    <t>JASPERSON, JAMES</t>
  </si>
  <si>
    <t>000925259322</t>
  </si>
  <si>
    <t>LEE, ROBERT</t>
  </si>
  <si>
    <t>000970</t>
  </si>
  <si>
    <t>000925278861</t>
  </si>
  <si>
    <t>TORRES, RAQUEL</t>
  </si>
  <si>
    <t>000925320079</t>
  </si>
  <si>
    <t>SKAGGS, DEBBIE</t>
  </si>
  <si>
    <t>000925352115</t>
  </si>
  <si>
    <t>KUCHARSKI, KIMBERLY</t>
  </si>
  <si>
    <t>20191201</t>
  </si>
  <si>
    <t>062</t>
  </si>
  <si>
    <t>000925439912</t>
  </si>
  <si>
    <t>SULHAN, SAMARTH</t>
  </si>
  <si>
    <t>362301</t>
  </si>
  <si>
    <t>000925442422</t>
  </si>
  <si>
    <t>ANGELES, CARLOS</t>
  </si>
  <si>
    <t>048</t>
  </si>
  <si>
    <t>047</t>
  </si>
  <si>
    <t>046</t>
  </si>
  <si>
    <t>045</t>
  </si>
  <si>
    <t>044</t>
  </si>
  <si>
    <t>20240801</t>
  </si>
  <si>
    <t>20240701</t>
  </si>
  <si>
    <t>20240601</t>
  </si>
  <si>
    <t>041</t>
  </si>
  <si>
    <t>040</t>
  </si>
  <si>
    <t>039</t>
  </si>
  <si>
    <t>038</t>
  </si>
  <si>
    <t>20240201</t>
  </si>
  <si>
    <t>000925448460</t>
  </si>
  <si>
    <t>THOMAS, CHRISTINE</t>
  </si>
  <si>
    <t>000925449744</t>
  </si>
  <si>
    <t>TEMPLE, CHRISTIE</t>
  </si>
  <si>
    <t>000925488083</t>
  </si>
  <si>
    <t>GUTIERREZ, ANNIE</t>
  </si>
  <si>
    <t>000925498699</t>
  </si>
  <si>
    <t>ORTIZ, DAVID</t>
  </si>
  <si>
    <t>20210201</t>
  </si>
  <si>
    <t>000925551038</t>
  </si>
  <si>
    <t>ROSS, TAURUS</t>
  </si>
  <si>
    <t>000925553385</t>
  </si>
  <si>
    <t>SOSVILLE, ISABELLA</t>
  </si>
  <si>
    <t>20210601</t>
  </si>
  <si>
    <t>000925556803</t>
  </si>
  <si>
    <t>PHILLIPS, EVELYN</t>
  </si>
  <si>
    <t>000925575892</t>
  </si>
  <si>
    <t>ACHA, CHRISTINE</t>
  </si>
  <si>
    <t>20230701</t>
  </si>
  <si>
    <t>019</t>
  </si>
  <si>
    <t>000,125.00</t>
  </si>
  <si>
    <t>000925609037</t>
  </si>
  <si>
    <t>HODGE, NATALIE</t>
  </si>
  <si>
    <t>000925611876</t>
  </si>
  <si>
    <t>DILES, RICHARD</t>
  </si>
  <si>
    <t>000925626716</t>
  </si>
  <si>
    <t>CHAVARRIA, ANABEL</t>
  </si>
  <si>
    <t>000925791335</t>
  </si>
  <si>
    <t>ALTEMUS, ANTONIO</t>
  </si>
  <si>
    <t>000925794500</t>
  </si>
  <si>
    <t>PERDUE, RONALD</t>
  </si>
  <si>
    <t>20221101</t>
  </si>
  <si>
    <t>026</t>
  </si>
  <si>
    <t>027</t>
  </si>
  <si>
    <t>000925821790</t>
  </si>
  <si>
    <t>LOFTIS, JUSTIN</t>
  </si>
  <si>
    <t>000925843285</t>
  </si>
  <si>
    <t>SOTO, MANUEL</t>
  </si>
  <si>
    <t>000925844008</t>
  </si>
  <si>
    <t>GARZA, PATRICK</t>
  </si>
  <si>
    <t>000925914971</t>
  </si>
  <si>
    <t>BLAHUTA, GLENN</t>
  </si>
  <si>
    <t>000927920962</t>
  </si>
  <si>
    <t>VIGIL, ZACHARY</t>
  </si>
  <si>
    <t>000943203146</t>
  </si>
  <si>
    <t>KOT, ABRAHAM</t>
  </si>
  <si>
    <t>3-</t>
  </si>
  <si>
    <t>000943538120</t>
  </si>
  <si>
    <t>MILLER, PETER</t>
  </si>
  <si>
    <t>000,075.00-</t>
  </si>
  <si>
    <t>000943704843</t>
  </si>
  <si>
    <t>DRESHER, JACK</t>
  </si>
  <si>
    <t>000943724625</t>
  </si>
  <si>
    <t>MARTINEZ, ALDO</t>
  </si>
  <si>
    <t>000943731535</t>
  </si>
  <si>
    <t>ROBINSON, MYA</t>
  </si>
  <si>
    <t>000943937057</t>
  </si>
  <si>
    <t>PENNINGTON, BRYAN</t>
  </si>
  <si>
    <t>006</t>
  </si>
  <si>
    <t>000943987506</t>
  </si>
  <si>
    <t>ROSS, ALEXIS</t>
  </si>
  <si>
    <t>000944109554</t>
  </si>
  <si>
    <t>KIRK, ANGELA</t>
  </si>
  <si>
    <t>000944157847</t>
  </si>
  <si>
    <t>VALLE, MARCO</t>
  </si>
  <si>
    <t>107928692-SU-GARY PORTUGAL</t>
  </si>
  <si>
    <t>000924114074</t>
  </si>
  <si>
    <t>PUGA, JESSE</t>
  </si>
  <si>
    <t>20211001</t>
  </si>
  <si>
    <t>107928692</t>
  </si>
  <si>
    <t>000898</t>
  </si>
  <si>
    <t>000,075.84</t>
  </si>
  <si>
    <t>000,003.03</t>
  </si>
  <si>
    <t>000943170509</t>
  </si>
  <si>
    <t>GRIFFIN, BREANNA</t>
  </si>
  <si>
    <t>000944006752</t>
  </si>
  <si>
    <t>ONTIVEROS, LORENZO</t>
  </si>
  <si>
    <t>107928696-SU-ANDREW J CHOI</t>
  </si>
  <si>
    <t>000925117411</t>
  </si>
  <si>
    <t>STELCHEK, DAVID</t>
  </si>
  <si>
    <t>107928696</t>
  </si>
  <si>
    <t>672301</t>
  </si>
  <si>
    <t>000943074903</t>
  </si>
  <si>
    <t>BERGMAN, FRANKLIN</t>
  </si>
  <si>
    <t>000944096921</t>
  </si>
  <si>
    <t>VIENGSOMBAT, DEONNA</t>
  </si>
  <si>
    <t>000944119769</t>
  </si>
  <si>
    <t>PRITCHETT, VERONICA</t>
  </si>
  <si>
    <t>107928701-SU-STACEY A PORTUGAL</t>
  </si>
  <si>
    <t>000943482223</t>
  </si>
  <si>
    <t>CHAMBERS, TAMMY</t>
  </si>
  <si>
    <t>107928701</t>
  </si>
  <si>
    <t>Flat Annual</t>
  </si>
  <si>
    <t>107928715-SU-RICARDO D SANTOS</t>
  </si>
  <si>
    <t>0TX127</t>
  </si>
  <si>
    <t>000804459382</t>
  </si>
  <si>
    <t>HASSELL, LYNDA</t>
  </si>
  <si>
    <t>MM2</t>
  </si>
  <si>
    <t>107928715</t>
  </si>
  <si>
    <t>000804459390</t>
  </si>
  <si>
    <t>HASSELL, JAMES</t>
  </si>
  <si>
    <t>107928723-SU-RICHARD A YALE</t>
  </si>
  <si>
    <t>000925092467</t>
  </si>
  <si>
    <t>CROSBY, MYLES</t>
  </si>
  <si>
    <t>107928723</t>
  </si>
  <si>
    <t>107928855-SU-BARRY L SCHUMANN</t>
  </si>
  <si>
    <t>000925098395</t>
  </si>
  <si>
    <t>FARHAT, ASHLEY</t>
  </si>
  <si>
    <t>107928855</t>
  </si>
  <si>
    <t>107929706-SU-HEATHER MARIE GESKE</t>
  </si>
  <si>
    <t>000925926194</t>
  </si>
  <si>
    <t>HOFFMAN, DONNA</t>
  </si>
  <si>
    <t>107929706</t>
  </si>
  <si>
    <t>107932909-SU-CHAD J YALE</t>
  </si>
  <si>
    <t>000925161195</t>
  </si>
  <si>
    <t>LOPEZ, ALFONSO</t>
  </si>
  <si>
    <t>107932909</t>
  </si>
  <si>
    <t>000947</t>
  </si>
  <si>
    <t>000925818695</t>
  </si>
  <si>
    <t>SCOTT, JASON</t>
  </si>
  <si>
    <t>000925874824</t>
  </si>
  <si>
    <t>HANSEN, RONALD</t>
  </si>
  <si>
    <t>000655</t>
  </si>
  <si>
    <t>000925919562</t>
  </si>
  <si>
    <t>CALDERON, TRINIDAD</t>
  </si>
  <si>
    <t>000943452674</t>
  </si>
  <si>
    <t>MORRIS, IMANI</t>
  </si>
  <si>
    <t>000944154522</t>
  </si>
  <si>
    <t>MCCARDELL, CASANDRA</t>
  </si>
  <si>
    <t>107934271-SU-TOM EDWARD SERIO</t>
  </si>
  <si>
    <t>000943458471</t>
  </si>
  <si>
    <t>PERRINS, DANIELLA</t>
  </si>
  <si>
    <t>107934271</t>
  </si>
  <si>
    <t>000944148662</t>
  </si>
  <si>
    <t>LOPEZ DE SAN ROMAN B, RAFAEL</t>
  </si>
  <si>
    <t>107934472-SU-JONATHAN ALOFF</t>
  </si>
  <si>
    <t>000943976221</t>
  </si>
  <si>
    <t>EPPERSON, BILLY</t>
  </si>
  <si>
    <t>107934472</t>
  </si>
  <si>
    <t>000944157694</t>
  </si>
  <si>
    <t>LUCAS, KATHLEEN</t>
  </si>
  <si>
    <t>20250301</t>
  </si>
  <si>
    <t>107934663-SU-GREGORY HANSFORD</t>
  </si>
  <si>
    <t>000943813533</t>
  </si>
  <si>
    <t>MONTERO, MARIAH</t>
  </si>
  <si>
    <t>107934663</t>
  </si>
  <si>
    <t>107944691-SU-JOEL N LEE</t>
  </si>
  <si>
    <t>000925964157</t>
  </si>
  <si>
    <t>WICK, DOUGLAS</t>
  </si>
  <si>
    <t>107944691</t>
  </si>
  <si>
    <t>000943600902</t>
  </si>
  <si>
    <t>ESTES, ERIC</t>
  </si>
  <si>
    <t>000943634661</t>
  </si>
  <si>
    <t>HEADLEY, JENAH</t>
  </si>
  <si>
    <t>107949321-SU-ANDREW HOWARD GOODMAN</t>
  </si>
  <si>
    <t>000944116765</t>
  </si>
  <si>
    <t>OLLIE, NICO</t>
  </si>
  <si>
    <t>107949321</t>
  </si>
  <si>
    <t>107954804-SU-VICTOR FUENTES</t>
  </si>
  <si>
    <t>000944099258</t>
  </si>
  <si>
    <t>ESTES, TINA</t>
  </si>
  <si>
    <t>107954804</t>
  </si>
  <si>
    <t>000944116961</t>
  </si>
  <si>
    <t>BOSMAN, DANNY</t>
  </si>
  <si>
    <t>000944138850</t>
  </si>
  <si>
    <t>MERRITT, BRADFORD</t>
  </si>
  <si>
    <t>SU</t>
  </si>
  <si>
    <t>JASON R HOFFMANN</t>
  </si>
  <si>
    <t>GREGORY K TEIPEL</t>
  </si>
  <si>
    <t>RYAN J CALTAGIRONE</t>
  </si>
  <si>
    <t>ADAM J RICHTER</t>
  </si>
  <si>
    <t>CAROL FOLEY</t>
  </si>
  <si>
    <t>MICHELA ROZMAN</t>
  </si>
  <si>
    <t>LORI ANN TUNSTALL</t>
  </si>
  <si>
    <t>MATTHEW DAUGHERTY</t>
  </si>
  <si>
    <t>GARY PORTUGAL</t>
  </si>
  <si>
    <t>ANDREW J CHOI</t>
  </si>
  <si>
    <t>STACEY A PORTUGAL</t>
  </si>
  <si>
    <t>RICARDO D SANTOS</t>
  </si>
  <si>
    <t>RICHARD A YALE</t>
  </si>
  <si>
    <t>BARRY L SCHUMANN</t>
  </si>
  <si>
    <t>HEATHER MARIE GESKE</t>
  </si>
  <si>
    <t>CHAD J YALE</t>
  </si>
  <si>
    <t>TOM EDWARD SERIO</t>
  </si>
  <si>
    <t>JONATHAN ALOFF</t>
  </si>
  <si>
    <t>GREGORY HANSFORD</t>
  </si>
  <si>
    <t>JOEL N LEE</t>
  </si>
  <si>
    <t>ANDREW HOWARD GOODMAN</t>
  </si>
  <si>
    <t>VICTOR FUENTES</t>
  </si>
  <si>
    <t>17425766old</t>
  </si>
  <si>
    <t>SUTHERLAND</t>
  </si>
  <si>
    <t>SHERRY</t>
  </si>
  <si>
    <t>RICE</t>
  </si>
  <si>
    <t>JACKY</t>
  </si>
  <si>
    <t>PACHECO</t>
  </si>
  <si>
    <t>VANESSA</t>
  </si>
  <si>
    <t>BAKER</t>
  </si>
  <si>
    <t>PAULA</t>
  </si>
  <si>
    <t>MIRTSCHING</t>
  </si>
  <si>
    <t>BARRY</t>
  </si>
  <si>
    <t>ROBERTSON</t>
  </si>
  <si>
    <t>MICHAELA</t>
  </si>
  <si>
    <t>QUIGLEY</t>
  </si>
  <si>
    <t>KENNETH</t>
  </si>
  <si>
    <t>RHODES</t>
  </si>
  <si>
    <t>JAMES</t>
  </si>
  <si>
    <t>QUILLEN</t>
  </si>
  <si>
    <t>LINDA</t>
  </si>
  <si>
    <t>HANKS</t>
  </si>
  <si>
    <t>STACY</t>
  </si>
  <si>
    <t>FLANAGAN</t>
  </si>
  <si>
    <t>MELANIE</t>
  </si>
  <si>
    <t>EZNACK</t>
  </si>
  <si>
    <t>CAFFEY</t>
  </si>
  <si>
    <t>BONNIE</t>
  </si>
  <si>
    <t>BURKS</t>
  </si>
  <si>
    <t>TONY</t>
  </si>
  <si>
    <t>YAKULIS</t>
  </si>
  <si>
    <t>MARGUERITE</t>
  </si>
  <si>
    <t>HARRELL</t>
  </si>
  <si>
    <t>REBECCA</t>
  </si>
  <si>
    <t>DICKSON</t>
  </si>
  <si>
    <t>MARY</t>
  </si>
  <si>
    <t>DURGAM</t>
  </si>
  <si>
    <t>POORNIMA</t>
  </si>
  <si>
    <t>TREVINO</t>
  </si>
  <si>
    <t>HECTOR</t>
  </si>
  <si>
    <t>VAUGHAN</t>
  </si>
  <si>
    <t>EDILLIA</t>
  </si>
  <si>
    <t>BEAN</t>
  </si>
  <si>
    <t>MELINDA</t>
  </si>
  <si>
    <t>ROJAS</t>
  </si>
  <si>
    <t>VELMA</t>
  </si>
  <si>
    <t>LEE</t>
  </si>
  <si>
    <t>TRACY</t>
  </si>
  <si>
    <t>SOLDEVILLA</t>
  </si>
  <si>
    <t>MONICA</t>
  </si>
  <si>
    <t>MOLINA</t>
  </si>
  <si>
    <t>ESMERALDA</t>
  </si>
  <si>
    <t>KELLY</t>
  </si>
  <si>
    <t>DANIEL</t>
  </si>
  <si>
    <t>CALLAHAN</t>
  </si>
  <si>
    <t>RALANE</t>
  </si>
  <si>
    <t>PHILLIPS</t>
  </si>
  <si>
    <t>SCOTT</t>
  </si>
  <si>
    <t>HERSHCOVICH</t>
  </si>
  <si>
    <t>CARICE</t>
  </si>
  <si>
    <t>KIEREN</t>
  </si>
  <si>
    <t>MELISSA</t>
  </si>
  <si>
    <t>DONNA</t>
  </si>
  <si>
    <t>GOLDEN</t>
  </si>
  <si>
    <t>KRISTIE</t>
  </si>
  <si>
    <t>WELLS</t>
  </si>
  <si>
    <t>SWAIN</t>
  </si>
  <si>
    <t>CHAMAIPORN</t>
  </si>
  <si>
    <t>YORK</t>
  </si>
  <si>
    <t>GARY</t>
  </si>
  <si>
    <t>SANNER</t>
  </si>
  <si>
    <t>PHILLIP</t>
  </si>
  <si>
    <t>PRESTON</t>
  </si>
  <si>
    <t>BUNNY</t>
  </si>
  <si>
    <t>LUMMUS</t>
  </si>
  <si>
    <t>KATHY</t>
  </si>
  <si>
    <t>LEWIS</t>
  </si>
  <si>
    <t>MICHAEL</t>
  </si>
  <si>
    <t>HOPSON</t>
  </si>
  <si>
    <t>WILLIAM</t>
  </si>
  <si>
    <t>PETRICH</t>
  </si>
  <si>
    <t>ROBIN</t>
  </si>
  <si>
    <t>JOHNSON</t>
  </si>
  <si>
    <t>EDERLINA</t>
  </si>
  <si>
    <t>MORRIS</t>
  </si>
  <si>
    <t>DIANE</t>
  </si>
  <si>
    <t>CAVE</t>
  </si>
  <si>
    <t>MARTINEZ</t>
  </si>
  <si>
    <t>MANUEL</t>
  </si>
  <si>
    <t>STEPHEN</t>
  </si>
  <si>
    <t>MANES</t>
  </si>
  <si>
    <t>SYLENA</t>
  </si>
  <si>
    <t>HANNON</t>
  </si>
  <si>
    <t>TIMOTHY</t>
  </si>
  <si>
    <t>BUENTELLO</t>
  </si>
  <si>
    <t>JESUS</t>
  </si>
  <si>
    <t>CHARLES</t>
  </si>
  <si>
    <t>CLAUDIA</t>
  </si>
  <si>
    <t>MCGOURTY</t>
  </si>
  <si>
    <t>ASHLEY</t>
  </si>
  <si>
    <t>WULFF</t>
  </si>
  <si>
    <t>PRENTICE</t>
  </si>
  <si>
    <t>MORALES</t>
  </si>
  <si>
    <t>ROSAMARIA</t>
  </si>
  <si>
    <t>BENNY</t>
  </si>
  <si>
    <t>SALTSMAN</t>
  </si>
  <si>
    <t>RONNIE</t>
  </si>
  <si>
    <t>BAILEY</t>
  </si>
  <si>
    <t>BOBBY</t>
  </si>
  <si>
    <t>WALKER</t>
  </si>
  <si>
    <t>DAVIS</t>
  </si>
  <si>
    <t>LAONNA</t>
  </si>
  <si>
    <t>DENNIS</t>
  </si>
  <si>
    <t>HINOJOSA</t>
  </si>
  <si>
    <t>NATHAN</t>
  </si>
  <si>
    <t>CARTWRIGHT</t>
  </si>
  <si>
    <t>SANDRA</t>
  </si>
  <si>
    <t>MOORE</t>
  </si>
  <si>
    <t>TALLEY</t>
  </si>
  <si>
    <t>LAURA</t>
  </si>
  <si>
    <t>LOWE</t>
  </si>
  <si>
    <t>FRANCES</t>
  </si>
  <si>
    <t>BLACKLOCK</t>
  </si>
  <si>
    <t>HESTON</t>
  </si>
  <si>
    <t>JOANNE</t>
  </si>
  <si>
    <t>RUTHERFORD</t>
  </si>
  <si>
    <t>JOHN</t>
  </si>
  <si>
    <t>SANDOVAL</t>
  </si>
  <si>
    <t>ZHAO</t>
  </si>
  <si>
    <t>JINGJIE</t>
  </si>
  <si>
    <t>HEATHER</t>
  </si>
  <si>
    <t>PARRA</t>
  </si>
  <si>
    <t>JUAN</t>
  </si>
  <si>
    <t>POWERS</t>
  </si>
  <si>
    <t>LINDZIE</t>
  </si>
  <si>
    <t>JASPERSON</t>
  </si>
  <si>
    <t>ROBERT</t>
  </si>
  <si>
    <t>TORRES</t>
  </si>
  <si>
    <t>RAQUEL</t>
  </si>
  <si>
    <t>SKAGGS</t>
  </si>
  <si>
    <t>DEBBIE</t>
  </si>
  <si>
    <t>KUCHARSKI</t>
  </si>
  <si>
    <t>KIMBERLY</t>
  </si>
  <si>
    <t>SULHAN</t>
  </si>
  <si>
    <t>SAMARTH</t>
  </si>
  <si>
    <t>ANGELES</t>
  </si>
  <si>
    <t>CARLOS</t>
  </si>
  <si>
    <t>THOMAS</t>
  </si>
  <si>
    <t>CHRISTINE</t>
  </si>
  <si>
    <t>TEMPLE</t>
  </si>
  <si>
    <t>CHRISTIE</t>
  </si>
  <si>
    <t>GUTIERREZ</t>
  </si>
  <si>
    <t>ANNIE</t>
  </si>
  <si>
    <t>ORTIZ</t>
  </si>
  <si>
    <t>DAVID</t>
  </si>
  <si>
    <t>ROSS</t>
  </si>
  <si>
    <t>TAURUS</t>
  </si>
  <si>
    <t>SOSVILLE</t>
  </si>
  <si>
    <t>ISABELLA</t>
  </si>
  <si>
    <t>EVELYN</t>
  </si>
  <si>
    <t>ACHA</t>
  </si>
  <si>
    <t>HODGE</t>
  </si>
  <si>
    <t>NATALIE</t>
  </si>
  <si>
    <t>DILES</t>
  </si>
  <si>
    <t>RICHARD</t>
  </si>
  <si>
    <t>CHAVARRIA</t>
  </si>
  <si>
    <t>ANABEL</t>
  </si>
  <si>
    <t>ALTEMUS</t>
  </si>
  <si>
    <t>ANTONIO</t>
  </si>
  <si>
    <t>PERDUE</t>
  </si>
  <si>
    <t>RONALD</t>
  </si>
  <si>
    <t>LOFTIS</t>
  </si>
  <si>
    <t>JUSTIN</t>
  </si>
  <si>
    <t>SOTO</t>
  </si>
  <si>
    <t>GARZA</t>
  </si>
  <si>
    <t>PATRICK</t>
  </si>
  <si>
    <t>BLAHUTA</t>
  </si>
  <si>
    <t>GLENN</t>
  </si>
  <si>
    <t>VIGIL</t>
  </si>
  <si>
    <t>ZACHARY</t>
  </si>
  <si>
    <t>KOT</t>
  </si>
  <si>
    <t>ABRAHAM</t>
  </si>
  <si>
    <t>MILLER</t>
  </si>
  <si>
    <t>PETER</t>
  </si>
  <si>
    <t>DRESHER</t>
  </si>
  <si>
    <t>JACK</t>
  </si>
  <si>
    <t>ALDO</t>
  </si>
  <si>
    <t>ROBINSON</t>
  </si>
  <si>
    <t>MYA</t>
  </si>
  <si>
    <t>PENNINGTON</t>
  </si>
  <si>
    <t>BRYAN</t>
  </si>
  <si>
    <t>ALEXIS</t>
  </si>
  <si>
    <t>KIRK</t>
  </si>
  <si>
    <t>ANGELA</t>
  </si>
  <si>
    <t>VALLE</t>
  </si>
  <si>
    <t>MARCO</t>
  </si>
  <si>
    <t>PUGA</t>
  </si>
  <si>
    <t>JESSE</t>
  </si>
  <si>
    <t>GRIFFIN</t>
  </si>
  <si>
    <t>BREANNA</t>
  </si>
  <si>
    <t>ONTIVEROS</t>
  </si>
  <si>
    <t>LORENZO</t>
  </si>
  <si>
    <t>STELCHEK</t>
  </si>
  <si>
    <t>BERGMAN</t>
  </si>
  <si>
    <t>FRANKLIN</t>
  </si>
  <si>
    <t>VIENGSOMBAT</t>
  </si>
  <si>
    <t>DEONNA</t>
  </si>
  <si>
    <t>PRITCHETT</t>
  </si>
  <si>
    <t>VERONICA</t>
  </si>
  <si>
    <t>CHAMBERS</t>
  </si>
  <si>
    <t>TAMMY</t>
  </si>
  <si>
    <t>HASSELL</t>
  </si>
  <si>
    <t>LYNDA</t>
  </si>
  <si>
    <t>CROSBY</t>
  </si>
  <si>
    <t>MYLES</t>
  </si>
  <si>
    <t>FARHAT</t>
  </si>
  <si>
    <t>HOFFMAN</t>
  </si>
  <si>
    <t>LOPEZ</t>
  </si>
  <si>
    <t>ALFONSO</t>
  </si>
  <si>
    <t>JASON</t>
  </si>
  <si>
    <t>HANSEN</t>
  </si>
  <si>
    <t>CALDERON</t>
  </si>
  <si>
    <t>TRINIDAD</t>
  </si>
  <si>
    <t>IMANI</t>
  </si>
  <si>
    <t>MCCARDELL</t>
  </si>
  <si>
    <t>CASANDRA</t>
  </si>
  <si>
    <t>PERRINS</t>
  </si>
  <si>
    <t>DANIELLA</t>
  </si>
  <si>
    <t>RAFAEL</t>
  </si>
  <si>
    <t>EPPERSON</t>
  </si>
  <si>
    <t>BILLY</t>
  </si>
  <si>
    <t>LUCAS</t>
  </si>
  <si>
    <t>KATHLEEN</t>
  </si>
  <si>
    <t>MONTERO</t>
  </si>
  <si>
    <t>MARIAH</t>
  </si>
  <si>
    <t>WICK</t>
  </si>
  <si>
    <t>DOUGLAS</t>
  </si>
  <si>
    <t>ESTES</t>
  </si>
  <si>
    <t>ERIC</t>
  </si>
  <si>
    <t>HEADLEY</t>
  </si>
  <si>
    <t>JENAH</t>
  </si>
  <si>
    <t>OLLIE</t>
  </si>
  <si>
    <t>NICO</t>
  </si>
  <si>
    <t>TINA</t>
  </si>
  <si>
    <t>BOSMAN</t>
  </si>
  <si>
    <t>DANNY</t>
  </si>
  <si>
    <t>MERRITT</t>
  </si>
  <si>
    <t>BRADFORD</t>
  </si>
  <si>
    <t>SHERRY SUTHERLAND</t>
  </si>
  <si>
    <t>JACKY RICE</t>
  </si>
  <si>
    <t>VANESSA PACHECO</t>
  </si>
  <si>
    <t>BARRY MIRTSCHING</t>
  </si>
  <si>
    <t>MICHAELA ROBERTSON</t>
  </si>
  <si>
    <t>KENNETH QUIGLEY</t>
  </si>
  <si>
    <t>JAMES RHODES</t>
  </si>
  <si>
    <t>LINDA QUILLEN</t>
  </si>
  <si>
    <t>STACY HANKS</t>
  </si>
  <si>
    <t>MELANIE FLANAGAN</t>
  </si>
  <si>
    <t>JAMES EZNACK</t>
  </si>
  <si>
    <t>BONNIE CAFFEY</t>
  </si>
  <si>
    <t>TONY BURKS</t>
  </si>
  <si>
    <t>MARGUERITE YAKULIS</t>
  </si>
  <si>
    <t>REBECCA HARRELL</t>
  </si>
  <si>
    <t>MARY DICKSON</t>
  </si>
  <si>
    <t>POORNIMA DURGAM</t>
  </si>
  <si>
    <t>HECTOR TREVINO</t>
  </si>
  <si>
    <t>EDILLIA VAUGHAN</t>
  </si>
  <si>
    <t>MELINDA BEAN</t>
  </si>
  <si>
    <t>VELMA ROJAS</t>
  </si>
  <si>
    <t>TRACY LEE</t>
  </si>
  <si>
    <t>MONICA SOLDEVILLA</t>
  </si>
  <si>
    <t>ESMERALDA MOLINA</t>
  </si>
  <si>
    <t>DANIEL KELLY</t>
  </si>
  <si>
    <t>RALANE CALLAHAN</t>
  </si>
  <si>
    <t>SCOTT PHILLIPS</t>
  </si>
  <si>
    <t>CARICE HERSHCOVICH</t>
  </si>
  <si>
    <t>MELISSA KIEREN</t>
  </si>
  <si>
    <t>DONNA KIEREN</t>
  </si>
  <si>
    <t>KRISTIE GOLDEN</t>
  </si>
  <si>
    <t>MELINDA WELLS</t>
  </si>
  <si>
    <t>CHAMAIPORN SWAIN</t>
  </si>
  <si>
    <t>GARY YORK</t>
  </si>
  <si>
    <t>PHILLIP SANNER</t>
  </si>
  <si>
    <t>PRESTON CALLAHAN</t>
  </si>
  <si>
    <t>BUNNY ROBERTSON</t>
  </si>
  <si>
    <t>KATHY LUMMUS</t>
  </si>
  <si>
    <t>MICHAEL LEWIS</t>
  </si>
  <si>
    <t>WILLIAM HOPSON</t>
  </si>
  <si>
    <t>ROBIN PETRICH</t>
  </si>
  <si>
    <t>EDERLINA JOHNSON</t>
  </si>
  <si>
    <t>DIANE MORRIS</t>
  </si>
  <si>
    <t>JAMES CAVE</t>
  </si>
  <si>
    <t>MANUEL MARTINEZ</t>
  </si>
  <si>
    <t>STEPHEN MORRIS</t>
  </si>
  <si>
    <t>SYLENA MANES</t>
  </si>
  <si>
    <t>TIMOTHY HANNON</t>
  </si>
  <si>
    <t>JESUS BUENTELLO</t>
  </si>
  <si>
    <t>CLAUDIA CHARLES</t>
  </si>
  <si>
    <t>ASHLEY MCGOURTY</t>
  </si>
  <si>
    <t>PRENTICE WULFF</t>
  </si>
  <si>
    <t>ROSAMARIA MORALES</t>
  </si>
  <si>
    <t>BENNY JOHNSON</t>
  </si>
  <si>
    <t>RONNIE SALTSMAN</t>
  </si>
  <si>
    <t>BOBBY BAILEY</t>
  </si>
  <si>
    <t>WALKER BAILEY</t>
  </si>
  <si>
    <t>LAONNA DAVIS</t>
  </si>
  <si>
    <t>REBECCA DENNIS</t>
  </si>
  <si>
    <t>NATHAN HINOJOSA</t>
  </si>
  <si>
    <t>SANDRA CARTWRIGHT</t>
  </si>
  <si>
    <t>CHARLES MOORE</t>
  </si>
  <si>
    <t>FRANCES LOWE</t>
  </si>
  <si>
    <t>CHARLES BLACKLOCK</t>
  </si>
  <si>
    <t>JOANNE HESTON</t>
  </si>
  <si>
    <t>JOHN RUTHERFORD</t>
  </si>
  <si>
    <t>JESUS SANDOVAL</t>
  </si>
  <si>
    <t>JINGJIE ZHAO</t>
  </si>
  <si>
    <t>HEATHER TALLEY</t>
  </si>
  <si>
    <t>JUAN PARRA</t>
  </si>
  <si>
    <t>LINDZIE POWERS</t>
  </si>
  <si>
    <t>JAMES JASPERSON</t>
  </si>
  <si>
    <t>ROBERT LEE</t>
  </si>
  <si>
    <t>RAQUEL TORRES</t>
  </si>
  <si>
    <t>DEBBIE SKAGGS</t>
  </si>
  <si>
    <t>KIMBERLY KUCHARSKI</t>
  </si>
  <si>
    <t>SAMARTH SULHAN</t>
  </si>
  <si>
    <t>CARLOS ANGELES</t>
  </si>
  <si>
    <t>CHRISTINE THOMAS</t>
  </si>
  <si>
    <t>CHRISTIE TEMPLE</t>
  </si>
  <si>
    <t>ANNIE GUTIERREZ</t>
  </si>
  <si>
    <t>DAVID ORTIZ</t>
  </si>
  <si>
    <t>TAURUS ROSS</t>
  </si>
  <si>
    <t>ISABELLA SOSVILLE</t>
  </si>
  <si>
    <t>EVELYN PHILLIPS</t>
  </si>
  <si>
    <t>CHRISTINE ACHA</t>
  </si>
  <si>
    <t>NATALIE HODGE</t>
  </si>
  <si>
    <t>RICHARD DILES</t>
  </si>
  <si>
    <t>ANABEL CHAVARRIA</t>
  </si>
  <si>
    <t>ANTONIO ALTEMUS</t>
  </si>
  <si>
    <t>RONALD PERDUE</t>
  </si>
  <si>
    <t>JUSTIN LOFTIS</t>
  </si>
  <si>
    <t>MANUEL SOTO</t>
  </si>
  <si>
    <t>PATRICK GARZA</t>
  </si>
  <si>
    <t>GLENN BLAHUTA</t>
  </si>
  <si>
    <t>ZACHARY VIGIL</t>
  </si>
  <si>
    <t>ABRAHAM KOT</t>
  </si>
  <si>
    <t>PETER MILLER</t>
  </si>
  <si>
    <t>JACK DRESHER</t>
  </si>
  <si>
    <t>ALDO MARTINEZ</t>
  </si>
  <si>
    <t>MYA ROBINSON</t>
  </si>
  <si>
    <t>BRYAN PENNINGTON</t>
  </si>
  <si>
    <t>ALEXIS ROSS</t>
  </si>
  <si>
    <t>ANGELA KIRK</t>
  </si>
  <si>
    <t>MARCO VALLE</t>
  </si>
  <si>
    <t>JESSE PUGA</t>
  </si>
  <si>
    <t>BREANNA GRIFFIN</t>
  </si>
  <si>
    <t>LORENZO ONTIVEROS</t>
  </si>
  <si>
    <t>FRANKLIN BERGMAN</t>
  </si>
  <si>
    <t>DEONNA VIENGSOMBAT</t>
  </si>
  <si>
    <t>VERONICA PRITCHETT</t>
  </si>
  <si>
    <t>TAMMY CHAMBERS</t>
  </si>
  <si>
    <t>MYLES CROSBY</t>
  </si>
  <si>
    <t>ASHLEY FARHAT</t>
  </si>
  <si>
    <t>DONNA HOFFMAN</t>
  </si>
  <si>
    <t>ALFONSO LOPEZ</t>
  </si>
  <si>
    <t>JASON SCOTT</t>
  </si>
  <si>
    <t>RONALD HANSEN</t>
  </si>
  <si>
    <t>TRINIDAD CALDERON</t>
  </si>
  <si>
    <t>IMANI MORRIS</t>
  </si>
  <si>
    <t>CASANDRA MCCARDELL</t>
  </si>
  <si>
    <t>RAFAEL LOPEZ</t>
  </si>
  <si>
    <t>BILLY EPPERSON</t>
  </si>
  <si>
    <t>KATHLEEN LUCAS</t>
  </si>
  <si>
    <t>MARIAH MONTERO</t>
  </si>
  <si>
    <t>DOUGLAS WICK</t>
  </si>
  <si>
    <t>ERIC ESTES</t>
  </si>
  <si>
    <t>JENAH HEADLEY</t>
  </si>
  <si>
    <t>NICO OLLIE</t>
  </si>
  <si>
    <t>TINA ESTES</t>
  </si>
  <si>
    <t>DANNY BOSMAN</t>
  </si>
  <si>
    <t>BRADFORD MERRITT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</si>
</sst>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family val="2"/>
    </font>
    <font>
      <sz val="10"/>
      <color rgb="FF000000"/>
      <name val="Arial"/>
      <family val="2"/>
    </font>
    <font>
      <sz val="12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0" borderId="0" xfId="0" applyNumberFormat="1" applyFont="1" applyAlignment="1">
      <alignment horizontal="left" vertical="top"/>
    </xf>
    <xf numFmtId="0" fontId="6" fillId="0" borderId="0" xfId="0" applyFont="1" applyAlignment="1">
      <alignment vertical="top"/>
    </xf>
    <xf numFmtId="0" fontId="6" fillId="0" borderId="0" xfId="0" applyNumberFormat="1" applyFont="1" applyAlignment="1">
      <alignment vertical="top"/>
    </xf>
    <xf numFmtId="0" fontId="5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6" fillId="4" borderId="0" xfId="0" applyNumberFormat="1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177"/>
  <sheetViews>
    <sheetView showGridLines="0" workbookViewId="0">
      <selection activeCell="N13" sqref="N13"/>
    </sheetView>
  </sheetViews>
  <sheetFormatPr baseColWidth="10" defaultColWidth="6.83203125" defaultRowHeight="12.75" customHeight="1" x14ac:dyDescent="0.15"/>
  <cols>
    <col min="1" max="1" width="10.5" customWidth="1"/>
    <col min="2" max="2" width="2.1640625" customWidth="1"/>
    <col min="3" max="3" width="9.5" customWidth="1"/>
    <col min="4" max="4" width="2" customWidth="1"/>
    <col min="5" max="5" width="10.1640625" customWidth="1"/>
    <col min="6" max="6" width="1.1640625" customWidth="1"/>
    <col min="7" max="7" width="1.5" customWidth="1"/>
    <col min="8" max="8" width="27.1640625" customWidth="1"/>
    <col min="9" max="9" width="22" customWidth="1"/>
    <col min="10" max="10" width="8.6640625" customWidth="1"/>
    <col min="11" max="11" width="10.33203125" customWidth="1"/>
    <col min="12" max="12" width="10.5" customWidth="1"/>
    <col min="13" max="14" width="1.1640625" customWidth="1"/>
    <col min="15" max="15" width="11.6640625" customWidth="1"/>
    <col min="16" max="16" width="20.6640625" customWidth="1"/>
    <col min="17" max="17" width="2.33203125" customWidth="1"/>
    <col min="18" max="18" width="18.83203125" customWidth="1"/>
    <col min="19" max="19" width="10" customWidth="1"/>
    <col min="20" max="20" width="5" customWidth="1"/>
    <col min="21" max="21" width="8.5" customWidth="1"/>
    <col min="22" max="22" width="13.1640625" customWidth="1"/>
    <col min="23" max="23" width="14.1640625" customWidth="1"/>
    <col min="24" max="24" width="11.6640625" customWidth="1"/>
    <col min="25" max="25" width="5" customWidth="1"/>
    <col min="26" max="26" width="20.5" customWidth="1"/>
    <col min="27" max="33" width="13.5" customWidth="1"/>
    <col min="34" max="34" width="6.83203125" customWidth="1"/>
  </cols>
  <sheetData>
    <row r="1" spans="1:33" ht="11.25" customHeight="1" x14ac:dyDescent="0.15"/>
    <row r="2" spans="1:33" ht="6" customHeight="1" x14ac:dyDescent="0.15"/>
    <row r="3" spans="1:33" ht="6.75" customHeight="1" x14ac:dyDescent="0.15">
      <c r="R3" s="8" t="s">
        <v>0</v>
      </c>
      <c r="S3" s="8"/>
      <c r="T3" s="8"/>
    </row>
    <row r="4" spans="1:33" ht="6.75" customHeight="1" x14ac:dyDescent="0.15">
      <c r="A4" s="9" t="s">
        <v>1</v>
      </c>
      <c r="C4" s="10" t="s">
        <v>2</v>
      </c>
      <c r="D4" s="10"/>
      <c r="E4" s="10"/>
      <c r="F4" s="10"/>
      <c r="G4" s="10"/>
      <c r="H4" s="10"/>
      <c r="R4" s="8"/>
      <c r="S4" s="8"/>
      <c r="T4" s="8"/>
    </row>
    <row r="5" spans="1:33" ht="6.75" customHeight="1" x14ac:dyDescent="0.15">
      <c r="A5" s="9"/>
      <c r="C5" s="10"/>
      <c r="D5" s="10"/>
      <c r="E5" s="10"/>
      <c r="F5" s="10"/>
      <c r="G5" s="10"/>
      <c r="H5" s="10"/>
      <c r="R5" s="8"/>
      <c r="S5" s="8"/>
      <c r="T5" s="8"/>
    </row>
    <row r="6" spans="1:33" ht="33.75" customHeight="1" x14ac:dyDescent="0.15">
      <c r="Q6" s="11" t="s">
        <v>3</v>
      </c>
      <c r="R6" s="11"/>
      <c r="S6" s="11"/>
      <c r="T6" s="11"/>
    </row>
    <row r="7" spans="1:33" ht="7.5" customHeight="1" x14ac:dyDescent="0.15">
      <c r="A7" s="9" t="s">
        <v>4</v>
      </c>
      <c r="C7" s="10" t="s">
        <v>5</v>
      </c>
      <c r="D7" s="10"/>
      <c r="E7" s="10"/>
      <c r="F7" s="10"/>
      <c r="G7" s="10"/>
    </row>
    <row r="8" spans="1:33" ht="6" customHeight="1" x14ac:dyDescent="0.15">
      <c r="A8" s="9"/>
      <c r="C8" s="10"/>
      <c r="D8" s="10"/>
      <c r="E8" s="10"/>
      <c r="F8" s="10"/>
      <c r="G8" s="10"/>
    </row>
    <row r="9" spans="1:33" ht="13.5" customHeight="1" x14ac:dyDescent="0.15">
      <c r="A9" s="1" t="s">
        <v>6</v>
      </c>
      <c r="C9" s="10" t="s">
        <v>7</v>
      </c>
      <c r="D9" s="10"/>
    </row>
    <row r="10" spans="1:33" ht="12" customHeight="1" x14ac:dyDescent="0.15"/>
    <row r="11" spans="1:33" ht="25.5" customHeight="1" x14ac:dyDescent="0.15">
      <c r="A11" s="12" t="s">
        <v>8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</row>
    <row r="12" spans="1:33" ht="28.5" customHeight="1" x14ac:dyDescent="0.1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</row>
    <row r="13" spans="1:33" ht="12.75" customHeight="1" x14ac:dyDescent="0.15">
      <c r="A13" s="13" t="s">
        <v>9</v>
      </c>
      <c r="B13" s="13" t="s">
        <v>10</v>
      </c>
      <c r="C13" s="13"/>
      <c r="D13" s="13" t="s">
        <v>11</v>
      </c>
      <c r="E13" s="13"/>
      <c r="F13" s="13" t="s">
        <v>12</v>
      </c>
      <c r="G13" s="13"/>
      <c r="H13" s="13"/>
      <c r="I13" s="13"/>
      <c r="J13" s="13" t="s">
        <v>13</v>
      </c>
      <c r="K13" s="13" t="s">
        <v>14</v>
      </c>
      <c r="L13" s="13" t="s">
        <v>15</v>
      </c>
      <c r="N13" s="17" t="s">
        <v>16</v>
      </c>
      <c r="O13" s="17"/>
      <c r="P13" s="13" t="s">
        <v>17</v>
      </c>
      <c r="Q13" s="13"/>
      <c r="R13" s="13"/>
      <c r="S13" s="13" t="s">
        <v>18</v>
      </c>
      <c r="T13" s="13" t="s">
        <v>19</v>
      </c>
      <c r="U13" s="13"/>
      <c r="V13" s="13" t="s">
        <v>20</v>
      </c>
      <c r="W13" s="13" t="s">
        <v>21</v>
      </c>
      <c r="X13" s="13" t="s">
        <v>22</v>
      </c>
      <c r="Y13" s="13" t="s">
        <v>23</v>
      </c>
      <c r="Z13" s="13"/>
      <c r="AA13" s="13" t="s">
        <v>24</v>
      </c>
      <c r="AB13" s="13" t="s">
        <v>25</v>
      </c>
      <c r="AC13" s="13" t="s">
        <v>26</v>
      </c>
      <c r="AD13" s="13" t="s">
        <v>27</v>
      </c>
      <c r="AE13" s="13" t="s">
        <v>28</v>
      </c>
      <c r="AF13" s="13" t="s">
        <v>29</v>
      </c>
      <c r="AG13" s="13" t="s">
        <v>30</v>
      </c>
    </row>
    <row r="14" spans="1:33" ht="14.25" customHeight="1" x14ac:dyDescent="0.1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N14" s="17"/>
      <c r="O14" s="17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</row>
    <row r="15" spans="1:33" ht="0.75" customHeight="1" x14ac:dyDescent="0.15">
      <c r="L15" s="13"/>
      <c r="N15" s="17"/>
      <c r="O15" s="17"/>
    </row>
    <row r="16" spans="1:33" ht="12.75" customHeight="1" x14ac:dyDescent="0.15">
      <c r="A16" s="2" t="s">
        <v>31</v>
      </c>
      <c r="B16" s="5" t="s">
        <v>32</v>
      </c>
      <c r="C16" s="5"/>
      <c r="D16" s="5"/>
      <c r="E16" s="6" t="s">
        <v>33</v>
      </c>
      <c r="F16" s="6"/>
      <c r="G16" s="7" t="s">
        <v>34</v>
      </c>
      <c r="H16" s="7"/>
      <c r="I16" s="7"/>
      <c r="J16" s="3" t="s">
        <v>35</v>
      </c>
      <c r="K16" s="4" t="s">
        <v>36</v>
      </c>
      <c r="L16" s="4" t="s">
        <v>37</v>
      </c>
      <c r="N16" s="7" t="s">
        <v>38</v>
      </c>
      <c r="O16" s="7"/>
      <c r="P16" s="7" t="s">
        <v>39</v>
      </c>
      <c r="Q16" s="7"/>
      <c r="R16" s="7"/>
      <c r="S16" s="3" t="s">
        <v>40</v>
      </c>
      <c r="T16" s="7" t="s">
        <v>41</v>
      </c>
      <c r="U16" s="7"/>
      <c r="V16" s="4" t="s">
        <v>42</v>
      </c>
      <c r="W16" s="4" t="s">
        <v>43</v>
      </c>
      <c r="X16" s="4" t="s">
        <v>44</v>
      </c>
      <c r="Y16" s="7" t="s">
        <v>45</v>
      </c>
      <c r="Z16" s="7"/>
      <c r="AA16" s="4" t="s">
        <v>46</v>
      </c>
      <c r="AB16" s="4" t="s">
        <v>47</v>
      </c>
      <c r="AC16" s="4" t="s">
        <v>48</v>
      </c>
      <c r="AD16" s="4" t="s">
        <v>49</v>
      </c>
      <c r="AE16" s="4" t="s">
        <v>50</v>
      </c>
      <c r="AF16" s="4" t="s">
        <v>41</v>
      </c>
      <c r="AG16" s="4" t="s">
        <v>51</v>
      </c>
    </row>
    <row r="17" spans="1:33" ht="14.25" customHeight="1" x14ac:dyDescent="0.15"/>
    <row r="18" spans="1:33" ht="16.5" customHeight="1" x14ac:dyDescent="0.15">
      <c r="A18" s="2" t="s">
        <v>31</v>
      </c>
      <c r="B18" s="5" t="s">
        <v>32</v>
      </c>
      <c r="C18" s="5"/>
      <c r="D18" s="5"/>
      <c r="E18" s="6" t="s">
        <v>33</v>
      </c>
      <c r="F18" s="6"/>
      <c r="G18" s="7" t="s">
        <v>52</v>
      </c>
      <c r="H18" s="7"/>
      <c r="I18" s="7"/>
      <c r="J18" s="3" t="s">
        <v>35</v>
      </c>
      <c r="K18" s="4" t="s">
        <v>53</v>
      </c>
      <c r="L18" s="4" t="s">
        <v>37</v>
      </c>
      <c r="N18" s="7" t="s">
        <v>54</v>
      </c>
      <c r="O18" s="7"/>
      <c r="P18" s="7" t="s">
        <v>55</v>
      </c>
      <c r="Q18" s="7"/>
      <c r="R18" s="7"/>
      <c r="S18" s="3" t="s">
        <v>40</v>
      </c>
      <c r="T18" s="7" t="s">
        <v>41</v>
      </c>
      <c r="U18" s="7"/>
      <c r="V18" s="4" t="s">
        <v>42</v>
      </c>
      <c r="W18" s="4" t="s">
        <v>56</v>
      </c>
      <c r="X18" s="4" t="s">
        <v>57</v>
      </c>
      <c r="Y18" s="7" t="s">
        <v>58</v>
      </c>
      <c r="Z18" s="7"/>
      <c r="AA18" s="4" t="s">
        <v>46</v>
      </c>
      <c r="AB18" s="4" t="s">
        <v>47</v>
      </c>
      <c r="AC18" s="4" t="s">
        <v>59</v>
      </c>
      <c r="AD18" s="4" t="s">
        <v>60</v>
      </c>
      <c r="AE18" s="4" t="s">
        <v>50</v>
      </c>
      <c r="AF18" s="4" t="s">
        <v>41</v>
      </c>
      <c r="AG18" s="4" t="s">
        <v>61</v>
      </c>
    </row>
    <row r="19" spans="1:33" ht="16.5" customHeight="1" x14ac:dyDescent="0.15">
      <c r="A19" s="2" t="s">
        <v>31</v>
      </c>
      <c r="B19" s="5" t="s">
        <v>32</v>
      </c>
      <c r="C19" s="5"/>
      <c r="D19" s="5"/>
      <c r="E19" s="6" t="s">
        <v>33</v>
      </c>
      <c r="F19" s="6"/>
      <c r="G19" s="7" t="s">
        <v>52</v>
      </c>
      <c r="H19" s="7"/>
      <c r="I19" s="7"/>
      <c r="J19" s="3" t="s">
        <v>35</v>
      </c>
      <c r="K19" s="4" t="s">
        <v>62</v>
      </c>
      <c r="L19" s="4" t="s">
        <v>63</v>
      </c>
      <c r="N19" s="7" t="s">
        <v>64</v>
      </c>
      <c r="O19" s="7"/>
      <c r="P19" s="7" t="s">
        <v>65</v>
      </c>
      <c r="Q19" s="7"/>
      <c r="R19" s="7"/>
      <c r="S19" s="3" t="s">
        <v>40</v>
      </c>
      <c r="T19" s="7" t="s">
        <v>41</v>
      </c>
      <c r="U19" s="7"/>
      <c r="V19" s="4" t="s">
        <v>42</v>
      </c>
      <c r="W19" s="4" t="s">
        <v>43</v>
      </c>
      <c r="X19" s="4" t="s">
        <v>44</v>
      </c>
      <c r="Y19" s="7" t="s">
        <v>45</v>
      </c>
      <c r="Z19" s="7"/>
      <c r="AA19" s="4" t="s">
        <v>46</v>
      </c>
      <c r="AB19" s="4" t="s">
        <v>47</v>
      </c>
      <c r="AC19" s="4" t="s">
        <v>48</v>
      </c>
      <c r="AD19" s="4" t="s">
        <v>66</v>
      </c>
      <c r="AE19" s="4" t="s">
        <v>50</v>
      </c>
      <c r="AF19" s="4" t="s">
        <v>41</v>
      </c>
      <c r="AG19" s="4" t="s">
        <v>61</v>
      </c>
    </row>
    <row r="20" spans="1:33" ht="16.5" customHeight="1" x14ac:dyDescent="0.15">
      <c r="A20" s="2" t="s">
        <v>31</v>
      </c>
      <c r="B20" s="5" t="s">
        <v>32</v>
      </c>
      <c r="C20" s="5"/>
      <c r="D20" s="5"/>
      <c r="E20" s="6" t="s">
        <v>33</v>
      </c>
      <c r="F20" s="6"/>
      <c r="G20" s="7" t="s">
        <v>52</v>
      </c>
      <c r="H20" s="7"/>
      <c r="I20" s="7"/>
      <c r="J20" s="3" t="s">
        <v>35</v>
      </c>
      <c r="K20" s="4" t="s">
        <v>53</v>
      </c>
      <c r="L20" s="4" t="s">
        <v>67</v>
      </c>
      <c r="N20" s="7" t="s">
        <v>68</v>
      </c>
      <c r="O20" s="7"/>
      <c r="P20" s="7" t="s">
        <v>69</v>
      </c>
      <c r="Q20" s="7"/>
      <c r="R20" s="7"/>
      <c r="S20" s="3" t="s">
        <v>40</v>
      </c>
      <c r="T20" s="7" t="s">
        <v>41</v>
      </c>
      <c r="U20" s="7"/>
      <c r="V20" s="4" t="s">
        <v>42</v>
      </c>
      <c r="W20" s="4" t="s">
        <v>70</v>
      </c>
      <c r="X20" s="4" t="s">
        <v>71</v>
      </c>
      <c r="Y20" s="7" t="s">
        <v>58</v>
      </c>
      <c r="Z20" s="7"/>
      <c r="AA20" s="4" t="s">
        <v>46</v>
      </c>
      <c r="AB20" s="4" t="s">
        <v>47</v>
      </c>
      <c r="AC20" s="4" t="s">
        <v>72</v>
      </c>
      <c r="AD20" s="4" t="s">
        <v>41</v>
      </c>
      <c r="AE20" s="4" t="s">
        <v>50</v>
      </c>
      <c r="AF20" s="4" t="s">
        <v>41</v>
      </c>
      <c r="AG20" s="4" t="s">
        <v>61</v>
      </c>
    </row>
    <row r="21" spans="1:33" ht="16.5" customHeight="1" x14ac:dyDescent="0.15">
      <c r="A21" s="2" t="s">
        <v>31</v>
      </c>
      <c r="B21" s="5" t="s">
        <v>32</v>
      </c>
      <c r="C21" s="5"/>
      <c r="D21" s="5"/>
      <c r="E21" s="6" t="s">
        <v>33</v>
      </c>
      <c r="F21" s="6"/>
      <c r="G21" s="7" t="s">
        <v>52</v>
      </c>
      <c r="H21" s="7"/>
      <c r="I21" s="7"/>
      <c r="J21" s="3" t="s">
        <v>35</v>
      </c>
      <c r="K21" s="4" t="s">
        <v>73</v>
      </c>
      <c r="L21" s="4" t="s">
        <v>74</v>
      </c>
      <c r="N21" s="7" t="s">
        <v>75</v>
      </c>
      <c r="O21" s="7"/>
      <c r="P21" s="7" t="s">
        <v>76</v>
      </c>
      <c r="Q21" s="7"/>
      <c r="R21" s="7"/>
      <c r="S21" s="3" t="s">
        <v>40</v>
      </c>
      <c r="T21" s="7" t="s">
        <v>41</v>
      </c>
      <c r="U21" s="7"/>
      <c r="V21" s="4" t="s">
        <v>42</v>
      </c>
      <c r="W21" s="4" t="s">
        <v>77</v>
      </c>
      <c r="X21" s="4" t="s">
        <v>78</v>
      </c>
      <c r="Y21" s="7" t="s">
        <v>58</v>
      </c>
      <c r="Z21" s="7"/>
      <c r="AA21" s="4" t="s">
        <v>46</v>
      </c>
      <c r="AB21" s="4" t="s">
        <v>47</v>
      </c>
      <c r="AC21" s="4" t="s">
        <v>59</v>
      </c>
      <c r="AD21" s="4" t="s">
        <v>79</v>
      </c>
      <c r="AE21" s="4" t="s">
        <v>50</v>
      </c>
      <c r="AF21" s="4" t="s">
        <v>41</v>
      </c>
      <c r="AG21" s="4" t="s">
        <v>61</v>
      </c>
    </row>
    <row r="22" spans="1:33" ht="16.5" customHeight="1" x14ac:dyDescent="0.15">
      <c r="A22" s="2" t="s">
        <v>31</v>
      </c>
      <c r="B22" s="5" t="s">
        <v>32</v>
      </c>
      <c r="C22" s="5"/>
      <c r="D22" s="5"/>
      <c r="E22" s="6" t="s">
        <v>33</v>
      </c>
      <c r="F22" s="6"/>
      <c r="G22" s="7" t="s">
        <v>52</v>
      </c>
      <c r="H22" s="7"/>
      <c r="I22" s="7"/>
      <c r="J22" s="3" t="s">
        <v>35</v>
      </c>
      <c r="K22" s="4" t="s">
        <v>80</v>
      </c>
      <c r="L22" s="4" t="s">
        <v>37</v>
      </c>
      <c r="N22" s="7" t="s">
        <v>81</v>
      </c>
      <c r="O22" s="7"/>
      <c r="P22" s="7" t="s">
        <v>82</v>
      </c>
      <c r="Q22" s="7"/>
      <c r="R22" s="7"/>
      <c r="S22" s="3" t="s">
        <v>40</v>
      </c>
      <c r="T22" s="7" t="s">
        <v>41</v>
      </c>
      <c r="U22" s="7"/>
      <c r="V22" s="4" t="s">
        <v>42</v>
      </c>
      <c r="W22" s="4" t="s">
        <v>83</v>
      </c>
      <c r="X22" s="4" t="s">
        <v>84</v>
      </c>
      <c r="Y22" s="7" t="s">
        <v>58</v>
      </c>
      <c r="Z22" s="7"/>
      <c r="AA22" s="4" t="s">
        <v>46</v>
      </c>
      <c r="AB22" s="4" t="s">
        <v>47</v>
      </c>
      <c r="AC22" s="4" t="s">
        <v>59</v>
      </c>
      <c r="AD22" s="4" t="s">
        <v>60</v>
      </c>
      <c r="AE22" s="4" t="s">
        <v>50</v>
      </c>
      <c r="AF22" s="4" t="s">
        <v>41</v>
      </c>
      <c r="AG22" s="4" t="s">
        <v>61</v>
      </c>
    </row>
    <row r="23" spans="1:33" ht="16.5" customHeight="1" x14ac:dyDescent="0.15">
      <c r="A23" s="2" t="s">
        <v>31</v>
      </c>
      <c r="B23" s="5" t="s">
        <v>32</v>
      </c>
      <c r="C23" s="5"/>
      <c r="D23" s="5"/>
      <c r="E23" s="6" t="s">
        <v>33</v>
      </c>
      <c r="F23" s="6"/>
      <c r="G23" s="7" t="s">
        <v>52</v>
      </c>
      <c r="H23" s="7"/>
      <c r="I23" s="7"/>
      <c r="J23" s="3" t="s">
        <v>35</v>
      </c>
      <c r="K23" s="4" t="s">
        <v>73</v>
      </c>
      <c r="L23" s="4" t="s">
        <v>74</v>
      </c>
      <c r="N23" s="7" t="s">
        <v>85</v>
      </c>
      <c r="O23" s="7"/>
      <c r="P23" s="7" t="s">
        <v>86</v>
      </c>
      <c r="Q23" s="7"/>
      <c r="R23" s="7"/>
      <c r="S23" s="3" t="s">
        <v>40</v>
      </c>
      <c r="T23" s="7" t="s">
        <v>41</v>
      </c>
      <c r="U23" s="7"/>
      <c r="V23" s="4" t="s">
        <v>42</v>
      </c>
      <c r="W23" s="4" t="s">
        <v>87</v>
      </c>
      <c r="X23" s="4" t="s">
        <v>88</v>
      </c>
      <c r="Y23" s="7" t="s">
        <v>58</v>
      </c>
      <c r="Z23" s="7"/>
      <c r="AA23" s="4" t="s">
        <v>46</v>
      </c>
      <c r="AB23" s="4" t="s">
        <v>47</v>
      </c>
      <c r="AC23" s="4" t="s">
        <v>59</v>
      </c>
      <c r="AD23" s="4" t="s">
        <v>79</v>
      </c>
      <c r="AE23" s="4" t="s">
        <v>50</v>
      </c>
      <c r="AF23" s="4" t="s">
        <v>41</v>
      </c>
      <c r="AG23" s="4" t="s">
        <v>61</v>
      </c>
    </row>
    <row r="24" spans="1:33" ht="16.5" customHeight="1" x14ac:dyDescent="0.15">
      <c r="A24" s="2" t="s">
        <v>31</v>
      </c>
      <c r="B24" s="5" t="s">
        <v>32</v>
      </c>
      <c r="C24" s="5"/>
      <c r="D24" s="5"/>
      <c r="E24" s="6" t="s">
        <v>33</v>
      </c>
      <c r="F24" s="6"/>
      <c r="G24" s="7" t="s">
        <v>52</v>
      </c>
      <c r="H24" s="7"/>
      <c r="I24" s="7"/>
      <c r="J24" s="3" t="s">
        <v>35</v>
      </c>
      <c r="K24" s="4" t="s">
        <v>80</v>
      </c>
      <c r="L24" s="4" t="s">
        <v>37</v>
      </c>
      <c r="N24" s="7" t="s">
        <v>89</v>
      </c>
      <c r="O24" s="7"/>
      <c r="P24" s="7" t="s">
        <v>90</v>
      </c>
      <c r="Q24" s="7"/>
      <c r="R24" s="7"/>
      <c r="S24" s="3" t="s">
        <v>40</v>
      </c>
      <c r="T24" s="7" t="s">
        <v>41</v>
      </c>
      <c r="U24" s="7"/>
      <c r="V24" s="4" t="s">
        <v>42</v>
      </c>
      <c r="W24" s="4" t="s">
        <v>70</v>
      </c>
      <c r="X24" s="4" t="s">
        <v>71</v>
      </c>
      <c r="Y24" s="7" t="s">
        <v>58</v>
      </c>
      <c r="Z24" s="7"/>
      <c r="AA24" s="4" t="s">
        <v>46</v>
      </c>
      <c r="AB24" s="4" t="s">
        <v>47</v>
      </c>
      <c r="AC24" s="4" t="s">
        <v>59</v>
      </c>
      <c r="AD24" s="4" t="s">
        <v>60</v>
      </c>
      <c r="AE24" s="4" t="s">
        <v>50</v>
      </c>
      <c r="AF24" s="4" t="s">
        <v>41</v>
      </c>
      <c r="AG24" s="4" t="s">
        <v>61</v>
      </c>
    </row>
    <row r="25" spans="1:33" ht="16.5" customHeight="1" x14ac:dyDescent="0.15">
      <c r="A25" s="2" t="s">
        <v>31</v>
      </c>
      <c r="B25" s="5" t="s">
        <v>32</v>
      </c>
      <c r="C25" s="5"/>
      <c r="D25" s="5"/>
      <c r="E25" s="6" t="s">
        <v>33</v>
      </c>
      <c r="F25" s="6"/>
      <c r="G25" s="7" t="s">
        <v>52</v>
      </c>
      <c r="H25" s="7"/>
      <c r="I25" s="7"/>
      <c r="J25" s="3" t="s">
        <v>35</v>
      </c>
      <c r="K25" s="4" t="s">
        <v>91</v>
      </c>
      <c r="L25" s="4" t="s">
        <v>37</v>
      </c>
      <c r="N25" s="7" t="s">
        <v>92</v>
      </c>
      <c r="O25" s="7"/>
      <c r="P25" s="7" t="s">
        <v>93</v>
      </c>
      <c r="Q25" s="7"/>
      <c r="R25" s="7"/>
      <c r="S25" s="3" t="s">
        <v>40</v>
      </c>
      <c r="T25" s="7" t="s">
        <v>41</v>
      </c>
      <c r="U25" s="7"/>
      <c r="V25" s="4" t="s">
        <v>42</v>
      </c>
      <c r="W25" s="4" t="s">
        <v>94</v>
      </c>
      <c r="X25" s="4" t="s">
        <v>95</v>
      </c>
      <c r="Y25" s="7" t="s">
        <v>58</v>
      </c>
      <c r="Z25" s="7"/>
      <c r="AA25" s="4" t="s">
        <v>46</v>
      </c>
      <c r="AB25" s="4" t="s">
        <v>47</v>
      </c>
      <c r="AC25" s="4" t="s">
        <v>59</v>
      </c>
      <c r="AD25" s="4" t="s">
        <v>60</v>
      </c>
      <c r="AE25" s="4" t="s">
        <v>50</v>
      </c>
      <c r="AF25" s="4" t="s">
        <v>41</v>
      </c>
      <c r="AG25" s="4" t="s">
        <v>61</v>
      </c>
    </row>
    <row r="26" spans="1:33" ht="16.5" customHeight="1" x14ac:dyDescent="0.15">
      <c r="A26" s="2" t="s">
        <v>31</v>
      </c>
      <c r="B26" s="5" t="s">
        <v>32</v>
      </c>
      <c r="C26" s="5"/>
      <c r="D26" s="5"/>
      <c r="E26" s="6" t="s">
        <v>33</v>
      </c>
      <c r="F26" s="6"/>
      <c r="G26" s="7" t="s">
        <v>52</v>
      </c>
      <c r="H26" s="7"/>
      <c r="I26" s="7"/>
      <c r="J26" s="3" t="s">
        <v>35</v>
      </c>
      <c r="K26" s="4" t="s">
        <v>91</v>
      </c>
      <c r="L26" s="4" t="s">
        <v>74</v>
      </c>
      <c r="N26" s="7" t="s">
        <v>96</v>
      </c>
      <c r="O26" s="7"/>
      <c r="P26" s="7" t="s">
        <v>97</v>
      </c>
      <c r="Q26" s="7"/>
      <c r="R26" s="7"/>
      <c r="S26" s="3" t="s">
        <v>40</v>
      </c>
      <c r="T26" s="7" t="s">
        <v>41</v>
      </c>
      <c r="U26" s="7"/>
      <c r="V26" s="4" t="s">
        <v>42</v>
      </c>
      <c r="W26" s="4" t="s">
        <v>98</v>
      </c>
      <c r="X26" s="4" t="s">
        <v>99</v>
      </c>
      <c r="Y26" s="7" t="s">
        <v>58</v>
      </c>
      <c r="Z26" s="7"/>
      <c r="AA26" s="4" t="s">
        <v>46</v>
      </c>
      <c r="AB26" s="4" t="s">
        <v>47</v>
      </c>
      <c r="AC26" s="4" t="s">
        <v>59</v>
      </c>
      <c r="AD26" s="4" t="s">
        <v>79</v>
      </c>
      <c r="AE26" s="4" t="s">
        <v>50</v>
      </c>
      <c r="AF26" s="4" t="s">
        <v>41</v>
      </c>
      <c r="AG26" s="4" t="s">
        <v>61</v>
      </c>
    </row>
    <row r="27" spans="1:33" ht="16.5" customHeight="1" x14ac:dyDescent="0.15">
      <c r="A27" s="2" t="s">
        <v>31</v>
      </c>
      <c r="B27" s="5" t="s">
        <v>32</v>
      </c>
      <c r="C27" s="5"/>
      <c r="D27" s="5"/>
      <c r="E27" s="6" t="s">
        <v>33</v>
      </c>
      <c r="F27" s="6"/>
      <c r="G27" s="7" t="s">
        <v>52</v>
      </c>
      <c r="H27" s="7"/>
      <c r="I27" s="7"/>
      <c r="J27" s="3" t="s">
        <v>35</v>
      </c>
      <c r="K27" s="4" t="s">
        <v>53</v>
      </c>
      <c r="L27" s="4" t="s">
        <v>37</v>
      </c>
      <c r="N27" s="7" t="s">
        <v>100</v>
      </c>
      <c r="O27" s="7"/>
      <c r="P27" s="7" t="s">
        <v>101</v>
      </c>
      <c r="Q27" s="7"/>
      <c r="R27" s="7"/>
      <c r="S27" s="3" t="s">
        <v>40</v>
      </c>
      <c r="T27" s="7" t="s">
        <v>41</v>
      </c>
      <c r="U27" s="7"/>
      <c r="V27" s="4" t="s">
        <v>42</v>
      </c>
      <c r="W27" s="4" t="s">
        <v>102</v>
      </c>
      <c r="X27" s="4" t="s">
        <v>103</v>
      </c>
      <c r="Y27" s="7" t="s">
        <v>58</v>
      </c>
      <c r="Z27" s="7"/>
      <c r="AA27" s="4" t="s">
        <v>46</v>
      </c>
      <c r="AB27" s="4" t="s">
        <v>47</v>
      </c>
      <c r="AC27" s="4" t="s">
        <v>59</v>
      </c>
      <c r="AD27" s="4" t="s">
        <v>60</v>
      </c>
      <c r="AE27" s="4" t="s">
        <v>50</v>
      </c>
      <c r="AF27" s="4" t="s">
        <v>41</v>
      </c>
      <c r="AG27" s="4" t="s">
        <v>61</v>
      </c>
    </row>
    <row r="28" spans="1:33" ht="16.5" customHeight="1" x14ac:dyDescent="0.15">
      <c r="A28" s="2" t="s">
        <v>31</v>
      </c>
      <c r="B28" s="5" t="s">
        <v>32</v>
      </c>
      <c r="C28" s="5"/>
      <c r="D28" s="5"/>
      <c r="E28" s="6" t="s">
        <v>33</v>
      </c>
      <c r="F28" s="6"/>
      <c r="G28" s="7" t="s">
        <v>52</v>
      </c>
      <c r="H28" s="7"/>
      <c r="I28" s="7"/>
      <c r="J28" s="3" t="s">
        <v>35</v>
      </c>
      <c r="K28" s="4" t="s">
        <v>104</v>
      </c>
      <c r="L28" s="4" t="s">
        <v>74</v>
      </c>
      <c r="N28" s="7" t="s">
        <v>105</v>
      </c>
      <c r="O28" s="7"/>
      <c r="P28" s="7" t="s">
        <v>106</v>
      </c>
      <c r="Q28" s="7"/>
      <c r="R28" s="7"/>
      <c r="S28" s="3" t="s">
        <v>40</v>
      </c>
      <c r="T28" s="7" t="s">
        <v>41</v>
      </c>
      <c r="U28" s="7"/>
      <c r="V28" s="4" t="s">
        <v>42</v>
      </c>
      <c r="W28" s="4" t="s">
        <v>98</v>
      </c>
      <c r="X28" s="4" t="s">
        <v>99</v>
      </c>
      <c r="Y28" s="7" t="s">
        <v>58</v>
      </c>
      <c r="Z28" s="7"/>
      <c r="AA28" s="4" t="s">
        <v>46</v>
      </c>
      <c r="AB28" s="4" t="s">
        <v>47</v>
      </c>
      <c r="AC28" s="4" t="s">
        <v>59</v>
      </c>
      <c r="AD28" s="4" t="s">
        <v>79</v>
      </c>
      <c r="AE28" s="4" t="s">
        <v>50</v>
      </c>
      <c r="AF28" s="4" t="s">
        <v>41</v>
      </c>
      <c r="AG28" s="4" t="s">
        <v>61</v>
      </c>
    </row>
    <row r="29" spans="1:33" ht="16.5" customHeight="1" x14ac:dyDescent="0.15">
      <c r="A29" s="2" t="s">
        <v>31</v>
      </c>
      <c r="B29" s="5" t="s">
        <v>32</v>
      </c>
      <c r="C29" s="5"/>
      <c r="D29" s="5"/>
      <c r="E29" s="6" t="s">
        <v>33</v>
      </c>
      <c r="F29" s="6"/>
      <c r="G29" s="7" t="s">
        <v>52</v>
      </c>
      <c r="H29" s="7"/>
      <c r="I29" s="7"/>
      <c r="J29" s="3" t="s">
        <v>35</v>
      </c>
      <c r="K29" s="4" t="s">
        <v>107</v>
      </c>
      <c r="L29" s="4" t="s">
        <v>37</v>
      </c>
      <c r="N29" s="7" t="s">
        <v>108</v>
      </c>
      <c r="O29" s="7"/>
      <c r="P29" s="7" t="s">
        <v>109</v>
      </c>
      <c r="Q29" s="7"/>
      <c r="R29" s="7"/>
      <c r="S29" s="3" t="s">
        <v>40</v>
      </c>
      <c r="T29" s="7" t="s">
        <v>41</v>
      </c>
      <c r="U29" s="7"/>
      <c r="V29" s="4" t="s">
        <v>42</v>
      </c>
      <c r="W29" s="4" t="s">
        <v>98</v>
      </c>
      <c r="X29" s="4" t="s">
        <v>99</v>
      </c>
      <c r="Y29" s="7" t="s">
        <v>58</v>
      </c>
      <c r="Z29" s="7"/>
      <c r="AA29" s="4" t="s">
        <v>46</v>
      </c>
      <c r="AB29" s="4" t="s">
        <v>47</v>
      </c>
      <c r="AC29" s="4" t="s">
        <v>59</v>
      </c>
      <c r="AD29" s="4" t="s">
        <v>60</v>
      </c>
      <c r="AE29" s="4" t="s">
        <v>50</v>
      </c>
      <c r="AF29" s="4" t="s">
        <v>41</v>
      </c>
      <c r="AG29" s="4" t="s">
        <v>61</v>
      </c>
    </row>
    <row r="30" spans="1:33" ht="16.5" customHeight="1" x14ac:dyDescent="0.15">
      <c r="A30" s="2" t="s">
        <v>31</v>
      </c>
      <c r="B30" s="5" t="s">
        <v>32</v>
      </c>
      <c r="C30" s="5"/>
      <c r="D30" s="5"/>
      <c r="E30" s="6" t="s">
        <v>33</v>
      </c>
      <c r="F30" s="6"/>
      <c r="G30" s="7" t="s">
        <v>52</v>
      </c>
      <c r="H30" s="7"/>
      <c r="I30" s="7"/>
      <c r="J30" s="3" t="s">
        <v>35</v>
      </c>
      <c r="K30" s="4" t="s">
        <v>107</v>
      </c>
      <c r="L30" s="4" t="s">
        <v>37</v>
      </c>
      <c r="N30" s="7" t="s">
        <v>110</v>
      </c>
      <c r="O30" s="7"/>
      <c r="P30" s="7" t="s">
        <v>111</v>
      </c>
      <c r="Q30" s="7"/>
      <c r="R30" s="7"/>
      <c r="S30" s="3" t="s">
        <v>40</v>
      </c>
      <c r="T30" s="7" t="s">
        <v>41</v>
      </c>
      <c r="U30" s="7"/>
      <c r="V30" s="4" t="s">
        <v>42</v>
      </c>
      <c r="W30" s="4" t="s">
        <v>98</v>
      </c>
      <c r="X30" s="4" t="s">
        <v>99</v>
      </c>
      <c r="Y30" s="7" t="s">
        <v>58</v>
      </c>
      <c r="Z30" s="7"/>
      <c r="AA30" s="4" t="s">
        <v>46</v>
      </c>
      <c r="AB30" s="4" t="s">
        <v>47</v>
      </c>
      <c r="AC30" s="4" t="s">
        <v>59</v>
      </c>
      <c r="AD30" s="4" t="s">
        <v>60</v>
      </c>
      <c r="AE30" s="4" t="s">
        <v>50</v>
      </c>
      <c r="AF30" s="4" t="s">
        <v>41</v>
      </c>
      <c r="AG30" s="4" t="s">
        <v>61</v>
      </c>
    </row>
    <row r="31" spans="1:33" ht="16.5" customHeight="1" x14ac:dyDescent="0.15">
      <c r="A31" s="2" t="s">
        <v>31</v>
      </c>
      <c r="B31" s="5" t="s">
        <v>32</v>
      </c>
      <c r="C31" s="5"/>
      <c r="D31" s="5"/>
      <c r="E31" s="6" t="s">
        <v>33</v>
      </c>
      <c r="F31" s="6"/>
      <c r="G31" s="7" t="s">
        <v>52</v>
      </c>
      <c r="H31" s="7"/>
      <c r="I31" s="7"/>
      <c r="J31" s="3" t="s">
        <v>35</v>
      </c>
      <c r="K31" s="4" t="s">
        <v>73</v>
      </c>
      <c r="L31" s="4" t="s">
        <v>37</v>
      </c>
      <c r="N31" s="7" t="s">
        <v>112</v>
      </c>
      <c r="O31" s="7"/>
      <c r="P31" s="7" t="s">
        <v>113</v>
      </c>
      <c r="Q31" s="7"/>
      <c r="R31" s="7"/>
      <c r="S31" s="3" t="s">
        <v>40</v>
      </c>
      <c r="T31" s="7" t="s">
        <v>41</v>
      </c>
      <c r="U31" s="7"/>
      <c r="V31" s="4" t="s">
        <v>42</v>
      </c>
      <c r="W31" s="4" t="s">
        <v>114</v>
      </c>
      <c r="X31" s="4" t="s">
        <v>115</v>
      </c>
      <c r="Y31" s="7" t="s">
        <v>58</v>
      </c>
      <c r="Z31" s="7"/>
      <c r="AA31" s="4" t="s">
        <v>46</v>
      </c>
      <c r="AB31" s="4" t="s">
        <v>47</v>
      </c>
      <c r="AC31" s="4" t="s">
        <v>59</v>
      </c>
      <c r="AD31" s="4" t="s">
        <v>60</v>
      </c>
      <c r="AE31" s="4" t="s">
        <v>50</v>
      </c>
      <c r="AF31" s="4" t="s">
        <v>41</v>
      </c>
      <c r="AG31" s="4" t="s">
        <v>61</v>
      </c>
    </row>
    <row r="32" spans="1:33" ht="16.5" customHeight="1" x14ac:dyDescent="0.15">
      <c r="A32" s="2" t="s">
        <v>31</v>
      </c>
      <c r="B32" s="5" t="s">
        <v>32</v>
      </c>
      <c r="C32" s="5"/>
      <c r="D32" s="5"/>
      <c r="E32" s="6" t="s">
        <v>33</v>
      </c>
      <c r="F32" s="6"/>
      <c r="G32" s="7" t="s">
        <v>52</v>
      </c>
      <c r="H32" s="7"/>
      <c r="I32" s="7"/>
      <c r="J32" s="3" t="s">
        <v>35</v>
      </c>
      <c r="K32" s="4" t="s">
        <v>73</v>
      </c>
      <c r="L32" s="4" t="s">
        <v>116</v>
      </c>
      <c r="N32" s="7" t="s">
        <v>117</v>
      </c>
      <c r="O32" s="7"/>
      <c r="P32" s="7" t="s">
        <v>118</v>
      </c>
      <c r="Q32" s="7"/>
      <c r="R32" s="7"/>
      <c r="S32" s="3" t="s">
        <v>40</v>
      </c>
      <c r="T32" s="7" t="s">
        <v>41</v>
      </c>
      <c r="U32" s="7"/>
      <c r="V32" s="4" t="s">
        <v>42</v>
      </c>
      <c r="W32" s="4" t="s">
        <v>119</v>
      </c>
      <c r="X32" s="4" t="s">
        <v>120</v>
      </c>
      <c r="Y32" s="7" t="s">
        <v>58</v>
      </c>
      <c r="Z32" s="7"/>
      <c r="AA32" s="4" t="s">
        <v>46</v>
      </c>
      <c r="AB32" s="4" t="s">
        <v>47</v>
      </c>
      <c r="AC32" s="4" t="s">
        <v>59</v>
      </c>
      <c r="AD32" s="4" t="s">
        <v>121</v>
      </c>
      <c r="AE32" s="4" t="s">
        <v>50</v>
      </c>
      <c r="AF32" s="4" t="s">
        <v>41</v>
      </c>
      <c r="AG32" s="4" t="s">
        <v>61</v>
      </c>
    </row>
    <row r="33" spans="1:33" ht="16.5" customHeight="1" x14ac:dyDescent="0.15">
      <c r="A33" s="2" t="s">
        <v>31</v>
      </c>
      <c r="B33" s="5" t="s">
        <v>32</v>
      </c>
      <c r="C33" s="5"/>
      <c r="D33" s="5"/>
      <c r="E33" s="6" t="s">
        <v>33</v>
      </c>
      <c r="F33" s="6"/>
      <c r="G33" s="7" t="s">
        <v>52</v>
      </c>
      <c r="H33" s="7"/>
      <c r="I33" s="7"/>
      <c r="J33" s="3" t="s">
        <v>35</v>
      </c>
      <c r="K33" s="4" t="s">
        <v>73</v>
      </c>
      <c r="L33" s="4" t="s">
        <v>37</v>
      </c>
      <c r="N33" s="7" t="s">
        <v>122</v>
      </c>
      <c r="O33" s="7"/>
      <c r="P33" s="7" t="s">
        <v>123</v>
      </c>
      <c r="Q33" s="7"/>
      <c r="R33" s="7"/>
      <c r="S33" s="3" t="s">
        <v>40</v>
      </c>
      <c r="T33" s="7" t="s">
        <v>41</v>
      </c>
      <c r="U33" s="7"/>
      <c r="V33" s="4" t="s">
        <v>42</v>
      </c>
      <c r="W33" s="4" t="s">
        <v>70</v>
      </c>
      <c r="X33" s="4" t="s">
        <v>71</v>
      </c>
      <c r="Y33" s="7" t="s">
        <v>58</v>
      </c>
      <c r="Z33" s="7"/>
      <c r="AA33" s="4" t="s">
        <v>46</v>
      </c>
      <c r="AB33" s="4" t="s">
        <v>47</v>
      </c>
      <c r="AC33" s="4" t="s">
        <v>59</v>
      </c>
      <c r="AD33" s="4" t="s">
        <v>60</v>
      </c>
      <c r="AE33" s="4" t="s">
        <v>50</v>
      </c>
      <c r="AF33" s="4" t="s">
        <v>41</v>
      </c>
      <c r="AG33" s="4" t="s">
        <v>61</v>
      </c>
    </row>
    <row r="34" spans="1:33" ht="16.5" customHeight="1" x14ac:dyDescent="0.15">
      <c r="A34" s="2" t="s">
        <v>31</v>
      </c>
      <c r="B34" s="5" t="s">
        <v>32</v>
      </c>
      <c r="C34" s="5"/>
      <c r="D34" s="5"/>
      <c r="E34" s="6" t="s">
        <v>33</v>
      </c>
      <c r="F34" s="6"/>
      <c r="G34" s="7" t="s">
        <v>52</v>
      </c>
      <c r="H34" s="7"/>
      <c r="I34" s="7"/>
      <c r="J34" s="3" t="s">
        <v>35</v>
      </c>
      <c r="K34" s="4" t="s">
        <v>91</v>
      </c>
      <c r="L34" s="4" t="s">
        <v>37</v>
      </c>
      <c r="N34" s="7" t="s">
        <v>124</v>
      </c>
      <c r="O34" s="7"/>
      <c r="P34" s="7" t="s">
        <v>125</v>
      </c>
      <c r="Q34" s="7"/>
      <c r="R34" s="7"/>
      <c r="S34" s="3" t="s">
        <v>40</v>
      </c>
      <c r="T34" s="7" t="s">
        <v>41</v>
      </c>
      <c r="U34" s="7"/>
      <c r="V34" s="4" t="s">
        <v>42</v>
      </c>
      <c r="W34" s="4" t="s">
        <v>70</v>
      </c>
      <c r="X34" s="4" t="s">
        <v>71</v>
      </c>
      <c r="Y34" s="7" t="s">
        <v>58</v>
      </c>
      <c r="Z34" s="7"/>
      <c r="AA34" s="4" t="s">
        <v>46</v>
      </c>
      <c r="AB34" s="4" t="s">
        <v>47</v>
      </c>
      <c r="AC34" s="4" t="s">
        <v>59</v>
      </c>
      <c r="AD34" s="4" t="s">
        <v>60</v>
      </c>
      <c r="AE34" s="4" t="s">
        <v>50</v>
      </c>
      <c r="AF34" s="4" t="s">
        <v>41</v>
      </c>
      <c r="AG34" s="4" t="s">
        <v>61</v>
      </c>
    </row>
    <row r="35" spans="1:33" ht="16.5" customHeight="1" x14ac:dyDescent="0.15">
      <c r="A35" s="2" t="s">
        <v>31</v>
      </c>
      <c r="B35" s="5" t="s">
        <v>32</v>
      </c>
      <c r="C35" s="5"/>
      <c r="D35" s="5"/>
      <c r="E35" s="6" t="s">
        <v>33</v>
      </c>
      <c r="F35" s="6"/>
      <c r="G35" s="7" t="s">
        <v>52</v>
      </c>
      <c r="H35" s="7"/>
      <c r="I35" s="7"/>
      <c r="J35" s="3" t="s">
        <v>35</v>
      </c>
      <c r="K35" s="4" t="s">
        <v>62</v>
      </c>
      <c r="L35" s="4" t="s">
        <v>67</v>
      </c>
      <c r="N35" s="7" t="s">
        <v>126</v>
      </c>
      <c r="O35" s="7"/>
      <c r="P35" s="7" t="s">
        <v>127</v>
      </c>
      <c r="Q35" s="7"/>
      <c r="R35" s="7"/>
      <c r="S35" s="3" t="s">
        <v>40</v>
      </c>
      <c r="T35" s="7" t="s">
        <v>41</v>
      </c>
      <c r="U35" s="7"/>
      <c r="V35" s="4" t="s">
        <v>42</v>
      </c>
      <c r="W35" s="4" t="s">
        <v>128</v>
      </c>
      <c r="X35" s="4" t="s">
        <v>129</v>
      </c>
      <c r="Y35" s="7" t="s">
        <v>45</v>
      </c>
      <c r="Z35" s="7"/>
      <c r="AA35" s="4" t="s">
        <v>46</v>
      </c>
      <c r="AB35" s="4" t="s">
        <v>47</v>
      </c>
      <c r="AC35" s="4" t="s">
        <v>48</v>
      </c>
      <c r="AD35" s="4" t="s">
        <v>130</v>
      </c>
      <c r="AE35" s="4" t="s">
        <v>50</v>
      </c>
      <c r="AF35" s="4" t="s">
        <v>41</v>
      </c>
      <c r="AG35" s="4" t="s">
        <v>61</v>
      </c>
    </row>
    <row r="36" spans="1:33" ht="16.5" customHeight="1" x14ac:dyDescent="0.15">
      <c r="A36" s="2" t="s">
        <v>31</v>
      </c>
      <c r="B36" s="5" t="s">
        <v>32</v>
      </c>
      <c r="C36" s="5"/>
      <c r="D36" s="5"/>
      <c r="E36" s="6" t="s">
        <v>33</v>
      </c>
      <c r="F36" s="6"/>
      <c r="G36" s="7" t="s">
        <v>52</v>
      </c>
      <c r="H36" s="7"/>
      <c r="I36" s="7"/>
      <c r="J36" s="3" t="s">
        <v>35</v>
      </c>
      <c r="K36" s="4" t="s">
        <v>53</v>
      </c>
      <c r="L36" s="4" t="s">
        <v>67</v>
      </c>
      <c r="N36" s="7" t="s">
        <v>131</v>
      </c>
      <c r="O36" s="7"/>
      <c r="P36" s="7" t="s">
        <v>132</v>
      </c>
      <c r="Q36" s="7"/>
      <c r="R36" s="7"/>
      <c r="S36" s="3" t="s">
        <v>40</v>
      </c>
      <c r="T36" s="7" t="s">
        <v>41</v>
      </c>
      <c r="U36" s="7"/>
      <c r="V36" s="4" t="s">
        <v>42</v>
      </c>
      <c r="W36" s="4" t="s">
        <v>133</v>
      </c>
      <c r="X36" s="4" t="s">
        <v>134</v>
      </c>
      <c r="Y36" s="7" t="s">
        <v>58</v>
      </c>
      <c r="Z36" s="7"/>
      <c r="AA36" s="4" t="s">
        <v>46</v>
      </c>
      <c r="AB36" s="4" t="s">
        <v>47</v>
      </c>
      <c r="AC36" s="4" t="s">
        <v>59</v>
      </c>
      <c r="AD36" s="4" t="s">
        <v>135</v>
      </c>
      <c r="AE36" s="4" t="s">
        <v>50</v>
      </c>
      <c r="AF36" s="4" t="s">
        <v>41</v>
      </c>
      <c r="AG36" s="4" t="s">
        <v>61</v>
      </c>
    </row>
    <row r="37" spans="1:33" ht="16.5" customHeight="1" x14ac:dyDescent="0.15">
      <c r="A37" s="2" t="s">
        <v>31</v>
      </c>
      <c r="B37" s="5" t="s">
        <v>32</v>
      </c>
      <c r="C37" s="5"/>
      <c r="D37" s="5"/>
      <c r="E37" s="6" t="s">
        <v>33</v>
      </c>
      <c r="F37" s="6"/>
      <c r="G37" s="7" t="s">
        <v>52</v>
      </c>
      <c r="H37" s="7"/>
      <c r="I37" s="7"/>
      <c r="J37" s="3" t="s">
        <v>35</v>
      </c>
      <c r="K37" s="4" t="s">
        <v>53</v>
      </c>
      <c r="L37" s="4" t="s">
        <v>74</v>
      </c>
      <c r="N37" s="7" t="s">
        <v>136</v>
      </c>
      <c r="O37" s="7"/>
      <c r="P37" s="7" t="s">
        <v>137</v>
      </c>
      <c r="Q37" s="7"/>
      <c r="R37" s="7"/>
      <c r="S37" s="3" t="s">
        <v>40</v>
      </c>
      <c r="T37" s="7" t="s">
        <v>41</v>
      </c>
      <c r="U37" s="7"/>
      <c r="V37" s="4" t="s">
        <v>42</v>
      </c>
      <c r="W37" s="4" t="s">
        <v>138</v>
      </c>
      <c r="X37" s="4" t="s">
        <v>139</v>
      </c>
      <c r="Y37" s="7" t="s">
        <v>58</v>
      </c>
      <c r="Z37" s="7"/>
      <c r="AA37" s="4" t="s">
        <v>46</v>
      </c>
      <c r="AB37" s="4" t="s">
        <v>47</v>
      </c>
      <c r="AC37" s="4" t="s">
        <v>59</v>
      </c>
      <c r="AD37" s="4" t="s">
        <v>79</v>
      </c>
      <c r="AE37" s="4" t="s">
        <v>50</v>
      </c>
      <c r="AF37" s="4" t="s">
        <v>41</v>
      </c>
      <c r="AG37" s="4" t="s">
        <v>61</v>
      </c>
    </row>
    <row r="38" spans="1:33" ht="16.5" customHeight="1" x14ac:dyDescent="0.15">
      <c r="A38" s="2" t="s">
        <v>31</v>
      </c>
      <c r="B38" s="5" t="s">
        <v>32</v>
      </c>
      <c r="C38" s="5"/>
      <c r="D38" s="5"/>
      <c r="E38" s="6" t="s">
        <v>33</v>
      </c>
      <c r="F38" s="6"/>
      <c r="G38" s="7" t="s">
        <v>52</v>
      </c>
      <c r="H38" s="7"/>
      <c r="I38" s="7"/>
      <c r="J38" s="3" t="s">
        <v>35</v>
      </c>
      <c r="K38" s="4" t="s">
        <v>53</v>
      </c>
      <c r="L38" s="4" t="s">
        <v>74</v>
      </c>
      <c r="N38" s="7" t="s">
        <v>140</v>
      </c>
      <c r="O38" s="7"/>
      <c r="P38" s="7" t="s">
        <v>141</v>
      </c>
      <c r="Q38" s="7"/>
      <c r="R38" s="7"/>
      <c r="S38" s="3" t="s">
        <v>40</v>
      </c>
      <c r="T38" s="7" t="s">
        <v>41</v>
      </c>
      <c r="U38" s="7"/>
      <c r="V38" s="4" t="s">
        <v>42</v>
      </c>
      <c r="W38" s="4" t="s">
        <v>142</v>
      </c>
      <c r="X38" s="4" t="s">
        <v>143</v>
      </c>
      <c r="Y38" s="7" t="s">
        <v>58</v>
      </c>
      <c r="Z38" s="7"/>
      <c r="AA38" s="4" t="s">
        <v>46</v>
      </c>
      <c r="AB38" s="4" t="s">
        <v>47</v>
      </c>
      <c r="AC38" s="4" t="s">
        <v>59</v>
      </c>
      <c r="AD38" s="4" t="s">
        <v>79</v>
      </c>
      <c r="AE38" s="4" t="s">
        <v>50</v>
      </c>
      <c r="AF38" s="4" t="s">
        <v>41</v>
      </c>
      <c r="AG38" s="4" t="s">
        <v>61</v>
      </c>
    </row>
    <row r="39" spans="1:33" ht="16.5" customHeight="1" x14ac:dyDescent="0.15">
      <c r="A39" s="2" t="s">
        <v>31</v>
      </c>
      <c r="B39" s="5" t="s">
        <v>32</v>
      </c>
      <c r="C39" s="5"/>
      <c r="D39" s="5"/>
      <c r="E39" s="6" t="s">
        <v>33</v>
      </c>
      <c r="F39" s="6"/>
      <c r="G39" s="7" t="s">
        <v>52</v>
      </c>
      <c r="H39" s="7"/>
      <c r="I39" s="7"/>
      <c r="J39" s="3" t="s">
        <v>35</v>
      </c>
      <c r="K39" s="4" t="s">
        <v>53</v>
      </c>
      <c r="L39" s="4" t="s">
        <v>74</v>
      </c>
      <c r="N39" s="7" t="s">
        <v>144</v>
      </c>
      <c r="O39" s="7"/>
      <c r="P39" s="7" t="s">
        <v>145</v>
      </c>
      <c r="Q39" s="7"/>
      <c r="R39" s="7"/>
      <c r="S39" s="3" t="s">
        <v>40</v>
      </c>
      <c r="T39" s="7" t="s">
        <v>41</v>
      </c>
      <c r="U39" s="7"/>
      <c r="V39" s="4" t="s">
        <v>42</v>
      </c>
      <c r="W39" s="4" t="s">
        <v>146</v>
      </c>
      <c r="X39" s="4" t="s">
        <v>147</v>
      </c>
      <c r="Y39" s="7" t="s">
        <v>58</v>
      </c>
      <c r="Z39" s="7"/>
      <c r="AA39" s="4" t="s">
        <v>46</v>
      </c>
      <c r="AB39" s="4" t="s">
        <v>47</v>
      </c>
      <c r="AC39" s="4" t="s">
        <v>59</v>
      </c>
      <c r="AD39" s="4" t="s">
        <v>79</v>
      </c>
      <c r="AE39" s="4" t="s">
        <v>50</v>
      </c>
      <c r="AF39" s="4" t="s">
        <v>41</v>
      </c>
      <c r="AG39" s="4" t="s">
        <v>61</v>
      </c>
    </row>
    <row r="40" spans="1:33" ht="16.5" customHeight="1" x14ac:dyDescent="0.15">
      <c r="A40" s="2" t="s">
        <v>31</v>
      </c>
      <c r="B40" s="5" t="s">
        <v>32</v>
      </c>
      <c r="C40" s="5"/>
      <c r="D40" s="5"/>
      <c r="E40" s="6" t="s">
        <v>33</v>
      </c>
      <c r="F40" s="6"/>
      <c r="G40" s="7" t="s">
        <v>52</v>
      </c>
      <c r="H40" s="7"/>
      <c r="I40" s="7"/>
      <c r="J40" s="3" t="s">
        <v>35</v>
      </c>
      <c r="K40" s="4" t="s">
        <v>73</v>
      </c>
      <c r="L40" s="4" t="s">
        <v>74</v>
      </c>
      <c r="N40" s="7" t="s">
        <v>148</v>
      </c>
      <c r="O40" s="7"/>
      <c r="P40" s="7" t="s">
        <v>149</v>
      </c>
      <c r="Q40" s="7"/>
      <c r="R40" s="7"/>
      <c r="S40" s="3" t="s">
        <v>40</v>
      </c>
      <c r="T40" s="7" t="s">
        <v>41</v>
      </c>
      <c r="U40" s="7"/>
      <c r="V40" s="4" t="s">
        <v>42</v>
      </c>
      <c r="W40" s="4" t="s">
        <v>77</v>
      </c>
      <c r="X40" s="4" t="s">
        <v>78</v>
      </c>
      <c r="Y40" s="7" t="s">
        <v>58</v>
      </c>
      <c r="Z40" s="7"/>
      <c r="AA40" s="4" t="s">
        <v>46</v>
      </c>
      <c r="AB40" s="4" t="s">
        <v>47</v>
      </c>
      <c r="AC40" s="4" t="s">
        <v>59</v>
      </c>
      <c r="AD40" s="4" t="s">
        <v>79</v>
      </c>
      <c r="AE40" s="4" t="s">
        <v>50</v>
      </c>
      <c r="AF40" s="4" t="s">
        <v>41</v>
      </c>
      <c r="AG40" s="4" t="s">
        <v>61</v>
      </c>
    </row>
    <row r="41" spans="1:33" ht="16.5" customHeight="1" x14ac:dyDescent="0.15">
      <c r="A41" s="2" t="s">
        <v>31</v>
      </c>
      <c r="B41" s="5" t="s">
        <v>32</v>
      </c>
      <c r="C41" s="5"/>
      <c r="D41" s="5"/>
      <c r="E41" s="6" t="s">
        <v>33</v>
      </c>
      <c r="F41" s="6"/>
      <c r="G41" s="7" t="s">
        <v>52</v>
      </c>
      <c r="H41" s="7"/>
      <c r="I41" s="7"/>
      <c r="J41" s="3" t="s">
        <v>35</v>
      </c>
      <c r="K41" s="4" t="s">
        <v>53</v>
      </c>
      <c r="L41" s="4" t="s">
        <v>37</v>
      </c>
      <c r="N41" s="7" t="s">
        <v>150</v>
      </c>
      <c r="O41" s="7"/>
      <c r="P41" s="7" t="s">
        <v>151</v>
      </c>
      <c r="Q41" s="7"/>
      <c r="R41" s="7"/>
      <c r="S41" s="3" t="s">
        <v>40</v>
      </c>
      <c r="T41" s="7" t="s">
        <v>41</v>
      </c>
      <c r="U41" s="7"/>
      <c r="V41" s="4" t="s">
        <v>42</v>
      </c>
      <c r="W41" s="4" t="s">
        <v>77</v>
      </c>
      <c r="X41" s="4" t="s">
        <v>78</v>
      </c>
      <c r="Y41" s="7" t="s">
        <v>58</v>
      </c>
      <c r="Z41" s="7"/>
      <c r="AA41" s="4" t="s">
        <v>46</v>
      </c>
      <c r="AB41" s="4" t="s">
        <v>47</v>
      </c>
      <c r="AC41" s="4" t="s">
        <v>59</v>
      </c>
      <c r="AD41" s="4" t="s">
        <v>60</v>
      </c>
      <c r="AE41" s="4" t="s">
        <v>50</v>
      </c>
      <c r="AF41" s="4" t="s">
        <v>41</v>
      </c>
      <c r="AG41" s="4" t="s">
        <v>61</v>
      </c>
    </row>
    <row r="42" spans="1:33" ht="16.5" customHeight="1" x14ac:dyDescent="0.15">
      <c r="A42" s="2" t="s">
        <v>31</v>
      </c>
      <c r="B42" s="5" t="s">
        <v>32</v>
      </c>
      <c r="C42" s="5"/>
      <c r="D42" s="5"/>
      <c r="E42" s="6" t="s">
        <v>33</v>
      </c>
      <c r="F42" s="6"/>
      <c r="G42" s="7" t="s">
        <v>52</v>
      </c>
      <c r="H42" s="7"/>
      <c r="I42" s="7"/>
      <c r="J42" s="3" t="s">
        <v>35</v>
      </c>
      <c r="K42" s="4" t="s">
        <v>73</v>
      </c>
      <c r="L42" s="4" t="s">
        <v>74</v>
      </c>
      <c r="N42" s="7" t="s">
        <v>152</v>
      </c>
      <c r="O42" s="7"/>
      <c r="P42" s="7" t="s">
        <v>153</v>
      </c>
      <c r="Q42" s="7"/>
      <c r="R42" s="7"/>
      <c r="S42" s="3" t="s">
        <v>40</v>
      </c>
      <c r="T42" s="7" t="s">
        <v>41</v>
      </c>
      <c r="U42" s="7"/>
      <c r="V42" s="4" t="s">
        <v>42</v>
      </c>
      <c r="W42" s="4" t="s">
        <v>77</v>
      </c>
      <c r="X42" s="4" t="s">
        <v>78</v>
      </c>
      <c r="Y42" s="7" t="s">
        <v>58</v>
      </c>
      <c r="Z42" s="7"/>
      <c r="AA42" s="4" t="s">
        <v>46</v>
      </c>
      <c r="AB42" s="4" t="s">
        <v>47</v>
      </c>
      <c r="AC42" s="4" t="s">
        <v>59</v>
      </c>
      <c r="AD42" s="4" t="s">
        <v>79</v>
      </c>
      <c r="AE42" s="4" t="s">
        <v>50</v>
      </c>
      <c r="AF42" s="4" t="s">
        <v>41</v>
      </c>
      <c r="AG42" s="4" t="s">
        <v>61</v>
      </c>
    </row>
    <row r="43" spans="1:33" ht="16.5" customHeight="1" x14ac:dyDescent="0.15">
      <c r="A43" s="2" t="s">
        <v>31</v>
      </c>
      <c r="B43" s="5" t="s">
        <v>32</v>
      </c>
      <c r="C43" s="5"/>
      <c r="D43" s="5"/>
      <c r="E43" s="6" t="s">
        <v>33</v>
      </c>
      <c r="F43" s="6"/>
      <c r="G43" s="7" t="s">
        <v>52</v>
      </c>
      <c r="H43" s="7"/>
      <c r="I43" s="7"/>
      <c r="J43" s="3" t="s">
        <v>35</v>
      </c>
      <c r="K43" s="4" t="s">
        <v>73</v>
      </c>
      <c r="L43" s="4" t="s">
        <v>63</v>
      </c>
      <c r="N43" s="7" t="s">
        <v>154</v>
      </c>
      <c r="O43" s="7"/>
      <c r="P43" s="7" t="s">
        <v>155</v>
      </c>
      <c r="Q43" s="7"/>
      <c r="R43" s="7"/>
      <c r="S43" s="3" t="s">
        <v>40</v>
      </c>
      <c r="T43" s="7" t="s">
        <v>41</v>
      </c>
      <c r="U43" s="7"/>
      <c r="V43" s="4" t="s">
        <v>42</v>
      </c>
      <c r="W43" s="4" t="s">
        <v>77</v>
      </c>
      <c r="X43" s="4" t="s">
        <v>78</v>
      </c>
      <c r="Y43" s="7" t="s">
        <v>58</v>
      </c>
      <c r="Z43" s="7"/>
      <c r="AA43" s="4" t="s">
        <v>46</v>
      </c>
      <c r="AB43" s="4" t="s">
        <v>47</v>
      </c>
      <c r="AC43" s="4" t="s">
        <v>59</v>
      </c>
      <c r="AD43" s="4" t="s">
        <v>156</v>
      </c>
      <c r="AE43" s="4" t="s">
        <v>50</v>
      </c>
      <c r="AF43" s="4" t="s">
        <v>41</v>
      </c>
      <c r="AG43" s="4" t="s">
        <v>61</v>
      </c>
    </row>
    <row r="44" spans="1:33" ht="16.5" customHeight="1" x14ac:dyDescent="0.15">
      <c r="A44" s="2" t="s">
        <v>31</v>
      </c>
      <c r="B44" s="5" t="s">
        <v>32</v>
      </c>
      <c r="C44" s="5"/>
      <c r="D44" s="5"/>
      <c r="E44" s="6" t="s">
        <v>33</v>
      </c>
      <c r="F44" s="6"/>
      <c r="G44" s="7" t="s">
        <v>52</v>
      </c>
      <c r="H44" s="7"/>
      <c r="I44" s="7"/>
      <c r="J44" s="3" t="s">
        <v>35</v>
      </c>
      <c r="K44" s="4" t="s">
        <v>157</v>
      </c>
      <c r="L44" s="4" t="s">
        <v>37</v>
      </c>
      <c r="N44" s="7" t="s">
        <v>158</v>
      </c>
      <c r="O44" s="7"/>
      <c r="P44" s="7" t="s">
        <v>159</v>
      </c>
      <c r="Q44" s="7"/>
      <c r="R44" s="7"/>
      <c r="S44" s="3" t="s">
        <v>40</v>
      </c>
      <c r="T44" s="7" t="s">
        <v>41</v>
      </c>
      <c r="U44" s="7"/>
      <c r="V44" s="4" t="s">
        <v>42</v>
      </c>
      <c r="W44" s="4" t="s">
        <v>160</v>
      </c>
      <c r="X44" s="4" t="s">
        <v>161</v>
      </c>
      <c r="Y44" s="7" t="s">
        <v>58</v>
      </c>
      <c r="Z44" s="7"/>
      <c r="AA44" s="4" t="s">
        <v>46</v>
      </c>
      <c r="AB44" s="4" t="s">
        <v>47</v>
      </c>
      <c r="AC44" s="4" t="s">
        <v>59</v>
      </c>
      <c r="AD44" s="4" t="s">
        <v>60</v>
      </c>
      <c r="AE44" s="4" t="s">
        <v>50</v>
      </c>
      <c r="AF44" s="4" t="s">
        <v>41</v>
      </c>
      <c r="AG44" s="4" t="s">
        <v>61</v>
      </c>
    </row>
    <row r="45" spans="1:33" ht="16.5" customHeight="1" x14ac:dyDescent="0.15">
      <c r="A45" s="2" t="s">
        <v>31</v>
      </c>
      <c r="B45" s="5" t="s">
        <v>32</v>
      </c>
      <c r="C45" s="5"/>
      <c r="D45" s="5"/>
      <c r="E45" s="6" t="s">
        <v>33</v>
      </c>
      <c r="F45" s="6"/>
      <c r="G45" s="7" t="s">
        <v>52</v>
      </c>
      <c r="H45" s="7"/>
      <c r="I45" s="7"/>
      <c r="J45" s="3" t="s">
        <v>35</v>
      </c>
      <c r="K45" s="4" t="s">
        <v>91</v>
      </c>
      <c r="L45" s="4" t="s">
        <v>74</v>
      </c>
      <c r="N45" s="7" t="s">
        <v>162</v>
      </c>
      <c r="O45" s="7"/>
      <c r="P45" s="7" t="s">
        <v>163</v>
      </c>
      <c r="Q45" s="7"/>
      <c r="R45" s="7"/>
      <c r="S45" s="3" t="s">
        <v>40</v>
      </c>
      <c r="T45" s="7" t="s">
        <v>41</v>
      </c>
      <c r="U45" s="7"/>
      <c r="V45" s="4" t="s">
        <v>42</v>
      </c>
      <c r="W45" s="4" t="s">
        <v>160</v>
      </c>
      <c r="X45" s="4" t="s">
        <v>161</v>
      </c>
      <c r="Y45" s="7" t="s">
        <v>58</v>
      </c>
      <c r="Z45" s="7"/>
      <c r="AA45" s="4" t="s">
        <v>46</v>
      </c>
      <c r="AB45" s="4" t="s">
        <v>47</v>
      </c>
      <c r="AC45" s="4" t="s">
        <v>59</v>
      </c>
      <c r="AD45" s="4" t="s">
        <v>79</v>
      </c>
      <c r="AE45" s="4" t="s">
        <v>50</v>
      </c>
      <c r="AF45" s="4" t="s">
        <v>41</v>
      </c>
      <c r="AG45" s="4" t="s">
        <v>61</v>
      </c>
    </row>
    <row r="46" spans="1:33" ht="16.5" customHeight="1" x14ac:dyDescent="0.15">
      <c r="A46" s="2" t="s">
        <v>31</v>
      </c>
      <c r="B46" s="5" t="s">
        <v>32</v>
      </c>
      <c r="C46" s="5"/>
      <c r="D46" s="5"/>
      <c r="E46" s="6" t="s">
        <v>33</v>
      </c>
      <c r="F46" s="6"/>
      <c r="G46" s="7" t="s">
        <v>52</v>
      </c>
      <c r="H46" s="7"/>
      <c r="I46" s="7"/>
      <c r="J46" s="3" t="s">
        <v>35</v>
      </c>
      <c r="K46" s="4" t="s">
        <v>80</v>
      </c>
      <c r="L46" s="4" t="s">
        <v>37</v>
      </c>
      <c r="N46" s="7" t="s">
        <v>164</v>
      </c>
      <c r="O46" s="7"/>
      <c r="P46" s="7" t="s">
        <v>165</v>
      </c>
      <c r="Q46" s="7"/>
      <c r="R46" s="7"/>
      <c r="S46" s="3" t="s">
        <v>40</v>
      </c>
      <c r="T46" s="7" t="s">
        <v>41</v>
      </c>
      <c r="U46" s="7"/>
      <c r="V46" s="4" t="s">
        <v>42</v>
      </c>
      <c r="W46" s="4" t="s">
        <v>166</v>
      </c>
      <c r="X46" s="4" t="s">
        <v>167</v>
      </c>
      <c r="Y46" s="7" t="s">
        <v>58</v>
      </c>
      <c r="Z46" s="7"/>
      <c r="AA46" s="4" t="s">
        <v>46</v>
      </c>
      <c r="AB46" s="4" t="s">
        <v>47</v>
      </c>
      <c r="AC46" s="4" t="s">
        <v>59</v>
      </c>
      <c r="AD46" s="4" t="s">
        <v>60</v>
      </c>
      <c r="AE46" s="4" t="s">
        <v>50</v>
      </c>
      <c r="AF46" s="4" t="s">
        <v>41</v>
      </c>
      <c r="AG46" s="4" t="s">
        <v>61</v>
      </c>
    </row>
    <row r="47" spans="1:33" ht="16.5" customHeight="1" x14ac:dyDescent="0.15">
      <c r="A47" s="2" t="s">
        <v>31</v>
      </c>
      <c r="B47" s="5" t="s">
        <v>32</v>
      </c>
      <c r="C47" s="5"/>
      <c r="D47" s="5"/>
      <c r="E47" s="6" t="s">
        <v>33</v>
      </c>
      <c r="F47" s="6"/>
      <c r="G47" s="7" t="s">
        <v>52</v>
      </c>
      <c r="H47" s="7"/>
      <c r="I47" s="7"/>
      <c r="J47" s="3" t="s">
        <v>35</v>
      </c>
      <c r="K47" s="4" t="s">
        <v>80</v>
      </c>
      <c r="L47" s="4" t="s">
        <v>37</v>
      </c>
      <c r="N47" s="7" t="s">
        <v>168</v>
      </c>
      <c r="O47" s="7"/>
      <c r="P47" s="7" t="s">
        <v>169</v>
      </c>
      <c r="Q47" s="7"/>
      <c r="R47" s="7"/>
      <c r="S47" s="3" t="s">
        <v>40</v>
      </c>
      <c r="T47" s="7" t="s">
        <v>41</v>
      </c>
      <c r="U47" s="7"/>
      <c r="V47" s="4" t="s">
        <v>42</v>
      </c>
      <c r="W47" s="4" t="s">
        <v>166</v>
      </c>
      <c r="X47" s="4" t="s">
        <v>167</v>
      </c>
      <c r="Y47" s="7" t="s">
        <v>58</v>
      </c>
      <c r="Z47" s="7"/>
      <c r="AA47" s="4" t="s">
        <v>46</v>
      </c>
      <c r="AB47" s="4" t="s">
        <v>47</v>
      </c>
      <c r="AC47" s="4" t="s">
        <v>59</v>
      </c>
      <c r="AD47" s="4" t="s">
        <v>60</v>
      </c>
      <c r="AE47" s="4" t="s">
        <v>50</v>
      </c>
      <c r="AF47" s="4" t="s">
        <v>41</v>
      </c>
      <c r="AG47" s="4" t="s">
        <v>61</v>
      </c>
    </row>
    <row r="48" spans="1:33" ht="16.5" customHeight="1" x14ac:dyDescent="0.15">
      <c r="A48" s="2" t="s">
        <v>31</v>
      </c>
      <c r="B48" s="5" t="s">
        <v>32</v>
      </c>
      <c r="C48" s="5"/>
      <c r="D48" s="5"/>
      <c r="E48" s="6" t="s">
        <v>33</v>
      </c>
      <c r="F48" s="6"/>
      <c r="G48" s="7" t="s">
        <v>52</v>
      </c>
      <c r="H48" s="7"/>
      <c r="I48" s="7"/>
      <c r="J48" s="3" t="s">
        <v>35</v>
      </c>
      <c r="K48" s="4" t="s">
        <v>104</v>
      </c>
      <c r="L48" s="4" t="s">
        <v>74</v>
      </c>
      <c r="N48" s="7" t="s">
        <v>170</v>
      </c>
      <c r="O48" s="7"/>
      <c r="P48" s="7" t="s">
        <v>171</v>
      </c>
      <c r="Q48" s="7"/>
      <c r="R48" s="7"/>
      <c r="S48" s="3" t="s">
        <v>40</v>
      </c>
      <c r="T48" s="7" t="s">
        <v>41</v>
      </c>
      <c r="U48" s="7"/>
      <c r="V48" s="4" t="s">
        <v>42</v>
      </c>
      <c r="W48" s="4" t="s">
        <v>172</v>
      </c>
      <c r="X48" s="4" t="s">
        <v>173</v>
      </c>
      <c r="Y48" s="7" t="s">
        <v>58</v>
      </c>
      <c r="Z48" s="7"/>
      <c r="AA48" s="4" t="s">
        <v>46</v>
      </c>
      <c r="AB48" s="4" t="s">
        <v>47</v>
      </c>
      <c r="AC48" s="4" t="s">
        <v>59</v>
      </c>
      <c r="AD48" s="4" t="s">
        <v>79</v>
      </c>
      <c r="AE48" s="4" t="s">
        <v>50</v>
      </c>
      <c r="AF48" s="4" t="s">
        <v>41</v>
      </c>
      <c r="AG48" s="4" t="s">
        <v>61</v>
      </c>
    </row>
    <row r="49" spans="1:33" ht="16.5" customHeight="1" x14ac:dyDescent="0.15">
      <c r="A49" s="2" t="s">
        <v>31</v>
      </c>
      <c r="B49" s="5" t="s">
        <v>32</v>
      </c>
      <c r="C49" s="5"/>
      <c r="D49" s="5"/>
      <c r="E49" s="6" t="s">
        <v>33</v>
      </c>
      <c r="F49" s="6"/>
      <c r="G49" s="7" t="s">
        <v>52</v>
      </c>
      <c r="H49" s="7"/>
      <c r="I49" s="7"/>
      <c r="J49" s="3" t="s">
        <v>35</v>
      </c>
      <c r="K49" s="4" t="s">
        <v>73</v>
      </c>
      <c r="L49" s="4" t="s">
        <v>74</v>
      </c>
      <c r="N49" s="7" t="s">
        <v>174</v>
      </c>
      <c r="O49" s="7"/>
      <c r="P49" s="7" t="s">
        <v>175</v>
      </c>
      <c r="Q49" s="7"/>
      <c r="R49" s="7"/>
      <c r="S49" s="3" t="s">
        <v>40</v>
      </c>
      <c r="T49" s="7" t="s">
        <v>41</v>
      </c>
      <c r="U49" s="7"/>
      <c r="V49" s="4" t="s">
        <v>42</v>
      </c>
      <c r="W49" s="4" t="s">
        <v>114</v>
      </c>
      <c r="X49" s="4" t="s">
        <v>115</v>
      </c>
      <c r="Y49" s="7" t="s">
        <v>58</v>
      </c>
      <c r="Z49" s="7"/>
      <c r="AA49" s="4" t="s">
        <v>46</v>
      </c>
      <c r="AB49" s="4" t="s">
        <v>47</v>
      </c>
      <c r="AC49" s="4" t="s">
        <v>59</v>
      </c>
      <c r="AD49" s="4" t="s">
        <v>79</v>
      </c>
      <c r="AE49" s="4" t="s">
        <v>50</v>
      </c>
      <c r="AF49" s="4" t="s">
        <v>41</v>
      </c>
      <c r="AG49" s="4" t="s">
        <v>61</v>
      </c>
    </row>
    <row r="50" spans="1:33" ht="16.5" customHeight="1" x14ac:dyDescent="0.15">
      <c r="A50" s="2" t="s">
        <v>31</v>
      </c>
      <c r="B50" s="5" t="s">
        <v>32</v>
      </c>
      <c r="C50" s="5"/>
      <c r="D50" s="5"/>
      <c r="E50" s="6" t="s">
        <v>33</v>
      </c>
      <c r="F50" s="6"/>
      <c r="G50" s="7" t="s">
        <v>52</v>
      </c>
      <c r="H50" s="7"/>
      <c r="I50" s="7"/>
      <c r="J50" s="3" t="s">
        <v>35</v>
      </c>
      <c r="K50" s="4" t="s">
        <v>176</v>
      </c>
      <c r="L50" s="4" t="s">
        <v>37</v>
      </c>
      <c r="N50" s="7" t="s">
        <v>177</v>
      </c>
      <c r="O50" s="7"/>
      <c r="P50" s="7" t="s">
        <v>178</v>
      </c>
      <c r="Q50" s="7"/>
      <c r="R50" s="7"/>
      <c r="S50" s="3" t="s">
        <v>40</v>
      </c>
      <c r="T50" s="7" t="s">
        <v>41</v>
      </c>
      <c r="U50" s="7"/>
      <c r="V50" s="4" t="s">
        <v>42</v>
      </c>
      <c r="W50" s="4" t="s">
        <v>179</v>
      </c>
      <c r="X50" s="4" t="s">
        <v>180</v>
      </c>
      <c r="Y50" s="7" t="s">
        <v>45</v>
      </c>
      <c r="Z50" s="7"/>
      <c r="AA50" s="4" t="s">
        <v>46</v>
      </c>
      <c r="AB50" s="4" t="s">
        <v>47</v>
      </c>
      <c r="AC50" s="4" t="s">
        <v>48</v>
      </c>
      <c r="AD50" s="4" t="s">
        <v>49</v>
      </c>
      <c r="AE50" s="4" t="s">
        <v>50</v>
      </c>
      <c r="AF50" s="4" t="s">
        <v>41</v>
      </c>
      <c r="AG50" s="4" t="s">
        <v>61</v>
      </c>
    </row>
    <row r="51" spans="1:33" ht="16.5" customHeight="1" x14ac:dyDescent="0.15">
      <c r="A51" s="2" t="s">
        <v>31</v>
      </c>
      <c r="B51" s="5" t="s">
        <v>32</v>
      </c>
      <c r="C51" s="5"/>
      <c r="D51" s="5"/>
      <c r="E51" s="6" t="s">
        <v>33</v>
      </c>
      <c r="F51" s="6"/>
      <c r="G51" s="7" t="s">
        <v>52</v>
      </c>
      <c r="H51" s="7"/>
      <c r="I51" s="7"/>
      <c r="J51" s="3" t="s">
        <v>35</v>
      </c>
      <c r="K51" s="4" t="s">
        <v>107</v>
      </c>
      <c r="L51" s="4" t="s">
        <v>37</v>
      </c>
      <c r="N51" s="7" t="s">
        <v>181</v>
      </c>
      <c r="O51" s="7"/>
      <c r="P51" s="7" t="s">
        <v>182</v>
      </c>
      <c r="Q51" s="7"/>
      <c r="R51" s="7"/>
      <c r="S51" s="3" t="s">
        <v>40</v>
      </c>
      <c r="T51" s="7" t="s">
        <v>41</v>
      </c>
      <c r="U51" s="7"/>
      <c r="V51" s="4" t="s">
        <v>42</v>
      </c>
      <c r="W51" s="4" t="s">
        <v>133</v>
      </c>
      <c r="X51" s="4" t="s">
        <v>134</v>
      </c>
      <c r="Y51" s="7" t="s">
        <v>58</v>
      </c>
      <c r="Z51" s="7"/>
      <c r="AA51" s="4" t="s">
        <v>46</v>
      </c>
      <c r="AB51" s="4" t="s">
        <v>47</v>
      </c>
      <c r="AC51" s="4" t="s">
        <v>59</v>
      </c>
      <c r="AD51" s="4" t="s">
        <v>60</v>
      </c>
      <c r="AE51" s="4" t="s">
        <v>50</v>
      </c>
      <c r="AF51" s="4" t="s">
        <v>41</v>
      </c>
      <c r="AG51" s="4" t="s">
        <v>61</v>
      </c>
    </row>
    <row r="52" spans="1:33" ht="16.5" customHeight="1" x14ac:dyDescent="0.15">
      <c r="A52" s="2" t="s">
        <v>31</v>
      </c>
      <c r="B52" s="5" t="s">
        <v>32</v>
      </c>
      <c r="C52" s="5"/>
      <c r="D52" s="5"/>
      <c r="E52" s="6" t="s">
        <v>33</v>
      </c>
      <c r="F52" s="6"/>
      <c r="G52" s="7" t="s">
        <v>52</v>
      </c>
      <c r="H52" s="7"/>
      <c r="I52" s="7"/>
      <c r="J52" s="3" t="s">
        <v>35</v>
      </c>
      <c r="K52" s="4" t="s">
        <v>107</v>
      </c>
      <c r="L52" s="4" t="s">
        <v>37</v>
      </c>
      <c r="N52" s="7" t="s">
        <v>183</v>
      </c>
      <c r="O52" s="7"/>
      <c r="P52" s="7" t="s">
        <v>184</v>
      </c>
      <c r="Q52" s="7"/>
      <c r="R52" s="7"/>
      <c r="S52" s="3" t="s">
        <v>40</v>
      </c>
      <c r="T52" s="7" t="s">
        <v>41</v>
      </c>
      <c r="U52" s="7"/>
      <c r="V52" s="4" t="s">
        <v>42</v>
      </c>
      <c r="W52" s="4" t="s">
        <v>185</v>
      </c>
      <c r="X52" s="4" t="s">
        <v>186</v>
      </c>
      <c r="Y52" s="7" t="s">
        <v>58</v>
      </c>
      <c r="Z52" s="7"/>
      <c r="AA52" s="4" t="s">
        <v>46</v>
      </c>
      <c r="AB52" s="4" t="s">
        <v>47</v>
      </c>
      <c r="AC52" s="4" t="s">
        <v>59</v>
      </c>
      <c r="AD52" s="4" t="s">
        <v>60</v>
      </c>
      <c r="AE52" s="4" t="s">
        <v>50</v>
      </c>
      <c r="AF52" s="4" t="s">
        <v>41</v>
      </c>
      <c r="AG52" s="4" t="s">
        <v>61</v>
      </c>
    </row>
    <row r="53" spans="1:33" ht="16.5" customHeight="1" x14ac:dyDescent="0.15">
      <c r="A53" s="2" t="s">
        <v>31</v>
      </c>
      <c r="B53" s="5" t="s">
        <v>32</v>
      </c>
      <c r="C53" s="5"/>
      <c r="D53" s="5"/>
      <c r="E53" s="6" t="s">
        <v>33</v>
      </c>
      <c r="F53" s="6"/>
      <c r="G53" s="7" t="s">
        <v>52</v>
      </c>
      <c r="H53" s="7"/>
      <c r="I53" s="7"/>
      <c r="J53" s="3" t="s">
        <v>35</v>
      </c>
      <c r="K53" s="4" t="s">
        <v>73</v>
      </c>
      <c r="L53" s="4" t="s">
        <v>37</v>
      </c>
      <c r="N53" s="7" t="s">
        <v>187</v>
      </c>
      <c r="O53" s="7"/>
      <c r="P53" s="7" t="s">
        <v>188</v>
      </c>
      <c r="Q53" s="7"/>
      <c r="R53" s="7"/>
      <c r="S53" s="3" t="s">
        <v>40</v>
      </c>
      <c r="T53" s="7" t="s">
        <v>41</v>
      </c>
      <c r="U53" s="7"/>
      <c r="V53" s="4" t="s">
        <v>42</v>
      </c>
      <c r="W53" s="4" t="s">
        <v>189</v>
      </c>
      <c r="X53" s="4" t="s">
        <v>190</v>
      </c>
      <c r="Y53" s="7" t="s">
        <v>58</v>
      </c>
      <c r="Z53" s="7"/>
      <c r="AA53" s="4" t="s">
        <v>46</v>
      </c>
      <c r="AB53" s="4" t="s">
        <v>47</v>
      </c>
      <c r="AC53" s="4" t="s">
        <v>59</v>
      </c>
      <c r="AD53" s="4" t="s">
        <v>60</v>
      </c>
      <c r="AE53" s="4" t="s">
        <v>50</v>
      </c>
      <c r="AF53" s="4" t="s">
        <v>41</v>
      </c>
      <c r="AG53" s="4" t="s">
        <v>61</v>
      </c>
    </row>
    <row r="54" spans="1:33" ht="16.5" customHeight="1" x14ac:dyDescent="0.15">
      <c r="A54" s="2" t="s">
        <v>31</v>
      </c>
      <c r="B54" s="5" t="s">
        <v>32</v>
      </c>
      <c r="C54" s="5"/>
      <c r="D54" s="5"/>
      <c r="E54" s="6" t="s">
        <v>33</v>
      </c>
      <c r="F54" s="6"/>
      <c r="G54" s="7" t="s">
        <v>52</v>
      </c>
      <c r="H54" s="7"/>
      <c r="I54" s="7"/>
      <c r="J54" s="3" t="s">
        <v>35</v>
      </c>
      <c r="K54" s="4" t="s">
        <v>80</v>
      </c>
      <c r="L54" s="4" t="s">
        <v>37</v>
      </c>
      <c r="N54" s="7" t="s">
        <v>191</v>
      </c>
      <c r="O54" s="7"/>
      <c r="P54" s="7" t="s">
        <v>192</v>
      </c>
      <c r="Q54" s="7"/>
      <c r="R54" s="7"/>
      <c r="S54" s="3" t="s">
        <v>40</v>
      </c>
      <c r="T54" s="7" t="s">
        <v>41</v>
      </c>
      <c r="U54" s="7"/>
      <c r="V54" s="4" t="s">
        <v>42</v>
      </c>
      <c r="W54" s="4" t="s">
        <v>193</v>
      </c>
      <c r="X54" s="4" t="s">
        <v>194</v>
      </c>
      <c r="Y54" s="7" t="s">
        <v>58</v>
      </c>
      <c r="Z54" s="7"/>
      <c r="AA54" s="4" t="s">
        <v>46</v>
      </c>
      <c r="AB54" s="4" t="s">
        <v>47</v>
      </c>
      <c r="AC54" s="4" t="s">
        <v>59</v>
      </c>
      <c r="AD54" s="4" t="s">
        <v>60</v>
      </c>
      <c r="AE54" s="4" t="s">
        <v>50</v>
      </c>
      <c r="AF54" s="4" t="s">
        <v>41</v>
      </c>
      <c r="AG54" s="4" t="s">
        <v>61</v>
      </c>
    </row>
    <row r="55" spans="1:33" ht="16.5" customHeight="1" x14ac:dyDescent="0.15">
      <c r="A55" s="2" t="s">
        <v>31</v>
      </c>
      <c r="B55" s="5" t="s">
        <v>32</v>
      </c>
      <c r="C55" s="5"/>
      <c r="D55" s="5"/>
      <c r="E55" s="6" t="s">
        <v>33</v>
      </c>
      <c r="F55" s="6"/>
      <c r="G55" s="7" t="s">
        <v>52</v>
      </c>
      <c r="H55" s="7"/>
      <c r="I55" s="7"/>
      <c r="J55" s="3" t="s">
        <v>35</v>
      </c>
      <c r="K55" s="4" t="s">
        <v>53</v>
      </c>
      <c r="L55" s="4" t="s">
        <v>37</v>
      </c>
      <c r="N55" s="7" t="s">
        <v>195</v>
      </c>
      <c r="O55" s="7"/>
      <c r="P55" s="7" t="s">
        <v>196</v>
      </c>
      <c r="Q55" s="7"/>
      <c r="R55" s="7"/>
      <c r="S55" s="3" t="s">
        <v>40</v>
      </c>
      <c r="T55" s="7" t="s">
        <v>41</v>
      </c>
      <c r="U55" s="7"/>
      <c r="V55" s="4" t="s">
        <v>42</v>
      </c>
      <c r="W55" s="4" t="s">
        <v>197</v>
      </c>
      <c r="X55" s="4" t="s">
        <v>198</v>
      </c>
      <c r="Y55" s="7" t="s">
        <v>58</v>
      </c>
      <c r="Z55" s="7"/>
      <c r="AA55" s="4" t="s">
        <v>46</v>
      </c>
      <c r="AB55" s="4" t="s">
        <v>47</v>
      </c>
      <c r="AC55" s="4" t="s">
        <v>59</v>
      </c>
      <c r="AD55" s="4" t="s">
        <v>60</v>
      </c>
      <c r="AE55" s="4" t="s">
        <v>50</v>
      </c>
      <c r="AF55" s="4" t="s">
        <v>41</v>
      </c>
      <c r="AG55" s="4" t="s">
        <v>61</v>
      </c>
    </row>
    <row r="56" spans="1:33" ht="16.5" customHeight="1" x14ac:dyDescent="0.15">
      <c r="A56" s="2" t="s">
        <v>31</v>
      </c>
      <c r="B56" s="5" t="s">
        <v>32</v>
      </c>
      <c r="C56" s="5"/>
      <c r="D56" s="5"/>
      <c r="E56" s="6" t="s">
        <v>33</v>
      </c>
      <c r="F56" s="6"/>
      <c r="G56" s="7" t="s">
        <v>52</v>
      </c>
      <c r="H56" s="7"/>
      <c r="I56" s="7"/>
      <c r="J56" s="3" t="s">
        <v>35</v>
      </c>
      <c r="K56" s="4" t="s">
        <v>199</v>
      </c>
      <c r="L56" s="4" t="s">
        <v>37</v>
      </c>
      <c r="N56" s="7" t="s">
        <v>200</v>
      </c>
      <c r="O56" s="7"/>
      <c r="P56" s="7" t="s">
        <v>201</v>
      </c>
      <c r="Q56" s="7"/>
      <c r="R56" s="7"/>
      <c r="S56" s="3" t="s">
        <v>40</v>
      </c>
      <c r="T56" s="7" t="s">
        <v>41</v>
      </c>
      <c r="U56" s="7"/>
      <c r="V56" s="4" t="s">
        <v>42</v>
      </c>
      <c r="W56" s="4" t="s">
        <v>43</v>
      </c>
      <c r="X56" s="4" t="s">
        <v>44</v>
      </c>
      <c r="Y56" s="7" t="s">
        <v>45</v>
      </c>
      <c r="Z56" s="7"/>
      <c r="AA56" s="4" t="s">
        <v>46</v>
      </c>
      <c r="AB56" s="4" t="s">
        <v>47</v>
      </c>
      <c r="AC56" s="4" t="s">
        <v>48</v>
      </c>
      <c r="AD56" s="4" t="s">
        <v>49</v>
      </c>
      <c r="AE56" s="4" t="s">
        <v>50</v>
      </c>
      <c r="AF56" s="4" t="s">
        <v>41</v>
      </c>
      <c r="AG56" s="4" t="s">
        <v>61</v>
      </c>
    </row>
    <row r="57" spans="1:33" ht="16.5" customHeight="1" x14ac:dyDescent="0.15">
      <c r="A57" s="2" t="s">
        <v>31</v>
      </c>
      <c r="B57" s="5" t="s">
        <v>32</v>
      </c>
      <c r="C57" s="5"/>
      <c r="D57" s="5"/>
      <c r="E57" s="6" t="s">
        <v>33</v>
      </c>
      <c r="F57" s="6"/>
      <c r="G57" s="7" t="s">
        <v>52</v>
      </c>
      <c r="H57" s="7"/>
      <c r="I57" s="7"/>
      <c r="J57" s="3" t="s">
        <v>35</v>
      </c>
      <c r="K57" s="4" t="s">
        <v>73</v>
      </c>
      <c r="L57" s="4" t="s">
        <v>37</v>
      </c>
      <c r="N57" s="7" t="s">
        <v>202</v>
      </c>
      <c r="O57" s="7"/>
      <c r="P57" s="7" t="s">
        <v>203</v>
      </c>
      <c r="Q57" s="7"/>
      <c r="R57" s="7"/>
      <c r="S57" s="3" t="s">
        <v>40</v>
      </c>
      <c r="T57" s="7" t="s">
        <v>41</v>
      </c>
      <c r="U57" s="7"/>
      <c r="V57" s="4" t="s">
        <v>42</v>
      </c>
      <c r="W57" s="4" t="s">
        <v>43</v>
      </c>
      <c r="X57" s="4" t="s">
        <v>44</v>
      </c>
      <c r="Y57" s="7" t="s">
        <v>58</v>
      </c>
      <c r="Z57" s="7"/>
      <c r="AA57" s="4" t="s">
        <v>46</v>
      </c>
      <c r="AB57" s="4" t="s">
        <v>47</v>
      </c>
      <c r="AC57" s="4" t="s">
        <v>59</v>
      </c>
      <c r="AD57" s="4" t="s">
        <v>60</v>
      </c>
      <c r="AE57" s="4" t="s">
        <v>50</v>
      </c>
      <c r="AF57" s="4" t="s">
        <v>41</v>
      </c>
      <c r="AG57" s="4" t="s">
        <v>61</v>
      </c>
    </row>
    <row r="58" spans="1:33" ht="16.5" customHeight="1" x14ac:dyDescent="0.15">
      <c r="A58" s="2" t="s">
        <v>31</v>
      </c>
      <c r="B58" s="5" t="s">
        <v>32</v>
      </c>
      <c r="C58" s="5"/>
      <c r="D58" s="5"/>
      <c r="E58" s="6" t="s">
        <v>33</v>
      </c>
      <c r="F58" s="6"/>
      <c r="G58" s="7" t="s">
        <v>52</v>
      </c>
      <c r="H58" s="7"/>
      <c r="I58" s="7"/>
      <c r="J58" s="3" t="s">
        <v>35</v>
      </c>
      <c r="K58" s="4" t="s">
        <v>73</v>
      </c>
      <c r="L58" s="4" t="s">
        <v>37</v>
      </c>
      <c r="N58" s="7" t="s">
        <v>204</v>
      </c>
      <c r="O58" s="7"/>
      <c r="P58" s="7" t="s">
        <v>205</v>
      </c>
      <c r="Q58" s="7"/>
      <c r="R58" s="7"/>
      <c r="S58" s="3" t="s">
        <v>40</v>
      </c>
      <c r="T58" s="7" t="s">
        <v>41</v>
      </c>
      <c r="U58" s="7"/>
      <c r="V58" s="4" t="s">
        <v>42</v>
      </c>
      <c r="W58" s="4" t="s">
        <v>43</v>
      </c>
      <c r="X58" s="4" t="s">
        <v>44</v>
      </c>
      <c r="Y58" s="7" t="s">
        <v>58</v>
      </c>
      <c r="Z58" s="7"/>
      <c r="AA58" s="4" t="s">
        <v>46</v>
      </c>
      <c r="AB58" s="4" t="s">
        <v>47</v>
      </c>
      <c r="AC58" s="4" t="s">
        <v>59</v>
      </c>
      <c r="AD58" s="4" t="s">
        <v>60</v>
      </c>
      <c r="AE58" s="4" t="s">
        <v>50</v>
      </c>
      <c r="AF58" s="4" t="s">
        <v>41</v>
      </c>
      <c r="AG58" s="4" t="s">
        <v>61</v>
      </c>
    </row>
    <row r="59" spans="1:33" ht="16.5" customHeight="1" x14ac:dyDescent="0.15">
      <c r="A59" s="2" t="s">
        <v>31</v>
      </c>
      <c r="B59" s="5" t="s">
        <v>32</v>
      </c>
      <c r="C59" s="5"/>
      <c r="D59" s="5"/>
      <c r="E59" s="6" t="s">
        <v>33</v>
      </c>
      <c r="F59" s="6"/>
      <c r="G59" s="7" t="s">
        <v>52</v>
      </c>
      <c r="H59" s="7"/>
      <c r="I59" s="7"/>
      <c r="J59" s="3" t="s">
        <v>35</v>
      </c>
      <c r="K59" s="4" t="s">
        <v>53</v>
      </c>
      <c r="L59" s="4" t="s">
        <v>37</v>
      </c>
      <c r="N59" s="7" t="s">
        <v>206</v>
      </c>
      <c r="O59" s="7"/>
      <c r="P59" s="7" t="s">
        <v>207</v>
      </c>
      <c r="Q59" s="7"/>
      <c r="R59" s="7"/>
      <c r="S59" s="3" t="s">
        <v>40</v>
      </c>
      <c r="T59" s="7" t="s">
        <v>41</v>
      </c>
      <c r="U59" s="7"/>
      <c r="V59" s="4" t="s">
        <v>42</v>
      </c>
      <c r="W59" s="4" t="s">
        <v>43</v>
      </c>
      <c r="X59" s="4" t="s">
        <v>44</v>
      </c>
      <c r="Y59" s="7" t="s">
        <v>58</v>
      </c>
      <c r="Z59" s="7"/>
      <c r="AA59" s="4" t="s">
        <v>46</v>
      </c>
      <c r="AB59" s="4" t="s">
        <v>47</v>
      </c>
      <c r="AC59" s="4" t="s">
        <v>59</v>
      </c>
      <c r="AD59" s="4" t="s">
        <v>60</v>
      </c>
      <c r="AE59" s="4" t="s">
        <v>50</v>
      </c>
      <c r="AF59" s="4" t="s">
        <v>41</v>
      </c>
      <c r="AG59" s="4" t="s">
        <v>61</v>
      </c>
    </row>
    <row r="60" spans="1:33" ht="16.5" customHeight="1" x14ac:dyDescent="0.15">
      <c r="A60" s="2" t="s">
        <v>31</v>
      </c>
      <c r="B60" s="5" t="s">
        <v>32</v>
      </c>
      <c r="C60" s="5"/>
      <c r="D60" s="5"/>
      <c r="E60" s="6" t="s">
        <v>33</v>
      </c>
      <c r="F60" s="6"/>
      <c r="G60" s="7" t="s">
        <v>52</v>
      </c>
      <c r="H60" s="7"/>
      <c r="I60" s="7"/>
      <c r="J60" s="3" t="s">
        <v>35</v>
      </c>
      <c r="K60" s="4" t="s">
        <v>208</v>
      </c>
      <c r="L60" s="4" t="s">
        <v>63</v>
      </c>
      <c r="N60" s="7" t="s">
        <v>209</v>
      </c>
      <c r="O60" s="7"/>
      <c r="P60" s="7" t="s">
        <v>210</v>
      </c>
      <c r="Q60" s="7"/>
      <c r="R60" s="7"/>
      <c r="S60" s="3" t="s">
        <v>40</v>
      </c>
      <c r="T60" s="7" t="s">
        <v>41</v>
      </c>
      <c r="U60" s="7"/>
      <c r="V60" s="4" t="s">
        <v>42</v>
      </c>
      <c r="W60" s="4" t="s">
        <v>211</v>
      </c>
      <c r="X60" s="4" t="s">
        <v>212</v>
      </c>
      <c r="Y60" s="7" t="s">
        <v>58</v>
      </c>
      <c r="Z60" s="7"/>
      <c r="AA60" s="4" t="s">
        <v>46</v>
      </c>
      <c r="AB60" s="4" t="s">
        <v>47</v>
      </c>
      <c r="AC60" s="4" t="s">
        <v>59</v>
      </c>
      <c r="AD60" s="4" t="s">
        <v>156</v>
      </c>
      <c r="AE60" s="4" t="s">
        <v>50</v>
      </c>
      <c r="AF60" s="4" t="s">
        <v>41</v>
      </c>
      <c r="AG60" s="4" t="s">
        <v>61</v>
      </c>
    </row>
    <row r="61" spans="1:33" ht="16.5" customHeight="1" x14ac:dyDescent="0.15">
      <c r="A61" s="2" t="s">
        <v>31</v>
      </c>
      <c r="B61" s="5" t="s">
        <v>32</v>
      </c>
      <c r="C61" s="5"/>
      <c r="D61" s="5"/>
      <c r="E61" s="6" t="s">
        <v>33</v>
      </c>
      <c r="F61" s="6"/>
      <c r="G61" s="7" t="s">
        <v>52</v>
      </c>
      <c r="H61" s="7"/>
      <c r="I61" s="7"/>
      <c r="J61" s="3" t="s">
        <v>35</v>
      </c>
      <c r="K61" s="4" t="s">
        <v>80</v>
      </c>
      <c r="L61" s="4" t="s">
        <v>74</v>
      </c>
      <c r="N61" s="7" t="s">
        <v>213</v>
      </c>
      <c r="O61" s="7"/>
      <c r="P61" s="7" t="s">
        <v>214</v>
      </c>
      <c r="Q61" s="7"/>
      <c r="R61" s="7"/>
      <c r="S61" s="3" t="s">
        <v>40</v>
      </c>
      <c r="T61" s="7" t="s">
        <v>41</v>
      </c>
      <c r="U61" s="7"/>
      <c r="V61" s="4" t="s">
        <v>42</v>
      </c>
      <c r="W61" s="4" t="s">
        <v>211</v>
      </c>
      <c r="X61" s="4" t="s">
        <v>212</v>
      </c>
      <c r="Y61" s="7" t="s">
        <v>58</v>
      </c>
      <c r="Z61" s="7"/>
      <c r="AA61" s="4" t="s">
        <v>46</v>
      </c>
      <c r="AB61" s="4" t="s">
        <v>47</v>
      </c>
      <c r="AC61" s="4" t="s">
        <v>59</v>
      </c>
      <c r="AD61" s="4" t="s">
        <v>79</v>
      </c>
      <c r="AE61" s="4" t="s">
        <v>50</v>
      </c>
      <c r="AF61" s="4" t="s">
        <v>41</v>
      </c>
      <c r="AG61" s="4" t="s">
        <v>61</v>
      </c>
    </row>
    <row r="62" spans="1:33" ht="16.5" customHeight="1" x14ac:dyDescent="0.15">
      <c r="A62" s="2" t="s">
        <v>31</v>
      </c>
      <c r="B62" s="5" t="s">
        <v>32</v>
      </c>
      <c r="C62" s="5"/>
      <c r="D62" s="5"/>
      <c r="E62" s="6" t="s">
        <v>33</v>
      </c>
      <c r="F62" s="6"/>
      <c r="G62" s="7" t="s">
        <v>52</v>
      </c>
      <c r="H62" s="7"/>
      <c r="I62" s="7"/>
      <c r="J62" s="3" t="s">
        <v>35</v>
      </c>
      <c r="K62" s="4" t="s">
        <v>53</v>
      </c>
      <c r="L62" s="4" t="s">
        <v>74</v>
      </c>
      <c r="N62" s="7" t="s">
        <v>215</v>
      </c>
      <c r="O62" s="7"/>
      <c r="P62" s="7" t="s">
        <v>216</v>
      </c>
      <c r="Q62" s="7"/>
      <c r="R62" s="7"/>
      <c r="S62" s="3" t="s">
        <v>40</v>
      </c>
      <c r="T62" s="7" t="s">
        <v>41</v>
      </c>
      <c r="U62" s="7"/>
      <c r="V62" s="4" t="s">
        <v>42</v>
      </c>
      <c r="W62" s="4" t="s">
        <v>83</v>
      </c>
      <c r="X62" s="4" t="s">
        <v>84</v>
      </c>
      <c r="Y62" s="7" t="s">
        <v>58</v>
      </c>
      <c r="Z62" s="7"/>
      <c r="AA62" s="4" t="s">
        <v>46</v>
      </c>
      <c r="AB62" s="4" t="s">
        <v>47</v>
      </c>
      <c r="AC62" s="4" t="s">
        <v>59</v>
      </c>
      <c r="AD62" s="4" t="s">
        <v>79</v>
      </c>
      <c r="AE62" s="4" t="s">
        <v>50</v>
      </c>
      <c r="AF62" s="4" t="s">
        <v>41</v>
      </c>
      <c r="AG62" s="4" t="s">
        <v>61</v>
      </c>
    </row>
    <row r="63" spans="1:33" ht="16.5" customHeight="1" x14ac:dyDescent="0.15">
      <c r="A63" s="2" t="s">
        <v>31</v>
      </c>
      <c r="B63" s="5" t="s">
        <v>32</v>
      </c>
      <c r="C63" s="5"/>
      <c r="D63" s="5"/>
      <c r="E63" s="6" t="s">
        <v>33</v>
      </c>
      <c r="F63" s="6"/>
      <c r="G63" s="7" t="s">
        <v>52</v>
      </c>
      <c r="H63" s="7"/>
      <c r="I63" s="7"/>
      <c r="J63" s="3" t="s">
        <v>35</v>
      </c>
      <c r="K63" s="4" t="s">
        <v>217</v>
      </c>
      <c r="L63" s="4" t="s">
        <v>74</v>
      </c>
      <c r="N63" s="7" t="s">
        <v>218</v>
      </c>
      <c r="O63" s="7"/>
      <c r="P63" s="7" t="s">
        <v>219</v>
      </c>
      <c r="Q63" s="7"/>
      <c r="R63" s="7"/>
      <c r="S63" s="3" t="s">
        <v>40</v>
      </c>
      <c r="T63" s="7" t="s">
        <v>41</v>
      </c>
      <c r="U63" s="7"/>
      <c r="V63" s="4" t="s">
        <v>42</v>
      </c>
      <c r="W63" s="4" t="s">
        <v>119</v>
      </c>
      <c r="X63" s="4" t="s">
        <v>120</v>
      </c>
      <c r="Y63" s="7" t="s">
        <v>58</v>
      </c>
      <c r="Z63" s="7"/>
      <c r="AA63" s="4" t="s">
        <v>46</v>
      </c>
      <c r="AB63" s="4" t="s">
        <v>47</v>
      </c>
      <c r="AC63" s="4" t="s">
        <v>59</v>
      </c>
      <c r="AD63" s="4" t="s">
        <v>79</v>
      </c>
      <c r="AE63" s="4" t="s">
        <v>50</v>
      </c>
      <c r="AF63" s="4" t="s">
        <v>41</v>
      </c>
      <c r="AG63" s="4" t="s">
        <v>61</v>
      </c>
    </row>
    <row r="64" spans="1:33" ht="16.5" customHeight="1" x14ac:dyDescent="0.15">
      <c r="A64" s="2" t="s">
        <v>31</v>
      </c>
      <c r="B64" s="5" t="s">
        <v>32</v>
      </c>
      <c r="C64" s="5"/>
      <c r="D64" s="5"/>
      <c r="E64" s="6" t="s">
        <v>33</v>
      </c>
      <c r="F64" s="6"/>
      <c r="G64" s="7" t="s">
        <v>52</v>
      </c>
      <c r="H64" s="7"/>
      <c r="I64" s="7"/>
      <c r="J64" s="3" t="s">
        <v>35</v>
      </c>
      <c r="K64" s="4" t="s">
        <v>107</v>
      </c>
      <c r="L64" s="4" t="s">
        <v>74</v>
      </c>
      <c r="N64" s="7" t="s">
        <v>220</v>
      </c>
      <c r="O64" s="7"/>
      <c r="P64" s="7" t="s">
        <v>221</v>
      </c>
      <c r="Q64" s="7"/>
      <c r="R64" s="7"/>
      <c r="S64" s="3" t="s">
        <v>40</v>
      </c>
      <c r="T64" s="7" t="s">
        <v>41</v>
      </c>
      <c r="U64" s="7"/>
      <c r="V64" s="4" t="s">
        <v>42</v>
      </c>
      <c r="W64" s="4" t="s">
        <v>119</v>
      </c>
      <c r="X64" s="4" t="s">
        <v>120</v>
      </c>
      <c r="Y64" s="7" t="s">
        <v>58</v>
      </c>
      <c r="Z64" s="7"/>
      <c r="AA64" s="4" t="s">
        <v>46</v>
      </c>
      <c r="AB64" s="4" t="s">
        <v>47</v>
      </c>
      <c r="AC64" s="4" t="s">
        <v>59</v>
      </c>
      <c r="AD64" s="4" t="s">
        <v>79</v>
      </c>
      <c r="AE64" s="4" t="s">
        <v>50</v>
      </c>
      <c r="AF64" s="4" t="s">
        <v>41</v>
      </c>
      <c r="AG64" s="4" t="s">
        <v>61</v>
      </c>
    </row>
    <row r="65" spans="1:33" ht="16.5" customHeight="1" x14ac:dyDescent="0.15">
      <c r="A65" s="2" t="s">
        <v>31</v>
      </c>
      <c r="B65" s="5" t="s">
        <v>32</v>
      </c>
      <c r="C65" s="5"/>
      <c r="D65" s="5"/>
      <c r="E65" s="6" t="s">
        <v>33</v>
      </c>
      <c r="F65" s="6"/>
      <c r="G65" s="7" t="s">
        <v>222</v>
      </c>
      <c r="H65" s="7"/>
      <c r="I65" s="7"/>
      <c r="J65" s="3" t="s">
        <v>35</v>
      </c>
      <c r="K65" s="4" t="s">
        <v>73</v>
      </c>
      <c r="L65" s="4" t="s">
        <v>37</v>
      </c>
      <c r="N65" s="7" t="s">
        <v>223</v>
      </c>
      <c r="O65" s="7"/>
      <c r="P65" s="7" t="s">
        <v>224</v>
      </c>
      <c r="Q65" s="7"/>
      <c r="R65" s="7"/>
      <c r="S65" s="3" t="s">
        <v>40</v>
      </c>
      <c r="T65" s="7" t="s">
        <v>41</v>
      </c>
      <c r="U65" s="7"/>
      <c r="V65" s="4" t="s">
        <v>42</v>
      </c>
      <c r="W65" s="4" t="s">
        <v>70</v>
      </c>
      <c r="X65" s="4" t="s">
        <v>71</v>
      </c>
      <c r="Y65" s="7" t="s">
        <v>58</v>
      </c>
      <c r="Z65" s="7"/>
      <c r="AA65" s="4" t="s">
        <v>46</v>
      </c>
      <c r="AB65" s="4" t="s">
        <v>47</v>
      </c>
      <c r="AC65" s="4" t="s">
        <v>59</v>
      </c>
      <c r="AD65" s="4" t="s">
        <v>60</v>
      </c>
      <c r="AE65" s="4" t="s">
        <v>50</v>
      </c>
      <c r="AF65" s="4" t="s">
        <v>41</v>
      </c>
      <c r="AG65" s="4" t="s">
        <v>225</v>
      </c>
    </row>
    <row r="66" spans="1:33" ht="16.5" customHeight="1" x14ac:dyDescent="0.15">
      <c r="A66" s="2" t="s">
        <v>31</v>
      </c>
      <c r="B66" s="5" t="s">
        <v>32</v>
      </c>
      <c r="C66" s="5"/>
      <c r="D66" s="5"/>
      <c r="E66" s="6" t="s">
        <v>33</v>
      </c>
      <c r="F66" s="6"/>
      <c r="G66" s="7" t="s">
        <v>222</v>
      </c>
      <c r="H66" s="7"/>
      <c r="I66" s="7"/>
      <c r="J66" s="3" t="s">
        <v>35</v>
      </c>
      <c r="K66" s="4" t="s">
        <v>107</v>
      </c>
      <c r="L66" s="4" t="s">
        <v>37</v>
      </c>
      <c r="N66" s="7" t="s">
        <v>226</v>
      </c>
      <c r="O66" s="7"/>
      <c r="P66" s="7" t="s">
        <v>227</v>
      </c>
      <c r="Q66" s="7"/>
      <c r="R66" s="7"/>
      <c r="S66" s="3" t="s">
        <v>40</v>
      </c>
      <c r="T66" s="7" t="s">
        <v>41</v>
      </c>
      <c r="U66" s="7"/>
      <c r="V66" s="4" t="s">
        <v>42</v>
      </c>
      <c r="W66" s="4" t="s">
        <v>228</v>
      </c>
      <c r="X66" s="4" t="s">
        <v>229</v>
      </c>
      <c r="Y66" s="7" t="s">
        <v>58</v>
      </c>
      <c r="Z66" s="7"/>
      <c r="AA66" s="4" t="s">
        <v>46</v>
      </c>
      <c r="AB66" s="4" t="s">
        <v>47</v>
      </c>
      <c r="AC66" s="4" t="s">
        <v>59</v>
      </c>
      <c r="AD66" s="4" t="s">
        <v>60</v>
      </c>
      <c r="AE66" s="4" t="s">
        <v>50</v>
      </c>
      <c r="AF66" s="4" t="s">
        <v>41</v>
      </c>
      <c r="AG66" s="4" t="s">
        <v>225</v>
      </c>
    </row>
    <row r="67" spans="1:33" ht="16.5" customHeight="1" x14ac:dyDescent="0.15">
      <c r="A67" s="2" t="s">
        <v>31</v>
      </c>
      <c r="B67" s="5" t="s">
        <v>32</v>
      </c>
      <c r="C67" s="5"/>
      <c r="D67" s="5"/>
      <c r="E67" s="6" t="s">
        <v>33</v>
      </c>
      <c r="F67" s="6"/>
      <c r="G67" s="7" t="s">
        <v>222</v>
      </c>
      <c r="H67" s="7"/>
      <c r="I67" s="7"/>
      <c r="J67" s="3" t="s">
        <v>35</v>
      </c>
      <c r="K67" s="4" t="s">
        <v>53</v>
      </c>
      <c r="L67" s="4" t="s">
        <v>37</v>
      </c>
      <c r="N67" s="7" t="s">
        <v>230</v>
      </c>
      <c r="O67" s="7"/>
      <c r="P67" s="7" t="s">
        <v>231</v>
      </c>
      <c r="Q67" s="7"/>
      <c r="R67" s="7"/>
      <c r="S67" s="3" t="s">
        <v>40</v>
      </c>
      <c r="T67" s="7" t="s">
        <v>41</v>
      </c>
      <c r="U67" s="7"/>
      <c r="V67" s="4" t="s">
        <v>42</v>
      </c>
      <c r="W67" s="4" t="s">
        <v>228</v>
      </c>
      <c r="X67" s="4" t="s">
        <v>229</v>
      </c>
      <c r="Y67" s="7" t="s">
        <v>58</v>
      </c>
      <c r="Z67" s="7"/>
      <c r="AA67" s="4" t="s">
        <v>46</v>
      </c>
      <c r="AB67" s="4" t="s">
        <v>47</v>
      </c>
      <c r="AC67" s="4" t="s">
        <v>59</v>
      </c>
      <c r="AD67" s="4" t="s">
        <v>60</v>
      </c>
      <c r="AE67" s="4" t="s">
        <v>50</v>
      </c>
      <c r="AF67" s="4" t="s">
        <v>41</v>
      </c>
      <c r="AG67" s="4" t="s">
        <v>225</v>
      </c>
    </row>
    <row r="68" spans="1:33" ht="16.5" customHeight="1" x14ac:dyDescent="0.15">
      <c r="A68" s="2" t="s">
        <v>31</v>
      </c>
      <c r="B68" s="5" t="s">
        <v>32</v>
      </c>
      <c r="C68" s="5"/>
      <c r="D68" s="5"/>
      <c r="E68" s="6" t="s">
        <v>33</v>
      </c>
      <c r="F68" s="6"/>
      <c r="G68" s="7" t="s">
        <v>232</v>
      </c>
      <c r="H68" s="7"/>
      <c r="I68" s="7"/>
      <c r="J68" s="3" t="s">
        <v>35</v>
      </c>
      <c r="K68" s="4" t="s">
        <v>157</v>
      </c>
      <c r="L68" s="4" t="s">
        <v>37</v>
      </c>
      <c r="N68" s="7" t="s">
        <v>233</v>
      </c>
      <c r="O68" s="7"/>
      <c r="P68" s="7" t="s">
        <v>234</v>
      </c>
      <c r="Q68" s="7"/>
      <c r="R68" s="7"/>
      <c r="S68" s="3" t="s">
        <v>40</v>
      </c>
      <c r="T68" s="7" t="s">
        <v>41</v>
      </c>
      <c r="U68" s="7"/>
      <c r="V68" s="4" t="s">
        <v>42</v>
      </c>
      <c r="W68" s="4" t="s">
        <v>235</v>
      </c>
      <c r="X68" s="4" t="s">
        <v>236</v>
      </c>
      <c r="Y68" s="7" t="s">
        <v>58</v>
      </c>
      <c r="Z68" s="7"/>
      <c r="AA68" s="4" t="s">
        <v>46</v>
      </c>
      <c r="AB68" s="4" t="s">
        <v>47</v>
      </c>
      <c r="AC68" s="4" t="s">
        <v>59</v>
      </c>
      <c r="AD68" s="4" t="s">
        <v>60</v>
      </c>
      <c r="AE68" s="4" t="s">
        <v>50</v>
      </c>
      <c r="AF68" s="4" t="s">
        <v>41</v>
      </c>
      <c r="AG68" s="4" t="s">
        <v>237</v>
      </c>
    </row>
    <row r="69" spans="1:33" ht="16.5" customHeight="1" x14ac:dyDescent="0.15">
      <c r="A69" s="2" t="s">
        <v>31</v>
      </c>
      <c r="B69" s="5" t="s">
        <v>32</v>
      </c>
      <c r="C69" s="5"/>
      <c r="D69" s="5"/>
      <c r="E69" s="6" t="s">
        <v>33</v>
      </c>
      <c r="F69" s="6"/>
      <c r="G69" s="7" t="s">
        <v>232</v>
      </c>
      <c r="H69" s="7"/>
      <c r="I69" s="7"/>
      <c r="J69" s="3" t="s">
        <v>35</v>
      </c>
      <c r="K69" s="4" t="s">
        <v>238</v>
      </c>
      <c r="L69" s="4" t="s">
        <v>37</v>
      </c>
      <c r="N69" s="7" t="s">
        <v>239</v>
      </c>
      <c r="O69" s="7"/>
      <c r="P69" s="7" t="s">
        <v>240</v>
      </c>
      <c r="Q69" s="7"/>
      <c r="R69" s="7"/>
      <c r="S69" s="3" t="s">
        <v>40</v>
      </c>
      <c r="T69" s="7" t="s">
        <v>41</v>
      </c>
      <c r="U69" s="7"/>
      <c r="V69" s="4" t="s">
        <v>42</v>
      </c>
      <c r="W69" s="4" t="s">
        <v>43</v>
      </c>
      <c r="X69" s="4" t="s">
        <v>44</v>
      </c>
      <c r="Y69" s="7" t="s">
        <v>45</v>
      </c>
      <c r="Z69" s="7"/>
      <c r="AA69" s="4" t="s">
        <v>46</v>
      </c>
      <c r="AB69" s="4" t="s">
        <v>47</v>
      </c>
      <c r="AC69" s="4" t="s">
        <v>48</v>
      </c>
      <c r="AD69" s="4" t="s">
        <v>49</v>
      </c>
      <c r="AE69" s="4" t="s">
        <v>50</v>
      </c>
      <c r="AF69" s="4" t="s">
        <v>41</v>
      </c>
      <c r="AG69" s="4" t="s">
        <v>237</v>
      </c>
    </row>
    <row r="70" spans="1:33" ht="16.5" customHeight="1" x14ac:dyDescent="0.15">
      <c r="A70" s="2" t="s">
        <v>31</v>
      </c>
      <c r="B70" s="5" t="s">
        <v>32</v>
      </c>
      <c r="C70" s="5"/>
      <c r="D70" s="5"/>
      <c r="E70" s="6" t="s">
        <v>33</v>
      </c>
      <c r="F70" s="6"/>
      <c r="G70" s="7" t="s">
        <v>232</v>
      </c>
      <c r="H70" s="7"/>
      <c r="I70" s="7"/>
      <c r="J70" s="3" t="s">
        <v>35</v>
      </c>
      <c r="K70" s="4" t="s">
        <v>104</v>
      </c>
      <c r="L70" s="4" t="s">
        <v>67</v>
      </c>
      <c r="N70" s="7" t="s">
        <v>241</v>
      </c>
      <c r="O70" s="7"/>
      <c r="P70" s="7" t="s">
        <v>242</v>
      </c>
      <c r="Q70" s="7"/>
      <c r="R70" s="7"/>
      <c r="S70" s="3" t="s">
        <v>40</v>
      </c>
      <c r="T70" s="7" t="s">
        <v>41</v>
      </c>
      <c r="U70" s="7"/>
      <c r="V70" s="4" t="s">
        <v>42</v>
      </c>
      <c r="W70" s="4" t="s">
        <v>243</v>
      </c>
      <c r="X70" s="4" t="s">
        <v>244</v>
      </c>
      <c r="Y70" s="7" t="s">
        <v>58</v>
      </c>
      <c r="Z70" s="7"/>
      <c r="AA70" s="4" t="s">
        <v>46</v>
      </c>
      <c r="AB70" s="4" t="s">
        <v>47</v>
      </c>
      <c r="AC70" s="4" t="s">
        <v>59</v>
      </c>
      <c r="AD70" s="4" t="s">
        <v>135</v>
      </c>
      <c r="AE70" s="4" t="s">
        <v>50</v>
      </c>
      <c r="AF70" s="4" t="s">
        <v>41</v>
      </c>
      <c r="AG70" s="4" t="s">
        <v>237</v>
      </c>
    </row>
    <row r="71" spans="1:33" ht="16.5" customHeight="1" x14ac:dyDescent="0.15">
      <c r="A71" s="2" t="s">
        <v>31</v>
      </c>
      <c r="B71" s="5" t="s">
        <v>32</v>
      </c>
      <c r="C71" s="5"/>
      <c r="D71" s="5"/>
      <c r="E71" s="6" t="s">
        <v>33</v>
      </c>
      <c r="F71" s="6"/>
      <c r="G71" s="7" t="s">
        <v>245</v>
      </c>
      <c r="H71" s="7"/>
      <c r="I71" s="7"/>
      <c r="J71" s="3" t="s">
        <v>35</v>
      </c>
      <c r="K71" s="4" t="s">
        <v>36</v>
      </c>
      <c r="L71" s="4" t="s">
        <v>246</v>
      </c>
      <c r="N71" s="7" t="s">
        <v>247</v>
      </c>
      <c r="O71" s="7"/>
      <c r="P71" s="7" t="s">
        <v>248</v>
      </c>
      <c r="Q71" s="7"/>
      <c r="R71" s="7"/>
      <c r="S71" s="3" t="s">
        <v>40</v>
      </c>
      <c r="T71" s="7" t="s">
        <v>41</v>
      </c>
      <c r="U71" s="7"/>
      <c r="V71" s="4" t="s">
        <v>42</v>
      </c>
      <c r="W71" s="4" t="s">
        <v>172</v>
      </c>
      <c r="X71" s="4" t="s">
        <v>173</v>
      </c>
      <c r="Y71" s="7" t="s">
        <v>45</v>
      </c>
      <c r="Z71" s="7"/>
      <c r="AA71" s="4" t="s">
        <v>46</v>
      </c>
      <c r="AB71" s="4" t="s">
        <v>47</v>
      </c>
      <c r="AC71" s="4" t="s">
        <v>48</v>
      </c>
      <c r="AD71" s="4" t="s">
        <v>156</v>
      </c>
      <c r="AE71" s="4" t="s">
        <v>50</v>
      </c>
      <c r="AF71" s="4" t="s">
        <v>41</v>
      </c>
      <c r="AG71" s="4" t="s">
        <v>249</v>
      </c>
    </row>
    <row r="72" spans="1:33" ht="16.5" customHeight="1" x14ac:dyDescent="0.15">
      <c r="A72" s="2" t="s">
        <v>31</v>
      </c>
      <c r="B72" s="5" t="s">
        <v>32</v>
      </c>
      <c r="C72" s="5"/>
      <c r="D72" s="5"/>
      <c r="E72" s="6" t="s">
        <v>33</v>
      </c>
      <c r="F72" s="6"/>
      <c r="G72" s="7" t="s">
        <v>250</v>
      </c>
      <c r="H72" s="7"/>
      <c r="I72" s="7"/>
      <c r="J72" s="3" t="s">
        <v>35</v>
      </c>
      <c r="K72" s="4" t="s">
        <v>80</v>
      </c>
      <c r="L72" s="4" t="s">
        <v>37</v>
      </c>
      <c r="N72" s="7" t="s">
        <v>251</v>
      </c>
      <c r="O72" s="7"/>
      <c r="P72" s="7" t="s">
        <v>252</v>
      </c>
      <c r="Q72" s="7"/>
      <c r="R72" s="7"/>
      <c r="S72" s="3" t="s">
        <v>40</v>
      </c>
      <c r="T72" s="7" t="s">
        <v>41</v>
      </c>
      <c r="U72" s="7"/>
      <c r="V72" s="4" t="s">
        <v>42</v>
      </c>
      <c r="W72" s="4" t="s">
        <v>128</v>
      </c>
      <c r="X72" s="4" t="s">
        <v>129</v>
      </c>
      <c r="Y72" s="7" t="s">
        <v>58</v>
      </c>
      <c r="Z72" s="7"/>
      <c r="AA72" s="4" t="s">
        <v>46</v>
      </c>
      <c r="AB72" s="4" t="s">
        <v>47</v>
      </c>
      <c r="AC72" s="4" t="s">
        <v>59</v>
      </c>
      <c r="AD72" s="4" t="s">
        <v>60</v>
      </c>
      <c r="AE72" s="4" t="s">
        <v>50</v>
      </c>
      <c r="AF72" s="4" t="s">
        <v>41</v>
      </c>
      <c r="AG72" s="4" t="s">
        <v>253</v>
      </c>
    </row>
    <row r="73" spans="1:33" ht="16.5" customHeight="1" x14ac:dyDescent="0.15">
      <c r="A73" s="2" t="s">
        <v>31</v>
      </c>
      <c r="B73" s="5" t="s">
        <v>32</v>
      </c>
      <c r="C73" s="5"/>
      <c r="D73" s="5"/>
      <c r="E73" s="6" t="s">
        <v>33</v>
      </c>
      <c r="F73" s="6"/>
      <c r="G73" s="7" t="s">
        <v>254</v>
      </c>
      <c r="H73" s="7"/>
      <c r="I73" s="7"/>
      <c r="J73" s="3" t="s">
        <v>35</v>
      </c>
      <c r="K73" s="4" t="s">
        <v>107</v>
      </c>
      <c r="L73" s="4" t="s">
        <v>37</v>
      </c>
      <c r="N73" s="7" t="s">
        <v>255</v>
      </c>
      <c r="O73" s="7"/>
      <c r="P73" s="7" t="s">
        <v>256</v>
      </c>
      <c r="Q73" s="7"/>
      <c r="R73" s="7"/>
      <c r="S73" s="3" t="s">
        <v>40</v>
      </c>
      <c r="T73" s="7" t="s">
        <v>41</v>
      </c>
      <c r="U73" s="7"/>
      <c r="V73" s="4" t="s">
        <v>119</v>
      </c>
      <c r="W73" s="4" t="s">
        <v>43</v>
      </c>
      <c r="X73" s="4" t="s">
        <v>257</v>
      </c>
      <c r="Y73" s="7" t="s">
        <v>58</v>
      </c>
      <c r="Z73" s="7"/>
      <c r="AA73" s="4" t="s">
        <v>46</v>
      </c>
      <c r="AB73" s="4" t="s">
        <v>47</v>
      </c>
      <c r="AC73" s="4" t="s">
        <v>59</v>
      </c>
      <c r="AD73" s="4" t="s">
        <v>60</v>
      </c>
      <c r="AE73" s="4" t="s">
        <v>50</v>
      </c>
      <c r="AF73" s="4" t="s">
        <v>41</v>
      </c>
      <c r="AG73" s="4" t="s">
        <v>258</v>
      </c>
    </row>
    <row r="74" spans="1:33" ht="16.5" customHeight="1" x14ac:dyDescent="0.15">
      <c r="A74" s="2" t="s">
        <v>31</v>
      </c>
      <c r="B74" s="5" t="s">
        <v>32</v>
      </c>
      <c r="C74" s="5"/>
      <c r="D74" s="5"/>
      <c r="E74" s="6" t="s">
        <v>33</v>
      </c>
      <c r="F74" s="6"/>
      <c r="G74" s="7" t="s">
        <v>254</v>
      </c>
      <c r="H74" s="7"/>
      <c r="I74" s="7"/>
      <c r="J74" s="3" t="s">
        <v>35</v>
      </c>
      <c r="K74" s="4" t="s">
        <v>107</v>
      </c>
      <c r="L74" s="4" t="s">
        <v>37</v>
      </c>
      <c r="N74" s="7" t="s">
        <v>255</v>
      </c>
      <c r="O74" s="7"/>
      <c r="P74" s="7" t="s">
        <v>256</v>
      </c>
      <c r="Q74" s="7"/>
      <c r="R74" s="7"/>
      <c r="S74" s="3" t="s">
        <v>40</v>
      </c>
      <c r="T74" s="7" t="s">
        <v>41</v>
      </c>
      <c r="U74" s="7"/>
      <c r="V74" s="4" t="s">
        <v>56</v>
      </c>
      <c r="W74" s="4" t="s">
        <v>43</v>
      </c>
      <c r="X74" s="4" t="s">
        <v>212</v>
      </c>
      <c r="Y74" s="7" t="s">
        <v>58</v>
      </c>
      <c r="Z74" s="7"/>
      <c r="AA74" s="4" t="s">
        <v>46</v>
      </c>
      <c r="AB74" s="4" t="s">
        <v>47</v>
      </c>
      <c r="AC74" s="4" t="s">
        <v>59</v>
      </c>
      <c r="AD74" s="4" t="s">
        <v>60</v>
      </c>
      <c r="AE74" s="4" t="s">
        <v>50</v>
      </c>
      <c r="AF74" s="4" t="s">
        <v>41</v>
      </c>
      <c r="AG74" s="4" t="s">
        <v>258</v>
      </c>
    </row>
    <row r="75" spans="1:33" ht="16.5" customHeight="1" x14ac:dyDescent="0.15">
      <c r="A75" s="2" t="s">
        <v>31</v>
      </c>
      <c r="B75" s="5" t="s">
        <v>32</v>
      </c>
      <c r="C75" s="5"/>
      <c r="D75" s="5"/>
      <c r="E75" s="6" t="s">
        <v>33</v>
      </c>
      <c r="F75" s="6"/>
      <c r="G75" s="7" t="s">
        <v>254</v>
      </c>
      <c r="H75" s="7"/>
      <c r="I75" s="7"/>
      <c r="J75" s="3" t="s">
        <v>35</v>
      </c>
      <c r="K75" s="4" t="s">
        <v>80</v>
      </c>
      <c r="L75" s="4" t="s">
        <v>116</v>
      </c>
      <c r="N75" s="7" t="s">
        <v>259</v>
      </c>
      <c r="O75" s="7"/>
      <c r="P75" s="7" t="s">
        <v>260</v>
      </c>
      <c r="Q75" s="7"/>
      <c r="R75" s="7"/>
      <c r="S75" s="3" t="s">
        <v>40</v>
      </c>
      <c r="T75" s="7" t="s">
        <v>41</v>
      </c>
      <c r="U75" s="7"/>
      <c r="V75" s="4" t="s">
        <v>119</v>
      </c>
      <c r="W75" s="4" t="s">
        <v>77</v>
      </c>
      <c r="X75" s="4" t="s">
        <v>161</v>
      </c>
      <c r="Y75" s="7" t="s">
        <v>58</v>
      </c>
      <c r="Z75" s="7"/>
      <c r="AA75" s="4" t="s">
        <v>46</v>
      </c>
      <c r="AB75" s="4" t="s">
        <v>47</v>
      </c>
      <c r="AC75" s="4" t="s">
        <v>59</v>
      </c>
      <c r="AD75" s="4" t="s">
        <v>121</v>
      </c>
      <c r="AE75" s="4" t="s">
        <v>50</v>
      </c>
      <c r="AF75" s="4" t="s">
        <v>41</v>
      </c>
      <c r="AG75" s="4" t="s">
        <v>258</v>
      </c>
    </row>
    <row r="76" spans="1:33" ht="16.5" customHeight="1" x14ac:dyDescent="0.15">
      <c r="A76" s="2" t="s">
        <v>31</v>
      </c>
      <c r="B76" s="5" t="s">
        <v>32</v>
      </c>
      <c r="C76" s="5"/>
      <c r="D76" s="5"/>
      <c r="E76" s="6" t="s">
        <v>33</v>
      </c>
      <c r="F76" s="6"/>
      <c r="G76" s="7" t="s">
        <v>254</v>
      </c>
      <c r="H76" s="7"/>
      <c r="I76" s="7"/>
      <c r="J76" s="3" t="s">
        <v>35</v>
      </c>
      <c r="K76" s="4" t="s">
        <v>91</v>
      </c>
      <c r="L76" s="4" t="s">
        <v>37</v>
      </c>
      <c r="N76" s="7" t="s">
        <v>261</v>
      </c>
      <c r="O76" s="7"/>
      <c r="P76" s="7" t="s">
        <v>262</v>
      </c>
      <c r="Q76" s="7"/>
      <c r="R76" s="7"/>
      <c r="S76" s="3" t="s">
        <v>40</v>
      </c>
      <c r="T76" s="7" t="s">
        <v>41</v>
      </c>
      <c r="U76" s="7"/>
      <c r="V76" s="4" t="s">
        <v>42</v>
      </c>
      <c r="W76" s="4" t="s">
        <v>263</v>
      </c>
      <c r="X76" s="4" t="s">
        <v>264</v>
      </c>
      <c r="Y76" s="7" t="s">
        <v>58</v>
      </c>
      <c r="Z76" s="7"/>
      <c r="AA76" s="4" t="s">
        <v>46</v>
      </c>
      <c r="AB76" s="4" t="s">
        <v>47</v>
      </c>
      <c r="AC76" s="4" t="s">
        <v>59</v>
      </c>
      <c r="AD76" s="4" t="s">
        <v>60</v>
      </c>
      <c r="AE76" s="4" t="s">
        <v>50</v>
      </c>
      <c r="AF76" s="4" t="s">
        <v>41</v>
      </c>
      <c r="AG76" s="4" t="s">
        <v>258</v>
      </c>
    </row>
    <row r="77" spans="1:33" ht="16.5" customHeight="1" x14ac:dyDescent="0.15">
      <c r="A77" s="2" t="s">
        <v>31</v>
      </c>
      <c r="B77" s="5" t="s">
        <v>32</v>
      </c>
      <c r="C77" s="5"/>
      <c r="D77" s="5"/>
      <c r="E77" s="6" t="s">
        <v>33</v>
      </c>
      <c r="F77" s="6"/>
      <c r="G77" s="7" t="s">
        <v>254</v>
      </c>
      <c r="H77" s="7"/>
      <c r="I77" s="7"/>
      <c r="J77" s="3" t="s">
        <v>35</v>
      </c>
      <c r="K77" s="4" t="s">
        <v>199</v>
      </c>
      <c r="L77" s="4" t="s">
        <v>74</v>
      </c>
      <c r="N77" s="7" t="s">
        <v>265</v>
      </c>
      <c r="O77" s="7"/>
      <c r="P77" s="7" t="s">
        <v>266</v>
      </c>
      <c r="Q77" s="7"/>
      <c r="R77" s="7"/>
      <c r="S77" s="3" t="s">
        <v>40</v>
      </c>
      <c r="T77" s="7" t="s">
        <v>41</v>
      </c>
      <c r="U77" s="7"/>
      <c r="V77" s="4" t="s">
        <v>42</v>
      </c>
      <c r="W77" s="4" t="s">
        <v>98</v>
      </c>
      <c r="X77" s="4" t="s">
        <v>99</v>
      </c>
      <c r="Y77" s="7" t="s">
        <v>45</v>
      </c>
      <c r="Z77" s="7"/>
      <c r="AA77" s="4" t="s">
        <v>46</v>
      </c>
      <c r="AB77" s="4" t="s">
        <v>47</v>
      </c>
      <c r="AC77" s="4" t="s">
        <v>48</v>
      </c>
      <c r="AD77" s="4" t="s">
        <v>267</v>
      </c>
      <c r="AE77" s="4" t="s">
        <v>50</v>
      </c>
      <c r="AF77" s="4" t="s">
        <v>41</v>
      </c>
      <c r="AG77" s="4" t="s">
        <v>258</v>
      </c>
    </row>
    <row r="78" spans="1:33" ht="16.5" customHeight="1" x14ac:dyDescent="0.15">
      <c r="A78" s="2" t="s">
        <v>31</v>
      </c>
      <c r="B78" s="5" t="s">
        <v>32</v>
      </c>
      <c r="C78" s="5"/>
      <c r="D78" s="5"/>
      <c r="E78" s="6" t="s">
        <v>33</v>
      </c>
      <c r="F78" s="6"/>
      <c r="G78" s="7" t="s">
        <v>268</v>
      </c>
      <c r="H78" s="7"/>
      <c r="I78" s="7"/>
      <c r="J78" s="3" t="s">
        <v>35</v>
      </c>
      <c r="K78" s="4" t="s">
        <v>104</v>
      </c>
      <c r="L78" s="4" t="s">
        <v>37</v>
      </c>
      <c r="N78" s="7" t="s">
        <v>269</v>
      </c>
      <c r="O78" s="7"/>
      <c r="P78" s="7" t="s">
        <v>270</v>
      </c>
      <c r="Q78" s="7"/>
      <c r="R78" s="7"/>
      <c r="S78" s="3" t="s">
        <v>40</v>
      </c>
      <c r="T78" s="7" t="s">
        <v>41</v>
      </c>
      <c r="U78" s="7"/>
      <c r="V78" s="4" t="s">
        <v>42</v>
      </c>
      <c r="W78" s="4" t="s">
        <v>77</v>
      </c>
      <c r="X78" s="4" t="s">
        <v>78</v>
      </c>
      <c r="Y78" s="7" t="s">
        <v>58</v>
      </c>
      <c r="Z78" s="7"/>
      <c r="AA78" s="4" t="s">
        <v>46</v>
      </c>
      <c r="AB78" s="4" t="s">
        <v>47</v>
      </c>
      <c r="AC78" s="4" t="s">
        <v>59</v>
      </c>
      <c r="AD78" s="4" t="s">
        <v>60</v>
      </c>
      <c r="AE78" s="4" t="s">
        <v>50</v>
      </c>
      <c r="AF78" s="4" t="s">
        <v>41</v>
      </c>
      <c r="AG78" s="4" t="s">
        <v>271</v>
      </c>
    </row>
    <row r="79" spans="1:33" ht="16.5" customHeight="1" x14ac:dyDescent="0.15">
      <c r="A79" s="2" t="s">
        <v>31</v>
      </c>
      <c r="B79" s="5" t="s">
        <v>32</v>
      </c>
      <c r="C79" s="5"/>
      <c r="D79" s="5"/>
      <c r="E79" s="6" t="s">
        <v>33</v>
      </c>
      <c r="F79" s="6"/>
      <c r="G79" s="7" t="s">
        <v>268</v>
      </c>
      <c r="H79" s="7"/>
      <c r="I79" s="7"/>
      <c r="J79" s="3" t="s">
        <v>35</v>
      </c>
      <c r="K79" s="4" t="s">
        <v>104</v>
      </c>
      <c r="L79" s="4" t="s">
        <v>74</v>
      </c>
      <c r="N79" s="7" t="s">
        <v>272</v>
      </c>
      <c r="O79" s="7"/>
      <c r="P79" s="7" t="s">
        <v>273</v>
      </c>
      <c r="Q79" s="7"/>
      <c r="R79" s="7"/>
      <c r="S79" s="3" t="s">
        <v>40</v>
      </c>
      <c r="T79" s="7" t="s">
        <v>41</v>
      </c>
      <c r="U79" s="7"/>
      <c r="V79" s="4" t="s">
        <v>42</v>
      </c>
      <c r="W79" s="4" t="s">
        <v>98</v>
      </c>
      <c r="X79" s="4" t="s">
        <v>99</v>
      </c>
      <c r="Y79" s="7" t="s">
        <v>58</v>
      </c>
      <c r="Z79" s="7"/>
      <c r="AA79" s="4" t="s">
        <v>46</v>
      </c>
      <c r="AB79" s="4" t="s">
        <v>47</v>
      </c>
      <c r="AC79" s="4" t="s">
        <v>59</v>
      </c>
      <c r="AD79" s="4" t="s">
        <v>79</v>
      </c>
      <c r="AE79" s="4" t="s">
        <v>50</v>
      </c>
      <c r="AF79" s="4" t="s">
        <v>41</v>
      </c>
      <c r="AG79" s="4" t="s">
        <v>271</v>
      </c>
    </row>
    <row r="80" spans="1:33" ht="16.5" customHeight="1" x14ac:dyDescent="0.15">
      <c r="A80" s="2" t="s">
        <v>31</v>
      </c>
      <c r="B80" s="5" t="s">
        <v>32</v>
      </c>
      <c r="C80" s="5"/>
      <c r="D80" s="5"/>
      <c r="E80" s="6" t="s">
        <v>33</v>
      </c>
      <c r="F80" s="6"/>
      <c r="G80" s="7" t="s">
        <v>268</v>
      </c>
      <c r="H80" s="7"/>
      <c r="I80" s="7"/>
      <c r="J80" s="3" t="s">
        <v>35</v>
      </c>
      <c r="K80" s="4" t="s">
        <v>73</v>
      </c>
      <c r="L80" s="4" t="s">
        <v>37</v>
      </c>
      <c r="N80" s="7" t="s">
        <v>274</v>
      </c>
      <c r="O80" s="7"/>
      <c r="P80" s="7" t="s">
        <v>275</v>
      </c>
      <c r="Q80" s="7"/>
      <c r="R80" s="7"/>
      <c r="S80" s="3" t="s">
        <v>40</v>
      </c>
      <c r="T80" s="7" t="s">
        <v>41</v>
      </c>
      <c r="U80" s="7"/>
      <c r="V80" s="4" t="s">
        <v>42</v>
      </c>
      <c r="W80" s="4" t="s">
        <v>276</v>
      </c>
      <c r="X80" s="4" t="s">
        <v>277</v>
      </c>
      <c r="Y80" s="7" t="s">
        <v>58</v>
      </c>
      <c r="Z80" s="7"/>
      <c r="AA80" s="4" t="s">
        <v>46</v>
      </c>
      <c r="AB80" s="4" t="s">
        <v>47</v>
      </c>
      <c r="AC80" s="4" t="s">
        <v>59</v>
      </c>
      <c r="AD80" s="4" t="s">
        <v>60</v>
      </c>
      <c r="AE80" s="4" t="s">
        <v>50</v>
      </c>
      <c r="AF80" s="4" t="s">
        <v>41</v>
      </c>
      <c r="AG80" s="4" t="s">
        <v>271</v>
      </c>
    </row>
    <row r="81" spans="1:33" ht="16.5" customHeight="1" x14ac:dyDescent="0.15">
      <c r="A81" s="2" t="s">
        <v>31</v>
      </c>
      <c r="B81" s="5" t="s">
        <v>278</v>
      </c>
      <c r="C81" s="5"/>
      <c r="D81" s="5"/>
      <c r="E81" s="6" t="s">
        <v>33</v>
      </c>
      <c r="F81" s="6"/>
      <c r="G81" s="7" t="s">
        <v>268</v>
      </c>
      <c r="H81" s="7"/>
      <c r="I81" s="7"/>
      <c r="J81" s="3" t="s">
        <v>279</v>
      </c>
      <c r="K81" s="4" t="s">
        <v>280</v>
      </c>
      <c r="N81" s="7" t="s">
        <v>274</v>
      </c>
      <c r="O81" s="7"/>
      <c r="P81" s="7" t="s">
        <v>275</v>
      </c>
      <c r="Q81" s="7"/>
      <c r="R81" s="7"/>
      <c r="S81" s="3" t="s">
        <v>40</v>
      </c>
      <c r="T81" s="7" t="s">
        <v>281</v>
      </c>
      <c r="U81" s="7"/>
      <c r="V81" s="4" t="s">
        <v>42</v>
      </c>
      <c r="W81" s="4" t="s">
        <v>119</v>
      </c>
      <c r="X81" s="4" t="s">
        <v>277</v>
      </c>
      <c r="Y81" s="7" t="s">
        <v>282</v>
      </c>
      <c r="Z81" s="7"/>
      <c r="AA81" s="4" t="s">
        <v>46</v>
      </c>
      <c r="AB81" s="4" t="s">
        <v>283</v>
      </c>
      <c r="AC81" s="4" t="s">
        <v>284</v>
      </c>
      <c r="AD81" s="4" t="s">
        <v>285</v>
      </c>
      <c r="AE81" s="4" t="s">
        <v>50</v>
      </c>
      <c r="AF81" s="4" t="s">
        <v>41</v>
      </c>
      <c r="AG81" s="4" t="s">
        <v>271</v>
      </c>
    </row>
    <row r="82" spans="1:33" ht="16.5" customHeight="1" x14ac:dyDescent="0.15">
      <c r="A82" s="2" t="s">
        <v>31</v>
      </c>
      <c r="B82" s="5" t="s">
        <v>32</v>
      </c>
      <c r="C82" s="5"/>
      <c r="D82" s="5"/>
      <c r="E82" s="6" t="s">
        <v>33</v>
      </c>
      <c r="F82" s="6"/>
      <c r="G82" s="7" t="s">
        <v>268</v>
      </c>
      <c r="H82" s="7"/>
      <c r="I82" s="7"/>
      <c r="J82" s="3" t="s">
        <v>35</v>
      </c>
      <c r="K82" s="4" t="s">
        <v>73</v>
      </c>
      <c r="L82" s="4" t="s">
        <v>74</v>
      </c>
      <c r="N82" s="7" t="s">
        <v>286</v>
      </c>
      <c r="O82" s="7"/>
      <c r="P82" s="7" t="s">
        <v>287</v>
      </c>
      <c r="Q82" s="7"/>
      <c r="R82" s="7"/>
      <c r="S82" s="3" t="s">
        <v>40</v>
      </c>
      <c r="T82" s="7" t="s">
        <v>41</v>
      </c>
      <c r="U82" s="7"/>
      <c r="V82" s="4" t="s">
        <v>42</v>
      </c>
      <c r="W82" s="4" t="s">
        <v>288</v>
      </c>
      <c r="X82" s="4" t="s">
        <v>289</v>
      </c>
      <c r="Y82" s="7" t="s">
        <v>58</v>
      </c>
      <c r="Z82" s="7"/>
      <c r="AA82" s="4" t="s">
        <v>46</v>
      </c>
      <c r="AB82" s="4" t="s">
        <v>47</v>
      </c>
      <c r="AC82" s="4" t="s">
        <v>72</v>
      </c>
      <c r="AD82" s="4" t="s">
        <v>41</v>
      </c>
      <c r="AE82" s="4" t="s">
        <v>50</v>
      </c>
      <c r="AF82" s="4" t="s">
        <v>41</v>
      </c>
      <c r="AG82" s="4" t="s">
        <v>271</v>
      </c>
    </row>
    <row r="83" spans="1:33" ht="16.5" customHeight="1" x14ac:dyDescent="0.15">
      <c r="A83" s="2" t="s">
        <v>31</v>
      </c>
      <c r="B83" s="5" t="s">
        <v>32</v>
      </c>
      <c r="C83" s="5"/>
      <c r="D83" s="5"/>
      <c r="E83" s="6" t="s">
        <v>33</v>
      </c>
      <c r="F83" s="6"/>
      <c r="G83" s="7" t="s">
        <v>268</v>
      </c>
      <c r="H83" s="7"/>
      <c r="I83" s="7"/>
      <c r="J83" s="3" t="s">
        <v>35</v>
      </c>
      <c r="K83" s="4" t="s">
        <v>107</v>
      </c>
      <c r="L83" s="4" t="s">
        <v>37</v>
      </c>
      <c r="N83" s="7" t="s">
        <v>290</v>
      </c>
      <c r="O83" s="7"/>
      <c r="P83" s="7" t="s">
        <v>291</v>
      </c>
      <c r="Q83" s="7"/>
      <c r="R83" s="7"/>
      <c r="S83" s="3" t="s">
        <v>40</v>
      </c>
      <c r="T83" s="7" t="s">
        <v>41</v>
      </c>
      <c r="U83" s="7"/>
      <c r="V83" s="4" t="s">
        <v>42</v>
      </c>
      <c r="W83" s="4" t="s">
        <v>292</v>
      </c>
      <c r="X83" s="4" t="s">
        <v>293</v>
      </c>
      <c r="Y83" s="7" t="s">
        <v>58</v>
      </c>
      <c r="Z83" s="7"/>
      <c r="AA83" s="4" t="s">
        <v>46</v>
      </c>
      <c r="AB83" s="4" t="s">
        <v>47</v>
      </c>
      <c r="AC83" s="4" t="s">
        <v>59</v>
      </c>
      <c r="AD83" s="4" t="s">
        <v>60</v>
      </c>
      <c r="AE83" s="4" t="s">
        <v>50</v>
      </c>
      <c r="AF83" s="4" t="s">
        <v>41</v>
      </c>
      <c r="AG83" s="4" t="s">
        <v>271</v>
      </c>
    </row>
    <row r="84" spans="1:33" ht="16.5" customHeight="1" x14ac:dyDescent="0.15">
      <c r="A84" s="2" t="s">
        <v>31</v>
      </c>
      <c r="B84" s="5" t="s">
        <v>32</v>
      </c>
      <c r="C84" s="5"/>
      <c r="D84" s="5"/>
      <c r="E84" s="6" t="s">
        <v>33</v>
      </c>
      <c r="F84" s="6"/>
      <c r="G84" s="7" t="s">
        <v>268</v>
      </c>
      <c r="H84" s="7"/>
      <c r="I84" s="7"/>
      <c r="J84" s="3" t="s">
        <v>35</v>
      </c>
      <c r="K84" s="4" t="s">
        <v>73</v>
      </c>
      <c r="L84" s="4" t="s">
        <v>37</v>
      </c>
      <c r="N84" s="7" t="s">
        <v>294</v>
      </c>
      <c r="O84" s="7"/>
      <c r="P84" s="7" t="s">
        <v>295</v>
      </c>
      <c r="Q84" s="7"/>
      <c r="R84" s="7"/>
      <c r="S84" s="3" t="s">
        <v>40</v>
      </c>
      <c r="T84" s="7" t="s">
        <v>41</v>
      </c>
      <c r="U84" s="7"/>
      <c r="V84" s="4" t="s">
        <v>42</v>
      </c>
      <c r="W84" s="4" t="s">
        <v>98</v>
      </c>
      <c r="X84" s="4" t="s">
        <v>99</v>
      </c>
      <c r="Y84" s="7" t="s">
        <v>58</v>
      </c>
      <c r="Z84" s="7"/>
      <c r="AA84" s="4" t="s">
        <v>46</v>
      </c>
      <c r="AB84" s="4" t="s">
        <v>47</v>
      </c>
      <c r="AC84" s="4" t="s">
        <v>59</v>
      </c>
      <c r="AD84" s="4" t="s">
        <v>60</v>
      </c>
      <c r="AE84" s="4" t="s">
        <v>50</v>
      </c>
      <c r="AF84" s="4" t="s">
        <v>41</v>
      </c>
      <c r="AG84" s="4" t="s">
        <v>271</v>
      </c>
    </row>
    <row r="85" spans="1:33" ht="16.5" customHeight="1" x14ac:dyDescent="0.15">
      <c r="A85" s="2" t="s">
        <v>31</v>
      </c>
      <c r="B85" s="5" t="s">
        <v>32</v>
      </c>
      <c r="C85" s="5"/>
      <c r="D85" s="5"/>
      <c r="E85" s="6" t="s">
        <v>33</v>
      </c>
      <c r="F85" s="6"/>
      <c r="G85" s="7" t="s">
        <v>268</v>
      </c>
      <c r="H85" s="7"/>
      <c r="I85" s="7"/>
      <c r="J85" s="3" t="s">
        <v>35</v>
      </c>
      <c r="K85" s="4" t="s">
        <v>73</v>
      </c>
      <c r="L85" s="4" t="s">
        <v>37</v>
      </c>
      <c r="N85" s="7" t="s">
        <v>296</v>
      </c>
      <c r="O85" s="7"/>
      <c r="P85" s="7" t="s">
        <v>297</v>
      </c>
      <c r="Q85" s="7"/>
      <c r="R85" s="7"/>
      <c r="S85" s="3" t="s">
        <v>40</v>
      </c>
      <c r="T85" s="7" t="s">
        <v>41</v>
      </c>
      <c r="U85" s="7"/>
      <c r="V85" s="4" t="s">
        <v>42</v>
      </c>
      <c r="W85" s="4" t="s">
        <v>160</v>
      </c>
      <c r="X85" s="4" t="s">
        <v>161</v>
      </c>
      <c r="Y85" s="7" t="s">
        <v>58</v>
      </c>
      <c r="Z85" s="7"/>
      <c r="AA85" s="4" t="s">
        <v>46</v>
      </c>
      <c r="AB85" s="4" t="s">
        <v>47</v>
      </c>
      <c r="AC85" s="4" t="s">
        <v>59</v>
      </c>
      <c r="AD85" s="4" t="s">
        <v>60</v>
      </c>
      <c r="AE85" s="4" t="s">
        <v>50</v>
      </c>
      <c r="AF85" s="4" t="s">
        <v>41</v>
      </c>
      <c r="AG85" s="4" t="s">
        <v>271</v>
      </c>
    </row>
    <row r="86" spans="1:33" ht="6" customHeight="1" x14ac:dyDescent="0.15"/>
    <row r="87" spans="1:33" ht="12" customHeight="1" x14ac:dyDescent="0.15"/>
    <row r="88" spans="1:33" ht="16.5" customHeight="1" x14ac:dyDescent="0.15">
      <c r="A88" s="2" t="s">
        <v>31</v>
      </c>
      <c r="B88" s="5" t="s">
        <v>32</v>
      </c>
      <c r="C88" s="5"/>
      <c r="D88" s="5"/>
      <c r="E88" s="6" t="s">
        <v>33</v>
      </c>
      <c r="F88" s="6"/>
      <c r="G88" s="7" t="s">
        <v>268</v>
      </c>
      <c r="H88" s="7"/>
      <c r="I88" s="7"/>
      <c r="J88" s="3" t="s">
        <v>35</v>
      </c>
      <c r="K88" s="4" t="s">
        <v>104</v>
      </c>
      <c r="L88" s="4" t="s">
        <v>37</v>
      </c>
      <c r="N88" s="7" t="s">
        <v>298</v>
      </c>
      <c r="O88" s="7"/>
      <c r="P88" s="7" t="s">
        <v>299</v>
      </c>
      <c r="Q88" s="7"/>
      <c r="R88" s="7"/>
      <c r="S88" s="3" t="s">
        <v>40</v>
      </c>
      <c r="T88" s="7" t="s">
        <v>41</v>
      </c>
      <c r="U88" s="7"/>
      <c r="V88" s="4" t="s">
        <v>42</v>
      </c>
      <c r="W88" s="4" t="s">
        <v>98</v>
      </c>
      <c r="X88" s="4" t="s">
        <v>99</v>
      </c>
      <c r="Y88" s="7" t="s">
        <v>58</v>
      </c>
      <c r="Z88" s="7"/>
      <c r="AA88" s="4" t="s">
        <v>46</v>
      </c>
      <c r="AB88" s="4" t="s">
        <v>47</v>
      </c>
      <c r="AC88" s="4" t="s">
        <v>59</v>
      </c>
      <c r="AD88" s="4" t="s">
        <v>60</v>
      </c>
      <c r="AE88" s="4" t="s">
        <v>50</v>
      </c>
      <c r="AF88" s="4" t="s">
        <v>41</v>
      </c>
      <c r="AG88" s="4" t="s">
        <v>271</v>
      </c>
    </row>
    <row r="89" spans="1:33" ht="16.5" customHeight="1" x14ac:dyDescent="0.15">
      <c r="A89" s="2" t="s">
        <v>31</v>
      </c>
      <c r="B89" s="5" t="s">
        <v>32</v>
      </c>
      <c r="C89" s="5"/>
      <c r="D89" s="5"/>
      <c r="E89" s="6" t="s">
        <v>33</v>
      </c>
      <c r="F89" s="6"/>
      <c r="G89" s="7" t="s">
        <v>268</v>
      </c>
      <c r="H89" s="7"/>
      <c r="I89" s="7"/>
      <c r="J89" s="3" t="s">
        <v>35</v>
      </c>
      <c r="K89" s="4" t="s">
        <v>73</v>
      </c>
      <c r="L89" s="4" t="s">
        <v>63</v>
      </c>
      <c r="N89" s="7" t="s">
        <v>300</v>
      </c>
      <c r="O89" s="7"/>
      <c r="P89" s="7" t="s">
        <v>301</v>
      </c>
      <c r="Q89" s="7"/>
      <c r="R89" s="7"/>
      <c r="S89" s="3" t="s">
        <v>40</v>
      </c>
      <c r="T89" s="7" t="s">
        <v>41</v>
      </c>
      <c r="U89" s="7"/>
      <c r="V89" s="4" t="s">
        <v>42</v>
      </c>
      <c r="W89" s="4" t="s">
        <v>98</v>
      </c>
      <c r="X89" s="4" t="s">
        <v>99</v>
      </c>
      <c r="Y89" s="7" t="s">
        <v>58</v>
      </c>
      <c r="Z89" s="7"/>
      <c r="AA89" s="4" t="s">
        <v>46</v>
      </c>
      <c r="AB89" s="4" t="s">
        <v>47</v>
      </c>
      <c r="AC89" s="4" t="s">
        <v>59</v>
      </c>
      <c r="AD89" s="4" t="s">
        <v>156</v>
      </c>
      <c r="AE89" s="4" t="s">
        <v>50</v>
      </c>
      <c r="AF89" s="4" t="s">
        <v>41</v>
      </c>
      <c r="AG89" s="4" t="s">
        <v>271</v>
      </c>
    </row>
    <row r="90" spans="1:33" ht="16.5" customHeight="1" x14ac:dyDescent="0.15">
      <c r="A90" s="2" t="s">
        <v>31</v>
      </c>
      <c r="B90" s="5" t="s">
        <v>32</v>
      </c>
      <c r="C90" s="5"/>
      <c r="D90" s="5"/>
      <c r="E90" s="6" t="s">
        <v>33</v>
      </c>
      <c r="F90" s="6"/>
      <c r="G90" s="7" t="s">
        <v>268</v>
      </c>
      <c r="H90" s="7"/>
      <c r="I90" s="7"/>
      <c r="J90" s="3" t="s">
        <v>35</v>
      </c>
      <c r="K90" s="4" t="s">
        <v>238</v>
      </c>
      <c r="L90" s="4" t="s">
        <v>37</v>
      </c>
      <c r="N90" s="7" t="s">
        <v>302</v>
      </c>
      <c r="O90" s="7"/>
      <c r="P90" s="7" t="s">
        <v>303</v>
      </c>
      <c r="Q90" s="7"/>
      <c r="R90" s="7"/>
      <c r="S90" s="3" t="s">
        <v>40</v>
      </c>
      <c r="T90" s="7" t="s">
        <v>41</v>
      </c>
      <c r="U90" s="7"/>
      <c r="V90" s="4" t="s">
        <v>42</v>
      </c>
      <c r="W90" s="4" t="s">
        <v>70</v>
      </c>
      <c r="X90" s="4" t="s">
        <v>71</v>
      </c>
      <c r="Y90" s="7" t="s">
        <v>45</v>
      </c>
      <c r="Z90" s="7"/>
      <c r="AA90" s="4" t="s">
        <v>46</v>
      </c>
      <c r="AB90" s="4" t="s">
        <v>47</v>
      </c>
      <c r="AC90" s="4" t="s">
        <v>48</v>
      </c>
      <c r="AD90" s="4" t="s">
        <v>49</v>
      </c>
      <c r="AE90" s="4" t="s">
        <v>50</v>
      </c>
      <c r="AF90" s="4" t="s">
        <v>41</v>
      </c>
      <c r="AG90" s="4" t="s">
        <v>271</v>
      </c>
    </row>
    <row r="91" spans="1:33" ht="16.5" customHeight="1" x14ac:dyDescent="0.15">
      <c r="A91" s="2" t="s">
        <v>31</v>
      </c>
      <c r="B91" s="5" t="s">
        <v>32</v>
      </c>
      <c r="C91" s="5"/>
      <c r="D91" s="5"/>
      <c r="E91" s="6" t="s">
        <v>33</v>
      </c>
      <c r="F91" s="6"/>
      <c r="G91" s="7" t="s">
        <v>268</v>
      </c>
      <c r="H91" s="7"/>
      <c r="I91" s="7"/>
      <c r="J91" s="3" t="s">
        <v>35</v>
      </c>
      <c r="K91" s="4" t="s">
        <v>73</v>
      </c>
      <c r="L91" s="4" t="s">
        <v>74</v>
      </c>
      <c r="N91" s="7" t="s">
        <v>304</v>
      </c>
      <c r="O91" s="7"/>
      <c r="P91" s="7" t="s">
        <v>305</v>
      </c>
      <c r="Q91" s="7"/>
      <c r="R91" s="7"/>
      <c r="S91" s="3" t="s">
        <v>40</v>
      </c>
      <c r="T91" s="7" t="s">
        <v>41</v>
      </c>
      <c r="U91" s="7"/>
      <c r="V91" s="4" t="s">
        <v>42</v>
      </c>
      <c r="W91" s="4" t="s">
        <v>306</v>
      </c>
      <c r="X91" s="4" t="s">
        <v>307</v>
      </c>
      <c r="Y91" s="7" t="s">
        <v>58</v>
      </c>
      <c r="Z91" s="7"/>
      <c r="AA91" s="4" t="s">
        <v>46</v>
      </c>
      <c r="AB91" s="4" t="s">
        <v>47</v>
      </c>
      <c r="AC91" s="4" t="s">
        <v>59</v>
      </c>
      <c r="AD91" s="4" t="s">
        <v>79</v>
      </c>
      <c r="AE91" s="4" t="s">
        <v>50</v>
      </c>
      <c r="AF91" s="4" t="s">
        <v>41</v>
      </c>
      <c r="AG91" s="4" t="s">
        <v>271</v>
      </c>
    </row>
    <row r="92" spans="1:33" ht="16.5" customHeight="1" x14ac:dyDescent="0.15">
      <c r="A92" s="2" t="s">
        <v>31</v>
      </c>
      <c r="B92" s="5" t="s">
        <v>32</v>
      </c>
      <c r="C92" s="5"/>
      <c r="D92" s="5"/>
      <c r="E92" s="6" t="s">
        <v>33</v>
      </c>
      <c r="F92" s="6"/>
      <c r="G92" s="7" t="s">
        <v>268</v>
      </c>
      <c r="H92" s="7"/>
      <c r="I92" s="7"/>
      <c r="J92" s="3" t="s">
        <v>35</v>
      </c>
      <c r="K92" s="4" t="s">
        <v>107</v>
      </c>
      <c r="L92" s="4" t="s">
        <v>37</v>
      </c>
      <c r="N92" s="7" t="s">
        <v>308</v>
      </c>
      <c r="O92" s="7"/>
      <c r="P92" s="7" t="s">
        <v>309</v>
      </c>
      <c r="Q92" s="7"/>
      <c r="R92" s="7"/>
      <c r="S92" s="3" t="s">
        <v>40</v>
      </c>
      <c r="T92" s="7" t="s">
        <v>41</v>
      </c>
      <c r="U92" s="7"/>
      <c r="V92" s="4" t="s">
        <v>42</v>
      </c>
      <c r="W92" s="4" t="s">
        <v>77</v>
      </c>
      <c r="X92" s="4" t="s">
        <v>78</v>
      </c>
      <c r="Y92" s="7" t="s">
        <v>58</v>
      </c>
      <c r="Z92" s="7"/>
      <c r="AA92" s="4" t="s">
        <v>46</v>
      </c>
      <c r="AB92" s="4" t="s">
        <v>47</v>
      </c>
      <c r="AC92" s="4" t="s">
        <v>59</v>
      </c>
      <c r="AD92" s="4" t="s">
        <v>60</v>
      </c>
      <c r="AE92" s="4" t="s">
        <v>50</v>
      </c>
      <c r="AF92" s="4" t="s">
        <v>41</v>
      </c>
      <c r="AG92" s="4" t="s">
        <v>271</v>
      </c>
    </row>
    <row r="93" spans="1:33" ht="16.5" customHeight="1" x14ac:dyDescent="0.15">
      <c r="A93" s="2" t="s">
        <v>31</v>
      </c>
      <c r="B93" s="5" t="s">
        <v>32</v>
      </c>
      <c r="C93" s="5"/>
      <c r="D93" s="5"/>
      <c r="E93" s="6" t="s">
        <v>33</v>
      </c>
      <c r="F93" s="6"/>
      <c r="G93" s="7" t="s">
        <v>268</v>
      </c>
      <c r="H93" s="7"/>
      <c r="I93" s="7"/>
      <c r="J93" s="3" t="s">
        <v>35</v>
      </c>
      <c r="K93" s="4" t="s">
        <v>91</v>
      </c>
      <c r="L93" s="4" t="s">
        <v>37</v>
      </c>
      <c r="N93" s="7" t="s">
        <v>310</v>
      </c>
      <c r="O93" s="7"/>
      <c r="P93" s="7" t="s">
        <v>311</v>
      </c>
      <c r="Q93" s="7"/>
      <c r="R93" s="7"/>
      <c r="S93" s="3" t="s">
        <v>40</v>
      </c>
      <c r="T93" s="7" t="s">
        <v>41</v>
      </c>
      <c r="U93" s="7"/>
      <c r="V93" s="4" t="s">
        <v>42</v>
      </c>
      <c r="W93" s="4" t="s">
        <v>312</v>
      </c>
      <c r="X93" s="4" t="s">
        <v>313</v>
      </c>
      <c r="Y93" s="7" t="s">
        <v>58</v>
      </c>
      <c r="Z93" s="7"/>
      <c r="AA93" s="4" t="s">
        <v>46</v>
      </c>
      <c r="AB93" s="4" t="s">
        <v>47</v>
      </c>
      <c r="AC93" s="4" t="s">
        <v>59</v>
      </c>
      <c r="AD93" s="4" t="s">
        <v>60</v>
      </c>
      <c r="AE93" s="4" t="s">
        <v>50</v>
      </c>
      <c r="AF93" s="4" t="s">
        <v>41</v>
      </c>
      <c r="AG93" s="4" t="s">
        <v>271</v>
      </c>
    </row>
    <row r="94" spans="1:33" ht="16.5" customHeight="1" x14ac:dyDescent="0.15">
      <c r="A94" s="2" t="s">
        <v>31</v>
      </c>
      <c r="B94" s="5" t="s">
        <v>32</v>
      </c>
      <c r="C94" s="5"/>
      <c r="D94" s="5"/>
      <c r="E94" s="6" t="s">
        <v>33</v>
      </c>
      <c r="F94" s="6"/>
      <c r="G94" s="7" t="s">
        <v>268</v>
      </c>
      <c r="H94" s="7"/>
      <c r="I94" s="7"/>
      <c r="J94" s="3" t="s">
        <v>35</v>
      </c>
      <c r="K94" s="4" t="s">
        <v>73</v>
      </c>
      <c r="L94" s="4" t="s">
        <v>37</v>
      </c>
      <c r="N94" s="7" t="s">
        <v>314</v>
      </c>
      <c r="O94" s="7"/>
      <c r="P94" s="7" t="s">
        <v>315</v>
      </c>
      <c r="Q94" s="7"/>
      <c r="R94" s="7"/>
      <c r="S94" s="3" t="s">
        <v>40</v>
      </c>
      <c r="T94" s="7" t="s">
        <v>41</v>
      </c>
      <c r="U94" s="7"/>
      <c r="V94" s="4" t="s">
        <v>42</v>
      </c>
      <c r="W94" s="4" t="s">
        <v>292</v>
      </c>
      <c r="X94" s="4" t="s">
        <v>293</v>
      </c>
      <c r="Y94" s="7" t="s">
        <v>58</v>
      </c>
      <c r="Z94" s="7"/>
      <c r="AA94" s="4" t="s">
        <v>46</v>
      </c>
      <c r="AB94" s="4" t="s">
        <v>47</v>
      </c>
      <c r="AC94" s="4" t="s">
        <v>59</v>
      </c>
      <c r="AD94" s="4" t="s">
        <v>60</v>
      </c>
      <c r="AE94" s="4" t="s">
        <v>50</v>
      </c>
      <c r="AF94" s="4" t="s">
        <v>41</v>
      </c>
      <c r="AG94" s="4" t="s">
        <v>271</v>
      </c>
    </row>
    <row r="95" spans="1:33" ht="16.5" customHeight="1" x14ac:dyDescent="0.15">
      <c r="A95" s="2" t="s">
        <v>31</v>
      </c>
      <c r="B95" s="5" t="s">
        <v>32</v>
      </c>
      <c r="C95" s="5"/>
      <c r="D95" s="5"/>
      <c r="E95" s="6" t="s">
        <v>33</v>
      </c>
      <c r="F95" s="6"/>
      <c r="G95" s="7" t="s">
        <v>268</v>
      </c>
      <c r="H95" s="7"/>
      <c r="I95" s="7"/>
      <c r="J95" s="3" t="s">
        <v>35</v>
      </c>
      <c r="K95" s="4" t="s">
        <v>104</v>
      </c>
      <c r="L95" s="4" t="s">
        <v>74</v>
      </c>
      <c r="N95" s="7" t="s">
        <v>316</v>
      </c>
      <c r="O95" s="7"/>
      <c r="P95" s="7" t="s">
        <v>317</v>
      </c>
      <c r="Q95" s="7"/>
      <c r="R95" s="7"/>
      <c r="S95" s="3" t="s">
        <v>40</v>
      </c>
      <c r="T95" s="7" t="s">
        <v>41</v>
      </c>
      <c r="U95" s="7"/>
      <c r="V95" s="4" t="s">
        <v>42</v>
      </c>
      <c r="W95" s="4" t="s">
        <v>263</v>
      </c>
      <c r="X95" s="4" t="s">
        <v>264</v>
      </c>
      <c r="Y95" s="7" t="s">
        <v>58</v>
      </c>
      <c r="Z95" s="7"/>
      <c r="AA95" s="4" t="s">
        <v>46</v>
      </c>
      <c r="AB95" s="4" t="s">
        <v>47</v>
      </c>
      <c r="AC95" s="4" t="s">
        <v>59</v>
      </c>
      <c r="AD95" s="4" t="s">
        <v>79</v>
      </c>
      <c r="AE95" s="4" t="s">
        <v>50</v>
      </c>
      <c r="AF95" s="4" t="s">
        <v>41</v>
      </c>
      <c r="AG95" s="4" t="s">
        <v>271</v>
      </c>
    </row>
    <row r="96" spans="1:33" ht="16.5" customHeight="1" x14ac:dyDescent="0.15">
      <c r="A96" s="2" t="s">
        <v>31</v>
      </c>
      <c r="B96" s="5" t="s">
        <v>32</v>
      </c>
      <c r="C96" s="5"/>
      <c r="D96" s="5"/>
      <c r="E96" s="6" t="s">
        <v>33</v>
      </c>
      <c r="F96" s="6"/>
      <c r="G96" s="7" t="s">
        <v>268</v>
      </c>
      <c r="H96" s="7"/>
      <c r="I96" s="7"/>
      <c r="J96" s="3" t="s">
        <v>35</v>
      </c>
      <c r="K96" s="4" t="s">
        <v>318</v>
      </c>
      <c r="L96" s="4" t="s">
        <v>37</v>
      </c>
      <c r="N96" s="7" t="s">
        <v>319</v>
      </c>
      <c r="O96" s="7"/>
      <c r="P96" s="7" t="s">
        <v>320</v>
      </c>
      <c r="Q96" s="7"/>
      <c r="R96" s="7"/>
      <c r="S96" s="3" t="s">
        <v>40</v>
      </c>
      <c r="T96" s="7" t="s">
        <v>41</v>
      </c>
      <c r="U96" s="7"/>
      <c r="V96" s="4" t="s">
        <v>42</v>
      </c>
      <c r="W96" s="4" t="s">
        <v>263</v>
      </c>
      <c r="X96" s="4" t="s">
        <v>264</v>
      </c>
      <c r="Y96" s="7" t="s">
        <v>45</v>
      </c>
      <c r="Z96" s="7"/>
      <c r="AA96" s="4" t="s">
        <v>46</v>
      </c>
      <c r="AB96" s="4" t="s">
        <v>47</v>
      </c>
      <c r="AC96" s="4" t="s">
        <v>48</v>
      </c>
      <c r="AD96" s="4" t="s">
        <v>49</v>
      </c>
      <c r="AE96" s="4" t="s">
        <v>50</v>
      </c>
      <c r="AF96" s="4" t="s">
        <v>41</v>
      </c>
      <c r="AG96" s="4" t="s">
        <v>271</v>
      </c>
    </row>
    <row r="97" spans="1:33" ht="16.5" customHeight="1" x14ac:dyDescent="0.15">
      <c r="A97" s="2" t="s">
        <v>31</v>
      </c>
      <c r="B97" s="5" t="s">
        <v>32</v>
      </c>
      <c r="C97" s="5"/>
      <c r="D97" s="5"/>
      <c r="E97" s="6" t="s">
        <v>33</v>
      </c>
      <c r="F97" s="6"/>
      <c r="G97" s="7" t="s">
        <v>268</v>
      </c>
      <c r="H97" s="7"/>
      <c r="I97" s="7"/>
      <c r="J97" s="3" t="s">
        <v>35</v>
      </c>
      <c r="K97" s="4" t="s">
        <v>73</v>
      </c>
      <c r="L97" s="4" t="s">
        <v>74</v>
      </c>
      <c r="N97" s="7" t="s">
        <v>321</v>
      </c>
      <c r="O97" s="7"/>
      <c r="P97" s="7" t="s">
        <v>322</v>
      </c>
      <c r="Q97" s="7"/>
      <c r="R97" s="7"/>
      <c r="S97" s="3" t="s">
        <v>40</v>
      </c>
      <c r="T97" s="7" t="s">
        <v>41</v>
      </c>
      <c r="U97" s="7"/>
      <c r="V97" s="4" t="s">
        <v>42</v>
      </c>
      <c r="W97" s="4" t="s">
        <v>70</v>
      </c>
      <c r="X97" s="4" t="s">
        <v>71</v>
      </c>
      <c r="Y97" s="7" t="s">
        <v>58</v>
      </c>
      <c r="Z97" s="7"/>
      <c r="AA97" s="4" t="s">
        <v>46</v>
      </c>
      <c r="AB97" s="4" t="s">
        <v>47</v>
      </c>
      <c r="AC97" s="4" t="s">
        <v>59</v>
      </c>
      <c r="AD97" s="4" t="s">
        <v>79</v>
      </c>
      <c r="AE97" s="4" t="s">
        <v>50</v>
      </c>
      <c r="AF97" s="4" t="s">
        <v>41</v>
      </c>
      <c r="AG97" s="4" t="s">
        <v>271</v>
      </c>
    </row>
    <row r="98" spans="1:33" ht="16.5" customHeight="1" x14ac:dyDescent="0.15">
      <c r="A98" s="2" t="s">
        <v>31</v>
      </c>
      <c r="B98" s="5" t="s">
        <v>32</v>
      </c>
      <c r="C98" s="5"/>
      <c r="D98" s="5"/>
      <c r="E98" s="6" t="s">
        <v>33</v>
      </c>
      <c r="F98" s="6"/>
      <c r="G98" s="7" t="s">
        <v>268</v>
      </c>
      <c r="H98" s="7"/>
      <c r="I98" s="7"/>
      <c r="J98" s="3" t="s">
        <v>35</v>
      </c>
      <c r="K98" s="4" t="s">
        <v>73</v>
      </c>
      <c r="L98" s="4" t="s">
        <v>37</v>
      </c>
      <c r="N98" s="7" t="s">
        <v>323</v>
      </c>
      <c r="O98" s="7"/>
      <c r="P98" s="7" t="s">
        <v>324</v>
      </c>
      <c r="Q98" s="7"/>
      <c r="R98" s="7"/>
      <c r="S98" s="3" t="s">
        <v>40</v>
      </c>
      <c r="T98" s="7" t="s">
        <v>41</v>
      </c>
      <c r="U98" s="7"/>
      <c r="V98" s="4" t="s">
        <v>42</v>
      </c>
      <c r="W98" s="4" t="s">
        <v>325</v>
      </c>
      <c r="X98" s="4" t="s">
        <v>326</v>
      </c>
      <c r="Y98" s="7" t="s">
        <v>58</v>
      </c>
      <c r="Z98" s="7"/>
      <c r="AA98" s="4" t="s">
        <v>46</v>
      </c>
      <c r="AB98" s="4" t="s">
        <v>47</v>
      </c>
      <c r="AC98" s="4" t="s">
        <v>59</v>
      </c>
      <c r="AD98" s="4" t="s">
        <v>60</v>
      </c>
      <c r="AE98" s="4" t="s">
        <v>50</v>
      </c>
      <c r="AF98" s="4" t="s">
        <v>41</v>
      </c>
      <c r="AG98" s="4" t="s">
        <v>271</v>
      </c>
    </row>
    <row r="99" spans="1:33" ht="16.5" customHeight="1" x14ac:dyDescent="0.15">
      <c r="A99" s="2" t="s">
        <v>31</v>
      </c>
      <c r="B99" s="5" t="s">
        <v>32</v>
      </c>
      <c r="C99" s="5"/>
      <c r="D99" s="5"/>
      <c r="E99" s="6" t="s">
        <v>33</v>
      </c>
      <c r="F99" s="6"/>
      <c r="G99" s="7" t="s">
        <v>268</v>
      </c>
      <c r="H99" s="7"/>
      <c r="I99" s="7"/>
      <c r="J99" s="3" t="s">
        <v>35</v>
      </c>
      <c r="K99" s="4" t="s">
        <v>73</v>
      </c>
      <c r="L99" s="4" t="s">
        <v>37</v>
      </c>
      <c r="N99" s="7" t="s">
        <v>327</v>
      </c>
      <c r="O99" s="7"/>
      <c r="P99" s="7" t="s">
        <v>328</v>
      </c>
      <c r="Q99" s="7"/>
      <c r="R99" s="7"/>
      <c r="S99" s="3" t="s">
        <v>40</v>
      </c>
      <c r="T99" s="7" t="s">
        <v>41</v>
      </c>
      <c r="U99" s="7"/>
      <c r="V99" s="4" t="s">
        <v>42</v>
      </c>
      <c r="W99" s="4" t="s">
        <v>98</v>
      </c>
      <c r="X99" s="4" t="s">
        <v>99</v>
      </c>
      <c r="Y99" s="7" t="s">
        <v>58</v>
      </c>
      <c r="Z99" s="7"/>
      <c r="AA99" s="4" t="s">
        <v>46</v>
      </c>
      <c r="AB99" s="4" t="s">
        <v>47</v>
      </c>
      <c r="AC99" s="4" t="s">
        <v>59</v>
      </c>
      <c r="AD99" s="4" t="s">
        <v>60</v>
      </c>
      <c r="AE99" s="4" t="s">
        <v>50</v>
      </c>
      <c r="AF99" s="4" t="s">
        <v>41</v>
      </c>
      <c r="AG99" s="4" t="s">
        <v>271</v>
      </c>
    </row>
    <row r="100" spans="1:33" ht="16.5" customHeight="1" x14ac:dyDescent="0.15">
      <c r="A100" s="2" t="s">
        <v>31</v>
      </c>
      <c r="B100" s="5" t="s">
        <v>32</v>
      </c>
      <c r="C100" s="5"/>
      <c r="D100" s="5"/>
      <c r="E100" s="6" t="s">
        <v>33</v>
      </c>
      <c r="F100" s="6"/>
      <c r="G100" s="7" t="s">
        <v>268</v>
      </c>
      <c r="H100" s="7"/>
      <c r="I100" s="7"/>
      <c r="J100" s="3" t="s">
        <v>35</v>
      </c>
      <c r="K100" s="4" t="s">
        <v>329</v>
      </c>
      <c r="L100" s="4" t="s">
        <v>116</v>
      </c>
      <c r="N100" s="7" t="s">
        <v>330</v>
      </c>
      <c r="O100" s="7"/>
      <c r="P100" s="7" t="s">
        <v>331</v>
      </c>
      <c r="Q100" s="7"/>
      <c r="R100" s="7"/>
      <c r="S100" s="3" t="s">
        <v>40</v>
      </c>
      <c r="T100" s="7" t="s">
        <v>41</v>
      </c>
      <c r="U100" s="7"/>
      <c r="V100" s="4" t="s">
        <v>119</v>
      </c>
      <c r="W100" s="4" t="s">
        <v>98</v>
      </c>
      <c r="X100" s="4" t="s">
        <v>332</v>
      </c>
      <c r="Y100" s="7" t="s">
        <v>58</v>
      </c>
      <c r="Z100" s="7"/>
      <c r="AA100" s="4" t="s">
        <v>46</v>
      </c>
      <c r="AB100" s="4" t="s">
        <v>47</v>
      </c>
      <c r="AC100" s="4" t="s">
        <v>59</v>
      </c>
      <c r="AD100" s="4" t="s">
        <v>121</v>
      </c>
      <c r="AE100" s="4" t="s">
        <v>50</v>
      </c>
      <c r="AF100" s="4" t="s">
        <v>41</v>
      </c>
      <c r="AG100" s="4" t="s">
        <v>271</v>
      </c>
    </row>
    <row r="101" spans="1:33" ht="16.5" customHeight="1" x14ac:dyDescent="0.15">
      <c r="A101" s="2" t="s">
        <v>31</v>
      </c>
      <c r="B101" s="5" t="s">
        <v>32</v>
      </c>
      <c r="C101" s="5"/>
      <c r="D101" s="5"/>
      <c r="E101" s="6" t="s">
        <v>33</v>
      </c>
      <c r="F101" s="6"/>
      <c r="G101" s="7" t="s">
        <v>268</v>
      </c>
      <c r="H101" s="7"/>
      <c r="I101" s="7"/>
      <c r="J101" s="3" t="s">
        <v>35</v>
      </c>
      <c r="K101" s="4" t="s">
        <v>329</v>
      </c>
      <c r="L101" s="4" t="s">
        <v>116</v>
      </c>
      <c r="N101" s="7" t="s">
        <v>330</v>
      </c>
      <c r="O101" s="7"/>
      <c r="P101" s="7" t="s">
        <v>331</v>
      </c>
      <c r="Q101" s="7"/>
      <c r="R101" s="7"/>
      <c r="S101" s="3" t="s">
        <v>40</v>
      </c>
      <c r="T101" s="7" t="s">
        <v>41</v>
      </c>
      <c r="U101" s="7"/>
      <c r="V101" s="4" t="s">
        <v>56</v>
      </c>
      <c r="W101" s="4" t="s">
        <v>98</v>
      </c>
      <c r="X101" s="4" t="s">
        <v>333</v>
      </c>
      <c r="Y101" s="7" t="s">
        <v>58</v>
      </c>
      <c r="Z101" s="7"/>
      <c r="AA101" s="4" t="s">
        <v>46</v>
      </c>
      <c r="AB101" s="4" t="s">
        <v>47</v>
      </c>
      <c r="AC101" s="4" t="s">
        <v>59</v>
      </c>
      <c r="AD101" s="4" t="s">
        <v>121</v>
      </c>
      <c r="AE101" s="4" t="s">
        <v>50</v>
      </c>
      <c r="AF101" s="4" t="s">
        <v>41</v>
      </c>
      <c r="AG101" s="4" t="s">
        <v>271</v>
      </c>
    </row>
    <row r="102" spans="1:33" ht="16.5" customHeight="1" x14ac:dyDescent="0.15">
      <c r="A102" s="2" t="s">
        <v>31</v>
      </c>
      <c r="B102" s="5" t="s">
        <v>32</v>
      </c>
      <c r="C102" s="5"/>
      <c r="D102" s="5"/>
      <c r="E102" s="6" t="s">
        <v>33</v>
      </c>
      <c r="F102" s="6"/>
      <c r="G102" s="7" t="s">
        <v>268</v>
      </c>
      <c r="H102" s="7"/>
      <c r="I102" s="7"/>
      <c r="J102" s="3" t="s">
        <v>35</v>
      </c>
      <c r="K102" s="4" t="s">
        <v>329</v>
      </c>
      <c r="L102" s="4" t="s">
        <v>116</v>
      </c>
      <c r="N102" s="7" t="s">
        <v>330</v>
      </c>
      <c r="O102" s="7"/>
      <c r="P102" s="7" t="s">
        <v>331</v>
      </c>
      <c r="Q102" s="7"/>
      <c r="R102" s="7"/>
      <c r="S102" s="3" t="s">
        <v>40</v>
      </c>
      <c r="T102" s="7" t="s">
        <v>41</v>
      </c>
      <c r="U102" s="7"/>
      <c r="V102" s="4" t="s">
        <v>228</v>
      </c>
      <c r="W102" s="4" t="s">
        <v>98</v>
      </c>
      <c r="X102" s="4" t="s">
        <v>334</v>
      </c>
      <c r="Y102" s="7" t="s">
        <v>58</v>
      </c>
      <c r="Z102" s="7"/>
      <c r="AA102" s="4" t="s">
        <v>46</v>
      </c>
      <c r="AB102" s="4" t="s">
        <v>47</v>
      </c>
      <c r="AC102" s="4" t="s">
        <v>59</v>
      </c>
      <c r="AD102" s="4" t="s">
        <v>121</v>
      </c>
      <c r="AE102" s="4" t="s">
        <v>50</v>
      </c>
      <c r="AF102" s="4" t="s">
        <v>41</v>
      </c>
      <c r="AG102" s="4" t="s">
        <v>271</v>
      </c>
    </row>
    <row r="103" spans="1:33" ht="16.5" customHeight="1" x14ac:dyDescent="0.15">
      <c r="A103" s="2" t="s">
        <v>31</v>
      </c>
      <c r="B103" s="5" t="s">
        <v>32</v>
      </c>
      <c r="C103" s="5"/>
      <c r="D103" s="5"/>
      <c r="E103" s="6" t="s">
        <v>33</v>
      </c>
      <c r="F103" s="6"/>
      <c r="G103" s="7" t="s">
        <v>268</v>
      </c>
      <c r="H103" s="7"/>
      <c r="I103" s="7"/>
      <c r="J103" s="3" t="s">
        <v>35</v>
      </c>
      <c r="K103" s="4" t="s">
        <v>329</v>
      </c>
      <c r="L103" s="4" t="s">
        <v>116</v>
      </c>
      <c r="N103" s="7" t="s">
        <v>330</v>
      </c>
      <c r="O103" s="7"/>
      <c r="P103" s="7" t="s">
        <v>331</v>
      </c>
      <c r="Q103" s="7"/>
      <c r="R103" s="7"/>
      <c r="S103" s="3" t="s">
        <v>40</v>
      </c>
      <c r="T103" s="7" t="s">
        <v>41</v>
      </c>
      <c r="U103" s="7"/>
      <c r="V103" s="4" t="s">
        <v>243</v>
      </c>
      <c r="W103" s="4" t="s">
        <v>98</v>
      </c>
      <c r="X103" s="4" t="s">
        <v>335</v>
      </c>
      <c r="Y103" s="7" t="s">
        <v>58</v>
      </c>
      <c r="Z103" s="7"/>
      <c r="AA103" s="4" t="s">
        <v>46</v>
      </c>
      <c r="AB103" s="4" t="s">
        <v>47</v>
      </c>
      <c r="AC103" s="4" t="s">
        <v>59</v>
      </c>
      <c r="AD103" s="4" t="s">
        <v>121</v>
      </c>
      <c r="AE103" s="4" t="s">
        <v>50</v>
      </c>
      <c r="AF103" s="4" t="s">
        <v>41</v>
      </c>
      <c r="AG103" s="4" t="s">
        <v>271</v>
      </c>
    </row>
    <row r="104" spans="1:33" ht="16.5" customHeight="1" x14ac:dyDescent="0.15">
      <c r="A104" s="2" t="s">
        <v>31</v>
      </c>
      <c r="B104" s="5" t="s">
        <v>32</v>
      </c>
      <c r="C104" s="5"/>
      <c r="D104" s="5"/>
      <c r="E104" s="6" t="s">
        <v>33</v>
      </c>
      <c r="F104" s="6"/>
      <c r="G104" s="7" t="s">
        <v>268</v>
      </c>
      <c r="H104" s="7"/>
      <c r="I104" s="7"/>
      <c r="J104" s="3" t="s">
        <v>35</v>
      </c>
      <c r="K104" s="4" t="s">
        <v>329</v>
      </c>
      <c r="L104" s="4" t="s">
        <v>116</v>
      </c>
      <c r="N104" s="7" t="s">
        <v>330</v>
      </c>
      <c r="O104" s="7"/>
      <c r="P104" s="7" t="s">
        <v>331</v>
      </c>
      <c r="Q104" s="7"/>
      <c r="R104" s="7"/>
      <c r="S104" s="3" t="s">
        <v>40</v>
      </c>
      <c r="T104" s="7" t="s">
        <v>41</v>
      </c>
      <c r="U104" s="7"/>
      <c r="V104" s="4" t="s">
        <v>128</v>
      </c>
      <c r="W104" s="4" t="s">
        <v>98</v>
      </c>
      <c r="X104" s="4" t="s">
        <v>336</v>
      </c>
      <c r="Y104" s="7" t="s">
        <v>58</v>
      </c>
      <c r="Z104" s="7"/>
      <c r="AA104" s="4" t="s">
        <v>46</v>
      </c>
      <c r="AB104" s="4" t="s">
        <v>47</v>
      </c>
      <c r="AC104" s="4" t="s">
        <v>59</v>
      </c>
      <c r="AD104" s="4" t="s">
        <v>121</v>
      </c>
      <c r="AE104" s="4" t="s">
        <v>50</v>
      </c>
      <c r="AF104" s="4" t="s">
        <v>41</v>
      </c>
      <c r="AG104" s="4" t="s">
        <v>271</v>
      </c>
    </row>
    <row r="105" spans="1:33" ht="16.5" customHeight="1" x14ac:dyDescent="0.15">
      <c r="A105" s="2" t="s">
        <v>31</v>
      </c>
      <c r="B105" s="5" t="s">
        <v>32</v>
      </c>
      <c r="C105" s="5"/>
      <c r="D105" s="5"/>
      <c r="E105" s="6" t="s">
        <v>33</v>
      </c>
      <c r="F105" s="6"/>
      <c r="G105" s="7" t="s">
        <v>268</v>
      </c>
      <c r="H105" s="7"/>
      <c r="I105" s="7"/>
      <c r="J105" s="3" t="s">
        <v>35</v>
      </c>
      <c r="K105" s="4" t="s">
        <v>329</v>
      </c>
      <c r="L105" s="4" t="s">
        <v>116</v>
      </c>
      <c r="N105" s="7" t="s">
        <v>330</v>
      </c>
      <c r="O105" s="7"/>
      <c r="P105" s="7" t="s">
        <v>331</v>
      </c>
      <c r="Q105" s="7"/>
      <c r="R105" s="7"/>
      <c r="S105" s="3" t="s">
        <v>40</v>
      </c>
      <c r="T105" s="7" t="s">
        <v>41</v>
      </c>
      <c r="U105" s="7"/>
      <c r="V105" s="4" t="s">
        <v>337</v>
      </c>
      <c r="W105" s="4" t="s">
        <v>98</v>
      </c>
      <c r="X105" s="4" t="s">
        <v>115</v>
      </c>
      <c r="Y105" s="7" t="s">
        <v>58</v>
      </c>
      <c r="Z105" s="7"/>
      <c r="AA105" s="4" t="s">
        <v>46</v>
      </c>
      <c r="AB105" s="4" t="s">
        <v>47</v>
      </c>
      <c r="AC105" s="4" t="s">
        <v>59</v>
      </c>
      <c r="AD105" s="4" t="s">
        <v>121</v>
      </c>
      <c r="AE105" s="4" t="s">
        <v>50</v>
      </c>
      <c r="AF105" s="4" t="s">
        <v>41</v>
      </c>
      <c r="AG105" s="4" t="s">
        <v>271</v>
      </c>
    </row>
    <row r="106" spans="1:33" ht="16.5" customHeight="1" x14ac:dyDescent="0.15">
      <c r="A106" s="2" t="s">
        <v>31</v>
      </c>
      <c r="B106" s="5" t="s">
        <v>32</v>
      </c>
      <c r="C106" s="5"/>
      <c r="D106" s="5"/>
      <c r="E106" s="6" t="s">
        <v>33</v>
      </c>
      <c r="F106" s="6"/>
      <c r="G106" s="7" t="s">
        <v>268</v>
      </c>
      <c r="H106" s="7"/>
      <c r="I106" s="7"/>
      <c r="J106" s="3" t="s">
        <v>35</v>
      </c>
      <c r="K106" s="4" t="s">
        <v>329</v>
      </c>
      <c r="L106" s="4" t="s">
        <v>116</v>
      </c>
      <c r="N106" s="7" t="s">
        <v>330</v>
      </c>
      <c r="O106" s="7"/>
      <c r="P106" s="7" t="s">
        <v>331</v>
      </c>
      <c r="Q106" s="7"/>
      <c r="R106" s="7"/>
      <c r="S106" s="3" t="s">
        <v>40</v>
      </c>
      <c r="T106" s="7" t="s">
        <v>41</v>
      </c>
      <c r="U106" s="7"/>
      <c r="V106" s="4" t="s">
        <v>338</v>
      </c>
      <c r="W106" s="4" t="s">
        <v>98</v>
      </c>
      <c r="X106" s="4" t="s">
        <v>180</v>
      </c>
      <c r="Y106" s="7" t="s">
        <v>58</v>
      </c>
      <c r="Z106" s="7"/>
      <c r="AA106" s="4" t="s">
        <v>46</v>
      </c>
      <c r="AB106" s="4" t="s">
        <v>47</v>
      </c>
      <c r="AC106" s="4" t="s">
        <v>59</v>
      </c>
      <c r="AD106" s="4" t="s">
        <v>121</v>
      </c>
      <c r="AE106" s="4" t="s">
        <v>50</v>
      </c>
      <c r="AF106" s="4" t="s">
        <v>41</v>
      </c>
      <c r="AG106" s="4" t="s">
        <v>271</v>
      </c>
    </row>
    <row r="107" spans="1:33" ht="16.5" customHeight="1" x14ac:dyDescent="0.15">
      <c r="A107" s="2" t="s">
        <v>31</v>
      </c>
      <c r="B107" s="5" t="s">
        <v>32</v>
      </c>
      <c r="C107" s="5"/>
      <c r="D107" s="5"/>
      <c r="E107" s="6" t="s">
        <v>33</v>
      </c>
      <c r="F107" s="6"/>
      <c r="G107" s="7" t="s">
        <v>268</v>
      </c>
      <c r="H107" s="7"/>
      <c r="I107" s="7"/>
      <c r="J107" s="3" t="s">
        <v>35</v>
      </c>
      <c r="K107" s="4" t="s">
        <v>329</v>
      </c>
      <c r="L107" s="4" t="s">
        <v>116</v>
      </c>
      <c r="N107" s="7" t="s">
        <v>330</v>
      </c>
      <c r="O107" s="7"/>
      <c r="P107" s="7" t="s">
        <v>331</v>
      </c>
      <c r="Q107" s="7"/>
      <c r="R107" s="7"/>
      <c r="S107" s="3" t="s">
        <v>40</v>
      </c>
      <c r="T107" s="7" t="s">
        <v>41</v>
      </c>
      <c r="U107" s="7"/>
      <c r="V107" s="4" t="s">
        <v>339</v>
      </c>
      <c r="W107" s="4" t="s">
        <v>98</v>
      </c>
      <c r="X107" s="4" t="s">
        <v>340</v>
      </c>
      <c r="Y107" s="7" t="s">
        <v>58</v>
      </c>
      <c r="Z107" s="7"/>
      <c r="AA107" s="4" t="s">
        <v>46</v>
      </c>
      <c r="AB107" s="4" t="s">
        <v>47</v>
      </c>
      <c r="AC107" s="4" t="s">
        <v>59</v>
      </c>
      <c r="AD107" s="4" t="s">
        <v>121</v>
      </c>
      <c r="AE107" s="4" t="s">
        <v>50</v>
      </c>
      <c r="AF107" s="4" t="s">
        <v>41</v>
      </c>
      <c r="AG107" s="4" t="s">
        <v>271</v>
      </c>
    </row>
    <row r="108" spans="1:33" ht="16.5" customHeight="1" x14ac:dyDescent="0.15">
      <c r="A108" s="2" t="s">
        <v>31</v>
      </c>
      <c r="B108" s="5" t="s">
        <v>32</v>
      </c>
      <c r="C108" s="5"/>
      <c r="D108" s="5"/>
      <c r="E108" s="6" t="s">
        <v>33</v>
      </c>
      <c r="F108" s="6"/>
      <c r="G108" s="7" t="s">
        <v>268</v>
      </c>
      <c r="H108" s="7"/>
      <c r="I108" s="7"/>
      <c r="J108" s="3" t="s">
        <v>35</v>
      </c>
      <c r="K108" s="4" t="s">
        <v>329</v>
      </c>
      <c r="L108" s="4" t="s">
        <v>116</v>
      </c>
      <c r="N108" s="7" t="s">
        <v>330</v>
      </c>
      <c r="O108" s="7"/>
      <c r="P108" s="7" t="s">
        <v>331</v>
      </c>
      <c r="Q108" s="7"/>
      <c r="R108" s="7"/>
      <c r="S108" s="3" t="s">
        <v>40</v>
      </c>
      <c r="T108" s="7" t="s">
        <v>41</v>
      </c>
      <c r="U108" s="7"/>
      <c r="V108" s="4" t="s">
        <v>83</v>
      </c>
      <c r="W108" s="4" t="s">
        <v>98</v>
      </c>
      <c r="X108" s="4" t="s">
        <v>341</v>
      </c>
      <c r="Y108" s="7" t="s">
        <v>58</v>
      </c>
      <c r="Z108" s="7"/>
      <c r="AA108" s="4" t="s">
        <v>46</v>
      </c>
      <c r="AB108" s="4" t="s">
        <v>47</v>
      </c>
      <c r="AC108" s="4" t="s">
        <v>59</v>
      </c>
      <c r="AD108" s="4" t="s">
        <v>121</v>
      </c>
      <c r="AE108" s="4" t="s">
        <v>50</v>
      </c>
      <c r="AF108" s="4" t="s">
        <v>41</v>
      </c>
      <c r="AG108" s="4" t="s">
        <v>271</v>
      </c>
    </row>
    <row r="109" spans="1:33" ht="16.5" customHeight="1" x14ac:dyDescent="0.15">
      <c r="A109" s="2" t="s">
        <v>31</v>
      </c>
      <c r="B109" s="5" t="s">
        <v>32</v>
      </c>
      <c r="C109" s="5"/>
      <c r="D109" s="5"/>
      <c r="E109" s="6" t="s">
        <v>33</v>
      </c>
      <c r="F109" s="6"/>
      <c r="G109" s="7" t="s">
        <v>268</v>
      </c>
      <c r="H109" s="7"/>
      <c r="I109" s="7"/>
      <c r="J109" s="3" t="s">
        <v>35</v>
      </c>
      <c r="K109" s="4" t="s">
        <v>329</v>
      </c>
      <c r="L109" s="4" t="s">
        <v>116</v>
      </c>
      <c r="N109" s="7" t="s">
        <v>330</v>
      </c>
      <c r="O109" s="7"/>
      <c r="P109" s="7" t="s">
        <v>331</v>
      </c>
      <c r="Q109" s="7"/>
      <c r="R109" s="7"/>
      <c r="S109" s="3" t="s">
        <v>40</v>
      </c>
      <c r="T109" s="7" t="s">
        <v>41</v>
      </c>
      <c r="U109" s="7"/>
      <c r="V109" s="4" t="s">
        <v>292</v>
      </c>
      <c r="W109" s="4" t="s">
        <v>98</v>
      </c>
      <c r="X109" s="4" t="s">
        <v>342</v>
      </c>
      <c r="Y109" s="7" t="s">
        <v>58</v>
      </c>
      <c r="Z109" s="7"/>
      <c r="AA109" s="4" t="s">
        <v>46</v>
      </c>
      <c r="AB109" s="4" t="s">
        <v>47</v>
      </c>
      <c r="AC109" s="4" t="s">
        <v>59</v>
      </c>
      <c r="AD109" s="4" t="s">
        <v>121</v>
      </c>
      <c r="AE109" s="4" t="s">
        <v>50</v>
      </c>
      <c r="AF109" s="4" t="s">
        <v>41</v>
      </c>
      <c r="AG109" s="4" t="s">
        <v>271</v>
      </c>
    </row>
    <row r="110" spans="1:33" ht="16.5" customHeight="1" x14ac:dyDescent="0.15">
      <c r="A110" s="2" t="s">
        <v>31</v>
      </c>
      <c r="B110" s="5" t="s">
        <v>32</v>
      </c>
      <c r="C110" s="5"/>
      <c r="D110" s="5"/>
      <c r="E110" s="6" t="s">
        <v>33</v>
      </c>
      <c r="F110" s="6"/>
      <c r="G110" s="7" t="s">
        <v>268</v>
      </c>
      <c r="H110" s="7"/>
      <c r="I110" s="7"/>
      <c r="J110" s="3" t="s">
        <v>35</v>
      </c>
      <c r="K110" s="4" t="s">
        <v>329</v>
      </c>
      <c r="L110" s="4" t="s">
        <v>116</v>
      </c>
      <c r="N110" s="7" t="s">
        <v>330</v>
      </c>
      <c r="O110" s="7"/>
      <c r="P110" s="7" t="s">
        <v>331</v>
      </c>
      <c r="Q110" s="7"/>
      <c r="R110" s="7"/>
      <c r="S110" s="3" t="s">
        <v>40</v>
      </c>
      <c r="T110" s="7" t="s">
        <v>41</v>
      </c>
      <c r="U110" s="7"/>
      <c r="V110" s="4" t="s">
        <v>211</v>
      </c>
      <c r="W110" s="4" t="s">
        <v>98</v>
      </c>
      <c r="X110" s="4" t="s">
        <v>343</v>
      </c>
      <c r="Y110" s="7" t="s">
        <v>58</v>
      </c>
      <c r="Z110" s="7"/>
      <c r="AA110" s="4" t="s">
        <v>46</v>
      </c>
      <c r="AB110" s="4" t="s">
        <v>47</v>
      </c>
      <c r="AC110" s="4" t="s">
        <v>59</v>
      </c>
      <c r="AD110" s="4" t="s">
        <v>121</v>
      </c>
      <c r="AE110" s="4" t="s">
        <v>50</v>
      </c>
      <c r="AF110" s="4" t="s">
        <v>41</v>
      </c>
      <c r="AG110" s="4" t="s">
        <v>271</v>
      </c>
    </row>
    <row r="111" spans="1:33" ht="16.5" customHeight="1" x14ac:dyDescent="0.15">
      <c r="A111" s="2" t="s">
        <v>31</v>
      </c>
      <c r="B111" s="5" t="s">
        <v>32</v>
      </c>
      <c r="C111" s="5"/>
      <c r="D111" s="5"/>
      <c r="E111" s="6" t="s">
        <v>33</v>
      </c>
      <c r="F111" s="6"/>
      <c r="G111" s="7" t="s">
        <v>268</v>
      </c>
      <c r="H111" s="7"/>
      <c r="I111" s="7"/>
      <c r="J111" s="3" t="s">
        <v>35</v>
      </c>
      <c r="K111" s="4" t="s">
        <v>329</v>
      </c>
      <c r="L111" s="4" t="s">
        <v>116</v>
      </c>
      <c r="N111" s="7" t="s">
        <v>330</v>
      </c>
      <c r="O111" s="7"/>
      <c r="P111" s="7" t="s">
        <v>331</v>
      </c>
      <c r="Q111" s="7"/>
      <c r="R111" s="7"/>
      <c r="S111" s="3" t="s">
        <v>40</v>
      </c>
      <c r="T111" s="7" t="s">
        <v>41</v>
      </c>
      <c r="U111" s="7"/>
      <c r="V111" s="4" t="s">
        <v>344</v>
      </c>
      <c r="W111" s="4" t="s">
        <v>98</v>
      </c>
      <c r="X111" s="4" t="s">
        <v>71</v>
      </c>
      <c r="Y111" s="7" t="s">
        <v>58</v>
      </c>
      <c r="Z111" s="7"/>
      <c r="AA111" s="4" t="s">
        <v>46</v>
      </c>
      <c r="AB111" s="4" t="s">
        <v>47</v>
      </c>
      <c r="AC111" s="4" t="s">
        <v>59</v>
      </c>
      <c r="AD111" s="4" t="s">
        <v>121</v>
      </c>
      <c r="AE111" s="4" t="s">
        <v>50</v>
      </c>
      <c r="AF111" s="4" t="s">
        <v>41</v>
      </c>
      <c r="AG111" s="4" t="s">
        <v>271</v>
      </c>
    </row>
    <row r="112" spans="1:33" ht="16.5" customHeight="1" x14ac:dyDescent="0.15">
      <c r="A112" s="2" t="s">
        <v>31</v>
      </c>
      <c r="B112" s="5" t="s">
        <v>32</v>
      </c>
      <c r="C112" s="5"/>
      <c r="D112" s="5"/>
      <c r="E112" s="6" t="s">
        <v>33</v>
      </c>
      <c r="F112" s="6"/>
      <c r="G112" s="7" t="s">
        <v>268</v>
      </c>
      <c r="H112" s="7"/>
      <c r="I112" s="7"/>
      <c r="J112" s="3" t="s">
        <v>35</v>
      </c>
      <c r="K112" s="4" t="s">
        <v>73</v>
      </c>
      <c r="L112" s="4" t="s">
        <v>74</v>
      </c>
      <c r="N112" s="7" t="s">
        <v>345</v>
      </c>
      <c r="O112" s="7"/>
      <c r="P112" s="7" t="s">
        <v>346</v>
      </c>
      <c r="Q112" s="7"/>
      <c r="R112" s="7"/>
      <c r="S112" s="3" t="s">
        <v>40</v>
      </c>
      <c r="T112" s="7" t="s">
        <v>41</v>
      </c>
      <c r="U112" s="7"/>
      <c r="V112" s="4" t="s">
        <v>42</v>
      </c>
      <c r="W112" s="4" t="s">
        <v>98</v>
      </c>
      <c r="X112" s="4" t="s">
        <v>99</v>
      </c>
      <c r="Y112" s="7" t="s">
        <v>58</v>
      </c>
      <c r="Z112" s="7"/>
      <c r="AA112" s="4" t="s">
        <v>46</v>
      </c>
      <c r="AB112" s="4" t="s">
        <v>47</v>
      </c>
      <c r="AC112" s="4" t="s">
        <v>59</v>
      </c>
      <c r="AD112" s="4" t="s">
        <v>79</v>
      </c>
      <c r="AE112" s="4" t="s">
        <v>50</v>
      </c>
      <c r="AF112" s="4" t="s">
        <v>41</v>
      </c>
      <c r="AG112" s="4" t="s">
        <v>271</v>
      </c>
    </row>
    <row r="113" spans="1:33" ht="16.5" customHeight="1" x14ac:dyDescent="0.15">
      <c r="A113" s="2" t="s">
        <v>31</v>
      </c>
      <c r="B113" s="5" t="s">
        <v>32</v>
      </c>
      <c r="C113" s="5"/>
      <c r="D113" s="5"/>
      <c r="E113" s="6" t="s">
        <v>33</v>
      </c>
      <c r="F113" s="6"/>
      <c r="G113" s="7" t="s">
        <v>268</v>
      </c>
      <c r="H113" s="7"/>
      <c r="I113" s="7"/>
      <c r="J113" s="3" t="s">
        <v>35</v>
      </c>
      <c r="K113" s="4" t="s">
        <v>91</v>
      </c>
      <c r="L113" s="4" t="s">
        <v>37</v>
      </c>
      <c r="N113" s="7" t="s">
        <v>347</v>
      </c>
      <c r="O113" s="7"/>
      <c r="P113" s="7" t="s">
        <v>348</v>
      </c>
      <c r="Q113" s="7"/>
      <c r="R113" s="7"/>
      <c r="S113" s="3" t="s">
        <v>40</v>
      </c>
      <c r="T113" s="7" t="s">
        <v>41</v>
      </c>
      <c r="U113" s="7"/>
      <c r="V113" s="4" t="s">
        <v>42</v>
      </c>
      <c r="W113" s="4" t="s">
        <v>98</v>
      </c>
      <c r="X113" s="4" t="s">
        <v>99</v>
      </c>
      <c r="Y113" s="7" t="s">
        <v>58</v>
      </c>
      <c r="Z113" s="7"/>
      <c r="AA113" s="4" t="s">
        <v>46</v>
      </c>
      <c r="AB113" s="4" t="s">
        <v>47</v>
      </c>
      <c r="AC113" s="4" t="s">
        <v>59</v>
      </c>
      <c r="AD113" s="4" t="s">
        <v>60</v>
      </c>
      <c r="AE113" s="4" t="s">
        <v>50</v>
      </c>
      <c r="AF113" s="4" t="s">
        <v>41</v>
      </c>
      <c r="AG113" s="4" t="s">
        <v>271</v>
      </c>
    </row>
    <row r="114" spans="1:33" ht="16.5" customHeight="1" x14ac:dyDescent="0.15">
      <c r="A114" s="2" t="s">
        <v>31</v>
      </c>
      <c r="B114" s="5" t="s">
        <v>32</v>
      </c>
      <c r="C114" s="5"/>
      <c r="D114" s="5"/>
      <c r="E114" s="6" t="s">
        <v>33</v>
      </c>
      <c r="F114" s="6"/>
      <c r="G114" s="7" t="s">
        <v>268</v>
      </c>
      <c r="H114" s="7"/>
      <c r="I114" s="7"/>
      <c r="J114" s="3" t="s">
        <v>35</v>
      </c>
      <c r="K114" s="4" t="s">
        <v>208</v>
      </c>
      <c r="L114" s="4" t="s">
        <v>37</v>
      </c>
      <c r="N114" s="7" t="s">
        <v>349</v>
      </c>
      <c r="O114" s="7"/>
      <c r="P114" s="7" t="s">
        <v>350</v>
      </c>
      <c r="Q114" s="7"/>
      <c r="R114" s="7"/>
      <c r="S114" s="3" t="s">
        <v>40</v>
      </c>
      <c r="T114" s="7" t="s">
        <v>41</v>
      </c>
      <c r="U114" s="7"/>
      <c r="V114" s="4" t="s">
        <v>42</v>
      </c>
      <c r="W114" s="4" t="s">
        <v>98</v>
      </c>
      <c r="X114" s="4" t="s">
        <v>99</v>
      </c>
      <c r="Y114" s="7" t="s">
        <v>58</v>
      </c>
      <c r="Z114" s="7"/>
      <c r="AA114" s="4" t="s">
        <v>46</v>
      </c>
      <c r="AB114" s="4" t="s">
        <v>47</v>
      </c>
      <c r="AC114" s="4" t="s">
        <v>59</v>
      </c>
      <c r="AD114" s="4" t="s">
        <v>60</v>
      </c>
      <c r="AE114" s="4" t="s">
        <v>50</v>
      </c>
      <c r="AF114" s="4" t="s">
        <v>41</v>
      </c>
      <c r="AG114" s="4" t="s">
        <v>271</v>
      </c>
    </row>
    <row r="115" spans="1:33" ht="16.5" customHeight="1" x14ac:dyDescent="0.15">
      <c r="A115" s="2" t="s">
        <v>31</v>
      </c>
      <c r="B115" s="5" t="s">
        <v>32</v>
      </c>
      <c r="C115" s="5"/>
      <c r="D115" s="5"/>
      <c r="E115" s="6" t="s">
        <v>33</v>
      </c>
      <c r="F115" s="6"/>
      <c r="G115" s="7" t="s">
        <v>268</v>
      </c>
      <c r="H115" s="7"/>
      <c r="I115" s="7"/>
      <c r="J115" s="3" t="s">
        <v>35</v>
      </c>
      <c r="K115" s="4" t="s">
        <v>91</v>
      </c>
      <c r="L115" s="4" t="s">
        <v>37</v>
      </c>
      <c r="N115" s="7" t="s">
        <v>351</v>
      </c>
      <c r="O115" s="7"/>
      <c r="P115" s="7" t="s">
        <v>352</v>
      </c>
      <c r="Q115" s="7"/>
      <c r="R115" s="7"/>
      <c r="S115" s="3" t="s">
        <v>40</v>
      </c>
      <c r="T115" s="7" t="s">
        <v>41</v>
      </c>
      <c r="U115" s="7"/>
      <c r="V115" s="4" t="s">
        <v>42</v>
      </c>
      <c r="W115" s="4" t="s">
        <v>353</v>
      </c>
      <c r="X115" s="4" t="s">
        <v>332</v>
      </c>
      <c r="Y115" s="7" t="s">
        <v>58</v>
      </c>
      <c r="Z115" s="7"/>
      <c r="AA115" s="4" t="s">
        <v>46</v>
      </c>
      <c r="AB115" s="4" t="s">
        <v>47</v>
      </c>
      <c r="AC115" s="4" t="s">
        <v>59</v>
      </c>
      <c r="AD115" s="4" t="s">
        <v>60</v>
      </c>
      <c r="AE115" s="4" t="s">
        <v>50</v>
      </c>
      <c r="AF115" s="4" t="s">
        <v>41</v>
      </c>
      <c r="AG115" s="4" t="s">
        <v>271</v>
      </c>
    </row>
    <row r="116" spans="1:33" ht="16.5" customHeight="1" x14ac:dyDescent="0.15">
      <c r="A116" s="2" t="s">
        <v>31</v>
      </c>
      <c r="B116" s="5" t="s">
        <v>32</v>
      </c>
      <c r="C116" s="5"/>
      <c r="D116" s="5"/>
      <c r="E116" s="6" t="s">
        <v>33</v>
      </c>
      <c r="F116" s="6"/>
      <c r="G116" s="7" t="s">
        <v>268</v>
      </c>
      <c r="H116" s="7"/>
      <c r="I116" s="7"/>
      <c r="J116" s="3" t="s">
        <v>35</v>
      </c>
      <c r="K116" s="4" t="s">
        <v>107</v>
      </c>
      <c r="L116" s="4" t="s">
        <v>74</v>
      </c>
      <c r="N116" s="7" t="s">
        <v>354</v>
      </c>
      <c r="O116" s="7"/>
      <c r="P116" s="7" t="s">
        <v>355</v>
      </c>
      <c r="Q116" s="7"/>
      <c r="R116" s="7"/>
      <c r="S116" s="3" t="s">
        <v>40</v>
      </c>
      <c r="T116" s="7" t="s">
        <v>41</v>
      </c>
      <c r="U116" s="7"/>
      <c r="V116" s="4" t="s">
        <v>42</v>
      </c>
      <c r="W116" s="4" t="s">
        <v>128</v>
      </c>
      <c r="X116" s="4" t="s">
        <v>129</v>
      </c>
      <c r="Y116" s="7" t="s">
        <v>58</v>
      </c>
      <c r="Z116" s="7"/>
      <c r="AA116" s="4" t="s">
        <v>46</v>
      </c>
      <c r="AB116" s="4" t="s">
        <v>47</v>
      </c>
      <c r="AC116" s="4" t="s">
        <v>59</v>
      </c>
      <c r="AD116" s="4" t="s">
        <v>79</v>
      </c>
      <c r="AE116" s="4" t="s">
        <v>50</v>
      </c>
      <c r="AF116" s="4" t="s">
        <v>41</v>
      </c>
      <c r="AG116" s="4" t="s">
        <v>271</v>
      </c>
    </row>
    <row r="117" spans="1:33" ht="16.5" customHeight="1" x14ac:dyDescent="0.15">
      <c r="A117" s="2" t="s">
        <v>31</v>
      </c>
      <c r="B117" s="5" t="s">
        <v>32</v>
      </c>
      <c r="C117" s="5"/>
      <c r="D117" s="5"/>
      <c r="E117" s="6" t="s">
        <v>33</v>
      </c>
      <c r="F117" s="6"/>
      <c r="G117" s="7" t="s">
        <v>268</v>
      </c>
      <c r="H117" s="7"/>
      <c r="I117" s="7"/>
      <c r="J117" s="3" t="s">
        <v>35</v>
      </c>
      <c r="K117" s="4" t="s">
        <v>73</v>
      </c>
      <c r="L117" s="4" t="s">
        <v>37</v>
      </c>
      <c r="N117" s="7" t="s">
        <v>356</v>
      </c>
      <c r="O117" s="7"/>
      <c r="P117" s="7" t="s">
        <v>357</v>
      </c>
      <c r="Q117" s="7"/>
      <c r="R117" s="7"/>
      <c r="S117" s="3" t="s">
        <v>40</v>
      </c>
      <c r="T117" s="7" t="s">
        <v>41</v>
      </c>
      <c r="U117" s="7"/>
      <c r="V117" s="4" t="s">
        <v>42</v>
      </c>
      <c r="W117" s="4" t="s">
        <v>358</v>
      </c>
      <c r="X117" s="4" t="s">
        <v>336</v>
      </c>
      <c r="Y117" s="7" t="s">
        <v>58</v>
      </c>
      <c r="Z117" s="7"/>
      <c r="AA117" s="4" t="s">
        <v>46</v>
      </c>
      <c r="AB117" s="4" t="s">
        <v>47</v>
      </c>
      <c r="AC117" s="4" t="s">
        <v>59</v>
      </c>
      <c r="AD117" s="4" t="s">
        <v>60</v>
      </c>
      <c r="AE117" s="4" t="s">
        <v>50</v>
      </c>
      <c r="AF117" s="4" t="s">
        <v>41</v>
      </c>
      <c r="AG117" s="4" t="s">
        <v>271</v>
      </c>
    </row>
    <row r="118" spans="1:33" ht="16.5" customHeight="1" x14ac:dyDescent="0.15">
      <c r="A118" s="2" t="s">
        <v>31</v>
      </c>
      <c r="B118" s="5" t="s">
        <v>32</v>
      </c>
      <c r="C118" s="5"/>
      <c r="D118" s="5"/>
      <c r="E118" s="6" t="s">
        <v>33</v>
      </c>
      <c r="F118" s="6"/>
      <c r="G118" s="7" t="s">
        <v>268</v>
      </c>
      <c r="H118" s="7"/>
      <c r="I118" s="7"/>
      <c r="J118" s="3" t="s">
        <v>35</v>
      </c>
      <c r="K118" s="4" t="s">
        <v>176</v>
      </c>
      <c r="L118" s="4" t="s">
        <v>37</v>
      </c>
      <c r="N118" s="7" t="s">
        <v>359</v>
      </c>
      <c r="O118" s="7"/>
      <c r="P118" s="7" t="s">
        <v>360</v>
      </c>
      <c r="Q118" s="7"/>
      <c r="R118" s="7"/>
      <c r="S118" s="3" t="s">
        <v>40</v>
      </c>
      <c r="T118" s="7" t="s">
        <v>41</v>
      </c>
      <c r="U118" s="7"/>
      <c r="V118" s="4" t="s">
        <v>42</v>
      </c>
      <c r="W118" s="4" t="s">
        <v>358</v>
      </c>
      <c r="X118" s="4" t="s">
        <v>336</v>
      </c>
      <c r="Y118" s="7" t="s">
        <v>45</v>
      </c>
      <c r="Z118" s="7"/>
      <c r="AA118" s="4" t="s">
        <v>46</v>
      </c>
      <c r="AB118" s="4" t="s">
        <v>47</v>
      </c>
      <c r="AC118" s="4" t="s">
        <v>48</v>
      </c>
      <c r="AD118" s="4" t="s">
        <v>49</v>
      </c>
      <c r="AE118" s="4" t="s">
        <v>50</v>
      </c>
      <c r="AF118" s="4" t="s">
        <v>41</v>
      </c>
      <c r="AG118" s="4" t="s">
        <v>271</v>
      </c>
    </row>
    <row r="119" spans="1:33" ht="16.5" customHeight="1" x14ac:dyDescent="0.15">
      <c r="A119" s="2" t="s">
        <v>31</v>
      </c>
      <c r="B119" s="5" t="s">
        <v>32</v>
      </c>
      <c r="C119" s="5"/>
      <c r="D119" s="5"/>
      <c r="E119" s="6" t="s">
        <v>33</v>
      </c>
      <c r="F119" s="6"/>
      <c r="G119" s="7" t="s">
        <v>268</v>
      </c>
      <c r="H119" s="7"/>
      <c r="I119" s="7"/>
      <c r="J119" s="3" t="s">
        <v>35</v>
      </c>
      <c r="K119" s="4" t="s">
        <v>73</v>
      </c>
      <c r="L119" s="4" t="s">
        <v>246</v>
      </c>
      <c r="N119" s="7" t="s">
        <v>361</v>
      </c>
      <c r="O119" s="7"/>
      <c r="P119" s="7" t="s">
        <v>362</v>
      </c>
      <c r="Q119" s="7"/>
      <c r="R119" s="7"/>
      <c r="S119" s="3" t="s">
        <v>40</v>
      </c>
      <c r="T119" s="7" t="s">
        <v>41</v>
      </c>
      <c r="U119" s="7"/>
      <c r="V119" s="4" t="s">
        <v>42</v>
      </c>
      <c r="W119" s="4" t="s">
        <v>363</v>
      </c>
      <c r="X119" s="4" t="s">
        <v>364</v>
      </c>
      <c r="Y119" s="7" t="s">
        <v>58</v>
      </c>
      <c r="Z119" s="7"/>
      <c r="AA119" s="4" t="s">
        <v>46</v>
      </c>
      <c r="AB119" s="4" t="s">
        <v>47</v>
      </c>
      <c r="AC119" s="4" t="s">
        <v>59</v>
      </c>
      <c r="AD119" s="4" t="s">
        <v>365</v>
      </c>
      <c r="AE119" s="4" t="s">
        <v>50</v>
      </c>
      <c r="AF119" s="4" t="s">
        <v>41</v>
      </c>
      <c r="AG119" s="4" t="s">
        <v>271</v>
      </c>
    </row>
    <row r="120" spans="1:33" ht="16.5" customHeight="1" x14ac:dyDescent="0.15">
      <c r="A120" s="2" t="s">
        <v>31</v>
      </c>
      <c r="B120" s="5" t="s">
        <v>32</v>
      </c>
      <c r="C120" s="5"/>
      <c r="D120" s="5"/>
      <c r="E120" s="6" t="s">
        <v>33</v>
      </c>
      <c r="F120" s="6"/>
      <c r="G120" s="7" t="s">
        <v>268</v>
      </c>
      <c r="H120" s="7"/>
      <c r="I120" s="7"/>
      <c r="J120" s="3" t="s">
        <v>35</v>
      </c>
      <c r="K120" s="4" t="s">
        <v>73</v>
      </c>
      <c r="L120" s="4" t="s">
        <v>37</v>
      </c>
      <c r="N120" s="7" t="s">
        <v>366</v>
      </c>
      <c r="O120" s="7"/>
      <c r="P120" s="7" t="s">
        <v>367</v>
      </c>
      <c r="Q120" s="7"/>
      <c r="R120" s="7"/>
      <c r="S120" s="3" t="s">
        <v>40</v>
      </c>
      <c r="T120" s="7" t="s">
        <v>41</v>
      </c>
      <c r="U120" s="7"/>
      <c r="V120" s="4" t="s">
        <v>42</v>
      </c>
      <c r="W120" s="4" t="s">
        <v>70</v>
      </c>
      <c r="X120" s="4" t="s">
        <v>71</v>
      </c>
      <c r="Y120" s="7" t="s">
        <v>58</v>
      </c>
      <c r="Z120" s="7"/>
      <c r="AA120" s="4" t="s">
        <v>46</v>
      </c>
      <c r="AB120" s="4" t="s">
        <v>47</v>
      </c>
      <c r="AC120" s="4" t="s">
        <v>59</v>
      </c>
      <c r="AD120" s="4" t="s">
        <v>60</v>
      </c>
      <c r="AE120" s="4" t="s">
        <v>50</v>
      </c>
      <c r="AF120" s="4" t="s">
        <v>41</v>
      </c>
      <c r="AG120" s="4" t="s">
        <v>271</v>
      </c>
    </row>
    <row r="121" spans="1:33" ht="16.5" customHeight="1" x14ac:dyDescent="0.15">
      <c r="A121" s="2" t="s">
        <v>31</v>
      </c>
      <c r="B121" s="5" t="s">
        <v>32</v>
      </c>
      <c r="C121" s="5"/>
      <c r="D121" s="5"/>
      <c r="E121" s="6" t="s">
        <v>33</v>
      </c>
      <c r="F121" s="6"/>
      <c r="G121" s="7" t="s">
        <v>268</v>
      </c>
      <c r="H121" s="7"/>
      <c r="I121" s="7"/>
      <c r="J121" s="3" t="s">
        <v>35</v>
      </c>
      <c r="K121" s="4" t="s">
        <v>104</v>
      </c>
      <c r="L121" s="4" t="s">
        <v>74</v>
      </c>
      <c r="N121" s="7" t="s">
        <v>368</v>
      </c>
      <c r="O121" s="7"/>
      <c r="P121" s="7" t="s">
        <v>369</v>
      </c>
      <c r="Q121" s="7"/>
      <c r="R121" s="7"/>
      <c r="S121" s="3" t="s">
        <v>40</v>
      </c>
      <c r="T121" s="7" t="s">
        <v>41</v>
      </c>
      <c r="U121" s="7"/>
      <c r="V121" s="4" t="s">
        <v>42</v>
      </c>
      <c r="W121" s="4" t="s">
        <v>70</v>
      </c>
      <c r="X121" s="4" t="s">
        <v>71</v>
      </c>
      <c r="Y121" s="7" t="s">
        <v>58</v>
      </c>
      <c r="Z121" s="7"/>
      <c r="AA121" s="4" t="s">
        <v>46</v>
      </c>
      <c r="AB121" s="4" t="s">
        <v>47</v>
      </c>
      <c r="AC121" s="4" t="s">
        <v>59</v>
      </c>
      <c r="AD121" s="4" t="s">
        <v>79</v>
      </c>
      <c r="AE121" s="4" t="s">
        <v>50</v>
      </c>
      <c r="AF121" s="4" t="s">
        <v>41</v>
      </c>
      <c r="AG121" s="4" t="s">
        <v>271</v>
      </c>
    </row>
    <row r="122" spans="1:33" ht="16.5" customHeight="1" x14ac:dyDescent="0.15">
      <c r="A122" s="2" t="s">
        <v>31</v>
      </c>
      <c r="B122" s="5" t="s">
        <v>32</v>
      </c>
      <c r="C122" s="5"/>
      <c r="D122" s="5"/>
      <c r="E122" s="6" t="s">
        <v>33</v>
      </c>
      <c r="F122" s="6"/>
      <c r="G122" s="7" t="s">
        <v>268</v>
      </c>
      <c r="H122" s="7"/>
      <c r="I122" s="7"/>
      <c r="J122" s="3" t="s">
        <v>35</v>
      </c>
      <c r="K122" s="4" t="s">
        <v>91</v>
      </c>
      <c r="L122" s="4" t="s">
        <v>246</v>
      </c>
      <c r="N122" s="7" t="s">
        <v>370</v>
      </c>
      <c r="O122" s="7"/>
      <c r="P122" s="7" t="s">
        <v>371</v>
      </c>
      <c r="Q122" s="7"/>
      <c r="R122" s="7"/>
      <c r="S122" s="3" t="s">
        <v>40</v>
      </c>
      <c r="T122" s="7" t="s">
        <v>41</v>
      </c>
      <c r="U122" s="7"/>
      <c r="V122" s="4" t="s">
        <v>42</v>
      </c>
      <c r="W122" s="4" t="s">
        <v>43</v>
      </c>
      <c r="X122" s="4" t="s">
        <v>44</v>
      </c>
      <c r="Y122" s="7" t="s">
        <v>58</v>
      </c>
      <c r="Z122" s="7"/>
      <c r="AA122" s="4" t="s">
        <v>46</v>
      </c>
      <c r="AB122" s="4" t="s">
        <v>47</v>
      </c>
      <c r="AC122" s="4" t="s">
        <v>59</v>
      </c>
      <c r="AD122" s="4" t="s">
        <v>365</v>
      </c>
      <c r="AE122" s="4" t="s">
        <v>50</v>
      </c>
      <c r="AF122" s="4" t="s">
        <v>41</v>
      </c>
      <c r="AG122" s="4" t="s">
        <v>271</v>
      </c>
    </row>
    <row r="123" spans="1:33" ht="16.5" customHeight="1" x14ac:dyDescent="0.15">
      <c r="A123" s="2" t="s">
        <v>31</v>
      </c>
      <c r="B123" s="5" t="s">
        <v>32</v>
      </c>
      <c r="C123" s="5"/>
      <c r="D123" s="5"/>
      <c r="E123" s="6" t="s">
        <v>33</v>
      </c>
      <c r="F123" s="6"/>
      <c r="G123" s="7" t="s">
        <v>268</v>
      </c>
      <c r="H123" s="7"/>
      <c r="I123" s="7"/>
      <c r="J123" s="3" t="s">
        <v>35</v>
      </c>
      <c r="K123" s="4" t="s">
        <v>217</v>
      </c>
      <c r="L123" s="4" t="s">
        <v>74</v>
      </c>
      <c r="N123" s="7" t="s">
        <v>372</v>
      </c>
      <c r="O123" s="7"/>
      <c r="P123" s="7" t="s">
        <v>373</v>
      </c>
      <c r="Q123" s="7"/>
      <c r="R123" s="7"/>
      <c r="S123" s="3" t="s">
        <v>40</v>
      </c>
      <c r="T123" s="7" t="s">
        <v>41</v>
      </c>
      <c r="U123" s="7"/>
      <c r="V123" s="4" t="s">
        <v>42</v>
      </c>
      <c r="W123" s="4" t="s">
        <v>77</v>
      </c>
      <c r="X123" s="4" t="s">
        <v>78</v>
      </c>
      <c r="Y123" s="7" t="s">
        <v>58</v>
      </c>
      <c r="Z123" s="7"/>
      <c r="AA123" s="4" t="s">
        <v>46</v>
      </c>
      <c r="AB123" s="4" t="s">
        <v>47</v>
      </c>
      <c r="AC123" s="4" t="s">
        <v>59</v>
      </c>
      <c r="AD123" s="4" t="s">
        <v>79</v>
      </c>
      <c r="AE123" s="4" t="s">
        <v>50</v>
      </c>
      <c r="AF123" s="4" t="s">
        <v>41</v>
      </c>
      <c r="AG123" s="4" t="s">
        <v>271</v>
      </c>
    </row>
    <row r="124" spans="1:33" ht="16.5" customHeight="1" x14ac:dyDescent="0.15">
      <c r="A124" s="2" t="s">
        <v>31</v>
      </c>
      <c r="B124" s="5" t="s">
        <v>32</v>
      </c>
      <c r="C124" s="5"/>
      <c r="D124" s="5"/>
      <c r="E124" s="6" t="s">
        <v>33</v>
      </c>
      <c r="F124" s="6"/>
      <c r="G124" s="7" t="s">
        <v>268</v>
      </c>
      <c r="H124" s="7"/>
      <c r="I124" s="7"/>
      <c r="J124" s="3" t="s">
        <v>35</v>
      </c>
      <c r="K124" s="4" t="s">
        <v>208</v>
      </c>
      <c r="L124" s="4" t="s">
        <v>37</v>
      </c>
      <c r="N124" s="7" t="s">
        <v>374</v>
      </c>
      <c r="O124" s="7"/>
      <c r="P124" s="7" t="s">
        <v>375</v>
      </c>
      <c r="Q124" s="7"/>
      <c r="R124" s="7"/>
      <c r="S124" s="3" t="s">
        <v>40</v>
      </c>
      <c r="T124" s="7" t="s">
        <v>41</v>
      </c>
      <c r="U124" s="7"/>
      <c r="V124" s="4" t="s">
        <v>119</v>
      </c>
      <c r="W124" s="4" t="s">
        <v>376</v>
      </c>
      <c r="X124" s="4" t="s">
        <v>377</v>
      </c>
      <c r="Y124" s="7" t="s">
        <v>58</v>
      </c>
      <c r="Z124" s="7"/>
      <c r="AA124" s="4" t="s">
        <v>46</v>
      </c>
      <c r="AB124" s="4" t="s">
        <v>47</v>
      </c>
      <c r="AC124" s="4" t="s">
        <v>59</v>
      </c>
      <c r="AD124" s="4" t="s">
        <v>60</v>
      </c>
      <c r="AE124" s="4" t="s">
        <v>50</v>
      </c>
      <c r="AF124" s="4" t="s">
        <v>41</v>
      </c>
      <c r="AG124" s="4" t="s">
        <v>271</v>
      </c>
    </row>
    <row r="125" spans="1:33" ht="16.5" customHeight="1" x14ac:dyDescent="0.15">
      <c r="A125" s="2" t="s">
        <v>31</v>
      </c>
      <c r="B125" s="5" t="s">
        <v>32</v>
      </c>
      <c r="C125" s="5"/>
      <c r="D125" s="5"/>
      <c r="E125" s="6" t="s">
        <v>33</v>
      </c>
      <c r="F125" s="6"/>
      <c r="G125" s="7" t="s">
        <v>268</v>
      </c>
      <c r="H125" s="7"/>
      <c r="I125" s="7"/>
      <c r="J125" s="3" t="s">
        <v>35</v>
      </c>
      <c r="K125" s="4" t="s">
        <v>208</v>
      </c>
      <c r="L125" s="4" t="s">
        <v>37</v>
      </c>
      <c r="N125" s="7" t="s">
        <v>374</v>
      </c>
      <c r="O125" s="7"/>
      <c r="P125" s="7" t="s">
        <v>375</v>
      </c>
      <c r="Q125" s="7"/>
      <c r="R125" s="7"/>
      <c r="S125" s="3" t="s">
        <v>40</v>
      </c>
      <c r="T125" s="7" t="s">
        <v>41</v>
      </c>
      <c r="U125" s="7"/>
      <c r="V125" s="4" t="s">
        <v>56</v>
      </c>
      <c r="W125" s="4" t="s">
        <v>376</v>
      </c>
      <c r="X125" s="4" t="s">
        <v>78</v>
      </c>
      <c r="Y125" s="7" t="s">
        <v>58</v>
      </c>
      <c r="Z125" s="7"/>
      <c r="AA125" s="4" t="s">
        <v>46</v>
      </c>
      <c r="AB125" s="4" t="s">
        <v>47</v>
      </c>
      <c r="AC125" s="4" t="s">
        <v>59</v>
      </c>
      <c r="AD125" s="4" t="s">
        <v>60</v>
      </c>
      <c r="AE125" s="4" t="s">
        <v>50</v>
      </c>
      <c r="AF125" s="4" t="s">
        <v>41</v>
      </c>
      <c r="AG125" s="4" t="s">
        <v>271</v>
      </c>
    </row>
    <row r="126" spans="1:33" ht="16.5" customHeight="1" x14ac:dyDescent="0.15">
      <c r="A126" s="2" t="s">
        <v>31</v>
      </c>
      <c r="B126" s="5" t="s">
        <v>32</v>
      </c>
      <c r="C126" s="5"/>
      <c r="D126" s="5"/>
      <c r="E126" s="6" t="s">
        <v>33</v>
      </c>
      <c r="F126" s="6"/>
      <c r="G126" s="7" t="s">
        <v>268</v>
      </c>
      <c r="H126" s="7"/>
      <c r="I126" s="7"/>
      <c r="J126" s="3" t="s">
        <v>35</v>
      </c>
      <c r="K126" s="4" t="s">
        <v>107</v>
      </c>
      <c r="L126" s="4" t="s">
        <v>37</v>
      </c>
      <c r="N126" s="7" t="s">
        <v>374</v>
      </c>
      <c r="O126" s="7"/>
      <c r="P126" s="7" t="s">
        <v>375</v>
      </c>
      <c r="Q126" s="7"/>
      <c r="R126" s="7"/>
      <c r="S126" s="3" t="s">
        <v>40</v>
      </c>
      <c r="T126" s="7" t="s">
        <v>41</v>
      </c>
      <c r="U126" s="7"/>
      <c r="V126" s="4" t="s">
        <v>42</v>
      </c>
      <c r="W126" s="4" t="s">
        <v>376</v>
      </c>
      <c r="X126" s="4" t="s">
        <v>378</v>
      </c>
      <c r="Y126" s="7" t="s">
        <v>58</v>
      </c>
      <c r="Z126" s="7"/>
      <c r="AA126" s="4" t="s">
        <v>46</v>
      </c>
      <c r="AB126" s="4" t="s">
        <v>47</v>
      </c>
      <c r="AC126" s="4" t="s">
        <v>59</v>
      </c>
      <c r="AD126" s="4" t="s">
        <v>60</v>
      </c>
      <c r="AE126" s="4" t="s">
        <v>50</v>
      </c>
      <c r="AF126" s="4" t="s">
        <v>41</v>
      </c>
      <c r="AG126" s="4" t="s">
        <v>271</v>
      </c>
    </row>
    <row r="127" spans="1:33" ht="16.5" customHeight="1" x14ac:dyDescent="0.15">
      <c r="A127" s="2" t="s">
        <v>31</v>
      </c>
      <c r="B127" s="5" t="s">
        <v>32</v>
      </c>
      <c r="C127" s="5"/>
      <c r="D127" s="5"/>
      <c r="E127" s="6" t="s">
        <v>33</v>
      </c>
      <c r="F127" s="6"/>
      <c r="G127" s="7" t="s">
        <v>268</v>
      </c>
      <c r="H127" s="7"/>
      <c r="I127" s="7"/>
      <c r="J127" s="3" t="s">
        <v>35</v>
      </c>
      <c r="K127" s="4" t="s">
        <v>208</v>
      </c>
      <c r="L127" s="4" t="s">
        <v>63</v>
      </c>
      <c r="N127" s="7" t="s">
        <v>379</v>
      </c>
      <c r="O127" s="7"/>
      <c r="P127" s="7" t="s">
        <v>380</v>
      </c>
      <c r="Q127" s="7"/>
      <c r="R127" s="7"/>
      <c r="S127" s="3" t="s">
        <v>40</v>
      </c>
      <c r="T127" s="7" t="s">
        <v>41</v>
      </c>
      <c r="U127" s="7"/>
      <c r="V127" s="4" t="s">
        <v>42</v>
      </c>
      <c r="W127" s="4" t="s">
        <v>77</v>
      </c>
      <c r="X127" s="4" t="s">
        <v>78</v>
      </c>
      <c r="Y127" s="7" t="s">
        <v>58</v>
      </c>
      <c r="Z127" s="7"/>
      <c r="AA127" s="4" t="s">
        <v>46</v>
      </c>
      <c r="AB127" s="4" t="s">
        <v>47</v>
      </c>
      <c r="AC127" s="4" t="s">
        <v>59</v>
      </c>
      <c r="AD127" s="4" t="s">
        <v>156</v>
      </c>
      <c r="AE127" s="4" t="s">
        <v>50</v>
      </c>
      <c r="AF127" s="4" t="s">
        <v>41</v>
      </c>
      <c r="AG127" s="4" t="s">
        <v>271</v>
      </c>
    </row>
    <row r="128" spans="1:33" ht="16.5" customHeight="1" x14ac:dyDescent="0.15">
      <c r="A128" s="2" t="s">
        <v>31</v>
      </c>
      <c r="B128" s="5" t="s">
        <v>32</v>
      </c>
      <c r="C128" s="5"/>
      <c r="D128" s="5"/>
      <c r="E128" s="6" t="s">
        <v>33</v>
      </c>
      <c r="F128" s="6"/>
      <c r="G128" s="7" t="s">
        <v>268</v>
      </c>
      <c r="H128" s="7"/>
      <c r="I128" s="7"/>
      <c r="J128" s="3" t="s">
        <v>35</v>
      </c>
      <c r="K128" s="4" t="s">
        <v>104</v>
      </c>
      <c r="L128" s="4" t="s">
        <v>37</v>
      </c>
      <c r="N128" s="7" t="s">
        <v>381</v>
      </c>
      <c r="O128" s="7"/>
      <c r="P128" s="7" t="s">
        <v>382</v>
      </c>
      <c r="Q128" s="7"/>
      <c r="R128" s="7"/>
      <c r="S128" s="3" t="s">
        <v>40</v>
      </c>
      <c r="T128" s="7" t="s">
        <v>41</v>
      </c>
      <c r="U128" s="7"/>
      <c r="V128" s="4" t="s">
        <v>42</v>
      </c>
      <c r="W128" s="4" t="s">
        <v>77</v>
      </c>
      <c r="X128" s="4" t="s">
        <v>78</v>
      </c>
      <c r="Y128" s="7" t="s">
        <v>58</v>
      </c>
      <c r="Z128" s="7"/>
      <c r="AA128" s="4" t="s">
        <v>46</v>
      </c>
      <c r="AB128" s="4" t="s">
        <v>47</v>
      </c>
      <c r="AC128" s="4" t="s">
        <v>59</v>
      </c>
      <c r="AD128" s="4" t="s">
        <v>60</v>
      </c>
      <c r="AE128" s="4" t="s">
        <v>50</v>
      </c>
      <c r="AF128" s="4" t="s">
        <v>41</v>
      </c>
      <c r="AG128" s="4" t="s">
        <v>271</v>
      </c>
    </row>
    <row r="129" spans="1:33" ht="16.5" customHeight="1" x14ac:dyDescent="0.15">
      <c r="A129" s="2" t="s">
        <v>31</v>
      </c>
      <c r="B129" s="5" t="s">
        <v>32</v>
      </c>
      <c r="C129" s="5"/>
      <c r="D129" s="5"/>
      <c r="E129" s="6" t="s">
        <v>33</v>
      </c>
      <c r="F129" s="6"/>
      <c r="G129" s="7" t="s">
        <v>268</v>
      </c>
      <c r="H129" s="7"/>
      <c r="I129" s="7"/>
      <c r="J129" s="3" t="s">
        <v>35</v>
      </c>
      <c r="K129" s="4" t="s">
        <v>73</v>
      </c>
      <c r="L129" s="4" t="s">
        <v>37</v>
      </c>
      <c r="N129" s="7" t="s">
        <v>383</v>
      </c>
      <c r="O129" s="7"/>
      <c r="P129" s="7" t="s">
        <v>384</v>
      </c>
      <c r="Q129" s="7"/>
      <c r="R129" s="7"/>
      <c r="S129" s="3" t="s">
        <v>40</v>
      </c>
      <c r="T129" s="7" t="s">
        <v>41</v>
      </c>
      <c r="U129" s="7"/>
      <c r="V129" s="4" t="s">
        <v>42</v>
      </c>
      <c r="W129" s="4" t="s">
        <v>119</v>
      </c>
      <c r="X129" s="4" t="s">
        <v>120</v>
      </c>
      <c r="Y129" s="7" t="s">
        <v>58</v>
      </c>
      <c r="Z129" s="7"/>
      <c r="AA129" s="4" t="s">
        <v>46</v>
      </c>
      <c r="AB129" s="4" t="s">
        <v>47</v>
      </c>
      <c r="AC129" s="4" t="s">
        <v>59</v>
      </c>
      <c r="AD129" s="4" t="s">
        <v>60</v>
      </c>
      <c r="AE129" s="4" t="s">
        <v>50</v>
      </c>
      <c r="AF129" s="4" t="s">
        <v>41</v>
      </c>
      <c r="AG129" s="4" t="s">
        <v>271</v>
      </c>
    </row>
    <row r="130" spans="1:33" ht="16.5" customHeight="1" x14ac:dyDescent="0.15">
      <c r="A130" s="2" t="s">
        <v>31</v>
      </c>
      <c r="B130" s="5" t="s">
        <v>32</v>
      </c>
      <c r="C130" s="5"/>
      <c r="D130" s="5"/>
      <c r="E130" s="6" t="s">
        <v>33</v>
      </c>
      <c r="F130" s="6"/>
      <c r="G130" s="7" t="s">
        <v>268</v>
      </c>
      <c r="H130" s="7"/>
      <c r="I130" s="7"/>
      <c r="J130" s="3" t="s">
        <v>35</v>
      </c>
      <c r="K130" s="4" t="s">
        <v>104</v>
      </c>
      <c r="L130" s="4" t="s">
        <v>37</v>
      </c>
      <c r="N130" s="7" t="s">
        <v>385</v>
      </c>
      <c r="O130" s="7"/>
      <c r="P130" s="7" t="s">
        <v>386</v>
      </c>
      <c r="Q130" s="7"/>
      <c r="R130" s="7"/>
      <c r="S130" s="3" t="s">
        <v>40</v>
      </c>
      <c r="T130" s="7" t="s">
        <v>41</v>
      </c>
      <c r="U130" s="7"/>
      <c r="V130" s="4" t="s">
        <v>42</v>
      </c>
      <c r="W130" s="4" t="s">
        <v>160</v>
      </c>
      <c r="X130" s="4" t="s">
        <v>161</v>
      </c>
      <c r="Y130" s="7" t="s">
        <v>58</v>
      </c>
      <c r="Z130" s="7"/>
      <c r="AA130" s="4" t="s">
        <v>46</v>
      </c>
      <c r="AB130" s="4" t="s">
        <v>47</v>
      </c>
      <c r="AC130" s="4" t="s">
        <v>59</v>
      </c>
      <c r="AD130" s="4" t="s">
        <v>60</v>
      </c>
      <c r="AE130" s="4" t="s">
        <v>50</v>
      </c>
      <c r="AF130" s="4" t="s">
        <v>41</v>
      </c>
      <c r="AG130" s="4" t="s">
        <v>271</v>
      </c>
    </row>
    <row r="131" spans="1:33" ht="16.5" customHeight="1" x14ac:dyDescent="0.15">
      <c r="A131" s="2" t="s">
        <v>31</v>
      </c>
      <c r="B131" s="5" t="s">
        <v>32</v>
      </c>
      <c r="C131" s="5"/>
      <c r="D131" s="5"/>
      <c r="E131" s="6" t="s">
        <v>33</v>
      </c>
      <c r="F131" s="6"/>
      <c r="G131" s="7" t="s">
        <v>268</v>
      </c>
      <c r="H131" s="7"/>
      <c r="I131" s="7"/>
      <c r="J131" s="3" t="s">
        <v>35</v>
      </c>
      <c r="K131" s="4" t="s">
        <v>208</v>
      </c>
      <c r="L131" s="4" t="s">
        <v>67</v>
      </c>
      <c r="N131" s="7" t="s">
        <v>387</v>
      </c>
      <c r="O131" s="7"/>
      <c r="P131" s="7" t="s">
        <v>388</v>
      </c>
      <c r="Q131" s="7"/>
      <c r="R131" s="7"/>
      <c r="S131" s="3" t="s">
        <v>40</v>
      </c>
      <c r="T131" s="7" t="s">
        <v>41</v>
      </c>
      <c r="U131" s="7"/>
      <c r="V131" s="4" t="s">
        <v>42</v>
      </c>
      <c r="W131" s="4" t="s">
        <v>160</v>
      </c>
      <c r="X131" s="4" t="s">
        <v>161</v>
      </c>
      <c r="Y131" s="7" t="s">
        <v>58</v>
      </c>
      <c r="Z131" s="7"/>
      <c r="AA131" s="4" t="s">
        <v>46</v>
      </c>
      <c r="AB131" s="4" t="s">
        <v>47</v>
      </c>
      <c r="AC131" s="4" t="s">
        <v>59</v>
      </c>
      <c r="AD131" s="4" t="s">
        <v>135</v>
      </c>
      <c r="AE131" s="4" t="s">
        <v>50</v>
      </c>
      <c r="AF131" s="4" t="s">
        <v>41</v>
      </c>
      <c r="AG131" s="4" t="s">
        <v>271</v>
      </c>
    </row>
    <row r="132" spans="1:33" ht="16.5" customHeight="1" x14ac:dyDescent="0.15">
      <c r="A132" s="2" t="s">
        <v>31</v>
      </c>
      <c r="B132" s="5" t="s">
        <v>32</v>
      </c>
      <c r="C132" s="5"/>
      <c r="D132" s="5"/>
      <c r="E132" s="6" t="s">
        <v>33</v>
      </c>
      <c r="F132" s="6"/>
      <c r="G132" s="7" t="s">
        <v>268</v>
      </c>
      <c r="H132" s="7"/>
      <c r="I132" s="7"/>
      <c r="J132" s="3" t="s">
        <v>35</v>
      </c>
      <c r="K132" s="4" t="s">
        <v>73</v>
      </c>
      <c r="L132" s="4" t="s">
        <v>37</v>
      </c>
      <c r="N132" s="7" t="s">
        <v>389</v>
      </c>
      <c r="O132" s="7"/>
      <c r="P132" s="7" t="s">
        <v>390</v>
      </c>
      <c r="Q132" s="7"/>
      <c r="R132" s="7"/>
      <c r="S132" s="3" t="s">
        <v>40</v>
      </c>
      <c r="T132" s="7" t="s">
        <v>41</v>
      </c>
      <c r="U132" s="7"/>
      <c r="V132" s="4" t="s">
        <v>42</v>
      </c>
      <c r="W132" s="4" t="s">
        <v>197</v>
      </c>
      <c r="X132" s="4" t="s">
        <v>198</v>
      </c>
      <c r="Y132" s="7" t="s">
        <v>58</v>
      </c>
      <c r="Z132" s="7"/>
      <c r="AA132" s="4" t="s">
        <v>46</v>
      </c>
      <c r="AB132" s="4" t="s">
        <v>47</v>
      </c>
      <c r="AC132" s="4" t="s">
        <v>59</v>
      </c>
      <c r="AD132" s="4" t="s">
        <v>60</v>
      </c>
      <c r="AE132" s="4" t="s">
        <v>50</v>
      </c>
      <c r="AF132" s="4" t="s">
        <v>41</v>
      </c>
      <c r="AG132" s="4" t="s">
        <v>271</v>
      </c>
    </row>
    <row r="133" spans="1:33" ht="16.5" customHeight="1" x14ac:dyDescent="0.15">
      <c r="A133" s="2" t="s">
        <v>31</v>
      </c>
      <c r="B133" s="5" t="s">
        <v>32</v>
      </c>
      <c r="C133" s="5"/>
      <c r="D133" s="5"/>
      <c r="E133" s="6" t="s">
        <v>33</v>
      </c>
      <c r="F133" s="6"/>
      <c r="G133" s="7" t="s">
        <v>268</v>
      </c>
      <c r="H133" s="7"/>
      <c r="I133" s="7"/>
      <c r="J133" s="3" t="s">
        <v>35</v>
      </c>
      <c r="K133" s="4" t="s">
        <v>329</v>
      </c>
      <c r="L133" s="4" t="s">
        <v>391</v>
      </c>
      <c r="N133" s="7" t="s">
        <v>392</v>
      </c>
      <c r="O133" s="7"/>
      <c r="P133" s="7" t="s">
        <v>393</v>
      </c>
      <c r="Q133" s="7"/>
      <c r="R133" s="7"/>
      <c r="S133" s="3" t="s">
        <v>40</v>
      </c>
      <c r="T133" s="7" t="s">
        <v>41</v>
      </c>
      <c r="U133" s="7"/>
      <c r="V133" s="4" t="s">
        <v>119</v>
      </c>
      <c r="W133" s="4" t="s">
        <v>43</v>
      </c>
      <c r="X133" s="4" t="s">
        <v>257</v>
      </c>
      <c r="Y133" s="7" t="s">
        <v>58</v>
      </c>
      <c r="Z133" s="7"/>
      <c r="AA133" s="4" t="s">
        <v>46</v>
      </c>
      <c r="AB133" s="4" t="s">
        <v>47</v>
      </c>
      <c r="AC133" s="4" t="s">
        <v>59</v>
      </c>
      <c r="AD133" s="4" t="s">
        <v>394</v>
      </c>
      <c r="AE133" s="4" t="s">
        <v>50</v>
      </c>
      <c r="AF133" s="4" t="s">
        <v>41</v>
      </c>
      <c r="AG133" s="4" t="s">
        <v>271</v>
      </c>
    </row>
    <row r="134" spans="1:33" ht="16.5" customHeight="1" x14ac:dyDescent="0.15">
      <c r="A134" s="2" t="s">
        <v>31</v>
      </c>
      <c r="B134" s="5" t="s">
        <v>32</v>
      </c>
      <c r="C134" s="5"/>
      <c r="D134" s="5"/>
      <c r="E134" s="6" t="s">
        <v>33</v>
      </c>
      <c r="F134" s="6"/>
      <c r="G134" s="7" t="s">
        <v>268</v>
      </c>
      <c r="H134" s="7"/>
      <c r="I134" s="7"/>
      <c r="J134" s="3" t="s">
        <v>35</v>
      </c>
      <c r="K134" s="4" t="s">
        <v>329</v>
      </c>
      <c r="L134" s="4" t="s">
        <v>391</v>
      </c>
      <c r="N134" s="7" t="s">
        <v>392</v>
      </c>
      <c r="O134" s="7"/>
      <c r="P134" s="7" t="s">
        <v>393</v>
      </c>
      <c r="Q134" s="7"/>
      <c r="R134" s="7"/>
      <c r="S134" s="3" t="s">
        <v>40</v>
      </c>
      <c r="T134" s="7" t="s">
        <v>41</v>
      </c>
      <c r="U134" s="7"/>
      <c r="V134" s="4" t="s">
        <v>56</v>
      </c>
      <c r="W134" s="4" t="s">
        <v>43</v>
      </c>
      <c r="X134" s="4" t="s">
        <v>212</v>
      </c>
      <c r="Y134" s="7" t="s">
        <v>58</v>
      </c>
      <c r="Z134" s="7"/>
      <c r="AA134" s="4" t="s">
        <v>46</v>
      </c>
      <c r="AB134" s="4" t="s">
        <v>47</v>
      </c>
      <c r="AC134" s="4" t="s">
        <v>59</v>
      </c>
      <c r="AD134" s="4" t="s">
        <v>394</v>
      </c>
      <c r="AE134" s="4" t="s">
        <v>50</v>
      </c>
      <c r="AF134" s="4" t="s">
        <v>41</v>
      </c>
      <c r="AG134" s="4" t="s">
        <v>271</v>
      </c>
    </row>
    <row r="135" spans="1:33" ht="16.5" customHeight="1" x14ac:dyDescent="0.15">
      <c r="A135" s="2" t="s">
        <v>31</v>
      </c>
      <c r="B135" s="5" t="s">
        <v>32</v>
      </c>
      <c r="C135" s="5"/>
      <c r="D135" s="5"/>
      <c r="E135" s="6" t="s">
        <v>33</v>
      </c>
      <c r="F135" s="6"/>
      <c r="G135" s="7" t="s">
        <v>268</v>
      </c>
      <c r="H135" s="7"/>
      <c r="I135" s="7"/>
      <c r="J135" s="3" t="s">
        <v>35</v>
      </c>
      <c r="K135" s="4" t="s">
        <v>80</v>
      </c>
      <c r="L135" s="4" t="s">
        <v>74</v>
      </c>
      <c r="N135" s="7" t="s">
        <v>395</v>
      </c>
      <c r="O135" s="7"/>
      <c r="P135" s="7" t="s">
        <v>396</v>
      </c>
      <c r="Q135" s="7"/>
      <c r="R135" s="7"/>
      <c r="S135" s="3" t="s">
        <v>40</v>
      </c>
      <c r="T135" s="7" t="s">
        <v>41</v>
      </c>
      <c r="U135" s="7"/>
      <c r="V135" s="4" t="s">
        <v>42</v>
      </c>
      <c r="W135" s="4" t="s">
        <v>211</v>
      </c>
      <c r="X135" s="4" t="s">
        <v>212</v>
      </c>
      <c r="Y135" s="7" t="s">
        <v>58</v>
      </c>
      <c r="Z135" s="7"/>
      <c r="AA135" s="4" t="s">
        <v>46</v>
      </c>
      <c r="AB135" s="4" t="s">
        <v>47</v>
      </c>
      <c r="AC135" s="4" t="s">
        <v>59</v>
      </c>
      <c r="AD135" s="4" t="s">
        <v>79</v>
      </c>
      <c r="AE135" s="4" t="s">
        <v>50</v>
      </c>
      <c r="AF135" s="4" t="s">
        <v>41</v>
      </c>
      <c r="AG135" s="4" t="s">
        <v>271</v>
      </c>
    </row>
    <row r="136" spans="1:33" ht="16.5" customHeight="1" x14ac:dyDescent="0.15">
      <c r="A136" s="2" t="s">
        <v>31</v>
      </c>
      <c r="B136" s="5" t="s">
        <v>32</v>
      </c>
      <c r="C136" s="5"/>
      <c r="D136" s="5"/>
      <c r="E136" s="6" t="s">
        <v>33</v>
      </c>
      <c r="F136" s="6"/>
      <c r="G136" s="7" t="s">
        <v>268</v>
      </c>
      <c r="H136" s="7"/>
      <c r="I136" s="7"/>
      <c r="J136" s="3" t="s">
        <v>35</v>
      </c>
      <c r="K136" s="4" t="s">
        <v>107</v>
      </c>
      <c r="L136" s="4" t="s">
        <v>67</v>
      </c>
      <c r="N136" s="7" t="s">
        <v>397</v>
      </c>
      <c r="O136" s="7"/>
      <c r="P136" s="7" t="s">
        <v>398</v>
      </c>
      <c r="Q136" s="7"/>
      <c r="R136" s="7"/>
      <c r="S136" s="3" t="s">
        <v>40</v>
      </c>
      <c r="T136" s="7" t="s">
        <v>41</v>
      </c>
      <c r="U136" s="7"/>
      <c r="V136" s="4" t="s">
        <v>42</v>
      </c>
      <c r="W136" s="4" t="s">
        <v>211</v>
      </c>
      <c r="X136" s="4" t="s">
        <v>212</v>
      </c>
      <c r="Y136" s="7" t="s">
        <v>58</v>
      </c>
      <c r="Z136" s="7"/>
      <c r="AA136" s="4" t="s">
        <v>46</v>
      </c>
      <c r="AB136" s="4" t="s">
        <v>47</v>
      </c>
      <c r="AC136" s="4" t="s">
        <v>59</v>
      </c>
      <c r="AD136" s="4" t="s">
        <v>135</v>
      </c>
      <c r="AE136" s="4" t="s">
        <v>50</v>
      </c>
      <c r="AF136" s="4" t="s">
        <v>41</v>
      </c>
      <c r="AG136" s="4" t="s">
        <v>271</v>
      </c>
    </row>
    <row r="137" spans="1:33" ht="16.5" customHeight="1" x14ac:dyDescent="0.15">
      <c r="A137" s="2" t="s">
        <v>31</v>
      </c>
      <c r="B137" s="5" t="s">
        <v>32</v>
      </c>
      <c r="C137" s="5"/>
      <c r="D137" s="5"/>
      <c r="E137" s="6" t="s">
        <v>33</v>
      </c>
      <c r="F137" s="6"/>
      <c r="G137" s="7" t="s">
        <v>268</v>
      </c>
      <c r="H137" s="7"/>
      <c r="I137" s="7"/>
      <c r="J137" s="3" t="s">
        <v>35</v>
      </c>
      <c r="K137" s="4" t="s">
        <v>238</v>
      </c>
      <c r="L137" s="4" t="s">
        <v>37</v>
      </c>
      <c r="N137" s="7" t="s">
        <v>399</v>
      </c>
      <c r="O137" s="7"/>
      <c r="P137" s="7" t="s">
        <v>400</v>
      </c>
      <c r="Q137" s="7"/>
      <c r="R137" s="7"/>
      <c r="S137" s="3" t="s">
        <v>40</v>
      </c>
      <c r="T137" s="7" t="s">
        <v>41</v>
      </c>
      <c r="U137" s="7"/>
      <c r="V137" s="4" t="s">
        <v>42</v>
      </c>
      <c r="W137" s="4" t="s">
        <v>292</v>
      </c>
      <c r="X137" s="4" t="s">
        <v>293</v>
      </c>
      <c r="Y137" s="7" t="s">
        <v>45</v>
      </c>
      <c r="Z137" s="7"/>
      <c r="AA137" s="4" t="s">
        <v>46</v>
      </c>
      <c r="AB137" s="4" t="s">
        <v>47</v>
      </c>
      <c r="AC137" s="4" t="s">
        <v>48</v>
      </c>
      <c r="AD137" s="4" t="s">
        <v>49</v>
      </c>
      <c r="AE137" s="4" t="s">
        <v>50</v>
      </c>
      <c r="AF137" s="4" t="s">
        <v>41</v>
      </c>
      <c r="AG137" s="4" t="s">
        <v>271</v>
      </c>
    </row>
    <row r="138" spans="1:33" ht="16.5" customHeight="1" x14ac:dyDescent="0.15">
      <c r="A138" s="2" t="s">
        <v>31</v>
      </c>
      <c r="B138" s="5" t="s">
        <v>32</v>
      </c>
      <c r="C138" s="5"/>
      <c r="D138" s="5"/>
      <c r="E138" s="6" t="s">
        <v>33</v>
      </c>
      <c r="F138" s="6"/>
      <c r="G138" s="7" t="s">
        <v>268</v>
      </c>
      <c r="H138" s="7"/>
      <c r="I138" s="7"/>
      <c r="J138" s="3" t="s">
        <v>35</v>
      </c>
      <c r="K138" s="4" t="s">
        <v>104</v>
      </c>
      <c r="L138" s="4" t="s">
        <v>246</v>
      </c>
      <c r="N138" s="7" t="s">
        <v>401</v>
      </c>
      <c r="O138" s="7"/>
      <c r="P138" s="7" t="s">
        <v>402</v>
      </c>
      <c r="Q138" s="7"/>
      <c r="R138" s="7"/>
      <c r="S138" s="3" t="s">
        <v>40</v>
      </c>
      <c r="T138" s="7" t="s">
        <v>41</v>
      </c>
      <c r="U138" s="7"/>
      <c r="V138" s="4" t="s">
        <v>42</v>
      </c>
      <c r="W138" s="4" t="s">
        <v>337</v>
      </c>
      <c r="X138" s="4" t="s">
        <v>403</v>
      </c>
      <c r="Y138" s="7" t="s">
        <v>58</v>
      </c>
      <c r="Z138" s="7"/>
      <c r="AA138" s="4" t="s">
        <v>46</v>
      </c>
      <c r="AB138" s="4" t="s">
        <v>47</v>
      </c>
      <c r="AC138" s="4" t="s">
        <v>59</v>
      </c>
      <c r="AD138" s="4" t="s">
        <v>365</v>
      </c>
      <c r="AE138" s="4" t="s">
        <v>50</v>
      </c>
      <c r="AF138" s="4" t="s">
        <v>41</v>
      </c>
      <c r="AG138" s="4" t="s">
        <v>271</v>
      </c>
    </row>
    <row r="139" spans="1:33" ht="16.5" customHeight="1" x14ac:dyDescent="0.15">
      <c r="A139" s="2" t="s">
        <v>31</v>
      </c>
      <c r="B139" s="5" t="s">
        <v>32</v>
      </c>
      <c r="C139" s="5"/>
      <c r="D139" s="5"/>
      <c r="E139" s="6" t="s">
        <v>33</v>
      </c>
      <c r="F139" s="6"/>
      <c r="G139" s="7" t="s">
        <v>268</v>
      </c>
      <c r="H139" s="7"/>
      <c r="I139" s="7"/>
      <c r="J139" s="3" t="s">
        <v>35</v>
      </c>
      <c r="K139" s="4" t="s">
        <v>91</v>
      </c>
      <c r="L139" s="4" t="s">
        <v>37</v>
      </c>
      <c r="N139" s="7" t="s">
        <v>404</v>
      </c>
      <c r="O139" s="7"/>
      <c r="P139" s="7" t="s">
        <v>405</v>
      </c>
      <c r="Q139" s="7"/>
      <c r="R139" s="7"/>
      <c r="S139" s="3" t="s">
        <v>40</v>
      </c>
      <c r="T139" s="7" t="s">
        <v>41</v>
      </c>
      <c r="U139" s="7"/>
      <c r="V139" s="4" t="s">
        <v>42</v>
      </c>
      <c r="W139" s="4" t="s">
        <v>128</v>
      </c>
      <c r="X139" s="4" t="s">
        <v>129</v>
      </c>
      <c r="Y139" s="7" t="s">
        <v>58</v>
      </c>
      <c r="Z139" s="7"/>
      <c r="AA139" s="4" t="s">
        <v>46</v>
      </c>
      <c r="AB139" s="4" t="s">
        <v>47</v>
      </c>
      <c r="AC139" s="4" t="s">
        <v>59</v>
      </c>
      <c r="AD139" s="4" t="s">
        <v>60</v>
      </c>
      <c r="AE139" s="4" t="s">
        <v>50</v>
      </c>
      <c r="AF139" s="4" t="s">
        <v>41</v>
      </c>
      <c r="AG139" s="4" t="s">
        <v>271</v>
      </c>
    </row>
    <row r="140" spans="1:33" ht="16.5" customHeight="1" x14ac:dyDescent="0.15">
      <c r="A140" s="2" t="s">
        <v>31</v>
      </c>
      <c r="B140" s="5" t="s">
        <v>32</v>
      </c>
      <c r="C140" s="5"/>
      <c r="D140" s="5"/>
      <c r="E140" s="6" t="s">
        <v>33</v>
      </c>
      <c r="F140" s="6"/>
      <c r="G140" s="7" t="s">
        <v>268</v>
      </c>
      <c r="H140" s="7"/>
      <c r="I140" s="7"/>
      <c r="J140" s="3" t="s">
        <v>35</v>
      </c>
      <c r="K140" s="4" t="s">
        <v>107</v>
      </c>
      <c r="L140" s="4" t="s">
        <v>74</v>
      </c>
      <c r="N140" s="7" t="s">
        <v>406</v>
      </c>
      <c r="O140" s="7"/>
      <c r="P140" s="7" t="s">
        <v>407</v>
      </c>
      <c r="Q140" s="7"/>
      <c r="R140" s="7"/>
      <c r="S140" s="3" t="s">
        <v>40</v>
      </c>
      <c r="T140" s="7" t="s">
        <v>41</v>
      </c>
      <c r="U140" s="7"/>
      <c r="V140" s="4" t="s">
        <v>42</v>
      </c>
      <c r="W140" s="4" t="s">
        <v>119</v>
      </c>
      <c r="X140" s="4" t="s">
        <v>120</v>
      </c>
      <c r="Y140" s="7" t="s">
        <v>58</v>
      </c>
      <c r="Z140" s="7"/>
      <c r="AA140" s="4" t="s">
        <v>46</v>
      </c>
      <c r="AB140" s="4" t="s">
        <v>47</v>
      </c>
      <c r="AC140" s="4" t="s">
        <v>59</v>
      </c>
      <c r="AD140" s="4" t="s">
        <v>79</v>
      </c>
      <c r="AE140" s="4" t="s">
        <v>50</v>
      </c>
      <c r="AF140" s="4" t="s">
        <v>41</v>
      </c>
      <c r="AG140" s="4" t="s">
        <v>271</v>
      </c>
    </row>
    <row r="141" spans="1:33" ht="16.5" customHeight="1" x14ac:dyDescent="0.15">
      <c r="A141" s="2" t="s">
        <v>31</v>
      </c>
      <c r="B141" s="5" t="s">
        <v>32</v>
      </c>
      <c r="C141" s="5"/>
      <c r="D141" s="5"/>
      <c r="E141" s="6" t="s">
        <v>33</v>
      </c>
      <c r="F141" s="6"/>
      <c r="G141" s="7" t="s">
        <v>268</v>
      </c>
      <c r="H141" s="7"/>
      <c r="I141" s="7"/>
      <c r="J141" s="3" t="s">
        <v>35</v>
      </c>
      <c r="K141" s="4" t="s">
        <v>73</v>
      </c>
      <c r="L141" s="4" t="s">
        <v>67</v>
      </c>
      <c r="N141" s="7" t="s">
        <v>408</v>
      </c>
      <c r="O141" s="7"/>
      <c r="P141" s="7" t="s">
        <v>409</v>
      </c>
      <c r="Q141" s="7"/>
      <c r="R141" s="7"/>
      <c r="S141" s="3" t="s">
        <v>40</v>
      </c>
      <c r="T141" s="7" t="s">
        <v>41</v>
      </c>
      <c r="U141" s="7"/>
      <c r="V141" s="4" t="s">
        <v>42</v>
      </c>
      <c r="W141" s="4" t="s">
        <v>119</v>
      </c>
      <c r="X141" s="4" t="s">
        <v>120</v>
      </c>
      <c r="Y141" s="7" t="s">
        <v>58</v>
      </c>
      <c r="Z141" s="7"/>
      <c r="AA141" s="4" t="s">
        <v>46</v>
      </c>
      <c r="AB141" s="4" t="s">
        <v>47</v>
      </c>
      <c r="AC141" s="4" t="s">
        <v>59</v>
      </c>
      <c r="AD141" s="4" t="s">
        <v>135</v>
      </c>
      <c r="AE141" s="4" t="s">
        <v>50</v>
      </c>
      <c r="AF141" s="4" t="s">
        <v>41</v>
      </c>
      <c r="AG141" s="4" t="s">
        <v>271</v>
      </c>
    </row>
    <row r="142" spans="1:33" ht="16.5" customHeight="1" x14ac:dyDescent="0.15">
      <c r="A142" s="2" t="s">
        <v>31</v>
      </c>
      <c r="B142" s="5" t="s">
        <v>32</v>
      </c>
      <c r="C142" s="5"/>
      <c r="D142" s="5"/>
      <c r="E142" s="6" t="s">
        <v>33</v>
      </c>
      <c r="F142" s="6"/>
      <c r="G142" s="7" t="s">
        <v>410</v>
      </c>
      <c r="H142" s="7"/>
      <c r="I142" s="7"/>
      <c r="J142" s="3" t="s">
        <v>35</v>
      </c>
      <c r="K142" s="4" t="s">
        <v>80</v>
      </c>
      <c r="L142" s="4" t="s">
        <v>74</v>
      </c>
      <c r="N142" s="7" t="s">
        <v>411</v>
      </c>
      <c r="O142" s="7"/>
      <c r="P142" s="7" t="s">
        <v>412</v>
      </c>
      <c r="Q142" s="7"/>
      <c r="R142" s="7"/>
      <c r="S142" s="3" t="s">
        <v>40</v>
      </c>
      <c r="T142" s="7" t="s">
        <v>41</v>
      </c>
      <c r="U142" s="7"/>
      <c r="V142" s="4" t="s">
        <v>42</v>
      </c>
      <c r="W142" s="4" t="s">
        <v>413</v>
      </c>
      <c r="X142" s="4" t="s">
        <v>341</v>
      </c>
      <c r="Y142" s="7" t="s">
        <v>58</v>
      </c>
      <c r="Z142" s="7"/>
      <c r="AA142" s="4" t="s">
        <v>46</v>
      </c>
      <c r="AB142" s="4" t="s">
        <v>47</v>
      </c>
      <c r="AC142" s="4" t="s">
        <v>59</v>
      </c>
      <c r="AD142" s="4" t="s">
        <v>79</v>
      </c>
      <c r="AE142" s="4" t="s">
        <v>50</v>
      </c>
      <c r="AF142" s="4" t="s">
        <v>41</v>
      </c>
      <c r="AG142" s="4" t="s">
        <v>414</v>
      </c>
    </row>
    <row r="143" spans="1:33" ht="16.5" customHeight="1" x14ac:dyDescent="0.15">
      <c r="A143" s="2" t="s">
        <v>31</v>
      </c>
      <c r="B143" s="5" t="s">
        <v>278</v>
      </c>
      <c r="C143" s="5"/>
      <c r="D143" s="5"/>
      <c r="E143" s="6" t="s">
        <v>33</v>
      </c>
      <c r="F143" s="6"/>
      <c r="G143" s="7" t="s">
        <v>410</v>
      </c>
      <c r="H143" s="7"/>
      <c r="I143" s="7"/>
      <c r="J143" s="3" t="s">
        <v>279</v>
      </c>
      <c r="K143" s="4" t="s">
        <v>415</v>
      </c>
      <c r="N143" s="7" t="s">
        <v>411</v>
      </c>
      <c r="O143" s="7"/>
      <c r="P143" s="7" t="s">
        <v>412</v>
      </c>
      <c r="Q143" s="7"/>
      <c r="R143" s="7"/>
      <c r="S143" s="3" t="s">
        <v>40</v>
      </c>
      <c r="T143" s="7" t="s">
        <v>416</v>
      </c>
      <c r="U143" s="7"/>
      <c r="V143" s="4" t="s">
        <v>42</v>
      </c>
      <c r="W143" s="4" t="s">
        <v>119</v>
      </c>
      <c r="X143" s="4" t="s">
        <v>341</v>
      </c>
      <c r="Y143" s="7" t="s">
        <v>282</v>
      </c>
      <c r="Z143" s="7"/>
      <c r="AA143" s="4" t="s">
        <v>46</v>
      </c>
      <c r="AB143" s="4" t="s">
        <v>283</v>
      </c>
      <c r="AC143" s="4" t="s">
        <v>284</v>
      </c>
      <c r="AD143" s="4" t="s">
        <v>417</v>
      </c>
      <c r="AE143" s="4" t="s">
        <v>50</v>
      </c>
      <c r="AF143" s="4" t="s">
        <v>41</v>
      </c>
      <c r="AG143" s="4" t="s">
        <v>414</v>
      </c>
    </row>
    <row r="144" spans="1:33" ht="16.5" customHeight="1" x14ac:dyDescent="0.15">
      <c r="A144" s="2" t="s">
        <v>31</v>
      </c>
      <c r="B144" s="5" t="s">
        <v>32</v>
      </c>
      <c r="C144" s="5"/>
      <c r="D144" s="5"/>
      <c r="E144" s="6" t="s">
        <v>33</v>
      </c>
      <c r="F144" s="6"/>
      <c r="G144" s="7" t="s">
        <v>410</v>
      </c>
      <c r="H144" s="7"/>
      <c r="I144" s="7"/>
      <c r="J144" s="3" t="s">
        <v>35</v>
      </c>
      <c r="K144" s="4" t="s">
        <v>238</v>
      </c>
      <c r="L144" s="4" t="s">
        <v>37</v>
      </c>
      <c r="N144" s="7" t="s">
        <v>418</v>
      </c>
      <c r="O144" s="7"/>
      <c r="P144" s="7" t="s">
        <v>419</v>
      </c>
      <c r="Q144" s="7"/>
      <c r="R144" s="7"/>
      <c r="S144" s="3" t="s">
        <v>40</v>
      </c>
      <c r="T144" s="7" t="s">
        <v>41</v>
      </c>
      <c r="U144" s="7"/>
      <c r="V144" s="4" t="s">
        <v>42</v>
      </c>
      <c r="W144" s="4" t="s">
        <v>193</v>
      </c>
      <c r="X144" s="4" t="s">
        <v>194</v>
      </c>
      <c r="Y144" s="7" t="s">
        <v>45</v>
      </c>
      <c r="Z144" s="7"/>
      <c r="AA144" s="4" t="s">
        <v>46</v>
      </c>
      <c r="AB144" s="4" t="s">
        <v>47</v>
      </c>
      <c r="AC144" s="4" t="s">
        <v>48</v>
      </c>
      <c r="AD144" s="4" t="s">
        <v>49</v>
      </c>
      <c r="AE144" s="4" t="s">
        <v>50</v>
      </c>
      <c r="AF144" s="4" t="s">
        <v>41</v>
      </c>
      <c r="AG144" s="4" t="s">
        <v>414</v>
      </c>
    </row>
    <row r="145" spans="1:33" ht="16.5" customHeight="1" x14ac:dyDescent="0.15">
      <c r="A145" s="2" t="s">
        <v>31</v>
      </c>
      <c r="B145" s="5" t="s">
        <v>32</v>
      </c>
      <c r="C145" s="5"/>
      <c r="D145" s="5"/>
      <c r="E145" s="6" t="s">
        <v>33</v>
      </c>
      <c r="F145" s="6"/>
      <c r="G145" s="7" t="s">
        <v>410</v>
      </c>
      <c r="H145" s="7"/>
      <c r="I145" s="7"/>
      <c r="J145" s="3" t="s">
        <v>35</v>
      </c>
      <c r="K145" s="4" t="s">
        <v>107</v>
      </c>
      <c r="L145" s="4" t="s">
        <v>37</v>
      </c>
      <c r="N145" s="7" t="s">
        <v>420</v>
      </c>
      <c r="O145" s="7"/>
      <c r="P145" s="7" t="s">
        <v>421</v>
      </c>
      <c r="Q145" s="7"/>
      <c r="R145" s="7"/>
      <c r="S145" s="3" t="s">
        <v>40</v>
      </c>
      <c r="T145" s="7" t="s">
        <v>41</v>
      </c>
      <c r="U145" s="7"/>
      <c r="V145" s="4" t="s">
        <v>42</v>
      </c>
      <c r="W145" s="4" t="s">
        <v>243</v>
      </c>
      <c r="X145" s="4" t="s">
        <v>244</v>
      </c>
      <c r="Y145" s="7" t="s">
        <v>58</v>
      </c>
      <c r="Z145" s="7"/>
      <c r="AA145" s="4" t="s">
        <v>46</v>
      </c>
      <c r="AB145" s="4" t="s">
        <v>47</v>
      </c>
      <c r="AC145" s="4" t="s">
        <v>59</v>
      </c>
      <c r="AD145" s="4" t="s">
        <v>60</v>
      </c>
      <c r="AE145" s="4" t="s">
        <v>50</v>
      </c>
      <c r="AF145" s="4" t="s">
        <v>41</v>
      </c>
      <c r="AG145" s="4" t="s">
        <v>414</v>
      </c>
    </row>
    <row r="146" spans="1:33" ht="16.5" customHeight="1" x14ac:dyDescent="0.15">
      <c r="A146" s="2" t="s">
        <v>31</v>
      </c>
      <c r="B146" s="5" t="s">
        <v>32</v>
      </c>
      <c r="C146" s="5"/>
      <c r="D146" s="5"/>
      <c r="E146" s="6" t="s">
        <v>33</v>
      </c>
      <c r="F146" s="6"/>
      <c r="G146" s="7" t="s">
        <v>422</v>
      </c>
      <c r="H146" s="7"/>
      <c r="I146" s="7"/>
      <c r="J146" s="3" t="s">
        <v>35</v>
      </c>
      <c r="K146" s="4" t="s">
        <v>176</v>
      </c>
      <c r="L146" s="4" t="s">
        <v>37</v>
      </c>
      <c r="N146" s="7" t="s">
        <v>423</v>
      </c>
      <c r="O146" s="7"/>
      <c r="P146" s="7" t="s">
        <v>424</v>
      </c>
      <c r="Q146" s="7"/>
      <c r="R146" s="7"/>
      <c r="S146" s="3" t="s">
        <v>40</v>
      </c>
      <c r="T146" s="7" t="s">
        <v>41</v>
      </c>
      <c r="U146" s="7"/>
      <c r="V146" s="4" t="s">
        <v>42</v>
      </c>
      <c r="W146" s="4" t="s">
        <v>160</v>
      </c>
      <c r="X146" s="4" t="s">
        <v>161</v>
      </c>
      <c r="Y146" s="7" t="s">
        <v>45</v>
      </c>
      <c r="Z146" s="7"/>
      <c r="AA146" s="4" t="s">
        <v>46</v>
      </c>
      <c r="AB146" s="4" t="s">
        <v>47</v>
      </c>
      <c r="AC146" s="4" t="s">
        <v>72</v>
      </c>
      <c r="AD146" s="4" t="s">
        <v>41</v>
      </c>
      <c r="AE146" s="4" t="s">
        <v>50</v>
      </c>
      <c r="AF146" s="4" t="s">
        <v>41</v>
      </c>
      <c r="AG146" s="4" t="s">
        <v>425</v>
      </c>
    </row>
    <row r="147" spans="1:33" ht="16.5" customHeight="1" x14ac:dyDescent="0.15">
      <c r="A147" s="2" t="s">
        <v>31</v>
      </c>
      <c r="B147" s="5" t="s">
        <v>32</v>
      </c>
      <c r="C147" s="5"/>
      <c r="D147" s="5"/>
      <c r="E147" s="6" t="s">
        <v>33</v>
      </c>
      <c r="F147" s="6"/>
      <c r="G147" s="7" t="s">
        <v>422</v>
      </c>
      <c r="H147" s="7"/>
      <c r="I147" s="7"/>
      <c r="J147" s="3" t="s">
        <v>35</v>
      </c>
      <c r="K147" s="4" t="s">
        <v>426</v>
      </c>
      <c r="L147" s="4" t="s">
        <v>37</v>
      </c>
      <c r="N147" s="7" t="s">
        <v>427</v>
      </c>
      <c r="O147" s="7"/>
      <c r="P147" s="7" t="s">
        <v>428</v>
      </c>
      <c r="Q147" s="7"/>
      <c r="R147" s="7"/>
      <c r="S147" s="3" t="s">
        <v>40</v>
      </c>
      <c r="T147" s="7" t="s">
        <v>41</v>
      </c>
      <c r="U147" s="7"/>
      <c r="V147" s="4" t="s">
        <v>42</v>
      </c>
      <c r="W147" s="4" t="s">
        <v>363</v>
      </c>
      <c r="X147" s="4" t="s">
        <v>364</v>
      </c>
      <c r="Y147" s="7" t="s">
        <v>58</v>
      </c>
      <c r="Z147" s="7"/>
      <c r="AA147" s="4" t="s">
        <v>46</v>
      </c>
      <c r="AB147" s="4" t="s">
        <v>47</v>
      </c>
      <c r="AC147" s="4" t="s">
        <v>59</v>
      </c>
      <c r="AD147" s="4" t="s">
        <v>60</v>
      </c>
      <c r="AE147" s="4" t="s">
        <v>50</v>
      </c>
      <c r="AF147" s="4" t="s">
        <v>41</v>
      </c>
      <c r="AG147" s="4" t="s">
        <v>425</v>
      </c>
    </row>
    <row r="148" spans="1:33" ht="16.5" customHeight="1" x14ac:dyDescent="0.15">
      <c r="A148" s="2" t="s">
        <v>31</v>
      </c>
      <c r="B148" s="5" t="s">
        <v>32</v>
      </c>
      <c r="C148" s="5"/>
      <c r="D148" s="5"/>
      <c r="E148" s="6" t="s">
        <v>33</v>
      </c>
      <c r="F148" s="6"/>
      <c r="G148" s="7" t="s">
        <v>422</v>
      </c>
      <c r="H148" s="7"/>
      <c r="I148" s="7"/>
      <c r="J148" s="3" t="s">
        <v>35</v>
      </c>
      <c r="K148" s="4" t="s">
        <v>176</v>
      </c>
      <c r="L148" s="4" t="s">
        <v>37</v>
      </c>
      <c r="N148" s="7" t="s">
        <v>429</v>
      </c>
      <c r="O148" s="7"/>
      <c r="P148" s="7" t="s">
        <v>430</v>
      </c>
      <c r="Q148" s="7"/>
      <c r="R148" s="7"/>
      <c r="S148" s="3" t="s">
        <v>40</v>
      </c>
      <c r="T148" s="7" t="s">
        <v>41</v>
      </c>
      <c r="U148" s="7"/>
      <c r="V148" s="4" t="s">
        <v>42</v>
      </c>
      <c r="W148" s="4" t="s">
        <v>119</v>
      </c>
      <c r="X148" s="4" t="s">
        <v>120</v>
      </c>
      <c r="Y148" s="7" t="s">
        <v>45</v>
      </c>
      <c r="Z148" s="7"/>
      <c r="AA148" s="4" t="s">
        <v>46</v>
      </c>
      <c r="AB148" s="4" t="s">
        <v>47</v>
      </c>
      <c r="AC148" s="4" t="s">
        <v>48</v>
      </c>
      <c r="AD148" s="4" t="s">
        <v>49</v>
      </c>
      <c r="AE148" s="4" t="s">
        <v>50</v>
      </c>
      <c r="AF148" s="4" t="s">
        <v>41</v>
      </c>
      <c r="AG148" s="4" t="s">
        <v>425</v>
      </c>
    </row>
    <row r="149" spans="1:33" ht="16.5" customHeight="1" x14ac:dyDescent="0.15">
      <c r="A149" s="2" t="s">
        <v>31</v>
      </c>
      <c r="B149" s="5" t="s">
        <v>32</v>
      </c>
      <c r="C149" s="5"/>
      <c r="D149" s="5"/>
      <c r="E149" s="6" t="s">
        <v>33</v>
      </c>
      <c r="F149" s="6"/>
      <c r="G149" s="7" t="s">
        <v>422</v>
      </c>
      <c r="H149" s="7"/>
      <c r="I149" s="7"/>
      <c r="J149" s="3" t="s">
        <v>35</v>
      </c>
      <c r="K149" s="4" t="s">
        <v>104</v>
      </c>
      <c r="L149" s="4" t="s">
        <v>74</v>
      </c>
      <c r="N149" s="7" t="s">
        <v>431</v>
      </c>
      <c r="O149" s="7"/>
      <c r="P149" s="7" t="s">
        <v>432</v>
      </c>
      <c r="Q149" s="7"/>
      <c r="R149" s="7"/>
      <c r="S149" s="3" t="s">
        <v>40</v>
      </c>
      <c r="T149" s="7" t="s">
        <v>41</v>
      </c>
      <c r="U149" s="7"/>
      <c r="V149" s="4" t="s">
        <v>42</v>
      </c>
      <c r="W149" s="4" t="s">
        <v>119</v>
      </c>
      <c r="X149" s="4" t="s">
        <v>120</v>
      </c>
      <c r="Y149" s="7" t="s">
        <v>58</v>
      </c>
      <c r="Z149" s="7"/>
      <c r="AA149" s="4" t="s">
        <v>46</v>
      </c>
      <c r="AB149" s="4" t="s">
        <v>47</v>
      </c>
      <c r="AC149" s="4" t="s">
        <v>59</v>
      </c>
      <c r="AD149" s="4" t="s">
        <v>79</v>
      </c>
      <c r="AE149" s="4" t="s">
        <v>50</v>
      </c>
      <c r="AF149" s="4" t="s">
        <v>41</v>
      </c>
      <c r="AG149" s="4" t="s">
        <v>425</v>
      </c>
    </row>
    <row r="150" spans="1:33" ht="16.5" customHeight="1" x14ac:dyDescent="0.15">
      <c r="A150" s="2" t="s">
        <v>31</v>
      </c>
      <c r="B150" s="5" t="s">
        <v>32</v>
      </c>
      <c r="C150" s="5"/>
      <c r="D150" s="5"/>
      <c r="E150" s="6" t="s">
        <v>33</v>
      </c>
      <c r="F150" s="6"/>
      <c r="G150" s="7" t="s">
        <v>433</v>
      </c>
      <c r="H150" s="7"/>
      <c r="I150" s="7"/>
      <c r="J150" s="3" t="s">
        <v>35</v>
      </c>
      <c r="K150" s="4" t="s">
        <v>73</v>
      </c>
      <c r="L150" s="4" t="s">
        <v>37</v>
      </c>
      <c r="N150" s="7" t="s">
        <v>434</v>
      </c>
      <c r="O150" s="7"/>
      <c r="P150" s="7" t="s">
        <v>435</v>
      </c>
      <c r="Q150" s="7"/>
      <c r="R150" s="7"/>
      <c r="S150" s="3" t="s">
        <v>40</v>
      </c>
      <c r="T150" s="7" t="s">
        <v>41</v>
      </c>
      <c r="U150" s="7"/>
      <c r="V150" s="4" t="s">
        <v>42</v>
      </c>
      <c r="W150" s="4" t="s">
        <v>43</v>
      </c>
      <c r="X150" s="4" t="s">
        <v>44</v>
      </c>
      <c r="Y150" s="7" t="s">
        <v>58</v>
      </c>
      <c r="Z150" s="7"/>
      <c r="AA150" s="4" t="s">
        <v>46</v>
      </c>
      <c r="AB150" s="4" t="s">
        <v>47</v>
      </c>
      <c r="AC150" s="4" t="s">
        <v>59</v>
      </c>
      <c r="AD150" s="4" t="s">
        <v>60</v>
      </c>
      <c r="AE150" s="4" t="s">
        <v>50</v>
      </c>
      <c r="AF150" s="4" t="s">
        <v>41</v>
      </c>
      <c r="AG150" s="4" t="s">
        <v>436</v>
      </c>
    </row>
    <row r="151" spans="1:33" ht="16.5" customHeight="1" x14ac:dyDescent="0.15">
      <c r="A151" s="2" t="s">
        <v>31</v>
      </c>
      <c r="B151" s="5" t="s">
        <v>437</v>
      </c>
      <c r="C151" s="5"/>
      <c r="D151" s="5"/>
      <c r="E151" s="6" t="s">
        <v>33</v>
      </c>
      <c r="F151" s="6"/>
      <c r="G151" s="7" t="s">
        <v>438</v>
      </c>
      <c r="H151" s="7"/>
      <c r="I151" s="7"/>
      <c r="J151" s="3" t="s">
        <v>35</v>
      </c>
      <c r="K151" s="4" t="s">
        <v>439</v>
      </c>
      <c r="L151" s="4" t="s">
        <v>37</v>
      </c>
      <c r="N151" s="7" t="s">
        <v>440</v>
      </c>
      <c r="O151" s="7"/>
      <c r="P151" s="7" t="s">
        <v>441</v>
      </c>
      <c r="Q151" s="7"/>
      <c r="R151" s="7"/>
      <c r="S151" s="3" t="s">
        <v>40</v>
      </c>
      <c r="T151" s="7" t="s">
        <v>41</v>
      </c>
      <c r="U151" s="7"/>
      <c r="V151" s="4" t="s">
        <v>42</v>
      </c>
      <c r="W151" s="4" t="s">
        <v>119</v>
      </c>
      <c r="X151" s="4" t="s">
        <v>120</v>
      </c>
      <c r="Y151" s="7" t="s">
        <v>442</v>
      </c>
      <c r="Z151" s="7"/>
      <c r="AA151" s="4" t="s">
        <v>46</v>
      </c>
      <c r="AB151" s="4" t="s">
        <v>47</v>
      </c>
      <c r="AD151" s="4" t="s">
        <v>41</v>
      </c>
      <c r="AE151" s="4" t="s">
        <v>50</v>
      </c>
      <c r="AF151" s="4" t="s">
        <v>41</v>
      </c>
      <c r="AG151" s="4" t="s">
        <v>443</v>
      </c>
    </row>
    <row r="152" spans="1:33" ht="16.5" customHeight="1" x14ac:dyDescent="0.15">
      <c r="A152" s="2" t="s">
        <v>31</v>
      </c>
      <c r="B152" s="5" t="s">
        <v>437</v>
      </c>
      <c r="C152" s="5"/>
      <c r="D152" s="5"/>
      <c r="E152" s="6" t="s">
        <v>33</v>
      </c>
      <c r="F152" s="6"/>
      <c r="G152" s="7" t="s">
        <v>438</v>
      </c>
      <c r="H152" s="7"/>
      <c r="I152" s="7"/>
      <c r="J152" s="3" t="s">
        <v>35</v>
      </c>
      <c r="K152" s="4" t="s">
        <v>439</v>
      </c>
      <c r="L152" s="4" t="s">
        <v>37</v>
      </c>
      <c r="N152" s="7" t="s">
        <v>444</v>
      </c>
      <c r="O152" s="7"/>
      <c r="P152" s="7" t="s">
        <v>445</v>
      </c>
      <c r="Q152" s="7"/>
      <c r="R152" s="7"/>
      <c r="S152" s="3" t="s">
        <v>40</v>
      </c>
      <c r="T152" s="7" t="s">
        <v>41</v>
      </c>
      <c r="U152" s="7"/>
      <c r="V152" s="4" t="s">
        <v>42</v>
      </c>
      <c r="W152" s="4" t="s">
        <v>119</v>
      </c>
      <c r="X152" s="4" t="s">
        <v>120</v>
      </c>
      <c r="Y152" s="7" t="s">
        <v>442</v>
      </c>
      <c r="Z152" s="7"/>
      <c r="AA152" s="4" t="s">
        <v>46</v>
      </c>
      <c r="AB152" s="4" t="s">
        <v>47</v>
      </c>
      <c r="AD152" s="4" t="s">
        <v>41</v>
      </c>
      <c r="AE152" s="4" t="s">
        <v>50</v>
      </c>
      <c r="AF152" s="4" t="s">
        <v>41</v>
      </c>
      <c r="AG152" s="4" t="s">
        <v>443</v>
      </c>
    </row>
    <row r="153" spans="1:33" ht="16.5" customHeight="1" x14ac:dyDescent="0.15">
      <c r="A153" s="2" t="s">
        <v>31</v>
      </c>
      <c r="B153" s="5" t="s">
        <v>32</v>
      </c>
      <c r="C153" s="5"/>
      <c r="D153" s="5"/>
      <c r="E153" s="6" t="s">
        <v>33</v>
      </c>
      <c r="F153" s="6"/>
      <c r="G153" s="7" t="s">
        <v>446</v>
      </c>
      <c r="H153" s="7"/>
      <c r="I153" s="7"/>
      <c r="J153" s="3" t="s">
        <v>35</v>
      </c>
      <c r="K153" s="4" t="s">
        <v>238</v>
      </c>
      <c r="L153" s="4" t="s">
        <v>37</v>
      </c>
      <c r="N153" s="7" t="s">
        <v>447</v>
      </c>
      <c r="O153" s="7"/>
      <c r="P153" s="7" t="s">
        <v>448</v>
      </c>
      <c r="Q153" s="7"/>
      <c r="R153" s="7"/>
      <c r="S153" s="3" t="s">
        <v>40</v>
      </c>
      <c r="T153" s="7" t="s">
        <v>41</v>
      </c>
      <c r="U153" s="7"/>
      <c r="V153" s="4" t="s">
        <v>42</v>
      </c>
      <c r="W153" s="4" t="s">
        <v>288</v>
      </c>
      <c r="X153" s="4" t="s">
        <v>289</v>
      </c>
      <c r="Y153" s="7" t="s">
        <v>45</v>
      </c>
      <c r="Z153" s="7"/>
      <c r="AA153" s="4" t="s">
        <v>46</v>
      </c>
      <c r="AB153" s="4" t="s">
        <v>47</v>
      </c>
      <c r="AC153" s="4" t="s">
        <v>48</v>
      </c>
      <c r="AD153" s="4" t="s">
        <v>49</v>
      </c>
      <c r="AE153" s="4" t="s">
        <v>50</v>
      </c>
      <c r="AF153" s="4" t="s">
        <v>41</v>
      </c>
      <c r="AG153" s="4" t="s">
        <v>449</v>
      </c>
    </row>
    <row r="154" spans="1:33" ht="16.5" customHeight="1" x14ac:dyDescent="0.15">
      <c r="A154" s="2" t="s">
        <v>31</v>
      </c>
      <c r="B154" s="5" t="s">
        <v>32</v>
      </c>
      <c r="C154" s="5"/>
      <c r="D154" s="5"/>
      <c r="E154" s="6" t="s">
        <v>33</v>
      </c>
      <c r="F154" s="6"/>
      <c r="G154" s="7" t="s">
        <v>450</v>
      </c>
      <c r="H154" s="7"/>
      <c r="I154" s="7"/>
      <c r="J154" s="3" t="s">
        <v>35</v>
      </c>
      <c r="K154" s="4" t="s">
        <v>80</v>
      </c>
      <c r="L154" s="4" t="s">
        <v>37</v>
      </c>
      <c r="N154" s="7" t="s">
        <v>451</v>
      </c>
      <c r="O154" s="7"/>
      <c r="P154" s="7" t="s">
        <v>452</v>
      </c>
      <c r="Q154" s="7"/>
      <c r="R154" s="7"/>
      <c r="S154" s="3" t="s">
        <v>40</v>
      </c>
      <c r="T154" s="7" t="s">
        <v>41</v>
      </c>
      <c r="U154" s="7"/>
      <c r="V154" s="4" t="s">
        <v>42</v>
      </c>
      <c r="W154" s="4" t="s">
        <v>119</v>
      </c>
      <c r="X154" s="4" t="s">
        <v>120</v>
      </c>
      <c r="Y154" s="7" t="s">
        <v>58</v>
      </c>
      <c r="Z154" s="7"/>
      <c r="AA154" s="4" t="s">
        <v>46</v>
      </c>
      <c r="AB154" s="4" t="s">
        <v>47</v>
      </c>
      <c r="AC154" s="4" t="s">
        <v>59</v>
      </c>
      <c r="AD154" s="4" t="s">
        <v>60</v>
      </c>
      <c r="AE154" s="4" t="s">
        <v>50</v>
      </c>
      <c r="AF154" s="4" t="s">
        <v>41</v>
      </c>
      <c r="AG154" s="4" t="s">
        <v>453</v>
      </c>
    </row>
    <row r="155" spans="1:33" ht="16.5" customHeight="1" x14ac:dyDescent="0.15">
      <c r="A155" s="2" t="s">
        <v>31</v>
      </c>
      <c r="B155" s="5" t="s">
        <v>32</v>
      </c>
      <c r="C155" s="5"/>
      <c r="D155" s="5"/>
      <c r="E155" s="6" t="s">
        <v>33</v>
      </c>
      <c r="F155" s="6"/>
      <c r="G155" s="7" t="s">
        <v>454</v>
      </c>
      <c r="H155" s="7"/>
      <c r="I155" s="7"/>
      <c r="J155" s="3" t="s">
        <v>35</v>
      </c>
      <c r="K155" s="4" t="s">
        <v>104</v>
      </c>
      <c r="L155" s="4" t="s">
        <v>37</v>
      </c>
      <c r="N155" s="7" t="s">
        <v>455</v>
      </c>
      <c r="O155" s="7"/>
      <c r="P155" s="7" t="s">
        <v>456</v>
      </c>
      <c r="Q155" s="7"/>
      <c r="R155" s="7"/>
      <c r="S155" s="3" t="s">
        <v>40</v>
      </c>
      <c r="T155" s="7" t="s">
        <v>41</v>
      </c>
      <c r="U155" s="7"/>
      <c r="V155" s="4" t="s">
        <v>42</v>
      </c>
      <c r="W155" s="4" t="s">
        <v>119</v>
      </c>
      <c r="X155" s="4" t="s">
        <v>120</v>
      </c>
      <c r="Y155" s="7" t="s">
        <v>58</v>
      </c>
      <c r="Z155" s="7"/>
      <c r="AA155" s="4" t="s">
        <v>46</v>
      </c>
      <c r="AB155" s="4" t="s">
        <v>47</v>
      </c>
      <c r="AC155" s="4" t="s">
        <v>59</v>
      </c>
      <c r="AD155" s="4" t="s">
        <v>60</v>
      </c>
      <c r="AE155" s="4" t="s">
        <v>50</v>
      </c>
      <c r="AF155" s="4" t="s">
        <v>41</v>
      </c>
      <c r="AG155" s="4" t="s">
        <v>457</v>
      </c>
    </row>
    <row r="156" spans="1:33" ht="16.5" customHeight="1" x14ac:dyDescent="0.15">
      <c r="A156" s="2" t="s">
        <v>31</v>
      </c>
      <c r="B156" s="5" t="s">
        <v>32</v>
      </c>
      <c r="C156" s="5"/>
      <c r="D156" s="5"/>
      <c r="E156" s="6" t="s">
        <v>33</v>
      </c>
      <c r="F156" s="6"/>
      <c r="G156" s="7" t="s">
        <v>458</v>
      </c>
      <c r="H156" s="7"/>
      <c r="I156" s="7"/>
      <c r="J156" s="3" t="s">
        <v>35</v>
      </c>
      <c r="K156" s="4" t="s">
        <v>107</v>
      </c>
      <c r="L156" s="4" t="s">
        <v>74</v>
      </c>
      <c r="N156" s="7" t="s">
        <v>459</v>
      </c>
      <c r="O156" s="7"/>
      <c r="P156" s="7" t="s">
        <v>460</v>
      </c>
      <c r="Q156" s="7"/>
      <c r="R156" s="7"/>
      <c r="S156" s="3" t="s">
        <v>40</v>
      </c>
      <c r="T156" s="7" t="s">
        <v>41</v>
      </c>
      <c r="U156" s="7"/>
      <c r="V156" s="4" t="s">
        <v>42</v>
      </c>
      <c r="W156" s="4" t="s">
        <v>292</v>
      </c>
      <c r="X156" s="4" t="s">
        <v>293</v>
      </c>
      <c r="Y156" s="7" t="s">
        <v>58</v>
      </c>
      <c r="Z156" s="7"/>
      <c r="AA156" s="4" t="s">
        <v>46</v>
      </c>
      <c r="AB156" s="4" t="s">
        <v>47</v>
      </c>
      <c r="AC156" s="4" t="s">
        <v>59</v>
      </c>
      <c r="AD156" s="4" t="s">
        <v>79</v>
      </c>
      <c r="AE156" s="4" t="s">
        <v>50</v>
      </c>
      <c r="AF156" s="4" t="s">
        <v>41</v>
      </c>
      <c r="AG156" s="4" t="s">
        <v>461</v>
      </c>
    </row>
    <row r="157" spans="1:33" ht="16.5" customHeight="1" x14ac:dyDescent="0.15">
      <c r="A157" s="2" t="s">
        <v>31</v>
      </c>
      <c r="B157" s="5" t="s">
        <v>32</v>
      </c>
      <c r="C157" s="5"/>
      <c r="D157" s="5"/>
      <c r="E157" s="6" t="s">
        <v>33</v>
      </c>
      <c r="F157" s="6"/>
      <c r="G157" s="7" t="s">
        <v>458</v>
      </c>
      <c r="H157" s="7"/>
      <c r="I157" s="7"/>
      <c r="J157" s="3" t="s">
        <v>35</v>
      </c>
      <c r="K157" s="4" t="s">
        <v>462</v>
      </c>
      <c r="L157" s="4" t="s">
        <v>74</v>
      </c>
      <c r="N157" s="7" t="s">
        <v>463</v>
      </c>
      <c r="O157" s="7"/>
      <c r="P157" s="7" t="s">
        <v>464</v>
      </c>
      <c r="Q157" s="7"/>
      <c r="R157" s="7"/>
      <c r="S157" s="3" t="s">
        <v>40</v>
      </c>
      <c r="T157" s="7" t="s">
        <v>41</v>
      </c>
      <c r="U157" s="7"/>
      <c r="V157" s="4" t="s">
        <v>42</v>
      </c>
      <c r="W157" s="4" t="s">
        <v>77</v>
      </c>
      <c r="X157" s="4" t="s">
        <v>78</v>
      </c>
      <c r="Y157" s="7" t="s">
        <v>58</v>
      </c>
      <c r="Z157" s="7"/>
      <c r="AA157" s="4" t="s">
        <v>46</v>
      </c>
      <c r="AB157" s="4" t="s">
        <v>47</v>
      </c>
      <c r="AC157" s="4" t="s">
        <v>59</v>
      </c>
      <c r="AD157" s="4" t="s">
        <v>79</v>
      </c>
      <c r="AE157" s="4" t="s">
        <v>50</v>
      </c>
      <c r="AF157" s="4" t="s">
        <v>41</v>
      </c>
      <c r="AG157" s="4" t="s">
        <v>461</v>
      </c>
    </row>
    <row r="158" spans="1:33" ht="16.5" customHeight="1" x14ac:dyDescent="0.15">
      <c r="A158" s="2" t="s">
        <v>31</v>
      </c>
      <c r="B158" s="5" t="s">
        <v>32</v>
      </c>
      <c r="C158" s="5"/>
      <c r="D158" s="5"/>
      <c r="E158" s="6" t="s">
        <v>33</v>
      </c>
      <c r="F158" s="6"/>
      <c r="G158" s="7" t="s">
        <v>458</v>
      </c>
      <c r="H158" s="7"/>
      <c r="I158" s="7"/>
      <c r="J158" s="3" t="s">
        <v>35</v>
      </c>
      <c r="K158" s="4" t="s">
        <v>107</v>
      </c>
      <c r="L158" s="4" t="s">
        <v>74</v>
      </c>
      <c r="N158" s="7" t="s">
        <v>465</v>
      </c>
      <c r="O158" s="7"/>
      <c r="P158" s="7" t="s">
        <v>466</v>
      </c>
      <c r="Q158" s="7"/>
      <c r="R158" s="7"/>
      <c r="S158" s="3" t="s">
        <v>40</v>
      </c>
      <c r="T158" s="7" t="s">
        <v>41</v>
      </c>
      <c r="U158" s="7"/>
      <c r="V158" s="4" t="s">
        <v>42</v>
      </c>
      <c r="W158" s="4" t="s">
        <v>77</v>
      </c>
      <c r="X158" s="4" t="s">
        <v>78</v>
      </c>
      <c r="Y158" s="7" t="s">
        <v>58</v>
      </c>
      <c r="Z158" s="7"/>
      <c r="AA158" s="4" t="s">
        <v>46</v>
      </c>
      <c r="AB158" s="4" t="s">
        <v>47</v>
      </c>
      <c r="AC158" s="4" t="s">
        <v>59</v>
      </c>
      <c r="AD158" s="4" t="s">
        <v>79</v>
      </c>
      <c r="AE158" s="4" t="s">
        <v>50</v>
      </c>
      <c r="AF158" s="4" t="s">
        <v>41</v>
      </c>
      <c r="AG158" s="4" t="s">
        <v>461</v>
      </c>
    </row>
    <row r="159" spans="1:33" ht="16.5" customHeight="1" x14ac:dyDescent="0.15">
      <c r="A159" s="2" t="s">
        <v>31</v>
      </c>
      <c r="B159" s="5" t="s">
        <v>32</v>
      </c>
      <c r="C159" s="5"/>
      <c r="D159" s="5"/>
      <c r="E159" s="6" t="s">
        <v>33</v>
      </c>
      <c r="F159" s="6"/>
      <c r="G159" s="7" t="s">
        <v>458</v>
      </c>
      <c r="H159" s="7"/>
      <c r="I159" s="7"/>
      <c r="J159" s="3" t="s">
        <v>35</v>
      </c>
      <c r="K159" s="4" t="s">
        <v>467</v>
      </c>
      <c r="L159" s="4" t="s">
        <v>37</v>
      </c>
      <c r="N159" s="7" t="s">
        <v>468</v>
      </c>
      <c r="O159" s="7"/>
      <c r="P159" s="7" t="s">
        <v>469</v>
      </c>
      <c r="Q159" s="7"/>
      <c r="R159" s="7"/>
      <c r="S159" s="3" t="s">
        <v>40</v>
      </c>
      <c r="T159" s="7" t="s">
        <v>41</v>
      </c>
      <c r="U159" s="7"/>
      <c r="V159" s="4" t="s">
        <v>42</v>
      </c>
      <c r="W159" s="4" t="s">
        <v>160</v>
      </c>
      <c r="X159" s="4" t="s">
        <v>161</v>
      </c>
      <c r="Y159" s="7" t="s">
        <v>58</v>
      </c>
      <c r="Z159" s="7"/>
      <c r="AA159" s="4" t="s">
        <v>46</v>
      </c>
      <c r="AB159" s="4" t="s">
        <v>47</v>
      </c>
      <c r="AC159" s="4" t="s">
        <v>59</v>
      </c>
      <c r="AD159" s="4" t="s">
        <v>60</v>
      </c>
      <c r="AE159" s="4" t="s">
        <v>50</v>
      </c>
      <c r="AF159" s="4" t="s">
        <v>41</v>
      </c>
      <c r="AG159" s="4" t="s">
        <v>461</v>
      </c>
    </row>
    <row r="160" spans="1:33" ht="16.5" customHeight="1" x14ac:dyDescent="0.15">
      <c r="A160" s="2" t="s">
        <v>31</v>
      </c>
      <c r="B160" s="5" t="s">
        <v>32</v>
      </c>
      <c r="C160" s="5"/>
      <c r="D160" s="5"/>
      <c r="E160" s="6" t="s">
        <v>33</v>
      </c>
      <c r="F160" s="6"/>
      <c r="G160" s="7" t="s">
        <v>458</v>
      </c>
      <c r="H160" s="7"/>
      <c r="I160" s="7"/>
      <c r="J160" s="3" t="s">
        <v>35</v>
      </c>
      <c r="K160" s="4" t="s">
        <v>107</v>
      </c>
      <c r="L160" s="4" t="s">
        <v>37</v>
      </c>
      <c r="N160" s="7" t="s">
        <v>470</v>
      </c>
      <c r="O160" s="7"/>
      <c r="P160" s="7" t="s">
        <v>471</v>
      </c>
      <c r="Q160" s="7"/>
      <c r="R160" s="7"/>
      <c r="S160" s="3" t="s">
        <v>40</v>
      </c>
      <c r="T160" s="7" t="s">
        <v>41</v>
      </c>
      <c r="U160" s="7"/>
      <c r="V160" s="4" t="s">
        <v>42</v>
      </c>
      <c r="W160" s="4" t="s">
        <v>43</v>
      </c>
      <c r="X160" s="4" t="s">
        <v>44</v>
      </c>
      <c r="Y160" s="7" t="s">
        <v>58</v>
      </c>
      <c r="Z160" s="7"/>
      <c r="AA160" s="4" t="s">
        <v>46</v>
      </c>
      <c r="AB160" s="4" t="s">
        <v>47</v>
      </c>
      <c r="AC160" s="4" t="s">
        <v>59</v>
      </c>
      <c r="AD160" s="4" t="s">
        <v>60</v>
      </c>
      <c r="AE160" s="4" t="s">
        <v>50</v>
      </c>
      <c r="AF160" s="4" t="s">
        <v>41</v>
      </c>
      <c r="AG160" s="4" t="s">
        <v>461</v>
      </c>
    </row>
    <row r="161" spans="1:33" ht="16.5" customHeight="1" x14ac:dyDescent="0.15">
      <c r="A161" s="2" t="s">
        <v>31</v>
      </c>
      <c r="B161" s="5" t="s">
        <v>32</v>
      </c>
      <c r="C161" s="5"/>
      <c r="D161" s="5"/>
      <c r="E161" s="6" t="s">
        <v>33</v>
      </c>
      <c r="F161" s="6"/>
      <c r="G161" s="7" t="s">
        <v>458</v>
      </c>
      <c r="H161" s="7"/>
      <c r="I161" s="7"/>
      <c r="J161" s="3" t="s">
        <v>35</v>
      </c>
      <c r="K161" s="4" t="s">
        <v>62</v>
      </c>
      <c r="L161" s="4" t="s">
        <v>37</v>
      </c>
      <c r="N161" s="7" t="s">
        <v>472</v>
      </c>
      <c r="O161" s="7"/>
      <c r="P161" s="7" t="s">
        <v>473</v>
      </c>
      <c r="Q161" s="7"/>
      <c r="R161" s="7"/>
      <c r="S161" s="3" t="s">
        <v>40</v>
      </c>
      <c r="T161" s="7" t="s">
        <v>41</v>
      </c>
      <c r="U161" s="7"/>
      <c r="V161" s="4" t="s">
        <v>42</v>
      </c>
      <c r="W161" s="4" t="s">
        <v>119</v>
      </c>
      <c r="X161" s="4" t="s">
        <v>120</v>
      </c>
      <c r="Y161" s="7" t="s">
        <v>45</v>
      </c>
      <c r="Z161" s="7"/>
      <c r="AA161" s="4" t="s">
        <v>46</v>
      </c>
      <c r="AB161" s="4" t="s">
        <v>47</v>
      </c>
      <c r="AC161" s="4" t="s">
        <v>48</v>
      </c>
      <c r="AD161" s="4" t="s">
        <v>49</v>
      </c>
      <c r="AE161" s="4" t="s">
        <v>50</v>
      </c>
      <c r="AF161" s="4" t="s">
        <v>41</v>
      </c>
      <c r="AG161" s="4" t="s">
        <v>461</v>
      </c>
    </row>
    <row r="162" spans="1:33" ht="16.5" customHeight="1" x14ac:dyDescent="0.15">
      <c r="A162" s="2" t="s">
        <v>31</v>
      </c>
      <c r="B162" s="5" t="s">
        <v>32</v>
      </c>
      <c r="C162" s="5"/>
      <c r="D162" s="5"/>
      <c r="E162" s="6" t="s">
        <v>33</v>
      </c>
      <c r="F162" s="6"/>
      <c r="G162" s="7" t="s">
        <v>474</v>
      </c>
      <c r="H162" s="7"/>
      <c r="I162" s="7"/>
      <c r="J162" s="3" t="s">
        <v>35</v>
      </c>
      <c r="K162" s="4" t="s">
        <v>199</v>
      </c>
      <c r="L162" s="4" t="s">
        <v>37</v>
      </c>
      <c r="N162" s="7" t="s">
        <v>475</v>
      </c>
      <c r="O162" s="7"/>
      <c r="P162" s="7" t="s">
        <v>476</v>
      </c>
      <c r="Q162" s="7"/>
      <c r="R162" s="7"/>
      <c r="S162" s="3" t="s">
        <v>40</v>
      </c>
      <c r="T162" s="7" t="s">
        <v>41</v>
      </c>
      <c r="U162" s="7"/>
      <c r="V162" s="4" t="s">
        <v>42</v>
      </c>
      <c r="W162" s="4" t="s">
        <v>43</v>
      </c>
      <c r="X162" s="4" t="s">
        <v>44</v>
      </c>
      <c r="Y162" s="7" t="s">
        <v>45</v>
      </c>
      <c r="Z162" s="7"/>
      <c r="AA162" s="4" t="s">
        <v>46</v>
      </c>
      <c r="AB162" s="4" t="s">
        <v>47</v>
      </c>
      <c r="AC162" s="4" t="s">
        <v>72</v>
      </c>
      <c r="AD162" s="4" t="s">
        <v>41</v>
      </c>
      <c r="AE162" s="4" t="s">
        <v>50</v>
      </c>
      <c r="AF162" s="4" t="s">
        <v>41</v>
      </c>
      <c r="AG162" s="4" t="s">
        <v>477</v>
      </c>
    </row>
    <row r="163" spans="1:33" ht="16.5" customHeight="1" x14ac:dyDescent="0.15">
      <c r="A163" s="2" t="s">
        <v>31</v>
      </c>
      <c r="B163" s="5" t="s">
        <v>32</v>
      </c>
      <c r="C163" s="5"/>
      <c r="D163" s="5"/>
      <c r="E163" s="6" t="s">
        <v>33</v>
      </c>
      <c r="F163" s="6"/>
      <c r="G163" s="7" t="s">
        <v>474</v>
      </c>
      <c r="H163" s="7"/>
      <c r="I163" s="7"/>
      <c r="J163" s="3" t="s">
        <v>35</v>
      </c>
      <c r="K163" s="4" t="s">
        <v>318</v>
      </c>
      <c r="L163" s="4" t="s">
        <v>63</v>
      </c>
      <c r="N163" s="7" t="s">
        <v>478</v>
      </c>
      <c r="O163" s="7"/>
      <c r="P163" s="7" t="s">
        <v>479</v>
      </c>
      <c r="Q163" s="7"/>
      <c r="R163" s="7"/>
      <c r="S163" s="3" t="s">
        <v>40</v>
      </c>
      <c r="T163" s="7" t="s">
        <v>41</v>
      </c>
      <c r="U163" s="7"/>
      <c r="V163" s="4" t="s">
        <v>42</v>
      </c>
      <c r="W163" s="4" t="s">
        <v>119</v>
      </c>
      <c r="X163" s="4" t="s">
        <v>120</v>
      </c>
      <c r="Y163" s="7" t="s">
        <v>45</v>
      </c>
      <c r="Z163" s="7"/>
      <c r="AA163" s="4" t="s">
        <v>46</v>
      </c>
      <c r="AB163" s="4" t="s">
        <v>47</v>
      </c>
      <c r="AC163" s="4" t="s">
        <v>48</v>
      </c>
      <c r="AD163" s="4" t="s">
        <v>66</v>
      </c>
      <c r="AE163" s="4" t="s">
        <v>50</v>
      </c>
      <c r="AF163" s="4" t="s">
        <v>41</v>
      </c>
      <c r="AG163" s="4" t="s">
        <v>477</v>
      </c>
    </row>
    <row r="164" spans="1:33" ht="16.5" customHeight="1" x14ac:dyDescent="0.15">
      <c r="A164" s="2" t="s">
        <v>31</v>
      </c>
      <c r="B164" s="5" t="s">
        <v>32</v>
      </c>
      <c r="C164" s="5"/>
      <c r="D164" s="5"/>
      <c r="E164" s="6" t="s">
        <v>33</v>
      </c>
      <c r="F164" s="6"/>
      <c r="G164" s="7" t="s">
        <v>480</v>
      </c>
      <c r="H164" s="7"/>
      <c r="I164" s="7"/>
      <c r="J164" s="3" t="s">
        <v>35</v>
      </c>
      <c r="K164" s="4" t="s">
        <v>217</v>
      </c>
      <c r="L164" s="4" t="s">
        <v>74</v>
      </c>
      <c r="N164" s="7" t="s">
        <v>481</v>
      </c>
      <c r="O164" s="7"/>
      <c r="P164" s="7" t="s">
        <v>482</v>
      </c>
      <c r="Q164" s="7"/>
      <c r="R164" s="7"/>
      <c r="S164" s="3" t="s">
        <v>40</v>
      </c>
      <c r="T164" s="7" t="s">
        <v>41</v>
      </c>
      <c r="U164" s="7"/>
      <c r="V164" s="4" t="s">
        <v>42</v>
      </c>
      <c r="W164" s="4" t="s">
        <v>128</v>
      </c>
      <c r="X164" s="4" t="s">
        <v>129</v>
      </c>
      <c r="Y164" s="7" t="s">
        <v>58</v>
      </c>
      <c r="Z164" s="7"/>
      <c r="AA164" s="4" t="s">
        <v>46</v>
      </c>
      <c r="AB164" s="4" t="s">
        <v>47</v>
      </c>
      <c r="AC164" s="4" t="s">
        <v>59</v>
      </c>
      <c r="AD164" s="4" t="s">
        <v>79</v>
      </c>
      <c r="AE164" s="4" t="s">
        <v>50</v>
      </c>
      <c r="AF164" s="4" t="s">
        <v>41</v>
      </c>
      <c r="AG164" s="4" t="s">
        <v>483</v>
      </c>
    </row>
    <row r="165" spans="1:33" ht="16.5" customHeight="1" x14ac:dyDescent="0.15">
      <c r="A165" s="2" t="s">
        <v>31</v>
      </c>
      <c r="B165" s="5" t="s">
        <v>32</v>
      </c>
      <c r="C165" s="5"/>
      <c r="D165" s="5"/>
      <c r="E165" s="6" t="s">
        <v>33</v>
      </c>
      <c r="F165" s="6"/>
      <c r="G165" s="7" t="s">
        <v>480</v>
      </c>
      <c r="H165" s="7"/>
      <c r="I165" s="7"/>
      <c r="J165" s="3" t="s">
        <v>35</v>
      </c>
      <c r="K165" s="4" t="s">
        <v>36</v>
      </c>
      <c r="L165" s="4" t="s">
        <v>37</v>
      </c>
      <c r="N165" s="7" t="s">
        <v>484</v>
      </c>
      <c r="O165" s="7"/>
      <c r="P165" s="7" t="s">
        <v>485</v>
      </c>
      <c r="Q165" s="7"/>
      <c r="R165" s="7"/>
      <c r="S165" s="3" t="s">
        <v>40</v>
      </c>
      <c r="T165" s="7" t="s">
        <v>41</v>
      </c>
      <c r="U165" s="7"/>
      <c r="V165" s="4" t="s">
        <v>486</v>
      </c>
      <c r="W165" s="4" t="s">
        <v>42</v>
      </c>
      <c r="X165" s="4" t="s">
        <v>120</v>
      </c>
      <c r="Y165" s="7" t="s">
        <v>45</v>
      </c>
      <c r="Z165" s="7"/>
      <c r="AA165" s="4" t="s">
        <v>46</v>
      </c>
      <c r="AB165" s="4" t="s">
        <v>47</v>
      </c>
      <c r="AC165" s="4" t="s">
        <v>48</v>
      </c>
      <c r="AD165" s="4" t="s">
        <v>49</v>
      </c>
      <c r="AE165" s="4" t="s">
        <v>50</v>
      </c>
      <c r="AF165" s="4" t="s">
        <v>41</v>
      </c>
      <c r="AG165" s="4" t="s">
        <v>483</v>
      </c>
    </row>
    <row r="166" spans="1:33" ht="16.5" customHeight="1" x14ac:dyDescent="0.15">
      <c r="A166" s="2" t="s">
        <v>31</v>
      </c>
      <c r="B166" s="5" t="s">
        <v>32</v>
      </c>
      <c r="C166" s="5"/>
      <c r="D166" s="5"/>
      <c r="E166" s="6" t="s">
        <v>33</v>
      </c>
      <c r="F166" s="6"/>
      <c r="G166" s="7" t="s">
        <v>487</v>
      </c>
      <c r="H166" s="7"/>
      <c r="I166" s="7"/>
      <c r="J166" s="3" t="s">
        <v>35</v>
      </c>
      <c r="K166" s="4" t="s">
        <v>238</v>
      </c>
      <c r="L166" s="4" t="s">
        <v>37</v>
      </c>
      <c r="N166" s="7" t="s">
        <v>488</v>
      </c>
      <c r="O166" s="7"/>
      <c r="P166" s="7" t="s">
        <v>489</v>
      </c>
      <c r="Q166" s="7"/>
      <c r="R166" s="7"/>
      <c r="S166" s="3" t="s">
        <v>40</v>
      </c>
      <c r="T166" s="7" t="s">
        <v>41</v>
      </c>
      <c r="U166" s="7"/>
      <c r="V166" s="4" t="s">
        <v>42</v>
      </c>
      <c r="W166" s="4" t="s">
        <v>83</v>
      </c>
      <c r="X166" s="4" t="s">
        <v>84</v>
      </c>
      <c r="Y166" s="7" t="s">
        <v>45</v>
      </c>
      <c r="Z166" s="7"/>
      <c r="AA166" s="4" t="s">
        <v>46</v>
      </c>
      <c r="AB166" s="4" t="s">
        <v>47</v>
      </c>
      <c r="AC166" s="4" t="s">
        <v>48</v>
      </c>
      <c r="AD166" s="4" t="s">
        <v>49</v>
      </c>
      <c r="AE166" s="4" t="s">
        <v>50</v>
      </c>
      <c r="AF166" s="4" t="s">
        <v>41</v>
      </c>
      <c r="AG166" s="4" t="s">
        <v>490</v>
      </c>
    </row>
    <row r="167" spans="1:33" ht="0.75" customHeight="1" x14ac:dyDescent="0.15"/>
    <row r="168" spans="1:33" ht="12" customHeight="1" x14ac:dyDescent="0.15"/>
    <row r="169" spans="1:33" ht="16.5" customHeight="1" x14ac:dyDescent="0.15">
      <c r="A169" s="2" t="s">
        <v>31</v>
      </c>
      <c r="B169" s="5" t="s">
        <v>32</v>
      </c>
      <c r="C169" s="5"/>
      <c r="D169" s="5"/>
      <c r="E169" s="6" t="s">
        <v>33</v>
      </c>
      <c r="F169" s="6"/>
      <c r="G169" s="7" t="s">
        <v>491</v>
      </c>
      <c r="H169" s="7"/>
      <c r="I169" s="7"/>
      <c r="J169" s="3" t="s">
        <v>35</v>
      </c>
      <c r="K169" s="4" t="s">
        <v>107</v>
      </c>
      <c r="L169" s="4" t="s">
        <v>63</v>
      </c>
      <c r="N169" s="7" t="s">
        <v>492</v>
      </c>
      <c r="O169" s="7"/>
      <c r="P169" s="7" t="s">
        <v>493</v>
      </c>
      <c r="Q169" s="7"/>
      <c r="R169" s="7"/>
      <c r="S169" s="3" t="s">
        <v>40</v>
      </c>
      <c r="T169" s="7" t="s">
        <v>41</v>
      </c>
      <c r="U169" s="7"/>
      <c r="V169" s="4" t="s">
        <v>42</v>
      </c>
      <c r="W169" s="4" t="s">
        <v>87</v>
      </c>
      <c r="X169" s="4" t="s">
        <v>88</v>
      </c>
      <c r="Y169" s="7" t="s">
        <v>58</v>
      </c>
      <c r="Z169" s="7"/>
      <c r="AA169" s="4" t="s">
        <v>46</v>
      </c>
      <c r="AB169" s="4" t="s">
        <v>47</v>
      </c>
      <c r="AC169" s="4" t="s">
        <v>59</v>
      </c>
      <c r="AD169" s="4" t="s">
        <v>156</v>
      </c>
      <c r="AE169" s="4" t="s">
        <v>50</v>
      </c>
      <c r="AF169" s="4" t="s">
        <v>41</v>
      </c>
      <c r="AG169" s="4" t="s">
        <v>494</v>
      </c>
    </row>
    <row r="170" spans="1:33" ht="16.5" customHeight="1" x14ac:dyDescent="0.15">
      <c r="A170" s="2" t="s">
        <v>31</v>
      </c>
      <c r="B170" s="5" t="s">
        <v>32</v>
      </c>
      <c r="C170" s="5"/>
      <c r="D170" s="5"/>
      <c r="E170" s="6" t="s">
        <v>33</v>
      </c>
      <c r="F170" s="6"/>
      <c r="G170" s="7" t="s">
        <v>491</v>
      </c>
      <c r="H170" s="7"/>
      <c r="I170" s="7"/>
      <c r="J170" s="3" t="s">
        <v>35</v>
      </c>
      <c r="K170" s="4" t="s">
        <v>318</v>
      </c>
      <c r="L170" s="4" t="s">
        <v>63</v>
      </c>
      <c r="N170" s="7" t="s">
        <v>495</v>
      </c>
      <c r="O170" s="7"/>
      <c r="P170" s="7" t="s">
        <v>496</v>
      </c>
      <c r="Q170" s="7"/>
      <c r="R170" s="7"/>
      <c r="S170" s="3" t="s">
        <v>40</v>
      </c>
      <c r="T170" s="7" t="s">
        <v>41</v>
      </c>
      <c r="U170" s="7"/>
      <c r="V170" s="4" t="s">
        <v>42</v>
      </c>
      <c r="W170" s="4" t="s">
        <v>344</v>
      </c>
      <c r="X170" s="4" t="s">
        <v>257</v>
      </c>
      <c r="Y170" s="7" t="s">
        <v>45</v>
      </c>
      <c r="Z170" s="7"/>
      <c r="AA170" s="4" t="s">
        <v>46</v>
      </c>
      <c r="AB170" s="4" t="s">
        <v>47</v>
      </c>
      <c r="AC170" s="4" t="s">
        <v>48</v>
      </c>
      <c r="AD170" s="4" t="s">
        <v>66</v>
      </c>
      <c r="AE170" s="4" t="s">
        <v>50</v>
      </c>
      <c r="AF170" s="4" t="s">
        <v>41</v>
      </c>
      <c r="AG170" s="4" t="s">
        <v>494</v>
      </c>
    </row>
    <row r="171" spans="1:33" ht="16.5" customHeight="1" x14ac:dyDescent="0.15">
      <c r="A171" s="2" t="s">
        <v>31</v>
      </c>
      <c r="B171" s="5" t="s">
        <v>32</v>
      </c>
      <c r="C171" s="5"/>
      <c r="D171" s="5"/>
      <c r="E171" s="6" t="s">
        <v>33</v>
      </c>
      <c r="F171" s="6"/>
      <c r="G171" s="7" t="s">
        <v>491</v>
      </c>
      <c r="H171" s="7"/>
      <c r="I171" s="7"/>
      <c r="J171" s="3" t="s">
        <v>35</v>
      </c>
      <c r="K171" s="4" t="s">
        <v>107</v>
      </c>
      <c r="L171" s="4" t="s">
        <v>37</v>
      </c>
      <c r="N171" s="7" t="s">
        <v>497</v>
      </c>
      <c r="O171" s="7"/>
      <c r="P171" s="7" t="s">
        <v>498</v>
      </c>
      <c r="Q171" s="7"/>
      <c r="R171" s="7"/>
      <c r="S171" s="3" t="s">
        <v>40</v>
      </c>
      <c r="T171" s="7" t="s">
        <v>41</v>
      </c>
      <c r="U171" s="7"/>
      <c r="V171" s="4" t="s">
        <v>42</v>
      </c>
      <c r="W171" s="4" t="s">
        <v>344</v>
      </c>
      <c r="X171" s="4" t="s">
        <v>257</v>
      </c>
      <c r="Y171" s="7" t="s">
        <v>58</v>
      </c>
      <c r="Z171" s="7"/>
      <c r="AA171" s="4" t="s">
        <v>46</v>
      </c>
      <c r="AB171" s="4" t="s">
        <v>47</v>
      </c>
      <c r="AC171" s="4" t="s">
        <v>59</v>
      </c>
      <c r="AD171" s="4" t="s">
        <v>60</v>
      </c>
      <c r="AE171" s="4" t="s">
        <v>50</v>
      </c>
      <c r="AF171" s="4" t="s">
        <v>41</v>
      </c>
      <c r="AG171" s="4" t="s">
        <v>494</v>
      </c>
    </row>
    <row r="172" spans="1:33" ht="16.5" customHeight="1" x14ac:dyDescent="0.15">
      <c r="A172" s="2" t="s">
        <v>31</v>
      </c>
      <c r="B172" s="5" t="s">
        <v>32</v>
      </c>
      <c r="C172" s="5"/>
      <c r="D172" s="5"/>
      <c r="E172" s="6" t="s">
        <v>33</v>
      </c>
      <c r="F172" s="6"/>
      <c r="G172" s="7" t="s">
        <v>499</v>
      </c>
      <c r="H172" s="7"/>
      <c r="I172" s="7"/>
      <c r="J172" s="3" t="s">
        <v>35</v>
      </c>
      <c r="K172" s="4" t="s">
        <v>73</v>
      </c>
      <c r="L172" s="4" t="s">
        <v>37</v>
      </c>
      <c r="N172" s="7" t="s">
        <v>500</v>
      </c>
      <c r="O172" s="7"/>
      <c r="P172" s="7" t="s">
        <v>501</v>
      </c>
      <c r="Q172" s="7"/>
      <c r="R172" s="7"/>
      <c r="S172" s="3" t="s">
        <v>40</v>
      </c>
      <c r="T172" s="7" t="s">
        <v>41</v>
      </c>
      <c r="U172" s="7"/>
      <c r="V172" s="4" t="s">
        <v>42</v>
      </c>
      <c r="W172" s="4" t="s">
        <v>119</v>
      </c>
      <c r="X172" s="4" t="s">
        <v>120</v>
      </c>
      <c r="Y172" s="7" t="s">
        <v>58</v>
      </c>
      <c r="Z172" s="7"/>
      <c r="AA172" s="4" t="s">
        <v>46</v>
      </c>
      <c r="AB172" s="4" t="s">
        <v>47</v>
      </c>
      <c r="AC172" s="4" t="s">
        <v>59</v>
      </c>
      <c r="AD172" s="4" t="s">
        <v>60</v>
      </c>
      <c r="AE172" s="4" t="s">
        <v>50</v>
      </c>
      <c r="AF172" s="4" t="s">
        <v>41</v>
      </c>
      <c r="AG172" s="4" t="s">
        <v>502</v>
      </c>
    </row>
    <row r="173" spans="1:33" ht="16.5" customHeight="1" x14ac:dyDescent="0.15">
      <c r="A173" s="2" t="s">
        <v>31</v>
      </c>
      <c r="B173" s="5" t="s">
        <v>32</v>
      </c>
      <c r="C173" s="5"/>
      <c r="D173" s="5"/>
      <c r="E173" s="6" t="s">
        <v>33</v>
      </c>
      <c r="F173" s="6"/>
      <c r="G173" s="7" t="s">
        <v>503</v>
      </c>
      <c r="H173" s="7"/>
      <c r="I173" s="7"/>
      <c r="J173" s="3" t="s">
        <v>35</v>
      </c>
      <c r="K173" s="4" t="s">
        <v>318</v>
      </c>
      <c r="L173" s="4" t="s">
        <v>37</v>
      </c>
      <c r="N173" s="7" t="s">
        <v>504</v>
      </c>
      <c r="O173" s="7"/>
      <c r="P173" s="7" t="s">
        <v>505</v>
      </c>
      <c r="Q173" s="7"/>
      <c r="R173" s="7"/>
      <c r="S173" s="3" t="s">
        <v>40</v>
      </c>
      <c r="T173" s="7" t="s">
        <v>41</v>
      </c>
      <c r="U173" s="7"/>
      <c r="V173" s="4" t="s">
        <v>42</v>
      </c>
      <c r="W173" s="4" t="s">
        <v>119</v>
      </c>
      <c r="X173" s="4" t="s">
        <v>120</v>
      </c>
      <c r="Y173" s="7" t="s">
        <v>45</v>
      </c>
      <c r="Z173" s="7"/>
      <c r="AA173" s="4" t="s">
        <v>46</v>
      </c>
      <c r="AB173" s="4" t="s">
        <v>47</v>
      </c>
      <c r="AC173" s="4" t="s">
        <v>48</v>
      </c>
      <c r="AD173" s="4" t="s">
        <v>49</v>
      </c>
      <c r="AE173" s="4" t="s">
        <v>50</v>
      </c>
      <c r="AF173" s="4" t="s">
        <v>41</v>
      </c>
      <c r="AG173" s="4" t="s">
        <v>506</v>
      </c>
    </row>
    <row r="174" spans="1:33" ht="16.5" customHeight="1" x14ac:dyDescent="0.15">
      <c r="A174" s="2" t="s">
        <v>31</v>
      </c>
      <c r="B174" s="5" t="s">
        <v>32</v>
      </c>
      <c r="C174" s="5"/>
      <c r="D174" s="5"/>
      <c r="E174" s="6" t="s">
        <v>33</v>
      </c>
      <c r="F174" s="6"/>
      <c r="G174" s="7" t="s">
        <v>503</v>
      </c>
      <c r="H174" s="7"/>
      <c r="I174" s="7"/>
      <c r="J174" s="3" t="s">
        <v>35</v>
      </c>
      <c r="K174" s="4" t="s">
        <v>104</v>
      </c>
      <c r="L174" s="4" t="s">
        <v>74</v>
      </c>
      <c r="N174" s="7" t="s">
        <v>507</v>
      </c>
      <c r="O174" s="7"/>
      <c r="P174" s="7" t="s">
        <v>508</v>
      </c>
      <c r="Q174" s="7"/>
      <c r="R174" s="7"/>
      <c r="S174" s="3" t="s">
        <v>40</v>
      </c>
      <c r="T174" s="7" t="s">
        <v>41</v>
      </c>
      <c r="U174" s="7"/>
      <c r="V174" s="4" t="s">
        <v>42</v>
      </c>
      <c r="W174" s="4" t="s">
        <v>119</v>
      </c>
      <c r="X174" s="4" t="s">
        <v>120</v>
      </c>
      <c r="Y174" s="7" t="s">
        <v>58</v>
      </c>
      <c r="Z174" s="7"/>
      <c r="AA174" s="4" t="s">
        <v>46</v>
      </c>
      <c r="AB174" s="4" t="s">
        <v>47</v>
      </c>
      <c r="AC174" s="4" t="s">
        <v>59</v>
      </c>
      <c r="AD174" s="4" t="s">
        <v>79</v>
      </c>
      <c r="AE174" s="4" t="s">
        <v>50</v>
      </c>
      <c r="AF174" s="4" t="s">
        <v>41</v>
      </c>
      <c r="AG174" s="4" t="s">
        <v>506</v>
      </c>
    </row>
    <row r="175" spans="1:33" ht="16.5" customHeight="1" x14ac:dyDescent="0.15">
      <c r="A175" s="2" t="s">
        <v>31</v>
      </c>
      <c r="B175" s="5" t="s">
        <v>32</v>
      </c>
      <c r="C175" s="5"/>
      <c r="D175" s="5"/>
      <c r="E175" s="6" t="s">
        <v>33</v>
      </c>
      <c r="F175" s="6"/>
      <c r="G175" s="7" t="s">
        <v>503</v>
      </c>
      <c r="H175" s="7"/>
      <c r="I175" s="7"/>
      <c r="J175" s="3" t="s">
        <v>35</v>
      </c>
      <c r="K175" s="4" t="s">
        <v>318</v>
      </c>
      <c r="L175" s="4" t="s">
        <v>37</v>
      </c>
      <c r="N175" s="7" t="s">
        <v>509</v>
      </c>
      <c r="O175" s="7"/>
      <c r="P175" s="7" t="s">
        <v>510</v>
      </c>
      <c r="Q175" s="7"/>
      <c r="R175" s="7"/>
      <c r="S175" s="3" t="s">
        <v>40</v>
      </c>
      <c r="T175" s="7" t="s">
        <v>41</v>
      </c>
      <c r="U175" s="7"/>
      <c r="V175" s="4" t="s">
        <v>42</v>
      </c>
      <c r="W175" s="4" t="s">
        <v>119</v>
      </c>
      <c r="X175" s="4" t="s">
        <v>120</v>
      </c>
      <c r="Y175" s="7" t="s">
        <v>45</v>
      </c>
      <c r="Z175" s="7"/>
      <c r="AA175" s="4" t="s">
        <v>46</v>
      </c>
      <c r="AB175" s="4" t="s">
        <v>47</v>
      </c>
      <c r="AC175" s="4" t="s">
        <v>48</v>
      </c>
      <c r="AD175" s="4" t="s">
        <v>49</v>
      </c>
      <c r="AE175" s="4" t="s">
        <v>50</v>
      </c>
      <c r="AF175" s="4" t="s">
        <v>41</v>
      </c>
      <c r="AG175" s="4" t="s">
        <v>506</v>
      </c>
    </row>
    <row r="176" spans="1:33" ht="409.5" customHeight="1" x14ac:dyDescent="0.15"/>
    <row r="177" ht="12" customHeight="1" x14ac:dyDescent="0.15"/>
  </sheetData>
  <mergeCells count="1114">
    <mergeCell ref="R3:T5"/>
    <mergeCell ref="A4:A5"/>
    <mergeCell ref="C4:H5"/>
    <mergeCell ref="Q6:T6"/>
    <mergeCell ref="A7:A8"/>
    <mergeCell ref="C7:G8"/>
    <mergeCell ref="C9:D9"/>
    <mergeCell ref="A11:AG12"/>
    <mergeCell ref="A13:A14"/>
    <mergeCell ref="B13:C14"/>
    <mergeCell ref="D13:E14"/>
    <mergeCell ref="F13:I14"/>
    <mergeCell ref="J13:J14"/>
    <mergeCell ref="K13:K14"/>
    <mergeCell ref="L13:L15"/>
    <mergeCell ref="P13:R14"/>
    <mergeCell ref="S13:S14"/>
    <mergeCell ref="T13:U14"/>
    <mergeCell ref="V13:V14"/>
    <mergeCell ref="W13:W14"/>
    <mergeCell ref="X13:X14"/>
    <mergeCell ref="Y13:Z14"/>
    <mergeCell ref="AA13:AA14"/>
    <mergeCell ref="AB13:AB14"/>
    <mergeCell ref="AC13:AC14"/>
    <mergeCell ref="AD13:AD14"/>
    <mergeCell ref="AE13:AE14"/>
    <mergeCell ref="AF13:AF14"/>
    <mergeCell ref="AG13:AG14"/>
    <mergeCell ref="B16:D16"/>
    <mergeCell ref="E16:F16"/>
    <mergeCell ref="G16:I16"/>
    <mergeCell ref="N16:O16"/>
    <mergeCell ref="P16:R16"/>
    <mergeCell ref="T16:U16"/>
    <mergeCell ref="Y16:Z16"/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22:D22"/>
    <mergeCell ref="E22:F22"/>
    <mergeCell ref="G22:I22"/>
    <mergeCell ref="N22:O22"/>
    <mergeCell ref="P22:R22"/>
    <mergeCell ref="T22:U22"/>
    <mergeCell ref="Y22:Z22"/>
    <mergeCell ref="B23:D23"/>
    <mergeCell ref="E23:F23"/>
    <mergeCell ref="G23:I23"/>
    <mergeCell ref="N23:O23"/>
    <mergeCell ref="P23:R23"/>
    <mergeCell ref="T23:U23"/>
    <mergeCell ref="Y23:Z23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8:D28"/>
    <mergeCell ref="E28:F28"/>
    <mergeCell ref="G28:I28"/>
    <mergeCell ref="N28:O28"/>
    <mergeCell ref="P28:R28"/>
    <mergeCell ref="T28:U28"/>
    <mergeCell ref="Y28:Z28"/>
    <mergeCell ref="B29:D29"/>
    <mergeCell ref="E29:F29"/>
    <mergeCell ref="G29:I29"/>
    <mergeCell ref="N29:O29"/>
    <mergeCell ref="P29:R29"/>
    <mergeCell ref="T29:U29"/>
    <mergeCell ref="Y29:Z29"/>
    <mergeCell ref="B30:D30"/>
    <mergeCell ref="E30:F30"/>
    <mergeCell ref="G30:I30"/>
    <mergeCell ref="N30:O30"/>
    <mergeCell ref="P30:R30"/>
    <mergeCell ref="T30:U30"/>
    <mergeCell ref="Y30:Z30"/>
    <mergeCell ref="B31:D31"/>
    <mergeCell ref="E31:F31"/>
    <mergeCell ref="G31:I31"/>
    <mergeCell ref="N31:O31"/>
    <mergeCell ref="P31:R31"/>
    <mergeCell ref="T31:U31"/>
    <mergeCell ref="Y31:Z31"/>
    <mergeCell ref="B32:D32"/>
    <mergeCell ref="E32:F32"/>
    <mergeCell ref="G32:I32"/>
    <mergeCell ref="N32:O32"/>
    <mergeCell ref="P32:R32"/>
    <mergeCell ref="T32:U32"/>
    <mergeCell ref="Y32:Z32"/>
    <mergeCell ref="B33:D33"/>
    <mergeCell ref="E33:F33"/>
    <mergeCell ref="G33:I33"/>
    <mergeCell ref="N33:O33"/>
    <mergeCell ref="P33:R33"/>
    <mergeCell ref="T33:U33"/>
    <mergeCell ref="Y33:Z33"/>
    <mergeCell ref="B34:D34"/>
    <mergeCell ref="E34:F34"/>
    <mergeCell ref="G34:I34"/>
    <mergeCell ref="N34:O34"/>
    <mergeCell ref="P34:R34"/>
    <mergeCell ref="T34:U34"/>
    <mergeCell ref="Y34:Z34"/>
    <mergeCell ref="B35:D35"/>
    <mergeCell ref="E35:F35"/>
    <mergeCell ref="G35:I35"/>
    <mergeCell ref="N35:O35"/>
    <mergeCell ref="P35:R35"/>
    <mergeCell ref="T35:U35"/>
    <mergeCell ref="Y35:Z35"/>
    <mergeCell ref="B36:D36"/>
    <mergeCell ref="E36:F36"/>
    <mergeCell ref="G36:I36"/>
    <mergeCell ref="N36:O36"/>
    <mergeCell ref="P36:R36"/>
    <mergeCell ref="T36:U36"/>
    <mergeCell ref="Y36:Z36"/>
    <mergeCell ref="B37:D37"/>
    <mergeCell ref="E37:F37"/>
    <mergeCell ref="G37:I37"/>
    <mergeCell ref="N37:O37"/>
    <mergeCell ref="P37:R37"/>
    <mergeCell ref="T37:U37"/>
    <mergeCell ref="Y37:Z37"/>
    <mergeCell ref="B38:D38"/>
    <mergeCell ref="E38:F38"/>
    <mergeCell ref="G38:I38"/>
    <mergeCell ref="N38:O38"/>
    <mergeCell ref="P38:R38"/>
    <mergeCell ref="T38:U38"/>
    <mergeCell ref="Y38:Z38"/>
    <mergeCell ref="B39:D39"/>
    <mergeCell ref="E39:F39"/>
    <mergeCell ref="G39:I39"/>
    <mergeCell ref="N39:O39"/>
    <mergeCell ref="P39:R39"/>
    <mergeCell ref="T39:U39"/>
    <mergeCell ref="Y39:Z39"/>
    <mergeCell ref="B40:D40"/>
    <mergeCell ref="E40:F40"/>
    <mergeCell ref="G40:I40"/>
    <mergeCell ref="N40:O40"/>
    <mergeCell ref="P40:R40"/>
    <mergeCell ref="T40:U40"/>
    <mergeCell ref="Y40:Z40"/>
    <mergeCell ref="B41:D41"/>
    <mergeCell ref="E41:F41"/>
    <mergeCell ref="G41:I41"/>
    <mergeCell ref="N41:O41"/>
    <mergeCell ref="P41:R41"/>
    <mergeCell ref="T41:U41"/>
    <mergeCell ref="Y41:Z41"/>
    <mergeCell ref="B42:D42"/>
    <mergeCell ref="E42:F42"/>
    <mergeCell ref="G42:I42"/>
    <mergeCell ref="N42:O42"/>
    <mergeCell ref="P42:R42"/>
    <mergeCell ref="T42:U42"/>
    <mergeCell ref="Y42:Z42"/>
    <mergeCell ref="B43:D43"/>
    <mergeCell ref="E43:F43"/>
    <mergeCell ref="G43:I43"/>
    <mergeCell ref="N43:O43"/>
    <mergeCell ref="P43:R43"/>
    <mergeCell ref="T43:U43"/>
    <mergeCell ref="Y43:Z43"/>
    <mergeCell ref="B44:D44"/>
    <mergeCell ref="E44:F44"/>
    <mergeCell ref="G44:I44"/>
    <mergeCell ref="N44:O44"/>
    <mergeCell ref="P44:R44"/>
    <mergeCell ref="T44:U44"/>
    <mergeCell ref="Y44:Z44"/>
    <mergeCell ref="B45:D45"/>
    <mergeCell ref="E45:F45"/>
    <mergeCell ref="G45:I45"/>
    <mergeCell ref="N45:O45"/>
    <mergeCell ref="P45:R45"/>
    <mergeCell ref="T45:U45"/>
    <mergeCell ref="Y45:Z45"/>
    <mergeCell ref="B46:D46"/>
    <mergeCell ref="E46:F46"/>
    <mergeCell ref="G46:I46"/>
    <mergeCell ref="N46:O46"/>
    <mergeCell ref="P46:R46"/>
    <mergeCell ref="T46:U46"/>
    <mergeCell ref="Y46:Z46"/>
    <mergeCell ref="B47:D47"/>
    <mergeCell ref="E47:F47"/>
    <mergeCell ref="G47:I47"/>
    <mergeCell ref="N47:O47"/>
    <mergeCell ref="P47:R47"/>
    <mergeCell ref="T47:U47"/>
    <mergeCell ref="Y47:Z47"/>
    <mergeCell ref="B48:D48"/>
    <mergeCell ref="E48:F48"/>
    <mergeCell ref="G48:I48"/>
    <mergeCell ref="N48:O48"/>
    <mergeCell ref="P48:R48"/>
    <mergeCell ref="T48:U48"/>
    <mergeCell ref="Y48:Z48"/>
    <mergeCell ref="B49:D49"/>
    <mergeCell ref="E49:F49"/>
    <mergeCell ref="G49:I49"/>
    <mergeCell ref="N49:O49"/>
    <mergeCell ref="P49:R49"/>
    <mergeCell ref="T49:U49"/>
    <mergeCell ref="Y49:Z49"/>
    <mergeCell ref="B50:D50"/>
    <mergeCell ref="E50:F50"/>
    <mergeCell ref="G50:I50"/>
    <mergeCell ref="N50:O50"/>
    <mergeCell ref="P50:R50"/>
    <mergeCell ref="T50:U50"/>
    <mergeCell ref="Y50:Z50"/>
    <mergeCell ref="B51:D51"/>
    <mergeCell ref="E51:F51"/>
    <mergeCell ref="G51:I51"/>
    <mergeCell ref="N51:O51"/>
    <mergeCell ref="P51:R51"/>
    <mergeCell ref="T51:U51"/>
    <mergeCell ref="Y51:Z51"/>
    <mergeCell ref="B52:D52"/>
    <mergeCell ref="E52:F52"/>
    <mergeCell ref="G52:I52"/>
    <mergeCell ref="N52:O52"/>
    <mergeCell ref="P52:R52"/>
    <mergeCell ref="T52:U52"/>
    <mergeCell ref="Y52:Z52"/>
    <mergeCell ref="B53:D53"/>
    <mergeCell ref="E53:F53"/>
    <mergeCell ref="G53:I53"/>
    <mergeCell ref="N53:O53"/>
    <mergeCell ref="P53:R53"/>
    <mergeCell ref="T53:U53"/>
    <mergeCell ref="Y53:Z53"/>
    <mergeCell ref="B54:D54"/>
    <mergeCell ref="E54:F54"/>
    <mergeCell ref="G54:I54"/>
    <mergeCell ref="N54:O54"/>
    <mergeCell ref="P54:R54"/>
    <mergeCell ref="T54:U54"/>
    <mergeCell ref="Y54:Z54"/>
    <mergeCell ref="B55:D55"/>
    <mergeCell ref="E55:F55"/>
    <mergeCell ref="G55:I55"/>
    <mergeCell ref="N55:O55"/>
    <mergeCell ref="P55:R55"/>
    <mergeCell ref="T55:U55"/>
    <mergeCell ref="Y55:Z55"/>
    <mergeCell ref="B56:D56"/>
    <mergeCell ref="E56:F56"/>
    <mergeCell ref="G56:I56"/>
    <mergeCell ref="N56:O56"/>
    <mergeCell ref="P56:R56"/>
    <mergeCell ref="T56:U56"/>
    <mergeCell ref="Y56:Z56"/>
    <mergeCell ref="B57:D57"/>
    <mergeCell ref="E57:F57"/>
    <mergeCell ref="G57:I57"/>
    <mergeCell ref="N57:O57"/>
    <mergeCell ref="P57:R57"/>
    <mergeCell ref="T57:U57"/>
    <mergeCell ref="Y57:Z57"/>
    <mergeCell ref="B58:D58"/>
    <mergeCell ref="E58:F58"/>
    <mergeCell ref="G58:I58"/>
    <mergeCell ref="N58:O58"/>
    <mergeCell ref="P58:R58"/>
    <mergeCell ref="T58:U58"/>
    <mergeCell ref="Y58:Z58"/>
    <mergeCell ref="B59:D59"/>
    <mergeCell ref="E59:F59"/>
    <mergeCell ref="G59:I59"/>
    <mergeCell ref="N59:O59"/>
    <mergeCell ref="P59:R59"/>
    <mergeCell ref="T59:U59"/>
    <mergeCell ref="Y59:Z59"/>
    <mergeCell ref="B60:D60"/>
    <mergeCell ref="E60:F60"/>
    <mergeCell ref="G60:I60"/>
    <mergeCell ref="N60:O60"/>
    <mergeCell ref="P60:R60"/>
    <mergeCell ref="T60:U60"/>
    <mergeCell ref="Y60:Z60"/>
    <mergeCell ref="B61:D61"/>
    <mergeCell ref="E61:F61"/>
    <mergeCell ref="G61:I61"/>
    <mergeCell ref="N61:O61"/>
    <mergeCell ref="P61:R61"/>
    <mergeCell ref="T61:U61"/>
    <mergeCell ref="Y61:Z61"/>
    <mergeCell ref="B62:D62"/>
    <mergeCell ref="E62:F62"/>
    <mergeCell ref="G62:I62"/>
    <mergeCell ref="N62:O62"/>
    <mergeCell ref="P62:R62"/>
    <mergeCell ref="T62:U62"/>
    <mergeCell ref="Y62:Z62"/>
    <mergeCell ref="B63:D63"/>
    <mergeCell ref="E63:F63"/>
    <mergeCell ref="G63:I63"/>
    <mergeCell ref="N63:O63"/>
    <mergeCell ref="P63:R63"/>
    <mergeCell ref="T63:U63"/>
    <mergeCell ref="Y63:Z63"/>
    <mergeCell ref="B64:D64"/>
    <mergeCell ref="E64:F64"/>
    <mergeCell ref="G64:I64"/>
    <mergeCell ref="N64:O64"/>
    <mergeCell ref="P64:R64"/>
    <mergeCell ref="T64:U64"/>
    <mergeCell ref="Y64:Z64"/>
    <mergeCell ref="B65:D65"/>
    <mergeCell ref="E65:F65"/>
    <mergeCell ref="G65:I65"/>
    <mergeCell ref="N65:O65"/>
    <mergeCell ref="P65:R65"/>
    <mergeCell ref="T65:U65"/>
    <mergeCell ref="Y65:Z65"/>
    <mergeCell ref="B66:D66"/>
    <mergeCell ref="E66:F66"/>
    <mergeCell ref="G66:I66"/>
    <mergeCell ref="N66:O66"/>
    <mergeCell ref="P66:R66"/>
    <mergeCell ref="T66:U66"/>
    <mergeCell ref="Y66:Z66"/>
    <mergeCell ref="B67:D67"/>
    <mergeCell ref="E67:F67"/>
    <mergeCell ref="G67:I67"/>
    <mergeCell ref="N67:O67"/>
    <mergeCell ref="P67:R67"/>
    <mergeCell ref="T67:U67"/>
    <mergeCell ref="Y67:Z67"/>
    <mergeCell ref="B68:D68"/>
    <mergeCell ref="E68:F68"/>
    <mergeCell ref="G68:I68"/>
    <mergeCell ref="N68:O68"/>
    <mergeCell ref="P68:R68"/>
    <mergeCell ref="T68:U68"/>
    <mergeCell ref="Y68:Z68"/>
    <mergeCell ref="B69:D69"/>
    <mergeCell ref="E69:F69"/>
    <mergeCell ref="G69:I69"/>
    <mergeCell ref="N69:O69"/>
    <mergeCell ref="P69:R69"/>
    <mergeCell ref="T69:U69"/>
    <mergeCell ref="Y69:Z69"/>
    <mergeCell ref="B70:D70"/>
    <mergeCell ref="E70:F70"/>
    <mergeCell ref="G70:I70"/>
    <mergeCell ref="N70:O70"/>
    <mergeCell ref="P70:R70"/>
    <mergeCell ref="T70:U70"/>
    <mergeCell ref="Y70:Z70"/>
    <mergeCell ref="B71:D71"/>
    <mergeCell ref="E71:F71"/>
    <mergeCell ref="G71:I71"/>
    <mergeCell ref="N71:O71"/>
    <mergeCell ref="P71:R71"/>
    <mergeCell ref="T71:U71"/>
    <mergeCell ref="Y71:Z71"/>
    <mergeCell ref="B72:D72"/>
    <mergeCell ref="E72:F72"/>
    <mergeCell ref="G72:I72"/>
    <mergeCell ref="N72:O72"/>
    <mergeCell ref="P72:R72"/>
    <mergeCell ref="T72:U72"/>
    <mergeCell ref="Y72:Z72"/>
    <mergeCell ref="B73:D73"/>
    <mergeCell ref="E73:F73"/>
    <mergeCell ref="G73:I73"/>
    <mergeCell ref="N73:O73"/>
    <mergeCell ref="P73:R73"/>
    <mergeCell ref="T73:U73"/>
    <mergeCell ref="Y73:Z73"/>
    <mergeCell ref="B74:D74"/>
    <mergeCell ref="E74:F74"/>
    <mergeCell ref="G74:I74"/>
    <mergeCell ref="N74:O74"/>
    <mergeCell ref="P74:R74"/>
    <mergeCell ref="T74:U74"/>
    <mergeCell ref="Y74:Z74"/>
    <mergeCell ref="B75:D75"/>
    <mergeCell ref="E75:F75"/>
    <mergeCell ref="G75:I75"/>
    <mergeCell ref="N75:O75"/>
    <mergeCell ref="P75:R75"/>
    <mergeCell ref="T75:U75"/>
    <mergeCell ref="Y75:Z75"/>
    <mergeCell ref="B76:D76"/>
    <mergeCell ref="E76:F76"/>
    <mergeCell ref="G76:I76"/>
    <mergeCell ref="N76:O76"/>
    <mergeCell ref="P76:R76"/>
    <mergeCell ref="T76:U76"/>
    <mergeCell ref="Y76:Z76"/>
    <mergeCell ref="B77:D77"/>
    <mergeCell ref="E77:F77"/>
    <mergeCell ref="G77:I77"/>
    <mergeCell ref="N77:O77"/>
    <mergeCell ref="P77:R77"/>
    <mergeCell ref="T77:U77"/>
    <mergeCell ref="Y77:Z77"/>
    <mergeCell ref="B78:D78"/>
    <mergeCell ref="E78:F78"/>
    <mergeCell ref="G78:I78"/>
    <mergeCell ref="N78:O78"/>
    <mergeCell ref="P78:R78"/>
    <mergeCell ref="T78:U78"/>
    <mergeCell ref="Y78:Z78"/>
    <mergeCell ref="B79:D79"/>
    <mergeCell ref="E79:F79"/>
    <mergeCell ref="G79:I79"/>
    <mergeCell ref="N79:O79"/>
    <mergeCell ref="P79:R79"/>
    <mergeCell ref="T79:U79"/>
    <mergeCell ref="Y79:Z79"/>
    <mergeCell ref="B80:D80"/>
    <mergeCell ref="E80:F80"/>
    <mergeCell ref="G80:I80"/>
    <mergeCell ref="N80:O80"/>
    <mergeCell ref="P80:R80"/>
    <mergeCell ref="T80:U80"/>
    <mergeCell ref="Y80:Z80"/>
    <mergeCell ref="B81:D81"/>
    <mergeCell ref="E81:F81"/>
    <mergeCell ref="G81:I81"/>
    <mergeCell ref="N81:O81"/>
    <mergeCell ref="P81:R81"/>
    <mergeCell ref="T81:U81"/>
    <mergeCell ref="Y81:Z81"/>
    <mergeCell ref="B82:D82"/>
    <mergeCell ref="E82:F82"/>
    <mergeCell ref="G82:I82"/>
    <mergeCell ref="N82:O82"/>
    <mergeCell ref="P82:R82"/>
    <mergeCell ref="T82:U82"/>
    <mergeCell ref="Y82:Z82"/>
    <mergeCell ref="B83:D83"/>
    <mergeCell ref="E83:F83"/>
    <mergeCell ref="G83:I83"/>
    <mergeCell ref="N83:O83"/>
    <mergeCell ref="P83:R83"/>
    <mergeCell ref="T83:U83"/>
    <mergeCell ref="Y83:Z83"/>
    <mergeCell ref="B84:D84"/>
    <mergeCell ref="E84:F84"/>
    <mergeCell ref="G84:I84"/>
    <mergeCell ref="N84:O84"/>
    <mergeCell ref="P84:R84"/>
    <mergeCell ref="T84:U84"/>
    <mergeCell ref="Y84:Z84"/>
    <mergeCell ref="B85:D85"/>
    <mergeCell ref="E85:F85"/>
    <mergeCell ref="G85:I85"/>
    <mergeCell ref="N85:O85"/>
    <mergeCell ref="P85:R85"/>
    <mergeCell ref="T85:U85"/>
    <mergeCell ref="Y85:Z85"/>
    <mergeCell ref="B88:D88"/>
    <mergeCell ref="E88:F88"/>
    <mergeCell ref="G88:I88"/>
    <mergeCell ref="N88:O88"/>
    <mergeCell ref="P88:R88"/>
    <mergeCell ref="T88:U88"/>
    <mergeCell ref="Y88:Z88"/>
    <mergeCell ref="B89:D89"/>
    <mergeCell ref="E89:F89"/>
    <mergeCell ref="G89:I89"/>
    <mergeCell ref="N89:O89"/>
    <mergeCell ref="P89:R89"/>
    <mergeCell ref="T89:U89"/>
    <mergeCell ref="Y89:Z89"/>
    <mergeCell ref="B90:D90"/>
    <mergeCell ref="E90:F90"/>
    <mergeCell ref="G90:I90"/>
    <mergeCell ref="N90:O90"/>
    <mergeCell ref="P90:R90"/>
    <mergeCell ref="T90:U90"/>
    <mergeCell ref="Y90:Z90"/>
    <mergeCell ref="B91:D91"/>
    <mergeCell ref="E91:F91"/>
    <mergeCell ref="G91:I91"/>
    <mergeCell ref="N91:O91"/>
    <mergeCell ref="P91:R91"/>
    <mergeCell ref="T91:U91"/>
    <mergeCell ref="Y91:Z91"/>
    <mergeCell ref="B92:D92"/>
    <mergeCell ref="E92:F92"/>
    <mergeCell ref="G92:I92"/>
    <mergeCell ref="N92:O92"/>
    <mergeCell ref="P92:R92"/>
    <mergeCell ref="T92:U92"/>
    <mergeCell ref="Y92:Z92"/>
    <mergeCell ref="B93:D93"/>
    <mergeCell ref="E93:F93"/>
    <mergeCell ref="G93:I93"/>
    <mergeCell ref="N93:O93"/>
    <mergeCell ref="P93:R93"/>
    <mergeCell ref="T93:U93"/>
    <mergeCell ref="Y93:Z93"/>
    <mergeCell ref="B94:D94"/>
    <mergeCell ref="E94:F94"/>
    <mergeCell ref="G94:I94"/>
    <mergeCell ref="N94:O94"/>
    <mergeCell ref="P94:R94"/>
    <mergeCell ref="T94:U94"/>
    <mergeCell ref="Y94:Z94"/>
    <mergeCell ref="B95:D95"/>
    <mergeCell ref="E95:F95"/>
    <mergeCell ref="G95:I95"/>
    <mergeCell ref="N95:O95"/>
    <mergeCell ref="P95:R95"/>
    <mergeCell ref="T95:U95"/>
    <mergeCell ref="Y95:Z95"/>
    <mergeCell ref="B96:D96"/>
    <mergeCell ref="E96:F96"/>
    <mergeCell ref="G96:I96"/>
    <mergeCell ref="N96:O96"/>
    <mergeCell ref="P96:R96"/>
    <mergeCell ref="T96:U96"/>
    <mergeCell ref="Y96:Z96"/>
    <mergeCell ref="B97:D97"/>
    <mergeCell ref="E97:F97"/>
    <mergeCell ref="G97:I97"/>
    <mergeCell ref="N97:O97"/>
    <mergeCell ref="P97:R97"/>
    <mergeCell ref="T97:U97"/>
    <mergeCell ref="Y97:Z97"/>
    <mergeCell ref="B98:D98"/>
    <mergeCell ref="E98:F98"/>
    <mergeCell ref="G98:I98"/>
    <mergeCell ref="N98:O98"/>
    <mergeCell ref="P98:R98"/>
    <mergeCell ref="T98:U98"/>
    <mergeCell ref="Y98:Z98"/>
    <mergeCell ref="B99:D99"/>
    <mergeCell ref="E99:F99"/>
    <mergeCell ref="G99:I99"/>
    <mergeCell ref="N99:O99"/>
    <mergeCell ref="P99:R99"/>
    <mergeCell ref="T99:U99"/>
    <mergeCell ref="Y99:Z99"/>
    <mergeCell ref="B100:D100"/>
    <mergeCell ref="E100:F100"/>
    <mergeCell ref="G100:I100"/>
    <mergeCell ref="N100:O100"/>
    <mergeCell ref="P100:R100"/>
    <mergeCell ref="T100:U100"/>
    <mergeCell ref="Y100:Z100"/>
    <mergeCell ref="B101:D101"/>
    <mergeCell ref="E101:F101"/>
    <mergeCell ref="G101:I101"/>
    <mergeCell ref="N101:O101"/>
    <mergeCell ref="P101:R101"/>
    <mergeCell ref="T101:U101"/>
    <mergeCell ref="Y101:Z101"/>
    <mergeCell ref="B102:D102"/>
    <mergeCell ref="E102:F102"/>
    <mergeCell ref="G102:I102"/>
    <mergeCell ref="N102:O102"/>
    <mergeCell ref="P102:R102"/>
    <mergeCell ref="T102:U102"/>
    <mergeCell ref="Y102:Z102"/>
    <mergeCell ref="B103:D103"/>
    <mergeCell ref="E103:F103"/>
    <mergeCell ref="G103:I103"/>
    <mergeCell ref="N103:O103"/>
    <mergeCell ref="P103:R103"/>
    <mergeCell ref="T103:U103"/>
    <mergeCell ref="Y103:Z103"/>
    <mergeCell ref="B104:D104"/>
    <mergeCell ref="E104:F104"/>
    <mergeCell ref="G104:I104"/>
    <mergeCell ref="N104:O104"/>
    <mergeCell ref="P104:R104"/>
    <mergeCell ref="T104:U104"/>
    <mergeCell ref="Y104:Z104"/>
    <mergeCell ref="B105:D105"/>
    <mergeCell ref="E105:F105"/>
    <mergeCell ref="G105:I105"/>
    <mergeCell ref="N105:O105"/>
    <mergeCell ref="P105:R105"/>
    <mergeCell ref="T105:U105"/>
    <mergeCell ref="Y105:Z105"/>
    <mergeCell ref="B106:D106"/>
    <mergeCell ref="E106:F106"/>
    <mergeCell ref="G106:I106"/>
    <mergeCell ref="N106:O106"/>
    <mergeCell ref="P106:R106"/>
    <mergeCell ref="T106:U106"/>
    <mergeCell ref="Y106:Z106"/>
    <mergeCell ref="B107:D107"/>
    <mergeCell ref="E107:F107"/>
    <mergeCell ref="G107:I107"/>
    <mergeCell ref="N107:O107"/>
    <mergeCell ref="P107:R107"/>
    <mergeCell ref="T107:U107"/>
    <mergeCell ref="Y107:Z107"/>
    <mergeCell ref="B108:D108"/>
    <mergeCell ref="E108:F108"/>
    <mergeCell ref="G108:I108"/>
    <mergeCell ref="N108:O108"/>
    <mergeCell ref="P108:R108"/>
    <mergeCell ref="T108:U108"/>
    <mergeCell ref="Y108:Z108"/>
    <mergeCell ref="B109:D109"/>
    <mergeCell ref="E109:F109"/>
    <mergeCell ref="G109:I109"/>
    <mergeCell ref="N109:O109"/>
    <mergeCell ref="P109:R109"/>
    <mergeCell ref="T109:U109"/>
    <mergeCell ref="Y109:Z109"/>
    <mergeCell ref="B110:D110"/>
    <mergeCell ref="E110:F110"/>
    <mergeCell ref="G110:I110"/>
    <mergeCell ref="N110:O110"/>
    <mergeCell ref="P110:R110"/>
    <mergeCell ref="T110:U110"/>
    <mergeCell ref="Y110:Z110"/>
    <mergeCell ref="B111:D111"/>
    <mergeCell ref="E111:F111"/>
    <mergeCell ref="G111:I111"/>
    <mergeCell ref="N111:O111"/>
    <mergeCell ref="P111:R111"/>
    <mergeCell ref="T111:U111"/>
    <mergeCell ref="Y111:Z111"/>
    <mergeCell ref="B112:D112"/>
    <mergeCell ref="E112:F112"/>
    <mergeCell ref="G112:I112"/>
    <mergeCell ref="N112:O112"/>
    <mergeCell ref="P112:R112"/>
    <mergeCell ref="T112:U112"/>
    <mergeCell ref="Y112:Z112"/>
    <mergeCell ref="B113:D113"/>
    <mergeCell ref="E113:F113"/>
    <mergeCell ref="G113:I113"/>
    <mergeCell ref="N113:O113"/>
    <mergeCell ref="P113:R113"/>
    <mergeCell ref="T113:U113"/>
    <mergeCell ref="Y113:Z113"/>
    <mergeCell ref="B114:D114"/>
    <mergeCell ref="E114:F114"/>
    <mergeCell ref="G114:I114"/>
    <mergeCell ref="N114:O114"/>
    <mergeCell ref="P114:R114"/>
    <mergeCell ref="T114:U114"/>
    <mergeCell ref="Y114:Z114"/>
    <mergeCell ref="B115:D115"/>
    <mergeCell ref="E115:F115"/>
    <mergeCell ref="G115:I115"/>
    <mergeCell ref="N115:O115"/>
    <mergeCell ref="P115:R115"/>
    <mergeCell ref="T115:U115"/>
    <mergeCell ref="Y115:Z115"/>
    <mergeCell ref="B116:D116"/>
    <mergeCell ref="E116:F116"/>
    <mergeCell ref="G116:I116"/>
    <mergeCell ref="N116:O116"/>
    <mergeCell ref="P116:R116"/>
    <mergeCell ref="T116:U116"/>
    <mergeCell ref="Y116:Z116"/>
    <mergeCell ref="B117:D117"/>
    <mergeCell ref="E117:F117"/>
    <mergeCell ref="G117:I117"/>
    <mergeCell ref="N117:O117"/>
    <mergeCell ref="P117:R117"/>
    <mergeCell ref="T117:U117"/>
    <mergeCell ref="Y117:Z117"/>
    <mergeCell ref="B118:D118"/>
    <mergeCell ref="E118:F118"/>
    <mergeCell ref="G118:I118"/>
    <mergeCell ref="N118:O118"/>
    <mergeCell ref="P118:R118"/>
    <mergeCell ref="T118:U118"/>
    <mergeCell ref="Y118:Z118"/>
    <mergeCell ref="B119:D119"/>
    <mergeCell ref="E119:F119"/>
    <mergeCell ref="G119:I119"/>
    <mergeCell ref="N119:O119"/>
    <mergeCell ref="P119:R119"/>
    <mergeCell ref="T119:U119"/>
    <mergeCell ref="Y119:Z119"/>
    <mergeCell ref="B120:D120"/>
    <mergeCell ref="E120:F120"/>
    <mergeCell ref="G120:I120"/>
    <mergeCell ref="N120:O120"/>
    <mergeCell ref="P120:R120"/>
    <mergeCell ref="T120:U120"/>
    <mergeCell ref="Y120:Z120"/>
    <mergeCell ref="B121:D121"/>
    <mergeCell ref="E121:F121"/>
    <mergeCell ref="G121:I121"/>
    <mergeCell ref="N121:O121"/>
    <mergeCell ref="P121:R121"/>
    <mergeCell ref="T121:U121"/>
    <mergeCell ref="Y121:Z121"/>
    <mergeCell ref="B122:D122"/>
    <mergeCell ref="E122:F122"/>
    <mergeCell ref="G122:I122"/>
    <mergeCell ref="N122:O122"/>
    <mergeCell ref="P122:R122"/>
    <mergeCell ref="T122:U122"/>
    <mergeCell ref="Y122:Z122"/>
    <mergeCell ref="B123:D123"/>
    <mergeCell ref="E123:F123"/>
    <mergeCell ref="G123:I123"/>
    <mergeCell ref="N123:O123"/>
    <mergeCell ref="P123:R123"/>
    <mergeCell ref="T123:U123"/>
    <mergeCell ref="Y123:Z123"/>
    <mergeCell ref="B124:D124"/>
    <mergeCell ref="E124:F124"/>
    <mergeCell ref="G124:I124"/>
    <mergeCell ref="N124:O124"/>
    <mergeCell ref="P124:R124"/>
    <mergeCell ref="T124:U124"/>
    <mergeCell ref="Y124:Z124"/>
    <mergeCell ref="B125:D125"/>
    <mergeCell ref="E125:F125"/>
    <mergeCell ref="G125:I125"/>
    <mergeCell ref="N125:O125"/>
    <mergeCell ref="P125:R125"/>
    <mergeCell ref="T125:U125"/>
    <mergeCell ref="Y125:Z125"/>
    <mergeCell ref="B126:D126"/>
    <mergeCell ref="E126:F126"/>
    <mergeCell ref="G126:I126"/>
    <mergeCell ref="N126:O126"/>
    <mergeCell ref="P126:R126"/>
    <mergeCell ref="T126:U126"/>
    <mergeCell ref="Y126:Z126"/>
    <mergeCell ref="B127:D127"/>
    <mergeCell ref="E127:F127"/>
    <mergeCell ref="G127:I127"/>
    <mergeCell ref="N127:O127"/>
    <mergeCell ref="P127:R127"/>
    <mergeCell ref="T127:U127"/>
    <mergeCell ref="Y127:Z127"/>
    <mergeCell ref="B128:D128"/>
    <mergeCell ref="E128:F128"/>
    <mergeCell ref="G128:I128"/>
    <mergeCell ref="N128:O128"/>
    <mergeCell ref="P128:R128"/>
    <mergeCell ref="T128:U128"/>
    <mergeCell ref="Y128:Z128"/>
    <mergeCell ref="B129:D129"/>
    <mergeCell ref="E129:F129"/>
    <mergeCell ref="G129:I129"/>
    <mergeCell ref="N129:O129"/>
    <mergeCell ref="P129:R129"/>
    <mergeCell ref="T129:U129"/>
    <mergeCell ref="Y129:Z129"/>
    <mergeCell ref="B130:D130"/>
    <mergeCell ref="E130:F130"/>
    <mergeCell ref="G130:I130"/>
    <mergeCell ref="N130:O130"/>
    <mergeCell ref="P130:R130"/>
    <mergeCell ref="T130:U130"/>
    <mergeCell ref="Y130:Z130"/>
    <mergeCell ref="B131:D131"/>
    <mergeCell ref="E131:F131"/>
    <mergeCell ref="G131:I131"/>
    <mergeCell ref="N131:O131"/>
    <mergeCell ref="P131:R131"/>
    <mergeCell ref="T131:U131"/>
    <mergeCell ref="Y131:Z131"/>
    <mergeCell ref="B132:D132"/>
    <mergeCell ref="E132:F132"/>
    <mergeCell ref="G132:I132"/>
    <mergeCell ref="N132:O132"/>
    <mergeCell ref="P132:R132"/>
    <mergeCell ref="T132:U132"/>
    <mergeCell ref="Y132:Z132"/>
    <mergeCell ref="B133:D133"/>
    <mergeCell ref="E133:F133"/>
    <mergeCell ref="G133:I133"/>
    <mergeCell ref="N133:O133"/>
    <mergeCell ref="P133:R133"/>
    <mergeCell ref="T133:U133"/>
    <mergeCell ref="Y133:Z133"/>
    <mergeCell ref="B134:D134"/>
    <mergeCell ref="E134:F134"/>
    <mergeCell ref="G134:I134"/>
    <mergeCell ref="N134:O134"/>
    <mergeCell ref="P134:R134"/>
    <mergeCell ref="T134:U134"/>
    <mergeCell ref="Y134:Z134"/>
    <mergeCell ref="B135:D135"/>
    <mergeCell ref="E135:F135"/>
    <mergeCell ref="G135:I135"/>
    <mergeCell ref="N135:O135"/>
    <mergeCell ref="P135:R135"/>
    <mergeCell ref="T135:U135"/>
    <mergeCell ref="Y135:Z135"/>
    <mergeCell ref="B136:D136"/>
    <mergeCell ref="E136:F136"/>
    <mergeCell ref="G136:I136"/>
    <mergeCell ref="N136:O136"/>
    <mergeCell ref="P136:R136"/>
    <mergeCell ref="T136:U136"/>
    <mergeCell ref="Y136:Z136"/>
    <mergeCell ref="B137:D137"/>
    <mergeCell ref="E137:F137"/>
    <mergeCell ref="G137:I137"/>
    <mergeCell ref="N137:O137"/>
    <mergeCell ref="P137:R137"/>
    <mergeCell ref="T137:U137"/>
    <mergeCell ref="Y137:Z137"/>
    <mergeCell ref="B138:D138"/>
    <mergeCell ref="E138:F138"/>
    <mergeCell ref="G138:I138"/>
    <mergeCell ref="N138:O138"/>
    <mergeCell ref="P138:R138"/>
    <mergeCell ref="T138:U138"/>
    <mergeCell ref="Y138:Z138"/>
    <mergeCell ref="B139:D139"/>
    <mergeCell ref="E139:F139"/>
    <mergeCell ref="G139:I139"/>
    <mergeCell ref="N139:O139"/>
    <mergeCell ref="P139:R139"/>
    <mergeCell ref="T139:U139"/>
    <mergeCell ref="Y139:Z139"/>
    <mergeCell ref="B140:D140"/>
    <mergeCell ref="E140:F140"/>
    <mergeCell ref="G140:I140"/>
    <mergeCell ref="N140:O140"/>
    <mergeCell ref="P140:R140"/>
    <mergeCell ref="T140:U140"/>
    <mergeCell ref="Y140:Z140"/>
    <mergeCell ref="B141:D141"/>
    <mergeCell ref="E141:F141"/>
    <mergeCell ref="G141:I141"/>
    <mergeCell ref="N141:O141"/>
    <mergeCell ref="P141:R141"/>
    <mergeCell ref="T141:U141"/>
    <mergeCell ref="Y141:Z141"/>
    <mergeCell ref="B142:D142"/>
    <mergeCell ref="E142:F142"/>
    <mergeCell ref="G142:I142"/>
    <mergeCell ref="N142:O142"/>
    <mergeCell ref="P142:R142"/>
    <mergeCell ref="T142:U142"/>
    <mergeCell ref="Y142:Z142"/>
    <mergeCell ref="B143:D143"/>
    <mergeCell ref="E143:F143"/>
    <mergeCell ref="G143:I143"/>
    <mergeCell ref="N143:O143"/>
    <mergeCell ref="P143:R143"/>
    <mergeCell ref="T143:U143"/>
    <mergeCell ref="Y143:Z143"/>
    <mergeCell ref="B144:D144"/>
    <mergeCell ref="E144:F144"/>
    <mergeCell ref="G144:I144"/>
    <mergeCell ref="N144:O144"/>
    <mergeCell ref="P144:R144"/>
    <mergeCell ref="T144:U144"/>
    <mergeCell ref="Y144:Z144"/>
    <mergeCell ref="B145:D145"/>
    <mergeCell ref="E145:F145"/>
    <mergeCell ref="G145:I145"/>
    <mergeCell ref="N145:O145"/>
    <mergeCell ref="P145:R145"/>
    <mergeCell ref="T145:U145"/>
    <mergeCell ref="Y145:Z145"/>
    <mergeCell ref="B146:D146"/>
    <mergeCell ref="E146:F146"/>
    <mergeCell ref="G146:I146"/>
    <mergeCell ref="N146:O146"/>
    <mergeCell ref="P146:R146"/>
    <mergeCell ref="T146:U146"/>
    <mergeCell ref="Y146:Z146"/>
    <mergeCell ref="B147:D147"/>
    <mergeCell ref="E147:F147"/>
    <mergeCell ref="G147:I147"/>
    <mergeCell ref="N147:O147"/>
    <mergeCell ref="P147:R147"/>
    <mergeCell ref="T147:U147"/>
    <mergeCell ref="Y147:Z147"/>
    <mergeCell ref="B148:D148"/>
    <mergeCell ref="E148:F148"/>
    <mergeCell ref="G148:I148"/>
    <mergeCell ref="N148:O148"/>
    <mergeCell ref="P148:R148"/>
    <mergeCell ref="T148:U148"/>
    <mergeCell ref="Y148:Z148"/>
    <mergeCell ref="B149:D149"/>
    <mergeCell ref="E149:F149"/>
    <mergeCell ref="G149:I149"/>
    <mergeCell ref="N149:O149"/>
    <mergeCell ref="P149:R149"/>
    <mergeCell ref="T149:U149"/>
    <mergeCell ref="Y149:Z149"/>
    <mergeCell ref="B150:D150"/>
    <mergeCell ref="E150:F150"/>
    <mergeCell ref="G150:I150"/>
    <mergeCell ref="N150:O150"/>
    <mergeCell ref="P150:R150"/>
    <mergeCell ref="T150:U150"/>
    <mergeCell ref="Y150:Z150"/>
    <mergeCell ref="B151:D151"/>
    <mergeCell ref="E151:F151"/>
    <mergeCell ref="G151:I151"/>
    <mergeCell ref="N151:O151"/>
    <mergeCell ref="P151:R151"/>
    <mergeCell ref="T151:U151"/>
    <mergeCell ref="Y151:Z151"/>
    <mergeCell ref="B152:D152"/>
    <mergeCell ref="E152:F152"/>
    <mergeCell ref="G152:I152"/>
    <mergeCell ref="N152:O152"/>
    <mergeCell ref="P152:R152"/>
    <mergeCell ref="T152:U152"/>
    <mergeCell ref="Y152:Z152"/>
    <mergeCell ref="B153:D153"/>
    <mergeCell ref="E153:F153"/>
    <mergeCell ref="G153:I153"/>
    <mergeCell ref="N153:O153"/>
    <mergeCell ref="P153:R153"/>
    <mergeCell ref="T153:U153"/>
    <mergeCell ref="Y153:Z153"/>
    <mergeCell ref="B154:D154"/>
    <mergeCell ref="E154:F154"/>
    <mergeCell ref="G154:I154"/>
    <mergeCell ref="N154:O154"/>
    <mergeCell ref="P154:R154"/>
    <mergeCell ref="T154:U154"/>
    <mergeCell ref="Y154:Z154"/>
    <mergeCell ref="B155:D155"/>
    <mergeCell ref="E155:F155"/>
    <mergeCell ref="G155:I155"/>
    <mergeCell ref="N155:O155"/>
    <mergeCell ref="P155:R155"/>
    <mergeCell ref="T155:U155"/>
    <mergeCell ref="Y155:Z155"/>
    <mergeCell ref="B156:D156"/>
    <mergeCell ref="E156:F156"/>
    <mergeCell ref="G156:I156"/>
    <mergeCell ref="N156:O156"/>
    <mergeCell ref="P156:R156"/>
    <mergeCell ref="T156:U156"/>
    <mergeCell ref="Y156:Z156"/>
    <mergeCell ref="B157:D157"/>
    <mergeCell ref="E157:F157"/>
    <mergeCell ref="G157:I157"/>
    <mergeCell ref="N157:O157"/>
    <mergeCell ref="P157:R157"/>
    <mergeCell ref="T157:U157"/>
    <mergeCell ref="Y157:Z157"/>
    <mergeCell ref="B158:D158"/>
    <mergeCell ref="E158:F158"/>
    <mergeCell ref="G158:I158"/>
    <mergeCell ref="N158:O158"/>
    <mergeCell ref="P158:R158"/>
    <mergeCell ref="T158:U158"/>
    <mergeCell ref="Y158:Z158"/>
    <mergeCell ref="B159:D159"/>
    <mergeCell ref="E159:F159"/>
    <mergeCell ref="G159:I159"/>
    <mergeCell ref="N159:O159"/>
    <mergeCell ref="P159:R159"/>
    <mergeCell ref="T159:U159"/>
    <mergeCell ref="Y159:Z159"/>
    <mergeCell ref="B160:D160"/>
    <mergeCell ref="E160:F160"/>
    <mergeCell ref="G160:I160"/>
    <mergeCell ref="N160:O160"/>
    <mergeCell ref="P160:R160"/>
    <mergeCell ref="T160:U160"/>
    <mergeCell ref="Y160:Z160"/>
    <mergeCell ref="B161:D161"/>
    <mergeCell ref="E161:F161"/>
    <mergeCell ref="G161:I161"/>
    <mergeCell ref="N161:O161"/>
    <mergeCell ref="P161:R161"/>
    <mergeCell ref="T161:U161"/>
    <mergeCell ref="Y161:Z161"/>
    <mergeCell ref="B162:D162"/>
    <mergeCell ref="E162:F162"/>
    <mergeCell ref="G162:I162"/>
    <mergeCell ref="N162:O162"/>
    <mergeCell ref="P162:R162"/>
    <mergeCell ref="T162:U162"/>
    <mergeCell ref="Y162:Z162"/>
    <mergeCell ref="B163:D163"/>
    <mergeCell ref="E163:F163"/>
    <mergeCell ref="G163:I163"/>
    <mergeCell ref="N163:O163"/>
    <mergeCell ref="P163:R163"/>
    <mergeCell ref="T163:U163"/>
    <mergeCell ref="Y163:Z163"/>
    <mergeCell ref="B164:D164"/>
    <mergeCell ref="E164:F164"/>
    <mergeCell ref="G164:I164"/>
    <mergeCell ref="N164:O164"/>
    <mergeCell ref="P164:R164"/>
    <mergeCell ref="T164:U164"/>
    <mergeCell ref="Y164:Z164"/>
    <mergeCell ref="B165:D165"/>
    <mergeCell ref="E165:F165"/>
    <mergeCell ref="G165:I165"/>
    <mergeCell ref="N165:O165"/>
    <mergeCell ref="P165:R165"/>
    <mergeCell ref="T165:U165"/>
    <mergeCell ref="Y165:Z165"/>
    <mergeCell ref="P173:R173"/>
    <mergeCell ref="T173:U173"/>
    <mergeCell ref="Y173:Z173"/>
    <mergeCell ref="B166:D166"/>
    <mergeCell ref="E166:F166"/>
    <mergeCell ref="G166:I166"/>
    <mergeCell ref="N166:O166"/>
    <mergeCell ref="P166:R166"/>
    <mergeCell ref="T166:U166"/>
    <mergeCell ref="Y166:Z166"/>
    <mergeCell ref="B169:D169"/>
    <mergeCell ref="E169:F169"/>
    <mergeCell ref="G169:I169"/>
    <mergeCell ref="N169:O169"/>
    <mergeCell ref="P169:R169"/>
    <mergeCell ref="T169:U169"/>
    <mergeCell ref="Y169:Z169"/>
    <mergeCell ref="B170:D170"/>
    <mergeCell ref="E170:F170"/>
    <mergeCell ref="G170:I170"/>
    <mergeCell ref="N170:O170"/>
    <mergeCell ref="P170:R170"/>
    <mergeCell ref="T170:U170"/>
    <mergeCell ref="Y170:Z170"/>
    <mergeCell ref="B174:D174"/>
    <mergeCell ref="E174:F174"/>
    <mergeCell ref="G174:I174"/>
    <mergeCell ref="N174:O174"/>
    <mergeCell ref="P174:R174"/>
    <mergeCell ref="T174:U174"/>
    <mergeCell ref="Y174:Z174"/>
    <mergeCell ref="B175:D175"/>
    <mergeCell ref="E175:F175"/>
    <mergeCell ref="G175:I175"/>
    <mergeCell ref="N175:O175"/>
    <mergeCell ref="P175:R175"/>
    <mergeCell ref="T175:U175"/>
    <mergeCell ref="Y175:Z175"/>
    <mergeCell ref="B171:D171"/>
    <mergeCell ref="E171:F171"/>
    <mergeCell ref="G171:I171"/>
    <mergeCell ref="N171:O171"/>
    <mergeCell ref="P171:R171"/>
    <mergeCell ref="T171:U171"/>
    <mergeCell ref="Y171:Z171"/>
    <mergeCell ref="B172:D172"/>
    <mergeCell ref="E172:F172"/>
    <mergeCell ref="G172:I172"/>
    <mergeCell ref="N172:O172"/>
    <mergeCell ref="P172:R172"/>
    <mergeCell ref="T172:U172"/>
    <mergeCell ref="Y172:Z172"/>
    <mergeCell ref="B173:D173"/>
    <mergeCell ref="E173:F173"/>
    <mergeCell ref="G173:I173"/>
    <mergeCell ref="N173:O173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C6B2D-7DBB-F549-8578-98221E512C53}">
  <dimension ref="A1:N151"/>
  <sheetViews>
    <sheetView tabSelected="1" topLeftCell="B123" workbookViewId="0">
      <selection activeCell="D149" sqref="D149:D151"/>
    </sheetView>
  </sheetViews>
  <sheetFormatPr baseColWidth="10" defaultColWidth="6.83203125" defaultRowHeight="13" x14ac:dyDescent="0.15"/>
  <cols>
    <col min="1" max="1" width="33.83203125" style="19" bestFit="1" customWidth="1"/>
    <col min="2" max="2" width="33.83203125" style="19" customWidth="1"/>
    <col min="3" max="3" width="15" style="19" bestFit="1" customWidth="1"/>
    <col min="4" max="4" width="15" style="19" customWidth="1"/>
    <col min="5" max="5" width="26.33203125" style="19" bestFit="1" customWidth="1"/>
    <col min="6" max="6" width="14.1640625" style="19" bestFit="1" customWidth="1"/>
    <col min="7" max="7" width="10.1640625" style="19" bestFit="1" customWidth="1"/>
    <col min="8" max="8" width="10.1640625" style="19" customWidth="1"/>
    <col min="9" max="9" width="11.1640625" style="19" bestFit="1" customWidth="1"/>
    <col min="10" max="10" width="11.1640625" style="19" customWidth="1"/>
    <col min="11" max="11" width="10.33203125" style="19" bestFit="1" customWidth="1"/>
    <col min="12" max="12" width="14.6640625" style="19" bestFit="1" customWidth="1"/>
    <col min="13" max="14" width="13.6640625" style="19" bestFit="1" customWidth="1"/>
    <col min="15" max="16384" width="6.83203125" style="19"/>
  </cols>
  <sheetData>
    <row r="1" spans="1:14" ht="13" customHeight="1" x14ac:dyDescent="0.15">
      <c r="A1" s="18"/>
      <c r="B1" s="18"/>
      <c r="C1" s="18" t="s">
        <v>15</v>
      </c>
      <c r="D1" s="18" t="s">
        <v>16</v>
      </c>
      <c r="E1" s="18" t="s">
        <v>17</v>
      </c>
      <c r="F1" s="18" t="s">
        <v>19</v>
      </c>
      <c r="G1" s="18" t="s">
        <v>20</v>
      </c>
      <c r="H1" s="18"/>
      <c r="I1" s="18" t="s">
        <v>21</v>
      </c>
      <c r="J1" s="18"/>
      <c r="K1" s="18" t="s">
        <v>22</v>
      </c>
      <c r="L1" s="18" t="s">
        <v>23</v>
      </c>
      <c r="M1" s="18" t="s">
        <v>26</v>
      </c>
      <c r="N1" s="18" t="s">
        <v>27</v>
      </c>
    </row>
    <row r="2" spans="1:14" x14ac:dyDescent="0.1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14" x14ac:dyDescent="0.15">
      <c r="A3" t="s">
        <v>515</v>
      </c>
      <c r="B3" s="20">
        <v>9079571</v>
      </c>
      <c r="C3" s="14">
        <v>1</v>
      </c>
      <c r="D3" s="14">
        <v>943384243</v>
      </c>
      <c r="E3" s="2" t="s">
        <v>831</v>
      </c>
      <c r="F3" s="2">
        <v>0</v>
      </c>
      <c r="G3" s="14">
        <v>20250201</v>
      </c>
      <c r="H3" s="14" t="str">
        <f>TEXT(DATE(LEFT(G3,4), MID(G3,5,2), RIGHT(G3,2)), "M/d/yyyy")</f>
        <v>2/1/2025</v>
      </c>
      <c r="I3" s="14">
        <v>20240101</v>
      </c>
      <c r="J3" s="14" t="str">
        <f>TEXT(DATE(LEFT(I3,4), MID(I3,5,2), RIGHT(I3,2)), "M/d/yyyy")</f>
        <v>1/1/2024</v>
      </c>
      <c r="K3" s="14">
        <v>13</v>
      </c>
      <c r="L3" s="2" t="s">
        <v>45</v>
      </c>
      <c r="M3" s="14">
        <v>20</v>
      </c>
      <c r="N3" s="2">
        <v>20</v>
      </c>
    </row>
    <row r="4" spans="1:14" x14ac:dyDescent="0.15">
      <c r="A4" t="s">
        <v>515</v>
      </c>
      <c r="B4" s="20">
        <v>9079571</v>
      </c>
      <c r="C4" s="14">
        <v>1</v>
      </c>
      <c r="D4" s="14">
        <v>943107197</v>
      </c>
      <c r="E4" s="2" t="s">
        <v>830</v>
      </c>
      <c r="F4" s="2">
        <v>0</v>
      </c>
      <c r="G4" s="14">
        <v>20250201</v>
      </c>
      <c r="H4" s="14" t="str">
        <f>TEXT(DATE(LEFT(G4,4), MID(G4,5,2), RIGHT(G4,2)), "M/d/yyyy")</f>
        <v>2/1/2025</v>
      </c>
      <c r="I4" s="14">
        <v>20230901</v>
      </c>
      <c r="J4" s="14" t="str">
        <f>TEXT(DATE(LEFT(I4,4), MID(I4,5,2), RIGHT(I4,2)), "M/d/yyyy")</f>
        <v>9/1/2023</v>
      </c>
      <c r="K4" s="14">
        <v>17</v>
      </c>
      <c r="L4" s="2" t="s">
        <v>58</v>
      </c>
      <c r="M4" s="14">
        <v>25</v>
      </c>
      <c r="N4" s="2">
        <v>25</v>
      </c>
    </row>
    <row r="5" spans="1:14" x14ac:dyDescent="0.15">
      <c r="A5" t="s">
        <v>515</v>
      </c>
      <c r="B5" s="20">
        <v>9079571</v>
      </c>
      <c r="C5" s="14">
        <v>3</v>
      </c>
      <c r="D5" s="14">
        <v>944023937</v>
      </c>
      <c r="E5" s="2" t="s">
        <v>832</v>
      </c>
      <c r="F5" s="2">
        <v>0</v>
      </c>
      <c r="G5" s="14">
        <v>20250201</v>
      </c>
      <c r="H5" s="14" t="str">
        <f>TEXT(DATE(LEFT(G5,4), MID(G5,5,2), RIGHT(G5,2)), "M/d/yyyy")</f>
        <v>2/1/2025</v>
      </c>
      <c r="I5" s="14">
        <v>20241001</v>
      </c>
      <c r="J5" s="14" t="str">
        <f>TEXT(DATE(LEFT(I5,4), MID(I5,5,2), RIGHT(I5,2)), "M/d/yyyy")</f>
        <v>10/1/2024</v>
      </c>
      <c r="K5" s="14">
        <v>4</v>
      </c>
      <c r="L5" s="2" t="s">
        <v>58</v>
      </c>
      <c r="M5" s="14">
        <v>25</v>
      </c>
      <c r="N5" s="2">
        <v>75</v>
      </c>
    </row>
    <row r="6" spans="1:14" ht="14" x14ac:dyDescent="0.2">
      <c r="A6" t="s">
        <v>532</v>
      </c>
      <c r="B6" s="22">
        <v>593918</v>
      </c>
      <c r="C6" s="14">
        <v>1</v>
      </c>
      <c r="D6" s="14">
        <v>944116765</v>
      </c>
      <c r="E6" s="2" t="s">
        <v>908</v>
      </c>
      <c r="F6" s="2">
        <v>0</v>
      </c>
      <c r="G6" s="14">
        <v>20250201</v>
      </c>
      <c r="H6" s="14" t="str">
        <f>TEXT(DATE(LEFT(G6,4), MID(G6,5,2), RIGHT(G6,2)), "M/d/yyyy")</f>
        <v>2/1/2025</v>
      </c>
      <c r="I6" s="14">
        <v>20250101</v>
      </c>
      <c r="J6" s="14" t="str">
        <f>TEXT(DATE(LEFT(I6,4), MID(I6,5,2), RIGHT(I6,2)), "M/d/yyyy")</f>
        <v>1/1/2025</v>
      </c>
      <c r="K6" s="14">
        <v>1</v>
      </c>
      <c r="L6" s="2" t="s">
        <v>58</v>
      </c>
      <c r="M6" s="14">
        <v>25</v>
      </c>
      <c r="N6" s="2">
        <v>25</v>
      </c>
    </row>
    <row r="7" spans="1:14" ht="14" x14ac:dyDescent="0.2">
      <c r="A7" t="s">
        <v>521</v>
      </c>
      <c r="B7" s="22">
        <v>7470776</v>
      </c>
      <c r="C7" s="14">
        <v>1</v>
      </c>
      <c r="D7" s="14">
        <v>944096921</v>
      </c>
      <c r="E7" s="2" t="s">
        <v>889</v>
      </c>
      <c r="F7" s="2">
        <v>0</v>
      </c>
      <c r="G7" s="14">
        <v>20250201</v>
      </c>
      <c r="H7" s="14" t="str">
        <f>TEXT(DATE(LEFT(G7,4), MID(G7,5,2), RIGHT(G7,2)), "M/d/yyyy")</f>
        <v>2/1/2025</v>
      </c>
      <c r="I7" s="14">
        <v>20250101</v>
      </c>
      <c r="J7" s="14" t="str">
        <f>TEXT(DATE(LEFT(I7,4), MID(I7,5,2), RIGHT(I7,2)), "M/d/yyyy")</f>
        <v>1/1/2025</v>
      </c>
      <c r="K7" s="14">
        <v>1</v>
      </c>
      <c r="L7" s="2" t="s">
        <v>45</v>
      </c>
      <c r="M7" s="14">
        <v>20</v>
      </c>
      <c r="N7" s="2">
        <v>20</v>
      </c>
    </row>
    <row r="8" spans="1:14" ht="14" x14ac:dyDescent="0.2">
      <c r="A8" t="s">
        <v>521</v>
      </c>
      <c r="B8" s="22">
        <v>7470776</v>
      </c>
      <c r="C8" s="14">
        <v>1</v>
      </c>
      <c r="D8" s="14">
        <v>943074903</v>
      </c>
      <c r="E8" s="2" t="s">
        <v>888</v>
      </c>
      <c r="F8" s="2">
        <v>0</v>
      </c>
      <c r="G8" s="14">
        <v>20250201</v>
      </c>
      <c r="H8" s="14" t="str">
        <f>TEXT(DATE(LEFT(G8,4), MID(G8,5,2), RIGHT(G8,2)), "M/d/yyyy")</f>
        <v>2/1/2025</v>
      </c>
      <c r="I8" s="14">
        <v>20230701</v>
      </c>
      <c r="J8" s="14" t="str">
        <f>TEXT(DATE(LEFT(I8,4), MID(I8,5,2), RIGHT(I8,2)), "M/d/yyyy")</f>
        <v>7/1/2023</v>
      </c>
      <c r="K8" s="14">
        <v>19</v>
      </c>
      <c r="L8" s="2" t="s">
        <v>58</v>
      </c>
      <c r="M8" s="14">
        <v>25</v>
      </c>
      <c r="N8" s="2">
        <v>25</v>
      </c>
    </row>
    <row r="9" spans="1:14" ht="14" x14ac:dyDescent="0.2">
      <c r="A9" t="s">
        <v>521</v>
      </c>
      <c r="B9" s="22">
        <v>7470776</v>
      </c>
      <c r="C9" s="14">
        <v>2</v>
      </c>
      <c r="D9" s="14">
        <v>944119769</v>
      </c>
      <c r="E9" s="2" t="s">
        <v>890</v>
      </c>
      <c r="F9" s="2">
        <v>0</v>
      </c>
      <c r="G9" s="14">
        <v>20250201</v>
      </c>
      <c r="H9" s="14" t="str">
        <f>TEXT(DATE(LEFT(G9,4), MID(G9,5,2), RIGHT(G9,2)), "M/d/yyyy")</f>
        <v>2/1/2025</v>
      </c>
      <c r="I9" s="14">
        <v>20250101</v>
      </c>
      <c r="J9" s="14" t="str">
        <f>TEXT(DATE(LEFT(I9,4), MID(I9,5,2), RIGHT(I9,2)), "M/d/yyyy")</f>
        <v>1/1/2025</v>
      </c>
      <c r="K9" s="14">
        <v>1</v>
      </c>
      <c r="L9" s="2" t="s">
        <v>58</v>
      </c>
      <c r="M9" s="14">
        <v>25</v>
      </c>
      <c r="N9" s="2">
        <v>50</v>
      </c>
    </row>
    <row r="10" spans="1:14" ht="14" x14ac:dyDescent="0.2">
      <c r="A10" t="s">
        <v>525</v>
      </c>
      <c r="B10" s="22">
        <v>19586992</v>
      </c>
      <c r="C10" s="14">
        <v>1</v>
      </c>
      <c r="D10" s="14">
        <v>925098395</v>
      </c>
      <c r="E10" s="2" t="s">
        <v>893</v>
      </c>
      <c r="F10" s="2">
        <v>0</v>
      </c>
      <c r="G10" s="14">
        <v>20250201</v>
      </c>
      <c r="H10" s="14" t="str">
        <f>TEXT(DATE(LEFT(G10,4), MID(G10,5,2), RIGHT(G10,2)), "M/d/yyyy")</f>
        <v>2/1/2025</v>
      </c>
      <c r="I10" s="14">
        <v>20250101</v>
      </c>
      <c r="J10" s="14" t="str">
        <f>TEXT(DATE(LEFT(I10,4), MID(I10,5,2), RIGHT(I10,2)), "M/d/yyyy")</f>
        <v>1/1/2025</v>
      </c>
      <c r="K10" s="14">
        <v>1</v>
      </c>
      <c r="L10" s="2" t="s">
        <v>58</v>
      </c>
      <c r="M10" s="14">
        <v>25</v>
      </c>
      <c r="N10" s="2">
        <v>25</v>
      </c>
    </row>
    <row r="11" spans="1:14" x14ac:dyDescent="0.15">
      <c r="A11" t="s">
        <v>516</v>
      </c>
      <c r="B11" s="20" t="s">
        <v>534</v>
      </c>
      <c r="C11" s="14">
        <v>5</v>
      </c>
      <c r="D11" s="14">
        <v>925991152</v>
      </c>
      <c r="E11" s="2" t="s">
        <v>833</v>
      </c>
      <c r="F11" s="2">
        <v>0</v>
      </c>
      <c r="G11" s="14">
        <v>20250201</v>
      </c>
      <c r="H11" s="14" t="str">
        <f>TEXT(DATE(LEFT(G11,4), MID(G11,5,2), RIGHT(G11,2)), "M/d/yyyy")</f>
        <v>2/1/2025</v>
      </c>
      <c r="I11" s="14">
        <v>20230501</v>
      </c>
      <c r="J11" s="14" t="str">
        <f>TEXT(DATE(LEFT(I11,4), MID(I11,5,2), RIGHT(I11,2)), "M/d/yyyy")</f>
        <v>5/1/2023</v>
      </c>
      <c r="K11" s="14">
        <v>21</v>
      </c>
      <c r="L11" s="2" t="s">
        <v>45</v>
      </c>
      <c r="M11" s="14">
        <v>20</v>
      </c>
      <c r="N11" s="2">
        <v>100</v>
      </c>
    </row>
    <row r="12" spans="1:14" ht="14" x14ac:dyDescent="0.2">
      <c r="A12" t="s">
        <v>527</v>
      </c>
      <c r="B12" s="22">
        <v>20003537</v>
      </c>
      <c r="C12" s="14">
        <v>1</v>
      </c>
      <c r="D12" s="14">
        <v>944154522</v>
      </c>
      <c r="E12" s="2" t="s">
        <v>900</v>
      </c>
      <c r="F12" s="2">
        <v>0</v>
      </c>
      <c r="G12" s="14">
        <v>20250201</v>
      </c>
      <c r="H12" s="14" t="str">
        <f>TEXT(DATE(LEFT(G12,4), MID(G12,5,2), RIGHT(G12,2)), "M/d/yyyy")</f>
        <v>2/1/2025</v>
      </c>
      <c r="I12" s="14">
        <v>20250101</v>
      </c>
      <c r="J12" s="14" t="str">
        <f>TEXT(DATE(LEFT(I12,4), MID(I12,5,2), RIGHT(I12,2)), "M/d/yyyy")</f>
        <v>1/1/2025</v>
      </c>
      <c r="K12" s="14">
        <v>1</v>
      </c>
      <c r="L12" s="2" t="s">
        <v>45</v>
      </c>
      <c r="M12" s="14">
        <v>20</v>
      </c>
      <c r="N12" s="2">
        <v>20</v>
      </c>
    </row>
    <row r="13" spans="1:14" ht="14" x14ac:dyDescent="0.2">
      <c r="A13" t="s">
        <v>527</v>
      </c>
      <c r="B13" s="22">
        <v>20003537</v>
      </c>
      <c r="C13" s="14">
        <v>1</v>
      </c>
      <c r="D13" s="14">
        <v>925919562</v>
      </c>
      <c r="E13" s="2" t="s">
        <v>898</v>
      </c>
      <c r="F13" s="2">
        <v>0</v>
      </c>
      <c r="G13" s="14">
        <v>20250201</v>
      </c>
      <c r="H13" s="14" t="str">
        <f>TEXT(DATE(LEFT(G13,4), MID(G13,5,2), RIGHT(G13,2)), "M/d/yyyy")</f>
        <v>2/1/2025</v>
      </c>
      <c r="I13" s="14">
        <v>20230201</v>
      </c>
      <c r="J13" s="14" t="str">
        <f>TEXT(DATE(LEFT(I13,4), MID(I13,5,2), RIGHT(I13,2)), "M/d/yyyy")</f>
        <v>2/1/2023</v>
      </c>
      <c r="K13" s="14">
        <v>24</v>
      </c>
      <c r="L13" s="2" t="s">
        <v>58</v>
      </c>
      <c r="M13" s="14">
        <v>25</v>
      </c>
      <c r="N13" s="2">
        <v>25</v>
      </c>
    </row>
    <row r="14" spans="1:14" ht="14" x14ac:dyDescent="0.2">
      <c r="A14" t="s">
        <v>527</v>
      </c>
      <c r="B14" s="22">
        <v>20003537</v>
      </c>
      <c r="C14" s="14">
        <v>1</v>
      </c>
      <c r="D14" s="14">
        <v>943452674</v>
      </c>
      <c r="E14" s="2" t="s">
        <v>899</v>
      </c>
      <c r="F14" s="2">
        <v>0</v>
      </c>
      <c r="G14" s="14">
        <v>20250201</v>
      </c>
      <c r="H14" s="14" t="str">
        <f>TEXT(DATE(LEFT(G14,4), MID(G14,5,2), RIGHT(G14,2)), "M/d/yyyy")</f>
        <v>2/1/2025</v>
      </c>
      <c r="I14" s="14">
        <v>20240101</v>
      </c>
      <c r="J14" s="14" t="str">
        <f>TEXT(DATE(LEFT(I14,4), MID(I14,5,2), RIGHT(I14,2)), "M/d/yyyy")</f>
        <v>1/1/2024</v>
      </c>
      <c r="K14" s="14">
        <v>13</v>
      </c>
      <c r="L14" s="2" t="s">
        <v>58</v>
      </c>
      <c r="M14" s="14">
        <v>25</v>
      </c>
      <c r="N14" s="2">
        <v>25</v>
      </c>
    </row>
    <row r="15" spans="1:14" ht="14" x14ac:dyDescent="0.2">
      <c r="A15" t="s">
        <v>527</v>
      </c>
      <c r="B15" s="22">
        <v>20003537</v>
      </c>
      <c r="C15" s="14">
        <v>2</v>
      </c>
      <c r="D15" s="14">
        <v>925161195</v>
      </c>
      <c r="E15" s="2" t="s">
        <v>895</v>
      </c>
      <c r="F15" s="2">
        <v>0</v>
      </c>
      <c r="G15" s="14">
        <v>20250201</v>
      </c>
      <c r="H15" s="14" t="str">
        <f>TEXT(DATE(LEFT(G15,4), MID(G15,5,2), RIGHT(G15,2)), "M/d/yyyy")</f>
        <v>2/1/2025</v>
      </c>
      <c r="I15" s="14">
        <v>20240401</v>
      </c>
      <c r="J15" s="14" t="str">
        <f>TEXT(DATE(LEFT(I15,4), MID(I15,5,2), RIGHT(I15,2)), "M/d/yyyy")</f>
        <v>4/1/2024</v>
      </c>
      <c r="K15" s="14">
        <v>10</v>
      </c>
      <c r="L15" s="2" t="s">
        <v>58</v>
      </c>
      <c r="M15" s="14">
        <v>25</v>
      </c>
      <c r="N15" s="2">
        <v>50</v>
      </c>
    </row>
    <row r="16" spans="1:14" ht="14" x14ac:dyDescent="0.2">
      <c r="A16" t="s">
        <v>527</v>
      </c>
      <c r="B16" s="22">
        <v>20003537</v>
      </c>
      <c r="C16" s="14">
        <v>2</v>
      </c>
      <c r="D16" s="14">
        <v>925818695</v>
      </c>
      <c r="E16" s="2" t="s">
        <v>896</v>
      </c>
      <c r="F16" s="2">
        <v>0</v>
      </c>
      <c r="G16" s="14">
        <v>20250201</v>
      </c>
      <c r="H16" s="14" t="str">
        <f>TEXT(DATE(LEFT(G16,4), MID(G16,5,2), RIGHT(G16,2)), "M/d/yyyy")</f>
        <v>2/1/2025</v>
      </c>
      <c r="I16" s="14">
        <v>20230101</v>
      </c>
      <c r="J16" s="14" t="str">
        <f>TEXT(DATE(LEFT(I16,4), MID(I16,5,2), RIGHT(I16,2)), "M/d/yyyy")</f>
        <v>1/1/2023</v>
      </c>
      <c r="K16" s="14">
        <v>25</v>
      </c>
      <c r="L16" s="2" t="s">
        <v>58</v>
      </c>
      <c r="M16" s="14">
        <v>25</v>
      </c>
      <c r="N16" s="2">
        <v>50</v>
      </c>
    </row>
    <row r="17" spans="1:14" ht="14" x14ac:dyDescent="0.2">
      <c r="A17" t="s">
        <v>527</v>
      </c>
      <c r="B17" s="22">
        <v>20003537</v>
      </c>
      <c r="C17" s="14">
        <v>2</v>
      </c>
      <c r="D17" s="14">
        <v>925874824</v>
      </c>
      <c r="E17" s="2" t="s">
        <v>897</v>
      </c>
      <c r="F17" s="2">
        <v>0</v>
      </c>
      <c r="G17" s="14">
        <v>20250201</v>
      </c>
      <c r="H17" s="14" t="str">
        <f>TEXT(DATE(LEFT(G17,4), MID(G17,5,2), RIGHT(G17,2)), "M/d/yyyy")</f>
        <v>2/1/2025</v>
      </c>
      <c r="I17" s="14">
        <v>20230101</v>
      </c>
      <c r="J17" s="14" t="str">
        <f>TEXT(DATE(LEFT(I17,4), MID(I17,5,2), RIGHT(I17,2)), "M/d/yyyy")</f>
        <v>1/1/2023</v>
      </c>
      <c r="K17" s="14">
        <v>25</v>
      </c>
      <c r="L17" s="2" t="s">
        <v>58</v>
      </c>
      <c r="M17" s="14">
        <v>25</v>
      </c>
      <c r="N17" s="2">
        <v>50</v>
      </c>
    </row>
    <row r="18" spans="1:14" ht="14" x14ac:dyDescent="0.2">
      <c r="A18" t="s">
        <v>520</v>
      </c>
      <c r="B18" s="22">
        <v>9213293</v>
      </c>
      <c r="D18" s="14">
        <v>924114074</v>
      </c>
      <c r="E18" s="2" t="s">
        <v>885</v>
      </c>
      <c r="F18" s="2">
        <v>75.84</v>
      </c>
      <c r="G18" s="14">
        <v>20250201</v>
      </c>
      <c r="H18" s="14" t="str">
        <f>TEXT(DATE(LEFT(G18,4), MID(G18,5,2), RIGHT(G18,2)), "M/d/yyyy")</f>
        <v>2/1/2025</v>
      </c>
      <c r="I18" s="14">
        <v>20250101</v>
      </c>
      <c r="J18" s="14" t="str">
        <f>TEXT(DATE(LEFT(I18,4), MID(I18,5,2), RIGHT(I18,2)), "M/d/yyyy")</f>
        <v>1/1/2025</v>
      </c>
      <c r="K18" s="14">
        <v>40</v>
      </c>
      <c r="L18" s="2" t="s">
        <v>282</v>
      </c>
      <c r="M18" s="14">
        <v>0.04</v>
      </c>
      <c r="N18" s="2">
        <v>3.03</v>
      </c>
    </row>
    <row r="19" spans="1:14" ht="14" x14ac:dyDescent="0.2">
      <c r="A19" t="s">
        <v>520</v>
      </c>
      <c r="B19" s="22">
        <v>9213293</v>
      </c>
      <c r="C19" s="14">
        <v>1</v>
      </c>
      <c r="D19" s="14">
        <v>943170509</v>
      </c>
      <c r="E19" s="2" t="s">
        <v>886</v>
      </c>
      <c r="F19" s="2">
        <v>0</v>
      </c>
      <c r="G19" s="14">
        <v>20250201</v>
      </c>
      <c r="H19" s="14" t="str">
        <f>TEXT(DATE(LEFT(G19,4), MID(G19,5,2), RIGHT(G19,2)), "M/d/yyyy")</f>
        <v>2/1/2025</v>
      </c>
      <c r="I19" s="14">
        <v>20231101</v>
      </c>
      <c r="J19" s="14" t="str">
        <f>TEXT(DATE(LEFT(I19,4), MID(I19,5,2), RIGHT(I19,2)), "M/d/yyyy")</f>
        <v>11/1/2023</v>
      </c>
      <c r="K19" s="14">
        <v>15</v>
      </c>
      <c r="L19" s="2" t="s">
        <v>45</v>
      </c>
      <c r="M19" s="14">
        <v>20</v>
      </c>
      <c r="N19" s="2">
        <v>20</v>
      </c>
    </row>
    <row r="20" spans="1:14" ht="14" x14ac:dyDescent="0.2">
      <c r="A20" t="s">
        <v>520</v>
      </c>
      <c r="B20" s="22">
        <v>9213293</v>
      </c>
      <c r="C20" s="14">
        <v>1</v>
      </c>
      <c r="D20" s="14">
        <v>944006752</v>
      </c>
      <c r="E20" s="2" t="s">
        <v>887</v>
      </c>
      <c r="F20" s="2">
        <v>0</v>
      </c>
      <c r="G20" s="14">
        <v>20250201</v>
      </c>
      <c r="H20" s="14" t="str">
        <f>TEXT(DATE(LEFT(G20,4), MID(G20,5,2), RIGHT(G20,2)), "M/d/yyyy")</f>
        <v>2/1/2025</v>
      </c>
      <c r="I20" s="14">
        <v>20241001</v>
      </c>
      <c r="J20" s="14" t="str">
        <f>TEXT(DATE(LEFT(I20,4), MID(I20,5,2), RIGHT(I20,2)), "M/d/yyyy")</f>
        <v>10/1/2024</v>
      </c>
      <c r="K20" s="14">
        <v>4</v>
      </c>
      <c r="L20" s="2" t="s">
        <v>58</v>
      </c>
      <c r="M20" s="14">
        <v>25</v>
      </c>
      <c r="N20" s="2">
        <v>25</v>
      </c>
    </row>
    <row r="21" spans="1:14" ht="14" x14ac:dyDescent="0.2">
      <c r="A21" t="s">
        <v>520</v>
      </c>
      <c r="B21" s="22">
        <v>9213293</v>
      </c>
      <c r="C21" s="14">
        <v>2</v>
      </c>
      <c r="D21" s="14">
        <v>924114074</v>
      </c>
      <c r="E21" s="2" t="s">
        <v>885</v>
      </c>
      <c r="F21" s="2">
        <v>0</v>
      </c>
      <c r="G21" s="14">
        <v>20250201</v>
      </c>
      <c r="H21" s="14" t="str">
        <f>TEXT(DATE(LEFT(G21,4), MID(G21,5,2), RIGHT(G21,2)), "M/d/yyyy")</f>
        <v>2/1/2025</v>
      </c>
      <c r="I21" s="14">
        <v>20211001</v>
      </c>
      <c r="J21" s="14" t="str">
        <f>TEXT(DATE(LEFT(I21,4), MID(I21,5,2), RIGHT(I21,2)), "M/d/yyyy")</f>
        <v>10/1/2021</v>
      </c>
      <c r="K21" s="14">
        <v>40</v>
      </c>
      <c r="L21" s="2" t="s">
        <v>58</v>
      </c>
      <c r="M21" s="14">
        <v>25</v>
      </c>
      <c r="N21" s="2">
        <v>50</v>
      </c>
    </row>
    <row r="22" spans="1:14" ht="14" x14ac:dyDescent="0.2">
      <c r="A22" t="s">
        <v>530</v>
      </c>
      <c r="B22" s="22">
        <v>17094718</v>
      </c>
      <c r="C22" s="14">
        <v>1</v>
      </c>
      <c r="D22" s="14">
        <v>943813533</v>
      </c>
      <c r="E22" s="2" t="s">
        <v>904</v>
      </c>
      <c r="F22" s="2">
        <v>0</v>
      </c>
      <c r="G22" s="14">
        <v>20250201</v>
      </c>
      <c r="H22" s="14" t="str">
        <f>TEXT(DATE(LEFT(G22,4), MID(G22,5,2), RIGHT(G22,2)), "M/d/yyyy")</f>
        <v>2/1/2025</v>
      </c>
      <c r="I22" s="14">
        <v>20240501</v>
      </c>
      <c r="J22" s="14" t="str">
        <f>TEXT(DATE(LEFT(I22,4), MID(I22,5,2), RIGHT(I22,2)), "M/d/yyyy")</f>
        <v>5/1/2024</v>
      </c>
      <c r="K22" s="14">
        <v>9</v>
      </c>
      <c r="L22" s="2" t="s">
        <v>45</v>
      </c>
      <c r="M22" s="14">
        <v>20</v>
      </c>
      <c r="N22" s="2">
        <v>20</v>
      </c>
    </row>
    <row r="23" spans="1:14" x14ac:dyDescent="0.15">
      <c r="A23" t="s">
        <v>513</v>
      </c>
      <c r="B23" s="20">
        <v>8307933</v>
      </c>
      <c r="C23" s="2" t="s">
        <v>116</v>
      </c>
      <c r="D23" s="14">
        <v>925590704</v>
      </c>
      <c r="E23" s="2" t="s">
        <v>794</v>
      </c>
      <c r="F23" s="2">
        <v>0</v>
      </c>
      <c r="G23" s="14">
        <v>20250201</v>
      </c>
      <c r="H23" s="14" t="str">
        <f>TEXT(DATE(LEFT(G23,4), MID(G23,5,2), RIGHT(G23,2)), "M/d/yyyy")</f>
        <v>2/1/2025</v>
      </c>
      <c r="I23" s="14">
        <v>20250101</v>
      </c>
      <c r="J23" s="14" t="str">
        <f>TEXT(DATE(LEFT(I23,4), MID(I23,5,2), RIGHT(I23,2)), "M/d/yyyy")</f>
        <v>1/1/2025</v>
      </c>
      <c r="K23" s="14">
        <v>1</v>
      </c>
      <c r="L23" s="2" t="s">
        <v>58</v>
      </c>
      <c r="M23" s="14">
        <v>25</v>
      </c>
      <c r="N23" s="2">
        <v>-25</v>
      </c>
    </row>
    <row r="24" spans="1:14" x14ac:dyDescent="0.15">
      <c r="A24" t="s">
        <v>513</v>
      </c>
      <c r="B24" s="20">
        <v>8307933</v>
      </c>
      <c r="C24" s="14">
        <v>1</v>
      </c>
      <c r="D24" s="14">
        <v>943013126</v>
      </c>
      <c r="E24" s="2" t="s">
        <v>812</v>
      </c>
      <c r="F24" s="2">
        <v>0</v>
      </c>
      <c r="G24" s="14">
        <v>20250201</v>
      </c>
      <c r="H24" s="14" t="str">
        <f>TEXT(DATE(LEFT(G24,4), MID(G24,5,2), RIGHT(G24,2)), "M/d/yyyy")</f>
        <v>2/1/2025</v>
      </c>
      <c r="I24" s="14">
        <v>20210801</v>
      </c>
      <c r="J24" s="14" t="str">
        <f>TEXT(DATE(LEFT(I24,4), MID(I24,5,2), RIGHT(I24,2)), "M/d/yyyy")</f>
        <v>8/1/2021</v>
      </c>
      <c r="K24" s="14">
        <v>42</v>
      </c>
      <c r="L24" s="2" t="s">
        <v>45</v>
      </c>
      <c r="M24" s="14">
        <v>20</v>
      </c>
      <c r="N24" s="2">
        <v>20</v>
      </c>
    </row>
    <row r="25" spans="1:14" x14ac:dyDescent="0.15">
      <c r="A25" t="s">
        <v>513</v>
      </c>
      <c r="B25" s="20">
        <v>8307933</v>
      </c>
      <c r="C25" s="14">
        <v>1</v>
      </c>
      <c r="D25" s="14">
        <v>943285224</v>
      </c>
      <c r="E25" s="2" t="s">
        <v>818</v>
      </c>
      <c r="F25" s="2">
        <v>0</v>
      </c>
      <c r="G25" s="14">
        <v>20250201</v>
      </c>
      <c r="H25" s="14" t="str">
        <f>TEXT(DATE(LEFT(G25,4), MID(G25,5,2), RIGHT(G25,2)), "M/d/yyyy")</f>
        <v>2/1/2025</v>
      </c>
      <c r="I25" s="14">
        <v>20240101</v>
      </c>
      <c r="J25" s="14" t="str">
        <f>TEXT(DATE(LEFT(I25,4), MID(I25,5,2), RIGHT(I25,2)), "M/d/yyyy")</f>
        <v>1/1/2024</v>
      </c>
      <c r="K25" s="14">
        <v>13</v>
      </c>
      <c r="L25" s="2" t="s">
        <v>45</v>
      </c>
      <c r="M25" s="14">
        <v>20</v>
      </c>
      <c r="N25" s="2">
        <v>20</v>
      </c>
    </row>
    <row r="26" spans="1:14" x14ac:dyDescent="0.15">
      <c r="A26" t="s">
        <v>513</v>
      </c>
      <c r="B26" s="20">
        <v>8307933</v>
      </c>
      <c r="C26" s="14">
        <v>1</v>
      </c>
      <c r="D26" s="14">
        <v>893781602</v>
      </c>
      <c r="E26" s="2" t="s">
        <v>781</v>
      </c>
      <c r="F26" s="2">
        <v>0</v>
      </c>
      <c r="G26" s="14">
        <v>20250201</v>
      </c>
      <c r="H26" s="14" t="str">
        <f>TEXT(DATE(LEFT(G26,4), MID(G26,5,2), RIGHT(G26,2)), "M/d/yyyy")</f>
        <v>2/1/2025</v>
      </c>
      <c r="I26" s="14">
        <v>20241201</v>
      </c>
      <c r="J26" s="14" t="str">
        <f>TEXT(DATE(LEFT(I26,4), MID(I26,5,2), RIGHT(I26,2)), "M/d/yyyy")</f>
        <v>12/1/2024</v>
      </c>
      <c r="K26" s="14">
        <v>2</v>
      </c>
      <c r="L26" s="2" t="s">
        <v>58</v>
      </c>
      <c r="M26" s="14">
        <v>25</v>
      </c>
      <c r="N26" s="2">
        <v>25</v>
      </c>
    </row>
    <row r="27" spans="1:14" x14ac:dyDescent="0.15">
      <c r="A27" t="s">
        <v>513</v>
      </c>
      <c r="B27" s="20">
        <v>8307933</v>
      </c>
      <c r="C27" s="14">
        <v>1</v>
      </c>
      <c r="D27" s="14">
        <v>924941153</v>
      </c>
      <c r="E27" s="2" t="s">
        <v>784</v>
      </c>
      <c r="F27" s="2">
        <v>0</v>
      </c>
      <c r="G27" s="14">
        <v>20250201</v>
      </c>
      <c r="H27" s="14" t="str">
        <f>TEXT(DATE(LEFT(G27,4), MID(G27,5,2), RIGHT(G27,2)), "M/d/yyyy")</f>
        <v>2/1/2025</v>
      </c>
      <c r="I27" s="14">
        <v>20240501</v>
      </c>
      <c r="J27" s="14" t="str">
        <f>TEXT(DATE(LEFT(I27,4), MID(I27,5,2), RIGHT(I27,2)), "M/d/yyyy")</f>
        <v>5/1/2024</v>
      </c>
      <c r="K27" s="14">
        <v>9</v>
      </c>
      <c r="L27" s="2" t="s">
        <v>58</v>
      </c>
      <c r="M27" s="14">
        <v>25</v>
      </c>
      <c r="N27" s="2">
        <v>25</v>
      </c>
    </row>
    <row r="28" spans="1:14" x14ac:dyDescent="0.15">
      <c r="A28" t="s">
        <v>513</v>
      </c>
      <c r="B28" s="20">
        <v>8307933</v>
      </c>
      <c r="C28" s="14">
        <v>1</v>
      </c>
      <c r="D28" s="14">
        <v>925145455</v>
      </c>
      <c r="E28" s="2" t="s">
        <v>786</v>
      </c>
      <c r="F28" s="2">
        <v>0</v>
      </c>
      <c r="G28" s="14">
        <v>20250201</v>
      </c>
      <c r="H28" s="14" t="str">
        <f>TEXT(DATE(LEFT(G28,4), MID(G28,5,2), RIGHT(G28,2)), "M/d/yyyy")</f>
        <v>2/1/2025</v>
      </c>
      <c r="I28" s="14">
        <v>20220101</v>
      </c>
      <c r="J28" s="14" t="str">
        <f>TEXT(DATE(LEFT(I28,4), MID(I28,5,2), RIGHT(I28,2)), "M/d/yyyy")</f>
        <v>1/1/2022</v>
      </c>
      <c r="K28" s="14">
        <v>37</v>
      </c>
      <c r="L28" s="2" t="s">
        <v>58</v>
      </c>
      <c r="M28" s="14">
        <v>25</v>
      </c>
      <c r="N28" s="2">
        <v>25</v>
      </c>
    </row>
    <row r="29" spans="1:14" x14ac:dyDescent="0.15">
      <c r="A29" t="s">
        <v>513</v>
      </c>
      <c r="B29" s="20">
        <v>8307933</v>
      </c>
      <c r="C29" s="14">
        <v>1</v>
      </c>
      <c r="D29" s="14">
        <v>925159707</v>
      </c>
      <c r="E29" s="2" t="s">
        <v>787</v>
      </c>
      <c r="F29" s="2">
        <v>0</v>
      </c>
      <c r="G29" s="14">
        <v>20250201</v>
      </c>
      <c r="H29" s="14" t="str">
        <f>TEXT(DATE(LEFT(G29,4), MID(G29,5,2), RIGHT(G29,2)), "M/d/yyyy")</f>
        <v>2/1/2025</v>
      </c>
      <c r="I29" s="14">
        <v>20170601</v>
      </c>
      <c r="J29" s="14" t="str">
        <f>TEXT(DATE(LEFT(I29,4), MID(I29,5,2), RIGHT(I29,2)), "M/d/yyyy")</f>
        <v>6/1/2017</v>
      </c>
      <c r="K29" s="14">
        <v>92</v>
      </c>
      <c r="L29" s="2" t="s">
        <v>58</v>
      </c>
      <c r="M29" s="14">
        <v>25</v>
      </c>
      <c r="N29" s="2">
        <v>25</v>
      </c>
    </row>
    <row r="30" spans="1:14" x14ac:dyDescent="0.15">
      <c r="A30" t="s">
        <v>513</v>
      </c>
      <c r="B30" s="20">
        <v>8307933</v>
      </c>
      <c r="C30" s="14">
        <v>1</v>
      </c>
      <c r="D30" s="14">
        <v>925319540</v>
      </c>
      <c r="E30" s="2" t="s">
        <v>789</v>
      </c>
      <c r="F30" s="2">
        <v>0</v>
      </c>
      <c r="G30" s="14">
        <v>20250201</v>
      </c>
      <c r="H30" s="14" t="str">
        <f>TEXT(DATE(LEFT(G30,4), MID(G30,5,2), RIGHT(G30,2)), "M/d/yyyy")</f>
        <v>2/1/2025</v>
      </c>
      <c r="I30" s="14">
        <v>20190601</v>
      </c>
      <c r="J30" s="14" t="str">
        <f>TEXT(DATE(LEFT(I30,4), MID(I30,5,2), RIGHT(I30,2)), "M/d/yyyy")</f>
        <v>6/1/2019</v>
      </c>
      <c r="K30" s="14">
        <v>68</v>
      </c>
      <c r="L30" s="2" t="s">
        <v>58</v>
      </c>
      <c r="M30" s="14">
        <v>25</v>
      </c>
      <c r="N30" s="2">
        <v>25</v>
      </c>
    </row>
    <row r="31" spans="1:14" x14ac:dyDescent="0.15">
      <c r="A31" t="s">
        <v>513</v>
      </c>
      <c r="B31" s="20">
        <v>8307933</v>
      </c>
      <c r="C31" s="14">
        <v>1</v>
      </c>
      <c r="D31" s="14">
        <v>925449446</v>
      </c>
      <c r="E31" s="2" t="s">
        <v>791</v>
      </c>
      <c r="F31" s="2">
        <v>0</v>
      </c>
      <c r="G31" s="14">
        <v>20250201</v>
      </c>
      <c r="H31" s="14" t="str">
        <f>TEXT(DATE(LEFT(G31,4), MID(G31,5,2), RIGHT(G31,2)), "M/d/yyyy")</f>
        <v>2/1/2025</v>
      </c>
      <c r="I31" s="14">
        <v>20210101</v>
      </c>
      <c r="J31" s="14" t="str">
        <f>TEXT(DATE(LEFT(I31,4), MID(I31,5,2), RIGHT(I31,2)), "M/d/yyyy")</f>
        <v>1/1/2021</v>
      </c>
      <c r="K31" s="14">
        <v>49</v>
      </c>
      <c r="L31" s="2" t="s">
        <v>58</v>
      </c>
      <c r="M31" s="14">
        <v>25</v>
      </c>
      <c r="N31" s="2">
        <v>25</v>
      </c>
    </row>
    <row r="32" spans="1:14" x14ac:dyDescent="0.15">
      <c r="A32" t="s">
        <v>513</v>
      </c>
      <c r="B32" s="20">
        <v>8307933</v>
      </c>
      <c r="C32" s="14">
        <v>1</v>
      </c>
      <c r="D32" s="14">
        <v>925486861</v>
      </c>
      <c r="E32" s="2" t="s">
        <v>792</v>
      </c>
      <c r="F32" s="2">
        <v>0</v>
      </c>
      <c r="G32" s="14">
        <v>20250201</v>
      </c>
      <c r="H32" s="14" t="str">
        <f>TEXT(DATE(LEFT(G32,4), MID(G32,5,2), RIGHT(G32,2)), "M/d/yyyy")</f>
        <v>2/1/2025</v>
      </c>
      <c r="I32" s="14">
        <v>20210101</v>
      </c>
      <c r="J32" s="14" t="str">
        <f>TEXT(DATE(LEFT(I32,4), MID(I32,5,2), RIGHT(I32,2)), "M/d/yyyy")</f>
        <v>1/1/2021</v>
      </c>
      <c r="K32" s="14">
        <v>49</v>
      </c>
      <c r="L32" s="2" t="s">
        <v>58</v>
      </c>
      <c r="M32" s="14">
        <v>25</v>
      </c>
      <c r="N32" s="2">
        <v>25</v>
      </c>
    </row>
    <row r="33" spans="1:14" x14ac:dyDescent="0.15">
      <c r="A33" t="s">
        <v>513</v>
      </c>
      <c r="B33" s="20">
        <v>8307933</v>
      </c>
      <c r="C33" s="14">
        <v>1</v>
      </c>
      <c r="D33" s="14">
        <v>925562559</v>
      </c>
      <c r="E33" s="2" t="s">
        <v>793</v>
      </c>
      <c r="F33" s="2">
        <v>0</v>
      </c>
      <c r="G33" s="14">
        <v>20250201</v>
      </c>
      <c r="H33" s="14" t="str">
        <f>TEXT(DATE(LEFT(G33,4), MID(G33,5,2), RIGHT(G33,2)), "M/d/yyyy")</f>
        <v>2/1/2025</v>
      </c>
      <c r="I33" s="14">
        <v>20210701</v>
      </c>
      <c r="J33" s="14" t="str">
        <f>TEXT(DATE(LEFT(I33,4), MID(I33,5,2), RIGHT(I33,2)), "M/d/yyyy")</f>
        <v>7/1/2021</v>
      </c>
      <c r="K33" s="14">
        <v>43</v>
      </c>
      <c r="L33" s="2" t="s">
        <v>58</v>
      </c>
      <c r="M33" s="14">
        <v>25</v>
      </c>
      <c r="N33" s="2">
        <v>25</v>
      </c>
    </row>
    <row r="34" spans="1:14" x14ac:dyDescent="0.15">
      <c r="A34" t="s">
        <v>513</v>
      </c>
      <c r="B34" s="20">
        <v>8307933</v>
      </c>
      <c r="C34" s="14">
        <v>1</v>
      </c>
      <c r="D34" s="14">
        <v>925599337</v>
      </c>
      <c r="E34" s="2" t="s">
        <v>795</v>
      </c>
      <c r="F34" s="2">
        <v>0</v>
      </c>
      <c r="G34" s="14">
        <v>20250201</v>
      </c>
      <c r="H34" s="14" t="str">
        <f>TEXT(DATE(LEFT(G34,4), MID(G34,5,2), RIGHT(G34,2)), "M/d/yyyy")</f>
        <v>2/1/2025</v>
      </c>
      <c r="I34" s="14">
        <v>20220101</v>
      </c>
      <c r="J34" s="14" t="str">
        <f>TEXT(DATE(LEFT(I34,4), MID(I34,5,2), RIGHT(I34,2)), "M/d/yyyy")</f>
        <v>1/1/2022</v>
      </c>
      <c r="K34" s="14">
        <v>37</v>
      </c>
      <c r="L34" s="2" t="s">
        <v>58</v>
      </c>
      <c r="M34" s="14">
        <v>25</v>
      </c>
      <c r="N34" s="2">
        <v>25</v>
      </c>
    </row>
    <row r="35" spans="1:14" x14ac:dyDescent="0.15">
      <c r="A35" t="s">
        <v>513</v>
      </c>
      <c r="B35" s="20">
        <v>8307933</v>
      </c>
      <c r="C35" s="14">
        <v>1</v>
      </c>
      <c r="D35" s="14">
        <v>925603148</v>
      </c>
      <c r="E35" s="2" t="s">
        <v>796</v>
      </c>
      <c r="F35" s="2">
        <v>0</v>
      </c>
      <c r="G35" s="14">
        <v>20250201</v>
      </c>
      <c r="H35" s="14" t="str">
        <f>TEXT(DATE(LEFT(G35,4), MID(G35,5,2), RIGHT(G35,2)), "M/d/yyyy")</f>
        <v>2/1/2025</v>
      </c>
      <c r="I35" s="14">
        <v>20220101</v>
      </c>
      <c r="J35" s="14" t="str">
        <f>TEXT(DATE(LEFT(I35,4), MID(I35,5,2), RIGHT(I35,2)), "M/d/yyyy")</f>
        <v>1/1/2022</v>
      </c>
      <c r="K35" s="14">
        <v>37</v>
      </c>
      <c r="L35" s="2" t="s">
        <v>58</v>
      </c>
      <c r="M35" s="14">
        <v>25</v>
      </c>
      <c r="N35" s="2">
        <v>25</v>
      </c>
    </row>
    <row r="36" spans="1:14" x14ac:dyDescent="0.15">
      <c r="A36" t="s">
        <v>513</v>
      </c>
      <c r="B36" s="20">
        <v>8307933</v>
      </c>
      <c r="C36" s="14">
        <v>1</v>
      </c>
      <c r="D36" s="14">
        <v>925849065</v>
      </c>
      <c r="E36" s="2" t="s">
        <v>803</v>
      </c>
      <c r="F36" s="2">
        <v>0</v>
      </c>
      <c r="G36" s="14">
        <v>20250201</v>
      </c>
      <c r="H36" s="14" t="str">
        <f>TEXT(DATE(LEFT(G36,4), MID(G36,5,2), RIGHT(G36,2)), "M/d/yyyy")</f>
        <v>2/1/2025</v>
      </c>
      <c r="I36" s="14">
        <v>20230101</v>
      </c>
      <c r="J36" s="14" t="str">
        <f>TEXT(DATE(LEFT(I36,4), MID(I36,5,2), RIGHT(I36,2)), "M/d/yyyy")</f>
        <v>1/1/2023</v>
      </c>
      <c r="K36" s="14">
        <v>25</v>
      </c>
      <c r="L36" s="2" t="s">
        <v>58</v>
      </c>
      <c r="M36" s="14">
        <v>25</v>
      </c>
      <c r="N36" s="2">
        <v>25</v>
      </c>
    </row>
    <row r="37" spans="1:14" x14ac:dyDescent="0.15">
      <c r="A37" t="s">
        <v>513</v>
      </c>
      <c r="B37" s="20">
        <v>8307933</v>
      </c>
      <c r="C37" s="14">
        <v>1</v>
      </c>
      <c r="D37" s="14">
        <v>925898517</v>
      </c>
      <c r="E37" s="2" t="s">
        <v>806</v>
      </c>
      <c r="F37" s="2">
        <v>0</v>
      </c>
      <c r="G37" s="14">
        <v>20250201</v>
      </c>
      <c r="H37" s="14" t="str">
        <f>TEXT(DATE(LEFT(G37,4), MID(G37,5,2), RIGHT(G37,2)), "M/d/yyyy")</f>
        <v>2/1/2025</v>
      </c>
      <c r="I37" s="14">
        <v>20230201</v>
      </c>
      <c r="J37" s="14" t="str">
        <f>TEXT(DATE(LEFT(I37,4), MID(I37,5,2), RIGHT(I37,2)), "M/d/yyyy")</f>
        <v>2/1/2023</v>
      </c>
      <c r="K37" s="14">
        <v>24</v>
      </c>
      <c r="L37" s="2" t="s">
        <v>58</v>
      </c>
      <c r="M37" s="14">
        <v>25</v>
      </c>
      <c r="N37" s="2">
        <v>25</v>
      </c>
    </row>
    <row r="38" spans="1:14" x14ac:dyDescent="0.15">
      <c r="A38" t="s">
        <v>513</v>
      </c>
      <c r="B38" s="20">
        <v>8307933</v>
      </c>
      <c r="C38" s="14">
        <v>1</v>
      </c>
      <c r="D38" s="14">
        <v>925949016</v>
      </c>
      <c r="E38" s="2" t="s">
        <v>808</v>
      </c>
      <c r="F38" s="2">
        <v>0</v>
      </c>
      <c r="G38" s="14">
        <v>20250201</v>
      </c>
      <c r="H38" s="14" t="str">
        <f>TEXT(DATE(LEFT(G38,4), MID(G38,5,2), RIGHT(G38,2)), "M/d/yyyy")</f>
        <v>2/1/2025</v>
      </c>
      <c r="I38" s="14">
        <v>20230301</v>
      </c>
      <c r="J38" s="14" t="str">
        <f>TEXT(DATE(LEFT(I38,4), MID(I38,5,2), RIGHT(I38,2)), "M/d/yyyy")</f>
        <v>3/1/2023</v>
      </c>
      <c r="K38" s="14">
        <v>23</v>
      </c>
      <c r="L38" s="2" t="s">
        <v>58</v>
      </c>
      <c r="M38" s="14">
        <v>25</v>
      </c>
      <c r="N38" s="2">
        <v>25</v>
      </c>
    </row>
    <row r="39" spans="1:14" x14ac:dyDescent="0.15">
      <c r="A39" t="s">
        <v>513</v>
      </c>
      <c r="B39" s="20">
        <v>8307933</v>
      </c>
      <c r="C39" s="14">
        <v>1</v>
      </c>
      <c r="D39" s="14">
        <v>925949720</v>
      </c>
      <c r="E39" s="2" t="s">
        <v>809</v>
      </c>
      <c r="F39" s="2">
        <v>0</v>
      </c>
      <c r="G39" s="14">
        <v>20250201</v>
      </c>
      <c r="H39" s="14" t="str">
        <f>TEXT(DATE(LEFT(G39,4), MID(G39,5,2), RIGHT(G39,2)), "M/d/yyyy")</f>
        <v>2/1/2025</v>
      </c>
      <c r="I39" s="14">
        <v>20230301</v>
      </c>
      <c r="J39" s="14" t="str">
        <f>TEXT(DATE(LEFT(I39,4), MID(I39,5,2), RIGHT(I39,2)), "M/d/yyyy")</f>
        <v>3/1/2023</v>
      </c>
      <c r="K39" s="14">
        <v>23</v>
      </c>
      <c r="L39" s="2" t="s">
        <v>58</v>
      </c>
      <c r="M39" s="14">
        <v>25</v>
      </c>
      <c r="N39" s="2">
        <v>25</v>
      </c>
    </row>
    <row r="40" spans="1:14" x14ac:dyDescent="0.15">
      <c r="A40" t="s">
        <v>513</v>
      </c>
      <c r="B40" s="20">
        <v>8307933</v>
      </c>
      <c r="C40" s="14">
        <v>1</v>
      </c>
      <c r="D40" s="14">
        <v>943035272</v>
      </c>
      <c r="E40" s="2" t="s">
        <v>813</v>
      </c>
      <c r="F40" s="2">
        <v>0</v>
      </c>
      <c r="G40" s="14">
        <v>20250201</v>
      </c>
      <c r="H40" s="14" t="str">
        <f>TEXT(DATE(LEFT(G40,4), MID(G40,5,2), RIGHT(G40,2)), "M/d/yyyy")</f>
        <v>2/1/2025</v>
      </c>
      <c r="I40" s="14">
        <v>20220301</v>
      </c>
      <c r="J40" s="14" t="str">
        <f>TEXT(DATE(LEFT(I40,4), MID(I40,5,2), RIGHT(I40,2)), "M/d/yyyy")</f>
        <v>3/1/2022</v>
      </c>
      <c r="K40" s="14">
        <v>35</v>
      </c>
      <c r="L40" s="2" t="s">
        <v>58</v>
      </c>
      <c r="M40" s="14">
        <v>25</v>
      </c>
      <c r="N40" s="2">
        <v>25</v>
      </c>
    </row>
    <row r="41" spans="1:14" x14ac:dyDescent="0.15">
      <c r="A41" t="s">
        <v>513</v>
      </c>
      <c r="B41" s="20">
        <v>8307933</v>
      </c>
      <c r="C41" s="14">
        <v>1</v>
      </c>
      <c r="D41" s="14">
        <v>943045439</v>
      </c>
      <c r="E41" s="2" t="s">
        <v>814</v>
      </c>
      <c r="F41" s="2">
        <v>0</v>
      </c>
      <c r="G41" s="14">
        <v>20250201</v>
      </c>
      <c r="H41" s="14" t="str">
        <f>TEXT(DATE(LEFT(G41,4), MID(G41,5,2), RIGHT(G41,2)), "M/d/yyyy")</f>
        <v>2/1/2025</v>
      </c>
      <c r="I41" s="14">
        <v>20230601</v>
      </c>
      <c r="J41" s="14" t="str">
        <f>TEXT(DATE(LEFT(I41,4), MID(I41,5,2), RIGHT(I41,2)), "M/d/yyyy")</f>
        <v>6/1/2023</v>
      </c>
      <c r="K41" s="14">
        <v>20</v>
      </c>
      <c r="L41" s="2" t="s">
        <v>58</v>
      </c>
      <c r="M41" s="14">
        <v>25</v>
      </c>
      <c r="N41" s="2">
        <v>25</v>
      </c>
    </row>
    <row r="42" spans="1:14" x14ac:dyDescent="0.15">
      <c r="A42" t="s">
        <v>513</v>
      </c>
      <c r="B42" s="20">
        <v>8307933</v>
      </c>
      <c r="C42" s="14">
        <v>1</v>
      </c>
      <c r="D42" s="14">
        <v>943137766</v>
      </c>
      <c r="E42" s="2" t="s">
        <v>815</v>
      </c>
      <c r="F42" s="2">
        <v>0</v>
      </c>
      <c r="G42" s="14">
        <v>20250201</v>
      </c>
      <c r="H42" s="14" t="str">
        <f>TEXT(DATE(LEFT(G42,4), MID(G42,5,2), RIGHT(G42,2)), "M/d/yyyy")</f>
        <v>2/1/2025</v>
      </c>
      <c r="I42" s="14">
        <v>20231001</v>
      </c>
      <c r="J42" s="14" t="str">
        <f>TEXT(DATE(LEFT(I42,4), MID(I42,5,2), RIGHT(I42,2)), "M/d/yyyy")</f>
        <v>10/1/2023</v>
      </c>
      <c r="K42" s="14">
        <v>16</v>
      </c>
      <c r="L42" s="2" t="s">
        <v>58</v>
      </c>
      <c r="M42" s="14">
        <v>25</v>
      </c>
      <c r="N42" s="2">
        <v>25</v>
      </c>
    </row>
    <row r="43" spans="1:14" x14ac:dyDescent="0.15">
      <c r="A43" t="s">
        <v>513</v>
      </c>
      <c r="B43" s="20">
        <v>8307933</v>
      </c>
      <c r="C43" s="14">
        <v>1</v>
      </c>
      <c r="D43" s="14">
        <v>943169327</v>
      </c>
      <c r="E43" s="2" t="s">
        <v>816</v>
      </c>
      <c r="F43" s="2">
        <v>0</v>
      </c>
      <c r="G43" s="14">
        <v>20250201</v>
      </c>
      <c r="H43" s="14" t="str">
        <f>TEXT(DATE(LEFT(G43,4), MID(G43,5,2), RIGHT(G43,2)), "M/d/yyyy")</f>
        <v>2/1/2025</v>
      </c>
      <c r="I43" s="14">
        <v>20231101</v>
      </c>
      <c r="J43" s="14" t="str">
        <f>TEXT(DATE(LEFT(I43,4), MID(I43,5,2), RIGHT(I43,2)), "M/d/yyyy")</f>
        <v>11/1/2023</v>
      </c>
      <c r="K43" s="14">
        <v>15</v>
      </c>
      <c r="L43" s="2" t="s">
        <v>58</v>
      </c>
      <c r="M43" s="14">
        <v>25</v>
      </c>
      <c r="N43" s="2">
        <v>25</v>
      </c>
    </row>
    <row r="44" spans="1:14" x14ac:dyDescent="0.15">
      <c r="A44" t="s">
        <v>513</v>
      </c>
      <c r="B44" s="20">
        <v>8307933</v>
      </c>
      <c r="C44" s="14">
        <v>1</v>
      </c>
      <c r="D44" s="14">
        <v>943273702</v>
      </c>
      <c r="E44" s="2" t="s">
        <v>817</v>
      </c>
      <c r="F44" s="2">
        <v>0</v>
      </c>
      <c r="G44" s="14">
        <v>20250201</v>
      </c>
      <c r="H44" s="14" t="str">
        <f>TEXT(DATE(LEFT(G44,4), MID(G44,5,2), RIGHT(G44,2)), "M/d/yyyy")</f>
        <v>2/1/2025</v>
      </c>
      <c r="I44" s="14">
        <v>20231201</v>
      </c>
      <c r="J44" s="14" t="str">
        <f>TEXT(DATE(LEFT(I44,4), MID(I44,5,2), RIGHT(I44,2)), "M/d/yyyy")</f>
        <v>12/1/2023</v>
      </c>
      <c r="K44" s="14">
        <v>14</v>
      </c>
      <c r="L44" s="2" t="s">
        <v>58</v>
      </c>
      <c r="M44" s="14">
        <v>25</v>
      </c>
      <c r="N44" s="2">
        <v>25</v>
      </c>
    </row>
    <row r="45" spans="1:14" x14ac:dyDescent="0.15">
      <c r="A45" t="s">
        <v>513</v>
      </c>
      <c r="B45" s="20">
        <v>8307933</v>
      </c>
      <c r="C45" s="14">
        <v>1</v>
      </c>
      <c r="D45" s="14">
        <v>943372637</v>
      </c>
      <c r="E45" s="2" t="s">
        <v>819</v>
      </c>
      <c r="F45" s="2">
        <v>0</v>
      </c>
      <c r="G45" s="14">
        <v>20250201</v>
      </c>
      <c r="H45" s="14" t="str">
        <f>TEXT(DATE(LEFT(G45,4), MID(G45,5,2), RIGHT(G45,2)), "M/d/yyyy")</f>
        <v>2/1/2025</v>
      </c>
      <c r="I45" s="14">
        <v>20240101</v>
      </c>
      <c r="J45" s="14" t="str">
        <f>TEXT(DATE(LEFT(I45,4), MID(I45,5,2), RIGHT(I45,2)), "M/d/yyyy")</f>
        <v>1/1/2024</v>
      </c>
      <c r="K45" s="14">
        <v>13</v>
      </c>
      <c r="L45" s="2" t="s">
        <v>58</v>
      </c>
      <c r="M45" s="14">
        <v>25</v>
      </c>
      <c r="N45" s="2">
        <v>25</v>
      </c>
    </row>
    <row r="46" spans="1:14" x14ac:dyDescent="0.15">
      <c r="A46" t="s">
        <v>513</v>
      </c>
      <c r="B46" s="20">
        <v>8307933</v>
      </c>
      <c r="C46" s="14">
        <v>1</v>
      </c>
      <c r="D46" s="14">
        <v>943435843</v>
      </c>
      <c r="E46" s="2" t="s">
        <v>820</v>
      </c>
      <c r="F46" s="2">
        <v>0</v>
      </c>
      <c r="G46" s="14">
        <v>20250201</v>
      </c>
      <c r="H46" s="14" t="str">
        <f>TEXT(DATE(LEFT(G46,4), MID(G46,5,2), RIGHT(G46,2)), "M/d/yyyy")</f>
        <v>2/1/2025</v>
      </c>
      <c r="I46" s="14">
        <v>20240101</v>
      </c>
      <c r="J46" s="14" t="str">
        <f>TEXT(DATE(LEFT(I46,4), MID(I46,5,2), RIGHT(I46,2)), "M/d/yyyy")</f>
        <v>1/1/2024</v>
      </c>
      <c r="K46" s="14">
        <v>13</v>
      </c>
      <c r="L46" s="2" t="s">
        <v>58</v>
      </c>
      <c r="M46" s="14">
        <v>25</v>
      </c>
      <c r="N46" s="2">
        <v>25</v>
      </c>
    </row>
    <row r="47" spans="1:14" x14ac:dyDescent="0.15">
      <c r="A47" t="s">
        <v>513</v>
      </c>
      <c r="B47" s="20">
        <v>8307933</v>
      </c>
      <c r="C47" s="14">
        <v>1</v>
      </c>
      <c r="D47" s="14">
        <v>943494724</v>
      </c>
      <c r="E47" s="2" t="s">
        <v>821</v>
      </c>
      <c r="F47" s="2">
        <v>0</v>
      </c>
      <c r="G47" s="14">
        <v>20250201</v>
      </c>
      <c r="H47" s="14" t="str">
        <f>TEXT(DATE(LEFT(G47,4), MID(G47,5,2), RIGHT(G47,2)), "M/d/yyyy")</f>
        <v>2/1/2025</v>
      </c>
      <c r="I47" s="14">
        <v>20240101</v>
      </c>
      <c r="J47" s="14" t="str">
        <f>TEXT(DATE(LEFT(I47,4), MID(I47,5,2), RIGHT(I47,2)), "M/d/yyyy")</f>
        <v>1/1/2024</v>
      </c>
      <c r="K47" s="14">
        <v>13</v>
      </c>
      <c r="L47" s="2" t="s">
        <v>58</v>
      </c>
      <c r="M47" s="14">
        <v>25</v>
      </c>
      <c r="N47" s="2">
        <v>25</v>
      </c>
    </row>
    <row r="48" spans="1:14" x14ac:dyDescent="0.15">
      <c r="A48" t="s">
        <v>513</v>
      </c>
      <c r="B48" s="20">
        <v>8307933</v>
      </c>
      <c r="C48" s="14">
        <v>2</v>
      </c>
      <c r="D48" s="14">
        <v>924519406</v>
      </c>
      <c r="E48" s="2" t="s">
        <v>783</v>
      </c>
      <c r="F48" s="2">
        <v>0</v>
      </c>
      <c r="G48" s="14">
        <v>20250201</v>
      </c>
      <c r="H48" s="14" t="str">
        <f>TEXT(DATE(LEFT(G48,4), MID(G48,5,2), RIGHT(G48,2)), "M/d/yyyy")</f>
        <v>2/1/2025</v>
      </c>
      <c r="I48" s="14">
        <v>20230101</v>
      </c>
      <c r="J48" s="14" t="str">
        <f>TEXT(DATE(LEFT(I48,4), MID(I48,5,2), RIGHT(I48,2)), "M/d/yyyy")</f>
        <v>1/1/2023</v>
      </c>
      <c r="K48" s="14">
        <v>25</v>
      </c>
      <c r="L48" s="2" t="s">
        <v>58</v>
      </c>
      <c r="M48" s="14">
        <v>25</v>
      </c>
      <c r="N48" s="2">
        <v>50</v>
      </c>
    </row>
    <row r="49" spans="1:14" x14ac:dyDescent="0.15">
      <c r="A49" t="s">
        <v>513</v>
      </c>
      <c r="B49" s="20">
        <v>8307933</v>
      </c>
      <c r="C49" s="14">
        <v>2</v>
      </c>
      <c r="D49" s="14">
        <v>924992747</v>
      </c>
      <c r="E49" s="2" t="s">
        <v>785</v>
      </c>
      <c r="F49" s="2">
        <v>0</v>
      </c>
      <c r="G49" s="14">
        <v>20250201</v>
      </c>
      <c r="H49" s="14" t="str">
        <f>TEXT(DATE(LEFT(G49,4), MID(G49,5,2), RIGHT(G49,2)), "M/d/yyyy")</f>
        <v>2/1/2025</v>
      </c>
      <c r="I49" s="14">
        <v>20230401</v>
      </c>
      <c r="J49" s="14" t="str">
        <f>TEXT(DATE(LEFT(I49,4), MID(I49,5,2), RIGHT(I49,2)), "M/d/yyyy")</f>
        <v>4/1/2023</v>
      </c>
      <c r="K49" s="14">
        <v>22</v>
      </c>
      <c r="L49" s="2" t="s">
        <v>58</v>
      </c>
      <c r="M49" s="14">
        <v>25</v>
      </c>
      <c r="N49" s="2">
        <v>50</v>
      </c>
    </row>
    <row r="50" spans="1:14" x14ac:dyDescent="0.15">
      <c r="A50" t="s">
        <v>513</v>
      </c>
      <c r="B50" s="20">
        <v>8307933</v>
      </c>
      <c r="C50" s="14">
        <v>2</v>
      </c>
      <c r="D50" s="14">
        <v>925172464</v>
      </c>
      <c r="E50" s="2" t="s">
        <v>788</v>
      </c>
      <c r="F50" s="2">
        <v>0</v>
      </c>
      <c r="G50" s="14">
        <v>20250201</v>
      </c>
      <c r="H50" s="14" t="str">
        <f>TEXT(DATE(LEFT(G50,4), MID(G50,5,2), RIGHT(G50,2)), "M/d/yyyy")</f>
        <v>2/1/2025</v>
      </c>
      <c r="I50" s="14">
        <v>20210101</v>
      </c>
      <c r="J50" s="14" t="str">
        <f>TEXT(DATE(LEFT(I50,4), MID(I50,5,2), RIGHT(I50,2)), "M/d/yyyy")</f>
        <v>1/1/2021</v>
      </c>
      <c r="K50" s="14">
        <v>49</v>
      </c>
      <c r="L50" s="2" t="s">
        <v>58</v>
      </c>
      <c r="M50" s="14">
        <v>25</v>
      </c>
      <c r="N50" s="2">
        <v>50</v>
      </c>
    </row>
    <row r="51" spans="1:14" x14ac:dyDescent="0.15">
      <c r="A51" t="s">
        <v>513</v>
      </c>
      <c r="B51" s="20">
        <v>8307933</v>
      </c>
      <c r="C51" s="14">
        <v>2</v>
      </c>
      <c r="D51" s="14">
        <v>925432854</v>
      </c>
      <c r="E51" s="2" t="s">
        <v>790</v>
      </c>
      <c r="F51" s="2">
        <v>0</v>
      </c>
      <c r="G51" s="14">
        <v>20250201</v>
      </c>
      <c r="H51" s="14" t="str">
        <f>TEXT(DATE(LEFT(G51,4), MID(G51,5,2), RIGHT(G51,2)), "M/d/yyyy")</f>
        <v>2/1/2025</v>
      </c>
      <c r="I51" s="14">
        <v>20210101</v>
      </c>
      <c r="J51" s="14" t="str">
        <f>TEXT(DATE(LEFT(I51,4), MID(I51,5,2), RIGHT(I51,2)), "M/d/yyyy")</f>
        <v>1/1/2021</v>
      </c>
      <c r="K51" s="14">
        <v>49</v>
      </c>
      <c r="L51" s="2" t="s">
        <v>58</v>
      </c>
      <c r="M51" s="14">
        <v>25</v>
      </c>
      <c r="N51" s="2">
        <v>50</v>
      </c>
    </row>
    <row r="52" spans="1:14" x14ac:dyDescent="0.15">
      <c r="A52" t="s">
        <v>513</v>
      </c>
      <c r="B52" s="20">
        <v>8307933</v>
      </c>
      <c r="C52" s="14">
        <v>2</v>
      </c>
      <c r="D52" s="14">
        <v>925713018</v>
      </c>
      <c r="E52" s="2" t="s">
        <v>799</v>
      </c>
      <c r="F52" s="2">
        <v>0</v>
      </c>
      <c r="G52" s="14">
        <v>20250201</v>
      </c>
      <c r="H52" s="14" t="str">
        <f>TEXT(DATE(LEFT(G52,4), MID(G52,5,2), RIGHT(G52,2)), "M/d/yyyy")</f>
        <v>2/1/2025</v>
      </c>
      <c r="I52" s="14">
        <v>20220701</v>
      </c>
      <c r="J52" s="14" t="str">
        <f>TEXT(DATE(LEFT(I52,4), MID(I52,5,2), RIGHT(I52,2)), "M/d/yyyy")</f>
        <v>7/1/2022</v>
      </c>
      <c r="K52" s="14">
        <v>31</v>
      </c>
      <c r="L52" s="2" t="s">
        <v>58</v>
      </c>
      <c r="M52" s="14">
        <v>25</v>
      </c>
      <c r="N52" s="2">
        <v>50</v>
      </c>
    </row>
    <row r="53" spans="1:14" x14ac:dyDescent="0.15">
      <c r="A53" t="s">
        <v>513</v>
      </c>
      <c r="B53" s="20">
        <v>8307933</v>
      </c>
      <c r="C53" s="14">
        <v>2</v>
      </c>
      <c r="D53" s="14">
        <v>925713773</v>
      </c>
      <c r="E53" s="2" t="s">
        <v>800</v>
      </c>
      <c r="F53" s="2">
        <v>0</v>
      </c>
      <c r="G53" s="14">
        <v>20250201</v>
      </c>
      <c r="H53" s="14" t="str">
        <f>TEXT(DATE(LEFT(G53,4), MID(G53,5,2), RIGHT(G53,2)), "M/d/yyyy")</f>
        <v>2/1/2025</v>
      </c>
      <c r="I53" s="14">
        <v>20220801</v>
      </c>
      <c r="J53" s="14" t="str">
        <f>TEXT(DATE(LEFT(I53,4), MID(I53,5,2), RIGHT(I53,2)), "M/d/yyyy")</f>
        <v>8/1/2022</v>
      </c>
      <c r="K53" s="14">
        <v>30</v>
      </c>
      <c r="L53" s="2" t="s">
        <v>58</v>
      </c>
      <c r="M53" s="14">
        <v>25</v>
      </c>
      <c r="N53" s="2">
        <v>50</v>
      </c>
    </row>
    <row r="54" spans="1:14" x14ac:dyDescent="0.15">
      <c r="A54" t="s">
        <v>513</v>
      </c>
      <c r="B54" s="20">
        <v>8307933</v>
      </c>
      <c r="C54" s="14">
        <v>2</v>
      </c>
      <c r="D54" s="14">
        <v>925750946</v>
      </c>
      <c r="E54" s="2" t="s">
        <v>801</v>
      </c>
      <c r="F54" s="2">
        <v>0</v>
      </c>
      <c r="G54" s="14">
        <v>20250201</v>
      </c>
      <c r="H54" s="14" t="str">
        <f>TEXT(DATE(LEFT(G54,4), MID(G54,5,2), RIGHT(G54,2)), "M/d/yyyy")</f>
        <v>2/1/2025</v>
      </c>
      <c r="I54" s="14">
        <v>20221001</v>
      </c>
      <c r="J54" s="14" t="str">
        <f>TEXT(DATE(LEFT(I54,4), MID(I54,5,2), RIGHT(I54,2)), "M/d/yyyy")</f>
        <v>10/1/2022</v>
      </c>
      <c r="K54" s="14">
        <v>28</v>
      </c>
      <c r="L54" s="2" t="s">
        <v>58</v>
      </c>
      <c r="M54" s="14">
        <v>25</v>
      </c>
      <c r="N54" s="2">
        <v>50</v>
      </c>
    </row>
    <row r="55" spans="1:14" x14ac:dyDescent="0.15">
      <c r="A55" t="s">
        <v>513</v>
      </c>
      <c r="B55" s="20">
        <v>8307933</v>
      </c>
      <c r="C55" s="14">
        <v>2</v>
      </c>
      <c r="D55" s="14">
        <v>925839971</v>
      </c>
      <c r="E55" s="2" t="s">
        <v>802</v>
      </c>
      <c r="F55" s="2">
        <v>0</v>
      </c>
      <c r="G55" s="14">
        <v>20250201</v>
      </c>
      <c r="H55" s="14" t="str">
        <f>TEXT(DATE(LEFT(G55,4), MID(G55,5,2), RIGHT(G55,2)), "M/d/yyyy")</f>
        <v>2/1/2025</v>
      </c>
      <c r="I55" s="14">
        <v>20230101</v>
      </c>
      <c r="J55" s="14" t="str">
        <f>TEXT(DATE(LEFT(I55,4), MID(I55,5,2), RIGHT(I55,2)), "M/d/yyyy")</f>
        <v>1/1/2023</v>
      </c>
      <c r="K55" s="14">
        <v>25</v>
      </c>
      <c r="L55" s="2" t="s">
        <v>58</v>
      </c>
      <c r="M55" s="14">
        <v>25</v>
      </c>
      <c r="N55" s="2">
        <v>50</v>
      </c>
    </row>
    <row r="56" spans="1:14" x14ac:dyDescent="0.15">
      <c r="A56" t="s">
        <v>513</v>
      </c>
      <c r="B56" s="20">
        <v>8307933</v>
      </c>
      <c r="C56" s="14">
        <v>2</v>
      </c>
      <c r="D56" s="14">
        <v>925858355</v>
      </c>
      <c r="E56" s="2" t="s">
        <v>804</v>
      </c>
      <c r="F56" s="2">
        <v>0</v>
      </c>
      <c r="G56" s="14">
        <v>20250201</v>
      </c>
      <c r="H56" s="14" t="str">
        <f>TEXT(DATE(LEFT(G56,4), MID(G56,5,2), RIGHT(G56,2)), "M/d/yyyy")</f>
        <v>2/1/2025</v>
      </c>
      <c r="I56" s="14">
        <v>20230101</v>
      </c>
      <c r="J56" s="14" t="str">
        <f>TEXT(DATE(LEFT(I56,4), MID(I56,5,2), RIGHT(I56,2)), "M/d/yyyy")</f>
        <v>1/1/2023</v>
      </c>
      <c r="K56" s="14">
        <v>25</v>
      </c>
      <c r="L56" s="2" t="s">
        <v>58</v>
      </c>
      <c r="M56" s="14">
        <v>25</v>
      </c>
      <c r="N56" s="2">
        <v>50</v>
      </c>
    </row>
    <row r="57" spans="1:14" x14ac:dyDescent="0.15">
      <c r="A57" t="s">
        <v>513</v>
      </c>
      <c r="B57" s="20">
        <v>8307933</v>
      </c>
      <c r="C57" s="14">
        <v>2</v>
      </c>
      <c r="D57" s="14">
        <v>925926443</v>
      </c>
      <c r="E57" s="2" t="s">
        <v>807</v>
      </c>
      <c r="F57" s="2">
        <v>0</v>
      </c>
      <c r="G57" s="14">
        <v>20250201</v>
      </c>
      <c r="H57" s="14" t="str">
        <f>TEXT(DATE(LEFT(G57,4), MID(G57,5,2), RIGHT(G57,2)), "M/d/yyyy")</f>
        <v>2/1/2025</v>
      </c>
      <c r="I57" s="14">
        <v>20230201</v>
      </c>
      <c r="J57" s="14" t="str">
        <f>TEXT(DATE(LEFT(I57,4), MID(I57,5,2), RIGHT(I57,2)), "M/d/yyyy")</f>
        <v>2/1/2023</v>
      </c>
      <c r="K57" s="14">
        <v>24</v>
      </c>
      <c r="L57" s="2" t="s">
        <v>58</v>
      </c>
      <c r="M57" s="14">
        <v>25</v>
      </c>
      <c r="N57" s="2">
        <v>50</v>
      </c>
    </row>
    <row r="58" spans="1:14" x14ac:dyDescent="0.15">
      <c r="A58" t="s">
        <v>513</v>
      </c>
      <c r="B58" s="20">
        <v>8307933</v>
      </c>
      <c r="C58" s="14">
        <v>2</v>
      </c>
      <c r="D58" s="14">
        <v>925976024</v>
      </c>
      <c r="E58" s="2" t="s">
        <v>810</v>
      </c>
      <c r="F58" s="2">
        <v>0</v>
      </c>
      <c r="G58" s="14">
        <v>20250201</v>
      </c>
      <c r="H58" s="14" t="str">
        <f>TEXT(DATE(LEFT(G58,4), MID(G58,5,2), RIGHT(G58,2)), "M/d/yyyy")</f>
        <v>2/1/2025</v>
      </c>
      <c r="I58" s="14">
        <v>20230501</v>
      </c>
      <c r="J58" s="14" t="str">
        <f>TEXT(DATE(LEFT(I58,4), MID(I58,5,2), RIGHT(I58,2)), "M/d/yyyy")</f>
        <v>5/1/2023</v>
      </c>
      <c r="K58" s="14">
        <v>21</v>
      </c>
      <c r="L58" s="2" t="s">
        <v>58</v>
      </c>
      <c r="M58" s="14">
        <v>25</v>
      </c>
      <c r="N58" s="2">
        <v>50</v>
      </c>
    </row>
    <row r="59" spans="1:14" x14ac:dyDescent="0.15">
      <c r="A59" t="s">
        <v>513</v>
      </c>
      <c r="B59" s="20">
        <v>8307933</v>
      </c>
      <c r="C59" s="14">
        <v>2</v>
      </c>
      <c r="D59" s="14">
        <v>943009818</v>
      </c>
      <c r="E59" s="2" t="s">
        <v>811</v>
      </c>
      <c r="F59" s="2">
        <v>0</v>
      </c>
      <c r="G59" s="14">
        <v>20250201</v>
      </c>
      <c r="H59" s="14" t="str">
        <f>TEXT(DATE(LEFT(G59,4), MID(G59,5,2), RIGHT(G59,2)), "M/d/yyyy")</f>
        <v>2/1/2025</v>
      </c>
      <c r="I59" s="14">
        <v>20210701</v>
      </c>
      <c r="J59" s="14" t="str">
        <f>TEXT(DATE(LEFT(I59,4), MID(I59,5,2), RIGHT(I59,2)), "M/d/yyyy")</f>
        <v>7/1/2021</v>
      </c>
      <c r="K59" s="14">
        <v>43</v>
      </c>
      <c r="L59" s="2" t="s">
        <v>58</v>
      </c>
      <c r="M59" s="14">
        <v>25</v>
      </c>
      <c r="N59" s="2">
        <v>50</v>
      </c>
    </row>
    <row r="60" spans="1:14" x14ac:dyDescent="0.15">
      <c r="A60" t="s">
        <v>513</v>
      </c>
      <c r="B60" s="20">
        <v>8307933</v>
      </c>
      <c r="C60" s="14">
        <v>2</v>
      </c>
      <c r="D60" s="14">
        <v>943695999</v>
      </c>
      <c r="E60" s="2" t="s">
        <v>823</v>
      </c>
      <c r="F60" s="2">
        <v>0</v>
      </c>
      <c r="G60" s="14">
        <v>20250201</v>
      </c>
      <c r="H60" s="14" t="str">
        <f>TEXT(DATE(LEFT(G60,4), MID(G60,5,2), RIGHT(G60,2)), "M/d/yyyy")</f>
        <v>2/1/2025</v>
      </c>
      <c r="I60" s="14">
        <v>20240301</v>
      </c>
      <c r="J60" s="14" t="str">
        <f>TEXT(DATE(LEFT(I60,4), MID(I60,5,2), RIGHT(I60,2)), "M/d/yyyy")</f>
        <v>3/1/2024</v>
      </c>
      <c r="K60" s="14">
        <v>11</v>
      </c>
      <c r="L60" s="2" t="s">
        <v>58</v>
      </c>
      <c r="M60" s="14">
        <v>25</v>
      </c>
      <c r="N60" s="2">
        <v>50</v>
      </c>
    </row>
    <row r="61" spans="1:14" x14ac:dyDescent="0.15">
      <c r="A61" t="s">
        <v>513</v>
      </c>
      <c r="B61" s="20">
        <v>8307933</v>
      </c>
      <c r="C61" s="14">
        <v>2</v>
      </c>
      <c r="D61" s="14">
        <v>943801957</v>
      </c>
      <c r="E61" s="2" t="s">
        <v>824</v>
      </c>
      <c r="F61" s="2">
        <v>0</v>
      </c>
      <c r="G61" s="14">
        <v>20250201</v>
      </c>
      <c r="H61" s="14" t="str">
        <f>TEXT(DATE(LEFT(G61,4), MID(G61,5,2), RIGHT(G61,2)), "M/d/yyyy")</f>
        <v>2/1/2025</v>
      </c>
      <c r="I61" s="14">
        <v>20240501</v>
      </c>
      <c r="J61" s="14" t="str">
        <f>TEXT(DATE(LEFT(I61,4), MID(I61,5,2), RIGHT(I61,2)), "M/d/yyyy")</f>
        <v>5/1/2024</v>
      </c>
      <c r="K61" s="14">
        <v>9</v>
      </c>
      <c r="L61" s="2" t="s">
        <v>58</v>
      </c>
      <c r="M61" s="14">
        <v>25</v>
      </c>
      <c r="N61" s="2">
        <v>50</v>
      </c>
    </row>
    <row r="62" spans="1:14" x14ac:dyDescent="0.15">
      <c r="A62" t="s">
        <v>513</v>
      </c>
      <c r="B62" s="20">
        <v>8307933</v>
      </c>
      <c r="C62" s="14">
        <v>2</v>
      </c>
      <c r="D62" s="14">
        <v>944117696</v>
      </c>
      <c r="E62" s="2" t="s">
        <v>825</v>
      </c>
      <c r="F62" s="2">
        <v>0</v>
      </c>
      <c r="G62" s="14">
        <v>20250201</v>
      </c>
      <c r="H62" s="14" t="str">
        <f>TEXT(DATE(LEFT(G62,4), MID(G62,5,2), RIGHT(G62,2)), "M/d/yyyy")</f>
        <v>2/1/2025</v>
      </c>
      <c r="I62" s="14">
        <v>20250101</v>
      </c>
      <c r="J62" s="14" t="str">
        <f>TEXT(DATE(LEFT(I62,4), MID(I62,5,2), RIGHT(I62,2)), "M/d/yyyy")</f>
        <v>1/1/2025</v>
      </c>
      <c r="K62" s="14">
        <v>1</v>
      </c>
      <c r="L62" s="2" t="s">
        <v>58</v>
      </c>
      <c r="M62" s="14">
        <v>25</v>
      </c>
      <c r="N62" s="2">
        <v>50</v>
      </c>
    </row>
    <row r="63" spans="1:14" x14ac:dyDescent="0.15">
      <c r="A63" t="s">
        <v>513</v>
      </c>
      <c r="B63" s="20">
        <v>8307933</v>
      </c>
      <c r="C63" s="14">
        <v>2</v>
      </c>
      <c r="D63" s="14">
        <v>944117852</v>
      </c>
      <c r="E63" s="2" t="s">
        <v>826</v>
      </c>
      <c r="F63" s="2">
        <v>0</v>
      </c>
      <c r="G63" s="14">
        <v>20250201</v>
      </c>
      <c r="H63" s="14" t="str">
        <f>TEXT(DATE(LEFT(G63,4), MID(G63,5,2), RIGHT(G63,2)), "M/d/yyyy")</f>
        <v>2/1/2025</v>
      </c>
      <c r="I63" s="14">
        <v>20250101</v>
      </c>
      <c r="J63" s="14" t="str">
        <f>TEXT(DATE(LEFT(I63,4), MID(I63,5,2), RIGHT(I63,2)), "M/d/yyyy")</f>
        <v>1/1/2025</v>
      </c>
      <c r="K63" s="14">
        <v>1</v>
      </c>
      <c r="L63" s="2" t="s">
        <v>58</v>
      </c>
      <c r="M63" s="14">
        <v>25</v>
      </c>
      <c r="N63" s="2">
        <v>50</v>
      </c>
    </row>
    <row r="64" spans="1:14" x14ac:dyDescent="0.15">
      <c r="A64" t="s">
        <v>513</v>
      </c>
      <c r="B64" s="20">
        <v>8307933</v>
      </c>
      <c r="C64" s="14">
        <v>3</v>
      </c>
      <c r="D64" s="14">
        <v>925662361</v>
      </c>
      <c r="E64" s="2" t="s">
        <v>797</v>
      </c>
      <c r="F64" s="2">
        <v>0</v>
      </c>
      <c r="G64" s="14">
        <v>20250201</v>
      </c>
      <c r="H64" s="14" t="str">
        <f>TEXT(DATE(LEFT(G64,4), MID(G64,5,2), RIGHT(G64,2)), "M/d/yyyy")</f>
        <v>2/1/2025</v>
      </c>
      <c r="I64" s="14">
        <v>20240901</v>
      </c>
      <c r="J64" s="14" t="str">
        <f>TEXT(DATE(LEFT(I64,4), MID(I64,5,2), RIGHT(I64,2)), "M/d/yyyy")</f>
        <v>9/1/2024</v>
      </c>
      <c r="K64" s="14">
        <v>5</v>
      </c>
      <c r="L64" s="2" t="s">
        <v>45</v>
      </c>
      <c r="M64" s="14">
        <v>20</v>
      </c>
      <c r="N64" s="2">
        <v>60</v>
      </c>
    </row>
    <row r="65" spans="1:14" x14ac:dyDescent="0.15">
      <c r="A65" t="s">
        <v>513</v>
      </c>
      <c r="B65" s="20">
        <v>8307933</v>
      </c>
      <c r="C65" s="14">
        <v>3</v>
      </c>
      <c r="D65" s="14">
        <v>925677277</v>
      </c>
      <c r="E65" s="2" t="s">
        <v>798</v>
      </c>
      <c r="F65" s="2">
        <v>0</v>
      </c>
      <c r="G65" s="14">
        <v>20250201</v>
      </c>
      <c r="H65" s="14" t="str">
        <f>TEXT(DATE(LEFT(G65,4), MID(G65,5,2), RIGHT(G65,2)), "M/d/yyyy")</f>
        <v>2/1/2025</v>
      </c>
      <c r="I65" s="14">
        <v>20220301</v>
      </c>
      <c r="J65" s="14" t="str">
        <f>TEXT(DATE(LEFT(I65,4), MID(I65,5,2), RIGHT(I65,2)), "M/d/yyyy")</f>
        <v>3/1/2022</v>
      </c>
      <c r="K65" s="14">
        <v>35</v>
      </c>
      <c r="L65" s="2" t="s">
        <v>58</v>
      </c>
      <c r="M65" s="14">
        <v>25</v>
      </c>
      <c r="N65" s="2">
        <v>75</v>
      </c>
    </row>
    <row r="66" spans="1:14" x14ac:dyDescent="0.15">
      <c r="A66" t="s">
        <v>513</v>
      </c>
      <c r="B66" s="20">
        <v>8307933</v>
      </c>
      <c r="C66" s="14">
        <v>4</v>
      </c>
      <c r="D66" s="14">
        <v>923860802</v>
      </c>
      <c r="E66" s="2" t="s">
        <v>782</v>
      </c>
      <c r="F66" s="2">
        <v>0</v>
      </c>
      <c r="G66" s="14">
        <v>20250201</v>
      </c>
      <c r="H66" s="14" t="str">
        <f>TEXT(DATE(LEFT(G66,4), MID(G66,5,2), RIGHT(G66,2)), "M/d/yyyy")</f>
        <v>2/1/2025</v>
      </c>
      <c r="I66" s="14">
        <v>20240101</v>
      </c>
      <c r="J66" s="14" t="str">
        <f>TEXT(DATE(LEFT(I66,4), MID(I66,5,2), RIGHT(I66,2)), "M/d/yyyy")</f>
        <v>1/1/2024</v>
      </c>
      <c r="K66" s="14">
        <v>13</v>
      </c>
      <c r="L66" s="2" t="s">
        <v>45</v>
      </c>
      <c r="M66" s="14">
        <v>20</v>
      </c>
      <c r="N66" s="2">
        <v>80</v>
      </c>
    </row>
    <row r="67" spans="1:14" x14ac:dyDescent="0.15">
      <c r="A67" t="s">
        <v>513</v>
      </c>
      <c r="B67" s="20">
        <v>8307933</v>
      </c>
      <c r="C67" s="14">
        <v>4</v>
      </c>
      <c r="D67" s="14">
        <v>925864248</v>
      </c>
      <c r="E67" s="2" t="s">
        <v>805</v>
      </c>
      <c r="F67" s="2">
        <v>0</v>
      </c>
      <c r="G67" s="14">
        <v>20250201</v>
      </c>
      <c r="H67" s="14" t="str">
        <f>TEXT(DATE(LEFT(G67,4), MID(G67,5,2), RIGHT(G67,2)), "M/d/yyyy")</f>
        <v>2/1/2025</v>
      </c>
      <c r="I67" s="14">
        <v>20230101</v>
      </c>
      <c r="J67" s="14" t="str">
        <f>TEXT(DATE(LEFT(I67,4), MID(I67,5,2), RIGHT(I67,2)), "M/d/yyyy")</f>
        <v>1/1/2023</v>
      </c>
      <c r="K67" s="14">
        <v>25</v>
      </c>
      <c r="L67" s="2" t="s">
        <v>58</v>
      </c>
      <c r="M67" s="14">
        <v>25</v>
      </c>
      <c r="N67" s="2">
        <v>100</v>
      </c>
    </row>
    <row r="68" spans="1:14" x14ac:dyDescent="0.15">
      <c r="A68" t="s">
        <v>513</v>
      </c>
      <c r="B68" s="20">
        <v>8307933</v>
      </c>
      <c r="C68" s="14">
        <v>4</v>
      </c>
      <c r="D68" s="14">
        <v>943692939</v>
      </c>
      <c r="E68" s="2" t="s">
        <v>822</v>
      </c>
      <c r="F68" s="2">
        <v>0</v>
      </c>
      <c r="G68" s="14">
        <v>20250201</v>
      </c>
      <c r="H68" s="14" t="str">
        <f>TEXT(DATE(LEFT(G68,4), MID(G68,5,2), RIGHT(G68,2)), "M/d/yyyy")</f>
        <v>2/1/2025</v>
      </c>
      <c r="I68" s="14">
        <v>20240301</v>
      </c>
      <c r="J68" s="14" t="str">
        <f>TEXT(DATE(LEFT(I68,4), MID(I68,5,2), RIGHT(I68,2)), "M/d/yyyy")</f>
        <v>3/1/2024</v>
      </c>
      <c r="K68" s="14">
        <v>11</v>
      </c>
      <c r="L68" s="2" t="s">
        <v>58</v>
      </c>
      <c r="M68" s="14">
        <v>25</v>
      </c>
      <c r="N68" s="2">
        <v>100</v>
      </c>
    </row>
    <row r="69" spans="1:14" ht="14" x14ac:dyDescent="0.2">
      <c r="A69" t="s">
        <v>526</v>
      </c>
      <c r="B69" s="22">
        <v>16865615</v>
      </c>
      <c r="C69" s="14">
        <v>1</v>
      </c>
      <c r="D69" s="14">
        <v>925926194</v>
      </c>
      <c r="E69" s="2" t="s">
        <v>894</v>
      </c>
      <c r="F69" s="2">
        <v>0</v>
      </c>
      <c r="G69" s="14">
        <v>20250201</v>
      </c>
      <c r="H69" s="14" t="str">
        <f>TEXT(DATE(LEFT(G69,4), MID(G69,5,2), RIGHT(G69,2)), "M/d/yyyy")</f>
        <v>2/1/2025</v>
      </c>
      <c r="I69" s="14">
        <v>20250101</v>
      </c>
      <c r="J69" s="14" t="str">
        <f>TEXT(DATE(LEFT(I69,4), MID(I69,5,2), RIGHT(I69,2)), "M/d/yyyy")</f>
        <v>1/1/2025</v>
      </c>
      <c r="K69" s="14">
        <v>1</v>
      </c>
      <c r="L69" s="2" t="s">
        <v>58</v>
      </c>
      <c r="M69" s="14">
        <v>25</v>
      </c>
      <c r="N69" s="2">
        <v>25</v>
      </c>
    </row>
    <row r="70" spans="1:14" x14ac:dyDescent="0.15">
      <c r="A70" t="s">
        <v>512</v>
      </c>
      <c r="B70" s="20">
        <v>15278437</v>
      </c>
      <c r="C70" s="14">
        <v>1</v>
      </c>
      <c r="D70" s="14">
        <v>943511226</v>
      </c>
      <c r="E70" s="2" t="s">
        <v>780</v>
      </c>
      <c r="F70" s="2">
        <v>0</v>
      </c>
      <c r="G70" s="14">
        <v>20250201</v>
      </c>
      <c r="H70" s="14" t="str">
        <f>TEXT(DATE(LEFT(G70,4), MID(G70,5,2), RIGHT(G70,2)), "M/d/yyyy")</f>
        <v>2/1/2025</v>
      </c>
      <c r="I70" s="14">
        <v>20240101</v>
      </c>
      <c r="J70" s="14" t="str">
        <f>TEXT(DATE(LEFT(I70,4), MID(I70,5,2), RIGHT(I70,2)), "M/d/yyyy")</f>
        <v>1/1/2024</v>
      </c>
      <c r="K70" s="14">
        <v>13</v>
      </c>
      <c r="L70" s="2" t="s">
        <v>45</v>
      </c>
      <c r="M70" s="14">
        <v>20</v>
      </c>
      <c r="N70" s="2">
        <v>20</v>
      </c>
    </row>
    <row r="71" spans="1:14" ht="14" x14ac:dyDescent="0.2">
      <c r="A71" t="s">
        <v>531</v>
      </c>
      <c r="B71" s="22">
        <v>6634327</v>
      </c>
      <c r="C71" s="14">
        <v>1</v>
      </c>
      <c r="D71" s="14">
        <v>943634661</v>
      </c>
      <c r="E71" s="2" t="s">
        <v>907</v>
      </c>
      <c r="F71" s="2">
        <v>0</v>
      </c>
      <c r="G71" s="14">
        <v>20250201</v>
      </c>
      <c r="H71" s="14" t="str">
        <f>TEXT(DATE(LEFT(G71,4), MID(G71,5,2), RIGHT(G71,2)), "M/d/yyyy")</f>
        <v>2/1/2025</v>
      </c>
      <c r="I71" s="14">
        <v>20240201</v>
      </c>
      <c r="J71" s="14" t="str">
        <f>TEXT(DATE(LEFT(I71,4), MID(I71,5,2), RIGHT(I71,2)), "M/d/yyyy")</f>
        <v>2/1/2024</v>
      </c>
      <c r="K71" s="14">
        <v>12</v>
      </c>
      <c r="L71" s="2" t="s">
        <v>58</v>
      </c>
      <c r="M71" s="14">
        <v>25</v>
      </c>
      <c r="N71" s="2">
        <v>25</v>
      </c>
    </row>
    <row r="72" spans="1:14" ht="14" x14ac:dyDescent="0.2">
      <c r="A72" t="s">
        <v>531</v>
      </c>
      <c r="B72" s="22">
        <v>6634327</v>
      </c>
      <c r="C72" s="14">
        <v>4</v>
      </c>
      <c r="D72" s="14">
        <v>943600902</v>
      </c>
      <c r="E72" s="2" t="s">
        <v>906</v>
      </c>
      <c r="F72" s="2">
        <v>0</v>
      </c>
      <c r="G72" s="14">
        <v>20250201</v>
      </c>
      <c r="H72" s="14" t="str">
        <f>TEXT(DATE(LEFT(G72,4), MID(G72,5,2), RIGHT(G72,2)), "M/d/yyyy")</f>
        <v>2/1/2025</v>
      </c>
      <c r="I72" s="14">
        <v>20240201</v>
      </c>
      <c r="J72" s="14" t="str">
        <f>TEXT(DATE(LEFT(I72,4), MID(I72,5,2), RIGHT(I72,2)), "M/d/yyyy")</f>
        <v>2/1/2024</v>
      </c>
      <c r="K72" s="14">
        <v>12</v>
      </c>
      <c r="L72" s="2" t="s">
        <v>45</v>
      </c>
      <c r="M72" s="14">
        <v>20</v>
      </c>
      <c r="N72" s="2">
        <v>80</v>
      </c>
    </row>
    <row r="73" spans="1:14" ht="14" x14ac:dyDescent="0.2">
      <c r="A73" t="s">
        <v>531</v>
      </c>
      <c r="B73" s="22">
        <v>6634327</v>
      </c>
      <c r="C73" s="14">
        <v>4</v>
      </c>
      <c r="D73" s="14">
        <v>925964157</v>
      </c>
      <c r="E73" s="2" t="s">
        <v>905</v>
      </c>
      <c r="F73" s="2">
        <v>0</v>
      </c>
      <c r="G73" s="14">
        <v>20250201</v>
      </c>
      <c r="H73" s="14" t="str">
        <f>TEXT(DATE(LEFT(G73,4), MID(G73,5,2), RIGHT(G73,2)), "M/d/yyyy")</f>
        <v>2/1/2025</v>
      </c>
      <c r="I73" s="14">
        <v>20230401</v>
      </c>
      <c r="J73" s="14" t="str">
        <f>TEXT(DATE(LEFT(I73,4), MID(I73,5,2), RIGHT(I73,2)), "M/d/yyyy")</f>
        <v>4/1/2023</v>
      </c>
      <c r="K73" s="14">
        <v>22</v>
      </c>
      <c r="L73" s="2" t="s">
        <v>58</v>
      </c>
      <c r="M73" s="14">
        <v>25</v>
      </c>
      <c r="N73" s="2">
        <v>100</v>
      </c>
    </row>
    <row r="74" spans="1:14" ht="14" x14ac:dyDescent="0.2">
      <c r="A74" t="s">
        <v>529</v>
      </c>
      <c r="B74" s="22">
        <v>16683808</v>
      </c>
      <c r="C74" s="14">
        <v>1</v>
      </c>
      <c r="D74" s="14">
        <v>944157694</v>
      </c>
      <c r="E74" s="2" t="s">
        <v>903</v>
      </c>
      <c r="F74" s="2">
        <v>0</v>
      </c>
      <c r="G74" s="14">
        <v>20250301</v>
      </c>
      <c r="H74" s="14" t="str">
        <f>TEXT(DATE(LEFT(G74,4), MID(G74,5,2), RIGHT(G74,2)), "M/d/yyyy")</f>
        <v>3/1/2025</v>
      </c>
      <c r="I74" s="14">
        <v>20250201</v>
      </c>
      <c r="J74" s="14" t="str">
        <f>TEXT(DATE(LEFT(I74,4), MID(I74,5,2), RIGHT(I74,2)), "M/d/yyyy")</f>
        <v>2/1/2025</v>
      </c>
      <c r="K74" s="14">
        <v>1</v>
      </c>
      <c r="L74" s="2" t="s">
        <v>45</v>
      </c>
      <c r="M74" s="14">
        <v>20</v>
      </c>
      <c r="N74" s="2">
        <v>20</v>
      </c>
    </row>
    <row r="75" spans="1:14" ht="14" x14ac:dyDescent="0.2">
      <c r="A75" t="s">
        <v>529</v>
      </c>
      <c r="B75" s="22">
        <v>16683808</v>
      </c>
      <c r="C75" s="14">
        <v>2</v>
      </c>
      <c r="D75" s="14">
        <v>943976221</v>
      </c>
      <c r="E75" s="2" t="s">
        <v>902</v>
      </c>
      <c r="F75" s="2">
        <v>0</v>
      </c>
      <c r="G75" s="14">
        <v>20250201</v>
      </c>
      <c r="H75" s="14" t="str">
        <f>TEXT(DATE(LEFT(G75,4), MID(G75,5,2), RIGHT(G75,2)), "M/d/yyyy")</f>
        <v>2/1/2025</v>
      </c>
      <c r="I75" s="14">
        <v>20240901</v>
      </c>
      <c r="J75" s="14" t="str">
        <f>TEXT(DATE(LEFT(I75,4), MID(I75,5,2), RIGHT(I75,2)), "M/d/yyyy")</f>
        <v>9/1/2024</v>
      </c>
      <c r="K75" s="14">
        <v>5</v>
      </c>
      <c r="L75" s="2" t="s">
        <v>58</v>
      </c>
      <c r="M75" s="14">
        <v>25</v>
      </c>
      <c r="N75" s="2">
        <v>50</v>
      </c>
    </row>
    <row r="76" spans="1:14" x14ac:dyDescent="0.15">
      <c r="A76" t="s">
        <v>518</v>
      </c>
      <c r="B76" s="20">
        <v>18134413</v>
      </c>
      <c r="C76" s="2" t="s">
        <v>116</v>
      </c>
      <c r="D76" s="14">
        <v>925251103</v>
      </c>
      <c r="E76" s="2" t="s">
        <v>836</v>
      </c>
      <c r="F76" s="2">
        <v>0</v>
      </c>
      <c r="G76" s="14">
        <v>20250101</v>
      </c>
      <c r="H76" s="14" t="str">
        <f>TEXT(DATE(LEFT(G76,4), MID(G76,5,2), RIGHT(G76,2)), "M/d/yyyy")</f>
        <v>1/1/2025</v>
      </c>
      <c r="I76" s="14">
        <v>20230101</v>
      </c>
      <c r="J76" s="14" t="str">
        <f>TEXT(DATE(LEFT(I76,4), MID(I76,5,2), RIGHT(I76,2)), "M/d/yyyy")</f>
        <v>1/1/2023</v>
      </c>
      <c r="K76" s="14">
        <v>24</v>
      </c>
      <c r="L76" s="2" t="s">
        <v>58</v>
      </c>
      <c r="M76" s="14">
        <v>25</v>
      </c>
      <c r="N76" s="2">
        <v>-25</v>
      </c>
    </row>
    <row r="77" spans="1:14" x14ac:dyDescent="0.15">
      <c r="A77" t="s">
        <v>518</v>
      </c>
      <c r="B77" s="20">
        <v>18134413</v>
      </c>
      <c r="C77" s="14">
        <v>1</v>
      </c>
      <c r="D77" s="14">
        <v>924227221</v>
      </c>
      <c r="E77" s="2" t="s">
        <v>835</v>
      </c>
      <c r="F77" s="2">
        <v>0</v>
      </c>
      <c r="G77" s="14">
        <v>20250101</v>
      </c>
      <c r="H77" s="14" t="str">
        <f>TEXT(DATE(LEFT(G77,4), MID(G77,5,2), RIGHT(G77,2)), "M/d/yyyy")</f>
        <v>1/1/2025</v>
      </c>
      <c r="I77" s="14">
        <v>20240101</v>
      </c>
      <c r="J77" s="14" t="str">
        <f>TEXT(DATE(LEFT(I77,4), MID(I77,5,2), RIGHT(I77,2)), "M/d/yyyy")</f>
        <v>1/1/2024</v>
      </c>
      <c r="K77" s="14">
        <v>12</v>
      </c>
      <c r="L77" s="2" t="s">
        <v>58</v>
      </c>
      <c r="M77" s="14">
        <v>25</v>
      </c>
      <c r="N77" s="2">
        <v>25</v>
      </c>
    </row>
    <row r="78" spans="1:14" x14ac:dyDescent="0.15">
      <c r="A78" t="s">
        <v>518</v>
      </c>
      <c r="B78" s="20">
        <v>18134413</v>
      </c>
      <c r="C78" s="14">
        <v>1</v>
      </c>
      <c r="D78" s="14">
        <v>924227221</v>
      </c>
      <c r="E78" s="2" t="s">
        <v>835</v>
      </c>
      <c r="F78" s="2">
        <v>0</v>
      </c>
      <c r="G78" s="14">
        <v>20241201</v>
      </c>
      <c r="H78" s="14" t="str">
        <f>TEXT(DATE(LEFT(G78,4), MID(G78,5,2), RIGHT(G78,2)), "M/d/yyyy")</f>
        <v>12/1/2024</v>
      </c>
      <c r="I78" s="14">
        <v>20240101</v>
      </c>
      <c r="J78" s="14" t="str">
        <f>TEXT(DATE(LEFT(I78,4), MID(I78,5,2), RIGHT(I78,2)), "M/d/yyyy")</f>
        <v>1/1/2024</v>
      </c>
      <c r="K78" s="14">
        <v>11</v>
      </c>
      <c r="L78" s="2" t="s">
        <v>58</v>
      </c>
      <c r="M78" s="14">
        <v>25</v>
      </c>
      <c r="N78" s="2">
        <v>25</v>
      </c>
    </row>
    <row r="79" spans="1:14" x14ac:dyDescent="0.15">
      <c r="A79" t="s">
        <v>518</v>
      </c>
      <c r="B79" s="20">
        <v>18134413</v>
      </c>
      <c r="C79" s="14">
        <v>1</v>
      </c>
      <c r="D79" s="14">
        <v>925254609</v>
      </c>
      <c r="E79" s="2" t="s">
        <v>837</v>
      </c>
      <c r="F79" s="2">
        <v>0</v>
      </c>
      <c r="G79" s="14">
        <v>20250201</v>
      </c>
      <c r="H79" s="14" t="str">
        <f>TEXT(DATE(LEFT(G79,4), MID(G79,5,2), RIGHT(G79,2)), "M/d/yyyy")</f>
        <v>2/1/2025</v>
      </c>
      <c r="I79" s="14">
        <v>20190101</v>
      </c>
      <c r="J79" s="14" t="str">
        <f>TEXT(DATE(LEFT(I79,4), MID(I79,5,2), RIGHT(I79,2)), "M/d/yyyy")</f>
        <v>1/1/2019</v>
      </c>
      <c r="K79" s="14">
        <v>73</v>
      </c>
      <c r="L79" s="2" t="s">
        <v>58</v>
      </c>
      <c r="M79" s="14">
        <v>25</v>
      </c>
      <c r="N79" s="2">
        <v>25</v>
      </c>
    </row>
    <row r="80" spans="1:14" x14ac:dyDescent="0.15">
      <c r="A80" t="s">
        <v>518</v>
      </c>
      <c r="B80" s="20">
        <v>18134413</v>
      </c>
      <c r="C80" s="14">
        <v>2</v>
      </c>
      <c r="D80" s="14">
        <v>925469091</v>
      </c>
      <c r="E80" s="2" t="s">
        <v>838</v>
      </c>
      <c r="F80" s="2">
        <v>0</v>
      </c>
      <c r="G80" s="14">
        <v>20250201</v>
      </c>
      <c r="H80" s="14" t="str">
        <f>TEXT(DATE(LEFT(G80,4), MID(G80,5,2), RIGHT(G80,2)), "M/d/yyyy")</f>
        <v>2/1/2025</v>
      </c>
      <c r="I80" s="14">
        <v>20210101</v>
      </c>
      <c r="J80" s="14" t="str">
        <f>TEXT(DATE(LEFT(I80,4), MID(I80,5,2), RIGHT(I80,2)), "M/d/yyyy")</f>
        <v>1/1/2021</v>
      </c>
      <c r="K80" s="14">
        <v>49</v>
      </c>
      <c r="L80" s="2" t="s">
        <v>45</v>
      </c>
      <c r="M80" s="14">
        <v>20</v>
      </c>
      <c r="N80" s="2">
        <v>40</v>
      </c>
    </row>
    <row r="81" spans="1:14" ht="14" x14ac:dyDescent="0.2">
      <c r="A81" t="s">
        <v>519</v>
      </c>
      <c r="B81" s="22">
        <v>1706194</v>
      </c>
      <c r="C81" s="2" t="s">
        <v>391</v>
      </c>
      <c r="D81" s="14">
        <v>943538120</v>
      </c>
      <c r="E81" s="2" t="s">
        <v>877</v>
      </c>
      <c r="F81" s="2">
        <v>0</v>
      </c>
      <c r="G81" s="14">
        <v>20250101</v>
      </c>
      <c r="H81" s="14" t="str">
        <f>TEXT(DATE(LEFT(G81,4), MID(G81,5,2), RIGHT(G81,2)), "M/d/yyyy")</f>
        <v>1/1/2025</v>
      </c>
      <c r="I81" s="14">
        <v>20240101</v>
      </c>
      <c r="J81" s="14" t="str">
        <f>TEXT(DATE(LEFT(I81,4), MID(I81,5,2), RIGHT(I81,2)), "M/d/yyyy")</f>
        <v>1/1/2024</v>
      </c>
      <c r="K81" s="14">
        <v>12</v>
      </c>
      <c r="L81" s="2" t="s">
        <v>58</v>
      </c>
      <c r="M81" s="14">
        <v>25</v>
      </c>
      <c r="N81" s="2">
        <v>-75</v>
      </c>
    </row>
    <row r="82" spans="1:14" ht="14" x14ac:dyDescent="0.2">
      <c r="A82" t="s">
        <v>519</v>
      </c>
      <c r="B82" s="22">
        <v>1706194</v>
      </c>
      <c r="C82" s="2" t="s">
        <v>391</v>
      </c>
      <c r="D82" s="14">
        <v>943538120</v>
      </c>
      <c r="E82" s="2" t="s">
        <v>877</v>
      </c>
      <c r="F82" s="2">
        <v>0</v>
      </c>
      <c r="G82" s="14">
        <v>20241201</v>
      </c>
      <c r="H82" s="14" t="str">
        <f>TEXT(DATE(LEFT(G82,4), MID(G82,5,2), RIGHT(G82,2)), "M/d/yyyy")</f>
        <v>12/1/2024</v>
      </c>
      <c r="I82" s="14">
        <v>20240101</v>
      </c>
      <c r="J82" s="14" t="str">
        <f>TEXT(DATE(LEFT(I82,4), MID(I82,5,2), RIGHT(I82,2)), "M/d/yyyy")</f>
        <v>1/1/2024</v>
      </c>
      <c r="K82" s="14">
        <v>11</v>
      </c>
      <c r="L82" s="2" t="s">
        <v>58</v>
      </c>
      <c r="M82" s="14">
        <v>25</v>
      </c>
      <c r="N82" s="2">
        <v>-75</v>
      </c>
    </row>
    <row r="83" spans="1:14" ht="14" x14ac:dyDescent="0.2">
      <c r="A83" t="s">
        <v>519</v>
      </c>
      <c r="B83" s="22">
        <v>1706194</v>
      </c>
      <c r="C83" s="2" t="s">
        <v>116</v>
      </c>
      <c r="D83" s="14">
        <v>925442422</v>
      </c>
      <c r="E83" s="2" t="s">
        <v>857</v>
      </c>
      <c r="F83" s="2">
        <v>0</v>
      </c>
      <c r="G83" s="14">
        <v>20250101</v>
      </c>
      <c r="H83" s="14" t="str">
        <f>TEXT(DATE(LEFT(G83,4), MID(G83,5,2), RIGHT(G83,2)), "M/d/yyyy")</f>
        <v>1/1/2025</v>
      </c>
      <c r="I83" s="14">
        <v>20210101</v>
      </c>
      <c r="J83" s="14" t="str">
        <f>TEXT(DATE(LEFT(I83,4), MID(I83,5,2), RIGHT(I83,2)), "M/d/yyyy")</f>
        <v>1/1/2021</v>
      </c>
      <c r="K83" s="14">
        <v>48</v>
      </c>
      <c r="L83" s="2" t="s">
        <v>58</v>
      </c>
      <c r="M83" s="14">
        <v>25</v>
      </c>
      <c r="N83" s="2">
        <v>-25</v>
      </c>
    </row>
    <row r="84" spans="1:14" ht="14" x14ac:dyDescent="0.2">
      <c r="A84" t="s">
        <v>519</v>
      </c>
      <c r="B84" s="22">
        <v>1706194</v>
      </c>
      <c r="C84" s="2" t="s">
        <v>116</v>
      </c>
      <c r="D84" s="14">
        <v>925442422</v>
      </c>
      <c r="E84" s="2" t="s">
        <v>857</v>
      </c>
      <c r="F84" s="2">
        <v>0</v>
      </c>
      <c r="G84" s="14">
        <v>20241201</v>
      </c>
      <c r="H84" s="14" t="str">
        <f>TEXT(DATE(LEFT(G84,4), MID(G84,5,2), RIGHT(G84,2)), "M/d/yyyy")</f>
        <v>12/1/2024</v>
      </c>
      <c r="I84" s="14">
        <v>20210101</v>
      </c>
      <c r="J84" s="14" t="str">
        <f>TEXT(DATE(LEFT(I84,4), MID(I84,5,2), RIGHT(I84,2)), "M/d/yyyy")</f>
        <v>1/1/2021</v>
      </c>
      <c r="K84" s="14">
        <v>47</v>
      </c>
      <c r="L84" s="2" t="s">
        <v>58</v>
      </c>
      <c r="M84" s="14">
        <v>25</v>
      </c>
      <c r="N84" s="2">
        <v>-25</v>
      </c>
    </row>
    <row r="85" spans="1:14" ht="14" x14ac:dyDescent="0.2">
      <c r="A85" t="s">
        <v>519</v>
      </c>
      <c r="B85" s="22">
        <v>1706194</v>
      </c>
      <c r="C85" s="2" t="s">
        <v>116</v>
      </c>
      <c r="D85" s="14">
        <v>925442422</v>
      </c>
      <c r="E85" s="2" t="s">
        <v>857</v>
      </c>
      <c r="F85" s="2">
        <v>0</v>
      </c>
      <c r="G85" s="14">
        <v>20241101</v>
      </c>
      <c r="H85" s="14" t="str">
        <f>TEXT(DATE(LEFT(G85,4), MID(G85,5,2), RIGHT(G85,2)), "M/d/yyyy")</f>
        <v>11/1/2024</v>
      </c>
      <c r="I85" s="14">
        <v>20210101</v>
      </c>
      <c r="J85" s="14" t="str">
        <f>TEXT(DATE(LEFT(I85,4), MID(I85,5,2), RIGHT(I85,2)), "M/d/yyyy")</f>
        <v>1/1/2021</v>
      </c>
      <c r="K85" s="14">
        <v>46</v>
      </c>
      <c r="L85" s="2" t="s">
        <v>58</v>
      </c>
      <c r="M85" s="14">
        <v>25</v>
      </c>
      <c r="N85" s="2">
        <v>-25</v>
      </c>
    </row>
    <row r="86" spans="1:14" ht="14" x14ac:dyDescent="0.2">
      <c r="A86" t="s">
        <v>519</v>
      </c>
      <c r="B86" s="22">
        <v>1706194</v>
      </c>
      <c r="C86" s="2" t="s">
        <v>116</v>
      </c>
      <c r="D86" s="14">
        <v>925442422</v>
      </c>
      <c r="E86" s="2" t="s">
        <v>857</v>
      </c>
      <c r="F86" s="2">
        <v>0</v>
      </c>
      <c r="G86" s="14">
        <v>20241001</v>
      </c>
      <c r="H86" s="14" t="str">
        <f>TEXT(DATE(LEFT(G86,4), MID(G86,5,2), RIGHT(G86,2)), "M/d/yyyy")</f>
        <v>10/1/2024</v>
      </c>
      <c r="I86" s="14">
        <v>20210101</v>
      </c>
      <c r="J86" s="14" t="str">
        <f>TEXT(DATE(LEFT(I86,4), MID(I86,5,2), RIGHT(I86,2)), "M/d/yyyy")</f>
        <v>1/1/2021</v>
      </c>
      <c r="K86" s="14">
        <v>45</v>
      </c>
      <c r="L86" s="2" t="s">
        <v>58</v>
      </c>
      <c r="M86" s="14">
        <v>25</v>
      </c>
      <c r="N86" s="2">
        <v>-25</v>
      </c>
    </row>
    <row r="87" spans="1:14" ht="14" x14ac:dyDescent="0.2">
      <c r="A87" t="s">
        <v>519</v>
      </c>
      <c r="B87" s="22">
        <v>1706194</v>
      </c>
      <c r="C87" s="2" t="s">
        <v>116</v>
      </c>
      <c r="D87" s="14">
        <v>925442422</v>
      </c>
      <c r="E87" s="2" t="s">
        <v>857</v>
      </c>
      <c r="F87" s="2">
        <v>0</v>
      </c>
      <c r="G87" s="14">
        <v>20240901</v>
      </c>
      <c r="H87" s="14" t="str">
        <f>TEXT(DATE(LEFT(G87,4), MID(G87,5,2), RIGHT(G87,2)), "M/d/yyyy")</f>
        <v>9/1/2024</v>
      </c>
      <c r="I87" s="14">
        <v>20210101</v>
      </c>
      <c r="J87" s="14" t="str">
        <f>TEXT(DATE(LEFT(I87,4), MID(I87,5,2), RIGHT(I87,2)), "M/d/yyyy")</f>
        <v>1/1/2021</v>
      </c>
      <c r="K87" s="14">
        <v>44</v>
      </c>
      <c r="L87" s="2" t="s">
        <v>58</v>
      </c>
      <c r="M87" s="14">
        <v>25</v>
      </c>
      <c r="N87" s="2">
        <v>-25</v>
      </c>
    </row>
    <row r="88" spans="1:14" ht="14" x14ac:dyDescent="0.2">
      <c r="A88" t="s">
        <v>519</v>
      </c>
      <c r="B88" s="22">
        <v>1706194</v>
      </c>
      <c r="C88" s="2" t="s">
        <v>116</v>
      </c>
      <c r="D88" s="14">
        <v>925442422</v>
      </c>
      <c r="E88" s="2" t="s">
        <v>857</v>
      </c>
      <c r="F88" s="2">
        <v>0</v>
      </c>
      <c r="G88" s="14">
        <v>20240801</v>
      </c>
      <c r="H88" s="14" t="str">
        <f>TEXT(DATE(LEFT(G88,4), MID(G88,5,2), RIGHT(G88,2)), "M/d/yyyy")</f>
        <v>8/1/2024</v>
      </c>
      <c r="I88" s="14">
        <v>20210101</v>
      </c>
      <c r="J88" s="14" t="str">
        <f>TEXT(DATE(LEFT(I88,4), MID(I88,5,2), RIGHT(I88,2)), "M/d/yyyy")</f>
        <v>1/1/2021</v>
      </c>
      <c r="K88" s="14">
        <v>43</v>
      </c>
      <c r="L88" s="2" t="s">
        <v>58</v>
      </c>
      <c r="M88" s="14">
        <v>25</v>
      </c>
      <c r="N88" s="2">
        <v>-25</v>
      </c>
    </row>
    <row r="89" spans="1:14" ht="14" x14ac:dyDescent="0.2">
      <c r="A89" t="s">
        <v>519</v>
      </c>
      <c r="B89" s="22">
        <v>1706194</v>
      </c>
      <c r="C89" s="2" t="s">
        <v>116</v>
      </c>
      <c r="D89" s="14">
        <v>925442422</v>
      </c>
      <c r="E89" s="2" t="s">
        <v>857</v>
      </c>
      <c r="F89" s="2">
        <v>0</v>
      </c>
      <c r="G89" s="14">
        <v>20240701</v>
      </c>
      <c r="H89" s="14" t="str">
        <f>TEXT(DATE(LEFT(G89,4), MID(G89,5,2), RIGHT(G89,2)), "M/d/yyyy")</f>
        <v>7/1/2024</v>
      </c>
      <c r="I89" s="14">
        <v>20210101</v>
      </c>
      <c r="J89" s="14" t="str">
        <f>TEXT(DATE(LEFT(I89,4), MID(I89,5,2), RIGHT(I89,2)), "M/d/yyyy")</f>
        <v>1/1/2021</v>
      </c>
      <c r="K89" s="14">
        <v>42</v>
      </c>
      <c r="L89" s="2" t="s">
        <v>58</v>
      </c>
      <c r="M89" s="14">
        <v>25</v>
      </c>
      <c r="N89" s="2">
        <v>-25</v>
      </c>
    </row>
    <row r="90" spans="1:14" ht="14" x14ac:dyDescent="0.2">
      <c r="A90" t="s">
        <v>519</v>
      </c>
      <c r="B90" s="22">
        <v>1706194</v>
      </c>
      <c r="C90" s="2" t="s">
        <v>116</v>
      </c>
      <c r="D90" s="14">
        <v>925442422</v>
      </c>
      <c r="E90" s="2" t="s">
        <v>857</v>
      </c>
      <c r="F90" s="2">
        <v>0</v>
      </c>
      <c r="G90" s="14">
        <v>20240601</v>
      </c>
      <c r="H90" s="14" t="str">
        <f>TEXT(DATE(LEFT(G90,4), MID(G90,5,2), RIGHT(G90,2)), "M/d/yyyy")</f>
        <v>6/1/2024</v>
      </c>
      <c r="I90" s="14">
        <v>20210101</v>
      </c>
      <c r="J90" s="14" t="str">
        <f>TEXT(DATE(LEFT(I90,4), MID(I90,5,2), RIGHT(I90,2)), "M/d/yyyy")</f>
        <v>1/1/2021</v>
      </c>
      <c r="K90" s="14">
        <v>41</v>
      </c>
      <c r="L90" s="2" t="s">
        <v>58</v>
      </c>
      <c r="M90" s="14">
        <v>25</v>
      </c>
      <c r="N90" s="2">
        <v>-25</v>
      </c>
    </row>
    <row r="91" spans="1:14" ht="14" x14ac:dyDescent="0.2">
      <c r="A91" t="s">
        <v>519</v>
      </c>
      <c r="B91" s="22">
        <v>1706194</v>
      </c>
      <c r="C91" s="2" t="s">
        <v>116</v>
      </c>
      <c r="D91" s="14">
        <v>925442422</v>
      </c>
      <c r="E91" s="2" t="s">
        <v>857</v>
      </c>
      <c r="F91" s="2">
        <v>0</v>
      </c>
      <c r="G91" s="14">
        <v>20240501</v>
      </c>
      <c r="H91" s="14" t="str">
        <f>TEXT(DATE(LEFT(G91,4), MID(G91,5,2), RIGHT(G91,2)), "M/d/yyyy")</f>
        <v>5/1/2024</v>
      </c>
      <c r="I91" s="14">
        <v>20210101</v>
      </c>
      <c r="J91" s="14" t="str">
        <f>TEXT(DATE(LEFT(I91,4), MID(I91,5,2), RIGHT(I91,2)), "M/d/yyyy")</f>
        <v>1/1/2021</v>
      </c>
      <c r="K91" s="14">
        <v>40</v>
      </c>
      <c r="L91" s="2" t="s">
        <v>58</v>
      </c>
      <c r="M91" s="14">
        <v>25</v>
      </c>
      <c r="N91" s="2">
        <v>-25</v>
      </c>
    </row>
    <row r="92" spans="1:14" ht="14" x14ac:dyDescent="0.2">
      <c r="A92" t="s">
        <v>519</v>
      </c>
      <c r="B92" s="22">
        <v>1706194</v>
      </c>
      <c r="C92" s="2" t="s">
        <v>116</v>
      </c>
      <c r="D92" s="14">
        <v>925442422</v>
      </c>
      <c r="E92" s="2" t="s">
        <v>857</v>
      </c>
      <c r="F92" s="2">
        <v>0</v>
      </c>
      <c r="G92" s="14">
        <v>20240401</v>
      </c>
      <c r="H92" s="14" t="str">
        <f>TEXT(DATE(LEFT(G92,4), MID(G92,5,2), RIGHT(G92,2)), "M/d/yyyy")</f>
        <v>4/1/2024</v>
      </c>
      <c r="I92" s="14">
        <v>20210101</v>
      </c>
      <c r="J92" s="14" t="str">
        <f>TEXT(DATE(LEFT(I92,4), MID(I92,5,2), RIGHT(I92,2)), "M/d/yyyy")</f>
        <v>1/1/2021</v>
      </c>
      <c r="K92" s="14">
        <v>39</v>
      </c>
      <c r="L92" s="2" t="s">
        <v>58</v>
      </c>
      <c r="M92" s="14">
        <v>25</v>
      </c>
      <c r="N92" s="2">
        <v>-25</v>
      </c>
    </row>
    <row r="93" spans="1:14" ht="14" x14ac:dyDescent="0.2">
      <c r="A93" t="s">
        <v>519</v>
      </c>
      <c r="B93" s="22">
        <v>1706194</v>
      </c>
      <c r="C93" s="2" t="s">
        <v>116</v>
      </c>
      <c r="D93" s="14">
        <v>925442422</v>
      </c>
      <c r="E93" s="2" t="s">
        <v>857</v>
      </c>
      <c r="F93" s="2">
        <v>0</v>
      </c>
      <c r="G93" s="14">
        <v>20240301</v>
      </c>
      <c r="H93" s="14" t="str">
        <f>TEXT(DATE(LEFT(G93,4), MID(G93,5,2), RIGHT(G93,2)), "M/d/yyyy")</f>
        <v>3/1/2024</v>
      </c>
      <c r="I93" s="14">
        <v>20210101</v>
      </c>
      <c r="J93" s="14" t="str">
        <f>TEXT(DATE(LEFT(I93,4), MID(I93,5,2), RIGHT(I93,2)), "M/d/yyyy")</f>
        <v>1/1/2021</v>
      </c>
      <c r="K93" s="14">
        <v>38</v>
      </c>
      <c r="L93" s="2" t="s">
        <v>58</v>
      </c>
      <c r="M93" s="14">
        <v>25</v>
      </c>
      <c r="N93" s="2">
        <v>-25</v>
      </c>
    </row>
    <row r="94" spans="1:14" ht="14" x14ac:dyDescent="0.2">
      <c r="A94" t="s">
        <v>519</v>
      </c>
      <c r="B94" s="22">
        <v>1706194</v>
      </c>
      <c r="C94" s="2" t="s">
        <v>116</v>
      </c>
      <c r="D94" s="14">
        <v>925442422</v>
      </c>
      <c r="E94" s="2" t="s">
        <v>857</v>
      </c>
      <c r="F94" s="2">
        <v>0</v>
      </c>
      <c r="G94" s="14">
        <v>20240201</v>
      </c>
      <c r="H94" s="14" t="str">
        <f>TEXT(DATE(LEFT(G94,4), MID(G94,5,2), RIGHT(G94,2)), "M/d/yyyy")</f>
        <v>2/1/2024</v>
      </c>
      <c r="I94" s="14">
        <v>20210101</v>
      </c>
      <c r="J94" s="14" t="str">
        <f>TEXT(DATE(LEFT(I94,4), MID(I94,5,2), RIGHT(I94,2)), "M/d/yyyy")</f>
        <v>1/1/2021</v>
      </c>
      <c r="K94" s="14">
        <v>37</v>
      </c>
      <c r="L94" s="2" t="s">
        <v>58</v>
      </c>
      <c r="M94" s="14">
        <v>25</v>
      </c>
      <c r="N94" s="2">
        <v>-25</v>
      </c>
    </row>
    <row r="95" spans="1:14" ht="14" x14ac:dyDescent="0.2">
      <c r="A95" t="s">
        <v>519</v>
      </c>
      <c r="B95" s="22">
        <v>1706194</v>
      </c>
      <c r="D95" s="14">
        <v>893769789</v>
      </c>
      <c r="E95" s="2" t="s">
        <v>841</v>
      </c>
      <c r="F95" s="2">
        <v>36.520000000000003</v>
      </c>
      <c r="G95" s="14">
        <v>20250201</v>
      </c>
      <c r="H95" s="14" t="str">
        <f>TEXT(DATE(LEFT(G95,4), MID(G95,5,2), RIGHT(G95,2)), "M/d/yyyy")</f>
        <v>2/1/2025</v>
      </c>
      <c r="I95" s="14">
        <v>20250101</v>
      </c>
      <c r="J95" s="14" t="str">
        <f>TEXT(DATE(LEFT(I95,4), MID(I95,5,2), RIGHT(I95,2)), "M/d/yyyy")</f>
        <v>1/1/2025</v>
      </c>
      <c r="K95" s="14">
        <v>119</v>
      </c>
      <c r="L95" s="2" t="s">
        <v>282</v>
      </c>
      <c r="M95" s="14">
        <v>0.04</v>
      </c>
      <c r="N95" s="2">
        <v>1.46</v>
      </c>
    </row>
    <row r="96" spans="1:14" ht="14" x14ac:dyDescent="0.2">
      <c r="A96" t="s">
        <v>519</v>
      </c>
      <c r="B96" s="22">
        <v>1706194</v>
      </c>
      <c r="C96" s="14">
        <v>1</v>
      </c>
      <c r="D96" s="14">
        <v>924984155</v>
      </c>
      <c r="E96" s="2" t="s">
        <v>847</v>
      </c>
      <c r="F96" s="2">
        <v>0</v>
      </c>
      <c r="G96" s="14">
        <v>20250201</v>
      </c>
      <c r="H96" s="14" t="str">
        <f>TEXT(DATE(LEFT(G96,4), MID(G96,5,2), RIGHT(G96,2)), "M/d/yyyy")</f>
        <v>2/1/2025</v>
      </c>
      <c r="I96" s="14">
        <v>20220101</v>
      </c>
      <c r="J96" s="14" t="str">
        <f>TEXT(DATE(LEFT(I96,4), MID(I96,5,2), RIGHT(I96,2)), "M/d/yyyy")</f>
        <v>1/1/2022</v>
      </c>
      <c r="K96" s="14">
        <v>37</v>
      </c>
      <c r="L96" s="2" t="s">
        <v>45</v>
      </c>
      <c r="M96" s="14">
        <v>20</v>
      </c>
      <c r="N96" s="2">
        <v>20</v>
      </c>
    </row>
    <row r="97" spans="1:14" ht="14" x14ac:dyDescent="0.2">
      <c r="A97" t="s">
        <v>519</v>
      </c>
      <c r="B97" s="22">
        <v>1706194</v>
      </c>
      <c r="C97" s="14">
        <v>1</v>
      </c>
      <c r="D97" s="14">
        <v>925278861</v>
      </c>
      <c r="E97" s="2" t="s">
        <v>853</v>
      </c>
      <c r="F97" s="2">
        <v>0</v>
      </c>
      <c r="G97" s="14">
        <v>20250201</v>
      </c>
      <c r="H97" s="14" t="str">
        <f>TEXT(DATE(LEFT(G97,4), MID(G97,5,2), RIGHT(G97,2)), "M/d/yyyy")</f>
        <v>2/1/2025</v>
      </c>
      <c r="I97" s="14">
        <v>20190101</v>
      </c>
      <c r="J97" s="14" t="str">
        <f>TEXT(DATE(LEFT(I97,4), MID(I97,5,2), RIGHT(I97,2)), "M/d/yyyy")</f>
        <v>1/1/2019</v>
      </c>
      <c r="K97" s="14">
        <v>73</v>
      </c>
      <c r="L97" s="2" t="s">
        <v>45</v>
      </c>
      <c r="M97" s="14">
        <v>20</v>
      </c>
      <c r="N97" s="2">
        <v>20</v>
      </c>
    </row>
    <row r="98" spans="1:14" ht="14" x14ac:dyDescent="0.2">
      <c r="A98" t="s">
        <v>519</v>
      </c>
      <c r="B98" s="22">
        <v>1706194</v>
      </c>
      <c r="C98" s="14">
        <v>1</v>
      </c>
      <c r="D98" s="14">
        <v>925556803</v>
      </c>
      <c r="E98" s="2" t="s">
        <v>864</v>
      </c>
      <c r="F98" s="2">
        <v>0</v>
      </c>
      <c r="G98" s="14">
        <v>20250201</v>
      </c>
      <c r="H98" s="14" t="str">
        <f>TEXT(DATE(LEFT(G98,4), MID(G98,5,2), RIGHT(G98,2)), "M/d/yyyy")</f>
        <v>2/1/2025</v>
      </c>
      <c r="I98" s="14">
        <v>20210601</v>
      </c>
      <c r="J98" s="14" t="str">
        <f>TEXT(DATE(LEFT(I98,4), MID(I98,5,2), RIGHT(I98,2)), "M/d/yyyy")</f>
        <v>6/1/2021</v>
      </c>
      <c r="K98" s="14">
        <v>44</v>
      </c>
      <c r="L98" s="2" t="s">
        <v>45</v>
      </c>
      <c r="M98" s="14">
        <v>20</v>
      </c>
      <c r="N98" s="2">
        <v>20</v>
      </c>
    </row>
    <row r="99" spans="1:14" ht="14" x14ac:dyDescent="0.2">
      <c r="A99" t="s">
        <v>519</v>
      </c>
      <c r="B99" s="22">
        <v>1706194</v>
      </c>
      <c r="C99" s="14">
        <v>1</v>
      </c>
      <c r="D99" s="14">
        <v>943731535</v>
      </c>
      <c r="E99" s="2" t="s">
        <v>880</v>
      </c>
      <c r="F99" s="2">
        <v>0</v>
      </c>
      <c r="G99" s="14">
        <v>20250201</v>
      </c>
      <c r="H99" s="14" t="str">
        <f>TEXT(DATE(LEFT(G99,4), MID(G99,5,2), RIGHT(G99,2)), "M/d/yyyy")</f>
        <v>2/1/2025</v>
      </c>
      <c r="I99" s="14">
        <v>20240401</v>
      </c>
      <c r="J99" s="14" t="str">
        <f>TEXT(DATE(LEFT(I99,4), MID(I99,5,2), RIGHT(I99,2)), "M/d/yyyy")</f>
        <v>4/1/2024</v>
      </c>
      <c r="K99" s="14">
        <v>10</v>
      </c>
      <c r="L99" s="2" t="s">
        <v>45</v>
      </c>
      <c r="M99" s="14">
        <v>20</v>
      </c>
      <c r="N99" s="2">
        <v>20</v>
      </c>
    </row>
    <row r="100" spans="1:14" ht="14" x14ac:dyDescent="0.2">
      <c r="A100" t="s">
        <v>519</v>
      </c>
      <c r="B100" s="22">
        <v>1706194</v>
      </c>
      <c r="C100" s="14">
        <v>1</v>
      </c>
      <c r="D100" s="14">
        <v>893308450</v>
      </c>
      <c r="E100" s="2" t="s">
        <v>839</v>
      </c>
      <c r="F100" s="2">
        <v>0</v>
      </c>
      <c r="G100" s="14">
        <v>20250201</v>
      </c>
      <c r="H100" s="14" t="str">
        <f>TEXT(DATE(LEFT(G100,4), MID(G100,5,2), RIGHT(G100,2)), "M/d/yyyy")</f>
        <v>2/1/2025</v>
      </c>
      <c r="I100" s="14">
        <v>20230101</v>
      </c>
      <c r="J100" s="14" t="str">
        <f>TEXT(DATE(LEFT(I100,4), MID(I100,5,2), RIGHT(I100,2)), "M/d/yyyy")</f>
        <v>1/1/2023</v>
      </c>
      <c r="K100" s="14">
        <v>25</v>
      </c>
      <c r="L100" s="2" t="s">
        <v>58</v>
      </c>
      <c r="M100" s="14">
        <v>25</v>
      </c>
      <c r="N100" s="2">
        <v>25</v>
      </c>
    </row>
    <row r="101" spans="1:14" ht="14" x14ac:dyDescent="0.2">
      <c r="A101" t="s">
        <v>519</v>
      </c>
      <c r="B101" s="22">
        <v>1706194</v>
      </c>
      <c r="C101" s="14">
        <v>1</v>
      </c>
      <c r="D101" s="14">
        <v>893769789</v>
      </c>
      <c r="E101" s="2" t="s">
        <v>841</v>
      </c>
      <c r="F101" s="2">
        <v>0</v>
      </c>
      <c r="G101" s="14">
        <v>20250201</v>
      </c>
      <c r="H101" s="14" t="str">
        <f>TEXT(DATE(LEFT(G101,4), MID(G101,5,2), RIGHT(G101,2)), "M/d/yyyy")</f>
        <v>2/1/2025</v>
      </c>
      <c r="I101" s="14">
        <v>20150301</v>
      </c>
      <c r="J101" s="14" t="str">
        <f>TEXT(DATE(LEFT(I101,4), MID(I101,5,2), RIGHT(I101,2)), "M/d/yyyy")</f>
        <v>3/1/2015</v>
      </c>
      <c r="K101" s="14">
        <v>119</v>
      </c>
      <c r="L101" s="2" t="s">
        <v>58</v>
      </c>
      <c r="M101" s="14">
        <v>25</v>
      </c>
      <c r="N101" s="2">
        <v>25</v>
      </c>
    </row>
    <row r="102" spans="1:14" ht="14" x14ac:dyDescent="0.2">
      <c r="A102" t="s">
        <v>519</v>
      </c>
      <c r="B102" s="22">
        <v>1706194</v>
      </c>
      <c r="C102" s="14">
        <v>1</v>
      </c>
      <c r="D102" s="14">
        <v>924005102</v>
      </c>
      <c r="E102" s="2" t="s">
        <v>842</v>
      </c>
      <c r="F102" s="2">
        <v>0</v>
      </c>
      <c r="G102" s="14">
        <v>20250201</v>
      </c>
      <c r="H102" s="14" t="str">
        <f>TEXT(DATE(LEFT(G102,4), MID(G102,5,2), RIGHT(G102,2)), "M/d/yyyy")</f>
        <v>2/1/2025</v>
      </c>
      <c r="I102" s="14">
        <v>20240401</v>
      </c>
      <c r="J102" s="14" t="str">
        <f>TEXT(DATE(LEFT(I102,4), MID(I102,5,2), RIGHT(I102,2)), "M/d/yyyy")</f>
        <v>4/1/2024</v>
      </c>
      <c r="K102" s="14">
        <v>10</v>
      </c>
      <c r="L102" s="2" t="s">
        <v>58</v>
      </c>
      <c r="M102" s="14">
        <v>25</v>
      </c>
      <c r="N102" s="2">
        <v>25</v>
      </c>
    </row>
    <row r="103" spans="1:14" ht="14" x14ac:dyDescent="0.2">
      <c r="A103" t="s">
        <v>519</v>
      </c>
      <c r="B103" s="22">
        <v>1706194</v>
      </c>
      <c r="C103" s="14">
        <v>1</v>
      </c>
      <c r="D103" s="14">
        <v>924142066</v>
      </c>
      <c r="E103" s="2" t="s">
        <v>843</v>
      </c>
      <c r="F103" s="2">
        <v>0</v>
      </c>
      <c r="G103" s="14">
        <v>20250201</v>
      </c>
      <c r="H103" s="14" t="str">
        <f>TEXT(DATE(LEFT(G103,4), MID(G103,5,2), RIGHT(G103,2)), "M/d/yyyy")</f>
        <v>2/1/2025</v>
      </c>
      <c r="I103" s="14">
        <v>20210101</v>
      </c>
      <c r="J103" s="14" t="str">
        <f>TEXT(DATE(LEFT(I103,4), MID(I103,5,2), RIGHT(I103,2)), "M/d/yyyy")</f>
        <v>1/1/2021</v>
      </c>
      <c r="K103" s="14">
        <v>49</v>
      </c>
      <c r="L103" s="2" t="s">
        <v>58</v>
      </c>
      <c r="M103" s="14">
        <v>25</v>
      </c>
      <c r="N103" s="2">
        <v>25</v>
      </c>
    </row>
    <row r="104" spans="1:14" ht="14" x14ac:dyDescent="0.2">
      <c r="A104" t="s">
        <v>519</v>
      </c>
      <c r="B104" s="22">
        <v>1706194</v>
      </c>
      <c r="C104" s="14">
        <v>1</v>
      </c>
      <c r="D104" s="14">
        <v>924164339</v>
      </c>
      <c r="E104" s="2" t="s">
        <v>844</v>
      </c>
      <c r="F104" s="2">
        <v>0</v>
      </c>
      <c r="G104" s="14">
        <v>20250201</v>
      </c>
      <c r="H104" s="14" t="str">
        <f>TEXT(DATE(LEFT(G104,4), MID(G104,5,2), RIGHT(G104,2)), "M/d/yyyy")</f>
        <v>2/1/2025</v>
      </c>
      <c r="I104" s="14">
        <v>20230201</v>
      </c>
      <c r="J104" s="14" t="str">
        <f>TEXT(DATE(LEFT(I104,4), MID(I104,5,2), RIGHT(I104,2)), "M/d/yyyy")</f>
        <v>2/1/2023</v>
      </c>
      <c r="K104" s="14">
        <v>24</v>
      </c>
      <c r="L104" s="2" t="s">
        <v>58</v>
      </c>
      <c r="M104" s="14">
        <v>25</v>
      </c>
      <c r="N104" s="2">
        <v>25</v>
      </c>
    </row>
    <row r="105" spans="1:14" ht="14" x14ac:dyDescent="0.2">
      <c r="A105" t="s">
        <v>519</v>
      </c>
      <c r="B105" s="22">
        <v>1706194</v>
      </c>
      <c r="C105" s="14">
        <v>1</v>
      </c>
      <c r="D105" s="14">
        <v>924183024</v>
      </c>
      <c r="E105" s="2" t="s">
        <v>845</v>
      </c>
      <c r="F105" s="2">
        <v>0</v>
      </c>
      <c r="G105" s="14">
        <v>20250201</v>
      </c>
      <c r="H105" s="14" t="str">
        <f>TEXT(DATE(LEFT(G105,4), MID(G105,5,2), RIGHT(G105,2)), "M/d/yyyy")</f>
        <v>2/1/2025</v>
      </c>
      <c r="I105" s="14">
        <v>20210101</v>
      </c>
      <c r="J105" s="14" t="str">
        <f>TEXT(DATE(LEFT(I105,4), MID(I105,5,2), RIGHT(I105,2)), "M/d/yyyy")</f>
        <v>1/1/2021</v>
      </c>
      <c r="K105" s="14">
        <v>49</v>
      </c>
      <c r="L105" s="2" t="s">
        <v>58</v>
      </c>
      <c r="M105" s="14">
        <v>25</v>
      </c>
      <c r="N105" s="2">
        <v>25</v>
      </c>
    </row>
    <row r="106" spans="1:14" ht="14" x14ac:dyDescent="0.2">
      <c r="A106" t="s">
        <v>519</v>
      </c>
      <c r="B106" s="22">
        <v>1706194</v>
      </c>
      <c r="C106" s="14">
        <v>1</v>
      </c>
      <c r="D106" s="14">
        <v>925100575</v>
      </c>
      <c r="E106" s="2" t="s">
        <v>849</v>
      </c>
      <c r="F106" s="2">
        <v>0</v>
      </c>
      <c r="G106" s="14">
        <v>20250201</v>
      </c>
      <c r="H106" s="14" t="str">
        <f>TEXT(DATE(LEFT(G106,4), MID(G106,5,2), RIGHT(G106,2)), "M/d/yyyy")</f>
        <v>2/1/2025</v>
      </c>
      <c r="I106" s="14">
        <v>20230101</v>
      </c>
      <c r="J106" s="14" t="str">
        <f>TEXT(DATE(LEFT(I106,4), MID(I106,5,2), RIGHT(I106,2)), "M/d/yyyy")</f>
        <v>1/1/2023</v>
      </c>
      <c r="K106" s="14">
        <v>25</v>
      </c>
      <c r="L106" s="2" t="s">
        <v>58</v>
      </c>
      <c r="M106" s="14">
        <v>25</v>
      </c>
      <c r="N106" s="2">
        <v>25</v>
      </c>
    </row>
    <row r="107" spans="1:14" ht="14" x14ac:dyDescent="0.2">
      <c r="A107" t="s">
        <v>519</v>
      </c>
      <c r="B107" s="22">
        <v>1706194</v>
      </c>
      <c r="C107" s="14">
        <v>1</v>
      </c>
      <c r="D107" s="14">
        <v>925148516</v>
      </c>
      <c r="E107" s="2" t="s">
        <v>850</v>
      </c>
      <c r="F107" s="2">
        <v>0</v>
      </c>
      <c r="G107" s="14">
        <v>20250201</v>
      </c>
      <c r="H107" s="14" t="str">
        <f>TEXT(DATE(LEFT(G107,4), MID(G107,5,2), RIGHT(G107,2)), "M/d/yyyy")</f>
        <v>2/1/2025</v>
      </c>
      <c r="I107" s="14">
        <v>20170301</v>
      </c>
      <c r="J107" s="14" t="str">
        <f>TEXT(DATE(LEFT(I107,4), MID(I107,5,2), RIGHT(I107,2)), "M/d/yyyy")</f>
        <v>3/1/2017</v>
      </c>
      <c r="K107" s="14">
        <v>95</v>
      </c>
      <c r="L107" s="2" t="s">
        <v>58</v>
      </c>
      <c r="M107" s="14">
        <v>25</v>
      </c>
      <c r="N107" s="2">
        <v>25</v>
      </c>
    </row>
    <row r="108" spans="1:14" ht="14" x14ac:dyDescent="0.2">
      <c r="A108" t="s">
        <v>519</v>
      </c>
      <c r="B108" s="22">
        <v>1706194</v>
      </c>
      <c r="C108" s="14">
        <v>1</v>
      </c>
      <c r="D108" s="14">
        <v>925183832</v>
      </c>
      <c r="E108" s="2" t="s">
        <v>851</v>
      </c>
      <c r="F108" s="2">
        <v>0</v>
      </c>
      <c r="G108" s="14">
        <v>20250201</v>
      </c>
      <c r="H108" s="14" t="str">
        <f>TEXT(DATE(LEFT(G108,4), MID(G108,5,2), RIGHT(G108,2)), "M/d/yyyy")</f>
        <v>2/1/2025</v>
      </c>
      <c r="I108" s="14">
        <v>20240401</v>
      </c>
      <c r="J108" s="14" t="str">
        <f>TEXT(DATE(LEFT(I108,4), MID(I108,5,2), RIGHT(I108,2)), "M/d/yyyy")</f>
        <v>4/1/2024</v>
      </c>
      <c r="K108" s="14">
        <v>10</v>
      </c>
      <c r="L108" s="2" t="s">
        <v>58</v>
      </c>
      <c r="M108" s="14">
        <v>25</v>
      </c>
      <c r="N108" s="2">
        <v>25</v>
      </c>
    </row>
    <row r="109" spans="1:14" ht="14" x14ac:dyDescent="0.2">
      <c r="A109" t="s">
        <v>519</v>
      </c>
      <c r="B109" s="22">
        <v>1706194</v>
      </c>
      <c r="C109" s="14">
        <v>1</v>
      </c>
      <c r="D109" s="14">
        <v>925352115</v>
      </c>
      <c r="E109" s="2" t="s">
        <v>855</v>
      </c>
      <c r="F109" s="2">
        <v>0</v>
      </c>
      <c r="G109" s="14">
        <v>20250201</v>
      </c>
      <c r="H109" s="14" t="str">
        <f>TEXT(DATE(LEFT(G109,4), MID(G109,5,2), RIGHT(G109,2)), "M/d/yyyy")</f>
        <v>2/1/2025</v>
      </c>
      <c r="I109" s="14">
        <v>20191201</v>
      </c>
      <c r="J109" s="14" t="str">
        <f>TEXT(DATE(LEFT(I109,4), MID(I109,5,2), RIGHT(I109,2)), "M/d/yyyy")</f>
        <v>12/1/2019</v>
      </c>
      <c r="K109" s="14">
        <v>62</v>
      </c>
      <c r="L109" s="2" t="s">
        <v>58</v>
      </c>
      <c r="M109" s="14">
        <v>25</v>
      </c>
      <c r="N109" s="2">
        <v>25</v>
      </c>
    </row>
    <row r="110" spans="1:14" ht="14" x14ac:dyDescent="0.2">
      <c r="A110" t="s">
        <v>519</v>
      </c>
      <c r="B110" s="22">
        <v>1706194</v>
      </c>
      <c r="C110" s="14">
        <v>1</v>
      </c>
      <c r="D110" s="14">
        <v>925439912</v>
      </c>
      <c r="E110" s="2" t="s">
        <v>856</v>
      </c>
      <c r="F110" s="2">
        <v>0</v>
      </c>
      <c r="G110" s="14">
        <v>20250201</v>
      </c>
      <c r="H110" s="14" t="str">
        <f>TEXT(DATE(LEFT(G110,4), MID(G110,5,2), RIGHT(G110,2)), "M/d/yyyy")</f>
        <v>2/1/2025</v>
      </c>
      <c r="I110" s="14">
        <v>20210101</v>
      </c>
      <c r="J110" s="14" t="str">
        <f>TEXT(DATE(LEFT(I110,4), MID(I110,5,2), RIGHT(I110,2)), "M/d/yyyy")</f>
        <v>1/1/2021</v>
      </c>
      <c r="K110" s="14">
        <v>49</v>
      </c>
      <c r="L110" s="2" t="s">
        <v>58</v>
      </c>
      <c r="M110" s="14">
        <v>25</v>
      </c>
      <c r="N110" s="2">
        <v>25</v>
      </c>
    </row>
    <row r="111" spans="1:14" ht="14" x14ac:dyDescent="0.2">
      <c r="A111" t="s">
        <v>519</v>
      </c>
      <c r="B111" s="22">
        <v>1706194</v>
      </c>
      <c r="C111" s="14">
        <v>1</v>
      </c>
      <c r="D111" s="14">
        <v>925449744</v>
      </c>
      <c r="E111" s="2" t="s">
        <v>859</v>
      </c>
      <c r="F111" s="2">
        <v>0</v>
      </c>
      <c r="G111" s="14">
        <v>20250201</v>
      </c>
      <c r="H111" s="14" t="str">
        <f>TEXT(DATE(LEFT(G111,4), MID(G111,5,2), RIGHT(G111,2)), "M/d/yyyy")</f>
        <v>2/1/2025</v>
      </c>
      <c r="I111" s="14">
        <v>20210101</v>
      </c>
      <c r="J111" s="14" t="str">
        <f>TEXT(DATE(LEFT(I111,4), MID(I111,5,2), RIGHT(I111,2)), "M/d/yyyy")</f>
        <v>1/1/2021</v>
      </c>
      <c r="K111" s="14">
        <v>49</v>
      </c>
      <c r="L111" s="2" t="s">
        <v>58</v>
      </c>
      <c r="M111" s="14">
        <v>25</v>
      </c>
      <c r="N111" s="2">
        <v>25</v>
      </c>
    </row>
    <row r="112" spans="1:14" ht="14" x14ac:dyDescent="0.2">
      <c r="A112" t="s">
        <v>519</v>
      </c>
      <c r="B112" s="22">
        <v>1706194</v>
      </c>
      <c r="C112" s="14">
        <v>1</v>
      </c>
      <c r="D112" s="14">
        <v>925488083</v>
      </c>
      <c r="E112" s="2" t="s">
        <v>860</v>
      </c>
      <c r="F112" s="2">
        <v>0</v>
      </c>
      <c r="G112" s="14">
        <v>20250201</v>
      </c>
      <c r="H112" s="14" t="str">
        <f>TEXT(DATE(LEFT(G112,4), MID(G112,5,2), RIGHT(G112,2)), "M/d/yyyy")</f>
        <v>2/1/2025</v>
      </c>
      <c r="I112" s="14">
        <v>20210101</v>
      </c>
      <c r="J112" s="14" t="str">
        <f>TEXT(DATE(LEFT(I112,4), MID(I112,5,2), RIGHT(I112,2)), "M/d/yyyy")</f>
        <v>1/1/2021</v>
      </c>
      <c r="K112" s="14">
        <v>49</v>
      </c>
      <c r="L112" s="2" t="s">
        <v>58</v>
      </c>
      <c r="M112" s="14">
        <v>25</v>
      </c>
      <c r="N112" s="2">
        <v>25</v>
      </c>
    </row>
    <row r="113" spans="1:14" ht="14" x14ac:dyDescent="0.2">
      <c r="A113" t="s">
        <v>519</v>
      </c>
      <c r="B113" s="22">
        <v>1706194</v>
      </c>
      <c r="C113" s="14">
        <v>1</v>
      </c>
      <c r="D113" s="14">
        <v>925498699</v>
      </c>
      <c r="E113" s="2" t="s">
        <v>861</v>
      </c>
      <c r="F113" s="2">
        <v>0</v>
      </c>
      <c r="G113" s="14">
        <v>20250201</v>
      </c>
      <c r="H113" s="14" t="str">
        <f>TEXT(DATE(LEFT(G113,4), MID(G113,5,2), RIGHT(G113,2)), "M/d/yyyy")</f>
        <v>2/1/2025</v>
      </c>
      <c r="I113" s="14">
        <v>20210201</v>
      </c>
      <c r="J113" s="14" t="str">
        <f>TEXT(DATE(LEFT(I113,4), MID(I113,5,2), RIGHT(I113,2)), "M/d/yyyy")</f>
        <v>2/1/2021</v>
      </c>
      <c r="K113" s="14">
        <v>48</v>
      </c>
      <c r="L113" s="2" t="s">
        <v>58</v>
      </c>
      <c r="M113" s="14">
        <v>25</v>
      </c>
      <c r="N113" s="2">
        <v>25</v>
      </c>
    </row>
    <row r="114" spans="1:14" ht="14" x14ac:dyDescent="0.2">
      <c r="A114" t="s">
        <v>519</v>
      </c>
      <c r="B114" s="22">
        <v>1706194</v>
      </c>
      <c r="C114" s="14">
        <v>1</v>
      </c>
      <c r="D114" s="14">
        <v>925553385</v>
      </c>
      <c r="E114" s="2" t="s">
        <v>863</v>
      </c>
      <c r="F114" s="2">
        <v>0</v>
      </c>
      <c r="G114" s="14">
        <v>20250201</v>
      </c>
      <c r="H114" s="14" t="str">
        <f>TEXT(DATE(LEFT(G114,4), MID(G114,5,2), RIGHT(G114,2)), "M/d/yyyy")</f>
        <v>2/1/2025</v>
      </c>
      <c r="I114" s="14">
        <v>20210601</v>
      </c>
      <c r="J114" s="14" t="str">
        <f>TEXT(DATE(LEFT(I114,4), MID(I114,5,2), RIGHT(I114,2)), "M/d/yyyy")</f>
        <v>6/1/2021</v>
      </c>
      <c r="K114" s="14">
        <v>44</v>
      </c>
      <c r="L114" s="2" t="s">
        <v>58</v>
      </c>
      <c r="M114" s="14">
        <v>25</v>
      </c>
      <c r="N114" s="2">
        <v>25</v>
      </c>
    </row>
    <row r="115" spans="1:14" ht="14" x14ac:dyDescent="0.2">
      <c r="A115" t="s">
        <v>519</v>
      </c>
      <c r="B115" s="22">
        <v>1706194</v>
      </c>
      <c r="C115" s="14">
        <v>1</v>
      </c>
      <c r="D115" s="14">
        <v>925609037</v>
      </c>
      <c r="E115" s="2" t="s">
        <v>866</v>
      </c>
      <c r="F115" s="2">
        <v>0</v>
      </c>
      <c r="G115" s="14">
        <v>20250201</v>
      </c>
      <c r="H115" s="14" t="str">
        <f>TEXT(DATE(LEFT(G115,4), MID(G115,5,2), RIGHT(G115,2)), "M/d/yyyy")</f>
        <v>2/1/2025</v>
      </c>
      <c r="I115" s="14">
        <v>20220101</v>
      </c>
      <c r="J115" s="14" t="str">
        <f>TEXT(DATE(LEFT(I115,4), MID(I115,5,2), RIGHT(I115,2)), "M/d/yyyy")</f>
        <v>1/1/2022</v>
      </c>
      <c r="K115" s="14">
        <v>37</v>
      </c>
      <c r="L115" s="2" t="s">
        <v>58</v>
      </c>
      <c r="M115" s="14">
        <v>25</v>
      </c>
      <c r="N115" s="2">
        <v>25</v>
      </c>
    </row>
    <row r="116" spans="1:14" ht="14" x14ac:dyDescent="0.2">
      <c r="A116" t="s">
        <v>519</v>
      </c>
      <c r="B116" s="22">
        <v>1706194</v>
      </c>
      <c r="C116" s="14">
        <v>1</v>
      </c>
      <c r="D116" s="14">
        <v>925794500</v>
      </c>
      <c r="E116" s="2" t="s">
        <v>870</v>
      </c>
      <c r="F116" s="2">
        <v>0</v>
      </c>
      <c r="G116" s="14">
        <v>20250101</v>
      </c>
      <c r="H116" s="14" t="str">
        <f>TEXT(DATE(LEFT(G116,4), MID(G116,5,2), RIGHT(G116,2)), "M/d/yyyy")</f>
        <v>1/1/2025</v>
      </c>
      <c r="I116" s="14">
        <v>20221101</v>
      </c>
      <c r="J116" s="14" t="str">
        <f>TEXT(DATE(LEFT(I116,4), MID(I116,5,2), RIGHT(I116,2)), "M/d/yyyy")</f>
        <v>11/1/2022</v>
      </c>
      <c r="K116" s="14">
        <v>26</v>
      </c>
      <c r="L116" s="2" t="s">
        <v>58</v>
      </c>
      <c r="M116" s="14">
        <v>25</v>
      </c>
      <c r="N116" s="2">
        <v>25</v>
      </c>
    </row>
    <row r="117" spans="1:14" ht="14" x14ac:dyDescent="0.2">
      <c r="A117" t="s">
        <v>519</v>
      </c>
      <c r="B117" s="22">
        <v>1706194</v>
      </c>
      <c r="C117" s="14">
        <v>1</v>
      </c>
      <c r="D117" s="14">
        <v>925794500</v>
      </c>
      <c r="E117" s="2" t="s">
        <v>870</v>
      </c>
      <c r="F117" s="2">
        <v>0</v>
      </c>
      <c r="G117" s="14">
        <v>20241201</v>
      </c>
      <c r="H117" s="14" t="str">
        <f>TEXT(DATE(LEFT(G117,4), MID(G117,5,2), RIGHT(G117,2)), "M/d/yyyy")</f>
        <v>12/1/2024</v>
      </c>
      <c r="I117" s="14">
        <v>20221101</v>
      </c>
      <c r="J117" s="14" t="str">
        <f>TEXT(DATE(LEFT(I117,4), MID(I117,5,2), RIGHT(I117,2)), "M/d/yyyy")</f>
        <v>11/1/2022</v>
      </c>
      <c r="K117" s="14">
        <v>25</v>
      </c>
      <c r="L117" s="2" t="s">
        <v>58</v>
      </c>
      <c r="M117" s="14">
        <v>25</v>
      </c>
      <c r="N117" s="2">
        <v>25</v>
      </c>
    </row>
    <row r="118" spans="1:14" ht="14" x14ac:dyDescent="0.2">
      <c r="A118" t="s">
        <v>519</v>
      </c>
      <c r="B118" s="22">
        <v>1706194</v>
      </c>
      <c r="C118" s="14">
        <v>1</v>
      </c>
      <c r="D118" s="14">
        <v>925794500</v>
      </c>
      <c r="E118" s="2" t="s">
        <v>870</v>
      </c>
      <c r="F118" s="2">
        <v>0</v>
      </c>
      <c r="G118" s="14">
        <v>20250201</v>
      </c>
      <c r="H118" s="14" t="str">
        <f>TEXT(DATE(LEFT(G118,4), MID(G118,5,2), RIGHT(G118,2)), "M/d/yyyy")</f>
        <v>2/1/2025</v>
      </c>
      <c r="I118" s="14">
        <v>20221101</v>
      </c>
      <c r="J118" s="14" t="str">
        <f>TEXT(DATE(LEFT(I118,4), MID(I118,5,2), RIGHT(I118,2)), "M/d/yyyy")</f>
        <v>11/1/2022</v>
      </c>
      <c r="K118" s="14">
        <v>27</v>
      </c>
      <c r="L118" s="2" t="s">
        <v>58</v>
      </c>
      <c r="M118" s="14">
        <v>25</v>
      </c>
      <c r="N118" s="2">
        <v>25</v>
      </c>
    </row>
    <row r="119" spans="1:14" ht="14" x14ac:dyDescent="0.2">
      <c r="A119" t="s">
        <v>519</v>
      </c>
      <c r="B119" s="22">
        <v>1706194</v>
      </c>
      <c r="C119" s="14">
        <v>1</v>
      </c>
      <c r="D119" s="14">
        <v>925843285</v>
      </c>
      <c r="E119" s="2" t="s">
        <v>872</v>
      </c>
      <c r="F119" s="2">
        <v>0</v>
      </c>
      <c r="G119" s="14">
        <v>20250201</v>
      </c>
      <c r="H119" s="14" t="str">
        <f>TEXT(DATE(LEFT(G119,4), MID(G119,5,2), RIGHT(G119,2)), "M/d/yyyy")</f>
        <v>2/1/2025</v>
      </c>
      <c r="I119" s="14">
        <v>20230101</v>
      </c>
      <c r="J119" s="14" t="str">
        <f>TEXT(DATE(LEFT(I119,4), MID(I119,5,2), RIGHT(I119,2)), "M/d/yyyy")</f>
        <v>1/1/2023</v>
      </c>
      <c r="K119" s="14">
        <v>25</v>
      </c>
      <c r="L119" s="2" t="s">
        <v>58</v>
      </c>
      <c r="M119" s="14">
        <v>25</v>
      </c>
      <c r="N119" s="2">
        <v>25</v>
      </c>
    </row>
    <row r="120" spans="1:14" ht="14" x14ac:dyDescent="0.2">
      <c r="A120" t="s">
        <v>519</v>
      </c>
      <c r="B120" s="22">
        <v>1706194</v>
      </c>
      <c r="C120" s="14">
        <v>1</v>
      </c>
      <c r="D120" s="14">
        <v>925844008</v>
      </c>
      <c r="E120" s="2" t="s">
        <v>873</v>
      </c>
      <c r="F120" s="2">
        <v>0</v>
      </c>
      <c r="G120" s="14">
        <v>20250201</v>
      </c>
      <c r="H120" s="14" t="str">
        <f>TEXT(DATE(LEFT(G120,4), MID(G120,5,2), RIGHT(G120,2)), "M/d/yyyy")</f>
        <v>2/1/2025</v>
      </c>
      <c r="I120" s="14">
        <v>20250101</v>
      </c>
      <c r="J120" s="14" t="str">
        <f>TEXT(DATE(LEFT(I120,4), MID(I120,5,2), RIGHT(I120,2)), "M/d/yyyy")</f>
        <v>1/1/2025</v>
      </c>
      <c r="K120" s="14">
        <v>1</v>
      </c>
      <c r="L120" s="2" t="s">
        <v>58</v>
      </c>
      <c r="M120" s="14">
        <v>25</v>
      </c>
      <c r="N120" s="2">
        <v>25</v>
      </c>
    </row>
    <row r="121" spans="1:14" ht="14" x14ac:dyDescent="0.2">
      <c r="A121" t="s">
        <v>519</v>
      </c>
      <c r="B121" s="22">
        <v>1706194</v>
      </c>
      <c r="C121" s="14">
        <v>1</v>
      </c>
      <c r="D121" s="14">
        <v>925914971</v>
      </c>
      <c r="E121" s="2" t="s">
        <v>874</v>
      </c>
      <c r="F121" s="2">
        <v>0</v>
      </c>
      <c r="G121" s="14">
        <v>20250201</v>
      </c>
      <c r="H121" s="14" t="str">
        <f>TEXT(DATE(LEFT(G121,4), MID(G121,5,2), RIGHT(G121,2)), "M/d/yyyy")</f>
        <v>2/1/2025</v>
      </c>
      <c r="I121" s="14">
        <v>20230201</v>
      </c>
      <c r="J121" s="14" t="str">
        <f>TEXT(DATE(LEFT(I121,4), MID(I121,5,2), RIGHT(I121,2)), "M/d/yyyy")</f>
        <v>2/1/2023</v>
      </c>
      <c r="K121" s="14">
        <v>24</v>
      </c>
      <c r="L121" s="2" t="s">
        <v>58</v>
      </c>
      <c r="M121" s="14">
        <v>25</v>
      </c>
      <c r="N121" s="2">
        <v>25</v>
      </c>
    </row>
    <row r="122" spans="1:14" ht="14" x14ac:dyDescent="0.2">
      <c r="A122" t="s">
        <v>519</v>
      </c>
      <c r="B122" s="22">
        <v>1706194</v>
      </c>
      <c r="C122" s="14">
        <v>1</v>
      </c>
      <c r="D122" s="14">
        <v>943203146</v>
      </c>
      <c r="E122" s="2" t="s">
        <v>876</v>
      </c>
      <c r="F122" s="2">
        <v>0</v>
      </c>
      <c r="G122" s="14">
        <v>20250201</v>
      </c>
      <c r="H122" s="14" t="str">
        <f>TEXT(DATE(LEFT(G122,4), MID(G122,5,2), RIGHT(G122,2)), "M/d/yyyy")</f>
        <v>2/1/2025</v>
      </c>
      <c r="I122" s="14">
        <v>20231201</v>
      </c>
      <c r="J122" s="14" t="str">
        <f>TEXT(DATE(LEFT(I122,4), MID(I122,5,2), RIGHT(I122,2)), "M/d/yyyy")</f>
        <v>12/1/2023</v>
      </c>
      <c r="K122" s="14">
        <v>14</v>
      </c>
      <c r="L122" s="2" t="s">
        <v>58</v>
      </c>
      <c r="M122" s="14">
        <v>25</v>
      </c>
      <c r="N122" s="2">
        <v>25</v>
      </c>
    </row>
    <row r="123" spans="1:14" ht="14" x14ac:dyDescent="0.2">
      <c r="A123" t="s">
        <v>519</v>
      </c>
      <c r="B123" s="22">
        <v>1706194</v>
      </c>
      <c r="C123" s="14">
        <v>1</v>
      </c>
      <c r="D123" s="14">
        <v>943987506</v>
      </c>
      <c r="E123" s="2" t="s">
        <v>882</v>
      </c>
      <c r="F123" s="2">
        <v>0</v>
      </c>
      <c r="G123" s="14">
        <v>20250201</v>
      </c>
      <c r="H123" s="14" t="str">
        <f>TEXT(DATE(LEFT(G123,4), MID(G123,5,2), RIGHT(G123,2)), "M/d/yyyy")</f>
        <v>2/1/2025</v>
      </c>
      <c r="I123" s="14">
        <v>20240901</v>
      </c>
      <c r="J123" s="14" t="str">
        <f>TEXT(DATE(LEFT(I123,4), MID(I123,5,2), RIGHT(I123,2)), "M/d/yyyy")</f>
        <v>9/1/2024</v>
      </c>
      <c r="K123" s="14">
        <v>5</v>
      </c>
      <c r="L123" s="2" t="s">
        <v>58</v>
      </c>
      <c r="M123" s="14">
        <v>25</v>
      </c>
      <c r="N123" s="2">
        <v>25</v>
      </c>
    </row>
    <row r="124" spans="1:14" ht="14" x14ac:dyDescent="0.2">
      <c r="A124" t="s">
        <v>519</v>
      </c>
      <c r="B124" s="22">
        <v>1706194</v>
      </c>
      <c r="C124" s="14">
        <v>2</v>
      </c>
      <c r="D124" s="14">
        <v>893625516</v>
      </c>
      <c r="E124" s="2" t="s">
        <v>840</v>
      </c>
      <c r="F124" s="2">
        <v>0</v>
      </c>
      <c r="G124" s="14">
        <v>20250201</v>
      </c>
      <c r="H124" s="14" t="str">
        <f>TEXT(DATE(LEFT(G124,4), MID(G124,5,2), RIGHT(G124,2)), "M/d/yyyy")</f>
        <v>2/1/2025</v>
      </c>
      <c r="I124" s="14">
        <v>20210101</v>
      </c>
      <c r="J124" s="14" t="str">
        <f>TEXT(DATE(LEFT(I124,4), MID(I124,5,2), RIGHT(I124,2)), "M/d/yyyy")</f>
        <v>1/1/2021</v>
      </c>
      <c r="K124" s="14">
        <v>49</v>
      </c>
      <c r="L124" s="2" t="s">
        <v>58</v>
      </c>
      <c r="M124" s="14">
        <v>25</v>
      </c>
      <c r="N124" s="2">
        <v>50</v>
      </c>
    </row>
    <row r="125" spans="1:14" ht="14" x14ac:dyDescent="0.2">
      <c r="A125" t="s">
        <v>519</v>
      </c>
      <c r="B125" s="22">
        <v>1706194</v>
      </c>
      <c r="C125" s="14">
        <v>2</v>
      </c>
      <c r="D125" s="14">
        <v>925096120</v>
      </c>
      <c r="E125" s="2" t="s">
        <v>848</v>
      </c>
      <c r="F125" s="2">
        <v>0</v>
      </c>
      <c r="G125" s="14">
        <v>20250201</v>
      </c>
      <c r="H125" s="14" t="str">
        <f>TEXT(DATE(LEFT(G125,4), MID(G125,5,2), RIGHT(G125,2)), "M/d/yyyy")</f>
        <v>2/1/2025</v>
      </c>
      <c r="I125" s="14">
        <v>20180101</v>
      </c>
      <c r="J125" s="14" t="str">
        <f>TEXT(DATE(LEFT(I125,4), MID(I125,5,2), RIGHT(I125,2)), "M/d/yyyy")</f>
        <v>1/1/2018</v>
      </c>
      <c r="K125" s="14">
        <v>85</v>
      </c>
      <c r="L125" s="2" t="s">
        <v>58</v>
      </c>
      <c r="M125" s="14">
        <v>25</v>
      </c>
      <c r="N125" s="2">
        <v>50</v>
      </c>
    </row>
    <row r="126" spans="1:14" ht="14" x14ac:dyDescent="0.2">
      <c r="A126" t="s">
        <v>519</v>
      </c>
      <c r="B126" s="22">
        <v>1706194</v>
      </c>
      <c r="C126" s="14">
        <v>2</v>
      </c>
      <c r="D126" s="14">
        <v>925259322</v>
      </c>
      <c r="E126" s="2" t="s">
        <v>852</v>
      </c>
      <c r="F126" s="2">
        <v>0</v>
      </c>
      <c r="G126" s="14">
        <v>20250201</v>
      </c>
      <c r="H126" s="14" t="str">
        <f>TEXT(DATE(LEFT(G126,4), MID(G126,5,2), RIGHT(G126,2)), "M/d/yyyy")</f>
        <v>2/1/2025</v>
      </c>
      <c r="I126" s="14">
        <v>20190101</v>
      </c>
      <c r="J126" s="14" t="str">
        <f>TEXT(DATE(LEFT(I126,4), MID(I126,5,2), RIGHT(I126,2)), "M/d/yyyy")</f>
        <v>1/1/2019</v>
      </c>
      <c r="K126" s="14">
        <v>73</v>
      </c>
      <c r="L126" s="2" t="s">
        <v>58</v>
      </c>
      <c r="M126" s="14">
        <v>25</v>
      </c>
      <c r="N126" s="2">
        <v>50</v>
      </c>
    </row>
    <row r="127" spans="1:14" ht="14" x14ac:dyDescent="0.2">
      <c r="A127" t="s">
        <v>519</v>
      </c>
      <c r="B127" s="22">
        <v>1706194</v>
      </c>
      <c r="C127" s="14">
        <v>2</v>
      </c>
      <c r="D127" s="14">
        <v>925320079</v>
      </c>
      <c r="E127" s="2" t="s">
        <v>854</v>
      </c>
      <c r="F127" s="2">
        <v>0</v>
      </c>
      <c r="G127" s="14">
        <v>20250201</v>
      </c>
      <c r="H127" s="14" t="str">
        <f>TEXT(DATE(LEFT(G127,4), MID(G127,5,2), RIGHT(G127,2)), "M/d/yyyy")</f>
        <v>2/1/2025</v>
      </c>
      <c r="I127" s="14">
        <v>20220101</v>
      </c>
      <c r="J127" s="14" t="str">
        <f>TEXT(DATE(LEFT(I127,4), MID(I127,5,2), RIGHT(I127,2)), "M/d/yyyy")</f>
        <v>1/1/2022</v>
      </c>
      <c r="K127" s="14">
        <v>37</v>
      </c>
      <c r="L127" s="2" t="s">
        <v>58</v>
      </c>
      <c r="M127" s="14">
        <v>25</v>
      </c>
      <c r="N127" s="2">
        <v>50</v>
      </c>
    </row>
    <row r="128" spans="1:14" ht="14" x14ac:dyDescent="0.2">
      <c r="A128" t="s">
        <v>519</v>
      </c>
      <c r="B128" s="22">
        <v>1706194</v>
      </c>
      <c r="C128" s="14">
        <v>2</v>
      </c>
      <c r="D128" s="14">
        <v>925448460</v>
      </c>
      <c r="E128" s="2" t="s">
        <v>858</v>
      </c>
      <c r="F128" s="2">
        <v>0</v>
      </c>
      <c r="G128" s="14">
        <v>20250201</v>
      </c>
      <c r="H128" s="14" t="str">
        <f>TEXT(DATE(LEFT(G128,4), MID(G128,5,2), RIGHT(G128,2)), "M/d/yyyy")</f>
        <v>2/1/2025</v>
      </c>
      <c r="I128" s="14">
        <v>20210101</v>
      </c>
      <c r="J128" s="14" t="str">
        <f>TEXT(DATE(LEFT(I128,4), MID(I128,5,2), RIGHT(I128,2)), "M/d/yyyy")</f>
        <v>1/1/2021</v>
      </c>
      <c r="K128" s="14">
        <v>49</v>
      </c>
      <c r="L128" s="2" t="s">
        <v>58</v>
      </c>
      <c r="M128" s="14">
        <v>25</v>
      </c>
      <c r="N128" s="2">
        <v>50</v>
      </c>
    </row>
    <row r="129" spans="1:14" ht="14" x14ac:dyDescent="0.2">
      <c r="A129" t="s">
        <v>519</v>
      </c>
      <c r="B129" s="22">
        <v>1706194</v>
      </c>
      <c r="C129" s="14">
        <v>2</v>
      </c>
      <c r="D129" s="14">
        <v>925551038</v>
      </c>
      <c r="E129" s="2" t="s">
        <v>862</v>
      </c>
      <c r="F129" s="2">
        <v>0</v>
      </c>
      <c r="G129" s="14">
        <v>20250201</v>
      </c>
      <c r="H129" s="14" t="str">
        <f>TEXT(DATE(LEFT(G129,4), MID(G129,5,2), RIGHT(G129,2)), "M/d/yyyy")</f>
        <v>2/1/2025</v>
      </c>
      <c r="I129" s="14">
        <v>20240901</v>
      </c>
      <c r="J129" s="14" t="str">
        <f>TEXT(DATE(LEFT(I129,4), MID(I129,5,2), RIGHT(I129,2)), "M/d/yyyy")</f>
        <v>9/1/2024</v>
      </c>
      <c r="K129" s="14">
        <v>5</v>
      </c>
      <c r="L129" s="2" t="s">
        <v>58</v>
      </c>
      <c r="M129" s="14">
        <v>25</v>
      </c>
      <c r="N129" s="2">
        <v>50</v>
      </c>
    </row>
    <row r="130" spans="1:14" ht="14" x14ac:dyDescent="0.2">
      <c r="A130" t="s">
        <v>519</v>
      </c>
      <c r="B130" s="22">
        <v>1706194</v>
      </c>
      <c r="C130" s="14">
        <v>2</v>
      </c>
      <c r="D130" s="14">
        <v>925611876</v>
      </c>
      <c r="E130" s="2" t="s">
        <v>867</v>
      </c>
      <c r="F130" s="2">
        <v>0</v>
      </c>
      <c r="G130" s="14">
        <v>20250201</v>
      </c>
      <c r="H130" s="14" t="str">
        <f>TEXT(DATE(LEFT(G130,4), MID(G130,5,2), RIGHT(G130,2)), "M/d/yyyy")</f>
        <v>2/1/2025</v>
      </c>
      <c r="I130" s="14">
        <v>20220101</v>
      </c>
      <c r="J130" s="14" t="str">
        <f>TEXT(DATE(LEFT(I130,4), MID(I130,5,2), RIGHT(I130,2)), "M/d/yyyy")</f>
        <v>1/1/2022</v>
      </c>
      <c r="K130" s="14">
        <v>37</v>
      </c>
      <c r="L130" s="2" t="s">
        <v>58</v>
      </c>
      <c r="M130" s="14">
        <v>25</v>
      </c>
      <c r="N130" s="2">
        <v>50</v>
      </c>
    </row>
    <row r="131" spans="1:14" ht="14" x14ac:dyDescent="0.2">
      <c r="A131" t="s">
        <v>519</v>
      </c>
      <c r="B131" s="22">
        <v>1706194</v>
      </c>
      <c r="C131" s="14">
        <v>2</v>
      </c>
      <c r="D131" s="14">
        <v>925791335</v>
      </c>
      <c r="E131" s="2" t="s">
        <v>869</v>
      </c>
      <c r="F131" s="2">
        <v>0</v>
      </c>
      <c r="G131" s="14">
        <v>20250201</v>
      </c>
      <c r="H131" s="14" t="str">
        <f>TEXT(DATE(LEFT(G131,4), MID(G131,5,2), RIGHT(G131,2)), "M/d/yyyy")</f>
        <v>2/1/2025</v>
      </c>
      <c r="I131" s="14">
        <v>20230101</v>
      </c>
      <c r="J131" s="14" t="str">
        <f>TEXT(DATE(LEFT(I131,4), MID(I131,5,2), RIGHT(I131,2)), "M/d/yyyy")</f>
        <v>1/1/2023</v>
      </c>
      <c r="K131" s="14">
        <v>25</v>
      </c>
      <c r="L131" s="2" t="s">
        <v>58</v>
      </c>
      <c r="M131" s="14">
        <v>25</v>
      </c>
      <c r="N131" s="2">
        <v>50</v>
      </c>
    </row>
    <row r="132" spans="1:14" ht="14" x14ac:dyDescent="0.2">
      <c r="A132" t="s">
        <v>519</v>
      </c>
      <c r="B132" s="22">
        <v>1706194</v>
      </c>
      <c r="C132" s="14">
        <v>2</v>
      </c>
      <c r="D132" s="14">
        <v>943704843</v>
      </c>
      <c r="E132" s="2" t="s">
        <v>878</v>
      </c>
      <c r="F132" s="2">
        <v>0</v>
      </c>
      <c r="G132" s="14">
        <v>20250201</v>
      </c>
      <c r="H132" s="14" t="str">
        <f>TEXT(DATE(LEFT(G132,4), MID(G132,5,2), RIGHT(G132,2)), "M/d/yyyy")</f>
        <v>2/1/2025</v>
      </c>
      <c r="I132" s="14">
        <v>20240301</v>
      </c>
      <c r="J132" s="14" t="str">
        <f>TEXT(DATE(LEFT(I132,4), MID(I132,5,2), RIGHT(I132,2)), "M/d/yyyy")</f>
        <v>3/1/2024</v>
      </c>
      <c r="K132" s="14">
        <v>11</v>
      </c>
      <c r="L132" s="2" t="s">
        <v>58</v>
      </c>
      <c r="M132" s="14">
        <v>25</v>
      </c>
      <c r="N132" s="2">
        <v>50</v>
      </c>
    </row>
    <row r="133" spans="1:14" ht="14" x14ac:dyDescent="0.2">
      <c r="A133" t="s">
        <v>519</v>
      </c>
      <c r="B133" s="22">
        <v>1706194</v>
      </c>
      <c r="C133" s="14">
        <v>2</v>
      </c>
      <c r="D133" s="14">
        <v>944109554</v>
      </c>
      <c r="E133" s="2" t="s">
        <v>883</v>
      </c>
      <c r="F133" s="2">
        <v>0</v>
      </c>
      <c r="G133" s="14">
        <v>20250201</v>
      </c>
      <c r="H133" s="14" t="str">
        <f>TEXT(DATE(LEFT(G133,4), MID(G133,5,2), RIGHT(G133,2)), "M/d/yyyy")</f>
        <v>2/1/2025</v>
      </c>
      <c r="I133" s="14">
        <v>20250101</v>
      </c>
      <c r="J133" s="14" t="str">
        <f>TEXT(DATE(LEFT(I133,4), MID(I133,5,2), RIGHT(I133,2)), "M/d/yyyy")</f>
        <v>1/1/2025</v>
      </c>
      <c r="K133" s="14">
        <v>1</v>
      </c>
      <c r="L133" s="2" t="s">
        <v>58</v>
      </c>
      <c r="M133" s="14">
        <v>25</v>
      </c>
      <c r="N133" s="2">
        <v>50</v>
      </c>
    </row>
    <row r="134" spans="1:14" ht="14" x14ac:dyDescent="0.2">
      <c r="A134" t="s">
        <v>519</v>
      </c>
      <c r="B134" s="22">
        <v>1706194</v>
      </c>
      <c r="C134" s="14">
        <v>3</v>
      </c>
      <c r="D134" s="14">
        <v>927920962</v>
      </c>
      <c r="E134" s="2" t="s">
        <v>875</v>
      </c>
      <c r="F134" s="2">
        <v>0</v>
      </c>
      <c r="G134" s="14">
        <v>20250201</v>
      </c>
      <c r="H134" s="14" t="str">
        <f>TEXT(DATE(LEFT(G134,4), MID(G134,5,2), RIGHT(G134,2)), "M/d/yyyy")</f>
        <v>2/1/2025</v>
      </c>
      <c r="I134" s="14">
        <v>20230201</v>
      </c>
      <c r="J134" s="14" t="str">
        <f>TEXT(DATE(LEFT(I134,4), MID(I134,5,2), RIGHT(I134,2)), "M/d/yyyy")</f>
        <v>2/1/2023</v>
      </c>
      <c r="K134" s="14">
        <v>24</v>
      </c>
      <c r="L134" s="2" t="s">
        <v>58</v>
      </c>
      <c r="M134" s="14">
        <v>25</v>
      </c>
      <c r="N134" s="2">
        <v>75</v>
      </c>
    </row>
    <row r="135" spans="1:14" ht="14" x14ac:dyDescent="0.2">
      <c r="A135" t="s">
        <v>519</v>
      </c>
      <c r="B135" s="22">
        <v>1706194</v>
      </c>
      <c r="C135" s="14">
        <v>3</v>
      </c>
      <c r="D135" s="14">
        <v>943724625</v>
      </c>
      <c r="E135" s="2" t="s">
        <v>879</v>
      </c>
      <c r="F135" s="2">
        <v>0</v>
      </c>
      <c r="G135" s="14">
        <v>20250201</v>
      </c>
      <c r="H135" s="14" t="str">
        <f>TEXT(DATE(LEFT(G135,4), MID(G135,5,2), RIGHT(G135,2)), "M/d/yyyy")</f>
        <v>2/1/2025</v>
      </c>
      <c r="I135" s="14">
        <v>20240301</v>
      </c>
      <c r="J135" s="14" t="str">
        <f>TEXT(DATE(LEFT(I135,4), MID(I135,5,2), RIGHT(I135,2)), "M/d/yyyy")</f>
        <v>3/1/2024</v>
      </c>
      <c r="K135" s="14">
        <v>11</v>
      </c>
      <c r="L135" s="2" t="s">
        <v>58</v>
      </c>
      <c r="M135" s="14">
        <v>25</v>
      </c>
      <c r="N135" s="2">
        <v>75</v>
      </c>
    </row>
    <row r="136" spans="1:14" ht="14" x14ac:dyDescent="0.2">
      <c r="A136" t="s">
        <v>519</v>
      </c>
      <c r="B136" s="22">
        <v>1706194</v>
      </c>
      <c r="C136" s="14">
        <v>3</v>
      </c>
      <c r="D136" s="14">
        <v>944157847</v>
      </c>
      <c r="E136" s="2" t="s">
        <v>884</v>
      </c>
      <c r="F136" s="2">
        <v>0</v>
      </c>
      <c r="G136" s="14">
        <v>20250201</v>
      </c>
      <c r="H136" s="14" t="str">
        <f>TEXT(DATE(LEFT(G136,4), MID(G136,5,2), RIGHT(G136,2)), "M/d/yyyy")</f>
        <v>2/1/2025</v>
      </c>
      <c r="I136" s="14">
        <v>20250101</v>
      </c>
      <c r="J136" s="14" t="str">
        <f>TEXT(DATE(LEFT(I136,4), MID(I136,5,2), RIGHT(I136,2)), "M/d/yyyy")</f>
        <v>1/1/2025</v>
      </c>
      <c r="K136" s="14">
        <v>1</v>
      </c>
      <c r="L136" s="2" t="s">
        <v>58</v>
      </c>
      <c r="M136" s="14">
        <v>25</v>
      </c>
      <c r="N136" s="2">
        <v>75</v>
      </c>
    </row>
    <row r="137" spans="1:14" ht="14" x14ac:dyDescent="0.2">
      <c r="A137" t="s">
        <v>519</v>
      </c>
      <c r="B137" s="22">
        <v>1706194</v>
      </c>
      <c r="C137" s="14">
        <v>4</v>
      </c>
      <c r="D137" s="14">
        <v>924558840</v>
      </c>
      <c r="E137" s="2" t="s">
        <v>846</v>
      </c>
      <c r="F137" s="2">
        <v>0</v>
      </c>
      <c r="G137" s="14">
        <v>20250201</v>
      </c>
      <c r="H137" s="14" t="str">
        <f>TEXT(DATE(LEFT(G137,4), MID(G137,5,2), RIGHT(G137,2)), "M/d/yyyy")</f>
        <v>2/1/2025</v>
      </c>
      <c r="I137" s="14">
        <v>20210101</v>
      </c>
      <c r="J137" s="14" t="str">
        <f>TEXT(DATE(LEFT(I137,4), MID(I137,5,2), RIGHT(I137,2)), "M/d/yyyy")</f>
        <v>1/1/2021</v>
      </c>
      <c r="K137" s="14">
        <v>49</v>
      </c>
      <c r="L137" s="2" t="s">
        <v>58</v>
      </c>
      <c r="M137" s="14">
        <v>25</v>
      </c>
      <c r="N137" s="2">
        <v>100</v>
      </c>
    </row>
    <row r="138" spans="1:14" ht="14" x14ac:dyDescent="0.2">
      <c r="A138" t="s">
        <v>519</v>
      </c>
      <c r="B138" s="22">
        <v>1706194</v>
      </c>
      <c r="C138" s="14">
        <v>4</v>
      </c>
      <c r="D138" s="14">
        <v>925821790</v>
      </c>
      <c r="E138" s="2" t="s">
        <v>871</v>
      </c>
      <c r="F138" s="2">
        <v>0</v>
      </c>
      <c r="G138" s="14">
        <v>20250201</v>
      </c>
      <c r="H138" s="14" t="str">
        <f>TEXT(DATE(LEFT(G138,4), MID(G138,5,2), RIGHT(G138,2)), "M/d/yyyy")</f>
        <v>2/1/2025</v>
      </c>
      <c r="I138" s="14">
        <v>20230101</v>
      </c>
      <c r="J138" s="14" t="str">
        <f>TEXT(DATE(LEFT(I138,4), MID(I138,5,2), RIGHT(I138,2)), "M/d/yyyy")</f>
        <v>1/1/2023</v>
      </c>
      <c r="K138" s="14">
        <v>25</v>
      </c>
      <c r="L138" s="2" t="s">
        <v>58</v>
      </c>
      <c r="M138" s="14">
        <v>25</v>
      </c>
      <c r="N138" s="2">
        <v>100</v>
      </c>
    </row>
    <row r="139" spans="1:14" ht="14" x14ac:dyDescent="0.2">
      <c r="A139" t="s">
        <v>519</v>
      </c>
      <c r="B139" s="22">
        <v>1706194</v>
      </c>
      <c r="C139" s="14">
        <v>5</v>
      </c>
      <c r="D139" s="14">
        <v>925575892</v>
      </c>
      <c r="E139" s="2" t="s">
        <v>865</v>
      </c>
      <c r="F139" s="2">
        <v>0</v>
      </c>
      <c r="G139" s="14">
        <v>20250201</v>
      </c>
      <c r="H139" s="14" t="str">
        <f>TEXT(DATE(LEFT(G139,4), MID(G139,5,2), RIGHT(G139,2)), "M/d/yyyy")</f>
        <v>2/1/2025</v>
      </c>
      <c r="I139" s="14">
        <v>20230701</v>
      </c>
      <c r="J139" s="14" t="str">
        <f>TEXT(DATE(LEFT(I139,4), MID(I139,5,2), RIGHT(I139,2)), "M/d/yyyy")</f>
        <v>7/1/2023</v>
      </c>
      <c r="K139" s="14">
        <v>19</v>
      </c>
      <c r="L139" s="2" t="s">
        <v>58</v>
      </c>
      <c r="M139" s="14">
        <v>25</v>
      </c>
      <c r="N139" s="2">
        <v>125</v>
      </c>
    </row>
    <row r="140" spans="1:14" ht="14" x14ac:dyDescent="0.2">
      <c r="A140" t="s">
        <v>519</v>
      </c>
      <c r="B140" s="22">
        <v>1706194</v>
      </c>
      <c r="C140" s="14">
        <v>5</v>
      </c>
      <c r="D140" s="14">
        <v>925626716</v>
      </c>
      <c r="E140" s="2" t="s">
        <v>868</v>
      </c>
      <c r="F140" s="2">
        <v>0</v>
      </c>
      <c r="G140" s="14">
        <v>20250201</v>
      </c>
      <c r="H140" s="14" t="str">
        <f>TEXT(DATE(LEFT(G140,4), MID(G140,5,2), RIGHT(G140,2)), "M/d/yyyy")</f>
        <v>2/1/2025</v>
      </c>
      <c r="I140" s="14">
        <v>20240101</v>
      </c>
      <c r="J140" s="14" t="str">
        <f>TEXT(DATE(LEFT(I140,4), MID(I140,5,2), RIGHT(I140,2)), "M/d/yyyy")</f>
        <v>1/1/2024</v>
      </c>
      <c r="K140" s="14">
        <v>13</v>
      </c>
      <c r="L140" s="2" t="s">
        <v>58</v>
      </c>
      <c r="M140" s="14">
        <v>25</v>
      </c>
      <c r="N140" s="2">
        <v>125</v>
      </c>
    </row>
    <row r="141" spans="1:14" ht="14" x14ac:dyDescent="0.2">
      <c r="A141" t="s">
        <v>519</v>
      </c>
      <c r="B141" s="22">
        <v>1706194</v>
      </c>
      <c r="C141" s="14">
        <v>5</v>
      </c>
      <c r="D141" s="14">
        <v>943937057</v>
      </c>
      <c r="E141" s="2" t="s">
        <v>881</v>
      </c>
      <c r="F141" s="2">
        <v>0</v>
      </c>
      <c r="G141" s="14">
        <v>20250201</v>
      </c>
      <c r="H141" s="14" t="str">
        <f>TEXT(DATE(LEFT(G141,4), MID(G141,5,2), RIGHT(G141,2)), "M/d/yyyy")</f>
        <v>2/1/2025</v>
      </c>
      <c r="I141" s="14">
        <v>20240801</v>
      </c>
      <c r="J141" s="14" t="str">
        <f>TEXT(DATE(LEFT(I141,4), MID(I141,5,2), RIGHT(I141,2)), "M/d/yyyy")</f>
        <v>8/1/2024</v>
      </c>
      <c r="K141" s="14">
        <v>6</v>
      </c>
      <c r="L141" s="2" t="s">
        <v>58</v>
      </c>
      <c r="M141" s="14">
        <v>25</v>
      </c>
      <c r="N141" s="2">
        <v>125</v>
      </c>
    </row>
    <row r="142" spans="1:14" ht="16" x14ac:dyDescent="0.2">
      <c r="A142" t="s">
        <v>517</v>
      </c>
      <c r="B142" s="21">
        <v>19206583</v>
      </c>
      <c r="C142" s="14">
        <v>1</v>
      </c>
      <c r="D142" s="14">
        <v>943979269</v>
      </c>
      <c r="E142" s="2" t="s">
        <v>834</v>
      </c>
      <c r="F142" s="2">
        <v>0</v>
      </c>
      <c r="G142" s="14">
        <v>20250201</v>
      </c>
      <c r="H142" s="14" t="str">
        <f>TEXT(DATE(LEFT(G142,4), MID(G142,5,2), RIGHT(G142,2)), "M/d/yyyy")</f>
        <v>2/1/2025</v>
      </c>
      <c r="I142" s="14">
        <v>20240901</v>
      </c>
      <c r="J142" s="14" t="str">
        <f>TEXT(DATE(LEFT(I142,4), MID(I142,5,2), RIGHT(I142,2)), "M/d/yyyy")</f>
        <v>9/1/2024</v>
      </c>
      <c r="K142" s="14">
        <v>5</v>
      </c>
      <c r="L142" s="2" t="s">
        <v>58</v>
      </c>
      <c r="M142" s="14">
        <v>25</v>
      </c>
      <c r="N142" s="2">
        <v>25</v>
      </c>
    </row>
    <row r="143" spans="1:14" ht="14" x14ac:dyDescent="0.2">
      <c r="A143" t="s">
        <v>524</v>
      </c>
      <c r="B143" s="22">
        <v>16633294</v>
      </c>
      <c r="C143" s="14">
        <v>1</v>
      </c>
      <c r="D143" s="14">
        <v>925092467</v>
      </c>
      <c r="E143" s="2" t="s">
        <v>892</v>
      </c>
      <c r="F143" s="2">
        <v>0</v>
      </c>
      <c r="G143" s="14">
        <v>20250201</v>
      </c>
      <c r="H143" s="14" t="str">
        <f>TEXT(DATE(LEFT(G143,4), MID(G143,5,2), RIGHT(G143,2)), "M/d/yyyy")</f>
        <v>2/1/2025</v>
      </c>
      <c r="I143" s="14">
        <v>20170101</v>
      </c>
      <c r="J143" s="14" t="str">
        <f>TEXT(DATE(LEFT(I143,4), MID(I143,5,2), RIGHT(I143,2)), "M/d/yyyy")</f>
        <v>1/1/2017</v>
      </c>
      <c r="K143" s="14">
        <v>97</v>
      </c>
      <c r="L143" s="2" t="s">
        <v>45</v>
      </c>
      <c r="M143" s="14">
        <v>20</v>
      </c>
      <c r="N143" s="2">
        <v>20</v>
      </c>
    </row>
    <row r="144" spans="1:14" x14ac:dyDescent="0.15">
      <c r="A144" t="s">
        <v>514</v>
      </c>
      <c r="B144" s="20">
        <v>8977234</v>
      </c>
      <c r="C144" s="14">
        <v>1</v>
      </c>
      <c r="D144" s="14">
        <v>924449459</v>
      </c>
      <c r="E144" s="2" t="s">
        <v>827</v>
      </c>
      <c r="F144" s="2">
        <v>0</v>
      </c>
      <c r="G144" s="14">
        <v>20250201</v>
      </c>
      <c r="H144" s="14" t="str">
        <f>TEXT(DATE(LEFT(G144,4), MID(G144,5,2), RIGHT(G144,2)), "M/d/yyyy")</f>
        <v>2/1/2025</v>
      </c>
      <c r="I144" s="14">
        <v>20220101</v>
      </c>
      <c r="J144" s="14" t="str">
        <f>TEXT(DATE(LEFT(I144,4), MID(I144,5,2), RIGHT(I144,2)), "M/d/yyyy")</f>
        <v>1/1/2022</v>
      </c>
      <c r="K144" s="14">
        <v>37</v>
      </c>
      <c r="L144" s="2" t="s">
        <v>58</v>
      </c>
      <c r="M144" s="14">
        <v>25</v>
      </c>
      <c r="N144" s="2">
        <v>25</v>
      </c>
    </row>
    <row r="145" spans="1:14" x14ac:dyDescent="0.15">
      <c r="A145" t="s">
        <v>514</v>
      </c>
      <c r="B145" s="20">
        <v>8977234</v>
      </c>
      <c r="C145" s="14">
        <v>1</v>
      </c>
      <c r="D145" s="14">
        <v>944022804</v>
      </c>
      <c r="E145" s="2" t="s">
        <v>828</v>
      </c>
      <c r="F145" s="2">
        <v>0</v>
      </c>
      <c r="G145" s="14">
        <v>20250201</v>
      </c>
      <c r="H145" s="14" t="str">
        <f>TEXT(DATE(LEFT(G145,4), MID(G145,5,2), RIGHT(G145,2)), "M/d/yyyy")</f>
        <v>2/1/2025</v>
      </c>
      <c r="I145" s="14">
        <v>20241101</v>
      </c>
      <c r="J145" s="14" t="str">
        <f>TEXT(DATE(LEFT(I145,4), MID(I145,5,2), RIGHT(I145,2)), "M/d/yyyy")</f>
        <v>11/1/2024</v>
      </c>
      <c r="K145" s="14">
        <v>3</v>
      </c>
      <c r="L145" s="2" t="s">
        <v>58</v>
      </c>
      <c r="M145" s="14">
        <v>25</v>
      </c>
      <c r="N145" s="2">
        <v>25</v>
      </c>
    </row>
    <row r="146" spans="1:14" x14ac:dyDescent="0.15">
      <c r="A146" t="s">
        <v>514</v>
      </c>
      <c r="B146" s="20">
        <v>8977234</v>
      </c>
      <c r="C146" s="14">
        <v>1</v>
      </c>
      <c r="D146" s="14">
        <v>944023584</v>
      </c>
      <c r="E146" s="2" t="s">
        <v>829</v>
      </c>
      <c r="F146" s="2">
        <v>0</v>
      </c>
      <c r="G146" s="14">
        <v>20250201</v>
      </c>
      <c r="H146" s="14" t="str">
        <f>TEXT(DATE(LEFT(G146,4), MID(G146,5,2), RIGHT(G146,2)), "M/d/yyyy")</f>
        <v>2/1/2025</v>
      </c>
      <c r="I146" s="14">
        <v>20241101</v>
      </c>
      <c r="J146" s="14" t="str">
        <f>TEXT(DATE(LEFT(I146,4), MID(I146,5,2), RIGHT(I146,2)), "M/d/yyyy")</f>
        <v>11/1/2024</v>
      </c>
      <c r="K146" s="14">
        <v>3</v>
      </c>
      <c r="L146" s="2" t="s">
        <v>58</v>
      </c>
      <c r="M146" s="14">
        <v>25</v>
      </c>
      <c r="N146" s="2">
        <v>25</v>
      </c>
    </row>
    <row r="147" spans="1:14" ht="14" x14ac:dyDescent="0.2">
      <c r="A147" t="s">
        <v>522</v>
      </c>
      <c r="B147" s="22">
        <v>19645587</v>
      </c>
      <c r="C147" s="14">
        <v>1</v>
      </c>
      <c r="D147" s="14">
        <v>943482223</v>
      </c>
      <c r="E147" s="2" t="s">
        <v>891</v>
      </c>
      <c r="F147" s="2">
        <v>0</v>
      </c>
      <c r="G147" s="14">
        <v>20250201</v>
      </c>
      <c r="H147" s="14" t="str">
        <f>TEXT(DATE(LEFT(G147,4), MID(G147,5,2), RIGHT(G147,2)), "M/d/yyyy")</f>
        <v>2/1/2025</v>
      </c>
      <c r="I147" s="14">
        <v>20240101</v>
      </c>
      <c r="J147" s="14" t="str">
        <f>TEXT(DATE(LEFT(I147,4), MID(I147,5,2), RIGHT(I147,2)), "M/d/yyyy")</f>
        <v>1/1/2024</v>
      </c>
      <c r="K147" s="14">
        <v>13</v>
      </c>
      <c r="L147" s="2" t="s">
        <v>58</v>
      </c>
      <c r="M147" s="14">
        <v>25</v>
      </c>
      <c r="N147" s="2">
        <v>25</v>
      </c>
    </row>
    <row r="148" spans="1:14" ht="14" x14ac:dyDescent="0.2">
      <c r="A148" t="s">
        <v>528</v>
      </c>
      <c r="B148" s="22">
        <v>20490188</v>
      </c>
      <c r="C148" s="14">
        <v>4</v>
      </c>
      <c r="D148" s="14">
        <v>944148662</v>
      </c>
      <c r="E148" s="2" t="s">
        <v>901</v>
      </c>
      <c r="F148" s="2">
        <v>0</v>
      </c>
      <c r="G148" s="14">
        <v>20250201</v>
      </c>
      <c r="H148" s="14" t="str">
        <f>TEXT(DATE(LEFT(G148,4), MID(G148,5,2), RIGHT(G148,2)), "M/d/yyyy")</f>
        <v>2/1/2025</v>
      </c>
      <c r="I148" s="14">
        <v>20250101</v>
      </c>
      <c r="J148" s="14" t="str">
        <f>TEXT(DATE(LEFT(I148,4), MID(I148,5,2), RIGHT(I148,2)), "M/d/yyyy")</f>
        <v>1/1/2025</v>
      </c>
      <c r="K148" s="14">
        <v>1</v>
      </c>
      <c r="L148" s="2" t="s">
        <v>45</v>
      </c>
      <c r="M148" s="14">
        <v>20</v>
      </c>
      <c r="N148" s="2">
        <v>80</v>
      </c>
    </row>
    <row r="149" spans="1:14" ht="14" x14ac:dyDescent="0.2">
      <c r="A149" t="s">
        <v>533</v>
      </c>
      <c r="B149" s="22">
        <v>21283956</v>
      </c>
      <c r="C149" s="14">
        <v>1</v>
      </c>
      <c r="D149" s="23">
        <v>944099258</v>
      </c>
      <c r="E149" s="2" t="s">
        <v>909</v>
      </c>
      <c r="F149" s="2">
        <v>0</v>
      </c>
      <c r="G149" s="14">
        <v>20250201</v>
      </c>
      <c r="H149" s="14" t="str">
        <f>TEXT(DATE(LEFT(G149,4), MID(G149,5,2), RIGHT(G149,2)), "M/d/yyyy")</f>
        <v>2/1/2025</v>
      </c>
      <c r="I149" s="14">
        <v>20250101</v>
      </c>
      <c r="J149" s="14" t="str">
        <f>TEXT(DATE(LEFT(I149,4), MID(I149,5,2), RIGHT(I149,2)), "M/d/yyyy")</f>
        <v>1/1/2025</v>
      </c>
      <c r="K149" s="14">
        <v>1</v>
      </c>
      <c r="L149" s="2" t="s">
        <v>45</v>
      </c>
      <c r="M149" s="14">
        <v>20</v>
      </c>
      <c r="N149" s="2">
        <v>20</v>
      </c>
    </row>
    <row r="150" spans="1:14" ht="14" x14ac:dyDescent="0.2">
      <c r="A150" t="s">
        <v>533</v>
      </c>
      <c r="B150" s="22">
        <v>21283956</v>
      </c>
      <c r="C150" s="14">
        <v>1</v>
      </c>
      <c r="D150" s="23">
        <v>944138850</v>
      </c>
      <c r="E150" s="2" t="s">
        <v>911</v>
      </c>
      <c r="F150" s="2">
        <v>0</v>
      </c>
      <c r="G150" s="14">
        <v>20250201</v>
      </c>
      <c r="H150" s="14" t="str">
        <f>TEXT(DATE(LEFT(G150,4), MID(G150,5,2), RIGHT(G150,2)), "M/d/yyyy")</f>
        <v>2/1/2025</v>
      </c>
      <c r="I150" s="14">
        <v>20250101</v>
      </c>
      <c r="J150" s="14" t="str">
        <f>TEXT(DATE(LEFT(I150,4), MID(I150,5,2), RIGHT(I150,2)), "M/d/yyyy")</f>
        <v>1/1/2025</v>
      </c>
      <c r="K150" s="14">
        <v>1</v>
      </c>
      <c r="L150" s="2" t="s">
        <v>45</v>
      </c>
      <c r="M150" s="14">
        <v>20</v>
      </c>
      <c r="N150" s="2">
        <v>20</v>
      </c>
    </row>
    <row r="151" spans="1:14" ht="14" x14ac:dyDescent="0.2">
      <c r="A151" t="s">
        <v>533</v>
      </c>
      <c r="B151" s="22">
        <v>21283956</v>
      </c>
      <c r="C151" s="14">
        <v>2</v>
      </c>
      <c r="D151" s="23">
        <v>944116961</v>
      </c>
      <c r="E151" s="2" t="s">
        <v>910</v>
      </c>
      <c r="F151" s="2">
        <v>0</v>
      </c>
      <c r="G151" s="14">
        <v>20250201</v>
      </c>
      <c r="H151" s="14" t="str">
        <f>TEXT(DATE(LEFT(G151,4), MID(G151,5,2), RIGHT(G151,2)), "M/d/yyyy")</f>
        <v>2/1/2025</v>
      </c>
      <c r="I151" s="14">
        <v>20250101</v>
      </c>
      <c r="J151" s="14" t="str">
        <f>TEXT(DATE(LEFT(I151,4), MID(I151,5,2), RIGHT(I151,2)), "M/d/yyyy")</f>
        <v>1/1/2025</v>
      </c>
      <c r="K151" s="14">
        <v>1</v>
      </c>
      <c r="L151" s="2" t="s">
        <v>58</v>
      </c>
      <c r="M151" s="14">
        <v>25</v>
      </c>
      <c r="N151" s="2">
        <v>50</v>
      </c>
    </row>
  </sheetData>
  <sortState xmlns:xlrd2="http://schemas.microsoft.com/office/spreadsheetml/2017/richdata2" ref="A3:N151">
    <sortCondition ref="A3:A151"/>
  </sortState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3629B-F967-3B4B-92C2-F8AA2311598C}">
  <dimension ref="A1:I155"/>
  <sheetViews>
    <sheetView workbookViewId="0">
      <selection activeCell="L1" sqref="L1"/>
    </sheetView>
  </sheetViews>
  <sheetFormatPr baseColWidth="10" defaultRowHeight="13" x14ac:dyDescent="0.15"/>
  <sheetData>
    <row r="1" spans="1:9" x14ac:dyDescent="0.15">
      <c r="A1" s="2">
        <v>107865344</v>
      </c>
      <c r="B1" t="s">
        <v>511</v>
      </c>
      <c r="C1" t="s">
        <v>512</v>
      </c>
      <c r="G1" s="2" t="s">
        <v>535</v>
      </c>
      <c r="H1" t="s">
        <v>536</v>
      </c>
      <c r="I1" t="str">
        <f>CONCATENATE(H1, " ", G1)</f>
        <v>SHERRY SUTHERLAND</v>
      </c>
    </row>
    <row r="2" spans="1:9" x14ac:dyDescent="0.15">
      <c r="A2" s="2">
        <v>107866950</v>
      </c>
      <c r="B2" t="s">
        <v>511</v>
      </c>
      <c r="C2" t="s">
        <v>513</v>
      </c>
      <c r="G2" s="2" t="s">
        <v>537</v>
      </c>
      <c r="H2" t="s">
        <v>538</v>
      </c>
      <c r="I2" t="str">
        <f t="shared" ref="I2:I65" si="0">CONCATENATE(H2, " ", G2)</f>
        <v>JACKY RICE</v>
      </c>
    </row>
    <row r="3" spans="1:9" x14ac:dyDescent="0.15">
      <c r="A3" s="2">
        <v>107866950</v>
      </c>
      <c r="B3" t="s">
        <v>511</v>
      </c>
      <c r="C3" t="s">
        <v>513</v>
      </c>
      <c r="G3" s="2" t="s">
        <v>539</v>
      </c>
      <c r="H3" t="s">
        <v>540</v>
      </c>
      <c r="I3" t="str">
        <f t="shared" si="0"/>
        <v>VANESSA PACHECO</v>
      </c>
    </row>
    <row r="4" spans="1:9" x14ac:dyDescent="0.15">
      <c r="A4" s="2">
        <v>107866950</v>
      </c>
      <c r="B4" t="s">
        <v>511</v>
      </c>
      <c r="C4" t="s">
        <v>513</v>
      </c>
      <c r="G4" s="2" t="s">
        <v>541</v>
      </c>
      <c r="H4" t="s">
        <v>542</v>
      </c>
      <c r="I4" t="str">
        <f t="shared" si="0"/>
        <v>PAULA BAKER</v>
      </c>
    </row>
    <row r="5" spans="1:9" x14ac:dyDescent="0.15">
      <c r="A5" s="2">
        <v>107866950</v>
      </c>
      <c r="B5" t="s">
        <v>511</v>
      </c>
      <c r="C5" t="s">
        <v>513</v>
      </c>
      <c r="G5" s="2" t="s">
        <v>543</v>
      </c>
      <c r="H5" t="s">
        <v>544</v>
      </c>
      <c r="I5" t="str">
        <f t="shared" si="0"/>
        <v>BARRY MIRTSCHING</v>
      </c>
    </row>
    <row r="6" spans="1:9" x14ac:dyDescent="0.15">
      <c r="A6" s="2">
        <v>107866950</v>
      </c>
      <c r="B6" t="s">
        <v>511</v>
      </c>
      <c r="C6" t="s">
        <v>513</v>
      </c>
      <c r="G6" s="2" t="s">
        <v>545</v>
      </c>
      <c r="H6" t="s">
        <v>546</v>
      </c>
      <c r="I6" t="str">
        <f t="shared" si="0"/>
        <v>MICHAELA ROBERTSON</v>
      </c>
    </row>
    <row r="7" spans="1:9" x14ac:dyDescent="0.15">
      <c r="A7" s="2">
        <v>107866950</v>
      </c>
      <c r="B7" t="s">
        <v>511</v>
      </c>
      <c r="C7" t="s">
        <v>513</v>
      </c>
      <c r="G7" s="2" t="s">
        <v>547</v>
      </c>
      <c r="H7" t="s">
        <v>548</v>
      </c>
      <c r="I7" t="str">
        <f t="shared" si="0"/>
        <v>KENNETH QUIGLEY</v>
      </c>
    </row>
    <row r="8" spans="1:9" x14ac:dyDescent="0.15">
      <c r="A8" s="2">
        <v>107866950</v>
      </c>
      <c r="B8" t="s">
        <v>511</v>
      </c>
      <c r="C8" t="s">
        <v>513</v>
      </c>
      <c r="G8" s="2" t="s">
        <v>549</v>
      </c>
      <c r="H8" t="s">
        <v>550</v>
      </c>
      <c r="I8" t="str">
        <f t="shared" si="0"/>
        <v>JAMES RHODES</v>
      </c>
    </row>
    <row r="9" spans="1:9" x14ac:dyDescent="0.15">
      <c r="A9" s="2">
        <v>107866950</v>
      </c>
      <c r="B9" t="s">
        <v>511</v>
      </c>
      <c r="C9" t="s">
        <v>513</v>
      </c>
      <c r="G9" s="2" t="s">
        <v>551</v>
      </c>
      <c r="H9" t="s">
        <v>552</v>
      </c>
      <c r="I9" t="str">
        <f t="shared" si="0"/>
        <v>LINDA QUILLEN</v>
      </c>
    </row>
    <row r="10" spans="1:9" x14ac:dyDescent="0.15">
      <c r="A10" s="2">
        <v>107866950</v>
      </c>
      <c r="B10" t="s">
        <v>511</v>
      </c>
      <c r="C10" t="s">
        <v>513</v>
      </c>
      <c r="G10" s="2" t="s">
        <v>553</v>
      </c>
      <c r="H10" t="s">
        <v>554</v>
      </c>
      <c r="I10" t="str">
        <f t="shared" si="0"/>
        <v>STACY HANKS</v>
      </c>
    </row>
    <row r="11" spans="1:9" x14ac:dyDescent="0.15">
      <c r="A11" s="2">
        <v>107866950</v>
      </c>
      <c r="B11" t="s">
        <v>511</v>
      </c>
      <c r="C11" t="s">
        <v>513</v>
      </c>
      <c r="G11" s="2" t="s">
        <v>555</v>
      </c>
      <c r="H11" t="s">
        <v>556</v>
      </c>
      <c r="I11" t="str">
        <f t="shared" si="0"/>
        <v>MELANIE FLANAGAN</v>
      </c>
    </row>
    <row r="12" spans="1:9" x14ac:dyDescent="0.15">
      <c r="A12" s="2">
        <v>107866950</v>
      </c>
      <c r="B12" t="s">
        <v>511</v>
      </c>
      <c r="C12" t="s">
        <v>513</v>
      </c>
      <c r="G12" s="2" t="s">
        <v>557</v>
      </c>
      <c r="H12" t="s">
        <v>550</v>
      </c>
      <c r="I12" t="str">
        <f t="shared" si="0"/>
        <v>JAMES EZNACK</v>
      </c>
    </row>
    <row r="13" spans="1:9" x14ac:dyDescent="0.15">
      <c r="A13" s="2">
        <v>107866950</v>
      </c>
      <c r="B13" t="s">
        <v>511</v>
      </c>
      <c r="C13" t="s">
        <v>513</v>
      </c>
      <c r="G13" s="2" t="s">
        <v>558</v>
      </c>
      <c r="H13" t="s">
        <v>559</v>
      </c>
      <c r="I13" t="str">
        <f t="shared" si="0"/>
        <v>BONNIE CAFFEY</v>
      </c>
    </row>
    <row r="14" spans="1:9" x14ac:dyDescent="0.15">
      <c r="A14" s="2">
        <v>107866950</v>
      </c>
      <c r="B14" t="s">
        <v>511</v>
      </c>
      <c r="C14" t="s">
        <v>513</v>
      </c>
      <c r="G14" s="2" t="s">
        <v>560</v>
      </c>
      <c r="H14" t="s">
        <v>561</v>
      </c>
      <c r="I14" t="str">
        <f t="shared" si="0"/>
        <v>TONY BURKS</v>
      </c>
    </row>
    <row r="15" spans="1:9" x14ac:dyDescent="0.15">
      <c r="A15" s="2">
        <v>107866950</v>
      </c>
      <c r="B15" t="s">
        <v>511</v>
      </c>
      <c r="C15" t="s">
        <v>513</v>
      </c>
      <c r="G15" s="2" t="s">
        <v>562</v>
      </c>
      <c r="H15" t="s">
        <v>563</v>
      </c>
      <c r="I15" t="str">
        <f t="shared" si="0"/>
        <v>MARGUERITE YAKULIS</v>
      </c>
    </row>
    <row r="16" spans="1:9" x14ac:dyDescent="0.15">
      <c r="A16" s="2">
        <v>107866950</v>
      </c>
      <c r="B16" t="s">
        <v>511</v>
      </c>
      <c r="C16" t="s">
        <v>513</v>
      </c>
      <c r="G16" s="2" t="s">
        <v>564</v>
      </c>
      <c r="H16" t="s">
        <v>565</v>
      </c>
      <c r="I16" t="str">
        <f t="shared" si="0"/>
        <v>REBECCA HARRELL</v>
      </c>
    </row>
    <row r="17" spans="1:9" x14ac:dyDescent="0.15">
      <c r="A17" s="2">
        <v>107866950</v>
      </c>
      <c r="B17" t="s">
        <v>511</v>
      </c>
      <c r="C17" t="s">
        <v>513</v>
      </c>
      <c r="G17" s="2" t="s">
        <v>566</v>
      </c>
      <c r="H17" t="s">
        <v>567</v>
      </c>
      <c r="I17" t="str">
        <f t="shared" si="0"/>
        <v>MARY DICKSON</v>
      </c>
    </row>
    <row r="18" spans="1:9" x14ac:dyDescent="0.15">
      <c r="A18" s="2">
        <v>107866950</v>
      </c>
      <c r="B18" t="s">
        <v>511</v>
      </c>
      <c r="C18" t="s">
        <v>513</v>
      </c>
      <c r="G18" s="2" t="s">
        <v>568</v>
      </c>
      <c r="H18" t="s">
        <v>569</v>
      </c>
      <c r="I18" t="str">
        <f t="shared" si="0"/>
        <v>POORNIMA DURGAM</v>
      </c>
    </row>
    <row r="19" spans="1:9" x14ac:dyDescent="0.15">
      <c r="A19" s="2">
        <v>107866950</v>
      </c>
      <c r="B19" t="s">
        <v>511</v>
      </c>
      <c r="C19" t="s">
        <v>513</v>
      </c>
      <c r="G19" s="2" t="s">
        <v>570</v>
      </c>
      <c r="H19" t="s">
        <v>571</v>
      </c>
      <c r="I19" t="str">
        <f t="shared" si="0"/>
        <v>HECTOR TREVINO</v>
      </c>
    </row>
    <row r="20" spans="1:9" x14ac:dyDescent="0.15">
      <c r="A20" s="2">
        <v>107866950</v>
      </c>
      <c r="B20" t="s">
        <v>511</v>
      </c>
      <c r="C20" t="s">
        <v>513</v>
      </c>
      <c r="G20" s="2" t="s">
        <v>572</v>
      </c>
      <c r="H20" t="s">
        <v>573</v>
      </c>
      <c r="I20" t="str">
        <f t="shared" si="0"/>
        <v>EDILLIA VAUGHAN</v>
      </c>
    </row>
    <row r="21" spans="1:9" x14ac:dyDescent="0.15">
      <c r="A21" s="2">
        <v>107866950</v>
      </c>
      <c r="B21" t="s">
        <v>511</v>
      </c>
      <c r="C21" t="s">
        <v>513</v>
      </c>
      <c r="G21" s="2" t="s">
        <v>574</v>
      </c>
      <c r="H21" t="s">
        <v>575</v>
      </c>
      <c r="I21" t="str">
        <f t="shared" si="0"/>
        <v>MELINDA BEAN</v>
      </c>
    </row>
    <row r="22" spans="1:9" x14ac:dyDescent="0.15">
      <c r="A22" s="2">
        <v>107866950</v>
      </c>
      <c r="B22" t="s">
        <v>511</v>
      </c>
      <c r="C22" t="s">
        <v>513</v>
      </c>
      <c r="G22" s="2" t="s">
        <v>576</v>
      </c>
      <c r="H22" t="s">
        <v>577</v>
      </c>
      <c r="I22" t="str">
        <f t="shared" si="0"/>
        <v>VELMA ROJAS</v>
      </c>
    </row>
    <row r="23" spans="1:9" x14ac:dyDescent="0.15">
      <c r="A23" s="2">
        <v>107866950</v>
      </c>
      <c r="B23" t="s">
        <v>511</v>
      </c>
      <c r="C23" t="s">
        <v>513</v>
      </c>
      <c r="G23" s="2" t="s">
        <v>578</v>
      </c>
      <c r="H23" t="s">
        <v>579</v>
      </c>
      <c r="I23" t="str">
        <f t="shared" si="0"/>
        <v>TRACY LEE</v>
      </c>
    </row>
    <row r="24" spans="1:9" x14ac:dyDescent="0.15">
      <c r="A24" s="2">
        <v>107866950</v>
      </c>
      <c r="B24" t="s">
        <v>511</v>
      </c>
      <c r="C24" t="s">
        <v>513</v>
      </c>
      <c r="G24" s="2" t="s">
        <v>580</v>
      </c>
      <c r="H24" t="s">
        <v>581</v>
      </c>
      <c r="I24" t="str">
        <f t="shared" si="0"/>
        <v>MONICA SOLDEVILLA</v>
      </c>
    </row>
    <row r="25" spans="1:9" x14ac:dyDescent="0.15">
      <c r="A25" s="2">
        <v>107866950</v>
      </c>
      <c r="B25" t="s">
        <v>511</v>
      </c>
      <c r="C25" t="s">
        <v>513</v>
      </c>
      <c r="G25" s="2" t="s">
        <v>582</v>
      </c>
      <c r="H25" t="s">
        <v>583</v>
      </c>
      <c r="I25" t="str">
        <f t="shared" si="0"/>
        <v>ESMERALDA MOLINA</v>
      </c>
    </row>
    <row r="26" spans="1:9" x14ac:dyDescent="0.15">
      <c r="A26" s="2">
        <v>107866950</v>
      </c>
      <c r="B26" t="s">
        <v>511</v>
      </c>
      <c r="C26" t="s">
        <v>513</v>
      </c>
      <c r="G26" s="2" t="s">
        <v>584</v>
      </c>
      <c r="H26" t="s">
        <v>585</v>
      </c>
      <c r="I26" t="str">
        <f t="shared" si="0"/>
        <v>DANIEL KELLY</v>
      </c>
    </row>
    <row r="27" spans="1:9" x14ac:dyDescent="0.15">
      <c r="A27" s="2">
        <v>107866950</v>
      </c>
      <c r="B27" t="s">
        <v>511</v>
      </c>
      <c r="C27" t="s">
        <v>513</v>
      </c>
      <c r="G27" s="2" t="s">
        <v>586</v>
      </c>
      <c r="H27" t="s">
        <v>587</v>
      </c>
      <c r="I27" t="str">
        <f t="shared" si="0"/>
        <v>RALANE CALLAHAN</v>
      </c>
    </row>
    <row r="28" spans="1:9" x14ac:dyDescent="0.15">
      <c r="A28" s="2">
        <v>107866950</v>
      </c>
      <c r="B28" t="s">
        <v>511</v>
      </c>
      <c r="C28" t="s">
        <v>513</v>
      </c>
      <c r="G28" s="2" t="s">
        <v>588</v>
      </c>
      <c r="H28" t="s">
        <v>589</v>
      </c>
      <c r="I28" t="str">
        <f t="shared" si="0"/>
        <v>SCOTT PHILLIPS</v>
      </c>
    </row>
    <row r="29" spans="1:9" x14ac:dyDescent="0.15">
      <c r="A29" s="2">
        <v>107866950</v>
      </c>
      <c r="B29" t="s">
        <v>511</v>
      </c>
      <c r="C29" t="s">
        <v>513</v>
      </c>
      <c r="G29" s="2" t="s">
        <v>590</v>
      </c>
      <c r="H29" t="s">
        <v>591</v>
      </c>
      <c r="I29" t="str">
        <f t="shared" si="0"/>
        <v>CARICE HERSHCOVICH</v>
      </c>
    </row>
    <row r="30" spans="1:9" x14ac:dyDescent="0.15">
      <c r="A30" s="2">
        <v>107866950</v>
      </c>
      <c r="B30" t="s">
        <v>511</v>
      </c>
      <c r="C30" t="s">
        <v>513</v>
      </c>
      <c r="G30" s="2" t="s">
        <v>592</v>
      </c>
      <c r="H30" t="s">
        <v>593</v>
      </c>
      <c r="I30" t="str">
        <f t="shared" si="0"/>
        <v>MELISSA KIEREN</v>
      </c>
    </row>
    <row r="31" spans="1:9" x14ac:dyDescent="0.15">
      <c r="A31" s="2">
        <v>107866950</v>
      </c>
      <c r="B31" t="s">
        <v>511</v>
      </c>
      <c r="C31" t="s">
        <v>513</v>
      </c>
      <c r="G31" s="2" t="s">
        <v>592</v>
      </c>
      <c r="H31" t="s">
        <v>594</v>
      </c>
      <c r="I31" t="str">
        <f t="shared" si="0"/>
        <v>DONNA KIEREN</v>
      </c>
    </row>
    <row r="32" spans="1:9" x14ac:dyDescent="0.15">
      <c r="A32" s="2">
        <v>107866950</v>
      </c>
      <c r="B32" t="s">
        <v>511</v>
      </c>
      <c r="C32" t="s">
        <v>513</v>
      </c>
      <c r="G32" s="2" t="s">
        <v>595</v>
      </c>
      <c r="H32" t="s">
        <v>596</v>
      </c>
      <c r="I32" t="str">
        <f t="shared" si="0"/>
        <v>KRISTIE GOLDEN</v>
      </c>
    </row>
    <row r="33" spans="1:9" x14ac:dyDescent="0.15">
      <c r="A33" s="2">
        <v>107866950</v>
      </c>
      <c r="B33" t="s">
        <v>511</v>
      </c>
      <c r="C33" t="s">
        <v>513</v>
      </c>
      <c r="G33" s="2" t="s">
        <v>597</v>
      </c>
      <c r="H33" t="s">
        <v>575</v>
      </c>
      <c r="I33" t="str">
        <f t="shared" si="0"/>
        <v>MELINDA WELLS</v>
      </c>
    </row>
    <row r="34" spans="1:9" x14ac:dyDescent="0.15">
      <c r="A34" s="2">
        <v>107866950</v>
      </c>
      <c r="B34" t="s">
        <v>511</v>
      </c>
      <c r="C34" t="s">
        <v>513</v>
      </c>
      <c r="G34" s="2" t="s">
        <v>598</v>
      </c>
      <c r="H34" t="s">
        <v>599</v>
      </c>
      <c r="I34" t="str">
        <f t="shared" si="0"/>
        <v>CHAMAIPORN SWAIN</v>
      </c>
    </row>
    <row r="35" spans="1:9" x14ac:dyDescent="0.15">
      <c r="A35" s="2">
        <v>107866950</v>
      </c>
      <c r="B35" t="s">
        <v>511</v>
      </c>
      <c r="C35" t="s">
        <v>513</v>
      </c>
      <c r="G35" s="2" t="s">
        <v>600</v>
      </c>
      <c r="H35" t="s">
        <v>601</v>
      </c>
      <c r="I35" t="str">
        <f t="shared" si="0"/>
        <v>GARY YORK</v>
      </c>
    </row>
    <row r="36" spans="1:9" x14ac:dyDescent="0.15">
      <c r="A36" s="2">
        <v>107866950</v>
      </c>
      <c r="B36" t="s">
        <v>511</v>
      </c>
      <c r="C36" t="s">
        <v>513</v>
      </c>
      <c r="G36" s="2" t="s">
        <v>602</v>
      </c>
      <c r="H36" t="s">
        <v>603</v>
      </c>
      <c r="I36" t="str">
        <f t="shared" si="0"/>
        <v>PHILLIP SANNER</v>
      </c>
    </row>
    <row r="37" spans="1:9" x14ac:dyDescent="0.15">
      <c r="A37" s="2">
        <v>107866950</v>
      </c>
      <c r="B37" t="s">
        <v>511</v>
      </c>
      <c r="C37" t="s">
        <v>513</v>
      </c>
      <c r="G37" s="2" t="s">
        <v>586</v>
      </c>
      <c r="H37" t="s">
        <v>604</v>
      </c>
      <c r="I37" t="str">
        <f t="shared" si="0"/>
        <v>PRESTON CALLAHAN</v>
      </c>
    </row>
    <row r="38" spans="1:9" x14ac:dyDescent="0.15">
      <c r="A38" s="2">
        <v>107866950</v>
      </c>
      <c r="B38" t="s">
        <v>511</v>
      </c>
      <c r="C38" t="s">
        <v>513</v>
      </c>
      <c r="G38" s="2" t="s">
        <v>545</v>
      </c>
      <c r="H38" t="s">
        <v>605</v>
      </c>
      <c r="I38" t="str">
        <f t="shared" si="0"/>
        <v>BUNNY ROBERTSON</v>
      </c>
    </row>
    <row r="39" spans="1:9" x14ac:dyDescent="0.15">
      <c r="A39" s="2">
        <v>107866950</v>
      </c>
      <c r="B39" t="s">
        <v>511</v>
      </c>
      <c r="C39" t="s">
        <v>513</v>
      </c>
      <c r="G39" s="2" t="s">
        <v>606</v>
      </c>
      <c r="H39" t="s">
        <v>607</v>
      </c>
      <c r="I39" t="str">
        <f t="shared" si="0"/>
        <v>KATHY LUMMUS</v>
      </c>
    </row>
    <row r="40" spans="1:9" x14ac:dyDescent="0.15">
      <c r="A40" s="2">
        <v>107866950</v>
      </c>
      <c r="B40" t="s">
        <v>511</v>
      </c>
      <c r="C40" t="s">
        <v>513</v>
      </c>
      <c r="G40" s="2" t="s">
        <v>608</v>
      </c>
      <c r="H40" t="s">
        <v>609</v>
      </c>
      <c r="I40" t="str">
        <f t="shared" si="0"/>
        <v>MICHAEL LEWIS</v>
      </c>
    </row>
    <row r="41" spans="1:9" x14ac:dyDescent="0.15">
      <c r="A41" s="2">
        <v>107866950</v>
      </c>
      <c r="B41" t="s">
        <v>511</v>
      </c>
      <c r="C41" t="s">
        <v>513</v>
      </c>
      <c r="G41" s="2" t="s">
        <v>610</v>
      </c>
      <c r="H41" t="s">
        <v>611</v>
      </c>
      <c r="I41" t="str">
        <f t="shared" si="0"/>
        <v>WILLIAM HOPSON</v>
      </c>
    </row>
    <row r="42" spans="1:9" x14ac:dyDescent="0.15">
      <c r="A42" s="2">
        <v>107866950</v>
      </c>
      <c r="B42" t="s">
        <v>511</v>
      </c>
      <c r="C42" t="s">
        <v>513</v>
      </c>
      <c r="G42" s="2" t="s">
        <v>612</v>
      </c>
      <c r="H42" t="s">
        <v>613</v>
      </c>
      <c r="I42" t="str">
        <f t="shared" si="0"/>
        <v>ROBIN PETRICH</v>
      </c>
    </row>
    <row r="43" spans="1:9" x14ac:dyDescent="0.15">
      <c r="A43" s="2">
        <v>107866950</v>
      </c>
      <c r="B43" t="s">
        <v>511</v>
      </c>
      <c r="C43" t="s">
        <v>513</v>
      </c>
      <c r="G43" s="2" t="s">
        <v>614</v>
      </c>
      <c r="H43" t="s">
        <v>615</v>
      </c>
      <c r="I43" t="str">
        <f t="shared" si="0"/>
        <v>EDERLINA JOHNSON</v>
      </c>
    </row>
    <row r="44" spans="1:9" x14ac:dyDescent="0.15">
      <c r="A44" s="2">
        <v>107866950</v>
      </c>
      <c r="B44" t="s">
        <v>511</v>
      </c>
      <c r="C44" t="s">
        <v>513</v>
      </c>
      <c r="G44" s="2" t="s">
        <v>616</v>
      </c>
      <c r="H44" t="s">
        <v>617</v>
      </c>
      <c r="I44" t="str">
        <f t="shared" si="0"/>
        <v>DIANE MORRIS</v>
      </c>
    </row>
    <row r="45" spans="1:9" x14ac:dyDescent="0.15">
      <c r="A45" s="2">
        <v>107866950</v>
      </c>
      <c r="B45" t="s">
        <v>511</v>
      </c>
      <c r="C45" t="s">
        <v>513</v>
      </c>
      <c r="G45" s="2" t="s">
        <v>618</v>
      </c>
      <c r="H45" t="s">
        <v>550</v>
      </c>
      <c r="I45" t="str">
        <f t="shared" si="0"/>
        <v>JAMES CAVE</v>
      </c>
    </row>
    <row r="46" spans="1:9" x14ac:dyDescent="0.15">
      <c r="A46" s="2">
        <v>107866950</v>
      </c>
      <c r="B46" t="s">
        <v>511</v>
      </c>
      <c r="C46" t="s">
        <v>513</v>
      </c>
      <c r="G46" s="2" t="s">
        <v>619</v>
      </c>
      <c r="H46" t="s">
        <v>620</v>
      </c>
      <c r="I46" t="str">
        <f t="shared" si="0"/>
        <v>MANUEL MARTINEZ</v>
      </c>
    </row>
    <row r="47" spans="1:9" x14ac:dyDescent="0.15">
      <c r="A47" s="2">
        <v>107866950</v>
      </c>
      <c r="B47" t="s">
        <v>511</v>
      </c>
      <c r="C47" t="s">
        <v>513</v>
      </c>
      <c r="G47" s="2" t="s">
        <v>616</v>
      </c>
      <c r="H47" t="s">
        <v>621</v>
      </c>
      <c r="I47" t="str">
        <f t="shared" si="0"/>
        <v>STEPHEN MORRIS</v>
      </c>
    </row>
    <row r="48" spans="1:9" x14ac:dyDescent="0.15">
      <c r="A48" s="2">
        <v>107866950</v>
      </c>
      <c r="B48" t="s">
        <v>511</v>
      </c>
      <c r="C48" t="s">
        <v>513</v>
      </c>
      <c r="G48" s="2" t="s">
        <v>622</v>
      </c>
      <c r="H48" t="s">
        <v>623</v>
      </c>
      <c r="I48" t="str">
        <f t="shared" si="0"/>
        <v>SYLENA MANES</v>
      </c>
    </row>
    <row r="49" spans="1:9" x14ac:dyDescent="0.15">
      <c r="A49" s="2">
        <v>107869934</v>
      </c>
      <c r="B49" t="s">
        <v>511</v>
      </c>
      <c r="C49" t="s">
        <v>514</v>
      </c>
      <c r="G49" s="2" t="s">
        <v>624</v>
      </c>
      <c r="H49" t="s">
        <v>625</v>
      </c>
      <c r="I49" t="str">
        <f t="shared" si="0"/>
        <v>TIMOTHY HANNON</v>
      </c>
    </row>
    <row r="50" spans="1:9" x14ac:dyDescent="0.15">
      <c r="A50" s="2">
        <v>107869934</v>
      </c>
      <c r="B50" t="s">
        <v>511</v>
      </c>
      <c r="C50" t="s">
        <v>514</v>
      </c>
      <c r="G50" s="2" t="s">
        <v>626</v>
      </c>
      <c r="H50" t="s">
        <v>627</v>
      </c>
      <c r="I50" t="str">
        <f t="shared" si="0"/>
        <v>JESUS BUENTELLO</v>
      </c>
    </row>
    <row r="51" spans="1:9" x14ac:dyDescent="0.15">
      <c r="A51" s="2">
        <v>107869934</v>
      </c>
      <c r="B51" t="s">
        <v>511</v>
      </c>
      <c r="C51" t="s">
        <v>514</v>
      </c>
      <c r="G51" s="2" t="s">
        <v>628</v>
      </c>
      <c r="H51" t="s">
        <v>629</v>
      </c>
      <c r="I51" t="str">
        <f t="shared" si="0"/>
        <v>CLAUDIA CHARLES</v>
      </c>
    </row>
    <row r="52" spans="1:9" x14ac:dyDescent="0.15">
      <c r="A52" s="2">
        <v>107870004</v>
      </c>
      <c r="B52" t="s">
        <v>511</v>
      </c>
      <c r="C52" t="s">
        <v>515</v>
      </c>
      <c r="G52" s="2" t="s">
        <v>630</v>
      </c>
      <c r="H52" t="s">
        <v>631</v>
      </c>
      <c r="I52" t="str">
        <f t="shared" si="0"/>
        <v>ASHLEY MCGOURTY</v>
      </c>
    </row>
    <row r="53" spans="1:9" x14ac:dyDescent="0.15">
      <c r="A53" s="2">
        <v>107870004</v>
      </c>
      <c r="B53" t="s">
        <v>511</v>
      </c>
      <c r="C53" t="s">
        <v>515</v>
      </c>
      <c r="G53" s="2" t="s">
        <v>632</v>
      </c>
      <c r="H53" t="s">
        <v>633</v>
      </c>
      <c r="I53" t="str">
        <f t="shared" si="0"/>
        <v>PRENTICE WULFF</v>
      </c>
    </row>
    <row r="54" spans="1:9" x14ac:dyDescent="0.15">
      <c r="A54" s="2">
        <v>107870004</v>
      </c>
      <c r="B54" t="s">
        <v>511</v>
      </c>
      <c r="C54" t="s">
        <v>515</v>
      </c>
      <c r="G54" s="2" t="s">
        <v>634</v>
      </c>
      <c r="H54" t="s">
        <v>635</v>
      </c>
      <c r="I54" t="str">
        <f t="shared" si="0"/>
        <v>ROSAMARIA MORALES</v>
      </c>
    </row>
    <row r="55" spans="1:9" x14ac:dyDescent="0.15">
      <c r="A55" s="2">
        <v>107872306</v>
      </c>
      <c r="B55" t="s">
        <v>511</v>
      </c>
      <c r="C55" t="s">
        <v>516</v>
      </c>
      <c r="G55" s="2" t="s">
        <v>614</v>
      </c>
      <c r="H55" t="s">
        <v>636</v>
      </c>
      <c r="I55" t="str">
        <f t="shared" si="0"/>
        <v>BENNY JOHNSON</v>
      </c>
    </row>
    <row r="56" spans="1:9" x14ac:dyDescent="0.15">
      <c r="A56" s="2">
        <v>107873513</v>
      </c>
      <c r="B56" t="s">
        <v>511</v>
      </c>
      <c r="C56" t="s">
        <v>517</v>
      </c>
      <c r="G56" s="2" t="s">
        <v>637</v>
      </c>
      <c r="H56" t="s">
        <v>638</v>
      </c>
      <c r="I56" t="str">
        <f t="shared" si="0"/>
        <v>RONNIE SALTSMAN</v>
      </c>
    </row>
    <row r="57" spans="1:9" x14ac:dyDescent="0.15">
      <c r="A57" s="2">
        <v>107879207</v>
      </c>
      <c r="B57" t="s">
        <v>511</v>
      </c>
      <c r="C57" t="s">
        <v>518</v>
      </c>
      <c r="G57" s="2" t="s">
        <v>639</v>
      </c>
      <c r="H57" t="s">
        <v>640</v>
      </c>
      <c r="I57" t="str">
        <f t="shared" si="0"/>
        <v>BOBBY BAILEY</v>
      </c>
    </row>
    <row r="58" spans="1:9" x14ac:dyDescent="0.15">
      <c r="A58" s="2">
        <v>107879207</v>
      </c>
      <c r="B58" t="s">
        <v>511</v>
      </c>
      <c r="C58" t="s">
        <v>518</v>
      </c>
      <c r="G58" s="2" t="s">
        <v>639</v>
      </c>
      <c r="H58" t="s">
        <v>640</v>
      </c>
      <c r="I58" t="str">
        <f t="shared" si="0"/>
        <v>BOBBY BAILEY</v>
      </c>
    </row>
    <row r="59" spans="1:9" x14ac:dyDescent="0.15">
      <c r="A59" s="2">
        <v>107879207</v>
      </c>
      <c r="B59" t="s">
        <v>511</v>
      </c>
      <c r="C59" t="s">
        <v>518</v>
      </c>
      <c r="G59" s="2" t="s">
        <v>639</v>
      </c>
      <c r="H59" t="s">
        <v>641</v>
      </c>
      <c r="I59" t="str">
        <f t="shared" si="0"/>
        <v>WALKER BAILEY</v>
      </c>
    </row>
    <row r="60" spans="1:9" x14ac:dyDescent="0.15">
      <c r="A60" s="2">
        <v>107879207</v>
      </c>
      <c r="B60" t="s">
        <v>511</v>
      </c>
      <c r="C60" t="s">
        <v>518</v>
      </c>
      <c r="G60" s="2" t="s">
        <v>642</v>
      </c>
      <c r="H60" t="s">
        <v>643</v>
      </c>
      <c r="I60" t="str">
        <f t="shared" si="0"/>
        <v>LAONNA DAVIS</v>
      </c>
    </row>
    <row r="61" spans="1:9" x14ac:dyDescent="0.15">
      <c r="A61" s="2">
        <v>107879207</v>
      </c>
      <c r="B61" t="s">
        <v>511</v>
      </c>
      <c r="C61" t="s">
        <v>518</v>
      </c>
      <c r="G61" s="2" t="s">
        <v>644</v>
      </c>
      <c r="H61" t="s">
        <v>565</v>
      </c>
      <c r="I61" t="str">
        <f t="shared" si="0"/>
        <v>REBECCA DENNIS</v>
      </c>
    </row>
    <row r="62" spans="1:9" x14ac:dyDescent="0.15">
      <c r="A62" s="2">
        <v>107888447</v>
      </c>
      <c r="B62" t="s">
        <v>511</v>
      </c>
      <c r="C62" t="s">
        <v>519</v>
      </c>
      <c r="G62" s="2" t="s">
        <v>645</v>
      </c>
      <c r="H62" t="s">
        <v>646</v>
      </c>
      <c r="I62" t="str">
        <f t="shared" si="0"/>
        <v>NATHAN HINOJOSA</v>
      </c>
    </row>
    <row r="63" spans="1:9" x14ac:dyDescent="0.15">
      <c r="A63" s="2">
        <v>107888447</v>
      </c>
      <c r="B63" t="s">
        <v>511</v>
      </c>
      <c r="C63" t="s">
        <v>519</v>
      </c>
      <c r="G63" s="2" t="s">
        <v>647</v>
      </c>
      <c r="H63" t="s">
        <v>648</v>
      </c>
      <c r="I63" t="str">
        <f t="shared" si="0"/>
        <v>SANDRA CARTWRIGHT</v>
      </c>
    </row>
    <row r="64" spans="1:9" x14ac:dyDescent="0.15">
      <c r="A64" s="2">
        <v>107888447</v>
      </c>
      <c r="B64" t="s">
        <v>511</v>
      </c>
      <c r="C64" t="s">
        <v>519</v>
      </c>
      <c r="G64" s="2" t="s">
        <v>649</v>
      </c>
      <c r="H64" t="s">
        <v>628</v>
      </c>
      <c r="I64" t="str">
        <f t="shared" si="0"/>
        <v>CHARLES MOORE</v>
      </c>
    </row>
    <row r="65" spans="1:9" x14ac:dyDescent="0.15">
      <c r="A65" s="2">
        <v>107888447</v>
      </c>
      <c r="B65" t="s">
        <v>511</v>
      </c>
      <c r="C65" t="s">
        <v>519</v>
      </c>
      <c r="G65" s="2" t="s">
        <v>649</v>
      </c>
      <c r="H65" t="s">
        <v>628</v>
      </c>
      <c r="I65" t="str">
        <f t="shared" si="0"/>
        <v>CHARLES MOORE</v>
      </c>
    </row>
    <row r="66" spans="1:9" x14ac:dyDescent="0.15">
      <c r="A66" s="2">
        <v>107888447</v>
      </c>
      <c r="B66" t="s">
        <v>511</v>
      </c>
      <c r="C66" t="s">
        <v>519</v>
      </c>
      <c r="G66" s="2" t="s">
        <v>650</v>
      </c>
      <c r="H66" t="s">
        <v>651</v>
      </c>
      <c r="I66" t="str">
        <f t="shared" ref="I66:I129" si="1">CONCATENATE(H66, " ", G66)</f>
        <v>LAURA TALLEY</v>
      </c>
    </row>
    <row r="67" spans="1:9" x14ac:dyDescent="0.15">
      <c r="A67" s="2">
        <v>107888447</v>
      </c>
      <c r="B67" t="s">
        <v>511</v>
      </c>
      <c r="C67" t="s">
        <v>519</v>
      </c>
      <c r="G67" s="2" t="s">
        <v>652</v>
      </c>
      <c r="H67" t="s">
        <v>653</v>
      </c>
      <c r="I67" t="str">
        <f t="shared" si="1"/>
        <v>FRANCES LOWE</v>
      </c>
    </row>
    <row r="68" spans="1:9" x14ac:dyDescent="0.15">
      <c r="A68" s="2">
        <v>107888447</v>
      </c>
      <c r="B68" t="s">
        <v>511</v>
      </c>
      <c r="C68" t="s">
        <v>519</v>
      </c>
      <c r="G68" s="2" t="s">
        <v>654</v>
      </c>
      <c r="H68" t="s">
        <v>628</v>
      </c>
      <c r="I68" t="str">
        <f t="shared" si="1"/>
        <v>CHARLES BLACKLOCK</v>
      </c>
    </row>
    <row r="69" spans="1:9" x14ac:dyDescent="0.15">
      <c r="A69" s="2">
        <v>107888447</v>
      </c>
      <c r="B69" t="s">
        <v>511</v>
      </c>
      <c r="C69" t="s">
        <v>519</v>
      </c>
      <c r="G69" s="2" t="s">
        <v>655</v>
      </c>
      <c r="H69" t="s">
        <v>656</v>
      </c>
      <c r="I69" t="str">
        <f t="shared" si="1"/>
        <v>JOANNE HESTON</v>
      </c>
    </row>
    <row r="70" spans="1:9" x14ac:dyDescent="0.15">
      <c r="A70" s="2">
        <v>107888447</v>
      </c>
      <c r="B70" t="s">
        <v>511</v>
      </c>
      <c r="C70" t="s">
        <v>519</v>
      </c>
      <c r="G70" s="2" t="s">
        <v>657</v>
      </c>
      <c r="H70" t="s">
        <v>658</v>
      </c>
      <c r="I70" t="str">
        <f t="shared" si="1"/>
        <v>JOHN RUTHERFORD</v>
      </c>
    </row>
    <row r="71" spans="1:9" x14ac:dyDescent="0.15">
      <c r="A71" s="2">
        <v>107888447</v>
      </c>
      <c r="B71" t="s">
        <v>511</v>
      </c>
      <c r="C71" t="s">
        <v>519</v>
      </c>
      <c r="G71" s="2" t="s">
        <v>659</v>
      </c>
      <c r="H71" t="s">
        <v>627</v>
      </c>
      <c r="I71" t="str">
        <f t="shared" si="1"/>
        <v>JESUS SANDOVAL</v>
      </c>
    </row>
    <row r="72" spans="1:9" x14ac:dyDescent="0.15">
      <c r="A72" s="2">
        <v>107888447</v>
      </c>
      <c r="B72" t="s">
        <v>511</v>
      </c>
      <c r="C72" t="s">
        <v>519</v>
      </c>
      <c r="G72" s="2" t="s">
        <v>660</v>
      </c>
      <c r="H72" t="s">
        <v>661</v>
      </c>
      <c r="I72" t="str">
        <f t="shared" si="1"/>
        <v>JINGJIE ZHAO</v>
      </c>
    </row>
    <row r="73" spans="1:9" x14ac:dyDescent="0.15">
      <c r="A73" s="2">
        <v>107888447</v>
      </c>
      <c r="B73" t="s">
        <v>511</v>
      </c>
      <c r="C73" t="s">
        <v>519</v>
      </c>
      <c r="G73" s="2" t="s">
        <v>650</v>
      </c>
      <c r="H73" t="s">
        <v>662</v>
      </c>
      <c r="I73" t="str">
        <f t="shared" si="1"/>
        <v>HEATHER TALLEY</v>
      </c>
    </row>
    <row r="74" spans="1:9" x14ac:dyDescent="0.15">
      <c r="A74" s="2">
        <v>107888447</v>
      </c>
      <c r="B74" t="s">
        <v>511</v>
      </c>
      <c r="C74" t="s">
        <v>519</v>
      </c>
      <c r="G74" s="2" t="s">
        <v>663</v>
      </c>
      <c r="H74" t="s">
        <v>664</v>
      </c>
      <c r="I74" t="str">
        <f t="shared" si="1"/>
        <v>JUAN PARRA</v>
      </c>
    </row>
    <row r="75" spans="1:9" x14ac:dyDescent="0.15">
      <c r="A75" s="2">
        <v>107888447</v>
      </c>
      <c r="B75" t="s">
        <v>511</v>
      </c>
      <c r="C75" t="s">
        <v>519</v>
      </c>
      <c r="G75" s="2" t="s">
        <v>665</v>
      </c>
      <c r="H75" t="s">
        <v>666</v>
      </c>
      <c r="I75" t="str">
        <f t="shared" si="1"/>
        <v>LINDZIE POWERS</v>
      </c>
    </row>
    <row r="76" spans="1:9" x14ac:dyDescent="0.15">
      <c r="A76" s="2">
        <v>107888447</v>
      </c>
      <c r="B76" t="s">
        <v>511</v>
      </c>
      <c r="C76" t="s">
        <v>519</v>
      </c>
      <c r="G76" s="2" t="s">
        <v>667</v>
      </c>
      <c r="H76" t="s">
        <v>550</v>
      </c>
      <c r="I76" t="str">
        <f t="shared" si="1"/>
        <v>JAMES JASPERSON</v>
      </c>
    </row>
    <row r="77" spans="1:9" x14ac:dyDescent="0.15">
      <c r="A77" s="2">
        <v>107888447</v>
      </c>
      <c r="B77" t="s">
        <v>511</v>
      </c>
      <c r="C77" t="s">
        <v>519</v>
      </c>
      <c r="G77" s="2" t="s">
        <v>578</v>
      </c>
      <c r="H77" t="s">
        <v>668</v>
      </c>
      <c r="I77" t="str">
        <f t="shared" si="1"/>
        <v>ROBERT LEE</v>
      </c>
    </row>
    <row r="78" spans="1:9" x14ac:dyDescent="0.15">
      <c r="A78" s="2">
        <v>107888447</v>
      </c>
      <c r="B78" t="s">
        <v>511</v>
      </c>
      <c r="C78" t="s">
        <v>519</v>
      </c>
      <c r="G78" s="2" t="s">
        <v>669</v>
      </c>
      <c r="H78" t="s">
        <v>670</v>
      </c>
      <c r="I78" t="str">
        <f t="shared" si="1"/>
        <v>RAQUEL TORRES</v>
      </c>
    </row>
    <row r="79" spans="1:9" x14ac:dyDescent="0.15">
      <c r="A79" s="2">
        <v>107888447</v>
      </c>
      <c r="B79" t="s">
        <v>511</v>
      </c>
      <c r="C79" t="s">
        <v>519</v>
      </c>
      <c r="G79" s="2" t="s">
        <v>671</v>
      </c>
      <c r="H79" t="s">
        <v>672</v>
      </c>
      <c r="I79" t="str">
        <f t="shared" si="1"/>
        <v>DEBBIE SKAGGS</v>
      </c>
    </row>
    <row r="80" spans="1:9" x14ac:dyDescent="0.15">
      <c r="A80" s="2">
        <v>107888447</v>
      </c>
      <c r="B80" t="s">
        <v>511</v>
      </c>
      <c r="C80" t="s">
        <v>519</v>
      </c>
      <c r="G80" s="2" t="s">
        <v>673</v>
      </c>
      <c r="H80" t="s">
        <v>674</v>
      </c>
      <c r="I80" t="str">
        <f t="shared" si="1"/>
        <v>KIMBERLY KUCHARSKI</v>
      </c>
    </row>
    <row r="81" spans="1:9" x14ac:dyDescent="0.15">
      <c r="A81" s="2">
        <v>107888447</v>
      </c>
      <c r="B81" t="s">
        <v>511</v>
      </c>
      <c r="C81" t="s">
        <v>519</v>
      </c>
      <c r="G81" s="2" t="s">
        <v>675</v>
      </c>
      <c r="H81" t="s">
        <v>676</v>
      </c>
      <c r="I81" t="str">
        <f t="shared" si="1"/>
        <v>SAMARTH SULHAN</v>
      </c>
    </row>
    <row r="82" spans="1:9" x14ac:dyDescent="0.15">
      <c r="A82" s="2">
        <v>107888447</v>
      </c>
      <c r="B82" t="s">
        <v>511</v>
      </c>
      <c r="C82" t="s">
        <v>519</v>
      </c>
      <c r="G82" s="2" t="s">
        <v>677</v>
      </c>
      <c r="H82" t="s">
        <v>678</v>
      </c>
      <c r="I82" t="str">
        <f t="shared" si="1"/>
        <v>CARLOS ANGELES</v>
      </c>
    </row>
    <row r="83" spans="1:9" x14ac:dyDescent="0.15">
      <c r="A83" s="2">
        <v>107888447</v>
      </c>
      <c r="B83" t="s">
        <v>511</v>
      </c>
      <c r="C83" t="s">
        <v>519</v>
      </c>
      <c r="G83" s="2" t="s">
        <v>677</v>
      </c>
      <c r="H83" t="s">
        <v>678</v>
      </c>
      <c r="I83" t="str">
        <f t="shared" si="1"/>
        <v>CARLOS ANGELES</v>
      </c>
    </row>
    <row r="84" spans="1:9" x14ac:dyDescent="0.15">
      <c r="A84" s="2">
        <v>107888447</v>
      </c>
      <c r="B84" t="s">
        <v>511</v>
      </c>
      <c r="C84" t="s">
        <v>519</v>
      </c>
      <c r="G84" s="2" t="s">
        <v>677</v>
      </c>
      <c r="H84" t="s">
        <v>678</v>
      </c>
      <c r="I84" t="str">
        <f t="shared" si="1"/>
        <v>CARLOS ANGELES</v>
      </c>
    </row>
    <row r="85" spans="1:9" x14ac:dyDescent="0.15">
      <c r="A85" s="2">
        <v>107888447</v>
      </c>
      <c r="B85" t="s">
        <v>511</v>
      </c>
      <c r="C85" t="s">
        <v>519</v>
      </c>
      <c r="G85" s="2" t="s">
        <v>677</v>
      </c>
      <c r="H85" t="s">
        <v>678</v>
      </c>
      <c r="I85" t="str">
        <f t="shared" si="1"/>
        <v>CARLOS ANGELES</v>
      </c>
    </row>
    <row r="86" spans="1:9" x14ac:dyDescent="0.15">
      <c r="A86" s="2">
        <v>107888447</v>
      </c>
      <c r="B86" t="s">
        <v>511</v>
      </c>
      <c r="C86" t="s">
        <v>519</v>
      </c>
      <c r="G86" s="2" t="s">
        <v>677</v>
      </c>
      <c r="H86" t="s">
        <v>678</v>
      </c>
      <c r="I86" t="str">
        <f t="shared" si="1"/>
        <v>CARLOS ANGELES</v>
      </c>
    </row>
    <row r="87" spans="1:9" x14ac:dyDescent="0.15">
      <c r="A87" s="2">
        <v>107888447</v>
      </c>
      <c r="B87" t="s">
        <v>511</v>
      </c>
      <c r="C87" t="s">
        <v>519</v>
      </c>
      <c r="G87" s="2" t="s">
        <v>677</v>
      </c>
      <c r="H87" t="s">
        <v>678</v>
      </c>
      <c r="I87" t="str">
        <f t="shared" si="1"/>
        <v>CARLOS ANGELES</v>
      </c>
    </row>
    <row r="88" spans="1:9" x14ac:dyDescent="0.15">
      <c r="A88" s="2">
        <v>107888447</v>
      </c>
      <c r="B88" t="s">
        <v>511</v>
      </c>
      <c r="C88" t="s">
        <v>519</v>
      </c>
      <c r="G88" s="2" t="s">
        <v>677</v>
      </c>
      <c r="H88" t="s">
        <v>678</v>
      </c>
      <c r="I88" t="str">
        <f t="shared" si="1"/>
        <v>CARLOS ANGELES</v>
      </c>
    </row>
    <row r="89" spans="1:9" x14ac:dyDescent="0.15">
      <c r="A89" s="2">
        <v>107888447</v>
      </c>
      <c r="B89" t="s">
        <v>511</v>
      </c>
      <c r="C89" t="s">
        <v>519</v>
      </c>
      <c r="G89" s="2" t="s">
        <v>677</v>
      </c>
      <c r="H89" t="s">
        <v>678</v>
      </c>
      <c r="I89" t="str">
        <f t="shared" si="1"/>
        <v>CARLOS ANGELES</v>
      </c>
    </row>
    <row r="90" spans="1:9" x14ac:dyDescent="0.15">
      <c r="A90" s="2">
        <v>107888447</v>
      </c>
      <c r="B90" t="s">
        <v>511</v>
      </c>
      <c r="C90" t="s">
        <v>519</v>
      </c>
      <c r="G90" s="2" t="s">
        <v>677</v>
      </c>
      <c r="H90" t="s">
        <v>678</v>
      </c>
      <c r="I90" t="str">
        <f t="shared" si="1"/>
        <v>CARLOS ANGELES</v>
      </c>
    </row>
    <row r="91" spans="1:9" x14ac:dyDescent="0.15">
      <c r="A91" s="2">
        <v>107888447</v>
      </c>
      <c r="B91" t="s">
        <v>511</v>
      </c>
      <c r="C91" t="s">
        <v>519</v>
      </c>
      <c r="G91" s="2" t="s">
        <v>677</v>
      </c>
      <c r="H91" t="s">
        <v>678</v>
      </c>
      <c r="I91" t="str">
        <f t="shared" si="1"/>
        <v>CARLOS ANGELES</v>
      </c>
    </row>
    <row r="92" spans="1:9" x14ac:dyDescent="0.15">
      <c r="A92" s="2">
        <v>107888447</v>
      </c>
      <c r="B92" t="s">
        <v>511</v>
      </c>
      <c r="C92" t="s">
        <v>519</v>
      </c>
      <c r="G92" s="2" t="s">
        <v>677</v>
      </c>
      <c r="H92" t="s">
        <v>678</v>
      </c>
      <c r="I92" t="str">
        <f t="shared" si="1"/>
        <v>CARLOS ANGELES</v>
      </c>
    </row>
    <row r="93" spans="1:9" x14ac:dyDescent="0.15">
      <c r="A93" s="2">
        <v>107888447</v>
      </c>
      <c r="B93" t="s">
        <v>511</v>
      </c>
      <c r="C93" t="s">
        <v>519</v>
      </c>
      <c r="G93" s="2" t="s">
        <v>677</v>
      </c>
      <c r="H93" t="s">
        <v>678</v>
      </c>
      <c r="I93" t="str">
        <f t="shared" si="1"/>
        <v>CARLOS ANGELES</v>
      </c>
    </row>
    <row r="94" spans="1:9" x14ac:dyDescent="0.15">
      <c r="A94" s="2">
        <v>107888447</v>
      </c>
      <c r="B94" t="s">
        <v>511</v>
      </c>
      <c r="C94" t="s">
        <v>519</v>
      </c>
      <c r="G94" s="2" t="s">
        <v>679</v>
      </c>
      <c r="H94" t="s">
        <v>680</v>
      </c>
      <c r="I94" t="str">
        <f t="shared" si="1"/>
        <v>CHRISTINE THOMAS</v>
      </c>
    </row>
    <row r="95" spans="1:9" x14ac:dyDescent="0.15">
      <c r="A95" s="2">
        <v>107888447</v>
      </c>
      <c r="B95" t="s">
        <v>511</v>
      </c>
      <c r="C95" t="s">
        <v>519</v>
      </c>
      <c r="G95" s="2" t="s">
        <v>681</v>
      </c>
      <c r="H95" t="s">
        <v>682</v>
      </c>
      <c r="I95" t="str">
        <f t="shared" si="1"/>
        <v>CHRISTIE TEMPLE</v>
      </c>
    </row>
    <row r="96" spans="1:9" x14ac:dyDescent="0.15">
      <c r="A96" s="2">
        <v>107888447</v>
      </c>
      <c r="B96" t="s">
        <v>511</v>
      </c>
      <c r="C96" t="s">
        <v>519</v>
      </c>
      <c r="G96" s="2" t="s">
        <v>683</v>
      </c>
      <c r="H96" t="s">
        <v>684</v>
      </c>
      <c r="I96" t="str">
        <f t="shared" si="1"/>
        <v>ANNIE GUTIERREZ</v>
      </c>
    </row>
    <row r="97" spans="1:9" x14ac:dyDescent="0.15">
      <c r="A97" s="2">
        <v>107888447</v>
      </c>
      <c r="B97" t="s">
        <v>511</v>
      </c>
      <c r="C97" t="s">
        <v>519</v>
      </c>
      <c r="G97" s="2" t="s">
        <v>685</v>
      </c>
      <c r="H97" t="s">
        <v>686</v>
      </c>
      <c r="I97" t="str">
        <f t="shared" si="1"/>
        <v>DAVID ORTIZ</v>
      </c>
    </row>
    <row r="98" spans="1:9" x14ac:dyDescent="0.15">
      <c r="A98" s="2">
        <v>107888447</v>
      </c>
      <c r="B98" t="s">
        <v>511</v>
      </c>
      <c r="C98" t="s">
        <v>519</v>
      </c>
      <c r="G98" s="2" t="s">
        <v>687</v>
      </c>
      <c r="H98" t="s">
        <v>688</v>
      </c>
      <c r="I98" t="str">
        <f t="shared" si="1"/>
        <v>TAURUS ROSS</v>
      </c>
    </row>
    <row r="99" spans="1:9" x14ac:dyDescent="0.15">
      <c r="A99" s="2">
        <v>107888447</v>
      </c>
      <c r="B99" t="s">
        <v>511</v>
      </c>
      <c r="C99" t="s">
        <v>519</v>
      </c>
      <c r="G99" s="2" t="s">
        <v>689</v>
      </c>
      <c r="H99" t="s">
        <v>690</v>
      </c>
      <c r="I99" t="str">
        <f t="shared" si="1"/>
        <v>ISABELLA SOSVILLE</v>
      </c>
    </row>
    <row r="100" spans="1:9" x14ac:dyDescent="0.15">
      <c r="A100" s="2">
        <v>107888447</v>
      </c>
      <c r="B100" t="s">
        <v>511</v>
      </c>
      <c r="C100" t="s">
        <v>519</v>
      </c>
      <c r="G100" s="2" t="s">
        <v>588</v>
      </c>
      <c r="H100" t="s">
        <v>691</v>
      </c>
      <c r="I100" t="str">
        <f t="shared" si="1"/>
        <v>EVELYN PHILLIPS</v>
      </c>
    </row>
    <row r="101" spans="1:9" x14ac:dyDescent="0.15">
      <c r="A101" s="2">
        <v>107888447</v>
      </c>
      <c r="B101" t="s">
        <v>511</v>
      </c>
      <c r="C101" t="s">
        <v>519</v>
      </c>
      <c r="G101" s="2" t="s">
        <v>692</v>
      </c>
      <c r="H101" t="s">
        <v>680</v>
      </c>
      <c r="I101" t="str">
        <f t="shared" si="1"/>
        <v>CHRISTINE ACHA</v>
      </c>
    </row>
    <row r="102" spans="1:9" x14ac:dyDescent="0.15">
      <c r="A102" s="2">
        <v>107888447</v>
      </c>
      <c r="B102" t="s">
        <v>511</v>
      </c>
      <c r="C102" t="s">
        <v>519</v>
      </c>
      <c r="G102" s="2" t="s">
        <v>693</v>
      </c>
      <c r="H102" t="s">
        <v>694</v>
      </c>
      <c r="I102" t="str">
        <f t="shared" si="1"/>
        <v>NATALIE HODGE</v>
      </c>
    </row>
    <row r="103" spans="1:9" x14ac:dyDescent="0.15">
      <c r="A103" s="2">
        <v>107888447</v>
      </c>
      <c r="B103" t="s">
        <v>511</v>
      </c>
      <c r="C103" t="s">
        <v>519</v>
      </c>
      <c r="G103" s="2" t="s">
        <v>695</v>
      </c>
      <c r="H103" t="s">
        <v>696</v>
      </c>
      <c r="I103" t="str">
        <f t="shared" si="1"/>
        <v>RICHARD DILES</v>
      </c>
    </row>
    <row r="104" spans="1:9" x14ac:dyDescent="0.15">
      <c r="A104" s="2">
        <v>107888447</v>
      </c>
      <c r="B104" t="s">
        <v>511</v>
      </c>
      <c r="C104" t="s">
        <v>519</v>
      </c>
      <c r="G104" s="2" t="s">
        <v>697</v>
      </c>
      <c r="H104" t="s">
        <v>698</v>
      </c>
      <c r="I104" t="str">
        <f t="shared" si="1"/>
        <v>ANABEL CHAVARRIA</v>
      </c>
    </row>
    <row r="105" spans="1:9" x14ac:dyDescent="0.15">
      <c r="A105" s="2">
        <v>107888447</v>
      </c>
      <c r="B105" t="s">
        <v>511</v>
      </c>
      <c r="C105" t="s">
        <v>519</v>
      </c>
      <c r="G105" s="2" t="s">
        <v>699</v>
      </c>
      <c r="H105" t="s">
        <v>700</v>
      </c>
      <c r="I105" t="str">
        <f t="shared" si="1"/>
        <v>ANTONIO ALTEMUS</v>
      </c>
    </row>
    <row r="106" spans="1:9" x14ac:dyDescent="0.15">
      <c r="A106" s="2">
        <v>107888447</v>
      </c>
      <c r="B106" t="s">
        <v>511</v>
      </c>
      <c r="C106" t="s">
        <v>519</v>
      </c>
      <c r="G106" s="2" t="s">
        <v>701</v>
      </c>
      <c r="H106" t="s">
        <v>702</v>
      </c>
      <c r="I106" t="str">
        <f t="shared" si="1"/>
        <v>RONALD PERDUE</v>
      </c>
    </row>
    <row r="107" spans="1:9" x14ac:dyDescent="0.15">
      <c r="A107" s="2">
        <v>107888447</v>
      </c>
      <c r="B107" t="s">
        <v>511</v>
      </c>
      <c r="C107" t="s">
        <v>519</v>
      </c>
      <c r="G107" s="2" t="s">
        <v>701</v>
      </c>
      <c r="H107" t="s">
        <v>702</v>
      </c>
      <c r="I107" t="str">
        <f t="shared" si="1"/>
        <v>RONALD PERDUE</v>
      </c>
    </row>
    <row r="108" spans="1:9" x14ac:dyDescent="0.15">
      <c r="A108" s="2">
        <v>107888447</v>
      </c>
      <c r="B108" t="s">
        <v>511</v>
      </c>
      <c r="C108" t="s">
        <v>519</v>
      </c>
      <c r="G108" s="2" t="s">
        <v>701</v>
      </c>
      <c r="H108" t="s">
        <v>702</v>
      </c>
      <c r="I108" t="str">
        <f t="shared" si="1"/>
        <v>RONALD PERDUE</v>
      </c>
    </row>
    <row r="109" spans="1:9" x14ac:dyDescent="0.15">
      <c r="A109" s="2">
        <v>107888447</v>
      </c>
      <c r="B109" t="s">
        <v>511</v>
      </c>
      <c r="C109" t="s">
        <v>519</v>
      </c>
      <c r="G109" s="2" t="s">
        <v>703</v>
      </c>
      <c r="H109" t="s">
        <v>704</v>
      </c>
      <c r="I109" t="str">
        <f t="shared" si="1"/>
        <v>JUSTIN LOFTIS</v>
      </c>
    </row>
    <row r="110" spans="1:9" x14ac:dyDescent="0.15">
      <c r="A110" s="2">
        <v>107888447</v>
      </c>
      <c r="B110" t="s">
        <v>511</v>
      </c>
      <c r="C110" t="s">
        <v>519</v>
      </c>
      <c r="G110" s="2" t="s">
        <v>705</v>
      </c>
      <c r="H110" t="s">
        <v>620</v>
      </c>
      <c r="I110" t="str">
        <f t="shared" si="1"/>
        <v>MANUEL SOTO</v>
      </c>
    </row>
    <row r="111" spans="1:9" x14ac:dyDescent="0.15">
      <c r="A111" s="2">
        <v>107888447</v>
      </c>
      <c r="B111" t="s">
        <v>511</v>
      </c>
      <c r="C111" t="s">
        <v>519</v>
      </c>
      <c r="G111" s="2" t="s">
        <v>706</v>
      </c>
      <c r="H111" t="s">
        <v>707</v>
      </c>
      <c r="I111" t="str">
        <f t="shared" si="1"/>
        <v>PATRICK GARZA</v>
      </c>
    </row>
    <row r="112" spans="1:9" x14ac:dyDescent="0.15">
      <c r="A112" s="2">
        <v>107888447</v>
      </c>
      <c r="B112" t="s">
        <v>511</v>
      </c>
      <c r="C112" t="s">
        <v>519</v>
      </c>
      <c r="G112" s="2" t="s">
        <v>708</v>
      </c>
      <c r="H112" t="s">
        <v>709</v>
      </c>
      <c r="I112" t="str">
        <f t="shared" si="1"/>
        <v>GLENN BLAHUTA</v>
      </c>
    </row>
    <row r="113" spans="1:9" x14ac:dyDescent="0.15">
      <c r="A113" s="2">
        <v>107888447</v>
      </c>
      <c r="B113" t="s">
        <v>511</v>
      </c>
      <c r="C113" t="s">
        <v>519</v>
      </c>
      <c r="G113" s="2" t="s">
        <v>710</v>
      </c>
      <c r="H113" t="s">
        <v>711</v>
      </c>
      <c r="I113" t="str">
        <f t="shared" si="1"/>
        <v>ZACHARY VIGIL</v>
      </c>
    </row>
    <row r="114" spans="1:9" x14ac:dyDescent="0.15">
      <c r="A114" s="2">
        <v>107888447</v>
      </c>
      <c r="B114" t="s">
        <v>511</v>
      </c>
      <c r="C114" t="s">
        <v>519</v>
      </c>
      <c r="G114" s="2" t="s">
        <v>712</v>
      </c>
      <c r="H114" t="s">
        <v>713</v>
      </c>
      <c r="I114" t="str">
        <f t="shared" si="1"/>
        <v>ABRAHAM KOT</v>
      </c>
    </row>
    <row r="115" spans="1:9" x14ac:dyDescent="0.15">
      <c r="A115" s="2">
        <v>107888447</v>
      </c>
      <c r="B115" t="s">
        <v>511</v>
      </c>
      <c r="C115" t="s">
        <v>519</v>
      </c>
      <c r="G115" s="2" t="s">
        <v>714</v>
      </c>
      <c r="H115" t="s">
        <v>715</v>
      </c>
      <c r="I115" t="str">
        <f t="shared" si="1"/>
        <v>PETER MILLER</v>
      </c>
    </row>
    <row r="116" spans="1:9" x14ac:dyDescent="0.15">
      <c r="A116" s="2">
        <v>107888447</v>
      </c>
      <c r="B116" t="s">
        <v>511</v>
      </c>
      <c r="C116" t="s">
        <v>519</v>
      </c>
      <c r="G116" s="2" t="s">
        <v>714</v>
      </c>
      <c r="H116" t="s">
        <v>715</v>
      </c>
      <c r="I116" t="str">
        <f t="shared" si="1"/>
        <v>PETER MILLER</v>
      </c>
    </row>
    <row r="117" spans="1:9" x14ac:dyDescent="0.15">
      <c r="A117" s="2">
        <v>107888447</v>
      </c>
      <c r="B117" t="s">
        <v>511</v>
      </c>
      <c r="C117" t="s">
        <v>519</v>
      </c>
      <c r="G117" s="2" t="s">
        <v>716</v>
      </c>
      <c r="H117" t="s">
        <v>717</v>
      </c>
      <c r="I117" t="str">
        <f t="shared" si="1"/>
        <v>JACK DRESHER</v>
      </c>
    </row>
    <row r="118" spans="1:9" x14ac:dyDescent="0.15">
      <c r="A118" s="2">
        <v>107888447</v>
      </c>
      <c r="B118" t="s">
        <v>511</v>
      </c>
      <c r="C118" t="s">
        <v>519</v>
      </c>
      <c r="G118" s="2" t="s">
        <v>619</v>
      </c>
      <c r="H118" t="s">
        <v>718</v>
      </c>
      <c r="I118" t="str">
        <f t="shared" si="1"/>
        <v>ALDO MARTINEZ</v>
      </c>
    </row>
    <row r="119" spans="1:9" x14ac:dyDescent="0.15">
      <c r="A119" s="2">
        <v>107888447</v>
      </c>
      <c r="B119" t="s">
        <v>511</v>
      </c>
      <c r="C119" t="s">
        <v>519</v>
      </c>
      <c r="G119" s="2" t="s">
        <v>719</v>
      </c>
      <c r="H119" t="s">
        <v>720</v>
      </c>
      <c r="I119" t="str">
        <f t="shared" si="1"/>
        <v>MYA ROBINSON</v>
      </c>
    </row>
    <row r="120" spans="1:9" x14ac:dyDescent="0.15">
      <c r="A120" s="2">
        <v>107888447</v>
      </c>
      <c r="B120" t="s">
        <v>511</v>
      </c>
      <c r="C120" t="s">
        <v>519</v>
      </c>
      <c r="G120" s="2" t="s">
        <v>721</v>
      </c>
      <c r="H120" t="s">
        <v>722</v>
      </c>
      <c r="I120" t="str">
        <f t="shared" si="1"/>
        <v>BRYAN PENNINGTON</v>
      </c>
    </row>
    <row r="121" spans="1:9" x14ac:dyDescent="0.15">
      <c r="A121" s="2">
        <v>107888447</v>
      </c>
      <c r="B121" t="s">
        <v>511</v>
      </c>
      <c r="C121" t="s">
        <v>519</v>
      </c>
      <c r="G121" s="2" t="s">
        <v>687</v>
      </c>
      <c r="H121" t="s">
        <v>723</v>
      </c>
      <c r="I121" t="str">
        <f t="shared" si="1"/>
        <v>ALEXIS ROSS</v>
      </c>
    </row>
    <row r="122" spans="1:9" x14ac:dyDescent="0.15">
      <c r="A122" s="2">
        <v>107888447</v>
      </c>
      <c r="B122" t="s">
        <v>511</v>
      </c>
      <c r="C122" t="s">
        <v>519</v>
      </c>
      <c r="G122" s="2" t="s">
        <v>724</v>
      </c>
      <c r="H122" t="s">
        <v>725</v>
      </c>
      <c r="I122" t="str">
        <f t="shared" si="1"/>
        <v>ANGELA KIRK</v>
      </c>
    </row>
    <row r="123" spans="1:9" x14ac:dyDescent="0.15">
      <c r="A123" s="2">
        <v>107888447</v>
      </c>
      <c r="B123" t="s">
        <v>511</v>
      </c>
      <c r="C123" t="s">
        <v>519</v>
      </c>
      <c r="G123" s="2" t="s">
        <v>726</v>
      </c>
      <c r="H123" t="s">
        <v>727</v>
      </c>
      <c r="I123" t="str">
        <f t="shared" si="1"/>
        <v>MARCO VALLE</v>
      </c>
    </row>
    <row r="124" spans="1:9" x14ac:dyDescent="0.15">
      <c r="A124" s="2">
        <v>107928692</v>
      </c>
      <c r="B124" t="s">
        <v>511</v>
      </c>
      <c r="C124" t="s">
        <v>520</v>
      </c>
      <c r="G124" s="2" t="s">
        <v>728</v>
      </c>
      <c r="H124" t="s">
        <v>729</v>
      </c>
      <c r="I124" t="str">
        <f t="shared" si="1"/>
        <v>JESSE PUGA</v>
      </c>
    </row>
    <row r="125" spans="1:9" x14ac:dyDescent="0.15">
      <c r="A125" s="2">
        <v>107928692</v>
      </c>
      <c r="B125" t="s">
        <v>511</v>
      </c>
      <c r="C125" t="s">
        <v>520</v>
      </c>
      <c r="G125" s="2" t="s">
        <v>728</v>
      </c>
      <c r="H125" t="s">
        <v>729</v>
      </c>
      <c r="I125" t="str">
        <f t="shared" si="1"/>
        <v>JESSE PUGA</v>
      </c>
    </row>
    <row r="126" spans="1:9" x14ac:dyDescent="0.15">
      <c r="A126" s="2">
        <v>107928692</v>
      </c>
      <c r="B126" t="s">
        <v>511</v>
      </c>
      <c r="C126" t="s">
        <v>520</v>
      </c>
      <c r="G126" s="2" t="s">
        <v>730</v>
      </c>
      <c r="H126" t="s">
        <v>731</v>
      </c>
      <c r="I126" t="str">
        <f t="shared" si="1"/>
        <v>BREANNA GRIFFIN</v>
      </c>
    </row>
    <row r="127" spans="1:9" x14ac:dyDescent="0.15">
      <c r="A127" s="2">
        <v>107928692</v>
      </c>
      <c r="B127" t="s">
        <v>511</v>
      </c>
      <c r="C127" t="s">
        <v>520</v>
      </c>
      <c r="G127" s="2" t="s">
        <v>732</v>
      </c>
      <c r="H127" t="s">
        <v>733</v>
      </c>
      <c r="I127" t="str">
        <f t="shared" si="1"/>
        <v>LORENZO ONTIVEROS</v>
      </c>
    </row>
    <row r="128" spans="1:9" x14ac:dyDescent="0.15">
      <c r="A128" s="2">
        <v>107928696</v>
      </c>
      <c r="B128" t="s">
        <v>511</v>
      </c>
      <c r="C128" t="s">
        <v>521</v>
      </c>
      <c r="G128" s="2" t="s">
        <v>734</v>
      </c>
      <c r="H128" t="s">
        <v>686</v>
      </c>
      <c r="I128" t="str">
        <f t="shared" si="1"/>
        <v>DAVID STELCHEK</v>
      </c>
    </row>
    <row r="129" spans="1:9" x14ac:dyDescent="0.15">
      <c r="A129" s="2">
        <v>107928696</v>
      </c>
      <c r="B129" t="s">
        <v>511</v>
      </c>
      <c r="C129" t="s">
        <v>521</v>
      </c>
      <c r="G129" s="2" t="s">
        <v>735</v>
      </c>
      <c r="H129" t="s">
        <v>736</v>
      </c>
      <c r="I129" t="str">
        <f t="shared" si="1"/>
        <v>FRANKLIN BERGMAN</v>
      </c>
    </row>
    <row r="130" spans="1:9" x14ac:dyDescent="0.15">
      <c r="A130" s="2">
        <v>107928696</v>
      </c>
      <c r="B130" t="s">
        <v>511</v>
      </c>
      <c r="C130" t="s">
        <v>521</v>
      </c>
      <c r="G130" s="2" t="s">
        <v>737</v>
      </c>
      <c r="H130" t="s">
        <v>738</v>
      </c>
      <c r="I130" t="str">
        <f t="shared" ref="I130:I155" si="2">CONCATENATE(H130, " ", G130)</f>
        <v>DEONNA VIENGSOMBAT</v>
      </c>
    </row>
    <row r="131" spans="1:9" x14ac:dyDescent="0.15">
      <c r="A131" s="2">
        <v>107928696</v>
      </c>
      <c r="B131" t="s">
        <v>511</v>
      </c>
      <c r="C131" t="s">
        <v>521</v>
      </c>
      <c r="G131" s="2" t="s">
        <v>739</v>
      </c>
      <c r="H131" t="s">
        <v>740</v>
      </c>
      <c r="I131" t="str">
        <f t="shared" si="2"/>
        <v>VERONICA PRITCHETT</v>
      </c>
    </row>
    <row r="132" spans="1:9" x14ac:dyDescent="0.15">
      <c r="A132" s="2">
        <v>107928701</v>
      </c>
      <c r="B132" t="s">
        <v>511</v>
      </c>
      <c r="C132" t="s">
        <v>522</v>
      </c>
      <c r="G132" s="2" t="s">
        <v>741</v>
      </c>
      <c r="H132" t="s">
        <v>742</v>
      </c>
      <c r="I132" t="str">
        <f t="shared" si="2"/>
        <v>TAMMY CHAMBERS</v>
      </c>
    </row>
    <row r="133" spans="1:9" x14ac:dyDescent="0.15">
      <c r="A133" s="2">
        <v>107928715</v>
      </c>
      <c r="B133" t="s">
        <v>511</v>
      </c>
      <c r="C133" t="s">
        <v>523</v>
      </c>
      <c r="G133" s="2" t="s">
        <v>743</v>
      </c>
      <c r="H133" t="s">
        <v>744</v>
      </c>
      <c r="I133" t="str">
        <f t="shared" si="2"/>
        <v>LYNDA HASSELL</v>
      </c>
    </row>
    <row r="134" spans="1:9" x14ac:dyDescent="0.15">
      <c r="A134" s="2">
        <v>107928715</v>
      </c>
      <c r="B134" t="s">
        <v>511</v>
      </c>
      <c r="C134" t="s">
        <v>523</v>
      </c>
      <c r="G134" s="2" t="s">
        <v>743</v>
      </c>
      <c r="H134" t="s">
        <v>550</v>
      </c>
      <c r="I134" t="str">
        <f t="shared" si="2"/>
        <v>JAMES HASSELL</v>
      </c>
    </row>
    <row r="135" spans="1:9" x14ac:dyDescent="0.15">
      <c r="A135" s="2">
        <v>107928723</v>
      </c>
      <c r="B135" t="s">
        <v>511</v>
      </c>
      <c r="C135" t="s">
        <v>524</v>
      </c>
      <c r="G135" s="2" t="s">
        <v>745</v>
      </c>
      <c r="H135" t="s">
        <v>746</v>
      </c>
      <c r="I135" t="str">
        <f t="shared" si="2"/>
        <v>MYLES CROSBY</v>
      </c>
    </row>
    <row r="136" spans="1:9" x14ac:dyDescent="0.15">
      <c r="A136" s="2">
        <v>107928855</v>
      </c>
      <c r="B136" t="s">
        <v>511</v>
      </c>
      <c r="C136" t="s">
        <v>525</v>
      </c>
      <c r="G136" s="2" t="s">
        <v>747</v>
      </c>
      <c r="H136" t="s">
        <v>631</v>
      </c>
      <c r="I136" t="str">
        <f t="shared" si="2"/>
        <v>ASHLEY FARHAT</v>
      </c>
    </row>
    <row r="137" spans="1:9" x14ac:dyDescent="0.15">
      <c r="A137" s="2">
        <v>107929706</v>
      </c>
      <c r="B137" t="s">
        <v>511</v>
      </c>
      <c r="C137" t="s">
        <v>526</v>
      </c>
      <c r="G137" s="2" t="s">
        <v>748</v>
      </c>
      <c r="H137" t="s">
        <v>594</v>
      </c>
      <c r="I137" t="str">
        <f t="shared" si="2"/>
        <v>DONNA HOFFMAN</v>
      </c>
    </row>
    <row r="138" spans="1:9" x14ac:dyDescent="0.15">
      <c r="A138" s="2">
        <v>107932909</v>
      </c>
      <c r="B138" t="s">
        <v>511</v>
      </c>
      <c r="C138" t="s">
        <v>527</v>
      </c>
      <c r="G138" s="2" t="s">
        <v>749</v>
      </c>
      <c r="H138" t="s">
        <v>750</v>
      </c>
      <c r="I138" t="str">
        <f t="shared" si="2"/>
        <v>ALFONSO LOPEZ</v>
      </c>
    </row>
    <row r="139" spans="1:9" x14ac:dyDescent="0.15">
      <c r="A139" s="2">
        <v>107932909</v>
      </c>
      <c r="B139" t="s">
        <v>511</v>
      </c>
      <c r="C139" t="s">
        <v>527</v>
      </c>
      <c r="G139" s="2" t="s">
        <v>589</v>
      </c>
      <c r="H139" t="s">
        <v>751</v>
      </c>
      <c r="I139" t="str">
        <f t="shared" si="2"/>
        <v>JASON SCOTT</v>
      </c>
    </row>
    <row r="140" spans="1:9" x14ac:dyDescent="0.15">
      <c r="A140" s="2">
        <v>107932909</v>
      </c>
      <c r="B140" t="s">
        <v>511</v>
      </c>
      <c r="C140" t="s">
        <v>527</v>
      </c>
      <c r="G140" s="2" t="s">
        <v>752</v>
      </c>
      <c r="H140" t="s">
        <v>702</v>
      </c>
      <c r="I140" t="str">
        <f t="shared" si="2"/>
        <v>RONALD HANSEN</v>
      </c>
    </row>
    <row r="141" spans="1:9" x14ac:dyDescent="0.15">
      <c r="A141" s="2">
        <v>107932909</v>
      </c>
      <c r="B141" t="s">
        <v>511</v>
      </c>
      <c r="C141" t="s">
        <v>527</v>
      </c>
      <c r="G141" s="2" t="s">
        <v>753</v>
      </c>
      <c r="H141" t="s">
        <v>754</v>
      </c>
      <c r="I141" t="str">
        <f t="shared" si="2"/>
        <v>TRINIDAD CALDERON</v>
      </c>
    </row>
    <row r="142" spans="1:9" x14ac:dyDescent="0.15">
      <c r="A142" s="2">
        <v>107932909</v>
      </c>
      <c r="B142" t="s">
        <v>511</v>
      </c>
      <c r="C142" t="s">
        <v>527</v>
      </c>
      <c r="G142" s="2" t="s">
        <v>616</v>
      </c>
      <c r="H142" t="s">
        <v>755</v>
      </c>
      <c r="I142" t="str">
        <f t="shared" si="2"/>
        <v>IMANI MORRIS</v>
      </c>
    </row>
    <row r="143" spans="1:9" x14ac:dyDescent="0.15">
      <c r="A143" s="2">
        <v>107932909</v>
      </c>
      <c r="B143" t="s">
        <v>511</v>
      </c>
      <c r="C143" t="s">
        <v>527</v>
      </c>
      <c r="G143" s="2" t="s">
        <v>756</v>
      </c>
      <c r="H143" t="s">
        <v>757</v>
      </c>
      <c r="I143" t="str">
        <f t="shared" si="2"/>
        <v>CASANDRA MCCARDELL</v>
      </c>
    </row>
    <row r="144" spans="1:9" x14ac:dyDescent="0.15">
      <c r="A144" s="2">
        <v>107934271</v>
      </c>
      <c r="B144" t="s">
        <v>511</v>
      </c>
      <c r="C144" t="s">
        <v>528</v>
      </c>
      <c r="G144" s="2" t="s">
        <v>758</v>
      </c>
      <c r="H144" t="s">
        <v>759</v>
      </c>
      <c r="I144" t="str">
        <f t="shared" si="2"/>
        <v>DANIELLA PERRINS</v>
      </c>
    </row>
    <row r="145" spans="1:9" x14ac:dyDescent="0.15">
      <c r="A145" s="2">
        <v>107934271</v>
      </c>
      <c r="B145" t="s">
        <v>511</v>
      </c>
      <c r="C145" t="s">
        <v>528</v>
      </c>
      <c r="G145" s="2" t="s">
        <v>749</v>
      </c>
      <c r="H145" t="s">
        <v>760</v>
      </c>
      <c r="I145" t="str">
        <f t="shared" si="2"/>
        <v>RAFAEL LOPEZ</v>
      </c>
    </row>
    <row r="146" spans="1:9" x14ac:dyDescent="0.15">
      <c r="A146" s="2">
        <v>107934472</v>
      </c>
      <c r="B146" t="s">
        <v>511</v>
      </c>
      <c r="C146" t="s">
        <v>529</v>
      </c>
      <c r="G146" s="2" t="s">
        <v>761</v>
      </c>
      <c r="H146" t="s">
        <v>762</v>
      </c>
      <c r="I146" t="str">
        <f t="shared" si="2"/>
        <v>BILLY EPPERSON</v>
      </c>
    </row>
    <row r="147" spans="1:9" x14ac:dyDescent="0.15">
      <c r="A147" s="2">
        <v>107934472</v>
      </c>
      <c r="B147" t="s">
        <v>511</v>
      </c>
      <c r="C147" t="s">
        <v>529</v>
      </c>
      <c r="G147" s="2" t="s">
        <v>763</v>
      </c>
      <c r="H147" t="s">
        <v>764</v>
      </c>
      <c r="I147" t="str">
        <f t="shared" si="2"/>
        <v>KATHLEEN LUCAS</v>
      </c>
    </row>
    <row r="148" spans="1:9" x14ac:dyDescent="0.15">
      <c r="A148" s="2">
        <v>107934663</v>
      </c>
      <c r="B148" t="s">
        <v>511</v>
      </c>
      <c r="C148" t="s">
        <v>530</v>
      </c>
      <c r="G148" s="2" t="s">
        <v>765</v>
      </c>
      <c r="H148" t="s">
        <v>766</v>
      </c>
      <c r="I148" t="str">
        <f t="shared" si="2"/>
        <v>MARIAH MONTERO</v>
      </c>
    </row>
    <row r="149" spans="1:9" x14ac:dyDescent="0.15">
      <c r="A149" s="2">
        <v>107944691</v>
      </c>
      <c r="B149" t="s">
        <v>511</v>
      </c>
      <c r="C149" t="s">
        <v>531</v>
      </c>
      <c r="G149" s="2" t="s">
        <v>767</v>
      </c>
      <c r="H149" t="s">
        <v>768</v>
      </c>
      <c r="I149" t="str">
        <f t="shared" si="2"/>
        <v>DOUGLAS WICK</v>
      </c>
    </row>
    <row r="150" spans="1:9" x14ac:dyDescent="0.15">
      <c r="A150" s="2">
        <v>107944691</v>
      </c>
      <c r="B150" t="s">
        <v>511</v>
      </c>
      <c r="C150" t="s">
        <v>531</v>
      </c>
      <c r="G150" s="2" t="s">
        <v>769</v>
      </c>
      <c r="H150" t="s">
        <v>770</v>
      </c>
      <c r="I150" t="str">
        <f t="shared" si="2"/>
        <v>ERIC ESTES</v>
      </c>
    </row>
    <row r="151" spans="1:9" x14ac:dyDescent="0.15">
      <c r="A151" s="2">
        <v>107944691</v>
      </c>
      <c r="B151" t="s">
        <v>511</v>
      </c>
      <c r="C151" t="s">
        <v>531</v>
      </c>
      <c r="G151" s="2" t="s">
        <v>771</v>
      </c>
      <c r="H151" t="s">
        <v>772</v>
      </c>
      <c r="I151" t="str">
        <f t="shared" si="2"/>
        <v>JENAH HEADLEY</v>
      </c>
    </row>
    <row r="152" spans="1:9" x14ac:dyDescent="0.15">
      <c r="A152" s="2">
        <v>107949321</v>
      </c>
      <c r="B152" t="s">
        <v>511</v>
      </c>
      <c r="C152" t="s">
        <v>532</v>
      </c>
      <c r="G152" s="2" t="s">
        <v>773</v>
      </c>
      <c r="H152" t="s">
        <v>774</v>
      </c>
      <c r="I152" t="str">
        <f t="shared" si="2"/>
        <v>NICO OLLIE</v>
      </c>
    </row>
    <row r="153" spans="1:9" x14ac:dyDescent="0.15">
      <c r="A153" s="2">
        <v>107954804</v>
      </c>
      <c r="B153" t="s">
        <v>511</v>
      </c>
      <c r="C153" t="s">
        <v>533</v>
      </c>
      <c r="G153" s="2" t="s">
        <v>769</v>
      </c>
      <c r="H153" t="s">
        <v>775</v>
      </c>
      <c r="I153" t="str">
        <f t="shared" si="2"/>
        <v>TINA ESTES</v>
      </c>
    </row>
    <row r="154" spans="1:9" x14ac:dyDescent="0.15">
      <c r="A154" s="2">
        <v>107954804</v>
      </c>
      <c r="B154" t="s">
        <v>511</v>
      </c>
      <c r="C154" t="s">
        <v>533</v>
      </c>
      <c r="G154" s="2" t="s">
        <v>776</v>
      </c>
      <c r="H154" t="s">
        <v>777</v>
      </c>
      <c r="I154" t="str">
        <f t="shared" si="2"/>
        <v>DANNY BOSMAN</v>
      </c>
    </row>
    <row r="155" spans="1:9" x14ac:dyDescent="0.15">
      <c r="A155" s="2">
        <v>107954804</v>
      </c>
      <c r="B155" t="s">
        <v>511</v>
      </c>
      <c r="C155" t="s">
        <v>533</v>
      </c>
      <c r="G155" s="2" t="s">
        <v>778</v>
      </c>
      <c r="H155" t="s">
        <v>779</v>
      </c>
      <c r="I155" t="str">
        <f t="shared" si="2"/>
        <v>BRADFORD MERRITT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C501B-D4C7-E04E-9AE0-D1BAAABBEA29}">
  <dimension ref="A1:B155"/>
  <sheetViews>
    <sheetView workbookViewId="0">
      <selection activeCell="E1" sqref="E1:E149"/>
    </sheetView>
  </sheetViews>
  <sheetFormatPr baseColWidth="10" defaultRowHeight="13" x14ac:dyDescent="0.15"/>
  <sheetData>
    <row r="1" spans="1:2" x14ac:dyDescent="0.15">
      <c r="A1" s="16">
        <v>943511226</v>
      </c>
      <c r="B1" s="15"/>
    </row>
    <row r="2" spans="1:2" x14ac:dyDescent="0.15">
      <c r="A2" s="16">
        <v>893781602</v>
      </c>
      <c r="B2" s="15"/>
    </row>
    <row r="3" spans="1:2" x14ac:dyDescent="0.15">
      <c r="A3" s="16">
        <v>923860802</v>
      </c>
      <c r="B3" s="15"/>
    </row>
    <row r="4" spans="1:2" x14ac:dyDescent="0.15">
      <c r="A4" s="16">
        <v>924461173</v>
      </c>
      <c r="B4" s="15"/>
    </row>
    <row r="5" spans="1:2" x14ac:dyDescent="0.15">
      <c r="A5" s="16">
        <v>924519406</v>
      </c>
      <c r="B5" s="15"/>
    </row>
    <row r="6" spans="1:2" x14ac:dyDescent="0.15">
      <c r="A6" s="16">
        <v>924941153</v>
      </c>
      <c r="B6" s="15"/>
    </row>
    <row r="7" spans="1:2" x14ac:dyDescent="0.15">
      <c r="A7" s="16">
        <v>924992747</v>
      </c>
      <c r="B7" s="15"/>
    </row>
    <row r="8" spans="1:2" x14ac:dyDescent="0.15">
      <c r="A8" s="16">
        <v>925145455</v>
      </c>
      <c r="B8" s="15"/>
    </row>
    <row r="9" spans="1:2" x14ac:dyDescent="0.15">
      <c r="A9" s="16">
        <v>925159707</v>
      </c>
      <c r="B9" s="15"/>
    </row>
    <row r="10" spans="1:2" x14ac:dyDescent="0.15">
      <c r="A10" s="16">
        <v>925172464</v>
      </c>
      <c r="B10" s="15"/>
    </row>
    <row r="11" spans="1:2" x14ac:dyDescent="0.15">
      <c r="A11" s="16">
        <v>925319540</v>
      </c>
      <c r="B11" s="15"/>
    </row>
    <row r="12" spans="1:2" x14ac:dyDescent="0.15">
      <c r="A12" s="16">
        <v>925432854</v>
      </c>
      <c r="B12" s="15"/>
    </row>
    <row r="13" spans="1:2" x14ac:dyDescent="0.15">
      <c r="A13" s="16">
        <v>925449446</v>
      </c>
      <c r="B13" s="15"/>
    </row>
    <row r="14" spans="1:2" x14ac:dyDescent="0.15">
      <c r="A14" s="16">
        <v>925486861</v>
      </c>
      <c r="B14" s="15"/>
    </row>
    <row r="15" spans="1:2" x14ac:dyDescent="0.15">
      <c r="A15" s="16">
        <v>925562559</v>
      </c>
      <c r="B15" s="15"/>
    </row>
    <row r="16" spans="1:2" x14ac:dyDescent="0.15">
      <c r="A16" s="16">
        <v>925590704</v>
      </c>
      <c r="B16" s="15"/>
    </row>
    <row r="17" spans="1:2" x14ac:dyDescent="0.15">
      <c r="A17" s="16">
        <v>925599337</v>
      </c>
      <c r="B17" s="15"/>
    </row>
    <row r="18" spans="1:2" x14ac:dyDescent="0.15">
      <c r="A18" s="16">
        <v>925603148</v>
      </c>
      <c r="B18" s="15"/>
    </row>
    <row r="19" spans="1:2" x14ac:dyDescent="0.15">
      <c r="A19" s="16">
        <v>925662361</v>
      </c>
      <c r="B19" s="15"/>
    </row>
    <row r="20" spans="1:2" x14ac:dyDescent="0.15">
      <c r="A20" s="16">
        <v>925677277</v>
      </c>
      <c r="B20" s="15"/>
    </row>
    <row r="21" spans="1:2" x14ac:dyDescent="0.15">
      <c r="A21" s="16">
        <v>925713018</v>
      </c>
      <c r="B21" s="15"/>
    </row>
    <row r="22" spans="1:2" x14ac:dyDescent="0.15">
      <c r="A22" s="16">
        <v>925713773</v>
      </c>
      <c r="B22" s="15"/>
    </row>
    <row r="23" spans="1:2" x14ac:dyDescent="0.15">
      <c r="A23" s="16">
        <v>925750946</v>
      </c>
      <c r="B23" s="15"/>
    </row>
    <row r="24" spans="1:2" x14ac:dyDescent="0.15">
      <c r="A24" s="16">
        <v>925839971</v>
      </c>
      <c r="B24" s="15"/>
    </row>
    <row r="25" spans="1:2" x14ac:dyDescent="0.15">
      <c r="A25" s="16">
        <v>925849065</v>
      </c>
      <c r="B25" s="15"/>
    </row>
    <row r="26" spans="1:2" x14ac:dyDescent="0.15">
      <c r="A26" s="16">
        <v>925858355</v>
      </c>
      <c r="B26" s="15"/>
    </row>
    <row r="27" spans="1:2" x14ac:dyDescent="0.15">
      <c r="A27" s="16">
        <v>925864248</v>
      </c>
      <c r="B27" s="15"/>
    </row>
    <row r="28" spans="1:2" x14ac:dyDescent="0.15">
      <c r="A28" s="16">
        <v>925898517</v>
      </c>
      <c r="B28" s="15"/>
    </row>
    <row r="29" spans="1:2" x14ac:dyDescent="0.15">
      <c r="A29" s="16">
        <v>925926443</v>
      </c>
      <c r="B29" s="15"/>
    </row>
    <row r="30" spans="1:2" x14ac:dyDescent="0.15">
      <c r="A30" s="16">
        <v>925949016</v>
      </c>
      <c r="B30" s="15"/>
    </row>
    <row r="31" spans="1:2" x14ac:dyDescent="0.15">
      <c r="A31" s="16">
        <v>925949720</v>
      </c>
      <c r="B31" s="15"/>
    </row>
    <row r="32" spans="1:2" x14ac:dyDescent="0.15">
      <c r="A32" s="16">
        <v>925976024</v>
      </c>
      <c r="B32" s="15"/>
    </row>
    <row r="33" spans="1:2" x14ac:dyDescent="0.15">
      <c r="A33" s="16">
        <v>943009818</v>
      </c>
      <c r="B33" s="15"/>
    </row>
    <row r="34" spans="1:2" x14ac:dyDescent="0.15">
      <c r="A34" s="16">
        <v>943013126</v>
      </c>
      <c r="B34" s="15"/>
    </row>
    <row r="35" spans="1:2" x14ac:dyDescent="0.15">
      <c r="A35" s="16">
        <v>943035272</v>
      </c>
      <c r="B35" s="15"/>
    </row>
    <row r="36" spans="1:2" x14ac:dyDescent="0.15">
      <c r="A36" s="16">
        <v>943045439</v>
      </c>
      <c r="B36" s="15"/>
    </row>
    <row r="37" spans="1:2" x14ac:dyDescent="0.15">
      <c r="A37" s="16">
        <v>943137766</v>
      </c>
      <c r="B37" s="15"/>
    </row>
    <row r="38" spans="1:2" x14ac:dyDescent="0.15">
      <c r="A38" s="16">
        <v>943169327</v>
      </c>
      <c r="B38" s="15"/>
    </row>
    <row r="39" spans="1:2" x14ac:dyDescent="0.15">
      <c r="A39" s="16">
        <v>943273702</v>
      </c>
      <c r="B39" s="15"/>
    </row>
    <row r="40" spans="1:2" x14ac:dyDescent="0.15">
      <c r="A40" s="16">
        <v>943285224</v>
      </c>
      <c r="B40" s="15"/>
    </row>
    <row r="41" spans="1:2" x14ac:dyDescent="0.15">
      <c r="A41" s="16">
        <v>943372637</v>
      </c>
      <c r="B41" s="15"/>
    </row>
    <row r="42" spans="1:2" x14ac:dyDescent="0.15">
      <c r="A42" s="16">
        <v>943435843</v>
      </c>
      <c r="B42" s="15"/>
    </row>
    <row r="43" spans="1:2" x14ac:dyDescent="0.15">
      <c r="A43" s="16">
        <v>943494724</v>
      </c>
      <c r="B43" s="15"/>
    </row>
    <row r="44" spans="1:2" x14ac:dyDescent="0.15">
      <c r="A44" s="16">
        <v>943692939</v>
      </c>
      <c r="B44" s="15"/>
    </row>
    <row r="45" spans="1:2" x14ac:dyDescent="0.15">
      <c r="A45" s="16">
        <v>943695999</v>
      </c>
      <c r="B45" s="15"/>
    </row>
    <row r="46" spans="1:2" x14ac:dyDescent="0.15">
      <c r="A46" s="16">
        <v>943801957</v>
      </c>
      <c r="B46" s="15"/>
    </row>
    <row r="47" spans="1:2" x14ac:dyDescent="0.15">
      <c r="A47" s="16">
        <v>944117696</v>
      </c>
      <c r="B47" s="15"/>
    </row>
    <row r="48" spans="1:2" x14ac:dyDescent="0.15">
      <c r="A48" s="16">
        <v>944117852</v>
      </c>
      <c r="B48" s="15"/>
    </row>
    <row r="49" spans="1:2" x14ac:dyDescent="0.15">
      <c r="A49" s="16">
        <v>924449459</v>
      </c>
      <c r="B49" s="15"/>
    </row>
    <row r="50" spans="1:2" x14ac:dyDescent="0.15">
      <c r="A50" s="16">
        <v>944022804</v>
      </c>
      <c r="B50" s="15"/>
    </row>
    <row r="51" spans="1:2" x14ac:dyDescent="0.15">
      <c r="A51" s="16">
        <v>944023584</v>
      </c>
      <c r="B51" s="15"/>
    </row>
    <row r="52" spans="1:2" x14ac:dyDescent="0.15">
      <c r="A52" s="16">
        <v>943107197</v>
      </c>
      <c r="B52" s="15"/>
    </row>
    <row r="53" spans="1:2" x14ac:dyDescent="0.15">
      <c r="A53" s="16">
        <v>943384243</v>
      </c>
      <c r="B53" s="15"/>
    </row>
    <row r="54" spans="1:2" x14ac:dyDescent="0.15">
      <c r="A54" s="16">
        <v>944023937</v>
      </c>
      <c r="B54" s="15"/>
    </row>
    <row r="55" spans="1:2" x14ac:dyDescent="0.15">
      <c r="A55" s="16">
        <v>925991152</v>
      </c>
      <c r="B55" s="15"/>
    </row>
    <row r="56" spans="1:2" x14ac:dyDescent="0.15">
      <c r="A56" s="16">
        <v>943979269</v>
      </c>
      <c r="B56" s="15"/>
    </row>
    <row r="57" spans="1:2" x14ac:dyDescent="0.15">
      <c r="A57" s="16">
        <v>924227221</v>
      </c>
      <c r="B57" s="15"/>
    </row>
    <row r="58" spans="1:2" x14ac:dyDescent="0.15">
      <c r="A58" s="16">
        <v>924227221</v>
      </c>
      <c r="B58" s="15"/>
    </row>
    <row r="59" spans="1:2" x14ac:dyDescent="0.15">
      <c r="A59" s="16">
        <v>925251103</v>
      </c>
      <c r="B59" s="15"/>
    </row>
    <row r="60" spans="1:2" x14ac:dyDescent="0.15">
      <c r="A60" s="16">
        <v>925254609</v>
      </c>
      <c r="B60" s="15"/>
    </row>
    <row r="61" spans="1:2" x14ac:dyDescent="0.15">
      <c r="A61" s="16">
        <v>925469091</v>
      </c>
      <c r="B61" s="15"/>
    </row>
    <row r="62" spans="1:2" x14ac:dyDescent="0.15">
      <c r="A62" s="16">
        <v>893308450</v>
      </c>
      <c r="B62" s="15"/>
    </row>
    <row r="63" spans="1:2" x14ac:dyDescent="0.15">
      <c r="A63" s="16">
        <v>893625516</v>
      </c>
      <c r="B63" s="15"/>
    </row>
    <row r="64" spans="1:2" x14ac:dyDescent="0.15">
      <c r="A64" s="16">
        <v>893769789</v>
      </c>
      <c r="B64" s="15"/>
    </row>
    <row r="65" spans="1:2" x14ac:dyDescent="0.15">
      <c r="A65" s="16">
        <v>893769789</v>
      </c>
      <c r="B65" s="15"/>
    </row>
    <row r="66" spans="1:2" x14ac:dyDescent="0.15">
      <c r="A66" s="16">
        <v>923846026</v>
      </c>
      <c r="B66" s="15"/>
    </row>
    <row r="67" spans="1:2" x14ac:dyDescent="0.15">
      <c r="A67" s="16">
        <v>924005102</v>
      </c>
      <c r="B67" s="15"/>
    </row>
    <row r="68" spans="1:2" x14ac:dyDescent="0.15">
      <c r="A68" s="16">
        <v>924142066</v>
      </c>
      <c r="B68" s="15"/>
    </row>
    <row r="69" spans="1:2" x14ac:dyDescent="0.15">
      <c r="A69" s="16">
        <v>924164339</v>
      </c>
      <c r="B69" s="15"/>
    </row>
    <row r="70" spans="1:2" x14ac:dyDescent="0.15">
      <c r="A70" s="16">
        <v>924183024</v>
      </c>
      <c r="B70" s="15"/>
    </row>
    <row r="71" spans="1:2" x14ac:dyDescent="0.15">
      <c r="A71" s="16">
        <v>924558840</v>
      </c>
      <c r="B71" s="15"/>
    </row>
    <row r="72" spans="1:2" x14ac:dyDescent="0.15">
      <c r="A72" s="16">
        <v>924984155</v>
      </c>
      <c r="B72" s="15"/>
    </row>
    <row r="73" spans="1:2" x14ac:dyDescent="0.15">
      <c r="A73" s="16">
        <v>925096120</v>
      </c>
      <c r="B73" s="15"/>
    </row>
    <row r="74" spans="1:2" x14ac:dyDescent="0.15">
      <c r="A74" s="16">
        <v>925100575</v>
      </c>
      <c r="B74" s="15"/>
    </row>
    <row r="75" spans="1:2" x14ac:dyDescent="0.15">
      <c r="A75" s="16">
        <v>925148516</v>
      </c>
      <c r="B75" s="15"/>
    </row>
    <row r="76" spans="1:2" x14ac:dyDescent="0.15">
      <c r="A76" s="16">
        <v>925183832</v>
      </c>
      <c r="B76" s="15"/>
    </row>
    <row r="77" spans="1:2" x14ac:dyDescent="0.15">
      <c r="A77" s="16">
        <v>925259322</v>
      </c>
      <c r="B77" s="15"/>
    </row>
    <row r="78" spans="1:2" x14ac:dyDescent="0.15">
      <c r="A78" s="16">
        <v>925278861</v>
      </c>
      <c r="B78" s="15"/>
    </row>
    <row r="79" spans="1:2" x14ac:dyDescent="0.15">
      <c r="A79" s="16">
        <v>925320079</v>
      </c>
      <c r="B79" s="15"/>
    </row>
    <row r="80" spans="1:2" x14ac:dyDescent="0.15">
      <c r="A80" s="16">
        <v>925352115</v>
      </c>
      <c r="B80" s="15"/>
    </row>
    <row r="81" spans="1:2" x14ac:dyDescent="0.15">
      <c r="A81" s="16">
        <v>925439912</v>
      </c>
      <c r="B81" s="15"/>
    </row>
    <row r="82" spans="1:2" x14ac:dyDescent="0.15">
      <c r="A82" s="16">
        <v>925442422</v>
      </c>
      <c r="B82" s="15"/>
    </row>
    <row r="83" spans="1:2" x14ac:dyDescent="0.15">
      <c r="A83" s="16">
        <v>925442422</v>
      </c>
      <c r="B83" s="15"/>
    </row>
    <row r="84" spans="1:2" x14ac:dyDescent="0.15">
      <c r="A84" s="16">
        <v>925442422</v>
      </c>
      <c r="B84" s="15"/>
    </row>
    <row r="85" spans="1:2" x14ac:dyDescent="0.15">
      <c r="A85" s="16">
        <v>925442422</v>
      </c>
      <c r="B85" s="15"/>
    </row>
    <row r="86" spans="1:2" x14ac:dyDescent="0.15">
      <c r="A86" s="16">
        <v>925442422</v>
      </c>
      <c r="B86" s="15"/>
    </row>
    <row r="87" spans="1:2" x14ac:dyDescent="0.15">
      <c r="A87" s="16">
        <v>925442422</v>
      </c>
      <c r="B87" s="15"/>
    </row>
    <row r="88" spans="1:2" x14ac:dyDescent="0.15">
      <c r="A88" s="16">
        <v>925442422</v>
      </c>
      <c r="B88" s="15"/>
    </row>
    <row r="89" spans="1:2" x14ac:dyDescent="0.15">
      <c r="A89" s="16">
        <v>925442422</v>
      </c>
      <c r="B89" s="15"/>
    </row>
    <row r="90" spans="1:2" x14ac:dyDescent="0.15">
      <c r="A90" s="16">
        <v>925442422</v>
      </c>
      <c r="B90" s="15"/>
    </row>
    <row r="91" spans="1:2" x14ac:dyDescent="0.15">
      <c r="A91" s="16">
        <v>925442422</v>
      </c>
      <c r="B91" s="15"/>
    </row>
    <row r="92" spans="1:2" x14ac:dyDescent="0.15">
      <c r="A92" s="16">
        <v>925442422</v>
      </c>
      <c r="B92" s="15"/>
    </row>
    <row r="93" spans="1:2" x14ac:dyDescent="0.15">
      <c r="A93" s="16">
        <v>925442422</v>
      </c>
      <c r="B93" s="15"/>
    </row>
    <row r="94" spans="1:2" x14ac:dyDescent="0.15">
      <c r="A94" s="16">
        <v>925448460</v>
      </c>
      <c r="B94" s="15"/>
    </row>
    <row r="95" spans="1:2" x14ac:dyDescent="0.15">
      <c r="A95" s="16">
        <v>925449744</v>
      </c>
      <c r="B95" s="15"/>
    </row>
    <row r="96" spans="1:2" x14ac:dyDescent="0.15">
      <c r="A96" s="16">
        <v>925488083</v>
      </c>
      <c r="B96" s="15"/>
    </row>
    <row r="97" spans="1:2" x14ac:dyDescent="0.15">
      <c r="A97" s="16">
        <v>925498699</v>
      </c>
      <c r="B97" s="15"/>
    </row>
    <row r="98" spans="1:2" x14ac:dyDescent="0.15">
      <c r="A98" s="16">
        <v>925551038</v>
      </c>
      <c r="B98" s="15"/>
    </row>
    <row r="99" spans="1:2" x14ac:dyDescent="0.15">
      <c r="A99" s="16">
        <v>925553385</v>
      </c>
      <c r="B99" s="15"/>
    </row>
    <row r="100" spans="1:2" x14ac:dyDescent="0.15">
      <c r="A100" s="16">
        <v>925556803</v>
      </c>
      <c r="B100" s="15"/>
    </row>
    <row r="101" spans="1:2" x14ac:dyDescent="0.15">
      <c r="A101" s="16">
        <v>925575892</v>
      </c>
      <c r="B101" s="15"/>
    </row>
    <row r="102" spans="1:2" x14ac:dyDescent="0.15">
      <c r="A102" s="16">
        <v>925609037</v>
      </c>
      <c r="B102" s="15"/>
    </row>
    <row r="103" spans="1:2" x14ac:dyDescent="0.15">
      <c r="A103" s="16">
        <v>925611876</v>
      </c>
      <c r="B103" s="15"/>
    </row>
    <row r="104" spans="1:2" x14ac:dyDescent="0.15">
      <c r="A104" s="16">
        <v>925626716</v>
      </c>
      <c r="B104" s="15"/>
    </row>
    <row r="105" spans="1:2" x14ac:dyDescent="0.15">
      <c r="A105" s="16">
        <v>925791335</v>
      </c>
      <c r="B105" s="15"/>
    </row>
    <row r="106" spans="1:2" x14ac:dyDescent="0.15">
      <c r="A106" s="16">
        <v>925794500</v>
      </c>
      <c r="B106" s="15"/>
    </row>
    <row r="107" spans="1:2" x14ac:dyDescent="0.15">
      <c r="A107" s="16">
        <v>925794500</v>
      </c>
      <c r="B107" s="15"/>
    </row>
    <row r="108" spans="1:2" x14ac:dyDescent="0.15">
      <c r="A108" s="16">
        <v>925794500</v>
      </c>
      <c r="B108" s="15"/>
    </row>
    <row r="109" spans="1:2" x14ac:dyDescent="0.15">
      <c r="A109" s="16">
        <v>925821790</v>
      </c>
      <c r="B109" s="15"/>
    </row>
    <row r="110" spans="1:2" x14ac:dyDescent="0.15">
      <c r="A110" s="16">
        <v>925843285</v>
      </c>
      <c r="B110" s="15"/>
    </row>
    <row r="111" spans="1:2" x14ac:dyDescent="0.15">
      <c r="A111" s="16">
        <v>925844008</v>
      </c>
      <c r="B111" s="15"/>
    </row>
    <row r="112" spans="1:2" x14ac:dyDescent="0.15">
      <c r="A112" s="16">
        <v>925914971</v>
      </c>
      <c r="B112" s="15"/>
    </row>
    <row r="113" spans="1:2" x14ac:dyDescent="0.15">
      <c r="A113" s="16">
        <v>927920962</v>
      </c>
      <c r="B113" s="15"/>
    </row>
    <row r="114" spans="1:2" x14ac:dyDescent="0.15">
      <c r="A114" s="16">
        <v>943203146</v>
      </c>
      <c r="B114" s="15"/>
    </row>
    <row r="115" spans="1:2" x14ac:dyDescent="0.15">
      <c r="A115" s="16">
        <v>943538120</v>
      </c>
      <c r="B115" s="15"/>
    </row>
    <row r="116" spans="1:2" x14ac:dyDescent="0.15">
      <c r="A116" s="16">
        <v>943538120</v>
      </c>
      <c r="B116" s="15"/>
    </row>
    <row r="117" spans="1:2" x14ac:dyDescent="0.15">
      <c r="A117" s="16">
        <v>943704843</v>
      </c>
      <c r="B117" s="15"/>
    </row>
    <row r="118" spans="1:2" x14ac:dyDescent="0.15">
      <c r="A118" s="16">
        <v>943724625</v>
      </c>
      <c r="B118" s="15"/>
    </row>
    <row r="119" spans="1:2" x14ac:dyDescent="0.15">
      <c r="A119" s="16">
        <v>943731535</v>
      </c>
      <c r="B119" s="15"/>
    </row>
    <row r="120" spans="1:2" x14ac:dyDescent="0.15">
      <c r="A120" s="16">
        <v>943937057</v>
      </c>
      <c r="B120" s="15"/>
    </row>
    <row r="121" spans="1:2" x14ac:dyDescent="0.15">
      <c r="A121" s="16">
        <v>943987506</v>
      </c>
      <c r="B121" s="15"/>
    </row>
    <row r="122" spans="1:2" x14ac:dyDescent="0.15">
      <c r="A122" s="16">
        <v>944109554</v>
      </c>
      <c r="B122" s="15"/>
    </row>
    <row r="123" spans="1:2" x14ac:dyDescent="0.15">
      <c r="A123" s="16">
        <v>944157847</v>
      </c>
      <c r="B123" s="15"/>
    </row>
    <row r="124" spans="1:2" x14ac:dyDescent="0.15">
      <c r="A124" s="16">
        <v>924114074</v>
      </c>
      <c r="B124" s="15"/>
    </row>
    <row r="125" spans="1:2" x14ac:dyDescent="0.15">
      <c r="A125" s="16">
        <v>924114074</v>
      </c>
      <c r="B125" s="15"/>
    </row>
    <row r="126" spans="1:2" x14ac:dyDescent="0.15">
      <c r="A126" s="16">
        <v>943170509</v>
      </c>
      <c r="B126" s="15"/>
    </row>
    <row r="127" spans="1:2" x14ac:dyDescent="0.15">
      <c r="A127" s="16">
        <v>944006752</v>
      </c>
      <c r="B127" s="15"/>
    </row>
    <row r="128" spans="1:2" x14ac:dyDescent="0.15">
      <c r="A128" s="16">
        <v>925117411</v>
      </c>
      <c r="B128" s="15"/>
    </row>
    <row r="129" spans="1:2" x14ac:dyDescent="0.15">
      <c r="A129" s="16">
        <v>943074903</v>
      </c>
      <c r="B129" s="15"/>
    </row>
    <row r="130" spans="1:2" x14ac:dyDescent="0.15">
      <c r="A130" s="16">
        <v>944096921</v>
      </c>
      <c r="B130" s="15"/>
    </row>
    <row r="131" spans="1:2" x14ac:dyDescent="0.15">
      <c r="A131" s="16">
        <v>944119769</v>
      </c>
      <c r="B131" s="15"/>
    </row>
    <row r="132" spans="1:2" x14ac:dyDescent="0.15">
      <c r="A132" s="16">
        <v>943482223</v>
      </c>
      <c r="B132" s="15"/>
    </row>
    <row r="133" spans="1:2" x14ac:dyDescent="0.15">
      <c r="A133" s="16">
        <v>804459382</v>
      </c>
      <c r="B133" s="15"/>
    </row>
    <row r="134" spans="1:2" x14ac:dyDescent="0.15">
      <c r="A134" s="16">
        <v>804459390</v>
      </c>
      <c r="B134" s="15"/>
    </row>
    <row r="135" spans="1:2" x14ac:dyDescent="0.15">
      <c r="A135" s="16">
        <v>925092467</v>
      </c>
      <c r="B135" s="15"/>
    </row>
    <row r="136" spans="1:2" x14ac:dyDescent="0.15">
      <c r="A136" s="16">
        <v>925098395</v>
      </c>
      <c r="B136" s="15"/>
    </row>
    <row r="137" spans="1:2" x14ac:dyDescent="0.15">
      <c r="A137" s="16">
        <v>925926194</v>
      </c>
      <c r="B137" s="15"/>
    </row>
    <row r="138" spans="1:2" x14ac:dyDescent="0.15">
      <c r="A138" s="16">
        <v>925161195</v>
      </c>
      <c r="B138" s="15"/>
    </row>
    <row r="139" spans="1:2" x14ac:dyDescent="0.15">
      <c r="A139" s="16">
        <v>925818695</v>
      </c>
      <c r="B139" s="15"/>
    </row>
    <row r="140" spans="1:2" x14ac:dyDescent="0.15">
      <c r="A140" s="16">
        <v>925874824</v>
      </c>
      <c r="B140" s="15"/>
    </row>
    <row r="141" spans="1:2" x14ac:dyDescent="0.15">
      <c r="A141" s="16">
        <v>925919562</v>
      </c>
      <c r="B141" s="15"/>
    </row>
    <row r="142" spans="1:2" x14ac:dyDescent="0.15">
      <c r="A142" s="16">
        <v>943452674</v>
      </c>
      <c r="B142" s="15"/>
    </row>
    <row r="143" spans="1:2" x14ac:dyDescent="0.15">
      <c r="A143" s="16">
        <v>944154522</v>
      </c>
      <c r="B143" s="15"/>
    </row>
    <row r="144" spans="1:2" x14ac:dyDescent="0.15">
      <c r="A144" s="16">
        <v>943458471</v>
      </c>
      <c r="B144" s="15"/>
    </row>
    <row r="145" spans="1:2" x14ac:dyDescent="0.15">
      <c r="A145" s="16">
        <v>944148662</v>
      </c>
      <c r="B145" s="15"/>
    </row>
    <row r="146" spans="1:2" x14ac:dyDescent="0.15">
      <c r="A146" s="16">
        <v>943976221</v>
      </c>
      <c r="B146" s="15"/>
    </row>
    <row r="147" spans="1:2" x14ac:dyDescent="0.15">
      <c r="A147" s="16">
        <v>944157694</v>
      </c>
      <c r="B147" s="15"/>
    </row>
    <row r="148" spans="1:2" x14ac:dyDescent="0.15">
      <c r="A148" s="16">
        <v>943813533</v>
      </c>
      <c r="B148" s="15"/>
    </row>
    <row r="149" spans="1:2" x14ac:dyDescent="0.15">
      <c r="A149" s="16">
        <v>925964157</v>
      </c>
      <c r="B149" s="15"/>
    </row>
    <row r="150" spans="1:2" x14ac:dyDescent="0.15">
      <c r="A150" s="16">
        <v>943600902</v>
      </c>
      <c r="B150" s="15"/>
    </row>
    <row r="151" spans="1:2" x14ac:dyDescent="0.15">
      <c r="A151" s="16">
        <v>943634661</v>
      </c>
      <c r="B151" s="15"/>
    </row>
    <row r="152" spans="1:2" x14ac:dyDescent="0.15">
      <c r="A152" s="16">
        <v>944116765</v>
      </c>
      <c r="B152" s="15"/>
    </row>
    <row r="153" spans="1:2" x14ac:dyDescent="0.15">
      <c r="A153" s="16">
        <v>944099258</v>
      </c>
      <c r="B153" s="15"/>
    </row>
    <row r="154" spans="1:2" x14ac:dyDescent="0.15">
      <c r="A154" s="16">
        <v>944116961</v>
      </c>
      <c r="B154" s="15"/>
    </row>
    <row r="155" spans="1:2" x14ac:dyDescent="0.15">
      <c r="A155" s="16">
        <v>944138850</v>
      </c>
      <c r="B155" s="15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Loula Irene Cabel</cp:lastModifiedBy>
  <dcterms:created xsi:type="dcterms:W3CDTF">2025-01-23T17:11:48Z</dcterms:created>
  <dcterms:modified xsi:type="dcterms:W3CDTF">2025-01-28T19:49:30Z</dcterms:modified>
</cp:coreProperties>
</file>