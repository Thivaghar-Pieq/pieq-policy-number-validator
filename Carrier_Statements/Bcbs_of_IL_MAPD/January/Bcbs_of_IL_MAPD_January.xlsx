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BCBS of IL MAPD\January\"/>
    </mc:Choice>
  </mc:AlternateContent>
  <xr:revisionPtr revIDLastSave="0" documentId="13_ncr:1_{4491229A-465D-4C48-A9CD-1544E0A06DBD}" xr6:coauthVersionLast="47" xr6:coauthVersionMax="47" xr10:uidLastSave="{00000000-0000-0000-0000-000000000000}"/>
  <bookViews>
    <workbookView xWindow="28680" yWindow="-120" windowWidth="29040" windowHeight="16440" activeTab="1" xr2:uid="{00000000-000D-0000-FFFF-FFFF00000000}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  <ext uri="GoogleSheetsCustomDataVersion2">
      <go:sheetsCustomData xmlns:go="http://customooxmlschemas.google.com/" r:id="rId5" roundtripDataChecksum="5cQD++5vDCs7rX5mBsSJHAI9Km7KVacHmrMeLMrlZuM="/>
    </ext>
  </extLst>
</workbook>
</file>

<file path=xl/calcChain.xml><?xml version="1.0" encoding="utf-8"?>
<calcChain xmlns="http://schemas.openxmlformats.org/spreadsheetml/2006/main">
  <c r="C14" i="2" l="1"/>
  <c r="C8" i="2"/>
  <c r="C3" i="2"/>
  <c r="C10" i="2"/>
  <c r="C11" i="2"/>
  <c r="C7" i="2"/>
  <c r="C12" i="2"/>
  <c r="C13" i="2"/>
  <c r="C16" i="2"/>
  <c r="C5" i="2"/>
  <c r="C6" i="2"/>
  <c r="C4" i="2"/>
  <c r="C2" i="2"/>
  <c r="C9" i="2"/>
  <c r="C15" i="2"/>
  <c r="F6" i="2"/>
  <c r="F9" i="2"/>
  <c r="F2" i="2"/>
  <c r="F4" i="2"/>
  <c r="F5" i="2"/>
  <c r="F16" i="2"/>
  <c r="F13" i="2"/>
  <c r="F12" i="2"/>
  <c r="F7" i="2"/>
  <c r="F11" i="2"/>
  <c r="F10" i="2"/>
  <c r="F3" i="2"/>
  <c r="F8" i="2"/>
  <c r="F14" i="2"/>
  <c r="F15" i="2"/>
</calcChain>
</file>

<file path=xl/sharedStrings.xml><?xml version="1.0" encoding="utf-8"?>
<sst xmlns="http://schemas.openxmlformats.org/spreadsheetml/2006/main" count="372" uniqueCount="132">
  <si>
    <t>Client Key</t>
  </si>
  <si>
    <t xml:space="preserve">Calc Method
</t>
  </si>
  <si>
    <t>CreditProducer Type</t>
  </si>
  <si>
    <t xml:space="preserve">Producer  Name
</t>
  </si>
  <si>
    <t>Line of Business</t>
  </si>
  <si>
    <t xml:space="preserve">Group
</t>
  </si>
  <si>
    <t>Contracts/Members</t>
  </si>
  <si>
    <t xml:space="preserve">Subscriber
</t>
  </si>
  <si>
    <t>Group Subname</t>
  </si>
  <si>
    <t>Payment Type</t>
  </si>
  <si>
    <t>Collection Amount</t>
  </si>
  <si>
    <t>Paid To Date</t>
  </si>
  <si>
    <t>Effective Date</t>
  </si>
  <si>
    <t>Month Policy</t>
  </si>
  <si>
    <t>Product</t>
  </si>
  <si>
    <t>Split Indicator</t>
  </si>
  <si>
    <t>Split Percentage</t>
  </si>
  <si>
    <t>Commission Rate</t>
  </si>
  <si>
    <t>Commission Paid</t>
  </si>
  <si>
    <t>Service 
Rate</t>
  </si>
  <si>
    <t>Service Fee</t>
  </si>
  <si>
    <t>SubProducer  Number</t>
  </si>
  <si>
    <t>0001000101</t>
  </si>
  <si>
    <t>Renew Flat</t>
  </si>
  <si>
    <t>PR</t>
  </si>
  <si>
    <t>107928670-SU-TIMOTHY HODGMAN</t>
  </si>
  <si>
    <t>H</t>
  </si>
  <si>
    <t>069121</t>
  </si>
  <si>
    <t>000804490522</t>
  </si>
  <si>
    <t>STUENKEL, THOMAS</t>
  </si>
  <si>
    <t>P</t>
  </si>
  <si>
    <t>000,000.00</t>
  </si>
  <si>
    <t>20260201</t>
  </si>
  <si>
    <t>20250101</t>
  </si>
  <si>
    <t>013</t>
  </si>
  <si>
    <t>MM2</t>
  </si>
  <si>
    <t>N</t>
  </si>
  <si>
    <t>$01.00</t>
  </si>
  <si>
    <t>0.0000</t>
  </si>
  <si>
    <t>107928670</t>
  </si>
  <si>
    <t>107928700-SU-STACEY A PORTUGAL</t>
  </si>
  <si>
    <t>000804501244</t>
  </si>
  <si>
    <t>PRICE, NANCY</t>
  </si>
  <si>
    <t>20250201</t>
  </si>
  <si>
    <t>012</t>
  </si>
  <si>
    <t>107928700</t>
  </si>
  <si>
    <t>107928729-SU-JACOB D YALE</t>
  </si>
  <si>
    <t>000804512319</t>
  </si>
  <si>
    <t>CIPRA, MARY</t>
  </si>
  <si>
    <t>20250801</t>
  </si>
  <si>
    <t>006</t>
  </si>
  <si>
    <t>107928729</t>
  </si>
  <si>
    <t>107928853-SU-BARRY L SCHUMANN</t>
  </si>
  <si>
    <t>069122</t>
  </si>
  <si>
    <t>000804522388</t>
  </si>
  <si>
    <t>HAYNES, DEVETTA</t>
  </si>
  <si>
    <t>20251101</t>
  </si>
  <si>
    <t>003</t>
  </si>
  <si>
    <t>107928853</t>
  </si>
  <si>
    <t>107928856-SU-JEFFREY E HORN</t>
  </si>
  <si>
    <t>000804480783</t>
  </si>
  <si>
    <t>MITCHELL, SUSAN</t>
  </si>
  <si>
    <t>107928856</t>
  </si>
  <si>
    <t>069106</t>
  </si>
  <si>
    <t>000804517406</t>
  </si>
  <si>
    <t>KAITSCHUCK, STEVEN</t>
  </si>
  <si>
    <t>20250901</t>
  </si>
  <si>
    <t>005</t>
  </si>
  <si>
    <t>MM4</t>
  </si>
  <si>
    <t>107929705-SU-HEATHER MARIE GESKE</t>
  </si>
  <si>
    <t>000804519651</t>
  </si>
  <si>
    <t>FOX, DONNA</t>
  </si>
  <si>
    <t>107929705</t>
  </si>
  <si>
    <t>107931129-SU-MICHAEL DUNAVANT</t>
  </si>
  <si>
    <t>000804459242</t>
  </si>
  <si>
    <t>FARRELL, ELLEN</t>
  </si>
  <si>
    <t>107931129</t>
  </si>
  <si>
    <t>000804519679</t>
  </si>
  <si>
    <t>SCHROEDER, PATRICK</t>
  </si>
  <si>
    <t>107934270-SU-TOM EDWARD SERIO</t>
  </si>
  <si>
    <t>000804466456</t>
  </si>
  <si>
    <t>WENZEL, DANIEL</t>
  </si>
  <si>
    <t>107934270</t>
  </si>
  <si>
    <t>Flat Annual</t>
  </si>
  <si>
    <t>107928688-SU-GARY PORTUGAL</t>
  </si>
  <si>
    <t>1</t>
  </si>
  <si>
    <t>000804527855</t>
  </si>
  <si>
    <t>SAWYER, TOM</t>
  </si>
  <si>
    <t>20260301</t>
  </si>
  <si>
    <t>001</t>
  </si>
  <si>
    <t>MMA</t>
  </si>
  <si>
    <t>107928688</t>
  </si>
  <si>
    <t>000804537478</t>
  </si>
  <si>
    <t>LORTS, MARK</t>
  </si>
  <si>
    <t>20260101</t>
  </si>
  <si>
    <t>107972858-SU-ANTONIA NEVAREZ</t>
  </si>
  <si>
    <t>000804528849</t>
  </si>
  <si>
    <t>PEDROZA, AVELINA</t>
  </si>
  <si>
    <t>000,001.20</t>
  </si>
  <si>
    <t>107972858</t>
  </si>
  <si>
    <t>107978997-SU-JEANET REYES</t>
  </si>
  <si>
    <t>000804538643</t>
  </si>
  <si>
    <t>TEMBLADOR, RAMON</t>
  </si>
  <si>
    <t>107978997</t>
  </si>
  <si>
    <t>BCBS of IL MAPD 2025*</t>
  </si>
  <si>
    <t>BCBS IL MAPD 2026*</t>
  </si>
  <si>
    <t>[%/$=347][prorate=11/12]</t>
  </si>
  <si>
    <t>BCBS IL 2026</t>
  </si>
  <si>
    <t>[%/$=347][prorate=12/12]</t>
  </si>
  <si>
    <t>[%/$=313][prorate=12/12]</t>
  </si>
  <si>
    <t>[%/$=694]</t>
  </si>
  <si>
    <t>HODGMAN</t>
  </si>
  <si>
    <t>PORTUGAL</t>
  </si>
  <si>
    <t>YALE</t>
  </si>
  <si>
    <t>SCHUMANN</t>
  </si>
  <si>
    <t>HORN</t>
  </si>
  <si>
    <t>GESKE</t>
  </si>
  <si>
    <t>DUNAVANT</t>
  </si>
  <si>
    <t>SERIO</t>
  </si>
  <si>
    <t>NEVAREZ</t>
  </si>
  <si>
    <t>REYES</t>
  </si>
  <si>
    <t>TIMOTHY</t>
  </si>
  <si>
    <t>STACEY</t>
  </si>
  <si>
    <t>JACOB</t>
  </si>
  <si>
    <t>BARRY</t>
  </si>
  <si>
    <t>JEFFREY</t>
  </si>
  <si>
    <t>HEATHER</t>
  </si>
  <si>
    <t>MICHAEL</t>
  </si>
  <si>
    <t>TOM</t>
  </si>
  <si>
    <t>GARY</t>
  </si>
  <si>
    <t>ANTONIA</t>
  </si>
  <si>
    <t>JEANET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</si>
</sst>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  <scheme val="minor"/>
    </font>
    <font>
      <b/>
      <sz val="9"/>
      <color rgb="FFFFFFFF"/>
      <name val="Arial"/>
    </font>
    <font>
      <sz val="10"/>
      <color theme="1"/>
      <name val="Arial"/>
    </font>
    <font>
      <sz val="9"/>
      <color theme="1"/>
      <name val="Arial"/>
    </font>
    <font>
      <sz val="10"/>
      <color rgb="FF000000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808080"/>
        <bgColor rgb="FF808080"/>
      </patternFill>
    </fill>
  </fills>
  <borders count="5"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Font="1" applyFill="1" applyBorder="1" applyAlignment="1">
      <alignment horizontal="center" vertical="top" wrapText="1"/>
    </xf>
    <xf numFmtId="0" fontId="1" fillId="2" borderId="2" xfId="0" applyFont="1" applyFill="1" applyBorder="1" applyAlignment="1">
      <alignment horizontal="center" vertical="top" wrapText="1"/>
    </xf>
    <xf numFmtId="0" fontId="2" fillId="2" borderId="3" xfId="0" applyFont="1" applyFill="1" applyBorder="1" applyAlignment="1">
      <alignment vertical="top"/>
    </xf>
    <xf numFmtId="0" fontId="2" fillId="2" borderId="2" xfId="0" applyFont="1" applyFill="1" applyBorder="1" applyAlignment="1">
      <alignment vertical="top"/>
    </xf>
    <xf numFmtId="0" fontId="1" fillId="2" borderId="3" xfId="0" applyFont="1" applyFill="1" applyBorder="1" applyAlignment="1">
      <alignment horizontal="center" vertical="top" wrapText="1"/>
    </xf>
    <xf numFmtId="0" fontId="2" fillId="0" borderId="0" xfId="0" applyFont="1"/>
    <xf numFmtId="0" fontId="1" fillId="2" borderId="4" xfId="0" applyFont="1" applyFill="1" applyBorder="1" applyAlignment="1">
      <alignment horizontal="center" vertical="top" wrapText="1"/>
    </xf>
    <xf numFmtId="0" fontId="3" fillId="0" borderId="0" xfId="0" applyFont="1" applyAlignment="1">
      <alignment vertical="top"/>
    </xf>
    <xf numFmtId="0" fontId="2" fillId="0" borderId="0" xfId="0" applyFont="1" applyAlignment="1">
      <alignment vertical="top"/>
    </xf>
    <xf numFmtId="0" fontId="3" fillId="0" borderId="0" xfId="0" applyFont="1" applyAlignment="1">
      <alignment horizontal="center" vertical="top"/>
    </xf>
    <xf numFmtId="0" fontId="3" fillId="0" borderId="0" xfId="0" applyFont="1" applyAlignment="1">
      <alignment horizontal="right" vertical="top"/>
    </xf>
    <xf numFmtId="0" fontId="3" fillId="0" borderId="0" xfId="0" applyNumberFormat="1" applyFont="1" applyAlignment="1">
      <alignment horizontal="right" vertical="top"/>
    </xf>
    <xf numFmtId="14" fontId="3" fillId="0" borderId="0" xfId="0" applyNumberFormat="1" applyFont="1" applyAlignment="1">
      <alignment horizontal="right" vertical="top"/>
    </xf>
    <xf numFmtId="0" fontId="4" fillId="0" borderId="0" xfId="0" applyFont="1"/>
    <xf numFmtId="0" fontId="2" fillId="2" borderId="4" xfId="0" applyFont="1" applyFill="1" applyBorder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H1000"/>
  <sheetViews>
    <sheetView topLeftCell="P1" workbookViewId="0">
      <selection activeCell="P1" sqref="A1:XFD1048576"/>
    </sheetView>
  </sheetViews>
  <sheetFormatPr defaultColWidth="12.6640625" defaultRowHeight="15" customHeight="1" x14ac:dyDescent="0.25"/>
  <cols>
    <col min="1" max="1" width="9.33203125" customWidth="1"/>
    <col min="2" max="2" width="9.88671875" customWidth="1"/>
    <col min="3" max="3" width="12.6640625" customWidth="1"/>
    <col min="4" max="4" width="11.88671875" customWidth="1"/>
    <col min="5" max="5" width="3.109375" customWidth="1"/>
    <col min="6" max="6" width="12.44140625" customWidth="1"/>
    <col min="7" max="7" width="29.33203125" customWidth="1"/>
    <col min="10" max="10" width="7.6640625" customWidth="1"/>
    <col min="11" max="11" width="6" customWidth="1"/>
    <col min="12" max="12" width="11.88671875" customWidth="1"/>
    <col min="14" max="14" width="11" customWidth="1"/>
    <col min="16" max="16" width="17.77734375" customWidth="1"/>
    <col min="19" max="19" width="11" customWidth="1"/>
    <col min="20" max="20" width="8.44140625" customWidth="1"/>
    <col min="22" max="22" width="10" customWidth="1"/>
    <col min="23" max="23" width="10.88671875" customWidth="1"/>
    <col min="24" max="24" width="10.33203125" customWidth="1"/>
    <col min="25" max="25" width="6.6640625" customWidth="1"/>
    <col min="27" max="27" width="11" customWidth="1"/>
    <col min="28" max="28" width="9.109375" customWidth="1"/>
    <col min="29" max="30" width="10" customWidth="1"/>
    <col min="31" max="31" width="6.33203125" customWidth="1"/>
    <col min="33" max="33" width="9.33203125" customWidth="1"/>
    <col min="34" max="34" width="10.33203125" customWidth="1"/>
  </cols>
  <sheetData>
    <row r="1" spans="1:34" ht="15.75" customHeight="1" x14ac:dyDescent="0.25">
      <c r="A1" s="1" t="s">
        <v>0</v>
      </c>
      <c r="B1" s="2" t="s">
        <v>1</v>
      </c>
      <c r="C1" s="3"/>
      <c r="D1" s="2" t="s">
        <v>2</v>
      </c>
      <c r="E1" s="3"/>
      <c r="F1" s="2" t="s">
        <v>3</v>
      </c>
      <c r="G1" s="4"/>
      <c r="H1" s="4"/>
      <c r="I1" s="3"/>
      <c r="J1" s="5" t="s">
        <v>4</v>
      </c>
      <c r="K1" s="2" t="s">
        <v>5</v>
      </c>
      <c r="L1" s="1" t="s">
        <v>6</v>
      </c>
      <c r="M1" s="6"/>
      <c r="N1" s="7" t="s">
        <v>7</v>
      </c>
      <c r="O1" s="3"/>
      <c r="P1" s="2" t="s">
        <v>8</v>
      </c>
      <c r="Q1" s="4"/>
      <c r="R1" s="3"/>
      <c r="S1" s="5" t="s">
        <v>9</v>
      </c>
      <c r="T1" s="2" t="s">
        <v>10</v>
      </c>
      <c r="U1" s="3"/>
      <c r="V1" s="5" t="s">
        <v>11</v>
      </c>
      <c r="W1" s="5" t="s">
        <v>12</v>
      </c>
      <c r="X1" s="5" t="s">
        <v>13</v>
      </c>
      <c r="Y1" s="2" t="s">
        <v>14</v>
      </c>
      <c r="Z1" s="3"/>
      <c r="AA1" s="5" t="s">
        <v>15</v>
      </c>
      <c r="AB1" s="5" t="s">
        <v>16</v>
      </c>
      <c r="AC1" s="5" t="s">
        <v>17</v>
      </c>
      <c r="AD1" s="5" t="s">
        <v>18</v>
      </c>
      <c r="AE1" s="2" t="s">
        <v>19</v>
      </c>
      <c r="AF1" s="3"/>
      <c r="AG1" s="5" t="s">
        <v>20</v>
      </c>
      <c r="AH1" s="5" t="s">
        <v>21</v>
      </c>
    </row>
    <row r="2" spans="1:34" ht="15.75" customHeight="1" x14ac:dyDescent="0.25">
      <c r="A2" s="8" t="s">
        <v>22</v>
      </c>
      <c r="B2" s="8" t="s">
        <v>23</v>
      </c>
      <c r="C2" s="9"/>
      <c r="D2" s="9"/>
      <c r="E2" s="10" t="s">
        <v>24</v>
      </c>
      <c r="F2" s="9"/>
      <c r="G2" s="11" t="s">
        <v>25</v>
      </c>
      <c r="H2" s="9"/>
      <c r="I2" s="9"/>
      <c r="J2" s="10" t="s">
        <v>26</v>
      </c>
      <c r="K2" s="11" t="s">
        <v>27</v>
      </c>
      <c r="L2" s="6"/>
      <c r="M2" s="6"/>
      <c r="N2" s="11" t="s">
        <v>28</v>
      </c>
      <c r="O2" s="9"/>
      <c r="P2" s="11" t="s">
        <v>29</v>
      </c>
      <c r="Q2" s="9"/>
      <c r="R2" s="9"/>
      <c r="S2" s="10" t="s">
        <v>30</v>
      </c>
      <c r="T2" s="11" t="s">
        <v>31</v>
      </c>
      <c r="U2" s="9"/>
      <c r="V2" s="11" t="s">
        <v>32</v>
      </c>
      <c r="W2" s="11" t="s">
        <v>33</v>
      </c>
      <c r="X2" s="11" t="s">
        <v>34</v>
      </c>
      <c r="Y2" s="11" t="s">
        <v>35</v>
      </c>
      <c r="Z2" s="9"/>
      <c r="AA2" s="11" t="s">
        <v>36</v>
      </c>
      <c r="AB2" s="11" t="s">
        <v>37</v>
      </c>
      <c r="AC2" s="6"/>
      <c r="AD2" s="11">
        <v>313</v>
      </c>
      <c r="AE2" s="11" t="s">
        <v>38</v>
      </c>
      <c r="AF2" s="9"/>
      <c r="AG2" s="11" t="s">
        <v>31</v>
      </c>
      <c r="AH2" s="11" t="s">
        <v>39</v>
      </c>
    </row>
    <row r="3" spans="1:34" ht="15.75" customHeight="1" x14ac:dyDescent="0.25">
      <c r="A3" s="8" t="s">
        <v>22</v>
      </c>
      <c r="B3" s="8" t="s">
        <v>23</v>
      </c>
      <c r="C3" s="9"/>
      <c r="D3" s="9"/>
      <c r="E3" s="10" t="s">
        <v>24</v>
      </c>
      <c r="F3" s="9"/>
      <c r="G3" s="11" t="s">
        <v>40</v>
      </c>
      <c r="H3" s="9"/>
      <c r="I3" s="9"/>
      <c r="J3" s="10" t="s">
        <v>26</v>
      </c>
      <c r="K3" s="11" t="s">
        <v>27</v>
      </c>
      <c r="L3" s="6"/>
      <c r="M3" s="6"/>
      <c r="N3" s="11" t="s">
        <v>41</v>
      </c>
      <c r="O3" s="9"/>
      <c r="P3" s="11" t="s">
        <v>42</v>
      </c>
      <c r="Q3" s="9"/>
      <c r="R3" s="9"/>
      <c r="S3" s="10" t="s">
        <v>30</v>
      </c>
      <c r="T3" s="11" t="s">
        <v>31</v>
      </c>
      <c r="U3" s="9"/>
      <c r="V3" s="11" t="s">
        <v>32</v>
      </c>
      <c r="W3" s="11" t="s">
        <v>43</v>
      </c>
      <c r="X3" s="11" t="s">
        <v>44</v>
      </c>
      <c r="Y3" s="11" t="s">
        <v>35</v>
      </c>
      <c r="Z3" s="9"/>
      <c r="AA3" s="11" t="s">
        <v>36</v>
      </c>
      <c r="AB3" s="11" t="s">
        <v>37</v>
      </c>
      <c r="AC3" s="6"/>
      <c r="AD3" s="11">
        <v>313</v>
      </c>
      <c r="AE3" s="11" t="s">
        <v>38</v>
      </c>
      <c r="AF3" s="9"/>
      <c r="AG3" s="11" t="s">
        <v>31</v>
      </c>
      <c r="AH3" s="11" t="s">
        <v>45</v>
      </c>
    </row>
    <row r="4" spans="1:34" ht="15.75" customHeight="1" x14ac:dyDescent="0.25">
      <c r="A4" s="8" t="s">
        <v>22</v>
      </c>
      <c r="B4" s="8" t="s">
        <v>23</v>
      </c>
      <c r="C4" s="9"/>
      <c r="D4" s="9"/>
      <c r="E4" s="10" t="s">
        <v>24</v>
      </c>
      <c r="F4" s="9"/>
      <c r="G4" s="11" t="s">
        <v>46</v>
      </c>
      <c r="H4" s="9"/>
      <c r="I4" s="9"/>
      <c r="J4" s="10" t="s">
        <v>26</v>
      </c>
      <c r="K4" s="11" t="s">
        <v>27</v>
      </c>
      <c r="L4" s="6"/>
      <c r="M4" s="6"/>
      <c r="N4" s="11" t="s">
        <v>47</v>
      </c>
      <c r="O4" s="9"/>
      <c r="P4" s="11" t="s">
        <v>48</v>
      </c>
      <c r="Q4" s="9"/>
      <c r="R4" s="9"/>
      <c r="S4" s="10" t="s">
        <v>30</v>
      </c>
      <c r="T4" s="11" t="s">
        <v>31</v>
      </c>
      <c r="U4" s="9"/>
      <c r="V4" s="11" t="s">
        <v>32</v>
      </c>
      <c r="W4" s="11" t="s">
        <v>49</v>
      </c>
      <c r="X4" s="11" t="s">
        <v>50</v>
      </c>
      <c r="Y4" s="11" t="s">
        <v>35</v>
      </c>
      <c r="Z4" s="9"/>
      <c r="AA4" s="11" t="s">
        <v>36</v>
      </c>
      <c r="AB4" s="11" t="s">
        <v>37</v>
      </c>
      <c r="AC4" s="6"/>
      <c r="AD4" s="11">
        <v>313</v>
      </c>
      <c r="AE4" s="11" t="s">
        <v>38</v>
      </c>
      <c r="AF4" s="9"/>
      <c r="AG4" s="11" t="s">
        <v>31</v>
      </c>
      <c r="AH4" s="11" t="s">
        <v>51</v>
      </c>
    </row>
    <row r="5" spans="1:34" ht="15.75" customHeight="1" x14ac:dyDescent="0.25">
      <c r="A5" s="8" t="s">
        <v>22</v>
      </c>
      <c r="B5" s="8" t="s">
        <v>23</v>
      </c>
      <c r="C5" s="9"/>
      <c r="D5" s="9"/>
      <c r="E5" s="10" t="s">
        <v>24</v>
      </c>
      <c r="F5" s="9"/>
      <c r="G5" s="11" t="s">
        <v>52</v>
      </c>
      <c r="H5" s="9"/>
      <c r="I5" s="9"/>
      <c r="J5" s="10" t="s">
        <v>26</v>
      </c>
      <c r="K5" s="11" t="s">
        <v>53</v>
      </c>
      <c r="L5" s="6"/>
      <c r="M5" s="6"/>
      <c r="N5" s="11" t="s">
        <v>54</v>
      </c>
      <c r="O5" s="9"/>
      <c r="P5" s="11" t="s">
        <v>55</v>
      </c>
      <c r="Q5" s="9"/>
      <c r="R5" s="9"/>
      <c r="S5" s="10" t="s">
        <v>30</v>
      </c>
      <c r="T5" s="11" t="s">
        <v>31</v>
      </c>
      <c r="U5" s="9"/>
      <c r="V5" s="11" t="s">
        <v>32</v>
      </c>
      <c r="W5" s="11" t="s">
        <v>56</v>
      </c>
      <c r="X5" s="11" t="s">
        <v>57</v>
      </c>
      <c r="Y5" s="11" t="s">
        <v>35</v>
      </c>
      <c r="Z5" s="9"/>
      <c r="AA5" s="11" t="s">
        <v>36</v>
      </c>
      <c r="AB5" s="11" t="s">
        <v>37</v>
      </c>
      <c r="AC5" s="6"/>
      <c r="AD5" s="11">
        <v>313</v>
      </c>
      <c r="AE5" s="11" t="s">
        <v>38</v>
      </c>
      <c r="AF5" s="9"/>
      <c r="AG5" s="11" t="s">
        <v>31</v>
      </c>
      <c r="AH5" s="11" t="s">
        <v>58</v>
      </c>
    </row>
    <row r="6" spans="1:34" ht="15.75" customHeight="1" x14ac:dyDescent="0.25">
      <c r="A6" s="8" t="s">
        <v>22</v>
      </c>
      <c r="B6" s="8" t="s">
        <v>23</v>
      </c>
      <c r="C6" s="9"/>
      <c r="D6" s="9"/>
      <c r="E6" s="10" t="s">
        <v>24</v>
      </c>
      <c r="F6" s="9"/>
      <c r="G6" s="11" t="s">
        <v>59</v>
      </c>
      <c r="H6" s="9"/>
      <c r="I6" s="9"/>
      <c r="J6" s="10" t="s">
        <v>26</v>
      </c>
      <c r="K6" s="11" t="s">
        <v>27</v>
      </c>
      <c r="L6" s="6"/>
      <c r="M6" s="6"/>
      <c r="N6" s="11" t="s">
        <v>60</v>
      </c>
      <c r="O6" s="9"/>
      <c r="P6" s="11" t="s">
        <v>61</v>
      </c>
      <c r="Q6" s="9"/>
      <c r="R6" s="9"/>
      <c r="S6" s="10" t="s">
        <v>30</v>
      </c>
      <c r="T6" s="11" t="s">
        <v>31</v>
      </c>
      <c r="U6" s="9"/>
      <c r="V6" s="11" t="s">
        <v>32</v>
      </c>
      <c r="W6" s="11" t="s">
        <v>33</v>
      </c>
      <c r="X6" s="11" t="s">
        <v>34</v>
      </c>
      <c r="Y6" s="11" t="s">
        <v>35</v>
      </c>
      <c r="Z6" s="9"/>
      <c r="AA6" s="11" t="s">
        <v>36</v>
      </c>
      <c r="AB6" s="11" t="s">
        <v>37</v>
      </c>
      <c r="AC6" s="6"/>
      <c r="AD6" s="11">
        <v>313</v>
      </c>
      <c r="AE6" s="11" t="s">
        <v>38</v>
      </c>
      <c r="AF6" s="9"/>
      <c r="AG6" s="11" t="s">
        <v>31</v>
      </c>
      <c r="AH6" s="11" t="s">
        <v>62</v>
      </c>
    </row>
    <row r="7" spans="1:34" ht="15.75" customHeight="1" x14ac:dyDescent="0.25">
      <c r="A7" s="8" t="s">
        <v>22</v>
      </c>
      <c r="B7" s="8" t="s">
        <v>23</v>
      </c>
      <c r="C7" s="9"/>
      <c r="D7" s="9"/>
      <c r="E7" s="10" t="s">
        <v>24</v>
      </c>
      <c r="F7" s="9"/>
      <c r="G7" s="11" t="s">
        <v>59</v>
      </c>
      <c r="H7" s="9"/>
      <c r="I7" s="9"/>
      <c r="J7" s="10" t="s">
        <v>26</v>
      </c>
      <c r="K7" s="11" t="s">
        <v>63</v>
      </c>
      <c r="L7" s="6"/>
      <c r="M7" s="6"/>
      <c r="N7" s="11" t="s">
        <v>64</v>
      </c>
      <c r="O7" s="9"/>
      <c r="P7" s="11" t="s">
        <v>65</v>
      </c>
      <c r="Q7" s="9"/>
      <c r="R7" s="9"/>
      <c r="S7" s="10" t="s">
        <v>30</v>
      </c>
      <c r="T7" s="11" t="s">
        <v>31</v>
      </c>
      <c r="U7" s="9"/>
      <c r="V7" s="11" t="s">
        <v>32</v>
      </c>
      <c r="W7" s="11" t="s">
        <v>66</v>
      </c>
      <c r="X7" s="11" t="s">
        <v>67</v>
      </c>
      <c r="Y7" s="11" t="s">
        <v>68</v>
      </c>
      <c r="Z7" s="9"/>
      <c r="AA7" s="11" t="s">
        <v>36</v>
      </c>
      <c r="AB7" s="11" t="s">
        <v>37</v>
      </c>
      <c r="AC7" s="6"/>
      <c r="AD7" s="11">
        <v>313</v>
      </c>
      <c r="AE7" s="11" t="s">
        <v>38</v>
      </c>
      <c r="AF7" s="9"/>
      <c r="AG7" s="11" t="s">
        <v>31</v>
      </c>
      <c r="AH7" s="11" t="s">
        <v>62</v>
      </c>
    </row>
    <row r="8" spans="1:34" ht="15.75" customHeight="1" x14ac:dyDescent="0.25">
      <c r="A8" s="8" t="s">
        <v>22</v>
      </c>
      <c r="B8" s="8" t="s">
        <v>23</v>
      </c>
      <c r="C8" s="9"/>
      <c r="D8" s="9"/>
      <c r="E8" s="10" t="s">
        <v>24</v>
      </c>
      <c r="F8" s="9"/>
      <c r="G8" s="11" t="s">
        <v>69</v>
      </c>
      <c r="H8" s="9"/>
      <c r="I8" s="9"/>
      <c r="J8" s="10" t="s">
        <v>26</v>
      </c>
      <c r="K8" s="11" t="s">
        <v>53</v>
      </c>
      <c r="L8" s="6"/>
      <c r="M8" s="6"/>
      <c r="N8" s="11" t="s">
        <v>70</v>
      </c>
      <c r="O8" s="9"/>
      <c r="P8" s="11" t="s">
        <v>71</v>
      </c>
      <c r="Q8" s="9"/>
      <c r="R8" s="9"/>
      <c r="S8" s="10" t="s">
        <v>30</v>
      </c>
      <c r="T8" s="11" t="s">
        <v>31</v>
      </c>
      <c r="U8" s="9"/>
      <c r="V8" s="11" t="s">
        <v>32</v>
      </c>
      <c r="W8" s="11" t="s">
        <v>66</v>
      </c>
      <c r="X8" s="11" t="s">
        <v>67</v>
      </c>
      <c r="Y8" s="11" t="s">
        <v>35</v>
      </c>
      <c r="Z8" s="9"/>
      <c r="AA8" s="11" t="s">
        <v>36</v>
      </c>
      <c r="AB8" s="11" t="s">
        <v>37</v>
      </c>
      <c r="AC8" s="6"/>
      <c r="AD8" s="11">
        <v>313</v>
      </c>
      <c r="AE8" s="11" t="s">
        <v>38</v>
      </c>
      <c r="AF8" s="9"/>
      <c r="AG8" s="11" t="s">
        <v>31</v>
      </c>
      <c r="AH8" s="11" t="s">
        <v>72</v>
      </c>
    </row>
    <row r="9" spans="1:34" ht="15.75" customHeight="1" x14ac:dyDescent="0.25">
      <c r="A9" s="8" t="s">
        <v>22</v>
      </c>
      <c r="B9" s="8" t="s">
        <v>23</v>
      </c>
      <c r="C9" s="9"/>
      <c r="D9" s="9"/>
      <c r="E9" s="10" t="s">
        <v>24</v>
      </c>
      <c r="F9" s="9"/>
      <c r="G9" s="11" t="s">
        <v>73</v>
      </c>
      <c r="H9" s="9"/>
      <c r="I9" s="9"/>
      <c r="J9" s="10" t="s">
        <v>26</v>
      </c>
      <c r="K9" s="11" t="s">
        <v>27</v>
      </c>
      <c r="L9" s="6"/>
      <c r="M9" s="6"/>
      <c r="N9" s="11" t="s">
        <v>74</v>
      </c>
      <c r="O9" s="9"/>
      <c r="P9" s="11" t="s">
        <v>75</v>
      </c>
      <c r="Q9" s="9"/>
      <c r="R9" s="9"/>
      <c r="S9" s="10" t="s">
        <v>30</v>
      </c>
      <c r="T9" s="11" t="s">
        <v>31</v>
      </c>
      <c r="U9" s="9"/>
      <c r="V9" s="11" t="s">
        <v>32</v>
      </c>
      <c r="W9" s="11" t="s">
        <v>33</v>
      </c>
      <c r="X9" s="11" t="s">
        <v>34</v>
      </c>
      <c r="Y9" s="11" t="s">
        <v>35</v>
      </c>
      <c r="Z9" s="9"/>
      <c r="AA9" s="11" t="s">
        <v>36</v>
      </c>
      <c r="AB9" s="11" t="s">
        <v>37</v>
      </c>
      <c r="AC9" s="6"/>
      <c r="AD9" s="11">
        <v>313</v>
      </c>
      <c r="AE9" s="11" t="s">
        <v>38</v>
      </c>
      <c r="AF9" s="9"/>
      <c r="AG9" s="11" t="s">
        <v>31</v>
      </c>
      <c r="AH9" s="11" t="s">
        <v>76</v>
      </c>
    </row>
    <row r="10" spans="1:34" ht="15.75" customHeight="1" x14ac:dyDescent="0.25">
      <c r="A10" s="8" t="s">
        <v>22</v>
      </c>
      <c r="B10" s="8" t="s">
        <v>23</v>
      </c>
      <c r="C10" s="9"/>
      <c r="D10" s="9"/>
      <c r="E10" s="10" t="s">
        <v>24</v>
      </c>
      <c r="F10" s="9"/>
      <c r="G10" s="11" t="s">
        <v>73</v>
      </c>
      <c r="H10" s="9"/>
      <c r="I10" s="9"/>
      <c r="J10" s="10" t="s">
        <v>26</v>
      </c>
      <c r="K10" s="11" t="s">
        <v>27</v>
      </c>
      <c r="L10" s="6"/>
      <c r="M10" s="6"/>
      <c r="N10" s="11" t="s">
        <v>77</v>
      </c>
      <c r="O10" s="9"/>
      <c r="P10" s="11" t="s">
        <v>78</v>
      </c>
      <c r="Q10" s="9"/>
      <c r="R10" s="9"/>
      <c r="S10" s="10" t="s">
        <v>30</v>
      </c>
      <c r="T10" s="11" t="s">
        <v>31</v>
      </c>
      <c r="U10" s="9"/>
      <c r="V10" s="11" t="s">
        <v>32</v>
      </c>
      <c r="W10" s="11" t="s">
        <v>66</v>
      </c>
      <c r="X10" s="11" t="s">
        <v>67</v>
      </c>
      <c r="Y10" s="11" t="s">
        <v>35</v>
      </c>
      <c r="Z10" s="9"/>
      <c r="AA10" s="11" t="s">
        <v>36</v>
      </c>
      <c r="AB10" s="11" t="s">
        <v>37</v>
      </c>
      <c r="AC10" s="6"/>
      <c r="AD10" s="11">
        <v>313</v>
      </c>
      <c r="AE10" s="11" t="s">
        <v>38</v>
      </c>
      <c r="AF10" s="9"/>
      <c r="AG10" s="11" t="s">
        <v>31</v>
      </c>
      <c r="AH10" s="11" t="s">
        <v>76</v>
      </c>
    </row>
    <row r="11" spans="1:34" ht="15.75" customHeight="1" x14ac:dyDescent="0.25">
      <c r="A11" s="8" t="s">
        <v>22</v>
      </c>
      <c r="B11" s="8" t="s">
        <v>23</v>
      </c>
      <c r="C11" s="9"/>
      <c r="D11" s="9"/>
      <c r="E11" s="10" t="s">
        <v>24</v>
      </c>
      <c r="F11" s="9"/>
      <c r="G11" s="11" t="s">
        <v>79</v>
      </c>
      <c r="H11" s="9"/>
      <c r="I11" s="9"/>
      <c r="J11" s="10" t="s">
        <v>26</v>
      </c>
      <c r="K11" s="11" t="s">
        <v>27</v>
      </c>
      <c r="L11" s="6"/>
      <c r="M11" s="6"/>
      <c r="N11" s="11" t="s">
        <v>80</v>
      </c>
      <c r="O11" s="9"/>
      <c r="P11" s="11" t="s">
        <v>81</v>
      </c>
      <c r="Q11" s="9"/>
      <c r="R11" s="9"/>
      <c r="S11" s="10" t="s">
        <v>30</v>
      </c>
      <c r="T11" s="11" t="s">
        <v>31</v>
      </c>
      <c r="U11" s="9"/>
      <c r="V11" s="11" t="s">
        <v>32</v>
      </c>
      <c r="W11" s="11" t="s">
        <v>33</v>
      </c>
      <c r="X11" s="11" t="s">
        <v>34</v>
      </c>
      <c r="Y11" s="11" t="s">
        <v>35</v>
      </c>
      <c r="Z11" s="9"/>
      <c r="AA11" s="11" t="s">
        <v>36</v>
      </c>
      <c r="AB11" s="11" t="s">
        <v>37</v>
      </c>
      <c r="AC11" s="6"/>
      <c r="AD11" s="11">
        <v>313</v>
      </c>
      <c r="AE11" s="11" t="s">
        <v>38</v>
      </c>
      <c r="AF11" s="9"/>
      <c r="AG11" s="11" t="s">
        <v>31</v>
      </c>
      <c r="AH11" s="11" t="s">
        <v>82</v>
      </c>
    </row>
    <row r="12" spans="1:34" ht="15.75" customHeight="1" x14ac:dyDescent="0.25">
      <c r="A12" s="8" t="s">
        <v>22</v>
      </c>
      <c r="B12" s="8" t="s">
        <v>83</v>
      </c>
      <c r="C12" s="9"/>
      <c r="D12" s="9"/>
      <c r="E12" s="10" t="s">
        <v>24</v>
      </c>
      <c r="F12" s="9"/>
      <c r="G12" s="11" t="s">
        <v>84</v>
      </c>
      <c r="H12" s="9"/>
      <c r="I12" s="9"/>
      <c r="J12" s="10" t="s">
        <v>26</v>
      </c>
      <c r="K12" s="11" t="s">
        <v>53</v>
      </c>
      <c r="L12" s="11" t="s">
        <v>85</v>
      </c>
      <c r="M12" s="6"/>
      <c r="N12" s="11" t="s">
        <v>86</v>
      </c>
      <c r="O12" s="9"/>
      <c r="P12" s="11" t="s">
        <v>87</v>
      </c>
      <c r="Q12" s="9"/>
      <c r="R12" s="9"/>
      <c r="S12" s="10" t="s">
        <v>30</v>
      </c>
      <c r="T12" s="11" t="s">
        <v>31</v>
      </c>
      <c r="U12" s="9"/>
      <c r="V12" s="11" t="s">
        <v>88</v>
      </c>
      <c r="W12" s="11" t="s">
        <v>32</v>
      </c>
      <c r="X12" s="11" t="s">
        <v>89</v>
      </c>
      <c r="Y12" s="11" t="s">
        <v>90</v>
      </c>
      <c r="Z12" s="9"/>
      <c r="AA12" s="11" t="s">
        <v>36</v>
      </c>
      <c r="AB12" s="11" t="s">
        <v>37</v>
      </c>
      <c r="AC12" s="6"/>
      <c r="AD12" s="11">
        <v>375.92</v>
      </c>
      <c r="AE12" s="11" t="s">
        <v>38</v>
      </c>
      <c r="AF12" s="9"/>
      <c r="AG12" s="11" t="s">
        <v>31</v>
      </c>
      <c r="AH12" s="11" t="s">
        <v>91</v>
      </c>
    </row>
    <row r="13" spans="1:34" ht="15.75" customHeight="1" x14ac:dyDescent="0.25">
      <c r="A13" s="8" t="s">
        <v>22</v>
      </c>
      <c r="B13" s="8" t="s">
        <v>83</v>
      </c>
      <c r="C13" s="9"/>
      <c r="D13" s="9"/>
      <c r="E13" s="10" t="s">
        <v>24</v>
      </c>
      <c r="F13" s="9"/>
      <c r="G13" s="11" t="s">
        <v>52</v>
      </c>
      <c r="H13" s="9"/>
      <c r="I13" s="9"/>
      <c r="J13" s="10" t="s">
        <v>26</v>
      </c>
      <c r="K13" s="11" t="s">
        <v>53</v>
      </c>
      <c r="L13" s="11" t="s">
        <v>85</v>
      </c>
      <c r="M13" s="6"/>
      <c r="N13" s="11" t="s">
        <v>92</v>
      </c>
      <c r="O13" s="9"/>
      <c r="P13" s="11" t="s">
        <v>93</v>
      </c>
      <c r="Q13" s="9"/>
      <c r="R13" s="9"/>
      <c r="S13" s="10" t="s">
        <v>30</v>
      </c>
      <c r="T13" s="11" t="s">
        <v>31</v>
      </c>
      <c r="U13" s="9"/>
      <c r="V13" s="11" t="s">
        <v>32</v>
      </c>
      <c r="W13" s="11" t="s">
        <v>94</v>
      </c>
      <c r="X13" s="11" t="s">
        <v>89</v>
      </c>
      <c r="Y13" s="11" t="s">
        <v>90</v>
      </c>
      <c r="Z13" s="9"/>
      <c r="AA13" s="11" t="s">
        <v>36</v>
      </c>
      <c r="AB13" s="11" t="s">
        <v>37</v>
      </c>
      <c r="AC13" s="6"/>
      <c r="AD13" s="11">
        <v>347</v>
      </c>
      <c r="AE13" s="11" t="s">
        <v>38</v>
      </c>
      <c r="AF13" s="9"/>
      <c r="AG13" s="11" t="s">
        <v>31</v>
      </c>
      <c r="AH13" s="11" t="s">
        <v>58</v>
      </c>
    </row>
    <row r="14" spans="1:34" ht="15.75" customHeight="1" x14ac:dyDescent="0.25">
      <c r="A14" s="8" t="s">
        <v>22</v>
      </c>
      <c r="B14" s="8" t="s">
        <v>83</v>
      </c>
      <c r="C14" s="9"/>
      <c r="D14" s="9"/>
      <c r="E14" s="10" t="s">
        <v>24</v>
      </c>
      <c r="F14" s="9"/>
      <c r="G14" s="11" t="s">
        <v>95</v>
      </c>
      <c r="H14" s="9"/>
      <c r="I14" s="9"/>
      <c r="J14" s="10" t="s">
        <v>26</v>
      </c>
      <c r="K14" s="11" t="s">
        <v>53</v>
      </c>
      <c r="L14" s="11" t="s">
        <v>85</v>
      </c>
      <c r="M14" s="6"/>
      <c r="N14" s="11" t="s">
        <v>96</v>
      </c>
      <c r="O14" s="9"/>
      <c r="P14" s="11" t="s">
        <v>97</v>
      </c>
      <c r="Q14" s="9"/>
      <c r="R14" s="9"/>
      <c r="S14" s="10" t="s">
        <v>30</v>
      </c>
      <c r="T14" s="11" t="s">
        <v>98</v>
      </c>
      <c r="U14" s="9"/>
      <c r="V14" s="11" t="s">
        <v>32</v>
      </c>
      <c r="W14" s="11" t="s">
        <v>94</v>
      </c>
      <c r="X14" s="11" t="s">
        <v>89</v>
      </c>
      <c r="Y14" s="11" t="s">
        <v>90</v>
      </c>
      <c r="Z14" s="9"/>
      <c r="AA14" s="11" t="s">
        <v>36</v>
      </c>
      <c r="AB14" s="11" t="s">
        <v>37</v>
      </c>
      <c r="AC14" s="6"/>
      <c r="AD14" s="11">
        <v>347</v>
      </c>
      <c r="AE14" s="11" t="s">
        <v>38</v>
      </c>
      <c r="AF14" s="9"/>
      <c r="AG14" s="11" t="s">
        <v>31</v>
      </c>
      <c r="AH14" s="11" t="s">
        <v>99</v>
      </c>
    </row>
    <row r="15" spans="1:34" ht="15.75" customHeight="1" x14ac:dyDescent="0.25">
      <c r="A15" s="8" t="s">
        <v>22</v>
      </c>
      <c r="B15" s="8" t="s">
        <v>83</v>
      </c>
      <c r="C15" s="9"/>
      <c r="D15" s="9"/>
      <c r="E15" s="10" t="s">
        <v>24</v>
      </c>
      <c r="F15" s="9"/>
      <c r="G15" s="11" t="s">
        <v>100</v>
      </c>
      <c r="H15" s="9"/>
      <c r="I15" s="9"/>
      <c r="J15" s="10" t="s">
        <v>26</v>
      </c>
      <c r="K15" s="11" t="s">
        <v>53</v>
      </c>
      <c r="L15" s="11" t="s">
        <v>85</v>
      </c>
      <c r="M15" s="6"/>
      <c r="N15" s="11" t="s">
        <v>101</v>
      </c>
      <c r="O15" s="9"/>
      <c r="P15" s="11" t="s">
        <v>102</v>
      </c>
      <c r="Q15" s="9"/>
      <c r="R15" s="9"/>
      <c r="S15" s="10" t="s">
        <v>30</v>
      </c>
      <c r="T15" s="11" t="s">
        <v>31</v>
      </c>
      <c r="U15" s="9"/>
      <c r="V15" s="11" t="s">
        <v>32</v>
      </c>
      <c r="W15" s="11" t="s">
        <v>94</v>
      </c>
      <c r="X15" s="11" t="s">
        <v>89</v>
      </c>
      <c r="Y15" s="11" t="s">
        <v>90</v>
      </c>
      <c r="Z15" s="9"/>
      <c r="AA15" s="11" t="s">
        <v>36</v>
      </c>
      <c r="AB15" s="11" t="s">
        <v>37</v>
      </c>
      <c r="AC15" s="6"/>
      <c r="AD15" s="11">
        <v>347</v>
      </c>
      <c r="AE15" s="11" t="s">
        <v>38</v>
      </c>
      <c r="AF15" s="9"/>
      <c r="AG15" s="11" t="s">
        <v>31</v>
      </c>
      <c r="AH15" s="11" t="s">
        <v>103</v>
      </c>
    </row>
    <row r="16" spans="1:34" ht="15.75" customHeight="1" x14ac:dyDescent="0.25"/>
    <row r="17" ht="15.75" customHeight="1" x14ac:dyDescent="0.25"/>
    <row r="18" ht="15.75" customHeight="1" x14ac:dyDescent="0.25"/>
    <row r="19" ht="15.75" customHeight="1" x14ac:dyDescent="0.25"/>
    <row r="20" ht="15.75" customHeight="1" x14ac:dyDescent="0.25"/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74543E-AEC5-4AEC-9824-93674EA0FC57}">
  <dimension ref="A1:L1001"/>
  <sheetViews>
    <sheetView tabSelected="1" workbookViewId="0">
      <selection activeCell="L2" sqref="L2:L16"/>
    </sheetView>
  </sheetViews>
  <sheetFormatPr defaultColWidth="12.6640625" defaultRowHeight="13.2" x14ac:dyDescent="0.25"/>
  <cols>
    <col min="1" max="1" width="10.6640625" customWidth="1"/>
    <col min="2" max="2" width="11" customWidth="1"/>
    <col min="3" max="3" width="17.21875" bestFit="1" customWidth="1"/>
    <col min="4" max="4" width="17.21875" customWidth="1"/>
    <col min="5" max="6" width="15.88671875" customWidth="1"/>
    <col min="7" max="7" width="20" customWidth="1"/>
    <col min="8" max="8" width="16.44140625" customWidth="1"/>
    <col min="9" max="9" width="21.33203125" customWidth="1"/>
    <col min="10" max="10" width="23.44140625" customWidth="1"/>
    <col min="11" max="11" width="21.6640625" bestFit="1" customWidth="1"/>
  </cols>
  <sheetData>
    <row r="1" spans="1:12" ht="15.75" customHeight="1" x14ac:dyDescent="0.25">
      <c r="A1" s="15"/>
      <c r="B1" s="15"/>
      <c r="C1" s="15"/>
      <c r="D1" s="15"/>
      <c r="E1" s="7" t="s">
        <v>7</v>
      </c>
      <c r="F1" s="7"/>
      <c r="G1" s="2" t="s">
        <v>8</v>
      </c>
      <c r="H1" s="5" t="s">
        <v>11</v>
      </c>
      <c r="I1" s="5" t="s">
        <v>12</v>
      </c>
      <c r="J1" s="5" t="s">
        <v>18</v>
      </c>
    </row>
    <row r="2" spans="1:12" ht="15.75" customHeight="1" x14ac:dyDescent="0.25">
      <c r="A2" s="11" t="s">
        <v>130</v>
      </c>
      <c r="B2" s="11" t="s">
        <v>119</v>
      </c>
      <c r="C2" s="11" t="str">
        <f>_xlfn.CONCAT(A2," ",B2)</f>
        <v>ANTONIA NEVAREZ</v>
      </c>
      <c r="D2" s="11">
        <v>21646325</v>
      </c>
      <c r="E2" s="12">
        <v>804528849</v>
      </c>
      <c r="F2" s="12" t="str">
        <f>_xlfn.CONCAT(E2,26)</f>
        <v>80452884926</v>
      </c>
      <c r="G2" s="11" t="s">
        <v>97</v>
      </c>
      <c r="H2" s="13">
        <v>46054</v>
      </c>
      <c r="I2" s="13">
        <v>46023</v>
      </c>
      <c r="J2" s="11">
        <v>347</v>
      </c>
      <c r="K2" t="s">
        <v>105</v>
      </c>
      <c r="L2" s="14" t="s">
        <v>108</v>
      </c>
    </row>
    <row r="3" spans="1:12" ht="15.75" customHeight="1" x14ac:dyDescent="0.25">
      <c r="A3" s="11" t="s">
        <v>124</v>
      </c>
      <c r="B3" s="11" t="s">
        <v>114</v>
      </c>
      <c r="C3" s="11" t="str">
        <f>_xlfn.CONCAT(A3," ",B3)</f>
        <v>BARRY SCHUMANN</v>
      </c>
      <c r="D3" s="11">
        <v>19586992</v>
      </c>
      <c r="E3" s="12">
        <v>804522388</v>
      </c>
      <c r="F3" s="12" t="str">
        <f>_xlfn.CONCAT(E3,99)</f>
        <v>80452238899</v>
      </c>
      <c r="G3" s="11" t="s">
        <v>55</v>
      </c>
      <c r="H3" s="13">
        <v>46054</v>
      </c>
      <c r="I3" s="13">
        <v>45962</v>
      </c>
      <c r="J3" s="11">
        <v>313</v>
      </c>
      <c r="K3" t="s">
        <v>104</v>
      </c>
      <c r="L3" s="14" t="s">
        <v>109</v>
      </c>
    </row>
    <row r="4" spans="1:12" ht="15.75" customHeight="1" x14ac:dyDescent="0.25">
      <c r="A4" s="11" t="s">
        <v>124</v>
      </c>
      <c r="B4" s="11" t="s">
        <v>114</v>
      </c>
      <c r="C4" s="11" t="str">
        <f>_xlfn.CONCAT(A4," ",B4)</f>
        <v>BARRY SCHUMANN</v>
      </c>
      <c r="D4" s="11">
        <v>19586992</v>
      </c>
      <c r="E4" s="12">
        <v>804537478</v>
      </c>
      <c r="F4" s="12" t="str">
        <f>_xlfn.CONCAT(E4,26)</f>
        <v>80453747826</v>
      </c>
      <c r="G4" s="11" t="s">
        <v>93</v>
      </c>
      <c r="H4" s="13">
        <v>46054</v>
      </c>
      <c r="I4" s="13">
        <v>46023</v>
      </c>
      <c r="J4" s="11">
        <v>347</v>
      </c>
      <c r="K4" t="s">
        <v>105</v>
      </c>
      <c r="L4" s="14" t="s">
        <v>108</v>
      </c>
    </row>
    <row r="5" spans="1:12" ht="15.75" customHeight="1" x14ac:dyDescent="0.25">
      <c r="A5" s="11" t="s">
        <v>129</v>
      </c>
      <c r="B5" s="11" t="s">
        <v>112</v>
      </c>
      <c r="C5" s="11" t="str">
        <f>_xlfn.CONCAT(A5," ",B5)</f>
        <v>GARY PORTUGAL</v>
      </c>
      <c r="D5" s="11">
        <v>9213293</v>
      </c>
      <c r="E5" s="12">
        <v>804527855</v>
      </c>
      <c r="F5" s="12" t="str">
        <f>_xlfn.CONCAT(E5,26)</f>
        <v>80452785526</v>
      </c>
      <c r="G5" s="11" t="s">
        <v>87</v>
      </c>
      <c r="H5" s="13">
        <v>46082</v>
      </c>
      <c r="I5" s="13">
        <v>46054</v>
      </c>
      <c r="J5" s="11">
        <v>-318.08</v>
      </c>
      <c r="K5" t="s">
        <v>105</v>
      </c>
      <c r="L5" s="14" t="s">
        <v>106</v>
      </c>
    </row>
    <row r="6" spans="1:12" ht="15.75" customHeight="1" x14ac:dyDescent="0.25">
      <c r="A6" s="11" t="s">
        <v>129</v>
      </c>
      <c r="B6" s="11" t="s">
        <v>112</v>
      </c>
      <c r="C6" s="11" t="str">
        <f>_xlfn.CONCAT(A6," ",B6)</f>
        <v>GARY PORTUGAL</v>
      </c>
      <c r="D6" s="11">
        <v>9213293</v>
      </c>
      <c r="E6" s="12">
        <v>804527855</v>
      </c>
      <c r="F6" s="12" t="str">
        <f>_xlfn.CONCAT(E6,266)</f>
        <v>804527855266</v>
      </c>
      <c r="G6" s="11" t="s">
        <v>87</v>
      </c>
      <c r="H6" s="13">
        <v>46082</v>
      </c>
      <c r="I6" s="13">
        <v>46054</v>
      </c>
      <c r="J6" s="11">
        <v>694</v>
      </c>
      <c r="K6" t="s">
        <v>107</v>
      </c>
      <c r="L6" s="14" t="s">
        <v>110</v>
      </c>
    </row>
    <row r="7" spans="1:12" ht="15.75" customHeight="1" x14ac:dyDescent="0.25">
      <c r="A7" s="11" t="s">
        <v>126</v>
      </c>
      <c r="B7" s="11" t="s">
        <v>116</v>
      </c>
      <c r="C7" s="11" t="str">
        <f>_xlfn.CONCAT(A7," ",B7)</f>
        <v>HEATHER GESKE</v>
      </c>
      <c r="D7" s="11">
        <v>16865615</v>
      </c>
      <c r="E7" s="12">
        <v>804519651</v>
      </c>
      <c r="F7" s="12" t="str">
        <f>_xlfn.CONCAT(E7,99)</f>
        <v>80451965199</v>
      </c>
      <c r="G7" s="11" t="s">
        <v>71</v>
      </c>
      <c r="H7" s="13">
        <v>46054</v>
      </c>
      <c r="I7" s="13">
        <v>45901</v>
      </c>
      <c r="J7" s="11">
        <v>313</v>
      </c>
      <c r="K7" t="s">
        <v>104</v>
      </c>
      <c r="L7" s="14" t="s">
        <v>109</v>
      </c>
    </row>
    <row r="8" spans="1:12" ht="15.75" customHeight="1" x14ac:dyDescent="0.25">
      <c r="A8" s="11" t="s">
        <v>123</v>
      </c>
      <c r="B8" s="11" t="s">
        <v>113</v>
      </c>
      <c r="C8" s="11" t="str">
        <f>_xlfn.CONCAT(A8," ",B8)</f>
        <v>JACOB YALE</v>
      </c>
      <c r="D8" s="11">
        <v>18754354</v>
      </c>
      <c r="E8" s="12">
        <v>804512319</v>
      </c>
      <c r="F8" s="12" t="str">
        <f>_xlfn.CONCAT(E8,99)</f>
        <v>80451231999</v>
      </c>
      <c r="G8" s="11" t="s">
        <v>48</v>
      </c>
      <c r="H8" s="13">
        <v>46054</v>
      </c>
      <c r="I8" s="13">
        <v>45870</v>
      </c>
      <c r="J8" s="11">
        <v>313</v>
      </c>
      <c r="K8" t="s">
        <v>104</v>
      </c>
      <c r="L8" s="14" t="s">
        <v>109</v>
      </c>
    </row>
    <row r="9" spans="1:12" ht="15.75" customHeight="1" x14ac:dyDescent="0.25">
      <c r="A9" s="11" t="s">
        <v>131</v>
      </c>
      <c r="B9" s="11" t="s">
        <v>120</v>
      </c>
      <c r="C9" s="11" t="str">
        <f>_xlfn.CONCAT(A9," ",B9)</f>
        <v>JEANET REYES</v>
      </c>
      <c r="D9" s="11">
        <v>16997303</v>
      </c>
      <c r="E9" s="12">
        <v>804538643</v>
      </c>
      <c r="F9" s="12" t="str">
        <f>_xlfn.CONCAT(E9,26)</f>
        <v>80453864326</v>
      </c>
      <c r="G9" s="11" t="s">
        <v>102</v>
      </c>
      <c r="H9" s="13">
        <v>46054</v>
      </c>
      <c r="I9" s="13">
        <v>46023</v>
      </c>
      <c r="J9" s="11">
        <v>347</v>
      </c>
      <c r="K9" t="s">
        <v>105</v>
      </c>
      <c r="L9" s="14" t="s">
        <v>108</v>
      </c>
    </row>
    <row r="10" spans="1:12" ht="15.75" customHeight="1" x14ac:dyDescent="0.25">
      <c r="A10" s="11" t="s">
        <v>125</v>
      </c>
      <c r="B10" s="11" t="s">
        <v>115</v>
      </c>
      <c r="C10" s="11" t="str">
        <f>_xlfn.CONCAT(A10," ",B10)</f>
        <v>JEFFREY HORN</v>
      </c>
      <c r="D10" s="11">
        <v>2158366</v>
      </c>
      <c r="E10" s="12">
        <v>804480783</v>
      </c>
      <c r="F10" s="12" t="str">
        <f>_xlfn.CONCAT(E10,99)</f>
        <v>80448078399</v>
      </c>
      <c r="G10" s="11" t="s">
        <v>61</v>
      </c>
      <c r="H10" s="13">
        <v>46054</v>
      </c>
      <c r="I10" s="13">
        <v>45658</v>
      </c>
      <c r="J10" s="11">
        <v>313</v>
      </c>
      <c r="K10" t="s">
        <v>104</v>
      </c>
      <c r="L10" s="14" t="s">
        <v>109</v>
      </c>
    </row>
    <row r="11" spans="1:12" ht="15.75" customHeight="1" x14ac:dyDescent="0.25">
      <c r="A11" s="11" t="s">
        <v>125</v>
      </c>
      <c r="B11" s="11" t="s">
        <v>115</v>
      </c>
      <c r="C11" s="11" t="str">
        <f>_xlfn.CONCAT(A11," ",B11)</f>
        <v>JEFFREY HORN</v>
      </c>
      <c r="D11" s="11">
        <v>2158366</v>
      </c>
      <c r="E11" s="12">
        <v>804517406</v>
      </c>
      <c r="F11" s="12" t="str">
        <f>_xlfn.CONCAT(E11,99)</f>
        <v>80451740699</v>
      </c>
      <c r="G11" s="11" t="s">
        <v>65</v>
      </c>
      <c r="H11" s="13">
        <v>46054</v>
      </c>
      <c r="I11" s="13">
        <v>45901</v>
      </c>
      <c r="J11" s="11">
        <v>313</v>
      </c>
      <c r="K11" t="s">
        <v>104</v>
      </c>
      <c r="L11" s="14" t="s">
        <v>109</v>
      </c>
    </row>
    <row r="12" spans="1:12" ht="15.75" customHeight="1" x14ac:dyDescent="0.25">
      <c r="A12" s="11" t="s">
        <v>127</v>
      </c>
      <c r="B12" s="11" t="s">
        <v>117</v>
      </c>
      <c r="C12" s="11" t="str">
        <f>_xlfn.CONCAT(A12," ",B12)</f>
        <v>MICHAEL DUNAVANT</v>
      </c>
      <c r="D12" s="11">
        <v>18828278</v>
      </c>
      <c r="E12" s="12">
        <v>804459242</v>
      </c>
      <c r="F12" s="12" t="str">
        <f>_xlfn.CONCAT(E12,99)</f>
        <v>80445924299</v>
      </c>
      <c r="G12" s="11" t="s">
        <v>75</v>
      </c>
      <c r="H12" s="13">
        <v>46054</v>
      </c>
      <c r="I12" s="13">
        <v>45658</v>
      </c>
      <c r="J12" s="11">
        <v>313</v>
      </c>
      <c r="K12" t="s">
        <v>104</v>
      </c>
      <c r="L12" s="14" t="s">
        <v>109</v>
      </c>
    </row>
    <row r="13" spans="1:12" ht="15.75" customHeight="1" x14ac:dyDescent="0.25">
      <c r="A13" s="11" t="s">
        <v>127</v>
      </c>
      <c r="B13" s="11" t="s">
        <v>117</v>
      </c>
      <c r="C13" s="11" t="str">
        <f>_xlfn.CONCAT(A13," ",B13)</f>
        <v>MICHAEL DUNAVANT</v>
      </c>
      <c r="D13" s="11">
        <v>18828278</v>
      </c>
      <c r="E13" s="12">
        <v>804519679</v>
      </c>
      <c r="F13" s="12" t="str">
        <f>_xlfn.CONCAT(E13,99)</f>
        <v>80451967999</v>
      </c>
      <c r="G13" s="11" t="s">
        <v>78</v>
      </c>
      <c r="H13" s="13">
        <v>46054</v>
      </c>
      <c r="I13" s="13">
        <v>45901</v>
      </c>
      <c r="J13" s="11">
        <v>313</v>
      </c>
      <c r="K13" t="s">
        <v>104</v>
      </c>
      <c r="L13" s="14" t="s">
        <v>109</v>
      </c>
    </row>
    <row r="14" spans="1:12" ht="15.75" customHeight="1" x14ac:dyDescent="0.25">
      <c r="A14" s="11" t="s">
        <v>122</v>
      </c>
      <c r="B14" s="11" t="s">
        <v>112</v>
      </c>
      <c r="C14" s="11" t="str">
        <f>_xlfn.CONCAT(A14," ",B14)</f>
        <v>STACEY PORTUGAL</v>
      </c>
      <c r="D14" s="11">
        <v>19645587</v>
      </c>
      <c r="E14" s="12">
        <v>804501244</v>
      </c>
      <c r="F14" s="12" t="str">
        <f>_xlfn.CONCAT(E14,99)</f>
        <v>80450124499</v>
      </c>
      <c r="G14" s="11" t="s">
        <v>42</v>
      </c>
      <c r="H14" s="13">
        <v>46054</v>
      </c>
      <c r="I14" s="13">
        <v>45689</v>
      </c>
      <c r="J14" s="11">
        <v>313</v>
      </c>
      <c r="K14" t="s">
        <v>104</v>
      </c>
      <c r="L14" s="14" t="s">
        <v>109</v>
      </c>
    </row>
    <row r="15" spans="1:12" ht="15.75" customHeight="1" x14ac:dyDescent="0.25">
      <c r="A15" s="11" t="s">
        <v>121</v>
      </c>
      <c r="B15" s="11" t="s">
        <v>111</v>
      </c>
      <c r="C15" s="11" t="str">
        <f>_xlfn.CONCAT(A15," ",B15)</f>
        <v>TIMOTHY HODGMAN</v>
      </c>
      <c r="D15" s="11">
        <v>18581063</v>
      </c>
      <c r="E15" s="12">
        <v>804490522</v>
      </c>
      <c r="F15" s="12" t="str">
        <f>_xlfn.CONCAT(E15,99)</f>
        <v>80449052299</v>
      </c>
      <c r="G15" s="11" t="s">
        <v>29</v>
      </c>
      <c r="H15" s="13">
        <v>46054</v>
      </c>
      <c r="I15" s="13">
        <v>45658</v>
      </c>
      <c r="J15" s="11">
        <v>313</v>
      </c>
      <c r="K15" t="s">
        <v>104</v>
      </c>
      <c r="L15" s="14" t="s">
        <v>109</v>
      </c>
    </row>
    <row r="16" spans="1:12" ht="15.75" customHeight="1" x14ac:dyDescent="0.25">
      <c r="A16" s="11" t="s">
        <v>128</v>
      </c>
      <c r="B16" s="11" t="s">
        <v>118</v>
      </c>
      <c r="C16" s="11" t="str">
        <f>_xlfn.CONCAT(A16," ",B16)</f>
        <v>TOM SERIO</v>
      </c>
      <c r="D16" s="11">
        <v>20490188</v>
      </c>
      <c r="E16" s="12">
        <v>804466456</v>
      </c>
      <c r="F16" s="12" t="str">
        <f>_xlfn.CONCAT(E16,99)</f>
        <v>80446645699</v>
      </c>
      <c r="G16" s="11" t="s">
        <v>81</v>
      </c>
      <c r="H16" s="13">
        <v>46054</v>
      </c>
      <c r="I16" s="13">
        <v>45658</v>
      </c>
      <c r="J16" s="11">
        <v>313</v>
      </c>
      <c r="K16" t="s">
        <v>104</v>
      </c>
      <c r="L16" s="14" t="s">
        <v>109</v>
      </c>
    </row>
    <row r="17" ht="15.75" customHeight="1" x14ac:dyDescent="0.25"/>
    <row r="18" ht="15.75" customHeight="1" x14ac:dyDescent="0.25"/>
    <row r="19" ht="15.75" customHeight="1" x14ac:dyDescent="0.25"/>
    <row r="20" ht="15.75" customHeight="1" x14ac:dyDescent="0.25"/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  <row r="1001" ht="15.75" customHeight="1" x14ac:dyDescent="0.25"/>
  </sheetData>
  <sortState xmlns:xlrd2="http://schemas.microsoft.com/office/spreadsheetml/2017/richdata2" ref="A2:AO16">
    <sortCondition ref="C2:C16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loula</cp:lastModifiedBy>
  <dcterms:modified xsi:type="dcterms:W3CDTF">2026-03-11T19:54:40Z</dcterms:modified>
</cp:coreProperties>
</file>