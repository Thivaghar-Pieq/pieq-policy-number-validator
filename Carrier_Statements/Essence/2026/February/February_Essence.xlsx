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2026\February\"/>
    </mc:Choice>
  </mc:AlternateContent>
  <xr:revisionPtr revIDLastSave="0" documentId="13_ncr:1_{78DC734F-D38E-4545-AAD3-11C58D49972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1" i="2" l="1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O3" i="2"/>
</calcChain>
</file>

<file path=xl/sharedStrings.xml><?xml version="1.0" encoding="utf-8"?>
<sst xmlns="http://schemas.openxmlformats.org/spreadsheetml/2006/main" count="978" uniqueCount="119">
  <si>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</si>
  <si>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 MT"/>
        <family val="2"/>
      </rPr>
      <t xml:space="preserve">($2,688.58)
</t>
    </r>
    <r>
      <rPr>
        <sz val="9"/>
        <rFont val="Arial MT"/>
        <family val="2"/>
      </rPr>
      <t>$828.74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</si>
  <si>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 MT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</si>
  <si>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($1,859.84)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</si>
  <si>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</t>
    </r>
    <r>
      <rPr>
        <b/>
        <vertAlign val="subscript"/>
        <sz val="9"/>
        <rFont val="Arial"/>
        <family val="2"/>
      </rPr>
      <t>($1,859.84)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</si>
  <si>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</si>
  <si>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</si>
  <si>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</si>
  <si>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</si>
  <si>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</si>
  <si>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</si>
  <si>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</si>
  <si>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</si>
  <si>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Agent                                 9213293                                  Portugal, Gary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</si>
  <si>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</si>
  <si>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</si>
  <si>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Writing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</si>
  <si>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</si>
  <si>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</si>
  <si>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</si>
  <si>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</si>
  <si>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 Date</t>
    </r>
  </si>
  <si>
    <r>
      <rPr>
        <b/>
        <sz val="9"/>
        <rFont val="Arial"/>
        <family val="2"/>
      </rPr>
      <t>Term Code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</si>
  <si>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</si>
  <si>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CMS Payment Type</t>
    </r>
  </si>
  <si>
    <r>
      <rPr>
        <b/>
        <sz val="9"/>
        <rFont val="Arial"/>
        <family val="2"/>
      </rPr>
      <t>Retro</t>
    </r>
  </si>
  <si>
    <r>
      <rPr>
        <b/>
        <sz val="9"/>
        <rFont val="Arial"/>
        <family val="2"/>
      </rPr>
      <t>Commission Amount</t>
    </r>
  </si>
  <si>
    <r>
      <rPr>
        <sz val="8"/>
        <rFont val="Arial MT"/>
        <family val="2"/>
      </rPr>
      <t>Fleischman, Beverly</t>
    </r>
  </si>
  <si>
    <r>
      <rPr>
        <sz val="8"/>
        <rFont val="Arial MT"/>
        <family val="2"/>
      </rPr>
      <t>MA</t>
    </r>
  </si>
  <si>
    <r>
      <rPr>
        <sz val="8"/>
        <rFont val="Arial MT"/>
        <family val="2"/>
      </rPr>
      <t>IL</t>
    </r>
  </si>
  <si>
    <r>
      <rPr>
        <sz val="8"/>
        <rFont val="Arial MT"/>
        <family val="2"/>
      </rPr>
      <t>01/2026</t>
    </r>
  </si>
  <si>
    <r>
      <rPr>
        <sz val="8"/>
        <rFont val="Arial MT"/>
        <family val="2"/>
      </rPr>
      <t>New to Plan</t>
    </r>
  </si>
  <si>
    <r>
      <rPr>
        <sz val="8"/>
        <rFont val="Arial MT"/>
        <family val="2"/>
      </rPr>
      <t>Y</t>
    </r>
  </si>
  <si>
    <r>
      <rPr>
        <sz val="8"/>
        <rFont val="Arial MT"/>
        <family val="2"/>
      </rPr>
      <t>Fleischman, Marshall</t>
    </r>
  </si>
  <si>
    <r>
      <rPr>
        <sz val="8"/>
        <rFont val="Arial MT"/>
        <family val="2"/>
      </rPr>
      <t>Tummillo, Judette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</si>
  <si>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($840.00)</t>
    </r>
  </si>
  <si>
    <r>
      <rPr>
        <b/>
        <sz val="9"/>
        <rFont val="Arial"/>
        <family val="2"/>
      </rPr>
      <t>Total for Writing Agent       9213293        Portugal, Gary</t>
    </r>
  </si>
  <si>
    <r>
      <rPr>
        <b/>
        <sz val="9"/>
        <rFont val="Arial"/>
        <family val="2"/>
      </rPr>
      <t xml:space="preserve">Policy
</t>
    </r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</si>
  <si>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</si>
  <si>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 xml:space="preserve">CMS Payment
</t>
    </r>
    <r>
      <rPr>
        <b/>
        <sz val="9"/>
        <rFont val="Arial"/>
        <family val="2"/>
      </rPr>
      <t>Type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</si>
  <si>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</si>
  <si>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 MT"/>
        <family val="2"/>
      </rPr>
      <t>Bauer, Dorothy</t>
    </r>
  </si>
  <si>
    <r>
      <rPr>
        <sz val="8"/>
        <rFont val="Arial MT"/>
        <family val="2"/>
      </rPr>
      <t>02/2026</t>
    </r>
  </si>
  <si>
    <r>
      <rPr>
        <sz val="8"/>
        <rFont val="Arial MT"/>
        <family val="2"/>
      </rPr>
      <t>Renew</t>
    </r>
  </si>
  <si>
    <r>
      <rPr>
        <sz val="8"/>
        <rFont val="Arial MT"/>
        <family val="2"/>
      </rPr>
      <t>N</t>
    </r>
  </si>
  <si>
    <r>
      <rPr>
        <sz val="8"/>
        <rFont val="Arial MT"/>
        <family val="2"/>
      </rPr>
      <t>Huget, Werner</t>
    </r>
  </si>
  <si>
    <r>
      <rPr>
        <sz val="8"/>
        <rFont val="Arial MT"/>
        <family val="2"/>
      </rPr>
      <t>Huget, Dolores</t>
    </r>
  </si>
  <si>
    <r>
      <rPr>
        <sz val="8"/>
        <rFont val="Arial MT"/>
        <family val="2"/>
      </rPr>
      <t>Szela, Florence</t>
    </r>
  </si>
  <si>
    <r>
      <rPr>
        <sz val="8"/>
        <rFont val="Arial MT"/>
        <family val="2"/>
      </rPr>
      <t>Templin, Charles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</si>
  <si>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$43.75</t>
    </r>
  </si>
  <si>
    <r>
      <rPr>
        <b/>
        <sz val="9"/>
        <rFont val="Arial"/>
        <family val="2"/>
      </rPr>
      <t>Total for Writing Agent       2158366        Horn, Jeffrey</t>
    </r>
  </si>
  <si>
    <r>
      <rPr>
        <sz val="8"/>
        <rFont val="Arial MT"/>
        <family val="2"/>
      </rPr>
      <t>Hamilton, Pamela</t>
    </r>
  </si>
  <si>
    <r>
      <rPr>
        <sz val="8"/>
        <rFont val="Arial MT"/>
        <family val="2"/>
      </rPr>
      <t>IN</t>
    </r>
  </si>
  <si>
    <r>
      <rPr>
        <sz val="8"/>
        <rFont val="Arial MT"/>
        <family val="2"/>
      </rPr>
      <t>Packer, Patricia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</si>
  <si>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$17.50</t>
    </r>
  </si>
  <si>
    <r>
      <rPr>
        <b/>
        <sz val="9"/>
        <rFont val="Arial"/>
        <family val="2"/>
      </rPr>
      <t>Total for Writing Agent       19645587        Portugal, Stacey</t>
    </r>
  </si>
  <si>
    <r>
      <rPr>
        <sz val="8"/>
        <rFont val="Arial MT"/>
        <family val="2"/>
      </rPr>
      <t>Kritikos, Georgios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</si>
  <si>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 $8.75</t>
    </r>
  </si>
  <si>
    <r>
      <rPr>
        <b/>
        <sz val="9"/>
        <rFont val="Arial"/>
        <family val="2"/>
      </rPr>
      <t>Total for Writing Agent       19615078        Wuensch, Richard</t>
    </r>
  </si>
  <si>
    <r>
      <rPr>
        <sz val="8"/>
        <rFont val="Arial MT"/>
        <family val="2"/>
      </rPr>
      <t>Nash, Judith</t>
    </r>
  </si>
  <si>
    <r>
      <rPr>
        <sz val="8"/>
        <rFont val="Arial MT"/>
        <family val="2"/>
      </rPr>
      <t>Internal Plan Change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</si>
  <si>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($151.66)</t>
    </r>
  </si>
  <si>
    <r>
      <rPr>
        <b/>
        <sz val="9"/>
        <rFont val="Arial"/>
        <family val="2"/>
      </rPr>
      <t>Total for Writing Agent       19586992        Schumann, Barry</t>
    </r>
  </si>
  <si>
    <r>
      <rPr>
        <sz val="8"/>
        <rFont val="Arial MT"/>
        <family val="2"/>
      </rPr>
      <t>Lamando, Mila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</si>
  <si>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($280.00)</t>
    </r>
  </si>
  <si>
    <r>
      <rPr>
        <b/>
        <sz val="9"/>
        <rFont val="Arial"/>
        <family val="2"/>
      </rPr>
      <t>Total for Writing Agent       19200754        Santos, Ricardo</t>
    </r>
  </si>
  <si>
    <r>
      <rPr>
        <sz val="8"/>
        <rFont val="Arial MT"/>
        <family val="2"/>
      </rPr>
      <t>Hendrickson, Sarah</t>
    </r>
  </si>
  <si>
    <r>
      <rPr>
        <b/>
        <sz val="9"/>
        <rFont val="Arial"/>
        <family val="2"/>
      </rPr>
      <t>Total for Writing Agent       17301495        Herrera-Larsen, Esther</t>
    </r>
  </si>
  <si>
    <r>
      <rPr>
        <sz val="8"/>
        <rFont val="Arial MT"/>
        <family val="2"/>
      </rPr>
      <t>Campanella, Theodora</t>
    </r>
  </si>
  <si>
    <r>
      <rPr>
        <sz val="8"/>
        <rFont val="Arial MT"/>
        <family val="2"/>
      </rPr>
      <t>Chilstrom, Marne</t>
    </r>
  </si>
  <si>
    <r>
      <rPr>
        <sz val="8"/>
        <rFont val="Arial MT"/>
        <family val="2"/>
      </rPr>
      <t>Fluieras, Maria</t>
    </r>
  </si>
  <si>
    <r>
      <rPr>
        <sz val="8"/>
        <rFont val="Arial MT"/>
        <family val="2"/>
      </rPr>
      <t>Sisty, Carole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</si>
  <si>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$35.00</t>
    </r>
  </si>
  <si>
    <r>
      <rPr>
        <b/>
        <sz val="9"/>
        <rFont val="Arial"/>
        <family val="2"/>
      </rPr>
      <t>Total for Writing Agent       16912722        Petrungaro, Andrea</t>
    </r>
  </si>
  <si>
    <r>
      <rPr>
        <sz val="8"/>
        <rFont val="Arial MT"/>
        <family val="2"/>
      </rPr>
      <t>Gumbiner, Gail</t>
    </r>
  </si>
  <si>
    <r>
      <rPr>
        <sz val="8"/>
        <rFont val="Arial MT"/>
        <family val="2"/>
      </rPr>
      <t>Kanter, Larry</t>
    </r>
  </si>
  <si>
    <r>
      <rPr>
        <sz val="8"/>
        <rFont val="Arial MT"/>
        <family val="2"/>
      </rPr>
      <t>Kanter, Corrine</t>
    </r>
  </si>
  <si>
    <r>
      <rPr>
        <sz val="8"/>
        <rFont val="Arial MT"/>
        <family val="2"/>
      </rPr>
      <t>Kuenzel, Chrisanne</t>
    </r>
  </si>
  <si>
    <r>
      <rPr>
        <sz val="8"/>
        <rFont val="Arial MT"/>
        <family val="2"/>
      </rPr>
      <t>Langton, Joyce</t>
    </r>
  </si>
  <si>
    <r>
      <rPr>
        <sz val="8"/>
        <rFont val="Arial MT"/>
        <family val="2"/>
      </rPr>
      <t>McDonald, Lisa</t>
    </r>
  </si>
  <si>
    <r>
      <rPr>
        <sz val="8"/>
        <rFont val="Arial MT"/>
        <family val="2"/>
      </rPr>
      <t>Myers, Martin</t>
    </r>
  </si>
  <si>
    <r>
      <rPr>
        <sz val="8"/>
        <rFont val="Arial MT"/>
        <family val="2"/>
      </rPr>
      <t>Omark, Carl</t>
    </r>
  </si>
  <si>
    <r>
      <rPr>
        <sz val="8"/>
        <rFont val="Arial MT"/>
        <family val="2"/>
      </rPr>
      <t>Seidell, Helene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</si>
  <si>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$78.75</t>
    </r>
  </si>
  <si>
    <r>
      <rPr>
        <b/>
        <sz val="9"/>
        <rFont val="Arial"/>
        <family val="2"/>
      </rPr>
      <t>Total for Writing Agent       16633294        Yale, Richard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</si>
  <si>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($1,041.00)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</si>
  <si>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$144.60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</si>
  <si>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$57.84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</si>
  <si>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 $28.92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</si>
  <si>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($28.92)</t>
    </r>
  </si>
  <si>
    <r>
      <rPr>
        <b/>
        <sz val="9"/>
        <rFont val="Arial"/>
        <family val="2"/>
      </rPr>
      <t xml:space="preserve">Total for New Enrollments: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($347.00)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</si>
  <si>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$115.68</t>
    </r>
  </si>
  <si>
    <r>
      <rPr>
        <b/>
        <sz val="9"/>
        <rFont val="Arial"/>
        <family val="2"/>
      </rPr>
      <t>Total for Annual Renewals:                                                                                                              $260.28</t>
    </r>
  </si>
  <si>
    <r>
      <rPr>
        <b/>
        <vertAlign val="superscript"/>
        <sz val="11"/>
        <rFont val="Arial"/>
        <family val="2"/>
      </rPr>
      <t xml:space="preserve">Total for Writing Agent       16633294        Yale, Richard                                                                                                          </t>
    </r>
    <r>
      <rPr>
        <b/>
        <sz val="9"/>
        <rFont val="Arial"/>
        <family val="2"/>
      </rPr>
      <t>($1,859.84)</t>
    </r>
  </si>
  <si>
    <t>Portugal, Gary</t>
  </si>
  <si>
    <t>Member ID</t>
  </si>
  <si>
    <t>Writing ID</t>
  </si>
  <si>
    <t>Name</t>
  </si>
  <si>
    <t>Product</t>
  </si>
  <si>
    <t>Policy State</t>
  </si>
  <si>
    <t>Effective Date</t>
  </si>
  <si>
    <t>Term Date</t>
  </si>
  <si>
    <t>Period</t>
  </si>
  <si>
    <t>CMS Payment Type</t>
  </si>
  <si>
    <t>Commission Amount</t>
  </si>
  <si>
    <t>Horn, Jeffrey</t>
  </si>
  <si>
    <t>Wuensch, Richard</t>
  </si>
  <si>
    <t>Santos, Ricardo</t>
  </si>
  <si>
    <t>Herrera-Larsen, Esther</t>
  </si>
  <si>
    <t>Petrungaro, Andrea</t>
  </si>
  <si>
    <t>Yale, Richard</t>
  </si>
  <si>
    <t>Portugal, Stacey</t>
  </si>
  <si>
    <t>Essence MAPD 2026*</t>
  </si>
  <si>
    <t>[%/$=347][prorate=12/12]</t>
  </si>
  <si>
    <t>Essence MAPD OVR</t>
  </si>
  <si>
    <t>[%/$=347][prorate=1/12]</t>
  </si>
  <si>
    <t>[%/$=347][prorate=11/12]</t>
  </si>
  <si>
    <t>Schumann, Barry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</si>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</sst>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0.00"/>
    <numFmt numFmtId="165" formatCode="\$#,##0.00_);\(\$#,##0.00\)"/>
    <numFmt numFmtId="166" formatCode="\$0.00;[Red]\$0.00"/>
    <numFmt numFmtId="167" formatCode="\$#,##0.00_);[Red]\(\$#,##0.00\)"/>
    <numFmt numFmtId="168" formatCode="000000000"/>
    <numFmt numFmtId="169" formatCode="mm/dd/yyyy;@"/>
    <numFmt numFmtId="170" formatCode="\$0.00_);\(\$0.00\)"/>
  </numFmts>
  <fonts count="18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color rgb="FFCC0000"/>
      <name val="Arial MT"/>
      <family val="2"/>
    </font>
    <font>
      <b/>
      <sz val="9"/>
      <color rgb="FFCC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 MT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 MT"/>
      <family val="2"/>
    </font>
    <font>
      <b/>
      <vertAlign val="superscript"/>
      <sz val="11"/>
      <name val="Arial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left" vertical="top" shrinkToFit="1"/>
    </xf>
    <xf numFmtId="1" fontId="6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69" fontId="6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170" fontId="8" fillId="0" borderId="1" xfId="0" applyNumberFormat="1" applyFont="1" applyBorder="1" applyAlignment="1">
      <alignment horizontal="center" vertical="top" shrinkToFit="1"/>
    </xf>
    <xf numFmtId="168" fontId="6" fillId="3" borderId="0" xfId="0" applyNumberFormat="1" applyFont="1" applyFill="1" applyAlignment="1">
      <alignment horizontal="left" vertical="top" shrinkToFit="1"/>
    </xf>
    <xf numFmtId="1" fontId="6" fillId="3" borderId="0" xfId="0" applyNumberFormat="1" applyFont="1" applyFill="1" applyAlignment="1">
      <alignment horizontal="left" vertical="top" indent="1" shrinkToFit="1"/>
    </xf>
    <xf numFmtId="0" fontId="7" fillId="3" borderId="0" xfId="0" applyFont="1" applyFill="1" applyAlignment="1">
      <alignment horizontal="left" vertical="top" wrapText="1" indent="1"/>
    </xf>
    <xf numFmtId="0" fontId="7" fillId="3" borderId="0" xfId="0" applyFont="1" applyFill="1" applyAlignment="1">
      <alignment horizontal="center" vertical="top" wrapText="1"/>
    </xf>
    <xf numFmtId="169" fontId="6" fillId="3" borderId="0" xfId="0" applyNumberFormat="1" applyFont="1" applyFill="1" applyAlignment="1">
      <alignment horizontal="center" vertical="top" shrinkToFit="1"/>
    </xf>
    <xf numFmtId="1" fontId="6" fillId="3" borderId="0" xfId="0" applyNumberFormat="1" applyFont="1" applyFill="1" applyAlignment="1">
      <alignment horizontal="center" vertical="top" shrinkToFit="1"/>
    </xf>
    <xf numFmtId="170" fontId="8" fillId="3" borderId="0" xfId="0" applyNumberFormat="1" applyFont="1" applyFill="1" applyAlignment="1">
      <alignment horizontal="center" vertical="top" shrinkToFit="1"/>
    </xf>
    <xf numFmtId="168" fontId="6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left" vertical="top" indent="1" shrinkToFit="1"/>
    </xf>
    <xf numFmtId="0" fontId="7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center" vertical="top" wrapText="1"/>
    </xf>
    <xf numFmtId="169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center" vertical="top" shrinkToFit="1"/>
    </xf>
    <xf numFmtId="170" fontId="8" fillId="0" borderId="0" xfId="0" applyNumberFormat="1" applyFont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3" borderId="0" xfId="0" applyFill="1" applyAlignment="1">
      <alignment horizontal="left" wrapText="1"/>
    </xf>
    <xf numFmtId="164" fontId="6" fillId="3" borderId="0" xfId="0" applyNumberFormat="1" applyFont="1" applyFill="1" applyAlignment="1">
      <alignment horizontal="center" vertical="top" shrinkToFit="1"/>
    </xf>
    <xf numFmtId="164" fontId="6" fillId="0" borderId="0" xfId="0" applyNumberFormat="1" applyFont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top" shrinkToFit="1"/>
    </xf>
    <xf numFmtId="169" fontId="6" fillId="0" borderId="1" xfId="0" applyNumberFormat="1" applyFont="1" applyBorder="1" applyAlignment="1">
      <alignment horizontal="left" vertical="top" indent="1" shrinkToFit="1"/>
    </xf>
    <xf numFmtId="169" fontId="6" fillId="3" borderId="0" xfId="0" applyNumberFormat="1" applyFont="1" applyFill="1" applyAlignment="1">
      <alignment horizontal="left" vertical="top" indent="1" shrinkToFit="1"/>
    </xf>
    <xf numFmtId="170" fontId="8" fillId="3" borderId="0" xfId="0" applyNumberFormat="1" applyFont="1" applyFill="1" applyAlignment="1">
      <alignment horizontal="left" vertical="top" indent="2" shrinkToFit="1"/>
    </xf>
    <xf numFmtId="164" fontId="6" fillId="0" borderId="1" xfId="0" applyNumberFormat="1" applyFont="1" applyBorder="1" applyAlignment="1">
      <alignment horizontal="left" vertical="top" indent="3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/>
    </xf>
    <xf numFmtId="166" fontId="5" fillId="0" borderId="0" xfId="0" applyNumberFormat="1" applyFont="1" applyAlignment="1">
      <alignment horizontal="right" vertical="center" shrinkToFit="1"/>
    </xf>
    <xf numFmtId="167" fontId="5" fillId="0" borderId="0" xfId="0" applyNumberFormat="1" applyFont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1"/>
    </xf>
    <xf numFmtId="0" fontId="1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69" fontId="6" fillId="0" borderId="1" xfId="0" applyNumberFormat="1" applyFont="1" applyBorder="1" applyAlignment="1">
      <alignment horizontal="center" vertical="top" shrinkToFit="1"/>
    </xf>
    <xf numFmtId="0" fontId="7" fillId="3" borderId="0" xfId="0" applyFont="1" applyFill="1" applyAlignment="1">
      <alignment horizontal="left" vertical="top" wrapText="1" indent="1"/>
    </xf>
    <xf numFmtId="0" fontId="7" fillId="3" borderId="0" xfId="0" applyFont="1" applyFill="1" applyAlignment="1">
      <alignment horizontal="center" vertical="top" wrapText="1"/>
    </xf>
    <xf numFmtId="169" fontId="6" fillId="3" borderId="0" xfId="0" applyNumberFormat="1" applyFont="1" applyFill="1" applyAlignment="1">
      <alignment horizontal="center" vertical="top" shrinkToFit="1"/>
    </xf>
    <xf numFmtId="0" fontId="7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center" vertical="top" wrapText="1"/>
    </xf>
    <xf numFmtId="169" fontId="6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42"/>
    </xf>
    <xf numFmtId="0" fontId="2" fillId="0" borderId="0" xfId="0" applyFont="1" applyAlignment="1">
      <alignment horizontal="left" vertical="top" wrapText="1" indent="20"/>
    </xf>
    <xf numFmtId="170" fontId="9" fillId="0" borderId="0" xfId="0" applyNumberFormat="1" applyFont="1" applyAlignment="1">
      <alignment horizontal="right" vertical="center" indent="3" shrinkToFi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2" fillId="0" borderId="0" xfId="0" applyFont="1" applyAlignment="1">
      <alignment horizontal="left" vertical="top" wrapText="1" indent="21"/>
    </xf>
    <xf numFmtId="164" fontId="4" fillId="0" borderId="0" xfId="0" applyNumberFormat="1" applyFont="1" applyAlignment="1">
      <alignment horizontal="right" vertical="center" indent="4" shrinkToFi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19"/>
    </xf>
    <xf numFmtId="169" fontId="6" fillId="3" borderId="0" xfId="0" applyNumberFormat="1" applyFont="1" applyFill="1" applyAlignment="1">
      <alignment horizontal="left" vertical="top" indent="1" shrinkToFit="1"/>
    </xf>
    <xf numFmtId="0" fontId="7" fillId="3" borderId="0" xfId="0" applyFont="1" applyFill="1" applyAlignment="1">
      <alignment horizontal="left" vertical="top" wrapText="1" indent="3"/>
    </xf>
    <xf numFmtId="0" fontId="2" fillId="0" borderId="0" xfId="0" applyFont="1" applyAlignment="1">
      <alignment horizontal="left" vertical="top" wrapText="1" indent="18"/>
    </xf>
    <xf numFmtId="0" fontId="2" fillId="0" borderId="2" xfId="0" applyFont="1" applyBorder="1" applyAlignment="1">
      <alignment horizontal="center" vertical="top" wrapText="1"/>
    </xf>
    <xf numFmtId="165" fontId="9" fillId="0" borderId="0" xfId="0" applyNumberFormat="1" applyFont="1" applyAlignment="1">
      <alignment horizontal="right" vertical="center" indent="3" shrinkToFit="1"/>
    </xf>
    <xf numFmtId="170" fontId="9" fillId="0" borderId="0" xfId="0" applyNumberFormat="1" applyFont="1" applyAlignment="1">
      <alignment horizontal="right" vertical="center" indent="4" shrinkToFit="1"/>
    </xf>
    <xf numFmtId="0" fontId="0" fillId="0" borderId="0" xfId="0" applyAlignment="1">
      <alignment horizontal="left" vertical="top" wrapText="1" indent="12"/>
    </xf>
    <xf numFmtId="0" fontId="17" fillId="0" borderId="0" xfId="0" applyFont="1" applyFill="1" applyBorder="1" applyAlignment="1">
      <alignment horizontal="left" vertical="top"/>
    </xf>
    <xf numFmtId="1" fontId="15" fillId="0" borderId="0" xfId="0" applyNumberFormat="1" applyFont="1" applyFill="1" applyBorder="1" applyAlignment="1">
      <alignment horizontal="left" vertical="top" shrinkToFit="1"/>
    </xf>
    <xf numFmtId="0" fontId="7" fillId="0" borderId="0" xfId="0" applyFont="1" applyFill="1" applyBorder="1" applyAlignment="1">
      <alignment horizontal="left" vertical="top" wrapText="1"/>
    </xf>
    <xf numFmtId="169" fontId="15" fillId="0" borderId="0" xfId="0" applyNumberFormat="1" applyFont="1" applyFill="1" applyBorder="1" applyAlignment="1">
      <alignment horizontal="left" vertical="top" shrinkToFit="1"/>
    </xf>
    <xf numFmtId="170" fontId="15" fillId="0" borderId="0" xfId="0" applyNumberFormat="1" applyFont="1" applyFill="1" applyBorder="1" applyAlignment="1">
      <alignment horizontal="left" vertical="top" shrinkToFit="1"/>
    </xf>
    <xf numFmtId="0" fontId="17" fillId="0" borderId="0" xfId="0" applyFont="1" applyFill="1" applyBorder="1" applyAlignment="1">
      <alignment horizontal="left" wrapText="1"/>
    </xf>
    <xf numFmtId="164" fontId="15" fillId="0" borderId="0" xfId="0" applyNumberFormat="1" applyFont="1" applyFill="1" applyBorder="1" applyAlignment="1">
      <alignment horizontal="left" vertical="top" shrinkToFit="1"/>
    </xf>
    <xf numFmtId="0" fontId="17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top" wrapText="1"/>
    </xf>
    <xf numFmtId="1" fontId="15" fillId="5" borderId="0" xfId="0" applyNumberFormat="1" applyFont="1" applyFill="1" applyBorder="1" applyAlignment="1">
      <alignment horizontal="left" vertical="top" shrinkToFit="1"/>
    </xf>
    <xf numFmtId="0" fontId="7" fillId="5" borderId="0" xfId="0" applyFont="1" applyFill="1" applyBorder="1" applyAlignment="1">
      <alignment horizontal="left" vertical="top" wrapText="1"/>
    </xf>
    <xf numFmtId="169" fontId="15" fillId="5" borderId="0" xfId="0" applyNumberFormat="1" applyFont="1" applyFill="1" applyBorder="1" applyAlignment="1">
      <alignment horizontal="left" vertical="top" shrinkToFit="1"/>
    </xf>
    <xf numFmtId="170" fontId="15" fillId="5" borderId="0" xfId="0" applyNumberFormat="1" applyFont="1" applyFill="1" applyBorder="1" applyAlignment="1">
      <alignment horizontal="left" vertical="top" shrinkToFit="1"/>
    </xf>
    <xf numFmtId="0" fontId="17" fillId="5" borderId="0" xfId="0" applyFont="1" applyFill="1" applyBorder="1" applyAlignment="1">
      <alignment horizontal="left" vertical="top"/>
    </xf>
    <xf numFmtId="0" fontId="17" fillId="5" borderId="0" xfId="0" applyFont="1" applyFill="1" applyBorder="1" applyAlignment="1">
      <alignment horizontal="left" wrapText="1"/>
    </xf>
    <xf numFmtId="164" fontId="15" fillId="5" borderId="0" xfId="0" applyNumberFormat="1" applyFont="1" applyFill="1" applyBorder="1" applyAlignment="1">
      <alignment horizontal="left" vertical="top" shrinkToFit="1"/>
    </xf>
    <xf numFmtId="0" fontId="17" fillId="5" borderId="0" xfId="0" applyFont="1" applyFill="1" applyBorder="1" applyAlignment="1">
      <alignment horizontal="left" vertical="center" wrapText="1"/>
    </xf>
    <xf numFmtId="14" fontId="7" fillId="0" borderId="0" xfId="0" applyNumberFormat="1" applyFont="1" applyFill="1" applyBorder="1" applyAlignment="1">
      <alignment horizontal="left" vertical="top" wrapText="1"/>
    </xf>
    <xf numFmtId="14" fontId="7" fillId="5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177800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177800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0D280CD-0763-4F6D-A9EE-F4A3B87FA3B2}"/>
            </a:ext>
          </a:extLst>
        </xdr:cNvPr>
        <xdr:cNvSpPr/>
      </xdr:nvSpPr>
      <xdr:spPr>
        <a:xfrm>
          <a:off x="6969125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"/>
  <sheetViews>
    <sheetView topLeftCell="A29" workbookViewId="0">
      <selection activeCell="C43" sqref="C43:D43"/>
    </sheetView>
  </sheetViews>
  <sheetFormatPr defaultRowHeight="12.75"/>
  <cols>
    <col min="1" max="1" width="14" customWidth="1"/>
    <col min="2" max="2" width="16.1640625" customWidth="1"/>
    <col min="3" max="3" width="6.83203125" customWidth="1"/>
    <col min="4" max="4" width="16.1640625" customWidth="1"/>
    <col min="5" max="5" width="14" customWidth="1"/>
    <col min="6" max="6" width="2.1640625" customWidth="1"/>
    <col min="7" max="7" width="6.83203125" customWidth="1"/>
    <col min="8" max="8" width="12.6640625" customWidth="1"/>
    <col min="9" max="9" width="2.1640625" customWidth="1"/>
    <col min="10" max="10" width="1.1640625" customWidth="1"/>
    <col min="11" max="11" width="2.1640625" customWidth="1"/>
    <col min="12" max="12" width="9.33203125" customWidth="1"/>
    <col min="13" max="13" width="15.1640625" customWidth="1"/>
    <col min="14" max="14" width="10.5" customWidth="1"/>
    <col min="15" max="15" width="2.1640625" customWidth="1"/>
    <col min="16" max="16" width="10.5" customWidth="1"/>
    <col min="17" max="17" width="8" customWidth="1"/>
    <col min="18" max="18" width="9.33203125" customWidth="1"/>
    <col min="19" max="19" width="16.1640625" customWidth="1"/>
    <col min="20" max="20" width="2.1640625" customWidth="1"/>
  </cols>
  <sheetData>
    <row r="1" spans="1:20" ht="14.45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1"/>
    </row>
    <row r="2" spans="1:20" ht="20.45" customHeight="1">
      <c r="A2" s="42"/>
      <c r="B2" s="42"/>
      <c r="C2" s="42"/>
      <c r="D2" s="42"/>
      <c r="E2" s="42"/>
      <c r="F2" s="2"/>
      <c r="G2" s="42"/>
      <c r="H2" s="42"/>
      <c r="I2" s="42"/>
      <c r="J2" s="42"/>
      <c r="K2" s="42"/>
      <c r="L2" s="42"/>
      <c r="M2" s="42"/>
      <c r="N2" s="42"/>
      <c r="O2" s="42"/>
      <c r="P2" s="43" t="s">
        <v>1</v>
      </c>
      <c r="Q2" s="43"/>
      <c r="R2" s="43"/>
      <c r="S2" s="43"/>
      <c r="T2" s="43"/>
    </row>
    <row r="3" spans="1:20" ht="34.5" customHeight="1">
      <c r="A3" s="44" t="s">
        <v>2</v>
      </c>
      <c r="B3" s="44"/>
      <c r="C3" s="44"/>
      <c r="D3" s="44"/>
      <c r="E3" s="44"/>
      <c r="F3" s="44"/>
      <c r="G3" s="42"/>
      <c r="H3" s="42"/>
      <c r="I3" s="42"/>
      <c r="J3" s="42"/>
      <c r="K3" s="42"/>
      <c r="L3" s="42"/>
      <c r="M3" s="42"/>
      <c r="N3" s="42"/>
      <c r="O3" s="42"/>
      <c r="P3" s="43"/>
      <c r="Q3" s="43"/>
      <c r="R3" s="43"/>
      <c r="S3" s="43"/>
      <c r="T3" s="43"/>
    </row>
    <row r="4" spans="1:20" ht="5.25" customHeight="1">
      <c r="A4" s="44"/>
      <c r="B4" s="44"/>
      <c r="C4" s="44"/>
      <c r="D4" s="44"/>
      <c r="E4" s="44"/>
      <c r="F4" s="44"/>
      <c r="G4" s="45"/>
      <c r="H4" s="45"/>
      <c r="I4" s="45"/>
      <c r="J4" s="45"/>
      <c r="K4" s="45"/>
      <c r="L4" s="45"/>
      <c r="M4" s="45"/>
      <c r="N4" s="45"/>
      <c r="O4" s="45"/>
      <c r="P4" s="1"/>
      <c r="Q4" s="45"/>
      <c r="R4" s="45"/>
      <c r="S4" s="45"/>
      <c r="T4" s="1"/>
    </row>
    <row r="5" spans="1:20" ht="20.45" customHeight="1">
      <c r="A5" s="42"/>
      <c r="B5" s="42"/>
      <c r="C5" s="42"/>
      <c r="D5" s="42"/>
      <c r="E5" s="42"/>
      <c r="F5" s="2"/>
      <c r="G5" s="46" t="s">
        <v>3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ht="30.95" customHeight="1">
      <c r="A6" s="47" t="s">
        <v>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1:20" ht="43.5" customHeight="1">
      <c r="A7" s="48" t="s">
        <v>5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0" ht="12.95" customHeight="1">
      <c r="A8" s="45"/>
      <c r="B8" s="45"/>
      <c r="C8" s="45"/>
      <c r="D8" s="46" t="s">
        <v>6</v>
      </c>
      <c r="E8" s="46"/>
      <c r="F8" s="49">
        <v>0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5"/>
      <c r="R8" s="45"/>
      <c r="S8" s="45"/>
      <c r="T8" s="1"/>
    </row>
    <row r="9" spans="1:20" ht="12.95" customHeight="1">
      <c r="A9" s="45"/>
      <c r="B9" s="45"/>
      <c r="C9" s="45"/>
      <c r="D9" s="50" t="s">
        <v>7</v>
      </c>
      <c r="E9" s="50"/>
      <c r="F9" s="51">
        <v>-1859.84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45"/>
      <c r="R9" s="45"/>
      <c r="S9" s="45"/>
      <c r="T9" s="1"/>
    </row>
    <row r="10" spans="1:20" ht="12.95" customHeight="1">
      <c r="A10" s="45"/>
      <c r="B10" s="45"/>
      <c r="C10" s="45"/>
      <c r="D10" s="46" t="s">
        <v>8</v>
      </c>
      <c r="E10" s="46"/>
      <c r="F10" s="49">
        <v>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5"/>
      <c r="R10" s="45"/>
      <c r="S10" s="45"/>
      <c r="T10" s="1"/>
    </row>
    <row r="11" spans="1:20" ht="12.95" customHeight="1">
      <c r="A11" s="45"/>
      <c r="B11" s="45"/>
      <c r="C11" s="45"/>
      <c r="D11" s="50" t="s">
        <v>9</v>
      </c>
      <c r="E11" s="50"/>
      <c r="F11" s="52">
        <v>0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45"/>
      <c r="R11" s="45"/>
      <c r="S11" s="45"/>
      <c r="T11" s="1"/>
    </row>
    <row r="12" spans="1:20" ht="24" customHeight="1">
      <c r="A12" s="42"/>
      <c r="B12" s="42"/>
      <c r="C12" s="42"/>
      <c r="D12" s="46" t="s">
        <v>10</v>
      </c>
      <c r="E12" s="46"/>
      <c r="F12" s="53">
        <v>-1859.84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42"/>
      <c r="R12" s="42"/>
      <c r="S12" s="42"/>
      <c r="T12" s="2"/>
    </row>
    <row r="13" spans="1:20" ht="25.5" customHeight="1">
      <c r="A13" s="42"/>
      <c r="B13" s="42"/>
      <c r="C13" s="42"/>
      <c r="D13" s="54" t="s">
        <v>11</v>
      </c>
      <c r="E13" s="54"/>
      <c r="F13" s="55">
        <v>0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42"/>
      <c r="R13" s="42"/>
      <c r="S13" s="42"/>
      <c r="T13" s="2"/>
    </row>
    <row r="14" spans="1:20" ht="13.35" customHeight="1">
      <c r="A14" s="45"/>
      <c r="B14" s="45"/>
      <c r="C14" s="45"/>
      <c r="D14" s="46" t="s">
        <v>12</v>
      </c>
      <c r="E14" s="46"/>
      <c r="F14" s="56">
        <v>-1859.84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45"/>
      <c r="R14" s="45"/>
      <c r="S14" s="45"/>
      <c r="T14" s="1"/>
    </row>
    <row r="15" spans="1:20" ht="17.45" customHeight="1">
      <c r="A15" s="57" t="s">
        <v>13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2"/>
    </row>
    <row r="16" spans="1:20" ht="14.25" customHeight="1">
      <c r="A16" s="58" t="s">
        <v>14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1"/>
    </row>
    <row r="17" spans="1:20" ht="25.5" customHeight="1">
      <c r="A17" s="3" t="s">
        <v>15</v>
      </c>
      <c r="B17" s="4" t="s">
        <v>16</v>
      </c>
      <c r="C17" s="59" t="s">
        <v>17</v>
      </c>
      <c r="D17" s="59"/>
      <c r="E17" s="4" t="s">
        <v>18</v>
      </c>
      <c r="F17" s="60" t="s">
        <v>19</v>
      </c>
      <c r="G17" s="60"/>
      <c r="H17" s="5" t="s">
        <v>20</v>
      </c>
      <c r="I17" s="61" t="s">
        <v>21</v>
      </c>
      <c r="J17" s="61"/>
      <c r="K17" s="61"/>
      <c r="L17" s="61"/>
      <c r="M17" s="6" t="s">
        <v>22</v>
      </c>
      <c r="N17" s="6" t="s">
        <v>23</v>
      </c>
      <c r="O17" s="62" t="s">
        <v>24</v>
      </c>
      <c r="P17" s="62"/>
      <c r="Q17" s="62"/>
      <c r="R17" s="6" t="s">
        <v>25</v>
      </c>
      <c r="S17" s="5" t="s">
        <v>26</v>
      </c>
      <c r="T17" s="2"/>
    </row>
    <row r="18" spans="1:20" ht="21.95" customHeight="1">
      <c r="A18" s="7">
        <v>452418</v>
      </c>
      <c r="B18" s="8">
        <v>9213293</v>
      </c>
      <c r="C18" s="63" t="s">
        <v>27</v>
      </c>
      <c r="D18" s="63"/>
      <c r="E18" s="9" t="s">
        <v>28</v>
      </c>
      <c r="F18" s="64" t="s">
        <v>29</v>
      </c>
      <c r="G18" s="64"/>
      <c r="H18" s="11">
        <v>46023</v>
      </c>
      <c r="I18" s="65">
        <v>46053</v>
      </c>
      <c r="J18" s="65"/>
      <c r="K18" s="65"/>
      <c r="L18" s="65"/>
      <c r="M18" s="12">
        <v>13</v>
      </c>
      <c r="N18" s="10" t="s">
        <v>30</v>
      </c>
      <c r="O18" s="64" t="s">
        <v>31</v>
      </c>
      <c r="P18" s="64"/>
      <c r="Q18" s="64"/>
      <c r="R18" s="10" t="s">
        <v>32</v>
      </c>
      <c r="S18" s="13">
        <v>-280</v>
      </c>
      <c r="T18" s="2"/>
    </row>
    <row r="19" spans="1:20" ht="12" customHeight="1">
      <c r="A19" s="14">
        <v>452411</v>
      </c>
      <c r="B19" s="15">
        <v>9213293</v>
      </c>
      <c r="C19" s="66" t="s">
        <v>33</v>
      </c>
      <c r="D19" s="66"/>
      <c r="E19" s="16" t="s">
        <v>28</v>
      </c>
      <c r="F19" s="67" t="s">
        <v>29</v>
      </c>
      <c r="G19" s="67"/>
      <c r="H19" s="18">
        <v>46023</v>
      </c>
      <c r="I19" s="68">
        <v>46053</v>
      </c>
      <c r="J19" s="68"/>
      <c r="K19" s="68"/>
      <c r="L19" s="68"/>
      <c r="M19" s="19">
        <v>13</v>
      </c>
      <c r="N19" s="17" t="s">
        <v>30</v>
      </c>
      <c r="O19" s="67" t="s">
        <v>31</v>
      </c>
      <c r="P19" s="67"/>
      <c r="Q19" s="67"/>
      <c r="R19" s="17" t="s">
        <v>32</v>
      </c>
      <c r="S19" s="20">
        <v>-280</v>
      </c>
      <c r="T19" s="1"/>
    </row>
    <row r="20" spans="1:20" ht="27.6" customHeight="1">
      <c r="A20" s="21">
        <v>463308</v>
      </c>
      <c r="B20" s="22">
        <v>9213293</v>
      </c>
      <c r="C20" s="69" t="s">
        <v>34</v>
      </c>
      <c r="D20" s="69"/>
      <c r="E20" s="23" t="s">
        <v>28</v>
      </c>
      <c r="F20" s="70" t="s">
        <v>29</v>
      </c>
      <c r="G20" s="70"/>
      <c r="H20" s="25">
        <v>46023</v>
      </c>
      <c r="I20" s="71">
        <v>46053</v>
      </c>
      <c r="J20" s="71"/>
      <c r="K20" s="71"/>
      <c r="L20" s="71"/>
      <c r="M20" s="26">
        <v>13</v>
      </c>
      <c r="N20" s="24" t="s">
        <v>30</v>
      </c>
      <c r="O20" s="70" t="s">
        <v>31</v>
      </c>
      <c r="P20" s="70"/>
      <c r="Q20" s="70"/>
      <c r="R20" s="24" t="s">
        <v>32</v>
      </c>
      <c r="S20" s="27">
        <v>-280</v>
      </c>
      <c r="T20" s="2"/>
    </row>
    <row r="21" spans="1:20" ht="12.75" customHeight="1">
      <c r="A21" s="72" t="s">
        <v>35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</row>
    <row r="22" spans="1:20" ht="25.5" customHeight="1">
      <c r="A22" s="73" t="s">
        <v>36</v>
      </c>
      <c r="B22" s="73"/>
      <c r="C22" s="73"/>
      <c r="D22" s="73"/>
      <c r="E22" s="73"/>
      <c r="F22" s="73"/>
      <c r="G22" s="73"/>
      <c r="H22" s="73"/>
      <c r="I22" s="74">
        <v>-840</v>
      </c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</row>
    <row r="23" spans="1:20" ht="25.5" customHeight="1">
      <c r="A23" s="28" t="s">
        <v>15</v>
      </c>
      <c r="B23" s="5" t="s">
        <v>16</v>
      </c>
      <c r="C23" s="60" t="s">
        <v>17</v>
      </c>
      <c r="D23" s="60"/>
      <c r="E23" s="5" t="s">
        <v>18</v>
      </c>
      <c r="F23" s="75" t="s">
        <v>37</v>
      </c>
      <c r="G23" s="75"/>
      <c r="H23" s="29" t="s">
        <v>38</v>
      </c>
      <c r="I23" s="60" t="s">
        <v>21</v>
      </c>
      <c r="J23" s="60"/>
      <c r="K23" s="60"/>
      <c r="L23" s="60"/>
      <c r="M23" s="5" t="s">
        <v>22</v>
      </c>
      <c r="N23" s="30" t="s">
        <v>23</v>
      </c>
      <c r="O23" s="76" t="s">
        <v>39</v>
      </c>
      <c r="P23" s="76"/>
      <c r="Q23" s="76"/>
      <c r="R23" s="30" t="s">
        <v>25</v>
      </c>
      <c r="S23" s="29" t="s">
        <v>40</v>
      </c>
      <c r="T23" s="2"/>
    </row>
    <row r="24" spans="1:20" ht="5.25" customHeight="1">
      <c r="A24" s="31"/>
      <c r="B24" s="31"/>
      <c r="C24" s="77"/>
      <c r="D24" s="77"/>
      <c r="E24" s="31"/>
      <c r="F24" s="77"/>
      <c r="G24" s="77"/>
      <c r="H24" s="31"/>
      <c r="I24" s="77"/>
      <c r="J24" s="77"/>
      <c r="K24" s="77"/>
      <c r="L24" s="77"/>
      <c r="M24" s="31"/>
      <c r="N24" s="31"/>
      <c r="O24" s="77"/>
      <c r="P24" s="77"/>
      <c r="Q24" s="77"/>
      <c r="R24" s="31"/>
      <c r="S24" s="31"/>
      <c r="T24" s="1"/>
    </row>
    <row r="25" spans="1:20" ht="12" customHeight="1">
      <c r="A25" s="14">
        <v>449350</v>
      </c>
      <c r="B25" s="15">
        <v>2158366</v>
      </c>
      <c r="C25" s="66" t="s">
        <v>41</v>
      </c>
      <c r="D25" s="66"/>
      <c r="E25" s="16" t="s">
        <v>28</v>
      </c>
      <c r="F25" s="67" t="s">
        <v>29</v>
      </c>
      <c r="G25" s="67"/>
      <c r="H25" s="18">
        <v>45717</v>
      </c>
      <c r="I25" s="78"/>
      <c r="J25" s="78"/>
      <c r="K25" s="78"/>
      <c r="L25" s="78"/>
      <c r="M25" s="32"/>
      <c r="N25" s="17" t="s">
        <v>42</v>
      </c>
      <c r="O25" s="67" t="s">
        <v>43</v>
      </c>
      <c r="P25" s="67"/>
      <c r="Q25" s="67"/>
      <c r="R25" s="17" t="s">
        <v>44</v>
      </c>
      <c r="S25" s="33">
        <v>8.75</v>
      </c>
      <c r="T25" s="1"/>
    </row>
    <row r="26" spans="1:20" ht="21.95" customHeight="1">
      <c r="A26" s="21">
        <v>439384</v>
      </c>
      <c r="B26" s="22">
        <v>2158366</v>
      </c>
      <c r="C26" s="69" t="s">
        <v>45</v>
      </c>
      <c r="D26" s="69"/>
      <c r="E26" s="23" t="s">
        <v>28</v>
      </c>
      <c r="F26" s="70" t="s">
        <v>29</v>
      </c>
      <c r="G26" s="70"/>
      <c r="H26" s="25">
        <v>45658</v>
      </c>
      <c r="I26" s="42"/>
      <c r="J26" s="42"/>
      <c r="K26" s="42"/>
      <c r="L26" s="42"/>
      <c r="M26" s="2"/>
      <c r="N26" s="24" t="s">
        <v>42</v>
      </c>
      <c r="O26" s="70" t="s">
        <v>43</v>
      </c>
      <c r="P26" s="70"/>
      <c r="Q26" s="70"/>
      <c r="R26" s="24" t="s">
        <v>44</v>
      </c>
      <c r="S26" s="34">
        <v>8.75</v>
      </c>
      <c r="T26" s="2"/>
    </row>
    <row r="27" spans="1:20" ht="12" customHeight="1">
      <c r="A27" s="14">
        <v>439383</v>
      </c>
      <c r="B27" s="15">
        <v>2158366</v>
      </c>
      <c r="C27" s="66" t="s">
        <v>46</v>
      </c>
      <c r="D27" s="66"/>
      <c r="E27" s="16" t="s">
        <v>28</v>
      </c>
      <c r="F27" s="67" t="s">
        <v>29</v>
      </c>
      <c r="G27" s="67"/>
      <c r="H27" s="18">
        <v>45658</v>
      </c>
      <c r="I27" s="78"/>
      <c r="J27" s="78"/>
      <c r="K27" s="78"/>
      <c r="L27" s="78"/>
      <c r="M27" s="32"/>
      <c r="N27" s="17" t="s">
        <v>42</v>
      </c>
      <c r="O27" s="67" t="s">
        <v>43</v>
      </c>
      <c r="P27" s="67"/>
      <c r="Q27" s="67"/>
      <c r="R27" s="17" t="s">
        <v>44</v>
      </c>
      <c r="S27" s="33">
        <v>8.75</v>
      </c>
      <c r="T27" s="1"/>
    </row>
    <row r="28" spans="1:20" ht="21.95" customHeight="1">
      <c r="A28" s="21">
        <v>442876</v>
      </c>
      <c r="B28" s="22">
        <v>2158366</v>
      </c>
      <c r="C28" s="69" t="s">
        <v>47</v>
      </c>
      <c r="D28" s="69"/>
      <c r="E28" s="23" t="s">
        <v>28</v>
      </c>
      <c r="F28" s="70" t="s">
        <v>29</v>
      </c>
      <c r="G28" s="70"/>
      <c r="H28" s="25">
        <v>45658</v>
      </c>
      <c r="I28" s="42"/>
      <c r="J28" s="42"/>
      <c r="K28" s="42"/>
      <c r="L28" s="42"/>
      <c r="M28" s="2"/>
      <c r="N28" s="24" t="s">
        <v>42</v>
      </c>
      <c r="O28" s="70" t="s">
        <v>43</v>
      </c>
      <c r="P28" s="70"/>
      <c r="Q28" s="70"/>
      <c r="R28" s="24" t="s">
        <v>44</v>
      </c>
      <c r="S28" s="34">
        <v>8.75</v>
      </c>
      <c r="T28" s="2"/>
    </row>
    <row r="29" spans="1:20" ht="12.6" customHeight="1">
      <c r="A29" s="14">
        <v>445341</v>
      </c>
      <c r="B29" s="15">
        <v>2158366</v>
      </c>
      <c r="C29" s="66" t="s">
        <v>48</v>
      </c>
      <c r="D29" s="66"/>
      <c r="E29" s="16" t="s">
        <v>28</v>
      </c>
      <c r="F29" s="67" t="s">
        <v>29</v>
      </c>
      <c r="G29" s="67"/>
      <c r="H29" s="18">
        <v>45658</v>
      </c>
      <c r="I29" s="78"/>
      <c r="J29" s="78"/>
      <c r="K29" s="78"/>
      <c r="L29" s="78"/>
      <c r="M29" s="32"/>
      <c r="N29" s="17" t="s">
        <v>42</v>
      </c>
      <c r="O29" s="67" t="s">
        <v>43</v>
      </c>
      <c r="P29" s="67"/>
      <c r="Q29" s="67"/>
      <c r="R29" s="17" t="s">
        <v>44</v>
      </c>
      <c r="S29" s="33">
        <v>8.75</v>
      </c>
      <c r="T29" s="1"/>
    </row>
    <row r="30" spans="1:20" ht="20.100000000000001" customHeight="1">
      <c r="A30" s="72" t="s">
        <v>49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</row>
    <row r="31" spans="1:20" ht="25.5" customHeight="1">
      <c r="A31" s="79" t="s">
        <v>50</v>
      </c>
      <c r="B31" s="79"/>
      <c r="C31" s="79"/>
      <c r="D31" s="79"/>
      <c r="E31" s="79"/>
      <c r="F31" s="79"/>
      <c r="G31" s="79"/>
      <c r="H31" s="79"/>
      <c r="I31" s="80">
        <v>43.75</v>
      </c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</row>
    <row r="32" spans="1:20" ht="25.5" customHeight="1">
      <c r="A32" s="28" t="s">
        <v>15</v>
      </c>
      <c r="B32" s="5" t="s">
        <v>16</v>
      </c>
      <c r="C32" s="60" t="s">
        <v>17</v>
      </c>
      <c r="D32" s="60"/>
      <c r="E32" s="5" t="s">
        <v>18</v>
      </c>
      <c r="F32" s="75" t="s">
        <v>37</v>
      </c>
      <c r="G32" s="75"/>
      <c r="H32" s="29" t="s">
        <v>38</v>
      </c>
      <c r="I32" s="60" t="s">
        <v>21</v>
      </c>
      <c r="J32" s="60"/>
      <c r="K32" s="60"/>
      <c r="L32" s="60"/>
      <c r="M32" s="5" t="s">
        <v>22</v>
      </c>
      <c r="N32" s="30" t="s">
        <v>23</v>
      </c>
      <c r="O32" s="76" t="s">
        <v>39</v>
      </c>
      <c r="P32" s="76"/>
      <c r="Q32" s="76"/>
      <c r="R32" s="30" t="s">
        <v>25</v>
      </c>
      <c r="S32" s="29" t="s">
        <v>40</v>
      </c>
      <c r="T32" s="2"/>
    </row>
    <row r="33" spans="1:20" ht="21.95" customHeight="1">
      <c r="A33" s="7">
        <v>448295</v>
      </c>
      <c r="B33" s="8">
        <v>19645587</v>
      </c>
      <c r="C33" s="63" t="s">
        <v>51</v>
      </c>
      <c r="D33" s="63"/>
      <c r="E33" s="9" t="s">
        <v>28</v>
      </c>
      <c r="F33" s="64" t="s">
        <v>52</v>
      </c>
      <c r="G33" s="64"/>
      <c r="H33" s="11">
        <v>45658</v>
      </c>
      <c r="I33" s="81"/>
      <c r="J33" s="81"/>
      <c r="K33" s="81"/>
      <c r="L33" s="81"/>
      <c r="M33" s="35"/>
      <c r="N33" s="10" t="s">
        <v>42</v>
      </c>
      <c r="O33" s="64" t="s">
        <v>43</v>
      </c>
      <c r="P33" s="64"/>
      <c r="Q33" s="64"/>
      <c r="R33" s="10" t="s">
        <v>44</v>
      </c>
      <c r="S33" s="36">
        <v>8.75</v>
      </c>
      <c r="T33" s="2"/>
    </row>
    <row r="34" spans="1:20" ht="12.6" customHeight="1">
      <c r="A34" s="14">
        <v>439914</v>
      </c>
      <c r="B34" s="15">
        <v>19645587</v>
      </c>
      <c r="C34" s="66" t="s">
        <v>53</v>
      </c>
      <c r="D34" s="66"/>
      <c r="E34" s="16" t="s">
        <v>28</v>
      </c>
      <c r="F34" s="67" t="s">
        <v>29</v>
      </c>
      <c r="G34" s="67"/>
      <c r="H34" s="18">
        <v>45658</v>
      </c>
      <c r="I34" s="78"/>
      <c r="J34" s="78"/>
      <c r="K34" s="78"/>
      <c r="L34" s="78"/>
      <c r="M34" s="32"/>
      <c r="N34" s="17" t="s">
        <v>42</v>
      </c>
      <c r="O34" s="67" t="s">
        <v>43</v>
      </c>
      <c r="P34" s="67"/>
      <c r="Q34" s="67"/>
      <c r="R34" s="17" t="s">
        <v>44</v>
      </c>
      <c r="S34" s="33">
        <v>8.75</v>
      </c>
      <c r="T34" s="1"/>
    </row>
    <row r="35" spans="1:20" ht="20.100000000000001" customHeight="1">
      <c r="A35" s="72" t="s">
        <v>54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</row>
    <row r="36" spans="1:20" ht="25.5" customHeight="1">
      <c r="A36" s="73" t="s">
        <v>55</v>
      </c>
      <c r="B36" s="73"/>
      <c r="C36" s="73"/>
      <c r="D36" s="73"/>
      <c r="E36" s="73"/>
      <c r="F36" s="73"/>
      <c r="G36" s="73"/>
      <c r="H36" s="73"/>
      <c r="I36" s="73"/>
      <c r="J36" s="80">
        <v>17.5</v>
      </c>
      <c r="K36" s="80"/>
      <c r="L36" s="80"/>
      <c r="M36" s="80"/>
      <c r="N36" s="80"/>
      <c r="O36" s="80"/>
      <c r="P36" s="80"/>
      <c r="Q36" s="80"/>
      <c r="R36" s="80"/>
      <c r="S36" s="80"/>
      <c r="T36" s="80"/>
    </row>
    <row r="37" spans="1:20" ht="25.5" customHeight="1">
      <c r="A37" s="28" t="s">
        <v>15</v>
      </c>
      <c r="B37" s="5" t="s">
        <v>16</v>
      </c>
      <c r="C37" s="60" t="s">
        <v>17</v>
      </c>
      <c r="D37" s="60"/>
      <c r="E37" s="5" t="s">
        <v>18</v>
      </c>
      <c r="F37" s="75" t="s">
        <v>37</v>
      </c>
      <c r="G37" s="75"/>
      <c r="H37" s="29" t="s">
        <v>38</v>
      </c>
      <c r="I37" s="60" t="s">
        <v>21</v>
      </c>
      <c r="J37" s="60"/>
      <c r="K37" s="60"/>
      <c r="L37" s="60"/>
      <c r="M37" s="5" t="s">
        <v>22</v>
      </c>
      <c r="N37" s="30" t="s">
        <v>23</v>
      </c>
      <c r="O37" s="76" t="s">
        <v>39</v>
      </c>
      <c r="P37" s="76"/>
      <c r="Q37" s="76"/>
      <c r="R37" s="30" t="s">
        <v>25</v>
      </c>
      <c r="S37" s="29" t="s">
        <v>40</v>
      </c>
      <c r="T37" s="2"/>
    </row>
    <row r="38" spans="1:20" ht="27.6" customHeight="1">
      <c r="A38" s="7">
        <v>444055</v>
      </c>
      <c r="B38" s="8">
        <v>19615078</v>
      </c>
      <c r="C38" s="63" t="s">
        <v>56</v>
      </c>
      <c r="D38" s="63"/>
      <c r="E38" s="9" t="s">
        <v>28</v>
      </c>
      <c r="F38" s="64" t="s">
        <v>29</v>
      </c>
      <c r="G38" s="64"/>
      <c r="H38" s="37">
        <v>45658</v>
      </c>
      <c r="I38" s="81"/>
      <c r="J38" s="81"/>
      <c r="K38" s="81"/>
      <c r="L38" s="81"/>
      <c r="M38" s="35"/>
      <c r="N38" s="10" t="s">
        <v>42</v>
      </c>
      <c r="O38" s="64" t="s">
        <v>43</v>
      </c>
      <c r="P38" s="64"/>
      <c r="Q38" s="64"/>
      <c r="R38" s="10" t="s">
        <v>44</v>
      </c>
      <c r="S38" s="36">
        <v>8.75</v>
      </c>
      <c r="T38" s="2"/>
    </row>
    <row r="39" spans="1:20" ht="12.75" customHeight="1">
      <c r="A39" s="72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</row>
    <row r="40" spans="1:20" ht="25.5" customHeight="1">
      <c r="A40" s="82" t="s">
        <v>58</v>
      </c>
      <c r="B40" s="82"/>
      <c r="C40" s="82"/>
      <c r="D40" s="82"/>
      <c r="E40" s="82"/>
      <c r="F40" s="82"/>
      <c r="G40" s="82"/>
      <c r="H40" s="82"/>
      <c r="I40" s="82"/>
      <c r="J40" s="82"/>
      <c r="K40" s="80">
        <v>8.75</v>
      </c>
      <c r="L40" s="80"/>
      <c r="M40" s="80"/>
      <c r="N40" s="80"/>
      <c r="O40" s="80"/>
      <c r="P40" s="80"/>
      <c r="Q40" s="80"/>
      <c r="R40" s="80"/>
      <c r="S40" s="80"/>
      <c r="T40" s="80"/>
    </row>
    <row r="41" spans="1:20" ht="25.5" customHeight="1">
      <c r="A41" s="28" t="s">
        <v>15</v>
      </c>
      <c r="B41" s="5" t="s">
        <v>16</v>
      </c>
      <c r="C41" s="60" t="s">
        <v>17</v>
      </c>
      <c r="D41" s="60"/>
      <c r="E41" s="5" t="s">
        <v>18</v>
      </c>
      <c r="F41" s="75" t="s">
        <v>37</v>
      </c>
      <c r="G41" s="75"/>
      <c r="H41" s="29" t="s">
        <v>38</v>
      </c>
      <c r="I41" s="60" t="s">
        <v>21</v>
      </c>
      <c r="J41" s="60"/>
      <c r="K41" s="60"/>
      <c r="L41" s="60"/>
      <c r="M41" s="30" t="s">
        <v>22</v>
      </c>
      <c r="N41" s="30" t="s">
        <v>23</v>
      </c>
      <c r="O41" s="76" t="s">
        <v>39</v>
      </c>
      <c r="P41" s="76"/>
      <c r="Q41" s="76"/>
      <c r="R41" s="30" t="s">
        <v>25</v>
      </c>
      <c r="S41" s="29" t="s">
        <v>40</v>
      </c>
      <c r="T41" s="2"/>
    </row>
    <row r="42" spans="1:20" ht="5.25" customHeight="1">
      <c r="A42" s="31"/>
      <c r="B42" s="31"/>
      <c r="C42" s="77"/>
      <c r="D42" s="77"/>
      <c r="E42" s="31"/>
      <c r="F42" s="77"/>
      <c r="G42" s="77"/>
      <c r="H42" s="31"/>
      <c r="I42" s="77"/>
      <c r="J42" s="77"/>
      <c r="K42" s="77"/>
      <c r="L42" s="77"/>
      <c r="M42" s="31"/>
      <c r="N42" s="31"/>
      <c r="O42" s="77"/>
      <c r="P42" s="77"/>
      <c r="Q42" s="77"/>
      <c r="R42" s="31"/>
      <c r="S42" s="31"/>
      <c r="T42" s="1"/>
    </row>
    <row r="43" spans="1:20" ht="12" customHeight="1">
      <c r="A43" s="14">
        <v>466228</v>
      </c>
      <c r="B43" s="15">
        <v>19586992</v>
      </c>
      <c r="C43" s="66" t="s">
        <v>59</v>
      </c>
      <c r="D43" s="66"/>
      <c r="E43" s="16" t="s">
        <v>28</v>
      </c>
      <c r="F43" s="67" t="s">
        <v>29</v>
      </c>
      <c r="G43" s="67"/>
      <c r="H43" s="18">
        <v>46023</v>
      </c>
      <c r="I43" s="83">
        <v>46053</v>
      </c>
      <c r="J43" s="83"/>
      <c r="K43" s="83"/>
      <c r="L43" s="83"/>
      <c r="M43" s="19">
        <v>13</v>
      </c>
      <c r="N43" s="17" t="s">
        <v>30</v>
      </c>
      <c r="O43" s="67" t="s">
        <v>31</v>
      </c>
      <c r="P43" s="67"/>
      <c r="Q43" s="67"/>
      <c r="R43" s="17" t="s">
        <v>32</v>
      </c>
      <c r="S43" s="20">
        <v>-280</v>
      </c>
      <c r="T43" s="1"/>
    </row>
    <row r="44" spans="1:20" ht="27.6" customHeight="1">
      <c r="A44" s="21">
        <v>473752</v>
      </c>
      <c r="B44" s="22">
        <v>19586992</v>
      </c>
      <c r="C44" s="69" t="s">
        <v>59</v>
      </c>
      <c r="D44" s="69"/>
      <c r="E44" s="23" t="s">
        <v>28</v>
      </c>
      <c r="F44" s="70" t="s">
        <v>29</v>
      </c>
      <c r="G44" s="70"/>
      <c r="H44" s="25">
        <v>46054</v>
      </c>
      <c r="I44" s="42"/>
      <c r="J44" s="42"/>
      <c r="K44" s="42"/>
      <c r="L44" s="42"/>
      <c r="M44" s="2"/>
      <c r="N44" s="24" t="s">
        <v>42</v>
      </c>
      <c r="O44" s="70" t="s">
        <v>60</v>
      </c>
      <c r="P44" s="70"/>
      <c r="Q44" s="70"/>
      <c r="R44" s="24" t="s">
        <v>44</v>
      </c>
      <c r="S44" s="34">
        <v>128.34</v>
      </c>
      <c r="T44" s="2"/>
    </row>
    <row r="45" spans="1:20" ht="12.75" customHeight="1">
      <c r="A45" s="72" t="s">
        <v>61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</row>
    <row r="46" spans="1:20" ht="25.5" customHeight="1">
      <c r="A46" s="82" t="s">
        <v>62</v>
      </c>
      <c r="B46" s="82"/>
      <c r="C46" s="82"/>
      <c r="D46" s="82"/>
      <c r="E46" s="82"/>
      <c r="F46" s="82"/>
      <c r="G46" s="82"/>
      <c r="H46" s="82"/>
      <c r="I46" s="82"/>
      <c r="J46" s="74">
        <v>-151.66</v>
      </c>
      <c r="K46" s="74"/>
      <c r="L46" s="74"/>
      <c r="M46" s="74"/>
      <c r="N46" s="74"/>
      <c r="O46" s="74"/>
      <c r="P46" s="74"/>
      <c r="Q46" s="74"/>
      <c r="R46" s="74"/>
      <c r="S46" s="74"/>
      <c r="T46" s="74"/>
    </row>
    <row r="47" spans="1:20" ht="25.5" customHeight="1">
      <c r="A47" s="28" t="s">
        <v>15</v>
      </c>
      <c r="B47" s="5" t="s">
        <v>16</v>
      </c>
      <c r="C47" s="60" t="s">
        <v>17</v>
      </c>
      <c r="D47" s="60"/>
      <c r="E47" s="5" t="s">
        <v>18</v>
      </c>
      <c r="F47" s="75" t="s">
        <v>37</v>
      </c>
      <c r="G47" s="75"/>
      <c r="H47" s="29" t="s">
        <v>38</v>
      </c>
      <c r="I47" s="60" t="s">
        <v>21</v>
      </c>
      <c r="J47" s="60"/>
      <c r="K47" s="60"/>
      <c r="L47" s="60"/>
      <c r="M47" s="30" t="s">
        <v>22</v>
      </c>
      <c r="N47" s="30" t="s">
        <v>23</v>
      </c>
      <c r="O47" s="76" t="s">
        <v>39</v>
      </c>
      <c r="P47" s="76"/>
      <c r="Q47" s="76"/>
      <c r="R47" s="30" t="s">
        <v>25</v>
      </c>
      <c r="S47" s="29" t="s">
        <v>40</v>
      </c>
      <c r="T47" s="2"/>
    </row>
    <row r="48" spans="1:20" ht="5.25" customHeight="1">
      <c r="A48" s="31"/>
      <c r="B48" s="31"/>
      <c r="C48" s="77"/>
      <c r="D48" s="77"/>
      <c r="E48" s="31"/>
      <c r="F48" s="77"/>
      <c r="G48" s="77"/>
      <c r="H48" s="31"/>
      <c r="I48" s="77"/>
      <c r="J48" s="77"/>
      <c r="K48" s="77"/>
      <c r="L48" s="77"/>
      <c r="M48" s="31"/>
      <c r="N48" s="31"/>
      <c r="O48" s="77"/>
      <c r="P48" s="77"/>
      <c r="Q48" s="77"/>
      <c r="R48" s="31"/>
      <c r="S48" s="31"/>
      <c r="T48" s="1"/>
    </row>
    <row r="49" spans="1:20" ht="12.6" customHeight="1">
      <c r="A49" s="14">
        <v>471984</v>
      </c>
      <c r="B49" s="15">
        <v>19200754</v>
      </c>
      <c r="C49" s="66" t="s">
        <v>63</v>
      </c>
      <c r="D49" s="66"/>
      <c r="E49" s="16" t="s">
        <v>28</v>
      </c>
      <c r="F49" s="67" t="s">
        <v>29</v>
      </c>
      <c r="G49" s="67"/>
      <c r="H49" s="38">
        <v>46023</v>
      </c>
      <c r="I49" s="83">
        <v>46053</v>
      </c>
      <c r="J49" s="83"/>
      <c r="K49" s="83"/>
      <c r="L49" s="83"/>
      <c r="M49" s="19">
        <v>13</v>
      </c>
      <c r="N49" s="17" t="s">
        <v>30</v>
      </c>
      <c r="O49" s="84" t="s">
        <v>31</v>
      </c>
      <c r="P49" s="84"/>
      <c r="Q49" s="84"/>
      <c r="R49" s="17" t="s">
        <v>32</v>
      </c>
      <c r="S49" s="39">
        <v>-280</v>
      </c>
      <c r="T49" s="1"/>
    </row>
    <row r="50" spans="1:20" ht="20.100000000000001" customHeight="1">
      <c r="A50" s="72" t="s">
        <v>64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</row>
    <row r="51" spans="1:20" ht="25.5" customHeight="1">
      <c r="A51" s="73" t="s">
        <v>65</v>
      </c>
      <c r="B51" s="73"/>
      <c r="C51" s="73"/>
      <c r="D51" s="73"/>
      <c r="E51" s="73"/>
      <c r="F51" s="73"/>
      <c r="G51" s="73"/>
      <c r="H51" s="73"/>
      <c r="I51" s="73"/>
      <c r="J51" s="74">
        <v>-280</v>
      </c>
      <c r="K51" s="74"/>
      <c r="L51" s="74"/>
      <c r="M51" s="74"/>
      <c r="N51" s="74"/>
      <c r="O51" s="74"/>
      <c r="P51" s="74"/>
      <c r="Q51" s="74"/>
      <c r="R51" s="74"/>
      <c r="S51" s="74"/>
      <c r="T51" s="74"/>
    </row>
    <row r="52" spans="1:20" ht="25.5" customHeight="1">
      <c r="A52" s="28" t="s">
        <v>15</v>
      </c>
      <c r="B52" s="5" t="s">
        <v>16</v>
      </c>
      <c r="C52" s="60" t="s">
        <v>17</v>
      </c>
      <c r="D52" s="60"/>
      <c r="E52" s="5" t="s">
        <v>18</v>
      </c>
      <c r="F52" s="75" t="s">
        <v>37</v>
      </c>
      <c r="G52" s="75"/>
      <c r="H52" s="29" t="s">
        <v>38</v>
      </c>
      <c r="I52" s="60" t="s">
        <v>21</v>
      </c>
      <c r="J52" s="60"/>
      <c r="K52" s="60"/>
      <c r="L52" s="60"/>
      <c r="M52" s="5" t="s">
        <v>22</v>
      </c>
      <c r="N52" s="30" t="s">
        <v>23</v>
      </c>
      <c r="O52" s="76" t="s">
        <v>39</v>
      </c>
      <c r="P52" s="76"/>
      <c r="Q52" s="76"/>
      <c r="R52" s="30" t="s">
        <v>25</v>
      </c>
      <c r="S52" s="29" t="s">
        <v>40</v>
      </c>
      <c r="T52" s="2"/>
    </row>
    <row r="53" spans="1:20" ht="27.6" customHeight="1">
      <c r="A53" s="7">
        <v>446535</v>
      </c>
      <c r="B53" s="8">
        <v>17301495</v>
      </c>
      <c r="C53" s="63" t="s">
        <v>66</v>
      </c>
      <c r="D53" s="63"/>
      <c r="E53" s="9" t="s">
        <v>28</v>
      </c>
      <c r="F53" s="64" t="s">
        <v>29</v>
      </c>
      <c r="G53" s="64"/>
      <c r="H53" s="37">
        <v>45658</v>
      </c>
      <c r="I53" s="81"/>
      <c r="J53" s="81"/>
      <c r="K53" s="81"/>
      <c r="L53" s="81"/>
      <c r="M53" s="35"/>
      <c r="N53" s="10" t="s">
        <v>42</v>
      </c>
      <c r="O53" s="64" t="s">
        <v>43</v>
      </c>
      <c r="P53" s="64"/>
      <c r="Q53" s="64"/>
      <c r="R53" s="10" t="s">
        <v>44</v>
      </c>
      <c r="S53" s="36">
        <v>8.75</v>
      </c>
      <c r="T53" s="2"/>
    </row>
    <row r="54" spans="1:20" ht="12.75" customHeight="1">
      <c r="A54" s="72" t="s">
        <v>57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</row>
    <row r="55" spans="1:20" ht="25.5" customHeight="1">
      <c r="A55" s="85" t="s">
        <v>67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0">
        <v>8.75</v>
      </c>
      <c r="M55" s="80"/>
      <c r="N55" s="80"/>
      <c r="O55" s="80"/>
      <c r="P55" s="80"/>
      <c r="Q55" s="80"/>
      <c r="R55" s="80"/>
      <c r="S55" s="80"/>
      <c r="T55" s="80"/>
    </row>
    <row r="56" spans="1:20" ht="25.5" customHeight="1">
      <c r="A56" s="28" t="s">
        <v>15</v>
      </c>
      <c r="B56" s="5" t="s">
        <v>16</v>
      </c>
      <c r="C56" s="60" t="s">
        <v>17</v>
      </c>
      <c r="D56" s="60"/>
      <c r="E56" s="5" t="s">
        <v>18</v>
      </c>
      <c r="F56" s="75" t="s">
        <v>37</v>
      </c>
      <c r="G56" s="75"/>
      <c r="H56" s="29" t="s">
        <v>38</v>
      </c>
      <c r="I56" s="60" t="s">
        <v>21</v>
      </c>
      <c r="J56" s="60"/>
      <c r="K56" s="60"/>
      <c r="L56" s="60"/>
      <c r="M56" s="5" t="s">
        <v>22</v>
      </c>
      <c r="N56" s="30" t="s">
        <v>23</v>
      </c>
      <c r="O56" s="76" t="s">
        <v>39</v>
      </c>
      <c r="P56" s="76"/>
      <c r="Q56" s="76"/>
      <c r="R56" s="30" t="s">
        <v>25</v>
      </c>
      <c r="S56" s="29" t="s">
        <v>40</v>
      </c>
      <c r="T56" s="2"/>
    </row>
    <row r="57" spans="1:20" ht="5.25" customHeight="1">
      <c r="A57" s="31"/>
      <c r="B57" s="31"/>
      <c r="C57" s="77"/>
      <c r="D57" s="77"/>
      <c r="E57" s="31"/>
      <c r="F57" s="77"/>
      <c r="G57" s="77"/>
      <c r="H57" s="31"/>
      <c r="I57" s="77"/>
      <c r="J57" s="77"/>
      <c r="K57" s="77"/>
      <c r="L57" s="77"/>
      <c r="M57" s="31"/>
      <c r="N57" s="31"/>
      <c r="O57" s="77"/>
      <c r="P57" s="77"/>
      <c r="Q57" s="77"/>
      <c r="R57" s="31"/>
      <c r="S57" s="31"/>
      <c r="T57" s="1"/>
    </row>
    <row r="58" spans="1:20" ht="12" customHeight="1">
      <c r="A58" s="14">
        <v>447954</v>
      </c>
      <c r="B58" s="15">
        <v>16912722</v>
      </c>
      <c r="C58" s="66" t="s">
        <v>68</v>
      </c>
      <c r="D58" s="66"/>
      <c r="E58" s="16" t="s">
        <v>28</v>
      </c>
      <c r="F58" s="67" t="s">
        <v>29</v>
      </c>
      <c r="G58" s="67"/>
      <c r="H58" s="18">
        <v>45658</v>
      </c>
      <c r="I58" s="78"/>
      <c r="J58" s="78"/>
      <c r="K58" s="78"/>
      <c r="L58" s="78"/>
      <c r="M58" s="32"/>
      <c r="N58" s="17" t="s">
        <v>42</v>
      </c>
      <c r="O58" s="67" t="s">
        <v>43</v>
      </c>
      <c r="P58" s="67"/>
      <c r="Q58" s="67"/>
      <c r="R58" s="17" t="s">
        <v>44</v>
      </c>
      <c r="S58" s="33">
        <v>8.75</v>
      </c>
      <c r="T58" s="1"/>
    </row>
    <row r="59" spans="1:20" ht="21.95" customHeight="1">
      <c r="A59" s="21">
        <v>447955</v>
      </c>
      <c r="B59" s="22">
        <v>16912722</v>
      </c>
      <c r="C59" s="69" t="s">
        <v>69</v>
      </c>
      <c r="D59" s="69"/>
      <c r="E59" s="23" t="s">
        <v>28</v>
      </c>
      <c r="F59" s="70" t="s">
        <v>29</v>
      </c>
      <c r="G59" s="70"/>
      <c r="H59" s="25">
        <v>45658</v>
      </c>
      <c r="I59" s="42"/>
      <c r="J59" s="42"/>
      <c r="K59" s="42"/>
      <c r="L59" s="42"/>
      <c r="M59" s="2"/>
      <c r="N59" s="24" t="s">
        <v>42</v>
      </c>
      <c r="O59" s="70" t="s">
        <v>43</v>
      </c>
      <c r="P59" s="70"/>
      <c r="Q59" s="70"/>
      <c r="R59" s="24" t="s">
        <v>44</v>
      </c>
      <c r="S59" s="34">
        <v>8.75</v>
      </c>
      <c r="T59" s="2"/>
    </row>
    <row r="60" spans="1:20" ht="12" customHeight="1">
      <c r="A60" s="14">
        <v>448034</v>
      </c>
      <c r="B60" s="15">
        <v>16912722</v>
      </c>
      <c r="C60" s="66" t="s">
        <v>70</v>
      </c>
      <c r="D60" s="66"/>
      <c r="E60" s="16" t="s">
        <v>28</v>
      </c>
      <c r="F60" s="67" t="s">
        <v>29</v>
      </c>
      <c r="G60" s="67"/>
      <c r="H60" s="18">
        <v>45658</v>
      </c>
      <c r="I60" s="78"/>
      <c r="J60" s="78"/>
      <c r="K60" s="78"/>
      <c r="L60" s="78"/>
      <c r="M60" s="32"/>
      <c r="N60" s="17" t="s">
        <v>42</v>
      </c>
      <c r="O60" s="67" t="s">
        <v>43</v>
      </c>
      <c r="P60" s="67"/>
      <c r="Q60" s="67"/>
      <c r="R60" s="17" t="s">
        <v>44</v>
      </c>
      <c r="S60" s="33">
        <v>8.75</v>
      </c>
      <c r="T60" s="1"/>
    </row>
    <row r="61" spans="1:20" ht="27.6" customHeight="1">
      <c r="A61" s="21">
        <v>447701</v>
      </c>
      <c r="B61" s="22">
        <v>16912722</v>
      </c>
      <c r="C61" s="69" t="s">
        <v>71</v>
      </c>
      <c r="D61" s="69"/>
      <c r="E61" s="23" t="s">
        <v>28</v>
      </c>
      <c r="F61" s="70" t="s">
        <v>29</v>
      </c>
      <c r="G61" s="70"/>
      <c r="H61" s="25">
        <v>45658</v>
      </c>
      <c r="I61" s="42"/>
      <c r="J61" s="42"/>
      <c r="K61" s="42"/>
      <c r="L61" s="42"/>
      <c r="M61" s="2"/>
      <c r="N61" s="24" t="s">
        <v>42</v>
      </c>
      <c r="O61" s="70" t="s">
        <v>43</v>
      </c>
      <c r="P61" s="70"/>
      <c r="Q61" s="70"/>
      <c r="R61" s="24" t="s">
        <v>44</v>
      </c>
      <c r="S61" s="34">
        <v>8.75</v>
      </c>
      <c r="T61" s="2"/>
    </row>
    <row r="62" spans="1:20" ht="12.75" customHeight="1">
      <c r="A62" s="72" t="s">
        <v>72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</row>
    <row r="63" spans="1:20" ht="25.5" customHeight="1">
      <c r="A63" s="82" t="s">
        <v>73</v>
      </c>
      <c r="B63" s="82"/>
      <c r="C63" s="82"/>
      <c r="D63" s="82"/>
      <c r="E63" s="82"/>
      <c r="F63" s="82"/>
      <c r="G63" s="82"/>
      <c r="H63" s="82"/>
      <c r="I63" s="82"/>
      <c r="J63" s="82"/>
      <c r="K63" s="80">
        <v>35</v>
      </c>
      <c r="L63" s="80"/>
      <c r="M63" s="80"/>
      <c r="N63" s="80"/>
      <c r="O63" s="80"/>
      <c r="P63" s="80"/>
      <c r="Q63" s="80"/>
      <c r="R63" s="80"/>
      <c r="S63" s="80"/>
      <c r="T63" s="80"/>
    </row>
    <row r="64" spans="1:20" ht="25.5" customHeight="1">
      <c r="A64" s="28" t="s">
        <v>15</v>
      </c>
      <c r="B64" s="5" t="s">
        <v>16</v>
      </c>
      <c r="C64" s="60" t="s">
        <v>17</v>
      </c>
      <c r="D64" s="60"/>
      <c r="E64" s="5" t="s">
        <v>18</v>
      </c>
      <c r="F64" s="75" t="s">
        <v>37</v>
      </c>
      <c r="G64" s="75"/>
      <c r="H64" s="29" t="s">
        <v>38</v>
      </c>
      <c r="I64" s="60" t="s">
        <v>21</v>
      </c>
      <c r="J64" s="60"/>
      <c r="K64" s="60"/>
      <c r="L64" s="60"/>
      <c r="M64" s="5" t="s">
        <v>22</v>
      </c>
      <c r="N64" s="30" t="s">
        <v>23</v>
      </c>
      <c r="O64" s="76" t="s">
        <v>39</v>
      </c>
      <c r="P64" s="76"/>
      <c r="Q64" s="76"/>
      <c r="R64" s="30" t="s">
        <v>25</v>
      </c>
      <c r="S64" s="29" t="s">
        <v>40</v>
      </c>
      <c r="T64" s="2"/>
    </row>
    <row r="65" spans="1:20" ht="5.25" customHeight="1">
      <c r="A65" s="31"/>
      <c r="B65" s="31"/>
      <c r="C65" s="77"/>
      <c r="D65" s="77"/>
      <c r="E65" s="31"/>
      <c r="F65" s="77"/>
      <c r="G65" s="77"/>
      <c r="H65" s="31"/>
      <c r="I65" s="77"/>
      <c r="J65" s="77"/>
      <c r="K65" s="77"/>
      <c r="L65" s="77"/>
      <c r="M65" s="31"/>
      <c r="N65" s="31"/>
      <c r="O65" s="77"/>
      <c r="P65" s="77"/>
      <c r="Q65" s="77"/>
      <c r="R65" s="31"/>
      <c r="S65" s="31"/>
      <c r="T65" s="1"/>
    </row>
    <row r="66" spans="1:20" ht="12" customHeight="1">
      <c r="A66" s="14">
        <v>446217</v>
      </c>
      <c r="B66" s="15">
        <v>16633294</v>
      </c>
      <c r="C66" s="66" t="s">
        <v>74</v>
      </c>
      <c r="D66" s="66"/>
      <c r="E66" s="16" t="s">
        <v>28</v>
      </c>
      <c r="F66" s="67" t="s">
        <v>29</v>
      </c>
      <c r="G66" s="67"/>
      <c r="H66" s="18">
        <v>45658</v>
      </c>
      <c r="I66" s="78"/>
      <c r="J66" s="78"/>
      <c r="K66" s="78"/>
      <c r="L66" s="78"/>
      <c r="M66" s="32"/>
      <c r="N66" s="17" t="s">
        <v>42</v>
      </c>
      <c r="O66" s="67" t="s">
        <v>43</v>
      </c>
      <c r="P66" s="67"/>
      <c r="Q66" s="67"/>
      <c r="R66" s="17" t="s">
        <v>44</v>
      </c>
      <c r="S66" s="33">
        <v>8.75</v>
      </c>
      <c r="T66" s="1"/>
    </row>
    <row r="67" spans="1:20" ht="21.95" customHeight="1">
      <c r="A67" s="21">
        <v>443292</v>
      </c>
      <c r="B67" s="22">
        <v>16633294</v>
      </c>
      <c r="C67" s="69" t="s">
        <v>75</v>
      </c>
      <c r="D67" s="69"/>
      <c r="E67" s="23" t="s">
        <v>28</v>
      </c>
      <c r="F67" s="70" t="s">
        <v>29</v>
      </c>
      <c r="G67" s="70"/>
      <c r="H67" s="25">
        <v>45658</v>
      </c>
      <c r="I67" s="42"/>
      <c r="J67" s="42"/>
      <c r="K67" s="42"/>
      <c r="L67" s="42"/>
      <c r="M67" s="2"/>
      <c r="N67" s="24" t="s">
        <v>42</v>
      </c>
      <c r="O67" s="70" t="s">
        <v>43</v>
      </c>
      <c r="P67" s="70"/>
      <c r="Q67" s="70"/>
      <c r="R67" s="24" t="s">
        <v>44</v>
      </c>
      <c r="S67" s="34">
        <v>8.75</v>
      </c>
      <c r="T67" s="2"/>
    </row>
    <row r="68" spans="1:20" ht="12" customHeight="1">
      <c r="A68" s="14">
        <v>443286</v>
      </c>
      <c r="B68" s="15">
        <v>16633294</v>
      </c>
      <c r="C68" s="66" t="s">
        <v>76</v>
      </c>
      <c r="D68" s="66"/>
      <c r="E68" s="16" t="s">
        <v>28</v>
      </c>
      <c r="F68" s="67" t="s">
        <v>29</v>
      </c>
      <c r="G68" s="67"/>
      <c r="H68" s="18">
        <v>45658</v>
      </c>
      <c r="I68" s="78"/>
      <c r="J68" s="78"/>
      <c r="K68" s="78"/>
      <c r="L68" s="78"/>
      <c r="M68" s="32"/>
      <c r="N68" s="17" t="s">
        <v>42</v>
      </c>
      <c r="O68" s="67" t="s">
        <v>43</v>
      </c>
      <c r="P68" s="67"/>
      <c r="Q68" s="67"/>
      <c r="R68" s="17" t="s">
        <v>44</v>
      </c>
      <c r="S68" s="33">
        <v>8.75</v>
      </c>
      <c r="T68" s="1"/>
    </row>
    <row r="69" spans="1:20" ht="21.95" customHeight="1">
      <c r="A69" s="21">
        <v>444212</v>
      </c>
      <c r="B69" s="22">
        <v>16633294</v>
      </c>
      <c r="C69" s="69" t="s">
        <v>77</v>
      </c>
      <c r="D69" s="69"/>
      <c r="E69" s="23" t="s">
        <v>28</v>
      </c>
      <c r="F69" s="70" t="s">
        <v>29</v>
      </c>
      <c r="G69" s="70"/>
      <c r="H69" s="25">
        <v>45658</v>
      </c>
      <c r="I69" s="42"/>
      <c r="J69" s="42"/>
      <c r="K69" s="42"/>
      <c r="L69" s="42"/>
      <c r="M69" s="2"/>
      <c r="N69" s="24" t="s">
        <v>42</v>
      </c>
      <c r="O69" s="70" t="s">
        <v>43</v>
      </c>
      <c r="P69" s="70"/>
      <c r="Q69" s="70"/>
      <c r="R69" s="24" t="s">
        <v>44</v>
      </c>
      <c r="S69" s="34">
        <v>8.75</v>
      </c>
      <c r="T69" s="2"/>
    </row>
    <row r="70" spans="1:20" ht="12" customHeight="1">
      <c r="A70" s="14">
        <v>443209</v>
      </c>
      <c r="B70" s="15">
        <v>16633294</v>
      </c>
      <c r="C70" s="66" t="s">
        <v>78</v>
      </c>
      <c r="D70" s="66"/>
      <c r="E70" s="16" t="s">
        <v>28</v>
      </c>
      <c r="F70" s="67" t="s">
        <v>29</v>
      </c>
      <c r="G70" s="67"/>
      <c r="H70" s="18">
        <v>45658</v>
      </c>
      <c r="I70" s="78"/>
      <c r="J70" s="78"/>
      <c r="K70" s="78"/>
      <c r="L70" s="78"/>
      <c r="M70" s="32"/>
      <c r="N70" s="17" t="s">
        <v>42</v>
      </c>
      <c r="O70" s="67" t="s">
        <v>43</v>
      </c>
      <c r="P70" s="67"/>
      <c r="Q70" s="67"/>
      <c r="R70" s="17" t="s">
        <v>44</v>
      </c>
      <c r="S70" s="33">
        <v>8.75</v>
      </c>
      <c r="T70" s="1"/>
    </row>
    <row r="71" spans="1:20" ht="21.95" customHeight="1">
      <c r="A71" s="21">
        <v>440990</v>
      </c>
      <c r="B71" s="22">
        <v>16633294</v>
      </c>
      <c r="C71" s="69" t="s">
        <v>79</v>
      </c>
      <c r="D71" s="69"/>
      <c r="E71" s="23" t="s">
        <v>28</v>
      </c>
      <c r="F71" s="70" t="s">
        <v>29</v>
      </c>
      <c r="G71" s="70"/>
      <c r="H71" s="25">
        <v>45658</v>
      </c>
      <c r="I71" s="42"/>
      <c r="J71" s="42"/>
      <c r="K71" s="42"/>
      <c r="L71" s="42"/>
      <c r="M71" s="2"/>
      <c r="N71" s="24" t="s">
        <v>42</v>
      </c>
      <c r="O71" s="70" t="s">
        <v>43</v>
      </c>
      <c r="P71" s="70"/>
      <c r="Q71" s="70"/>
      <c r="R71" s="24" t="s">
        <v>44</v>
      </c>
      <c r="S71" s="34">
        <v>8.75</v>
      </c>
      <c r="T71" s="2"/>
    </row>
    <row r="72" spans="1:20" ht="12" customHeight="1">
      <c r="A72" s="14">
        <v>445753</v>
      </c>
      <c r="B72" s="15">
        <v>16633294</v>
      </c>
      <c r="C72" s="66" t="s">
        <v>80</v>
      </c>
      <c r="D72" s="66"/>
      <c r="E72" s="16" t="s">
        <v>28</v>
      </c>
      <c r="F72" s="67" t="s">
        <v>29</v>
      </c>
      <c r="G72" s="67"/>
      <c r="H72" s="18">
        <v>45658</v>
      </c>
      <c r="I72" s="78"/>
      <c r="J72" s="78"/>
      <c r="K72" s="78"/>
      <c r="L72" s="78"/>
      <c r="M72" s="32"/>
      <c r="N72" s="17" t="s">
        <v>42</v>
      </c>
      <c r="O72" s="67" t="s">
        <v>43</v>
      </c>
      <c r="P72" s="67"/>
      <c r="Q72" s="67"/>
      <c r="R72" s="17" t="s">
        <v>44</v>
      </c>
      <c r="S72" s="33">
        <v>8.75</v>
      </c>
      <c r="T72" s="1"/>
    </row>
    <row r="73" spans="1:20" ht="21.95" customHeight="1">
      <c r="A73" s="21">
        <v>446673</v>
      </c>
      <c r="B73" s="22">
        <v>16633294</v>
      </c>
      <c r="C73" s="69" t="s">
        <v>81</v>
      </c>
      <c r="D73" s="69"/>
      <c r="E73" s="23" t="s">
        <v>28</v>
      </c>
      <c r="F73" s="70" t="s">
        <v>29</v>
      </c>
      <c r="G73" s="70"/>
      <c r="H73" s="25">
        <v>45658</v>
      </c>
      <c r="I73" s="42"/>
      <c r="J73" s="42"/>
      <c r="K73" s="42"/>
      <c r="L73" s="42"/>
      <c r="M73" s="2"/>
      <c r="N73" s="24" t="s">
        <v>42</v>
      </c>
      <c r="O73" s="70" t="s">
        <v>43</v>
      </c>
      <c r="P73" s="70"/>
      <c r="Q73" s="70"/>
      <c r="R73" s="24" t="s">
        <v>44</v>
      </c>
      <c r="S73" s="34">
        <v>8.75</v>
      </c>
      <c r="T73" s="2"/>
    </row>
    <row r="74" spans="1:20" ht="12.6" customHeight="1">
      <c r="A74" s="14">
        <v>447931</v>
      </c>
      <c r="B74" s="15">
        <v>16633294</v>
      </c>
      <c r="C74" s="66" t="s">
        <v>82</v>
      </c>
      <c r="D74" s="66"/>
      <c r="E74" s="16" t="s">
        <v>28</v>
      </c>
      <c r="F74" s="67" t="s">
        <v>29</v>
      </c>
      <c r="G74" s="67"/>
      <c r="H74" s="18">
        <v>45658</v>
      </c>
      <c r="I74" s="78"/>
      <c r="J74" s="78"/>
      <c r="K74" s="78"/>
      <c r="L74" s="78"/>
      <c r="M74" s="32"/>
      <c r="N74" s="17" t="s">
        <v>42</v>
      </c>
      <c r="O74" s="67" t="s">
        <v>43</v>
      </c>
      <c r="P74" s="67"/>
      <c r="Q74" s="67"/>
      <c r="R74" s="17" t="s">
        <v>44</v>
      </c>
      <c r="S74" s="33">
        <v>8.75</v>
      </c>
      <c r="T74" s="1"/>
    </row>
    <row r="75" spans="1:20" ht="20.100000000000001" customHeight="1">
      <c r="A75" s="72" t="s">
        <v>83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</row>
    <row r="76" spans="1:20" ht="25.5" customHeight="1">
      <c r="A76" s="73" t="s">
        <v>84</v>
      </c>
      <c r="B76" s="73"/>
      <c r="C76" s="73"/>
      <c r="D76" s="73"/>
      <c r="E76" s="73"/>
      <c r="F76" s="73"/>
      <c r="G76" s="73"/>
      <c r="H76" s="73"/>
      <c r="I76" s="80">
        <v>78.75</v>
      </c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</row>
    <row r="77" spans="1:20" ht="25.5" customHeight="1">
      <c r="A77" s="28" t="s">
        <v>15</v>
      </c>
      <c r="B77" s="5" t="s">
        <v>16</v>
      </c>
      <c r="C77" s="60" t="s">
        <v>17</v>
      </c>
      <c r="D77" s="60"/>
      <c r="E77" s="5" t="s">
        <v>18</v>
      </c>
      <c r="F77" s="75" t="s">
        <v>37</v>
      </c>
      <c r="G77" s="75"/>
      <c r="H77" s="29" t="s">
        <v>38</v>
      </c>
      <c r="I77" s="86" t="s">
        <v>21</v>
      </c>
      <c r="J77" s="86"/>
      <c r="K77" s="86"/>
      <c r="L77" s="86"/>
      <c r="M77" s="30" t="s">
        <v>22</v>
      </c>
      <c r="N77" s="30" t="s">
        <v>23</v>
      </c>
      <c r="O77" s="76" t="s">
        <v>39</v>
      </c>
      <c r="P77" s="76"/>
      <c r="Q77" s="76"/>
      <c r="R77" s="30" t="s">
        <v>25</v>
      </c>
      <c r="S77" s="29" t="s">
        <v>40</v>
      </c>
      <c r="T77" s="2"/>
    </row>
    <row r="78" spans="1:20" ht="21.95" customHeight="1">
      <c r="A78" s="7">
        <v>452418</v>
      </c>
      <c r="B78" s="8">
        <v>9213293</v>
      </c>
      <c r="C78" s="63" t="s">
        <v>27</v>
      </c>
      <c r="D78" s="63"/>
      <c r="E78" s="9" t="s">
        <v>28</v>
      </c>
      <c r="F78" s="64" t="s">
        <v>29</v>
      </c>
      <c r="G78" s="64"/>
      <c r="H78" s="11">
        <v>46023</v>
      </c>
      <c r="I78" s="65">
        <v>46053</v>
      </c>
      <c r="J78" s="65"/>
      <c r="K78" s="65"/>
      <c r="L78" s="65"/>
      <c r="M78" s="12">
        <v>13</v>
      </c>
      <c r="N78" s="10" t="s">
        <v>30</v>
      </c>
      <c r="O78" s="64" t="s">
        <v>31</v>
      </c>
      <c r="P78" s="64"/>
      <c r="Q78" s="64"/>
      <c r="R78" s="10" t="s">
        <v>32</v>
      </c>
      <c r="S78" s="13">
        <v>-347</v>
      </c>
      <c r="T78" s="2"/>
    </row>
    <row r="79" spans="1:20" ht="12" customHeight="1">
      <c r="A79" s="14">
        <v>452411</v>
      </c>
      <c r="B79" s="15">
        <v>9213293</v>
      </c>
      <c r="C79" s="66" t="s">
        <v>33</v>
      </c>
      <c r="D79" s="66"/>
      <c r="E79" s="16" t="s">
        <v>28</v>
      </c>
      <c r="F79" s="67" t="s">
        <v>29</v>
      </c>
      <c r="G79" s="67"/>
      <c r="H79" s="18">
        <v>46023</v>
      </c>
      <c r="I79" s="68">
        <v>46053</v>
      </c>
      <c r="J79" s="68"/>
      <c r="K79" s="68"/>
      <c r="L79" s="68"/>
      <c r="M79" s="19">
        <v>13</v>
      </c>
      <c r="N79" s="17" t="s">
        <v>30</v>
      </c>
      <c r="O79" s="67" t="s">
        <v>31</v>
      </c>
      <c r="P79" s="67"/>
      <c r="Q79" s="67"/>
      <c r="R79" s="17" t="s">
        <v>32</v>
      </c>
      <c r="S79" s="20">
        <v>-347</v>
      </c>
      <c r="T79" s="1"/>
    </row>
    <row r="80" spans="1:20" ht="27.6" customHeight="1">
      <c r="A80" s="21">
        <v>463308</v>
      </c>
      <c r="B80" s="22">
        <v>9213293</v>
      </c>
      <c r="C80" s="69" t="s">
        <v>34</v>
      </c>
      <c r="D80" s="69"/>
      <c r="E80" s="23" t="s">
        <v>28</v>
      </c>
      <c r="F80" s="70" t="s">
        <v>29</v>
      </c>
      <c r="G80" s="70"/>
      <c r="H80" s="25">
        <v>46023</v>
      </c>
      <c r="I80" s="71">
        <v>46053</v>
      </c>
      <c r="J80" s="71"/>
      <c r="K80" s="71"/>
      <c r="L80" s="71"/>
      <c r="M80" s="26">
        <v>13</v>
      </c>
      <c r="N80" s="24" t="s">
        <v>30</v>
      </c>
      <c r="O80" s="70" t="s">
        <v>31</v>
      </c>
      <c r="P80" s="70"/>
      <c r="Q80" s="70"/>
      <c r="R80" s="24" t="s">
        <v>32</v>
      </c>
      <c r="S80" s="27">
        <v>-347</v>
      </c>
      <c r="T80" s="2"/>
    </row>
    <row r="81" spans="1:20" ht="12.75" customHeight="1">
      <c r="A81" s="72" t="s">
        <v>85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</row>
    <row r="82" spans="1:20" ht="25.5" customHeight="1">
      <c r="A82" s="73" t="s">
        <v>36</v>
      </c>
      <c r="B82" s="73"/>
      <c r="C82" s="73"/>
      <c r="D82" s="73"/>
      <c r="E82" s="73"/>
      <c r="F82" s="73"/>
      <c r="G82" s="73"/>
      <c r="H82" s="73"/>
      <c r="I82" s="87">
        <v>-1041</v>
      </c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</row>
    <row r="83" spans="1:20" ht="25.5" customHeight="1">
      <c r="A83" s="28" t="s">
        <v>15</v>
      </c>
      <c r="B83" s="5" t="s">
        <v>16</v>
      </c>
      <c r="C83" s="60" t="s">
        <v>17</v>
      </c>
      <c r="D83" s="60"/>
      <c r="E83" s="5" t="s">
        <v>18</v>
      </c>
      <c r="F83" s="75" t="s">
        <v>37</v>
      </c>
      <c r="G83" s="75"/>
      <c r="H83" s="29" t="s">
        <v>38</v>
      </c>
      <c r="I83" s="60" t="s">
        <v>21</v>
      </c>
      <c r="J83" s="60"/>
      <c r="K83" s="60"/>
      <c r="L83" s="60"/>
      <c r="M83" s="5" t="s">
        <v>22</v>
      </c>
      <c r="N83" s="30" t="s">
        <v>23</v>
      </c>
      <c r="O83" s="76" t="s">
        <v>39</v>
      </c>
      <c r="P83" s="76"/>
      <c r="Q83" s="76"/>
      <c r="R83" s="30" t="s">
        <v>25</v>
      </c>
      <c r="S83" s="29" t="s">
        <v>40</v>
      </c>
      <c r="T83" s="2"/>
    </row>
    <row r="84" spans="1:20" ht="5.25" customHeight="1">
      <c r="A84" s="31"/>
      <c r="B84" s="31"/>
      <c r="C84" s="77"/>
      <c r="D84" s="77"/>
      <c r="E84" s="31"/>
      <c r="F84" s="77"/>
      <c r="G84" s="77"/>
      <c r="H84" s="31"/>
      <c r="I84" s="77"/>
      <c r="J84" s="77"/>
      <c r="K84" s="77"/>
      <c r="L84" s="77"/>
      <c r="M84" s="31"/>
      <c r="N84" s="31"/>
      <c r="O84" s="77"/>
      <c r="P84" s="77"/>
      <c r="Q84" s="77"/>
      <c r="R84" s="31"/>
      <c r="S84" s="31"/>
      <c r="T84" s="1"/>
    </row>
    <row r="85" spans="1:20" ht="12" customHeight="1">
      <c r="A85" s="14">
        <v>449350</v>
      </c>
      <c r="B85" s="15">
        <v>2158366</v>
      </c>
      <c r="C85" s="66" t="s">
        <v>41</v>
      </c>
      <c r="D85" s="66"/>
      <c r="E85" s="16" t="s">
        <v>28</v>
      </c>
      <c r="F85" s="67" t="s">
        <v>29</v>
      </c>
      <c r="G85" s="67"/>
      <c r="H85" s="18">
        <v>45717</v>
      </c>
      <c r="I85" s="78"/>
      <c r="J85" s="78"/>
      <c r="K85" s="78"/>
      <c r="L85" s="78"/>
      <c r="M85" s="32"/>
      <c r="N85" s="17" t="s">
        <v>42</v>
      </c>
      <c r="O85" s="67" t="s">
        <v>43</v>
      </c>
      <c r="P85" s="67"/>
      <c r="Q85" s="67"/>
      <c r="R85" s="17" t="s">
        <v>44</v>
      </c>
      <c r="S85" s="33">
        <v>28.92</v>
      </c>
      <c r="T85" s="1"/>
    </row>
    <row r="86" spans="1:20" ht="21.95" customHeight="1">
      <c r="A86" s="21">
        <v>439383</v>
      </c>
      <c r="B86" s="22">
        <v>2158366</v>
      </c>
      <c r="C86" s="69" t="s">
        <v>46</v>
      </c>
      <c r="D86" s="69"/>
      <c r="E86" s="23" t="s">
        <v>28</v>
      </c>
      <c r="F86" s="70" t="s">
        <v>29</v>
      </c>
      <c r="G86" s="70"/>
      <c r="H86" s="25">
        <v>45658</v>
      </c>
      <c r="I86" s="42"/>
      <c r="J86" s="42"/>
      <c r="K86" s="42"/>
      <c r="L86" s="42"/>
      <c r="M86" s="2"/>
      <c r="N86" s="24" t="s">
        <v>42</v>
      </c>
      <c r="O86" s="70" t="s">
        <v>43</v>
      </c>
      <c r="P86" s="70"/>
      <c r="Q86" s="70"/>
      <c r="R86" s="24" t="s">
        <v>44</v>
      </c>
      <c r="S86" s="34">
        <v>28.92</v>
      </c>
      <c r="T86" s="2"/>
    </row>
    <row r="87" spans="1:20" ht="12" customHeight="1">
      <c r="A87" s="14">
        <v>439384</v>
      </c>
      <c r="B87" s="15">
        <v>2158366</v>
      </c>
      <c r="C87" s="66" t="s">
        <v>45</v>
      </c>
      <c r="D87" s="66"/>
      <c r="E87" s="16" t="s">
        <v>28</v>
      </c>
      <c r="F87" s="67" t="s">
        <v>29</v>
      </c>
      <c r="G87" s="67"/>
      <c r="H87" s="18">
        <v>45658</v>
      </c>
      <c r="I87" s="78"/>
      <c r="J87" s="78"/>
      <c r="K87" s="78"/>
      <c r="L87" s="78"/>
      <c r="M87" s="32"/>
      <c r="N87" s="17" t="s">
        <v>42</v>
      </c>
      <c r="O87" s="67" t="s">
        <v>43</v>
      </c>
      <c r="P87" s="67"/>
      <c r="Q87" s="67"/>
      <c r="R87" s="17" t="s">
        <v>44</v>
      </c>
      <c r="S87" s="33">
        <v>28.92</v>
      </c>
      <c r="T87" s="1"/>
    </row>
    <row r="88" spans="1:20" ht="21.95" customHeight="1">
      <c r="A88" s="21">
        <v>442876</v>
      </c>
      <c r="B88" s="22">
        <v>2158366</v>
      </c>
      <c r="C88" s="69" t="s">
        <v>47</v>
      </c>
      <c r="D88" s="69"/>
      <c r="E88" s="23" t="s">
        <v>28</v>
      </c>
      <c r="F88" s="70" t="s">
        <v>29</v>
      </c>
      <c r="G88" s="70"/>
      <c r="H88" s="25">
        <v>45658</v>
      </c>
      <c r="I88" s="42"/>
      <c r="J88" s="42"/>
      <c r="K88" s="42"/>
      <c r="L88" s="42"/>
      <c r="M88" s="2"/>
      <c r="N88" s="24" t="s">
        <v>42</v>
      </c>
      <c r="O88" s="70" t="s">
        <v>43</v>
      </c>
      <c r="P88" s="70"/>
      <c r="Q88" s="70"/>
      <c r="R88" s="24" t="s">
        <v>44</v>
      </c>
      <c r="S88" s="34">
        <v>28.92</v>
      </c>
      <c r="T88" s="2"/>
    </row>
    <row r="89" spans="1:20" ht="12.6" customHeight="1">
      <c r="A89" s="14">
        <v>445341</v>
      </c>
      <c r="B89" s="15">
        <v>2158366</v>
      </c>
      <c r="C89" s="66" t="s">
        <v>48</v>
      </c>
      <c r="D89" s="66"/>
      <c r="E89" s="16" t="s">
        <v>28</v>
      </c>
      <c r="F89" s="67" t="s">
        <v>29</v>
      </c>
      <c r="G89" s="67"/>
      <c r="H89" s="18">
        <v>45658</v>
      </c>
      <c r="I89" s="78"/>
      <c r="J89" s="78"/>
      <c r="K89" s="78"/>
      <c r="L89" s="78"/>
      <c r="M89" s="32"/>
      <c r="N89" s="17" t="s">
        <v>42</v>
      </c>
      <c r="O89" s="67" t="s">
        <v>43</v>
      </c>
      <c r="P89" s="67"/>
      <c r="Q89" s="67"/>
      <c r="R89" s="17" t="s">
        <v>44</v>
      </c>
      <c r="S89" s="33">
        <v>28.92</v>
      </c>
      <c r="T89" s="1"/>
    </row>
    <row r="90" spans="1:20" ht="20.100000000000001" customHeight="1">
      <c r="A90" s="72" t="s">
        <v>86</v>
      </c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</row>
    <row r="91" spans="1:20" ht="25.5" customHeight="1">
      <c r="A91" s="79" t="s">
        <v>50</v>
      </c>
      <c r="B91" s="79"/>
      <c r="C91" s="79"/>
      <c r="D91" s="79"/>
      <c r="E91" s="79"/>
      <c r="F91" s="79"/>
      <c r="G91" s="79"/>
      <c r="H91" s="79"/>
      <c r="I91" s="80">
        <v>144.6</v>
      </c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</row>
    <row r="92" spans="1:20" ht="25.5" customHeight="1">
      <c r="A92" s="28" t="s">
        <v>15</v>
      </c>
      <c r="B92" s="5" t="s">
        <v>16</v>
      </c>
      <c r="C92" s="60" t="s">
        <v>17</v>
      </c>
      <c r="D92" s="60"/>
      <c r="E92" s="5" t="s">
        <v>18</v>
      </c>
      <c r="F92" s="75" t="s">
        <v>37</v>
      </c>
      <c r="G92" s="75"/>
      <c r="H92" s="29" t="s">
        <v>38</v>
      </c>
      <c r="I92" s="60" t="s">
        <v>21</v>
      </c>
      <c r="J92" s="60"/>
      <c r="K92" s="60"/>
      <c r="L92" s="60"/>
      <c r="M92" s="5" t="s">
        <v>22</v>
      </c>
      <c r="N92" s="30" t="s">
        <v>23</v>
      </c>
      <c r="O92" s="76" t="s">
        <v>39</v>
      </c>
      <c r="P92" s="76"/>
      <c r="Q92" s="76"/>
      <c r="R92" s="30" t="s">
        <v>25</v>
      </c>
      <c r="S92" s="29" t="s">
        <v>40</v>
      </c>
      <c r="T92" s="2"/>
    </row>
    <row r="93" spans="1:20" ht="21.95" customHeight="1">
      <c r="A93" s="7">
        <v>448295</v>
      </c>
      <c r="B93" s="8">
        <v>19645587</v>
      </c>
      <c r="C93" s="63" t="s">
        <v>51</v>
      </c>
      <c r="D93" s="63"/>
      <c r="E93" s="9" t="s">
        <v>28</v>
      </c>
      <c r="F93" s="64" t="s">
        <v>52</v>
      </c>
      <c r="G93" s="64"/>
      <c r="H93" s="11">
        <v>45658</v>
      </c>
      <c r="I93" s="81"/>
      <c r="J93" s="81"/>
      <c r="K93" s="81"/>
      <c r="L93" s="81"/>
      <c r="M93" s="35"/>
      <c r="N93" s="10" t="s">
        <v>42</v>
      </c>
      <c r="O93" s="64" t="s">
        <v>43</v>
      </c>
      <c r="P93" s="64"/>
      <c r="Q93" s="64"/>
      <c r="R93" s="10" t="s">
        <v>44</v>
      </c>
      <c r="S93" s="36">
        <v>28.92</v>
      </c>
      <c r="T93" s="2"/>
    </row>
    <row r="94" spans="1:20" ht="12.6" customHeight="1">
      <c r="A94" s="14">
        <v>439914</v>
      </c>
      <c r="B94" s="15">
        <v>19645587</v>
      </c>
      <c r="C94" s="66" t="s">
        <v>53</v>
      </c>
      <c r="D94" s="66"/>
      <c r="E94" s="16" t="s">
        <v>28</v>
      </c>
      <c r="F94" s="67" t="s">
        <v>29</v>
      </c>
      <c r="G94" s="67"/>
      <c r="H94" s="18">
        <v>45658</v>
      </c>
      <c r="I94" s="78"/>
      <c r="J94" s="78"/>
      <c r="K94" s="78"/>
      <c r="L94" s="78"/>
      <c r="M94" s="32"/>
      <c r="N94" s="17" t="s">
        <v>42</v>
      </c>
      <c r="O94" s="67" t="s">
        <v>43</v>
      </c>
      <c r="P94" s="67"/>
      <c r="Q94" s="67"/>
      <c r="R94" s="17" t="s">
        <v>44</v>
      </c>
      <c r="S94" s="33">
        <v>28.92</v>
      </c>
      <c r="T94" s="1"/>
    </row>
    <row r="95" spans="1:20" ht="20.100000000000001" customHeight="1">
      <c r="A95" s="72" t="s">
        <v>87</v>
      </c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</row>
    <row r="96" spans="1:20" ht="25.5" customHeight="1">
      <c r="A96" s="73" t="s">
        <v>55</v>
      </c>
      <c r="B96" s="73"/>
      <c r="C96" s="73"/>
      <c r="D96" s="73"/>
      <c r="E96" s="73"/>
      <c r="F96" s="73"/>
      <c r="G96" s="73"/>
      <c r="H96" s="73"/>
      <c r="I96" s="73"/>
      <c r="J96" s="80">
        <v>57.84</v>
      </c>
      <c r="K96" s="80"/>
      <c r="L96" s="80"/>
      <c r="M96" s="80"/>
      <c r="N96" s="80"/>
      <c r="O96" s="80"/>
      <c r="P96" s="80"/>
      <c r="Q96" s="80"/>
      <c r="R96" s="80"/>
      <c r="S96" s="80"/>
      <c r="T96" s="80"/>
    </row>
    <row r="97" spans="1:20" ht="25.5" customHeight="1">
      <c r="A97" s="28" t="s">
        <v>15</v>
      </c>
      <c r="B97" s="5" t="s">
        <v>16</v>
      </c>
      <c r="C97" s="60" t="s">
        <v>17</v>
      </c>
      <c r="D97" s="60"/>
      <c r="E97" s="5" t="s">
        <v>18</v>
      </c>
      <c r="F97" s="75" t="s">
        <v>37</v>
      </c>
      <c r="G97" s="75"/>
      <c r="H97" s="29" t="s">
        <v>38</v>
      </c>
      <c r="I97" s="60" t="s">
        <v>21</v>
      </c>
      <c r="J97" s="60"/>
      <c r="K97" s="60"/>
      <c r="L97" s="60"/>
      <c r="M97" s="5" t="s">
        <v>22</v>
      </c>
      <c r="N97" s="30" t="s">
        <v>23</v>
      </c>
      <c r="O97" s="76" t="s">
        <v>39</v>
      </c>
      <c r="P97" s="76"/>
      <c r="Q97" s="76"/>
      <c r="R97" s="30" t="s">
        <v>25</v>
      </c>
      <c r="S97" s="29" t="s">
        <v>40</v>
      </c>
      <c r="T97" s="2"/>
    </row>
    <row r="98" spans="1:20" ht="27.6" customHeight="1">
      <c r="A98" s="7">
        <v>444055</v>
      </c>
      <c r="B98" s="8">
        <v>19615078</v>
      </c>
      <c r="C98" s="63" t="s">
        <v>56</v>
      </c>
      <c r="D98" s="63"/>
      <c r="E98" s="9" t="s">
        <v>28</v>
      </c>
      <c r="F98" s="64" t="s">
        <v>29</v>
      </c>
      <c r="G98" s="64"/>
      <c r="H98" s="37">
        <v>45658</v>
      </c>
      <c r="I98" s="81"/>
      <c r="J98" s="81"/>
      <c r="K98" s="81"/>
      <c r="L98" s="81"/>
      <c r="M98" s="35"/>
      <c r="N98" s="10" t="s">
        <v>42</v>
      </c>
      <c r="O98" s="64" t="s">
        <v>43</v>
      </c>
      <c r="P98" s="64"/>
      <c r="Q98" s="64"/>
      <c r="R98" s="10" t="s">
        <v>44</v>
      </c>
      <c r="S98" s="40">
        <v>28.92</v>
      </c>
      <c r="T98" s="2"/>
    </row>
    <row r="99" spans="1:20" ht="12.75" customHeight="1">
      <c r="A99" s="72" t="s">
        <v>88</v>
      </c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</row>
    <row r="100" spans="1:20" ht="25.5" customHeight="1">
      <c r="A100" s="82" t="s">
        <v>58</v>
      </c>
      <c r="B100" s="82"/>
      <c r="C100" s="82"/>
      <c r="D100" s="82"/>
      <c r="E100" s="82"/>
      <c r="F100" s="82"/>
      <c r="G100" s="82"/>
      <c r="H100" s="82"/>
      <c r="I100" s="82"/>
      <c r="J100" s="82"/>
      <c r="K100" s="80">
        <v>28.92</v>
      </c>
      <c r="L100" s="80"/>
      <c r="M100" s="80"/>
      <c r="N100" s="80"/>
      <c r="O100" s="80"/>
      <c r="P100" s="80"/>
      <c r="Q100" s="80"/>
      <c r="R100" s="80"/>
      <c r="S100" s="80"/>
      <c r="T100" s="80"/>
    </row>
    <row r="101" spans="1:20" ht="25.5" customHeight="1">
      <c r="A101" s="28" t="s">
        <v>15</v>
      </c>
      <c r="B101" s="5" t="s">
        <v>16</v>
      </c>
      <c r="C101" s="60" t="s">
        <v>17</v>
      </c>
      <c r="D101" s="60"/>
      <c r="E101" s="5" t="s">
        <v>18</v>
      </c>
      <c r="F101" s="75" t="s">
        <v>37</v>
      </c>
      <c r="G101" s="75"/>
      <c r="H101" s="29" t="s">
        <v>38</v>
      </c>
      <c r="I101" s="60" t="s">
        <v>21</v>
      </c>
      <c r="J101" s="60"/>
      <c r="K101" s="60"/>
      <c r="L101" s="60"/>
      <c r="M101" s="30" t="s">
        <v>22</v>
      </c>
      <c r="N101" s="30" t="s">
        <v>23</v>
      </c>
      <c r="O101" s="76" t="s">
        <v>39</v>
      </c>
      <c r="P101" s="76"/>
      <c r="Q101" s="76"/>
      <c r="R101" s="30" t="s">
        <v>25</v>
      </c>
      <c r="S101" s="29" t="s">
        <v>40</v>
      </c>
      <c r="T101" s="2"/>
    </row>
    <row r="102" spans="1:20" ht="5.25" customHeight="1">
      <c r="A102" s="31"/>
      <c r="B102" s="31"/>
      <c r="C102" s="77"/>
      <c r="D102" s="77"/>
      <c r="E102" s="31"/>
      <c r="F102" s="77"/>
      <c r="G102" s="77"/>
      <c r="H102" s="31"/>
      <c r="I102" s="77"/>
      <c r="J102" s="77"/>
      <c r="K102" s="77"/>
      <c r="L102" s="77"/>
      <c r="M102" s="31"/>
      <c r="N102" s="31"/>
      <c r="O102" s="77"/>
      <c r="P102" s="77"/>
      <c r="Q102" s="77"/>
      <c r="R102" s="31"/>
      <c r="S102" s="31"/>
      <c r="T102" s="1"/>
    </row>
    <row r="103" spans="1:20" ht="12" customHeight="1">
      <c r="A103" s="14">
        <v>466228</v>
      </c>
      <c r="B103" s="15">
        <v>19586992</v>
      </c>
      <c r="C103" s="66" t="s">
        <v>59</v>
      </c>
      <c r="D103" s="66"/>
      <c r="E103" s="16" t="s">
        <v>28</v>
      </c>
      <c r="F103" s="67" t="s">
        <v>29</v>
      </c>
      <c r="G103" s="67"/>
      <c r="H103" s="18">
        <v>46023</v>
      </c>
      <c r="I103" s="83">
        <v>46053</v>
      </c>
      <c r="J103" s="83"/>
      <c r="K103" s="83"/>
      <c r="L103" s="83"/>
      <c r="M103" s="19">
        <v>13</v>
      </c>
      <c r="N103" s="17" t="s">
        <v>30</v>
      </c>
      <c r="O103" s="67" t="s">
        <v>31</v>
      </c>
      <c r="P103" s="67"/>
      <c r="Q103" s="67"/>
      <c r="R103" s="17" t="s">
        <v>32</v>
      </c>
      <c r="S103" s="20">
        <v>-347</v>
      </c>
      <c r="T103" s="1"/>
    </row>
    <row r="104" spans="1:20" ht="27.6" customHeight="1">
      <c r="A104" s="21">
        <v>473752</v>
      </c>
      <c r="B104" s="22">
        <v>19586992</v>
      </c>
      <c r="C104" s="69" t="s">
        <v>59</v>
      </c>
      <c r="D104" s="69"/>
      <c r="E104" s="23" t="s">
        <v>28</v>
      </c>
      <c r="F104" s="70" t="s">
        <v>29</v>
      </c>
      <c r="G104" s="70"/>
      <c r="H104" s="25">
        <v>46054</v>
      </c>
      <c r="I104" s="42"/>
      <c r="J104" s="42"/>
      <c r="K104" s="42"/>
      <c r="L104" s="42"/>
      <c r="M104" s="2"/>
      <c r="N104" s="24" t="s">
        <v>42</v>
      </c>
      <c r="O104" s="70" t="s">
        <v>60</v>
      </c>
      <c r="P104" s="70"/>
      <c r="Q104" s="70"/>
      <c r="R104" s="24" t="s">
        <v>44</v>
      </c>
      <c r="S104" s="34">
        <v>318.08</v>
      </c>
      <c r="T104" s="2"/>
    </row>
    <row r="105" spans="1:20" ht="12.75" customHeight="1">
      <c r="A105" s="72" t="s">
        <v>89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</row>
    <row r="106" spans="1:20" ht="25.5" customHeight="1">
      <c r="A106" s="82" t="s">
        <v>62</v>
      </c>
      <c r="B106" s="82"/>
      <c r="C106" s="82"/>
      <c r="D106" s="82"/>
      <c r="E106" s="82"/>
      <c r="F106" s="82"/>
      <c r="G106" s="82"/>
      <c r="H106" s="82"/>
      <c r="I106" s="82"/>
      <c r="J106" s="88">
        <v>-28.92</v>
      </c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r="107" spans="1:20" ht="25.5" customHeight="1">
      <c r="A107" s="28" t="s">
        <v>15</v>
      </c>
      <c r="B107" s="5" t="s">
        <v>16</v>
      </c>
      <c r="C107" s="60" t="s">
        <v>17</v>
      </c>
      <c r="D107" s="60"/>
      <c r="E107" s="5" t="s">
        <v>18</v>
      </c>
      <c r="F107" s="75" t="s">
        <v>37</v>
      </c>
      <c r="G107" s="75"/>
      <c r="H107" s="29" t="s">
        <v>38</v>
      </c>
      <c r="I107" s="60" t="s">
        <v>21</v>
      </c>
      <c r="J107" s="60"/>
      <c r="K107" s="60"/>
      <c r="L107" s="60"/>
      <c r="M107" s="30" t="s">
        <v>22</v>
      </c>
      <c r="N107" s="30" t="s">
        <v>23</v>
      </c>
      <c r="O107" s="76" t="s">
        <v>39</v>
      </c>
      <c r="P107" s="76"/>
      <c r="Q107" s="76"/>
      <c r="R107" s="30" t="s">
        <v>25</v>
      </c>
      <c r="S107" s="29" t="s">
        <v>40</v>
      </c>
      <c r="T107" s="2"/>
    </row>
    <row r="108" spans="1:20" ht="5.25" customHeight="1">
      <c r="A108" s="31"/>
      <c r="B108" s="31"/>
      <c r="C108" s="77"/>
      <c r="D108" s="77"/>
      <c r="E108" s="31"/>
      <c r="F108" s="77"/>
      <c r="G108" s="77"/>
      <c r="H108" s="31"/>
      <c r="I108" s="77"/>
      <c r="J108" s="77"/>
      <c r="K108" s="77"/>
      <c r="L108" s="77"/>
      <c r="M108" s="31"/>
      <c r="N108" s="31"/>
      <c r="O108" s="77"/>
      <c r="P108" s="77"/>
      <c r="Q108" s="77"/>
      <c r="R108" s="31"/>
      <c r="S108" s="31"/>
      <c r="T108" s="1"/>
    </row>
    <row r="109" spans="1:20" ht="12.6" customHeight="1">
      <c r="A109" s="14">
        <v>471984</v>
      </c>
      <c r="B109" s="15">
        <v>19200754</v>
      </c>
      <c r="C109" s="66" t="s">
        <v>63</v>
      </c>
      <c r="D109" s="66"/>
      <c r="E109" s="16" t="s">
        <v>28</v>
      </c>
      <c r="F109" s="67" t="s">
        <v>29</v>
      </c>
      <c r="G109" s="67"/>
      <c r="H109" s="38">
        <v>46023</v>
      </c>
      <c r="I109" s="83">
        <v>46053</v>
      </c>
      <c r="J109" s="83"/>
      <c r="K109" s="83"/>
      <c r="L109" s="83"/>
      <c r="M109" s="19">
        <v>13</v>
      </c>
      <c r="N109" s="17" t="s">
        <v>30</v>
      </c>
      <c r="O109" s="84" t="s">
        <v>31</v>
      </c>
      <c r="P109" s="84"/>
      <c r="Q109" s="84"/>
      <c r="R109" s="17" t="s">
        <v>32</v>
      </c>
      <c r="S109" s="39">
        <v>-347</v>
      </c>
      <c r="T109" s="1"/>
    </row>
    <row r="110" spans="1:20" ht="20.100000000000001" customHeight="1">
      <c r="A110" s="72" t="s">
        <v>90</v>
      </c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</row>
    <row r="111" spans="1:20" ht="25.5" customHeight="1">
      <c r="A111" s="73" t="s">
        <v>65</v>
      </c>
      <c r="B111" s="73"/>
      <c r="C111" s="73"/>
      <c r="D111" s="73"/>
      <c r="E111" s="73"/>
      <c r="F111" s="73"/>
      <c r="G111" s="73"/>
      <c r="H111" s="73"/>
      <c r="I111" s="73"/>
      <c r="J111" s="74">
        <v>-347</v>
      </c>
      <c r="K111" s="74"/>
      <c r="L111" s="74"/>
      <c r="M111" s="74"/>
      <c r="N111" s="74"/>
      <c r="O111" s="74"/>
      <c r="P111" s="74"/>
      <c r="Q111" s="74"/>
      <c r="R111" s="74"/>
      <c r="S111" s="74"/>
      <c r="T111" s="74"/>
    </row>
    <row r="112" spans="1:20" ht="25.5" customHeight="1">
      <c r="A112" s="28" t="s">
        <v>15</v>
      </c>
      <c r="B112" s="5" t="s">
        <v>16</v>
      </c>
      <c r="C112" s="60" t="s">
        <v>17</v>
      </c>
      <c r="D112" s="60"/>
      <c r="E112" s="5" t="s">
        <v>18</v>
      </c>
      <c r="F112" s="75" t="s">
        <v>37</v>
      </c>
      <c r="G112" s="75"/>
      <c r="H112" s="29" t="s">
        <v>38</v>
      </c>
      <c r="I112" s="60" t="s">
        <v>21</v>
      </c>
      <c r="J112" s="60"/>
      <c r="K112" s="60"/>
      <c r="L112" s="60"/>
      <c r="M112" s="5" t="s">
        <v>22</v>
      </c>
      <c r="N112" s="30" t="s">
        <v>23</v>
      </c>
      <c r="O112" s="76" t="s">
        <v>39</v>
      </c>
      <c r="P112" s="76"/>
      <c r="Q112" s="76"/>
      <c r="R112" s="30" t="s">
        <v>25</v>
      </c>
      <c r="S112" s="29" t="s">
        <v>40</v>
      </c>
      <c r="T112" s="2"/>
    </row>
    <row r="113" spans="1:20" ht="27.6" customHeight="1">
      <c r="A113" s="7">
        <v>446535</v>
      </c>
      <c r="B113" s="8">
        <v>17301495</v>
      </c>
      <c r="C113" s="63" t="s">
        <v>66</v>
      </c>
      <c r="D113" s="63"/>
      <c r="E113" s="9" t="s">
        <v>28</v>
      </c>
      <c r="F113" s="64" t="s">
        <v>29</v>
      </c>
      <c r="G113" s="64"/>
      <c r="H113" s="37">
        <v>45658</v>
      </c>
      <c r="I113" s="81"/>
      <c r="J113" s="81"/>
      <c r="K113" s="81"/>
      <c r="L113" s="81"/>
      <c r="M113" s="35"/>
      <c r="N113" s="10" t="s">
        <v>42</v>
      </c>
      <c r="O113" s="64" t="s">
        <v>43</v>
      </c>
      <c r="P113" s="64"/>
      <c r="Q113" s="64"/>
      <c r="R113" s="10" t="s">
        <v>44</v>
      </c>
      <c r="S113" s="40">
        <v>28.92</v>
      </c>
      <c r="T113" s="2"/>
    </row>
    <row r="114" spans="1:20" ht="12.75" customHeight="1">
      <c r="A114" s="72" t="s">
        <v>88</v>
      </c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</row>
    <row r="115" spans="1:20" ht="25.5" customHeight="1">
      <c r="A115" s="85" t="s">
        <v>67</v>
      </c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0">
        <v>28.92</v>
      </c>
      <c r="M115" s="80"/>
      <c r="N115" s="80"/>
      <c r="O115" s="80"/>
      <c r="P115" s="80"/>
      <c r="Q115" s="80"/>
      <c r="R115" s="80"/>
      <c r="S115" s="80"/>
      <c r="T115" s="80"/>
    </row>
    <row r="116" spans="1:20" ht="25.5" customHeight="1">
      <c r="A116" s="28" t="s">
        <v>15</v>
      </c>
      <c r="B116" s="5" t="s">
        <v>16</v>
      </c>
      <c r="C116" s="60" t="s">
        <v>17</v>
      </c>
      <c r="D116" s="60"/>
      <c r="E116" s="5" t="s">
        <v>18</v>
      </c>
      <c r="F116" s="75" t="s">
        <v>37</v>
      </c>
      <c r="G116" s="75"/>
      <c r="H116" s="29" t="s">
        <v>38</v>
      </c>
      <c r="I116" s="60" t="s">
        <v>21</v>
      </c>
      <c r="J116" s="60"/>
      <c r="K116" s="60"/>
      <c r="L116" s="60"/>
      <c r="M116" s="5" t="s">
        <v>22</v>
      </c>
      <c r="N116" s="30" t="s">
        <v>23</v>
      </c>
      <c r="O116" s="76" t="s">
        <v>39</v>
      </c>
      <c r="P116" s="76"/>
      <c r="Q116" s="76"/>
      <c r="R116" s="30" t="s">
        <v>25</v>
      </c>
      <c r="S116" s="29" t="s">
        <v>40</v>
      </c>
      <c r="T116" s="2"/>
    </row>
    <row r="117" spans="1:20" ht="5.25" customHeight="1">
      <c r="A117" s="31"/>
      <c r="B117" s="31"/>
      <c r="C117" s="77"/>
      <c r="D117" s="77"/>
      <c r="E117" s="31"/>
      <c r="F117" s="77"/>
      <c r="G117" s="77"/>
      <c r="H117" s="31"/>
      <c r="I117" s="77"/>
      <c r="J117" s="77"/>
      <c r="K117" s="77"/>
      <c r="L117" s="77"/>
      <c r="M117" s="31"/>
      <c r="N117" s="31"/>
      <c r="O117" s="77"/>
      <c r="P117" s="77"/>
      <c r="Q117" s="77"/>
      <c r="R117" s="31"/>
      <c r="S117" s="31"/>
      <c r="T117" s="1"/>
    </row>
    <row r="118" spans="1:20" ht="12" customHeight="1">
      <c r="A118" s="14">
        <v>447954</v>
      </c>
      <c r="B118" s="15">
        <v>16912722</v>
      </c>
      <c r="C118" s="66" t="s">
        <v>68</v>
      </c>
      <c r="D118" s="66"/>
      <c r="E118" s="16" t="s">
        <v>28</v>
      </c>
      <c r="F118" s="67" t="s">
        <v>29</v>
      </c>
      <c r="G118" s="67"/>
      <c r="H118" s="18">
        <v>45658</v>
      </c>
      <c r="I118" s="78"/>
      <c r="J118" s="78"/>
      <c r="K118" s="78"/>
      <c r="L118" s="78"/>
      <c r="M118" s="32"/>
      <c r="N118" s="17" t="s">
        <v>42</v>
      </c>
      <c r="O118" s="67" t="s">
        <v>43</v>
      </c>
      <c r="P118" s="67"/>
      <c r="Q118" s="67"/>
      <c r="R118" s="17" t="s">
        <v>44</v>
      </c>
      <c r="S118" s="33">
        <v>28.92</v>
      </c>
      <c r="T118" s="1"/>
    </row>
    <row r="119" spans="1:20" ht="21.95" customHeight="1">
      <c r="A119" s="21">
        <v>447955</v>
      </c>
      <c r="B119" s="22">
        <v>16912722</v>
      </c>
      <c r="C119" s="69" t="s">
        <v>69</v>
      </c>
      <c r="D119" s="69"/>
      <c r="E119" s="23" t="s">
        <v>28</v>
      </c>
      <c r="F119" s="70" t="s">
        <v>29</v>
      </c>
      <c r="G119" s="70"/>
      <c r="H119" s="25">
        <v>45658</v>
      </c>
      <c r="I119" s="42"/>
      <c r="J119" s="42"/>
      <c r="K119" s="42"/>
      <c r="L119" s="42"/>
      <c r="M119" s="2"/>
      <c r="N119" s="24" t="s">
        <v>42</v>
      </c>
      <c r="O119" s="70" t="s">
        <v>43</v>
      </c>
      <c r="P119" s="70"/>
      <c r="Q119" s="70"/>
      <c r="R119" s="24" t="s">
        <v>44</v>
      </c>
      <c r="S119" s="34">
        <v>28.92</v>
      </c>
      <c r="T119" s="2"/>
    </row>
    <row r="120" spans="1:20" ht="12" customHeight="1">
      <c r="A120" s="14">
        <v>448034</v>
      </c>
      <c r="B120" s="15">
        <v>16912722</v>
      </c>
      <c r="C120" s="66" t="s">
        <v>70</v>
      </c>
      <c r="D120" s="66"/>
      <c r="E120" s="16" t="s">
        <v>28</v>
      </c>
      <c r="F120" s="67" t="s">
        <v>29</v>
      </c>
      <c r="G120" s="67"/>
      <c r="H120" s="18">
        <v>45658</v>
      </c>
      <c r="I120" s="78"/>
      <c r="J120" s="78"/>
      <c r="K120" s="78"/>
      <c r="L120" s="78"/>
      <c r="M120" s="32"/>
      <c r="N120" s="17" t="s">
        <v>42</v>
      </c>
      <c r="O120" s="67" t="s">
        <v>43</v>
      </c>
      <c r="P120" s="67"/>
      <c r="Q120" s="67"/>
      <c r="R120" s="17" t="s">
        <v>44</v>
      </c>
      <c r="S120" s="33">
        <v>28.92</v>
      </c>
      <c r="T120" s="1"/>
    </row>
    <row r="121" spans="1:20" ht="27.6" customHeight="1">
      <c r="A121" s="21">
        <v>447701</v>
      </c>
      <c r="B121" s="22">
        <v>16912722</v>
      </c>
      <c r="C121" s="69" t="s">
        <v>71</v>
      </c>
      <c r="D121" s="69"/>
      <c r="E121" s="23" t="s">
        <v>28</v>
      </c>
      <c r="F121" s="70" t="s">
        <v>29</v>
      </c>
      <c r="G121" s="70"/>
      <c r="H121" s="25">
        <v>45658</v>
      </c>
      <c r="I121" s="42"/>
      <c r="J121" s="42"/>
      <c r="K121" s="42"/>
      <c r="L121" s="42"/>
      <c r="M121" s="2"/>
      <c r="N121" s="24" t="s">
        <v>42</v>
      </c>
      <c r="O121" s="70" t="s">
        <v>43</v>
      </c>
      <c r="P121" s="70"/>
      <c r="Q121" s="70"/>
      <c r="R121" s="24" t="s">
        <v>44</v>
      </c>
      <c r="S121" s="34">
        <v>28.92</v>
      </c>
      <c r="T121" s="2"/>
    </row>
    <row r="122" spans="1:20" ht="12.75" customHeight="1">
      <c r="A122" s="72" t="s">
        <v>91</v>
      </c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</row>
    <row r="123" spans="1:20" ht="25.5" customHeight="1">
      <c r="A123" s="82" t="s">
        <v>73</v>
      </c>
      <c r="B123" s="82"/>
      <c r="C123" s="82"/>
      <c r="D123" s="82"/>
      <c r="E123" s="82"/>
      <c r="F123" s="82"/>
      <c r="G123" s="82"/>
      <c r="H123" s="82"/>
      <c r="I123" s="82"/>
      <c r="J123" s="82"/>
      <c r="K123" s="80">
        <v>115.68</v>
      </c>
      <c r="L123" s="80"/>
      <c r="M123" s="80"/>
      <c r="N123" s="80"/>
      <c r="O123" s="80"/>
      <c r="P123" s="80"/>
      <c r="Q123" s="80"/>
      <c r="R123" s="80"/>
      <c r="S123" s="80"/>
      <c r="T123" s="80"/>
    </row>
    <row r="124" spans="1:20" ht="25.5" customHeight="1">
      <c r="A124" s="28" t="s">
        <v>15</v>
      </c>
      <c r="B124" s="5" t="s">
        <v>16</v>
      </c>
      <c r="C124" s="60" t="s">
        <v>17</v>
      </c>
      <c r="D124" s="60"/>
      <c r="E124" s="5" t="s">
        <v>18</v>
      </c>
      <c r="F124" s="75" t="s">
        <v>37</v>
      </c>
      <c r="G124" s="75"/>
      <c r="H124" s="29" t="s">
        <v>38</v>
      </c>
      <c r="I124" s="60" t="s">
        <v>21</v>
      </c>
      <c r="J124" s="60"/>
      <c r="K124" s="60"/>
      <c r="L124" s="60"/>
      <c r="M124" s="5" t="s">
        <v>22</v>
      </c>
      <c r="N124" s="30" t="s">
        <v>23</v>
      </c>
      <c r="O124" s="76" t="s">
        <v>39</v>
      </c>
      <c r="P124" s="76"/>
      <c r="Q124" s="76"/>
      <c r="R124" s="30" t="s">
        <v>25</v>
      </c>
      <c r="S124" s="29" t="s">
        <v>40</v>
      </c>
      <c r="T124" s="2"/>
    </row>
    <row r="125" spans="1:20" ht="5.25" customHeight="1">
      <c r="A125" s="31"/>
      <c r="B125" s="31"/>
      <c r="C125" s="77"/>
      <c r="D125" s="77"/>
      <c r="E125" s="31"/>
      <c r="F125" s="77"/>
      <c r="G125" s="77"/>
      <c r="H125" s="31"/>
      <c r="I125" s="77"/>
      <c r="J125" s="77"/>
      <c r="K125" s="77"/>
      <c r="L125" s="77"/>
      <c r="M125" s="31"/>
      <c r="N125" s="31"/>
      <c r="O125" s="77"/>
      <c r="P125" s="77"/>
      <c r="Q125" s="77"/>
      <c r="R125" s="31"/>
      <c r="S125" s="31"/>
      <c r="T125" s="1"/>
    </row>
    <row r="126" spans="1:20" ht="12" customHeight="1">
      <c r="A126" s="14">
        <v>446217</v>
      </c>
      <c r="B126" s="15">
        <v>16633294</v>
      </c>
      <c r="C126" s="66" t="s">
        <v>74</v>
      </c>
      <c r="D126" s="66"/>
      <c r="E126" s="16" t="s">
        <v>28</v>
      </c>
      <c r="F126" s="67" t="s">
        <v>29</v>
      </c>
      <c r="G126" s="67"/>
      <c r="H126" s="18">
        <v>45658</v>
      </c>
      <c r="I126" s="78"/>
      <c r="J126" s="78"/>
      <c r="K126" s="78"/>
      <c r="L126" s="78"/>
      <c r="M126" s="32"/>
      <c r="N126" s="17" t="s">
        <v>42</v>
      </c>
      <c r="O126" s="67" t="s">
        <v>43</v>
      </c>
      <c r="P126" s="67"/>
      <c r="Q126" s="67"/>
      <c r="R126" s="17" t="s">
        <v>44</v>
      </c>
      <c r="S126" s="33">
        <v>28.92</v>
      </c>
      <c r="T126" s="1"/>
    </row>
    <row r="127" spans="1:20" ht="21.95" customHeight="1">
      <c r="A127" s="21">
        <v>443286</v>
      </c>
      <c r="B127" s="22">
        <v>16633294</v>
      </c>
      <c r="C127" s="69" t="s">
        <v>76</v>
      </c>
      <c r="D127" s="69"/>
      <c r="E127" s="23" t="s">
        <v>28</v>
      </c>
      <c r="F127" s="70" t="s">
        <v>29</v>
      </c>
      <c r="G127" s="70"/>
      <c r="H127" s="25">
        <v>45658</v>
      </c>
      <c r="I127" s="42"/>
      <c r="J127" s="42"/>
      <c r="K127" s="42"/>
      <c r="L127" s="42"/>
      <c r="M127" s="2"/>
      <c r="N127" s="24" t="s">
        <v>42</v>
      </c>
      <c r="O127" s="70" t="s">
        <v>43</v>
      </c>
      <c r="P127" s="70"/>
      <c r="Q127" s="70"/>
      <c r="R127" s="24" t="s">
        <v>44</v>
      </c>
      <c r="S127" s="34">
        <v>28.92</v>
      </c>
      <c r="T127" s="2"/>
    </row>
    <row r="128" spans="1:20" ht="12" customHeight="1">
      <c r="A128" s="14">
        <v>443292</v>
      </c>
      <c r="B128" s="15">
        <v>16633294</v>
      </c>
      <c r="C128" s="66" t="s">
        <v>75</v>
      </c>
      <c r="D128" s="66"/>
      <c r="E128" s="16" t="s">
        <v>28</v>
      </c>
      <c r="F128" s="67" t="s">
        <v>29</v>
      </c>
      <c r="G128" s="67"/>
      <c r="H128" s="18">
        <v>45658</v>
      </c>
      <c r="I128" s="78"/>
      <c r="J128" s="78"/>
      <c r="K128" s="78"/>
      <c r="L128" s="78"/>
      <c r="M128" s="32"/>
      <c r="N128" s="17" t="s">
        <v>42</v>
      </c>
      <c r="O128" s="67" t="s">
        <v>43</v>
      </c>
      <c r="P128" s="67"/>
      <c r="Q128" s="67"/>
      <c r="R128" s="17" t="s">
        <v>44</v>
      </c>
      <c r="S128" s="33">
        <v>28.92</v>
      </c>
      <c r="T128" s="1"/>
    </row>
    <row r="129" spans="1:20" ht="21.95" customHeight="1">
      <c r="A129" s="21">
        <v>444212</v>
      </c>
      <c r="B129" s="22">
        <v>16633294</v>
      </c>
      <c r="C129" s="69" t="s">
        <v>77</v>
      </c>
      <c r="D129" s="69"/>
      <c r="E129" s="23" t="s">
        <v>28</v>
      </c>
      <c r="F129" s="70" t="s">
        <v>29</v>
      </c>
      <c r="G129" s="70"/>
      <c r="H129" s="25">
        <v>45658</v>
      </c>
      <c r="I129" s="42"/>
      <c r="J129" s="42"/>
      <c r="K129" s="42"/>
      <c r="L129" s="42"/>
      <c r="M129" s="2"/>
      <c r="N129" s="24" t="s">
        <v>42</v>
      </c>
      <c r="O129" s="70" t="s">
        <v>43</v>
      </c>
      <c r="P129" s="70"/>
      <c r="Q129" s="70"/>
      <c r="R129" s="24" t="s">
        <v>44</v>
      </c>
      <c r="S129" s="34">
        <v>28.92</v>
      </c>
      <c r="T129" s="2"/>
    </row>
    <row r="130" spans="1:20" ht="12" customHeight="1">
      <c r="A130" s="14">
        <v>443209</v>
      </c>
      <c r="B130" s="15">
        <v>16633294</v>
      </c>
      <c r="C130" s="66" t="s">
        <v>78</v>
      </c>
      <c r="D130" s="66"/>
      <c r="E130" s="16" t="s">
        <v>28</v>
      </c>
      <c r="F130" s="67" t="s">
        <v>29</v>
      </c>
      <c r="G130" s="67"/>
      <c r="H130" s="18">
        <v>45658</v>
      </c>
      <c r="I130" s="78"/>
      <c r="J130" s="78"/>
      <c r="K130" s="78"/>
      <c r="L130" s="78"/>
      <c r="M130" s="32"/>
      <c r="N130" s="17" t="s">
        <v>42</v>
      </c>
      <c r="O130" s="67" t="s">
        <v>43</v>
      </c>
      <c r="P130" s="67"/>
      <c r="Q130" s="67"/>
      <c r="R130" s="17" t="s">
        <v>44</v>
      </c>
      <c r="S130" s="33">
        <v>28.92</v>
      </c>
      <c r="T130" s="1"/>
    </row>
    <row r="131" spans="1:20" ht="21.95" customHeight="1">
      <c r="A131" s="21">
        <v>440990</v>
      </c>
      <c r="B131" s="22">
        <v>16633294</v>
      </c>
      <c r="C131" s="69" t="s">
        <v>79</v>
      </c>
      <c r="D131" s="69"/>
      <c r="E131" s="23" t="s">
        <v>28</v>
      </c>
      <c r="F131" s="70" t="s">
        <v>29</v>
      </c>
      <c r="G131" s="70"/>
      <c r="H131" s="25">
        <v>45658</v>
      </c>
      <c r="I131" s="42"/>
      <c r="J131" s="42"/>
      <c r="K131" s="42"/>
      <c r="L131" s="42"/>
      <c r="M131" s="2"/>
      <c r="N131" s="24" t="s">
        <v>42</v>
      </c>
      <c r="O131" s="70" t="s">
        <v>43</v>
      </c>
      <c r="P131" s="70"/>
      <c r="Q131" s="70"/>
      <c r="R131" s="24" t="s">
        <v>44</v>
      </c>
      <c r="S131" s="34">
        <v>28.92</v>
      </c>
      <c r="T131" s="2"/>
    </row>
    <row r="132" spans="1:20" ht="12" customHeight="1">
      <c r="A132" s="14">
        <v>445753</v>
      </c>
      <c r="B132" s="15">
        <v>16633294</v>
      </c>
      <c r="C132" s="66" t="s">
        <v>80</v>
      </c>
      <c r="D132" s="66"/>
      <c r="E132" s="16" t="s">
        <v>28</v>
      </c>
      <c r="F132" s="67" t="s">
        <v>29</v>
      </c>
      <c r="G132" s="67"/>
      <c r="H132" s="18">
        <v>45658</v>
      </c>
      <c r="I132" s="78"/>
      <c r="J132" s="78"/>
      <c r="K132" s="78"/>
      <c r="L132" s="78"/>
      <c r="M132" s="32"/>
      <c r="N132" s="17" t="s">
        <v>42</v>
      </c>
      <c r="O132" s="67" t="s">
        <v>43</v>
      </c>
      <c r="P132" s="67"/>
      <c r="Q132" s="67"/>
      <c r="R132" s="17" t="s">
        <v>44</v>
      </c>
      <c r="S132" s="33">
        <v>28.92</v>
      </c>
      <c r="T132" s="1"/>
    </row>
    <row r="133" spans="1:20" ht="21.95" customHeight="1">
      <c r="A133" s="21">
        <v>446673</v>
      </c>
      <c r="B133" s="22">
        <v>16633294</v>
      </c>
      <c r="C133" s="69" t="s">
        <v>81</v>
      </c>
      <c r="D133" s="69"/>
      <c r="E133" s="23" t="s">
        <v>28</v>
      </c>
      <c r="F133" s="70" t="s">
        <v>29</v>
      </c>
      <c r="G133" s="70"/>
      <c r="H133" s="25">
        <v>45658</v>
      </c>
      <c r="I133" s="42"/>
      <c r="J133" s="42"/>
      <c r="K133" s="42"/>
      <c r="L133" s="42"/>
      <c r="M133" s="2"/>
      <c r="N133" s="24" t="s">
        <v>42</v>
      </c>
      <c r="O133" s="70" t="s">
        <v>43</v>
      </c>
      <c r="P133" s="70"/>
      <c r="Q133" s="70"/>
      <c r="R133" s="24" t="s">
        <v>44</v>
      </c>
      <c r="S133" s="34">
        <v>28.92</v>
      </c>
      <c r="T133" s="2"/>
    </row>
    <row r="134" spans="1:20" ht="12.6" customHeight="1">
      <c r="A134" s="14">
        <v>447931</v>
      </c>
      <c r="B134" s="15">
        <v>16633294</v>
      </c>
      <c r="C134" s="66" t="s">
        <v>82</v>
      </c>
      <c r="D134" s="66"/>
      <c r="E134" s="16" t="s">
        <v>28</v>
      </c>
      <c r="F134" s="67" t="s">
        <v>29</v>
      </c>
      <c r="G134" s="67"/>
      <c r="H134" s="18">
        <v>45658</v>
      </c>
      <c r="I134" s="78"/>
      <c r="J134" s="78"/>
      <c r="K134" s="78"/>
      <c r="L134" s="78"/>
      <c r="M134" s="32"/>
      <c r="N134" s="17" t="s">
        <v>42</v>
      </c>
      <c r="O134" s="67" t="s">
        <v>43</v>
      </c>
      <c r="P134" s="67"/>
      <c r="Q134" s="67"/>
      <c r="R134" s="17" t="s">
        <v>44</v>
      </c>
      <c r="S134" s="33">
        <v>28.92</v>
      </c>
      <c r="T134" s="1"/>
    </row>
    <row r="135" spans="1:20" ht="20.100000000000001" customHeight="1">
      <c r="A135" s="72" t="s">
        <v>92</v>
      </c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</row>
    <row r="136" spans="1:20" ht="25.5" customHeight="1">
      <c r="A136" s="73" t="s">
        <v>84</v>
      </c>
      <c r="B136" s="73"/>
      <c r="C136" s="73"/>
      <c r="D136" s="73"/>
      <c r="E136" s="73"/>
      <c r="F136" s="73"/>
      <c r="G136" s="73"/>
      <c r="H136" s="73"/>
      <c r="I136" s="80">
        <v>260.27999999999997</v>
      </c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</row>
    <row r="137" spans="1:20" ht="15.75" customHeight="1">
      <c r="A137" s="89" t="s">
        <v>93</v>
      </c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</row>
  </sheetData>
  <mergeCells count="435">
    <mergeCell ref="A135:T135"/>
    <mergeCell ref="A136:H136"/>
    <mergeCell ref="I136:T136"/>
    <mergeCell ref="A137:T137"/>
    <mergeCell ref="C132:D132"/>
    <mergeCell ref="F132:G132"/>
    <mergeCell ref="I132:L132"/>
    <mergeCell ref="O132:Q132"/>
    <mergeCell ref="C133:D133"/>
    <mergeCell ref="F133:G133"/>
    <mergeCell ref="I133:L133"/>
    <mergeCell ref="O133:Q133"/>
    <mergeCell ref="C134:D134"/>
    <mergeCell ref="F134:G134"/>
    <mergeCell ref="I134:L134"/>
    <mergeCell ref="O134:Q134"/>
    <mergeCell ref="C129:D129"/>
    <mergeCell ref="F129:G129"/>
    <mergeCell ref="I129:L129"/>
    <mergeCell ref="O129:Q129"/>
    <mergeCell ref="C130:D130"/>
    <mergeCell ref="F130:G130"/>
    <mergeCell ref="I130:L130"/>
    <mergeCell ref="O130:Q130"/>
    <mergeCell ref="C131:D131"/>
    <mergeCell ref="F131:G131"/>
    <mergeCell ref="I131:L131"/>
    <mergeCell ref="O131:Q131"/>
    <mergeCell ref="C126:D126"/>
    <mergeCell ref="F126:G126"/>
    <mergeCell ref="I126:L126"/>
    <mergeCell ref="O126:Q126"/>
    <mergeCell ref="C127:D127"/>
    <mergeCell ref="F127:G127"/>
    <mergeCell ref="I127:L127"/>
    <mergeCell ref="O127:Q127"/>
    <mergeCell ref="C128:D128"/>
    <mergeCell ref="F128:G128"/>
    <mergeCell ref="I128:L128"/>
    <mergeCell ref="O128:Q128"/>
    <mergeCell ref="A123:J123"/>
    <mergeCell ref="K123:T123"/>
    <mergeCell ref="C124:D124"/>
    <mergeCell ref="F124:G124"/>
    <mergeCell ref="I124:L124"/>
    <mergeCell ref="O124:Q124"/>
    <mergeCell ref="C125:D125"/>
    <mergeCell ref="F125:G125"/>
    <mergeCell ref="I125:L125"/>
    <mergeCell ref="O125:Q125"/>
    <mergeCell ref="C120:D120"/>
    <mergeCell ref="F120:G120"/>
    <mergeCell ref="I120:L120"/>
    <mergeCell ref="O120:Q120"/>
    <mergeCell ref="C121:D121"/>
    <mergeCell ref="F121:G121"/>
    <mergeCell ref="I121:L121"/>
    <mergeCell ref="O121:Q121"/>
    <mergeCell ref="A122:T122"/>
    <mergeCell ref="C117:D117"/>
    <mergeCell ref="F117:G117"/>
    <mergeCell ref="I117:L117"/>
    <mergeCell ref="O117:Q117"/>
    <mergeCell ref="C118:D118"/>
    <mergeCell ref="F118:G118"/>
    <mergeCell ref="I118:L118"/>
    <mergeCell ref="O118:Q118"/>
    <mergeCell ref="C119:D119"/>
    <mergeCell ref="F119:G119"/>
    <mergeCell ref="I119:L119"/>
    <mergeCell ref="O119:Q119"/>
    <mergeCell ref="C113:D113"/>
    <mergeCell ref="F113:G113"/>
    <mergeCell ref="I113:L113"/>
    <mergeCell ref="O113:Q113"/>
    <mergeCell ref="A114:T114"/>
    <mergeCell ref="A115:K115"/>
    <mergeCell ref="L115:T115"/>
    <mergeCell ref="C116:D116"/>
    <mergeCell ref="F116:G116"/>
    <mergeCell ref="I116:L116"/>
    <mergeCell ref="O116:Q116"/>
    <mergeCell ref="C109:D109"/>
    <mergeCell ref="F109:G109"/>
    <mergeCell ref="I109:L109"/>
    <mergeCell ref="O109:Q109"/>
    <mergeCell ref="A110:T110"/>
    <mergeCell ref="A111:I111"/>
    <mergeCell ref="J111:T111"/>
    <mergeCell ref="C112:D112"/>
    <mergeCell ref="F112:G112"/>
    <mergeCell ref="I112:L112"/>
    <mergeCell ref="O112:Q112"/>
    <mergeCell ref="A105:T105"/>
    <mergeCell ref="A106:I106"/>
    <mergeCell ref="J106:T106"/>
    <mergeCell ref="C107:D107"/>
    <mergeCell ref="F107:G107"/>
    <mergeCell ref="I107:L107"/>
    <mergeCell ref="O107:Q107"/>
    <mergeCell ref="C108:D108"/>
    <mergeCell ref="F108:G108"/>
    <mergeCell ref="I108:L108"/>
    <mergeCell ref="O108:Q108"/>
    <mergeCell ref="C102:D102"/>
    <mergeCell ref="F102:G102"/>
    <mergeCell ref="I102:L102"/>
    <mergeCell ref="O102:Q102"/>
    <mergeCell ref="C103:D103"/>
    <mergeCell ref="F103:G103"/>
    <mergeCell ref="I103:L103"/>
    <mergeCell ref="O103:Q103"/>
    <mergeCell ref="C104:D104"/>
    <mergeCell ref="F104:G104"/>
    <mergeCell ref="I104:L104"/>
    <mergeCell ref="O104:Q104"/>
    <mergeCell ref="C98:D98"/>
    <mergeCell ref="F98:G98"/>
    <mergeCell ref="I98:L98"/>
    <mergeCell ref="O98:Q98"/>
    <mergeCell ref="A99:T99"/>
    <mergeCell ref="A100:J100"/>
    <mergeCell ref="K100:T100"/>
    <mergeCell ref="C101:D101"/>
    <mergeCell ref="F101:G101"/>
    <mergeCell ref="I101:L101"/>
    <mergeCell ref="O101:Q101"/>
    <mergeCell ref="C94:D94"/>
    <mergeCell ref="F94:G94"/>
    <mergeCell ref="I94:L94"/>
    <mergeCell ref="O94:Q94"/>
    <mergeCell ref="A95:T95"/>
    <mergeCell ref="A96:I96"/>
    <mergeCell ref="J96:T96"/>
    <mergeCell ref="C97:D97"/>
    <mergeCell ref="F97:G97"/>
    <mergeCell ref="I97:L97"/>
    <mergeCell ref="O97:Q97"/>
    <mergeCell ref="A91:H91"/>
    <mergeCell ref="I91:T91"/>
    <mergeCell ref="C92:D92"/>
    <mergeCell ref="F92:G92"/>
    <mergeCell ref="I92:L92"/>
    <mergeCell ref="O92:Q92"/>
    <mergeCell ref="C93:D93"/>
    <mergeCell ref="F93:G93"/>
    <mergeCell ref="I93:L93"/>
    <mergeCell ref="O93:Q93"/>
    <mergeCell ref="C88:D88"/>
    <mergeCell ref="F88:G88"/>
    <mergeCell ref="I88:L88"/>
    <mergeCell ref="O88:Q88"/>
    <mergeCell ref="C89:D89"/>
    <mergeCell ref="F89:G89"/>
    <mergeCell ref="I89:L89"/>
    <mergeCell ref="O89:Q89"/>
    <mergeCell ref="A90:T90"/>
    <mergeCell ref="C85:D85"/>
    <mergeCell ref="F85:G85"/>
    <mergeCell ref="I85:L85"/>
    <mergeCell ref="O85:Q85"/>
    <mergeCell ref="C86:D86"/>
    <mergeCell ref="F86:G86"/>
    <mergeCell ref="I86:L86"/>
    <mergeCell ref="O86:Q86"/>
    <mergeCell ref="C87:D87"/>
    <mergeCell ref="F87:G87"/>
    <mergeCell ref="I87:L87"/>
    <mergeCell ref="O87:Q87"/>
    <mergeCell ref="A82:H82"/>
    <mergeCell ref="I82:T82"/>
    <mergeCell ref="C83:D83"/>
    <mergeCell ref="F83:G83"/>
    <mergeCell ref="I83:L83"/>
    <mergeCell ref="O83:Q83"/>
    <mergeCell ref="C84:D84"/>
    <mergeCell ref="F84:G84"/>
    <mergeCell ref="I84:L84"/>
    <mergeCell ref="O84:Q84"/>
    <mergeCell ref="C79:D79"/>
    <mergeCell ref="F79:G79"/>
    <mergeCell ref="I79:L79"/>
    <mergeCell ref="O79:Q79"/>
    <mergeCell ref="C80:D80"/>
    <mergeCell ref="F80:G80"/>
    <mergeCell ref="I80:L80"/>
    <mergeCell ref="O80:Q80"/>
    <mergeCell ref="A81:T81"/>
    <mergeCell ref="A75:T75"/>
    <mergeCell ref="A76:H76"/>
    <mergeCell ref="I76:T76"/>
    <mergeCell ref="C77:D77"/>
    <mergeCell ref="F77:G77"/>
    <mergeCell ref="I77:L77"/>
    <mergeCell ref="O77:Q77"/>
    <mergeCell ref="C78:D78"/>
    <mergeCell ref="F78:G78"/>
    <mergeCell ref="I78:L78"/>
    <mergeCell ref="O78:Q78"/>
    <mergeCell ref="C72:D72"/>
    <mergeCell ref="F72:G72"/>
    <mergeCell ref="I72:L72"/>
    <mergeCell ref="O72:Q72"/>
    <mergeCell ref="C73:D73"/>
    <mergeCell ref="F73:G73"/>
    <mergeCell ref="I73:L73"/>
    <mergeCell ref="O73:Q73"/>
    <mergeCell ref="C74:D74"/>
    <mergeCell ref="F74:G74"/>
    <mergeCell ref="I74:L74"/>
    <mergeCell ref="O74:Q74"/>
    <mergeCell ref="C69:D69"/>
    <mergeCell ref="F69:G69"/>
    <mergeCell ref="I69:L69"/>
    <mergeCell ref="O69:Q69"/>
    <mergeCell ref="C70:D70"/>
    <mergeCell ref="F70:G70"/>
    <mergeCell ref="I70:L70"/>
    <mergeCell ref="O70:Q70"/>
    <mergeCell ref="C71:D71"/>
    <mergeCell ref="F71:G71"/>
    <mergeCell ref="I71:L71"/>
    <mergeCell ref="O71:Q71"/>
    <mergeCell ref="C66:D66"/>
    <mergeCell ref="F66:G66"/>
    <mergeCell ref="I66:L66"/>
    <mergeCell ref="O66:Q66"/>
    <mergeCell ref="C67:D67"/>
    <mergeCell ref="F67:G67"/>
    <mergeCell ref="I67:L67"/>
    <mergeCell ref="O67:Q67"/>
    <mergeCell ref="C68:D68"/>
    <mergeCell ref="F68:G68"/>
    <mergeCell ref="I68:L68"/>
    <mergeCell ref="O68:Q68"/>
    <mergeCell ref="A63:J63"/>
    <mergeCell ref="K63:T63"/>
    <mergeCell ref="C64:D64"/>
    <mergeCell ref="F64:G64"/>
    <mergeCell ref="I64:L64"/>
    <mergeCell ref="O64:Q64"/>
    <mergeCell ref="C65:D65"/>
    <mergeCell ref="F65:G65"/>
    <mergeCell ref="I65:L65"/>
    <mergeCell ref="O65:Q65"/>
    <mergeCell ref="C60:D60"/>
    <mergeCell ref="F60:G60"/>
    <mergeCell ref="I60:L60"/>
    <mergeCell ref="O60:Q60"/>
    <mergeCell ref="C61:D61"/>
    <mergeCell ref="F61:G61"/>
    <mergeCell ref="I61:L61"/>
    <mergeCell ref="O61:Q61"/>
    <mergeCell ref="A62:T62"/>
    <mergeCell ref="C57:D57"/>
    <mergeCell ref="F57:G57"/>
    <mergeCell ref="I57:L57"/>
    <mergeCell ref="O57:Q57"/>
    <mergeCell ref="C58:D58"/>
    <mergeCell ref="F58:G58"/>
    <mergeCell ref="I58:L58"/>
    <mergeCell ref="O58:Q58"/>
    <mergeCell ref="C59:D59"/>
    <mergeCell ref="F59:G59"/>
    <mergeCell ref="I59:L59"/>
    <mergeCell ref="O59:Q59"/>
    <mergeCell ref="C53:D53"/>
    <mergeCell ref="F53:G53"/>
    <mergeCell ref="I53:L53"/>
    <mergeCell ref="O53:Q53"/>
    <mergeCell ref="A54:T54"/>
    <mergeCell ref="A55:K55"/>
    <mergeCell ref="L55:T55"/>
    <mergeCell ref="C56:D56"/>
    <mergeCell ref="F56:G56"/>
    <mergeCell ref="I56:L56"/>
    <mergeCell ref="O56:Q56"/>
    <mergeCell ref="C49:D49"/>
    <mergeCell ref="F49:G49"/>
    <mergeCell ref="I49:L49"/>
    <mergeCell ref="O49:Q49"/>
    <mergeCell ref="A50:T50"/>
    <mergeCell ref="A51:I51"/>
    <mergeCell ref="J51:T51"/>
    <mergeCell ref="C52:D52"/>
    <mergeCell ref="F52:G52"/>
    <mergeCell ref="I52:L52"/>
    <mergeCell ref="O52:Q52"/>
    <mergeCell ref="A45:T45"/>
    <mergeCell ref="A46:I46"/>
    <mergeCell ref="J46:T46"/>
    <mergeCell ref="C47:D47"/>
    <mergeCell ref="F47:G47"/>
    <mergeCell ref="I47:L47"/>
    <mergeCell ref="O47:Q47"/>
    <mergeCell ref="C48:D48"/>
    <mergeCell ref="F48:G48"/>
    <mergeCell ref="I48:L48"/>
    <mergeCell ref="O48:Q48"/>
    <mergeCell ref="C42:D42"/>
    <mergeCell ref="F42:G42"/>
    <mergeCell ref="I42:L42"/>
    <mergeCell ref="O42:Q42"/>
    <mergeCell ref="C43:D43"/>
    <mergeCell ref="F43:G43"/>
    <mergeCell ref="I43:L43"/>
    <mergeCell ref="O43:Q43"/>
    <mergeCell ref="C44:D44"/>
    <mergeCell ref="F44:G44"/>
    <mergeCell ref="I44:L44"/>
    <mergeCell ref="O44:Q44"/>
    <mergeCell ref="C38:D38"/>
    <mergeCell ref="F38:G38"/>
    <mergeCell ref="I38:L38"/>
    <mergeCell ref="O38:Q38"/>
    <mergeCell ref="A39:T39"/>
    <mergeCell ref="A40:J40"/>
    <mergeCell ref="K40:T40"/>
    <mergeCell ref="C41:D41"/>
    <mergeCell ref="F41:G41"/>
    <mergeCell ref="I41:L41"/>
    <mergeCell ref="O41:Q41"/>
    <mergeCell ref="C34:D34"/>
    <mergeCell ref="F34:G34"/>
    <mergeCell ref="I34:L34"/>
    <mergeCell ref="O34:Q34"/>
    <mergeCell ref="A35:T35"/>
    <mergeCell ref="A36:I36"/>
    <mergeCell ref="J36:T36"/>
    <mergeCell ref="C37:D37"/>
    <mergeCell ref="F37:G37"/>
    <mergeCell ref="I37:L37"/>
    <mergeCell ref="O37:Q37"/>
    <mergeCell ref="A31:H31"/>
    <mergeCell ref="I31:T31"/>
    <mergeCell ref="C32:D32"/>
    <mergeCell ref="F32:G32"/>
    <mergeCell ref="I32:L32"/>
    <mergeCell ref="O32:Q32"/>
    <mergeCell ref="C33:D33"/>
    <mergeCell ref="F33:G33"/>
    <mergeCell ref="I33:L33"/>
    <mergeCell ref="O33:Q33"/>
    <mergeCell ref="C28:D28"/>
    <mergeCell ref="F28:G28"/>
    <mergeCell ref="I28:L28"/>
    <mergeCell ref="O28:Q28"/>
    <mergeCell ref="C29:D29"/>
    <mergeCell ref="F29:G29"/>
    <mergeCell ref="I29:L29"/>
    <mergeCell ref="O29:Q29"/>
    <mergeCell ref="A30:T30"/>
    <mergeCell ref="C25:D25"/>
    <mergeCell ref="F25:G25"/>
    <mergeCell ref="I25:L25"/>
    <mergeCell ref="O25:Q25"/>
    <mergeCell ref="C26:D26"/>
    <mergeCell ref="F26:G26"/>
    <mergeCell ref="I26:L26"/>
    <mergeCell ref="O26:Q26"/>
    <mergeCell ref="C27:D27"/>
    <mergeCell ref="F27:G27"/>
    <mergeCell ref="I27:L27"/>
    <mergeCell ref="O27:Q27"/>
    <mergeCell ref="A22:H22"/>
    <mergeCell ref="I22:T22"/>
    <mergeCell ref="C23:D23"/>
    <mergeCell ref="F23:G23"/>
    <mergeCell ref="I23:L23"/>
    <mergeCell ref="O23:Q23"/>
    <mergeCell ref="C24:D24"/>
    <mergeCell ref="F24:G24"/>
    <mergeCell ref="I24:L24"/>
    <mergeCell ref="O24:Q24"/>
    <mergeCell ref="C19:D19"/>
    <mergeCell ref="F19:G19"/>
    <mergeCell ref="I19:L19"/>
    <mergeCell ref="O19:Q19"/>
    <mergeCell ref="C20:D20"/>
    <mergeCell ref="F20:G20"/>
    <mergeCell ref="I20:L20"/>
    <mergeCell ref="O20:Q20"/>
    <mergeCell ref="A21:T21"/>
    <mergeCell ref="A15:S15"/>
    <mergeCell ref="A16:S16"/>
    <mergeCell ref="C17:D17"/>
    <mergeCell ref="F17:G17"/>
    <mergeCell ref="I17:L17"/>
    <mergeCell ref="O17:Q17"/>
    <mergeCell ref="C18:D18"/>
    <mergeCell ref="F18:G18"/>
    <mergeCell ref="I18:L18"/>
    <mergeCell ref="O18:Q18"/>
    <mergeCell ref="A12:C12"/>
    <mergeCell ref="D12:E12"/>
    <mergeCell ref="F12:P12"/>
    <mergeCell ref="Q12:S12"/>
    <mergeCell ref="A13:C13"/>
    <mergeCell ref="D13:E13"/>
    <mergeCell ref="F13:P13"/>
    <mergeCell ref="Q13:S13"/>
    <mergeCell ref="A14:C14"/>
    <mergeCell ref="D14:E14"/>
    <mergeCell ref="F14:P14"/>
    <mergeCell ref="Q14:S14"/>
    <mergeCell ref="A9:C9"/>
    <mergeCell ref="D9:E9"/>
    <mergeCell ref="F9:P9"/>
    <mergeCell ref="Q9:S9"/>
    <mergeCell ref="A10:C10"/>
    <mergeCell ref="D10:E10"/>
    <mergeCell ref="F10:P10"/>
    <mergeCell ref="Q10:S10"/>
    <mergeCell ref="A11:C11"/>
    <mergeCell ref="D11:E11"/>
    <mergeCell ref="F11:P11"/>
    <mergeCell ref="Q11:S11"/>
    <mergeCell ref="A5:C5"/>
    <mergeCell ref="D5:E5"/>
    <mergeCell ref="G5:T5"/>
    <mergeCell ref="A6:T6"/>
    <mergeCell ref="A7:T7"/>
    <mergeCell ref="A8:C8"/>
    <mergeCell ref="D8:E8"/>
    <mergeCell ref="F8:P8"/>
    <mergeCell ref="Q8:S8"/>
    <mergeCell ref="A1:S1"/>
    <mergeCell ref="A2:C2"/>
    <mergeCell ref="D2:E2"/>
    <mergeCell ref="G2:O2"/>
    <mergeCell ref="P2:T3"/>
    <mergeCell ref="A3:F4"/>
    <mergeCell ref="G3:O3"/>
    <mergeCell ref="G4:O4"/>
    <mergeCell ref="Q4:S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D563-7F1F-473B-B81C-553F1BA85984}">
  <dimension ref="A1:V57"/>
  <sheetViews>
    <sheetView tabSelected="1" workbookViewId="0">
      <selection activeCell="N2" sqref="N2:N29"/>
    </sheetView>
  </sheetViews>
  <sheetFormatPr defaultRowHeight="12.75"/>
  <cols>
    <col min="1" max="2" width="14" style="90" customWidth="1"/>
    <col min="3" max="3" width="10.6640625" style="90" bestFit="1" customWidth="1"/>
    <col min="4" max="4" width="19.33203125" style="90" bestFit="1" customWidth="1"/>
    <col min="5" max="5" width="8.6640625" style="90" bestFit="1" customWidth="1"/>
    <col min="6" max="6" width="6.83203125" style="90" bestFit="1" customWidth="1"/>
    <col min="7" max="8" width="10.1640625" style="90" bestFit="1" customWidth="1"/>
    <col min="9" max="9" width="13.1640625" style="90" customWidth="1"/>
    <col min="10" max="10" width="17.83203125" style="90" bestFit="1" customWidth="1"/>
    <col min="11" max="11" width="13" style="90" bestFit="1" customWidth="1"/>
    <col min="12" max="12" width="22" style="90" bestFit="1" customWidth="1"/>
    <col min="13" max="13" width="21.33203125" style="90" bestFit="1" customWidth="1"/>
    <col min="14" max="14" width="24.1640625" style="90" bestFit="1" customWidth="1"/>
    <col min="15" max="16384" width="9.33203125" style="90"/>
  </cols>
  <sheetData>
    <row r="1" spans="1:22" ht="25.5" customHeight="1">
      <c r="A1" s="98" t="s">
        <v>95</v>
      </c>
      <c r="B1" s="98"/>
      <c r="C1" s="98" t="s">
        <v>96</v>
      </c>
      <c r="D1" s="98" t="s">
        <v>97</v>
      </c>
      <c r="E1" s="98" t="s">
        <v>98</v>
      </c>
      <c r="F1" s="99" t="s">
        <v>99</v>
      </c>
      <c r="G1" s="99" t="s">
        <v>100</v>
      </c>
      <c r="H1" s="98" t="s">
        <v>101</v>
      </c>
      <c r="I1" s="98" t="s">
        <v>102</v>
      </c>
      <c r="J1" s="99" t="s">
        <v>103</v>
      </c>
      <c r="K1" s="99" t="s">
        <v>104</v>
      </c>
    </row>
    <row r="2" spans="1:22" ht="15" customHeight="1">
      <c r="A2" s="91">
        <v>446535</v>
      </c>
      <c r="B2" s="91" t="str">
        <f>CONCATENATE(A2,22)</f>
        <v>44653522</v>
      </c>
      <c r="C2" s="91">
        <v>17301495</v>
      </c>
      <c r="D2" s="92" t="s">
        <v>66</v>
      </c>
      <c r="E2" s="92" t="s">
        <v>28</v>
      </c>
      <c r="F2" s="92" t="s">
        <v>29</v>
      </c>
      <c r="G2" s="93">
        <v>45658</v>
      </c>
      <c r="H2" s="97"/>
      <c r="I2" s="108">
        <v>46054</v>
      </c>
      <c r="J2" s="92" t="s">
        <v>43</v>
      </c>
      <c r="K2" s="96">
        <v>28.92</v>
      </c>
      <c r="L2" s="90" t="s">
        <v>108</v>
      </c>
      <c r="M2" s="90" t="s">
        <v>112</v>
      </c>
      <c r="N2" s="90" t="s">
        <v>115</v>
      </c>
    </row>
    <row r="3" spans="1:22" ht="15" customHeight="1">
      <c r="A3" s="91">
        <v>473752</v>
      </c>
      <c r="B3" s="91" t="str">
        <f t="shared" ref="B3:B29" si="0">CONCATENATE(A3,22)</f>
        <v>47375222</v>
      </c>
      <c r="C3" s="91">
        <v>19586992</v>
      </c>
      <c r="D3" s="92" t="s">
        <v>59</v>
      </c>
      <c r="E3" s="92" t="s">
        <v>28</v>
      </c>
      <c r="F3" s="92" t="s">
        <v>29</v>
      </c>
      <c r="G3" s="93">
        <v>46054</v>
      </c>
      <c r="H3" s="97"/>
      <c r="I3" s="108">
        <v>46054</v>
      </c>
      <c r="J3" s="92" t="s">
        <v>60</v>
      </c>
      <c r="K3" s="96">
        <v>318.08</v>
      </c>
      <c r="L3" s="90" t="s">
        <v>117</v>
      </c>
      <c r="M3" s="90" t="s">
        <v>112</v>
      </c>
      <c r="N3" s="90" t="s">
        <v>116</v>
      </c>
      <c r="O3" s="90">
        <f>347/12*11</f>
        <v>318.08333333333337</v>
      </c>
    </row>
    <row r="4" spans="1:22" ht="15" customHeight="1">
      <c r="A4" s="91">
        <v>446217</v>
      </c>
      <c r="B4" s="91" t="str">
        <f t="shared" si="0"/>
        <v>44621722</v>
      </c>
      <c r="C4" s="91">
        <v>16633294</v>
      </c>
      <c r="D4" s="92" t="s">
        <v>74</v>
      </c>
      <c r="E4" s="92" t="s">
        <v>28</v>
      </c>
      <c r="F4" s="92" t="s">
        <v>29</v>
      </c>
      <c r="G4" s="93">
        <v>45658</v>
      </c>
      <c r="H4" s="95"/>
      <c r="I4" s="108">
        <v>46054</v>
      </c>
      <c r="J4" s="92" t="s">
        <v>43</v>
      </c>
      <c r="K4" s="96">
        <v>28.92</v>
      </c>
      <c r="L4" s="90" t="s">
        <v>110</v>
      </c>
      <c r="M4" s="90" t="s">
        <v>112</v>
      </c>
      <c r="N4" s="90" t="s">
        <v>115</v>
      </c>
    </row>
    <row r="5" spans="1:22" ht="15" customHeight="1">
      <c r="A5" s="91">
        <v>443286</v>
      </c>
      <c r="B5" s="91" t="str">
        <f t="shared" si="0"/>
        <v>44328622</v>
      </c>
      <c r="C5" s="91">
        <v>16633294</v>
      </c>
      <c r="D5" s="92" t="s">
        <v>76</v>
      </c>
      <c r="E5" s="92" t="s">
        <v>28</v>
      </c>
      <c r="F5" s="92" t="s">
        <v>29</v>
      </c>
      <c r="G5" s="93">
        <v>45658</v>
      </c>
      <c r="H5" s="97"/>
      <c r="I5" s="108">
        <v>46054</v>
      </c>
      <c r="J5" s="92" t="s">
        <v>43</v>
      </c>
      <c r="K5" s="96">
        <v>28.92</v>
      </c>
      <c r="L5" s="90" t="s">
        <v>110</v>
      </c>
      <c r="M5" s="90" t="s">
        <v>112</v>
      </c>
      <c r="N5" s="90" t="s">
        <v>115</v>
      </c>
    </row>
    <row r="6" spans="1:22" ht="15" customHeight="1">
      <c r="A6" s="91">
        <v>443292</v>
      </c>
      <c r="B6" s="91" t="str">
        <f t="shared" si="0"/>
        <v>44329222</v>
      </c>
      <c r="C6" s="91">
        <v>16633294</v>
      </c>
      <c r="D6" s="92" t="s">
        <v>75</v>
      </c>
      <c r="E6" s="92" t="s">
        <v>28</v>
      </c>
      <c r="F6" s="92" t="s">
        <v>29</v>
      </c>
      <c r="G6" s="93">
        <v>45658</v>
      </c>
      <c r="H6" s="95"/>
      <c r="I6" s="108">
        <v>46054</v>
      </c>
      <c r="J6" s="92" t="s">
        <v>43</v>
      </c>
      <c r="K6" s="96">
        <v>28.92</v>
      </c>
      <c r="L6" s="90" t="s">
        <v>110</v>
      </c>
      <c r="M6" s="90" t="s">
        <v>112</v>
      </c>
      <c r="N6" s="90" t="s">
        <v>115</v>
      </c>
    </row>
    <row r="7" spans="1:22" s="104" customFormat="1" ht="15" customHeight="1">
      <c r="A7" s="91">
        <v>444212</v>
      </c>
      <c r="B7" s="91" t="str">
        <f t="shared" si="0"/>
        <v>44421222</v>
      </c>
      <c r="C7" s="91">
        <v>16633294</v>
      </c>
      <c r="D7" s="92" t="s">
        <v>77</v>
      </c>
      <c r="E7" s="92" t="s">
        <v>28</v>
      </c>
      <c r="F7" s="92" t="s">
        <v>29</v>
      </c>
      <c r="G7" s="93">
        <v>45658</v>
      </c>
      <c r="H7" s="97"/>
      <c r="I7" s="108">
        <v>46054</v>
      </c>
      <c r="J7" s="92" t="s">
        <v>43</v>
      </c>
      <c r="K7" s="96">
        <v>28.92</v>
      </c>
      <c r="L7" s="90" t="s">
        <v>110</v>
      </c>
      <c r="M7" s="90" t="s">
        <v>112</v>
      </c>
      <c r="N7" s="90" t="s">
        <v>115</v>
      </c>
      <c r="O7" s="90"/>
      <c r="P7" s="90"/>
      <c r="Q7" s="90"/>
      <c r="R7" s="90"/>
      <c r="S7" s="90"/>
      <c r="T7" s="90"/>
      <c r="U7" s="90"/>
      <c r="V7" s="90"/>
    </row>
    <row r="8" spans="1:22" s="104" customFormat="1" ht="15" customHeight="1">
      <c r="A8" s="91">
        <v>443209</v>
      </c>
      <c r="B8" s="91" t="str">
        <f t="shared" si="0"/>
        <v>44320922</v>
      </c>
      <c r="C8" s="91">
        <v>16633294</v>
      </c>
      <c r="D8" s="92" t="s">
        <v>78</v>
      </c>
      <c r="E8" s="92" t="s">
        <v>28</v>
      </c>
      <c r="F8" s="92" t="s">
        <v>29</v>
      </c>
      <c r="G8" s="93">
        <v>45658</v>
      </c>
      <c r="H8" s="95"/>
      <c r="I8" s="108">
        <v>46054</v>
      </c>
      <c r="J8" s="92" t="s">
        <v>43</v>
      </c>
      <c r="K8" s="96">
        <v>28.92</v>
      </c>
      <c r="L8" s="90" t="s">
        <v>110</v>
      </c>
      <c r="M8" s="90" t="s">
        <v>112</v>
      </c>
      <c r="N8" s="90" t="s">
        <v>115</v>
      </c>
      <c r="O8" s="90"/>
      <c r="P8" s="90"/>
      <c r="Q8" s="90"/>
      <c r="R8" s="90"/>
      <c r="S8" s="90"/>
      <c r="T8" s="90"/>
      <c r="U8" s="90"/>
      <c r="V8" s="90"/>
    </row>
    <row r="9" spans="1:22" s="104" customFormat="1" ht="15" customHeight="1">
      <c r="A9" s="91">
        <v>440990</v>
      </c>
      <c r="B9" s="91" t="str">
        <f t="shared" si="0"/>
        <v>44099022</v>
      </c>
      <c r="C9" s="91">
        <v>16633294</v>
      </c>
      <c r="D9" s="92" t="s">
        <v>79</v>
      </c>
      <c r="E9" s="92" t="s">
        <v>28</v>
      </c>
      <c r="F9" s="92" t="s">
        <v>29</v>
      </c>
      <c r="G9" s="93">
        <v>45658</v>
      </c>
      <c r="H9" s="97"/>
      <c r="I9" s="108">
        <v>46054</v>
      </c>
      <c r="J9" s="92" t="s">
        <v>43</v>
      </c>
      <c r="K9" s="96">
        <v>28.92</v>
      </c>
      <c r="L9" s="90" t="s">
        <v>110</v>
      </c>
      <c r="M9" s="90" t="s">
        <v>112</v>
      </c>
      <c r="N9" s="90" t="s">
        <v>115</v>
      </c>
      <c r="O9" s="90"/>
      <c r="P9" s="90"/>
      <c r="Q9" s="90"/>
      <c r="R9" s="90"/>
      <c r="S9" s="90"/>
      <c r="T9" s="90"/>
      <c r="U9" s="90"/>
      <c r="V9" s="90"/>
    </row>
    <row r="10" spans="1:22" s="104" customFormat="1" ht="15" customHeight="1">
      <c r="A10" s="91">
        <v>445753</v>
      </c>
      <c r="B10" s="91" t="str">
        <f t="shared" si="0"/>
        <v>44575322</v>
      </c>
      <c r="C10" s="91">
        <v>16633294</v>
      </c>
      <c r="D10" s="92" t="s">
        <v>80</v>
      </c>
      <c r="E10" s="92" t="s">
        <v>28</v>
      </c>
      <c r="F10" s="92" t="s">
        <v>29</v>
      </c>
      <c r="G10" s="93">
        <v>45658</v>
      </c>
      <c r="H10" s="95"/>
      <c r="I10" s="108">
        <v>46054</v>
      </c>
      <c r="J10" s="92" t="s">
        <v>43</v>
      </c>
      <c r="K10" s="96">
        <v>28.92</v>
      </c>
      <c r="L10" s="90" t="s">
        <v>110</v>
      </c>
      <c r="M10" s="90" t="s">
        <v>112</v>
      </c>
      <c r="N10" s="90" t="s">
        <v>115</v>
      </c>
      <c r="O10" s="90"/>
      <c r="P10" s="90"/>
      <c r="Q10" s="90"/>
      <c r="R10" s="90"/>
      <c r="S10" s="90"/>
      <c r="T10" s="90"/>
      <c r="U10" s="90"/>
      <c r="V10" s="90"/>
    </row>
    <row r="11" spans="1:22" s="104" customFormat="1" ht="15" customHeight="1">
      <c r="A11" s="91">
        <v>446673</v>
      </c>
      <c r="B11" s="91" t="str">
        <f t="shared" si="0"/>
        <v>44667322</v>
      </c>
      <c r="C11" s="91">
        <v>16633294</v>
      </c>
      <c r="D11" s="92" t="s">
        <v>81</v>
      </c>
      <c r="E11" s="92" t="s">
        <v>28</v>
      </c>
      <c r="F11" s="92" t="s">
        <v>29</v>
      </c>
      <c r="G11" s="93">
        <v>45658</v>
      </c>
      <c r="H11" s="97"/>
      <c r="I11" s="108">
        <v>46054</v>
      </c>
      <c r="J11" s="92" t="s">
        <v>43</v>
      </c>
      <c r="K11" s="96">
        <v>28.92</v>
      </c>
      <c r="L11" s="90" t="s">
        <v>110</v>
      </c>
      <c r="M11" s="90" t="s">
        <v>112</v>
      </c>
      <c r="N11" s="90" t="s">
        <v>115</v>
      </c>
      <c r="O11" s="90"/>
      <c r="P11" s="90"/>
      <c r="Q11" s="90"/>
      <c r="R11" s="90"/>
      <c r="S11" s="90"/>
      <c r="T11" s="90"/>
      <c r="U11" s="90"/>
      <c r="V11" s="90"/>
    </row>
    <row r="12" spans="1:22" s="104" customFormat="1" ht="15" customHeight="1">
      <c r="A12" s="91">
        <v>447931</v>
      </c>
      <c r="B12" s="91" t="str">
        <f t="shared" si="0"/>
        <v>44793122</v>
      </c>
      <c r="C12" s="91">
        <v>16633294</v>
      </c>
      <c r="D12" s="92" t="s">
        <v>82</v>
      </c>
      <c r="E12" s="92" t="s">
        <v>28</v>
      </c>
      <c r="F12" s="92" t="s">
        <v>29</v>
      </c>
      <c r="G12" s="93">
        <v>45658</v>
      </c>
      <c r="H12" s="95"/>
      <c r="I12" s="108">
        <v>46054</v>
      </c>
      <c r="J12" s="92" t="s">
        <v>43</v>
      </c>
      <c r="K12" s="96">
        <v>28.92</v>
      </c>
      <c r="L12" s="90" t="s">
        <v>110</v>
      </c>
      <c r="M12" s="90" t="s">
        <v>112</v>
      </c>
      <c r="N12" s="90" t="s">
        <v>115</v>
      </c>
      <c r="O12" s="90"/>
      <c r="P12" s="90"/>
      <c r="Q12" s="90"/>
      <c r="R12" s="90"/>
      <c r="S12" s="90"/>
      <c r="T12" s="90"/>
      <c r="U12" s="90"/>
      <c r="V12" s="90"/>
    </row>
    <row r="13" spans="1:22" s="104" customFormat="1" ht="15" customHeight="1">
      <c r="A13" s="91">
        <v>449350</v>
      </c>
      <c r="B13" s="91" t="str">
        <f t="shared" si="0"/>
        <v>44935022</v>
      </c>
      <c r="C13" s="91">
        <v>2158366</v>
      </c>
      <c r="D13" s="92" t="s">
        <v>41</v>
      </c>
      <c r="E13" s="92" t="s">
        <v>28</v>
      </c>
      <c r="F13" s="92" t="s">
        <v>29</v>
      </c>
      <c r="G13" s="93">
        <v>45717</v>
      </c>
      <c r="H13" s="95"/>
      <c r="I13" s="108">
        <v>46054</v>
      </c>
      <c r="J13" s="92" t="s">
        <v>43</v>
      </c>
      <c r="K13" s="96">
        <v>28.92</v>
      </c>
      <c r="L13" s="90" t="s">
        <v>105</v>
      </c>
      <c r="M13" s="90" t="s">
        <v>112</v>
      </c>
      <c r="N13" s="90" t="s">
        <v>115</v>
      </c>
      <c r="O13" s="90"/>
      <c r="P13" s="90"/>
      <c r="Q13" s="90"/>
      <c r="R13" s="90"/>
      <c r="S13" s="90"/>
      <c r="T13" s="90"/>
      <c r="U13" s="90"/>
      <c r="V13" s="90"/>
    </row>
    <row r="14" spans="1:22" s="104" customFormat="1" ht="15" customHeight="1">
      <c r="A14" s="91">
        <v>439383</v>
      </c>
      <c r="B14" s="91" t="str">
        <f t="shared" si="0"/>
        <v>43938322</v>
      </c>
      <c r="C14" s="91">
        <v>2158366</v>
      </c>
      <c r="D14" s="92" t="s">
        <v>46</v>
      </c>
      <c r="E14" s="92" t="s">
        <v>28</v>
      </c>
      <c r="F14" s="92" t="s">
        <v>29</v>
      </c>
      <c r="G14" s="93">
        <v>45658</v>
      </c>
      <c r="H14" s="97"/>
      <c r="I14" s="108">
        <v>46054</v>
      </c>
      <c r="J14" s="92" t="s">
        <v>43</v>
      </c>
      <c r="K14" s="96">
        <v>28.92</v>
      </c>
      <c r="L14" s="90" t="s">
        <v>105</v>
      </c>
      <c r="M14" s="90" t="s">
        <v>112</v>
      </c>
      <c r="N14" s="90" t="s">
        <v>115</v>
      </c>
      <c r="O14" s="90"/>
      <c r="P14" s="90"/>
      <c r="Q14" s="90"/>
      <c r="R14" s="90"/>
      <c r="S14" s="90"/>
      <c r="T14" s="90"/>
      <c r="U14" s="90"/>
      <c r="V14" s="90"/>
    </row>
    <row r="15" spans="1:22" s="104" customFormat="1" ht="15" customHeight="1">
      <c r="A15" s="91">
        <v>439384</v>
      </c>
      <c r="B15" s="91" t="str">
        <f t="shared" si="0"/>
        <v>43938422</v>
      </c>
      <c r="C15" s="91">
        <v>2158366</v>
      </c>
      <c r="D15" s="92" t="s">
        <v>45</v>
      </c>
      <c r="E15" s="92" t="s">
        <v>28</v>
      </c>
      <c r="F15" s="92" t="s">
        <v>29</v>
      </c>
      <c r="G15" s="93">
        <v>45658</v>
      </c>
      <c r="H15" s="95"/>
      <c r="I15" s="108">
        <v>46054</v>
      </c>
      <c r="J15" s="92" t="s">
        <v>43</v>
      </c>
      <c r="K15" s="96">
        <v>28.92</v>
      </c>
      <c r="L15" s="90" t="s">
        <v>105</v>
      </c>
      <c r="M15" s="90" t="s">
        <v>112</v>
      </c>
      <c r="N15" s="90" t="s">
        <v>115</v>
      </c>
      <c r="O15" s="90"/>
      <c r="P15" s="90"/>
      <c r="Q15" s="90"/>
      <c r="R15" s="90"/>
      <c r="S15" s="90"/>
      <c r="T15" s="90"/>
      <c r="U15" s="90"/>
      <c r="V15" s="90"/>
    </row>
    <row r="16" spans="1:22" s="104" customFormat="1" ht="15" customHeight="1">
      <c r="A16" s="91">
        <v>442876</v>
      </c>
      <c r="B16" s="91" t="str">
        <f t="shared" si="0"/>
        <v>44287622</v>
      </c>
      <c r="C16" s="91">
        <v>2158366</v>
      </c>
      <c r="D16" s="92" t="s">
        <v>47</v>
      </c>
      <c r="E16" s="92" t="s">
        <v>28</v>
      </c>
      <c r="F16" s="92" t="s">
        <v>29</v>
      </c>
      <c r="G16" s="93">
        <v>45658</v>
      </c>
      <c r="H16" s="97"/>
      <c r="I16" s="108">
        <v>46054</v>
      </c>
      <c r="J16" s="92" t="s">
        <v>43</v>
      </c>
      <c r="K16" s="96">
        <v>28.92</v>
      </c>
      <c r="L16" s="90" t="s">
        <v>105</v>
      </c>
      <c r="M16" s="90" t="s">
        <v>112</v>
      </c>
      <c r="N16" s="90" t="s">
        <v>115</v>
      </c>
      <c r="O16" s="90"/>
      <c r="P16" s="90"/>
      <c r="Q16" s="90"/>
      <c r="R16" s="90"/>
      <c r="S16" s="90"/>
      <c r="T16" s="90"/>
      <c r="U16" s="90"/>
      <c r="V16" s="90"/>
    </row>
    <row r="17" spans="1:22" s="104" customFormat="1" ht="15" customHeight="1">
      <c r="A17" s="91">
        <v>445341</v>
      </c>
      <c r="B17" s="91" t="str">
        <f t="shared" si="0"/>
        <v>44534122</v>
      </c>
      <c r="C17" s="91">
        <v>2158366</v>
      </c>
      <c r="D17" s="92" t="s">
        <v>48</v>
      </c>
      <c r="E17" s="92" t="s">
        <v>28</v>
      </c>
      <c r="F17" s="92" t="s">
        <v>29</v>
      </c>
      <c r="G17" s="93">
        <v>45658</v>
      </c>
      <c r="H17" s="95"/>
      <c r="I17" s="108">
        <v>46054</v>
      </c>
      <c r="J17" s="92" t="s">
        <v>43</v>
      </c>
      <c r="K17" s="96">
        <v>28.92</v>
      </c>
      <c r="L17" s="90" t="s">
        <v>105</v>
      </c>
      <c r="M17" s="90" t="s">
        <v>112</v>
      </c>
      <c r="N17" s="90" t="s">
        <v>115</v>
      </c>
      <c r="O17" s="90"/>
      <c r="P17" s="90"/>
      <c r="Q17" s="90"/>
      <c r="R17" s="90"/>
      <c r="S17" s="90"/>
      <c r="T17" s="90"/>
      <c r="U17" s="90"/>
      <c r="V17" s="90"/>
    </row>
    <row r="18" spans="1:22" s="104" customFormat="1" ht="15" customHeight="1">
      <c r="A18" s="91">
        <v>447954</v>
      </c>
      <c r="B18" s="91" t="str">
        <f t="shared" si="0"/>
        <v>44795422</v>
      </c>
      <c r="C18" s="91">
        <v>16912722</v>
      </c>
      <c r="D18" s="92" t="s">
        <v>68</v>
      </c>
      <c r="E18" s="92" t="s">
        <v>28</v>
      </c>
      <c r="F18" s="92" t="s">
        <v>29</v>
      </c>
      <c r="G18" s="93">
        <v>45658</v>
      </c>
      <c r="H18" s="95"/>
      <c r="I18" s="108">
        <v>46054</v>
      </c>
      <c r="J18" s="92" t="s">
        <v>43</v>
      </c>
      <c r="K18" s="96">
        <v>28.92</v>
      </c>
      <c r="L18" s="90" t="s">
        <v>109</v>
      </c>
      <c r="M18" s="90" t="s">
        <v>112</v>
      </c>
      <c r="N18" s="90" t="s">
        <v>115</v>
      </c>
      <c r="O18" s="90"/>
      <c r="P18" s="90"/>
      <c r="Q18" s="90"/>
      <c r="R18" s="90"/>
      <c r="S18" s="90"/>
      <c r="T18" s="90"/>
      <c r="U18" s="90"/>
      <c r="V18" s="90"/>
    </row>
    <row r="19" spans="1:22" s="104" customFormat="1" ht="15" customHeight="1">
      <c r="A19" s="91">
        <v>447955</v>
      </c>
      <c r="B19" s="91" t="str">
        <f t="shared" si="0"/>
        <v>44795522</v>
      </c>
      <c r="C19" s="91">
        <v>16912722</v>
      </c>
      <c r="D19" s="92" t="s">
        <v>69</v>
      </c>
      <c r="E19" s="92" t="s">
        <v>28</v>
      </c>
      <c r="F19" s="92" t="s">
        <v>29</v>
      </c>
      <c r="G19" s="93">
        <v>45658</v>
      </c>
      <c r="H19" s="97"/>
      <c r="I19" s="108">
        <v>46054</v>
      </c>
      <c r="J19" s="92" t="s">
        <v>43</v>
      </c>
      <c r="K19" s="96">
        <v>28.92</v>
      </c>
      <c r="L19" s="90" t="s">
        <v>109</v>
      </c>
      <c r="M19" s="90" t="s">
        <v>112</v>
      </c>
      <c r="N19" s="90" t="s">
        <v>115</v>
      </c>
      <c r="O19" s="90"/>
      <c r="P19" s="90"/>
      <c r="Q19" s="90"/>
      <c r="R19" s="90"/>
      <c r="S19" s="90"/>
      <c r="T19" s="90"/>
      <c r="U19" s="90"/>
      <c r="V19" s="90"/>
    </row>
    <row r="20" spans="1:22" s="104" customFormat="1" ht="15" customHeight="1">
      <c r="A20" s="91">
        <v>448034</v>
      </c>
      <c r="B20" s="91" t="str">
        <f t="shared" si="0"/>
        <v>44803422</v>
      </c>
      <c r="C20" s="91">
        <v>16912722</v>
      </c>
      <c r="D20" s="92" t="s">
        <v>70</v>
      </c>
      <c r="E20" s="92" t="s">
        <v>28</v>
      </c>
      <c r="F20" s="92" t="s">
        <v>29</v>
      </c>
      <c r="G20" s="93">
        <v>45658</v>
      </c>
      <c r="H20" s="95"/>
      <c r="I20" s="108">
        <v>46054</v>
      </c>
      <c r="J20" s="92" t="s">
        <v>43</v>
      </c>
      <c r="K20" s="96">
        <v>28.92</v>
      </c>
      <c r="L20" s="90" t="s">
        <v>109</v>
      </c>
      <c r="M20" s="90" t="s">
        <v>112</v>
      </c>
      <c r="N20" s="90" t="s">
        <v>115</v>
      </c>
      <c r="O20" s="90"/>
      <c r="P20" s="90"/>
      <c r="Q20" s="90"/>
      <c r="R20" s="90"/>
      <c r="S20" s="90"/>
      <c r="T20" s="90"/>
      <c r="U20" s="90"/>
      <c r="V20" s="90"/>
    </row>
    <row r="21" spans="1:22" s="104" customFormat="1" ht="15" customHeight="1">
      <c r="A21" s="91">
        <v>447701</v>
      </c>
      <c r="B21" s="91" t="str">
        <f t="shared" si="0"/>
        <v>44770122</v>
      </c>
      <c r="C21" s="91">
        <v>16912722</v>
      </c>
      <c r="D21" s="92" t="s">
        <v>71</v>
      </c>
      <c r="E21" s="92" t="s">
        <v>28</v>
      </c>
      <c r="F21" s="92" t="s">
        <v>29</v>
      </c>
      <c r="G21" s="93">
        <v>45658</v>
      </c>
      <c r="H21" s="97"/>
      <c r="I21" s="108">
        <v>46054</v>
      </c>
      <c r="J21" s="92" t="s">
        <v>43</v>
      </c>
      <c r="K21" s="96">
        <v>28.92</v>
      </c>
      <c r="L21" s="90" t="s">
        <v>109</v>
      </c>
      <c r="M21" s="90" t="s">
        <v>112</v>
      </c>
      <c r="N21" s="90" t="s">
        <v>115</v>
      </c>
      <c r="O21" s="90"/>
      <c r="P21" s="90"/>
      <c r="Q21" s="90"/>
      <c r="R21" s="90"/>
      <c r="S21" s="90"/>
      <c r="T21" s="90"/>
      <c r="U21" s="90"/>
      <c r="V21" s="90"/>
    </row>
    <row r="22" spans="1:22" s="104" customFormat="1" ht="15" customHeight="1">
      <c r="A22" s="91">
        <v>452418</v>
      </c>
      <c r="B22" s="91" t="str">
        <f t="shared" si="0"/>
        <v>45241822</v>
      </c>
      <c r="C22" s="91">
        <v>9213293</v>
      </c>
      <c r="D22" s="92" t="s">
        <v>27</v>
      </c>
      <c r="E22" s="92" t="s">
        <v>28</v>
      </c>
      <c r="F22" s="92" t="s">
        <v>29</v>
      </c>
      <c r="G22" s="93">
        <v>46023</v>
      </c>
      <c r="H22" s="93">
        <v>46053</v>
      </c>
      <c r="I22" s="108">
        <v>46023</v>
      </c>
      <c r="J22" s="92" t="s">
        <v>31</v>
      </c>
      <c r="K22" s="94">
        <v>-347</v>
      </c>
      <c r="L22" s="90" t="s">
        <v>94</v>
      </c>
      <c r="M22" s="90" t="s">
        <v>112</v>
      </c>
      <c r="N22" s="90" t="s">
        <v>113</v>
      </c>
      <c r="O22" s="90"/>
      <c r="P22" s="90"/>
      <c r="Q22" s="90"/>
      <c r="R22" s="90"/>
      <c r="S22" s="90"/>
      <c r="T22" s="90"/>
      <c r="U22" s="90"/>
      <c r="V22" s="90"/>
    </row>
    <row r="23" spans="1:22" s="104" customFormat="1" ht="15" customHeight="1">
      <c r="A23" s="91">
        <v>452411</v>
      </c>
      <c r="B23" s="91" t="str">
        <f t="shared" si="0"/>
        <v>45241122</v>
      </c>
      <c r="C23" s="91">
        <v>9213293</v>
      </c>
      <c r="D23" s="92" t="s">
        <v>33</v>
      </c>
      <c r="E23" s="92" t="s">
        <v>28</v>
      </c>
      <c r="F23" s="92" t="s">
        <v>29</v>
      </c>
      <c r="G23" s="93">
        <v>46023</v>
      </c>
      <c r="H23" s="93">
        <v>46053</v>
      </c>
      <c r="I23" s="108">
        <v>46023</v>
      </c>
      <c r="J23" s="92" t="s">
        <v>31</v>
      </c>
      <c r="K23" s="94">
        <v>-347</v>
      </c>
      <c r="L23" s="90" t="s">
        <v>94</v>
      </c>
      <c r="M23" s="90" t="s">
        <v>112</v>
      </c>
      <c r="N23" s="90" t="s">
        <v>113</v>
      </c>
      <c r="O23" s="90"/>
      <c r="P23" s="90"/>
      <c r="Q23" s="90"/>
      <c r="R23" s="90"/>
      <c r="S23" s="90"/>
      <c r="T23" s="90"/>
      <c r="U23" s="90"/>
      <c r="V23" s="90"/>
    </row>
    <row r="24" spans="1:22" s="104" customFormat="1" ht="15" customHeight="1">
      <c r="A24" s="91">
        <v>463308</v>
      </c>
      <c r="B24" s="91" t="str">
        <f t="shared" si="0"/>
        <v>46330822</v>
      </c>
      <c r="C24" s="91">
        <v>9213293</v>
      </c>
      <c r="D24" s="92" t="s">
        <v>34</v>
      </c>
      <c r="E24" s="92" t="s">
        <v>28</v>
      </c>
      <c r="F24" s="92" t="s">
        <v>29</v>
      </c>
      <c r="G24" s="93">
        <v>46023</v>
      </c>
      <c r="H24" s="93">
        <v>46053</v>
      </c>
      <c r="I24" s="108">
        <v>46023</v>
      </c>
      <c r="J24" s="92" t="s">
        <v>31</v>
      </c>
      <c r="K24" s="94">
        <v>-347</v>
      </c>
      <c r="L24" s="90" t="s">
        <v>94</v>
      </c>
      <c r="M24" s="90" t="s">
        <v>112</v>
      </c>
      <c r="N24" s="90" t="s">
        <v>113</v>
      </c>
      <c r="O24" s="90"/>
      <c r="P24" s="90"/>
      <c r="Q24" s="90"/>
      <c r="R24" s="90"/>
      <c r="S24" s="90"/>
      <c r="T24" s="90"/>
      <c r="U24" s="90"/>
      <c r="V24" s="90"/>
    </row>
    <row r="25" spans="1:22" s="104" customFormat="1" ht="15" customHeight="1">
      <c r="A25" s="91">
        <v>448295</v>
      </c>
      <c r="B25" s="91" t="str">
        <f t="shared" si="0"/>
        <v>44829522</v>
      </c>
      <c r="C25" s="91">
        <v>19645587</v>
      </c>
      <c r="D25" s="92" t="s">
        <v>51</v>
      </c>
      <c r="E25" s="92" t="s">
        <v>28</v>
      </c>
      <c r="F25" s="92" t="s">
        <v>52</v>
      </c>
      <c r="G25" s="93">
        <v>45658</v>
      </c>
      <c r="H25" s="97"/>
      <c r="I25" s="108">
        <v>46054</v>
      </c>
      <c r="J25" s="92" t="s">
        <v>43</v>
      </c>
      <c r="K25" s="96">
        <v>28.92</v>
      </c>
      <c r="L25" s="90" t="s">
        <v>111</v>
      </c>
      <c r="M25" s="90" t="s">
        <v>112</v>
      </c>
      <c r="N25" s="90" t="s">
        <v>115</v>
      </c>
      <c r="O25" s="90"/>
      <c r="P25" s="90"/>
      <c r="Q25" s="90"/>
      <c r="R25" s="90"/>
      <c r="S25" s="90"/>
      <c r="T25" s="90"/>
      <c r="U25" s="90"/>
      <c r="V25" s="90"/>
    </row>
    <row r="26" spans="1:22" s="104" customFormat="1" ht="15" customHeight="1">
      <c r="A26" s="91">
        <v>439914</v>
      </c>
      <c r="B26" s="91" t="str">
        <f t="shared" si="0"/>
        <v>43991422</v>
      </c>
      <c r="C26" s="91">
        <v>19645587</v>
      </c>
      <c r="D26" s="92" t="s">
        <v>53</v>
      </c>
      <c r="E26" s="92" t="s">
        <v>28</v>
      </c>
      <c r="F26" s="92" t="s">
        <v>29</v>
      </c>
      <c r="G26" s="93">
        <v>45658</v>
      </c>
      <c r="H26" s="95"/>
      <c r="I26" s="108">
        <v>46054</v>
      </c>
      <c r="J26" s="92" t="s">
        <v>43</v>
      </c>
      <c r="K26" s="96">
        <v>28.92</v>
      </c>
      <c r="L26" s="90" t="s">
        <v>111</v>
      </c>
      <c r="M26" s="90" t="s">
        <v>112</v>
      </c>
      <c r="N26" s="90" t="s">
        <v>115</v>
      </c>
      <c r="O26" s="90"/>
      <c r="P26" s="90"/>
      <c r="Q26" s="90"/>
      <c r="R26" s="90"/>
      <c r="S26" s="90"/>
      <c r="T26" s="90"/>
      <c r="U26" s="90"/>
      <c r="V26" s="90"/>
    </row>
    <row r="27" spans="1:22" s="104" customFormat="1" ht="15" customHeight="1">
      <c r="A27" s="91">
        <v>471984</v>
      </c>
      <c r="B27" s="91" t="str">
        <f t="shared" si="0"/>
        <v>47198422</v>
      </c>
      <c r="C27" s="91">
        <v>19200754</v>
      </c>
      <c r="D27" s="92" t="s">
        <v>63</v>
      </c>
      <c r="E27" s="92" t="s">
        <v>28</v>
      </c>
      <c r="F27" s="92" t="s">
        <v>29</v>
      </c>
      <c r="G27" s="93">
        <v>46023</v>
      </c>
      <c r="H27" s="93">
        <v>46053</v>
      </c>
      <c r="I27" s="108">
        <v>46023</v>
      </c>
      <c r="J27" s="92" t="s">
        <v>31</v>
      </c>
      <c r="K27" s="94">
        <v>-347</v>
      </c>
      <c r="L27" s="90" t="s">
        <v>107</v>
      </c>
      <c r="M27" s="90" t="s">
        <v>112</v>
      </c>
      <c r="N27" s="90" t="s">
        <v>113</v>
      </c>
      <c r="O27" s="90"/>
      <c r="P27" s="90"/>
      <c r="Q27" s="90"/>
      <c r="R27" s="90"/>
      <c r="S27" s="90"/>
      <c r="T27" s="90"/>
      <c r="U27" s="90"/>
      <c r="V27" s="90"/>
    </row>
    <row r="28" spans="1:22" s="104" customFormat="1" ht="15" customHeight="1">
      <c r="A28" s="91">
        <v>466228</v>
      </c>
      <c r="B28" s="91" t="str">
        <f t="shared" si="0"/>
        <v>46622822</v>
      </c>
      <c r="C28" s="91">
        <v>19586992</v>
      </c>
      <c r="D28" s="92" t="s">
        <v>59</v>
      </c>
      <c r="E28" s="92" t="s">
        <v>28</v>
      </c>
      <c r="F28" s="92" t="s">
        <v>29</v>
      </c>
      <c r="G28" s="93">
        <v>46023</v>
      </c>
      <c r="H28" s="93">
        <v>46053</v>
      </c>
      <c r="I28" s="108">
        <v>46023</v>
      </c>
      <c r="J28" s="92" t="s">
        <v>31</v>
      </c>
      <c r="K28" s="94">
        <v>-347</v>
      </c>
      <c r="L28" s="90" t="s">
        <v>117</v>
      </c>
      <c r="M28" s="90" t="s">
        <v>112</v>
      </c>
      <c r="N28" s="90" t="s">
        <v>113</v>
      </c>
      <c r="O28" s="90"/>
      <c r="P28" s="90"/>
      <c r="Q28" s="90"/>
      <c r="R28" s="90"/>
      <c r="S28" s="90"/>
      <c r="T28" s="90"/>
      <c r="U28" s="90"/>
      <c r="V28" s="90"/>
    </row>
    <row r="29" spans="1:22" s="104" customFormat="1" ht="15" customHeight="1">
      <c r="A29" s="91">
        <v>444055</v>
      </c>
      <c r="B29" s="91" t="str">
        <f t="shared" si="0"/>
        <v>44405522</v>
      </c>
      <c r="C29" s="91">
        <v>19615078</v>
      </c>
      <c r="D29" s="92" t="s">
        <v>56</v>
      </c>
      <c r="E29" s="92" t="s">
        <v>28</v>
      </c>
      <c r="F29" s="92" t="s">
        <v>29</v>
      </c>
      <c r="G29" s="93">
        <v>45658</v>
      </c>
      <c r="H29" s="97"/>
      <c r="I29" s="108">
        <v>46054</v>
      </c>
      <c r="J29" s="92" t="s">
        <v>43</v>
      </c>
      <c r="K29" s="96">
        <v>28.92</v>
      </c>
      <c r="L29" s="90" t="s">
        <v>106</v>
      </c>
      <c r="M29" s="90" t="s">
        <v>112</v>
      </c>
      <c r="N29" s="90" t="s">
        <v>115</v>
      </c>
      <c r="O29" s="90"/>
      <c r="P29" s="90"/>
      <c r="Q29" s="90"/>
      <c r="R29" s="90"/>
      <c r="S29" s="90"/>
      <c r="T29" s="90"/>
      <c r="U29" s="90"/>
      <c r="V29" s="90"/>
    </row>
    <row r="30" spans="1:22" s="104" customFormat="1" ht="15" customHeight="1">
      <c r="A30" s="100">
        <v>452418</v>
      </c>
      <c r="B30" s="100" t="str">
        <f>CONCATENATE(A30,"OVR")</f>
        <v>452418OVR</v>
      </c>
      <c r="C30" s="100">
        <v>20411454</v>
      </c>
      <c r="D30" s="101" t="s">
        <v>27</v>
      </c>
      <c r="E30" s="101" t="s">
        <v>28</v>
      </c>
      <c r="F30" s="101" t="s">
        <v>29</v>
      </c>
      <c r="G30" s="102">
        <v>46023</v>
      </c>
      <c r="H30" s="102">
        <v>46053</v>
      </c>
      <c r="I30" s="109">
        <v>46023</v>
      </c>
      <c r="J30" s="101" t="s">
        <v>31</v>
      </c>
      <c r="K30" s="103">
        <v>-280</v>
      </c>
      <c r="L30" s="104" t="s">
        <v>118</v>
      </c>
      <c r="M30" s="104" t="s">
        <v>114</v>
      </c>
    </row>
    <row r="31" spans="1:22" s="104" customFormat="1" ht="15" customHeight="1">
      <c r="A31" s="100">
        <v>452411</v>
      </c>
      <c r="B31" s="100" t="str">
        <f t="shared" ref="B31:B57" si="1">CONCATENATE(A31,"OVR")</f>
        <v>452411OVR</v>
      </c>
      <c r="C31" s="100">
        <v>20411454</v>
      </c>
      <c r="D31" s="101" t="s">
        <v>33</v>
      </c>
      <c r="E31" s="101" t="s">
        <v>28</v>
      </c>
      <c r="F31" s="101" t="s">
        <v>29</v>
      </c>
      <c r="G31" s="102">
        <v>46023</v>
      </c>
      <c r="H31" s="102">
        <v>46053</v>
      </c>
      <c r="I31" s="109">
        <v>46023</v>
      </c>
      <c r="J31" s="101" t="s">
        <v>31</v>
      </c>
      <c r="K31" s="103">
        <v>-280</v>
      </c>
      <c r="L31" s="104" t="s">
        <v>118</v>
      </c>
      <c r="M31" s="104" t="s">
        <v>114</v>
      </c>
    </row>
    <row r="32" spans="1:22" s="104" customFormat="1" ht="15" customHeight="1">
      <c r="A32" s="100">
        <v>463308</v>
      </c>
      <c r="B32" s="100" t="str">
        <f t="shared" si="1"/>
        <v>463308OVR</v>
      </c>
      <c r="C32" s="100">
        <v>20411454</v>
      </c>
      <c r="D32" s="101" t="s">
        <v>34</v>
      </c>
      <c r="E32" s="101" t="s">
        <v>28</v>
      </c>
      <c r="F32" s="101" t="s">
        <v>29</v>
      </c>
      <c r="G32" s="102">
        <v>46023</v>
      </c>
      <c r="H32" s="102">
        <v>46053</v>
      </c>
      <c r="I32" s="109">
        <v>46023</v>
      </c>
      <c r="J32" s="101" t="s">
        <v>31</v>
      </c>
      <c r="K32" s="103">
        <v>-280</v>
      </c>
      <c r="L32" s="104" t="s">
        <v>118</v>
      </c>
      <c r="M32" s="104" t="s">
        <v>114</v>
      </c>
    </row>
    <row r="33" spans="1:22" s="104" customFormat="1" ht="15" customHeight="1">
      <c r="A33" s="100">
        <v>466228</v>
      </c>
      <c r="B33" s="100" t="str">
        <f t="shared" si="1"/>
        <v>466228OVR</v>
      </c>
      <c r="C33" s="100">
        <v>20411454</v>
      </c>
      <c r="D33" s="101" t="s">
        <v>59</v>
      </c>
      <c r="E33" s="101" t="s">
        <v>28</v>
      </c>
      <c r="F33" s="101" t="s">
        <v>29</v>
      </c>
      <c r="G33" s="102">
        <v>46023</v>
      </c>
      <c r="H33" s="102">
        <v>46053</v>
      </c>
      <c r="I33" s="109">
        <v>46023</v>
      </c>
      <c r="J33" s="101" t="s">
        <v>31</v>
      </c>
      <c r="K33" s="103">
        <v>-280</v>
      </c>
      <c r="L33" s="104" t="s">
        <v>118</v>
      </c>
      <c r="M33" s="104" t="s">
        <v>114</v>
      </c>
    </row>
    <row r="34" spans="1:22" ht="15" customHeight="1">
      <c r="A34" s="100">
        <v>471984</v>
      </c>
      <c r="B34" s="100" t="str">
        <f t="shared" si="1"/>
        <v>471984OVR</v>
      </c>
      <c r="C34" s="100">
        <v>20411454</v>
      </c>
      <c r="D34" s="101" t="s">
        <v>63</v>
      </c>
      <c r="E34" s="101" t="s">
        <v>28</v>
      </c>
      <c r="F34" s="101" t="s">
        <v>29</v>
      </c>
      <c r="G34" s="102">
        <v>46023</v>
      </c>
      <c r="H34" s="102">
        <v>46053</v>
      </c>
      <c r="I34" s="109">
        <v>46023</v>
      </c>
      <c r="J34" s="101" t="s">
        <v>31</v>
      </c>
      <c r="K34" s="103">
        <v>-280</v>
      </c>
      <c r="L34" s="104" t="s">
        <v>118</v>
      </c>
      <c r="M34" s="104" t="s">
        <v>114</v>
      </c>
      <c r="N34" s="104"/>
      <c r="O34" s="104"/>
      <c r="P34" s="104"/>
      <c r="Q34" s="104"/>
      <c r="R34" s="104"/>
      <c r="S34" s="104"/>
      <c r="T34" s="104"/>
      <c r="U34" s="104"/>
      <c r="V34" s="104"/>
    </row>
    <row r="35" spans="1:22" ht="15" customHeight="1">
      <c r="A35" s="100">
        <v>449350</v>
      </c>
      <c r="B35" s="100" t="str">
        <f t="shared" si="1"/>
        <v>449350OVR</v>
      </c>
      <c r="C35" s="100">
        <v>20411454</v>
      </c>
      <c r="D35" s="101" t="s">
        <v>41</v>
      </c>
      <c r="E35" s="101" t="s">
        <v>28</v>
      </c>
      <c r="F35" s="101" t="s">
        <v>29</v>
      </c>
      <c r="G35" s="102">
        <v>45717</v>
      </c>
      <c r="H35" s="105"/>
      <c r="I35" s="109">
        <v>46054</v>
      </c>
      <c r="J35" s="101" t="s">
        <v>43</v>
      </c>
      <c r="K35" s="106">
        <v>8.75</v>
      </c>
      <c r="L35" s="104" t="s">
        <v>118</v>
      </c>
      <c r="M35" s="104" t="s">
        <v>114</v>
      </c>
      <c r="N35" s="104"/>
      <c r="O35" s="104"/>
      <c r="P35" s="104"/>
      <c r="Q35" s="104"/>
      <c r="R35" s="104"/>
      <c r="S35" s="104"/>
      <c r="T35" s="104"/>
      <c r="U35" s="104"/>
      <c r="V35" s="104"/>
    </row>
    <row r="36" spans="1:22" ht="15" customHeight="1">
      <c r="A36" s="100">
        <v>439384</v>
      </c>
      <c r="B36" s="100" t="str">
        <f t="shared" si="1"/>
        <v>439384OVR</v>
      </c>
      <c r="C36" s="100">
        <v>20411454</v>
      </c>
      <c r="D36" s="101" t="s">
        <v>45</v>
      </c>
      <c r="E36" s="101" t="s">
        <v>28</v>
      </c>
      <c r="F36" s="101" t="s">
        <v>29</v>
      </c>
      <c r="G36" s="102">
        <v>45658</v>
      </c>
      <c r="H36" s="107"/>
      <c r="I36" s="109">
        <v>46054</v>
      </c>
      <c r="J36" s="101" t="s">
        <v>43</v>
      </c>
      <c r="K36" s="106">
        <v>8.75</v>
      </c>
      <c r="L36" s="104" t="s">
        <v>118</v>
      </c>
      <c r="M36" s="104" t="s">
        <v>114</v>
      </c>
      <c r="N36" s="104"/>
      <c r="O36" s="104"/>
      <c r="P36" s="104"/>
      <c r="Q36" s="104"/>
      <c r="R36" s="104"/>
      <c r="S36" s="104"/>
      <c r="T36" s="104"/>
      <c r="U36" s="104"/>
      <c r="V36" s="104"/>
    </row>
    <row r="37" spans="1:22" ht="15" customHeight="1">
      <c r="A37" s="100">
        <v>439383</v>
      </c>
      <c r="B37" s="100" t="str">
        <f t="shared" si="1"/>
        <v>439383OVR</v>
      </c>
      <c r="C37" s="100">
        <v>20411454</v>
      </c>
      <c r="D37" s="101" t="s">
        <v>46</v>
      </c>
      <c r="E37" s="101" t="s">
        <v>28</v>
      </c>
      <c r="F37" s="101" t="s">
        <v>29</v>
      </c>
      <c r="G37" s="102">
        <v>45658</v>
      </c>
      <c r="H37" s="105"/>
      <c r="I37" s="109">
        <v>46054</v>
      </c>
      <c r="J37" s="101" t="s">
        <v>43</v>
      </c>
      <c r="K37" s="106">
        <v>8.75</v>
      </c>
      <c r="L37" s="104" t="s">
        <v>118</v>
      </c>
      <c r="M37" s="104" t="s">
        <v>114</v>
      </c>
      <c r="N37" s="104"/>
      <c r="O37" s="104"/>
      <c r="P37" s="104"/>
      <c r="Q37" s="104"/>
      <c r="R37" s="104"/>
      <c r="S37" s="104"/>
      <c r="T37" s="104"/>
      <c r="U37" s="104"/>
      <c r="V37" s="104"/>
    </row>
    <row r="38" spans="1:22" ht="15" customHeight="1">
      <c r="A38" s="100">
        <v>442876</v>
      </c>
      <c r="B38" s="100" t="str">
        <f t="shared" si="1"/>
        <v>442876OVR</v>
      </c>
      <c r="C38" s="100">
        <v>20411454</v>
      </c>
      <c r="D38" s="101" t="s">
        <v>47</v>
      </c>
      <c r="E38" s="101" t="s">
        <v>28</v>
      </c>
      <c r="F38" s="101" t="s">
        <v>29</v>
      </c>
      <c r="G38" s="102">
        <v>45658</v>
      </c>
      <c r="H38" s="107"/>
      <c r="I38" s="109">
        <v>46054</v>
      </c>
      <c r="J38" s="101" t="s">
        <v>43</v>
      </c>
      <c r="K38" s="106">
        <v>8.75</v>
      </c>
      <c r="L38" s="104" t="s">
        <v>118</v>
      </c>
      <c r="M38" s="104" t="s">
        <v>114</v>
      </c>
      <c r="N38" s="104"/>
      <c r="O38" s="104"/>
      <c r="P38" s="104"/>
      <c r="Q38" s="104"/>
      <c r="R38" s="104"/>
      <c r="S38" s="104"/>
      <c r="T38" s="104"/>
      <c r="U38" s="104"/>
      <c r="V38" s="104"/>
    </row>
    <row r="39" spans="1:22" ht="15" customHeight="1">
      <c r="A39" s="100">
        <v>445341</v>
      </c>
      <c r="B39" s="100" t="str">
        <f t="shared" si="1"/>
        <v>445341OVR</v>
      </c>
      <c r="C39" s="100">
        <v>20411454</v>
      </c>
      <c r="D39" s="101" t="s">
        <v>48</v>
      </c>
      <c r="E39" s="101" t="s">
        <v>28</v>
      </c>
      <c r="F39" s="101" t="s">
        <v>29</v>
      </c>
      <c r="G39" s="102">
        <v>45658</v>
      </c>
      <c r="H39" s="105"/>
      <c r="I39" s="109">
        <v>46054</v>
      </c>
      <c r="J39" s="101" t="s">
        <v>43</v>
      </c>
      <c r="K39" s="106">
        <v>8.75</v>
      </c>
      <c r="L39" s="104" t="s">
        <v>118</v>
      </c>
      <c r="M39" s="104" t="s">
        <v>114</v>
      </c>
      <c r="N39" s="104"/>
      <c r="O39" s="104"/>
      <c r="P39" s="104"/>
      <c r="Q39" s="104"/>
      <c r="R39" s="104"/>
      <c r="S39" s="104"/>
      <c r="T39" s="104"/>
      <c r="U39" s="104"/>
      <c r="V39" s="104"/>
    </row>
    <row r="40" spans="1:22" ht="15" customHeight="1">
      <c r="A40" s="100">
        <v>448295</v>
      </c>
      <c r="B40" s="100" t="str">
        <f t="shared" si="1"/>
        <v>448295OVR</v>
      </c>
      <c r="C40" s="100">
        <v>20411454</v>
      </c>
      <c r="D40" s="101" t="s">
        <v>51</v>
      </c>
      <c r="E40" s="101" t="s">
        <v>28</v>
      </c>
      <c r="F40" s="101" t="s">
        <v>52</v>
      </c>
      <c r="G40" s="102">
        <v>45658</v>
      </c>
      <c r="H40" s="107"/>
      <c r="I40" s="109">
        <v>46054</v>
      </c>
      <c r="J40" s="101" t="s">
        <v>43</v>
      </c>
      <c r="K40" s="106">
        <v>8.75</v>
      </c>
      <c r="L40" s="104" t="s">
        <v>118</v>
      </c>
      <c r="M40" s="104" t="s">
        <v>114</v>
      </c>
      <c r="N40" s="104"/>
      <c r="O40" s="104"/>
      <c r="P40" s="104"/>
      <c r="Q40" s="104"/>
      <c r="R40" s="104"/>
      <c r="S40" s="104"/>
      <c r="T40" s="104"/>
      <c r="U40" s="104"/>
      <c r="V40" s="104"/>
    </row>
    <row r="41" spans="1:22" ht="15" customHeight="1">
      <c r="A41" s="100">
        <v>439914</v>
      </c>
      <c r="B41" s="100" t="str">
        <f t="shared" si="1"/>
        <v>439914OVR</v>
      </c>
      <c r="C41" s="100">
        <v>20411454</v>
      </c>
      <c r="D41" s="101" t="s">
        <v>53</v>
      </c>
      <c r="E41" s="101" t="s">
        <v>28</v>
      </c>
      <c r="F41" s="101" t="s">
        <v>29</v>
      </c>
      <c r="G41" s="102">
        <v>45658</v>
      </c>
      <c r="H41" s="105"/>
      <c r="I41" s="109">
        <v>46054</v>
      </c>
      <c r="J41" s="101" t="s">
        <v>43</v>
      </c>
      <c r="K41" s="106">
        <v>8.75</v>
      </c>
      <c r="L41" s="104" t="s">
        <v>118</v>
      </c>
      <c r="M41" s="104" t="s">
        <v>114</v>
      </c>
      <c r="N41" s="104"/>
      <c r="O41" s="104"/>
      <c r="P41" s="104"/>
      <c r="Q41" s="104"/>
      <c r="R41" s="104"/>
      <c r="S41" s="104"/>
      <c r="T41" s="104"/>
      <c r="U41" s="104"/>
      <c r="V41" s="104"/>
    </row>
    <row r="42" spans="1:22" ht="15" customHeight="1">
      <c r="A42" s="100">
        <v>444055</v>
      </c>
      <c r="B42" s="100" t="str">
        <f t="shared" si="1"/>
        <v>444055OVR</v>
      </c>
      <c r="C42" s="100">
        <v>20411454</v>
      </c>
      <c r="D42" s="101" t="s">
        <v>56</v>
      </c>
      <c r="E42" s="101" t="s">
        <v>28</v>
      </c>
      <c r="F42" s="101" t="s">
        <v>29</v>
      </c>
      <c r="G42" s="102">
        <v>45658</v>
      </c>
      <c r="H42" s="107"/>
      <c r="I42" s="109">
        <v>46054</v>
      </c>
      <c r="J42" s="101" t="s">
        <v>43</v>
      </c>
      <c r="K42" s="106">
        <v>8.75</v>
      </c>
      <c r="L42" s="104" t="s">
        <v>118</v>
      </c>
      <c r="M42" s="104" t="s">
        <v>114</v>
      </c>
      <c r="N42" s="104"/>
      <c r="O42" s="104"/>
      <c r="P42" s="104"/>
      <c r="Q42" s="104"/>
      <c r="R42" s="104"/>
      <c r="S42" s="104"/>
      <c r="T42" s="104"/>
      <c r="U42" s="104"/>
      <c r="V42" s="104"/>
    </row>
    <row r="43" spans="1:22" ht="15" customHeight="1">
      <c r="A43" s="100">
        <v>446535</v>
      </c>
      <c r="B43" s="100" t="str">
        <f t="shared" si="1"/>
        <v>446535OVR</v>
      </c>
      <c r="C43" s="100">
        <v>20411454</v>
      </c>
      <c r="D43" s="101" t="s">
        <v>66</v>
      </c>
      <c r="E43" s="101" t="s">
        <v>28</v>
      </c>
      <c r="F43" s="101" t="s">
        <v>29</v>
      </c>
      <c r="G43" s="102">
        <v>45658</v>
      </c>
      <c r="H43" s="107"/>
      <c r="I43" s="109">
        <v>46054</v>
      </c>
      <c r="J43" s="101" t="s">
        <v>43</v>
      </c>
      <c r="K43" s="106">
        <v>8.75</v>
      </c>
      <c r="L43" s="104" t="s">
        <v>118</v>
      </c>
      <c r="M43" s="104" t="s">
        <v>114</v>
      </c>
      <c r="N43" s="104"/>
      <c r="O43" s="104"/>
      <c r="P43" s="104"/>
      <c r="Q43" s="104"/>
      <c r="R43" s="104"/>
      <c r="S43" s="104"/>
      <c r="T43" s="104"/>
      <c r="U43" s="104"/>
      <c r="V43" s="104"/>
    </row>
    <row r="44" spans="1:22" ht="15" customHeight="1">
      <c r="A44" s="100">
        <v>447954</v>
      </c>
      <c r="B44" s="100" t="str">
        <f t="shared" si="1"/>
        <v>447954OVR</v>
      </c>
      <c r="C44" s="100">
        <v>20411454</v>
      </c>
      <c r="D44" s="101" t="s">
        <v>68</v>
      </c>
      <c r="E44" s="101" t="s">
        <v>28</v>
      </c>
      <c r="F44" s="101" t="s">
        <v>29</v>
      </c>
      <c r="G44" s="102">
        <v>45658</v>
      </c>
      <c r="H44" s="105"/>
      <c r="I44" s="109">
        <v>46054</v>
      </c>
      <c r="J44" s="101" t="s">
        <v>43</v>
      </c>
      <c r="K44" s="106">
        <v>8.75</v>
      </c>
      <c r="L44" s="104" t="s">
        <v>118</v>
      </c>
      <c r="M44" s="104" t="s">
        <v>114</v>
      </c>
      <c r="N44" s="104"/>
      <c r="O44" s="104"/>
      <c r="P44" s="104"/>
      <c r="Q44" s="104"/>
      <c r="R44" s="104"/>
      <c r="S44" s="104"/>
      <c r="T44" s="104"/>
      <c r="U44" s="104"/>
      <c r="V44" s="104"/>
    </row>
    <row r="45" spans="1:22" ht="15" customHeight="1">
      <c r="A45" s="100">
        <v>447955</v>
      </c>
      <c r="B45" s="100" t="str">
        <f t="shared" si="1"/>
        <v>447955OVR</v>
      </c>
      <c r="C45" s="100">
        <v>20411454</v>
      </c>
      <c r="D45" s="101" t="s">
        <v>69</v>
      </c>
      <c r="E45" s="101" t="s">
        <v>28</v>
      </c>
      <c r="F45" s="101" t="s">
        <v>29</v>
      </c>
      <c r="G45" s="102">
        <v>45658</v>
      </c>
      <c r="H45" s="107"/>
      <c r="I45" s="109">
        <v>46054</v>
      </c>
      <c r="J45" s="101" t="s">
        <v>43</v>
      </c>
      <c r="K45" s="106">
        <v>8.75</v>
      </c>
      <c r="L45" s="104" t="s">
        <v>118</v>
      </c>
      <c r="M45" s="104" t="s">
        <v>114</v>
      </c>
      <c r="N45" s="104"/>
      <c r="O45" s="104"/>
      <c r="P45" s="104"/>
      <c r="Q45" s="104"/>
      <c r="R45" s="104"/>
      <c r="S45" s="104"/>
      <c r="T45" s="104"/>
      <c r="U45" s="104"/>
      <c r="V45" s="104"/>
    </row>
    <row r="46" spans="1:22" ht="15" customHeight="1">
      <c r="A46" s="100">
        <v>448034</v>
      </c>
      <c r="B46" s="100" t="str">
        <f t="shared" si="1"/>
        <v>448034OVR</v>
      </c>
      <c r="C46" s="100">
        <v>20411454</v>
      </c>
      <c r="D46" s="101" t="s">
        <v>70</v>
      </c>
      <c r="E46" s="101" t="s">
        <v>28</v>
      </c>
      <c r="F46" s="101" t="s">
        <v>29</v>
      </c>
      <c r="G46" s="102">
        <v>45658</v>
      </c>
      <c r="H46" s="105"/>
      <c r="I46" s="109">
        <v>46054</v>
      </c>
      <c r="J46" s="101" t="s">
        <v>43</v>
      </c>
      <c r="K46" s="106">
        <v>8.75</v>
      </c>
      <c r="L46" s="104" t="s">
        <v>118</v>
      </c>
      <c r="M46" s="104" t="s">
        <v>114</v>
      </c>
      <c r="N46" s="104"/>
      <c r="O46" s="104"/>
      <c r="P46" s="104"/>
      <c r="Q46" s="104"/>
      <c r="R46" s="104"/>
      <c r="S46" s="104"/>
      <c r="T46" s="104"/>
      <c r="U46" s="104"/>
      <c r="V46" s="104"/>
    </row>
    <row r="47" spans="1:22" ht="15" customHeight="1">
      <c r="A47" s="100">
        <v>447701</v>
      </c>
      <c r="B47" s="100" t="str">
        <f t="shared" si="1"/>
        <v>447701OVR</v>
      </c>
      <c r="C47" s="100">
        <v>20411454</v>
      </c>
      <c r="D47" s="101" t="s">
        <v>71</v>
      </c>
      <c r="E47" s="101" t="s">
        <v>28</v>
      </c>
      <c r="F47" s="101" t="s">
        <v>29</v>
      </c>
      <c r="G47" s="102">
        <v>45658</v>
      </c>
      <c r="H47" s="107"/>
      <c r="I47" s="109">
        <v>46054</v>
      </c>
      <c r="J47" s="101" t="s">
        <v>43</v>
      </c>
      <c r="K47" s="106">
        <v>8.75</v>
      </c>
      <c r="L47" s="104" t="s">
        <v>118</v>
      </c>
      <c r="M47" s="104" t="s">
        <v>114</v>
      </c>
      <c r="N47" s="104"/>
      <c r="O47" s="104"/>
      <c r="P47" s="104"/>
      <c r="Q47" s="104"/>
      <c r="R47" s="104"/>
      <c r="S47" s="104"/>
      <c r="T47" s="104"/>
      <c r="U47" s="104"/>
      <c r="V47" s="104"/>
    </row>
    <row r="48" spans="1:22" ht="15" customHeight="1">
      <c r="A48" s="100">
        <v>446217</v>
      </c>
      <c r="B48" s="100" t="str">
        <f t="shared" si="1"/>
        <v>446217OVR</v>
      </c>
      <c r="C48" s="100">
        <v>20411454</v>
      </c>
      <c r="D48" s="101" t="s">
        <v>74</v>
      </c>
      <c r="E48" s="101" t="s">
        <v>28</v>
      </c>
      <c r="F48" s="101" t="s">
        <v>29</v>
      </c>
      <c r="G48" s="102">
        <v>45658</v>
      </c>
      <c r="H48" s="105"/>
      <c r="I48" s="109">
        <v>46054</v>
      </c>
      <c r="J48" s="101" t="s">
        <v>43</v>
      </c>
      <c r="K48" s="106">
        <v>8.75</v>
      </c>
      <c r="L48" s="104" t="s">
        <v>118</v>
      </c>
      <c r="M48" s="104" t="s">
        <v>114</v>
      </c>
      <c r="N48" s="104"/>
      <c r="O48" s="104"/>
      <c r="P48" s="104"/>
      <c r="Q48" s="104"/>
      <c r="R48" s="104"/>
      <c r="S48" s="104"/>
      <c r="T48" s="104"/>
      <c r="U48" s="104"/>
      <c r="V48" s="104"/>
    </row>
    <row r="49" spans="1:22" ht="15" customHeight="1">
      <c r="A49" s="100">
        <v>443292</v>
      </c>
      <c r="B49" s="100" t="str">
        <f t="shared" si="1"/>
        <v>443292OVR</v>
      </c>
      <c r="C49" s="100">
        <v>20411454</v>
      </c>
      <c r="D49" s="101" t="s">
        <v>75</v>
      </c>
      <c r="E49" s="101" t="s">
        <v>28</v>
      </c>
      <c r="F49" s="101" t="s">
        <v>29</v>
      </c>
      <c r="G49" s="102">
        <v>45658</v>
      </c>
      <c r="H49" s="107"/>
      <c r="I49" s="109">
        <v>46054</v>
      </c>
      <c r="J49" s="101" t="s">
        <v>43</v>
      </c>
      <c r="K49" s="106">
        <v>8.75</v>
      </c>
      <c r="L49" s="104" t="s">
        <v>118</v>
      </c>
      <c r="M49" s="104" t="s">
        <v>114</v>
      </c>
      <c r="N49" s="104"/>
      <c r="O49" s="104"/>
      <c r="P49" s="104"/>
      <c r="Q49" s="104"/>
      <c r="R49" s="104"/>
      <c r="S49" s="104"/>
      <c r="T49" s="104"/>
      <c r="U49" s="104"/>
      <c r="V49" s="104"/>
    </row>
    <row r="50" spans="1:22" ht="15" customHeight="1">
      <c r="A50" s="100">
        <v>443286</v>
      </c>
      <c r="B50" s="100" t="str">
        <f t="shared" si="1"/>
        <v>443286OVR</v>
      </c>
      <c r="C50" s="100">
        <v>20411454</v>
      </c>
      <c r="D50" s="101" t="s">
        <v>76</v>
      </c>
      <c r="E50" s="101" t="s">
        <v>28</v>
      </c>
      <c r="F50" s="101" t="s">
        <v>29</v>
      </c>
      <c r="G50" s="102">
        <v>45658</v>
      </c>
      <c r="H50" s="105"/>
      <c r="I50" s="109">
        <v>46054</v>
      </c>
      <c r="J50" s="101" t="s">
        <v>43</v>
      </c>
      <c r="K50" s="106">
        <v>8.75</v>
      </c>
      <c r="L50" s="104" t="s">
        <v>118</v>
      </c>
      <c r="M50" s="104" t="s">
        <v>114</v>
      </c>
      <c r="N50" s="104"/>
      <c r="O50" s="104"/>
      <c r="P50" s="104"/>
      <c r="Q50" s="104"/>
      <c r="R50" s="104"/>
      <c r="S50" s="104"/>
      <c r="T50" s="104"/>
      <c r="U50" s="104"/>
      <c r="V50" s="104"/>
    </row>
    <row r="51" spans="1:22" ht="15" customHeight="1">
      <c r="A51" s="100">
        <v>444212</v>
      </c>
      <c r="B51" s="100" t="str">
        <f t="shared" si="1"/>
        <v>444212OVR</v>
      </c>
      <c r="C51" s="100">
        <v>20411454</v>
      </c>
      <c r="D51" s="101" t="s">
        <v>77</v>
      </c>
      <c r="E51" s="101" t="s">
        <v>28</v>
      </c>
      <c r="F51" s="101" t="s">
        <v>29</v>
      </c>
      <c r="G51" s="102">
        <v>45658</v>
      </c>
      <c r="H51" s="107"/>
      <c r="I51" s="109">
        <v>46054</v>
      </c>
      <c r="J51" s="101" t="s">
        <v>43</v>
      </c>
      <c r="K51" s="106">
        <v>8.75</v>
      </c>
      <c r="L51" s="104" t="s">
        <v>118</v>
      </c>
      <c r="M51" s="104" t="s">
        <v>114</v>
      </c>
      <c r="N51" s="104"/>
      <c r="O51" s="104"/>
      <c r="P51" s="104"/>
      <c r="Q51" s="104"/>
      <c r="R51" s="104"/>
      <c r="S51" s="104"/>
      <c r="T51" s="104"/>
      <c r="U51" s="104"/>
      <c r="V51" s="104"/>
    </row>
    <row r="52" spans="1:22" ht="15" customHeight="1">
      <c r="A52" s="100">
        <v>443209</v>
      </c>
      <c r="B52" s="100" t="str">
        <f t="shared" si="1"/>
        <v>443209OVR</v>
      </c>
      <c r="C52" s="100">
        <v>20411454</v>
      </c>
      <c r="D52" s="101" t="s">
        <v>78</v>
      </c>
      <c r="E52" s="101" t="s">
        <v>28</v>
      </c>
      <c r="F52" s="101" t="s">
        <v>29</v>
      </c>
      <c r="G52" s="102">
        <v>45658</v>
      </c>
      <c r="H52" s="105"/>
      <c r="I52" s="109">
        <v>46054</v>
      </c>
      <c r="J52" s="101" t="s">
        <v>43</v>
      </c>
      <c r="K52" s="106">
        <v>8.75</v>
      </c>
      <c r="L52" s="104" t="s">
        <v>118</v>
      </c>
      <c r="M52" s="104" t="s">
        <v>114</v>
      </c>
      <c r="N52" s="104"/>
      <c r="O52" s="104"/>
      <c r="P52" s="104"/>
      <c r="Q52" s="104"/>
      <c r="R52" s="104"/>
      <c r="S52" s="104"/>
      <c r="T52" s="104"/>
      <c r="U52" s="104"/>
      <c r="V52" s="104"/>
    </row>
    <row r="53" spans="1:22" ht="15" customHeight="1">
      <c r="A53" s="100">
        <v>440990</v>
      </c>
      <c r="B53" s="100" t="str">
        <f t="shared" si="1"/>
        <v>440990OVR</v>
      </c>
      <c r="C53" s="100">
        <v>20411454</v>
      </c>
      <c r="D53" s="101" t="s">
        <v>79</v>
      </c>
      <c r="E53" s="101" t="s">
        <v>28</v>
      </c>
      <c r="F53" s="101" t="s">
        <v>29</v>
      </c>
      <c r="G53" s="102">
        <v>45658</v>
      </c>
      <c r="H53" s="107"/>
      <c r="I53" s="109">
        <v>46054</v>
      </c>
      <c r="J53" s="101" t="s">
        <v>43</v>
      </c>
      <c r="K53" s="106">
        <v>8.75</v>
      </c>
      <c r="L53" s="104" t="s">
        <v>118</v>
      </c>
      <c r="M53" s="104" t="s">
        <v>114</v>
      </c>
      <c r="N53" s="104"/>
      <c r="O53" s="104"/>
      <c r="P53" s="104"/>
      <c r="Q53" s="104"/>
      <c r="R53" s="104"/>
      <c r="S53" s="104"/>
      <c r="T53" s="104"/>
      <c r="U53" s="104"/>
      <c r="V53" s="104"/>
    </row>
    <row r="54" spans="1:22" ht="15" customHeight="1">
      <c r="A54" s="100">
        <v>445753</v>
      </c>
      <c r="B54" s="100" t="str">
        <f t="shared" si="1"/>
        <v>445753OVR</v>
      </c>
      <c r="C54" s="100">
        <v>20411454</v>
      </c>
      <c r="D54" s="101" t="s">
        <v>80</v>
      </c>
      <c r="E54" s="101" t="s">
        <v>28</v>
      </c>
      <c r="F54" s="101" t="s">
        <v>29</v>
      </c>
      <c r="G54" s="102">
        <v>45658</v>
      </c>
      <c r="H54" s="105"/>
      <c r="I54" s="109">
        <v>46054</v>
      </c>
      <c r="J54" s="101" t="s">
        <v>43</v>
      </c>
      <c r="K54" s="106">
        <v>8.75</v>
      </c>
      <c r="L54" s="104" t="s">
        <v>118</v>
      </c>
      <c r="M54" s="104" t="s">
        <v>114</v>
      </c>
      <c r="N54" s="104"/>
      <c r="O54" s="104"/>
      <c r="P54" s="104"/>
      <c r="Q54" s="104"/>
      <c r="R54" s="104"/>
      <c r="S54" s="104"/>
      <c r="T54" s="104"/>
      <c r="U54" s="104"/>
      <c r="V54" s="104"/>
    </row>
    <row r="55" spans="1:22" ht="15" customHeight="1">
      <c r="A55" s="100">
        <v>446673</v>
      </c>
      <c r="B55" s="100" t="str">
        <f t="shared" si="1"/>
        <v>446673OVR</v>
      </c>
      <c r="C55" s="100">
        <v>20411454</v>
      </c>
      <c r="D55" s="101" t="s">
        <v>81</v>
      </c>
      <c r="E55" s="101" t="s">
        <v>28</v>
      </c>
      <c r="F55" s="101" t="s">
        <v>29</v>
      </c>
      <c r="G55" s="102">
        <v>45658</v>
      </c>
      <c r="H55" s="107"/>
      <c r="I55" s="109">
        <v>46054</v>
      </c>
      <c r="J55" s="101" t="s">
        <v>43</v>
      </c>
      <c r="K55" s="106">
        <v>8.75</v>
      </c>
      <c r="L55" s="104" t="s">
        <v>118</v>
      </c>
      <c r="M55" s="104" t="s">
        <v>114</v>
      </c>
      <c r="N55" s="104"/>
      <c r="O55" s="104"/>
      <c r="P55" s="104"/>
      <c r="Q55" s="104"/>
      <c r="R55" s="104"/>
      <c r="S55" s="104"/>
      <c r="T55" s="104"/>
      <c r="U55" s="104"/>
      <c r="V55" s="104"/>
    </row>
    <row r="56" spans="1:22" s="104" customFormat="1" ht="15" customHeight="1">
      <c r="A56" s="100">
        <v>447931</v>
      </c>
      <c r="B56" s="100" t="str">
        <f t="shared" si="1"/>
        <v>447931OVR</v>
      </c>
      <c r="C56" s="100">
        <v>20411454</v>
      </c>
      <c r="D56" s="101" t="s">
        <v>82</v>
      </c>
      <c r="E56" s="101" t="s">
        <v>28</v>
      </c>
      <c r="F56" s="101" t="s">
        <v>29</v>
      </c>
      <c r="G56" s="102">
        <v>45658</v>
      </c>
      <c r="H56" s="105"/>
      <c r="I56" s="109">
        <v>46054</v>
      </c>
      <c r="J56" s="101" t="s">
        <v>43</v>
      </c>
      <c r="K56" s="106">
        <v>8.75</v>
      </c>
      <c r="L56" s="104" t="s">
        <v>118</v>
      </c>
      <c r="M56" s="104" t="s">
        <v>114</v>
      </c>
    </row>
    <row r="57" spans="1:22" ht="15" customHeight="1">
      <c r="A57" s="100">
        <v>473752</v>
      </c>
      <c r="B57" s="100" t="str">
        <f t="shared" si="1"/>
        <v>473752OVR</v>
      </c>
      <c r="C57" s="100">
        <v>20411454</v>
      </c>
      <c r="D57" s="101" t="s">
        <v>59</v>
      </c>
      <c r="E57" s="101" t="s">
        <v>28</v>
      </c>
      <c r="F57" s="101" t="s">
        <v>29</v>
      </c>
      <c r="G57" s="102">
        <v>46054</v>
      </c>
      <c r="H57" s="107"/>
      <c r="I57" s="109">
        <v>46054</v>
      </c>
      <c r="J57" s="101" t="s">
        <v>60</v>
      </c>
      <c r="K57" s="106">
        <v>128.34</v>
      </c>
      <c r="L57" s="104" t="s">
        <v>118</v>
      </c>
      <c r="M57" s="104" t="s">
        <v>114</v>
      </c>
      <c r="N57" s="104"/>
      <c r="O57" s="104"/>
      <c r="P57" s="104"/>
      <c r="Q57" s="104"/>
      <c r="R57" s="104"/>
      <c r="S57" s="104"/>
      <c r="T57" s="104"/>
      <c r="U57" s="104"/>
      <c r="V57" s="104"/>
    </row>
  </sheetData>
  <sortState xmlns:xlrd2="http://schemas.microsoft.com/office/spreadsheetml/2017/richdata2" ref="A2:V57">
    <sortCondition ref="M2:M5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2026-02-20T12:54:29Z</dcterms:created>
  <dcterms:modified xsi:type="dcterms:W3CDTF">2026-02-26T14:06:31Z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2026-02-20T00:00:00Z</vt:filetime>
  </property>
</Properties>
</file>