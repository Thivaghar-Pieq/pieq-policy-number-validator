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4olRy7XeQiN2OeMfbTgTMh4QzxCW69HMOfMo+k19n0k="/>
    </ext>
  </extLst>
</workbook>
</file>

<file path=xl/sharedStrings.xml><?xml version="1.0" encoding="utf-8"?>
<sst xmlns="http://schemas.openxmlformats.org/spreadsheetml/2006/main" count="930" uniqueCount="823">
  <si>
    <t>Member ID</t>
  </si>
  <si>
    <t>Writing ID</t>
  </si>
  <si>
    <t>Name</t>
  </si>
  <si>
    <t>Product</t>
  </si>
  <si>
    <t>Policy State</t>
  </si>
  <si>
    <t>Effective Date</t>
  </si>
  <si>
    <t>Term Date</t>
  </si>
  <si>
    <t>Period</t>
  </si>
  <si>
    <t>CMS Payment Type</t>
  </si>
  <si>
    <t>Retro</t>
  </si>
  <si>
    <t>Commission Amount</t>
  </si>
  <si>
    <r>
      <rPr>
        <rFont val="Arial"/>
        <b/>
        <color theme="1"/>
        <sz val="10.0"/>
      </rPr>
      <t>SUMMARY</t>
    </r>
  </si>
  <si>
    <r>
      <rPr>
        <rFont val="Arial MT"/>
        <color theme="1"/>
        <sz val="8.0"/>
      </rPr>
      <t>Alicea, Gloria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</si>
  <si>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</si>
  <si>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</si>
  <si>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New to Plan</t>
    </r>
  </si>
  <si>
    <r>
      <rPr>
        <rFont val="Arial MT"/>
        <color theme="1"/>
        <sz val="8.0"/>
      </rPr>
      <t>Y</t>
    </r>
  </si>
  <si>
    <r>
      <rPr>
        <rFont val="Arial"/>
        <b/>
        <color rgb="FF000000"/>
        <sz val="9.0"/>
      </rPr>
      <t xml:space="preserve">Amount
</t>
    </r>
    <r>
      <rPr>
        <rFont val="Arial MT"/>
        <color rgb="FF000000"/>
        <sz val="9.0"/>
      </rPr>
      <t xml:space="preserve">$608.25
</t>
    </r>
    <r>
      <rPr>
        <rFont val="Arial MT"/>
        <color rgb="FF000000"/>
        <sz val="9.0"/>
      </rPr>
      <t>$828.74</t>
    </r>
  </si>
  <si>
    <r>
      <rPr>
        <rFont val="Arial"/>
        <b/>
        <color rgb="FF000000"/>
        <sz val="9.0"/>
      </rPr>
      <t xml:space="preserve">Payable Regular Commissions:
</t>
    </r>
    <r>
      <rPr>
        <rFont val="Arial MT"/>
        <color rgb="FF000000"/>
        <sz val="9.0"/>
      </rPr>
      <t>New Enrollment Commissions Renewal Commissions</t>
    </r>
  </si>
  <si>
    <t>Portugal, Gary</t>
  </si>
  <si>
    <r>
      <rPr>
        <rFont val="Arial"/>
        <b/>
        <color theme="1"/>
        <sz val="9.0"/>
      </rPr>
      <t>Regular Commissions Sub-Totals:                                                   $1,436.99</t>
    </r>
  </si>
  <si>
    <r>
      <rPr>
        <rFont val="Arial"/>
        <b/>
        <color theme="1"/>
        <sz val="9.0"/>
      </rPr>
      <t xml:space="preserve">Total Commissions:                                                                                                </t>
    </r>
    <r>
      <rPr>
        <rFont val="Arial"/>
        <b/>
        <color theme="1"/>
        <sz val="9.0"/>
        <vertAlign val="subscript"/>
      </rPr>
      <t>$1,436.99</t>
    </r>
  </si>
  <si>
    <r>
      <rPr>
        <rFont val="Arial"/>
        <b/>
        <color theme="1"/>
        <sz val="11.0"/>
      </rPr>
      <t>SUMMARY TOTALS</t>
    </r>
  </si>
  <si>
    <r>
      <rPr>
        <rFont val="Arial"/>
        <b/>
        <color theme="1"/>
        <sz val="9.0"/>
      </rPr>
      <t>Beginning Balance Forward:</t>
    </r>
  </si>
  <si>
    <t>Essence MAPD OVR</t>
  </si>
  <si>
    <r>
      <rPr>
        <rFont val="Arial"/>
        <b/>
        <color theme="1"/>
        <sz val="9.0"/>
      </rPr>
      <t>Commission Activity:</t>
    </r>
  </si>
  <si>
    <r>
      <rPr>
        <rFont val="Arial MT"/>
        <color theme="1"/>
        <sz val="8.0"/>
      </rPr>
      <t>Templin, Karen</t>
    </r>
  </si>
  <si>
    <r>
      <rPr>
        <rFont val="Arial"/>
        <b/>
        <color theme="1"/>
        <sz val="9.0"/>
      </rPr>
      <t>Bonuses: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</si>
  <si>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</si>
  <si>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</si>
  <si>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"/>
        <b/>
        <color theme="1"/>
        <sz val="9.0"/>
      </rPr>
      <t>Manual Adjustments:</t>
    </r>
  </si>
  <si>
    <r>
      <rPr>
        <rFont val="Arial MT"/>
        <color theme="1"/>
        <sz val="8.0"/>
      </rPr>
      <t>Initial</t>
    </r>
  </si>
  <si>
    <r>
      <rPr>
        <rFont val="Arial MT"/>
        <color theme="1"/>
        <sz val="8.0"/>
      </rPr>
      <t>N</t>
    </r>
  </si>
  <si>
    <t>Horn, Jeffrey</t>
  </si>
  <si>
    <r>
      <rPr>
        <rFont val="Arial"/>
        <b/>
        <color theme="1"/>
        <sz val="9.0"/>
      </rPr>
      <t>Total Commissions:</t>
    </r>
  </si>
  <si>
    <r>
      <rPr>
        <rFont val="Arial"/>
        <b/>
        <color theme="1"/>
        <sz val="9.0"/>
      </rPr>
      <t>Amount to Pay:</t>
    </r>
  </si>
  <si>
    <r>
      <rPr>
        <rFont val="Arial"/>
        <b/>
        <color theme="1"/>
        <sz val="9.0"/>
      </rPr>
      <t>Ending Balance Forward:</t>
    </r>
  </si>
  <si>
    <r>
      <rPr>
        <rFont val="Arial"/>
        <b/>
        <color theme="1"/>
        <sz val="10.0"/>
      </rPr>
      <t>Writing Agent                                 9213293                                  Portugal, Gary</t>
    </r>
  </si>
  <si>
    <r>
      <rPr>
        <rFont val="Arial MT"/>
        <color theme="1"/>
        <sz val="8.0"/>
      </rPr>
      <t>Bauer, Dorothy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</si>
  <si>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</si>
  <si>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</si>
  <si>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"/>
        <b/>
        <color theme="1"/>
        <sz val="10.0"/>
      </rPr>
      <t>New Enrollment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</si>
  <si>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</si>
  <si>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</si>
  <si>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</si>
  <si>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Writing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</si>
  <si>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</si>
  <si>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</si>
  <si>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Policy State</t>
    </r>
  </si>
  <si>
    <r>
      <rPr>
        <rFont val="Arial"/>
        <b/>
        <color theme="1"/>
        <sz val="9.0"/>
      </rPr>
      <t>Effective Date</t>
    </r>
  </si>
  <si>
    <r>
      <rPr>
        <rFont val="Arial"/>
        <b/>
        <color theme="1"/>
        <sz val="9.0"/>
      </rPr>
      <t>Term Date</t>
    </r>
  </si>
  <si>
    <r>
      <rPr>
        <rFont val="Arial MT"/>
        <color theme="1"/>
        <sz val="8.0"/>
      </rPr>
      <t>Huget, Dolores</t>
    </r>
  </si>
  <si>
    <r>
      <rPr>
        <rFont val="Arial"/>
        <b/>
        <color theme="1"/>
        <sz val="9.0"/>
      </rPr>
      <t>Term Code</t>
    </r>
  </si>
  <si>
    <r>
      <rPr>
        <rFont val="Arial MT"/>
        <color theme="1"/>
        <sz val="8.0"/>
      </rPr>
      <t>MA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</si>
  <si>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</si>
  <si>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CMS Payment Type</t>
    </r>
  </si>
  <si>
    <r>
      <rPr>
        <rFont val="Arial MT"/>
        <color theme="1"/>
        <sz val="8.0"/>
      </rPr>
      <t>IL</t>
    </r>
  </si>
  <si>
    <r>
      <rPr>
        <rFont val="Arial"/>
        <b/>
        <color theme="1"/>
        <sz val="9.0"/>
      </rPr>
      <t>Retro</t>
    </r>
  </si>
  <si>
    <r>
      <rPr>
        <rFont val="Arial"/>
        <b/>
        <color theme="1"/>
        <sz val="9.0"/>
      </rPr>
      <t>Commission Amount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</si>
  <si>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</si>
  <si>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</si>
  <si>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Alicea, Gloria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</si>
  <si>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</si>
  <si>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</si>
  <si>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01/2026</t>
    </r>
  </si>
  <si>
    <r>
      <rPr>
        <rFont val="Arial MT"/>
        <color theme="1"/>
        <sz val="8.0"/>
      </rPr>
      <t>New to Plan</t>
    </r>
  </si>
  <si>
    <r>
      <rPr>
        <rFont val="Arial MT"/>
        <color theme="1"/>
        <sz val="8.0"/>
      </rPr>
      <t>Y</t>
    </r>
  </si>
  <si>
    <r>
      <rPr>
        <rFont val="Arial MT"/>
        <color theme="1"/>
        <sz val="8.0"/>
      </rPr>
      <t>Huget, Werner</t>
    </r>
  </si>
  <si>
    <r>
      <rPr>
        <rFont val="Arial MT"/>
        <color theme="1"/>
        <sz val="8.0"/>
      </rPr>
      <t>MA</t>
    </r>
  </si>
  <si>
    <r>
      <rPr>
        <rFont val="Arial"/>
        <b/>
        <color theme="1"/>
        <sz val="9.0"/>
      </rPr>
      <t xml:space="preserve">Total for New Enrollments:                                                                                                             </t>
    </r>
    <r>
      <rPr>
        <rFont val="Arial"/>
        <b/>
        <color rgb="FFCC0000"/>
        <sz val="9.0"/>
      </rPr>
      <t>($163.33)</t>
    </r>
  </si>
  <si>
    <r>
      <rPr>
        <rFont val="Arial MT"/>
        <color theme="1"/>
        <sz val="8.0"/>
      </rPr>
      <t>IL</t>
    </r>
  </si>
  <si>
    <r>
      <rPr>
        <rFont val="Arial"/>
        <b/>
        <color theme="1"/>
        <sz val="9.0"/>
      </rPr>
      <t>Total for Writing Agent       9213293        Portugal, Gary</t>
    </r>
  </si>
  <si>
    <r>
      <rPr>
        <rFont val="Arial MT"/>
        <color theme="1"/>
        <sz val="8.0"/>
      </rPr>
      <t>Renew</t>
    </r>
  </si>
  <si>
    <r>
      <rPr>
        <rFont val="Arial"/>
        <b/>
        <color theme="1"/>
        <sz val="10.0"/>
      </rPr>
      <t>Writing Agent                                 2158366                                  Horn, Jeffrey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</si>
  <si>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</si>
  <si>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10.0"/>
      </rPr>
      <t>New Enrollment</t>
    </r>
  </si>
  <si>
    <r>
      <rPr>
        <rFont val="Arial MT"/>
        <color theme="1"/>
        <sz val="8.0"/>
      </rPr>
      <t>Szela, Florence</t>
    </r>
  </si>
  <si>
    <r>
      <rPr>
        <rFont val="Arial MT"/>
        <color theme="1"/>
        <sz val="8.0"/>
      </rPr>
      <t>MA</t>
    </r>
  </si>
  <si>
    <r>
      <rPr>
        <rFont val="Arial"/>
        <b/>
        <color theme="1"/>
        <sz val="9.0"/>
      </rPr>
      <t>Member ID</t>
    </r>
  </si>
  <si>
    <r>
      <rPr>
        <rFont val="Arial MT"/>
        <color theme="1"/>
        <sz val="8.0"/>
      </rPr>
      <t>IL</t>
    </r>
  </si>
  <si>
    <r>
      <rPr>
        <rFont val="Arial"/>
        <b/>
        <color theme="1"/>
        <sz val="9.0"/>
      </rPr>
      <t>Writing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</si>
  <si>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</si>
  <si>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</si>
  <si>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 MT"/>
        <color theme="1"/>
        <sz val="8.0"/>
      </rPr>
      <t>Renew</t>
    </r>
  </si>
  <si>
    <r>
      <rPr>
        <rFont val="Arial"/>
        <b/>
        <color theme="1"/>
        <sz val="9.0"/>
      </rPr>
      <t>Policy State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</si>
  <si>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</si>
  <si>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Effective Date</t>
    </r>
  </si>
  <si>
    <r>
      <rPr>
        <rFont val="Arial"/>
        <b/>
        <color theme="1"/>
        <sz val="9.0"/>
      </rPr>
      <t>Term Date</t>
    </r>
  </si>
  <si>
    <r>
      <rPr>
        <rFont val="Arial"/>
        <b/>
        <color theme="1"/>
        <sz val="9.0"/>
      </rPr>
      <t>Term Code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</si>
  <si>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</si>
  <si>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CMS Payment Type</t>
    </r>
  </si>
  <si>
    <r>
      <rPr>
        <rFont val="Arial"/>
        <b/>
        <color theme="1"/>
        <sz val="9.0"/>
      </rPr>
      <t>Retro</t>
    </r>
  </si>
  <si>
    <r>
      <rPr>
        <rFont val="Arial"/>
        <b/>
        <color theme="1"/>
        <sz val="9.0"/>
      </rPr>
      <t>Commission Amount</t>
    </r>
  </si>
  <si>
    <r>
      <rPr>
        <rFont val="Arial MT"/>
        <color theme="1"/>
        <sz val="8.0"/>
      </rPr>
      <t>Templin, Charles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</si>
  <si>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</si>
  <si>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</si>
  <si>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</si>
  <si>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</si>
  <si>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Templin, Karen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</si>
  <si>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</si>
  <si>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</si>
  <si>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</si>
  <si>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Initial</t>
    </r>
  </si>
  <si>
    <r>
      <rPr>
        <rFont val="Arial MT"/>
        <color theme="1"/>
        <sz val="8.0"/>
      </rPr>
      <t>Hamilton, Pamela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</si>
  <si>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</si>
  <si>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</si>
  <si>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IN</t>
    </r>
  </si>
  <si>
    <r>
      <rPr>
        <rFont val="Arial"/>
        <b/>
        <color theme="1"/>
        <sz val="9.0"/>
      </rPr>
      <t>Total for New Enrollments:                                                                                                              $280.00</t>
    </r>
  </si>
  <si>
    <r>
      <rPr>
        <rFont val="Arial"/>
        <b/>
        <color theme="1"/>
        <sz val="10.0"/>
      </rPr>
      <t>Annual Renewals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</si>
  <si>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</si>
  <si>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</si>
  <si>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t>Portugal, Stacey</t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</si>
  <si>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</si>
  <si>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Writing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</si>
  <si>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</si>
  <si>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</si>
  <si>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Policy State</t>
    </r>
  </si>
  <si>
    <r>
      <rPr>
        <rFont val="Arial"/>
        <b/>
        <color theme="1"/>
        <sz val="9.0"/>
      </rPr>
      <t>Effective Date</t>
    </r>
  </si>
  <si>
    <r>
      <rPr>
        <rFont val="Arial"/>
        <b/>
        <color theme="1"/>
        <sz val="9.0"/>
      </rPr>
      <t>Term Date</t>
    </r>
  </si>
  <si>
    <r>
      <rPr>
        <rFont val="Arial MT"/>
        <color theme="1"/>
        <sz val="8.0"/>
      </rPr>
      <t>Packer, Patricia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</si>
  <si>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</si>
  <si>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</si>
  <si>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"/>
        <b/>
        <color theme="1"/>
        <sz val="9.0"/>
      </rPr>
      <t>Term Code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</si>
  <si>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</si>
  <si>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CMS Payment Type</t>
    </r>
  </si>
  <si>
    <r>
      <rPr>
        <rFont val="Arial"/>
        <b/>
        <color theme="1"/>
        <sz val="9.0"/>
      </rPr>
      <t>Retro</t>
    </r>
  </si>
  <si>
    <r>
      <rPr>
        <rFont val="Arial"/>
        <b/>
        <color theme="1"/>
        <sz val="9.0"/>
      </rPr>
      <t>Commission Amount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</si>
  <si>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</si>
  <si>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</si>
  <si>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Bauer, Dorothy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</si>
  <si>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</si>
  <si>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</si>
  <si>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</si>
  <si>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</si>
  <si>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</si>
  <si>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Kritikos, Georgios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</si>
  <si>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</si>
  <si>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</si>
  <si>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</si>
  <si>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Huget, Dolores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</si>
  <si>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</si>
  <si>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MA</t>
    </r>
  </si>
  <si>
    <t>Wuensch, Richard</t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</si>
  <si>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</si>
  <si>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</si>
  <si>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</si>
  <si>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</si>
  <si>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Hendrickson, Sarah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</si>
  <si>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</si>
  <si>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</si>
  <si>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Huget, Werner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</si>
  <si>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</si>
  <si>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</si>
  <si>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</si>
  <si>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</si>
  <si>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</si>
  <si>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</si>
  <si>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</si>
  <si>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t>Herrera-Larsen, Esther</t>
  </si>
  <si>
    <r>
      <rPr>
        <rFont val="Arial MT"/>
        <color theme="1"/>
        <sz val="8.0"/>
      </rPr>
      <t>Szela, Florence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</si>
  <si>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</si>
  <si>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</si>
  <si>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</si>
  <si>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</si>
  <si>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Campanella, Theodora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</si>
  <si>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</si>
  <si>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</si>
  <si>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</si>
  <si>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Templin, Charles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</si>
  <si>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</si>
  <si>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</si>
  <si>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</si>
  <si>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</si>
  <si>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06/2026</t>
    </r>
  </si>
  <si>
    <t>Petrungaro, Andrea</t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</si>
  <si>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</si>
  <si>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</si>
  <si>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Annual Renewals:                                                                                                               $43.75</t>
    </r>
  </si>
  <si>
    <r>
      <rPr>
        <rFont val="Arial"/>
        <b/>
        <color theme="1"/>
        <sz val="9.0"/>
      </rPr>
      <t>Total for Writing Agent       2158366        Horn, Jeffrey</t>
    </r>
  </si>
  <si>
    <r>
      <rPr>
        <rFont val="Arial"/>
        <b/>
        <color theme="1"/>
        <sz val="10.0"/>
      </rPr>
      <t>Writing Agent                                 19645587                                Portugal, Stacey</t>
    </r>
  </si>
  <si>
    <r>
      <rPr>
        <rFont val="Arial MT"/>
        <color theme="1"/>
        <sz val="8.0"/>
      </rPr>
      <t>Chilstrom, Marne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</si>
  <si>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</si>
  <si>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</si>
  <si>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</si>
  <si>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</si>
  <si>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10.0"/>
      </rPr>
      <t>Annual Renewals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</si>
  <si>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</si>
  <si>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Writing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</si>
  <si>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</si>
  <si>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</si>
  <si>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Policy State</t>
    </r>
  </si>
  <si>
    <r>
      <rPr>
        <rFont val="Arial"/>
        <b/>
        <color theme="1"/>
        <sz val="9.0"/>
      </rPr>
      <t>Effective Date</t>
    </r>
  </si>
  <si>
    <r>
      <rPr>
        <rFont val="Arial"/>
        <b/>
        <color theme="1"/>
        <sz val="9.0"/>
      </rPr>
      <t>Term Date</t>
    </r>
  </si>
  <si>
    <r>
      <rPr>
        <rFont val="Arial MT"/>
        <color theme="1"/>
        <sz val="8.0"/>
      </rPr>
      <t>Fluieras, Maria</t>
    </r>
  </si>
  <si>
    <r>
      <rPr>
        <rFont val="Arial MT"/>
        <color theme="1"/>
        <sz val="8.0"/>
      </rPr>
      <t>MA</t>
    </r>
  </si>
  <si>
    <r>
      <rPr>
        <rFont val="Arial"/>
        <b/>
        <color theme="1"/>
        <sz val="9.0"/>
      </rPr>
      <t>Term Code</t>
    </r>
  </si>
  <si>
    <r>
      <rPr>
        <rFont val="Arial MT"/>
        <color theme="1"/>
        <sz val="8.0"/>
      </rPr>
      <t>IL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</si>
  <si>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</si>
  <si>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CMS Payment Type</t>
    </r>
  </si>
  <si>
    <r>
      <rPr>
        <rFont val="Arial"/>
        <b/>
        <color theme="1"/>
        <sz val="9.0"/>
      </rPr>
      <t>Retro</t>
    </r>
  </si>
  <si>
    <r>
      <rPr>
        <rFont val="Arial"/>
        <b/>
        <color theme="1"/>
        <sz val="9.0"/>
      </rPr>
      <t>Commission Amount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</si>
  <si>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</si>
  <si>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</si>
  <si>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Hamilton, Pamela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</si>
  <si>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</si>
  <si>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Sisty, Carole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</si>
  <si>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</si>
  <si>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</si>
  <si>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</si>
  <si>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</si>
  <si>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</si>
  <si>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</si>
  <si>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</si>
  <si>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</si>
  <si>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Packer, Patricia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</si>
  <si>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</si>
  <si>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</si>
  <si>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</si>
  <si>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</si>
  <si>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</si>
  <si>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Gumbiner, Gail</t>
    </r>
  </si>
  <si>
    <r>
      <rPr>
        <rFont val="Arial MT"/>
        <color theme="1"/>
        <sz val="8.0"/>
      </rPr>
      <t>MA</t>
    </r>
  </si>
  <si>
    <r>
      <rPr>
        <rFont val="Arial"/>
        <b/>
        <color theme="1"/>
        <sz val="9.0"/>
      </rPr>
      <t>Total for Annual Renewals:                                                                                                               $17.50</t>
    </r>
  </si>
  <si>
    <r>
      <rPr>
        <rFont val="Arial MT"/>
        <color theme="1"/>
        <sz val="8.0"/>
      </rPr>
      <t>IL</t>
    </r>
  </si>
  <si>
    <r>
      <rPr>
        <rFont val="Arial"/>
        <b/>
        <color theme="1"/>
        <sz val="9.0"/>
      </rPr>
      <t>Total for Writing Agent       19645587        Portugal, Stacey</t>
    </r>
  </si>
  <si>
    <r>
      <rPr>
        <rFont val="Arial"/>
        <b/>
        <color theme="1"/>
        <sz val="9.0"/>
      </rPr>
      <t>Member ID</t>
    </r>
  </si>
  <si>
    <r>
      <rPr>
        <rFont val="Arial MT"/>
        <color theme="1"/>
        <sz val="8.0"/>
      </rPr>
      <t>Renew</t>
    </r>
  </si>
  <si>
    <r>
      <rPr>
        <rFont val="Arial"/>
        <b/>
        <color theme="1"/>
        <sz val="9.0"/>
      </rPr>
      <t>Writing ID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</si>
  <si>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</si>
  <si>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</si>
  <si>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</si>
  <si>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t>Yale, Richard</t>
  </si>
  <si>
    <r>
      <rPr>
        <rFont val="Arial"/>
        <b/>
        <color rgb="FF000000"/>
        <sz val="9.0"/>
      </rPr>
      <t xml:space="preserve">Policy
</t>
    </r>
    <r>
      <rPr>
        <rFont val="Arial"/>
        <b/>
        <color rgb="FF000000"/>
        <sz val="9.0"/>
      </rPr>
      <t>State</t>
    </r>
  </si>
  <si>
    <r>
      <rPr>
        <rFont val="Arial"/>
        <b/>
        <color rgb="FF000000"/>
        <sz val="9.0"/>
      </rPr>
      <t xml:space="preserve">Effective
</t>
    </r>
    <r>
      <rPr>
        <rFont val="Arial"/>
        <b/>
        <color rgb="FF000000"/>
        <sz val="9.0"/>
      </rPr>
      <t>Date</t>
    </r>
  </si>
  <si>
    <r>
      <rPr>
        <rFont val="Arial"/>
        <b/>
        <color theme="1"/>
        <sz val="9.0"/>
      </rPr>
      <t>Term Date</t>
    </r>
  </si>
  <si>
    <r>
      <rPr>
        <rFont val="Arial"/>
        <b/>
        <color theme="1"/>
        <sz val="9.0"/>
      </rPr>
      <t>Term Code</t>
    </r>
  </si>
  <si>
    <r>
      <rPr>
        <rFont val="Arial"/>
        <b/>
        <color theme="1"/>
        <sz val="9.0"/>
      </rPr>
      <t>Period</t>
    </r>
  </si>
  <si>
    <r>
      <rPr>
        <rFont val="Arial"/>
        <b/>
        <color rgb="FF000000"/>
        <sz val="9.0"/>
      </rPr>
      <t xml:space="preserve">CMS Payment
</t>
    </r>
    <r>
      <rPr>
        <rFont val="Arial"/>
        <b/>
        <color rgb="FF000000"/>
        <sz val="9.0"/>
      </rPr>
      <t>Type</t>
    </r>
  </si>
  <si>
    <r>
      <rPr>
        <rFont val="Arial"/>
        <b/>
        <color theme="1"/>
        <sz val="9.0"/>
      </rPr>
      <t>Retro</t>
    </r>
  </si>
  <si>
    <r>
      <rPr>
        <rFont val="Arial"/>
        <b/>
        <color rgb="FF000000"/>
        <sz val="9.0"/>
      </rPr>
      <t xml:space="preserve">Commission
</t>
    </r>
    <r>
      <rPr>
        <rFont val="Arial"/>
        <b/>
        <color rgb="FF000000"/>
        <sz val="9.0"/>
      </rPr>
      <t>Amount</t>
    </r>
  </si>
  <si>
    <r>
      <rPr>
        <rFont val="Arial MT"/>
        <color theme="1"/>
        <sz val="8.0"/>
      </rPr>
      <t>Kanter, Corrine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</si>
  <si>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</si>
  <si>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</si>
  <si>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</si>
  <si>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</si>
  <si>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Kritikos, Georgios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</si>
  <si>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</si>
  <si>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</si>
  <si>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Kanter, Larry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</si>
  <si>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</si>
  <si>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</si>
  <si>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</si>
  <si>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</si>
  <si>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Kuenzel, Chrisanne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</si>
  <si>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</si>
  <si>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</si>
  <si>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</si>
  <si>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</si>
  <si>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</si>
  <si>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</si>
  <si>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</si>
  <si>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Annual Renewals:                                                                                                                $8.75</t>
    </r>
  </si>
  <si>
    <r>
      <rPr>
        <rFont val="Arial"/>
        <b/>
        <color theme="1"/>
        <sz val="9.0"/>
      </rPr>
      <t>Total for Writing Agent       19615078        Wuensch, Richard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</si>
  <si>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</si>
  <si>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Writing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</si>
  <si>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</si>
  <si>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</si>
  <si>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 MT"/>
        <color theme="1"/>
        <sz val="8.0"/>
      </rPr>
      <t>Langton, Joyce</t>
    </r>
  </si>
  <si>
    <r>
      <rPr>
        <rFont val="Arial"/>
        <b/>
        <color rgb="FF000000"/>
        <sz val="9.0"/>
      </rPr>
      <t xml:space="preserve">Policy
</t>
    </r>
    <r>
      <rPr>
        <rFont val="Arial"/>
        <b/>
        <color rgb="FF000000"/>
        <sz val="9.0"/>
      </rPr>
      <t>State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</si>
  <si>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</si>
  <si>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</si>
  <si>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"/>
        <b/>
        <color rgb="FF000000"/>
        <sz val="9.0"/>
      </rPr>
      <t xml:space="preserve">Effective
</t>
    </r>
    <r>
      <rPr>
        <rFont val="Arial"/>
        <b/>
        <color rgb="FF000000"/>
        <sz val="9.0"/>
      </rPr>
      <t>Date</t>
    </r>
  </si>
  <si>
    <r>
      <rPr>
        <rFont val="Arial"/>
        <b/>
        <color theme="1"/>
        <sz val="9.0"/>
      </rPr>
      <t>Term Date</t>
    </r>
  </si>
  <si>
    <r>
      <rPr>
        <rFont val="Arial"/>
        <b/>
        <color theme="1"/>
        <sz val="9.0"/>
      </rPr>
      <t>Term Code</t>
    </r>
  </si>
  <si>
    <r>
      <rPr>
        <rFont val="Arial"/>
        <b/>
        <color theme="1"/>
        <sz val="9.0"/>
      </rPr>
      <t>Period</t>
    </r>
  </si>
  <si>
    <r>
      <rPr>
        <rFont val="Arial"/>
        <b/>
        <color rgb="FF000000"/>
        <sz val="9.0"/>
      </rPr>
      <t xml:space="preserve">CMS Payment
</t>
    </r>
    <r>
      <rPr>
        <rFont val="Arial"/>
        <b/>
        <color rgb="FF000000"/>
        <sz val="9.0"/>
      </rPr>
      <t>Type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</si>
  <si>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</si>
  <si>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</si>
  <si>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Retro</t>
    </r>
  </si>
  <si>
    <r>
      <rPr>
        <rFont val="Arial"/>
        <b/>
        <color rgb="FF000000"/>
        <sz val="9.0"/>
      </rPr>
      <t xml:space="preserve">Commission
</t>
    </r>
    <r>
      <rPr>
        <rFont val="Arial"/>
        <b/>
        <color rgb="FF000000"/>
        <sz val="9.0"/>
      </rPr>
      <t>Amount</t>
    </r>
  </si>
  <si>
    <r>
      <rPr>
        <rFont val="Arial MT"/>
        <color theme="1"/>
        <sz val="8.0"/>
      </rPr>
      <t>Hendrickson, Sarah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</si>
  <si>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</si>
  <si>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</si>
  <si>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</si>
  <si>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</si>
  <si>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</si>
  <si>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Annual Renewals:                                                                                                                $8.75</t>
    </r>
  </si>
  <si>
    <r>
      <rPr>
        <rFont val="Arial"/>
        <b/>
        <color theme="1"/>
        <sz val="9.0"/>
      </rPr>
      <t>Total for Writing Agent       17301495        Herrera-Larsen, Esther</t>
    </r>
  </si>
  <si>
    <r>
      <rPr>
        <rFont val="Arial"/>
        <b/>
        <color theme="1"/>
        <sz val="9.0"/>
      </rPr>
      <t>Policy</t>
    </r>
  </si>
  <si>
    <r>
      <rPr>
        <rFont val="Arial"/>
        <b/>
        <color theme="1"/>
        <sz val="9.0"/>
      </rPr>
      <t>Effective</t>
    </r>
  </si>
  <si>
    <r>
      <rPr>
        <rFont val="Arial"/>
        <b/>
        <color theme="1"/>
        <sz val="9.0"/>
      </rPr>
      <t>CMS Payment</t>
    </r>
  </si>
  <si>
    <r>
      <rPr>
        <rFont val="Arial"/>
        <b/>
        <color theme="1"/>
        <sz val="9.0"/>
      </rPr>
      <t>Commission</t>
    </r>
  </si>
  <si>
    <r>
      <rPr>
        <rFont val="Arial MT"/>
        <color theme="1"/>
        <sz val="8.0"/>
      </rPr>
      <t>McDonald, Lisa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</si>
  <si>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</si>
  <si>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Writing ID</t>
    </r>
  </si>
  <si>
    <r>
      <rPr>
        <rFont val="Arial MT"/>
        <color theme="1"/>
        <sz val="8.0"/>
      </rPr>
      <t>MA</t>
    </r>
  </si>
  <si>
    <r>
      <rPr>
        <rFont val="Arial"/>
        <b/>
        <color theme="1"/>
        <sz val="9.0"/>
      </rPr>
      <t>Name</t>
    </r>
  </si>
  <si>
    <r>
      <rPr>
        <rFont val="Arial MT"/>
        <color theme="1"/>
        <sz val="8.0"/>
      </rPr>
      <t>IL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</si>
  <si>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</si>
  <si>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State</t>
    </r>
  </si>
  <si>
    <r>
      <rPr>
        <rFont val="Arial MT"/>
        <color theme="1"/>
        <sz val="8.0"/>
      </rPr>
      <t>Renew</t>
    </r>
  </si>
  <si>
    <r>
      <rPr>
        <rFont val="Arial"/>
        <b/>
        <color theme="1"/>
        <sz val="9.0"/>
      </rPr>
      <t>Date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</si>
  <si>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</si>
  <si>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Term Date</t>
    </r>
  </si>
  <si>
    <r>
      <rPr>
        <rFont val="Arial"/>
        <b/>
        <color theme="1"/>
        <sz val="9.0"/>
      </rPr>
      <t>Term Code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</si>
  <si>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</si>
  <si>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Type</t>
    </r>
  </si>
  <si>
    <r>
      <rPr>
        <rFont val="Arial"/>
        <b/>
        <color theme="1"/>
        <sz val="9.0"/>
      </rPr>
      <t>Retro</t>
    </r>
  </si>
  <si>
    <r>
      <rPr>
        <rFont val="Arial"/>
        <b/>
        <color theme="1"/>
        <sz val="9.0"/>
      </rPr>
      <t>Amount</t>
    </r>
  </si>
  <si>
    <r>
      <rPr>
        <rFont val="Arial MT"/>
        <color theme="1"/>
        <sz val="8.0"/>
      </rPr>
      <t>Myers, Martin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</si>
  <si>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</si>
  <si>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</si>
  <si>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Campanella, Theodora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</si>
  <si>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</si>
  <si>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</si>
  <si>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</si>
  <si>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</si>
  <si>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</si>
  <si>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</si>
  <si>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Omark, Carl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</si>
  <si>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</si>
  <si>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</si>
  <si>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</si>
  <si>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Chilstrom, Marne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</si>
  <si>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</si>
  <si>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</si>
  <si>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</si>
  <si>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</si>
  <si>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</si>
  <si>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</si>
  <si>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</si>
  <si>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Fluieras, Maria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</si>
  <si>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</si>
  <si>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Seidell, Helene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</si>
  <si>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</si>
  <si>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</si>
  <si>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</si>
  <si>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</si>
  <si>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</si>
  <si>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</si>
  <si>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</si>
  <si>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</si>
  <si>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Sisty, Carole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</si>
  <si>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</si>
  <si>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</si>
  <si>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</si>
  <si>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</si>
  <si>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</si>
  <si>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Annual Renewals:</t>
    </r>
  </si>
  <si>
    <r>
      <rPr>
        <rFont val="Arial"/>
        <b/>
        <color theme="1"/>
        <sz val="9.0"/>
      </rPr>
      <t>Total for Writing Agent</t>
    </r>
  </si>
  <si>
    <r>
      <rPr>
        <rFont val="Arial MT"/>
        <color theme="1"/>
        <sz val="8.0"/>
      </rPr>
      <t>Alicea, Gloria</t>
    </r>
  </si>
  <si>
    <r>
      <rPr>
        <rFont val="Arial MT"/>
        <color theme="1"/>
        <sz val="8.0"/>
      </rPr>
      <t>MA</t>
    </r>
  </si>
  <si>
    <r>
      <rPr>
        <rFont val="Arial"/>
        <b/>
        <color theme="1"/>
        <sz val="9.0"/>
      </rPr>
      <t>Petrungaro, Andrea</t>
    </r>
  </si>
  <si>
    <r>
      <rPr>
        <rFont val="Arial MT"/>
        <color theme="1"/>
        <sz val="8.0"/>
      </rPr>
      <t>IL</t>
    </r>
  </si>
  <si>
    <r>
      <rPr>
        <rFont val="Arial"/>
        <b/>
        <color theme="1"/>
        <sz val="10.0"/>
      </rPr>
      <t>Writing Agent</t>
    </r>
  </si>
  <si>
    <r>
      <rPr>
        <rFont val="Arial MT"/>
        <color theme="1"/>
        <sz val="8.0"/>
      </rPr>
      <t>New to Plan</t>
    </r>
  </si>
  <si>
    <r>
      <rPr>
        <rFont val="Arial MT"/>
        <color theme="1"/>
        <sz val="8.0"/>
      </rPr>
      <t>Y</t>
    </r>
  </si>
  <si>
    <t>Essence MAPD 2026*</t>
  </si>
  <si>
    <t>[%/$=347][prorate=7/12]</t>
  </si>
  <si>
    <r>
      <rPr>
        <rFont val="Arial"/>
        <b/>
        <color theme="1"/>
        <sz val="10.0"/>
      </rPr>
      <t>Yale, Richard</t>
    </r>
  </si>
  <si>
    <r>
      <rPr>
        <rFont val="Arial MT"/>
        <color theme="1"/>
        <sz val="8.0"/>
      </rPr>
      <t>Templin, Karen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</si>
  <si>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</si>
  <si>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</si>
  <si>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Initial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</si>
  <si>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</si>
  <si>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10.0"/>
      </rPr>
      <t>Annual Renewals</t>
    </r>
  </si>
  <si>
    <t>Essence 2026</t>
  </si>
  <si>
    <t>[%/$=694]</t>
  </si>
  <si>
    <r>
      <rPr>
        <rFont val="Arial"/>
        <b/>
        <color theme="1"/>
        <sz val="9.0"/>
      </rPr>
      <t>Policy</t>
    </r>
  </si>
  <si>
    <r>
      <rPr>
        <rFont val="Arial"/>
        <b/>
        <color theme="1"/>
        <sz val="9.0"/>
      </rPr>
      <t>Effective</t>
    </r>
  </si>
  <si>
    <r>
      <rPr>
        <rFont val="Arial"/>
        <b/>
        <color theme="1"/>
        <sz val="9.0"/>
      </rPr>
      <t>CMS Payment</t>
    </r>
  </si>
  <si>
    <r>
      <rPr>
        <rFont val="Arial"/>
        <b/>
        <color theme="1"/>
        <sz val="9.0"/>
      </rPr>
      <t>Commission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</si>
  <si>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</si>
  <si>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Writing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</si>
  <si>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</si>
  <si>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</si>
  <si>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State</t>
    </r>
  </si>
  <si>
    <r>
      <rPr>
        <rFont val="Arial"/>
        <b/>
        <color theme="1"/>
        <sz val="9.0"/>
      </rPr>
      <t>Date</t>
    </r>
  </si>
  <si>
    <r>
      <rPr>
        <rFont val="Arial"/>
        <b/>
        <color theme="1"/>
        <sz val="9.0"/>
      </rPr>
      <t>Term Date</t>
    </r>
  </si>
  <si>
    <r>
      <rPr>
        <rFont val="Arial"/>
        <b/>
        <color theme="1"/>
        <sz val="9.0"/>
      </rPr>
      <t>Term Code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</si>
  <si>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</si>
  <si>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Type</t>
    </r>
  </si>
  <si>
    <r>
      <rPr>
        <rFont val="Arial"/>
        <b/>
        <color theme="1"/>
        <sz val="9.0"/>
      </rPr>
      <t>Retro</t>
    </r>
  </si>
  <si>
    <r>
      <rPr>
        <rFont val="Arial"/>
        <b/>
        <color theme="1"/>
        <sz val="9.0"/>
      </rPr>
      <t>Amount</t>
    </r>
  </si>
  <si>
    <r>
      <rPr>
        <rFont val="Arial MT"/>
        <color theme="1"/>
        <sz val="8.0"/>
      </rPr>
      <t>Gumbiner, Gail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</si>
  <si>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</si>
  <si>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</si>
  <si>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Bauer, Dorothy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</si>
  <si>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</si>
  <si>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</si>
  <si>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</si>
  <si>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</si>
  <si>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</si>
  <si>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Kanter, Corrine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</si>
  <si>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</si>
  <si>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</si>
  <si>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</si>
  <si>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</si>
  <si>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</si>
  <si>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</si>
  <si>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</si>
  <si>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t>[%/$=347][prorate=1/12]</t>
  </si>
  <si>
    <r>
      <rPr>
        <rFont val="Arial MT"/>
        <color theme="1"/>
        <sz val="8.0"/>
      </rPr>
      <t>Kanter, Larry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</si>
  <si>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</si>
  <si>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</si>
  <si>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Huget, Dolores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</si>
  <si>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</si>
  <si>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</si>
  <si>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</si>
  <si>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</si>
  <si>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</si>
  <si>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</si>
  <si>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</si>
  <si>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Kuenzel, Chrisanne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</si>
  <si>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</si>
  <si>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</si>
  <si>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</si>
  <si>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</si>
  <si>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Huget, Werner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</si>
  <si>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</si>
  <si>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</si>
  <si>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</si>
  <si>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</si>
  <si>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Langton, Joyce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</si>
  <si>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</si>
  <si>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</si>
  <si>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</si>
  <si>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Szela, Florence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</si>
  <si>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</si>
  <si>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</si>
  <si>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</si>
  <si>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</si>
  <si>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</si>
  <si>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</si>
  <si>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</si>
  <si>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McDonald, Lisa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</si>
  <si>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</si>
  <si>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</si>
  <si>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Templin, Charles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</si>
  <si>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</si>
  <si>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</si>
  <si>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</si>
  <si>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</si>
  <si>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</si>
  <si>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</si>
  <si>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</si>
  <si>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Myers, Martin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</si>
  <si>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</si>
  <si>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</si>
  <si>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Hamilton, Pamela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</si>
  <si>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</si>
  <si>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</si>
  <si>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</si>
  <si>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</si>
  <si>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</si>
  <si>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</si>
  <si>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</si>
  <si>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Packer, Patricia</t>
    </r>
  </si>
  <si>
    <r>
      <rPr>
        <rFont val="Arial MT"/>
        <color theme="1"/>
        <sz val="8.0"/>
      </rPr>
      <t>Omark, Carl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</si>
  <si>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</si>
  <si>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</si>
  <si>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</si>
  <si>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</si>
  <si>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</si>
  <si>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</si>
  <si>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</si>
  <si>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</si>
  <si>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</si>
  <si>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Seidell, Helene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</si>
  <si>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</si>
  <si>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</si>
  <si>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Kritikos, Georgios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</si>
  <si>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</si>
  <si>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</si>
  <si>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</si>
  <si>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</si>
  <si>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</si>
  <si>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</si>
  <si>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</si>
  <si>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Hendrickson, Sarah</t>
    </r>
  </si>
  <si>
    <r>
      <rPr>
        <rFont val="Arial"/>
        <b/>
        <color theme="1"/>
        <sz val="9.0"/>
      </rPr>
      <t>Total for Annual Renewals: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</si>
  <si>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</si>
  <si>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</si>
  <si>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</si>
  <si>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</si>
  <si>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Writing Agent</t>
    </r>
  </si>
  <si>
    <r>
      <rPr>
        <rFont val="Arial"/>
        <b/>
        <color theme="1"/>
        <sz val="9.0"/>
      </rPr>
      <t>Yale, Richard</t>
    </r>
  </si>
  <si>
    <r>
      <rPr>
        <rFont val="Arial MT"/>
        <color theme="1"/>
        <sz val="8.0"/>
      </rPr>
      <t>Campanella, Theodora</t>
    </r>
  </si>
  <si>
    <r>
      <rPr>
        <rFont val="Arial MT"/>
        <color theme="1"/>
        <sz val="8.0"/>
      </rPr>
      <t>MA</t>
    </r>
  </si>
  <si>
    <r>
      <rPr>
        <rFont val="Arial"/>
        <b/>
        <color theme="1"/>
        <sz val="10.0"/>
      </rPr>
      <t>Writing Agent                                 9213293                                  Portugal, Gary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</si>
  <si>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</si>
  <si>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</si>
  <si>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</si>
  <si>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10.0"/>
      </rPr>
      <t>New Enrollment</t>
    </r>
  </si>
  <si>
    <r>
      <rPr>
        <rFont val="Arial MT"/>
        <color theme="1"/>
        <sz val="8.0"/>
      </rPr>
      <t>Chilstrom, Marne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</si>
  <si>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</si>
  <si>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</si>
  <si>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</si>
  <si>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</si>
  <si>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</si>
  <si>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Writing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</si>
  <si>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</si>
  <si>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</si>
  <si>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 MT"/>
        <color theme="1"/>
        <sz val="8.0"/>
      </rPr>
      <t>Fluieras, Maria</t>
    </r>
  </si>
  <si>
    <r>
      <rPr>
        <rFont val="Arial MT"/>
        <color theme="1"/>
        <sz val="8.0"/>
      </rPr>
      <t>MA</t>
    </r>
  </si>
  <si>
    <r>
      <rPr>
        <rFont val="Arial"/>
        <b/>
        <color theme="1"/>
        <sz val="9.0"/>
      </rPr>
      <t>Policy State</t>
    </r>
  </si>
  <si>
    <r>
      <rPr>
        <rFont val="Arial MT"/>
        <color theme="1"/>
        <sz val="8.0"/>
      </rPr>
      <t>IL</t>
    </r>
  </si>
  <si>
    <r>
      <rPr>
        <rFont val="Arial"/>
        <b/>
        <color theme="1"/>
        <sz val="9.0"/>
      </rPr>
      <t>Effective Date</t>
    </r>
  </si>
  <si>
    <r>
      <rPr>
        <rFont val="Arial MT"/>
        <color theme="1"/>
        <sz val="8.0"/>
      </rPr>
      <t>Renew</t>
    </r>
  </si>
  <si>
    <r>
      <rPr>
        <rFont val="Arial"/>
        <b/>
        <color theme="1"/>
        <sz val="9.0"/>
      </rPr>
      <t>Term Date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</si>
  <si>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</si>
  <si>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Term Code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</si>
  <si>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</si>
  <si>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CMS Payment Type</t>
    </r>
  </si>
  <si>
    <r>
      <rPr>
        <rFont val="Arial"/>
        <b/>
        <color theme="1"/>
        <sz val="9.0"/>
      </rPr>
      <t>Retro</t>
    </r>
  </si>
  <si>
    <r>
      <rPr>
        <rFont val="Arial"/>
        <b/>
        <color theme="1"/>
        <sz val="9.0"/>
      </rPr>
      <t>Commission Amount</t>
    </r>
  </si>
  <si>
    <r>
      <rPr>
        <rFont val="Arial MT"/>
        <color theme="1"/>
        <sz val="8.0"/>
      </rPr>
      <t>Sisty, Carole</t>
    </r>
  </si>
  <si>
    <r>
      <rPr>
        <rFont val="Arial MT"/>
        <color theme="1"/>
        <sz val="8.0"/>
      </rPr>
      <t>Alicea, Gloria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</si>
  <si>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</si>
  <si>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</si>
  <si>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</si>
  <si>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</si>
  <si>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</si>
  <si>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</si>
  <si>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Gumbiner, Gail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</si>
  <si>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</si>
  <si>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</si>
  <si>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</si>
  <si>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</si>
  <si>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01/2026</t>
    </r>
  </si>
  <si>
    <r>
      <rPr>
        <rFont val="Arial MT"/>
        <color theme="1"/>
        <sz val="8.0"/>
      </rPr>
      <t>New to Plan</t>
    </r>
  </si>
  <si>
    <r>
      <rPr>
        <rFont val="Arial MT"/>
        <color theme="1"/>
        <sz val="8.0"/>
      </rPr>
      <t>Y</t>
    </r>
  </si>
  <si>
    <r>
      <rPr>
        <rFont val="Arial"/>
        <b/>
        <color theme="1"/>
        <sz val="9.0"/>
      </rPr>
      <t xml:space="preserve">Total for New Enrollments:                                                                                                             </t>
    </r>
    <r>
      <rPr>
        <rFont val="Arial"/>
        <b/>
        <color rgb="FFCC0000"/>
        <sz val="9.0"/>
      </rPr>
      <t>($202.42)</t>
    </r>
  </si>
  <si>
    <r>
      <rPr>
        <rFont val="Arial MT"/>
        <color theme="1"/>
        <sz val="8.0"/>
      </rPr>
      <t>Kanter, Corrine</t>
    </r>
  </si>
  <si>
    <r>
      <rPr>
        <rFont val="Arial"/>
        <b/>
        <color theme="1"/>
        <sz val="9.0"/>
      </rPr>
      <t>Total for Writing Agent       9213293        Portugal, Gary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</si>
  <si>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</si>
  <si>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</si>
  <si>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"/>
        <b/>
        <color theme="1"/>
        <sz val="10.0"/>
      </rPr>
      <t>Writing Agent                                 2158366                                  Horn, Jeffrey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</si>
  <si>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</si>
  <si>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</si>
  <si>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10.0"/>
      </rPr>
      <t>New Enrollment</t>
    </r>
  </si>
  <si>
    <r>
      <rPr>
        <rFont val="Arial MT"/>
        <color theme="1"/>
        <sz val="8.0"/>
      </rPr>
      <t>Kanter, Larry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</si>
  <si>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</si>
  <si>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</si>
  <si>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</si>
  <si>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</si>
  <si>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</si>
  <si>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Writing ID</t>
    </r>
  </si>
  <si>
    <r>
      <rPr>
        <rFont val="Arial"/>
        <b/>
        <color theme="1"/>
        <sz val="9.0"/>
      </rPr>
      <t>Name</t>
    </r>
  </si>
  <si>
    <r>
      <rPr>
        <rFont val="Arial MT"/>
        <color theme="1"/>
        <sz val="8.0"/>
      </rPr>
      <t>Kuenzel, Chrisanne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</si>
  <si>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</si>
  <si>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</si>
  <si>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</si>
  <si>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Policy State</t>
    </r>
  </si>
  <si>
    <r>
      <rPr>
        <rFont val="Arial MT"/>
        <color theme="1"/>
        <sz val="8.0"/>
      </rPr>
      <t>Renew</t>
    </r>
  </si>
  <si>
    <r>
      <rPr>
        <rFont val="Arial"/>
        <b/>
        <color theme="1"/>
        <sz val="9.0"/>
      </rPr>
      <t>Effective Date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</si>
  <si>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</si>
  <si>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Term Date</t>
    </r>
  </si>
  <si>
    <r>
      <rPr>
        <rFont val="Arial"/>
        <b/>
        <color theme="1"/>
        <sz val="9.0"/>
      </rPr>
      <t>Term Code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</si>
  <si>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</si>
  <si>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CMS Payment Type</t>
    </r>
  </si>
  <si>
    <r>
      <rPr>
        <rFont val="Arial"/>
        <b/>
        <color theme="1"/>
        <sz val="9.0"/>
      </rPr>
      <t>Retro</t>
    </r>
  </si>
  <si>
    <r>
      <rPr>
        <rFont val="Arial"/>
        <b/>
        <color theme="1"/>
        <sz val="9.0"/>
      </rPr>
      <t>Commission Amount</t>
    </r>
  </si>
  <si>
    <r>
      <rPr>
        <rFont val="Arial MT"/>
        <color theme="1"/>
        <sz val="8.0"/>
      </rPr>
      <t>Langton, Joyce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</si>
  <si>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</si>
  <si>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</si>
  <si>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</si>
  <si>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</si>
  <si>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McDonald, Lisa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</si>
  <si>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</si>
  <si>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</si>
  <si>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Templin, Karen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</si>
  <si>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</si>
  <si>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</si>
  <si>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</si>
  <si>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</si>
  <si>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Myers, Martin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</si>
  <si>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</si>
  <si>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</si>
  <si>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</si>
  <si>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Initial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</si>
  <si>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</si>
  <si>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</si>
  <si>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</si>
  <si>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New Enrollments:                                                                                                              $694.00</t>
    </r>
  </si>
  <si>
    <r>
      <rPr>
        <rFont val="Arial"/>
        <b/>
        <color theme="1"/>
        <sz val="10.0"/>
      </rPr>
      <t>Annual Renewals</t>
    </r>
  </si>
  <si>
    <r>
      <rPr>
        <rFont val="Arial MT"/>
        <color theme="1"/>
        <sz val="8.0"/>
      </rPr>
      <t>Omark, Carl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</si>
  <si>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</si>
  <si>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</si>
  <si>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</si>
  <si>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</si>
  <si>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</si>
  <si>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Writing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</si>
  <si>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</si>
  <si>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</si>
  <si>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 MT"/>
        <color theme="1"/>
        <sz val="8.0"/>
      </rPr>
      <t>Seidell, Helene</t>
    </r>
  </si>
  <si>
    <r>
      <rPr>
        <rFont val="Arial MT"/>
        <color theme="1"/>
        <sz val="8.0"/>
      </rPr>
      <t>MA</t>
    </r>
  </si>
  <si>
    <r>
      <rPr>
        <rFont val="Arial"/>
        <b/>
        <color theme="1"/>
        <sz val="9.0"/>
      </rPr>
      <t>Policy State</t>
    </r>
  </si>
  <si>
    <r>
      <rPr>
        <rFont val="Arial MT"/>
        <color theme="1"/>
        <sz val="8.0"/>
      </rPr>
      <t>IL</t>
    </r>
  </si>
  <si>
    <r>
      <rPr>
        <rFont val="Arial"/>
        <b/>
        <color theme="1"/>
        <sz val="9.0"/>
      </rPr>
      <t>Effective Date</t>
    </r>
  </si>
  <si>
    <r>
      <rPr>
        <rFont val="Arial MT"/>
        <color theme="1"/>
        <sz val="8.0"/>
      </rPr>
      <t>Renew</t>
    </r>
  </si>
  <si>
    <r>
      <rPr>
        <rFont val="Arial"/>
        <b/>
        <color theme="1"/>
        <sz val="9.0"/>
      </rPr>
      <t>Term Date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</si>
  <si>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</si>
  <si>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Term Code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</si>
  <si>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</si>
  <si>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CMS Payment Type</t>
    </r>
  </si>
  <si>
    <r>
      <rPr>
        <rFont val="Arial"/>
        <b/>
        <color theme="1"/>
        <sz val="9.0"/>
      </rPr>
      <t>Retro</t>
    </r>
  </si>
  <si>
    <r>
      <rPr>
        <rFont val="Arial"/>
        <b/>
        <color theme="1"/>
        <sz val="9.0"/>
      </rPr>
      <t>Commission Amount</t>
    </r>
  </si>
  <si>
    <r>
      <rPr>
        <rFont val="Arial MT"/>
        <color theme="1"/>
        <sz val="8.0"/>
      </rPr>
      <t>Bauer, Dorothy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</si>
  <si>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</si>
  <si>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</si>
  <si>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</si>
  <si>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</si>
  <si>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</si>
  <si>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Huget, Dolores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</si>
  <si>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</si>
  <si>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</si>
  <si>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</si>
  <si>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</si>
  <si>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</si>
  <si>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Huget, Werner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</si>
  <si>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</si>
  <si>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</si>
  <si>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</si>
  <si>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</si>
  <si>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</si>
  <si>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Szela, Florence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</si>
  <si>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</si>
  <si>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</si>
  <si>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</si>
  <si>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</si>
  <si>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</si>
  <si>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Templin, Charles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</si>
  <si>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</si>
  <si>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</si>
  <si>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</si>
  <si>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</si>
  <si>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</si>
  <si>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Annual Renewals:                                                                                                              $144.60</t>
    </r>
  </si>
  <si>
    <r>
      <rPr>
        <rFont val="Arial"/>
        <b/>
        <color theme="1"/>
        <sz val="9.0"/>
      </rPr>
      <t>Total for Writing Agent       2158366        Horn, Jeffrey</t>
    </r>
  </si>
  <si>
    <r>
      <rPr>
        <rFont val="Arial"/>
        <b/>
        <color theme="1"/>
        <sz val="10.0"/>
      </rPr>
      <t>Writing Agent                                 19645587                                Portugal, Stacey</t>
    </r>
  </si>
  <si>
    <r>
      <rPr>
        <rFont val="Arial"/>
        <b/>
        <color theme="1"/>
        <sz val="10.0"/>
      </rPr>
      <t>Annual Renewals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</si>
  <si>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</si>
  <si>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Writing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</si>
  <si>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</si>
  <si>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</si>
  <si>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Policy State</t>
    </r>
  </si>
  <si>
    <r>
      <rPr>
        <rFont val="Arial"/>
        <b/>
        <color theme="1"/>
        <sz val="9.0"/>
      </rPr>
      <t>Effective Date</t>
    </r>
  </si>
  <si>
    <r>
      <rPr>
        <rFont val="Arial"/>
        <b/>
        <color theme="1"/>
        <sz val="9.0"/>
      </rPr>
      <t>Term Date</t>
    </r>
  </si>
  <si>
    <r>
      <rPr>
        <rFont val="Arial"/>
        <b/>
        <color theme="1"/>
        <sz val="9.0"/>
      </rPr>
      <t>Term Code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</si>
  <si>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</si>
  <si>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CMS Payment Type</t>
    </r>
  </si>
  <si>
    <r>
      <rPr>
        <rFont val="Arial"/>
        <b/>
        <color theme="1"/>
        <sz val="9.0"/>
      </rPr>
      <t>Retro</t>
    </r>
  </si>
  <si>
    <r>
      <rPr>
        <rFont val="Arial"/>
        <b/>
        <color theme="1"/>
        <sz val="9.0"/>
      </rPr>
      <t>Commission Amount</t>
    </r>
  </si>
  <si>
    <r>
      <rPr>
        <rFont val="Arial MT"/>
        <color theme="1"/>
        <sz val="8.0"/>
      </rPr>
      <t>Hamilton, Pamela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</si>
  <si>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</si>
  <si>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</si>
  <si>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</si>
  <si>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</si>
  <si>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</si>
  <si>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Packer, Patricia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</si>
  <si>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</si>
  <si>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</si>
  <si>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</si>
  <si>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</si>
  <si>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</si>
  <si>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Annual Renewals:                                                                                                               $57.84</t>
    </r>
  </si>
  <si>
    <r>
      <rPr>
        <rFont val="Arial"/>
        <b/>
        <color theme="1"/>
        <sz val="9.0"/>
      </rPr>
      <t>Total for Writing Agent       19645587        Portugal, Stacey</t>
    </r>
  </si>
  <si>
    <r>
      <rPr>
        <rFont val="Arial"/>
        <b/>
        <color theme="1"/>
        <sz val="10.0"/>
      </rPr>
      <t>Writing Agent                                 19615078                                Wuensch, Richard</t>
    </r>
  </si>
  <si>
    <r>
      <rPr>
        <rFont val="Arial"/>
        <b/>
        <color theme="1"/>
        <sz val="10.0"/>
      </rPr>
      <t>Annual Renewals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</si>
  <si>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</si>
  <si>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Writing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</si>
  <si>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</si>
  <si>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</si>
  <si>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Policy State</t>
    </r>
  </si>
  <si>
    <r>
      <rPr>
        <rFont val="Arial"/>
        <b/>
        <color theme="1"/>
        <sz val="9.0"/>
      </rPr>
      <t>Effective Date</t>
    </r>
  </si>
  <si>
    <r>
      <rPr>
        <rFont val="Arial"/>
        <b/>
        <color theme="1"/>
        <sz val="9.0"/>
      </rPr>
      <t>Term Date</t>
    </r>
  </si>
  <si>
    <r>
      <rPr>
        <rFont val="Arial"/>
        <b/>
        <color theme="1"/>
        <sz val="9.0"/>
      </rPr>
      <t>Term Code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</si>
  <si>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</si>
  <si>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CMS Payment Type</t>
    </r>
  </si>
  <si>
    <r>
      <rPr>
        <rFont val="Arial"/>
        <b/>
        <color theme="1"/>
        <sz val="9.0"/>
      </rPr>
      <t>Retro</t>
    </r>
  </si>
  <si>
    <r>
      <rPr>
        <rFont val="Arial"/>
        <b/>
        <color theme="1"/>
        <sz val="9.0"/>
      </rPr>
      <t>Commission Amount</t>
    </r>
  </si>
  <si>
    <r>
      <rPr>
        <rFont val="Arial MT"/>
        <color theme="1"/>
        <sz val="8.0"/>
      </rPr>
      <t>Kritikos, Georgios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</si>
  <si>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</si>
  <si>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</si>
  <si>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</si>
  <si>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</si>
  <si>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</si>
  <si>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Annual Renewals:                                                                                                               $28.92</t>
    </r>
  </si>
  <si>
    <r>
      <rPr>
        <rFont val="Arial"/>
        <b/>
        <color theme="1"/>
        <sz val="9.0"/>
      </rPr>
      <t>Total for Writing Agent       19615078        Wuensch, Richard</t>
    </r>
  </si>
  <si>
    <r>
      <rPr>
        <rFont val="Arial"/>
        <b/>
        <color theme="1"/>
        <sz val="10.0"/>
      </rPr>
      <t>Writing Agent                                 17301495                                Herrera-Larsen, Esther</t>
    </r>
  </si>
  <si>
    <r>
      <rPr>
        <rFont val="Arial"/>
        <b/>
        <color theme="1"/>
        <sz val="10.0"/>
      </rPr>
      <t>Annual Renewals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</si>
  <si>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</si>
  <si>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Writing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</si>
  <si>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</si>
  <si>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</si>
  <si>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Policy State</t>
    </r>
  </si>
  <si>
    <r>
      <rPr>
        <rFont val="Arial"/>
        <b/>
        <color theme="1"/>
        <sz val="9.0"/>
      </rPr>
      <t>Effective Date</t>
    </r>
  </si>
  <si>
    <r>
      <rPr>
        <rFont val="Arial"/>
        <b/>
        <color theme="1"/>
        <sz val="9.0"/>
      </rPr>
      <t>Term Date</t>
    </r>
  </si>
  <si>
    <r>
      <rPr>
        <rFont val="Arial"/>
        <b/>
        <color theme="1"/>
        <sz val="9.0"/>
      </rPr>
      <t>Term Code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</si>
  <si>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</si>
  <si>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CMS Payment Type</t>
    </r>
  </si>
  <si>
    <r>
      <rPr>
        <rFont val="Arial"/>
        <b/>
        <color theme="1"/>
        <sz val="9.0"/>
      </rPr>
      <t>Retro</t>
    </r>
  </si>
  <si>
    <r>
      <rPr>
        <rFont val="Arial"/>
        <b/>
        <color theme="1"/>
        <sz val="9.0"/>
      </rPr>
      <t>Commission Amount</t>
    </r>
  </si>
  <si>
    <r>
      <rPr>
        <rFont val="Arial MT"/>
        <color theme="1"/>
        <sz val="8.0"/>
      </rPr>
      <t>Hendrickson, Sarah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</si>
  <si>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</si>
  <si>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</si>
  <si>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</si>
  <si>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</si>
  <si>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</si>
  <si>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Annual Renewals:                                                                                                               $28.92</t>
    </r>
  </si>
  <si>
    <r>
      <rPr>
        <rFont val="Arial"/>
        <b/>
        <color theme="1"/>
        <sz val="9.0"/>
      </rPr>
      <t>Total for Writing Agent       17301495        Herrera-Larsen, Esther</t>
    </r>
  </si>
  <si>
    <r>
      <rPr>
        <rFont val="Arial"/>
        <b/>
        <color theme="1"/>
        <sz val="10.0"/>
      </rPr>
      <t>Writing Agent                                 16912722                                Petrungaro, Andrea</t>
    </r>
  </si>
  <si>
    <r>
      <rPr>
        <rFont val="Arial"/>
        <b/>
        <color theme="1"/>
        <sz val="10.0"/>
      </rPr>
      <t>Annual Renewals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</si>
  <si>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</si>
  <si>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Writing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</si>
  <si>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</si>
  <si>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</si>
  <si>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Policy State</t>
    </r>
  </si>
  <si>
    <r>
      <rPr>
        <rFont val="Arial"/>
        <b/>
        <color theme="1"/>
        <sz val="9.0"/>
      </rPr>
      <t>Effective Date</t>
    </r>
  </si>
  <si>
    <r>
      <rPr>
        <rFont val="Arial"/>
        <b/>
        <color theme="1"/>
        <sz val="9.0"/>
      </rPr>
      <t>Term Date</t>
    </r>
  </si>
  <si>
    <r>
      <rPr>
        <rFont val="Arial"/>
        <b/>
        <color theme="1"/>
        <sz val="9.0"/>
      </rPr>
      <t>Term Code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</si>
  <si>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</si>
  <si>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CMS Payment Type</t>
    </r>
  </si>
  <si>
    <r>
      <rPr>
        <rFont val="Arial"/>
        <b/>
        <color theme="1"/>
        <sz val="9.0"/>
      </rPr>
      <t>Retro</t>
    </r>
  </si>
  <si>
    <r>
      <rPr>
        <rFont val="Arial"/>
        <b/>
        <color theme="1"/>
        <sz val="9.0"/>
      </rPr>
      <t>Commission Amount</t>
    </r>
  </si>
  <si>
    <r>
      <rPr>
        <rFont val="Arial MT"/>
        <color theme="1"/>
        <sz val="8.0"/>
      </rPr>
      <t>Campanella, Theodora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</si>
  <si>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</si>
  <si>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</si>
  <si>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</si>
  <si>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</si>
  <si>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</si>
  <si>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Chilstrom, Marne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</si>
  <si>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</si>
  <si>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</si>
  <si>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</si>
  <si>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</si>
  <si>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</si>
  <si>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Fluieras, Maria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</si>
  <si>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</si>
  <si>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</si>
  <si>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</si>
  <si>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</si>
  <si>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</si>
  <si>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Sisty, Carole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</si>
  <si>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</si>
  <si>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</si>
  <si>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</si>
  <si>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</si>
  <si>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</si>
  <si>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Annual Renewals:                                                                                                              $115.68</t>
    </r>
  </si>
  <si>
    <r>
      <rPr>
        <rFont val="Arial"/>
        <b/>
        <color theme="1"/>
        <sz val="9.0"/>
      </rPr>
      <t>Total for Writing Agent       16912722        Petrungaro, Andrea</t>
    </r>
  </si>
  <si>
    <r>
      <rPr>
        <rFont val="Arial"/>
        <b/>
        <color theme="1"/>
        <sz val="10.0"/>
      </rPr>
      <t>Writing Agent                                 16633294                                Yale, Richard</t>
    </r>
  </si>
  <si>
    <r>
      <rPr>
        <rFont val="Arial"/>
        <b/>
        <color theme="1"/>
        <sz val="10.0"/>
      </rPr>
      <t>Annual Renewals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</si>
  <si>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</si>
  <si>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Writing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</si>
  <si>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</si>
  <si>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</si>
  <si>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Policy State</t>
    </r>
  </si>
  <si>
    <r>
      <rPr>
        <rFont val="Arial"/>
        <b/>
        <color theme="1"/>
        <sz val="9.0"/>
      </rPr>
      <t>Effective Date</t>
    </r>
  </si>
  <si>
    <r>
      <rPr>
        <rFont val="Arial"/>
        <b/>
        <color theme="1"/>
        <sz val="9.0"/>
      </rPr>
      <t>Term Date</t>
    </r>
  </si>
  <si>
    <r>
      <rPr>
        <rFont val="Arial"/>
        <b/>
        <color theme="1"/>
        <sz val="9.0"/>
      </rPr>
      <t>Term Code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</si>
  <si>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</si>
  <si>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CMS Payment Type</t>
    </r>
  </si>
  <si>
    <r>
      <rPr>
        <rFont val="Arial"/>
        <b/>
        <color theme="1"/>
        <sz val="9.0"/>
      </rPr>
      <t>Retro</t>
    </r>
  </si>
  <si>
    <r>
      <rPr>
        <rFont val="Arial"/>
        <b/>
        <color theme="1"/>
        <sz val="9.0"/>
      </rPr>
      <t>Commission Amount</t>
    </r>
  </si>
  <si>
    <r>
      <rPr>
        <rFont val="Arial MT"/>
        <color theme="1"/>
        <sz val="8.0"/>
      </rPr>
      <t>Gumbiner, Gail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</si>
  <si>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</si>
  <si>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</si>
  <si>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</si>
  <si>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</si>
  <si>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</si>
  <si>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Kanter, Corrine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</si>
  <si>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</si>
  <si>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</si>
  <si>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</si>
  <si>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</si>
  <si>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</si>
  <si>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Kanter, Larry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</si>
  <si>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</si>
  <si>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</si>
  <si>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</si>
  <si>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</si>
  <si>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</si>
  <si>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Kuenzel, Chrisanne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</si>
  <si>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</si>
  <si>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</si>
  <si>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</si>
  <si>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</si>
  <si>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</si>
  <si>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Langton, Joyce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</si>
  <si>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</si>
  <si>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</si>
  <si>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</si>
  <si>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</si>
  <si>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</si>
  <si>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McDonald, Lisa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</si>
  <si>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</si>
  <si>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</si>
  <si>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</si>
  <si>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</si>
  <si>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</si>
  <si>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Myers, Martin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</si>
  <si>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</si>
  <si>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</si>
  <si>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</si>
  <si>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</si>
  <si>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</si>
  <si>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Omark, Carl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</si>
  <si>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</si>
  <si>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</si>
  <si>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</si>
  <si>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</si>
  <si>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</si>
  <si>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Seidell, Helene</t>
    </r>
  </si>
  <si>
    <r>
      <rPr>
        <rFont val="Arial MT"/>
        <color theme="1"/>
        <sz val="8.0"/>
      </rPr>
      <t>MA</t>
    </r>
  </si>
  <si>
    <r>
      <rPr>
        <rFont val="Arial MT"/>
        <color theme="1"/>
        <sz val="8.0"/>
      </rPr>
      <t>IL</t>
    </r>
  </si>
  <si>
    <r>
      <rPr>
        <rFont val="Arial MT"/>
        <color theme="1"/>
        <sz val="8.0"/>
      </rPr>
      <t>06/2026</t>
    </r>
  </si>
  <si>
    <r>
      <rPr>
        <rFont val="Arial MT"/>
        <color theme="1"/>
        <sz val="8.0"/>
      </rPr>
      <t>Renew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</si>
  <si>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</si>
  <si>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Annual Renewals:                                                                                                              $260.28</t>
    </r>
  </si>
  <si>
    <r>
      <rPr>
        <rFont val="Arial"/>
        <b/>
        <color theme="1"/>
        <sz val="9.0"/>
      </rPr>
      <t>Total for Writing Agent       16633294        Yale, Richard</t>
    </r>
  </si>
  <si>
    <r>
      <rPr>
        <rFont val="Arial"/>
        <b/>
        <color rgb="FF000000"/>
        <sz val="11.0"/>
        <vertAlign val="superscript"/>
      </rPr>
      <t xml:space="preserve">Total for Writing Agent       16633294        Yale, Richard                                                                                                           </t>
    </r>
    <r>
      <rPr>
        <rFont val="Arial"/>
        <b/>
        <color rgb="FF000000"/>
        <sz val="9.0"/>
      </rPr>
      <t>$1,436.99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</si>
</sst>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\$0.00_);\(\$0.00\)"/>
    <numFmt numFmtId="166" formatCode="\$0.00"/>
    <numFmt numFmtId="167" formatCode="\$#,##0.00"/>
    <numFmt numFmtId="168" formatCode="000000000"/>
  </numFmts>
  <fonts count="14">
    <font>
      <sz val="10.0"/>
      <color rgb="FF000000"/>
      <name val="Times New Roman"/>
      <scheme val="minor"/>
    </font>
    <font>
      <b/>
      <sz val="9.0"/>
      <color theme="1"/>
      <name val="Arial"/>
    </font>
    <font>
      <sz val="10.0"/>
      <color theme="1"/>
      <name val="Times New Roman"/>
    </font>
    <font>
      <sz val="8.0"/>
      <color theme="1"/>
      <name val="Arial"/>
    </font>
    <font>
      <b/>
      <sz val="10.0"/>
      <color theme="1"/>
      <name val="Arial"/>
    </font>
    <font/>
    <font>
      <sz val="10.0"/>
      <color rgb="FF000000"/>
      <name val="Times New Roman"/>
    </font>
    <font>
      <b/>
      <sz val="11.0"/>
      <color theme="1"/>
      <name val="Arial"/>
    </font>
    <font>
      <b/>
      <sz val="9.0"/>
      <color rgb="FF000000"/>
      <name val="Arial"/>
    </font>
    <font>
      <sz val="8.0"/>
      <color rgb="FF000000"/>
      <name val="Arial"/>
    </font>
    <font>
      <sz val="8.0"/>
      <color rgb="FFCC0000"/>
      <name val="Arial"/>
    </font>
    <font>
      <b/>
      <sz val="9.0"/>
      <color rgb="FFCC0000"/>
      <name val="Arial"/>
    </font>
    <font>
      <sz val="9.0"/>
      <color theme="1"/>
      <name val="Arial"/>
    </font>
    <font>
      <b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5AA4EE"/>
        <bgColor rgb="FF5AA4EE"/>
      </patternFill>
    </fill>
    <fill>
      <patternFill patternType="solid">
        <fgColor rgb="FFCADACE"/>
        <bgColor rgb="FFCADACE"/>
      </patternFill>
    </fill>
    <fill>
      <patternFill patternType="solid">
        <fgColor rgb="FF92AA9B"/>
        <bgColor rgb="FF92AA9B"/>
      </patternFill>
    </fill>
  </fills>
  <borders count="11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top style="thin">
        <color rgb="FF000000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1" fillId="2" fontId="3" numFmtId="1" xfId="0" applyAlignment="1" applyBorder="1" applyFill="1" applyFont="1" applyNumberFormat="1">
      <alignment horizontal="left" shrinkToFit="1" vertical="top" wrapText="0"/>
    </xf>
    <xf borderId="2" fillId="3" fontId="4" numFmtId="0" xfId="0" applyAlignment="1" applyBorder="1" applyFill="1" applyFont="1">
      <alignment horizontal="center" shrinkToFit="0" vertical="top" wrapText="1"/>
    </xf>
    <xf borderId="1" fillId="2" fontId="3" numFmtId="0" xfId="0" applyAlignment="1" applyBorder="1" applyFont="1">
      <alignment horizontal="left" shrinkToFit="0" vertical="top" wrapText="1"/>
    </xf>
    <xf borderId="3" fillId="0" fontId="5" numFmtId="0" xfId="0" applyAlignment="1" applyBorder="1" applyFont="1">
      <alignment horizontal="left" vertical="top"/>
    </xf>
    <xf borderId="1" fillId="2" fontId="3" numFmtId="164" xfId="0" applyAlignment="1" applyBorder="1" applyFont="1" applyNumberFormat="1">
      <alignment horizontal="left" shrinkToFit="1" vertical="top" wrapText="0"/>
    </xf>
    <xf borderId="4" fillId="0" fontId="5" numFmtId="0" xfId="0" applyAlignment="1" applyBorder="1" applyFont="1">
      <alignment horizontal="left" vertical="top"/>
    </xf>
    <xf borderId="1" fillId="2" fontId="3" numFmtId="14" xfId="0" applyAlignment="1" applyBorder="1" applyFont="1" applyNumberFormat="1">
      <alignment horizontal="left" shrinkToFit="0" vertical="top" wrapText="1"/>
    </xf>
    <xf borderId="0" fillId="0" fontId="6" numFmtId="0" xfId="0" applyAlignment="1" applyFont="1">
      <alignment horizontal="left" shrinkToFit="0" vertical="bottom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1" fillId="2" fontId="3" numFmtId="165" xfId="0" applyAlignment="1" applyBorder="1" applyFont="1" applyNumberFormat="1">
      <alignment horizontal="left" shrinkToFit="1" vertical="top" wrapText="0"/>
    </xf>
    <xf borderId="1" fillId="2" fontId="2" numFmtId="0" xfId="0" applyAlignment="1" applyBorder="1" applyFont="1">
      <alignment horizontal="left" vertical="top"/>
    </xf>
    <xf borderId="0" fillId="0" fontId="7" numFmtId="0" xfId="0" applyAlignment="1" applyFont="1">
      <alignment horizontal="center" shrinkToFit="0" vertical="center" wrapText="1"/>
    </xf>
    <xf borderId="0" fillId="0" fontId="8" numFmtId="166" xfId="0" applyAlignment="1" applyFont="1" applyNumberFormat="1">
      <alignment horizontal="right" shrinkToFit="1" vertical="top" wrapText="0"/>
    </xf>
    <xf borderId="2" fillId="4" fontId="1" numFmtId="0" xfId="0" applyAlignment="1" applyBorder="1" applyFill="1" applyFont="1">
      <alignment horizontal="left" shrinkToFit="0" vertical="top" wrapText="1"/>
    </xf>
    <xf borderId="2" fillId="4" fontId="8" numFmtId="167" xfId="0" applyAlignment="1" applyBorder="1" applyFont="1" applyNumberFormat="1">
      <alignment horizontal="right" shrinkToFit="1" vertical="top" wrapText="0"/>
    </xf>
    <xf borderId="1" fillId="2" fontId="2" numFmtId="0" xfId="0" applyAlignment="1" applyBorder="1" applyFont="1">
      <alignment horizontal="left" shrinkToFit="0" vertical="bottom" wrapText="1"/>
    </xf>
    <xf borderId="2" fillId="4" fontId="8" numFmtId="166" xfId="0" applyAlignment="1" applyBorder="1" applyFont="1" applyNumberFormat="1">
      <alignment horizontal="right" shrinkToFit="1" vertical="top" wrapText="0"/>
    </xf>
    <xf borderId="1" fillId="2" fontId="3" numFmtId="166" xfId="0" applyAlignment="1" applyBorder="1" applyFont="1" applyNumberFormat="1">
      <alignment horizontal="left" shrinkToFit="1" vertical="top" wrapText="0"/>
    </xf>
    <xf borderId="5" fillId="0" fontId="8" numFmtId="167" xfId="0" applyAlignment="1" applyBorder="1" applyFont="1" applyNumberFormat="1">
      <alignment horizontal="right" shrinkToFit="1" vertical="top" wrapText="0"/>
    </xf>
    <xf borderId="5" fillId="0" fontId="5" numFmtId="0" xfId="0" applyAlignment="1" applyBorder="1" applyFont="1">
      <alignment horizontal="left" vertical="top"/>
    </xf>
    <xf borderId="0" fillId="0" fontId="8" numFmtId="167" xfId="0" applyAlignment="1" applyFont="1" applyNumberFormat="1">
      <alignment horizontal="right" shrinkToFit="1" vertical="center" wrapText="0"/>
    </xf>
    <xf borderId="2" fillId="3" fontId="4" numFmtId="0" xfId="0" applyAlignment="1" applyBorder="1" applyFont="1">
      <alignment horizontal="left" shrinkToFit="0" vertical="top" wrapText="1"/>
    </xf>
    <xf borderId="1" fillId="2" fontId="2" numFmtId="0" xfId="0" applyAlignment="1" applyBorder="1" applyFont="1">
      <alignment horizontal="left" shrinkToFit="0" vertical="center" wrapText="1"/>
    </xf>
    <xf borderId="6" fillId="5" fontId="4" numFmtId="0" xfId="0" applyAlignment="1" applyBorder="1" applyFill="1" applyFont="1">
      <alignment horizontal="center" shrinkToFit="0" vertical="top" wrapText="1"/>
    </xf>
    <xf borderId="7" fillId="0" fontId="5" numFmtId="0" xfId="0" applyAlignment="1" applyBorder="1" applyFont="1">
      <alignment horizontal="left" vertical="top"/>
    </xf>
    <xf borderId="8" fillId="0" fontId="5" numFmtId="0" xfId="0" applyAlignment="1" applyBorder="1" applyFont="1">
      <alignment horizontal="left" vertical="top"/>
    </xf>
    <xf borderId="9" fillId="0" fontId="1" numFmtId="0" xfId="0" applyAlignment="1" applyBorder="1" applyFont="1">
      <alignment horizontal="left" shrinkToFit="0" vertical="center" wrapText="1"/>
    </xf>
    <xf borderId="9" fillId="0" fontId="5" numFmtId="0" xfId="0" applyAlignment="1" applyBorder="1" applyFont="1">
      <alignment horizontal="left" vertical="top"/>
    </xf>
    <xf borderId="9" fillId="0" fontId="1" numFmtId="0" xfId="0" applyAlignment="1" applyBorder="1" applyFont="1">
      <alignment horizontal="left" shrinkToFit="0" vertical="top" wrapText="1"/>
    </xf>
    <xf borderId="9" fillId="0" fontId="1" numFmtId="0" xfId="0" applyAlignment="1" applyBorder="1" applyFont="1">
      <alignment horizontal="center" shrinkToFit="0" vertical="center" wrapText="1"/>
    </xf>
    <xf borderId="5" fillId="0" fontId="9" numFmtId="168" xfId="0" applyAlignment="1" applyBorder="1" applyFont="1" applyNumberFormat="1">
      <alignment horizontal="left" shrinkToFit="1" vertical="top" wrapText="0"/>
    </xf>
    <xf borderId="5" fillId="0" fontId="9" numFmtId="1" xfId="0" applyAlignment="1" applyBorder="1" applyFont="1" applyNumberFormat="1">
      <alignment horizontal="left" shrinkToFit="1" vertical="top" wrapText="0"/>
    </xf>
    <xf borderId="5" fillId="0" fontId="3" numFmtId="0" xfId="0" applyAlignment="1" applyBorder="1" applyFont="1">
      <alignment horizontal="left" shrinkToFit="0" vertical="top" wrapText="1"/>
    </xf>
    <xf borderId="5" fillId="0" fontId="3" numFmtId="0" xfId="0" applyAlignment="1" applyBorder="1" applyFont="1">
      <alignment horizontal="center" shrinkToFit="0" vertical="top" wrapText="1"/>
    </xf>
    <xf borderId="5" fillId="0" fontId="9" numFmtId="164" xfId="0" applyAlignment="1" applyBorder="1" applyFont="1" applyNumberFormat="1">
      <alignment horizontal="left" shrinkToFit="1" vertical="top" wrapText="0"/>
    </xf>
    <xf borderId="5" fillId="0" fontId="9" numFmtId="164" xfId="0" applyAlignment="1" applyBorder="1" applyFont="1" applyNumberFormat="1">
      <alignment horizontal="center" shrinkToFit="1" vertical="top" wrapText="0"/>
    </xf>
    <xf borderId="5" fillId="0" fontId="9" numFmtId="1" xfId="0" applyAlignment="1" applyBorder="1" applyFont="1" applyNumberFormat="1">
      <alignment horizontal="center" shrinkToFit="1" vertical="top" wrapText="0"/>
    </xf>
    <xf borderId="5" fillId="0" fontId="10" numFmtId="165" xfId="0" applyAlignment="1" applyBorder="1" applyFont="1" applyNumberFormat="1">
      <alignment horizontal="left" shrinkToFit="1" vertical="top" wrapText="0"/>
    </xf>
    <xf borderId="0" fillId="0" fontId="11" numFmtId="165" xfId="0" applyAlignment="1" applyFont="1" applyNumberFormat="1">
      <alignment horizontal="right" shrinkToFit="1" vertical="center" wrapText="0"/>
    </xf>
    <xf borderId="5" fillId="0" fontId="6" numFmtId="0" xfId="0" applyAlignment="1" applyBorder="1" applyFont="1">
      <alignment horizontal="left" shrinkToFit="0" vertical="bottom" wrapText="1"/>
    </xf>
    <xf borderId="1" fillId="4" fontId="9" numFmtId="168" xfId="0" applyAlignment="1" applyBorder="1" applyFont="1" applyNumberFormat="1">
      <alignment horizontal="left" shrinkToFit="1" vertical="top" wrapText="0"/>
    </xf>
    <xf borderId="1" fillId="4" fontId="9" numFmtId="1" xfId="0" applyAlignment="1" applyBorder="1" applyFont="1" applyNumberFormat="1">
      <alignment horizontal="left" shrinkToFit="1" vertical="top" wrapText="0"/>
    </xf>
    <xf borderId="2" fillId="4" fontId="3" numFmtId="0" xfId="0" applyAlignment="1" applyBorder="1" applyFont="1">
      <alignment horizontal="left" shrinkToFit="0" vertical="top" wrapText="1"/>
    </xf>
    <xf borderId="2" fillId="4" fontId="3" numFmtId="0" xfId="0" applyAlignment="1" applyBorder="1" applyFont="1">
      <alignment horizontal="center" shrinkToFit="0" vertical="top" wrapText="1"/>
    </xf>
    <xf borderId="1" fillId="4" fontId="9" numFmtId="164" xfId="0" applyAlignment="1" applyBorder="1" applyFont="1" applyNumberFormat="1">
      <alignment horizontal="center" shrinkToFit="1" vertical="top" wrapText="0"/>
    </xf>
    <xf borderId="2" fillId="4" fontId="6" numFmtId="0" xfId="0" applyAlignment="1" applyBorder="1" applyFont="1">
      <alignment horizontal="left" shrinkToFit="0" vertical="bottom" wrapText="1"/>
    </xf>
    <xf borderId="1" fillId="4" fontId="6" numFmtId="0" xfId="0" applyAlignment="1" applyBorder="1" applyFont="1">
      <alignment horizontal="left" shrinkToFit="0" vertical="bottom" wrapText="1"/>
    </xf>
    <xf borderId="1" fillId="4" fontId="3" numFmtId="0" xfId="0" applyAlignment="1" applyBorder="1" applyFont="1">
      <alignment horizontal="center" shrinkToFit="0" vertical="top" wrapText="1"/>
    </xf>
    <xf borderId="1" fillId="4" fontId="9" numFmtId="166" xfId="0" applyAlignment="1" applyBorder="1" applyFont="1" applyNumberFormat="1">
      <alignment horizontal="center" shrinkToFit="1" vertical="top" wrapText="0"/>
    </xf>
    <xf borderId="5" fillId="0" fontId="6" numFmtId="0" xfId="0" applyAlignment="1" applyBorder="1" applyFont="1">
      <alignment horizontal="left" shrinkToFit="0" vertical="center" wrapText="1"/>
    </xf>
    <xf borderId="5" fillId="0" fontId="9" numFmtId="166" xfId="0" applyAlignment="1" applyBorder="1" applyFont="1" applyNumberFormat="1">
      <alignment horizontal="center" shrinkToFit="1" vertical="top" wrapText="0"/>
    </xf>
    <xf borderId="0" fillId="0" fontId="9" numFmtId="168" xfId="0" applyAlignment="1" applyFont="1" applyNumberFormat="1">
      <alignment horizontal="left" shrinkToFit="1" vertical="top" wrapText="0"/>
    </xf>
    <xf borderId="0" fillId="0" fontId="9" numFmtId="1" xfId="0" applyAlignment="1" applyFont="1" applyNumberFormat="1">
      <alignment horizontal="left" shrinkToFit="1" vertical="top" wrapText="0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9" numFmtId="164" xfId="0" applyAlignment="1" applyFont="1" applyNumberFormat="1">
      <alignment horizontal="center" shrinkToFit="1" vertical="top" wrapText="0"/>
    </xf>
    <xf borderId="0" fillId="0" fontId="9" numFmtId="166" xfId="0" applyAlignment="1" applyFont="1" applyNumberFormat="1">
      <alignment horizontal="center" shrinkToFit="1" vertical="top" wrapText="0"/>
    </xf>
    <xf borderId="1" fillId="2" fontId="12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0" fillId="0" fontId="8" numFmtId="166" xfId="0" applyAlignment="1" applyFont="1" applyNumberFormat="1">
      <alignment horizontal="right" shrinkToFit="1" vertical="center" wrapText="0"/>
    </xf>
    <xf borderId="9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center" shrinkToFit="0" vertical="top" wrapText="1"/>
    </xf>
    <xf borderId="9" fillId="0" fontId="1" numFmtId="0" xfId="0" applyAlignment="1" applyBorder="1" applyFont="1">
      <alignment horizontal="center" shrinkToFit="0" vertical="top" wrapText="1"/>
    </xf>
    <xf borderId="1" fillId="4" fontId="9" numFmtId="164" xfId="0" applyAlignment="1" applyBorder="1" applyFont="1" applyNumberFormat="1">
      <alignment horizontal="left" shrinkToFit="1" vertical="top" wrapText="0"/>
    </xf>
    <xf borderId="0" fillId="0" fontId="1" numFmtId="0" xfId="0" applyAlignment="1" applyFont="1">
      <alignment horizontal="right" shrinkToFit="0" vertical="top" wrapText="1"/>
    </xf>
    <xf borderId="1" fillId="4" fontId="3" numFmtId="0" xfId="0" applyAlignment="1" applyBorder="1" applyFont="1">
      <alignment horizontal="right" shrinkToFit="0" vertical="top" wrapText="1"/>
    </xf>
    <xf borderId="2" fillId="4" fontId="9" numFmtId="164" xfId="0" applyAlignment="1" applyBorder="1" applyFont="1" applyNumberFormat="1">
      <alignment horizontal="left" shrinkToFit="1" vertical="top" wrapText="0"/>
    </xf>
    <xf borderId="0" fillId="0" fontId="3" numFmtId="0" xfId="0" applyAlignment="1" applyFont="1">
      <alignment horizontal="right" shrinkToFit="0" vertical="top" wrapText="1"/>
    </xf>
    <xf borderId="0" fillId="0" fontId="9" numFmtId="164" xfId="0" applyAlignment="1" applyFont="1" applyNumberFormat="1">
      <alignment horizontal="left" shrinkToFit="1" vertical="top" wrapText="0"/>
    </xf>
    <xf borderId="0" fillId="0" fontId="3" numFmtId="1" xfId="0" applyAlignment="1" applyFont="1" applyNumberFormat="1">
      <alignment horizontal="left" shrinkToFit="1" vertical="top" wrapText="0"/>
    </xf>
    <xf borderId="0" fillId="0" fontId="8" numFmtId="166" xfId="0" applyAlignment="1" applyFont="1" applyNumberFormat="1">
      <alignment horizontal="center" shrinkToFit="1" vertical="top" wrapText="0"/>
    </xf>
    <xf borderId="0" fillId="0" fontId="8" numFmtId="1" xfId="0" applyAlignment="1" applyFont="1" applyNumberFormat="1">
      <alignment horizontal="left" shrinkToFit="1" vertical="top" wrapText="0"/>
    </xf>
    <xf borderId="0" fillId="0" fontId="3" numFmtId="164" xfId="0" applyAlignment="1" applyFont="1" applyNumberFormat="1">
      <alignment horizontal="left" shrinkToFit="1" vertical="top" wrapText="0"/>
    </xf>
    <xf borderId="0" fillId="0" fontId="3" numFmtId="14" xfId="0" applyAlignment="1" applyFont="1" applyNumberFormat="1">
      <alignment horizontal="left" shrinkToFit="0" vertical="top" wrapText="1"/>
    </xf>
    <xf borderId="0" fillId="0" fontId="3" numFmtId="165" xfId="0" applyAlignment="1" applyFont="1" applyNumberFormat="1">
      <alignment horizontal="left" shrinkToFit="1" vertical="top" wrapText="0"/>
    </xf>
    <xf borderId="2" fillId="3" fontId="13" numFmtId="1" xfId="0" applyAlignment="1" applyBorder="1" applyFont="1" applyNumberFormat="1">
      <alignment horizontal="left" shrinkToFit="1" vertical="top" wrapText="0"/>
    </xf>
    <xf borderId="2" fillId="3" fontId="6" numFmtId="0" xfId="0" applyAlignment="1" applyBorder="1" applyFont="1">
      <alignment horizontal="left" shrinkToFit="0" vertical="center" wrapText="1"/>
    </xf>
    <xf borderId="10" fillId="5" fontId="6" numFmtId="0" xfId="0" applyAlignment="1" applyBorder="1" applyFont="1">
      <alignment horizontal="left" shrinkToFit="0" vertical="bottom" wrapText="1"/>
    </xf>
    <xf borderId="6" fillId="5" fontId="6" numFmtId="0" xfId="0" applyAlignment="1" applyBorder="1" applyFont="1">
      <alignment horizontal="left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3" numFmtId="166" xfId="0" applyAlignment="1" applyFont="1" applyNumberFormat="1">
      <alignment horizontal="left" shrinkToFit="1" vertical="top" wrapText="0"/>
    </xf>
    <xf borderId="6" fillId="5" fontId="4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horizontal="right" shrinkToFit="0" vertical="top" wrapText="1"/>
    </xf>
    <xf borderId="5" fillId="0" fontId="1" numFmtId="0" xfId="0" applyAlignment="1" applyBorder="1" applyFont="1">
      <alignment horizontal="left" shrinkToFit="0" vertical="top" wrapText="1"/>
    </xf>
    <xf borderId="5" fillId="0" fontId="3" numFmtId="0" xfId="0" applyAlignment="1" applyBorder="1" applyFont="1">
      <alignment horizontal="right" shrinkToFit="0" vertical="top" wrapText="1"/>
    </xf>
    <xf borderId="0" fillId="0" fontId="2" numFmtId="0" xfId="0" applyAlignment="1" applyFont="1">
      <alignment horizontal="left" shrinkToFit="0" vertical="center" wrapText="1"/>
    </xf>
    <xf borderId="2" fillId="4" fontId="3" numFmtId="0" xfId="0" applyAlignment="1" applyBorder="1" applyFont="1">
      <alignment horizontal="right" shrinkToFit="0" vertical="top" wrapText="1"/>
    </xf>
    <xf borderId="0" fillId="0" fontId="8" numFmtId="1" xfId="0" applyAlignment="1" applyFont="1" applyNumberFormat="1">
      <alignment horizontal="right" shrinkToFit="1" vertical="top" wrapText="0"/>
    </xf>
    <xf borderId="1" fillId="4" fontId="9" numFmtId="166" xfId="0" applyAlignment="1" applyBorder="1" applyFont="1" applyNumberFormat="1">
      <alignment horizontal="left" shrinkToFit="1" vertical="top" wrapText="0"/>
    </xf>
    <xf borderId="5" fillId="0" fontId="9" numFmtId="166" xfId="0" applyAlignment="1" applyBorder="1" applyFont="1" applyNumberFormat="1">
      <alignment horizontal="left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171450</xdr:colOff>
      <xdr:row>4</xdr:row>
      <xdr:rowOff>76200</xdr:rowOff>
    </xdr:from>
    <xdr:ext cx="1076325" cy="38100"/>
    <xdr:sp>
      <xdr:nvSpPr>
        <xdr:cNvPr id="3" name="Shape 3"/>
        <xdr:cNvSpPr/>
      </xdr:nvSpPr>
      <xdr:spPr>
        <a:xfrm>
          <a:off x="4806250" y="3780000"/>
          <a:ext cx="1079500" cy="0"/>
        </a:xfrm>
        <a:custGeom>
          <a:rect b="b" l="l" r="r" t="t"/>
          <a:pathLst>
            <a:path extrusionOk="0" h="120000" w="1079500">
              <a:moveTo>
                <a:pt x="0" y="0"/>
              </a:moveTo>
              <a:lnTo>
                <a:pt x="1079500" y="0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0</xdr:col>
      <xdr:colOff>114300</xdr:colOff>
      <xdr:row>76</xdr:row>
      <xdr:rowOff>0</xdr:rowOff>
    </xdr:from>
    <xdr:ext cx="9648825" cy="161925"/>
    <xdr:sp>
      <xdr:nvSpPr>
        <xdr:cNvPr id="4" name="Shape 4"/>
        <xdr:cNvSpPr/>
      </xdr:nvSpPr>
      <xdr:spPr>
        <a:xfrm>
          <a:off x="526350" y="3703800"/>
          <a:ext cx="9639300" cy="152400"/>
        </a:xfrm>
        <a:custGeom>
          <a:rect b="b" l="l" r="r" t="t"/>
          <a:pathLst>
            <a:path extrusionOk="0" h="152400" w="9639300">
              <a:moveTo>
                <a:pt x="9639300" y="0"/>
              </a:moveTo>
              <a:lnTo>
                <a:pt x="9639300" y="0"/>
              </a:lnTo>
              <a:lnTo>
                <a:pt x="0" y="0"/>
              </a:lnTo>
              <a:lnTo>
                <a:pt x="0" y="152400"/>
              </a:lnTo>
              <a:lnTo>
                <a:pt x="9639300" y="152400"/>
              </a:lnTo>
              <a:lnTo>
                <a:pt x="9639300" y="0"/>
              </a:lnTo>
              <a:close/>
            </a:path>
          </a:pathLst>
        </a:custGeom>
        <a:solidFill>
          <a:srgbClr val="CADACE"/>
        </a:solidFill>
        <a:ln>
          <a:noFill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171450</xdr:colOff>
      <xdr:row>0</xdr:row>
      <xdr:rowOff>-19050</xdr:rowOff>
    </xdr:from>
    <xdr:ext cx="1076325" cy="38100"/>
    <xdr:sp>
      <xdr:nvSpPr>
        <xdr:cNvPr id="3" name="Shape 3"/>
        <xdr:cNvSpPr/>
      </xdr:nvSpPr>
      <xdr:spPr>
        <a:xfrm>
          <a:off x="4806250" y="3780000"/>
          <a:ext cx="1079500" cy="0"/>
        </a:xfrm>
        <a:custGeom>
          <a:rect b="b" l="l" r="r" t="t"/>
          <a:pathLst>
            <a:path extrusionOk="0" h="120000" w="1079500">
              <a:moveTo>
                <a:pt x="0" y="0"/>
              </a:moveTo>
              <a:lnTo>
                <a:pt x="1079500" y="0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6.14"/>
    <col customWidth="1" min="3" max="3" width="6.86"/>
    <col customWidth="1" min="4" max="4" width="16.14"/>
    <col customWidth="1" min="5" max="5" width="5.86"/>
    <col customWidth="1" min="6" max="10" width="3.29"/>
    <col customWidth="1" min="11" max="11" width="12.71"/>
    <col customWidth="1" min="12" max="12" width="2.14"/>
    <col customWidth="1" min="13" max="13" width="1.14"/>
    <col customWidth="1" min="14" max="14" width="2.14"/>
    <col customWidth="1" min="15" max="15" width="9.29"/>
    <col customWidth="1" min="16" max="16" width="15.14"/>
    <col customWidth="1" min="17" max="17" width="11.43"/>
    <col customWidth="1" min="18" max="18" width="4.71"/>
    <col customWidth="1" min="19" max="20" width="6.86"/>
    <col customWidth="1" min="21" max="21" width="10.43"/>
    <col customWidth="1" min="22" max="22" width="16.14"/>
    <col customWidth="1" min="23" max="23" width="2.14"/>
    <col customWidth="1" min="24" max="26" width="8.71"/>
  </cols>
  <sheetData>
    <row r="1" ht="14.25" customHeight="1">
      <c r="A1" s="5" t="s">
        <v>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9"/>
      <c r="W1" s="11"/>
    </row>
    <row r="2" ht="20.25" customHeight="1">
      <c r="A2" s="12"/>
      <c r="D2" s="12"/>
      <c r="H2" s="12"/>
      <c r="I2" s="12"/>
      <c r="S2" s="13" t="s">
        <v>17</v>
      </c>
    </row>
    <row r="3" ht="34.5" customHeight="1">
      <c r="A3" s="13" t="s">
        <v>18</v>
      </c>
      <c r="I3" s="12"/>
    </row>
    <row r="4" ht="5.25" customHeight="1">
      <c r="I4" s="11"/>
      <c r="S4" s="11"/>
      <c r="T4" s="11"/>
      <c r="W4" s="11"/>
    </row>
    <row r="5" ht="20.25" customHeight="1">
      <c r="A5" s="12"/>
      <c r="D5" s="12"/>
      <c r="H5" s="12"/>
      <c r="I5" s="2" t="s">
        <v>20</v>
      </c>
    </row>
    <row r="6" ht="30.75" customHeight="1">
      <c r="A6" s="1" t="s">
        <v>21</v>
      </c>
    </row>
    <row r="7" ht="43.5" customHeight="1">
      <c r="A7" s="16" t="s">
        <v>22</v>
      </c>
    </row>
    <row r="8" ht="12.75" customHeight="1">
      <c r="A8" s="11"/>
      <c r="D8" s="2" t="s">
        <v>23</v>
      </c>
      <c r="H8" s="17">
        <v>0.0</v>
      </c>
      <c r="T8" s="11"/>
      <c r="W8" s="11"/>
    </row>
    <row r="9" ht="12.75" customHeight="1">
      <c r="A9" s="11"/>
      <c r="D9" s="18" t="s">
        <v>25</v>
      </c>
      <c r="E9" s="7"/>
      <c r="F9" s="7"/>
      <c r="G9" s="9"/>
      <c r="H9" s="19">
        <v>1436.99</v>
      </c>
      <c r="I9" s="7"/>
      <c r="J9" s="7"/>
      <c r="K9" s="7"/>
      <c r="L9" s="7"/>
      <c r="M9" s="7"/>
      <c r="N9" s="7"/>
      <c r="O9" s="7"/>
      <c r="P9" s="7"/>
      <c r="Q9" s="7"/>
      <c r="R9" s="7"/>
      <c r="S9" s="9"/>
      <c r="T9" s="11"/>
      <c r="W9" s="11"/>
    </row>
    <row r="10" ht="12.75" customHeight="1">
      <c r="A10" s="11"/>
      <c r="D10" s="2" t="s">
        <v>27</v>
      </c>
      <c r="H10" s="17">
        <v>0.0</v>
      </c>
      <c r="T10" s="11"/>
      <c r="W10" s="11"/>
    </row>
    <row r="11" ht="12.75" customHeight="1">
      <c r="A11" s="11"/>
      <c r="D11" s="18" t="s">
        <v>30</v>
      </c>
      <c r="E11" s="7"/>
      <c r="F11" s="7"/>
      <c r="G11" s="9"/>
      <c r="H11" s="21">
        <v>0.0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9"/>
      <c r="T11" s="11"/>
      <c r="W11" s="11"/>
    </row>
    <row r="12" ht="24.0" customHeight="1">
      <c r="A12" s="12"/>
      <c r="D12" s="2" t="s">
        <v>34</v>
      </c>
      <c r="H12" s="23">
        <v>1436.99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12"/>
      <c r="W12" s="12"/>
    </row>
    <row r="13" ht="25.5" customHeight="1">
      <c r="A13" s="12"/>
      <c r="D13" s="1" t="s">
        <v>35</v>
      </c>
      <c r="H13" s="25">
        <v>1436.99</v>
      </c>
      <c r="T13" s="12"/>
      <c r="W13" s="12"/>
    </row>
    <row r="14" ht="12.75" customHeight="1">
      <c r="A14" s="11"/>
      <c r="D14" s="2" t="s">
        <v>36</v>
      </c>
      <c r="H14" s="17">
        <v>0.0</v>
      </c>
      <c r="T14" s="11"/>
      <c r="W14" s="11"/>
    </row>
    <row r="15" ht="17.25" customHeight="1">
      <c r="A15" s="26" t="s">
        <v>37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9"/>
      <c r="W15" s="11"/>
    </row>
    <row r="16" ht="14.25" customHeight="1">
      <c r="A16" s="28" t="s">
        <v>41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30"/>
      <c r="W16" s="11"/>
    </row>
    <row r="17" ht="25.5" customHeight="1">
      <c r="A17" s="31" t="s">
        <v>44</v>
      </c>
      <c r="B17" s="31" t="s">
        <v>45</v>
      </c>
      <c r="C17" s="31" t="s">
        <v>46</v>
      </c>
      <c r="D17" s="32"/>
      <c r="E17" s="31" t="s">
        <v>47</v>
      </c>
      <c r="F17" s="32"/>
      <c r="G17" s="32"/>
      <c r="H17" s="33" t="s">
        <v>48</v>
      </c>
      <c r="I17" s="32"/>
      <c r="J17" s="32"/>
      <c r="K17" s="33" t="s">
        <v>49</v>
      </c>
      <c r="L17" s="34" t="s">
        <v>50</v>
      </c>
      <c r="M17" s="32"/>
      <c r="N17" s="32"/>
      <c r="O17" s="32"/>
      <c r="P17" s="34" t="s">
        <v>52</v>
      </c>
      <c r="Q17" s="34" t="s">
        <v>54</v>
      </c>
      <c r="R17" s="33" t="s">
        <v>55</v>
      </c>
      <c r="S17" s="32"/>
      <c r="T17" s="32"/>
      <c r="U17" s="34" t="s">
        <v>57</v>
      </c>
      <c r="V17" s="33" t="s">
        <v>58</v>
      </c>
      <c r="W17" s="12"/>
    </row>
    <row r="18" ht="27.0" customHeight="1">
      <c r="A18" s="35">
        <v>466809.0</v>
      </c>
      <c r="B18" s="36">
        <v>9213293.0</v>
      </c>
      <c r="C18" s="37" t="s">
        <v>61</v>
      </c>
      <c r="D18" s="24"/>
      <c r="E18" s="37" t="s">
        <v>62</v>
      </c>
      <c r="F18" s="24"/>
      <c r="G18" s="24"/>
      <c r="H18" s="38" t="s">
        <v>63</v>
      </c>
      <c r="I18" s="24"/>
      <c r="J18" s="24"/>
      <c r="K18" s="39">
        <v>46023.0</v>
      </c>
      <c r="L18" s="40">
        <v>46173.0</v>
      </c>
      <c r="M18" s="24"/>
      <c r="N18" s="24"/>
      <c r="O18" s="24"/>
      <c r="P18" s="41">
        <v>13.0</v>
      </c>
      <c r="Q18" s="38" t="s">
        <v>64</v>
      </c>
      <c r="R18" s="37" t="s">
        <v>65</v>
      </c>
      <c r="S18" s="24"/>
      <c r="T18" s="24"/>
      <c r="U18" s="38" t="s">
        <v>66</v>
      </c>
      <c r="V18" s="42">
        <v>-163.33</v>
      </c>
      <c r="W18" s="12"/>
    </row>
    <row r="19" ht="12.75" customHeight="1">
      <c r="A19" s="2" t="s">
        <v>69</v>
      </c>
    </row>
    <row r="20" ht="25.5" customHeight="1">
      <c r="A20" s="2" t="s">
        <v>71</v>
      </c>
      <c r="L20" s="43">
        <v>-163.33</v>
      </c>
    </row>
    <row r="21" ht="17.25" customHeight="1">
      <c r="A21" s="26" t="s">
        <v>73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9"/>
      <c r="W21" s="12"/>
    </row>
    <row r="22" ht="14.25" customHeight="1">
      <c r="A22" s="28" t="s">
        <v>75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30"/>
      <c r="W22" s="11"/>
    </row>
    <row r="23" ht="25.5" customHeight="1">
      <c r="A23" s="31" t="s">
        <v>78</v>
      </c>
      <c r="B23" s="31" t="s">
        <v>80</v>
      </c>
      <c r="C23" s="31" t="s">
        <v>81</v>
      </c>
      <c r="D23" s="32"/>
      <c r="E23" s="31" t="s">
        <v>82</v>
      </c>
      <c r="F23" s="32"/>
      <c r="G23" s="32"/>
      <c r="H23" s="33" t="s">
        <v>84</v>
      </c>
      <c r="I23" s="32"/>
      <c r="J23" s="32"/>
      <c r="K23" s="33" t="s">
        <v>86</v>
      </c>
      <c r="L23" s="34" t="s">
        <v>87</v>
      </c>
      <c r="M23" s="32"/>
      <c r="N23" s="32"/>
      <c r="O23" s="32"/>
      <c r="P23" s="34" t="s">
        <v>88</v>
      </c>
      <c r="Q23" s="34" t="s">
        <v>89</v>
      </c>
      <c r="R23" s="33" t="s">
        <v>90</v>
      </c>
      <c r="S23" s="32"/>
      <c r="T23" s="32"/>
      <c r="U23" s="34" t="s">
        <v>91</v>
      </c>
      <c r="V23" s="33" t="s">
        <v>92</v>
      </c>
      <c r="W23" s="12"/>
    </row>
    <row r="24" ht="5.25" customHeight="1">
      <c r="A24" s="44"/>
      <c r="B24" s="44"/>
      <c r="C24" s="44"/>
      <c r="D24" s="24"/>
      <c r="E24" s="44"/>
      <c r="F24" s="24"/>
      <c r="G24" s="24"/>
      <c r="H24" s="44"/>
      <c r="I24" s="24"/>
      <c r="J24" s="24"/>
      <c r="K24" s="44"/>
      <c r="L24" s="44"/>
      <c r="M24" s="24"/>
      <c r="N24" s="24"/>
      <c r="O24" s="24"/>
      <c r="P24" s="44"/>
      <c r="Q24" s="44"/>
      <c r="R24" s="44"/>
      <c r="S24" s="24"/>
      <c r="T24" s="24"/>
      <c r="U24" s="44"/>
      <c r="V24" s="44"/>
      <c r="W24" s="11"/>
    </row>
    <row r="25" ht="12.0" customHeight="1">
      <c r="A25" s="45">
        <v>475535.0</v>
      </c>
      <c r="B25" s="46">
        <v>2158366.0</v>
      </c>
      <c r="C25" s="47" t="s">
        <v>98</v>
      </c>
      <c r="D25" s="9"/>
      <c r="E25" s="47" t="s">
        <v>99</v>
      </c>
      <c r="F25" s="7"/>
      <c r="G25" s="9"/>
      <c r="H25" s="48" t="s">
        <v>100</v>
      </c>
      <c r="I25" s="7"/>
      <c r="J25" s="9"/>
      <c r="K25" s="49">
        <v>46174.0</v>
      </c>
      <c r="L25" s="50"/>
      <c r="M25" s="7"/>
      <c r="N25" s="7"/>
      <c r="O25" s="9"/>
      <c r="P25" s="51"/>
      <c r="Q25" s="52" t="s">
        <v>101</v>
      </c>
      <c r="R25" s="48" t="s">
        <v>102</v>
      </c>
      <c r="S25" s="7"/>
      <c r="T25" s="9"/>
      <c r="U25" s="52" t="s">
        <v>104</v>
      </c>
      <c r="V25" s="53">
        <v>280.0</v>
      </c>
      <c r="W25" s="11"/>
    </row>
    <row r="26" ht="24.0" customHeight="1">
      <c r="A26" s="2" t="s">
        <v>107</v>
      </c>
    </row>
    <row r="27" ht="14.25" customHeight="1">
      <c r="A27" s="28" t="s">
        <v>108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30"/>
      <c r="W27" s="11"/>
    </row>
    <row r="28" ht="25.5" customHeight="1">
      <c r="A28" s="31" t="s">
        <v>112</v>
      </c>
      <c r="B28" s="31" t="s">
        <v>113</v>
      </c>
      <c r="C28" s="31" t="s">
        <v>114</v>
      </c>
      <c r="D28" s="32"/>
      <c r="E28" s="31" t="s">
        <v>115</v>
      </c>
      <c r="F28" s="32"/>
      <c r="G28" s="32"/>
      <c r="H28" s="33" t="s">
        <v>116</v>
      </c>
      <c r="I28" s="32"/>
      <c r="J28" s="32"/>
      <c r="K28" s="33" t="s">
        <v>117</v>
      </c>
      <c r="L28" s="34" t="s">
        <v>118</v>
      </c>
      <c r="M28" s="32"/>
      <c r="N28" s="32"/>
      <c r="O28" s="32"/>
      <c r="P28" s="34" t="s">
        <v>122</v>
      </c>
      <c r="Q28" s="34" t="s">
        <v>123</v>
      </c>
      <c r="R28" s="33" t="s">
        <v>124</v>
      </c>
      <c r="S28" s="32"/>
      <c r="T28" s="32"/>
      <c r="U28" s="34" t="s">
        <v>125</v>
      </c>
      <c r="V28" s="33" t="s">
        <v>126</v>
      </c>
      <c r="W28" s="12"/>
    </row>
    <row r="29" ht="21.75" customHeight="1">
      <c r="A29" s="35">
        <v>449350.0</v>
      </c>
      <c r="B29" s="36">
        <v>2158366.0</v>
      </c>
      <c r="C29" s="37" t="s">
        <v>129</v>
      </c>
      <c r="D29" s="24"/>
      <c r="E29" s="37" t="s">
        <v>130</v>
      </c>
      <c r="F29" s="24"/>
      <c r="G29" s="24"/>
      <c r="H29" s="38" t="s">
        <v>131</v>
      </c>
      <c r="I29" s="24"/>
      <c r="J29" s="24"/>
      <c r="K29" s="40">
        <v>45717.0</v>
      </c>
      <c r="L29" s="54"/>
      <c r="M29" s="24"/>
      <c r="N29" s="24"/>
      <c r="O29" s="24"/>
      <c r="P29" s="54"/>
      <c r="Q29" s="38" t="s">
        <v>132</v>
      </c>
      <c r="R29" s="38" t="s">
        <v>133</v>
      </c>
      <c r="S29" s="24"/>
      <c r="T29" s="24"/>
      <c r="U29" s="38" t="s">
        <v>134</v>
      </c>
      <c r="V29" s="55">
        <v>8.75</v>
      </c>
      <c r="W29" s="12"/>
    </row>
    <row r="30" ht="12.0" customHeight="1">
      <c r="A30" s="45">
        <v>439383.0</v>
      </c>
      <c r="B30" s="46">
        <v>2158366.0</v>
      </c>
      <c r="C30" s="47" t="s">
        <v>139</v>
      </c>
      <c r="D30" s="9"/>
      <c r="E30" s="47" t="s">
        <v>141</v>
      </c>
      <c r="F30" s="7"/>
      <c r="G30" s="9"/>
      <c r="H30" s="48" t="s">
        <v>143</v>
      </c>
      <c r="I30" s="7"/>
      <c r="J30" s="9"/>
      <c r="K30" s="49">
        <v>45658.0</v>
      </c>
      <c r="L30" s="50"/>
      <c r="M30" s="7"/>
      <c r="N30" s="7"/>
      <c r="O30" s="9"/>
      <c r="P30" s="51"/>
      <c r="Q30" s="52" t="s">
        <v>144</v>
      </c>
      <c r="R30" s="48" t="s">
        <v>145</v>
      </c>
      <c r="S30" s="7"/>
      <c r="T30" s="9"/>
      <c r="U30" s="52" t="s">
        <v>146</v>
      </c>
      <c r="V30" s="53">
        <v>8.75</v>
      </c>
      <c r="W30" s="11"/>
    </row>
    <row r="31" ht="21.75" customHeight="1">
      <c r="A31" s="56">
        <v>439384.0</v>
      </c>
      <c r="B31" s="57">
        <v>2158366.0</v>
      </c>
      <c r="C31" s="58" t="s">
        <v>150</v>
      </c>
      <c r="E31" s="58" t="s">
        <v>151</v>
      </c>
      <c r="H31" s="59" t="s">
        <v>152</v>
      </c>
      <c r="K31" s="60">
        <v>45658.0</v>
      </c>
      <c r="L31" s="12"/>
      <c r="P31" s="12"/>
      <c r="Q31" s="59" t="s">
        <v>153</v>
      </c>
      <c r="R31" s="59" t="s">
        <v>154</v>
      </c>
      <c r="U31" s="59" t="s">
        <v>155</v>
      </c>
      <c r="V31" s="61">
        <v>8.75</v>
      </c>
      <c r="W31" s="12"/>
    </row>
    <row r="32" ht="12.0" customHeight="1">
      <c r="A32" s="45">
        <v>442876.0</v>
      </c>
      <c r="B32" s="46">
        <v>2158366.0</v>
      </c>
      <c r="C32" s="47" t="s">
        <v>159</v>
      </c>
      <c r="D32" s="9"/>
      <c r="E32" s="47" t="s">
        <v>160</v>
      </c>
      <c r="F32" s="7"/>
      <c r="G32" s="9"/>
      <c r="H32" s="48" t="s">
        <v>161</v>
      </c>
      <c r="I32" s="7"/>
      <c r="J32" s="9"/>
      <c r="K32" s="49">
        <v>45658.0</v>
      </c>
      <c r="L32" s="50"/>
      <c r="M32" s="7"/>
      <c r="N32" s="7"/>
      <c r="O32" s="9"/>
      <c r="P32" s="51"/>
      <c r="Q32" s="52" t="s">
        <v>162</v>
      </c>
      <c r="R32" s="48" t="s">
        <v>163</v>
      </c>
      <c r="S32" s="7"/>
      <c r="T32" s="9"/>
      <c r="U32" s="52" t="s">
        <v>166</v>
      </c>
      <c r="V32" s="53">
        <v>8.75</v>
      </c>
      <c r="W32" s="11"/>
    </row>
    <row r="33" ht="27.0" customHeight="1">
      <c r="A33" s="56">
        <v>445341.0</v>
      </c>
      <c r="B33" s="57">
        <v>2158366.0</v>
      </c>
      <c r="C33" s="58" t="s">
        <v>168</v>
      </c>
      <c r="E33" s="58" t="s">
        <v>169</v>
      </c>
      <c r="H33" s="59" t="s">
        <v>170</v>
      </c>
      <c r="K33" s="60">
        <v>45658.0</v>
      </c>
      <c r="L33" s="12"/>
      <c r="P33" s="12"/>
      <c r="Q33" s="59" t="s">
        <v>173</v>
      </c>
      <c r="R33" s="59" t="s">
        <v>175</v>
      </c>
      <c r="U33" s="59" t="s">
        <v>176</v>
      </c>
      <c r="V33" s="61">
        <v>8.75</v>
      </c>
      <c r="W33" s="12"/>
    </row>
    <row r="34" ht="12.75" customHeight="1">
      <c r="A34" s="2" t="s">
        <v>177</v>
      </c>
    </row>
    <row r="35" ht="25.5" customHeight="1">
      <c r="A35" s="2" t="s">
        <v>178</v>
      </c>
      <c r="L35" s="64">
        <v>323.75</v>
      </c>
    </row>
    <row r="36" ht="17.25" customHeight="1">
      <c r="A36" s="26" t="s">
        <v>179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9"/>
      <c r="W36" s="11"/>
    </row>
    <row r="37" ht="14.25" customHeight="1">
      <c r="A37" s="28" t="s">
        <v>185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30"/>
      <c r="W37" s="11"/>
    </row>
    <row r="38" ht="25.5" customHeight="1">
      <c r="A38" s="31" t="s">
        <v>186</v>
      </c>
      <c r="B38" s="31" t="s">
        <v>187</v>
      </c>
      <c r="C38" s="31" t="s">
        <v>188</v>
      </c>
      <c r="D38" s="32"/>
      <c r="E38" s="31" t="s">
        <v>189</v>
      </c>
      <c r="F38" s="32"/>
      <c r="G38" s="32"/>
      <c r="H38" s="33" t="s">
        <v>190</v>
      </c>
      <c r="I38" s="32"/>
      <c r="J38" s="32"/>
      <c r="K38" s="33" t="s">
        <v>191</v>
      </c>
      <c r="L38" s="31" t="s">
        <v>192</v>
      </c>
      <c r="M38" s="32"/>
      <c r="N38" s="32"/>
      <c r="O38" s="32"/>
      <c r="P38" s="31" t="s">
        <v>195</v>
      </c>
      <c r="Q38" s="34" t="s">
        <v>197</v>
      </c>
      <c r="R38" s="33" t="s">
        <v>198</v>
      </c>
      <c r="S38" s="32"/>
      <c r="T38" s="32"/>
      <c r="U38" s="34" t="s">
        <v>199</v>
      </c>
      <c r="V38" s="33" t="s">
        <v>200</v>
      </c>
      <c r="W38" s="12"/>
    </row>
    <row r="39" ht="5.25" customHeight="1">
      <c r="A39" s="44"/>
      <c r="B39" s="44"/>
      <c r="C39" s="44"/>
      <c r="D39" s="24"/>
      <c r="E39" s="44"/>
      <c r="F39" s="24"/>
      <c r="G39" s="24"/>
      <c r="H39" s="44"/>
      <c r="I39" s="24"/>
      <c r="J39" s="24"/>
      <c r="K39" s="44"/>
      <c r="L39" s="44"/>
      <c r="M39" s="24"/>
      <c r="N39" s="24"/>
      <c r="O39" s="24"/>
      <c r="P39" s="44"/>
      <c r="Q39" s="44"/>
      <c r="R39" s="44"/>
      <c r="S39" s="24"/>
      <c r="T39" s="24"/>
      <c r="U39" s="44"/>
      <c r="V39" s="44"/>
      <c r="W39" s="11"/>
    </row>
    <row r="40" ht="12.0" customHeight="1">
      <c r="A40" s="45">
        <v>448295.0</v>
      </c>
      <c r="B40" s="46">
        <v>1.9645587E7</v>
      </c>
      <c r="C40" s="47" t="s">
        <v>203</v>
      </c>
      <c r="D40" s="9"/>
      <c r="E40" s="47" t="s">
        <v>204</v>
      </c>
      <c r="F40" s="7"/>
      <c r="G40" s="9"/>
      <c r="H40" s="48" t="s">
        <v>206</v>
      </c>
      <c r="I40" s="7"/>
      <c r="J40" s="9"/>
      <c r="K40" s="49">
        <v>45658.0</v>
      </c>
      <c r="L40" s="50"/>
      <c r="M40" s="7"/>
      <c r="N40" s="7"/>
      <c r="O40" s="9"/>
      <c r="P40" s="51"/>
      <c r="Q40" s="52" t="s">
        <v>211</v>
      </c>
      <c r="R40" s="48" t="s">
        <v>212</v>
      </c>
      <c r="S40" s="7"/>
      <c r="T40" s="9"/>
      <c r="U40" s="52" t="s">
        <v>213</v>
      </c>
      <c r="V40" s="53">
        <v>8.75</v>
      </c>
      <c r="W40" s="11"/>
    </row>
    <row r="41" ht="27.0" customHeight="1">
      <c r="A41" s="56">
        <v>439914.0</v>
      </c>
      <c r="B41" s="57">
        <v>1.9645587E7</v>
      </c>
      <c r="C41" s="58" t="s">
        <v>214</v>
      </c>
      <c r="E41" s="58" t="s">
        <v>215</v>
      </c>
      <c r="H41" s="59" t="s">
        <v>216</v>
      </c>
      <c r="K41" s="60">
        <v>45658.0</v>
      </c>
      <c r="L41" s="12"/>
      <c r="P41" s="12"/>
      <c r="Q41" s="59" t="s">
        <v>217</v>
      </c>
      <c r="R41" s="59" t="s">
        <v>218</v>
      </c>
      <c r="U41" s="59" t="s">
        <v>219</v>
      </c>
      <c r="V41" s="61">
        <v>8.75</v>
      </c>
      <c r="W41" s="12"/>
    </row>
    <row r="42" ht="12.75" customHeight="1">
      <c r="A42" s="2" t="s">
        <v>222</v>
      </c>
    </row>
    <row r="43" ht="25.5" customHeight="1">
      <c r="A43" s="2" t="s">
        <v>224</v>
      </c>
      <c r="M43" s="64">
        <v>17.5</v>
      </c>
    </row>
    <row r="44" ht="25.5" customHeight="1">
      <c r="A44" s="33" t="s">
        <v>225</v>
      </c>
      <c r="B44" s="33" t="s">
        <v>227</v>
      </c>
      <c r="C44" s="33" t="s">
        <v>229</v>
      </c>
      <c r="D44" s="32"/>
      <c r="E44" s="33" t="s">
        <v>230</v>
      </c>
      <c r="F44" s="32"/>
      <c r="G44" s="32"/>
      <c r="H44" s="65" t="s">
        <v>232</v>
      </c>
      <c r="I44" s="32"/>
      <c r="J44" s="32"/>
      <c r="K44" s="66" t="s">
        <v>233</v>
      </c>
      <c r="L44" s="33" t="s">
        <v>234</v>
      </c>
      <c r="M44" s="32"/>
      <c r="N44" s="32"/>
      <c r="O44" s="32"/>
      <c r="P44" s="33" t="s">
        <v>235</v>
      </c>
      <c r="Q44" s="67" t="s">
        <v>236</v>
      </c>
      <c r="R44" s="66" t="s">
        <v>237</v>
      </c>
      <c r="S44" s="32"/>
      <c r="T44" s="32"/>
      <c r="U44" s="67" t="s">
        <v>238</v>
      </c>
      <c r="V44" s="66" t="s">
        <v>239</v>
      </c>
      <c r="W44" s="12"/>
    </row>
    <row r="45" ht="5.25" customHeight="1">
      <c r="A45" s="44"/>
      <c r="B45" s="44"/>
      <c r="C45" s="44"/>
      <c r="D45" s="24"/>
      <c r="E45" s="44"/>
      <c r="F45" s="24"/>
      <c r="G45" s="24"/>
      <c r="H45" s="44"/>
      <c r="I45" s="24"/>
      <c r="J45" s="24"/>
      <c r="K45" s="44"/>
      <c r="L45" s="44"/>
      <c r="M45" s="24"/>
      <c r="N45" s="24"/>
      <c r="O45" s="24"/>
      <c r="P45" s="44"/>
      <c r="Q45" s="44"/>
      <c r="R45" s="44"/>
      <c r="S45" s="24"/>
      <c r="T45" s="24"/>
      <c r="U45" s="44"/>
      <c r="V45" s="44"/>
      <c r="W45" s="11"/>
    </row>
    <row r="46" ht="12.0" customHeight="1">
      <c r="A46" s="45">
        <v>444055.0</v>
      </c>
      <c r="B46" s="46">
        <v>1.9615078E7</v>
      </c>
      <c r="C46" s="47" t="s">
        <v>245</v>
      </c>
      <c r="D46" s="9"/>
      <c r="E46" s="47" t="s">
        <v>246</v>
      </c>
      <c r="F46" s="7"/>
      <c r="G46" s="9"/>
      <c r="H46" s="48" t="s">
        <v>247</v>
      </c>
      <c r="I46" s="7"/>
      <c r="J46" s="9"/>
      <c r="K46" s="68">
        <v>45658.0</v>
      </c>
      <c r="L46" s="50"/>
      <c r="M46" s="7"/>
      <c r="N46" s="7"/>
      <c r="O46" s="9"/>
      <c r="P46" s="51"/>
      <c r="Q46" s="52" t="s">
        <v>255</v>
      </c>
      <c r="R46" s="48" t="s">
        <v>257</v>
      </c>
      <c r="S46" s="7"/>
      <c r="T46" s="9"/>
      <c r="U46" s="52" t="s">
        <v>258</v>
      </c>
      <c r="V46" s="53">
        <v>8.75</v>
      </c>
      <c r="W46" s="11"/>
    </row>
    <row r="47" ht="19.5" customHeight="1">
      <c r="A47" s="2" t="s">
        <v>261</v>
      </c>
    </row>
    <row r="48" ht="25.5" customHeight="1">
      <c r="A48" s="2" t="s">
        <v>262</v>
      </c>
      <c r="N48" s="64">
        <v>8.75</v>
      </c>
    </row>
    <row r="49" ht="25.5" customHeight="1">
      <c r="A49" s="33" t="s">
        <v>263</v>
      </c>
      <c r="B49" s="33" t="s">
        <v>264</v>
      </c>
      <c r="C49" s="33" t="s">
        <v>265</v>
      </c>
      <c r="D49" s="32"/>
      <c r="E49" s="33" t="s">
        <v>266</v>
      </c>
      <c r="F49" s="32"/>
      <c r="G49" s="32"/>
      <c r="H49" s="65" t="s">
        <v>268</v>
      </c>
      <c r="I49" s="32"/>
      <c r="J49" s="32"/>
      <c r="K49" s="66" t="s">
        <v>271</v>
      </c>
      <c r="L49" s="33" t="s">
        <v>272</v>
      </c>
      <c r="M49" s="32"/>
      <c r="N49" s="32"/>
      <c r="O49" s="32"/>
      <c r="P49" s="33" t="s">
        <v>273</v>
      </c>
      <c r="Q49" s="67" t="s">
        <v>274</v>
      </c>
      <c r="R49" s="66" t="s">
        <v>275</v>
      </c>
      <c r="S49" s="32"/>
      <c r="T49" s="32"/>
      <c r="U49" s="67" t="s">
        <v>278</v>
      </c>
      <c r="V49" s="66" t="s">
        <v>279</v>
      </c>
      <c r="W49" s="12"/>
    </row>
    <row r="50" ht="27.0" customHeight="1">
      <c r="A50" s="35">
        <v>446535.0</v>
      </c>
      <c r="B50" s="36">
        <v>1.7301495E7</v>
      </c>
      <c r="C50" s="37" t="s">
        <v>280</v>
      </c>
      <c r="D50" s="24"/>
      <c r="E50" s="37" t="s">
        <v>281</v>
      </c>
      <c r="F50" s="24"/>
      <c r="G50" s="24"/>
      <c r="H50" s="38" t="s">
        <v>282</v>
      </c>
      <c r="I50" s="24"/>
      <c r="J50" s="24"/>
      <c r="K50" s="39">
        <v>45658.0</v>
      </c>
      <c r="L50" s="54"/>
      <c r="M50" s="24"/>
      <c r="N50" s="24"/>
      <c r="O50" s="24"/>
      <c r="P50" s="54"/>
      <c r="Q50" s="38" t="s">
        <v>283</v>
      </c>
      <c r="R50" s="38" t="s">
        <v>284</v>
      </c>
      <c r="S50" s="24"/>
      <c r="T50" s="24"/>
      <c r="U50" s="38" t="s">
        <v>285</v>
      </c>
      <c r="V50" s="55">
        <v>8.75</v>
      </c>
      <c r="W50" s="12"/>
    </row>
    <row r="51" ht="12.75" customHeight="1">
      <c r="A51" s="2" t="s">
        <v>286</v>
      </c>
    </row>
    <row r="52" ht="25.5" customHeight="1">
      <c r="A52" s="2" t="s">
        <v>287</v>
      </c>
      <c r="O52" s="64">
        <v>8.75</v>
      </c>
    </row>
    <row r="53" ht="12.75" customHeight="1">
      <c r="A53" s="69" t="s">
        <v>288</v>
      </c>
      <c r="K53" s="2" t="s">
        <v>289</v>
      </c>
      <c r="P53" s="2" t="s">
        <v>290</v>
      </c>
      <c r="U53" s="2" t="s">
        <v>291</v>
      </c>
    </row>
    <row r="54" ht="12.75" customHeight="1">
      <c r="A54" s="33" t="s">
        <v>293</v>
      </c>
      <c r="B54" s="33" t="s">
        <v>294</v>
      </c>
      <c r="C54" s="33" t="s">
        <v>296</v>
      </c>
      <c r="D54" s="32"/>
      <c r="E54" s="33" t="s">
        <v>298</v>
      </c>
      <c r="F54" s="32"/>
      <c r="G54" s="32"/>
      <c r="H54" s="32"/>
      <c r="I54" s="33" t="s">
        <v>299</v>
      </c>
      <c r="J54" s="32"/>
      <c r="K54" s="33" t="s">
        <v>301</v>
      </c>
      <c r="L54" s="33" t="s">
        <v>303</v>
      </c>
      <c r="M54" s="32"/>
      <c r="N54" s="32"/>
      <c r="O54" s="32"/>
      <c r="P54" s="33" t="s">
        <v>304</v>
      </c>
      <c r="Q54" s="33" t="s">
        <v>305</v>
      </c>
      <c r="R54" s="33" t="s">
        <v>306</v>
      </c>
      <c r="S54" s="32"/>
      <c r="T54" s="32"/>
      <c r="U54" s="67" t="s">
        <v>307</v>
      </c>
      <c r="V54" s="67" t="s">
        <v>308</v>
      </c>
    </row>
    <row r="55" ht="5.25" customHeight="1">
      <c r="A55" s="44"/>
      <c r="B55" s="44"/>
      <c r="C55" s="44"/>
      <c r="D55" s="24"/>
      <c r="E55" s="44"/>
      <c r="F55" s="24"/>
      <c r="G55" s="24"/>
      <c r="H55" s="24"/>
      <c r="I55" s="44"/>
      <c r="J55" s="24"/>
      <c r="K55" s="44"/>
      <c r="L55" s="44"/>
      <c r="M55" s="24"/>
      <c r="N55" s="24"/>
      <c r="O55" s="24"/>
      <c r="P55" s="44"/>
      <c r="Q55" s="44"/>
      <c r="R55" s="44"/>
      <c r="S55" s="24"/>
      <c r="T55" s="24"/>
      <c r="U55" s="44"/>
      <c r="V55" s="44"/>
    </row>
    <row r="56" ht="12.0" customHeight="1">
      <c r="A56" s="45">
        <v>447954.0</v>
      </c>
      <c r="B56" s="46">
        <v>1.6912722E7</v>
      </c>
      <c r="C56" s="47" t="s">
        <v>312</v>
      </c>
      <c r="D56" s="9"/>
      <c r="E56" s="47" t="s">
        <v>314</v>
      </c>
      <c r="F56" s="7"/>
      <c r="G56" s="7"/>
      <c r="H56" s="9"/>
      <c r="I56" s="70" t="s">
        <v>316</v>
      </c>
      <c r="J56" s="71">
        <v>45658.0</v>
      </c>
      <c r="K56" s="7"/>
      <c r="L56" s="7"/>
      <c r="M56" s="7"/>
      <c r="N56" s="7"/>
      <c r="O56" s="9"/>
      <c r="P56" s="47" t="s">
        <v>317</v>
      </c>
      <c r="Q56" s="9"/>
      <c r="R56" s="47" t="s">
        <v>318</v>
      </c>
      <c r="S56" s="7"/>
      <c r="T56" s="9"/>
      <c r="U56" s="52" t="s">
        <v>321</v>
      </c>
      <c r="V56" s="53">
        <v>8.75</v>
      </c>
    </row>
    <row r="57" ht="21.75" customHeight="1">
      <c r="A57" s="56">
        <v>447955.0</v>
      </c>
      <c r="B57" s="57">
        <v>1.6912722E7</v>
      </c>
      <c r="C57" s="58" t="s">
        <v>323</v>
      </c>
      <c r="E57" s="58" t="s">
        <v>325</v>
      </c>
      <c r="I57" s="72" t="s">
        <v>327</v>
      </c>
      <c r="J57" s="73">
        <v>45658.0</v>
      </c>
      <c r="P57" s="58" t="s">
        <v>328</v>
      </c>
      <c r="R57" s="58" t="s">
        <v>329</v>
      </c>
      <c r="U57" s="59" t="s">
        <v>330</v>
      </c>
      <c r="V57" s="61">
        <v>8.75</v>
      </c>
    </row>
    <row r="58" ht="12.0" customHeight="1">
      <c r="A58" s="45">
        <v>448034.0</v>
      </c>
      <c r="B58" s="46">
        <v>1.6912722E7</v>
      </c>
      <c r="C58" s="47" t="s">
        <v>331</v>
      </c>
      <c r="D58" s="9"/>
      <c r="E58" s="47" t="s">
        <v>332</v>
      </c>
      <c r="F58" s="7"/>
      <c r="G58" s="7"/>
      <c r="H58" s="9"/>
      <c r="I58" s="70" t="s">
        <v>334</v>
      </c>
      <c r="J58" s="71">
        <v>45658.0</v>
      </c>
      <c r="K58" s="7"/>
      <c r="L58" s="7"/>
      <c r="M58" s="7"/>
      <c r="N58" s="7"/>
      <c r="O58" s="9"/>
      <c r="P58" s="47" t="s">
        <v>337</v>
      </c>
      <c r="Q58" s="9"/>
      <c r="R58" s="47" t="s">
        <v>340</v>
      </c>
      <c r="S58" s="7"/>
      <c r="T58" s="9"/>
      <c r="U58" s="52" t="s">
        <v>341</v>
      </c>
      <c r="V58" s="53">
        <v>8.75</v>
      </c>
    </row>
    <row r="59" ht="21.0" customHeight="1">
      <c r="A59" s="56">
        <v>447701.0</v>
      </c>
      <c r="B59" s="57">
        <v>1.6912722E7</v>
      </c>
      <c r="C59" s="58" t="s">
        <v>342</v>
      </c>
      <c r="E59" s="58" t="s">
        <v>343</v>
      </c>
      <c r="I59" s="72" t="s">
        <v>344</v>
      </c>
      <c r="J59" s="73">
        <v>45658.0</v>
      </c>
      <c r="P59" s="58" t="s">
        <v>345</v>
      </c>
      <c r="R59" s="58" t="s">
        <v>346</v>
      </c>
      <c r="U59" s="59" t="s">
        <v>347</v>
      </c>
      <c r="V59" s="61">
        <v>8.75</v>
      </c>
    </row>
    <row r="60" ht="19.5" customHeight="1">
      <c r="A60" s="12"/>
      <c r="B60" s="12"/>
      <c r="C60" s="12"/>
      <c r="E60" s="12"/>
      <c r="I60" s="12"/>
      <c r="J60" s="2" t="s">
        <v>348</v>
      </c>
      <c r="P60" s="12"/>
      <c r="R60" s="12"/>
      <c r="U60" s="12"/>
      <c r="V60" s="75">
        <v>35.0</v>
      </c>
    </row>
    <row r="61" ht="18.75" customHeight="1">
      <c r="A61" s="12"/>
      <c r="B61" s="12"/>
      <c r="C61" s="2" t="s">
        <v>349</v>
      </c>
      <c r="F61" s="76">
        <v>1.6912722E7</v>
      </c>
      <c r="I61" s="12"/>
      <c r="J61" s="2" t="s">
        <v>352</v>
      </c>
      <c r="P61" s="12"/>
      <c r="R61" s="12"/>
      <c r="U61" s="12"/>
      <c r="V61" s="75">
        <v>35.0</v>
      </c>
    </row>
    <row r="62" ht="18.0" customHeight="1">
      <c r="A62" s="26" t="s">
        <v>354</v>
      </c>
      <c r="B62" s="9"/>
      <c r="C62" s="80">
        <v>1.6633294E7</v>
      </c>
      <c r="D62" s="9"/>
      <c r="E62" s="81"/>
      <c r="F62" s="9"/>
      <c r="G62" s="26" t="s">
        <v>359</v>
      </c>
      <c r="H62" s="7"/>
      <c r="I62" s="7"/>
      <c r="J62" s="7"/>
      <c r="K62" s="7"/>
      <c r="L62" s="7"/>
      <c r="M62" s="7"/>
      <c r="N62" s="7"/>
      <c r="O62" s="9"/>
      <c r="P62" s="81"/>
      <c r="Q62" s="7"/>
      <c r="R62" s="7"/>
      <c r="S62" s="7"/>
      <c r="T62" s="7"/>
      <c r="U62" s="7"/>
      <c r="V62" s="9"/>
    </row>
    <row r="63" ht="14.25" customHeight="1">
      <c r="A63" s="82"/>
      <c r="B63" s="82"/>
      <c r="C63" s="83"/>
      <c r="D63" s="30"/>
      <c r="E63" s="83"/>
      <c r="F63" s="30"/>
      <c r="G63" s="83"/>
      <c r="H63" s="29"/>
      <c r="I63" s="30"/>
      <c r="J63" s="86" t="s">
        <v>365</v>
      </c>
      <c r="K63" s="29"/>
      <c r="L63" s="29"/>
      <c r="M63" s="29"/>
      <c r="N63" s="29"/>
      <c r="O63" s="30"/>
      <c r="P63" s="83"/>
      <c r="Q63" s="30"/>
      <c r="R63" s="83"/>
      <c r="S63" s="29"/>
      <c r="T63" s="30"/>
      <c r="U63" s="82"/>
      <c r="V63" s="82"/>
    </row>
    <row r="64" ht="13.5" customHeight="1">
      <c r="A64" s="87" t="s">
        <v>368</v>
      </c>
      <c r="B64" s="24"/>
      <c r="C64" s="24"/>
      <c r="D64" s="24"/>
      <c r="E64" s="24"/>
      <c r="F64" s="24"/>
      <c r="G64" s="24"/>
      <c r="H64" s="24"/>
      <c r="I64" s="24"/>
      <c r="J64" s="24"/>
      <c r="K64" s="88" t="s">
        <v>369</v>
      </c>
      <c r="L64" s="24"/>
      <c r="M64" s="24"/>
      <c r="N64" s="24"/>
      <c r="O64" s="24"/>
      <c r="P64" s="88" t="s">
        <v>370</v>
      </c>
      <c r="Q64" s="24"/>
      <c r="R64" s="24"/>
      <c r="S64" s="24"/>
      <c r="T64" s="24"/>
      <c r="U64" s="88" t="s">
        <v>371</v>
      </c>
      <c r="V64" s="24"/>
    </row>
    <row r="65" ht="12.75" customHeight="1">
      <c r="A65" s="33" t="s">
        <v>372</v>
      </c>
      <c r="B65" s="33" t="s">
        <v>373</v>
      </c>
      <c r="C65" s="33" t="s">
        <v>374</v>
      </c>
      <c r="D65" s="32"/>
      <c r="E65" s="33" t="s">
        <v>375</v>
      </c>
      <c r="F65" s="32"/>
      <c r="G65" s="33" t="s">
        <v>376</v>
      </c>
      <c r="H65" s="32"/>
      <c r="I65" s="32"/>
      <c r="J65" s="32"/>
      <c r="K65" s="33" t="s">
        <v>377</v>
      </c>
      <c r="L65" s="33" t="s">
        <v>378</v>
      </c>
      <c r="M65" s="32"/>
      <c r="N65" s="32"/>
      <c r="O65" s="32"/>
      <c r="P65" s="33" t="s">
        <v>379</v>
      </c>
      <c r="Q65" s="33" t="s">
        <v>380</v>
      </c>
      <c r="R65" s="33" t="s">
        <v>381</v>
      </c>
      <c r="S65" s="32"/>
      <c r="T65" s="32"/>
      <c r="U65" s="67" t="s">
        <v>382</v>
      </c>
      <c r="V65" s="67" t="s">
        <v>383</v>
      </c>
    </row>
    <row r="66" ht="16.5" customHeight="1">
      <c r="A66" s="35">
        <v>446217.0</v>
      </c>
      <c r="B66" s="36">
        <v>1.6633294E7</v>
      </c>
      <c r="C66" s="37" t="s">
        <v>384</v>
      </c>
      <c r="D66" s="24"/>
      <c r="E66" s="37" t="s">
        <v>385</v>
      </c>
      <c r="F66" s="24"/>
      <c r="G66" s="89" t="s">
        <v>386</v>
      </c>
      <c r="H66" s="24"/>
      <c r="I66" s="24"/>
      <c r="J66" s="39">
        <v>45658.0</v>
      </c>
      <c r="K66" s="24"/>
      <c r="L66" s="24"/>
      <c r="M66" s="24"/>
      <c r="N66" s="24"/>
      <c r="O66" s="24"/>
      <c r="P66" s="37" t="s">
        <v>389</v>
      </c>
      <c r="Q66" s="24"/>
      <c r="R66" s="37" t="s">
        <v>391</v>
      </c>
      <c r="S66" s="24"/>
      <c r="T66" s="24"/>
      <c r="U66" s="38" t="s">
        <v>392</v>
      </c>
      <c r="V66" s="55">
        <v>8.75</v>
      </c>
    </row>
    <row r="67" ht="21.75" customHeight="1">
      <c r="A67" s="56">
        <v>443286.0</v>
      </c>
      <c r="B67" s="57">
        <v>1.6633294E7</v>
      </c>
      <c r="C67" s="58" t="s">
        <v>393</v>
      </c>
      <c r="E67" s="58" t="s">
        <v>394</v>
      </c>
      <c r="G67" s="72" t="s">
        <v>395</v>
      </c>
      <c r="J67" s="73">
        <v>45658.0</v>
      </c>
      <c r="P67" s="58" t="s">
        <v>397</v>
      </c>
      <c r="R67" s="58" t="s">
        <v>399</v>
      </c>
      <c r="U67" s="59" t="s">
        <v>400</v>
      </c>
      <c r="V67" s="61">
        <v>8.75</v>
      </c>
    </row>
    <row r="68" ht="12.0" customHeight="1">
      <c r="A68" s="45">
        <v>443292.0</v>
      </c>
      <c r="B68" s="46">
        <v>1.6633294E7</v>
      </c>
      <c r="C68" s="47" t="s">
        <v>402</v>
      </c>
      <c r="D68" s="9"/>
      <c r="E68" s="47" t="s">
        <v>403</v>
      </c>
      <c r="F68" s="9"/>
      <c r="G68" s="91" t="s">
        <v>404</v>
      </c>
      <c r="H68" s="7"/>
      <c r="I68" s="9"/>
      <c r="J68" s="71">
        <v>45658.0</v>
      </c>
      <c r="K68" s="7"/>
      <c r="L68" s="7"/>
      <c r="M68" s="7"/>
      <c r="N68" s="7"/>
      <c r="O68" s="9"/>
      <c r="P68" s="47" t="s">
        <v>408</v>
      </c>
      <c r="Q68" s="9"/>
      <c r="R68" s="47" t="s">
        <v>409</v>
      </c>
      <c r="S68" s="7"/>
      <c r="T68" s="9"/>
      <c r="U68" s="52" t="s">
        <v>411</v>
      </c>
      <c r="V68" s="53">
        <v>8.75</v>
      </c>
    </row>
    <row r="69" ht="21.75" customHeight="1">
      <c r="A69" s="56">
        <v>444212.0</v>
      </c>
      <c r="B69" s="57">
        <v>1.6633294E7</v>
      </c>
      <c r="C69" s="58" t="s">
        <v>413</v>
      </c>
      <c r="E69" s="58" t="s">
        <v>414</v>
      </c>
      <c r="G69" s="72" t="s">
        <v>415</v>
      </c>
      <c r="J69" s="73">
        <v>45658.0</v>
      </c>
      <c r="P69" s="58" t="s">
        <v>416</v>
      </c>
      <c r="R69" s="58" t="s">
        <v>417</v>
      </c>
      <c r="U69" s="59" t="s">
        <v>419</v>
      </c>
      <c r="V69" s="61">
        <v>8.75</v>
      </c>
    </row>
    <row r="70" ht="12.0" customHeight="1">
      <c r="A70" s="45">
        <v>443209.0</v>
      </c>
      <c r="B70" s="46">
        <v>1.6633294E7</v>
      </c>
      <c r="C70" s="47" t="s">
        <v>423</v>
      </c>
      <c r="D70" s="9"/>
      <c r="E70" s="47" t="s">
        <v>425</v>
      </c>
      <c r="F70" s="9"/>
      <c r="G70" s="91" t="s">
        <v>426</v>
      </c>
      <c r="H70" s="7"/>
      <c r="I70" s="9"/>
      <c r="J70" s="71">
        <v>45658.0</v>
      </c>
      <c r="K70" s="7"/>
      <c r="L70" s="7"/>
      <c r="M70" s="7"/>
      <c r="N70" s="7"/>
      <c r="O70" s="9"/>
      <c r="P70" s="47" t="s">
        <v>430</v>
      </c>
      <c r="Q70" s="9"/>
      <c r="R70" s="47" t="s">
        <v>432</v>
      </c>
      <c r="S70" s="7"/>
      <c r="T70" s="9"/>
      <c r="U70" s="52" t="s">
        <v>434</v>
      </c>
      <c r="V70" s="53">
        <v>8.75</v>
      </c>
    </row>
    <row r="71" ht="21.75" customHeight="1">
      <c r="A71" s="56">
        <v>440990.0</v>
      </c>
      <c r="B71" s="57">
        <v>1.6633294E7</v>
      </c>
      <c r="C71" s="58" t="s">
        <v>435</v>
      </c>
      <c r="E71" s="58" t="s">
        <v>436</v>
      </c>
      <c r="G71" s="72" t="s">
        <v>437</v>
      </c>
      <c r="J71" s="73">
        <v>45658.0</v>
      </c>
      <c r="P71" s="58" t="s">
        <v>440</v>
      </c>
      <c r="R71" s="58" t="s">
        <v>442</v>
      </c>
      <c r="U71" s="59" t="s">
        <v>443</v>
      </c>
      <c r="V71" s="61">
        <v>8.75</v>
      </c>
    </row>
    <row r="72" ht="12.0" customHeight="1">
      <c r="A72" s="45">
        <v>445753.0</v>
      </c>
      <c r="B72" s="46">
        <v>1.6633294E7</v>
      </c>
      <c r="C72" s="47" t="s">
        <v>446</v>
      </c>
      <c r="D72" s="9"/>
      <c r="E72" s="47" t="s">
        <v>447</v>
      </c>
      <c r="F72" s="9"/>
      <c r="G72" s="91" t="s">
        <v>448</v>
      </c>
      <c r="H72" s="7"/>
      <c r="I72" s="9"/>
      <c r="J72" s="71">
        <v>45658.0</v>
      </c>
      <c r="K72" s="7"/>
      <c r="L72" s="7"/>
      <c r="M72" s="7"/>
      <c r="N72" s="7"/>
      <c r="O72" s="9"/>
      <c r="P72" s="47" t="s">
        <v>454</v>
      </c>
      <c r="Q72" s="9"/>
      <c r="R72" s="47" t="s">
        <v>455</v>
      </c>
      <c r="S72" s="7"/>
      <c r="T72" s="9"/>
      <c r="U72" s="52" t="s">
        <v>456</v>
      </c>
      <c r="V72" s="53">
        <v>8.75</v>
      </c>
    </row>
    <row r="73" ht="21.75" customHeight="1">
      <c r="A73" s="56">
        <v>446673.0</v>
      </c>
      <c r="B73" s="57">
        <v>1.6633294E7</v>
      </c>
      <c r="C73" s="58" t="s">
        <v>458</v>
      </c>
      <c r="E73" s="58" t="s">
        <v>459</v>
      </c>
      <c r="G73" s="72" t="s">
        <v>460</v>
      </c>
      <c r="J73" s="73">
        <v>45658.0</v>
      </c>
      <c r="P73" s="58" t="s">
        <v>463</v>
      </c>
      <c r="R73" s="58" t="s">
        <v>464</v>
      </c>
      <c r="U73" s="59" t="s">
        <v>466</v>
      </c>
      <c r="V73" s="61">
        <v>8.75</v>
      </c>
    </row>
    <row r="74" ht="12.0" customHeight="1">
      <c r="A74" s="45">
        <v>447931.0</v>
      </c>
      <c r="B74" s="46">
        <v>1.6633294E7</v>
      </c>
      <c r="C74" s="47" t="s">
        <v>468</v>
      </c>
      <c r="D74" s="9"/>
      <c r="E74" s="47" t="s">
        <v>469</v>
      </c>
      <c r="F74" s="9"/>
      <c r="G74" s="91" t="s">
        <v>470</v>
      </c>
      <c r="H74" s="7"/>
      <c r="I74" s="9"/>
      <c r="J74" s="71">
        <v>45658.0</v>
      </c>
      <c r="K74" s="7"/>
      <c r="L74" s="7"/>
      <c r="M74" s="7"/>
      <c r="N74" s="7"/>
      <c r="O74" s="9"/>
      <c r="P74" s="47" t="s">
        <v>476</v>
      </c>
      <c r="Q74" s="9"/>
      <c r="R74" s="47" t="s">
        <v>477</v>
      </c>
      <c r="S74" s="7"/>
      <c r="T74" s="9"/>
      <c r="U74" s="52" t="s">
        <v>478</v>
      </c>
      <c r="V74" s="53">
        <v>8.75</v>
      </c>
    </row>
    <row r="75" ht="24.0" customHeight="1">
      <c r="A75" s="12"/>
      <c r="B75" s="12"/>
      <c r="C75" s="12"/>
      <c r="E75" s="12"/>
      <c r="G75" s="12"/>
      <c r="J75" s="2" t="s">
        <v>480</v>
      </c>
      <c r="P75" s="12"/>
      <c r="R75" s="12"/>
      <c r="U75" s="12"/>
      <c r="V75" s="75">
        <v>78.75</v>
      </c>
    </row>
    <row r="76" ht="18.75" customHeight="1">
      <c r="A76" s="12"/>
      <c r="B76" s="12"/>
      <c r="C76" s="2" t="s">
        <v>485</v>
      </c>
      <c r="G76" s="92">
        <v>1.6633294E7</v>
      </c>
      <c r="J76" s="2" t="s">
        <v>486</v>
      </c>
      <c r="P76" s="12"/>
      <c r="R76" s="12"/>
      <c r="U76" s="12"/>
      <c r="V76" s="75">
        <v>78.75</v>
      </c>
    </row>
    <row r="77" ht="12.0" customHeight="1"/>
    <row r="78" ht="17.25" customHeight="1">
      <c r="A78" s="26" t="s">
        <v>489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9"/>
      <c r="W78" s="11"/>
    </row>
    <row r="79" ht="14.25" customHeight="1">
      <c r="A79" s="28" t="s">
        <v>493</v>
      </c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30"/>
      <c r="W79" s="11"/>
    </row>
    <row r="80" ht="25.5" customHeight="1">
      <c r="A80" s="31" t="s">
        <v>499</v>
      </c>
      <c r="B80" s="31" t="s">
        <v>500</v>
      </c>
      <c r="C80" s="31" t="s">
        <v>501</v>
      </c>
      <c r="D80" s="32"/>
      <c r="E80" s="31" t="s">
        <v>502</v>
      </c>
      <c r="F80" s="32"/>
      <c r="G80" s="32"/>
      <c r="H80" s="33" t="s">
        <v>505</v>
      </c>
      <c r="I80" s="32"/>
      <c r="J80" s="32"/>
      <c r="K80" s="33" t="s">
        <v>507</v>
      </c>
      <c r="L80" s="34" t="s">
        <v>509</v>
      </c>
      <c r="M80" s="32"/>
      <c r="N80" s="32"/>
      <c r="O80" s="32"/>
      <c r="P80" s="34" t="s">
        <v>511</v>
      </c>
      <c r="Q80" s="34" t="s">
        <v>512</v>
      </c>
      <c r="R80" s="33" t="s">
        <v>513</v>
      </c>
      <c r="S80" s="32"/>
      <c r="T80" s="32"/>
      <c r="U80" s="34" t="s">
        <v>514</v>
      </c>
      <c r="V80" s="33" t="s">
        <v>515</v>
      </c>
      <c r="W80" s="12"/>
    </row>
    <row r="81" ht="27.0" customHeight="1">
      <c r="A81" s="35">
        <v>466809.0</v>
      </c>
      <c r="B81" s="36">
        <v>9213293.0</v>
      </c>
      <c r="C81" s="37" t="s">
        <v>517</v>
      </c>
      <c r="D81" s="24"/>
      <c r="E81" s="37" t="s">
        <v>520</v>
      </c>
      <c r="F81" s="24"/>
      <c r="G81" s="24"/>
      <c r="H81" s="38" t="s">
        <v>523</v>
      </c>
      <c r="I81" s="24"/>
      <c r="J81" s="24"/>
      <c r="K81" s="39">
        <v>46023.0</v>
      </c>
      <c r="L81" s="40">
        <v>46173.0</v>
      </c>
      <c r="M81" s="24"/>
      <c r="N81" s="24"/>
      <c r="O81" s="24"/>
      <c r="P81" s="41">
        <v>13.0</v>
      </c>
      <c r="Q81" s="38" t="s">
        <v>529</v>
      </c>
      <c r="R81" s="37" t="s">
        <v>530</v>
      </c>
      <c r="S81" s="24"/>
      <c r="T81" s="24"/>
      <c r="U81" s="38" t="s">
        <v>531</v>
      </c>
      <c r="V81" s="42">
        <v>-202.42</v>
      </c>
      <c r="W81" s="12"/>
    </row>
    <row r="82" ht="12.75" customHeight="1">
      <c r="A82" s="2" t="s">
        <v>532</v>
      </c>
    </row>
    <row r="83" ht="25.5" customHeight="1">
      <c r="A83" s="2" t="s">
        <v>534</v>
      </c>
      <c r="L83" s="43">
        <v>-202.42</v>
      </c>
    </row>
    <row r="84" ht="17.25" customHeight="1">
      <c r="A84" s="26" t="s">
        <v>537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9"/>
      <c r="W84" s="12"/>
    </row>
    <row r="85" ht="14.25" customHeight="1">
      <c r="A85" s="28" t="s">
        <v>540</v>
      </c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30"/>
      <c r="W85" s="11"/>
    </row>
    <row r="86" ht="25.5" customHeight="1">
      <c r="A86" s="31" t="s">
        <v>546</v>
      </c>
      <c r="B86" s="31" t="s">
        <v>547</v>
      </c>
      <c r="C86" s="31" t="s">
        <v>548</v>
      </c>
      <c r="D86" s="32"/>
      <c r="E86" s="31" t="s">
        <v>552</v>
      </c>
      <c r="F86" s="32"/>
      <c r="G86" s="32"/>
      <c r="H86" s="33" t="s">
        <v>553</v>
      </c>
      <c r="I86" s="32"/>
      <c r="J86" s="32"/>
      <c r="K86" s="33" t="s">
        <v>555</v>
      </c>
      <c r="L86" s="34" t="s">
        <v>557</v>
      </c>
      <c r="M86" s="32"/>
      <c r="N86" s="32"/>
      <c r="O86" s="32"/>
      <c r="P86" s="34" t="s">
        <v>558</v>
      </c>
      <c r="Q86" s="34" t="s">
        <v>559</v>
      </c>
      <c r="R86" s="33" t="s">
        <v>560</v>
      </c>
      <c r="S86" s="32"/>
      <c r="T86" s="32"/>
      <c r="U86" s="34" t="s">
        <v>561</v>
      </c>
      <c r="V86" s="33" t="s">
        <v>562</v>
      </c>
      <c r="W86" s="12"/>
    </row>
    <row r="87" ht="5.25" customHeight="1">
      <c r="A87" s="44"/>
      <c r="B87" s="44"/>
      <c r="C87" s="44"/>
      <c r="D87" s="24"/>
      <c r="E87" s="44"/>
      <c r="F87" s="24"/>
      <c r="G87" s="24"/>
      <c r="H87" s="44"/>
      <c r="I87" s="24"/>
      <c r="J87" s="24"/>
      <c r="K87" s="44"/>
      <c r="L87" s="44"/>
      <c r="M87" s="24"/>
      <c r="N87" s="24"/>
      <c r="O87" s="24"/>
      <c r="P87" s="44"/>
      <c r="Q87" s="44"/>
      <c r="R87" s="44"/>
      <c r="S87" s="24"/>
      <c r="T87" s="24"/>
      <c r="U87" s="44"/>
      <c r="V87" s="44"/>
      <c r="W87" s="11"/>
    </row>
    <row r="88" ht="12.0" customHeight="1">
      <c r="A88" s="45">
        <v>475535.0</v>
      </c>
      <c r="B88" s="46">
        <v>2158366.0</v>
      </c>
      <c r="C88" s="47" t="s">
        <v>571</v>
      </c>
      <c r="D88" s="9"/>
      <c r="E88" s="47" t="s">
        <v>574</v>
      </c>
      <c r="F88" s="7"/>
      <c r="G88" s="9"/>
      <c r="H88" s="48" t="s">
        <v>575</v>
      </c>
      <c r="I88" s="7"/>
      <c r="J88" s="9"/>
      <c r="K88" s="49">
        <v>46174.0</v>
      </c>
      <c r="L88" s="50"/>
      <c r="M88" s="7"/>
      <c r="N88" s="7"/>
      <c r="O88" s="9"/>
      <c r="P88" s="51"/>
      <c r="Q88" s="52" t="s">
        <v>579</v>
      </c>
      <c r="R88" s="48" t="s">
        <v>580</v>
      </c>
      <c r="S88" s="7"/>
      <c r="T88" s="9"/>
      <c r="U88" s="52" t="s">
        <v>583</v>
      </c>
      <c r="V88" s="53">
        <v>694.0</v>
      </c>
      <c r="W88" s="11"/>
    </row>
    <row r="89" ht="24.0" customHeight="1">
      <c r="A89" s="2" t="s">
        <v>584</v>
      </c>
    </row>
    <row r="90" ht="14.25" customHeight="1">
      <c r="A90" s="28" t="s">
        <v>585</v>
      </c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30"/>
      <c r="W90" s="11"/>
    </row>
    <row r="91" ht="25.5" customHeight="1">
      <c r="A91" s="31" t="s">
        <v>591</v>
      </c>
      <c r="B91" s="31" t="s">
        <v>592</v>
      </c>
      <c r="C91" s="31" t="s">
        <v>593</v>
      </c>
      <c r="D91" s="32"/>
      <c r="E91" s="31" t="s">
        <v>594</v>
      </c>
      <c r="F91" s="32"/>
      <c r="G91" s="32"/>
      <c r="H91" s="33" t="s">
        <v>597</v>
      </c>
      <c r="I91" s="32"/>
      <c r="J91" s="32"/>
      <c r="K91" s="33" t="s">
        <v>599</v>
      </c>
      <c r="L91" s="34" t="s">
        <v>601</v>
      </c>
      <c r="M91" s="32"/>
      <c r="N91" s="32"/>
      <c r="O91" s="32"/>
      <c r="P91" s="34" t="s">
        <v>603</v>
      </c>
      <c r="Q91" s="34" t="s">
        <v>604</v>
      </c>
      <c r="R91" s="33" t="s">
        <v>605</v>
      </c>
      <c r="S91" s="32"/>
      <c r="T91" s="32"/>
      <c r="U91" s="34" t="s">
        <v>606</v>
      </c>
      <c r="V91" s="33" t="s">
        <v>607</v>
      </c>
      <c r="W91" s="12"/>
    </row>
    <row r="92" ht="21.75" customHeight="1">
      <c r="A92" s="35">
        <v>449350.0</v>
      </c>
      <c r="B92" s="36">
        <v>2158366.0</v>
      </c>
      <c r="C92" s="37" t="s">
        <v>608</v>
      </c>
      <c r="D92" s="24"/>
      <c r="E92" s="37" t="s">
        <v>609</v>
      </c>
      <c r="F92" s="24"/>
      <c r="G92" s="24"/>
      <c r="H92" s="38" t="s">
        <v>610</v>
      </c>
      <c r="I92" s="24"/>
      <c r="J92" s="24"/>
      <c r="K92" s="40">
        <v>45717.0</v>
      </c>
      <c r="L92" s="54"/>
      <c r="M92" s="24"/>
      <c r="N92" s="24"/>
      <c r="O92" s="24"/>
      <c r="P92" s="54"/>
      <c r="Q92" s="38" t="s">
        <v>611</v>
      </c>
      <c r="R92" s="38" t="s">
        <v>612</v>
      </c>
      <c r="S92" s="24"/>
      <c r="T92" s="24"/>
      <c r="U92" s="38" t="s">
        <v>613</v>
      </c>
      <c r="V92" s="55">
        <v>28.92</v>
      </c>
      <c r="W92" s="12"/>
    </row>
    <row r="93" ht="12.0" customHeight="1">
      <c r="A93" s="45">
        <v>439383.0</v>
      </c>
      <c r="B93" s="46">
        <v>2158366.0</v>
      </c>
      <c r="C93" s="47" t="s">
        <v>614</v>
      </c>
      <c r="D93" s="9"/>
      <c r="E93" s="47" t="s">
        <v>615</v>
      </c>
      <c r="F93" s="7"/>
      <c r="G93" s="9"/>
      <c r="H93" s="48" t="s">
        <v>616</v>
      </c>
      <c r="I93" s="7"/>
      <c r="J93" s="9"/>
      <c r="K93" s="49">
        <v>45658.0</v>
      </c>
      <c r="L93" s="50"/>
      <c r="M93" s="7"/>
      <c r="N93" s="7"/>
      <c r="O93" s="9"/>
      <c r="P93" s="51"/>
      <c r="Q93" s="52" t="s">
        <v>617</v>
      </c>
      <c r="R93" s="48" t="s">
        <v>618</v>
      </c>
      <c r="S93" s="7"/>
      <c r="T93" s="9"/>
      <c r="U93" s="52" t="s">
        <v>619</v>
      </c>
      <c r="V93" s="53">
        <v>28.92</v>
      </c>
      <c r="W93" s="11"/>
    </row>
    <row r="94" ht="21.75" customHeight="1">
      <c r="A94" s="56">
        <v>439384.0</v>
      </c>
      <c r="B94" s="57">
        <v>2158366.0</v>
      </c>
      <c r="C94" s="58" t="s">
        <v>620</v>
      </c>
      <c r="E94" s="58" t="s">
        <v>621</v>
      </c>
      <c r="H94" s="59" t="s">
        <v>622</v>
      </c>
      <c r="K94" s="60">
        <v>45658.0</v>
      </c>
      <c r="L94" s="12"/>
      <c r="P94" s="12"/>
      <c r="Q94" s="59" t="s">
        <v>623</v>
      </c>
      <c r="R94" s="59" t="s">
        <v>624</v>
      </c>
      <c r="U94" s="59" t="s">
        <v>625</v>
      </c>
      <c r="V94" s="61">
        <v>28.92</v>
      </c>
      <c r="W94" s="12"/>
    </row>
    <row r="95" ht="12.0" customHeight="1">
      <c r="A95" s="45">
        <v>442876.0</v>
      </c>
      <c r="B95" s="46">
        <v>2158366.0</v>
      </c>
      <c r="C95" s="47" t="s">
        <v>626</v>
      </c>
      <c r="D95" s="9"/>
      <c r="E95" s="47" t="s">
        <v>627</v>
      </c>
      <c r="F95" s="7"/>
      <c r="G95" s="9"/>
      <c r="H95" s="48" t="s">
        <v>628</v>
      </c>
      <c r="I95" s="7"/>
      <c r="J95" s="9"/>
      <c r="K95" s="49">
        <v>45658.0</v>
      </c>
      <c r="L95" s="50"/>
      <c r="M95" s="7"/>
      <c r="N95" s="7"/>
      <c r="O95" s="9"/>
      <c r="P95" s="51"/>
      <c r="Q95" s="52" t="s">
        <v>629</v>
      </c>
      <c r="R95" s="48" t="s">
        <v>630</v>
      </c>
      <c r="S95" s="7"/>
      <c r="T95" s="9"/>
      <c r="U95" s="52" t="s">
        <v>631</v>
      </c>
      <c r="V95" s="53">
        <v>28.92</v>
      </c>
      <c r="W95" s="11"/>
    </row>
    <row r="96" ht="27.0" customHeight="1">
      <c r="A96" s="56">
        <v>445341.0</v>
      </c>
      <c r="B96" s="57">
        <v>2158366.0</v>
      </c>
      <c r="C96" s="58" t="s">
        <v>632</v>
      </c>
      <c r="E96" s="58" t="s">
        <v>633</v>
      </c>
      <c r="H96" s="59" t="s">
        <v>634</v>
      </c>
      <c r="K96" s="60">
        <v>45658.0</v>
      </c>
      <c r="L96" s="12"/>
      <c r="P96" s="12"/>
      <c r="Q96" s="59" t="s">
        <v>635</v>
      </c>
      <c r="R96" s="59" t="s">
        <v>636</v>
      </c>
      <c r="U96" s="59" t="s">
        <v>637</v>
      </c>
      <c r="V96" s="61">
        <v>28.92</v>
      </c>
      <c r="W96" s="12"/>
    </row>
    <row r="97" ht="12.75" customHeight="1">
      <c r="A97" s="2" t="s">
        <v>638</v>
      </c>
    </row>
    <row r="98" ht="25.5" customHeight="1">
      <c r="A98" s="2" t="s">
        <v>639</v>
      </c>
      <c r="L98" s="64">
        <v>838.6</v>
      </c>
    </row>
    <row r="99" ht="17.25" customHeight="1">
      <c r="A99" s="26" t="s">
        <v>640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9"/>
      <c r="W99" s="11"/>
    </row>
    <row r="100" ht="14.25" customHeight="1">
      <c r="A100" s="28" t="s">
        <v>641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30"/>
      <c r="W100" s="11"/>
    </row>
    <row r="101" ht="25.5" customHeight="1">
      <c r="A101" s="31" t="s">
        <v>642</v>
      </c>
      <c r="B101" s="31" t="s">
        <v>643</v>
      </c>
      <c r="C101" s="31" t="s">
        <v>644</v>
      </c>
      <c r="D101" s="32"/>
      <c r="E101" s="31" t="s">
        <v>645</v>
      </c>
      <c r="F101" s="32"/>
      <c r="G101" s="32"/>
      <c r="H101" s="33" t="s">
        <v>646</v>
      </c>
      <c r="I101" s="32"/>
      <c r="J101" s="32"/>
      <c r="K101" s="33" t="s">
        <v>647</v>
      </c>
      <c r="L101" s="31" t="s">
        <v>648</v>
      </c>
      <c r="M101" s="32"/>
      <c r="N101" s="32"/>
      <c r="O101" s="32"/>
      <c r="P101" s="31" t="s">
        <v>649</v>
      </c>
      <c r="Q101" s="34" t="s">
        <v>650</v>
      </c>
      <c r="R101" s="33" t="s">
        <v>651</v>
      </c>
      <c r="S101" s="32"/>
      <c r="T101" s="32"/>
      <c r="U101" s="34" t="s">
        <v>652</v>
      </c>
      <c r="V101" s="33" t="s">
        <v>653</v>
      </c>
      <c r="W101" s="12"/>
    </row>
    <row r="102" ht="5.25" customHeight="1">
      <c r="A102" s="44"/>
      <c r="B102" s="44"/>
      <c r="C102" s="44"/>
      <c r="D102" s="24"/>
      <c r="E102" s="44"/>
      <c r="F102" s="24"/>
      <c r="G102" s="24"/>
      <c r="H102" s="44"/>
      <c r="I102" s="24"/>
      <c r="J102" s="24"/>
      <c r="K102" s="44"/>
      <c r="L102" s="44"/>
      <c r="M102" s="24"/>
      <c r="N102" s="24"/>
      <c r="O102" s="24"/>
      <c r="P102" s="44"/>
      <c r="Q102" s="44"/>
      <c r="R102" s="44"/>
      <c r="S102" s="24"/>
      <c r="T102" s="24"/>
      <c r="U102" s="44"/>
      <c r="V102" s="44"/>
      <c r="W102" s="11"/>
    </row>
    <row r="103" ht="12.0" customHeight="1">
      <c r="A103" s="45">
        <v>448295.0</v>
      </c>
      <c r="B103" s="46">
        <v>1.9645587E7</v>
      </c>
      <c r="C103" s="47" t="s">
        <v>654</v>
      </c>
      <c r="D103" s="9"/>
      <c r="E103" s="47" t="s">
        <v>655</v>
      </c>
      <c r="F103" s="7"/>
      <c r="G103" s="9"/>
      <c r="H103" s="48" t="s">
        <v>656</v>
      </c>
      <c r="I103" s="7"/>
      <c r="J103" s="9"/>
      <c r="K103" s="49">
        <v>45658.0</v>
      </c>
      <c r="L103" s="50"/>
      <c r="M103" s="7"/>
      <c r="N103" s="7"/>
      <c r="O103" s="9"/>
      <c r="P103" s="51"/>
      <c r="Q103" s="52" t="s">
        <v>657</v>
      </c>
      <c r="R103" s="48" t="s">
        <v>658</v>
      </c>
      <c r="S103" s="7"/>
      <c r="T103" s="9"/>
      <c r="U103" s="52" t="s">
        <v>659</v>
      </c>
      <c r="V103" s="53">
        <v>28.92</v>
      </c>
      <c r="W103" s="11"/>
    </row>
    <row r="104" ht="27.0" customHeight="1">
      <c r="A104" s="56">
        <v>439914.0</v>
      </c>
      <c r="B104" s="57">
        <v>1.9645587E7</v>
      </c>
      <c r="C104" s="58" t="s">
        <v>660</v>
      </c>
      <c r="E104" s="58" t="s">
        <v>661</v>
      </c>
      <c r="H104" s="59" t="s">
        <v>662</v>
      </c>
      <c r="K104" s="60">
        <v>45658.0</v>
      </c>
      <c r="L104" s="12"/>
      <c r="P104" s="12"/>
      <c r="Q104" s="59" t="s">
        <v>663</v>
      </c>
      <c r="R104" s="59" t="s">
        <v>664</v>
      </c>
      <c r="U104" s="59" t="s">
        <v>665</v>
      </c>
      <c r="V104" s="61">
        <v>28.92</v>
      </c>
      <c r="W104" s="12"/>
    </row>
    <row r="105" ht="12.75" customHeight="1">
      <c r="A105" s="2" t="s">
        <v>666</v>
      </c>
    </row>
    <row r="106" ht="25.5" customHeight="1">
      <c r="A106" s="2" t="s">
        <v>667</v>
      </c>
      <c r="M106" s="64">
        <v>57.84</v>
      </c>
    </row>
    <row r="107" ht="17.25" customHeight="1">
      <c r="A107" s="26" t="s">
        <v>668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9"/>
      <c r="W107" s="11"/>
    </row>
    <row r="108" ht="14.25" customHeight="1">
      <c r="A108" s="28" t="s">
        <v>669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30"/>
      <c r="W108" s="11"/>
    </row>
    <row r="109" ht="25.5" customHeight="1">
      <c r="A109" s="31" t="s">
        <v>670</v>
      </c>
      <c r="B109" s="31" t="s">
        <v>671</v>
      </c>
      <c r="C109" s="31" t="s">
        <v>672</v>
      </c>
      <c r="D109" s="32"/>
      <c r="E109" s="31" t="s">
        <v>673</v>
      </c>
      <c r="F109" s="32"/>
      <c r="G109" s="32"/>
      <c r="H109" s="33" t="s">
        <v>674</v>
      </c>
      <c r="I109" s="32"/>
      <c r="J109" s="32"/>
      <c r="K109" s="33" t="s">
        <v>675</v>
      </c>
      <c r="L109" s="31" t="s">
        <v>676</v>
      </c>
      <c r="M109" s="32"/>
      <c r="N109" s="32"/>
      <c r="O109" s="32"/>
      <c r="P109" s="31" t="s">
        <v>677</v>
      </c>
      <c r="Q109" s="34" t="s">
        <v>678</v>
      </c>
      <c r="R109" s="33" t="s">
        <v>679</v>
      </c>
      <c r="S109" s="32"/>
      <c r="T109" s="32"/>
      <c r="U109" s="34" t="s">
        <v>680</v>
      </c>
      <c r="V109" s="33" t="s">
        <v>681</v>
      </c>
      <c r="W109" s="12"/>
    </row>
    <row r="110" ht="5.25" customHeight="1">
      <c r="A110" s="44"/>
      <c r="B110" s="44"/>
      <c r="C110" s="44"/>
      <c r="D110" s="24"/>
      <c r="E110" s="44"/>
      <c r="F110" s="24"/>
      <c r="G110" s="24"/>
      <c r="H110" s="44"/>
      <c r="I110" s="24"/>
      <c r="J110" s="24"/>
      <c r="K110" s="44"/>
      <c r="L110" s="44"/>
      <c r="M110" s="24"/>
      <c r="N110" s="24"/>
      <c r="O110" s="24"/>
      <c r="P110" s="44"/>
      <c r="Q110" s="44"/>
      <c r="R110" s="44"/>
      <c r="S110" s="24"/>
      <c r="T110" s="24"/>
      <c r="U110" s="44"/>
      <c r="V110" s="44"/>
      <c r="W110" s="11"/>
    </row>
    <row r="111" ht="12.0" customHeight="1">
      <c r="A111" s="45">
        <v>444055.0</v>
      </c>
      <c r="B111" s="46">
        <v>1.9615078E7</v>
      </c>
      <c r="C111" s="47" t="s">
        <v>682</v>
      </c>
      <c r="D111" s="9"/>
      <c r="E111" s="47" t="s">
        <v>683</v>
      </c>
      <c r="F111" s="7"/>
      <c r="G111" s="9"/>
      <c r="H111" s="48" t="s">
        <v>684</v>
      </c>
      <c r="I111" s="7"/>
      <c r="J111" s="9"/>
      <c r="K111" s="68">
        <v>45658.0</v>
      </c>
      <c r="L111" s="50"/>
      <c r="M111" s="7"/>
      <c r="N111" s="7"/>
      <c r="O111" s="9"/>
      <c r="P111" s="51"/>
      <c r="Q111" s="52" t="s">
        <v>685</v>
      </c>
      <c r="R111" s="48" t="s">
        <v>686</v>
      </c>
      <c r="S111" s="7"/>
      <c r="T111" s="9"/>
      <c r="U111" s="52" t="s">
        <v>687</v>
      </c>
      <c r="V111" s="93">
        <v>28.92</v>
      </c>
      <c r="W111" s="11"/>
    </row>
    <row r="112" ht="19.5" customHeight="1">
      <c r="A112" s="2" t="s">
        <v>688</v>
      </c>
    </row>
    <row r="113" ht="25.5" customHeight="1">
      <c r="A113" s="2" t="s">
        <v>689</v>
      </c>
      <c r="N113" s="64">
        <v>28.92</v>
      </c>
    </row>
    <row r="114" ht="17.25" customHeight="1">
      <c r="A114" s="26" t="s">
        <v>690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9"/>
      <c r="W114" s="11"/>
    </row>
    <row r="115" ht="14.25" customHeight="1">
      <c r="A115" s="28" t="s">
        <v>691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30"/>
      <c r="W115" s="11"/>
    </row>
    <row r="116" ht="25.5" customHeight="1">
      <c r="A116" s="31" t="s">
        <v>692</v>
      </c>
      <c r="B116" s="31" t="s">
        <v>693</v>
      </c>
      <c r="C116" s="31" t="s">
        <v>694</v>
      </c>
      <c r="D116" s="32"/>
      <c r="E116" s="31" t="s">
        <v>695</v>
      </c>
      <c r="F116" s="32"/>
      <c r="G116" s="32"/>
      <c r="H116" s="33" t="s">
        <v>696</v>
      </c>
      <c r="I116" s="32"/>
      <c r="J116" s="32"/>
      <c r="K116" s="33" t="s">
        <v>697</v>
      </c>
      <c r="L116" s="31" t="s">
        <v>698</v>
      </c>
      <c r="M116" s="32"/>
      <c r="N116" s="32"/>
      <c r="O116" s="32"/>
      <c r="P116" s="31" t="s">
        <v>699</v>
      </c>
      <c r="Q116" s="34" t="s">
        <v>700</v>
      </c>
      <c r="R116" s="33" t="s">
        <v>701</v>
      </c>
      <c r="S116" s="32"/>
      <c r="T116" s="32"/>
      <c r="U116" s="34" t="s">
        <v>702</v>
      </c>
      <c r="V116" s="33" t="s">
        <v>703</v>
      </c>
      <c r="W116" s="12"/>
    </row>
    <row r="117" ht="27.0" customHeight="1">
      <c r="A117" s="35">
        <v>446535.0</v>
      </c>
      <c r="B117" s="36">
        <v>1.7301495E7</v>
      </c>
      <c r="C117" s="37" t="s">
        <v>704</v>
      </c>
      <c r="D117" s="24"/>
      <c r="E117" s="37" t="s">
        <v>705</v>
      </c>
      <c r="F117" s="24"/>
      <c r="G117" s="24"/>
      <c r="H117" s="38" t="s">
        <v>706</v>
      </c>
      <c r="I117" s="24"/>
      <c r="J117" s="24"/>
      <c r="K117" s="39">
        <v>45658.0</v>
      </c>
      <c r="L117" s="54"/>
      <c r="M117" s="24"/>
      <c r="N117" s="24"/>
      <c r="O117" s="24"/>
      <c r="P117" s="54"/>
      <c r="Q117" s="38" t="s">
        <v>707</v>
      </c>
      <c r="R117" s="38" t="s">
        <v>708</v>
      </c>
      <c r="S117" s="24"/>
      <c r="T117" s="24"/>
      <c r="U117" s="38" t="s">
        <v>709</v>
      </c>
      <c r="V117" s="94">
        <v>28.92</v>
      </c>
      <c r="W117" s="12"/>
    </row>
    <row r="118" ht="12.75" customHeight="1">
      <c r="A118" s="2" t="s">
        <v>710</v>
      </c>
    </row>
    <row r="119" ht="25.5" customHeight="1">
      <c r="A119" s="2" t="s">
        <v>711</v>
      </c>
      <c r="O119" s="64">
        <v>28.92</v>
      </c>
    </row>
    <row r="120" ht="17.25" customHeight="1">
      <c r="A120" s="26" t="s">
        <v>712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9"/>
      <c r="W120" s="12"/>
    </row>
    <row r="121" ht="14.25" customHeight="1">
      <c r="A121" s="28" t="s">
        <v>713</v>
      </c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30"/>
      <c r="W121" s="11"/>
    </row>
    <row r="122" ht="25.5" customHeight="1">
      <c r="A122" s="31" t="s">
        <v>714</v>
      </c>
      <c r="B122" s="31" t="s">
        <v>715</v>
      </c>
      <c r="C122" s="31" t="s">
        <v>716</v>
      </c>
      <c r="D122" s="32"/>
      <c r="E122" s="31" t="s">
        <v>717</v>
      </c>
      <c r="F122" s="32"/>
      <c r="G122" s="32"/>
      <c r="H122" s="33" t="s">
        <v>718</v>
      </c>
      <c r="I122" s="32"/>
      <c r="J122" s="32"/>
      <c r="K122" s="33" t="s">
        <v>719</v>
      </c>
      <c r="L122" s="31" t="s">
        <v>720</v>
      </c>
      <c r="M122" s="32"/>
      <c r="N122" s="32"/>
      <c r="O122" s="32"/>
      <c r="P122" s="31" t="s">
        <v>721</v>
      </c>
      <c r="Q122" s="34" t="s">
        <v>722</v>
      </c>
      <c r="R122" s="33" t="s">
        <v>723</v>
      </c>
      <c r="S122" s="32"/>
      <c r="T122" s="32"/>
      <c r="U122" s="34" t="s">
        <v>724</v>
      </c>
      <c r="V122" s="33" t="s">
        <v>725</v>
      </c>
      <c r="W122" s="12"/>
    </row>
    <row r="123" ht="5.25" customHeight="1">
      <c r="A123" s="44"/>
      <c r="B123" s="44"/>
      <c r="C123" s="44"/>
      <c r="D123" s="24"/>
      <c r="E123" s="44"/>
      <c r="F123" s="24"/>
      <c r="G123" s="24"/>
      <c r="H123" s="44"/>
      <c r="I123" s="24"/>
      <c r="J123" s="24"/>
      <c r="K123" s="44"/>
      <c r="L123" s="44"/>
      <c r="M123" s="24"/>
      <c r="N123" s="24"/>
      <c r="O123" s="24"/>
      <c r="P123" s="44"/>
      <c r="Q123" s="44"/>
      <c r="R123" s="44"/>
      <c r="S123" s="24"/>
      <c r="T123" s="24"/>
      <c r="U123" s="44"/>
      <c r="V123" s="44"/>
      <c r="W123" s="11"/>
    </row>
    <row r="124" ht="12.0" customHeight="1">
      <c r="A124" s="45">
        <v>447954.0</v>
      </c>
      <c r="B124" s="46">
        <v>1.6912722E7</v>
      </c>
      <c r="C124" s="47" t="s">
        <v>726</v>
      </c>
      <c r="D124" s="9"/>
      <c r="E124" s="47" t="s">
        <v>727</v>
      </c>
      <c r="F124" s="7"/>
      <c r="G124" s="9"/>
      <c r="H124" s="48" t="s">
        <v>728</v>
      </c>
      <c r="I124" s="7"/>
      <c r="J124" s="9"/>
      <c r="K124" s="49">
        <v>45658.0</v>
      </c>
      <c r="L124" s="50"/>
      <c r="M124" s="7"/>
      <c r="N124" s="7"/>
      <c r="O124" s="9"/>
      <c r="P124" s="51"/>
      <c r="Q124" s="52" t="s">
        <v>729</v>
      </c>
      <c r="R124" s="48" t="s">
        <v>730</v>
      </c>
      <c r="S124" s="7"/>
      <c r="T124" s="9"/>
      <c r="U124" s="52" t="s">
        <v>731</v>
      </c>
      <c r="V124" s="53">
        <v>28.92</v>
      </c>
      <c r="W124" s="11"/>
    </row>
    <row r="125" ht="21.75" customHeight="1">
      <c r="A125" s="56">
        <v>447955.0</v>
      </c>
      <c r="B125" s="57">
        <v>1.6912722E7</v>
      </c>
      <c r="C125" s="58" t="s">
        <v>732</v>
      </c>
      <c r="E125" s="58" t="s">
        <v>733</v>
      </c>
      <c r="H125" s="59" t="s">
        <v>734</v>
      </c>
      <c r="K125" s="60">
        <v>45658.0</v>
      </c>
      <c r="L125" s="12"/>
      <c r="P125" s="12"/>
      <c r="Q125" s="59" t="s">
        <v>735</v>
      </c>
      <c r="R125" s="59" t="s">
        <v>736</v>
      </c>
      <c r="U125" s="59" t="s">
        <v>737</v>
      </c>
      <c r="V125" s="61">
        <v>28.92</v>
      </c>
      <c r="W125" s="12"/>
    </row>
    <row r="126" ht="12.0" customHeight="1">
      <c r="A126" s="45">
        <v>448034.0</v>
      </c>
      <c r="B126" s="46">
        <v>1.6912722E7</v>
      </c>
      <c r="C126" s="47" t="s">
        <v>738</v>
      </c>
      <c r="D126" s="9"/>
      <c r="E126" s="47" t="s">
        <v>739</v>
      </c>
      <c r="F126" s="7"/>
      <c r="G126" s="9"/>
      <c r="H126" s="48" t="s">
        <v>740</v>
      </c>
      <c r="I126" s="7"/>
      <c r="J126" s="9"/>
      <c r="K126" s="49">
        <v>45658.0</v>
      </c>
      <c r="L126" s="50"/>
      <c r="M126" s="7"/>
      <c r="N126" s="7"/>
      <c r="O126" s="9"/>
      <c r="P126" s="51"/>
      <c r="Q126" s="52" t="s">
        <v>741</v>
      </c>
      <c r="R126" s="48" t="s">
        <v>742</v>
      </c>
      <c r="S126" s="7"/>
      <c r="T126" s="9"/>
      <c r="U126" s="52" t="s">
        <v>743</v>
      </c>
      <c r="V126" s="53">
        <v>28.92</v>
      </c>
      <c r="W126" s="11"/>
    </row>
    <row r="127" ht="27.0" customHeight="1">
      <c r="A127" s="56">
        <v>447701.0</v>
      </c>
      <c r="B127" s="57">
        <v>1.6912722E7</v>
      </c>
      <c r="C127" s="58" t="s">
        <v>744</v>
      </c>
      <c r="E127" s="58" t="s">
        <v>745</v>
      </c>
      <c r="H127" s="59" t="s">
        <v>746</v>
      </c>
      <c r="K127" s="60">
        <v>45658.0</v>
      </c>
      <c r="L127" s="12"/>
      <c r="P127" s="12"/>
      <c r="Q127" s="59" t="s">
        <v>747</v>
      </c>
      <c r="R127" s="59" t="s">
        <v>748</v>
      </c>
      <c r="U127" s="59" t="s">
        <v>749</v>
      </c>
      <c r="V127" s="61">
        <v>28.92</v>
      </c>
      <c r="W127" s="12"/>
    </row>
    <row r="128" ht="12.75" customHeight="1">
      <c r="A128" s="2" t="s">
        <v>750</v>
      </c>
    </row>
    <row r="129" ht="25.5" customHeight="1">
      <c r="A129" s="2" t="s">
        <v>751</v>
      </c>
      <c r="N129" s="64">
        <v>115.68</v>
      </c>
    </row>
    <row r="130" ht="17.25" customHeight="1">
      <c r="A130" s="26" t="s">
        <v>752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9"/>
      <c r="W130" s="12"/>
    </row>
    <row r="131" ht="14.25" customHeight="1">
      <c r="A131" s="28" t="s">
        <v>753</v>
      </c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30"/>
      <c r="W131" s="11"/>
    </row>
    <row r="132" ht="25.5" customHeight="1">
      <c r="A132" s="31" t="s">
        <v>754</v>
      </c>
      <c r="B132" s="31" t="s">
        <v>755</v>
      </c>
      <c r="C132" s="31" t="s">
        <v>756</v>
      </c>
      <c r="D132" s="32"/>
      <c r="E132" s="31" t="s">
        <v>757</v>
      </c>
      <c r="F132" s="32"/>
      <c r="G132" s="32"/>
      <c r="H132" s="33" t="s">
        <v>758</v>
      </c>
      <c r="I132" s="32"/>
      <c r="J132" s="32"/>
      <c r="K132" s="33" t="s">
        <v>759</v>
      </c>
      <c r="L132" s="31" t="s">
        <v>760</v>
      </c>
      <c r="M132" s="32"/>
      <c r="N132" s="32"/>
      <c r="O132" s="32"/>
      <c r="P132" s="31" t="s">
        <v>761</v>
      </c>
      <c r="Q132" s="34" t="s">
        <v>762</v>
      </c>
      <c r="R132" s="33" t="s">
        <v>763</v>
      </c>
      <c r="S132" s="32"/>
      <c r="T132" s="32"/>
      <c r="U132" s="34" t="s">
        <v>764</v>
      </c>
      <c r="V132" s="33" t="s">
        <v>765</v>
      </c>
      <c r="W132" s="12"/>
    </row>
    <row r="133" ht="5.25" customHeight="1">
      <c r="A133" s="44"/>
      <c r="B133" s="44"/>
      <c r="C133" s="44"/>
      <c r="D133" s="24"/>
      <c r="E133" s="44"/>
      <c r="F133" s="24"/>
      <c r="G133" s="24"/>
      <c r="H133" s="44"/>
      <c r="I133" s="24"/>
      <c r="J133" s="24"/>
      <c r="K133" s="44"/>
      <c r="L133" s="44"/>
      <c r="M133" s="24"/>
      <c r="N133" s="24"/>
      <c r="O133" s="24"/>
      <c r="P133" s="44"/>
      <c r="Q133" s="44"/>
      <c r="R133" s="44"/>
      <c r="S133" s="24"/>
      <c r="T133" s="24"/>
      <c r="U133" s="44"/>
      <c r="V133" s="44"/>
      <c r="W133" s="11"/>
    </row>
    <row r="134" ht="12.0" customHeight="1">
      <c r="A134" s="45">
        <v>446217.0</v>
      </c>
      <c r="B134" s="46">
        <v>1.6633294E7</v>
      </c>
      <c r="C134" s="47" t="s">
        <v>766</v>
      </c>
      <c r="D134" s="9"/>
      <c r="E134" s="47" t="s">
        <v>767</v>
      </c>
      <c r="F134" s="7"/>
      <c r="G134" s="9"/>
      <c r="H134" s="48" t="s">
        <v>768</v>
      </c>
      <c r="I134" s="7"/>
      <c r="J134" s="9"/>
      <c r="K134" s="49">
        <v>45658.0</v>
      </c>
      <c r="L134" s="50"/>
      <c r="M134" s="7"/>
      <c r="N134" s="7"/>
      <c r="O134" s="9"/>
      <c r="P134" s="51"/>
      <c r="Q134" s="52" t="s">
        <v>769</v>
      </c>
      <c r="R134" s="48" t="s">
        <v>770</v>
      </c>
      <c r="S134" s="7"/>
      <c r="T134" s="9"/>
      <c r="U134" s="52" t="s">
        <v>771</v>
      </c>
      <c r="V134" s="53">
        <v>28.92</v>
      </c>
      <c r="W134" s="11"/>
    </row>
    <row r="135" ht="21.75" customHeight="1">
      <c r="A135" s="56">
        <v>443286.0</v>
      </c>
      <c r="B135" s="57">
        <v>1.6633294E7</v>
      </c>
      <c r="C135" s="58" t="s">
        <v>772</v>
      </c>
      <c r="E135" s="58" t="s">
        <v>773</v>
      </c>
      <c r="H135" s="59" t="s">
        <v>774</v>
      </c>
      <c r="K135" s="60">
        <v>45658.0</v>
      </c>
      <c r="L135" s="12"/>
      <c r="P135" s="12"/>
      <c r="Q135" s="59" t="s">
        <v>775</v>
      </c>
      <c r="R135" s="59" t="s">
        <v>776</v>
      </c>
      <c r="U135" s="59" t="s">
        <v>777</v>
      </c>
      <c r="V135" s="61">
        <v>28.92</v>
      </c>
      <c r="W135" s="12"/>
    </row>
    <row r="136" ht="12.0" customHeight="1">
      <c r="A136" s="45">
        <v>443292.0</v>
      </c>
      <c r="B136" s="46">
        <v>1.6633294E7</v>
      </c>
      <c r="C136" s="47" t="s">
        <v>778</v>
      </c>
      <c r="D136" s="9"/>
      <c r="E136" s="47" t="s">
        <v>779</v>
      </c>
      <c r="F136" s="7"/>
      <c r="G136" s="9"/>
      <c r="H136" s="48" t="s">
        <v>780</v>
      </c>
      <c r="I136" s="7"/>
      <c r="J136" s="9"/>
      <c r="K136" s="49">
        <v>45658.0</v>
      </c>
      <c r="L136" s="50"/>
      <c r="M136" s="7"/>
      <c r="N136" s="7"/>
      <c r="O136" s="9"/>
      <c r="P136" s="51"/>
      <c r="Q136" s="52" t="s">
        <v>781</v>
      </c>
      <c r="R136" s="48" t="s">
        <v>782</v>
      </c>
      <c r="S136" s="7"/>
      <c r="T136" s="9"/>
      <c r="U136" s="52" t="s">
        <v>783</v>
      </c>
      <c r="V136" s="53">
        <v>28.92</v>
      </c>
      <c r="W136" s="11"/>
    </row>
    <row r="137" ht="21.75" customHeight="1">
      <c r="A137" s="56">
        <v>444212.0</v>
      </c>
      <c r="B137" s="57">
        <v>1.6633294E7</v>
      </c>
      <c r="C137" s="58" t="s">
        <v>784</v>
      </c>
      <c r="E137" s="58" t="s">
        <v>785</v>
      </c>
      <c r="H137" s="59" t="s">
        <v>786</v>
      </c>
      <c r="K137" s="60">
        <v>45658.0</v>
      </c>
      <c r="L137" s="12"/>
      <c r="P137" s="12"/>
      <c r="Q137" s="59" t="s">
        <v>787</v>
      </c>
      <c r="R137" s="59" t="s">
        <v>788</v>
      </c>
      <c r="U137" s="59" t="s">
        <v>789</v>
      </c>
      <c r="V137" s="61">
        <v>28.92</v>
      </c>
      <c r="W137" s="12"/>
    </row>
    <row r="138" ht="12.0" customHeight="1">
      <c r="A138" s="45">
        <v>443209.0</v>
      </c>
      <c r="B138" s="46">
        <v>1.6633294E7</v>
      </c>
      <c r="C138" s="47" t="s">
        <v>790</v>
      </c>
      <c r="D138" s="9"/>
      <c r="E138" s="47" t="s">
        <v>791</v>
      </c>
      <c r="F138" s="7"/>
      <c r="G138" s="9"/>
      <c r="H138" s="48" t="s">
        <v>792</v>
      </c>
      <c r="I138" s="7"/>
      <c r="J138" s="9"/>
      <c r="K138" s="49">
        <v>45658.0</v>
      </c>
      <c r="L138" s="50"/>
      <c r="M138" s="7"/>
      <c r="N138" s="7"/>
      <c r="O138" s="9"/>
      <c r="P138" s="51"/>
      <c r="Q138" s="52" t="s">
        <v>793</v>
      </c>
      <c r="R138" s="48" t="s">
        <v>794</v>
      </c>
      <c r="S138" s="7"/>
      <c r="T138" s="9"/>
      <c r="U138" s="52" t="s">
        <v>795</v>
      </c>
      <c r="V138" s="53">
        <v>28.92</v>
      </c>
      <c r="W138" s="11"/>
    </row>
    <row r="139" ht="21.75" customHeight="1">
      <c r="A139" s="56">
        <v>440990.0</v>
      </c>
      <c r="B139" s="57">
        <v>1.6633294E7</v>
      </c>
      <c r="C139" s="58" t="s">
        <v>796</v>
      </c>
      <c r="E139" s="58" t="s">
        <v>797</v>
      </c>
      <c r="H139" s="59" t="s">
        <v>798</v>
      </c>
      <c r="K139" s="60">
        <v>45658.0</v>
      </c>
      <c r="L139" s="12"/>
      <c r="P139" s="12"/>
      <c r="Q139" s="59" t="s">
        <v>799</v>
      </c>
      <c r="R139" s="59" t="s">
        <v>800</v>
      </c>
      <c r="U139" s="59" t="s">
        <v>801</v>
      </c>
      <c r="V139" s="61">
        <v>28.92</v>
      </c>
      <c r="W139" s="12"/>
    </row>
    <row r="140" ht="12.0" customHeight="1">
      <c r="A140" s="45">
        <v>445753.0</v>
      </c>
      <c r="B140" s="46">
        <v>1.6633294E7</v>
      </c>
      <c r="C140" s="47" t="s">
        <v>802</v>
      </c>
      <c r="D140" s="9"/>
      <c r="E140" s="47" t="s">
        <v>803</v>
      </c>
      <c r="F140" s="7"/>
      <c r="G140" s="9"/>
      <c r="H140" s="48" t="s">
        <v>804</v>
      </c>
      <c r="I140" s="7"/>
      <c r="J140" s="9"/>
      <c r="K140" s="49">
        <v>45658.0</v>
      </c>
      <c r="L140" s="50"/>
      <c r="M140" s="7"/>
      <c r="N140" s="7"/>
      <c r="O140" s="9"/>
      <c r="P140" s="51"/>
      <c r="Q140" s="52" t="s">
        <v>805</v>
      </c>
      <c r="R140" s="48" t="s">
        <v>806</v>
      </c>
      <c r="S140" s="7"/>
      <c r="T140" s="9"/>
      <c r="U140" s="52" t="s">
        <v>807</v>
      </c>
      <c r="V140" s="53">
        <v>28.92</v>
      </c>
      <c r="W140" s="11"/>
    </row>
    <row r="141" ht="21.75" customHeight="1">
      <c r="A141" s="56">
        <v>446673.0</v>
      </c>
      <c r="B141" s="57">
        <v>1.6633294E7</v>
      </c>
      <c r="C141" s="58" t="s">
        <v>808</v>
      </c>
      <c r="E141" s="58" t="s">
        <v>809</v>
      </c>
      <c r="H141" s="59" t="s">
        <v>810</v>
      </c>
      <c r="K141" s="60">
        <v>45658.0</v>
      </c>
      <c r="L141" s="12"/>
      <c r="P141" s="12"/>
      <c r="Q141" s="59" t="s">
        <v>811</v>
      </c>
      <c r="R141" s="59" t="s">
        <v>812</v>
      </c>
      <c r="U141" s="59" t="s">
        <v>813</v>
      </c>
      <c r="V141" s="61">
        <v>28.92</v>
      </c>
      <c r="W141" s="12"/>
    </row>
    <row r="142" ht="12.0" customHeight="1">
      <c r="A142" s="45">
        <v>447931.0</v>
      </c>
      <c r="B142" s="46">
        <v>1.6633294E7</v>
      </c>
      <c r="C142" s="47" t="s">
        <v>814</v>
      </c>
      <c r="D142" s="9"/>
      <c r="E142" s="47" t="s">
        <v>815</v>
      </c>
      <c r="F142" s="7"/>
      <c r="G142" s="9"/>
      <c r="H142" s="48" t="s">
        <v>816</v>
      </c>
      <c r="I142" s="7"/>
      <c r="J142" s="9"/>
      <c r="K142" s="49">
        <v>45658.0</v>
      </c>
      <c r="L142" s="50"/>
      <c r="M142" s="7"/>
      <c r="N142" s="7"/>
      <c r="O142" s="9"/>
      <c r="P142" s="51"/>
      <c r="Q142" s="52" t="s">
        <v>817</v>
      </c>
      <c r="R142" s="48" t="s">
        <v>818</v>
      </c>
      <c r="S142" s="7"/>
      <c r="T142" s="9"/>
      <c r="U142" s="52" t="s">
        <v>819</v>
      </c>
      <c r="V142" s="53">
        <v>28.92</v>
      </c>
      <c r="W142" s="11"/>
    </row>
    <row r="143" ht="19.5" customHeight="1">
      <c r="A143" s="2" t="s">
        <v>820</v>
      </c>
    </row>
    <row r="144" ht="25.5" customHeight="1">
      <c r="A144" s="2" t="s">
        <v>821</v>
      </c>
      <c r="L144" s="64">
        <v>260.28</v>
      </c>
    </row>
    <row r="145" ht="15.75" customHeight="1">
      <c r="A145" s="13" t="s">
        <v>822</v>
      </c>
    </row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17">
    <mergeCell ref="C45:D45"/>
    <mergeCell ref="E45:G45"/>
    <mergeCell ref="H45:J45"/>
    <mergeCell ref="R45:T45"/>
    <mergeCell ref="C46:D46"/>
    <mergeCell ref="E46:G46"/>
    <mergeCell ref="H46:J46"/>
    <mergeCell ref="L49:O49"/>
    <mergeCell ref="R49:T49"/>
    <mergeCell ref="R46:T46"/>
    <mergeCell ref="A47:W47"/>
    <mergeCell ref="A48:M48"/>
    <mergeCell ref="N48:W48"/>
    <mergeCell ref="C49:D49"/>
    <mergeCell ref="E49:G49"/>
    <mergeCell ref="H49:J49"/>
    <mergeCell ref="C50:D50"/>
    <mergeCell ref="E50:G50"/>
    <mergeCell ref="H50:J50"/>
    <mergeCell ref="L50:O50"/>
    <mergeCell ref="R50:T50"/>
    <mergeCell ref="A51:W51"/>
    <mergeCell ref="O52:W52"/>
    <mergeCell ref="A52:N52"/>
    <mergeCell ref="A53:J53"/>
    <mergeCell ref="K53:O53"/>
    <mergeCell ref="P53:T53"/>
    <mergeCell ref="U53:V53"/>
    <mergeCell ref="C54:D54"/>
    <mergeCell ref="E54:H54"/>
    <mergeCell ref="R54:T54"/>
    <mergeCell ref="I54:J54"/>
    <mergeCell ref="L54:O54"/>
    <mergeCell ref="C55:D55"/>
    <mergeCell ref="E55:H55"/>
    <mergeCell ref="I55:J55"/>
    <mergeCell ref="L55:O55"/>
    <mergeCell ref="R55:T55"/>
    <mergeCell ref="P59:Q59"/>
    <mergeCell ref="R59:T59"/>
    <mergeCell ref="J58:O58"/>
    <mergeCell ref="J59:O59"/>
    <mergeCell ref="J60:O60"/>
    <mergeCell ref="P60:Q60"/>
    <mergeCell ref="R60:T60"/>
    <mergeCell ref="J61:O61"/>
    <mergeCell ref="P61:Q61"/>
    <mergeCell ref="R61:T61"/>
    <mergeCell ref="C57:D57"/>
    <mergeCell ref="C58:D58"/>
    <mergeCell ref="E58:H58"/>
    <mergeCell ref="P58:Q58"/>
    <mergeCell ref="R58:T58"/>
    <mergeCell ref="C59:D59"/>
    <mergeCell ref="E59:H59"/>
    <mergeCell ref="G62:O62"/>
    <mergeCell ref="P62:V62"/>
    <mergeCell ref="C60:D60"/>
    <mergeCell ref="E60:H60"/>
    <mergeCell ref="C61:E61"/>
    <mergeCell ref="F61:H61"/>
    <mergeCell ref="A62:B62"/>
    <mergeCell ref="C62:D62"/>
    <mergeCell ref="E62:F62"/>
    <mergeCell ref="K64:O64"/>
    <mergeCell ref="P64:T64"/>
    <mergeCell ref="U64:V64"/>
    <mergeCell ref="C63:D63"/>
    <mergeCell ref="E63:F63"/>
    <mergeCell ref="G63:I63"/>
    <mergeCell ref="J63:O63"/>
    <mergeCell ref="P63:Q63"/>
    <mergeCell ref="R63:T63"/>
    <mergeCell ref="A64:J64"/>
    <mergeCell ref="P66:Q66"/>
    <mergeCell ref="R66:T66"/>
    <mergeCell ref="I4:R4"/>
    <mergeCell ref="T4:V4"/>
    <mergeCell ref="A1:V1"/>
    <mergeCell ref="A2:C2"/>
    <mergeCell ref="D2:G2"/>
    <mergeCell ref="I2:R2"/>
    <mergeCell ref="S2:W3"/>
    <mergeCell ref="A3:H4"/>
    <mergeCell ref="I3:R3"/>
    <mergeCell ref="A5:C5"/>
    <mergeCell ref="D5:G5"/>
    <mergeCell ref="I5:W5"/>
    <mergeCell ref="A6:W6"/>
    <mergeCell ref="A7:W7"/>
    <mergeCell ref="A8:C8"/>
    <mergeCell ref="D8:G8"/>
    <mergeCell ref="T8:V8"/>
    <mergeCell ref="H11:S11"/>
    <mergeCell ref="T11:V11"/>
    <mergeCell ref="H12:S12"/>
    <mergeCell ref="T12:V12"/>
    <mergeCell ref="H13:S13"/>
    <mergeCell ref="T13:V13"/>
    <mergeCell ref="A9:C9"/>
    <mergeCell ref="D9:G9"/>
    <mergeCell ref="H9:S9"/>
    <mergeCell ref="T9:V9"/>
    <mergeCell ref="D10:G10"/>
    <mergeCell ref="H10:S10"/>
    <mergeCell ref="T10:V10"/>
    <mergeCell ref="A10:C10"/>
    <mergeCell ref="A11:C11"/>
    <mergeCell ref="D11:G11"/>
    <mergeCell ref="A12:C12"/>
    <mergeCell ref="D12:G12"/>
    <mergeCell ref="A13:C13"/>
    <mergeCell ref="D13:G13"/>
    <mergeCell ref="H8:S8"/>
    <mergeCell ref="L28:O28"/>
    <mergeCell ref="L29:O29"/>
    <mergeCell ref="C28:D28"/>
    <mergeCell ref="E28:G28"/>
    <mergeCell ref="H28:J28"/>
    <mergeCell ref="R28:T28"/>
    <mergeCell ref="E29:G29"/>
    <mergeCell ref="H29:J29"/>
    <mergeCell ref="R29:T29"/>
    <mergeCell ref="E17:G17"/>
    <mergeCell ref="H17:J17"/>
    <mergeCell ref="C18:D18"/>
    <mergeCell ref="E18:G18"/>
    <mergeCell ref="H18:J18"/>
    <mergeCell ref="L17:O17"/>
    <mergeCell ref="R17:T17"/>
    <mergeCell ref="L18:O18"/>
    <mergeCell ref="R18:T18"/>
    <mergeCell ref="A14:C14"/>
    <mergeCell ref="D14:G14"/>
    <mergeCell ref="H14:S14"/>
    <mergeCell ref="T14:V14"/>
    <mergeCell ref="A15:V15"/>
    <mergeCell ref="A16:V16"/>
    <mergeCell ref="C17:D17"/>
    <mergeCell ref="A19:W19"/>
    <mergeCell ref="A20:K20"/>
    <mergeCell ref="L20:W20"/>
    <mergeCell ref="A21:V21"/>
    <mergeCell ref="A22:V22"/>
    <mergeCell ref="C23:D23"/>
    <mergeCell ref="E23:G23"/>
    <mergeCell ref="R23:T23"/>
    <mergeCell ref="H23:J23"/>
    <mergeCell ref="L23:O23"/>
    <mergeCell ref="C24:D24"/>
    <mergeCell ref="E24:G24"/>
    <mergeCell ref="H24:J24"/>
    <mergeCell ref="L24:O24"/>
    <mergeCell ref="R24:T24"/>
    <mergeCell ref="C25:D25"/>
    <mergeCell ref="E25:G25"/>
    <mergeCell ref="H25:J25"/>
    <mergeCell ref="L25:O25"/>
    <mergeCell ref="R25:T25"/>
    <mergeCell ref="A26:W26"/>
    <mergeCell ref="A27:V27"/>
    <mergeCell ref="R30:T30"/>
    <mergeCell ref="R31:T31"/>
    <mergeCell ref="E40:G40"/>
    <mergeCell ref="H40:J40"/>
    <mergeCell ref="C41:D41"/>
    <mergeCell ref="E41:G41"/>
    <mergeCell ref="H41:J41"/>
    <mergeCell ref="L41:O41"/>
    <mergeCell ref="A42:W42"/>
    <mergeCell ref="A43:L43"/>
    <mergeCell ref="M43:W43"/>
    <mergeCell ref="C44:D44"/>
    <mergeCell ref="E44:G44"/>
    <mergeCell ref="H44:J44"/>
    <mergeCell ref="L44:O44"/>
    <mergeCell ref="R44:T44"/>
    <mergeCell ref="C29:D29"/>
    <mergeCell ref="C30:D30"/>
    <mergeCell ref="E30:G30"/>
    <mergeCell ref="H30:J30"/>
    <mergeCell ref="L30:O30"/>
    <mergeCell ref="C31:D31"/>
    <mergeCell ref="L31:O31"/>
    <mergeCell ref="E31:G31"/>
    <mergeCell ref="H31:J31"/>
    <mergeCell ref="C32:D32"/>
    <mergeCell ref="E32:G32"/>
    <mergeCell ref="H32:J32"/>
    <mergeCell ref="L32:O32"/>
    <mergeCell ref="R32:T32"/>
    <mergeCell ref="C33:D33"/>
    <mergeCell ref="E33:G33"/>
    <mergeCell ref="H33:J33"/>
    <mergeCell ref="L33:O33"/>
    <mergeCell ref="R33:T33"/>
    <mergeCell ref="A34:W34"/>
    <mergeCell ref="L35:W35"/>
    <mergeCell ref="A35:K35"/>
    <mergeCell ref="A36:V36"/>
    <mergeCell ref="A37:V37"/>
    <mergeCell ref="E38:G38"/>
    <mergeCell ref="H38:J38"/>
    <mergeCell ref="L38:O38"/>
    <mergeCell ref="R38:T38"/>
    <mergeCell ref="R39:T39"/>
    <mergeCell ref="R40:T40"/>
    <mergeCell ref="R41:T41"/>
    <mergeCell ref="C38:D38"/>
    <mergeCell ref="C39:D39"/>
    <mergeCell ref="E39:G39"/>
    <mergeCell ref="H39:J39"/>
    <mergeCell ref="L39:O39"/>
    <mergeCell ref="C40:D40"/>
    <mergeCell ref="L40:O40"/>
    <mergeCell ref="L45:O45"/>
    <mergeCell ref="L46:O46"/>
    <mergeCell ref="J57:O57"/>
    <mergeCell ref="P57:Q57"/>
    <mergeCell ref="C56:D56"/>
    <mergeCell ref="E56:H56"/>
    <mergeCell ref="J56:O56"/>
    <mergeCell ref="P56:Q56"/>
    <mergeCell ref="R56:T56"/>
    <mergeCell ref="E57:H57"/>
    <mergeCell ref="R57:T57"/>
    <mergeCell ref="P76:Q76"/>
    <mergeCell ref="R76:T76"/>
    <mergeCell ref="C75:D75"/>
    <mergeCell ref="E75:F75"/>
    <mergeCell ref="G75:I75"/>
    <mergeCell ref="J75:O75"/>
    <mergeCell ref="P75:Q75"/>
    <mergeCell ref="R75:T75"/>
    <mergeCell ref="J76:O76"/>
    <mergeCell ref="L116:O116"/>
    <mergeCell ref="R116:T116"/>
    <mergeCell ref="A113:M113"/>
    <mergeCell ref="N113:W113"/>
    <mergeCell ref="A114:V114"/>
    <mergeCell ref="A115:V115"/>
    <mergeCell ref="C116:D116"/>
    <mergeCell ref="E116:G116"/>
    <mergeCell ref="H116:J116"/>
    <mergeCell ref="C117:D117"/>
    <mergeCell ref="E117:G117"/>
    <mergeCell ref="H117:J117"/>
    <mergeCell ref="L117:O117"/>
    <mergeCell ref="R117:T117"/>
    <mergeCell ref="A118:W118"/>
    <mergeCell ref="O119:W119"/>
    <mergeCell ref="A119:N119"/>
    <mergeCell ref="A120:V120"/>
    <mergeCell ref="A121:V121"/>
    <mergeCell ref="E122:G122"/>
    <mergeCell ref="H122:J122"/>
    <mergeCell ref="L122:O122"/>
    <mergeCell ref="R122:T122"/>
    <mergeCell ref="R123:T123"/>
    <mergeCell ref="R124:T124"/>
    <mergeCell ref="R125:T125"/>
    <mergeCell ref="R126:T126"/>
    <mergeCell ref="R127:T127"/>
    <mergeCell ref="C122:D122"/>
    <mergeCell ref="C123:D123"/>
    <mergeCell ref="E123:G123"/>
    <mergeCell ref="H123:J123"/>
    <mergeCell ref="L123:O123"/>
    <mergeCell ref="C124:D124"/>
    <mergeCell ref="L124:O124"/>
    <mergeCell ref="E124:G124"/>
    <mergeCell ref="H124:J124"/>
    <mergeCell ref="C125:D125"/>
    <mergeCell ref="E125:G125"/>
    <mergeCell ref="H125:J125"/>
    <mergeCell ref="L125:O125"/>
    <mergeCell ref="C126:D126"/>
    <mergeCell ref="L126:O126"/>
    <mergeCell ref="E126:G126"/>
    <mergeCell ref="H126:J126"/>
    <mergeCell ref="C127:D127"/>
    <mergeCell ref="E127:G127"/>
    <mergeCell ref="H127:J127"/>
    <mergeCell ref="L127:O127"/>
    <mergeCell ref="A128:W128"/>
    <mergeCell ref="L132:O132"/>
    <mergeCell ref="R132:T132"/>
    <mergeCell ref="A129:M129"/>
    <mergeCell ref="N129:W129"/>
    <mergeCell ref="A130:V130"/>
    <mergeCell ref="A131:V131"/>
    <mergeCell ref="C132:D132"/>
    <mergeCell ref="E132:G132"/>
    <mergeCell ref="H132:J132"/>
    <mergeCell ref="L133:O133"/>
    <mergeCell ref="L134:O134"/>
    <mergeCell ref="L135:O135"/>
    <mergeCell ref="R135:T135"/>
    <mergeCell ref="L136:O136"/>
    <mergeCell ref="R136:T136"/>
    <mergeCell ref="C133:D133"/>
    <mergeCell ref="E133:G133"/>
    <mergeCell ref="H133:J133"/>
    <mergeCell ref="R133:T133"/>
    <mergeCell ref="E134:G134"/>
    <mergeCell ref="H134:J134"/>
    <mergeCell ref="R134:T134"/>
    <mergeCell ref="C137:D137"/>
    <mergeCell ref="E137:G137"/>
    <mergeCell ref="H137:J137"/>
    <mergeCell ref="L137:O137"/>
    <mergeCell ref="R137:T137"/>
    <mergeCell ref="C134:D134"/>
    <mergeCell ref="C135:D135"/>
    <mergeCell ref="E135:G135"/>
    <mergeCell ref="H135:J135"/>
    <mergeCell ref="C136:D136"/>
    <mergeCell ref="E136:G136"/>
    <mergeCell ref="H136:J136"/>
    <mergeCell ref="E70:F70"/>
    <mergeCell ref="G70:I70"/>
    <mergeCell ref="C71:D71"/>
    <mergeCell ref="E71:F71"/>
    <mergeCell ref="G71:I71"/>
    <mergeCell ref="E72:F72"/>
    <mergeCell ref="G72:I72"/>
    <mergeCell ref="C76:F76"/>
    <mergeCell ref="G76:I76"/>
    <mergeCell ref="C72:D72"/>
    <mergeCell ref="C73:D73"/>
    <mergeCell ref="E73:F73"/>
    <mergeCell ref="G73:I73"/>
    <mergeCell ref="C74:D74"/>
    <mergeCell ref="E74:F74"/>
    <mergeCell ref="G74:I74"/>
    <mergeCell ref="C65:D65"/>
    <mergeCell ref="E65:F65"/>
    <mergeCell ref="G65:J65"/>
    <mergeCell ref="L65:O65"/>
    <mergeCell ref="R65:T65"/>
    <mergeCell ref="C66:D66"/>
    <mergeCell ref="E66:F66"/>
    <mergeCell ref="G66:I66"/>
    <mergeCell ref="J66:O66"/>
    <mergeCell ref="E67:F67"/>
    <mergeCell ref="G67:I67"/>
    <mergeCell ref="J67:O67"/>
    <mergeCell ref="P67:Q67"/>
    <mergeCell ref="R67:T67"/>
    <mergeCell ref="C67:D67"/>
    <mergeCell ref="C68:D68"/>
    <mergeCell ref="E68:F68"/>
    <mergeCell ref="G68:I68"/>
    <mergeCell ref="J68:O68"/>
    <mergeCell ref="P68:Q68"/>
    <mergeCell ref="R68:T68"/>
    <mergeCell ref="C69:D69"/>
    <mergeCell ref="E69:F69"/>
    <mergeCell ref="G69:I69"/>
    <mergeCell ref="J69:O69"/>
    <mergeCell ref="P69:Q69"/>
    <mergeCell ref="R69:T69"/>
    <mergeCell ref="C70:D70"/>
    <mergeCell ref="R70:T70"/>
    <mergeCell ref="J72:O72"/>
    <mergeCell ref="J73:O73"/>
    <mergeCell ref="P73:Q73"/>
    <mergeCell ref="R73:T73"/>
    <mergeCell ref="J74:O74"/>
    <mergeCell ref="P74:Q74"/>
    <mergeCell ref="R74:T74"/>
    <mergeCell ref="J70:O70"/>
    <mergeCell ref="P70:Q70"/>
    <mergeCell ref="J71:O71"/>
    <mergeCell ref="P71:Q71"/>
    <mergeCell ref="R71:T71"/>
    <mergeCell ref="P72:Q72"/>
    <mergeCell ref="R72:T72"/>
    <mergeCell ref="A78:V78"/>
    <mergeCell ref="A79:V79"/>
    <mergeCell ref="C80:D80"/>
    <mergeCell ref="E80:G80"/>
    <mergeCell ref="H80:J80"/>
    <mergeCell ref="L80:O80"/>
    <mergeCell ref="R80:T80"/>
    <mergeCell ref="L92:O92"/>
    <mergeCell ref="L93:O93"/>
    <mergeCell ref="C92:D92"/>
    <mergeCell ref="E92:G92"/>
    <mergeCell ref="H92:J92"/>
    <mergeCell ref="R92:T92"/>
    <mergeCell ref="E93:G93"/>
    <mergeCell ref="H93:J93"/>
    <mergeCell ref="R93:T93"/>
    <mergeCell ref="C81:D81"/>
    <mergeCell ref="E81:G81"/>
    <mergeCell ref="H81:J81"/>
    <mergeCell ref="L81:O81"/>
    <mergeCell ref="R81:T81"/>
    <mergeCell ref="A82:W82"/>
    <mergeCell ref="L83:W83"/>
    <mergeCell ref="A83:K83"/>
    <mergeCell ref="A84:V84"/>
    <mergeCell ref="A85:V85"/>
    <mergeCell ref="E86:G86"/>
    <mergeCell ref="H86:J86"/>
    <mergeCell ref="L86:O86"/>
    <mergeCell ref="R86:T86"/>
    <mergeCell ref="R87:T87"/>
    <mergeCell ref="R88:T88"/>
    <mergeCell ref="C86:D86"/>
    <mergeCell ref="C87:D87"/>
    <mergeCell ref="E87:G87"/>
    <mergeCell ref="H87:J87"/>
    <mergeCell ref="L87:O87"/>
    <mergeCell ref="C88:D88"/>
    <mergeCell ref="L88:O88"/>
    <mergeCell ref="L91:O91"/>
    <mergeCell ref="R91:T91"/>
    <mergeCell ref="E88:G88"/>
    <mergeCell ref="H88:J88"/>
    <mergeCell ref="A89:W89"/>
    <mergeCell ref="A90:V90"/>
    <mergeCell ref="C91:D91"/>
    <mergeCell ref="E91:G91"/>
    <mergeCell ref="H91:J91"/>
    <mergeCell ref="R94:T94"/>
    <mergeCell ref="R95:T95"/>
    <mergeCell ref="C103:D103"/>
    <mergeCell ref="E103:G103"/>
    <mergeCell ref="H103:J103"/>
    <mergeCell ref="R103:T103"/>
    <mergeCell ref="C104:D104"/>
    <mergeCell ref="E104:G104"/>
    <mergeCell ref="H104:J104"/>
    <mergeCell ref="R104:T104"/>
    <mergeCell ref="A105:W105"/>
    <mergeCell ref="A106:L106"/>
    <mergeCell ref="M106:W106"/>
    <mergeCell ref="A107:V107"/>
    <mergeCell ref="A108:V108"/>
    <mergeCell ref="C109:D109"/>
    <mergeCell ref="C93:D93"/>
    <mergeCell ref="C94:D94"/>
    <mergeCell ref="E94:G94"/>
    <mergeCell ref="H94:J94"/>
    <mergeCell ref="L94:O94"/>
    <mergeCell ref="C95:D95"/>
    <mergeCell ref="L95:O95"/>
    <mergeCell ref="E95:G95"/>
    <mergeCell ref="H95:J95"/>
    <mergeCell ref="C96:D96"/>
    <mergeCell ref="E96:G96"/>
    <mergeCell ref="H96:J96"/>
    <mergeCell ref="L96:O96"/>
    <mergeCell ref="R96:T96"/>
    <mergeCell ref="A97:W97"/>
    <mergeCell ref="A98:K98"/>
    <mergeCell ref="L98:W98"/>
    <mergeCell ref="A99:V99"/>
    <mergeCell ref="A100:V100"/>
    <mergeCell ref="C101:D101"/>
    <mergeCell ref="E101:G101"/>
    <mergeCell ref="R101:T101"/>
    <mergeCell ref="H101:J101"/>
    <mergeCell ref="L101:O101"/>
    <mergeCell ref="C102:D102"/>
    <mergeCell ref="E102:G102"/>
    <mergeCell ref="H102:J102"/>
    <mergeCell ref="L102:O102"/>
    <mergeCell ref="R102:T102"/>
    <mergeCell ref="L103:O103"/>
    <mergeCell ref="L104:O104"/>
    <mergeCell ref="E109:G109"/>
    <mergeCell ref="H109:J109"/>
    <mergeCell ref="C110:D110"/>
    <mergeCell ref="E110:G110"/>
    <mergeCell ref="H110:J110"/>
    <mergeCell ref="C111:D111"/>
    <mergeCell ref="E111:G111"/>
    <mergeCell ref="H111:J111"/>
    <mergeCell ref="L109:O109"/>
    <mergeCell ref="R109:T109"/>
    <mergeCell ref="L110:O110"/>
    <mergeCell ref="R110:T110"/>
    <mergeCell ref="L111:O111"/>
    <mergeCell ref="R111:T111"/>
    <mergeCell ref="A112:W112"/>
    <mergeCell ref="L138:O138"/>
    <mergeCell ref="L139:O139"/>
    <mergeCell ref="L140:O140"/>
    <mergeCell ref="R140:T140"/>
    <mergeCell ref="L141:O141"/>
    <mergeCell ref="R141:T141"/>
    <mergeCell ref="C138:D138"/>
    <mergeCell ref="E138:G138"/>
    <mergeCell ref="H138:J138"/>
    <mergeCell ref="R138:T138"/>
    <mergeCell ref="E139:G139"/>
    <mergeCell ref="H139:J139"/>
    <mergeCell ref="R139:T139"/>
    <mergeCell ref="C139:D139"/>
    <mergeCell ref="C140:D140"/>
    <mergeCell ref="E140:G140"/>
    <mergeCell ref="H140:J140"/>
    <mergeCell ref="C141:D141"/>
    <mergeCell ref="E141:G141"/>
    <mergeCell ref="H141:J141"/>
    <mergeCell ref="L144:W144"/>
    <mergeCell ref="A145:W145"/>
    <mergeCell ref="C142:D142"/>
    <mergeCell ref="E142:G142"/>
    <mergeCell ref="H142:J142"/>
    <mergeCell ref="L142:O142"/>
    <mergeCell ref="R142:T142"/>
    <mergeCell ref="A143:W143"/>
    <mergeCell ref="A144:K14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16.14"/>
    <col customWidth="1" min="4" max="4" width="19.29"/>
    <col customWidth="1" min="5" max="5" width="8.71"/>
    <col customWidth="1" min="6" max="6" width="3.29"/>
    <col customWidth="1" min="7" max="7" width="12.71"/>
    <col customWidth="1" min="8" max="8" width="12.0"/>
    <col customWidth="1" min="9" max="9" width="9.29"/>
    <col customWidth="1" min="10" max="10" width="11.43"/>
    <col customWidth="1" min="11" max="11" width="19.71"/>
    <col customWidth="1" min="12" max="12" width="10.43"/>
    <col customWidth="1" min="13" max="13" width="16.14"/>
    <col customWidth="1" min="14" max="14" width="24.0"/>
    <col customWidth="1" min="15" max="16" width="12.29"/>
    <col customWidth="1" min="17" max="17" width="21.29"/>
    <col customWidth="1" min="18" max="18" width="24.14"/>
    <col customWidth="1" min="19" max="20" width="9.29"/>
    <col customWidth="1" min="21" max="26" width="8.71"/>
  </cols>
  <sheetData>
    <row r="1" ht="15.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1"/>
      <c r="J1" s="1" t="s">
        <v>7</v>
      </c>
      <c r="K1" s="2" t="s">
        <v>8</v>
      </c>
      <c r="L1" s="1" t="s">
        <v>9</v>
      </c>
      <c r="M1" s="2" t="s">
        <v>10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4">
        <v>466809.0</v>
      </c>
      <c r="B2" s="4" t="str">
        <f t="shared" ref="B2:B25" si="1">CONCATENATE(A2,"OVR")</f>
        <v>466809OVR</v>
      </c>
      <c r="C2" s="4">
        <v>9213293.0</v>
      </c>
      <c r="D2" s="6" t="s">
        <v>12</v>
      </c>
      <c r="E2" s="6" t="s">
        <v>13</v>
      </c>
      <c r="F2" s="6" t="s">
        <v>14</v>
      </c>
      <c r="G2" s="8">
        <v>46023.0</v>
      </c>
      <c r="H2" s="8">
        <v>46173.0</v>
      </c>
      <c r="I2" s="8"/>
      <c r="J2" s="10">
        <v>46143.0</v>
      </c>
      <c r="K2" s="6" t="s">
        <v>15</v>
      </c>
      <c r="L2" s="6" t="s">
        <v>16</v>
      </c>
      <c r="M2" s="14">
        <v>-163.33</v>
      </c>
      <c r="N2" s="15" t="s">
        <v>19</v>
      </c>
      <c r="O2" s="15">
        <v>9213293.0</v>
      </c>
      <c r="P2" s="15" t="str">
        <f t="shared" ref="P2:P25" si="2">CONCATENATE(O2,"OVR")</f>
        <v>9213293OVR</v>
      </c>
      <c r="Q2" s="15" t="s">
        <v>24</v>
      </c>
      <c r="R2" s="15"/>
      <c r="S2" s="15"/>
      <c r="T2" s="15"/>
      <c r="U2" s="15"/>
      <c r="V2" s="15"/>
      <c r="W2" s="15"/>
      <c r="X2" s="15"/>
      <c r="Y2" s="15"/>
      <c r="Z2" s="15"/>
    </row>
    <row r="3" ht="15.0" customHeight="1">
      <c r="A3" s="4">
        <v>475535.0</v>
      </c>
      <c r="B3" s="4" t="str">
        <f t="shared" si="1"/>
        <v>475535OVR</v>
      </c>
      <c r="C3" s="4">
        <v>2158366.0</v>
      </c>
      <c r="D3" s="6" t="s">
        <v>26</v>
      </c>
      <c r="E3" s="6" t="s">
        <v>28</v>
      </c>
      <c r="F3" s="6" t="s">
        <v>29</v>
      </c>
      <c r="G3" s="8">
        <v>46174.0</v>
      </c>
      <c r="H3" s="20"/>
      <c r="I3" s="20"/>
      <c r="J3" s="10">
        <v>46387.0</v>
      </c>
      <c r="K3" s="6" t="s">
        <v>31</v>
      </c>
      <c r="L3" s="6" t="s">
        <v>32</v>
      </c>
      <c r="M3" s="22">
        <v>280.0</v>
      </c>
      <c r="N3" s="15" t="s">
        <v>33</v>
      </c>
      <c r="O3" s="15">
        <v>2158366.0</v>
      </c>
      <c r="P3" s="15" t="str">
        <f t="shared" si="2"/>
        <v>2158366OVR</v>
      </c>
      <c r="Q3" s="15" t="s">
        <v>24</v>
      </c>
      <c r="R3" s="15"/>
      <c r="S3" s="15"/>
      <c r="T3" s="15"/>
      <c r="U3" s="15"/>
      <c r="V3" s="15"/>
      <c r="W3" s="15"/>
      <c r="X3" s="15"/>
      <c r="Y3" s="15"/>
      <c r="Z3" s="15"/>
    </row>
    <row r="4" ht="15.0" customHeight="1">
      <c r="A4" s="4">
        <v>449350.0</v>
      </c>
      <c r="B4" s="4" t="str">
        <f t="shared" si="1"/>
        <v>449350OVR</v>
      </c>
      <c r="C4" s="4">
        <v>2158366.0</v>
      </c>
      <c r="D4" s="6" t="s">
        <v>38</v>
      </c>
      <c r="E4" s="6" t="s">
        <v>39</v>
      </c>
      <c r="F4" s="6" t="s">
        <v>40</v>
      </c>
      <c r="G4" s="8">
        <v>45717.0</v>
      </c>
      <c r="H4" s="27"/>
      <c r="I4" s="27"/>
      <c r="J4" s="10">
        <v>46174.0</v>
      </c>
      <c r="K4" s="6" t="s">
        <v>42</v>
      </c>
      <c r="L4" s="6" t="s">
        <v>43</v>
      </c>
      <c r="M4" s="22">
        <v>8.75</v>
      </c>
      <c r="N4" s="15" t="s">
        <v>33</v>
      </c>
      <c r="O4" s="15">
        <v>2158366.0</v>
      </c>
      <c r="P4" s="15" t="str">
        <f t="shared" si="2"/>
        <v>2158366OVR</v>
      </c>
      <c r="Q4" s="15" t="s">
        <v>24</v>
      </c>
      <c r="R4" s="15"/>
      <c r="S4" s="15"/>
      <c r="T4" s="15"/>
      <c r="U4" s="15"/>
      <c r="V4" s="15"/>
      <c r="W4" s="15"/>
      <c r="X4" s="15"/>
      <c r="Y4" s="15"/>
      <c r="Z4" s="15"/>
    </row>
    <row r="5" ht="15.0" customHeight="1">
      <c r="A5" s="4">
        <v>439383.0</v>
      </c>
      <c r="B5" s="4" t="str">
        <f t="shared" si="1"/>
        <v>439383OVR</v>
      </c>
      <c r="C5" s="4">
        <v>2158366.0</v>
      </c>
      <c r="D5" s="6" t="s">
        <v>51</v>
      </c>
      <c r="E5" s="6" t="s">
        <v>53</v>
      </c>
      <c r="F5" s="6" t="s">
        <v>56</v>
      </c>
      <c r="G5" s="8">
        <v>45658.0</v>
      </c>
      <c r="H5" s="20"/>
      <c r="I5" s="20"/>
      <c r="J5" s="10">
        <v>46174.0</v>
      </c>
      <c r="K5" s="6" t="s">
        <v>59</v>
      </c>
      <c r="L5" s="6" t="s">
        <v>60</v>
      </c>
      <c r="M5" s="22">
        <v>8.75</v>
      </c>
      <c r="N5" s="15" t="s">
        <v>33</v>
      </c>
      <c r="O5" s="15">
        <v>2158366.0</v>
      </c>
      <c r="P5" s="15" t="str">
        <f t="shared" si="2"/>
        <v>2158366OVR</v>
      </c>
      <c r="Q5" s="15" t="s">
        <v>24</v>
      </c>
      <c r="R5" s="15"/>
      <c r="S5" s="15"/>
      <c r="T5" s="15"/>
      <c r="U5" s="15"/>
      <c r="V5" s="15"/>
      <c r="W5" s="15"/>
      <c r="X5" s="15"/>
      <c r="Y5" s="15"/>
      <c r="Z5" s="15"/>
    </row>
    <row r="6" ht="15.0" customHeight="1">
      <c r="A6" s="4">
        <v>439384.0</v>
      </c>
      <c r="B6" s="4" t="str">
        <f t="shared" si="1"/>
        <v>439384OVR</v>
      </c>
      <c r="C6" s="4">
        <v>2158366.0</v>
      </c>
      <c r="D6" s="6" t="s">
        <v>67</v>
      </c>
      <c r="E6" s="6" t="s">
        <v>68</v>
      </c>
      <c r="F6" s="6" t="s">
        <v>70</v>
      </c>
      <c r="G6" s="8">
        <v>45658.0</v>
      </c>
      <c r="H6" s="27"/>
      <c r="I6" s="27"/>
      <c r="J6" s="10">
        <v>46174.0</v>
      </c>
      <c r="K6" s="6" t="s">
        <v>72</v>
      </c>
      <c r="L6" s="6" t="s">
        <v>74</v>
      </c>
      <c r="M6" s="22">
        <v>8.75</v>
      </c>
      <c r="N6" s="15" t="s">
        <v>33</v>
      </c>
      <c r="O6" s="15">
        <v>2158366.0</v>
      </c>
      <c r="P6" s="15" t="str">
        <f t="shared" si="2"/>
        <v>2158366OVR</v>
      </c>
      <c r="Q6" s="15" t="s">
        <v>24</v>
      </c>
      <c r="R6" s="15"/>
      <c r="S6" s="15"/>
      <c r="T6" s="15"/>
      <c r="U6" s="15"/>
      <c r="V6" s="15"/>
      <c r="W6" s="15"/>
      <c r="X6" s="15"/>
      <c r="Y6" s="15"/>
      <c r="Z6" s="15"/>
    </row>
    <row r="7" ht="15.0" customHeight="1">
      <c r="A7" s="4">
        <v>442876.0</v>
      </c>
      <c r="B7" s="4" t="str">
        <f t="shared" si="1"/>
        <v>442876OVR</v>
      </c>
      <c r="C7" s="4">
        <v>2158366.0</v>
      </c>
      <c r="D7" s="6" t="s">
        <v>76</v>
      </c>
      <c r="E7" s="6" t="s">
        <v>77</v>
      </c>
      <c r="F7" s="6" t="s">
        <v>79</v>
      </c>
      <c r="G7" s="8">
        <v>45658.0</v>
      </c>
      <c r="H7" s="20"/>
      <c r="I7" s="20"/>
      <c r="J7" s="10">
        <v>46174.0</v>
      </c>
      <c r="K7" s="6" t="s">
        <v>83</v>
      </c>
      <c r="L7" s="6" t="s">
        <v>85</v>
      </c>
      <c r="M7" s="22">
        <v>8.75</v>
      </c>
      <c r="N7" s="15" t="s">
        <v>33</v>
      </c>
      <c r="O7" s="15">
        <v>2158366.0</v>
      </c>
      <c r="P7" s="15" t="str">
        <f t="shared" si="2"/>
        <v>2158366OVR</v>
      </c>
      <c r="Q7" s="15" t="s">
        <v>24</v>
      </c>
      <c r="R7" s="15"/>
      <c r="S7" s="15"/>
      <c r="T7" s="15"/>
      <c r="U7" s="15"/>
      <c r="V7" s="15"/>
      <c r="W7" s="15"/>
      <c r="X7" s="15"/>
      <c r="Y7" s="15"/>
      <c r="Z7" s="15"/>
    </row>
    <row r="8" ht="15.0" customHeight="1">
      <c r="A8" s="4">
        <v>445341.0</v>
      </c>
      <c r="B8" s="4" t="str">
        <f t="shared" si="1"/>
        <v>445341OVR</v>
      </c>
      <c r="C8" s="4">
        <v>2158366.0</v>
      </c>
      <c r="D8" s="6" t="s">
        <v>93</v>
      </c>
      <c r="E8" s="6" t="s">
        <v>94</v>
      </c>
      <c r="F8" s="6" t="s">
        <v>95</v>
      </c>
      <c r="G8" s="8">
        <v>45658.0</v>
      </c>
      <c r="H8" s="27"/>
      <c r="I8" s="27"/>
      <c r="J8" s="10">
        <v>46174.0</v>
      </c>
      <c r="K8" s="6" t="s">
        <v>96</v>
      </c>
      <c r="L8" s="6" t="s">
        <v>97</v>
      </c>
      <c r="M8" s="22">
        <v>8.75</v>
      </c>
      <c r="N8" s="15" t="s">
        <v>33</v>
      </c>
      <c r="O8" s="15">
        <v>2158366.0</v>
      </c>
      <c r="P8" s="15" t="str">
        <f t="shared" si="2"/>
        <v>2158366OVR</v>
      </c>
      <c r="Q8" s="15" t="s">
        <v>24</v>
      </c>
      <c r="R8" s="15"/>
      <c r="S8" s="15"/>
      <c r="T8" s="15"/>
      <c r="U8" s="15"/>
      <c r="V8" s="15"/>
      <c r="W8" s="15"/>
      <c r="X8" s="15"/>
      <c r="Y8" s="15"/>
      <c r="Z8" s="15"/>
    </row>
    <row r="9" ht="15.0" customHeight="1">
      <c r="A9" s="4">
        <v>448295.0</v>
      </c>
      <c r="B9" s="4" t="str">
        <f t="shared" si="1"/>
        <v>448295OVR</v>
      </c>
      <c r="C9" s="4">
        <v>1.9645587E7</v>
      </c>
      <c r="D9" s="6" t="s">
        <v>103</v>
      </c>
      <c r="E9" s="6" t="s">
        <v>105</v>
      </c>
      <c r="F9" s="6" t="s">
        <v>106</v>
      </c>
      <c r="G9" s="8">
        <v>45658.0</v>
      </c>
      <c r="H9" s="20"/>
      <c r="I9" s="20"/>
      <c r="J9" s="10">
        <v>46174.0</v>
      </c>
      <c r="K9" s="6" t="s">
        <v>109</v>
      </c>
      <c r="L9" s="6" t="s">
        <v>110</v>
      </c>
      <c r="M9" s="22">
        <v>8.75</v>
      </c>
      <c r="N9" s="15" t="s">
        <v>111</v>
      </c>
      <c r="O9" s="15">
        <v>1.9645587E7</v>
      </c>
      <c r="P9" s="15" t="str">
        <f t="shared" si="2"/>
        <v>19645587OVR</v>
      </c>
      <c r="Q9" s="15" t="s">
        <v>24</v>
      </c>
      <c r="R9" s="15"/>
      <c r="S9" s="15"/>
      <c r="T9" s="15"/>
      <c r="U9" s="15"/>
      <c r="V9" s="15"/>
      <c r="W9" s="15"/>
      <c r="X9" s="15"/>
      <c r="Y9" s="15"/>
      <c r="Z9" s="15"/>
    </row>
    <row r="10" ht="15.0" customHeight="1">
      <c r="A10" s="4">
        <v>439914.0</v>
      </c>
      <c r="B10" s="4" t="str">
        <f t="shared" si="1"/>
        <v>439914OVR</v>
      </c>
      <c r="C10" s="4">
        <v>1.9645587E7</v>
      </c>
      <c r="D10" s="6" t="s">
        <v>119</v>
      </c>
      <c r="E10" s="6" t="s">
        <v>120</v>
      </c>
      <c r="F10" s="6" t="s">
        <v>121</v>
      </c>
      <c r="G10" s="8">
        <v>45658.0</v>
      </c>
      <c r="H10" s="27"/>
      <c r="I10" s="27"/>
      <c r="J10" s="10">
        <v>46174.0</v>
      </c>
      <c r="K10" s="6" t="s">
        <v>127</v>
      </c>
      <c r="L10" s="6" t="s">
        <v>128</v>
      </c>
      <c r="M10" s="22">
        <v>8.75</v>
      </c>
      <c r="N10" s="15" t="s">
        <v>111</v>
      </c>
      <c r="O10" s="15">
        <v>1.9645587E7</v>
      </c>
      <c r="P10" s="15" t="str">
        <f t="shared" si="2"/>
        <v>19645587OVR</v>
      </c>
      <c r="Q10" s="15" t="s">
        <v>24</v>
      </c>
      <c r="R10" s="15"/>
      <c r="S10" s="15"/>
      <c r="T10" s="15"/>
      <c r="U10" s="15"/>
      <c r="V10" s="15"/>
      <c r="W10" s="15"/>
      <c r="X10" s="15"/>
      <c r="Y10" s="15"/>
      <c r="Z10" s="15"/>
    </row>
    <row r="11" ht="15.0" customHeight="1">
      <c r="A11" s="4">
        <v>444055.0</v>
      </c>
      <c r="B11" s="4" t="str">
        <f t="shared" si="1"/>
        <v>444055OVR</v>
      </c>
      <c r="C11" s="4">
        <v>1.9615078E7</v>
      </c>
      <c r="D11" s="6" t="s">
        <v>135</v>
      </c>
      <c r="E11" s="6" t="s">
        <v>136</v>
      </c>
      <c r="F11" s="6" t="s">
        <v>137</v>
      </c>
      <c r="G11" s="8">
        <v>45658.0</v>
      </c>
      <c r="H11" s="20"/>
      <c r="I11" s="20"/>
      <c r="J11" s="10">
        <v>46174.0</v>
      </c>
      <c r="K11" s="6" t="s">
        <v>138</v>
      </c>
      <c r="L11" s="6" t="s">
        <v>140</v>
      </c>
      <c r="M11" s="22">
        <v>8.75</v>
      </c>
      <c r="N11" s="15" t="s">
        <v>142</v>
      </c>
      <c r="O11" s="15">
        <v>1.9615078E7</v>
      </c>
      <c r="P11" s="15" t="str">
        <f t="shared" si="2"/>
        <v>19615078OVR</v>
      </c>
      <c r="Q11" s="15" t="s">
        <v>24</v>
      </c>
      <c r="R11" s="15"/>
      <c r="S11" s="15"/>
      <c r="T11" s="15"/>
      <c r="U11" s="15"/>
      <c r="V11" s="15"/>
      <c r="W11" s="15"/>
      <c r="X11" s="15"/>
      <c r="Y11" s="15"/>
      <c r="Z11" s="15"/>
    </row>
    <row r="12" ht="15.0" customHeight="1">
      <c r="A12" s="4">
        <v>446535.0</v>
      </c>
      <c r="B12" s="4" t="str">
        <f t="shared" si="1"/>
        <v>446535OVR</v>
      </c>
      <c r="C12" s="4">
        <v>1.7301495E7</v>
      </c>
      <c r="D12" s="6" t="s">
        <v>147</v>
      </c>
      <c r="E12" s="6" t="s">
        <v>148</v>
      </c>
      <c r="F12" s="6" t="s">
        <v>149</v>
      </c>
      <c r="G12" s="8">
        <v>45658.0</v>
      </c>
      <c r="H12" s="27"/>
      <c r="I12" s="27"/>
      <c r="J12" s="10">
        <v>46174.0</v>
      </c>
      <c r="K12" s="6" t="s">
        <v>156</v>
      </c>
      <c r="L12" s="6" t="s">
        <v>157</v>
      </c>
      <c r="M12" s="22">
        <v>8.75</v>
      </c>
      <c r="N12" s="15" t="s">
        <v>158</v>
      </c>
      <c r="O12" s="15">
        <v>1.7301495E7</v>
      </c>
      <c r="P12" s="15" t="str">
        <f t="shared" si="2"/>
        <v>17301495OVR</v>
      </c>
      <c r="Q12" s="15" t="s">
        <v>24</v>
      </c>
      <c r="R12" s="15"/>
      <c r="S12" s="15"/>
      <c r="T12" s="15"/>
      <c r="U12" s="15"/>
      <c r="V12" s="15"/>
      <c r="W12" s="15"/>
      <c r="X12" s="15"/>
      <c r="Y12" s="15"/>
      <c r="Z12" s="15"/>
    </row>
    <row r="13" ht="15.0" customHeight="1">
      <c r="A13" s="4">
        <v>447954.0</v>
      </c>
      <c r="B13" s="4" t="str">
        <f t="shared" si="1"/>
        <v>447954OVR</v>
      </c>
      <c r="C13" s="4">
        <v>1.6912722E7</v>
      </c>
      <c r="D13" s="6" t="s">
        <v>164</v>
      </c>
      <c r="E13" s="6" t="s">
        <v>165</v>
      </c>
      <c r="F13" s="6" t="s">
        <v>167</v>
      </c>
      <c r="G13" s="8">
        <v>45658.0</v>
      </c>
      <c r="H13" s="8"/>
      <c r="I13" s="8"/>
      <c r="J13" s="10">
        <v>46174.0</v>
      </c>
      <c r="K13" s="6" t="s">
        <v>171</v>
      </c>
      <c r="L13" s="6" t="s">
        <v>172</v>
      </c>
      <c r="M13" s="22">
        <v>8.75</v>
      </c>
      <c r="N13" s="62" t="s">
        <v>174</v>
      </c>
      <c r="O13" s="63">
        <v>1.6912722E7</v>
      </c>
      <c r="P13" s="15" t="str">
        <f t="shared" si="2"/>
        <v>16912722OVR</v>
      </c>
      <c r="Q13" s="15" t="s">
        <v>24</v>
      </c>
      <c r="R13" s="63"/>
      <c r="S13" s="63"/>
      <c r="T13" s="63"/>
      <c r="U13" s="15"/>
      <c r="V13" s="15"/>
      <c r="W13" s="15"/>
      <c r="X13" s="15"/>
      <c r="Y13" s="15"/>
      <c r="Z13" s="15"/>
    </row>
    <row r="14" ht="15.0" customHeight="1">
      <c r="A14" s="4">
        <v>447955.0</v>
      </c>
      <c r="B14" s="4" t="str">
        <f t="shared" si="1"/>
        <v>447955OVR</v>
      </c>
      <c r="C14" s="4">
        <v>1.6912722E7</v>
      </c>
      <c r="D14" s="6" t="s">
        <v>180</v>
      </c>
      <c r="E14" s="6" t="s">
        <v>181</v>
      </c>
      <c r="F14" s="6" t="s">
        <v>182</v>
      </c>
      <c r="G14" s="8">
        <v>45658.0</v>
      </c>
      <c r="H14" s="8"/>
      <c r="I14" s="8"/>
      <c r="J14" s="10">
        <v>46174.0</v>
      </c>
      <c r="K14" s="6" t="s">
        <v>183</v>
      </c>
      <c r="L14" s="6" t="s">
        <v>184</v>
      </c>
      <c r="M14" s="22">
        <v>8.75</v>
      </c>
      <c r="N14" s="62" t="s">
        <v>174</v>
      </c>
      <c r="O14" s="63">
        <v>1.6912722E7</v>
      </c>
      <c r="P14" s="15" t="str">
        <f t="shared" si="2"/>
        <v>16912722OVR</v>
      </c>
      <c r="Q14" s="15" t="s">
        <v>24</v>
      </c>
      <c r="R14" s="63"/>
      <c r="S14" s="63"/>
      <c r="T14" s="63"/>
      <c r="U14" s="15"/>
      <c r="V14" s="15"/>
      <c r="W14" s="15"/>
      <c r="X14" s="15"/>
      <c r="Y14" s="15"/>
      <c r="Z14" s="15"/>
    </row>
    <row r="15" ht="15.0" customHeight="1">
      <c r="A15" s="4">
        <v>448034.0</v>
      </c>
      <c r="B15" s="4" t="str">
        <f t="shared" si="1"/>
        <v>448034OVR</v>
      </c>
      <c r="C15" s="4">
        <v>1.6912722E7</v>
      </c>
      <c r="D15" s="6" t="s">
        <v>193</v>
      </c>
      <c r="E15" s="6" t="s">
        <v>194</v>
      </c>
      <c r="F15" s="6" t="s">
        <v>196</v>
      </c>
      <c r="G15" s="8">
        <v>45658.0</v>
      </c>
      <c r="H15" s="8"/>
      <c r="I15" s="8"/>
      <c r="J15" s="10">
        <v>46174.0</v>
      </c>
      <c r="K15" s="6" t="s">
        <v>201</v>
      </c>
      <c r="L15" s="6" t="s">
        <v>202</v>
      </c>
      <c r="M15" s="22">
        <v>8.75</v>
      </c>
      <c r="N15" s="62" t="s">
        <v>174</v>
      </c>
      <c r="O15" s="63">
        <v>1.6912722E7</v>
      </c>
      <c r="P15" s="15" t="str">
        <f t="shared" si="2"/>
        <v>16912722OVR</v>
      </c>
      <c r="Q15" s="15" t="s">
        <v>24</v>
      </c>
      <c r="R15" s="63"/>
      <c r="S15" s="63"/>
      <c r="T15" s="63"/>
      <c r="U15" s="15"/>
      <c r="V15" s="15"/>
      <c r="W15" s="15"/>
      <c r="X15" s="15"/>
      <c r="Y15" s="15"/>
      <c r="Z15" s="15"/>
    </row>
    <row r="16" ht="15.0" customHeight="1">
      <c r="A16" s="4">
        <v>447701.0</v>
      </c>
      <c r="B16" s="4" t="str">
        <f t="shared" si="1"/>
        <v>447701OVR</v>
      </c>
      <c r="C16" s="4">
        <v>1.6912722E7</v>
      </c>
      <c r="D16" s="6" t="s">
        <v>205</v>
      </c>
      <c r="E16" s="6" t="s">
        <v>207</v>
      </c>
      <c r="F16" s="6" t="s">
        <v>208</v>
      </c>
      <c r="G16" s="8">
        <v>45658.0</v>
      </c>
      <c r="H16" s="8"/>
      <c r="I16" s="8"/>
      <c r="J16" s="10">
        <v>46174.0</v>
      </c>
      <c r="K16" s="6" t="s">
        <v>209</v>
      </c>
      <c r="L16" s="6" t="s">
        <v>210</v>
      </c>
      <c r="M16" s="22">
        <v>8.75</v>
      </c>
      <c r="N16" s="62" t="s">
        <v>174</v>
      </c>
      <c r="O16" s="63">
        <v>1.6912722E7</v>
      </c>
      <c r="P16" s="15" t="str">
        <f t="shared" si="2"/>
        <v>16912722OVR</v>
      </c>
      <c r="Q16" s="15" t="s">
        <v>24</v>
      </c>
      <c r="R16" s="63"/>
      <c r="S16" s="63"/>
      <c r="T16" s="63"/>
      <c r="U16" s="15"/>
      <c r="V16" s="15"/>
      <c r="W16" s="15"/>
      <c r="X16" s="15"/>
      <c r="Y16" s="15"/>
      <c r="Z16" s="15"/>
    </row>
    <row r="17" ht="15.0" customHeight="1">
      <c r="A17" s="4">
        <v>446217.0</v>
      </c>
      <c r="B17" s="4" t="str">
        <f t="shared" si="1"/>
        <v>446217OVR</v>
      </c>
      <c r="C17" s="4">
        <v>1.6633294E7</v>
      </c>
      <c r="D17" s="6" t="s">
        <v>220</v>
      </c>
      <c r="E17" s="6" t="s">
        <v>221</v>
      </c>
      <c r="F17" s="6" t="s">
        <v>223</v>
      </c>
      <c r="G17" s="8">
        <v>45658.0</v>
      </c>
      <c r="H17" s="8"/>
      <c r="I17" s="8"/>
      <c r="J17" s="10">
        <v>46174.0</v>
      </c>
      <c r="K17" s="6" t="s">
        <v>226</v>
      </c>
      <c r="L17" s="6" t="s">
        <v>228</v>
      </c>
      <c r="M17" s="22">
        <v>8.75</v>
      </c>
      <c r="N17" s="62" t="s">
        <v>231</v>
      </c>
      <c r="O17" s="63">
        <v>1.6633294E7</v>
      </c>
      <c r="P17" s="15" t="str">
        <f t="shared" si="2"/>
        <v>16633294OVR</v>
      </c>
      <c r="Q17" s="15" t="s">
        <v>24</v>
      </c>
      <c r="R17" s="63"/>
      <c r="S17" s="63"/>
      <c r="T17" s="63"/>
      <c r="U17" s="15"/>
      <c r="V17" s="15"/>
      <c r="W17" s="15"/>
      <c r="X17" s="15"/>
      <c r="Y17" s="15"/>
      <c r="Z17" s="15"/>
    </row>
    <row r="18" ht="15.0" customHeight="1">
      <c r="A18" s="4">
        <v>443286.0</v>
      </c>
      <c r="B18" s="4" t="str">
        <f t="shared" si="1"/>
        <v>443286OVR</v>
      </c>
      <c r="C18" s="4">
        <v>1.6633294E7</v>
      </c>
      <c r="D18" s="6" t="s">
        <v>240</v>
      </c>
      <c r="E18" s="6" t="s">
        <v>241</v>
      </c>
      <c r="F18" s="6" t="s">
        <v>242</v>
      </c>
      <c r="G18" s="8">
        <v>45658.0</v>
      </c>
      <c r="H18" s="8"/>
      <c r="I18" s="8"/>
      <c r="J18" s="10">
        <v>46174.0</v>
      </c>
      <c r="K18" s="6" t="s">
        <v>243</v>
      </c>
      <c r="L18" s="6" t="s">
        <v>244</v>
      </c>
      <c r="M18" s="22">
        <v>8.75</v>
      </c>
      <c r="N18" s="62" t="s">
        <v>231</v>
      </c>
      <c r="O18" s="63">
        <v>1.6633294E7</v>
      </c>
      <c r="P18" s="15" t="str">
        <f t="shared" si="2"/>
        <v>16633294OVR</v>
      </c>
      <c r="Q18" s="15" t="s">
        <v>24</v>
      </c>
      <c r="R18" s="63"/>
      <c r="S18" s="63"/>
      <c r="T18" s="63"/>
      <c r="U18" s="15"/>
      <c r="V18" s="15"/>
      <c r="W18" s="15"/>
      <c r="X18" s="15"/>
      <c r="Y18" s="15"/>
      <c r="Z18" s="15"/>
    </row>
    <row r="19" ht="15.0" customHeight="1">
      <c r="A19" s="4">
        <v>443292.0</v>
      </c>
      <c r="B19" s="4" t="str">
        <f t="shared" si="1"/>
        <v>443292OVR</v>
      </c>
      <c r="C19" s="4">
        <v>1.6633294E7</v>
      </c>
      <c r="D19" s="6" t="s">
        <v>248</v>
      </c>
      <c r="E19" s="6" t="s">
        <v>249</v>
      </c>
      <c r="F19" s="6" t="s">
        <v>250</v>
      </c>
      <c r="G19" s="8">
        <v>45658.0</v>
      </c>
      <c r="H19" s="8"/>
      <c r="I19" s="8"/>
      <c r="J19" s="10">
        <v>46174.0</v>
      </c>
      <c r="K19" s="6" t="s">
        <v>251</v>
      </c>
      <c r="L19" s="6" t="s">
        <v>252</v>
      </c>
      <c r="M19" s="22">
        <v>8.75</v>
      </c>
      <c r="N19" s="62" t="s">
        <v>231</v>
      </c>
      <c r="O19" s="63">
        <v>1.6633294E7</v>
      </c>
      <c r="P19" s="15" t="str">
        <f t="shared" si="2"/>
        <v>16633294OVR</v>
      </c>
      <c r="Q19" s="15" t="s">
        <v>24</v>
      </c>
      <c r="R19" s="63"/>
      <c r="S19" s="63"/>
      <c r="T19" s="63"/>
      <c r="U19" s="15"/>
      <c r="V19" s="15"/>
      <c r="W19" s="15"/>
      <c r="X19" s="15"/>
      <c r="Y19" s="15"/>
      <c r="Z19" s="15"/>
    </row>
    <row r="20" ht="15.0" customHeight="1">
      <c r="A20" s="4">
        <v>444212.0</v>
      </c>
      <c r="B20" s="4" t="str">
        <f t="shared" si="1"/>
        <v>444212OVR</v>
      </c>
      <c r="C20" s="4">
        <v>1.6633294E7</v>
      </c>
      <c r="D20" s="6" t="s">
        <v>253</v>
      </c>
      <c r="E20" s="6" t="s">
        <v>254</v>
      </c>
      <c r="F20" s="6" t="s">
        <v>256</v>
      </c>
      <c r="G20" s="8">
        <v>45658.0</v>
      </c>
      <c r="H20" s="8"/>
      <c r="I20" s="8"/>
      <c r="J20" s="10">
        <v>46174.0</v>
      </c>
      <c r="K20" s="6" t="s">
        <v>259</v>
      </c>
      <c r="L20" s="6" t="s">
        <v>260</v>
      </c>
      <c r="M20" s="22">
        <v>8.75</v>
      </c>
      <c r="N20" s="62" t="s">
        <v>231</v>
      </c>
      <c r="O20" s="63">
        <v>1.6633294E7</v>
      </c>
      <c r="P20" s="15" t="str">
        <f t="shared" si="2"/>
        <v>16633294OVR</v>
      </c>
      <c r="Q20" s="15" t="s">
        <v>24</v>
      </c>
      <c r="R20" s="63"/>
      <c r="S20" s="63"/>
      <c r="T20" s="63"/>
      <c r="U20" s="15"/>
      <c r="V20" s="15"/>
      <c r="W20" s="15"/>
      <c r="X20" s="15"/>
      <c r="Y20" s="15"/>
      <c r="Z20" s="15"/>
    </row>
    <row r="21" ht="15.0" customHeight="1">
      <c r="A21" s="4">
        <v>443209.0</v>
      </c>
      <c r="B21" s="4" t="str">
        <f t="shared" si="1"/>
        <v>443209OVR</v>
      </c>
      <c r="C21" s="4">
        <v>1.6633294E7</v>
      </c>
      <c r="D21" s="6" t="s">
        <v>267</v>
      </c>
      <c r="E21" s="6" t="s">
        <v>269</v>
      </c>
      <c r="F21" s="6" t="s">
        <v>270</v>
      </c>
      <c r="G21" s="8">
        <v>45658.0</v>
      </c>
      <c r="H21" s="8"/>
      <c r="I21" s="8"/>
      <c r="J21" s="10">
        <v>46174.0</v>
      </c>
      <c r="K21" s="6" t="s">
        <v>276</v>
      </c>
      <c r="L21" s="6" t="s">
        <v>277</v>
      </c>
      <c r="M21" s="22">
        <v>8.75</v>
      </c>
      <c r="N21" s="62" t="s">
        <v>231</v>
      </c>
      <c r="O21" s="63">
        <v>1.6633294E7</v>
      </c>
      <c r="P21" s="15" t="str">
        <f t="shared" si="2"/>
        <v>16633294OVR</v>
      </c>
      <c r="Q21" s="15" t="s">
        <v>24</v>
      </c>
      <c r="R21" s="63"/>
      <c r="S21" s="63"/>
      <c r="T21" s="63"/>
      <c r="U21" s="15"/>
      <c r="V21" s="15"/>
      <c r="W21" s="15"/>
      <c r="X21" s="15"/>
      <c r="Y21" s="15"/>
      <c r="Z21" s="15"/>
    </row>
    <row r="22" ht="15.0" customHeight="1">
      <c r="A22" s="4">
        <v>440990.0</v>
      </c>
      <c r="B22" s="4" t="str">
        <f t="shared" si="1"/>
        <v>440990OVR</v>
      </c>
      <c r="C22" s="4">
        <v>1.6633294E7</v>
      </c>
      <c r="D22" s="6" t="s">
        <v>292</v>
      </c>
      <c r="E22" s="6" t="s">
        <v>295</v>
      </c>
      <c r="F22" s="6" t="s">
        <v>297</v>
      </c>
      <c r="G22" s="8">
        <v>45658.0</v>
      </c>
      <c r="H22" s="8"/>
      <c r="I22" s="8"/>
      <c r="J22" s="10">
        <v>46174.0</v>
      </c>
      <c r="K22" s="6" t="s">
        <v>300</v>
      </c>
      <c r="L22" s="6" t="s">
        <v>302</v>
      </c>
      <c r="M22" s="22">
        <v>8.75</v>
      </c>
      <c r="N22" s="62" t="s">
        <v>231</v>
      </c>
      <c r="O22" s="63">
        <v>1.6633294E7</v>
      </c>
      <c r="P22" s="15" t="str">
        <f t="shared" si="2"/>
        <v>16633294OVR</v>
      </c>
      <c r="Q22" s="15" t="s">
        <v>24</v>
      </c>
      <c r="R22" s="63"/>
      <c r="S22" s="63"/>
      <c r="T22" s="63"/>
      <c r="U22" s="15"/>
      <c r="V22" s="15"/>
      <c r="W22" s="15"/>
      <c r="X22" s="15"/>
      <c r="Y22" s="15"/>
      <c r="Z22" s="15"/>
    </row>
    <row r="23" ht="15.0" customHeight="1">
      <c r="A23" s="4">
        <v>445753.0</v>
      </c>
      <c r="B23" s="4" t="str">
        <f t="shared" si="1"/>
        <v>445753OVR</v>
      </c>
      <c r="C23" s="4">
        <v>1.6633294E7</v>
      </c>
      <c r="D23" s="6" t="s">
        <v>309</v>
      </c>
      <c r="E23" s="6" t="s">
        <v>310</v>
      </c>
      <c r="F23" s="6" t="s">
        <v>311</v>
      </c>
      <c r="G23" s="8">
        <v>45658.0</v>
      </c>
      <c r="H23" s="8"/>
      <c r="I23" s="8"/>
      <c r="J23" s="10">
        <v>46174.0</v>
      </c>
      <c r="K23" s="6" t="s">
        <v>313</v>
      </c>
      <c r="L23" s="6" t="s">
        <v>315</v>
      </c>
      <c r="M23" s="22">
        <v>8.75</v>
      </c>
      <c r="N23" s="62" t="s">
        <v>231</v>
      </c>
      <c r="O23" s="63">
        <v>1.6633294E7</v>
      </c>
      <c r="P23" s="15" t="str">
        <f t="shared" si="2"/>
        <v>16633294OVR</v>
      </c>
      <c r="Q23" s="15" t="s">
        <v>24</v>
      </c>
      <c r="R23" s="63"/>
      <c r="S23" s="63"/>
      <c r="T23" s="63"/>
      <c r="U23" s="15"/>
      <c r="V23" s="15"/>
      <c r="W23" s="15"/>
      <c r="X23" s="15"/>
      <c r="Y23" s="15"/>
      <c r="Z23" s="15"/>
    </row>
    <row r="24" ht="15.0" customHeight="1">
      <c r="A24" s="4">
        <v>446673.0</v>
      </c>
      <c r="B24" s="4" t="str">
        <f t="shared" si="1"/>
        <v>446673OVR</v>
      </c>
      <c r="C24" s="4">
        <v>1.6633294E7</v>
      </c>
      <c r="D24" s="6" t="s">
        <v>319</v>
      </c>
      <c r="E24" s="6" t="s">
        <v>320</v>
      </c>
      <c r="F24" s="6" t="s">
        <v>322</v>
      </c>
      <c r="G24" s="8">
        <v>45658.0</v>
      </c>
      <c r="H24" s="8"/>
      <c r="I24" s="8"/>
      <c r="J24" s="10">
        <v>46174.0</v>
      </c>
      <c r="K24" s="6" t="s">
        <v>324</v>
      </c>
      <c r="L24" s="6" t="s">
        <v>326</v>
      </c>
      <c r="M24" s="22">
        <v>8.75</v>
      </c>
      <c r="N24" s="62" t="s">
        <v>231</v>
      </c>
      <c r="O24" s="63">
        <v>1.6633294E7</v>
      </c>
      <c r="P24" s="15" t="str">
        <f t="shared" si="2"/>
        <v>16633294OVR</v>
      </c>
      <c r="Q24" s="15" t="s">
        <v>24</v>
      </c>
      <c r="R24" s="63"/>
      <c r="S24" s="63"/>
      <c r="T24" s="63"/>
      <c r="U24" s="15"/>
      <c r="V24" s="15"/>
      <c r="W24" s="15"/>
      <c r="X24" s="15"/>
      <c r="Y24" s="15"/>
      <c r="Z24" s="15"/>
    </row>
    <row r="25" ht="15.0" customHeight="1">
      <c r="A25" s="4">
        <v>447931.0</v>
      </c>
      <c r="B25" s="4" t="str">
        <f t="shared" si="1"/>
        <v>447931OVR</v>
      </c>
      <c r="C25" s="4">
        <v>1.6633294E7</v>
      </c>
      <c r="D25" s="6" t="s">
        <v>333</v>
      </c>
      <c r="E25" s="6" t="s">
        <v>335</v>
      </c>
      <c r="F25" s="6" t="s">
        <v>336</v>
      </c>
      <c r="G25" s="8">
        <v>45658.0</v>
      </c>
      <c r="H25" s="8"/>
      <c r="I25" s="8"/>
      <c r="J25" s="10">
        <v>46174.0</v>
      </c>
      <c r="K25" s="6" t="s">
        <v>338</v>
      </c>
      <c r="L25" s="6" t="s">
        <v>339</v>
      </c>
      <c r="M25" s="22">
        <v>8.75</v>
      </c>
      <c r="N25" s="62" t="s">
        <v>231</v>
      </c>
      <c r="O25" s="63">
        <v>1.6633294E7</v>
      </c>
      <c r="P25" s="15" t="str">
        <f t="shared" si="2"/>
        <v>16633294OVR</v>
      </c>
      <c r="Q25" s="15" t="s">
        <v>24</v>
      </c>
      <c r="R25" s="63"/>
      <c r="S25" s="63"/>
      <c r="T25" s="63"/>
      <c r="U25" s="15"/>
      <c r="V25" s="15"/>
      <c r="W25" s="15"/>
      <c r="X25" s="15"/>
      <c r="Y25" s="15"/>
      <c r="Z25" s="15"/>
    </row>
    <row r="26" ht="15.0" customHeight="1">
      <c r="A26" s="74">
        <v>466809.0</v>
      </c>
      <c r="B26" s="74" t="str">
        <f>CONCATENATE(A26,22)</f>
        <v>46680922</v>
      </c>
      <c r="C26" s="74">
        <v>9213293.0</v>
      </c>
      <c r="D26" s="58" t="s">
        <v>350</v>
      </c>
      <c r="E26" s="58" t="s">
        <v>351</v>
      </c>
      <c r="F26" s="58" t="s">
        <v>353</v>
      </c>
      <c r="G26" s="77">
        <v>46023.0</v>
      </c>
      <c r="H26" s="77">
        <v>46173.0</v>
      </c>
      <c r="I26" s="77"/>
      <c r="J26" s="78">
        <v>46143.0</v>
      </c>
      <c r="K26" s="58" t="s">
        <v>355</v>
      </c>
      <c r="L26" s="58" t="s">
        <v>356</v>
      </c>
      <c r="M26" s="79">
        <v>-202.42</v>
      </c>
      <c r="N26" s="3" t="s">
        <v>19</v>
      </c>
      <c r="O26" s="3">
        <v>9213293.0</v>
      </c>
      <c r="P26" s="3">
        <v>9213293.0</v>
      </c>
      <c r="Q26" s="3" t="s">
        <v>357</v>
      </c>
      <c r="R26" s="3" t="s">
        <v>358</v>
      </c>
      <c r="S26" s="3">
        <f>347/12*7</f>
        <v>202.4166667</v>
      </c>
      <c r="T26" s="3"/>
      <c r="U26" s="3"/>
      <c r="V26" s="3"/>
      <c r="W26" s="3"/>
      <c r="X26" s="3"/>
      <c r="Y26" s="3"/>
      <c r="Z26" s="3"/>
    </row>
    <row r="27" ht="15.0" customHeight="1">
      <c r="A27" s="74">
        <v>475535.0</v>
      </c>
      <c r="B27" s="74" t="str">
        <f>CONCATENATE(A27,33)</f>
        <v>47553533</v>
      </c>
      <c r="C27" s="74">
        <v>2158366.0</v>
      </c>
      <c r="D27" s="58" t="s">
        <v>360</v>
      </c>
      <c r="E27" s="58" t="s">
        <v>361</v>
      </c>
      <c r="F27" s="58" t="s">
        <v>362</v>
      </c>
      <c r="G27" s="77">
        <v>46174.0</v>
      </c>
      <c r="H27" s="84"/>
      <c r="I27" s="84"/>
      <c r="J27" s="78">
        <v>46387.0</v>
      </c>
      <c r="K27" s="58" t="s">
        <v>363</v>
      </c>
      <c r="L27" s="58" t="s">
        <v>364</v>
      </c>
      <c r="M27" s="85">
        <v>694.0</v>
      </c>
      <c r="N27" s="3" t="s">
        <v>33</v>
      </c>
      <c r="O27" s="3">
        <v>2158366.0</v>
      </c>
      <c r="P27" s="3">
        <v>2158366.0</v>
      </c>
      <c r="Q27" s="3" t="s">
        <v>366</v>
      </c>
      <c r="R27" s="3" t="s">
        <v>367</v>
      </c>
      <c r="S27" s="3"/>
      <c r="T27" s="3"/>
      <c r="U27" s="3"/>
      <c r="V27" s="3"/>
      <c r="W27" s="3"/>
      <c r="X27" s="3"/>
      <c r="Y27" s="3"/>
      <c r="Z27" s="3"/>
    </row>
    <row r="28" ht="15.0" customHeight="1">
      <c r="A28" s="74">
        <v>449350.0</v>
      </c>
      <c r="B28" s="74" t="str">
        <f t="shared" ref="B28:B49" si="3">CONCATENATE(A28,22)</f>
        <v>44935022</v>
      </c>
      <c r="C28" s="74">
        <v>2158366.0</v>
      </c>
      <c r="D28" s="58" t="s">
        <v>387</v>
      </c>
      <c r="E28" s="58" t="s">
        <v>388</v>
      </c>
      <c r="F28" s="58" t="s">
        <v>390</v>
      </c>
      <c r="G28" s="77">
        <v>45717.0</v>
      </c>
      <c r="H28" s="90"/>
      <c r="I28" s="90"/>
      <c r="J28" s="78">
        <v>46174.0</v>
      </c>
      <c r="K28" s="58" t="s">
        <v>396</v>
      </c>
      <c r="L28" s="58" t="s">
        <v>398</v>
      </c>
      <c r="M28" s="85">
        <v>28.92</v>
      </c>
      <c r="N28" s="3" t="s">
        <v>33</v>
      </c>
      <c r="O28" s="3">
        <v>2158366.0</v>
      </c>
      <c r="P28" s="3">
        <v>2158366.0</v>
      </c>
      <c r="Q28" s="3" t="s">
        <v>357</v>
      </c>
      <c r="R28" s="3" t="s">
        <v>401</v>
      </c>
      <c r="S28" s="3"/>
      <c r="T28" s="3"/>
      <c r="U28" s="3"/>
      <c r="V28" s="3"/>
      <c r="W28" s="3"/>
      <c r="X28" s="3"/>
      <c r="Y28" s="3"/>
      <c r="Z28" s="3"/>
    </row>
    <row r="29" ht="15.0" customHeight="1">
      <c r="A29" s="74">
        <v>439383.0</v>
      </c>
      <c r="B29" s="74" t="str">
        <f t="shared" si="3"/>
        <v>43938322</v>
      </c>
      <c r="C29" s="74">
        <v>2158366.0</v>
      </c>
      <c r="D29" s="58" t="s">
        <v>405</v>
      </c>
      <c r="E29" s="58" t="s">
        <v>406</v>
      </c>
      <c r="F29" s="58" t="s">
        <v>407</v>
      </c>
      <c r="G29" s="77">
        <v>45658.0</v>
      </c>
      <c r="H29" s="84"/>
      <c r="I29" s="84"/>
      <c r="J29" s="78">
        <v>46174.0</v>
      </c>
      <c r="K29" s="58" t="s">
        <v>410</v>
      </c>
      <c r="L29" s="58" t="s">
        <v>412</v>
      </c>
      <c r="M29" s="85">
        <v>28.92</v>
      </c>
      <c r="N29" s="3" t="s">
        <v>33</v>
      </c>
      <c r="O29" s="3">
        <v>2158366.0</v>
      </c>
      <c r="P29" s="3">
        <v>2158366.0</v>
      </c>
      <c r="Q29" s="3" t="s">
        <v>357</v>
      </c>
      <c r="R29" s="3" t="s">
        <v>401</v>
      </c>
      <c r="S29" s="3"/>
      <c r="T29" s="3"/>
      <c r="U29" s="3"/>
      <c r="V29" s="3"/>
      <c r="W29" s="3"/>
      <c r="X29" s="3"/>
      <c r="Y29" s="3"/>
      <c r="Z29" s="3"/>
    </row>
    <row r="30" ht="15.0" customHeight="1">
      <c r="A30" s="74">
        <v>439384.0</v>
      </c>
      <c r="B30" s="74" t="str">
        <f t="shared" si="3"/>
        <v>43938422</v>
      </c>
      <c r="C30" s="74">
        <v>2158366.0</v>
      </c>
      <c r="D30" s="58" t="s">
        <v>418</v>
      </c>
      <c r="E30" s="58" t="s">
        <v>420</v>
      </c>
      <c r="F30" s="58" t="s">
        <v>421</v>
      </c>
      <c r="G30" s="77">
        <v>45658.0</v>
      </c>
      <c r="H30" s="90"/>
      <c r="I30" s="90"/>
      <c r="J30" s="78">
        <v>46174.0</v>
      </c>
      <c r="K30" s="58" t="s">
        <v>422</v>
      </c>
      <c r="L30" s="58" t="s">
        <v>424</v>
      </c>
      <c r="M30" s="85">
        <v>28.92</v>
      </c>
      <c r="N30" s="3" t="s">
        <v>33</v>
      </c>
      <c r="O30" s="3">
        <v>2158366.0</v>
      </c>
      <c r="P30" s="3">
        <v>2158366.0</v>
      </c>
      <c r="Q30" s="3" t="s">
        <v>357</v>
      </c>
      <c r="R30" s="3" t="s">
        <v>401</v>
      </c>
      <c r="S30" s="3"/>
      <c r="T30" s="3"/>
      <c r="U30" s="3"/>
      <c r="V30" s="3"/>
      <c r="W30" s="3"/>
      <c r="X30" s="3"/>
      <c r="Y30" s="3"/>
      <c r="Z30" s="3"/>
    </row>
    <row r="31" ht="15.0" customHeight="1">
      <c r="A31" s="74">
        <v>442876.0</v>
      </c>
      <c r="B31" s="74" t="str">
        <f t="shared" si="3"/>
        <v>44287622</v>
      </c>
      <c r="C31" s="74">
        <v>2158366.0</v>
      </c>
      <c r="D31" s="58" t="s">
        <v>427</v>
      </c>
      <c r="E31" s="58" t="s">
        <v>428</v>
      </c>
      <c r="F31" s="58" t="s">
        <v>429</v>
      </c>
      <c r="G31" s="77">
        <v>45658.0</v>
      </c>
      <c r="H31" s="84"/>
      <c r="I31" s="84"/>
      <c r="J31" s="78">
        <v>46174.0</v>
      </c>
      <c r="K31" s="58" t="s">
        <v>431</v>
      </c>
      <c r="L31" s="58" t="s">
        <v>433</v>
      </c>
      <c r="M31" s="85">
        <v>28.92</v>
      </c>
      <c r="N31" s="3" t="s">
        <v>33</v>
      </c>
      <c r="O31" s="3">
        <v>2158366.0</v>
      </c>
      <c r="P31" s="3">
        <v>2158366.0</v>
      </c>
      <c r="Q31" s="3" t="s">
        <v>357</v>
      </c>
      <c r="R31" s="3" t="s">
        <v>401</v>
      </c>
      <c r="S31" s="3"/>
      <c r="T31" s="3"/>
      <c r="U31" s="3"/>
      <c r="V31" s="3"/>
      <c r="W31" s="3"/>
      <c r="X31" s="3"/>
      <c r="Y31" s="3"/>
      <c r="Z31" s="3"/>
    </row>
    <row r="32" ht="15.0" customHeight="1">
      <c r="A32" s="74">
        <v>445341.0</v>
      </c>
      <c r="B32" s="74" t="str">
        <f t="shared" si="3"/>
        <v>44534122</v>
      </c>
      <c r="C32" s="74">
        <v>2158366.0</v>
      </c>
      <c r="D32" s="58" t="s">
        <v>438</v>
      </c>
      <c r="E32" s="58" t="s">
        <v>439</v>
      </c>
      <c r="F32" s="58" t="s">
        <v>441</v>
      </c>
      <c r="G32" s="77">
        <v>45658.0</v>
      </c>
      <c r="H32" s="90"/>
      <c r="I32" s="90"/>
      <c r="J32" s="78">
        <v>46174.0</v>
      </c>
      <c r="K32" s="58" t="s">
        <v>444</v>
      </c>
      <c r="L32" s="58" t="s">
        <v>445</v>
      </c>
      <c r="M32" s="85">
        <v>28.92</v>
      </c>
      <c r="N32" s="3" t="s">
        <v>33</v>
      </c>
      <c r="O32" s="3">
        <v>2158366.0</v>
      </c>
      <c r="P32" s="3">
        <v>2158366.0</v>
      </c>
      <c r="Q32" s="3" t="s">
        <v>357</v>
      </c>
      <c r="R32" s="3" t="s">
        <v>401</v>
      </c>
      <c r="S32" s="3"/>
      <c r="T32" s="3"/>
      <c r="U32" s="3"/>
      <c r="V32" s="3"/>
      <c r="W32" s="3"/>
      <c r="X32" s="3"/>
      <c r="Y32" s="3"/>
      <c r="Z32" s="3"/>
    </row>
    <row r="33" ht="15.0" customHeight="1">
      <c r="A33" s="74">
        <v>448295.0</v>
      </c>
      <c r="B33" s="74" t="str">
        <f t="shared" si="3"/>
        <v>44829522</v>
      </c>
      <c r="C33" s="74">
        <v>1.9645587E7</v>
      </c>
      <c r="D33" s="58" t="s">
        <v>449</v>
      </c>
      <c r="E33" s="58" t="s">
        <v>450</v>
      </c>
      <c r="F33" s="58" t="s">
        <v>451</v>
      </c>
      <c r="G33" s="77">
        <v>45658.0</v>
      </c>
      <c r="H33" s="84"/>
      <c r="I33" s="84"/>
      <c r="J33" s="78">
        <v>46174.0</v>
      </c>
      <c r="K33" s="58" t="s">
        <v>452</v>
      </c>
      <c r="L33" s="58" t="s">
        <v>453</v>
      </c>
      <c r="M33" s="85">
        <v>28.92</v>
      </c>
      <c r="N33" s="3" t="s">
        <v>111</v>
      </c>
      <c r="O33" s="3">
        <v>1.9645587E7</v>
      </c>
      <c r="P33" s="3">
        <v>1.9645587E7</v>
      </c>
      <c r="Q33" s="3" t="s">
        <v>357</v>
      </c>
      <c r="R33" s="3" t="s">
        <v>401</v>
      </c>
      <c r="S33" s="3"/>
      <c r="T33" s="3"/>
      <c r="U33" s="3"/>
      <c r="V33" s="3"/>
      <c r="W33" s="3"/>
      <c r="X33" s="3"/>
      <c r="Y33" s="3"/>
      <c r="Z33" s="3"/>
    </row>
    <row r="34" ht="15.0" customHeight="1">
      <c r="A34" s="74">
        <v>439914.0</v>
      </c>
      <c r="B34" s="74" t="str">
        <f t="shared" si="3"/>
        <v>43991422</v>
      </c>
      <c r="C34" s="74">
        <v>1.9645587E7</v>
      </c>
      <c r="D34" s="58" t="s">
        <v>457</v>
      </c>
      <c r="E34" s="58" t="s">
        <v>461</v>
      </c>
      <c r="F34" s="58" t="s">
        <v>462</v>
      </c>
      <c r="G34" s="77">
        <v>45658.0</v>
      </c>
      <c r="H34" s="90"/>
      <c r="I34" s="90"/>
      <c r="J34" s="78">
        <v>46174.0</v>
      </c>
      <c r="K34" s="58" t="s">
        <v>465</v>
      </c>
      <c r="L34" s="58" t="s">
        <v>467</v>
      </c>
      <c r="M34" s="85">
        <v>28.92</v>
      </c>
      <c r="N34" s="3" t="s">
        <v>111</v>
      </c>
      <c r="O34" s="3">
        <v>1.9645587E7</v>
      </c>
      <c r="P34" s="3">
        <v>1.9645587E7</v>
      </c>
      <c r="Q34" s="3" t="s">
        <v>357</v>
      </c>
      <c r="R34" s="3" t="s">
        <v>401</v>
      </c>
      <c r="S34" s="3"/>
      <c r="T34" s="3"/>
      <c r="U34" s="3"/>
      <c r="V34" s="3"/>
      <c r="W34" s="3"/>
      <c r="X34" s="3"/>
      <c r="Y34" s="3"/>
      <c r="Z34" s="3"/>
    </row>
    <row r="35" ht="15.0" customHeight="1">
      <c r="A35" s="74">
        <v>444055.0</v>
      </c>
      <c r="B35" s="74" t="str">
        <f t="shared" si="3"/>
        <v>44405522</v>
      </c>
      <c r="C35" s="74">
        <v>1.9615078E7</v>
      </c>
      <c r="D35" s="58" t="s">
        <v>471</v>
      </c>
      <c r="E35" s="58" t="s">
        <v>472</v>
      </c>
      <c r="F35" s="58" t="s">
        <v>473</v>
      </c>
      <c r="G35" s="77">
        <v>45658.0</v>
      </c>
      <c r="H35" s="84"/>
      <c r="I35" s="84"/>
      <c r="J35" s="78">
        <v>46174.0</v>
      </c>
      <c r="K35" s="58" t="s">
        <v>474</v>
      </c>
      <c r="L35" s="58" t="s">
        <v>475</v>
      </c>
      <c r="M35" s="85">
        <v>28.92</v>
      </c>
      <c r="N35" s="3" t="s">
        <v>142</v>
      </c>
      <c r="O35" s="3">
        <v>1.9615078E7</v>
      </c>
      <c r="P35" s="3">
        <v>1.9615078E7</v>
      </c>
      <c r="Q35" s="3" t="s">
        <v>357</v>
      </c>
      <c r="R35" s="3" t="s">
        <v>401</v>
      </c>
      <c r="S35" s="3"/>
      <c r="T35" s="3"/>
      <c r="U35" s="3"/>
      <c r="V35" s="3"/>
      <c r="W35" s="3"/>
      <c r="X35" s="3"/>
      <c r="Y35" s="3"/>
      <c r="Z35" s="3"/>
    </row>
    <row r="36" ht="15.0" customHeight="1">
      <c r="A36" s="74">
        <v>446535.0</v>
      </c>
      <c r="B36" s="74" t="str">
        <f t="shared" si="3"/>
        <v>44653522</v>
      </c>
      <c r="C36" s="74">
        <v>1.7301495E7</v>
      </c>
      <c r="D36" s="58" t="s">
        <v>479</v>
      </c>
      <c r="E36" s="58" t="s">
        <v>481</v>
      </c>
      <c r="F36" s="58" t="s">
        <v>482</v>
      </c>
      <c r="G36" s="77">
        <v>45658.0</v>
      </c>
      <c r="H36" s="90"/>
      <c r="I36" s="90"/>
      <c r="J36" s="78">
        <v>46174.0</v>
      </c>
      <c r="K36" s="58" t="s">
        <v>483</v>
      </c>
      <c r="L36" s="58" t="s">
        <v>484</v>
      </c>
      <c r="M36" s="85">
        <v>28.92</v>
      </c>
      <c r="N36" s="3" t="s">
        <v>158</v>
      </c>
      <c r="O36" s="3">
        <v>1.7301495E7</v>
      </c>
      <c r="P36" s="3">
        <v>1.7301495E7</v>
      </c>
      <c r="Q36" s="3" t="s">
        <v>357</v>
      </c>
      <c r="R36" s="3" t="s">
        <v>401</v>
      </c>
      <c r="S36" s="3"/>
      <c r="T36" s="3"/>
      <c r="U36" s="3"/>
      <c r="V36" s="3"/>
      <c r="W36" s="3"/>
      <c r="X36" s="3"/>
      <c r="Y36" s="3"/>
      <c r="Z36" s="3"/>
    </row>
    <row r="37" ht="15.0" customHeight="1">
      <c r="A37" s="74">
        <v>447954.0</v>
      </c>
      <c r="B37" s="74" t="str">
        <f t="shared" si="3"/>
        <v>44795422</v>
      </c>
      <c r="C37" s="74">
        <v>1.6912722E7</v>
      </c>
      <c r="D37" s="58" t="s">
        <v>487</v>
      </c>
      <c r="E37" s="58" t="s">
        <v>488</v>
      </c>
      <c r="F37" s="58" t="s">
        <v>490</v>
      </c>
      <c r="G37" s="77">
        <v>45658.0</v>
      </c>
      <c r="H37" s="84"/>
      <c r="I37" s="84"/>
      <c r="J37" s="78">
        <v>46174.0</v>
      </c>
      <c r="K37" s="58" t="s">
        <v>491</v>
      </c>
      <c r="L37" s="58" t="s">
        <v>492</v>
      </c>
      <c r="M37" s="85">
        <v>28.92</v>
      </c>
      <c r="N37" s="3" t="s">
        <v>174</v>
      </c>
      <c r="O37" s="3">
        <v>1.6912722E7</v>
      </c>
      <c r="P37" s="3">
        <v>1.6912722E7</v>
      </c>
      <c r="Q37" s="3" t="s">
        <v>357</v>
      </c>
      <c r="R37" s="3" t="s">
        <v>401</v>
      </c>
      <c r="S37" s="3"/>
      <c r="T37" s="3"/>
      <c r="U37" s="3"/>
      <c r="V37" s="3"/>
      <c r="W37" s="3"/>
      <c r="X37" s="3"/>
      <c r="Y37" s="3"/>
      <c r="Z37" s="3"/>
    </row>
    <row r="38" ht="15.0" customHeight="1">
      <c r="A38" s="74">
        <v>447955.0</v>
      </c>
      <c r="B38" s="74" t="str">
        <f t="shared" si="3"/>
        <v>44795522</v>
      </c>
      <c r="C38" s="74">
        <v>1.6912722E7</v>
      </c>
      <c r="D38" s="58" t="s">
        <v>494</v>
      </c>
      <c r="E38" s="58" t="s">
        <v>495</v>
      </c>
      <c r="F38" s="58" t="s">
        <v>496</v>
      </c>
      <c r="G38" s="77">
        <v>45658.0</v>
      </c>
      <c r="H38" s="90"/>
      <c r="I38" s="90"/>
      <c r="J38" s="78">
        <v>46174.0</v>
      </c>
      <c r="K38" s="58" t="s">
        <v>497</v>
      </c>
      <c r="L38" s="58" t="s">
        <v>498</v>
      </c>
      <c r="M38" s="85">
        <v>28.92</v>
      </c>
      <c r="N38" s="3" t="s">
        <v>174</v>
      </c>
      <c r="O38" s="3">
        <v>1.6912722E7</v>
      </c>
      <c r="P38" s="3">
        <v>1.6912722E7</v>
      </c>
      <c r="Q38" s="3" t="s">
        <v>357</v>
      </c>
      <c r="R38" s="3" t="s">
        <v>401</v>
      </c>
      <c r="S38" s="3"/>
      <c r="T38" s="3"/>
      <c r="U38" s="3"/>
      <c r="V38" s="3"/>
      <c r="W38" s="3"/>
      <c r="X38" s="3"/>
      <c r="Y38" s="3"/>
      <c r="Z38" s="3"/>
    </row>
    <row r="39" ht="15.0" customHeight="1">
      <c r="A39" s="74">
        <v>448034.0</v>
      </c>
      <c r="B39" s="74" t="str">
        <f t="shared" si="3"/>
        <v>44803422</v>
      </c>
      <c r="C39" s="74">
        <v>1.6912722E7</v>
      </c>
      <c r="D39" s="58" t="s">
        <v>503</v>
      </c>
      <c r="E39" s="58" t="s">
        <v>504</v>
      </c>
      <c r="F39" s="58" t="s">
        <v>506</v>
      </c>
      <c r="G39" s="77">
        <v>45658.0</v>
      </c>
      <c r="H39" s="84"/>
      <c r="I39" s="84"/>
      <c r="J39" s="78">
        <v>46174.0</v>
      </c>
      <c r="K39" s="58" t="s">
        <v>508</v>
      </c>
      <c r="L39" s="58" t="s">
        <v>510</v>
      </c>
      <c r="M39" s="85">
        <v>28.92</v>
      </c>
      <c r="N39" s="3" t="s">
        <v>174</v>
      </c>
      <c r="O39" s="3">
        <v>1.6912722E7</v>
      </c>
      <c r="P39" s="3">
        <v>1.6912722E7</v>
      </c>
      <c r="Q39" s="3" t="s">
        <v>357</v>
      </c>
      <c r="R39" s="3" t="s">
        <v>401</v>
      </c>
      <c r="S39" s="3"/>
      <c r="T39" s="3"/>
      <c r="U39" s="3"/>
      <c r="V39" s="3"/>
      <c r="W39" s="3"/>
      <c r="X39" s="3"/>
      <c r="Y39" s="3"/>
      <c r="Z39" s="3"/>
    </row>
    <row r="40" ht="15.0" customHeight="1">
      <c r="A40" s="74">
        <v>447701.0</v>
      </c>
      <c r="B40" s="74" t="str">
        <f t="shared" si="3"/>
        <v>44770122</v>
      </c>
      <c r="C40" s="74">
        <v>1.6912722E7</v>
      </c>
      <c r="D40" s="58" t="s">
        <v>516</v>
      </c>
      <c r="E40" s="58" t="s">
        <v>518</v>
      </c>
      <c r="F40" s="58" t="s">
        <v>519</v>
      </c>
      <c r="G40" s="77">
        <v>45658.0</v>
      </c>
      <c r="H40" s="90"/>
      <c r="I40" s="90"/>
      <c r="J40" s="78">
        <v>46174.0</v>
      </c>
      <c r="K40" s="58" t="s">
        <v>521</v>
      </c>
      <c r="L40" s="58" t="s">
        <v>522</v>
      </c>
      <c r="M40" s="85">
        <v>28.92</v>
      </c>
      <c r="N40" s="3" t="s">
        <v>174</v>
      </c>
      <c r="O40" s="3">
        <v>1.6912722E7</v>
      </c>
      <c r="P40" s="3">
        <v>1.6912722E7</v>
      </c>
      <c r="Q40" s="3" t="s">
        <v>357</v>
      </c>
      <c r="R40" s="3" t="s">
        <v>401</v>
      </c>
      <c r="S40" s="3"/>
      <c r="T40" s="3"/>
      <c r="U40" s="3"/>
      <c r="V40" s="3"/>
      <c r="W40" s="3"/>
      <c r="X40" s="3"/>
      <c r="Y40" s="3"/>
      <c r="Z40" s="3"/>
    </row>
    <row r="41" ht="15.0" customHeight="1">
      <c r="A41" s="74">
        <v>446217.0</v>
      </c>
      <c r="B41" s="74" t="str">
        <f t="shared" si="3"/>
        <v>44621722</v>
      </c>
      <c r="C41" s="74">
        <v>1.6633294E7</v>
      </c>
      <c r="D41" s="58" t="s">
        <v>524</v>
      </c>
      <c r="E41" s="58" t="s">
        <v>525</v>
      </c>
      <c r="F41" s="58" t="s">
        <v>526</v>
      </c>
      <c r="G41" s="77">
        <v>45658.0</v>
      </c>
      <c r="H41" s="84"/>
      <c r="I41" s="84"/>
      <c r="J41" s="78">
        <v>46174.0</v>
      </c>
      <c r="K41" s="58" t="s">
        <v>527</v>
      </c>
      <c r="L41" s="58" t="s">
        <v>528</v>
      </c>
      <c r="M41" s="85">
        <v>28.92</v>
      </c>
      <c r="N41" s="3" t="s">
        <v>231</v>
      </c>
      <c r="O41" s="3">
        <v>1.6633294E7</v>
      </c>
      <c r="P41" s="3">
        <v>1.6633294E7</v>
      </c>
      <c r="Q41" s="3" t="s">
        <v>357</v>
      </c>
      <c r="R41" s="3" t="s">
        <v>401</v>
      </c>
      <c r="S41" s="3"/>
      <c r="T41" s="3"/>
      <c r="U41" s="3"/>
      <c r="V41" s="3"/>
      <c r="W41" s="3"/>
      <c r="X41" s="3"/>
      <c r="Y41" s="3"/>
      <c r="Z41" s="3"/>
    </row>
    <row r="42" ht="15.0" customHeight="1">
      <c r="A42" s="74">
        <v>443286.0</v>
      </c>
      <c r="B42" s="74" t="str">
        <f t="shared" si="3"/>
        <v>44328622</v>
      </c>
      <c r="C42" s="74">
        <v>1.6633294E7</v>
      </c>
      <c r="D42" s="58" t="s">
        <v>533</v>
      </c>
      <c r="E42" s="58" t="s">
        <v>535</v>
      </c>
      <c r="F42" s="58" t="s">
        <v>536</v>
      </c>
      <c r="G42" s="77">
        <v>45658.0</v>
      </c>
      <c r="H42" s="90"/>
      <c r="I42" s="90"/>
      <c r="J42" s="78">
        <v>46174.0</v>
      </c>
      <c r="K42" s="58" t="s">
        <v>538</v>
      </c>
      <c r="L42" s="58" t="s">
        <v>539</v>
      </c>
      <c r="M42" s="85">
        <v>28.92</v>
      </c>
      <c r="N42" s="3" t="s">
        <v>231</v>
      </c>
      <c r="O42" s="3">
        <v>1.6633294E7</v>
      </c>
      <c r="P42" s="3">
        <v>1.6633294E7</v>
      </c>
      <c r="Q42" s="3" t="s">
        <v>357</v>
      </c>
      <c r="R42" s="3" t="s">
        <v>401</v>
      </c>
      <c r="S42" s="3"/>
      <c r="T42" s="3"/>
      <c r="U42" s="3"/>
      <c r="V42" s="3"/>
      <c r="W42" s="3"/>
      <c r="X42" s="3"/>
      <c r="Y42" s="3"/>
      <c r="Z42" s="3"/>
    </row>
    <row r="43" ht="15.0" customHeight="1">
      <c r="A43" s="74">
        <v>443292.0</v>
      </c>
      <c r="B43" s="74" t="str">
        <f t="shared" si="3"/>
        <v>44329222</v>
      </c>
      <c r="C43" s="74">
        <v>1.6633294E7</v>
      </c>
      <c r="D43" s="58" t="s">
        <v>541</v>
      </c>
      <c r="E43" s="58" t="s">
        <v>542</v>
      </c>
      <c r="F43" s="58" t="s">
        <v>543</v>
      </c>
      <c r="G43" s="77">
        <v>45658.0</v>
      </c>
      <c r="H43" s="84"/>
      <c r="I43" s="84"/>
      <c r="J43" s="78">
        <v>46174.0</v>
      </c>
      <c r="K43" s="58" t="s">
        <v>544</v>
      </c>
      <c r="L43" s="58" t="s">
        <v>545</v>
      </c>
      <c r="M43" s="85">
        <v>28.92</v>
      </c>
      <c r="N43" s="3" t="s">
        <v>231</v>
      </c>
      <c r="O43" s="3">
        <v>1.6633294E7</v>
      </c>
      <c r="P43" s="3">
        <v>1.6633294E7</v>
      </c>
      <c r="Q43" s="3" t="s">
        <v>357</v>
      </c>
      <c r="R43" s="3" t="s">
        <v>401</v>
      </c>
      <c r="S43" s="3"/>
      <c r="T43" s="3"/>
      <c r="U43" s="3"/>
      <c r="V43" s="3"/>
      <c r="W43" s="3"/>
      <c r="X43" s="3"/>
      <c r="Y43" s="3"/>
      <c r="Z43" s="3"/>
    </row>
    <row r="44" ht="15.0" customHeight="1">
      <c r="A44" s="74">
        <v>444212.0</v>
      </c>
      <c r="B44" s="74" t="str">
        <f t="shared" si="3"/>
        <v>44421222</v>
      </c>
      <c r="C44" s="74">
        <v>1.6633294E7</v>
      </c>
      <c r="D44" s="58" t="s">
        <v>549</v>
      </c>
      <c r="E44" s="58" t="s">
        <v>550</v>
      </c>
      <c r="F44" s="58" t="s">
        <v>551</v>
      </c>
      <c r="G44" s="77">
        <v>45658.0</v>
      </c>
      <c r="H44" s="90"/>
      <c r="I44" s="90"/>
      <c r="J44" s="78">
        <v>46174.0</v>
      </c>
      <c r="K44" s="58" t="s">
        <v>554</v>
      </c>
      <c r="L44" s="58" t="s">
        <v>556</v>
      </c>
      <c r="M44" s="85">
        <v>28.92</v>
      </c>
      <c r="N44" s="3" t="s">
        <v>231</v>
      </c>
      <c r="O44" s="3">
        <v>1.6633294E7</v>
      </c>
      <c r="P44" s="3">
        <v>1.6633294E7</v>
      </c>
      <c r="Q44" s="3" t="s">
        <v>357</v>
      </c>
      <c r="R44" s="3" t="s">
        <v>401</v>
      </c>
      <c r="S44" s="3"/>
      <c r="T44" s="3"/>
      <c r="U44" s="3"/>
      <c r="V44" s="3"/>
      <c r="W44" s="3"/>
      <c r="X44" s="3"/>
      <c r="Y44" s="3"/>
      <c r="Z44" s="3"/>
    </row>
    <row r="45" ht="15.0" customHeight="1">
      <c r="A45" s="74">
        <v>443209.0</v>
      </c>
      <c r="B45" s="74" t="str">
        <f t="shared" si="3"/>
        <v>44320922</v>
      </c>
      <c r="C45" s="74">
        <v>1.6633294E7</v>
      </c>
      <c r="D45" s="58" t="s">
        <v>563</v>
      </c>
      <c r="E45" s="58" t="s">
        <v>564</v>
      </c>
      <c r="F45" s="58" t="s">
        <v>565</v>
      </c>
      <c r="G45" s="77">
        <v>45658.0</v>
      </c>
      <c r="H45" s="84"/>
      <c r="I45" s="84"/>
      <c r="J45" s="78">
        <v>46174.0</v>
      </c>
      <c r="K45" s="58" t="s">
        <v>566</v>
      </c>
      <c r="L45" s="58" t="s">
        <v>567</v>
      </c>
      <c r="M45" s="85">
        <v>28.92</v>
      </c>
      <c r="N45" s="3" t="s">
        <v>231</v>
      </c>
      <c r="O45" s="3">
        <v>1.6633294E7</v>
      </c>
      <c r="P45" s="3">
        <v>1.6633294E7</v>
      </c>
      <c r="Q45" s="3" t="s">
        <v>357</v>
      </c>
      <c r="R45" s="3" t="s">
        <v>401</v>
      </c>
      <c r="S45" s="3"/>
      <c r="T45" s="3"/>
      <c r="U45" s="3"/>
      <c r="V45" s="3"/>
      <c r="W45" s="3"/>
      <c r="X45" s="3"/>
      <c r="Y45" s="3"/>
      <c r="Z45" s="3"/>
    </row>
    <row r="46" ht="15.0" customHeight="1">
      <c r="A46" s="74">
        <v>440990.0</v>
      </c>
      <c r="B46" s="74" t="str">
        <f t="shared" si="3"/>
        <v>44099022</v>
      </c>
      <c r="C46" s="74">
        <v>1.6633294E7</v>
      </c>
      <c r="D46" s="58" t="s">
        <v>568</v>
      </c>
      <c r="E46" s="58" t="s">
        <v>569</v>
      </c>
      <c r="F46" s="58" t="s">
        <v>570</v>
      </c>
      <c r="G46" s="77">
        <v>45658.0</v>
      </c>
      <c r="H46" s="90"/>
      <c r="I46" s="90"/>
      <c r="J46" s="78">
        <v>46174.0</v>
      </c>
      <c r="K46" s="58" t="s">
        <v>572</v>
      </c>
      <c r="L46" s="58" t="s">
        <v>573</v>
      </c>
      <c r="M46" s="85">
        <v>28.92</v>
      </c>
      <c r="N46" s="3" t="s">
        <v>231</v>
      </c>
      <c r="O46" s="3">
        <v>1.6633294E7</v>
      </c>
      <c r="P46" s="3">
        <v>1.6633294E7</v>
      </c>
      <c r="Q46" s="3" t="s">
        <v>357</v>
      </c>
      <c r="R46" s="3" t="s">
        <v>401</v>
      </c>
      <c r="S46" s="3"/>
      <c r="T46" s="3"/>
      <c r="U46" s="3"/>
      <c r="V46" s="3"/>
      <c r="W46" s="3"/>
      <c r="X46" s="3"/>
      <c r="Y46" s="3"/>
      <c r="Z46" s="3"/>
    </row>
    <row r="47" ht="15.0" customHeight="1">
      <c r="A47" s="74">
        <v>445753.0</v>
      </c>
      <c r="B47" s="74" t="str">
        <f t="shared" si="3"/>
        <v>44575322</v>
      </c>
      <c r="C47" s="74">
        <v>1.6633294E7</v>
      </c>
      <c r="D47" s="58" t="s">
        <v>576</v>
      </c>
      <c r="E47" s="58" t="s">
        <v>577</v>
      </c>
      <c r="F47" s="58" t="s">
        <v>578</v>
      </c>
      <c r="G47" s="77">
        <v>45658.0</v>
      </c>
      <c r="H47" s="84"/>
      <c r="I47" s="84"/>
      <c r="J47" s="78">
        <v>46174.0</v>
      </c>
      <c r="K47" s="58" t="s">
        <v>581</v>
      </c>
      <c r="L47" s="58" t="s">
        <v>582</v>
      </c>
      <c r="M47" s="85">
        <v>28.92</v>
      </c>
      <c r="N47" s="3" t="s">
        <v>231</v>
      </c>
      <c r="O47" s="3">
        <v>1.6633294E7</v>
      </c>
      <c r="P47" s="3">
        <v>1.6633294E7</v>
      </c>
      <c r="Q47" s="3" t="s">
        <v>357</v>
      </c>
      <c r="R47" s="3" t="s">
        <v>401</v>
      </c>
      <c r="S47" s="3"/>
      <c r="T47" s="3"/>
      <c r="U47" s="3"/>
      <c r="V47" s="3"/>
      <c r="W47" s="3"/>
      <c r="X47" s="3"/>
      <c r="Y47" s="3"/>
      <c r="Z47" s="3"/>
    </row>
    <row r="48" ht="15.0" customHeight="1">
      <c r="A48" s="74">
        <v>446673.0</v>
      </c>
      <c r="B48" s="74" t="str">
        <f t="shared" si="3"/>
        <v>44667322</v>
      </c>
      <c r="C48" s="74">
        <v>1.6633294E7</v>
      </c>
      <c r="D48" s="58" t="s">
        <v>586</v>
      </c>
      <c r="E48" s="58" t="s">
        <v>587</v>
      </c>
      <c r="F48" s="58" t="s">
        <v>588</v>
      </c>
      <c r="G48" s="77">
        <v>45658.0</v>
      </c>
      <c r="H48" s="90"/>
      <c r="I48" s="90"/>
      <c r="J48" s="78">
        <v>46174.0</v>
      </c>
      <c r="K48" s="58" t="s">
        <v>589</v>
      </c>
      <c r="L48" s="58" t="s">
        <v>590</v>
      </c>
      <c r="M48" s="85">
        <v>28.92</v>
      </c>
      <c r="N48" s="3" t="s">
        <v>231</v>
      </c>
      <c r="O48" s="3">
        <v>1.6633294E7</v>
      </c>
      <c r="P48" s="3">
        <v>1.6633294E7</v>
      </c>
      <c r="Q48" s="3" t="s">
        <v>357</v>
      </c>
      <c r="R48" s="3" t="s">
        <v>401</v>
      </c>
      <c r="S48" s="3"/>
      <c r="T48" s="3"/>
      <c r="U48" s="3"/>
      <c r="V48" s="3"/>
      <c r="W48" s="3"/>
      <c r="X48" s="3"/>
      <c r="Y48" s="3"/>
      <c r="Z48" s="3"/>
    </row>
    <row r="49" ht="15.0" customHeight="1">
      <c r="A49" s="74">
        <v>447931.0</v>
      </c>
      <c r="B49" s="74" t="str">
        <f t="shared" si="3"/>
        <v>44793122</v>
      </c>
      <c r="C49" s="74">
        <v>1.6633294E7</v>
      </c>
      <c r="D49" s="58" t="s">
        <v>595</v>
      </c>
      <c r="E49" s="58" t="s">
        <v>596</v>
      </c>
      <c r="F49" s="58" t="s">
        <v>598</v>
      </c>
      <c r="G49" s="77">
        <v>45658.0</v>
      </c>
      <c r="H49" s="84"/>
      <c r="I49" s="84"/>
      <c r="J49" s="78">
        <v>46174.0</v>
      </c>
      <c r="K49" s="58" t="s">
        <v>600</v>
      </c>
      <c r="L49" s="58" t="s">
        <v>602</v>
      </c>
      <c r="M49" s="85">
        <v>28.92</v>
      </c>
      <c r="N49" s="3" t="s">
        <v>231</v>
      </c>
      <c r="O49" s="3">
        <v>1.6633294E7</v>
      </c>
      <c r="P49" s="3">
        <v>1.6633294E7</v>
      </c>
      <c r="Q49" s="3" t="s">
        <v>357</v>
      </c>
      <c r="R49" s="3" t="s">
        <v>401</v>
      </c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2026-06-17T09:02:49Z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2026-06-17T00:00:00Z</vt:filetime>
  </property>
  <property fmtid="{D5CDD505-2E9C-101B-9397-08002B2CF9AE}" pid="4" name="Creator">
    <vt:lpwstr>PDFium</vt:lpwstr>
  </property>
  <property fmtid="{D5CDD505-2E9C-101B-9397-08002B2CF9AE}" pid="5" name="Producer">
    <vt:lpwstr>PDFium</vt:lpwstr>
  </property>
  <property fmtid="{D5CDD505-2E9C-101B-9397-08002B2CF9AE}" pid="6" name="LastSaved">
    <vt:filetime>2026-06-17T00:00:00Z</vt:filetime>
  </property>
</Properties>
</file>