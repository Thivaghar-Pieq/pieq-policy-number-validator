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2026\March\"/>
    </mc:Choice>
  </mc:AlternateContent>
  <xr:revisionPtr revIDLastSave="0" documentId="13_ncr:1_{28D6AAE7-91DD-48E6-8F31-97C92C2EDBE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81029"/>
</workbook>
</file>

<file path=xl/calcChain.xml><?xml version="1.0" encoding="utf-8"?>
<calcChain xmlns="http://schemas.openxmlformats.org/spreadsheetml/2006/main">
  <c r="B27" i="4" l="1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<sst xmlns="http://schemas.openxmlformats.org/spreadsheetml/2006/main" count="1308" uniqueCount="889">
  <si>
    <t>Main Line Benefits LLC</t>
  </si>
  <si>
    <t>Statement Of Commissions</t>
  </si>
  <si>
    <t>Producer ID# 20411454</t>
  </si>
  <si>
    <t>Commission Period: 03/26 - 03/26</t>
  </si>
  <si>
    <t>SUMMARY</t>
  </si>
  <si>
    <t>Amount</t>
  </si>
  <si>
    <t>Payable Regular Commissions:</t>
  </si>
  <si>
    <t>New Enrollment Commissions</t>
  </si>
  <si>
    <t>Renewal Commissions</t>
  </si>
  <si>
    <t>Regular Commissions Sub-Totals:</t>
  </si>
  <si>
    <t>Total Commissions:</t>
  </si>
  <si>
    <t>SUMMARY TOTALS</t>
  </si>
  <si>
    <t>Beginning Balance Forward:</t>
  </si>
  <si>
    <t>Commission Activity:</t>
  </si>
  <si>
    <t>Bonuses:</t>
  </si>
  <si>
    <t>Manual Adjustments:</t>
  </si>
  <si>
    <t>Total Commissions:</t>
  </si>
  <si>
    <t>Amount to Pay:</t>
  </si>
  <si>
    <t>Ending Balance Forward:</t>
  </si>
  <si>
    <t>Date:</t>
  </si>
  <si>
    <t>03/12/2026 10:12 AM</t>
  </si>
  <si>
    <t>Voucher# 17733264847020000</t>
  </si>
  <si>
    <t>Paid to: Main Line Benefits LLC</t>
  </si>
  <si>
    <t>Page 1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</si>
  <si>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</si>
  <si>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</si>
  <si>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</si>
  <si>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</si>
  <si>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</si>
  <si>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Horn, Jeffrey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</si>
  <si>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</si>
  <si>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</si>
  <si>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</si>
  <si>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</si>
  <si>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</si>
  <si>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</si>
  <si>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</si>
  <si>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</si>
  <si>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</si>
  <si>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</si>
  <si>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</si>
  <si>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</si>
  <si>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</si>
  <si>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</si>
  <si>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</si>
  <si>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</si>
  <si>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</si>
  <si>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000449350</t>
  </si>
  <si>
    <t>Bauer, Dorothy</t>
  </si>
  <si>
    <t>MA</t>
  </si>
  <si>
    <t>IL</t>
  </si>
  <si>
    <t>03/01/2025</t>
  </si>
  <si>
    <t>03/2026</t>
  </si>
  <si>
    <t>Renew</t>
  </si>
  <si>
    <t>N</t>
  </si>
  <si>
    <t>000439384</t>
  </si>
  <si>
    <t>Huget, Werner</t>
  </si>
  <si>
    <t>MA</t>
  </si>
  <si>
    <t>IL</t>
  </si>
  <si>
    <t>01/01/2025</t>
  </si>
  <si>
    <t>03/2026</t>
  </si>
  <si>
    <t>Renew</t>
  </si>
  <si>
    <t>N</t>
  </si>
  <si>
    <t>000439383</t>
  </si>
  <si>
    <t>Huget, Dolores</t>
  </si>
  <si>
    <t>MA</t>
  </si>
  <si>
    <t>IL</t>
  </si>
  <si>
    <t>01/01/2025</t>
  </si>
  <si>
    <t>03/2026</t>
  </si>
  <si>
    <t>Renew</t>
  </si>
  <si>
    <t>N</t>
  </si>
  <si>
    <t>000442876</t>
  </si>
  <si>
    <t>Szela, Florence</t>
  </si>
  <si>
    <t>MA</t>
  </si>
  <si>
    <t>IL</t>
  </si>
  <si>
    <t>01/01/2025</t>
  </si>
  <si>
    <t>03/2026</t>
  </si>
  <si>
    <t>Renew</t>
  </si>
  <si>
    <t>N</t>
  </si>
  <si>
    <t>000445341</t>
  </si>
  <si>
    <t>Templin, Charles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</si>
  <si>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</si>
  <si>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</si>
  <si>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</si>
  <si>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</si>
  <si>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</si>
  <si>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</si>
  <si>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</si>
  <si>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</si>
  <si>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Horn, Jeffrey</t>
  </si>
  <si>
    <t>Date:</t>
  </si>
  <si>
    <t>03/12/2026 10:12 AM</t>
  </si>
  <si>
    <t>Voucher# 17733264847020000</t>
  </si>
  <si>
    <t>Paid to: Main Line Benefits LLC</t>
  </si>
  <si>
    <t>Page 2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</si>
  <si>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</si>
  <si>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</si>
  <si>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</si>
  <si>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</si>
  <si>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</si>
  <si>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Portugal, Stacey</t>
  </si>
  <si>
    <t>New Enrollment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</si>
  <si>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</si>
  <si>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</si>
  <si>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</si>
  <si>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</si>
  <si>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</si>
  <si>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</si>
  <si>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</si>
  <si>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</si>
  <si>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</si>
  <si>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</si>
  <si>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</si>
  <si>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</si>
  <si>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</si>
  <si>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</si>
  <si>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</si>
  <si>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</si>
  <si>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000463310</t>
  </si>
  <si>
    <t>Tummillo, Edward</t>
  </si>
  <si>
    <t>MA</t>
  </si>
  <si>
    <t>IL</t>
  </si>
  <si>
    <t>01/01/2026</t>
  </si>
  <si>
    <t>02/28/2026</t>
  </si>
  <si>
    <t>01/2026</t>
  </si>
  <si>
    <t>New to Plan</t>
  </si>
  <si>
    <t>Y</t>
  </si>
  <si>
    <t>Total for New Enrollments: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</si>
  <si>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</si>
  <si>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</si>
  <si>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</si>
  <si>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</si>
  <si>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</si>
  <si>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</si>
  <si>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</si>
  <si>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</si>
  <si>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</si>
  <si>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</si>
  <si>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</si>
  <si>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</si>
  <si>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</si>
  <si>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</si>
  <si>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</si>
  <si>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</si>
  <si>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</si>
  <si>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000448295</t>
  </si>
  <si>
    <t>Hamilton, Pamela</t>
  </si>
  <si>
    <t>MA</t>
  </si>
  <si>
    <t>IN</t>
  </si>
  <si>
    <t>01/01/2025</t>
  </si>
  <si>
    <t>03/2026</t>
  </si>
  <si>
    <t>Renew</t>
  </si>
  <si>
    <t>N</t>
  </si>
  <si>
    <t>000439914</t>
  </si>
  <si>
    <t>Packer, Patricia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</si>
  <si>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</si>
  <si>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</si>
  <si>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</si>
  <si>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</si>
  <si>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</si>
  <si>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</si>
  <si>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</si>
  <si>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</si>
  <si>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Portugal, Stacey</t>
  </si>
  <si>
    <t>Date:</t>
  </si>
  <si>
    <t>03/12/2026 10:12 AM</t>
  </si>
  <si>
    <t>Voucher# 17733264847020000</t>
  </si>
  <si>
    <t>Paid to: Main Line Benefits LLC</t>
  </si>
  <si>
    <t>Page 3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</si>
  <si>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</si>
  <si>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</si>
  <si>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</si>
  <si>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</si>
  <si>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</si>
  <si>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Wuensch, Richard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</si>
  <si>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</si>
  <si>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</si>
  <si>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</si>
  <si>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</si>
  <si>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</si>
  <si>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</si>
  <si>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</si>
  <si>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</si>
  <si>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</si>
  <si>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</si>
  <si>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</si>
  <si>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</si>
  <si>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</si>
  <si>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</si>
  <si>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</si>
  <si>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</si>
  <si>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</si>
  <si>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000444055</t>
  </si>
  <si>
    <t>Kritikos, Georgios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</si>
  <si>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</si>
  <si>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</si>
  <si>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</si>
  <si>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</si>
  <si>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</si>
  <si>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</si>
  <si>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</si>
  <si>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</si>
  <si>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Wuensch, Richard</t>
  </si>
  <si>
    <t>Date:</t>
  </si>
  <si>
    <t>03/12/2026 10:12 AM</t>
  </si>
  <si>
    <t>Voucher# 17733264847020000</t>
  </si>
  <si>
    <t>Paid to: Main Line Benefits LLC</t>
  </si>
  <si>
    <t>Page 4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</si>
  <si>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</si>
  <si>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</si>
  <si>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</si>
  <si>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</si>
  <si>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</si>
  <si>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Schumann, Barry</t>
  </si>
  <si>
    <t>New Enrollment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</si>
  <si>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</si>
  <si>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</si>
  <si>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</si>
  <si>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</si>
  <si>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</si>
  <si>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</si>
  <si>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</si>
  <si>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</si>
  <si>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</si>
  <si>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</si>
  <si>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</si>
  <si>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</si>
  <si>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</si>
  <si>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</si>
  <si>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</si>
  <si>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</si>
  <si>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000466607</t>
  </si>
  <si>
    <t>Masur, Sonia</t>
  </si>
  <si>
    <t>MA</t>
  </si>
  <si>
    <t>IL</t>
  </si>
  <si>
    <t>01/01/2026</t>
  </si>
  <si>
    <t>02/28/2026</t>
  </si>
  <si>
    <t>01/2026</t>
  </si>
  <si>
    <t>New to Plan</t>
  </si>
  <si>
    <t>Y</t>
  </si>
  <si>
    <t>Total for New Enrollments:</t>
  </si>
  <si>
    <t>Total for Writing Agent</t>
  </si>
  <si>
    <t>Schumann, Barry</t>
  </si>
  <si>
    <t>Date:</t>
  </si>
  <si>
    <t>03/12/2026 10:12 AM</t>
  </si>
  <si>
    <t>Voucher# 17733264847020000</t>
  </si>
  <si>
    <t>Paid to: Main Line Benefits LLC</t>
  </si>
  <si>
    <t>Page 5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</si>
  <si>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</si>
  <si>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</si>
  <si>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</si>
  <si>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</si>
  <si>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</si>
  <si>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Herrera-Larsen, Esther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</si>
  <si>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</si>
  <si>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</si>
  <si>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</si>
  <si>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</si>
  <si>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</si>
  <si>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</si>
  <si>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</si>
  <si>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</si>
  <si>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</si>
  <si>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</si>
  <si>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</si>
  <si>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</si>
  <si>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</si>
  <si>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</si>
  <si>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</si>
  <si>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</si>
  <si>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</si>
  <si>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000446535</t>
  </si>
  <si>
    <t>Hendrickson, Sarah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</si>
  <si>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</si>
  <si>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</si>
  <si>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</si>
  <si>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</si>
  <si>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</si>
  <si>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</si>
  <si>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</si>
  <si>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</si>
  <si>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Herrera-Larsen, Esther</t>
  </si>
  <si>
    <t>Date:</t>
  </si>
  <si>
    <t>03/12/2026 10:12 AM</t>
  </si>
  <si>
    <t>Voucher# 17733264847020000</t>
  </si>
  <si>
    <t>Paid to: Main Line Benefits LLC</t>
  </si>
  <si>
    <t>Page 6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</si>
  <si>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</si>
  <si>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</si>
  <si>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</si>
  <si>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</si>
  <si>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</si>
  <si>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Petrungaro, Andrea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</si>
  <si>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</si>
  <si>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</si>
  <si>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</si>
  <si>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</si>
  <si>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</si>
  <si>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</si>
  <si>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</si>
  <si>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</si>
  <si>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</si>
  <si>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</si>
  <si>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</si>
  <si>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</si>
  <si>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</si>
  <si>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</si>
  <si>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</si>
  <si>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</si>
  <si>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</si>
  <si>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000447954</t>
  </si>
  <si>
    <t>Campanella, Theodora</t>
  </si>
  <si>
    <t>MA</t>
  </si>
  <si>
    <t>IL</t>
  </si>
  <si>
    <t>01/01/2025</t>
  </si>
  <si>
    <t>03/2026</t>
  </si>
  <si>
    <t>Renew</t>
  </si>
  <si>
    <t>N</t>
  </si>
  <si>
    <t>000447955</t>
  </si>
  <si>
    <t>Chilstrom, Marne</t>
  </si>
  <si>
    <t>MA</t>
  </si>
  <si>
    <t>IL</t>
  </si>
  <si>
    <t>01/01/2025</t>
  </si>
  <si>
    <t>03/2026</t>
  </si>
  <si>
    <t>Renew</t>
  </si>
  <si>
    <t>N</t>
  </si>
  <si>
    <t>000448034</t>
  </si>
  <si>
    <t>Fluieras, Maria</t>
  </si>
  <si>
    <t>MA</t>
  </si>
  <si>
    <t>IL</t>
  </si>
  <si>
    <t>01/01/2025</t>
  </si>
  <si>
    <t>03/2026</t>
  </si>
  <si>
    <t>Renew</t>
  </si>
  <si>
    <t>N</t>
  </si>
  <si>
    <t>000447701</t>
  </si>
  <si>
    <t>Sisty, Carole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</si>
  <si>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</si>
  <si>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</si>
  <si>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</si>
  <si>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</si>
  <si>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</si>
  <si>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</si>
  <si>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</si>
  <si>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</si>
  <si>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Petrungaro, Andrea</t>
  </si>
  <si>
    <t>Date:</t>
  </si>
  <si>
    <t>03/12/2026 10:12 AM</t>
  </si>
  <si>
    <t>Voucher# 17733264847020000</t>
  </si>
  <si>
    <t>Paid to: Main Line Benefits LLC</t>
  </si>
  <si>
    <t>Page 7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</si>
  <si>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</si>
  <si>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</si>
  <si>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</si>
  <si>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</si>
  <si>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</si>
  <si>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Yale, Richard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</si>
  <si>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</si>
  <si>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</si>
  <si>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</si>
  <si>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</si>
  <si>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</si>
  <si>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</si>
  <si>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</si>
  <si>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</si>
  <si>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</si>
  <si>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</si>
  <si>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</si>
  <si>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</si>
  <si>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</si>
  <si>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</si>
  <si>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</si>
  <si>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</si>
  <si>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</si>
  <si>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000446217</t>
  </si>
  <si>
    <t>Gumbiner, Gail</t>
  </si>
  <si>
    <t>MA</t>
  </si>
  <si>
    <t>IL</t>
  </si>
  <si>
    <t>01/01/2025</t>
  </si>
  <si>
    <t>03/2026</t>
  </si>
  <si>
    <t>Renew</t>
  </si>
  <si>
    <t>N</t>
  </si>
  <si>
    <t>000443292</t>
  </si>
  <si>
    <t>Kanter, Larry</t>
  </si>
  <si>
    <t>MA</t>
  </si>
  <si>
    <t>IL</t>
  </si>
  <si>
    <t>01/01/2025</t>
  </si>
  <si>
    <t>03/2026</t>
  </si>
  <si>
    <t>Renew</t>
  </si>
  <si>
    <t>N</t>
  </si>
  <si>
    <t>000443286</t>
  </si>
  <si>
    <t>Kanter, Corrine</t>
  </si>
  <si>
    <t>MA</t>
  </si>
  <si>
    <t>IL</t>
  </si>
  <si>
    <t>01/01/2025</t>
  </si>
  <si>
    <t>03/2026</t>
  </si>
  <si>
    <t>Renew</t>
  </si>
  <si>
    <t>N</t>
  </si>
  <si>
    <t>000444212</t>
  </si>
  <si>
    <t>Kuenzel, Chrisanne</t>
  </si>
  <si>
    <t>MA</t>
  </si>
  <si>
    <t>IL</t>
  </si>
  <si>
    <t>01/01/2025</t>
  </si>
  <si>
    <t>03/2026</t>
  </si>
  <si>
    <t>Renew</t>
  </si>
  <si>
    <t>N</t>
  </si>
  <si>
    <t>000443209</t>
  </si>
  <si>
    <t>Langton, Joyce</t>
  </si>
  <si>
    <t>MA</t>
  </si>
  <si>
    <t>IL</t>
  </si>
  <si>
    <t>01/01/2025</t>
  </si>
  <si>
    <t>03/2026</t>
  </si>
  <si>
    <t>Renew</t>
  </si>
  <si>
    <t>N</t>
  </si>
  <si>
    <t>000440990</t>
  </si>
  <si>
    <t>McDonald, Lisa</t>
  </si>
  <si>
    <t>MA</t>
  </si>
  <si>
    <t>IL</t>
  </si>
  <si>
    <t>01/01/2025</t>
  </si>
  <si>
    <t>03/2026</t>
  </si>
  <si>
    <t>Renew</t>
  </si>
  <si>
    <t>N</t>
  </si>
  <si>
    <t>000445753</t>
  </si>
  <si>
    <t>Myers, Martin</t>
  </si>
  <si>
    <t>MA</t>
  </si>
  <si>
    <t>IL</t>
  </si>
  <si>
    <t>01/01/2025</t>
  </si>
  <si>
    <t>03/2026</t>
  </si>
  <si>
    <t>Renew</t>
  </si>
  <si>
    <t>N</t>
  </si>
  <si>
    <t>000446673</t>
  </si>
  <si>
    <t>Omark, Carl</t>
  </si>
  <si>
    <t>MA</t>
  </si>
  <si>
    <t>IL</t>
  </si>
  <si>
    <t>01/01/2025</t>
  </si>
  <si>
    <t>03/2026</t>
  </si>
  <si>
    <t>Renew</t>
  </si>
  <si>
    <t>N</t>
  </si>
  <si>
    <t>000447931</t>
  </si>
  <si>
    <t>Seidell, Helene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</si>
  <si>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</si>
  <si>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</si>
  <si>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</si>
  <si>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</si>
  <si>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</si>
  <si>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</si>
  <si>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</si>
  <si>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</si>
  <si>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Yale, Richard</t>
  </si>
  <si>
    <t>Date:</t>
  </si>
  <si>
    <t>03/12/2026 10:12 AM</t>
  </si>
  <si>
    <t>Voucher# 17733264847020000</t>
  </si>
  <si>
    <t>Paid to: Main Line Benefits LLC</t>
  </si>
  <si>
    <t>Page 8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</si>
  <si>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</si>
  <si>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</si>
  <si>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</si>
  <si>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</si>
  <si>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</si>
  <si>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Horn, Jeffrey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</si>
  <si>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</si>
  <si>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</si>
  <si>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</si>
  <si>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</si>
  <si>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</si>
  <si>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</si>
  <si>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</si>
  <si>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</si>
  <si>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</si>
  <si>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</si>
  <si>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</si>
  <si>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</si>
  <si>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</si>
  <si>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</si>
  <si>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</si>
  <si>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</si>
  <si>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</si>
  <si>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000449350</t>
  </si>
  <si>
    <t>Bauer, Dorothy</t>
  </si>
  <si>
    <t>MA</t>
  </si>
  <si>
    <t>IL</t>
  </si>
  <si>
    <t>03/01/2025</t>
  </si>
  <si>
    <t>03/2026</t>
  </si>
  <si>
    <t>Renew</t>
  </si>
  <si>
    <t>N</t>
  </si>
  <si>
    <t>000439383</t>
  </si>
  <si>
    <t>Huget, Dolores</t>
  </si>
  <si>
    <t>MA</t>
  </si>
  <si>
    <t>IL</t>
  </si>
  <si>
    <t>01/01/2025</t>
  </si>
  <si>
    <t>03/2026</t>
  </si>
  <si>
    <t>Renew</t>
  </si>
  <si>
    <t>N</t>
  </si>
  <si>
    <t>000439384</t>
  </si>
  <si>
    <t>Huget, Werner</t>
  </si>
  <si>
    <t>MA</t>
  </si>
  <si>
    <t>IL</t>
  </si>
  <si>
    <t>01/01/2025</t>
  </si>
  <si>
    <t>03/2026</t>
  </si>
  <si>
    <t>Renew</t>
  </si>
  <si>
    <t>N</t>
  </si>
  <si>
    <t>000442876</t>
  </si>
  <si>
    <t>Szela, Florence</t>
  </si>
  <si>
    <t>MA</t>
  </si>
  <si>
    <t>IL</t>
  </si>
  <si>
    <t>01/01/2025</t>
  </si>
  <si>
    <t>03/2026</t>
  </si>
  <si>
    <t>Renew</t>
  </si>
  <si>
    <t>N</t>
  </si>
  <si>
    <t>000445341</t>
  </si>
  <si>
    <t>Templin, Charles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</si>
  <si>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</si>
  <si>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</si>
  <si>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</si>
  <si>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</si>
  <si>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</si>
  <si>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</si>
  <si>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</si>
  <si>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</si>
  <si>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Horn, Jeffrey</t>
  </si>
  <si>
    <t>Date:</t>
  </si>
  <si>
    <t>03/12/2026 10:12 AM</t>
  </si>
  <si>
    <t>Voucher# 17733264847020000</t>
  </si>
  <si>
    <t>Paid to: Main Line Benefits LLC</t>
  </si>
  <si>
    <t>Page 9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</si>
  <si>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</si>
  <si>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</si>
  <si>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</si>
  <si>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</si>
  <si>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</si>
  <si>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Portugal, Stacey</t>
  </si>
  <si>
    <t>New Enrollment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</si>
  <si>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</si>
  <si>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</si>
  <si>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</si>
  <si>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</si>
  <si>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</si>
  <si>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</si>
  <si>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</si>
  <si>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</si>
  <si>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</si>
  <si>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</si>
  <si>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</si>
  <si>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</si>
  <si>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</si>
  <si>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</si>
  <si>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</si>
  <si>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</si>
  <si>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000463310</t>
  </si>
  <si>
    <t>Tummillo, Edward</t>
  </si>
  <si>
    <t>MA</t>
  </si>
  <si>
    <t>IL</t>
  </si>
  <si>
    <t>01/01/2026</t>
  </si>
  <si>
    <t>02/28/2026</t>
  </si>
  <si>
    <t>01/2026</t>
  </si>
  <si>
    <t>New to Plan</t>
  </si>
  <si>
    <t>Y</t>
  </si>
  <si>
    <t>Total for New Enrollments: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</si>
  <si>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</si>
  <si>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</si>
  <si>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</si>
  <si>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</si>
  <si>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</si>
  <si>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</si>
  <si>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</si>
  <si>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</si>
  <si>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</si>
  <si>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</si>
  <si>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</si>
  <si>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</si>
  <si>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</si>
  <si>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</si>
  <si>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</si>
  <si>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</si>
  <si>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</si>
  <si>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000448295</t>
  </si>
  <si>
    <t>Hamilton, Pamela</t>
  </si>
  <si>
    <t>MA</t>
  </si>
  <si>
    <t>IN</t>
  </si>
  <si>
    <t>01/01/2025</t>
  </si>
  <si>
    <t>03/2026</t>
  </si>
  <si>
    <t>Renew</t>
  </si>
  <si>
    <t>N</t>
  </si>
  <si>
    <t>000439914</t>
  </si>
  <si>
    <t>Packer, Patricia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</si>
  <si>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</si>
  <si>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</si>
  <si>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</si>
  <si>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</si>
  <si>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</si>
  <si>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</si>
  <si>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</si>
  <si>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</si>
  <si>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Portugal, Stacey</t>
  </si>
  <si>
    <t>Date:</t>
  </si>
  <si>
    <t>03/12/2026 10:12 AM</t>
  </si>
  <si>
    <t>Voucher# 17733264847020000</t>
  </si>
  <si>
    <t>Paid to: Main Line Benefits LLC</t>
  </si>
  <si>
    <t>Page 10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</si>
  <si>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</si>
  <si>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</si>
  <si>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</si>
  <si>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</si>
  <si>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</si>
  <si>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Wuensch, Richard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</si>
  <si>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</si>
  <si>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</si>
  <si>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</si>
  <si>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</si>
  <si>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</si>
  <si>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</si>
  <si>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</si>
  <si>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</si>
  <si>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</si>
  <si>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</si>
  <si>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</si>
  <si>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</si>
  <si>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</si>
  <si>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</si>
  <si>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</si>
  <si>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</si>
  <si>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</si>
  <si>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000444055</t>
  </si>
  <si>
    <t>Kritikos, Georgios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</si>
  <si>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</si>
  <si>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</si>
  <si>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</si>
  <si>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</si>
  <si>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</si>
  <si>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</si>
  <si>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</si>
  <si>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</si>
  <si>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Wuensch, Richard</t>
  </si>
  <si>
    <t>Date:</t>
  </si>
  <si>
    <t>03/12/2026 10:12 AM</t>
  </si>
  <si>
    <t>Voucher# 17733264847020000</t>
  </si>
  <si>
    <t>Paid to: Main Line Benefits LLC</t>
  </si>
  <si>
    <t>Page 11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</si>
  <si>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</si>
  <si>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</si>
  <si>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</si>
  <si>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</si>
  <si>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</si>
  <si>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Schumann, Barry</t>
  </si>
  <si>
    <t>New Enrollment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</si>
  <si>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</si>
  <si>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</si>
  <si>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</si>
  <si>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</si>
  <si>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</si>
  <si>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</si>
  <si>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</si>
  <si>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</si>
  <si>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</si>
  <si>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</si>
  <si>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</si>
  <si>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</si>
  <si>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</si>
  <si>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</si>
  <si>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</si>
  <si>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</si>
  <si>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000466607</t>
  </si>
  <si>
    <t>Masur, Sonia</t>
  </si>
  <si>
    <t>MA</t>
  </si>
  <si>
    <t>IL</t>
  </si>
  <si>
    <t>01/01/2026</t>
  </si>
  <si>
    <t>02/28/2026</t>
  </si>
  <si>
    <t>01/2026</t>
  </si>
  <si>
    <t>New to Plan</t>
  </si>
  <si>
    <t>Y</t>
  </si>
  <si>
    <t>Total for New Enrollments:</t>
  </si>
  <si>
    <t>Total for Writing Agent</t>
  </si>
  <si>
    <t>Schumann, Barry</t>
  </si>
  <si>
    <t>Date:</t>
  </si>
  <si>
    <t>03/12/2026 10:12 AM</t>
  </si>
  <si>
    <t>Voucher# 17733264847020000</t>
  </si>
  <si>
    <t>Paid to: Main Line Benefits LLC</t>
  </si>
  <si>
    <t>Page 12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</si>
  <si>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</si>
  <si>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</si>
  <si>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</si>
  <si>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</si>
  <si>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</si>
  <si>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Herrera-Larsen, Esther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</si>
  <si>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</si>
  <si>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</si>
  <si>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</si>
  <si>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</si>
  <si>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</si>
  <si>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</si>
  <si>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</si>
  <si>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</si>
  <si>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</si>
  <si>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</si>
  <si>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</si>
  <si>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</si>
  <si>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</si>
  <si>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</si>
  <si>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</si>
  <si>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</si>
  <si>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</si>
  <si>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000446535</t>
  </si>
  <si>
    <t>Hendrickson, Sarah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</si>
  <si>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</si>
  <si>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</si>
  <si>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</si>
  <si>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</si>
  <si>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</si>
  <si>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</si>
  <si>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</si>
  <si>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</si>
  <si>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Herrera-Larsen, Esther</t>
  </si>
  <si>
    <t>Date:</t>
  </si>
  <si>
    <t>03/12/2026 10:12 AM</t>
  </si>
  <si>
    <t>Voucher# 17733264847020000</t>
  </si>
  <si>
    <t>Paid to: Main Line Benefits LLC</t>
  </si>
  <si>
    <t>Page 13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</si>
  <si>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</si>
  <si>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</si>
  <si>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</si>
  <si>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</si>
  <si>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</si>
  <si>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Petrungaro, Andrea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</si>
  <si>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</si>
  <si>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</si>
  <si>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</si>
  <si>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</si>
  <si>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</si>
  <si>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</si>
  <si>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</si>
  <si>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</si>
  <si>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</si>
  <si>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</si>
  <si>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</si>
  <si>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</si>
  <si>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</si>
  <si>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</si>
  <si>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</si>
  <si>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</si>
  <si>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</si>
  <si>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000447954</t>
  </si>
  <si>
    <t>Campanella, Theodora</t>
  </si>
  <si>
    <t>MA</t>
  </si>
  <si>
    <t>IL</t>
  </si>
  <si>
    <t>01/01/2025</t>
  </si>
  <si>
    <t>03/2026</t>
  </si>
  <si>
    <t>Renew</t>
  </si>
  <si>
    <t>N</t>
  </si>
  <si>
    <t>000447955</t>
  </si>
  <si>
    <t>Chilstrom, Marne</t>
  </si>
  <si>
    <t>MA</t>
  </si>
  <si>
    <t>IL</t>
  </si>
  <si>
    <t>01/01/2025</t>
  </si>
  <si>
    <t>03/2026</t>
  </si>
  <si>
    <t>Renew</t>
  </si>
  <si>
    <t>N</t>
  </si>
  <si>
    <t>000448034</t>
  </si>
  <si>
    <t>Fluieras, Maria</t>
  </si>
  <si>
    <t>MA</t>
  </si>
  <si>
    <t>IL</t>
  </si>
  <si>
    <t>01/01/2025</t>
  </si>
  <si>
    <t>03/2026</t>
  </si>
  <si>
    <t>Renew</t>
  </si>
  <si>
    <t>N</t>
  </si>
  <si>
    <t>000447701</t>
  </si>
  <si>
    <t>Sisty, Carole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</si>
  <si>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</si>
  <si>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</si>
  <si>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</si>
  <si>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</si>
  <si>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</si>
  <si>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</si>
  <si>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</si>
  <si>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</si>
  <si>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Petrungaro, Andrea</t>
  </si>
  <si>
    <t>Date:</t>
  </si>
  <si>
    <t>03/12/2026 10:12 AM</t>
  </si>
  <si>
    <t>Voucher# 17733264847020000</t>
  </si>
  <si>
    <t>Paid to: Main Line Benefits LLC</t>
  </si>
  <si>
    <t>Page 14 of 15</t>
  </si>
  <si>
    <t>Main Line Benefits LLC</t>
  </si>
  <si>
    <t>Statement Of Commissions</t>
  </si>
  <si>
    <t>Producer ID# 20411454</t>
  </si>
  <si>
    <t>Commission Period: 03/26 - 03/26</t>
  </si>
  <si>
    <t>Writing Agent</t>
  </si>
  <si>
    <t>Yale, Richard</t>
  </si>
  <si>
    <t>Annual Renewals</t>
  </si>
  <si>
    <t>Policy</t>
  </si>
  <si>
    <t>Effective</t>
  </si>
  <si>
    <t>CMS Payment</t>
  </si>
  <si>
    <t>Commission</t>
  </si>
  <si>
    <t>Member ID</t>
  </si>
  <si>
    <t>Writing ID</t>
  </si>
  <si>
    <t>Name</t>
  </si>
  <si>
    <t>Product</t>
  </si>
  <si>
    <t>State</t>
  </si>
  <si>
    <t>Date</t>
  </si>
  <si>
    <t>Term Date</t>
  </si>
  <si>
    <t>Term Code</t>
  </si>
  <si>
    <t>Period</t>
  </si>
  <si>
    <t>Type</t>
  </si>
  <si>
    <t>Retro</t>
  </si>
  <si>
    <t>Amount</t>
  </si>
  <si>
    <t>000446217</t>
  </si>
  <si>
    <t>Gumbiner, Gail</t>
  </si>
  <si>
    <t>MA</t>
  </si>
  <si>
    <t>IL</t>
  </si>
  <si>
    <t>01/01/2025</t>
  </si>
  <si>
    <t>03/2026</t>
  </si>
  <si>
    <t>Renew</t>
  </si>
  <si>
    <t>N</t>
  </si>
  <si>
    <t>000443292</t>
  </si>
  <si>
    <t>Kanter, Larry</t>
  </si>
  <si>
    <t>MA</t>
  </si>
  <si>
    <t>IL</t>
  </si>
  <si>
    <t>01/01/2025</t>
  </si>
  <si>
    <t>03/2026</t>
  </si>
  <si>
    <t>Renew</t>
  </si>
  <si>
    <t>N</t>
  </si>
  <si>
    <t>000443286</t>
  </si>
  <si>
    <t>Kanter, Corrine</t>
  </si>
  <si>
    <t>MA</t>
  </si>
  <si>
    <t>IL</t>
  </si>
  <si>
    <t>01/01/2025</t>
  </si>
  <si>
    <t>03/2026</t>
  </si>
  <si>
    <t>Renew</t>
  </si>
  <si>
    <t>N</t>
  </si>
  <si>
    <t>000444212</t>
  </si>
  <si>
    <t>Kuenzel, Chrisanne</t>
  </si>
  <si>
    <t>MA</t>
  </si>
  <si>
    <t>IL</t>
  </si>
  <si>
    <t>01/01/2025</t>
  </si>
  <si>
    <t>03/2026</t>
  </si>
  <si>
    <t>Renew</t>
  </si>
  <si>
    <t>N</t>
  </si>
  <si>
    <t>000443209</t>
  </si>
  <si>
    <t>Langton, Joyce</t>
  </si>
  <si>
    <t>MA</t>
  </si>
  <si>
    <t>IL</t>
  </si>
  <si>
    <t>01/01/2025</t>
  </si>
  <si>
    <t>03/2026</t>
  </si>
  <si>
    <t>Renew</t>
  </si>
  <si>
    <t>N</t>
  </si>
  <si>
    <t>000440990</t>
  </si>
  <si>
    <t>McDonald, Lisa</t>
  </si>
  <si>
    <t>MA</t>
  </si>
  <si>
    <t>IL</t>
  </si>
  <si>
    <t>01/01/2025</t>
  </si>
  <si>
    <t>03/2026</t>
  </si>
  <si>
    <t>Renew</t>
  </si>
  <si>
    <t>N</t>
  </si>
  <si>
    <t>000445753</t>
  </si>
  <si>
    <t>Myers, Martin</t>
  </si>
  <si>
    <t>MA</t>
  </si>
  <si>
    <t>IL</t>
  </si>
  <si>
    <t>01/01/2025</t>
  </si>
  <si>
    <t>03/2026</t>
  </si>
  <si>
    <t>Renew</t>
  </si>
  <si>
    <t>N</t>
  </si>
  <si>
    <t>000446673</t>
  </si>
  <si>
    <t>Omark, Carl</t>
  </si>
  <si>
    <t>MA</t>
  </si>
  <si>
    <t>IL</t>
  </si>
  <si>
    <t>01/01/2025</t>
  </si>
  <si>
    <t>03/2026</t>
  </si>
  <si>
    <t>Renew</t>
  </si>
  <si>
    <t>N</t>
  </si>
  <si>
    <t>000447931</t>
  </si>
  <si>
    <t>Seidell, Helene</t>
  </si>
  <si>
    <t>MA</t>
  </si>
  <si>
    <t>IL</t>
  </si>
  <si>
    <t>01/01/2025</t>
  </si>
  <si>
    <t>03/2026</t>
  </si>
  <si>
    <t>Renew</t>
  </si>
  <si>
    <t>N</t>
  </si>
  <si>
    <t>Total for Annual Renewals:</t>
  </si>
  <si>
    <t>Total for Writing Agent</t>
  </si>
  <si>
    <t>Yale, Richard</t>
  </si>
  <si>
    <t>Total for Writing Agent</t>
  </si>
  <si>
    <t>Yale, Richard</t>
  </si>
  <si>
    <t>Date:</t>
  </si>
  <si>
    <t>03/12/2026 10:12 AM</t>
  </si>
  <si>
    <t>Voucher# 17733264847020000</t>
  </si>
  <si>
    <t>Paid to: Main Line Benefits LLC</t>
  </si>
  <si>
    <t>Page 15 of 15</t>
  </si>
  <si>
    <t>Main Line Benefits</t>
  </si>
  <si>
    <t>Essence MAPD OVR</t>
  </si>
  <si>
    <t>Essence MAPD 2026*</t>
  </si>
  <si>
    <t>[%/$=347][prorate=12/12]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</si>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</sst>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809]#,##0.00"/>
  </numFmts>
  <fonts count="11" x14ac:knownFonts="1">
    <font>
      <sz val="10"/>
      <name val="Arial"/>
      <family val="2"/>
    </font>
    <font>
      <sz val="9"/>
      <name val="Arial"/>
      <family val="2"/>
    </font>
    <font>
      <sz val="13"/>
      <name val="Arial Bold"/>
      <family val="2"/>
    </font>
    <font>
      <sz val="10"/>
      <name val="Arial"/>
      <family val="2"/>
    </font>
    <font>
      <sz val="10"/>
      <name val="Arial Bold"/>
      <family val="2"/>
    </font>
    <font>
      <sz val="9"/>
      <name val="Arial Bold"/>
      <family val="2"/>
    </font>
    <font>
      <sz val="11"/>
      <name val="Arial Bold"/>
      <family val="2"/>
    </font>
    <font>
      <sz val="9"/>
      <color rgb="FFFF0000"/>
      <name val="Arial Bold"/>
      <family val="2"/>
    </font>
    <font>
      <sz val="8"/>
      <name val="Arial"/>
      <family val="2"/>
    </font>
    <font>
      <sz val="8"/>
      <color rgb="FFCC0000"/>
      <name val="Arial"/>
      <family val="2"/>
    </font>
    <font>
      <sz val="9"/>
      <color rgb="FFCC0000"/>
      <name val="Arial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/>
    <xf numFmtId="164" fontId="5" fillId="0" borderId="0" xfId="0" applyNumberFormat="1" applyFont="1"/>
    <xf numFmtId="0" fontId="6" fillId="0" borderId="0" xfId="0" applyFont="1"/>
    <xf numFmtId="164" fontId="7" fillId="0" borderId="0" xfId="0" applyNumberFormat="1" applyFont="1"/>
    <xf numFmtId="1" fontId="4" fillId="0" borderId="0" xfId="0" applyNumberFormat="1" applyFont="1"/>
    <xf numFmtId="0" fontId="8" fillId="0" borderId="0" xfId="0" applyFont="1"/>
    <xf numFmtId="1" fontId="8" fillId="0" borderId="0" xfId="0" applyNumberFormat="1" applyFont="1"/>
    <xf numFmtId="164" fontId="8" fillId="0" borderId="0" xfId="0" applyNumberFormat="1" applyFont="1"/>
    <xf numFmtId="1" fontId="5" fillId="0" borderId="0" xfId="0" applyNumberFormat="1" applyFont="1"/>
    <xf numFmtId="164" fontId="9" fillId="0" borderId="0" xfId="0" applyNumberFormat="1" applyFont="1"/>
    <xf numFmtId="164" fontId="10" fillId="0" borderId="0" xfId="0" applyNumberFormat="1" applyFont="1"/>
    <xf numFmtId="1" fontId="6" fillId="0" borderId="0" xfId="0" applyNumberFormat="1" applyFont="1"/>
    <xf numFmtId="0" fontId="8" fillId="0" borderId="0" xfId="0" applyNumberFormat="1" applyFont="1"/>
    <xf numFmtId="0" fontId="8" fillId="2" borderId="0" xfId="0" applyNumberFormat="1" applyFont="1" applyFill="1"/>
    <xf numFmtId="1" fontId="8" fillId="2" borderId="0" xfId="0" applyNumberFormat="1" applyFont="1" applyFill="1"/>
    <xf numFmtId="0" fontId="8" fillId="2" borderId="0" xfId="0" applyFont="1" applyFill="1"/>
    <xf numFmtId="0" fontId="0" fillId="2" borderId="0" xfId="0" applyFill="1"/>
    <xf numFmtId="164" fontId="8" fillId="2" borderId="0" xfId="0" applyNumberFormat="1" applyFont="1" applyFill="1"/>
    <xf numFmtId="0" fontId="5" fillId="2" borderId="0" xfId="0" applyFont="1" applyFill="1"/>
    <xf numFmtId="164" fontId="9" fillId="2" borderId="0" xfId="0" applyNumberFormat="1" applyFont="1" applyFill="1"/>
    <xf numFmtId="14" fontId="8" fillId="2" borderId="0" xfId="0" applyNumberFormat="1" applyFont="1" applyFill="1"/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77"/>
  <sheetViews>
    <sheetView workbookViewId="0">
      <selection activeCell="B16" sqref="B16"/>
    </sheetView>
  </sheetViews>
  <sheetFormatPr defaultRowHeight="12.75" x14ac:dyDescent="0.2"/>
  <cols>
    <col min="1" max="1" width="27"/>
    <col min="2" max="2" width="35"/>
    <col min="3" max="3" width="26"/>
    <col min="4" max="4" width="10"/>
    <col min="5" max="5" width="17"/>
    <col min="6" max="6" width="24"/>
    <col min="7" max="8" width="9"/>
    <col min="9" max="9" width="8"/>
    <col min="10" max="10" width="10"/>
    <col min="11" max="11" width="8"/>
    <col min="12" max="12" width="10"/>
  </cols>
  <sheetData>
    <row r="3" spans="1:2" ht="16.5" x14ac:dyDescent="0.25">
      <c r="A3" s="1" t="s">
        <v>0</v>
      </c>
      <c r="B3" s="2" t="s">
        <v>1</v>
      </c>
    </row>
    <row r="5" spans="1:2" x14ac:dyDescent="0.2">
      <c r="A5" s="1" t="s">
        <v>2</v>
      </c>
      <c r="B5" s="3" t="s">
        <v>3</v>
      </c>
    </row>
    <row r="7" spans="1:2" x14ac:dyDescent="0.2">
      <c r="A7" s="4" t="s">
        <v>4</v>
      </c>
    </row>
    <row r="8" spans="1:2" x14ac:dyDescent="0.2">
      <c r="B8" s="5" t="s">
        <v>5</v>
      </c>
    </row>
    <row r="9" spans="1:2" x14ac:dyDescent="0.2">
      <c r="A9" s="5" t="s">
        <v>6</v>
      </c>
    </row>
    <row r="10" spans="1:2" x14ac:dyDescent="0.2">
      <c r="A10" s="1" t="s">
        <v>7</v>
      </c>
      <c r="B10" s="6">
        <v>-1254</v>
      </c>
    </row>
    <row r="11" spans="1:2" x14ac:dyDescent="0.2">
      <c r="A11" s="1" t="s">
        <v>8</v>
      </c>
      <c r="B11" s="6">
        <v>828.74</v>
      </c>
    </row>
    <row r="12" spans="1:2" x14ac:dyDescent="0.2">
      <c r="A12" s="5" t="s">
        <v>9</v>
      </c>
      <c r="B12" s="7">
        <v>-425.26</v>
      </c>
    </row>
    <row r="13" spans="1:2" x14ac:dyDescent="0.2">
      <c r="A13" s="5" t="s">
        <v>10</v>
      </c>
      <c r="B13" s="7">
        <v>-425.26</v>
      </c>
    </row>
    <row r="14" spans="1:2" ht="15" x14ac:dyDescent="0.25">
      <c r="A14" s="8" t="s">
        <v>11</v>
      </c>
    </row>
    <row r="15" spans="1:2" x14ac:dyDescent="0.2">
      <c r="A15" s="5" t="s">
        <v>12</v>
      </c>
      <c r="B15" s="9">
        <v>-1859.84</v>
      </c>
    </row>
    <row r="16" spans="1:2" x14ac:dyDescent="0.2">
      <c r="A16" s="5" t="s">
        <v>13</v>
      </c>
      <c r="B16" s="7">
        <v>-425.26</v>
      </c>
    </row>
    <row r="17" spans="1:12" x14ac:dyDescent="0.2">
      <c r="A17" s="5" t="s">
        <v>14</v>
      </c>
      <c r="B17" s="7">
        <v>0</v>
      </c>
    </row>
    <row r="18" spans="1:12" x14ac:dyDescent="0.2">
      <c r="A18" s="5" t="s">
        <v>15</v>
      </c>
      <c r="B18" s="7">
        <v>0</v>
      </c>
    </row>
    <row r="19" spans="1:12" x14ac:dyDescent="0.2">
      <c r="A19" s="5" t="s">
        <v>16</v>
      </c>
      <c r="B19" s="9">
        <v>-2285.1</v>
      </c>
    </row>
    <row r="20" spans="1:12" x14ac:dyDescent="0.2">
      <c r="A20" s="5" t="s">
        <v>17</v>
      </c>
      <c r="B20" s="9">
        <v>0</v>
      </c>
    </row>
    <row r="21" spans="1:12" x14ac:dyDescent="0.2">
      <c r="A21" s="5" t="s">
        <v>18</v>
      </c>
      <c r="B21" s="9">
        <v>-2285.1</v>
      </c>
    </row>
    <row r="23" spans="1:12" x14ac:dyDescent="0.2">
      <c r="A23" s="5" t="s">
        <v>19</v>
      </c>
      <c r="B23" s="5" t="s">
        <v>20</v>
      </c>
      <c r="C23" s="5" t="s">
        <v>21</v>
      </c>
    </row>
    <row r="24" spans="1:12" x14ac:dyDescent="0.2">
      <c r="A24" s="5" t="s">
        <v>22</v>
      </c>
      <c r="C24" s="5" t="s">
        <v>23</v>
      </c>
    </row>
    <row r="26" spans="1:12" ht="16.5" x14ac:dyDescent="0.25">
      <c r="A26" s="1" t="s">
        <v>24</v>
      </c>
      <c r="B26" s="2" t="s">
        <v>25</v>
      </c>
    </row>
    <row r="28" spans="1:12" x14ac:dyDescent="0.2">
      <c r="A28" s="1" t="s">
        <v>26</v>
      </c>
      <c r="B28" s="3" t="s">
        <v>27</v>
      </c>
    </row>
    <row r="30" spans="1:12" x14ac:dyDescent="0.2">
      <c r="A30" s="4" t="s">
        <v>28</v>
      </c>
      <c r="C30" s="10">
        <v>2158366</v>
      </c>
      <c r="E30" s="4" t="s">
        <v>29</v>
      </c>
    </row>
    <row r="31" spans="1:12" x14ac:dyDescent="0.2">
      <c r="F31" s="4" t="s">
        <v>30</v>
      </c>
    </row>
    <row r="32" spans="1:12" x14ac:dyDescent="0.2">
      <c r="E32" s="5" t="s">
        <v>31</v>
      </c>
      <c r="F32" s="5" t="s">
        <v>32</v>
      </c>
      <c r="J32" s="5" t="s">
        <v>33</v>
      </c>
      <c r="L32" s="5" t="s">
        <v>34</v>
      </c>
    </row>
    <row r="33" spans="1:12" x14ac:dyDescent="0.2">
      <c r="A33" s="5" t="s">
        <v>35</v>
      </c>
      <c r="B33" s="5" t="s">
        <v>36</v>
      </c>
      <c r="C33" s="5" t="s">
        <v>37</v>
      </c>
      <c r="D33" s="5" t="s">
        <v>38</v>
      </c>
      <c r="E33" s="5" t="s">
        <v>39</v>
      </c>
      <c r="F33" s="5" t="s">
        <v>40</v>
      </c>
      <c r="G33" s="5" t="s">
        <v>41</v>
      </c>
      <c r="H33" s="5" t="s">
        <v>42</v>
      </c>
      <c r="I33" s="5" t="s">
        <v>43</v>
      </c>
      <c r="J33" s="5" t="s">
        <v>44</v>
      </c>
      <c r="K33" s="5" t="s">
        <v>45</v>
      </c>
      <c r="L33" s="5" t="s">
        <v>46</v>
      </c>
    </row>
    <row r="34" spans="1:12" x14ac:dyDescent="0.2">
      <c r="A34" s="11" t="s">
        <v>47</v>
      </c>
      <c r="B34" s="12">
        <v>2158366</v>
      </c>
      <c r="C34" s="11" t="s">
        <v>48</v>
      </c>
      <c r="D34" s="11" t="s">
        <v>49</v>
      </c>
      <c r="E34" s="11" t="s">
        <v>50</v>
      </c>
      <c r="F34" s="11" t="s">
        <v>51</v>
      </c>
      <c r="I34" s="11" t="s">
        <v>52</v>
      </c>
      <c r="J34" s="11" t="s">
        <v>53</v>
      </c>
      <c r="K34" s="11" t="s">
        <v>54</v>
      </c>
      <c r="L34" s="13">
        <v>8.75</v>
      </c>
    </row>
    <row r="35" spans="1:12" x14ac:dyDescent="0.2">
      <c r="A35" s="11" t="s">
        <v>55</v>
      </c>
      <c r="B35" s="12">
        <v>2158366</v>
      </c>
      <c r="C35" s="11" t="s">
        <v>56</v>
      </c>
      <c r="D35" s="11" t="s">
        <v>57</v>
      </c>
      <c r="E35" s="11" t="s">
        <v>58</v>
      </c>
      <c r="F35" s="11" t="s">
        <v>59</v>
      </c>
      <c r="I35" s="11" t="s">
        <v>60</v>
      </c>
      <c r="J35" s="11" t="s">
        <v>61</v>
      </c>
      <c r="K35" s="11" t="s">
        <v>62</v>
      </c>
      <c r="L35" s="13">
        <v>8.75</v>
      </c>
    </row>
    <row r="36" spans="1:12" x14ac:dyDescent="0.2">
      <c r="A36" s="11" t="s">
        <v>63</v>
      </c>
      <c r="B36" s="12">
        <v>2158366</v>
      </c>
      <c r="C36" s="11" t="s">
        <v>64</v>
      </c>
      <c r="D36" s="11" t="s">
        <v>65</v>
      </c>
      <c r="E36" s="11" t="s">
        <v>66</v>
      </c>
      <c r="F36" s="11" t="s">
        <v>67</v>
      </c>
      <c r="I36" s="11" t="s">
        <v>68</v>
      </c>
      <c r="J36" s="11" t="s">
        <v>69</v>
      </c>
      <c r="K36" s="11" t="s">
        <v>70</v>
      </c>
      <c r="L36" s="13">
        <v>8.75</v>
      </c>
    </row>
    <row r="37" spans="1:12" x14ac:dyDescent="0.2">
      <c r="A37" s="11" t="s">
        <v>71</v>
      </c>
      <c r="B37" s="12">
        <v>2158366</v>
      </c>
      <c r="C37" s="11" t="s">
        <v>72</v>
      </c>
      <c r="D37" s="11" t="s">
        <v>73</v>
      </c>
      <c r="E37" s="11" t="s">
        <v>74</v>
      </c>
      <c r="F37" s="11" t="s">
        <v>75</v>
      </c>
      <c r="I37" s="11" t="s">
        <v>76</v>
      </c>
      <c r="J37" s="11" t="s">
        <v>77</v>
      </c>
      <c r="K37" s="11" t="s">
        <v>78</v>
      </c>
      <c r="L37" s="13">
        <v>8.75</v>
      </c>
    </row>
    <row r="38" spans="1:12" x14ac:dyDescent="0.2">
      <c r="A38" s="11" t="s">
        <v>79</v>
      </c>
      <c r="B38" s="12">
        <v>2158366</v>
      </c>
      <c r="C38" s="11" t="s">
        <v>80</v>
      </c>
      <c r="D38" s="11" t="s">
        <v>81</v>
      </c>
      <c r="E38" s="11" t="s">
        <v>82</v>
      </c>
      <c r="F38" s="11" t="s">
        <v>83</v>
      </c>
      <c r="I38" s="11" t="s">
        <v>84</v>
      </c>
      <c r="J38" s="11" t="s">
        <v>85</v>
      </c>
      <c r="K38" s="11" t="s">
        <v>86</v>
      </c>
      <c r="L38" s="13">
        <v>8.75</v>
      </c>
    </row>
    <row r="39" spans="1:12" x14ac:dyDescent="0.2">
      <c r="F39" s="5" t="s">
        <v>87</v>
      </c>
      <c r="L39" s="7">
        <v>43.75</v>
      </c>
    </row>
    <row r="40" spans="1:12" x14ac:dyDescent="0.2">
      <c r="C40" s="5" t="s">
        <v>88</v>
      </c>
      <c r="E40" s="14">
        <v>2158366</v>
      </c>
      <c r="F40" s="5" t="s">
        <v>89</v>
      </c>
      <c r="L40" s="7">
        <v>43.75</v>
      </c>
    </row>
    <row r="42" spans="1:12" x14ac:dyDescent="0.2">
      <c r="A42" s="5" t="s">
        <v>90</v>
      </c>
      <c r="B42" s="5" t="s">
        <v>91</v>
      </c>
      <c r="C42" s="5" t="s">
        <v>92</v>
      </c>
    </row>
    <row r="43" spans="1:12" x14ac:dyDescent="0.2">
      <c r="A43" s="5" t="s">
        <v>93</v>
      </c>
      <c r="C43" s="5" t="s">
        <v>94</v>
      </c>
    </row>
    <row r="45" spans="1:12" ht="16.5" x14ac:dyDescent="0.25">
      <c r="A45" s="1" t="s">
        <v>95</v>
      </c>
      <c r="B45" s="2" t="s">
        <v>96</v>
      </c>
    </row>
    <row r="47" spans="1:12" x14ac:dyDescent="0.2">
      <c r="A47" s="1" t="s">
        <v>97</v>
      </c>
      <c r="B47" s="3" t="s">
        <v>98</v>
      </c>
    </row>
    <row r="49" spans="1:12" x14ac:dyDescent="0.2">
      <c r="A49" s="4" t="s">
        <v>99</v>
      </c>
      <c r="C49" s="10">
        <v>19645587</v>
      </c>
      <c r="E49" s="4" t="s">
        <v>100</v>
      </c>
    </row>
    <row r="50" spans="1:12" x14ac:dyDescent="0.2">
      <c r="F50" s="4" t="s">
        <v>101</v>
      </c>
    </row>
    <row r="51" spans="1:12" x14ac:dyDescent="0.2">
      <c r="E51" s="5" t="s">
        <v>102</v>
      </c>
      <c r="F51" s="5" t="s">
        <v>103</v>
      </c>
      <c r="J51" s="5" t="s">
        <v>104</v>
      </c>
      <c r="L51" s="5" t="s">
        <v>105</v>
      </c>
    </row>
    <row r="52" spans="1:12" x14ac:dyDescent="0.2">
      <c r="A52" s="5" t="s">
        <v>106</v>
      </c>
      <c r="B52" s="5" t="s">
        <v>107</v>
      </c>
      <c r="C52" s="5" t="s">
        <v>108</v>
      </c>
      <c r="D52" s="5" t="s">
        <v>109</v>
      </c>
      <c r="E52" s="5" t="s">
        <v>110</v>
      </c>
      <c r="F52" s="5" t="s">
        <v>111</v>
      </c>
      <c r="G52" s="5" t="s">
        <v>112</v>
      </c>
      <c r="H52" s="5" t="s">
        <v>113</v>
      </c>
      <c r="I52" s="5" t="s">
        <v>114</v>
      </c>
      <c r="J52" s="5" t="s">
        <v>115</v>
      </c>
      <c r="K52" s="5" t="s">
        <v>116</v>
      </c>
      <c r="L52" s="5" t="s">
        <v>117</v>
      </c>
    </row>
    <row r="53" spans="1:12" x14ac:dyDescent="0.2">
      <c r="A53" s="11" t="s">
        <v>118</v>
      </c>
      <c r="B53" s="12">
        <v>19645587</v>
      </c>
      <c r="C53" s="11" t="s">
        <v>119</v>
      </c>
      <c r="D53" s="11" t="s">
        <v>120</v>
      </c>
      <c r="E53" s="11" t="s">
        <v>121</v>
      </c>
      <c r="F53" s="11" t="s">
        <v>122</v>
      </c>
      <c r="G53" s="11" t="s">
        <v>123</v>
      </c>
      <c r="H53" s="12">
        <v>13</v>
      </c>
      <c r="I53" s="11" t="s">
        <v>124</v>
      </c>
      <c r="J53" s="11" t="s">
        <v>125</v>
      </c>
      <c r="K53" s="11" t="s">
        <v>126</v>
      </c>
      <c r="L53" s="15">
        <v>-280</v>
      </c>
    </row>
    <row r="54" spans="1:12" x14ac:dyDescent="0.2">
      <c r="F54" s="5" t="s">
        <v>127</v>
      </c>
      <c r="L54" s="16">
        <v>-280</v>
      </c>
    </row>
    <row r="55" spans="1:12" x14ac:dyDescent="0.2">
      <c r="F55" s="4" t="s">
        <v>128</v>
      </c>
    </row>
    <row r="56" spans="1:12" x14ac:dyDescent="0.2">
      <c r="E56" s="5" t="s">
        <v>129</v>
      </c>
      <c r="F56" s="5" t="s">
        <v>130</v>
      </c>
      <c r="J56" s="5" t="s">
        <v>131</v>
      </c>
      <c r="L56" s="5" t="s">
        <v>132</v>
      </c>
    </row>
    <row r="57" spans="1:12" x14ac:dyDescent="0.2">
      <c r="A57" s="5" t="s">
        <v>133</v>
      </c>
      <c r="B57" s="5" t="s">
        <v>134</v>
      </c>
      <c r="C57" s="5" t="s">
        <v>135</v>
      </c>
      <c r="D57" s="5" t="s">
        <v>136</v>
      </c>
      <c r="E57" s="5" t="s">
        <v>137</v>
      </c>
      <c r="F57" s="5" t="s">
        <v>138</v>
      </c>
      <c r="G57" s="5" t="s">
        <v>139</v>
      </c>
      <c r="H57" s="5" t="s">
        <v>140</v>
      </c>
      <c r="I57" s="5" t="s">
        <v>141</v>
      </c>
      <c r="J57" s="5" t="s">
        <v>142</v>
      </c>
      <c r="K57" s="5" t="s">
        <v>143</v>
      </c>
      <c r="L57" s="5" t="s">
        <v>144</v>
      </c>
    </row>
    <row r="58" spans="1:12" x14ac:dyDescent="0.2">
      <c r="A58" s="11" t="s">
        <v>145</v>
      </c>
      <c r="B58" s="12">
        <v>19645587</v>
      </c>
      <c r="C58" s="11" t="s">
        <v>146</v>
      </c>
      <c r="D58" s="11" t="s">
        <v>147</v>
      </c>
      <c r="E58" s="11" t="s">
        <v>148</v>
      </c>
      <c r="F58" s="11" t="s">
        <v>149</v>
      </c>
      <c r="I58" s="11" t="s">
        <v>150</v>
      </c>
      <c r="J58" s="11" t="s">
        <v>151</v>
      </c>
      <c r="K58" s="11" t="s">
        <v>152</v>
      </c>
      <c r="L58" s="13">
        <v>8.75</v>
      </c>
    </row>
    <row r="59" spans="1:12" x14ac:dyDescent="0.2">
      <c r="A59" s="11" t="s">
        <v>153</v>
      </c>
      <c r="B59" s="12">
        <v>19645587</v>
      </c>
      <c r="C59" s="11" t="s">
        <v>154</v>
      </c>
      <c r="D59" s="11" t="s">
        <v>155</v>
      </c>
      <c r="E59" s="11" t="s">
        <v>156</v>
      </c>
      <c r="F59" s="11" t="s">
        <v>157</v>
      </c>
      <c r="I59" s="11" t="s">
        <v>158</v>
      </c>
      <c r="J59" s="11" t="s">
        <v>159</v>
      </c>
      <c r="K59" s="11" t="s">
        <v>160</v>
      </c>
      <c r="L59" s="13">
        <v>8.75</v>
      </c>
    </row>
    <row r="60" spans="1:12" x14ac:dyDescent="0.2">
      <c r="F60" s="5" t="s">
        <v>161</v>
      </c>
      <c r="L60" s="16">
        <v>17.5</v>
      </c>
    </row>
    <row r="61" spans="1:12" x14ac:dyDescent="0.2">
      <c r="C61" s="5" t="s">
        <v>162</v>
      </c>
      <c r="E61" s="14">
        <v>19645587</v>
      </c>
      <c r="F61" s="5" t="s">
        <v>163</v>
      </c>
      <c r="L61" s="16">
        <v>-262.5</v>
      </c>
    </row>
    <row r="63" spans="1:12" x14ac:dyDescent="0.2">
      <c r="A63" s="5" t="s">
        <v>164</v>
      </c>
      <c r="B63" s="5" t="s">
        <v>165</v>
      </c>
      <c r="C63" s="5" t="s">
        <v>166</v>
      </c>
    </row>
    <row r="64" spans="1:12" x14ac:dyDescent="0.2">
      <c r="A64" s="5" t="s">
        <v>167</v>
      </c>
      <c r="C64" s="5" t="s">
        <v>168</v>
      </c>
    </row>
    <row r="66" spans="1:12" ht="16.5" x14ac:dyDescent="0.25">
      <c r="A66" s="1" t="s">
        <v>169</v>
      </c>
      <c r="B66" s="2" t="s">
        <v>170</v>
      </c>
    </row>
    <row r="68" spans="1:12" x14ac:dyDescent="0.2">
      <c r="A68" s="1" t="s">
        <v>171</v>
      </c>
      <c r="B68" s="3" t="s">
        <v>172</v>
      </c>
    </row>
    <row r="70" spans="1:12" x14ac:dyDescent="0.2">
      <c r="A70" s="4" t="s">
        <v>173</v>
      </c>
      <c r="C70" s="10">
        <v>19615078</v>
      </c>
      <c r="F70" s="4" t="s">
        <v>174</v>
      </c>
    </row>
    <row r="71" spans="1:12" x14ac:dyDescent="0.2">
      <c r="F71" s="4" t="s">
        <v>175</v>
      </c>
    </row>
    <row r="72" spans="1:12" x14ac:dyDescent="0.2">
      <c r="E72" s="5" t="s">
        <v>176</v>
      </c>
      <c r="F72" s="5" t="s">
        <v>177</v>
      </c>
      <c r="J72" s="5" t="s">
        <v>178</v>
      </c>
      <c r="L72" s="5" t="s">
        <v>179</v>
      </c>
    </row>
    <row r="73" spans="1:12" x14ac:dyDescent="0.2">
      <c r="A73" s="5" t="s">
        <v>180</v>
      </c>
      <c r="B73" s="5" t="s">
        <v>181</v>
      </c>
      <c r="C73" s="5" t="s">
        <v>182</v>
      </c>
      <c r="D73" s="5" t="s">
        <v>183</v>
      </c>
      <c r="E73" s="5" t="s">
        <v>184</v>
      </c>
      <c r="F73" s="5" t="s">
        <v>185</v>
      </c>
      <c r="G73" s="5" t="s">
        <v>186</v>
      </c>
      <c r="H73" s="5" t="s">
        <v>187</v>
      </c>
      <c r="I73" s="5" t="s">
        <v>188</v>
      </c>
      <c r="J73" s="5" t="s">
        <v>189</v>
      </c>
      <c r="K73" s="5" t="s">
        <v>190</v>
      </c>
      <c r="L73" s="5" t="s">
        <v>191</v>
      </c>
    </row>
    <row r="74" spans="1:12" x14ac:dyDescent="0.2">
      <c r="A74" s="11" t="s">
        <v>192</v>
      </c>
      <c r="B74" s="12">
        <v>19615078</v>
      </c>
      <c r="C74" s="11" t="s">
        <v>193</v>
      </c>
      <c r="D74" s="11" t="s">
        <v>194</v>
      </c>
      <c r="E74" s="11" t="s">
        <v>195</v>
      </c>
      <c r="F74" s="11" t="s">
        <v>196</v>
      </c>
      <c r="I74" s="11" t="s">
        <v>197</v>
      </c>
      <c r="J74" s="11" t="s">
        <v>198</v>
      </c>
      <c r="K74" s="11" t="s">
        <v>199</v>
      </c>
      <c r="L74" s="13">
        <v>8.75</v>
      </c>
    </row>
    <row r="75" spans="1:12" x14ac:dyDescent="0.2">
      <c r="F75" s="5" t="s">
        <v>200</v>
      </c>
      <c r="L75" s="7">
        <v>8.75</v>
      </c>
    </row>
    <row r="76" spans="1:12" x14ac:dyDescent="0.2">
      <c r="C76" s="5" t="s">
        <v>201</v>
      </c>
      <c r="D76" s="14">
        <v>19615078</v>
      </c>
      <c r="F76" s="5" t="s">
        <v>202</v>
      </c>
      <c r="L76" s="7">
        <v>8.75</v>
      </c>
    </row>
    <row r="78" spans="1:12" x14ac:dyDescent="0.2">
      <c r="A78" s="5" t="s">
        <v>203</v>
      </c>
      <c r="B78" s="5" t="s">
        <v>204</v>
      </c>
      <c r="C78" s="5" t="s">
        <v>205</v>
      </c>
    </row>
    <row r="79" spans="1:12" x14ac:dyDescent="0.2">
      <c r="A79" s="5" t="s">
        <v>206</v>
      </c>
      <c r="C79" s="5" t="s">
        <v>207</v>
      </c>
    </row>
    <row r="81" spans="1:12" ht="16.5" x14ac:dyDescent="0.25">
      <c r="A81" s="1" t="s">
        <v>208</v>
      </c>
      <c r="B81" s="2" t="s">
        <v>209</v>
      </c>
    </row>
    <row r="83" spans="1:12" x14ac:dyDescent="0.2">
      <c r="A83" s="1" t="s">
        <v>210</v>
      </c>
      <c r="B83" s="3" t="s">
        <v>211</v>
      </c>
    </row>
    <row r="85" spans="1:12" x14ac:dyDescent="0.2">
      <c r="A85" s="4" t="s">
        <v>212</v>
      </c>
      <c r="C85" s="10">
        <v>19586992</v>
      </c>
      <c r="E85" s="4" t="s">
        <v>213</v>
      </c>
    </row>
    <row r="86" spans="1:12" x14ac:dyDescent="0.2">
      <c r="F86" s="4" t="s">
        <v>214</v>
      </c>
    </row>
    <row r="87" spans="1:12" x14ac:dyDescent="0.2">
      <c r="E87" s="5" t="s">
        <v>215</v>
      </c>
      <c r="F87" s="5" t="s">
        <v>216</v>
      </c>
      <c r="J87" s="5" t="s">
        <v>217</v>
      </c>
      <c r="L87" s="5" t="s">
        <v>218</v>
      </c>
    </row>
    <row r="88" spans="1:12" x14ac:dyDescent="0.2">
      <c r="A88" s="5" t="s">
        <v>219</v>
      </c>
      <c r="B88" s="5" t="s">
        <v>220</v>
      </c>
      <c r="C88" s="5" t="s">
        <v>221</v>
      </c>
      <c r="D88" s="5" t="s">
        <v>222</v>
      </c>
      <c r="E88" s="5" t="s">
        <v>223</v>
      </c>
      <c r="F88" s="5" t="s">
        <v>224</v>
      </c>
      <c r="G88" s="5" t="s">
        <v>225</v>
      </c>
      <c r="H88" s="5" t="s">
        <v>226</v>
      </c>
      <c r="I88" s="5" t="s">
        <v>227</v>
      </c>
      <c r="J88" s="5" t="s">
        <v>228</v>
      </c>
      <c r="K88" s="5" t="s">
        <v>229</v>
      </c>
      <c r="L88" s="5" t="s">
        <v>230</v>
      </c>
    </row>
    <row r="89" spans="1:12" x14ac:dyDescent="0.2">
      <c r="A89" s="11" t="s">
        <v>231</v>
      </c>
      <c r="B89" s="12">
        <v>19586992</v>
      </c>
      <c r="C89" s="11" t="s">
        <v>232</v>
      </c>
      <c r="D89" s="11" t="s">
        <v>233</v>
      </c>
      <c r="E89" s="11" t="s">
        <v>234</v>
      </c>
      <c r="F89" s="11" t="s">
        <v>235</v>
      </c>
      <c r="G89" s="11" t="s">
        <v>236</v>
      </c>
      <c r="H89" s="12">
        <v>13</v>
      </c>
      <c r="I89" s="11" t="s">
        <v>237</v>
      </c>
      <c r="J89" s="11" t="s">
        <v>238</v>
      </c>
      <c r="K89" s="11" t="s">
        <v>239</v>
      </c>
      <c r="L89" s="15">
        <v>-280</v>
      </c>
    </row>
    <row r="90" spans="1:12" x14ac:dyDescent="0.2">
      <c r="F90" s="5" t="s">
        <v>240</v>
      </c>
      <c r="L90" s="16">
        <v>-280</v>
      </c>
    </row>
    <row r="91" spans="1:12" x14ac:dyDescent="0.2">
      <c r="C91" s="5" t="s">
        <v>241</v>
      </c>
      <c r="E91" s="14">
        <v>19586992</v>
      </c>
      <c r="F91" s="5" t="s">
        <v>242</v>
      </c>
      <c r="L91" s="16">
        <v>-280</v>
      </c>
    </row>
    <row r="93" spans="1:12" x14ac:dyDescent="0.2">
      <c r="A93" s="5" t="s">
        <v>243</v>
      </c>
      <c r="B93" s="5" t="s">
        <v>244</v>
      </c>
      <c r="C93" s="5" t="s">
        <v>245</v>
      </c>
    </row>
    <row r="94" spans="1:12" x14ac:dyDescent="0.2">
      <c r="A94" s="5" t="s">
        <v>246</v>
      </c>
      <c r="C94" s="5" t="s">
        <v>247</v>
      </c>
    </row>
    <row r="96" spans="1:12" ht="16.5" x14ac:dyDescent="0.25">
      <c r="A96" s="1" t="s">
        <v>248</v>
      </c>
      <c r="B96" s="2" t="s">
        <v>249</v>
      </c>
    </row>
    <row r="98" spans="1:12" x14ac:dyDescent="0.2">
      <c r="A98" s="1" t="s">
        <v>250</v>
      </c>
      <c r="B98" s="3" t="s">
        <v>251</v>
      </c>
    </row>
    <row r="100" spans="1:12" x14ac:dyDescent="0.2">
      <c r="A100" s="4" t="s">
        <v>252</v>
      </c>
      <c r="C100" s="10">
        <v>17301495</v>
      </c>
      <c r="F100" s="4" t="s">
        <v>253</v>
      </c>
    </row>
    <row r="101" spans="1:12" x14ac:dyDescent="0.2">
      <c r="F101" s="4" t="s">
        <v>254</v>
      </c>
    </row>
    <row r="102" spans="1:12" x14ac:dyDescent="0.2">
      <c r="E102" s="5" t="s">
        <v>255</v>
      </c>
      <c r="F102" s="5" t="s">
        <v>256</v>
      </c>
      <c r="J102" s="5" t="s">
        <v>257</v>
      </c>
      <c r="L102" s="5" t="s">
        <v>258</v>
      </c>
    </row>
    <row r="103" spans="1:12" x14ac:dyDescent="0.2">
      <c r="A103" s="5" t="s">
        <v>259</v>
      </c>
      <c r="B103" s="5" t="s">
        <v>260</v>
      </c>
      <c r="C103" s="5" t="s">
        <v>261</v>
      </c>
      <c r="D103" s="5" t="s">
        <v>262</v>
      </c>
      <c r="E103" s="5" t="s">
        <v>263</v>
      </c>
      <c r="F103" s="5" t="s">
        <v>264</v>
      </c>
      <c r="G103" s="5" t="s">
        <v>265</v>
      </c>
      <c r="H103" s="5" t="s">
        <v>266</v>
      </c>
      <c r="I103" s="5" t="s">
        <v>267</v>
      </c>
      <c r="J103" s="5" t="s">
        <v>268</v>
      </c>
      <c r="K103" s="5" t="s">
        <v>269</v>
      </c>
      <c r="L103" s="5" t="s">
        <v>270</v>
      </c>
    </row>
    <row r="104" spans="1:12" x14ac:dyDescent="0.2">
      <c r="A104" s="11" t="s">
        <v>271</v>
      </c>
      <c r="B104" s="12">
        <v>17301495</v>
      </c>
      <c r="C104" s="11" t="s">
        <v>272</v>
      </c>
      <c r="D104" s="11" t="s">
        <v>273</v>
      </c>
      <c r="E104" s="11" t="s">
        <v>274</v>
      </c>
      <c r="F104" s="11" t="s">
        <v>275</v>
      </c>
      <c r="I104" s="11" t="s">
        <v>276</v>
      </c>
      <c r="J104" s="11" t="s">
        <v>277</v>
      </c>
      <c r="K104" s="11" t="s">
        <v>278</v>
      </c>
      <c r="L104" s="13">
        <v>8.75</v>
      </c>
    </row>
    <row r="105" spans="1:12" x14ac:dyDescent="0.2">
      <c r="F105" s="5" t="s">
        <v>279</v>
      </c>
      <c r="L105" s="7">
        <v>8.75</v>
      </c>
    </row>
    <row r="106" spans="1:12" x14ac:dyDescent="0.2">
      <c r="C106" s="5" t="s">
        <v>280</v>
      </c>
      <c r="D106" s="14">
        <v>17301495</v>
      </c>
      <c r="F106" s="5" t="s">
        <v>281</v>
      </c>
      <c r="L106" s="7">
        <v>8.75</v>
      </c>
    </row>
    <row r="108" spans="1:12" x14ac:dyDescent="0.2">
      <c r="A108" s="5" t="s">
        <v>282</v>
      </c>
      <c r="B108" s="5" t="s">
        <v>283</v>
      </c>
      <c r="C108" s="5" t="s">
        <v>284</v>
      </c>
    </row>
    <row r="109" spans="1:12" x14ac:dyDescent="0.2">
      <c r="A109" s="5" t="s">
        <v>285</v>
      </c>
      <c r="C109" s="5" t="s">
        <v>286</v>
      </c>
    </row>
    <row r="111" spans="1:12" ht="16.5" x14ac:dyDescent="0.25">
      <c r="A111" s="1" t="s">
        <v>287</v>
      </c>
      <c r="B111" s="2" t="s">
        <v>288</v>
      </c>
    </row>
    <row r="113" spans="1:12" x14ac:dyDescent="0.2">
      <c r="A113" s="1" t="s">
        <v>289</v>
      </c>
      <c r="B113" s="3" t="s">
        <v>290</v>
      </c>
    </row>
    <row r="115" spans="1:12" x14ac:dyDescent="0.2">
      <c r="A115" s="4" t="s">
        <v>291</v>
      </c>
      <c r="C115" s="10">
        <v>16912722</v>
      </c>
      <c r="F115" s="4" t="s">
        <v>292</v>
      </c>
    </row>
    <row r="116" spans="1:12" x14ac:dyDescent="0.2">
      <c r="F116" s="4" t="s">
        <v>293</v>
      </c>
    </row>
    <row r="117" spans="1:12" x14ac:dyDescent="0.2">
      <c r="E117" s="5" t="s">
        <v>294</v>
      </c>
      <c r="F117" s="5" t="s">
        <v>295</v>
      </c>
      <c r="J117" s="5" t="s">
        <v>296</v>
      </c>
      <c r="L117" s="5" t="s">
        <v>297</v>
      </c>
    </row>
    <row r="118" spans="1:12" x14ac:dyDescent="0.2">
      <c r="A118" s="5" t="s">
        <v>298</v>
      </c>
      <c r="B118" s="5" t="s">
        <v>299</v>
      </c>
      <c r="C118" s="5" t="s">
        <v>300</v>
      </c>
      <c r="D118" s="5" t="s">
        <v>301</v>
      </c>
      <c r="E118" s="5" t="s">
        <v>302</v>
      </c>
      <c r="F118" s="5" t="s">
        <v>303</v>
      </c>
      <c r="G118" s="5" t="s">
        <v>304</v>
      </c>
      <c r="H118" s="5" t="s">
        <v>305</v>
      </c>
      <c r="I118" s="5" t="s">
        <v>306</v>
      </c>
      <c r="J118" s="5" t="s">
        <v>307</v>
      </c>
      <c r="K118" s="5" t="s">
        <v>308</v>
      </c>
      <c r="L118" s="5" t="s">
        <v>309</v>
      </c>
    </row>
    <row r="119" spans="1:12" x14ac:dyDescent="0.2">
      <c r="A119" s="11" t="s">
        <v>310</v>
      </c>
      <c r="B119" s="12">
        <v>16912722</v>
      </c>
      <c r="C119" s="11" t="s">
        <v>311</v>
      </c>
      <c r="D119" s="11" t="s">
        <v>312</v>
      </c>
      <c r="E119" s="11" t="s">
        <v>313</v>
      </c>
      <c r="F119" s="11" t="s">
        <v>314</v>
      </c>
      <c r="I119" s="11" t="s">
        <v>315</v>
      </c>
      <c r="J119" s="11" t="s">
        <v>316</v>
      </c>
      <c r="K119" s="11" t="s">
        <v>317</v>
      </c>
      <c r="L119" s="13">
        <v>8.75</v>
      </c>
    </row>
    <row r="120" spans="1:12" x14ac:dyDescent="0.2">
      <c r="A120" s="11" t="s">
        <v>318</v>
      </c>
      <c r="B120" s="12">
        <v>16912722</v>
      </c>
      <c r="C120" s="11" t="s">
        <v>319</v>
      </c>
      <c r="D120" s="11" t="s">
        <v>320</v>
      </c>
      <c r="E120" s="11" t="s">
        <v>321</v>
      </c>
      <c r="F120" s="11" t="s">
        <v>322</v>
      </c>
      <c r="I120" s="11" t="s">
        <v>323</v>
      </c>
      <c r="J120" s="11" t="s">
        <v>324</v>
      </c>
      <c r="K120" s="11" t="s">
        <v>325</v>
      </c>
      <c r="L120" s="13">
        <v>8.75</v>
      </c>
    </row>
    <row r="121" spans="1:12" x14ac:dyDescent="0.2">
      <c r="A121" s="11" t="s">
        <v>326</v>
      </c>
      <c r="B121" s="12">
        <v>16912722</v>
      </c>
      <c r="C121" s="11" t="s">
        <v>327</v>
      </c>
      <c r="D121" s="11" t="s">
        <v>328</v>
      </c>
      <c r="E121" s="11" t="s">
        <v>329</v>
      </c>
      <c r="F121" s="11" t="s">
        <v>330</v>
      </c>
      <c r="I121" s="11" t="s">
        <v>331</v>
      </c>
      <c r="J121" s="11" t="s">
        <v>332</v>
      </c>
      <c r="K121" s="11" t="s">
        <v>333</v>
      </c>
      <c r="L121" s="13">
        <v>8.75</v>
      </c>
    </row>
    <row r="122" spans="1:12" x14ac:dyDescent="0.2">
      <c r="A122" s="11" t="s">
        <v>334</v>
      </c>
      <c r="B122" s="12">
        <v>16912722</v>
      </c>
      <c r="C122" s="11" t="s">
        <v>335</v>
      </c>
      <c r="D122" s="11" t="s">
        <v>336</v>
      </c>
      <c r="E122" s="11" t="s">
        <v>337</v>
      </c>
      <c r="F122" s="11" t="s">
        <v>338</v>
      </c>
      <c r="I122" s="11" t="s">
        <v>339</v>
      </c>
      <c r="J122" s="11" t="s">
        <v>340</v>
      </c>
      <c r="K122" s="11" t="s">
        <v>341</v>
      </c>
      <c r="L122" s="13">
        <v>8.75</v>
      </c>
    </row>
    <row r="123" spans="1:12" x14ac:dyDescent="0.2">
      <c r="F123" s="5" t="s">
        <v>342</v>
      </c>
      <c r="L123" s="7">
        <v>35</v>
      </c>
    </row>
    <row r="124" spans="1:12" x14ac:dyDescent="0.2">
      <c r="C124" s="5" t="s">
        <v>343</v>
      </c>
      <c r="D124" s="14">
        <v>16912722</v>
      </c>
      <c r="F124" s="5" t="s">
        <v>344</v>
      </c>
      <c r="L124" s="7">
        <v>35</v>
      </c>
    </row>
    <row r="126" spans="1:12" x14ac:dyDescent="0.2">
      <c r="A126" s="5" t="s">
        <v>345</v>
      </c>
      <c r="B126" s="5" t="s">
        <v>346</v>
      </c>
      <c r="C126" s="5" t="s">
        <v>347</v>
      </c>
    </row>
    <row r="127" spans="1:12" x14ac:dyDescent="0.2">
      <c r="A127" s="5" t="s">
        <v>348</v>
      </c>
      <c r="C127" s="5" t="s">
        <v>349</v>
      </c>
    </row>
    <row r="129" spans="1:12" ht="16.5" x14ac:dyDescent="0.25">
      <c r="A129" s="1" t="s">
        <v>350</v>
      </c>
      <c r="B129" s="2" t="s">
        <v>351</v>
      </c>
    </row>
    <row r="131" spans="1:12" x14ac:dyDescent="0.2">
      <c r="A131" s="1" t="s">
        <v>352</v>
      </c>
      <c r="B131" s="3" t="s">
        <v>353</v>
      </c>
    </row>
    <row r="133" spans="1:12" x14ac:dyDescent="0.2">
      <c r="A133" s="4" t="s">
        <v>354</v>
      </c>
      <c r="C133" s="10">
        <v>16633294</v>
      </c>
      <c r="E133" s="4" t="s">
        <v>355</v>
      </c>
    </row>
    <row r="134" spans="1:12" x14ac:dyDescent="0.2">
      <c r="F134" s="4" t="s">
        <v>356</v>
      </c>
    </row>
    <row r="135" spans="1:12" x14ac:dyDescent="0.2">
      <c r="E135" s="5" t="s">
        <v>357</v>
      </c>
      <c r="F135" s="5" t="s">
        <v>358</v>
      </c>
      <c r="J135" s="5" t="s">
        <v>359</v>
      </c>
      <c r="L135" s="5" t="s">
        <v>360</v>
      </c>
    </row>
    <row r="136" spans="1:12" x14ac:dyDescent="0.2">
      <c r="A136" s="5" t="s">
        <v>361</v>
      </c>
      <c r="B136" s="5" t="s">
        <v>362</v>
      </c>
      <c r="C136" s="5" t="s">
        <v>363</v>
      </c>
      <c r="D136" s="5" t="s">
        <v>364</v>
      </c>
      <c r="E136" s="5" t="s">
        <v>365</v>
      </c>
      <c r="F136" s="5" t="s">
        <v>366</v>
      </c>
      <c r="G136" s="5" t="s">
        <v>367</v>
      </c>
      <c r="H136" s="5" t="s">
        <v>368</v>
      </c>
      <c r="I136" s="5" t="s">
        <v>369</v>
      </c>
      <c r="J136" s="5" t="s">
        <v>370</v>
      </c>
      <c r="K136" s="5" t="s">
        <v>371</v>
      </c>
      <c r="L136" s="5" t="s">
        <v>372</v>
      </c>
    </row>
    <row r="137" spans="1:12" x14ac:dyDescent="0.2">
      <c r="A137" s="11" t="s">
        <v>373</v>
      </c>
      <c r="B137" s="12">
        <v>16633294</v>
      </c>
      <c r="C137" s="11" t="s">
        <v>374</v>
      </c>
      <c r="D137" s="11" t="s">
        <v>375</v>
      </c>
      <c r="E137" s="11" t="s">
        <v>376</v>
      </c>
      <c r="F137" s="11" t="s">
        <v>377</v>
      </c>
      <c r="I137" s="11" t="s">
        <v>378</v>
      </c>
      <c r="J137" s="11" t="s">
        <v>379</v>
      </c>
      <c r="K137" s="11" t="s">
        <v>380</v>
      </c>
      <c r="L137" s="13">
        <v>8.75</v>
      </c>
    </row>
    <row r="138" spans="1:12" x14ac:dyDescent="0.2">
      <c r="A138" s="11" t="s">
        <v>381</v>
      </c>
      <c r="B138" s="12">
        <v>16633294</v>
      </c>
      <c r="C138" s="11" t="s">
        <v>382</v>
      </c>
      <c r="D138" s="11" t="s">
        <v>383</v>
      </c>
      <c r="E138" s="11" t="s">
        <v>384</v>
      </c>
      <c r="F138" s="11" t="s">
        <v>385</v>
      </c>
      <c r="I138" s="11" t="s">
        <v>386</v>
      </c>
      <c r="J138" s="11" t="s">
        <v>387</v>
      </c>
      <c r="K138" s="11" t="s">
        <v>388</v>
      </c>
      <c r="L138" s="13">
        <v>8.75</v>
      </c>
    </row>
    <row r="139" spans="1:12" x14ac:dyDescent="0.2">
      <c r="A139" s="11" t="s">
        <v>389</v>
      </c>
      <c r="B139" s="12">
        <v>16633294</v>
      </c>
      <c r="C139" s="11" t="s">
        <v>390</v>
      </c>
      <c r="D139" s="11" t="s">
        <v>391</v>
      </c>
      <c r="E139" s="11" t="s">
        <v>392</v>
      </c>
      <c r="F139" s="11" t="s">
        <v>393</v>
      </c>
      <c r="I139" s="11" t="s">
        <v>394</v>
      </c>
      <c r="J139" s="11" t="s">
        <v>395</v>
      </c>
      <c r="K139" s="11" t="s">
        <v>396</v>
      </c>
      <c r="L139" s="13">
        <v>8.75</v>
      </c>
    </row>
    <row r="140" spans="1:12" x14ac:dyDescent="0.2">
      <c r="A140" s="11" t="s">
        <v>397</v>
      </c>
      <c r="B140" s="12">
        <v>16633294</v>
      </c>
      <c r="C140" s="11" t="s">
        <v>398</v>
      </c>
      <c r="D140" s="11" t="s">
        <v>399</v>
      </c>
      <c r="E140" s="11" t="s">
        <v>400</v>
      </c>
      <c r="F140" s="11" t="s">
        <v>401</v>
      </c>
      <c r="I140" s="11" t="s">
        <v>402</v>
      </c>
      <c r="J140" s="11" t="s">
        <v>403</v>
      </c>
      <c r="K140" s="11" t="s">
        <v>404</v>
      </c>
      <c r="L140" s="13">
        <v>8.75</v>
      </c>
    </row>
    <row r="141" spans="1:12" x14ac:dyDescent="0.2">
      <c r="A141" s="11" t="s">
        <v>405</v>
      </c>
      <c r="B141" s="12">
        <v>16633294</v>
      </c>
      <c r="C141" s="11" t="s">
        <v>406</v>
      </c>
      <c r="D141" s="11" t="s">
        <v>407</v>
      </c>
      <c r="E141" s="11" t="s">
        <v>408</v>
      </c>
      <c r="F141" s="11" t="s">
        <v>409</v>
      </c>
      <c r="I141" s="11" t="s">
        <v>410</v>
      </c>
      <c r="J141" s="11" t="s">
        <v>411</v>
      </c>
      <c r="K141" s="11" t="s">
        <v>412</v>
      </c>
      <c r="L141" s="13">
        <v>8.75</v>
      </c>
    </row>
    <row r="142" spans="1:12" x14ac:dyDescent="0.2">
      <c r="A142" s="11" t="s">
        <v>413</v>
      </c>
      <c r="B142" s="12">
        <v>16633294</v>
      </c>
      <c r="C142" s="11" t="s">
        <v>414</v>
      </c>
      <c r="D142" s="11" t="s">
        <v>415</v>
      </c>
      <c r="E142" s="11" t="s">
        <v>416</v>
      </c>
      <c r="F142" s="11" t="s">
        <v>417</v>
      </c>
      <c r="I142" s="11" t="s">
        <v>418</v>
      </c>
      <c r="J142" s="11" t="s">
        <v>419</v>
      </c>
      <c r="K142" s="11" t="s">
        <v>420</v>
      </c>
      <c r="L142" s="13">
        <v>8.75</v>
      </c>
    </row>
    <row r="143" spans="1:12" x14ac:dyDescent="0.2">
      <c r="A143" s="11" t="s">
        <v>421</v>
      </c>
      <c r="B143" s="12">
        <v>16633294</v>
      </c>
      <c r="C143" s="11" t="s">
        <v>422</v>
      </c>
      <c r="D143" s="11" t="s">
        <v>423</v>
      </c>
      <c r="E143" s="11" t="s">
        <v>424</v>
      </c>
      <c r="F143" s="11" t="s">
        <v>425</v>
      </c>
      <c r="I143" s="11" t="s">
        <v>426</v>
      </c>
      <c r="J143" s="11" t="s">
        <v>427</v>
      </c>
      <c r="K143" s="11" t="s">
        <v>428</v>
      </c>
      <c r="L143" s="13">
        <v>8.75</v>
      </c>
    </row>
    <row r="144" spans="1:12" x14ac:dyDescent="0.2">
      <c r="A144" s="11" t="s">
        <v>429</v>
      </c>
      <c r="B144" s="12">
        <v>16633294</v>
      </c>
      <c r="C144" s="11" t="s">
        <v>430</v>
      </c>
      <c r="D144" s="11" t="s">
        <v>431</v>
      </c>
      <c r="E144" s="11" t="s">
        <v>432</v>
      </c>
      <c r="F144" s="11" t="s">
        <v>433</v>
      </c>
      <c r="I144" s="11" t="s">
        <v>434</v>
      </c>
      <c r="J144" s="11" t="s">
        <v>435</v>
      </c>
      <c r="K144" s="11" t="s">
        <v>436</v>
      </c>
      <c r="L144" s="13">
        <v>8.75</v>
      </c>
    </row>
    <row r="145" spans="1:12" x14ac:dyDescent="0.2">
      <c r="A145" s="11" t="s">
        <v>437</v>
      </c>
      <c r="B145" s="12">
        <v>16633294</v>
      </c>
      <c r="C145" s="11" t="s">
        <v>438</v>
      </c>
      <c r="D145" s="11" t="s">
        <v>439</v>
      </c>
      <c r="E145" s="11" t="s">
        <v>440</v>
      </c>
      <c r="F145" s="11" t="s">
        <v>441</v>
      </c>
      <c r="I145" s="11" t="s">
        <v>442</v>
      </c>
      <c r="J145" s="11" t="s">
        <v>443</v>
      </c>
      <c r="K145" s="11" t="s">
        <v>444</v>
      </c>
      <c r="L145" s="13">
        <v>8.75</v>
      </c>
    </row>
    <row r="146" spans="1:12" x14ac:dyDescent="0.2">
      <c r="F146" s="5" t="s">
        <v>445</v>
      </c>
      <c r="L146" s="7">
        <v>78.75</v>
      </c>
    </row>
    <row r="147" spans="1:12" x14ac:dyDescent="0.2">
      <c r="C147" s="5" t="s">
        <v>446</v>
      </c>
      <c r="E147" s="14">
        <v>16633294</v>
      </c>
      <c r="F147" s="5" t="s">
        <v>447</v>
      </c>
      <c r="L147" s="7">
        <v>78.75</v>
      </c>
    </row>
    <row r="149" spans="1:12" x14ac:dyDescent="0.2">
      <c r="A149" s="5" t="s">
        <v>448</v>
      </c>
      <c r="B149" s="5" t="s">
        <v>449</v>
      </c>
      <c r="C149" s="5" t="s">
        <v>450</v>
      </c>
    </row>
    <row r="150" spans="1:12" x14ac:dyDescent="0.2">
      <c r="A150" s="5" t="s">
        <v>451</v>
      </c>
      <c r="C150" s="5" t="s">
        <v>452</v>
      </c>
    </row>
    <row r="152" spans="1:12" ht="16.5" x14ac:dyDescent="0.25">
      <c r="A152" s="1" t="s">
        <v>453</v>
      </c>
      <c r="B152" s="2" t="s">
        <v>454</v>
      </c>
    </row>
    <row r="154" spans="1:12" x14ac:dyDescent="0.2">
      <c r="A154" s="1" t="s">
        <v>455</v>
      </c>
      <c r="B154" s="3" t="s">
        <v>456</v>
      </c>
    </row>
    <row r="156" spans="1:12" x14ac:dyDescent="0.2">
      <c r="A156" s="4" t="s">
        <v>457</v>
      </c>
      <c r="C156" s="10">
        <v>2158366</v>
      </c>
      <c r="E156" s="4" t="s">
        <v>458</v>
      </c>
    </row>
    <row r="157" spans="1:12" x14ac:dyDescent="0.2">
      <c r="F157" s="4" t="s">
        <v>459</v>
      </c>
    </row>
    <row r="158" spans="1:12" x14ac:dyDescent="0.2">
      <c r="E158" s="5" t="s">
        <v>460</v>
      </c>
      <c r="F158" s="5" t="s">
        <v>461</v>
      </c>
      <c r="J158" s="5" t="s">
        <v>462</v>
      </c>
      <c r="L158" s="5" t="s">
        <v>463</v>
      </c>
    </row>
    <row r="159" spans="1:12" x14ac:dyDescent="0.2">
      <c r="A159" s="5" t="s">
        <v>464</v>
      </c>
      <c r="B159" s="5" t="s">
        <v>465</v>
      </c>
      <c r="C159" s="5" t="s">
        <v>466</v>
      </c>
      <c r="D159" s="5" t="s">
        <v>467</v>
      </c>
      <c r="E159" s="5" t="s">
        <v>468</v>
      </c>
      <c r="F159" s="5" t="s">
        <v>469</v>
      </c>
      <c r="G159" s="5" t="s">
        <v>470</v>
      </c>
      <c r="H159" s="5" t="s">
        <v>471</v>
      </c>
      <c r="I159" s="5" t="s">
        <v>472</v>
      </c>
      <c r="J159" s="5" t="s">
        <v>473</v>
      </c>
      <c r="K159" s="5" t="s">
        <v>474</v>
      </c>
      <c r="L159" s="5" t="s">
        <v>475</v>
      </c>
    </row>
    <row r="160" spans="1:12" x14ac:dyDescent="0.2">
      <c r="A160" s="11" t="s">
        <v>476</v>
      </c>
      <c r="B160" s="12">
        <v>2158366</v>
      </c>
      <c r="C160" s="11" t="s">
        <v>477</v>
      </c>
      <c r="D160" s="11" t="s">
        <v>478</v>
      </c>
      <c r="E160" s="11" t="s">
        <v>479</v>
      </c>
      <c r="F160" s="11" t="s">
        <v>480</v>
      </c>
      <c r="I160" s="11" t="s">
        <v>481</v>
      </c>
      <c r="J160" s="11" t="s">
        <v>482</v>
      </c>
      <c r="K160" s="11" t="s">
        <v>483</v>
      </c>
      <c r="L160" s="13">
        <v>28.92</v>
      </c>
    </row>
    <row r="161" spans="1:12" x14ac:dyDescent="0.2">
      <c r="A161" s="11" t="s">
        <v>484</v>
      </c>
      <c r="B161" s="12">
        <v>2158366</v>
      </c>
      <c r="C161" s="11" t="s">
        <v>485</v>
      </c>
      <c r="D161" s="11" t="s">
        <v>486</v>
      </c>
      <c r="E161" s="11" t="s">
        <v>487</v>
      </c>
      <c r="F161" s="11" t="s">
        <v>488</v>
      </c>
      <c r="I161" s="11" t="s">
        <v>489</v>
      </c>
      <c r="J161" s="11" t="s">
        <v>490</v>
      </c>
      <c r="K161" s="11" t="s">
        <v>491</v>
      </c>
      <c r="L161" s="13">
        <v>28.92</v>
      </c>
    </row>
    <row r="162" spans="1:12" x14ac:dyDescent="0.2">
      <c r="A162" s="11" t="s">
        <v>492</v>
      </c>
      <c r="B162" s="12">
        <v>2158366</v>
      </c>
      <c r="C162" s="11" t="s">
        <v>493</v>
      </c>
      <c r="D162" s="11" t="s">
        <v>494</v>
      </c>
      <c r="E162" s="11" t="s">
        <v>495</v>
      </c>
      <c r="F162" s="11" t="s">
        <v>496</v>
      </c>
      <c r="I162" s="11" t="s">
        <v>497</v>
      </c>
      <c r="J162" s="11" t="s">
        <v>498</v>
      </c>
      <c r="K162" s="11" t="s">
        <v>499</v>
      </c>
      <c r="L162" s="13">
        <v>28.92</v>
      </c>
    </row>
    <row r="163" spans="1:12" x14ac:dyDescent="0.2">
      <c r="A163" s="11" t="s">
        <v>500</v>
      </c>
      <c r="B163" s="12">
        <v>2158366</v>
      </c>
      <c r="C163" s="11" t="s">
        <v>501</v>
      </c>
      <c r="D163" s="11" t="s">
        <v>502</v>
      </c>
      <c r="E163" s="11" t="s">
        <v>503</v>
      </c>
      <c r="F163" s="11" t="s">
        <v>504</v>
      </c>
      <c r="I163" s="11" t="s">
        <v>505</v>
      </c>
      <c r="J163" s="11" t="s">
        <v>506</v>
      </c>
      <c r="K163" s="11" t="s">
        <v>507</v>
      </c>
      <c r="L163" s="13">
        <v>28.92</v>
      </c>
    </row>
    <row r="164" spans="1:12" x14ac:dyDescent="0.2">
      <c r="A164" s="11" t="s">
        <v>508</v>
      </c>
      <c r="B164" s="12">
        <v>2158366</v>
      </c>
      <c r="C164" s="11" t="s">
        <v>509</v>
      </c>
      <c r="D164" s="11" t="s">
        <v>510</v>
      </c>
      <c r="E164" s="11" t="s">
        <v>511</v>
      </c>
      <c r="F164" s="11" t="s">
        <v>512</v>
      </c>
      <c r="I164" s="11" t="s">
        <v>513</v>
      </c>
      <c r="J164" s="11" t="s">
        <v>514</v>
      </c>
      <c r="K164" s="11" t="s">
        <v>515</v>
      </c>
      <c r="L164" s="13">
        <v>28.92</v>
      </c>
    </row>
    <row r="165" spans="1:12" x14ac:dyDescent="0.2">
      <c r="F165" s="5" t="s">
        <v>516</v>
      </c>
      <c r="L165" s="7">
        <v>144.6</v>
      </c>
    </row>
    <row r="166" spans="1:12" x14ac:dyDescent="0.2">
      <c r="C166" s="5" t="s">
        <v>517</v>
      </c>
      <c r="E166" s="14">
        <v>2158366</v>
      </c>
      <c r="F166" s="5" t="s">
        <v>518</v>
      </c>
      <c r="L166" s="7">
        <v>144.6</v>
      </c>
    </row>
    <row r="168" spans="1:12" x14ac:dyDescent="0.2">
      <c r="A168" s="5" t="s">
        <v>519</v>
      </c>
      <c r="B168" s="5" t="s">
        <v>520</v>
      </c>
      <c r="C168" s="5" t="s">
        <v>521</v>
      </c>
    </row>
    <row r="169" spans="1:12" x14ac:dyDescent="0.2">
      <c r="A169" s="5" t="s">
        <v>522</v>
      </c>
      <c r="C169" s="5" t="s">
        <v>523</v>
      </c>
    </row>
    <row r="171" spans="1:12" ht="16.5" x14ac:dyDescent="0.25">
      <c r="A171" s="1" t="s">
        <v>524</v>
      </c>
      <c r="B171" s="2" t="s">
        <v>525</v>
      </c>
    </row>
    <row r="173" spans="1:12" x14ac:dyDescent="0.2">
      <c r="A173" s="1" t="s">
        <v>526</v>
      </c>
      <c r="B173" s="3" t="s">
        <v>527</v>
      </c>
    </row>
    <row r="175" spans="1:12" x14ac:dyDescent="0.2">
      <c r="A175" s="4" t="s">
        <v>528</v>
      </c>
      <c r="C175" s="10">
        <v>19645587</v>
      </c>
      <c r="E175" s="4" t="s">
        <v>529</v>
      </c>
    </row>
    <row r="176" spans="1:12" x14ac:dyDescent="0.2">
      <c r="F176" s="4" t="s">
        <v>530</v>
      </c>
    </row>
    <row r="177" spans="1:12" x14ac:dyDescent="0.2">
      <c r="E177" s="5" t="s">
        <v>531</v>
      </c>
      <c r="F177" s="5" t="s">
        <v>532</v>
      </c>
      <c r="J177" s="5" t="s">
        <v>533</v>
      </c>
      <c r="L177" s="5" t="s">
        <v>534</v>
      </c>
    </row>
    <row r="178" spans="1:12" x14ac:dyDescent="0.2">
      <c r="A178" s="5" t="s">
        <v>535</v>
      </c>
      <c r="B178" s="5" t="s">
        <v>536</v>
      </c>
      <c r="C178" s="5" t="s">
        <v>537</v>
      </c>
      <c r="D178" s="5" t="s">
        <v>538</v>
      </c>
      <c r="E178" s="5" t="s">
        <v>539</v>
      </c>
      <c r="F178" s="5" t="s">
        <v>540</v>
      </c>
      <c r="G178" s="5" t="s">
        <v>541</v>
      </c>
      <c r="H178" s="5" t="s">
        <v>542</v>
      </c>
      <c r="I178" s="5" t="s">
        <v>543</v>
      </c>
      <c r="J178" s="5" t="s">
        <v>544</v>
      </c>
      <c r="K178" s="5" t="s">
        <v>545</v>
      </c>
      <c r="L178" s="5" t="s">
        <v>546</v>
      </c>
    </row>
    <row r="179" spans="1:12" x14ac:dyDescent="0.2">
      <c r="A179" s="11" t="s">
        <v>547</v>
      </c>
      <c r="B179" s="12">
        <v>19645587</v>
      </c>
      <c r="C179" s="11" t="s">
        <v>548</v>
      </c>
      <c r="D179" s="11" t="s">
        <v>549</v>
      </c>
      <c r="E179" s="11" t="s">
        <v>550</v>
      </c>
      <c r="F179" s="11" t="s">
        <v>551</v>
      </c>
      <c r="G179" s="11" t="s">
        <v>552</v>
      </c>
      <c r="H179" s="12">
        <v>13</v>
      </c>
      <c r="I179" s="11" t="s">
        <v>553</v>
      </c>
      <c r="J179" s="11" t="s">
        <v>554</v>
      </c>
      <c r="K179" s="11" t="s">
        <v>555</v>
      </c>
      <c r="L179" s="15">
        <v>-347</v>
      </c>
    </row>
    <row r="180" spans="1:12" x14ac:dyDescent="0.2">
      <c r="F180" s="5" t="s">
        <v>556</v>
      </c>
      <c r="L180" s="16">
        <v>-347</v>
      </c>
    </row>
    <row r="181" spans="1:12" x14ac:dyDescent="0.2">
      <c r="F181" s="4" t="s">
        <v>557</v>
      </c>
    </row>
    <row r="182" spans="1:12" x14ac:dyDescent="0.2">
      <c r="E182" s="5" t="s">
        <v>558</v>
      </c>
      <c r="F182" s="5" t="s">
        <v>559</v>
      </c>
      <c r="J182" s="5" t="s">
        <v>560</v>
      </c>
      <c r="L182" s="5" t="s">
        <v>561</v>
      </c>
    </row>
    <row r="183" spans="1:12" x14ac:dyDescent="0.2">
      <c r="A183" s="5" t="s">
        <v>562</v>
      </c>
      <c r="B183" s="5" t="s">
        <v>563</v>
      </c>
      <c r="C183" s="5" t="s">
        <v>564</v>
      </c>
      <c r="D183" s="5" t="s">
        <v>565</v>
      </c>
      <c r="E183" s="5" t="s">
        <v>566</v>
      </c>
      <c r="F183" s="5" t="s">
        <v>567</v>
      </c>
      <c r="G183" s="5" t="s">
        <v>568</v>
      </c>
      <c r="H183" s="5" t="s">
        <v>569</v>
      </c>
      <c r="I183" s="5" t="s">
        <v>570</v>
      </c>
      <c r="J183" s="5" t="s">
        <v>571</v>
      </c>
      <c r="K183" s="5" t="s">
        <v>572</v>
      </c>
      <c r="L183" s="5" t="s">
        <v>573</v>
      </c>
    </row>
    <row r="184" spans="1:12" x14ac:dyDescent="0.2">
      <c r="A184" s="11" t="s">
        <v>574</v>
      </c>
      <c r="B184" s="12">
        <v>19645587</v>
      </c>
      <c r="C184" s="11" t="s">
        <v>575</v>
      </c>
      <c r="D184" s="11" t="s">
        <v>576</v>
      </c>
      <c r="E184" s="11" t="s">
        <v>577</v>
      </c>
      <c r="F184" s="11" t="s">
        <v>578</v>
      </c>
      <c r="I184" s="11" t="s">
        <v>579</v>
      </c>
      <c r="J184" s="11" t="s">
        <v>580</v>
      </c>
      <c r="K184" s="11" t="s">
        <v>581</v>
      </c>
      <c r="L184" s="13">
        <v>28.92</v>
      </c>
    </row>
    <row r="185" spans="1:12" x14ac:dyDescent="0.2">
      <c r="A185" s="11" t="s">
        <v>582</v>
      </c>
      <c r="B185" s="12">
        <v>19645587</v>
      </c>
      <c r="C185" s="11" t="s">
        <v>583</v>
      </c>
      <c r="D185" s="11" t="s">
        <v>584</v>
      </c>
      <c r="E185" s="11" t="s">
        <v>585</v>
      </c>
      <c r="F185" s="11" t="s">
        <v>586</v>
      </c>
      <c r="I185" s="11" t="s">
        <v>587</v>
      </c>
      <c r="J185" s="11" t="s">
        <v>588</v>
      </c>
      <c r="K185" s="11" t="s">
        <v>589</v>
      </c>
      <c r="L185" s="13">
        <v>28.92</v>
      </c>
    </row>
    <row r="186" spans="1:12" x14ac:dyDescent="0.2">
      <c r="F186" s="5" t="s">
        <v>590</v>
      </c>
      <c r="L186" s="16">
        <v>57.84</v>
      </c>
    </row>
    <row r="187" spans="1:12" x14ac:dyDescent="0.2">
      <c r="C187" s="5" t="s">
        <v>591</v>
      </c>
      <c r="E187" s="14">
        <v>19645587</v>
      </c>
      <c r="F187" s="5" t="s">
        <v>592</v>
      </c>
      <c r="L187" s="16">
        <v>-289.16000000000003</v>
      </c>
    </row>
    <row r="189" spans="1:12" x14ac:dyDescent="0.2">
      <c r="A189" s="5" t="s">
        <v>593</v>
      </c>
      <c r="B189" s="5" t="s">
        <v>594</v>
      </c>
      <c r="C189" s="5" t="s">
        <v>595</v>
      </c>
    </row>
    <row r="190" spans="1:12" x14ac:dyDescent="0.2">
      <c r="A190" s="5" t="s">
        <v>596</v>
      </c>
      <c r="C190" s="5" t="s">
        <v>597</v>
      </c>
    </row>
    <row r="192" spans="1:12" ht="16.5" x14ac:dyDescent="0.25">
      <c r="A192" s="1" t="s">
        <v>598</v>
      </c>
      <c r="B192" s="2" t="s">
        <v>599</v>
      </c>
    </row>
    <row r="194" spans="1:12" x14ac:dyDescent="0.2">
      <c r="A194" s="1" t="s">
        <v>600</v>
      </c>
      <c r="B194" s="3" t="s">
        <v>601</v>
      </c>
    </row>
    <row r="196" spans="1:12" x14ac:dyDescent="0.2">
      <c r="A196" s="4" t="s">
        <v>602</v>
      </c>
      <c r="C196" s="10">
        <v>19615078</v>
      </c>
      <c r="F196" s="4" t="s">
        <v>603</v>
      </c>
    </row>
    <row r="197" spans="1:12" x14ac:dyDescent="0.2">
      <c r="F197" s="4" t="s">
        <v>604</v>
      </c>
    </row>
    <row r="198" spans="1:12" x14ac:dyDescent="0.2">
      <c r="E198" s="5" t="s">
        <v>605</v>
      </c>
      <c r="F198" s="5" t="s">
        <v>606</v>
      </c>
      <c r="J198" s="5" t="s">
        <v>607</v>
      </c>
      <c r="L198" s="5" t="s">
        <v>608</v>
      </c>
    </row>
    <row r="199" spans="1:12" x14ac:dyDescent="0.2">
      <c r="A199" s="5" t="s">
        <v>609</v>
      </c>
      <c r="B199" s="5" t="s">
        <v>610</v>
      </c>
      <c r="C199" s="5" t="s">
        <v>611</v>
      </c>
      <c r="D199" s="5" t="s">
        <v>612</v>
      </c>
      <c r="E199" s="5" t="s">
        <v>613</v>
      </c>
      <c r="F199" s="5" t="s">
        <v>614</v>
      </c>
      <c r="G199" s="5" t="s">
        <v>615</v>
      </c>
      <c r="H199" s="5" t="s">
        <v>616</v>
      </c>
      <c r="I199" s="5" t="s">
        <v>617</v>
      </c>
      <c r="J199" s="5" t="s">
        <v>618</v>
      </c>
      <c r="K199" s="5" t="s">
        <v>619</v>
      </c>
      <c r="L199" s="5" t="s">
        <v>620</v>
      </c>
    </row>
    <row r="200" spans="1:12" x14ac:dyDescent="0.2">
      <c r="A200" s="11" t="s">
        <v>621</v>
      </c>
      <c r="B200" s="12">
        <v>19615078</v>
      </c>
      <c r="C200" s="11" t="s">
        <v>622</v>
      </c>
      <c r="D200" s="11" t="s">
        <v>623</v>
      </c>
      <c r="E200" s="11" t="s">
        <v>624</v>
      </c>
      <c r="F200" s="11" t="s">
        <v>625</v>
      </c>
      <c r="I200" s="11" t="s">
        <v>626</v>
      </c>
      <c r="J200" s="11" t="s">
        <v>627</v>
      </c>
      <c r="K200" s="11" t="s">
        <v>628</v>
      </c>
      <c r="L200" s="13">
        <v>28.92</v>
      </c>
    </row>
    <row r="201" spans="1:12" x14ac:dyDescent="0.2">
      <c r="F201" s="5" t="s">
        <v>629</v>
      </c>
      <c r="L201" s="7">
        <v>28.92</v>
      </c>
    </row>
    <row r="202" spans="1:12" x14ac:dyDescent="0.2">
      <c r="C202" s="5" t="s">
        <v>630</v>
      </c>
      <c r="D202" s="14">
        <v>19615078</v>
      </c>
      <c r="F202" s="5" t="s">
        <v>631</v>
      </c>
      <c r="L202" s="7">
        <v>28.92</v>
      </c>
    </row>
    <row r="204" spans="1:12" x14ac:dyDescent="0.2">
      <c r="A204" s="5" t="s">
        <v>632</v>
      </c>
      <c r="B204" s="5" t="s">
        <v>633</v>
      </c>
      <c r="C204" s="5" t="s">
        <v>634</v>
      </c>
    </row>
    <row r="205" spans="1:12" x14ac:dyDescent="0.2">
      <c r="A205" s="5" t="s">
        <v>635</v>
      </c>
      <c r="C205" s="5" t="s">
        <v>636</v>
      </c>
    </row>
    <row r="207" spans="1:12" ht="16.5" x14ac:dyDescent="0.25">
      <c r="A207" s="1" t="s">
        <v>637</v>
      </c>
      <c r="B207" s="2" t="s">
        <v>638</v>
      </c>
    </row>
    <row r="209" spans="1:12" x14ac:dyDescent="0.2">
      <c r="A209" s="1" t="s">
        <v>639</v>
      </c>
      <c r="B209" s="3" t="s">
        <v>640</v>
      </c>
    </row>
    <row r="211" spans="1:12" x14ac:dyDescent="0.2">
      <c r="A211" s="4" t="s">
        <v>641</v>
      </c>
      <c r="C211" s="10">
        <v>19586992</v>
      </c>
      <c r="E211" s="4" t="s">
        <v>642</v>
      </c>
    </row>
    <row r="212" spans="1:12" x14ac:dyDescent="0.2">
      <c r="F212" s="4" t="s">
        <v>643</v>
      </c>
    </row>
    <row r="213" spans="1:12" x14ac:dyDescent="0.2">
      <c r="E213" s="5" t="s">
        <v>644</v>
      </c>
      <c r="F213" s="5" t="s">
        <v>645</v>
      </c>
      <c r="J213" s="5" t="s">
        <v>646</v>
      </c>
      <c r="L213" s="5" t="s">
        <v>647</v>
      </c>
    </row>
    <row r="214" spans="1:12" x14ac:dyDescent="0.2">
      <c r="A214" s="5" t="s">
        <v>648</v>
      </c>
      <c r="B214" s="5" t="s">
        <v>649</v>
      </c>
      <c r="C214" s="5" t="s">
        <v>650</v>
      </c>
      <c r="D214" s="5" t="s">
        <v>651</v>
      </c>
      <c r="E214" s="5" t="s">
        <v>652</v>
      </c>
      <c r="F214" s="5" t="s">
        <v>653</v>
      </c>
      <c r="G214" s="5" t="s">
        <v>654</v>
      </c>
      <c r="H214" s="5" t="s">
        <v>655</v>
      </c>
      <c r="I214" s="5" t="s">
        <v>656</v>
      </c>
      <c r="J214" s="5" t="s">
        <v>657</v>
      </c>
      <c r="K214" s="5" t="s">
        <v>658</v>
      </c>
      <c r="L214" s="5" t="s">
        <v>659</v>
      </c>
    </row>
    <row r="215" spans="1:12" x14ac:dyDescent="0.2">
      <c r="A215" s="11" t="s">
        <v>660</v>
      </c>
      <c r="B215" s="12">
        <v>19586992</v>
      </c>
      <c r="C215" s="11" t="s">
        <v>661</v>
      </c>
      <c r="D215" s="11" t="s">
        <v>662</v>
      </c>
      <c r="E215" s="11" t="s">
        <v>663</v>
      </c>
      <c r="F215" s="11" t="s">
        <v>664</v>
      </c>
      <c r="G215" s="11" t="s">
        <v>665</v>
      </c>
      <c r="H215" s="12">
        <v>13</v>
      </c>
      <c r="I215" s="11" t="s">
        <v>666</v>
      </c>
      <c r="J215" s="11" t="s">
        <v>667</v>
      </c>
      <c r="K215" s="11" t="s">
        <v>668</v>
      </c>
      <c r="L215" s="15">
        <v>-347</v>
      </c>
    </row>
    <row r="216" spans="1:12" x14ac:dyDescent="0.2">
      <c r="F216" s="5" t="s">
        <v>669</v>
      </c>
      <c r="L216" s="16">
        <v>-347</v>
      </c>
    </row>
    <row r="217" spans="1:12" x14ac:dyDescent="0.2">
      <c r="C217" s="5" t="s">
        <v>670</v>
      </c>
      <c r="E217" s="14">
        <v>19586992</v>
      </c>
      <c r="F217" s="5" t="s">
        <v>671</v>
      </c>
      <c r="L217" s="16">
        <v>-347</v>
      </c>
    </row>
    <row r="219" spans="1:12" x14ac:dyDescent="0.2">
      <c r="A219" s="5" t="s">
        <v>672</v>
      </c>
      <c r="B219" s="5" t="s">
        <v>673</v>
      </c>
      <c r="C219" s="5" t="s">
        <v>674</v>
      </c>
    </row>
    <row r="220" spans="1:12" x14ac:dyDescent="0.2">
      <c r="A220" s="5" t="s">
        <v>675</v>
      </c>
      <c r="C220" s="5" t="s">
        <v>676</v>
      </c>
    </row>
    <row r="222" spans="1:12" ht="16.5" x14ac:dyDescent="0.25">
      <c r="A222" s="1" t="s">
        <v>677</v>
      </c>
      <c r="B222" s="2" t="s">
        <v>678</v>
      </c>
    </row>
    <row r="224" spans="1:12" x14ac:dyDescent="0.2">
      <c r="A224" s="1" t="s">
        <v>679</v>
      </c>
      <c r="B224" s="3" t="s">
        <v>680</v>
      </c>
    </row>
    <row r="226" spans="1:12" x14ac:dyDescent="0.2">
      <c r="A226" s="4" t="s">
        <v>681</v>
      </c>
      <c r="C226" s="10">
        <v>17301495</v>
      </c>
      <c r="F226" s="4" t="s">
        <v>682</v>
      </c>
    </row>
    <row r="227" spans="1:12" x14ac:dyDescent="0.2">
      <c r="F227" s="4" t="s">
        <v>683</v>
      </c>
    </row>
    <row r="228" spans="1:12" x14ac:dyDescent="0.2">
      <c r="E228" s="5" t="s">
        <v>684</v>
      </c>
      <c r="F228" s="5" t="s">
        <v>685</v>
      </c>
      <c r="J228" s="5" t="s">
        <v>686</v>
      </c>
      <c r="L228" s="5" t="s">
        <v>687</v>
      </c>
    </row>
    <row r="229" spans="1:12" x14ac:dyDescent="0.2">
      <c r="A229" s="5" t="s">
        <v>688</v>
      </c>
      <c r="B229" s="5" t="s">
        <v>689</v>
      </c>
      <c r="C229" s="5" t="s">
        <v>690</v>
      </c>
      <c r="D229" s="5" t="s">
        <v>691</v>
      </c>
      <c r="E229" s="5" t="s">
        <v>692</v>
      </c>
      <c r="F229" s="5" t="s">
        <v>693</v>
      </c>
      <c r="G229" s="5" t="s">
        <v>694</v>
      </c>
      <c r="H229" s="5" t="s">
        <v>695</v>
      </c>
      <c r="I229" s="5" t="s">
        <v>696</v>
      </c>
      <c r="J229" s="5" t="s">
        <v>697</v>
      </c>
      <c r="K229" s="5" t="s">
        <v>698</v>
      </c>
      <c r="L229" s="5" t="s">
        <v>699</v>
      </c>
    </row>
    <row r="230" spans="1:12" x14ac:dyDescent="0.2">
      <c r="A230" s="11" t="s">
        <v>700</v>
      </c>
      <c r="B230" s="12">
        <v>17301495</v>
      </c>
      <c r="C230" s="11" t="s">
        <v>701</v>
      </c>
      <c r="D230" s="11" t="s">
        <v>702</v>
      </c>
      <c r="E230" s="11" t="s">
        <v>703</v>
      </c>
      <c r="F230" s="11" t="s">
        <v>704</v>
      </c>
      <c r="I230" s="11" t="s">
        <v>705</v>
      </c>
      <c r="J230" s="11" t="s">
        <v>706</v>
      </c>
      <c r="K230" s="11" t="s">
        <v>707</v>
      </c>
      <c r="L230" s="13">
        <v>28.92</v>
      </c>
    </row>
    <row r="231" spans="1:12" x14ac:dyDescent="0.2">
      <c r="F231" s="5" t="s">
        <v>708</v>
      </c>
      <c r="L231" s="7">
        <v>28.92</v>
      </c>
    </row>
    <row r="232" spans="1:12" x14ac:dyDescent="0.2">
      <c r="C232" s="5" t="s">
        <v>709</v>
      </c>
      <c r="D232" s="14">
        <v>17301495</v>
      </c>
      <c r="F232" s="5" t="s">
        <v>710</v>
      </c>
      <c r="L232" s="7">
        <v>28.92</v>
      </c>
    </row>
    <row r="234" spans="1:12" x14ac:dyDescent="0.2">
      <c r="A234" s="5" t="s">
        <v>711</v>
      </c>
      <c r="B234" s="5" t="s">
        <v>712</v>
      </c>
      <c r="C234" s="5" t="s">
        <v>713</v>
      </c>
    </row>
    <row r="235" spans="1:12" x14ac:dyDescent="0.2">
      <c r="A235" s="5" t="s">
        <v>714</v>
      </c>
      <c r="C235" s="5" t="s">
        <v>715</v>
      </c>
    </row>
    <row r="237" spans="1:12" ht="16.5" x14ac:dyDescent="0.25">
      <c r="A237" s="1" t="s">
        <v>716</v>
      </c>
      <c r="B237" s="2" t="s">
        <v>717</v>
      </c>
    </row>
    <row r="239" spans="1:12" x14ac:dyDescent="0.2">
      <c r="A239" s="1" t="s">
        <v>718</v>
      </c>
      <c r="B239" s="3" t="s">
        <v>719</v>
      </c>
    </row>
    <row r="241" spans="1:12" x14ac:dyDescent="0.2">
      <c r="A241" s="4" t="s">
        <v>720</v>
      </c>
      <c r="C241" s="10">
        <v>16912722</v>
      </c>
      <c r="F241" s="4" t="s">
        <v>721</v>
      </c>
    </row>
    <row r="242" spans="1:12" x14ac:dyDescent="0.2">
      <c r="F242" s="4" t="s">
        <v>722</v>
      </c>
    </row>
    <row r="243" spans="1:12" x14ac:dyDescent="0.2">
      <c r="E243" s="5" t="s">
        <v>723</v>
      </c>
      <c r="F243" s="5" t="s">
        <v>724</v>
      </c>
      <c r="J243" s="5" t="s">
        <v>725</v>
      </c>
      <c r="L243" s="5" t="s">
        <v>726</v>
      </c>
    </row>
    <row r="244" spans="1:12" x14ac:dyDescent="0.2">
      <c r="A244" s="5" t="s">
        <v>727</v>
      </c>
      <c r="B244" s="5" t="s">
        <v>728</v>
      </c>
      <c r="C244" s="5" t="s">
        <v>729</v>
      </c>
      <c r="D244" s="5" t="s">
        <v>730</v>
      </c>
      <c r="E244" s="5" t="s">
        <v>731</v>
      </c>
      <c r="F244" s="5" t="s">
        <v>732</v>
      </c>
      <c r="G244" s="5" t="s">
        <v>733</v>
      </c>
      <c r="H244" s="5" t="s">
        <v>734</v>
      </c>
      <c r="I244" s="5" t="s">
        <v>735</v>
      </c>
      <c r="J244" s="5" t="s">
        <v>736</v>
      </c>
      <c r="K244" s="5" t="s">
        <v>737</v>
      </c>
      <c r="L244" s="5" t="s">
        <v>738</v>
      </c>
    </row>
    <row r="245" spans="1:12" x14ac:dyDescent="0.2">
      <c r="A245" s="11" t="s">
        <v>739</v>
      </c>
      <c r="B245" s="12">
        <v>16912722</v>
      </c>
      <c r="C245" s="11" t="s">
        <v>740</v>
      </c>
      <c r="D245" s="11" t="s">
        <v>741</v>
      </c>
      <c r="E245" s="11" t="s">
        <v>742</v>
      </c>
      <c r="F245" s="11" t="s">
        <v>743</v>
      </c>
      <c r="I245" s="11" t="s">
        <v>744</v>
      </c>
      <c r="J245" s="11" t="s">
        <v>745</v>
      </c>
      <c r="K245" s="11" t="s">
        <v>746</v>
      </c>
      <c r="L245" s="13">
        <v>28.92</v>
      </c>
    </row>
    <row r="246" spans="1:12" x14ac:dyDescent="0.2">
      <c r="A246" s="11" t="s">
        <v>747</v>
      </c>
      <c r="B246" s="12">
        <v>16912722</v>
      </c>
      <c r="C246" s="11" t="s">
        <v>748</v>
      </c>
      <c r="D246" s="11" t="s">
        <v>749</v>
      </c>
      <c r="E246" s="11" t="s">
        <v>750</v>
      </c>
      <c r="F246" s="11" t="s">
        <v>751</v>
      </c>
      <c r="I246" s="11" t="s">
        <v>752</v>
      </c>
      <c r="J246" s="11" t="s">
        <v>753</v>
      </c>
      <c r="K246" s="11" t="s">
        <v>754</v>
      </c>
      <c r="L246" s="13">
        <v>28.92</v>
      </c>
    </row>
    <row r="247" spans="1:12" x14ac:dyDescent="0.2">
      <c r="A247" s="11" t="s">
        <v>755</v>
      </c>
      <c r="B247" s="12">
        <v>16912722</v>
      </c>
      <c r="C247" s="11" t="s">
        <v>756</v>
      </c>
      <c r="D247" s="11" t="s">
        <v>757</v>
      </c>
      <c r="E247" s="11" t="s">
        <v>758</v>
      </c>
      <c r="F247" s="11" t="s">
        <v>759</v>
      </c>
      <c r="I247" s="11" t="s">
        <v>760</v>
      </c>
      <c r="J247" s="11" t="s">
        <v>761</v>
      </c>
      <c r="K247" s="11" t="s">
        <v>762</v>
      </c>
      <c r="L247" s="13">
        <v>28.92</v>
      </c>
    </row>
    <row r="248" spans="1:12" x14ac:dyDescent="0.2">
      <c r="A248" s="11" t="s">
        <v>763</v>
      </c>
      <c r="B248" s="12">
        <v>16912722</v>
      </c>
      <c r="C248" s="11" t="s">
        <v>764</v>
      </c>
      <c r="D248" s="11" t="s">
        <v>765</v>
      </c>
      <c r="E248" s="11" t="s">
        <v>766</v>
      </c>
      <c r="F248" s="11" t="s">
        <v>767</v>
      </c>
      <c r="I248" s="11" t="s">
        <v>768</v>
      </c>
      <c r="J248" s="11" t="s">
        <v>769</v>
      </c>
      <c r="K248" s="11" t="s">
        <v>770</v>
      </c>
      <c r="L248" s="13">
        <v>28.92</v>
      </c>
    </row>
    <row r="249" spans="1:12" x14ac:dyDescent="0.2">
      <c r="F249" s="5" t="s">
        <v>771</v>
      </c>
      <c r="L249" s="7">
        <v>115.68</v>
      </c>
    </row>
    <row r="250" spans="1:12" x14ac:dyDescent="0.2">
      <c r="C250" s="5" t="s">
        <v>772</v>
      </c>
      <c r="D250" s="14">
        <v>16912722</v>
      </c>
      <c r="F250" s="5" t="s">
        <v>773</v>
      </c>
      <c r="L250" s="7">
        <v>115.68</v>
      </c>
    </row>
    <row r="252" spans="1:12" x14ac:dyDescent="0.2">
      <c r="A252" s="5" t="s">
        <v>774</v>
      </c>
      <c r="B252" s="5" t="s">
        <v>775</v>
      </c>
      <c r="C252" s="5" t="s">
        <v>776</v>
      </c>
    </row>
    <row r="253" spans="1:12" x14ac:dyDescent="0.2">
      <c r="A253" s="5" t="s">
        <v>777</v>
      </c>
      <c r="C253" s="5" t="s">
        <v>778</v>
      </c>
    </row>
    <row r="255" spans="1:12" ht="16.5" x14ac:dyDescent="0.25">
      <c r="A255" s="1" t="s">
        <v>779</v>
      </c>
      <c r="B255" s="2" t="s">
        <v>780</v>
      </c>
    </row>
    <row r="257" spans="1:12" x14ac:dyDescent="0.2">
      <c r="A257" s="1" t="s">
        <v>781</v>
      </c>
      <c r="B257" s="3" t="s">
        <v>782</v>
      </c>
    </row>
    <row r="259" spans="1:12" x14ac:dyDescent="0.2">
      <c r="A259" s="4" t="s">
        <v>783</v>
      </c>
      <c r="C259" s="10">
        <v>16633294</v>
      </c>
      <c r="E259" s="4" t="s">
        <v>784</v>
      </c>
    </row>
    <row r="260" spans="1:12" x14ac:dyDescent="0.2">
      <c r="F260" s="4" t="s">
        <v>785</v>
      </c>
    </row>
    <row r="261" spans="1:12" x14ac:dyDescent="0.2">
      <c r="E261" s="5" t="s">
        <v>786</v>
      </c>
      <c r="F261" s="5" t="s">
        <v>787</v>
      </c>
      <c r="J261" s="5" t="s">
        <v>788</v>
      </c>
      <c r="L261" s="5" t="s">
        <v>789</v>
      </c>
    </row>
    <row r="262" spans="1:12" x14ac:dyDescent="0.2">
      <c r="A262" s="5" t="s">
        <v>790</v>
      </c>
      <c r="B262" s="5" t="s">
        <v>791</v>
      </c>
      <c r="C262" s="5" t="s">
        <v>792</v>
      </c>
      <c r="D262" s="5" t="s">
        <v>793</v>
      </c>
      <c r="E262" s="5" t="s">
        <v>794</v>
      </c>
      <c r="F262" s="5" t="s">
        <v>795</v>
      </c>
      <c r="G262" s="5" t="s">
        <v>796</v>
      </c>
      <c r="H262" s="5" t="s">
        <v>797</v>
      </c>
      <c r="I262" s="5" t="s">
        <v>798</v>
      </c>
      <c r="J262" s="5" t="s">
        <v>799</v>
      </c>
      <c r="K262" s="5" t="s">
        <v>800</v>
      </c>
      <c r="L262" s="5" t="s">
        <v>801</v>
      </c>
    </row>
    <row r="263" spans="1:12" x14ac:dyDescent="0.2">
      <c r="A263" s="11" t="s">
        <v>802</v>
      </c>
      <c r="B263" s="12">
        <v>16633294</v>
      </c>
      <c r="C263" s="11" t="s">
        <v>803</v>
      </c>
      <c r="D263" s="11" t="s">
        <v>804</v>
      </c>
      <c r="E263" s="11" t="s">
        <v>805</v>
      </c>
      <c r="F263" s="11" t="s">
        <v>806</v>
      </c>
      <c r="I263" s="11" t="s">
        <v>807</v>
      </c>
      <c r="J263" s="11" t="s">
        <v>808</v>
      </c>
      <c r="K263" s="11" t="s">
        <v>809</v>
      </c>
      <c r="L263" s="13">
        <v>28.92</v>
      </c>
    </row>
    <row r="264" spans="1:12" x14ac:dyDescent="0.2">
      <c r="A264" s="11" t="s">
        <v>810</v>
      </c>
      <c r="B264" s="12">
        <v>16633294</v>
      </c>
      <c r="C264" s="11" t="s">
        <v>811</v>
      </c>
      <c r="D264" s="11" t="s">
        <v>812</v>
      </c>
      <c r="E264" s="11" t="s">
        <v>813</v>
      </c>
      <c r="F264" s="11" t="s">
        <v>814</v>
      </c>
      <c r="I264" s="11" t="s">
        <v>815</v>
      </c>
      <c r="J264" s="11" t="s">
        <v>816</v>
      </c>
      <c r="K264" s="11" t="s">
        <v>817</v>
      </c>
      <c r="L264" s="13">
        <v>28.92</v>
      </c>
    </row>
    <row r="265" spans="1:12" x14ac:dyDescent="0.2">
      <c r="A265" s="11" t="s">
        <v>818</v>
      </c>
      <c r="B265" s="12">
        <v>16633294</v>
      </c>
      <c r="C265" s="11" t="s">
        <v>819</v>
      </c>
      <c r="D265" s="11" t="s">
        <v>820</v>
      </c>
      <c r="E265" s="11" t="s">
        <v>821</v>
      </c>
      <c r="F265" s="11" t="s">
        <v>822</v>
      </c>
      <c r="I265" s="11" t="s">
        <v>823</v>
      </c>
      <c r="J265" s="11" t="s">
        <v>824</v>
      </c>
      <c r="K265" s="11" t="s">
        <v>825</v>
      </c>
      <c r="L265" s="13">
        <v>28.92</v>
      </c>
    </row>
    <row r="266" spans="1:12" x14ac:dyDescent="0.2">
      <c r="A266" s="11" t="s">
        <v>826</v>
      </c>
      <c r="B266" s="12">
        <v>16633294</v>
      </c>
      <c r="C266" s="11" t="s">
        <v>827</v>
      </c>
      <c r="D266" s="11" t="s">
        <v>828</v>
      </c>
      <c r="E266" s="11" t="s">
        <v>829</v>
      </c>
      <c r="F266" s="11" t="s">
        <v>830</v>
      </c>
      <c r="I266" s="11" t="s">
        <v>831</v>
      </c>
      <c r="J266" s="11" t="s">
        <v>832</v>
      </c>
      <c r="K266" s="11" t="s">
        <v>833</v>
      </c>
      <c r="L266" s="13">
        <v>28.92</v>
      </c>
    </row>
    <row r="267" spans="1:12" x14ac:dyDescent="0.2">
      <c r="A267" s="11" t="s">
        <v>834</v>
      </c>
      <c r="B267" s="12">
        <v>16633294</v>
      </c>
      <c r="C267" s="11" t="s">
        <v>835</v>
      </c>
      <c r="D267" s="11" t="s">
        <v>836</v>
      </c>
      <c r="E267" s="11" t="s">
        <v>837</v>
      </c>
      <c r="F267" s="11" t="s">
        <v>838</v>
      </c>
      <c r="I267" s="11" t="s">
        <v>839</v>
      </c>
      <c r="J267" s="11" t="s">
        <v>840</v>
      </c>
      <c r="K267" s="11" t="s">
        <v>841</v>
      </c>
      <c r="L267" s="13">
        <v>28.92</v>
      </c>
    </row>
    <row r="268" spans="1:12" x14ac:dyDescent="0.2">
      <c r="A268" s="11" t="s">
        <v>842</v>
      </c>
      <c r="B268" s="12">
        <v>16633294</v>
      </c>
      <c r="C268" s="11" t="s">
        <v>843</v>
      </c>
      <c r="D268" s="11" t="s">
        <v>844</v>
      </c>
      <c r="E268" s="11" t="s">
        <v>845</v>
      </c>
      <c r="F268" s="11" t="s">
        <v>846</v>
      </c>
      <c r="I268" s="11" t="s">
        <v>847</v>
      </c>
      <c r="J268" s="11" t="s">
        <v>848</v>
      </c>
      <c r="K268" s="11" t="s">
        <v>849</v>
      </c>
      <c r="L268" s="13">
        <v>28.92</v>
      </c>
    </row>
    <row r="269" spans="1:12" x14ac:dyDescent="0.2">
      <c r="A269" s="11" t="s">
        <v>850</v>
      </c>
      <c r="B269" s="12">
        <v>16633294</v>
      </c>
      <c r="C269" s="11" t="s">
        <v>851</v>
      </c>
      <c r="D269" s="11" t="s">
        <v>852</v>
      </c>
      <c r="E269" s="11" t="s">
        <v>853</v>
      </c>
      <c r="F269" s="11" t="s">
        <v>854</v>
      </c>
      <c r="I269" s="11" t="s">
        <v>855</v>
      </c>
      <c r="J269" s="11" t="s">
        <v>856</v>
      </c>
      <c r="K269" s="11" t="s">
        <v>857</v>
      </c>
      <c r="L269" s="13">
        <v>28.92</v>
      </c>
    </row>
    <row r="270" spans="1:12" x14ac:dyDescent="0.2">
      <c r="A270" s="11" t="s">
        <v>858</v>
      </c>
      <c r="B270" s="12">
        <v>16633294</v>
      </c>
      <c r="C270" s="11" t="s">
        <v>859</v>
      </c>
      <c r="D270" s="11" t="s">
        <v>860</v>
      </c>
      <c r="E270" s="11" t="s">
        <v>861</v>
      </c>
      <c r="F270" s="11" t="s">
        <v>862</v>
      </c>
      <c r="I270" s="11" t="s">
        <v>863</v>
      </c>
      <c r="J270" s="11" t="s">
        <v>864</v>
      </c>
      <c r="K270" s="11" t="s">
        <v>865</v>
      </c>
      <c r="L270" s="13">
        <v>28.92</v>
      </c>
    </row>
    <row r="271" spans="1:12" x14ac:dyDescent="0.2">
      <c r="A271" s="11" t="s">
        <v>866</v>
      </c>
      <c r="B271" s="12">
        <v>16633294</v>
      </c>
      <c r="C271" s="11" t="s">
        <v>867</v>
      </c>
      <c r="D271" s="11" t="s">
        <v>868</v>
      </c>
      <c r="E271" s="11" t="s">
        <v>869</v>
      </c>
      <c r="F271" s="11" t="s">
        <v>870</v>
      </c>
      <c r="I271" s="11" t="s">
        <v>871</v>
      </c>
      <c r="J271" s="11" t="s">
        <v>872</v>
      </c>
      <c r="K271" s="11" t="s">
        <v>873</v>
      </c>
      <c r="L271" s="13">
        <v>28.92</v>
      </c>
    </row>
    <row r="272" spans="1:12" x14ac:dyDescent="0.2">
      <c r="F272" s="5" t="s">
        <v>874</v>
      </c>
      <c r="L272" s="7">
        <v>260.27999999999997</v>
      </c>
    </row>
    <row r="273" spans="1:12" x14ac:dyDescent="0.2">
      <c r="C273" s="5" t="s">
        <v>875</v>
      </c>
      <c r="E273" s="14">
        <v>16633294</v>
      </c>
      <c r="F273" s="5" t="s">
        <v>876</v>
      </c>
      <c r="L273" s="7">
        <v>260.27999999999997</v>
      </c>
    </row>
    <row r="274" spans="1:12" ht="15" x14ac:dyDescent="0.25">
      <c r="C274" s="8" t="s">
        <v>877</v>
      </c>
      <c r="D274" s="17">
        <v>16633294</v>
      </c>
      <c r="F274" s="8" t="s">
        <v>878</v>
      </c>
      <c r="L274" s="7">
        <v>-425.26</v>
      </c>
    </row>
    <row r="276" spans="1:12" x14ac:dyDescent="0.2">
      <c r="A276" s="5" t="s">
        <v>879</v>
      </c>
      <c r="B276" s="5" t="s">
        <v>880</v>
      </c>
      <c r="C276" s="5" t="s">
        <v>881</v>
      </c>
    </row>
    <row r="277" spans="1:12" x14ac:dyDescent="0.2">
      <c r="A277" s="5" t="s">
        <v>882</v>
      </c>
      <c r="C277" s="5" t="s">
        <v>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0C03-B233-4017-AE63-309907B0C76F}">
  <dimension ref="A1:P49"/>
  <sheetViews>
    <sheetView tabSelected="1" topLeftCell="A9" workbookViewId="0">
      <selection activeCell="P2" sqref="P2:P49"/>
    </sheetView>
  </sheetViews>
  <sheetFormatPr defaultRowHeight="12.75" x14ac:dyDescent="0.2"/>
  <cols>
    <col min="1" max="2" width="15.85546875" customWidth="1"/>
    <col min="3" max="3" width="14.5703125" customWidth="1"/>
    <col min="4" max="4" width="26.85546875" bestFit="1" customWidth="1"/>
    <col min="5" max="5" width="10.140625" bestFit="1" customWidth="1"/>
    <col min="14" max="14" width="20" bestFit="1" customWidth="1"/>
    <col min="15" max="15" width="19.85546875" bestFit="1" customWidth="1"/>
  </cols>
  <sheetData>
    <row r="1" spans="1:15" x14ac:dyDescent="0.2">
      <c r="A1" s="5" t="s">
        <v>35</v>
      </c>
      <c r="B1" s="5"/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5</v>
      </c>
    </row>
    <row r="2" spans="1:15" s="22" customFormat="1" x14ac:dyDescent="0.2">
      <c r="A2" s="19">
        <v>449350</v>
      </c>
      <c r="B2" s="19" t="str">
        <f>CONCATENATE(A2,"OVR")</f>
        <v>449350OVR</v>
      </c>
      <c r="C2" s="20">
        <v>20411454</v>
      </c>
      <c r="D2" s="21" t="s">
        <v>48</v>
      </c>
      <c r="E2" s="21" t="s">
        <v>49</v>
      </c>
      <c r="F2" s="21" t="s">
        <v>50</v>
      </c>
      <c r="G2" s="21" t="s">
        <v>51</v>
      </c>
      <c r="J2" s="26">
        <v>46082</v>
      </c>
      <c r="K2" s="21" t="s">
        <v>53</v>
      </c>
      <c r="L2" s="21" t="s">
        <v>54</v>
      </c>
      <c r="M2" s="23">
        <v>8.75</v>
      </c>
      <c r="N2" s="24" t="s">
        <v>884</v>
      </c>
      <c r="O2" s="22" t="s">
        <v>885</v>
      </c>
    </row>
    <row r="3" spans="1:15" s="22" customFormat="1" x14ac:dyDescent="0.2">
      <c r="A3" s="19">
        <v>439384</v>
      </c>
      <c r="B3" s="19" t="str">
        <f t="shared" ref="B3:B25" si="0">CONCATENATE(A3,"OVR")</f>
        <v>439384OVR</v>
      </c>
      <c r="C3" s="20">
        <v>20411454</v>
      </c>
      <c r="D3" s="21" t="s">
        <v>56</v>
      </c>
      <c r="E3" s="21" t="s">
        <v>49</v>
      </c>
      <c r="F3" s="21" t="s">
        <v>50</v>
      </c>
      <c r="G3" s="21" t="s">
        <v>59</v>
      </c>
      <c r="J3" s="26">
        <v>46082</v>
      </c>
      <c r="K3" s="21" t="s">
        <v>53</v>
      </c>
      <c r="L3" s="21" t="s">
        <v>54</v>
      </c>
      <c r="M3" s="23">
        <v>8.75</v>
      </c>
      <c r="N3" s="24" t="s">
        <v>884</v>
      </c>
      <c r="O3" s="22" t="s">
        <v>885</v>
      </c>
    </row>
    <row r="4" spans="1:15" s="22" customFormat="1" x14ac:dyDescent="0.2">
      <c r="A4" s="19">
        <v>439383</v>
      </c>
      <c r="B4" s="19" t="str">
        <f t="shared" si="0"/>
        <v>439383OVR</v>
      </c>
      <c r="C4" s="20">
        <v>20411454</v>
      </c>
      <c r="D4" s="21" t="s">
        <v>64</v>
      </c>
      <c r="E4" s="21" t="s">
        <v>49</v>
      </c>
      <c r="F4" s="21" t="s">
        <v>50</v>
      </c>
      <c r="G4" s="21" t="s">
        <v>59</v>
      </c>
      <c r="J4" s="26">
        <v>46082</v>
      </c>
      <c r="K4" s="21" t="s">
        <v>53</v>
      </c>
      <c r="L4" s="21" t="s">
        <v>54</v>
      </c>
      <c r="M4" s="23">
        <v>8.75</v>
      </c>
      <c r="N4" s="24" t="s">
        <v>884</v>
      </c>
      <c r="O4" s="22" t="s">
        <v>885</v>
      </c>
    </row>
    <row r="5" spans="1:15" s="22" customFormat="1" x14ac:dyDescent="0.2">
      <c r="A5" s="19">
        <v>442876</v>
      </c>
      <c r="B5" s="19" t="str">
        <f t="shared" si="0"/>
        <v>442876OVR</v>
      </c>
      <c r="C5" s="20">
        <v>20411454</v>
      </c>
      <c r="D5" s="21" t="s">
        <v>72</v>
      </c>
      <c r="E5" s="21" t="s">
        <v>49</v>
      </c>
      <c r="F5" s="21" t="s">
        <v>50</v>
      </c>
      <c r="G5" s="21" t="s">
        <v>59</v>
      </c>
      <c r="J5" s="26">
        <v>46082</v>
      </c>
      <c r="K5" s="21" t="s">
        <v>53</v>
      </c>
      <c r="L5" s="21" t="s">
        <v>54</v>
      </c>
      <c r="M5" s="23">
        <v>8.75</v>
      </c>
      <c r="N5" s="24" t="s">
        <v>884</v>
      </c>
      <c r="O5" s="22" t="s">
        <v>885</v>
      </c>
    </row>
    <row r="6" spans="1:15" s="22" customFormat="1" x14ac:dyDescent="0.2">
      <c r="A6" s="19">
        <v>445341</v>
      </c>
      <c r="B6" s="19" t="str">
        <f t="shared" si="0"/>
        <v>445341OVR</v>
      </c>
      <c r="C6" s="20">
        <v>20411454</v>
      </c>
      <c r="D6" s="21" t="s">
        <v>80</v>
      </c>
      <c r="E6" s="21" t="s">
        <v>49</v>
      </c>
      <c r="F6" s="21" t="s">
        <v>50</v>
      </c>
      <c r="G6" s="21" t="s">
        <v>59</v>
      </c>
      <c r="J6" s="26">
        <v>46082</v>
      </c>
      <c r="K6" s="21" t="s">
        <v>53</v>
      </c>
      <c r="L6" s="21" t="s">
        <v>54</v>
      </c>
      <c r="M6" s="23">
        <v>8.75</v>
      </c>
      <c r="N6" s="24" t="s">
        <v>884</v>
      </c>
      <c r="O6" s="22" t="s">
        <v>885</v>
      </c>
    </row>
    <row r="7" spans="1:15" s="22" customFormat="1" x14ac:dyDescent="0.2">
      <c r="A7" s="19">
        <v>463310</v>
      </c>
      <c r="B7" s="19" t="str">
        <f t="shared" si="0"/>
        <v>463310OVR</v>
      </c>
      <c r="C7" s="20">
        <v>20411454</v>
      </c>
      <c r="D7" s="21" t="s">
        <v>119</v>
      </c>
      <c r="E7" s="21" t="s">
        <v>49</v>
      </c>
      <c r="F7" s="21" t="s">
        <v>50</v>
      </c>
      <c r="G7" s="21" t="s">
        <v>122</v>
      </c>
      <c r="H7" s="21" t="s">
        <v>123</v>
      </c>
      <c r="I7" s="20">
        <v>13</v>
      </c>
      <c r="J7" s="26">
        <v>46023</v>
      </c>
      <c r="K7" s="21" t="s">
        <v>125</v>
      </c>
      <c r="L7" s="21" t="s">
        <v>126</v>
      </c>
      <c r="M7" s="25">
        <v>-280</v>
      </c>
      <c r="N7" s="24" t="s">
        <v>884</v>
      </c>
      <c r="O7" s="22" t="s">
        <v>885</v>
      </c>
    </row>
    <row r="8" spans="1:15" s="22" customFormat="1" x14ac:dyDescent="0.2">
      <c r="A8" s="19">
        <v>448295</v>
      </c>
      <c r="B8" s="19" t="str">
        <f t="shared" si="0"/>
        <v>448295OVR</v>
      </c>
      <c r="C8" s="20">
        <v>20411454</v>
      </c>
      <c r="D8" s="21" t="s">
        <v>146</v>
      </c>
      <c r="E8" s="21" t="s">
        <v>49</v>
      </c>
      <c r="F8" s="21" t="s">
        <v>148</v>
      </c>
      <c r="G8" s="21" t="s">
        <v>59</v>
      </c>
      <c r="J8" s="26">
        <v>46082</v>
      </c>
      <c r="K8" s="21" t="s">
        <v>53</v>
      </c>
      <c r="L8" s="21" t="s">
        <v>54</v>
      </c>
      <c r="M8" s="23">
        <v>8.75</v>
      </c>
      <c r="N8" s="24" t="s">
        <v>884</v>
      </c>
      <c r="O8" s="22" t="s">
        <v>885</v>
      </c>
    </row>
    <row r="9" spans="1:15" s="22" customFormat="1" x14ac:dyDescent="0.2">
      <c r="A9" s="19">
        <v>439914</v>
      </c>
      <c r="B9" s="19" t="str">
        <f t="shared" si="0"/>
        <v>439914OVR</v>
      </c>
      <c r="C9" s="20">
        <v>20411454</v>
      </c>
      <c r="D9" s="21" t="s">
        <v>154</v>
      </c>
      <c r="E9" s="21" t="s">
        <v>49</v>
      </c>
      <c r="F9" s="21" t="s">
        <v>50</v>
      </c>
      <c r="G9" s="21" t="s">
        <v>59</v>
      </c>
      <c r="J9" s="26">
        <v>46082</v>
      </c>
      <c r="K9" s="21" t="s">
        <v>53</v>
      </c>
      <c r="L9" s="21" t="s">
        <v>54</v>
      </c>
      <c r="M9" s="23">
        <v>8.75</v>
      </c>
      <c r="N9" s="24" t="s">
        <v>884</v>
      </c>
      <c r="O9" s="22" t="s">
        <v>885</v>
      </c>
    </row>
    <row r="10" spans="1:15" s="22" customFormat="1" x14ac:dyDescent="0.2">
      <c r="A10" s="19">
        <v>444055</v>
      </c>
      <c r="B10" s="19" t="str">
        <f t="shared" si="0"/>
        <v>444055OVR</v>
      </c>
      <c r="C10" s="20">
        <v>20411454</v>
      </c>
      <c r="D10" s="21" t="s">
        <v>193</v>
      </c>
      <c r="E10" s="21" t="s">
        <v>49</v>
      </c>
      <c r="F10" s="21" t="s">
        <v>50</v>
      </c>
      <c r="G10" s="21" t="s">
        <v>59</v>
      </c>
      <c r="J10" s="26">
        <v>46082</v>
      </c>
      <c r="K10" s="21" t="s">
        <v>53</v>
      </c>
      <c r="L10" s="21" t="s">
        <v>54</v>
      </c>
      <c r="M10" s="23">
        <v>8.75</v>
      </c>
      <c r="N10" s="24" t="s">
        <v>884</v>
      </c>
      <c r="O10" s="22" t="s">
        <v>885</v>
      </c>
    </row>
    <row r="11" spans="1:15" s="22" customFormat="1" x14ac:dyDescent="0.2">
      <c r="A11" s="19">
        <v>466607</v>
      </c>
      <c r="B11" s="19" t="str">
        <f t="shared" si="0"/>
        <v>466607OVR</v>
      </c>
      <c r="C11" s="20">
        <v>20411454</v>
      </c>
      <c r="D11" s="21" t="s">
        <v>232</v>
      </c>
      <c r="E11" s="21" t="s">
        <v>49</v>
      </c>
      <c r="F11" s="21" t="s">
        <v>50</v>
      </c>
      <c r="G11" s="21" t="s">
        <v>122</v>
      </c>
      <c r="H11" s="21" t="s">
        <v>123</v>
      </c>
      <c r="I11" s="20">
        <v>13</v>
      </c>
      <c r="J11" s="26">
        <v>46023</v>
      </c>
      <c r="K11" s="21" t="s">
        <v>125</v>
      </c>
      <c r="L11" s="21" t="s">
        <v>126</v>
      </c>
      <c r="M11" s="25">
        <v>-280</v>
      </c>
      <c r="N11" s="24" t="s">
        <v>884</v>
      </c>
      <c r="O11" s="22" t="s">
        <v>885</v>
      </c>
    </row>
    <row r="12" spans="1:15" s="22" customFormat="1" x14ac:dyDescent="0.2">
      <c r="A12" s="19">
        <v>446535</v>
      </c>
      <c r="B12" s="19" t="str">
        <f t="shared" si="0"/>
        <v>446535OVR</v>
      </c>
      <c r="C12" s="20">
        <v>20411454</v>
      </c>
      <c r="D12" s="21" t="s">
        <v>272</v>
      </c>
      <c r="E12" s="21" t="s">
        <v>49</v>
      </c>
      <c r="F12" s="21" t="s">
        <v>50</v>
      </c>
      <c r="G12" s="21" t="s">
        <v>59</v>
      </c>
      <c r="J12" s="26">
        <v>46082</v>
      </c>
      <c r="K12" s="21" t="s">
        <v>53</v>
      </c>
      <c r="L12" s="21" t="s">
        <v>54</v>
      </c>
      <c r="M12" s="23">
        <v>8.75</v>
      </c>
      <c r="N12" s="24" t="s">
        <v>884</v>
      </c>
      <c r="O12" s="22" t="s">
        <v>885</v>
      </c>
    </row>
    <row r="13" spans="1:15" s="22" customFormat="1" x14ac:dyDescent="0.2">
      <c r="A13" s="19">
        <v>447954</v>
      </c>
      <c r="B13" s="19" t="str">
        <f t="shared" si="0"/>
        <v>447954OVR</v>
      </c>
      <c r="C13" s="20">
        <v>20411454</v>
      </c>
      <c r="D13" s="21" t="s">
        <v>311</v>
      </c>
      <c r="E13" s="21" t="s">
        <v>49</v>
      </c>
      <c r="F13" s="21" t="s">
        <v>50</v>
      </c>
      <c r="G13" s="21" t="s">
        <v>59</v>
      </c>
      <c r="J13" s="26">
        <v>46082</v>
      </c>
      <c r="K13" s="21" t="s">
        <v>53</v>
      </c>
      <c r="L13" s="21" t="s">
        <v>54</v>
      </c>
      <c r="M13" s="23">
        <v>8.75</v>
      </c>
      <c r="N13" s="24" t="s">
        <v>884</v>
      </c>
      <c r="O13" s="22" t="s">
        <v>885</v>
      </c>
    </row>
    <row r="14" spans="1:15" s="22" customFormat="1" x14ac:dyDescent="0.2">
      <c r="A14" s="19">
        <v>447955</v>
      </c>
      <c r="B14" s="19" t="str">
        <f t="shared" si="0"/>
        <v>447955OVR</v>
      </c>
      <c r="C14" s="20">
        <v>20411454</v>
      </c>
      <c r="D14" s="21" t="s">
        <v>319</v>
      </c>
      <c r="E14" s="21" t="s">
        <v>49</v>
      </c>
      <c r="F14" s="21" t="s">
        <v>50</v>
      </c>
      <c r="G14" s="21" t="s">
        <v>59</v>
      </c>
      <c r="J14" s="26">
        <v>46082</v>
      </c>
      <c r="K14" s="21" t="s">
        <v>53</v>
      </c>
      <c r="L14" s="21" t="s">
        <v>54</v>
      </c>
      <c r="M14" s="23">
        <v>8.75</v>
      </c>
      <c r="N14" s="24" t="s">
        <v>884</v>
      </c>
      <c r="O14" s="22" t="s">
        <v>885</v>
      </c>
    </row>
    <row r="15" spans="1:15" s="22" customFormat="1" x14ac:dyDescent="0.2">
      <c r="A15" s="19">
        <v>448034</v>
      </c>
      <c r="B15" s="19" t="str">
        <f t="shared" si="0"/>
        <v>448034OVR</v>
      </c>
      <c r="C15" s="20">
        <v>20411454</v>
      </c>
      <c r="D15" s="21" t="s">
        <v>327</v>
      </c>
      <c r="E15" s="21" t="s">
        <v>49</v>
      </c>
      <c r="F15" s="21" t="s">
        <v>50</v>
      </c>
      <c r="G15" s="21" t="s">
        <v>59</v>
      </c>
      <c r="J15" s="26">
        <v>46082</v>
      </c>
      <c r="K15" s="21" t="s">
        <v>53</v>
      </c>
      <c r="L15" s="21" t="s">
        <v>54</v>
      </c>
      <c r="M15" s="23">
        <v>8.75</v>
      </c>
      <c r="N15" s="24" t="s">
        <v>884</v>
      </c>
      <c r="O15" s="22" t="s">
        <v>885</v>
      </c>
    </row>
    <row r="16" spans="1:15" s="22" customFormat="1" x14ac:dyDescent="0.2">
      <c r="A16" s="19">
        <v>447701</v>
      </c>
      <c r="B16" s="19" t="str">
        <f t="shared" si="0"/>
        <v>447701OVR</v>
      </c>
      <c r="C16" s="20">
        <v>20411454</v>
      </c>
      <c r="D16" s="21" t="s">
        <v>335</v>
      </c>
      <c r="E16" s="21" t="s">
        <v>49</v>
      </c>
      <c r="F16" s="21" t="s">
        <v>50</v>
      </c>
      <c r="G16" s="21" t="s">
        <v>59</v>
      </c>
      <c r="J16" s="26">
        <v>46082</v>
      </c>
      <c r="K16" s="21" t="s">
        <v>53</v>
      </c>
      <c r="L16" s="21" t="s">
        <v>54</v>
      </c>
      <c r="M16" s="23">
        <v>8.75</v>
      </c>
      <c r="N16" s="24" t="s">
        <v>884</v>
      </c>
      <c r="O16" s="22" t="s">
        <v>885</v>
      </c>
    </row>
    <row r="17" spans="1:16" s="22" customFormat="1" x14ac:dyDescent="0.2">
      <c r="A17" s="19">
        <v>446217</v>
      </c>
      <c r="B17" s="19" t="str">
        <f t="shared" si="0"/>
        <v>446217OVR</v>
      </c>
      <c r="C17" s="20">
        <v>20411454</v>
      </c>
      <c r="D17" s="21" t="s">
        <v>374</v>
      </c>
      <c r="E17" s="21" t="s">
        <v>49</v>
      </c>
      <c r="F17" s="21" t="s">
        <v>50</v>
      </c>
      <c r="G17" s="21" t="s">
        <v>59</v>
      </c>
      <c r="J17" s="26">
        <v>46082</v>
      </c>
      <c r="K17" s="21" t="s">
        <v>53</v>
      </c>
      <c r="L17" s="21" t="s">
        <v>54</v>
      </c>
      <c r="M17" s="23">
        <v>8.75</v>
      </c>
      <c r="N17" s="24" t="s">
        <v>884</v>
      </c>
      <c r="O17" s="22" t="s">
        <v>885</v>
      </c>
    </row>
    <row r="18" spans="1:16" s="22" customFormat="1" x14ac:dyDescent="0.2">
      <c r="A18" s="19">
        <v>443292</v>
      </c>
      <c r="B18" s="19" t="str">
        <f t="shared" si="0"/>
        <v>443292OVR</v>
      </c>
      <c r="C18" s="20">
        <v>20411454</v>
      </c>
      <c r="D18" s="21" t="s">
        <v>382</v>
      </c>
      <c r="E18" s="21" t="s">
        <v>49</v>
      </c>
      <c r="F18" s="21" t="s">
        <v>50</v>
      </c>
      <c r="G18" s="21" t="s">
        <v>59</v>
      </c>
      <c r="J18" s="26">
        <v>46082</v>
      </c>
      <c r="K18" s="21" t="s">
        <v>53</v>
      </c>
      <c r="L18" s="21" t="s">
        <v>54</v>
      </c>
      <c r="M18" s="23">
        <v>8.75</v>
      </c>
      <c r="N18" s="24" t="s">
        <v>884</v>
      </c>
      <c r="O18" s="22" t="s">
        <v>885</v>
      </c>
    </row>
    <row r="19" spans="1:16" s="22" customFormat="1" x14ac:dyDescent="0.2">
      <c r="A19" s="19">
        <v>443286</v>
      </c>
      <c r="B19" s="19" t="str">
        <f t="shared" si="0"/>
        <v>443286OVR</v>
      </c>
      <c r="C19" s="20">
        <v>20411454</v>
      </c>
      <c r="D19" s="21" t="s">
        <v>390</v>
      </c>
      <c r="E19" s="21" t="s">
        <v>49</v>
      </c>
      <c r="F19" s="21" t="s">
        <v>50</v>
      </c>
      <c r="G19" s="21" t="s">
        <v>59</v>
      </c>
      <c r="J19" s="26">
        <v>46082</v>
      </c>
      <c r="K19" s="21" t="s">
        <v>53</v>
      </c>
      <c r="L19" s="21" t="s">
        <v>54</v>
      </c>
      <c r="M19" s="23">
        <v>8.75</v>
      </c>
      <c r="N19" s="24" t="s">
        <v>884</v>
      </c>
      <c r="O19" s="22" t="s">
        <v>885</v>
      </c>
    </row>
    <row r="20" spans="1:16" s="22" customFormat="1" x14ac:dyDescent="0.2">
      <c r="A20" s="19">
        <v>444212</v>
      </c>
      <c r="B20" s="19" t="str">
        <f t="shared" si="0"/>
        <v>444212OVR</v>
      </c>
      <c r="C20" s="20">
        <v>20411454</v>
      </c>
      <c r="D20" s="21" t="s">
        <v>398</v>
      </c>
      <c r="E20" s="21" t="s">
        <v>49</v>
      </c>
      <c r="F20" s="21" t="s">
        <v>50</v>
      </c>
      <c r="G20" s="21" t="s">
        <v>59</v>
      </c>
      <c r="J20" s="26">
        <v>46082</v>
      </c>
      <c r="K20" s="21" t="s">
        <v>53</v>
      </c>
      <c r="L20" s="21" t="s">
        <v>54</v>
      </c>
      <c r="M20" s="23">
        <v>8.75</v>
      </c>
      <c r="N20" s="24" t="s">
        <v>884</v>
      </c>
      <c r="O20" s="22" t="s">
        <v>885</v>
      </c>
    </row>
    <row r="21" spans="1:16" s="22" customFormat="1" x14ac:dyDescent="0.2">
      <c r="A21" s="19">
        <v>443209</v>
      </c>
      <c r="B21" s="19" t="str">
        <f t="shared" si="0"/>
        <v>443209OVR</v>
      </c>
      <c r="C21" s="20">
        <v>20411454</v>
      </c>
      <c r="D21" s="21" t="s">
        <v>406</v>
      </c>
      <c r="E21" s="21" t="s">
        <v>49</v>
      </c>
      <c r="F21" s="21" t="s">
        <v>50</v>
      </c>
      <c r="G21" s="21" t="s">
        <v>59</v>
      </c>
      <c r="J21" s="26">
        <v>46082</v>
      </c>
      <c r="K21" s="21" t="s">
        <v>53</v>
      </c>
      <c r="L21" s="21" t="s">
        <v>54</v>
      </c>
      <c r="M21" s="23">
        <v>8.75</v>
      </c>
      <c r="N21" s="24" t="s">
        <v>884</v>
      </c>
      <c r="O21" s="22" t="s">
        <v>885</v>
      </c>
    </row>
    <row r="22" spans="1:16" s="22" customFormat="1" x14ac:dyDescent="0.2">
      <c r="A22" s="19">
        <v>440990</v>
      </c>
      <c r="B22" s="19" t="str">
        <f t="shared" si="0"/>
        <v>440990OVR</v>
      </c>
      <c r="C22" s="20">
        <v>20411454</v>
      </c>
      <c r="D22" s="21" t="s">
        <v>414</v>
      </c>
      <c r="E22" s="21" t="s">
        <v>49</v>
      </c>
      <c r="F22" s="21" t="s">
        <v>50</v>
      </c>
      <c r="G22" s="21" t="s">
        <v>59</v>
      </c>
      <c r="J22" s="26">
        <v>46082</v>
      </c>
      <c r="K22" s="21" t="s">
        <v>53</v>
      </c>
      <c r="L22" s="21" t="s">
        <v>54</v>
      </c>
      <c r="M22" s="23">
        <v>8.75</v>
      </c>
      <c r="N22" s="24" t="s">
        <v>884</v>
      </c>
      <c r="O22" s="22" t="s">
        <v>885</v>
      </c>
    </row>
    <row r="23" spans="1:16" s="22" customFormat="1" x14ac:dyDescent="0.2">
      <c r="A23" s="19">
        <v>445753</v>
      </c>
      <c r="B23" s="19" t="str">
        <f t="shared" si="0"/>
        <v>445753OVR</v>
      </c>
      <c r="C23" s="20">
        <v>20411454</v>
      </c>
      <c r="D23" s="21" t="s">
        <v>422</v>
      </c>
      <c r="E23" s="21" t="s">
        <v>49</v>
      </c>
      <c r="F23" s="21" t="s">
        <v>50</v>
      </c>
      <c r="G23" s="21" t="s">
        <v>59</v>
      </c>
      <c r="J23" s="26">
        <v>46082</v>
      </c>
      <c r="K23" s="21" t="s">
        <v>53</v>
      </c>
      <c r="L23" s="21" t="s">
        <v>54</v>
      </c>
      <c r="M23" s="23">
        <v>8.75</v>
      </c>
      <c r="N23" s="24" t="s">
        <v>884</v>
      </c>
      <c r="O23" s="22" t="s">
        <v>885</v>
      </c>
    </row>
    <row r="24" spans="1:16" s="22" customFormat="1" x14ac:dyDescent="0.2">
      <c r="A24" s="19">
        <v>446673</v>
      </c>
      <c r="B24" s="19" t="str">
        <f t="shared" si="0"/>
        <v>446673OVR</v>
      </c>
      <c r="C24" s="20">
        <v>20411454</v>
      </c>
      <c r="D24" s="21" t="s">
        <v>430</v>
      </c>
      <c r="E24" s="21" t="s">
        <v>49</v>
      </c>
      <c r="F24" s="21" t="s">
        <v>50</v>
      </c>
      <c r="G24" s="21" t="s">
        <v>59</v>
      </c>
      <c r="J24" s="26">
        <v>46082</v>
      </c>
      <c r="K24" s="21" t="s">
        <v>53</v>
      </c>
      <c r="L24" s="21" t="s">
        <v>54</v>
      </c>
      <c r="M24" s="23">
        <v>8.75</v>
      </c>
      <c r="N24" s="24" t="s">
        <v>884</v>
      </c>
      <c r="O24" s="22" t="s">
        <v>885</v>
      </c>
    </row>
    <row r="25" spans="1:16" s="22" customFormat="1" x14ac:dyDescent="0.2">
      <c r="A25" s="19">
        <v>447931</v>
      </c>
      <c r="B25" s="19" t="str">
        <f t="shared" si="0"/>
        <v>447931OVR</v>
      </c>
      <c r="C25" s="20">
        <v>20411454</v>
      </c>
      <c r="D25" s="21" t="s">
        <v>438</v>
      </c>
      <c r="E25" s="21" t="s">
        <v>49</v>
      </c>
      <c r="F25" s="21" t="s">
        <v>50</v>
      </c>
      <c r="G25" s="21" t="s">
        <v>59</v>
      </c>
      <c r="J25" s="26">
        <v>46082</v>
      </c>
      <c r="K25" s="21" t="s">
        <v>53</v>
      </c>
      <c r="L25" s="21" t="s">
        <v>54</v>
      </c>
      <c r="M25" s="23">
        <v>8.75</v>
      </c>
      <c r="N25" s="24" t="s">
        <v>884</v>
      </c>
      <c r="O25" s="22" t="s">
        <v>885</v>
      </c>
    </row>
    <row r="26" spans="1:16" x14ac:dyDescent="0.2">
      <c r="A26" s="18">
        <v>449350</v>
      </c>
      <c r="B26" s="18" t="str">
        <f>CONCATENATE(A26,22)</f>
        <v>44935022</v>
      </c>
      <c r="C26" s="12">
        <v>2158366</v>
      </c>
      <c r="D26" s="11" t="s">
        <v>48</v>
      </c>
      <c r="E26" s="11" t="s">
        <v>49</v>
      </c>
      <c r="F26" s="11" t="s">
        <v>50</v>
      </c>
      <c r="G26" s="11" t="s">
        <v>51</v>
      </c>
      <c r="J26" s="27">
        <v>46082</v>
      </c>
      <c r="K26" s="11" t="s">
        <v>53</v>
      </c>
      <c r="L26" s="11" t="s">
        <v>54</v>
      </c>
      <c r="M26" s="13">
        <v>28.92</v>
      </c>
      <c r="N26" s="5" t="s">
        <v>29</v>
      </c>
      <c r="O26" t="s">
        <v>886</v>
      </c>
      <c r="P26" t="s">
        <v>888</v>
      </c>
    </row>
    <row r="27" spans="1:16" x14ac:dyDescent="0.2">
      <c r="A27" s="18">
        <v>439383</v>
      </c>
      <c r="B27" s="18" t="str">
        <f t="shared" ref="B27:B49" si="1">CONCATENATE(A27,22)</f>
        <v>43938322</v>
      </c>
      <c r="C27" s="12">
        <v>2158366</v>
      </c>
      <c r="D27" s="11" t="s">
        <v>64</v>
      </c>
      <c r="E27" s="11" t="s">
        <v>49</v>
      </c>
      <c r="F27" s="11" t="s">
        <v>50</v>
      </c>
      <c r="G27" s="11" t="s">
        <v>59</v>
      </c>
      <c r="J27" s="27">
        <v>46082</v>
      </c>
      <c r="K27" s="11" t="s">
        <v>53</v>
      </c>
      <c r="L27" s="11" t="s">
        <v>54</v>
      </c>
      <c r="M27" s="13">
        <v>28.92</v>
      </c>
      <c r="N27" s="5" t="s">
        <v>29</v>
      </c>
      <c r="O27" t="s">
        <v>886</v>
      </c>
      <c r="P27" t="s">
        <v>888</v>
      </c>
    </row>
    <row r="28" spans="1:16" x14ac:dyDescent="0.2">
      <c r="A28" s="18">
        <v>439384</v>
      </c>
      <c r="B28" s="18" t="str">
        <f t="shared" si="1"/>
        <v>43938422</v>
      </c>
      <c r="C28" s="12">
        <v>2158366</v>
      </c>
      <c r="D28" s="11" t="s">
        <v>56</v>
      </c>
      <c r="E28" s="11" t="s">
        <v>49</v>
      </c>
      <c r="F28" s="11" t="s">
        <v>50</v>
      </c>
      <c r="G28" s="11" t="s">
        <v>59</v>
      </c>
      <c r="J28" s="27">
        <v>46082</v>
      </c>
      <c r="K28" s="11" t="s">
        <v>53</v>
      </c>
      <c r="L28" s="11" t="s">
        <v>54</v>
      </c>
      <c r="M28" s="13">
        <v>28.92</v>
      </c>
      <c r="N28" s="5" t="s">
        <v>29</v>
      </c>
      <c r="O28" t="s">
        <v>886</v>
      </c>
      <c r="P28" t="s">
        <v>888</v>
      </c>
    </row>
    <row r="29" spans="1:16" x14ac:dyDescent="0.2">
      <c r="A29" s="18">
        <v>442876</v>
      </c>
      <c r="B29" s="18" t="str">
        <f t="shared" si="1"/>
        <v>44287622</v>
      </c>
      <c r="C29" s="12">
        <v>2158366</v>
      </c>
      <c r="D29" s="11" t="s">
        <v>72</v>
      </c>
      <c r="E29" s="11" t="s">
        <v>49</v>
      </c>
      <c r="F29" s="11" t="s">
        <v>50</v>
      </c>
      <c r="G29" s="11" t="s">
        <v>59</v>
      </c>
      <c r="J29" s="27">
        <v>46082</v>
      </c>
      <c r="K29" s="11" t="s">
        <v>53</v>
      </c>
      <c r="L29" s="11" t="s">
        <v>54</v>
      </c>
      <c r="M29" s="13">
        <v>28.92</v>
      </c>
      <c r="N29" s="5" t="s">
        <v>29</v>
      </c>
      <c r="O29" t="s">
        <v>886</v>
      </c>
      <c r="P29" t="s">
        <v>888</v>
      </c>
    </row>
    <row r="30" spans="1:16" x14ac:dyDescent="0.2">
      <c r="A30" s="18">
        <v>445341</v>
      </c>
      <c r="B30" s="18" t="str">
        <f t="shared" si="1"/>
        <v>44534122</v>
      </c>
      <c r="C30" s="12">
        <v>2158366</v>
      </c>
      <c r="D30" s="11" t="s">
        <v>80</v>
      </c>
      <c r="E30" s="11" t="s">
        <v>49</v>
      </c>
      <c r="F30" s="11" t="s">
        <v>50</v>
      </c>
      <c r="G30" s="11" t="s">
        <v>59</v>
      </c>
      <c r="J30" s="27">
        <v>46082</v>
      </c>
      <c r="K30" s="11" t="s">
        <v>53</v>
      </c>
      <c r="L30" s="11" t="s">
        <v>54</v>
      </c>
      <c r="M30" s="13">
        <v>28.92</v>
      </c>
      <c r="N30" s="5" t="s">
        <v>29</v>
      </c>
      <c r="O30" t="s">
        <v>886</v>
      </c>
      <c r="P30" t="s">
        <v>888</v>
      </c>
    </row>
    <row r="31" spans="1:16" x14ac:dyDescent="0.2">
      <c r="A31" s="18">
        <v>463310</v>
      </c>
      <c r="B31" s="18" t="str">
        <f t="shared" si="1"/>
        <v>46331022</v>
      </c>
      <c r="C31" s="12">
        <v>19645587</v>
      </c>
      <c r="D31" s="11" t="s">
        <v>119</v>
      </c>
      <c r="E31" s="11" t="s">
        <v>49</v>
      </c>
      <c r="F31" s="11" t="s">
        <v>50</v>
      </c>
      <c r="G31" s="11" t="s">
        <v>122</v>
      </c>
      <c r="H31" s="11" t="s">
        <v>123</v>
      </c>
      <c r="I31" s="12">
        <v>13</v>
      </c>
      <c r="J31" s="27">
        <v>46023</v>
      </c>
      <c r="K31" s="11" t="s">
        <v>125</v>
      </c>
      <c r="L31" s="11" t="s">
        <v>126</v>
      </c>
      <c r="M31" s="15">
        <v>-347</v>
      </c>
      <c r="N31" s="5" t="s">
        <v>100</v>
      </c>
      <c r="O31" t="s">
        <v>886</v>
      </c>
      <c r="P31" t="s">
        <v>887</v>
      </c>
    </row>
    <row r="32" spans="1:16" x14ac:dyDescent="0.2">
      <c r="A32" s="18">
        <v>448295</v>
      </c>
      <c r="B32" s="18" t="str">
        <f t="shared" si="1"/>
        <v>44829522</v>
      </c>
      <c r="C32" s="12">
        <v>19645587</v>
      </c>
      <c r="D32" s="11" t="s">
        <v>146</v>
      </c>
      <c r="E32" s="11" t="s">
        <v>49</v>
      </c>
      <c r="F32" s="11" t="s">
        <v>148</v>
      </c>
      <c r="G32" s="11" t="s">
        <v>59</v>
      </c>
      <c r="J32" s="27">
        <v>46082</v>
      </c>
      <c r="K32" s="11" t="s">
        <v>53</v>
      </c>
      <c r="L32" s="11" t="s">
        <v>54</v>
      </c>
      <c r="M32" s="13">
        <v>28.92</v>
      </c>
      <c r="N32" s="5" t="s">
        <v>100</v>
      </c>
      <c r="O32" t="s">
        <v>886</v>
      </c>
      <c r="P32" t="s">
        <v>888</v>
      </c>
    </row>
    <row r="33" spans="1:16" x14ac:dyDescent="0.2">
      <c r="A33" s="18">
        <v>439914</v>
      </c>
      <c r="B33" s="18" t="str">
        <f t="shared" si="1"/>
        <v>43991422</v>
      </c>
      <c r="C33" s="12">
        <v>19645587</v>
      </c>
      <c r="D33" s="11" t="s">
        <v>154</v>
      </c>
      <c r="E33" s="11" t="s">
        <v>49</v>
      </c>
      <c r="F33" s="11" t="s">
        <v>50</v>
      </c>
      <c r="G33" s="11" t="s">
        <v>59</v>
      </c>
      <c r="J33" s="27">
        <v>46082</v>
      </c>
      <c r="K33" s="11" t="s">
        <v>53</v>
      </c>
      <c r="L33" s="11" t="s">
        <v>54</v>
      </c>
      <c r="M33" s="13">
        <v>28.92</v>
      </c>
      <c r="N33" s="5" t="s">
        <v>100</v>
      </c>
      <c r="O33" t="s">
        <v>886</v>
      </c>
      <c r="P33" t="s">
        <v>888</v>
      </c>
    </row>
    <row r="34" spans="1:16" x14ac:dyDescent="0.2">
      <c r="A34" s="18">
        <v>444055</v>
      </c>
      <c r="B34" s="18" t="str">
        <f t="shared" si="1"/>
        <v>44405522</v>
      </c>
      <c r="C34" s="12">
        <v>19615078</v>
      </c>
      <c r="D34" s="11" t="s">
        <v>193</v>
      </c>
      <c r="E34" s="11" t="s">
        <v>49</v>
      </c>
      <c r="F34" s="11" t="s">
        <v>50</v>
      </c>
      <c r="G34" s="11" t="s">
        <v>59</v>
      </c>
      <c r="J34" s="27">
        <v>46082</v>
      </c>
      <c r="K34" s="11" t="s">
        <v>53</v>
      </c>
      <c r="L34" s="11" t="s">
        <v>54</v>
      </c>
      <c r="M34" s="13">
        <v>28.92</v>
      </c>
      <c r="N34" s="5" t="s">
        <v>174</v>
      </c>
      <c r="O34" t="s">
        <v>886</v>
      </c>
      <c r="P34" t="s">
        <v>888</v>
      </c>
    </row>
    <row r="35" spans="1:16" x14ac:dyDescent="0.2">
      <c r="A35" s="18">
        <v>466607</v>
      </c>
      <c r="B35" s="18" t="str">
        <f t="shared" si="1"/>
        <v>46660722</v>
      </c>
      <c r="C35" s="12">
        <v>19586992</v>
      </c>
      <c r="D35" s="11" t="s">
        <v>232</v>
      </c>
      <c r="E35" s="11" t="s">
        <v>49</v>
      </c>
      <c r="F35" s="11" t="s">
        <v>50</v>
      </c>
      <c r="G35" s="11" t="s">
        <v>122</v>
      </c>
      <c r="H35" s="11" t="s">
        <v>123</v>
      </c>
      <c r="I35" s="12">
        <v>13</v>
      </c>
      <c r="J35" s="27">
        <v>46023</v>
      </c>
      <c r="K35" s="11" t="s">
        <v>125</v>
      </c>
      <c r="L35" s="11" t="s">
        <v>126</v>
      </c>
      <c r="M35" s="15">
        <v>-347</v>
      </c>
      <c r="N35" s="5" t="s">
        <v>213</v>
      </c>
      <c r="O35" t="s">
        <v>886</v>
      </c>
      <c r="P35" t="s">
        <v>887</v>
      </c>
    </row>
    <row r="36" spans="1:16" x14ac:dyDescent="0.2">
      <c r="A36" s="18">
        <v>446535</v>
      </c>
      <c r="B36" s="18" t="str">
        <f t="shared" si="1"/>
        <v>44653522</v>
      </c>
      <c r="C36" s="12">
        <v>17301495</v>
      </c>
      <c r="D36" s="11" t="s">
        <v>272</v>
      </c>
      <c r="E36" s="11" t="s">
        <v>49</v>
      </c>
      <c r="F36" s="11" t="s">
        <v>50</v>
      </c>
      <c r="G36" s="11" t="s">
        <v>59</v>
      </c>
      <c r="J36" s="27">
        <v>46082</v>
      </c>
      <c r="K36" s="11" t="s">
        <v>53</v>
      </c>
      <c r="L36" s="11" t="s">
        <v>54</v>
      </c>
      <c r="M36" s="13">
        <v>28.92</v>
      </c>
      <c r="N36" s="5" t="s">
        <v>253</v>
      </c>
      <c r="O36" t="s">
        <v>886</v>
      </c>
      <c r="P36" t="s">
        <v>888</v>
      </c>
    </row>
    <row r="37" spans="1:16" x14ac:dyDescent="0.2">
      <c r="A37" s="18">
        <v>447954</v>
      </c>
      <c r="B37" s="18" t="str">
        <f t="shared" si="1"/>
        <v>44795422</v>
      </c>
      <c r="C37" s="12">
        <v>16912722</v>
      </c>
      <c r="D37" s="11" t="s">
        <v>311</v>
      </c>
      <c r="E37" s="11" t="s">
        <v>49</v>
      </c>
      <c r="F37" s="11" t="s">
        <v>50</v>
      </c>
      <c r="G37" s="11" t="s">
        <v>59</v>
      </c>
      <c r="J37" s="27">
        <v>46082</v>
      </c>
      <c r="K37" s="11" t="s">
        <v>53</v>
      </c>
      <c r="L37" s="11" t="s">
        <v>54</v>
      </c>
      <c r="M37" s="13">
        <v>28.92</v>
      </c>
      <c r="N37" s="5" t="s">
        <v>292</v>
      </c>
      <c r="O37" t="s">
        <v>886</v>
      </c>
      <c r="P37" t="s">
        <v>888</v>
      </c>
    </row>
    <row r="38" spans="1:16" x14ac:dyDescent="0.2">
      <c r="A38" s="18">
        <v>447955</v>
      </c>
      <c r="B38" s="18" t="str">
        <f t="shared" si="1"/>
        <v>44795522</v>
      </c>
      <c r="C38" s="12">
        <v>16912722</v>
      </c>
      <c r="D38" s="11" t="s">
        <v>319</v>
      </c>
      <c r="E38" s="11" t="s">
        <v>49</v>
      </c>
      <c r="F38" s="11" t="s">
        <v>50</v>
      </c>
      <c r="G38" s="11" t="s">
        <v>59</v>
      </c>
      <c r="J38" s="27">
        <v>46082</v>
      </c>
      <c r="K38" s="11" t="s">
        <v>53</v>
      </c>
      <c r="L38" s="11" t="s">
        <v>54</v>
      </c>
      <c r="M38" s="13">
        <v>28.92</v>
      </c>
      <c r="N38" s="5" t="s">
        <v>292</v>
      </c>
      <c r="O38" t="s">
        <v>886</v>
      </c>
      <c r="P38" t="s">
        <v>888</v>
      </c>
    </row>
    <row r="39" spans="1:16" x14ac:dyDescent="0.2">
      <c r="A39" s="18">
        <v>448034</v>
      </c>
      <c r="B39" s="18" t="str">
        <f t="shared" si="1"/>
        <v>44803422</v>
      </c>
      <c r="C39" s="12">
        <v>16912722</v>
      </c>
      <c r="D39" s="11" t="s">
        <v>327</v>
      </c>
      <c r="E39" s="11" t="s">
        <v>49</v>
      </c>
      <c r="F39" s="11" t="s">
        <v>50</v>
      </c>
      <c r="G39" s="11" t="s">
        <v>59</v>
      </c>
      <c r="J39" s="27">
        <v>46082</v>
      </c>
      <c r="K39" s="11" t="s">
        <v>53</v>
      </c>
      <c r="L39" s="11" t="s">
        <v>54</v>
      </c>
      <c r="M39" s="13">
        <v>28.92</v>
      </c>
      <c r="N39" s="5" t="s">
        <v>292</v>
      </c>
      <c r="O39" t="s">
        <v>886</v>
      </c>
      <c r="P39" t="s">
        <v>888</v>
      </c>
    </row>
    <row r="40" spans="1:16" x14ac:dyDescent="0.2">
      <c r="A40" s="18">
        <v>447701</v>
      </c>
      <c r="B40" s="18" t="str">
        <f t="shared" si="1"/>
        <v>44770122</v>
      </c>
      <c r="C40" s="12">
        <v>16912722</v>
      </c>
      <c r="D40" s="11" t="s">
        <v>335</v>
      </c>
      <c r="E40" s="11" t="s">
        <v>49</v>
      </c>
      <c r="F40" s="11" t="s">
        <v>50</v>
      </c>
      <c r="G40" s="11" t="s">
        <v>59</v>
      </c>
      <c r="J40" s="27">
        <v>46082</v>
      </c>
      <c r="K40" s="11" t="s">
        <v>53</v>
      </c>
      <c r="L40" s="11" t="s">
        <v>54</v>
      </c>
      <c r="M40" s="13">
        <v>28.92</v>
      </c>
      <c r="N40" s="5" t="s">
        <v>292</v>
      </c>
      <c r="O40" t="s">
        <v>886</v>
      </c>
      <c r="P40" t="s">
        <v>888</v>
      </c>
    </row>
    <row r="41" spans="1:16" x14ac:dyDescent="0.2">
      <c r="A41" s="18">
        <v>446217</v>
      </c>
      <c r="B41" s="18" t="str">
        <f t="shared" si="1"/>
        <v>44621722</v>
      </c>
      <c r="C41" s="12">
        <v>16633294</v>
      </c>
      <c r="D41" s="11" t="s">
        <v>374</v>
      </c>
      <c r="E41" s="11" t="s">
        <v>49</v>
      </c>
      <c r="F41" s="11" t="s">
        <v>50</v>
      </c>
      <c r="G41" s="11" t="s">
        <v>59</v>
      </c>
      <c r="J41" s="27">
        <v>46082</v>
      </c>
      <c r="K41" s="11" t="s">
        <v>53</v>
      </c>
      <c r="L41" s="11" t="s">
        <v>54</v>
      </c>
      <c r="M41" s="13">
        <v>28.92</v>
      </c>
      <c r="N41" s="5" t="s">
        <v>355</v>
      </c>
      <c r="O41" t="s">
        <v>886</v>
      </c>
      <c r="P41" t="s">
        <v>888</v>
      </c>
    </row>
    <row r="42" spans="1:16" x14ac:dyDescent="0.2">
      <c r="A42" s="18">
        <v>443292</v>
      </c>
      <c r="B42" s="18" t="str">
        <f t="shared" si="1"/>
        <v>44329222</v>
      </c>
      <c r="C42" s="12">
        <v>16633294</v>
      </c>
      <c r="D42" s="11" t="s">
        <v>382</v>
      </c>
      <c r="E42" s="11" t="s">
        <v>49</v>
      </c>
      <c r="F42" s="11" t="s">
        <v>50</v>
      </c>
      <c r="G42" s="11" t="s">
        <v>59</v>
      </c>
      <c r="J42" s="27">
        <v>46082</v>
      </c>
      <c r="K42" s="11" t="s">
        <v>53</v>
      </c>
      <c r="L42" s="11" t="s">
        <v>54</v>
      </c>
      <c r="M42" s="13">
        <v>28.92</v>
      </c>
      <c r="N42" s="5" t="s">
        <v>355</v>
      </c>
      <c r="O42" t="s">
        <v>886</v>
      </c>
      <c r="P42" t="s">
        <v>888</v>
      </c>
    </row>
    <row r="43" spans="1:16" x14ac:dyDescent="0.2">
      <c r="A43" s="18">
        <v>443286</v>
      </c>
      <c r="B43" s="18" t="str">
        <f t="shared" si="1"/>
        <v>44328622</v>
      </c>
      <c r="C43" s="12">
        <v>16633294</v>
      </c>
      <c r="D43" s="11" t="s">
        <v>390</v>
      </c>
      <c r="E43" s="11" t="s">
        <v>49</v>
      </c>
      <c r="F43" s="11" t="s">
        <v>50</v>
      </c>
      <c r="G43" s="11" t="s">
        <v>59</v>
      </c>
      <c r="J43" s="27">
        <v>46082</v>
      </c>
      <c r="K43" s="11" t="s">
        <v>53</v>
      </c>
      <c r="L43" s="11" t="s">
        <v>54</v>
      </c>
      <c r="M43" s="13">
        <v>28.92</v>
      </c>
      <c r="N43" s="5" t="s">
        <v>355</v>
      </c>
      <c r="O43" t="s">
        <v>886</v>
      </c>
      <c r="P43" t="s">
        <v>888</v>
      </c>
    </row>
    <row r="44" spans="1:16" x14ac:dyDescent="0.2">
      <c r="A44" s="18">
        <v>444212</v>
      </c>
      <c r="B44" s="18" t="str">
        <f t="shared" si="1"/>
        <v>44421222</v>
      </c>
      <c r="C44" s="12">
        <v>16633294</v>
      </c>
      <c r="D44" s="11" t="s">
        <v>398</v>
      </c>
      <c r="E44" s="11" t="s">
        <v>49</v>
      </c>
      <c r="F44" s="11" t="s">
        <v>50</v>
      </c>
      <c r="G44" s="11" t="s">
        <v>59</v>
      </c>
      <c r="J44" s="27">
        <v>46082</v>
      </c>
      <c r="K44" s="11" t="s">
        <v>53</v>
      </c>
      <c r="L44" s="11" t="s">
        <v>54</v>
      </c>
      <c r="M44" s="13">
        <v>28.92</v>
      </c>
      <c r="N44" s="5" t="s">
        <v>355</v>
      </c>
      <c r="O44" t="s">
        <v>886</v>
      </c>
      <c r="P44" t="s">
        <v>888</v>
      </c>
    </row>
    <row r="45" spans="1:16" x14ac:dyDescent="0.2">
      <c r="A45" s="18">
        <v>443209</v>
      </c>
      <c r="B45" s="18" t="str">
        <f t="shared" si="1"/>
        <v>44320922</v>
      </c>
      <c r="C45" s="12">
        <v>16633294</v>
      </c>
      <c r="D45" s="11" t="s">
        <v>406</v>
      </c>
      <c r="E45" s="11" t="s">
        <v>49</v>
      </c>
      <c r="F45" s="11" t="s">
        <v>50</v>
      </c>
      <c r="G45" s="11" t="s">
        <v>59</v>
      </c>
      <c r="J45" s="27">
        <v>46082</v>
      </c>
      <c r="K45" s="11" t="s">
        <v>53</v>
      </c>
      <c r="L45" s="11" t="s">
        <v>54</v>
      </c>
      <c r="M45" s="13">
        <v>28.92</v>
      </c>
      <c r="N45" s="5" t="s">
        <v>355</v>
      </c>
      <c r="O45" t="s">
        <v>886</v>
      </c>
      <c r="P45" t="s">
        <v>888</v>
      </c>
    </row>
    <row r="46" spans="1:16" x14ac:dyDescent="0.2">
      <c r="A46" s="18">
        <v>440990</v>
      </c>
      <c r="B46" s="18" t="str">
        <f t="shared" si="1"/>
        <v>44099022</v>
      </c>
      <c r="C46" s="12">
        <v>16633294</v>
      </c>
      <c r="D46" s="11" t="s">
        <v>414</v>
      </c>
      <c r="E46" s="11" t="s">
        <v>49</v>
      </c>
      <c r="F46" s="11" t="s">
        <v>50</v>
      </c>
      <c r="G46" s="11" t="s">
        <v>59</v>
      </c>
      <c r="J46" s="27">
        <v>46082</v>
      </c>
      <c r="K46" s="11" t="s">
        <v>53</v>
      </c>
      <c r="L46" s="11" t="s">
        <v>54</v>
      </c>
      <c r="M46" s="13">
        <v>28.92</v>
      </c>
      <c r="N46" s="5" t="s">
        <v>355</v>
      </c>
      <c r="O46" t="s">
        <v>886</v>
      </c>
      <c r="P46" t="s">
        <v>888</v>
      </c>
    </row>
    <row r="47" spans="1:16" x14ac:dyDescent="0.2">
      <c r="A47" s="18">
        <v>445753</v>
      </c>
      <c r="B47" s="18" t="str">
        <f t="shared" si="1"/>
        <v>44575322</v>
      </c>
      <c r="C47" s="12">
        <v>16633294</v>
      </c>
      <c r="D47" s="11" t="s">
        <v>422</v>
      </c>
      <c r="E47" s="11" t="s">
        <v>49</v>
      </c>
      <c r="F47" s="11" t="s">
        <v>50</v>
      </c>
      <c r="G47" s="11" t="s">
        <v>59</v>
      </c>
      <c r="J47" s="27">
        <v>46082</v>
      </c>
      <c r="K47" s="11" t="s">
        <v>53</v>
      </c>
      <c r="L47" s="11" t="s">
        <v>54</v>
      </c>
      <c r="M47" s="13">
        <v>28.92</v>
      </c>
      <c r="N47" s="5" t="s">
        <v>355</v>
      </c>
      <c r="O47" t="s">
        <v>886</v>
      </c>
      <c r="P47" t="s">
        <v>888</v>
      </c>
    </row>
    <row r="48" spans="1:16" x14ac:dyDescent="0.2">
      <c r="A48" s="18">
        <v>446673</v>
      </c>
      <c r="B48" s="18" t="str">
        <f t="shared" si="1"/>
        <v>44667322</v>
      </c>
      <c r="C48" s="12">
        <v>16633294</v>
      </c>
      <c r="D48" s="11" t="s">
        <v>430</v>
      </c>
      <c r="E48" s="11" t="s">
        <v>49</v>
      </c>
      <c r="F48" s="11" t="s">
        <v>50</v>
      </c>
      <c r="G48" s="11" t="s">
        <v>59</v>
      </c>
      <c r="J48" s="27">
        <v>46082</v>
      </c>
      <c r="K48" s="11" t="s">
        <v>53</v>
      </c>
      <c r="L48" s="11" t="s">
        <v>54</v>
      </c>
      <c r="M48" s="13">
        <v>28.92</v>
      </c>
      <c r="N48" s="5" t="s">
        <v>355</v>
      </c>
      <c r="O48" t="s">
        <v>886</v>
      </c>
      <c r="P48" t="s">
        <v>888</v>
      </c>
    </row>
    <row r="49" spans="1:16" x14ac:dyDescent="0.2">
      <c r="A49" s="18">
        <v>447931</v>
      </c>
      <c r="B49" s="18" t="str">
        <f t="shared" si="1"/>
        <v>44793122</v>
      </c>
      <c r="C49" s="12">
        <v>16633294</v>
      </c>
      <c r="D49" s="11" t="s">
        <v>438</v>
      </c>
      <c r="E49" s="11" t="s">
        <v>49</v>
      </c>
      <c r="F49" s="11" t="s">
        <v>50</v>
      </c>
      <c r="G49" s="11" t="s">
        <v>59</v>
      </c>
      <c r="J49" s="27">
        <v>46082</v>
      </c>
      <c r="K49" s="11" t="s">
        <v>53</v>
      </c>
      <c r="L49" s="11" t="s">
        <v>54</v>
      </c>
      <c r="M49" s="13">
        <v>28.92</v>
      </c>
      <c r="N49" s="5" t="s">
        <v>355</v>
      </c>
      <c r="O49" t="s">
        <v>886</v>
      </c>
      <c r="P49" t="s">
        <v>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Loula Irene Cabel</cp:lastModifiedBy>
  <dcterms:created xsi:type="dcterms:W3CDTF">2026-03-25T06:08:29Z</dcterms:created>
  <dcterms:modified xsi:type="dcterms:W3CDTF">2026-03-31T19:47:48Z</dcterms:modified>
</cp:coreProperties>
</file>