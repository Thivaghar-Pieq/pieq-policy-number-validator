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ssence\2026\April\"/>
    </mc:Choice>
  </mc:AlternateContent>
  <xr:revisionPtr revIDLastSave="0" documentId="13_ncr:1_{2D57D8E6-1F4E-4FCF-864E-D76449686D6C}" xr6:coauthVersionLast="47" xr6:coauthVersionMax="47" xr10:uidLastSave="{00000000-0000-0000-0000-000000000000}"/>
  <bookViews>
    <workbookView xWindow="28680" yWindow="-30" windowWidth="29040" windowHeight="16440" activeTab="2" xr2:uid="{00000000-000D-0000-FFFF-FFFF00000000}"/>
  </bookViews>
  <sheets>
    <sheet name="Table 1" sheetId="1" r:id="rId1"/>
    <sheet name="Table 2" sheetId="2" r:id="rId2"/>
    <sheet name="Sheet1" sheetId="16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9" r:id="rId10"/>
    <sheet name="Table 10" sheetId="10" r:id="rId11"/>
    <sheet name="Table 11" sheetId="11" r:id="rId12"/>
    <sheet name="Table 12" sheetId="12" r:id="rId13"/>
    <sheet name="Table 13" sheetId="13" r:id="rId14"/>
    <sheet name="Table 14" sheetId="14" r:id="rId15"/>
    <sheet name="Table 15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7" i="16" l="1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</calcChain>
</file>

<file path=xl/sharedStrings.xml><?xml version="1.0" encoding="utf-8"?>
<sst xmlns="http://schemas.openxmlformats.org/spreadsheetml/2006/main" count="1090" uniqueCount="89">
  <si>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</si>
  <si>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</si>
  <si>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$974.00
</t>
    </r>
    <r>
      <rPr>
        <sz val="9"/>
        <rFont val="Arial"/>
        <family val="2"/>
      </rPr>
      <t>$828.74</t>
    </r>
  </si>
  <si>
    <r>
      <rPr>
        <b/>
        <sz val="9"/>
        <rFont val="Arial"/>
        <family val="2"/>
      </rPr>
      <t>Regular Commissions Sub-Totals:                                                   $1,802.74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</si>
  <si>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$1,802.74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</si>
  <si>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</si>
  <si>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</si>
  <si>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</si>
  <si>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</si>
  <si>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</si>
  <si>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</si>
  <si>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</si>
  <si>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</si>
  <si>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</si>
  <si>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Writing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</si>
  <si>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</si>
  <si>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</si>
  <si>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 xml:space="preserve">Policy
</t>
    </r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</si>
  <si>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 xml:space="preserve">Effective
</t>
    </r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</si>
  <si>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Term Date</t>
    </r>
  </si>
  <si>
    <r>
      <rPr>
        <b/>
        <sz val="9"/>
        <rFont val="Arial"/>
        <family val="2"/>
      </rPr>
      <t>Term Code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</si>
  <si>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</si>
  <si>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 xml:space="preserve">CMS Payment
</t>
    </r>
    <r>
      <rPr>
        <b/>
        <sz val="9"/>
        <rFont val="Arial"/>
        <family val="2"/>
      </rPr>
      <t>Type</t>
    </r>
  </si>
  <si>
    <r>
      <rPr>
        <b/>
        <sz val="9"/>
        <rFont val="Arial"/>
        <family val="2"/>
      </rPr>
      <t>Retro</t>
    </r>
  </si>
  <si>
    <r>
      <rPr>
        <b/>
        <sz val="9"/>
        <rFont val="Arial"/>
        <family val="2"/>
      </rPr>
      <t xml:space="preserve">Commission
</t>
    </r>
    <r>
      <rPr>
        <b/>
        <sz val="9"/>
        <rFont val="Arial"/>
        <family val="2"/>
      </rPr>
      <t>Amount</t>
    </r>
  </si>
  <si>
    <r>
      <rPr>
        <sz val="8"/>
        <rFont val="Arial"/>
        <family val="2"/>
      </rPr>
      <t>Artemakis, Nicholas</t>
    </r>
  </si>
  <si>
    <r>
      <rPr>
        <sz val="8"/>
        <rFont val="Arial"/>
        <family val="2"/>
      </rPr>
      <t>MA</t>
    </r>
  </si>
  <si>
    <r>
      <rPr>
        <sz val="8"/>
        <rFont val="Arial"/>
        <family val="2"/>
      </rPr>
      <t>IL</t>
    </r>
  </si>
  <si>
    <r>
      <rPr>
        <sz val="8"/>
        <rFont val="Arial"/>
        <family val="2"/>
      </rPr>
      <t>04/2026</t>
    </r>
  </si>
  <si>
    <r>
      <rPr>
        <sz val="8"/>
        <rFont val="Arial"/>
        <family val="2"/>
      </rPr>
      <t>Initial</t>
    </r>
  </si>
  <si>
    <r>
      <rPr>
        <sz val="8"/>
        <rFont val="Arial"/>
        <family val="2"/>
      </rPr>
      <t>N</t>
    </r>
  </si>
  <si>
    <r>
      <rPr>
        <b/>
        <sz val="9"/>
        <rFont val="Arial"/>
        <family val="2"/>
      </rPr>
      <t>Total for Writing Agent       8814784        Liskovec, Frank</t>
    </r>
  </si>
  <si>
    <r>
      <rPr>
        <b/>
        <sz val="9"/>
        <rFont val="Arial"/>
        <family val="2"/>
      </rPr>
      <t>Policy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</si>
  <si>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</si>
  <si>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CMS Payment</t>
    </r>
  </si>
  <si>
    <r>
      <rPr>
        <b/>
        <sz val="9"/>
        <rFont val="Arial"/>
        <family val="2"/>
      </rPr>
      <t>Commission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</si>
  <si>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</si>
  <si>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</si>
  <si>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Type</t>
    </r>
  </si>
  <si>
    <r>
      <rPr>
        <b/>
        <sz val="9"/>
        <rFont val="Arial"/>
        <family val="2"/>
      </rPr>
      <t>Amount</t>
    </r>
  </si>
  <si>
    <r>
      <rPr>
        <sz val="8"/>
        <rFont val="Arial"/>
        <family val="2"/>
      </rPr>
      <t>Bauer, Dorothy</t>
    </r>
  </si>
  <si>
    <r>
      <rPr>
        <sz val="8"/>
        <rFont val="Arial"/>
        <family val="2"/>
      </rPr>
      <t>Renew</t>
    </r>
  </si>
  <si>
    <r>
      <rPr>
        <sz val="8"/>
        <rFont val="Arial"/>
        <family val="2"/>
      </rPr>
      <t>Huget, Werner</t>
    </r>
  </si>
  <si>
    <r>
      <rPr>
        <sz val="8"/>
        <rFont val="Arial"/>
        <family val="2"/>
      </rPr>
      <t>Huget, Dolores</t>
    </r>
  </si>
  <si>
    <r>
      <rPr>
        <sz val="8"/>
        <rFont val="Arial"/>
        <family val="2"/>
      </rPr>
      <t>Szela, Florence</t>
    </r>
  </si>
  <si>
    <r>
      <rPr>
        <sz val="8"/>
        <rFont val="Arial"/>
        <family val="2"/>
      </rPr>
      <t>Templin, Charles</t>
    </r>
  </si>
  <si>
    <r>
      <rPr>
        <b/>
        <sz val="9"/>
        <rFont val="Arial"/>
        <family val="2"/>
      </rPr>
      <t>Total for Annual Renewals:</t>
    </r>
  </si>
  <si>
    <r>
      <rPr>
        <b/>
        <sz val="9"/>
        <rFont val="Arial"/>
        <family val="2"/>
      </rPr>
      <t>Total for Writing Agent</t>
    </r>
  </si>
  <si>
    <r>
      <rPr>
        <b/>
        <sz val="9"/>
        <rFont val="Arial"/>
        <family val="2"/>
      </rPr>
      <t>Horn, Jeffrey</t>
    </r>
  </si>
  <si>
    <r>
      <rPr>
        <sz val="8"/>
        <rFont val="Arial"/>
        <family val="2"/>
      </rPr>
      <t>Hamilton, Pamela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</si>
  <si>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</si>
  <si>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Packer, Patricia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</si>
  <si>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 $17.50</t>
    </r>
  </si>
  <si>
    <r>
      <rPr>
        <b/>
        <sz val="9"/>
        <rFont val="Arial"/>
        <family val="2"/>
      </rPr>
      <t>Total for Writing Agent       19645587        Portugal, Stacey</t>
    </r>
  </si>
  <si>
    <r>
      <rPr>
        <sz val="8"/>
        <rFont val="Arial"/>
        <family val="2"/>
      </rPr>
      <t>Kritikos, Georgios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</si>
  <si>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  $8.75</t>
    </r>
  </si>
  <si>
    <r>
      <rPr>
        <b/>
        <sz val="9"/>
        <rFont val="Arial"/>
        <family val="2"/>
      </rPr>
      <t>Total for Writing Agent       19615078        Wuensch, Richard</t>
    </r>
  </si>
  <si>
    <r>
      <rPr>
        <sz val="8"/>
        <rFont val="Arial"/>
        <family val="2"/>
      </rPr>
      <t>Hendrickson, Sarah</t>
    </r>
  </si>
  <si>
    <r>
      <rPr>
        <b/>
        <sz val="9"/>
        <rFont val="Arial"/>
        <family val="2"/>
      </rPr>
      <t>Total for Writing Agent       17301495        Herrera-Larsen, Esther</t>
    </r>
  </si>
  <si>
    <r>
      <rPr>
        <sz val="8"/>
        <rFont val="Arial"/>
        <family val="2"/>
      </rPr>
      <t>Campanella, Theodora</t>
    </r>
  </si>
  <si>
    <r>
      <rPr>
        <sz val="8"/>
        <rFont val="Arial"/>
        <family val="2"/>
      </rPr>
      <t>Chilstrom, Marne</t>
    </r>
  </si>
  <si>
    <r>
      <rPr>
        <sz val="8"/>
        <rFont val="Arial"/>
        <family val="2"/>
      </rPr>
      <t>Fluieras, Maria</t>
    </r>
  </si>
  <si>
    <r>
      <rPr>
        <sz val="8"/>
        <rFont val="Arial"/>
        <family val="2"/>
      </rPr>
      <t>Sisty, Carole</t>
    </r>
  </si>
  <si>
    <r>
      <rPr>
        <b/>
        <sz val="9"/>
        <rFont val="Arial"/>
        <family val="2"/>
      </rPr>
      <t>Petrungaro, Andrea</t>
    </r>
  </si>
  <si>
    <r>
      <rPr>
        <sz val="8"/>
        <rFont val="Arial"/>
        <family val="2"/>
      </rPr>
      <t>Gumbiner, Gail</t>
    </r>
  </si>
  <si>
    <r>
      <rPr>
        <sz val="8"/>
        <rFont val="Arial"/>
        <family val="2"/>
      </rPr>
      <t>Kanter, Larry</t>
    </r>
  </si>
  <si>
    <r>
      <rPr>
        <sz val="8"/>
        <rFont val="Arial"/>
        <family val="2"/>
      </rPr>
      <t>Kanter, Corrine</t>
    </r>
  </si>
  <si>
    <r>
      <rPr>
        <sz val="8"/>
        <rFont val="Arial"/>
        <family val="2"/>
      </rPr>
      <t>Kuenzel, Chrisanne</t>
    </r>
  </si>
  <si>
    <r>
      <rPr>
        <sz val="8"/>
        <rFont val="Arial"/>
        <family val="2"/>
      </rPr>
      <t>Langton, Joyce</t>
    </r>
  </si>
  <si>
    <r>
      <rPr>
        <sz val="8"/>
        <rFont val="Arial"/>
        <family val="2"/>
      </rPr>
      <t>McDonald, Lisa</t>
    </r>
  </si>
  <si>
    <r>
      <rPr>
        <sz val="8"/>
        <rFont val="Arial"/>
        <family val="2"/>
      </rPr>
      <t>Myers, Martin</t>
    </r>
  </si>
  <si>
    <r>
      <rPr>
        <sz val="8"/>
        <rFont val="Arial"/>
        <family val="2"/>
      </rPr>
      <t>Omark, Carl</t>
    </r>
  </si>
  <si>
    <r>
      <rPr>
        <sz val="8"/>
        <rFont val="Arial"/>
        <family val="2"/>
      </rPr>
      <t>Seidell, Helene</t>
    </r>
  </si>
  <si>
    <r>
      <rPr>
        <b/>
        <sz val="9"/>
        <rFont val="Arial"/>
        <family val="2"/>
      </rPr>
      <t>Yale, Richard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</si>
  <si>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$694.00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</si>
  <si>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 $57.84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</si>
  <si>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 $28.92</t>
    </r>
  </si>
  <si>
    <r>
      <rPr>
        <b/>
        <sz val="11"/>
        <rFont val="Arial"/>
        <family val="2"/>
      </rPr>
      <t>Total for Writing Agent</t>
    </r>
  </si>
  <si>
    <r>
      <rPr>
        <b/>
        <sz val="11"/>
        <rFont val="Arial"/>
        <family val="2"/>
      </rPr>
      <t>Yale, Richard</t>
    </r>
  </si>
  <si>
    <t>Liskovec, Frank</t>
  </si>
  <si>
    <t>Portugal, Stacey</t>
  </si>
  <si>
    <t>Wuensch, Richard</t>
  </si>
  <si>
    <t>Herrera-Larsen, Esther</t>
  </si>
  <si>
    <t>Main Line Benefits</t>
  </si>
  <si>
    <t>Essence 2026</t>
  </si>
  <si>
    <t>Essence MAPD 2026*</t>
  </si>
  <si>
    <t>Essence MAPD OVR</t>
  </si>
  <si>
    <t>[%/$=347][prorate=1/12]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</si>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</sst>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_);[Red]\(\$#,##0.00\)"/>
    <numFmt numFmtId="165" formatCode="\$#,##0.00"/>
    <numFmt numFmtId="166" formatCode="\$0.00"/>
    <numFmt numFmtId="167" formatCode="\$0.00_);[Red]\(\$0.00\)"/>
    <numFmt numFmtId="168" formatCode="\$0.00;[Red]\$0.00"/>
    <numFmt numFmtId="169" formatCode="000000000"/>
    <numFmt numFmtId="170" formatCode="mm/dd/yyyy;@"/>
  </numFmts>
  <fonts count="17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0"/>
      <name val="Arial"/>
    </font>
    <font>
      <b/>
      <sz val="9"/>
      <name val="Arial"/>
    </font>
    <font>
      <b/>
      <sz val="11"/>
      <name val="Arial"/>
    </font>
    <font>
      <b/>
      <sz val="9"/>
      <color rgb="FFFF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</font>
    <font>
      <b/>
      <sz val="11"/>
      <color rgb="FF00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A3EE"/>
      </patternFill>
    </fill>
    <fill>
      <patternFill patternType="solid">
        <fgColor rgb="FFC9DBCF"/>
      </patternFill>
    </fill>
    <fill>
      <patternFill patternType="solid">
        <fgColor rgb="FFCADACE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6" fillId="0" borderId="0"/>
  </cellStyleXfs>
  <cellXfs count="131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3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9" fontId="7" fillId="0" borderId="2" xfId="0" applyNumberFormat="1" applyFont="1" applyBorder="1" applyAlignment="1">
      <alignment horizontal="left" vertical="top" shrinkToFit="1"/>
    </xf>
    <xf numFmtId="1" fontId="7" fillId="0" borderId="2" xfId="0" applyNumberFormat="1" applyFont="1" applyBorder="1" applyAlignment="1">
      <alignment horizontal="left" vertical="top" indent="1" shrinkToFit="1"/>
    </xf>
    <xf numFmtId="0" fontId="8" fillId="0" borderId="2" xfId="0" applyFont="1" applyBorder="1" applyAlignment="1">
      <alignment horizontal="left" vertical="top" wrapText="1" indent="2"/>
    </xf>
    <xf numFmtId="0" fontId="8" fillId="0" borderId="2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left" vertical="top" wrapText="1" indent="4"/>
    </xf>
    <xf numFmtId="170" fontId="7" fillId="0" borderId="2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wrapText="1"/>
    </xf>
    <xf numFmtId="0" fontId="8" fillId="0" borderId="2" xfId="0" applyFont="1" applyBorder="1" applyAlignment="1">
      <alignment horizontal="center" vertical="top" wrapText="1"/>
    </xf>
    <xf numFmtId="166" fontId="7" fillId="0" borderId="2" xfId="0" applyNumberFormat="1" applyFont="1" applyBorder="1" applyAlignment="1">
      <alignment horizontal="left" vertical="top" indent="3" shrinkToFit="1"/>
    </xf>
    <xf numFmtId="0" fontId="3" fillId="0" borderId="1" xfId="0" applyFont="1" applyBorder="1" applyAlignment="1">
      <alignment horizontal="left" vertical="top" wrapText="1" indent="4"/>
    </xf>
    <xf numFmtId="169" fontId="7" fillId="4" borderId="0" xfId="0" applyNumberFormat="1" applyFont="1" applyFill="1" applyAlignment="1">
      <alignment horizontal="left" vertical="top" shrinkToFit="1"/>
    </xf>
    <xf numFmtId="1" fontId="7" fillId="4" borderId="0" xfId="0" applyNumberFormat="1" applyFont="1" applyFill="1" applyAlignment="1">
      <alignment horizontal="left" vertical="top" indent="1" shrinkToFit="1"/>
    </xf>
    <xf numFmtId="0" fontId="8" fillId="4" borderId="0" xfId="0" applyFont="1" applyFill="1" applyAlignment="1">
      <alignment horizontal="left" vertical="top" wrapText="1" indent="2"/>
    </xf>
    <xf numFmtId="0" fontId="8" fillId="4" borderId="0" xfId="0" applyFont="1" applyFill="1" applyAlignment="1">
      <alignment horizontal="left" vertical="top" wrapText="1" indent="1"/>
    </xf>
    <xf numFmtId="0" fontId="8" fillId="4" borderId="0" xfId="0" applyFont="1" applyFill="1" applyAlignment="1">
      <alignment horizontal="right" vertical="top" wrapText="1"/>
    </xf>
    <xf numFmtId="0" fontId="8" fillId="4" borderId="0" xfId="0" applyFont="1" applyFill="1" applyAlignment="1">
      <alignment horizontal="left" vertical="top" wrapText="1" indent="3"/>
    </xf>
    <xf numFmtId="0" fontId="8" fillId="4" borderId="0" xfId="0" applyFont="1" applyFill="1" applyAlignment="1">
      <alignment horizontal="center" vertical="top" wrapText="1"/>
    </xf>
    <xf numFmtId="166" fontId="7" fillId="4" borderId="0" xfId="0" applyNumberFormat="1" applyFont="1" applyFill="1" applyAlignment="1">
      <alignment horizontal="center" vertical="top" shrinkToFit="1"/>
    </xf>
    <xf numFmtId="169" fontId="7" fillId="0" borderId="0" xfId="0" applyNumberFormat="1" applyFont="1" applyAlignment="1">
      <alignment horizontal="left" vertical="top" shrinkToFit="1"/>
    </xf>
    <xf numFmtId="1" fontId="7" fillId="0" borderId="0" xfId="0" applyNumberFormat="1" applyFont="1" applyAlignment="1">
      <alignment horizontal="left" vertical="top" indent="1" shrinkToFit="1"/>
    </xf>
    <xf numFmtId="0" fontId="8" fillId="0" borderId="0" xfId="0" applyFont="1" applyAlignment="1">
      <alignment horizontal="left" vertical="top" wrapText="1" indent="2"/>
    </xf>
    <xf numFmtId="0" fontId="8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right" vertical="top" wrapText="1"/>
    </xf>
    <xf numFmtId="0" fontId="8" fillId="0" borderId="0" xfId="0" applyFont="1" applyAlignment="1">
      <alignment horizontal="left" vertical="top" wrapText="1" indent="3"/>
    </xf>
    <xf numFmtId="0" fontId="8" fillId="0" borderId="0" xfId="0" applyFont="1" applyAlignment="1">
      <alignment horizontal="center" vertical="top" wrapText="1"/>
    </xf>
    <xf numFmtId="166" fontId="7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166" fontId="6" fillId="0" borderId="0" xfId="0" applyNumberFormat="1" applyFont="1" applyAlignment="1">
      <alignment horizontal="center" vertical="top" shrinkToFit="1"/>
    </xf>
    <xf numFmtId="1" fontId="6" fillId="0" borderId="0" xfId="0" applyNumberFormat="1" applyFont="1" applyAlignment="1">
      <alignment horizontal="left" vertical="top" shrinkToFit="1"/>
    </xf>
    <xf numFmtId="0" fontId="8" fillId="0" borderId="2" xfId="0" applyFont="1" applyBorder="1" applyAlignment="1">
      <alignment horizontal="right" vertical="top" wrapText="1" indent="2"/>
    </xf>
    <xf numFmtId="170" fontId="7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166" fontId="7" fillId="0" borderId="2" xfId="0" applyNumberFormat="1" applyFont="1" applyBorder="1" applyAlignment="1">
      <alignment horizontal="center" vertical="top" shrinkToFit="1"/>
    </xf>
    <xf numFmtId="0" fontId="8" fillId="4" borderId="0" xfId="0" applyFont="1" applyFill="1" applyAlignment="1">
      <alignment horizontal="right" vertical="top" wrapText="1" indent="2"/>
    </xf>
    <xf numFmtId="170" fontId="7" fillId="4" borderId="0" xfId="0" applyNumberFormat="1" applyFont="1" applyFill="1" applyAlignment="1">
      <alignment horizontal="center" vertical="top" shrinkToFit="1"/>
    </xf>
    <xf numFmtId="0" fontId="0" fillId="4" borderId="0" xfId="0" applyFill="1" applyAlignment="1">
      <alignment horizontal="left" wrapText="1"/>
    </xf>
    <xf numFmtId="0" fontId="8" fillId="4" borderId="0" xfId="0" applyFont="1" applyFill="1" applyAlignment="1">
      <alignment horizontal="left" vertical="top" wrapText="1" indent="4"/>
    </xf>
    <xf numFmtId="170" fontId="7" fillId="4" borderId="0" xfId="0" applyNumberFormat="1" applyFont="1" applyFill="1" applyAlignment="1">
      <alignment horizontal="left" vertical="top" indent="1" shrinkToFit="1"/>
    </xf>
    <xf numFmtId="0" fontId="8" fillId="0" borderId="2" xfId="0" applyFont="1" applyBorder="1" applyAlignment="1">
      <alignment horizontal="right" vertical="top" wrapText="1"/>
    </xf>
    <xf numFmtId="0" fontId="8" fillId="0" borderId="2" xfId="0" applyFont="1" applyBorder="1" applyAlignment="1">
      <alignment horizontal="left" vertical="top" wrapText="1" indent="3"/>
    </xf>
    <xf numFmtId="1" fontId="6" fillId="0" borderId="0" xfId="0" applyNumberFormat="1" applyFont="1" applyAlignment="1">
      <alignment horizontal="right" vertical="top" shrinkToFit="1"/>
    </xf>
    <xf numFmtId="166" fontId="7" fillId="4" borderId="0" xfId="0" applyNumberFormat="1" applyFont="1" applyFill="1" applyAlignment="1">
      <alignment horizontal="left" vertical="top" indent="3" shrinkToFit="1"/>
    </xf>
    <xf numFmtId="0" fontId="8" fillId="0" borderId="0" xfId="0" applyFont="1" applyAlignment="1">
      <alignment horizontal="right" vertical="top" wrapText="1" indent="2"/>
    </xf>
    <xf numFmtId="170" fontId="7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165" fontId="6" fillId="0" borderId="0" xfId="0" applyNumberFormat="1" applyFont="1" applyAlignment="1">
      <alignment horizontal="center" vertical="top" shrinkToFit="1"/>
    </xf>
    <xf numFmtId="0" fontId="2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wrapText="1" indent="17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left" vertical="top" wrapText="1" indent="41"/>
    </xf>
    <xf numFmtId="0" fontId="3" fillId="0" borderId="0" xfId="0" applyFont="1" applyAlignment="1">
      <alignment horizontal="left" vertical="top" wrapText="1" indent="34"/>
    </xf>
    <xf numFmtId="0" fontId="4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right" vertical="top" shrinkToFit="1"/>
    </xf>
    <xf numFmtId="165" fontId="6" fillId="3" borderId="0" xfId="0" applyNumberFormat="1" applyFont="1" applyFill="1" applyAlignment="1">
      <alignment horizontal="right" vertical="top" shrinkToFit="1"/>
    </xf>
    <xf numFmtId="166" fontId="6" fillId="0" borderId="0" xfId="0" applyNumberFormat="1" applyFont="1" applyAlignment="1">
      <alignment horizontal="right" vertical="top" shrinkToFit="1"/>
    </xf>
    <xf numFmtId="166" fontId="6" fillId="3" borderId="1" xfId="0" applyNumberFormat="1" applyFont="1" applyFill="1" applyBorder="1" applyAlignment="1">
      <alignment horizontal="right" vertical="top" shrinkToFit="1"/>
    </xf>
    <xf numFmtId="167" fontId="5" fillId="0" borderId="2" xfId="0" applyNumberFormat="1" applyFont="1" applyBorder="1" applyAlignment="1">
      <alignment horizontal="right" vertical="top" shrinkToFit="1"/>
    </xf>
    <xf numFmtId="168" fontId="5" fillId="0" borderId="0" xfId="0" applyNumberFormat="1" applyFont="1" applyAlignment="1">
      <alignment horizontal="right" vertical="center" shrinkToFit="1"/>
    </xf>
    <xf numFmtId="167" fontId="5" fillId="0" borderId="0" xfId="0" applyNumberFormat="1" applyFont="1" applyAlignment="1">
      <alignment horizontal="right" vertical="top" shrinkToFit="1"/>
    </xf>
    <xf numFmtId="0" fontId="3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 indent="43"/>
    </xf>
    <xf numFmtId="0" fontId="3" fillId="0" borderId="0" xfId="0" applyFont="1" applyAlignment="1">
      <alignment horizontal="center" vertical="top" wrapText="1"/>
    </xf>
    <xf numFmtId="166" fontId="6" fillId="0" borderId="0" xfId="0" applyNumberFormat="1" applyFont="1" applyAlignment="1">
      <alignment horizontal="right" vertical="top" indent="3" shrinkToFit="1"/>
    </xf>
    <xf numFmtId="0" fontId="3" fillId="0" borderId="0" xfId="0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6"/>
    </xf>
    <xf numFmtId="0" fontId="3" fillId="0" borderId="0" xfId="0" applyFont="1" applyAlignment="1">
      <alignment horizontal="left" vertical="top" wrapText="1" indent="7"/>
    </xf>
    <xf numFmtId="0" fontId="3" fillId="0" borderId="1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wrapText="1"/>
    </xf>
    <xf numFmtId="170" fontId="7" fillId="4" borderId="0" xfId="0" applyNumberFormat="1" applyFont="1" applyFill="1" applyAlignment="1">
      <alignment horizontal="left" vertical="top" indent="3" shrinkToFit="1"/>
    </xf>
    <xf numFmtId="0" fontId="8" fillId="4" borderId="0" xfId="0" applyFont="1" applyFill="1" applyAlignment="1">
      <alignment horizontal="left" vertical="top" wrapText="1" indent="10"/>
    </xf>
    <xf numFmtId="170" fontId="7" fillId="0" borderId="0" xfId="0" applyNumberFormat="1" applyFont="1" applyAlignment="1">
      <alignment horizontal="left" vertical="top" indent="3" shrinkToFit="1"/>
    </xf>
    <xf numFmtId="0" fontId="8" fillId="0" borderId="0" xfId="0" applyFont="1" applyAlignment="1">
      <alignment horizontal="left" vertical="top" wrapText="1" indent="10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top" wrapText="1" indent="4"/>
    </xf>
    <xf numFmtId="0" fontId="3" fillId="0" borderId="0" xfId="0" applyFont="1" applyAlignment="1">
      <alignment horizontal="left" vertical="top" wrapText="1" indent="2"/>
    </xf>
    <xf numFmtId="0" fontId="8" fillId="4" borderId="0" xfId="0" applyFont="1" applyFill="1" applyAlignment="1">
      <alignment horizontal="center" vertical="top" wrapText="1"/>
    </xf>
    <xf numFmtId="166" fontId="6" fillId="0" borderId="0" xfId="0" applyNumberFormat="1" applyFont="1" applyAlignment="1">
      <alignment horizontal="right" vertical="top" indent="4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 indent="1"/>
    </xf>
    <xf numFmtId="170" fontId="7" fillId="0" borderId="2" xfId="0" applyNumberFormat="1" applyFont="1" applyBorder="1" applyAlignment="1">
      <alignment horizontal="left" vertical="top" indent="3" shrinkToFit="1"/>
    </xf>
    <xf numFmtId="0" fontId="8" fillId="0" borderId="2" xfId="0" applyFont="1" applyBorder="1" applyAlignment="1">
      <alignment horizontal="left" vertical="top" wrapText="1" indent="10"/>
    </xf>
    <xf numFmtId="0" fontId="8" fillId="4" borderId="0" xfId="0" applyFont="1" applyFill="1" applyAlignment="1">
      <alignment horizontal="left" vertical="top" wrapText="1" indent="1"/>
    </xf>
    <xf numFmtId="0" fontId="8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center" vertical="top" wrapText="1"/>
    </xf>
    <xf numFmtId="0" fontId="8" fillId="4" borderId="0" xfId="0" applyFont="1" applyFill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1" fontId="6" fillId="0" borderId="0" xfId="0" applyNumberFormat="1" applyFont="1" applyAlignment="1">
      <alignment horizontal="left" vertical="top" shrinkToFit="1"/>
    </xf>
    <xf numFmtId="0" fontId="4" fillId="0" borderId="0" xfId="0" applyFont="1" applyAlignment="1">
      <alignment horizontal="left" vertical="top" wrapText="1" indent="4"/>
    </xf>
    <xf numFmtId="1" fontId="9" fillId="0" borderId="0" xfId="0" applyNumberFormat="1" applyFont="1" applyAlignment="1">
      <alignment horizontal="left" vertical="top" shrinkToFit="1"/>
    </xf>
    <xf numFmtId="0" fontId="4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3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0" xfId="0" applyFill="1" applyAlignment="1">
      <alignment vertical="top"/>
    </xf>
    <xf numFmtId="169" fontId="7" fillId="0" borderId="2" xfId="0" applyNumberFormat="1" applyFont="1" applyFill="1" applyBorder="1" applyAlignment="1">
      <alignment vertical="top" shrinkToFit="1"/>
    </xf>
    <xf numFmtId="1" fontId="7" fillId="0" borderId="2" xfId="0" applyNumberFormat="1" applyFont="1" applyFill="1" applyBorder="1" applyAlignment="1">
      <alignment vertical="top" shrinkToFit="1"/>
    </xf>
    <xf numFmtId="0" fontId="8" fillId="0" borderId="2" xfId="0" applyFont="1" applyFill="1" applyBorder="1" applyAlignment="1">
      <alignment vertical="top" wrapText="1"/>
    </xf>
    <xf numFmtId="170" fontId="7" fillId="0" borderId="2" xfId="0" applyNumberFormat="1" applyFont="1" applyFill="1" applyBorder="1" applyAlignment="1">
      <alignment vertical="top" shrinkToFit="1"/>
    </xf>
    <xf numFmtId="166" fontId="7" fillId="0" borderId="2" xfId="0" applyNumberFormat="1" applyFont="1" applyFill="1" applyBorder="1" applyAlignment="1">
      <alignment vertical="top" shrinkToFit="1"/>
    </xf>
    <xf numFmtId="169" fontId="7" fillId="0" borderId="0" xfId="0" applyNumberFormat="1" applyFont="1" applyFill="1" applyAlignment="1">
      <alignment vertical="top" shrinkToFit="1"/>
    </xf>
    <xf numFmtId="1" fontId="7" fillId="0" borderId="0" xfId="0" applyNumberFormat="1" applyFont="1" applyFill="1" applyAlignment="1">
      <alignment vertical="top" shrinkToFit="1"/>
    </xf>
    <xf numFmtId="0" fontId="8" fillId="0" borderId="0" xfId="0" applyFont="1" applyFill="1" applyAlignment="1">
      <alignment vertical="top" wrapText="1"/>
    </xf>
    <xf numFmtId="170" fontId="7" fillId="0" borderId="0" xfId="0" applyNumberFormat="1" applyFont="1" applyFill="1" applyAlignment="1">
      <alignment vertical="top" shrinkToFit="1"/>
    </xf>
    <xf numFmtId="166" fontId="7" fillId="0" borderId="0" xfId="0" applyNumberFormat="1" applyFont="1" applyFill="1" applyAlignment="1">
      <alignment vertical="top" shrinkToFit="1"/>
    </xf>
    <xf numFmtId="0" fontId="3" fillId="0" borderId="0" xfId="0" applyFont="1" applyFill="1" applyAlignment="1">
      <alignment vertical="top" wrapText="1"/>
    </xf>
    <xf numFmtId="14" fontId="8" fillId="0" borderId="2" xfId="0" applyNumberFormat="1" applyFont="1" applyFill="1" applyBorder="1" applyAlignment="1">
      <alignment vertical="top" wrapText="1"/>
    </xf>
    <xf numFmtId="14" fontId="8" fillId="0" borderId="0" xfId="0" applyNumberFormat="1" applyFont="1" applyFill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vertical="top"/>
    </xf>
    <xf numFmtId="1" fontId="7" fillId="0" borderId="0" xfId="0" applyNumberFormat="1" applyFont="1" applyFill="1" applyBorder="1" applyAlignment="1">
      <alignment vertical="top" shrinkToFit="1"/>
    </xf>
    <xf numFmtId="0" fontId="8" fillId="0" borderId="0" xfId="0" applyFont="1" applyFill="1" applyBorder="1" applyAlignment="1">
      <alignment vertical="top" wrapText="1"/>
    </xf>
    <xf numFmtId="170" fontId="7" fillId="0" borderId="0" xfId="0" applyNumberFormat="1" applyFont="1" applyFill="1" applyBorder="1" applyAlignment="1">
      <alignment vertical="top" shrinkToFit="1"/>
    </xf>
    <xf numFmtId="14" fontId="8" fillId="0" borderId="0" xfId="0" applyNumberFormat="1" applyFont="1" applyFill="1" applyBorder="1" applyAlignment="1">
      <alignment vertical="top" wrapText="1"/>
    </xf>
    <xf numFmtId="166" fontId="7" fillId="0" borderId="0" xfId="0" applyNumberFormat="1" applyFont="1" applyFill="1" applyBorder="1" applyAlignment="1">
      <alignment vertical="top" shrinkToFit="1"/>
    </xf>
    <xf numFmtId="0" fontId="16" fillId="0" borderId="0" xfId="0" applyFont="1" applyFill="1" applyBorder="1" applyAlignment="1">
      <alignment vertical="top"/>
    </xf>
    <xf numFmtId="0" fontId="1" fillId="0" borderId="0" xfId="1"/>
  </cellXfs>
  <cellStyles count="3">
    <cellStyle name="Normal" xfId="0" builtinId="0"/>
    <cellStyle name="Normal 2" xfId="2" xr:uid="{40D4395C-726A-4CA0-AF0D-477ED3BAC16F}"/>
    <cellStyle name="Normal 3" xfId="1" xr:uid="{372AF281-D9C5-4FF3-9EFA-073171D290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964565</xdr:colOff>
      <xdr:row>1</xdr:row>
      <xdr:rowOff>641985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B26" sqref="B26"/>
    </sheetView>
  </sheetViews>
  <sheetFormatPr defaultRowHeight="13.2" x14ac:dyDescent="0.25"/>
  <cols>
    <col min="1" max="1" width="40.21875" customWidth="1"/>
    <col min="2" max="2" width="63.77734375" customWidth="1"/>
    <col min="3" max="3" width="2.6640625" customWidth="1"/>
    <col min="4" max="4" width="70.21875" customWidth="1"/>
    <col min="5" max="5" width="2.21875" customWidth="1"/>
  </cols>
  <sheetData>
    <row r="1" spans="1:5" ht="15" customHeight="1" x14ac:dyDescent="0.25">
      <c r="A1" s="56" t="s">
        <v>0</v>
      </c>
      <c r="B1" s="56"/>
      <c r="C1" s="56"/>
      <c r="D1" s="56"/>
    </row>
    <row r="2" spans="1:5" ht="51" customHeight="1" x14ac:dyDescent="0.25">
      <c r="A2" s="57" t="s">
        <v>1</v>
      </c>
      <c r="B2" s="57"/>
      <c r="C2" s="58" t="s">
        <v>2</v>
      </c>
      <c r="D2" s="58"/>
      <c r="E2" s="58"/>
    </row>
    <row r="3" spans="1:5" ht="12.75" customHeight="1" x14ac:dyDescent="0.25">
      <c r="A3" s="59" t="s">
        <v>3</v>
      </c>
      <c r="B3" s="59"/>
      <c r="C3" s="59"/>
      <c r="D3" s="59"/>
      <c r="E3" s="59"/>
    </row>
    <row r="4" spans="1:5" ht="12.75" customHeight="1" x14ac:dyDescent="0.25">
      <c r="A4" s="60" t="s">
        <v>4</v>
      </c>
      <c r="B4" s="60"/>
      <c r="C4" s="60"/>
      <c r="D4" s="60"/>
      <c r="E4" s="60"/>
    </row>
    <row r="5" spans="1:5" ht="15.75" customHeight="1" x14ac:dyDescent="0.25">
      <c r="A5" s="61" t="s">
        <v>5</v>
      </c>
      <c r="B5" s="61"/>
      <c r="C5" s="61"/>
      <c r="D5" s="61"/>
      <c r="E5" s="61"/>
    </row>
    <row r="6" spans="1:5" ht="12.75" customHeight="1" x14ac:dyDescent="0.25">
      <c r="A6" s="1" t="s">
        <v>6</v>
      </c>
      <c r="B6" s="62">
        <v>-2285.1</v>
      </c>
      <c r="C6" s="62"/>
    </row>
    <row r="7" spans="1:5" ht="13.05" customHeight="1" x14ac:dyDescent="0.25">
      <c r="A7" s="2" t="s">
        <v>7</v>
      </c>
      <c r="B7" s="63">
        <v>1802.74</v>
      </c>
      <c r="C7" s="63"/>
    </row>
    <row r="8" spans="1:5" ht="13.05" customHeight="1" x14ac:dyDescent="0.25">
      <c r="A8" s="1" t="s">
        <v>8</v>
      </c>
      <c r="B8" s="64">
        <v>0</v>
      </c>
      <c r="C8" s="64"/>
    </row>
    <row r="9" spans="1:5" ht="13.05" customHeight="1" x14ac:dyDescent="0.25">
      <c r="A9" s="2" t="s">
        <v>9</v>
      </c>
      <c r="B9" s="65">
        <v>0</v>
      </c>
      <c r="C9" s="65"/>
    </row>
    <row r="10" spans="1:5" ht="24" customHeight="1" x14ac:dyDescent="0.25">
      <c r="A10" s="1" t="s">
        <v>10</v>
      </c>
      <c r="B10" s="66">
        <v>-482.36</v>
      </c>
      <c r="C10" s="66"/>
    </row>
    <row r="11" spans="1:5" ht="25.5" customHeight="1" x14ac:dyDescent="0.25">
      <c r="A11" s="3" t="s">
        <v>11</v>
      </c>
      <c r="B11" s="67">
        <v>0</v>
      </c>
      <c r="C11" s="67"/>
    </row>
    <row r="12" spans="1:5" ht="12.75" customHeight="1" x14ac:dyDescent="0.25">
      <c r="A12" s="1" t="s">
        <v>12</v>
      </c>
      <c r="B12" s="68">
        <v>-482.36</v>
      </c>
      <c r="C12" s="68"/>
    </row>
  </sheetData>
  <mergeCells count="13">
    <mergeCell ref="B10:C10"/>
    <mergeCell ref="B11:C11"/>
    <mergeCell ref="B12:C12"/>
    <mergeCell ref="A5:E5"/>
    <mergeCell ref="B6:C6"/>
    <mergeCell ref="B7:C7"/>
    <mergeCell ref="B8:C8"/>
    <mergeCell ref="B9:C9"/>
    <mergeCell ref="A1:D1"/>
    <mergeCell ref="A2:B2"/>
    <mergeCell ref="C2:E2"/>
    <mergeCell ref="A3:E3"/>
    <mergeCell ref="A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workbookViewId="0">
      <selection sqref="A1:XFD1048576"/>
    </sheetView>
  </sheetViews>
  <sheetFormatPr defaultRowHeight="15" customHeight="1" x14ac:dyDescent="0.25"/>
  <cols>
    <col min="1" max="1" width="13.33203125" style="107" customWidth="1"/>
    <col min="2" max="2" width="15.77734375" style="107" customWidth="1"/>
    <col min="3" max="3" width="23.5546875" style="107" customWidth="1"/>
    <col min="4" max="4" width="10.6640625" style="107" customWidth="1"/>
    <col min="5" max="5" width="13.109375" style="107" customWidth="1"/>
    <col min="6" max="6" width="12.88671875" style="107" customWidth="1"/>
    <col min="7" max="7" width="8.21875" style="107" customWidth="1"/>
    <col min="8" max="8" width="18.6640625" style="107" customWidth="1"/>
    <col min="9" max="9" width="16.44140625" style="107" customWidth="1"/>
    <col min="10" max="10" width="20.6640625" style="107" customWidth="1"/>
    <col min="11" max="11" width="18.6640625" style="107" bestFit="1" customWidth="1"/>
    <col min="12" max="16384" width="8.88671875" style="107"/>
  </cols>
  <sheetData>
    <row r="1" spans="1:11" ht="15" customHeight="1" x14ac:dyDescent="0.25">
      <c r="A1" s="105" t="s">
        <v>13</v>
      </c>
      <c r="B1" s="105" t="s">
        <v>14</v>
      </c>
      <c r="C1" s="105" t="s">
        <v>15</v>
      </c>
      <c r="D1" s="105" t="s">
        <v>16</v>
      </c>
      <c r="E1" s="106" t="s">
        <v>17</v>
      </c>
      <c r="F1" s="106" t="s">
        <v>18</v>
      </c>
      <c r="G1" s="105" t="s">
        <v>21</v>
      </c>
      <c r="H1" s="106" t="s">
        <v>22</v>
      </c>
      <c r="I1" s="106" t="s">
        <v>24</v>
      </c>
    </row>
    <row r="2" spans="1:11" ht="15" customHeight="1" x14ac:dyDescent="0.25">
      <c r="A2" s="108">
        <v>475710</v>
      </c>
      <c r="B2" s="109">
        <v>8814784</v>
      </c>
      <c r="C2" s="110" t="s">
        <v>25</v>
      </c>
      <c r="D2" s="110" t="s">
        <v>26</v>
      </c>
      <c r="E2" s="110" t="s">
        <v>27</v>
      </c>
      <c r="F2" s="111">
        <v>46113</v>
      </c>
      <c r="G2" s="119">
        <v>46113</v>
      </c>
      <c r="H2" s="110" t="s">
        <v>29</v>
      </c>
      <c r="I2" s="112">
        <v>280</v>
      </c>
      <c r="J2" s="107" t="s">
        <v>83</v>
      </c>
      <c r="K2" s="107" t="s">
        <v>86</v>
      </c>
    </row>
    <row r="3" spans="1:11" ht="15" customHeight="1" x14ac:dyDescent="0.25">
      <c r="A3" s="113">
        <v>449350</v>
      </c>
      <c r="B3" s="114">
        <v>2158366</v>
      </c>
      <c r="C3" s="115" t="s">
        <v>40</v>
      </c>
      <c r="D3" s="115" t="s">
        <v>26</v>
      </c>
      <c r="E3" s="115" t="s">
        <v>27</v>
      </c>
      <c r="F3" s="116">
        <v>45717</v>
      </c>
      <c r="G3" s="120">
        <v>46113</v>
      </c>
      <c r="H3" s="115" t="s">
        <v>41</v>
      </c>
      <c r="I3" s="117">
        <v>8.75</v>
      </c>
      <c r="J3" s="107" t="s">
        <v>83</v>
      </c>
      <c r="K3" s="107" t="s">
        <v>86</v>
      </c>
    </row>
    <row r="4" spans="1:11" ht="15" customHeight="1" x14ac:dyDescent="0.25">
      <c r="A4" s="113">
        <v>439384</v>
      </c>
      <c r="B4" s="114">
        <v>2158366</v>
      </c>
      <c r="C4" s="115" t="s">
        <v>42</v>
      </c>
      <c r="D4" s="115" t="s">
        <v>26</v>
      </c>
      <c r="E4" s="115" t="s">
        <v>27</v>
      </c>
      <c r="F4" s="116">
        <v>45658</v>
      </c>
      <c r="G4" s="120">
        <v>46113</v>
      </c>
      <c r="H4" s="115" t="s">
        <v>41</v>
      </c>
      <c r="I4" s="117">
        <v>8.75</v>
      </c>
      <c r="J4" s="107" t="s">
        <v>83</v>
      </c>
      <c r="K4" s="107" t="s">
        <v>86</v>
      </c>
    </row>
    <row r="5" spans="1:11" ht="15" customHeight="1" x14ac:dyDescent="0.25">
      <c r="A5" s="113">
        <v>439383</v>
      </c>
      <c r="B5" s="114">
        <v>2158366</v>
      </c>
      <c r="C5" s="115" t="s">
        <v>43</v>
      </c>
      <c r="D5" s="115" t="s">
        <v>26</v>
      </c>
      <c r="E5" s="115" t="s">
        <v>27</v>
      </c>
      <c r="F5" s="116">
        <v>45658</v>
      </c>
      <c r="G5" s="120">
        <v>46113</v>
      </c>
      <c r="H5" s="115" t="s">
        <v>41</v>
      </c>
      <c r="I5" s="117">
        <v>8.75</v>
      </c>
      <c r="J5" s="107" t="s">
        <v>83</v>
      </c>
      <c r="K5" s="107" t="s">
        <v>86</v>
      </c>
    </row>
    <row r="6" spans="1:11" ht="15" customHeight="1" x14ac:dyDescent="0.25">
      <c r="A6" s="113">
        <v>442876</v>
      </c>
      <c r="B6" s="114">
        <v>2158366</v>
      </c>
      <c r="C6" s="115" t="s">
        <v>44</v>
      </c>
      <c r="D6" s="115" t="s">
        <v>26</v>
      </c>
      <c r="E6" s="115" t="s">
        <v>27</v>
      </c>
      <c r="F6" s="116">
        <v>45658</v>
      </c>
      <c r="G6" s="120">
        <v>46113</v>
      </c>
      <c r="H6" s="115" t="s">
        <v>41</v>
      </c>
      <c r="I6" s="117">
        <v>8.75</v>
      </c>
      <c r="J6" s="107" t="s">
        <v>83</v>
      </c>
      <c r="K6" s="107" t="s">
        <v>86</v>
      </c>
    </row>
    <row r="7" spans="1:11" ht="15" customHeight="1" x14ac:dyDescent="0.25">
      <c r="A7" s="113">
        <v>445341</v>
      </c>
      <c r="B7" s="114">
        <v>2158366</v>
      </c>
      <c r="C7" s="115" t="s">
        <v>45</v>
      </c>
      <c r="D7" s="115" t="s">
        <v>26</v>
      </c>
      <c r="E7" s="115" t="s">
        <v>27</v>
      </c>
      <c r="F7" s="116">
        <v>45658</v>
      </c>
      <c r="G7" s="120">
        <v>46113</v>
      </c>
      <c r="H7" s="115" t="s">
        <v>41</v>
      </c>
      <c r="I7" s="117">
        <v>8.75</v>
      </c>
      <c r="J7" s="107" t="s">
        <v>83</v>
      </c>
      <c r="K7" s="107" t="s">
        <v>86</v>
      </c>
    </row>
    <row r="8" spans="1:11" ht="15" customHeight="1" x14ac:dyDescent="0.25">
      <c r="A8" s="108">
        <v>448295</v>
      </c>
      <c r="B8" s="109">
        <v>19645587</v>
      </c>
      <c r="C8" s="110" t="s">
        <v>49</v>
      </c>
      <c r="D8" s="110" t="s">
        <v>26</v>
      </c>
      <c r="E8" s="110" t="s">
        <v>50</v>
      </c>
      <c r="F8" s="111">
        <v>45658</v>
      </c>
      <c r="G8" s="119">
        <v>46113</v>
      </c>
      <c r="H8" s="110" t="s">
        <v>41</v>
      </c>
      <c r="I8" s="112">
        <v>8.75</v>
      </c>
      <c r="J8" s="107" t="s">
        <v>83</v>
      </c>
      <c r="K8" s="107" t="s">
        <v>86</v>
      </c>
    </row>
    <row r="9" spans="1:11" ht="15" customHeight="1" x14ac:dyDescent="0.25">
      <c r="A9" s="113">
        <v>439914</v>
      </c>
      <c r="B9" s="114">
        <v>19645587</v>
      </c>
      <c r="C9" s="115" t="s">
        <v>51</v>
      </c>
      <c r="D9" s="115" t="s">
        <v>26</v>
      </c>
      <c r="E9" s="115" t="s">
        <v>27</v>
      </c>
      <c r="F9" s="116">
        <v>45658</v>
      </c>
      <c r="G9" s="120">
        <v>46113</v>
      </c>
      <c r="H9" s="115" t="s">
        <v>41</v>
      </c>
      <c r="I9" s="117">
        <v>8.75</v>
      </c>
      <c r="J9" s="107" t="s">
        <v>83</v>
      </c>
      <c r="K9" s="107" t="s">
        <v>86</v>
      </c>
    </row>
    <row r="10" spans="1:11" ht="15" customHeight="1" x14ac:dyDescent="0.25">
      <c r="A10" s="108">
        <v>444055</v>
      </c>
      <c r="B10" s="109">
        <v>19615078</v>
      </c>
      <c r="C10" s="110" t="s">
        <v>54</v>
      </c>
      <c r="D10" s="110" t="s">
        <v>26</v>
      </c>
      <c r="E10" s="110" t="s">
        <v>27</v>
      </c>
      <c r="F10" s="111">
        <v>45658</v>
      </c>
      <c r="G10" s="119">
        <v>46113</v>
      </c>
      <c r="H10" s="110" t="s">
        <v>41</v>
      </c>
      <c r="I10" s="112">
        <v>8.75</v>
      </c>
      <c r="J10" s="107" t="s">
        <v>83</v>
      </c>
      <c r="K10" s="107" t="s">
        <v>86</v>
      </c>
    </row>
    <row r="11" spans="1:11" ht="15" customHeight="1" x14ac:dyDescent="0.25">
      <c r="A11" s="113">
        <v>446535</v>
      </c>
      <c r="B11" s="114">
        <v>17301495</v>
      </c>
      <c r="C11" s="115" t="s">
        <v>57</v>
      </c>
      <c r="D11" s="115" t="s">
        <v>26</v>
      </c>
      <c r="E11" s="115" t="s">
        <v>27</v>
      </c>
      <c r="F11" s="116">
        <v>45658</v>
      </c>
      <c r="G11" s="120">
        <v>46113</v>
      </c>
      <c r="H11" s="115" t="s">
        <v>41</v>
      </c>
      <c r="I11" s="117">
        <v>8.75</v>
      </c>
      <c r="J11" s="107" t="s">
        <v>83</v>
      </c>
      <c r="K11" s="107" t="s">
        <v>86</v>
      </c>
    </row>
    <row r="12" spans="1:11" ht="15" customHeight="1" x14ac:dyDescent="0.25">
      <c r="A12" s="108">
        <v>447954</v>
      </c>
      <c r="B12" s="109">
        <v>16912722</v>
      </c>
      <c r="C12" s="110" t="s">
        <v>59</v>
      </c>
      <c r="D12" s="110" t="s">
        <v>26</v>
      </c>
      <c r="E12" s="110" t="s">
        <v>27</v>
      </c>
      <c r="F12" s="111">
        <v>45658</v>
      </c>
      <c r="G12" s="119">
        <v>46113</v>
      </c>
      <c r="H12" s="110" t="s">
        <v>41</v>
      </c>
      <c r="I12" s="112">
        <v>8.75</v>
      </c>
      <c r="J12" s="107" t="s">
        <v>83</v>
      </c>
      <c r="K12" s="107" t="s">
        <v>86</v>
      </c>
    </row>
    <row r="13" spans="1:11" ht="15" customHeight="1" x14ac:dyDescent="0.25">
      <c r="A13" s="113">
        <v>447955</v>
      </c>
      <c r="B13" s="114">
        <v>16912722</v>
      </c>
      <c r="C13" s="115" t="s">
        <v>60</v>
      </c>
      <c r="D13" s="115" t="s">
        <v>26</v>
      </c>
      <c r="E13" s="115" t="s">
        <v>27</v>
      </c>
      <c r="F13" s="116">
        <v>45658</v>
      </c>
      <c r="G13" s="120">
        <v>46113</v>
      </c>
      <c r="H13" s="115" t="s">
        <v>41</v>
      </c>
      <c r="I13" s="117">
        <v>8.75</v>
      </c>
      <c r="J13" s="107" t="s">
        <v>83</v>
      </c>
      <c r="K13" s="107" t="s">
        <v>86</v>
      </c>
    </row>
    <row r="14" spans="1:11" ht="15" customHeight="1" x14ac:dyDescent="0.25">
      <c r="A14" s="113">
        <v>448034</v>
      </c>
      <c r="B14" s="114">
        <v>16912722</v>
      </c>
      <c r="C14" s="115" t="s">
        <v>61</v>
      </c>
      <c r="D14" s="115" t="s">
        <v>26</v>
      </c>
      <c r="E14" s="115" t="s">
        <v>27</v>
      </c>
      <c r="F14" s="116">
        <v>45658</v>
      </c>
      <c r="G14" s="120">
        <v>46113</v>
      </c>
      <c r="H14" s="115" t="s">
        <v>41</v>
      </c>
      <c r="I14" s="117">
        <v>8.75</v>
      </c>
      <c r="J14" s="107" t="s">
        <v>83</v>
      </c>
      <c r="K14" s="107" t="s">
        <v>86</v>
      </c>
    </row>
    <row r="15" spans="1:11" ht="15" customHeight="1" x14ac:dyDescent="0.25">
      <c r="A15" s="113">
        <v>447701</v>
      </c>
      <c r="B15" s="114">
        <v>16912722</v>
      </c>
      <c r="C15" s="115" t="s">
        <v>62</v>
      </c>
      <c r="D15" s="115" t="s">
        <v>26</v>
      </c>
      <c r="E15" s="115" t="s">
        <v>27</v>
      </c>
      <c r="F15" s="116">
        <v>45658</v>
      </c>
      <c r="G15" s="120">
        <v>46113</v>
      </c>
      <c r="H15" s="115" t="s">
        <v>41</v>
      </c>
      <c r="I15" s="117">
        <v>8.75</v>
      </c>
      <c r="J15" s="107" t="s">
        <v>83</v>
      </c>
      <c r="K15" s="107" t="s">
        <v>86</v>
      </c>
    </row>
    <row r="16" spans="1:11" ht="15" customHeight="1" x14ac:dyDescent="0.25">
      <c r="A16" s="108">
        <v>446217</v>
      </c>
      <c r="B16" s="109">
        <v>16633294</v>
      </c>
      <c r="C16" s="110" t="s">
        <v>64</v>
      </c>
      <c r="D16" s="110" t="s">
        <v>26</v>
      </c>
      <c r="E16" s="110" t="s">
        <v>27</v>
      </c>
      <c r="F16" s="111">
        <v>45658</v>
      </c>
      <c r="G16" s="119">
        <v>46113</v>
      </c>
      <c r="H16" s="110" t="s">
        <v>41</v>
      </c>
      <c r="I16" s="112">
        <v>8.75</v>
      </c>
      <c r="J16" s="107" t="s">
        <v>83</v>
      </c>
      <c r="K16" s="107" t="s">
        <v>86</v>
      </c>
    </row>
    <row r="17" spans="1:11" ht="15" customHeight="1" x14ac:dyDescent="0.25">
      <c r="A17" s="113">
        <v>443292</v>
      </c>
      <c r="B17" s="114">
        <v>16633294</v>
      </c>
      <c r="C17" s="115" t="s">
        <v>65</v>
      </c>
      <c r="D17" s="115" t="s">
        <v>26</v>
      </c>
      <c r="E17" s="115" t="s">
        <v>27</v>
      </c>
      <c r="F17" s="116">
        <v>45658</v>
      </c>
      <c r="G17" s="120">
        <v>46113</v>
      </c>
      <c r="H17" s="115" t="s">
        <v>41</v>
      </c>
      <c r="I17" s="117">
        <v>8.75</v>
      </c>
      <c r="J17" s="107" t="s">
        <v>83</v>
      </c>
      <c r="K17" s="107" t="s">
        <v>86</v>
      </c>
    </row>
    <row r="18" spans="1:11" ht="15" customHeight="1" x14ac:dyDescent="0.25">
      <c r="A18" s="113">
        <v>443286</v>
      </c>
      <c r="B18" s="114">
        <v>16633294</v>
      </c>
      <c r="C18" s="115" t="s">
        <v>66</v>
      </c>
      <c r="D18" s="115" t="s">
        <v>26</v>
      </c>
      <c r="E18" s="115" t="s">
        <v>27</v>
      </c>
      <c r="F18" s="116">
        <v>45658</v>
      </c>
      <c r="G18" s="120">
        <v>46113</v>
      </c>
      <c r="H18" s="115" t="s">
        <v>41</v>
      </c>
      <c r="I18" s="117">
        <v>8.75</v>
      </c>
      <c r="J18" s="107" t="s">
        <v>83</v>
      </c>
      <c r="K18" s="107" t="s">
        <v>86</v>
      </c>
    </row>
    <row r="19" spans="1:11" ht="15" customHeight="1" x14ac:dyDescent="0.25">
      <c r="A19" s="113">
        <v>444212</v>
      </c>
      <c r="B19" s="114">
        <v>16633294</v>
      </c>
      <c r="C19" s="115" t="s">
        <v>67</v>
      </c>
      <c r="D19" s="115" t="s">
        <v>26</v>
      </c>
      <c r="E19" s="115" t="s">
        <v>27</v>
      </c>
      <c r="F19" s="116">
        <v>45658</v>
      </c>
      <c r="G19" s="120">
        <v>46113</v>
      </c>
      <c r="H19" s="115" t="s">
        <v>41</v>
      </c>
      <c r="I19" s="117">
        <v>8.75</v>
      </c>
      <c r="J19" s="107" t="s">
        <v>83</v>
      </c>
      <c r="K19" s="107" t="s">
        <v>86</v>
      </c>
    </row>
    <row r="20" spans="1:11" ht="15" customHeight="1" x14ac:dyDescent="0.25">
      <c r="A20" s="113">
        <v>443209</v>
      </c>
      <c r="B20" s="114">
        <v>16633294</v>
      </c>
      <c r="C20" s="115" t="s">
        <v>68</v>
      </c>
      <c r="D20" s="115" t="s">
        <v>26</v>
      </c>
      <c r="E20" s="115" t="s">
        <v>27</v>
      </c>
      <c r="F20" s="116">
        <v>45658</v>
      </c>
      <c r="G20" s="120">
        <v>46113</v>
      </c>
      <c r="H20" s="115" t="s">
        <v>41</v>
      </c>
      <c r="I20" s="117">
        <v>8.75</v>
      </c>
      <c r="J20" s="107" t="s">
        <v>83</v>
      </c>
      <c r="K20" s="107" t="s">
        <v>86</v>
      </c>
    </row>
    <row r="21" spans="1:11" ht="15" customHeight="1" x14ac:dyDescent="0.25">
      <c r="A21" s="113">
        <v>440990</v>
      </c>
      <c r="B21" s="114">
        <v>16633294</v>
      </c>
      <c r="C21" s="115" t="s">
        <v>69</v>
      </c>
      <c r="D21" s="115" t="s">
        <v>26</v>
      </c>
      <c r="E21" s="115" t="s">
        <v>27</v>
      </c>
      <c r="F21" s="116">
        <v>45658</v>
      </c>
      <c r="G21" s="120">
        <v>46113</v>
      </c>
      <c r="H21" s="115" t="s">
        <v>41</v>
      </c>
      <c r="I21" s="117">
        <v>8.75</v>
      </c>
      <c r="J21" s="107" t="s">
        <v>83</v>
      </c>
      <c r="K21" s="107" t="s">
        <v>86</v>
      </c>
    </row>
    <row r="22" spans="1:11" ht="15" customHeight="1" x14ac:dyDescent="0.25">
      <c r="A22" s="113">
        <v>445753</v>
      </c>
      <c r="B22" s="114">
        <v>16633294</v>
      </c>
      <c r="C22" s="115" t="s">
        <v>70</v>
      </c>
      <c r="D22" s="115" t="s">
        <v>26</v>
      </c>
      <c r="E22" s="115" t="s">
        <v>27</v>
      </c>
      <c r="F22" s="116">
        <v>45658</v>
      </c>
      <c r="G22" s="120">
        <v>46113</v>
      </c>
      <c r="H22" s="115" t="s">
        <v>41</v>
      </c>
      <c r="I22" s="117">
        <v>8.75</v>
      </c>
      <c r="J22" s="107" t="s">
        <v>83</v>
      </c>
      <c r="K22" s="107" t="s">
        <v>86</v>
      </c>
    </row>
    <row r="23" spans="1:11" ht="15" customHeight="1" x14ac:dyDescent="0.25">
      <c r="A23" s="113">
        <v>446673</v>
      </c>
      <c r="B23" s="114">
        <v>16633294</v>
      </c>
      <c r="C23" s="115" t="s">
        <v>71</v>
      </c>
      <c r="D23" s="115" t="s">
        <v>26</v>
      </c>
      <c r="E23" s="115" t="s">
        <v>27</v>
      </c>
      <c r="F23" s="116">
        <v>45658</v>
      </c>
      <c r="G23" s="120">
        <v>46113</v>
      </c>
      <c r="H23" s="115" t="s">
        <v>41</v>
      </c>
      <c r="I23" s="117">
        <v>8.75</v>
      </c>
      <c r="J23" s="107" t="s">
        <v>83</v>
      </c>
      <c r="K23" s="107" t="s">
        <v>86</v>
      </c>
    </row>
    <row r="24" spans="1:11" ht="15" customHeight="1" x14ac:dyDescent="0.25">
      <c r="A24" s="113">
        <v>447931</v>
      </c>
      <c r="B24" s="114">
        <v>16633294</v>
      </c>
      <c r="C24" s="115" t="s">
        <v>72</v>
      </c>
      <c r="D24" s="115" t="s">
        <v>26</v>
      </c>
      <c r="E24" s="115" t="s">
        <v>27</v>
      </c>
      <c r="F24" s="116">
        <v>45658</v>
      </c>
      <c r="G24" s="120">
        <v>46113</v>
      </c>
      <c r="H24" s="115" t="s">
        <v>41</v>
      </c>
      <c r="I24" s="117">
        <v>8.75</v>
      </c>
      <c r="J24" s="107" t="s">
        <v>83</v>
      </c>
      <c r="K24" s="107" t="s">
        <v>86</v>
      </c>
    </row>
    <row r="25" spans="1:11" ht="15" customHeight="1" x14ac:dyDescent="0.25">
      <c r="A25" s="113">
        <v>475710</v>
      </c>
      <c r="B25" s="114">
        <v>8814784</v>
      </c>
      <c r="C25" s="115" t="s">
        <v>25</v>
      </c>
      <c r="D25" s="115" t="s">
        <v>26</v>
      </c>
      <c r="E25" s="115" t="s">
        <v>27</v>
      </c>
      <c r="F25" s="116">
        <v>46113</v>
      </c>
      <c r="G25" s="120">
        <v>46113</v>
      </c>
      <c r="H25" s="115" t="s">
        <v>29</v>
      </c>
      <c r="I25" s="117">
        <v>694</v>
      </c>
      <c r="J25" s="107" t="s">
        <v>79</v>
      </c>
      <c r="K25" s="107" t="s">
        <v>84</v>
      </c>
    </row>
    <row r="26" spans="1:11" ht="15" customHeight="1" x14ac:dyDescent="0.25">
      <c r="A26" s="108">
        <v>449350</v>
      </c>
      <c r="B26" s="109">
        <v>2158366</v>
      </c>
      <c r="C26" s="110" t="s">
        <v>40</v>
      </c>
      <c r="D26" s="110" t="s">
        <v>26</v>
      </c>
      <c r="E26" s="110" t="s">
        <v>27</v>
      </c>
      <c r="F26" s="111">
        <v>45717</v>
      </c>
      <c r="G26" s="119">
        <v>46113</v>
      </c>
      <c r="H26" s="110" t="s">
        <v>41</v>
      </c>
      <c r="I26" s="112">
        <v>28.92</v>
      </c>
      <c r="J26" s="118" t="s">
        <v>48</v>
      </c>
      <c r="K26" s="107" t="s">
        <v>85</v>
      </c>
    </row>
    <row r="27" spans="1:11" ht="15" customHeight="1" x14ac:dyDescent="0.25">
      <c r="A27" s="113">
        <v>439383</v>
      </c>
      <c r="B27" s="114">
        <v>2158366</v>
      </c>
      <c r="C27" s="115" t="s">
        <v>43</v>
      </c>
      <c r="D27" s="115" t="s">
        <v>26</v>
      </c>
      <c r="E27" s="115" t="s">
        <v>27</v>
      </c>
      <c r="F27" s="116">
        <v>45658</v>
      </c>
      <c r="G27" s="120">
        <v>46113</v>
      </c>
      <c r="H27" s="115" t="s">
        <v>41</v>
      </c>
      <c r="I27" s="117">
        <v>28.92</v>
      </c>
      <c r="J27" s="118" t="s">
        <v>48</v>
      </c>
      <c r="K27" s="107" t="s">
        <v>85</v>
      </c>
    </row>
    <row r="28" spans="1:11" ht="15" customHeight="1" x14ac:dyDescent="0.25">
      <c r="A28" s="113">
        <v>439384</v>
      </c>
      <c r="B28" s="114">
        <v>2158366</v>
      </c>
      <c r="C28" s="115" t="s">
        <v>42</v>
      </c>
      <c r="D28" s="115" t="s">
        <v>26</v>
      </c>
      <c r="E28" s="115" t="s">
        <v>27</v>
      </c>
      <c r="F28" s="116">
        <v>45658</v>
      </c>
      <c r="G28" s="120">
        <v>46113</v>
      </c>
      <c r="H28" s="115" t="s">
        <v>41</v>
      </c>
      <c r="I28" s="117">
        <v>28.92</v>
      </c>
      <c r="J28" s="118" t="s">
        <v>48</v>
      </c>
      <c r="K28" s="107" t="s">
        <v>85</v>
      </c>
    </row>
    <row r="29" spans="1:11" ht="15" customHeight="1" x14ac:dyDescent="0.25">
      <c r="A29" s="113">
        <v>442876</v>
      </c>
      <c r="B29" s="114">
        <v>2158366</v>
      </c>
      <c r="C29" s="115" t="s">
        <v>44</v>
      </c>
      <c r="D29" s="115" t="s">
        <v>26</v>
      </c>
      <c r="E29" s="115" t="s">
        <v>27</v>
      </c>
      <c r="F29" s="116">
        <v>45658</v>
      </c>
      <c r="G29" s="120">
        <v>46113</v>
      </c>
      <c r="H29" s="115" t="s">
        <v>41</v>
      </c>
      <c r="I29" s="117">
        <v>28.92</v>
      </c>
      <c r="J29" s="118" t="s">
        <v>48</v>
      </c>
      <c r="K29" s="107" t="s">
        <v>85</v>
      </c>
    </row>
    <row r="30" spans="1:11" ht="15" customHeight="1" x14ac:dyDescent="0.25">
      <c r="A30" s="113">
        <v>445341</v>
      </c>
      <c r="B30" s="114">
        <v>2158366</v>
      </c>
      <c r="C30" s="115" t="s">
        <v>45</v>
      </c>
      <c r="D30" s="115" t="s">
        <v>26</v>
      </c>
      <c r="E30" s="115" t="s">
        <v>27</v>
      </c>
      <c r="F30" s="116">
        <v>45658</v>
      </c>
      <c r="G30" s="120">
        <v>46113</v>
      </c>
      <c r="H30" s="115" t="s">
        <v>41</v>
      </c>
      <c r="I30" s="117">
        <v>28.92</v>
      </c>
      <c r="J30" s="118" t="s">
        <v>48</v>
      </c>
      <c r="K30" s="107" t="s">
        <v>85</v>
      </c>
    </row>
    <row r="31" spans="1:11" ht="15" customHeight="1" x14ac:dyDescent="0.25">
      <c r="A31" s="113">
        <v>448295</v>
      </c>
      <c r="B31" s="114">
        <v>19645587</v>
      </c>
      <c r="C31" s="115" t="s">
        <v>49</v>
      </c>
      <c r="D31" s="115" t="s">
        <v>26</v>
      </c>
      <c r="E31" s="115" t="s">
        <v>50</v>
      </c>
      <c r="F31" s="116">
        <v>45658</v>
      </c>
      <c r="G31" s="120">
        <v>46113</v>
      </c>
      <c r="H31" s="115" t="s">
        <v>41</v>
      </c>
      <c r="I31" s="117">
        <v>28.92</v>
      </c>
      <c r="J31" s="107" t="s">
        <v>80</v>
      </c>
      <c r="K31" s="107" t="s">
        <v>85</v>
      </c>
    </row>
    <row r="32" spans="1:11" ht="15" customHeight="1" x14ac:dyDescent="0.25">
      <c r="A32" s="113">
        <v>439914</v>
      </c>
      <c r="B32" s="114">
        <v>19645587</v>
      </c>
      <c r="C32" s="115" t="s">
        <v>51</v>
      </c>
      <c r="D32" s="115" t="s">
        <v>26</v>
      </c>
      <c r="E32" s="115" t="s">
        <v>27</v>
      </c>
      <c r="F32" s="116">
        <v>45658</v>
      </c>
      <c r="G32" s="120">
        <v>46113</v>
      </c>
      <c r="H32" s="115" t="s">
        <v>41</v>
      </c>
      <c r="I32" s="117">
        <v>28.92</v>
      </c>
      <c r="J32" s="107" t="s">
        <v>80</v>
      </c>
      <c r="K32" s="107" t="s">
        <v>85</v>
      </c>
    </row>
    <row r="33" spans="1:11" ht="15" customHeight="1" x14ac:dyDescent="0.25">
      <c r="A33" s="113">
        <v>444055</v>
      </c>
      <c r="B33" s="114">
        <v>19615078</v>
      </c>
      <c r="C33" s="115" t="s">
        <v>54</v>
      </c>
      <c r="D33" s="115" t="s">
        <v>26</v>
      </c>
      <c r="E33" s="115" t="s">
        <v>27</v>
      </c>
      <c r="F33" s="116">
        <v>45658</v>
      </c>
      <c r="G33" s="120">
        <v>46113</v>
      </c>
      <c r="H33" s="115" t="s">
        <v>41</v>
      </c>
      <c r="I33" s="117">
        <v>28.92</v>
      </c>
      <c r="J33" s="107" t="s">
        <v>81</v>
      </c>
      <c r="K33" s="107" t="s">
        <v>85</v>
      </c>
    </row>
    <row r="34" spans="1:11" ht="15" customHeight="1" x14ac:dyDescent="0.25">
      <c r="A34" s="108">
        <v>446535</v>
      </c>
      <c r="B34" s="109">
        <v>17301495</v>
      </c>
      <c r="C34" s="110" t="s">
        <v>57</v>
      </c>
      <c r="D34" s="110" t="s">
        <v>26</v>
      </c>
      <c r="E34" s="110" t="s">
        <v>27</v>
      </c>
      <c r="F34" s="111">
        <v>45658</v>
      </c>
      <c r="G34" s="119">
        <v>46113</v>
      </c>
      <c r="H34" s="110" t="s">
        <v>41</v>
      </c>
      <c r="I34" s="112">
        <v>28.92</v>
      </c>
      <c r="J34" s="107" t="s">
        <v>82</v>
      </c>
      <c r="K34" s="107" t="s">
        <v>85</v>
      </c>
    </row>
    <row r="35" spans="1:11" ht="15" customHeight="1" x14ac:dyDescent="0.25">
      <c r="A35" s="113">
        <v>447954</v>
      </c>
      <c r="B35" s="114">
        <v>16912722</v>
      </c>
      <c r="C35" s="115" t="s">
        <v>59</v>
      </c>
      <c r="D35" s="115" t="s">
        <v>26</v>
      </c>
      <c r="E35" s="115" t="s">
        <v>27</v>
      </c>
      <c r="F35" s="116">
        <v>45658</v>
      </c>
      <c r="G35" s="120">
        <v>46113</v>
      </c>
      <c r="H35" s="115" t="s">
        <v>41</v>
      </c>
      <c r="I35" s="117">
        <v>28.92</v>
      </c>
      <c r="J35" s="118" t="s">
        <v>63</v>
      </c>
      <c r="K35" s="107" t="s">
        <v>85</v>
      </c>
    </row>
    <row r="36" spans="1:11" ht="15" customHeight="1" x14ac:dyDescent="0.25">
      <c r="A36" s="113">
        <v>447955</v>
      </c>
      <c r="B36" s="114">
        <v>16912722</v>
      </c>
      <c r="C36" s="115" t="s">
        <v>60</v>
      </c>
      <c r="D36" s="115" t="s">
        <v>26</v>
      </c>
      <c r="E36" s="115" t="s">
        <v>27</v>
      </c>
      <c r="F36" s="116">
        <v>45658</v>
      </c>
      <c r="G36" s="120">
        <v>46113</v>
      </c>
      <c r="H36" s="115" t="s">
        <v>41</v>
      </c>
      <c r="I36" s="117">
        <v>28.92</v>
      </c>
      <c r="J36" s="118" t="s">
        <v>63</v>
      </c>
      <c r="K36" s="107" t="s">
        <v>85</v>
      </c>
    </row>
    <row r="37" spans="1:11" ht="15" customHeight="1" x14ac:dyDescent="0.25">
      <c r="A37" s="113">
        <v>448034</v>
      </c>
      <c r="B37" s="114">
        <v>16912722</v>
      </c>
      <c r="C37" s="115" t="s">
        <v>61</v>
      </c>
      <c r="D37" s="115" t="s">
        <v>26</v>
      </c>
      <c r="E37" s="115" t="s">
        <v>27</v>
      </c>
      <c r="F37" s="116">
        <v>45658</v>
      </c>
      <c r="G37" s="120">
        <v>46113</v>
      </c>
      <c r="H37" s="115" t="s">
        <v>41</v>
      </c>
      <c r="I37" s="117">
        <v>28.92</v>
      </c>
      <c r="J37" s="118" t="s">
        <v>63</v>
      </c>
      <c r="K37" s="107" t="s">
        <v>85</v>
      </c>
    </row>
    <row r="38" spans="1:11" ht="15" customHeight="1" x14ac:dyDescent="0.25">
      <c r="A38" s="113">
        <v>447701</v>
      </c>
      <c r="B38" s="114">
        <v>16912722</v>
      </c>
      <c r="C38" s="115" t="s">
        <v>62</v>
      </c>
      <c r="D38" s="115" t="s">
        <v>26</v>
      </c>
      <c r="E38" s="115" t="s">
        <v>27</v>
      </c>
      <c r="F38" s="116">
        <v>45658</v>
      </c>
      <c r="G38" s="120">
        <v>46113</v>
      </c>
      <c r="H38" s="115" t="s">
        <v>41</v>
      </c>
      <c r="I38" s="117">
        <v>28.92</v>
      </c>
      <c r="J38" s="118" t="s">
        <v>63</v>
      </c>
      <c r="K38" s="107" t="s">
        <v>85</v>
      </c>
    </row>
    <row r="39" spans="1:11" ht="15" customHeight="1" x14ac:dyDescent="0.25">
      <c r="A39" s="113">
        <v>446217</v>
      </c>
      <c r="B39" s="114">
        <v>16633294</v>
      </c>
      <c r="C39" s="115" t="s">
        <v>64</v>
      </c>
      <c r="D39" s="115" t="s">
        <v>26</v>
      </c>
      <c r="E39" s="115" t="s">
        <v>27</v>
      </c>
      <c r="F39" s="116">
        <v>45658</v>
      </c>
      <c r="G39" s="120">
        <v>46113</v>
      </c>
      <c r="H39" s="115" t="s">
        <v>41</v>
      </c>
      <c r="I39" s="117">
        <v>28.92</v>
      </c>
      <c r="J39" s="118" t="s">
        <v>73</v>
      </c>
      <c r="K39" s="107" t="s">
        <v>85</v>
      </c>
    </row>
    <row r="40" spans="1:11" ht="15" customHeight="1" x14ac:dyDescent="0.25">
      <c r="A40" s="113">
        <v>443292</v>
      </c>
      <c r="B40" s="114">
        <v>16633294</v>
      </c>
      <c r="C40" s="115" t="s">
        <v>65</v>
      </c>
      <c r="D40" s="115" t="s">
        <v>26</v>
      </c>
      <c r="E40" s="115" t="s">
        <v>27</v>
      </c>
      <c r="F40" s="116">
        <v>45658</v>
      </c>
      <c r="G40" s="120">
        <v>46113</v>
      </c>
      <c r="H40" s="115" t="s">
        <v>41</v>
      </c>
      <c r="I40" s="117">
        <v>28.92</v>
      </c>
      <c r="J40" s="118" t="s">
        <v>73</v>
      </c>
      <c r="K40" s="107" t="s">
        <v>85</v>
      </c>
    </row>
    <row r="41" spans="1:11" ht="15" customHeight="1" x14ac:dyDescent="0.25">
      <c r="A41" s="113">
        <v>443286</v>
      </c>
      <c r="B41" s="114">
        <v>16633294</v>
      </c>
      <c r="C41" s="115" t="s">
        <v>66</v>
      </c>
      <c r="D41" s="115" t="s">
        <v>26</v>
      </c>
      <c r="E41" s="115" t="s">
        <v>27</v>
      </c>
      <c r="F41" s="116">
        <v>45658</v>
      </c>
      <c r="G41" s="120">
        <v>46113</v>
      </c>
      <c r="H41" s="115" t="s">
        <v>41</v>
      </c>
      <c r="I41" s="117">
        <v>28.92</v>
      </c>
      <c r="J41" s="118" t="s">
        <v>73</v>
      </c>
      <c r="K41" s="107" t="s">
        <v>85</v>
      </c>
    </row>
    <row r="42" spans="1:11" ht="15" customHeight="1" x14ac:dyDescent="0.25">
      <c r="A42" s="113">
        <v>444212</v>
      </c>
      <c r="B42" s="114">
        <v>16633294</v>
      </c>
      <c r="C42" s="115" t="s">
        <v>67</v>
      </c>
      <c r="D42" s="115" t="s">
        <v>26</v>
      </c>
      <c r="E42" s="115" t="s">
        <v>27</v>
      </c>
      <c r="F42" s="116">
        <v>45658</v>
      </c>
      <c r="G42" s="120">
        <v>46113</v>
      </c>
      <c r="H42" s="115" t="s">
        <v>41</v>
      </c>
      <c r="I42" s="117">
        <v>28.92</v>
      </c>
      <c r="J42" s="118" t="s">
        <v>73</v>
      </c>
      <c r="K42" s="107" t="s">
        <v>85</v>
      </c>
    </row>
    <row r="43" spans="1:11" ht="15" customHeight="1" x14ac:dyDescent="0.25">
      <c r="A43" s="113">
        <v>443209</v>
      </c>
      <c r="B43" s="114">
        <v>16633294</v>
      </c>
      <c r="C43" s="115" t="s">
        <v>68</v>
      </c>
      <c r="D43" s="115" t="s">
        <v>26</v>
      </c>
      <c r="E43" s="115" t="s">
        <v>27</v>
      </c>
      <c r="F43" s="116">
        <v>45658</v>
      </c>
      <c r="G43" s="120">
        <v>46113</v>
      </c>
      <c r="H43" s="115" t="s">
        <v>41</v>
      </c>
      <c r="I43" s="117">
        <v>28.92</v>
      </c>
      <c r="J43" s="118" t="s">
        <v>73</v>
      </c>
      <c r="K43" s="107" t="s">
        <v>85</v>
      </c>
    </row>
    <row r="44" spans="1:11" ht="15" customHeight="1" x14ac:dyDescent="0.25">
      <c r="A44" s="113">
        <v>440990</v>
      </c>
      <c r="B44" s="114">
        <v>16633294</v>
      </c>
      <c r="C44" s="115" t="s">
        <v>69</v>
      </c>
      <c r="D44" s="115" t="s">
        <v>26</v>
      </c>
      <c r="E44" s="115" t="s">
        <v>27</v>
      </c>
      <c r="F44" s="116">
        <v>45658</v>
      </c>
      <c r="G44" s="120">
        <v>46113</v>
      </c>
      <c r="H44" s="115" t="s">
        <v>41</v>
      </c>
      <c r="I44" s="117">
        <v>28.92</v>
      </c>
      <c r="J44" s="118" t="s">
        <v>73</v>
      </c>
      <c r="K44" s="107" t="s">
        <v>85</v>
      </c>
    </row>
    <row r="45" spans="1:11" ht="15" customHeight="1" x14ac:dyDescent="0.25">
      <c r="A45" s="113">
        <v>445753</v>
      </c>
      <c r="B45" s="114">
        <v>16633294</v>
      </c>
      <c r="C45" s="115" t="s">
        <v>70</v>
      </c>
      <c r="D45" s="115" t="s">
        <v>26</v>
      </c>
      <c r="E45" s="115" t="s">
        <v>27</v>
      </c>
      <c r="F45" s="116">
        <v>45658</v>
      </c>
      <c r="G45" s="120">
        <v>46113</v>
      </c>
      <c r="H45" s="115" t="s">
        <v>41</v>
      </c>
      <c r="I45" s="117">
        <v>28.92</v>
      </c>
      <c r="J45" s="118" t="s">
        <v>73</v>
      </c>
      <c r="K45" s="107" t="s">
        <v>85</v>
      </c>
    </row>
    <row r="46" spans="1:11" ht="15" customHeight="1" x14ac:dyDescent="0.25">
      <c r="A46" s="113">
        <v>446673</v>
      </c>
      <c r="B46" s="114">
        <v>16633294</v>
      </c>
      <c r="C46" s="115" t="s">
        <v>71</v>
      </c>
      <c r="D46" s="115" t="s">
        <v>26</v>
      </c>
      <c r="E46" s="115" t="s">
        <v>27</v>
      </c>
      <c r="F46" s="116">
        <v>45658</v>
      </c>
      <c r="G46" s="120">
        <v>46113</v>
      </c>
      <c r="H46" s="115" t="s">
        <v>41</v>
      </c>
      <c r="I46" s="117">
        <v>28.92</v>
      </c>
      <c r="J46" s="118" t="s">
        <v>73</v>
      </c>
      <c r="K46" s="107" t="s">
        <v>85</v>
      </c>
    </row>
    <row r="47" spans="1:11" ht="15" customHeight="1" x14ac:dyDescent="0.25">
      <c r="A47" s="113">
        <v>447931</v>
      </c>
      <c r="B47" s="114">
        <v>16633294</v>
      </c>
      <c r="C47" s="115" t="s">
        <v>72</v>
      </c>
      <c r="D47" s="115" t="s">
        <v>26</v>
      </c>
      <c r="E47" s="115" t="s">
        <v>27</v>
      </c>
      <c r="F47" s="116">
        <v>45658</v>
      </c>
      <c r="G47" s="120">
        <v>46113</v>
      </c>
      <c r="H47" s="115" t="s">
        <v>41</v>
      </c>
      <c r="I47" s="117">
        <v>28.92</v>
      </c>
      <c r="J47" s="118" t="s">
        <v>73</v>
      </c>
      <c r="K47" s="107" t="s">
        <v>85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5015-4450-4B66-ADCE-E736983E84CC}">
  <dimension ref="A1:M117"/>
  <sheetViews>
    <sheetView tabSelected="1" topLeftCell="A9" workbookViewId="0">
      <selection activeCell="M2" sqref="M2:M47"/>
    </sheetView>
  </sheetViews>
  <sheetFormatPr defaultRowHeight="13.2" x14ac:dyDescent="0.25"/>
  <cols>
    <col min="1" max="2" width="13.33203125" style="123" customWidth="1"/>
    <col min="3" max="3" width="15.77734375" style="123" customWidth="1"/>
    <col min="4" max="4" width="23.5546875" style="123" customWidth="1"/>
    <col min="5" max="5" width="10.6640625" style="123" customWidth="1"/>
    <col min="6" max="6" width="13.109375" style="123" customWidth="1"/>
    <col min="7" max="7" width="12.88671875" style="123" customWidth="1"/>
    <col min="8" max="8" width="8.21875" style="123" customWidth="1"/>
    <col min="9" max="9" width="18.6640625" style="123" customWidth="1"/>
    <col min="10" max="10" width="16.44140625" style="123" customWidth="1"/>
    <col min="11" max="11" width="20.6640625" style="123" customWidth="1"/>
    <col min="12" max="12" width="18.6640625" style="123" bestFit="1" customWidth="1"/>
    <col min="13" max="16384" width="8.88671875" style="123"/>
  </cols>
  <sheetData>
    <row r="1" spans="1:12" ht="15" customHeight="1" x14ac:dyDescent="0.25">
      <c r="A1" s="121" t="s">
        <v>13</v>
      </c>
      <c r="B1" s="121"/>
      <c r="C1" s="121" t="s">
        <v>14</v>
      </c>
      <c r="D1" s="121" t="s">
        <v>15</v>
      </c>
      <c r="E1" s="121" t="s">
        <v>16</v>
      </c>
      <c r="F1" s="122" t="s">
        <v>17</v>
      </c>
      <c r="G1" s="122" t="s">
        <v>18</v>
      </c>
      <c r="H1" s="121" t="s">
        <v>21</v>
      </c>
      <c r="I1" s="122" t="s">
        <v>22</v>
      </c>
      <c r="J1" s="122" t="s">
        <v>24</v>
      </c>
    </row>
    <row r="2" spans="1:12" ht="15" customHeight="1" x14ac:dyDescent="0.3">
      <c r="A2" s="124">
        <v>475710</v>
      </c>
      <c r="B2" s="124" t="str">
        <f>_xlfn.CONCAT(A2,"OVR")</f>
        <v>475710OVR</v>
      </c>
      <c r="C2" s="130">
        <v>20411454</v>
      </c>
      <c r="D2" s="125" t="s">
        <v>25</v>
      </c>
      <c r="E2" s="125" t="s">
        <v>26</v>
      </c>
      <c r="F2" s="125" t="s">
        <v>27</v>
      </c>
      <c r="G2" s="126">
        <v>46113</v>
      </c>
      <c r="H2" s="127">
        <v>46113</v>
      </c>
      <c r="I2" s="125" t="s">
        <v>29</v>
      </c>
      <c r="J2" s="128">
        <v>280</v>
      </c>
      <c r="K2" s="123" t="s">
        <v>83</v>
      </c>
      <c r="L2" s="123" t="s">
        <v>86</v>
      </c>
    </row>
    <row r="3" spans="1:12" ht="15" customHeight="1" x14ac:dyDescent="0.3">
      <c r="A3" s="124">
        <v>449350</v>
      </c>
      <c r="B3" s="124" t="str">
        <f t="shared" ref="B3:B24" si="0">_xlfn.CONCAT(A3,"OVR")</f>
        <v>449350OVR</v>
      </c>
      <c r="C3" s="130">
        <v>20411454</v>
      </c>
      <c r="D3" s="125" t="s">
        <v>40</v>
      </c>
      <c r="E3" s="125" t="s">
        <v>26</v>
      </c>
      <c r="F3" s="125" t="s">
        <v>27</v>
      </c>
      <c r="G3" s="126">
        <v>45717</v>
      </c>
      <c r="H3" s="127">
        <v>46113</v>
      </c>
      <c r="I3" s="125" t="s">
        <v>41</v>
      </c>
      <c r="J3" s="128">
        <v>8.75</v>
      </c>
      <c r="K3" s="123" t="s">
        <v>83</v>
      </c>
      <c r="L3" s="123" t="s">
        <v>86</v>
      </c>
    </row>
    <row r="4" spans="1:12" ht="15" customHeight="1" x14ac:dyDescent="0.3">
      <c r="A4" s="124">
        <v>439384</v>
      </c>
      <c r="B4" s="124" t="str">
        <f t="shared" si="0"/>
        <v>439384OVR</v>
      </c>
      <c r="C4" s="130">
        <v>20411454</v>
      </c>
      <c r="D4" s="125" t="s">
        <v>42</v>
      </c>
      <c r="E4" s="125" t="s">
        <v>26</v>
      </c>
      <c r="F4" s="125" t="s">
        <v>27</v>
      </c>
      <c r="G4" s="126">
        <v>45658</v>
      </c>
      <c r="H4" s="127">
        <v>46113</v>
      </c>
      <c r="I4" s="125" t="s">
        <v>41</v>
      </c>
      <c r="J4" s="128">
        <v>8.75</v>
      </c>
      <c r="K4" s="123" t="s">
        <v>83</v>
      </c>
      <c r="L4" s="123" t="s">
        <v>86</v>
      </c>
    </row>
    <row r="5" spans="1:12" ht="15" customHeight="1" x14ac:dyDescent="0.3">
      <c r="A5" s="124">
        <v>439383</v>
      </c>
      <c r="B5" s="124" t="str">
        <f t="shared" si="0"/>
        <v>439383OVR</v>
      </c>
      <c r="C5" s="130">
        <v>20411454</v>
      </c>
      <c r="D5" s="125" t="s">
        <v>43</v>
      </c>
      <c r="E5" s="125" t="s">
        <v>26</v>
      </c>
      <c r="F5" s="125" t="s">
        <v>27</v>
      </c>
      <c r="G5" s="126">
        <v>45658</v>
      </c>
      <c r="H5" s="127">
        <v>46113</v>
      </c>
      <c r="I5" s="125" t="s">
        <v>41</v>
      </c>
      <c r="J5" s="128">
        <v>8.75</v>
      </c>
      <c r="K5" s="123" t="s">
        <v>83</v>
      </c>
      <c r="L5" s="123" t="s">
        <v>86</v>
      </c>
    </row>
    <row r="6" spans="1:12" ht="15" customHeight="1" x14ac:dyDescent="0.3">
      <c r="A6" s="124">
        <v>442876</v>
      </c>
      <c r="B6" s="124" t="str">
        <f t="shared" si="0"/>
        <v>442876OVR</v>
      </c>
      <c r="C6" s="130">
        <v>20411454</v>
      </c>
      <c r="D6" s="125" t="s">
        <v>44</v>
      </c>
      <c r="E6" s="125" t="s">
        <v>26</v>
      </c>
      <c r="F6" s="125" t="s">
        <v>27</v>
      </c>
      <c r="G6" s="126">
        <v>45658</v>
      </c>
      <c r="H6" s="127">
        <v>46113</v>
      </c>
      <c r="I6" s="125" t="s">
        <v>41</v>
      </c>
      <c r="J6" s="128">
        <v>8.75</v>
      </c>
      <c r="K6" s="123" t="s">
        <v>83</v>
      </c>
      <c r="L6" s="123" t="s">
        <v>86</v>
      </c>
    </row>
    <row r="7" spans="1:12" ht="15" customHeight="1" x14ac:dyDescent="0.3">
      <c r="A7" s="124">
        <v>445341</v>
      </c>
      <c r="B7" s="124" t="str">
        <f t="shared" si="0"/>
        <v>445341OVR</v>
      </c>
      <c r="C7" s="130">
        <v>20411454</v>
      </c>
      <c r="D7" s="125" t="s">
        <v>45</v>
      </c>
      <c r="E7" s="125" t="s">
        <v>26</v>
      </c>
      <c r="F7" s="125" t="s">
        <v>27</v>
      </c>
      <c r="G7" s="126">
        <v>45658</v>
      </c>
      <c r="H7" s="127">
        <v>46113</v>
      </c>
      <c r="I7" s="125" t="s">
        <v>41</v>
      </c>
      <c r="J7" s="128">
        <v>8.75</v>
      </c>
      <c r="K7" s="123" t="s">
        <v>83</v>
      </c>
      <c r="L7" s="123" t="s">
        <v>86</v>
      </c>
    </row>
    <row r="8" spans="1:12" ht="15" customHeight="1" x14ac:dyDescent="0.3">
      <c r="A8" s="124">
        <v>448295</v>
      </c>
      <c r="B8" s="124" t="str">
        <f t="shared" si="0"/>
        <v>448295OVR</v>
      </c>
      <c r="C8" s="130">
        <v>20411454</v>
      </c>
      <c r="D8" s="125" t="s">
        <v>49</v>
      </c>
      <c r="E8" s="125" t="s">
        <v>26</v>
      </c>
      <c r="F8" s="125" t="s">
        <v>50</v>
      </c>
      <c r="G8" s="126">
        <v>45658</v>
      </c>
      <c r="H8" s="127">
        <v>46113</v>
      </c>
      <c r="I8" s="125" t="s">
        <v>41</v>
      </c>
      <c r="J8" s="128">
        <v>8.75</v>
      </c>
      <c r="K8" s="123" t="s">
        <v>83</v>
      </c>
      <c r="L8" s="123" t="s">
        <v>86</v>
      </c>
    </row>
    <row r="9" spans="1:12" ht="15" customHeight="1" x14ac:dyDescent="0.3">
      <c r="A9" s="124">
        <v>439914</v>
      </c>
      <c r="B9" s="124" t="str">
        <f t="shared" si="0"/>
        <v>439914OVR</v>
      </c>
      <c r="C9" s="130">
        <v>20411454</v>
      </c>
      <c r="D9" s="125" t="s">
        <v>51</v>
      </c>
      <c r="E9" s="125" t="s">
        <v>26</v>
      </c>
      <c r="F9" s="125" t="s">
        <v>27</v>
      </c>
      <c r="G9" s="126">
        <v>45658</v>
      </c>
      <c r="H9" s="127">
        <v>46113</v>
      </c>
      <c r="I9" s="125" t="s">
        <v>41</v>
      </c>
      <c r="J9" s="128">
        <v>8.75</v>
      </c>
      <c r="K9" s="123" t="s">
        <v>83</v>
      </c>
      <c r="L9" s="123" t="s">
        <v>86</v>
      </c>
    </row>
    <row r="10" spans="1:12" ht="15" customHeight="1" x14ac:dyDescent="0.3">
      <c r="A10" s="124">
        <v>444055</v>
      </c>
      <c r="B10" s="124" t="str">
        <f t="shared" si="0"/>
        <v>444055OVR</v>
      </c>
      <c r="C10" s="130">
        <v>20411454</v>
      </c>
      <c r="D10" s="125" t="s">
        <v>54</v>
      </c>
      <c r="E10" s="125" t="s">
        <v>26</v>
      </c>
      <c r="F10" s="125" t="s">
        <v>27</v>
      </c>
      <c r="G10" s="126">
        <v>45658</v>
      </c>
      <c r="H10" s="127">
        <v>46113</v>
      </c>
      <c r="I10" s="125" t="s">
        <v>41</v>
      </c>
      <c r="J10" s="128">
        <v>8.75</v>
      </c>
      <c r="K10" s="123" t="s">
        <v>83</v>
      </c>
      <c r="L10" s="123" t="s">
        <v>86</v>
      </c>
    </row>
    <row r="11" spans="1:12" ht="15" customHeight="1" x14ac:dyDescent="0.3">
      <c r="A11" s="124">
        <v>446535</v>
      </c>
      <c r="B11" s="124" t="str">
        <f t="shared" si="0"/>
        <v>446535OVR</v>
      </c>
      <c r="C11" s="130">
        <v>20411454</v>
      </c>
      <c r="D11" s="125" t="s">
        <v>57</v>
      </c>
      <c r="E11" s="125" t="s">
        <v>26</v>
      </c>
      <c r="F11" s="125" t="s">
        <v>27</v>
      </c>
      <c r="G11" s="126">
        <v>45658</v>
      </c>
      <c r="H11" s="127">
        <v>46113</v>
      </c>
      <c r="I11" s="125" t="s">
        <v>41</v>
      </c>
      <c r="J11" s="128">
        <v>8.75</v>
      </c>
      <c r="K11" s="123" t="s">
        <v>83</v>
      </c>
      <c r="L11" s="123" t="s">
        <v>86</v>
      </c>
    </row>
    <row r="12" spans="1:12" ht="15" customHeight="1" x14ac:dyDescent="0.3">
      <c r="A12" s="124">
        <v>447954</v>
      </c>
      <c r="B12" s="124" t="str">
        <f t="shared" si="0"/>
        <v>447954OVR</v>
      </c>
      <c r="C12" s="130">
        <v>20411454</v>
      </c>
      <c r="D12" s="125" t="s">
        <v>59</v>
      </c>
      <c r="E12" s="125" t="s">
        <v>26</v>
      </c>
      <c r="F12" s="125" t="s">
        <v>27</v>
      </c>
      <c r="G12" s="126">
        <v>45658</v>
      </c>
      <c r="H12" s="127">
        <v>46113</v>
      </c>
      <c r="I12" s="125" t="s">
        <v>41</v>
      </c>
      <c r="J12" s="128">
        <v>8.75</v>
      </c>
      <c r="K12" s="123" t="s">
        <v>83</v>
      </c>
      <c r="L12" s="123" t="s">
        <v>86</v>
      </c>
    </row>
    <row r="13" spans="1:12" ht="15" customHeight="1" x14ac:dyDescent="0.3">
      <c r="A13" s="124">
        <v>447955</v>
      </c>
      <c r="B13" s="124" t="str">
        <f t="shared" si="0"/>
        <v>447955OVR</v>
      </c>
      <c r="C13" s="130">
        <v>20411454</v>
      </c>
      <c r="D13" s="125" t="s">
        <v>60</v>
      </c>
      <c r="E13" s="125" t="s">
        <v>26</v>
      </c>
      <c r="F13" s="125" t="s">
        <v>27</v>
      </c>
      <c r="G13" s="126">
        <v>45658</v>
      </c>
      <c r="H13" s="127">
        <v>46113</v>
      </c>
      <c r="I13" s="125" t="s">
        <v>41</v>
      </c>
      <c r="J13" s="128">
        <v>8.75</v>
      </c>
      <c r="K13" s="123" t="s">
        <v>83</v>
      </c>
      <c r="L13" s="123" t="s">
        <v>86</v>
      </c>
    </row>
    <row r="14" spans="1:12" ht="15" customHeight="1" x14ac:dyDescent="0.3">
      <c r="A14" s="124">
        <v>448034</v>
      </c>
      <c r="B14" s="124" t="str">
        <f t="shared" si="0"/>
        <v>448034OVR</v>
      </c>
      <c r="C14" s="130">
        <v>20411454</v>
      </c>
      <c r="D14" s="125" t="s">
        <v>61</v>
      </c>
      <c r="E14" s="125" t="s">
        <v>26</v>
      </c>
      <c r="F14" s="125" t="s">
        <v>27</v>
      </c>
      <c r="G14" s="126">
        <v>45658</v>
      </c>
      <c r="H14" s="127">
        <v>46113</v>
      </c>
      <c r="I14" s="125" t="s">
        <v>41</v>
      </c>
      <c r="J14" s="128">
        <v>8.75</v>
      </c>
      <c r="K14" s="123" t="s">
        <v>83</v>
      </c>
      <c r="L14" s="123" t="s">
        <v>86</v>
      </c>
    </row>
    <row r="15" spans="1:12" ht="15" customHeight="1" x14ac:dyDescent="0.3">
      <c r="A15" s="124">
        <v>447701</v>
      </c>
      <c r="B15" s="124" t="str">
        <f t="shared" si="0"/>
        <v>447701OVR</v>
      </c>
      <c r="C15" s="130">
        <v>20411454</v>
      </c>
      <c r="D15" s="125" t="s">
        <v>62</v>
      </c>
      <c r="E15" s="125" t="s">
        <v>26</v>
      </c>
      <c r="F15" s="125" t="s">
        <v>27</v>
      </c>
      <c r="G15" s="126">
        <v>45658</v>
      </c>
      <c r="H15" s="127">
        <v>46113</v>
      </c>
      <c r="I15" s="125" t="s">
        <v>41</v>
      </c>
      <c r="J15" s="128">
        <v>8.75</v>
      </c>
      <c r="K15" s="123" t="s">
        <v>83</v>
      </c>
      <c r="L15" s="123" t="s">
        <v>86</v>
      </c>
    </row>
    <row r="16" spans="1:12" ht="15" customHeight="1" x14ac:dyDescent="0.3">
      <c r="A16" s="124">
        <v>446217</v>
      </c>
      <c r="B16" s="124" t="str">
        <f t="shared" si="0"/>
        <v>446217OVR</v>
      </c>
      <c r="C16" s="130">
        <v>20411454</v>
      </c>
      <c r="D16" s="125" t="s">
        <v>64</v>
      </c>
      <c r="E16" s="125" t="s">
        <v>26</v>
      </c>
      <c r="F16" s="125" t="s">
        <v>27</v>
      </c>
      <c r="G16" s="126">
        <v>45658</v>
      </c>
      <c r="H16" s="127">
        <v>46113</v>
      </c>
      <c r="I16" s="125" t="s">
        <v>41</v>
      </c>
      <c r="J16" s="128">
        <v>8.75</v>
      </c>
      <c r="K16" s="123" t="s">
        <v>83</v>
      </c>
      <c r="L16" s="123" t="s">
        <v>86</v>
      </c>
    </row>
    <row r="17" spans="1:13" ht="15" customHeight="1" x14ac:dyDescent="0.3">
      <c r="A17" s="124">
        <v>443292</v>
      </c>
      <c r="B17" s="124" t="str">
        <f t="shared" si="0"/>
        <v>443292OVR</v>
      </c>
      <c r="C17" s="130">
        <v>20411454</v>
      </c>
      <c r="D17" s="125" t="s">
        <v>65</v>
      </c>
      <c r="E17" s="125" t="s">
        <v>26</v>
      </c>
      <c r="F17" s="125" t="s">
        <v>27</v>
      </c>
      <c r="G17" s="126">
        <v>45658</v>
      </c>
      <c r="H17" s="127">
        <v>46113</v>
      </c>
      <c r="I17" s="125" t="s">
        <v>41</v>
      </c>
      <c r="J17" s="128">
        <v>8.75</v>
      </c>
      <c r="K17" s="123" t="s">
        <v>83</v>
      </c>
      <c r="L17" s="123" t="s">
        <v>86</v>
      </c>
    </row>
    <row r="18" spans="1:13" ht="15" customHeight="1" x14ac:dyDescent="0.3">
      <c r="A18" s="124">
        <v>443286</v>
      </c>
      <c r="B18" s="124" t="str">
        <f t="shared" si="0"/>
        <v>443286OVR</v>
      </c>
      <c r="C18" s="130">
        <v>20411454</v>
      </c>
      <c r="D18" s="125" t="s">
        <v>66</v>
      </c>
      <c r="E18" s="125" t="s">
        <v>26</v>
      </c>
      <c r="F18" s="125" t="s">
        <v>27</v>
      </c>
      <c r="G18" s="126">
        <v>45658</v>
      </c>
      <c r="H18" s="127">
        <v>46113</v>
      </c>
      <c r="I18" s="125" t="s">
        <v>41</v>
      </c>
      <c r="J18" s="128">
        <v>8.75</v>
      </c>
      <c r="K18" s="123" t="s">
        <v>83</v>
      </c>
      <c r="L18" s="123" t="s">
        <v>86</v>
      </c>
    </row>
    <row r="19" spans="1:13" ht="15" customHeight="1" x14ac:dyDescent="0.3">
      <c r="A19" s="124">
        <v>444212</v>
      </c>
      <c r="B19" s="124" t="str">
        <f t="shared" si="0"/>
        <v>444212OVR</v>
      </c>
      <c r="C19" s="130">
        <v>20411454</v>
      </c>
      <c r="D19" s="125" t="s">
        <v>67</v>
      </c>
      <c r="E19" s="125" t="s">
        <v>26</v>
      </c>
      <c r="F19" s="125" t="s">
        <v>27</v>
      </c>
      <c r="G19" s="126">
        <v>45658</v>
      </c>
      <c r="H19" s="127">
        <v>46113</v>
      </c>
      <c r="I19" s="125" t="s">
        <v>41</v>
      </c>
      <c r="J19" s="128">
        <v>8.75</v>
      </c>
      <c r="K19" s="123" t="s">
        <v>83</v>
      </c>
      <c r="L19" s="123" t="s">
        <v>86</v>
      </c>
    </row>
    <row r="20" spans="1:13" ht="15" customHeight="1" x14ac:dyDescent="0.3">
      <c r="A20" s="124">
        <v>443209</v>
      </c>
      <c r="B20" s="124" t="str">
        <f t="shared" si="0"/>
        <v>443209OVR</v>
      </c>
      <c r="C20" s="130">
        <v>20411454</v>
      </c>
      <c r="D20" s="125" t="s">
        <v>68</v>
      </c>
      <c r="E20" s="125" t="s">
        <v>26</v>
      </c>
      <c r="F20" s="125" t="s">
        <v>27</v>
      </c>
      <c r="G20" s="126">
        <v>45658</v>
      </c>
      <c r="H20" s="127">
        <v>46113</v>
      </c>
      <c r="I20" s="125" t="s">
        <v>41</v>
      </c>
      <c r="J20" s="128">
        <v>8.75</v>
      </c>
      <c r="K20" s="123" t="s">
        <v>83</v>
      </c>
      <c r="L20" s="123" t="s">
        <v>86</v>
      </c>
    </row>
    <row r="21" spans="1:13" ht="15" customHeight="1" x14ac:dyDescent="0.3">
      <c r="A21" s="124">
        <v>440990</v>
      </c>
      <c r="B21" s="124" t="str">
        <f t="shared" si="0"/>
        <v>440990OVR</v>
      </c>
      <c r="C21" s="130">
        <v>20411454</v>
      </c>
      <c r="D21" s="125" t="s">
        <v>69</v>
      </c>
      <c r="E21" s="125" t="s">
        <v>26</v>
      </c>
      <c r="F21" s="125" t="s">
        <v>27</v>
      </c>
      <c r="G21" s="126">
        <v>45658</v>
      </c>
      <c r="H21" s="127">
        <v>46113</v>
      </c>
      <c r="I21" s="125" t="s">
        <v>41</v>
      </c>
      <c r="J21" s="128">
        <v>8.75</v>
      </c>
      <c r="K21" s="123" t="s">
        <v>83</v>
      </c>
      <c r="L21" s="123" t="s">
        <v>86</v>
      </c>
    </row>
    <row r="22" spans="1:13" ht="15" customHeight="1" x14ac:dyDescent="0.3">
      <c r="A22" s="124">
        <v>445753</v>
      </c>
      <c r="B22" s="124" t="str">
        <f t="shared" si="0"/>
        <v>445753OVR</v>
      </c>
      <c r="C22" s="130">
        <v>20411454</v>
      </c>
      <c r="D22" s="125" t="s">
        <v>70</v>
      </c>
      <c r="E22" s="125" t="s">
        <v>26</v>
      </c>
      <c r="F22" s="125" t="s">
        <v>27</v>
      </c>
      <c r="G22" s="126">
        <v>45658</v>
      </c>
      <c r="H22" s="127">
        <v>46113</v>
      </c>
      <c r="I22" s="125" t="s">
        <v>41</v>
      </c>
      <c r="J22" s="128">
        <v>8.75</v>
      </c>
      <c r="K22" s="123" t="s">
        <v>83</v>
      </c>
      <c r="L22" s="123" t="s">
        <v>86</v>
      </c>
    </row>
    <row r="23" spans="1:13" ht="15" customHeight="1" x14ac:dyDescent="0.3">
      <c r="A23" s="124">
        <v>446673</v>
      </c>
      <c r="B23" s="124" t="str">
        <f t="shared" si="0"/>
        <v>446673OVR</v>
      </c>
      <c r="C23" s="130">
        <v>20411454</v>
      </c>
      <c r="D23" s="125" t="s">
        <v>71</v>
      </c>
      <c r="E23" s="125" t="s">
        <v>26</v>
      </c>
      <c r="F23" s="125" t="s">
        <v>27</v>
      </c>
      <c r="G23" s="126">
        <v>45658</v>
      </c>
      <c r="H23" s="127">
        <v>46113</v>
      </c>
      <c r="I23" s="125" t="s">
        <v>41</v>
      </c>
      <c r="J23" s="128">
        <v>8.75</v>
      </c>
      <c r="K23" s="123" t="s">
        <v>83</v>
      </c>
      <c r="L23" s="123" t="s">
        <v>86</v>
      </c>
    </row>
    <row r="24" spans="1:13" ht="15" customHeight="1" x14ac:dyDescent="0.3">
      <c r="A24" s="124">
        <v>447931</v>
      </c>
      <c r="B24" s="124" t="str">
        <f t="shared" si="0"/>
        <v>447931OVR</v>
      </c>
      <c r="C24" s="130">
        <v>20411454</v>
      </c>
      <c r="D24" s="125" t="s">
        <v>72</v>
      </c>
      <c r="E24" s="125" t="s">
        <v>26</v>
      </c>
      <c r="F24" s="125" t="s">
        <v>27</v>
      </c>
      <c r="G24" s="126">
        <v>45658</v>
      </c>
      <c r="H24" s="127">
        <v>46113</v>
      </c>
      <c r="I24" s="125" t="s">
        <v>41</v>
      </c>
      <c r="J24" s="128">
        <v>8.75</v>
      </c>
      <c r="K24" s="123" t="s">
        <v>83</v>
      </c>
      <c r="L24" s="123" t="s">
        <v>86</v>
      </c>
    </row>
    <row r="25" spans="1:13" ht="15" customHeight="1" x14ac:dyDescent="0.3">
      <c r="A25" s="124">
        <v>475710</v>
      </c>
      <c r="B25" s="124" t="str">
        <f>_xlfn.CONCAT(A25,33)</f>
        <v>47571033</v>
      </c>
      <c r="C25" s="130">
        <v>8814784</v>
      </c>
      <c r="D25" s="125" t="s">
        <v>25</v>
      </c>
      <c r="E25" s="125" t="s">
        <v>26</v>
      </c>
      <c r="F25" s="125" t="s">
        <v>27</v>
      </c>
      <c r="G25" s="126">
        <v>46113</v>
      </c>
      <c r="H25" s="127">
        <v>46113</v>
      </c>
      <c r="I25" s="125" t="s">
        <v>29</v>
      </c>
      <c r="J25" s="128">
        <v>694</v>
      </c>
      <c r="K25" s="123" t="s">
        <v>79</v>
      </c>
      <c r="L25" s="123" t="s">
        <v>84</v>
      </c>
      <c r="M25" s="129" t="s">
        <v>88</v>
      </c>
    </row>
    <row r="26" spans="1:13" ht="15" customHeight="1" x14ac:dyDescent="0.3">
      <c r="A26" s="124">
        <v>449350</v>
      </c>
      <c r="B26" s="124" t="str">
        <f>_xlfn.CONCAT(A26,22)</f>
        <v>44935022</v>
      </c>
      <c r="C26" s="130">
        <v>2158366</v>
      </c>
      <c r="D26" s="125" t="s">
        <v>40</v>
      </c>
      <c r="E26" s="125" t="s">
        <v>26</v>
      </c>
      <c r="F26" s="125" t="s">
        <v>27</v>
      </c>
      <c r="G26" s="126">
        <v>45717</v>
      </c>
      <c r="H26" s="127">
        <v>46113</v>
      </c>
      <c r="I26" s="125" t="s">
        <v>41</v>
      </c>
      <c r="J26" s="128">
        <v>28.92</v>
      </c>
      <c r="K26" s="121" t="s">
        <v>48</v>
      </c>
      <c r="L26" s="123" t="s">
        <v>85</v>
      </c>
      <c r="M26" s="123" t="s">
        <v>87</v>
      </c>
    </row>
    <row r="27" spans="1:13" ht="15" customHeight="1" x14ac:dyDescent="0.3">
      <c r="A27" s="124">
        <v>439383</v>
      </c>
      <c r="B27" s="124" t="str">
        <f t="shared" ref="B27:B47" si="1">_xlfn.CONCAT(A27,22)</f>
        <v>43938322</v>
      </c>
      <c r="C27" s="130">
        <v>2158366</v>
      </c>
      <c r="D27" s="125" t="s">
        <v>43</v>
      </c>
      <c r="E27" s="125" t="s">
        <v>26</v>
      </c>
      <c r="F27" s="125" t="s">
        <v>27</v>
      </c>
      <c r="G27" s="126">
        <v>45658</v>
      </c>
      <c r="H27" s="127">
        <v>46113</v>
      </c>
      <c r="I27" s="125" t="s">
        <v>41</v>
      </c>
      <c r="J27" s="128">
        <v>28.92</v>
      </c>
      <c r="K27" s="121" t="s">
        <v>48</v>
      </c>
      <c r="L27" s="123" t="s">
        <v>85</v>
      </c>
      <c r="M27" s="123" t="s">
        <v>87</v>
      </c>
    </row>
    <row r="28" spans="1:13" ht="15" customHeight="1" x14ac:dyDescent="0.3">
      <c r="A28" s="124">
        <v>439384</v>
      </c>
      <c r="B28" s="124" t="str">
        <f t="shared" si="1"/>
        <v>43938422</v>
      </c>
      <c r="C28" s="130">
        <v>2158366</v>
      </c>
      <c r="D28" s="125" t="s">
        <v>42</v>
      </c>
      <c r="E28" s="125" t="s">
        <v>26</v>
      </c>
      <c r="F28" s="125" t="s">
        <v>27</v>
      </c>
      <c r="G28" s="126">
        <v>45658</v>
      </c>
      <c r="H28" s="127">
        <v>46113</v>
      </c>
      <c r="I28" s="125" t="s">
        <v>41</v>
      </c>
      <c r="J28" s="128">
        <v>28.92</v>
      </c>
      <c r="K28" s="121" t="s">
        <v>48</v>
      </c>
      <c r="L28" s="123" t="s">
        <v>85</v>
      </c>
      <c r="M28" s="123" t="s">
        <v>87</v>
      </c>
    </row>
    <row r="29" spans="1:13" ht="15" customHeight="1" x14ac:dyDescent="0.3">
      <c r="A29" s="124">
        <v>442876</v>
      </c>
      <c r="B29" s="124" t="str">
        <f t="shared" si="1"/>
        <v>44287622</v>
      </c>
      <c r="C29" s="130">
        <v>2158366</v>
      </c>
      <c r="D29" s="125" t="s">
        <v>44</v>
      </c>
      <c r="E29" s="125" t="s">
        <v>26</v>
      </c>
      <c r="F29" s="125" t="s">
        <v>27</v>
      </c>
      <c r="G29" s="126">
        <v>45658</v>
      </c>
      <c r="H29" s="127">
        <v>46113</v>
      </c>
      <c r="I29" s="125" t="s">
        <v>41</v>
      </c>
      <c r="J29" s="128">
        <v>28.92</v>
      </c>
      <c r="K29" s="121" t="s">
        <v>48</v>
      </c>
      <c r="L29" s="123" t="s">
        <v>85</v>
      </c>
      <c r="M29" s="123" t="s">
        <v>87</v>
      </c>
    </row>
    <row r="30" spans="1:13" ht="15" customHeight="1" x14ac:dyDescent="0.3">
      <c r="A30" s="124">
        <v>445341</v>
      </c>
      <c r="B30" s="124" t="str">
        <f t="shared" si="1"/>
        <v>44534122</v>
      </c>
      <c r="C30" s="130">
        <v>2158366</v>
      </c>
      <c r="D30" s="125" t="s">
        <v>45</v>
      </c>
      <c r="E30" s="125" t="s">
        <v>26</v>
      </c>
      <c r="F30" s="125" t="s">
        <v>27</v>
      </c>
      <c r="G30" s="126">
        <v>45658</v>
      </c>
      <c r="H30" s="127">
        <v>46113</v>
      </c>
      <c r="I30" s="125" t="s">
        <v>41</v>
      </c>
      <c r="J30" s="128">
        <v>28.92</v>
      </c>
      <c r="K30" s="121" t="s">
        <v>48</v>
      </c>
      <c r="L30" s="123" t="s">
        <v>85</v>
      </c>
      <c r="M30" s="123" t="s">
        <v>87</v>
      </c>
    </row>
    <row r="31" spans="1:13" ht="15" customHeight="1" x14ac:dyDescent="0.3">
      <c r="A31" s="124">
        <v>448295</v>
      </c>
      <c r="B31" s="124" t="str">
        <f t="shared" si="1"/>
        <v>44829522</v>
      </c>
      <c r="C31" s="130">
        <v>19645587</v>
      </c>
      <c r="D31" s="125" t="s">
        <v>49</v>
      </c>
      <c r="E31" s="125" t="s">
        <v>26</v>
      </c>
      <c r="F31" s="125" t="s">
        <v>50</v>
      </c>
      <c r="G31" s="126">
        <v>45658</v>
      </c>
      <c r="H31" s="127">
        <v>46113</v>
      </c>
      <c r="I31" s="125" t="s">
        <v>41</v>
      </c>
      <c r="J31" s="128">
        <v>28.92</v>
      </c>
      <c r="K31" s="123" t="s">
        <v>80</v>
      </c>
      <c r="L31" s="123" t="s">
        <v>85</v>
      </c>
      <c r="M31" s="123" t="s">
        <v>87</v>
      </c>
    </row>
    <row r="32" spans="1:13" ht="15" customHeight="1" x14ac:dyDescent="0.3">
      <c r="A32" s="124">
        <v>439914</v>
      </c>
      <c r="B32" s="124" t="str">
        <f t="shared" si="1"/>
        <v>43991422</v>
      </c>
      <c r="C32" s="130">
        <v>19645587</v>
      </c>
      <c r="D32" s="125" t="s">
        <v>51</v>
      </c>
      <c r="E32" s="125" t="s">
        <v>26</v>
      </c>
      <c r="F32" s="125" t="s">
        <v>27</v>
      </c>
      <c r="G32" s="126">
        <v>45658</v>
      </c>
      <c r="H32" s="127">
        <v>46113</v>
      </c>
      <c r="I32" s="125" t="s">
        <v>41</v>
      </c>
      <c r="J32" s="128">
        <v>28.92</v>
      </c>
      <c r="K32" s="123" t="s">
        <v>80</v>
      </c>
      <c r="L32" s="123" t="s">
        <v>85</v>
      </c>
      <c r="M32" s="123" t="s">
        <v>87</v>
      </c>
    </row>
    <row r="33" spans="1:13" ht="15" customHeight="1" x14ac:dyDescent="0.3">
      <c r="A33" s="124">
        <v>444055</v>
      </c>
      <c r="B33" s="124" t="str">
        <f t="shared" si="1"/>
        <v>44405522</v>
      </c>
      <c r="C33" s="130">
        <v>19615078</v>
      </c>
      <c r="D33" s="125" t="s">
        <v>54</v>
      </c>
      <c r="E33" s="125" t="s">
        <v>26</v>
      </c>
      <c r="F33" s="125" t="s">
        <v>27</v>
      </c>
      <c r="G33" s="126">
        <v>45658</v>
      </c>
      <c r="H33" s="127">
        <v>46113</v>
      </c>
      <c r="I33" s="125" t="s">
        <v>41</v>
      </c>
      <c r="J33" s="128">
        <v>28.92</v>
      </c>
      <c r="K33" s="123" t="s">
        <v>81</v>
      </c>
      <c r="L33" s="123" t="s">
        <v>85</v>
      </c>
      <c r="M33" s="123" t="s">
        <v>87</v>
      </c>
    </row>
    <row r="34" spans="1:13" ht="15" customHeight="1" x14ac:dyDescent="0.3">
      <c r="A34" s="124">
        <v>446535</v>
      </c>
      <c r="B34" s="124" t="str">
        <f t="shared" si="1"/>
        <v>44653522</v>
      </c>
      <c r="C34" s="130">
        <v>17301495</v>
      </c>
      <c r="D34" s="125" t="s">
        <v>57</v>
      </c>
      <c r="E34" s="125" t="s">
        <v>26</v>
      </c>
      <c r="F34" s="125" t="s">
        <v>27</v>
      </c>
      <c r="G34" s="126">
        <v>45658</v>
      </c>
      <c r="H34" s="127">
        <v>46113</v>
      </c>
      <c r="I34" s="125" t="s">
        <v>41</v>
      </c>
      <c r="J34" s="128">
        <v>28.92</v>
      </c>
      <c r="K34" s="123" t="s">
        <v>82</v>
      </c>
      <c r="L34" s="123" t="s">
        <v>85</v>
      </c>
      <c r="M34" s="123" t="s">
        <v>87</v>
      </c>
    </row>
    <row r="35" spans="1:13" ht="15" customHeight="1" x14ac:dyDescent="0.3">
      <c r="A35" s="124">
        <v>447954</v>
      </c>
      <c r="B35" s="124" t="str">
        <f t="shared" si="1"/>
        <v>44795422</v>
      </c>
      <c r="C35" s="130">
        <v>16912722</v>
      </c>
      <c r="D35" s="125" t="s">
        <v>59</v>
      </c>
      <c r="E35" s="125" t="s">
        <v>26</v>
      </c>
      <c r="F35" s="125" t="s">
        <v>27</v>
      </c>
      <c r="G35" s="126">
        <v>45658</v>
      </c>
      <c r="H35" s="127">
        <v>46113</v>
      </c>
      <c r="I35" s="125" t="s">
        <v>41</v>
      </c>
      <c r="J35" s="128">
        <v>28.92</v>
      </c>
      <c r="K35" s="121" t="s">
        <v>63</v>
      </c>
      <c r="L35" s="123" t="s">
        <v>85</v>
      </c>
      <c r="M35" s="123" t="s">
        <v>87</v>
      </c>
    </row>
    <row r="36" spans="1:13" ht="15" customHeight="1" x14ac:dyDescent="0.3">
      <c r="A36" s="124">
        <v>447955</v>
      </c>
      <c r="B36" s="124" t="str">
        <f t="shared" si="1"/>
        <v>44795522</v>
      </c>
      <c r="C36" s="130">
        <v>16912722</v>
      </c>
      <c r="D36" s="125" t="s">
        <v>60</v>
      </c>
      <c r="E36" s="125" t="s">
        <v>26</v>
      </c>
      <c r="F36" s="125" t="s">
        <v>27</v>
      </c>
      <c r="G36" s="126">
        <v>45658</v>
      </c>
      <c r="H36" s="127">
        <v>46113</v>
      </c>
      <c r="I36" s="125" t="s">
        <v>41</v>
      </c>
      <c r="J36" s="128">
        <v>28.92</v>
      </c>
      <c r="K36" s="121" t="s">
        <v>63</v>
      </c>
      <c r="L36" s="123" t="s">
        <v>85</v>
      </c>
      <c r="M36" s="123" t="s">
        <v>87</v>
      </c>
    </row>
    <row r="37" spans="1:13" ht="15" customHeight="1" x14ac:dyDescent="0.3">
      <c r="A37" s="124">
        <v>448034</v>
      </c>
      <c r="B37" s="124" t="str">
        <f t="shared" si="1"/>
        <v>44803422</v>
      </c>
      <c r="C37" s="130">
        <v>16912722</v>
      </c>
      <c r="D37" s="125" t="s">
        <v>61</v>
      </c>
      <c r="E37" s="125" t="s">
        <v>26</v>
      </c>
      <c r="F37" s="125" t="s">
        <v>27</v>
      </c>
      <c r="G37" s="126">
        <v>45658</v>
      </c>
      <c r="H37" s="127">
        <v>46113</v>
      </c>
      <c r="I37" s="125" t="s">
        <v>41</v>
      </c>
      <c r="J37" s="128">
        <v>28.92</v>
      </c>
      <c r="K37" s="121" t="s">
        <v>63</v>
      </c>
      <c r="L37" s="123" t="s">
        <v>85</v>
      </c>
      <c r="M37" s="123" t="s">
        <v>87</v>
      </c>
    </row>
    <row r="38" spans="1:13" ht="15" customHeight="1" x14ac:dyDescent="0.3">
      <c r="A38" s="124">
        <v>447701</v>
      </c>
      <c r="B38" s="124" t="str">
        <f t="shared" si="1"/>
        <v>44770122</v>
      </c>
      <c r="C38" s="130">
        <v>16912722</v>
      </c>
      <c r="D38" s="125" t="s">
        <v>62</v>
      </c>
      <c r="E38" s="125" t="s">
        <v>26</v>
      </c>
      <c r="F38" s="125" t="s">
        <v>27</v>
      </c>
      <c r="G38" s="126">
        <v>45658</v>
      </c>
      <c r="H38" s="127">
        <v>46113</v>
      </c>
      <c r="I38" s="125" t="s">
        <v>41</v>
      </c>
      <c r="J38" s="128">
        <v>28.92</v>
      </c>
      <c r="K38" s="121" t="s">
        <v>63</v>
      </c>
      <c r="L38" s="123" t="s">
        <v>85</v>
      </c>
      <c r="M38" s="123" t="s">
        <v>87</v>
      </c>
    </row>
    <row r="39" spans="1:13" ht="15" customHeight="1" x14ac:dyDescent="0.3">
      <c r="A39" s="124">
        <v>446217</v>
      </c>
      <c r="B39" s="124" t="str">
        <f t="shared" si="1"/>
        <v>44621722</v>
      </c>
      <c r="C39" s="130">
        <v>16633294</v>
      </c>
      <c r="D39" s="125" t="s">
        <v>64</v>
      </c>
      <c r="E39" s="125" t="s">
        <v>26</v>
      </c>
      <c r="F39" s="125" t="s">
        <v>27</v>
      </c>
      <c r="G39" s="126">
        <v>45658</v>
      </c>
      <c r="H39" s="127">
        <v>46113</v>
      </c>
      <c r="I39" s="125" t="s">
        <v>41</v>
      </c>
      <c r="J39" s="128">
        <v>28.92</v>
      </c>
      <c r="K39" s="121" t="s">
        <v>73</v>
      </c>
      <c r="L39" s="123" t="s">
        <v>85</v>
      </c>
      <c r="M39" s="123" t="s">
        <v>87</v>
      </c>
    </row>
    <row r="40" spans="1:13" ht="15" customHeight="1" x14ac:dyDescent="0.3">
      <c r="A40" s="124">
        <v>443292</v>
      </c>
      <c r="B40" s="124" t="str">
        <f t="shared" si="1"/>
        <v>44329222</v>
      </c>
      <c r="C40" s="130">
        <v>16633294</v>
      </c>
      <c r="D40" s="125" t="s">
        <v>65</v>
      </c>
      <c r="E40" s="125" t="s">
        <v>26</v>
      </c>
      <c r="F40" s="125" t="s">
        <v>27</v>
      </c>
      <c r="G40" s="126">
        <v>45658</v>
      </c>
      <c r="H40" s="127">
        <v>46113</v>
      </c>
      <c r="I40" s="125" t="s">
        <v>41</v>
      </c>
      <c r="J40" s="128">
        <v>28.92</v>
      </c>
      <c r="K40" s="121" t="s">
        <v>73</v>
      </c>
      <c r="L40" s="123" t="s">
        <v>85</v>
      </c>
      <c r="M40" s="123" t="s">
        <v>87</v>
      </c>
    </row>
    <row r="41" spans="1:13" ht="15" customHeight="1" x14ac:dyDescent="0.3">
      <c r="A41" s="124">
        <v>443286</v>
      </c>
      <c r="B41" s="124" t="str">
        <f t="shared" si="1"/>
        <v>44328622</v>
      </c>
      <c r="C41" s="130">
        <v>16633294</v>
      </c>
      <c r="D41" s="125" t="s">
        <v>66</v>
      </c>
      <c r="E41" s="125" t="s">
        <v>26</v>
      </c>
      <c r="F41" s="125" t="s">
        <v>27</v>
      </c>
      <c r="G41" s="126">
        <v>45658</v>
      </c>
      <c r="H41" s="127">
        <v>46113</v>
      </c>
      <c r="I41" s="125" t="s">
        <v>41</v>
      </c>
      <c r="J41" s="128">
        <v>28.92</v>
      </c>
      <c r="K41" s="121" t="s">
        <v>73</v>
      </c>
      <c r="L41" s="123" t="s">
        <v>85</v>
      </c>
      <c r="M41" s="123" t="s">
        <v>87</v>
      </c>
    </row>
    <row r="42" spans="1:13" ht="15" customHeight="1" x14ac:dyDescent="0.3">
      <c r="A42" s="124">
        <v>444212</v>
      </c>
      <c r="B42" s="124" t="str">
        <f t="shared" si="1"/>
        <v>44421222</v>
      </c>
      <c r="C42" s="130">
        <v>16633294</v>
      </c>
      <c r="D42" s="125" t="s">
        <v>67</v>
      </c>
      <c r="E42" s="125" t="s">
        <v>26</v>
      </c>
      <c r="F42" s="125" t="s">
        <v>27</v>
      </c>
      <c r="G42" s="126">
        <v>45658</v>
      </c>
      <c r="H42" s="127">
        <v>46113</v>
      </c>
      <c r="I42" s="125" t="s">
        <v>41</v>
      </c>
      <c r="J42" s="128">
        <v>28.92</v>
      </c>
      <c r="K42" s="121" t="s">
        <v>73</v>
      </c>
      <c r="L42" s="123" t="s">
        <v>85</v>
      </c>
      <c r="M42" s="123" t="s">
        <v>87</v>
      </c>
    </row>
    <row r="43" spans="1:13" ht="15" customHeight="1" x14ac:dyDescent="0.3">
      <c r="A43" s="124">
        <v>443209</v>
      </c>
      <c r="B43" s="124" t="str">
        <f t="shared" si="1"/>
        <v>44320922</v>
      </c>
      <c r="C43" s="130">
        <v>16633294</v>
      </c>
      <c r="D43" s="125" t="s">
        <v>68</v>
      </c>
      <c r="E43" s="125" t="s">
        <v>26</v>
      </c>
      <c r="F43" s="125" t="s">
        <v>27</v>
      </c>
      <c r="G43" s="126">
        <v>45658</v>
      </c>
      <c r="H43" s="127">
        <v>46113</v>
      </c>
      <c r="I43" s="125" t="s">
        <v>41</v>
      </c>
      <c r="J43" s="128">
        <v>28.92</v>
      </c>
      <c r="K43" s="121" t="s">
        <v>73</v>
      </c>
      <c r="L43" s="123" t="s">
        <v>85</v>
      </c>
      <c r="M43" s="123" t="s">
        <v>87</v>
      </c>
    </row>
    <row r="44" spans="1:13" ht="15" customHeight="1" x14ac:dyDescent="0.3">
      <c r="A44" s="124">
        <v>440990</v>
      </c>
      <c r="B44" s="124" t="str">
        <f t="shared" si="1"/>
        <v>44099022</v>
      </c>
      <c r="C44" s="130">
        <v>16633294</v>
      </c>
      <c r="D44" s="125" t="s">
        <v>69</v>
      </c>
      <c r="E44" s="125" t="s">
        <v>26</v>
      </c>
      <c r="F44" s="125" t="s">
        <v>27</v>
      </c>
      <c r="G44" s="126">
        <v>45658</v>
      </c>
      <c r="H44" s="127">
        <v>46113</v>
      </c>
      <c r="I44" s="125" t="s">
        <v>41</v>
      </c>
      <c r="J44" s="128">
        <v>28.92</v>
      </c>
      <c r="K44" s="121" t="s">
        <v>73</v>
      </c>
      <c r="L44" s="123" t="s">
        <v>85</v>
      </c>
      <c r="M44" s="123" t="s">
        <v>87</v>
      </c>
    </row>
    <row r="45" spans="1:13" ht="15" customHeight="1" x14ac:dyDescent="0.3">
      <c r="A45" s="124">
        <v>445753</v>
      </c>
      <c r="B45" s="124" t="str">
        <f t="shared" si="1"/>
        <v>44575322</v>
      </c>
      <c r="C45" s="130">
        <v>16633294</v>
      </c>
      <c r="D45" s="125" t="s">
        <v>70</v>
      </c>
      <c r="E45" s="125" t="s">
        <v>26</v>
      </c>
      <c r="F45" s="125" t="s">
        <v>27</v>
      </c>
      <c r="G45" s="126">
        <v>45658</v>
      </c>
      <c r="H45" s="127">
        <v>46113</v>
      </c>
      <c r="I45" s="125" t="s">
        <v>41</v>
      </c>
      <c r="J45" s="128">
        <v>28.92</v>
      </c>
      <c r="K45" s="121" t="s">
        <v>73</v>
      </c>
      <c r="L45" s="123" t="s">
        <v>85</v>
      </c>
      <c r="M45" s="123" t="s">
        <v>87</v>
      </c>
    </row>
    <row r="46" spans="1:13" ht="15" customHeight="1" x14ac:dyDescent="0.3">
      <c r="A46" s="124">
        <v>446673</v>
      </c>
      <c r="B46" s="124" t="str">
        <f t="shared" si="1"/>
        <v>44667322</v>
      </c>
      <c r="C46" s="130">
        <v>16633294</v>
      </c>
      <c r="D46" s="125" t="s">
        <v>71</v>
      </c>
      <c r="E46" s="125" t="s">
        <v>26</v>
      </c>
      <c r="F46" s="125" t="s">
        <v>27</v>
      </c>
      <c r="G46" s="126">
        <v>45658</v>
      </c>
      <c r="H46" s="127">
        <v>46113</v>
      </c>
      <c r="I46" s="125" t="s">
        <v>41</v>
      </c>
      <c r="J46" s="128">
        <v>28.92</v>
      </c>
      <c r="K46" s="121" t="s">
        <v>73</v>
      </c>
      <c r="L46" s="123" t="s">
        <v>85</v>
      </c>
      <c r="M46" s="123" t="s">
        <v>87</v>
      </c>
    </row>
    <row r="47" spans="1:13" ht="15" customHeight="1" x14ac:dyDescent="0.3">
      <c r="A47" s="124">
        <v>447931</v>
      </c>
      <c r="B47" s="124" t="str">
        <f t="shared" si="1"/>
        <v>44793122</v>
      </c>
      <c r="C47" s="130">
        <v>16633294</v>
      </c>
      <c r="D47" s="125" t="s">
        <v>72</v>
      </c>
      <c r="E47" s="125" t="s">
        <v>26</v>
      </c>
      <c r="F47" s="125" t="s">
        <v>27</v>
      </c>
      <c r="G47" s="126">
        <v>45658</v>
      </c>
      <c r="H47" s="127">
        <v>46113</v>
      </c>
      <c r="I47" s="125" t="s">
        <v>41</v>
      </c>
      <c r="J47" s="128">
        <v>28.92</v>
      </c>
      <c r="K47" s="121" t="s">
        <v>73</v>
      </c>
      <c r="L47" s="123" t="s">
        <v>85</v>
      </c>
      <c r="M47" s="123" t="s">
        <v>87</v>
      </c>
    </row>
    <row r="48" spans="1:13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>
      <selection sqref="A1:XFD10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10.6640625" customWidth="1"/>
    <col min="5" max="5" width="9.5546875" customWidth="1"/>
    <col min="6" max="6" width="3.33203125" customWidth="1"/>
    <col min="7" max="7" width="13.109375" customWidth="1"/>
    <col min="8" max="8" width="14.88671875" customWidth="1"/>
    <col min="9" max="9" width="15.5546875" customWidth="1"/>
    <col min="10" max="10" width="10.88671875" customWidth="1"/>
    <col min="11" max="11" width="18.6640625" customWidth="1"/>
    <col min="12" max="12" width="10.21875" customWidth="1"/>
    <col min="13" max="13" width="16.21875" customWidth="1"/>
  </cols>
  <sheetData>
    <row r="1" spans="1:13" ht="12.75" customHeight="1" x14ac:dyDescent="0.25">
      <c r="A1" s="74" t="s">
        <v>32</v>
      </c>
      <c r="B1" s="74"/>
      <c r="C1" s="74"/>
      <c r="D1" s="74"/>
      <c r="E1" s="74"/>
      <c r="F1" s="74"/>
      <c r="G1" s="75" t="s">
        <v>33</v>
      </c>
      <c r="H1" s="75"/>
      <c r="I1" s="76" t="s">
        <v>34</v>
      </c>
      <c r="J1" s="76"/>
      <c r="K1" s="76"/>
      <c r="L1" s="77" t="s">
        <v>35</v>
      </c>
      <c r="M1" s="77"/>
    </row>
    <row r="2" spans="1:13" ht="12.75" customHeight="1" x14ac:dyDescent="0.25">
      <c r="A2" s="4" t="s">
        <v>13</v>
      </c>
      <c r="B2" s="5" t="s">
        <v>14</v>
      </c>
      <c r="C2" s="6" t="s">
        <v>15</v>
      </c>
      <c r="D2" s="5" t="s">
        <v>16</v>
      </c>
      <c r="E2" s="78" t="s">
        <v>36</v>
      </c>
      <c r="F2" s="78"/>
      <c r="G2" s="6" t="s">
        <v>37</v>
      </c>
      <c r="H2" s="5" t="s">
        <v>19</v>
      </c>
      <c r="I2" s="5" t="s">
        <v>20</v>
      </c>
      <c r="J2" s="5" t="s">
        <v>21</v>
      </c>
      <c r="K2" s="19" t="s">
        <v>38</v>
      </c>
      <c r="L2" s="9" t="s">
        <v>23</v>
      </c>
      <c r="M2" s="9" t="s">
        <v>39</v>
      </c>
    </row>
    <row r="3" spans="1:13" ht="5.25" customHeight="1" x14ac:dyDescent="0.25">
      <c r="A3" s="16"/>
      <c r="B3" s="16"/>
      <c r="C3" s="16"/>
      <c r="D3" s="16"/>
      <c r="E3" s="79"/>
      <c r="F3" s="79"/>
      <c r="G3" s="16"/>
      <c r="H3" s="16"/>
      <c r="I3" s="16"/>
      <c r="J3" s="16"/>
      <c r="K3" s="16"/>
      <c r="L3" s="16"/>
      <c r="M3" s="16"/>
    </row>
    <row r="4" spans="1:13" ht="12" customHeight="1" x14ac:dyDescent="0.25">
      <c r="A4" s="20">
        <v>449350</v>
      </c>
      <c r="B4" s="21">
        <v>2158366</v>
      </c>
      <c r="C4" s="22" t="s">
        <v>40</v>
      </c>
      <c r="D4" s="23" t="s">
        <v>26</v>
      </c>
      <c r="E4" s="24" t="s">
        <v>27</v>
      </c>
      <c r="F4" s="80">
        <v>45717</v>
      </c>
      <c r="G4" s="80"/>
      <c r="H4" s="80"/>
      <c r="I4" s="81" t="s">
        <v>28</v>
      </c>
      <c r="J4" s="81"/>
      <c r="K4" s="25" t="s">
        <v>41</v>
      </c>
      <c r="L4" s="26" t="s">
        <v>30</v>
      </c>
      <c r="M4" s="27">
        <v>8.75</v>
      </c>
    </row>
    <row r="5" spans="1:13" ht="22.05" customHeight="1" x14ac:dyDescent="0.25">
      <c r="A5" s="28">
        <v>439384</v>
      </c>
      <c r="B5" s="29">
        <v>2158366</v>
      </c>
      <c r="C5" s="30" t="s">
        <v>42</v>
      </c>
      <c r="D5" s="31" t="s">
        <v>26</v>
      </c>
      <c r="E5" s="32" t="s">
        <v>27</v>
      </c>
      <c r="F5" s="82">
        <v>45658</v>
      </c>
      <c r="G5" s="82"/>
      <c r="H5" s="82"/>
      <c r="I5" s="83" t="s">
        <v>28</v>
      </c>
      <c r="J5" s="83"/>
      <c r="K5" s="33" t="s">
        <v>41</v>
      </c>
      <c r="L5" s="34" t="s">
        <v>30</v>
      </c>
      <c r="M5" s="35">
        <v>8.75</v>
      </c>
    </row>
    <row r="6" spans="1:13" ht="12" customHeight="1" x14ac:dyDescent="0.25">
      <c r="A6" s="20">
        <v>439383</v>
      </c>
      <c r="B6" s="21">
        <v>2158366</v>
      </c>
      <c r="C6" s="22" t="s">
        <v>43</v>
      </c>
      <c r="D6" s="23" t="s">
        <v>26</v>
      </c>
      <c r="E6" s="24" t="s">
        <v>27</v>
      </c>
      <c r="F6" s="80">
        <v>45658</v>
      </c>
      <c r="G6" s="80"/>
      <c r="H6" s="80"/>
      <c r="I6" s="81" t="s">
        <v>28</v>
      </c>
      <c r="J6" s="81"/>
      <c r="K6" s="25" t="s">
        <v>41</v>
      </c>
      <c r="L6" s="26" t="s">
        <v>30</v>
      </c>
      <c r="M6" s="27">
        <v>8.75</v>
      </c>
    </row>
    <row r="7" spans="1:13" ht="22.05" customHeight="1" x14ac:dyDescent="0.25">
      <c r="A7" s="28">
        <v>442876</v>
      </c>
      <c r="B7" s="29">
        <v>2158366</v>
      </c>
      <c r="C7" s="30" t="s">
        <v>44</v>
      </c>
      <c r="D7" s="31" t="s">
        <v>26</v>
      </c>
      <c r="E7" s="32" t="s">
        <v>27</v>
      </c>
      <c r="F7" s="82">
        <v>45658</v>
      </c>
      <c r="G7" s="82"/>
      <c r="H7" s="82"/>
      <c r="I7" s="83" t="s">
        <v>28</v>
      </c>
      <c r="J7" s="83"/>
      <c r="K7" s="33" t="s">
        <v>41</v>
      </c>
      <c r="L7" s="34" t="s">
        <v>30</v>
      </c>
      <c r="M7" s="35">
        <v>8.75</v>
      </c>
    </row>
    <row r="8" spans="1:13" ht="12" customHeight="1" x14ac:dyDescent="0.25">
      <c r="A8" s="20">
        <v>445341</v>
      </c>
      <c r="B8" s="21">
        <v>2158366</v>
      </c>
      <c r="C8" s="22" t="s">
        <v>45</v>
      </c>
      <c r="D8" s="23" t="s">
        <v>26</v>
      </c>
      <c r="E8" s="24" t="s">
        <v>27</v>
      </c>
      <c r="F8" s="80">
        <v>45658</v>
      </c>
      <c r="G8" s="80"/>
      <c r="H8" s="80"/>
      <c r="I8" s="81" t="s">
        <v>28</v>
      </c>
      <c r="J8" s="81"/>
      <c r="K8" s="25" t="s">
        <v>41</v>
      </c>
      <c r="L8" s="26" t="s">
        <v>30</v>
      </c>
      <c r="M8" s="27">
        <v>8.75</v>
      </c>
    </row>
    <row r="9" spans="1:13" ht="24" customHeight="1" x14ac:dyDescent="0.25">
      <c r="A9" s="36"/>
      <c r="B9" s="36"/>
      <c r="C9" s="36"/>
      <c r="D9" s="36"/>
      <c r="E9" s="36"/>
      <c r="F9" s="84" t="s">
        <v>46</v>
      </c>
      <c r="G9" s="84"/>
      <c r="H9" s="84"/>
      <c r="I9" s="85"/>
      <c r="J9" s="85"/>
      <c r="K9" s="36"/>
      <c r="L9" s="36"/>
      <c r="M9" s="37">
        <v>43.75</v>
      </c>
    </row>
    <row r="10" spans="1:13" ht="19.05" customHeight="1" x14ac:dyDescent="0.25">
      <c r="A10" s="36"/>
      <c r="B10" s="36"/>
      <c r="C10" s="86" t="s">
        <v>47</v>
      </c>
      <c r="D10" s="86"/>
      <c r="E10" s="38">
        <v>2158366</v>
      </c>
      <c r="F10" s="87" t="s">
        <v>48</v>
      </c>
      <c r="G10" s="87"/>
      <c r="H10" s="87"/>
      <c r="I10" s="85"/>
      <c r="J10" s="85"/>
      <c r="K10" s="36"/>
      <c r="L10" s="36"/>
      <c r="M10" s="37">
        <v>43.75</v>
      </c>
    </row>
  </sheetData>
  <mergeCells count="21">
    <mergeCell ref="F9:H9"/>
    <mergeCell ref="I9:J9"/>
    <mergeCell ref="C10:D10"/>
    <mergeCell ref="F10:H10"/>
    <mergeCell ref="I10:J10"/>
    <mergeCell ref="F6:H6"/>
    <mergeCell ref="I6:J6"/>
    <mergeCell ref="F7:H7"/>
    <mergeCell ref="I7:J7"/>
    <mergeCell ref="F8:H8"/>
    <mergeCell ref="I8:J8"/>
    <mergeCell ref="E3:F3"/>
    <mergeCell ref="F4:H4"/>
    <mergeCell ref="I4:J4"/>
    <mergeCell ref="F5:H5"/>
    <mergeCell ref="I5:J5"/>
    <mergeCell ref="A1:F1"/>
    <mergeCell ref="G1:H1"/>
    <mergeCell ref="I1:K1"/>
    <mergeCell ref="L1:M1"/>
    <mergeCell ref="E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workbookViewId="0">
      <selection sqref="A1:XFD5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10.6640625" customWidth="1"/>
    <col min="5" max="5" width="13.109375" customWidth="1"/>
    <col min="6" max="6" width="12.88671875" customWidth="1"/>
    <col min="7" max="7" width="14.88671875" customWidth="1"/>
    <col min="8" max="8" width="15.5546875" customWidth="1"/>
    <col min="9" max="9" width="8.88671875" customWidth="1"/>
    <col min="10" max="10" width="1.77734375" customWidth="1"/>
    <col min="11" max="11" width="18.6640625" customWidth="1"/>
    <col min="12" max="12" width="10.21875" customWidth="1"/>
    <col min="13" max="13" width="16.44140625" customWidth="1"/>
    <col min="14" max="14" width="2.21875" customWidth="1"/>
  </cols>
  <sheetData>
    <row r="1" spans="1:14" ht="25.5" customHeight="1" x14ac:dyDescent="0.25">
      <c r="A1" s="4" t="s">
        <v>13</v>
      </c>
      <c r="B1" s="5" t="s">
        <v>14</v>
      </c>
      <c r="C1" s="6" t="s">
        <v>15</v>
      </c>
      <c r="D1" s="5" t="s">
        <v>16</v>
      </c>
      <c r="E1" s="7" t="s">
        <v>17</v>
      </c>
      <c r="F1" s="8" t="s">
        <v>18</v>
      </c>
      <c r="G1" s="5" t="s">
        <v>19</v>
      </c>
      <c r="H1" s="5" t="s">
        <v>20</v>
      </c>
      <c r="I1" s="69" t="s">
        <v>21</v>
      </c>
      <c r="J1" s="69"/>
      <c r="K1" s="8" t="s">
        <v>22</v>
      </c>
      <c r="L1" s="9" t="s">
        <v>23</v>
      </c>
      <c r="M1" s="8" t="s">
        <v>24</v>
      </c>
    </row>
    <row r="2" spans="1:14" ht="22.05" customHeight="1" x14ac:dyDescent="0.25">
      <c r="A2" s="10">
        <v>448295</v>
      </c>
      <c r="B2" s="11">
        <v>19645587</v>
      </c>
      <c r="C2" s="12" t="s">
        <v>49</v>
      </c>
      <c r="D2" s="13" t="s">
        <v>26</v>
      </c>
      <c r="E2" s="39" t="s">
        <v>50</v>
      </c>
      <c r="F2" s="40">
        <v>45658</v>
      </c>
      <c r="G2" s="41"/>
      <c r="H2" s="41"/>
      <c r="I2" s="70" t="s">
        <v>28</v>
      </c>
      <c r="J2" s="70"/>
      <c r="K2" s="17" t="s">
        <v>41</v>
      </c>
      <c r="L2" s="17" t="s">
        <v>30</v>
      </c>
      <c r="M2" s="42">
        <v>8.75</v>
      </c>
    </row>
    <row r="3" spans="1:14" ht="12" customHeight="1" x14ac:dyDescent="0.25">
      <c r="A3" s="20">
        <v>439914</v>
      </c>
      <c r="B3" s="21">
        <v>19645587</v>
      </c>
      <c r="C3" s="22" t="s">
        <v>51</v>
      </c>
      <c r="D3" s="23" t="s">
        <v>26</v>
      </c>
      <c r="E3" s="43" t="s">
        <v>27</v>
      </c>
      <c r="F3" s="44">
        <v>45658</v>
      </c>
      <c r="G3" s="45"/>
      <c r="H3" s="45"/>
      <c r="I3" s="88" t="s">
        <v>28</v>
      </c>
      <c r="J3" s="88"/>
      <c r="K3" s="26" t="s">
        <v>41</v>
      </c>
      <c r="L3" s="26" t="s">
        <v>30</v>
      </c>
      <c r="M3" s="27">
        <v>8.75</v>
      </c>
    </row>
    <row r="4" spans="1:14" ht="12.75" customHeight="1" x14ac:dyDescent="0.25">
      <c r="A4" s="71" t="s">
        <v>52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 ht="15" customHeight="1" x14ac:dyDescent="0.25">
      <c r="A5" s="72" t="s">
        <v>53</v>
      </c>
      <c r="B5" s="72"/>
      <c r="C5" s="72"/>
      <c r="D5" s="72"/>
      <c r="E5" s="72"/>
      <c r="F5" s="72"/>
      <c r="G5" s="72"/>
      <c r="H5" s="72"/>
      <c r="I5" s="72"/>
      <c r="J5" s="89">
        <v>17.5</v>
      </c>
      <c r="K5" s="89"/>
      <c r="L5" s="89"/>
      <c r="M5" s="89"/>
      <c r="N5" s="89"/>
    </row>
  </sheetData>
  <mergeCells count="6">
    <mergeCell ref="I1:J1"/>
    <mergeCell ref="I2:J2"/>
    <mergeCell ref="I3:J3"/>
    <mergeCell ref="A4:N4"/>
    <mergeCell ref="A5:I5"/>
    <mergeCell ref="J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workbookViewId="0">
      <selection sqref="A1:XFD4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10.6640625" customWidth="1"/>
    <col min="5" max="5" width="13.109375" customWidth="1"/>
    <col min="6" max="6" width="12.88671875" customWidth="1"/>
    <col min="7" max="7" width="14.88671875" customWidth="1"/>
    <col min="8" max="8" width="15.5546875" customWidth="1"/>
    <col min="9" max="9" width="9.77734375" customWidth="1"/>
    <col min="10" max="10" width="1.109375" customWidth="1"/>
    <col min="11" max="11" width="18.6640625" customWidth="1"/>
    <col min="12" max="12" width="10.21875" customWidth="1"/>
    <col min="13" max="13" width="16.21875" customWidth="1"/>
    <col min="14" max="14" width="2.6640625" customWidth="1"/>
  </cols>
  <sheetData>
    <row r="1" spans="1:14" ht="25.5" customHeight="1" x14ac:dyDescent="0.25">
      <c r="A1" s="4" t="s">
        <v>13</v>
      </c>
      <c r="B1" s="5" t="s">
        <v>14</v>
      </c>
      <c r="C1" s="6" t="s">
        <v>15</v>
      </c>
      <c r="D1" s="5" t="s">
        <v>16</v>
      </c>
      <c r="E1" s="7" t="s">
        <v>17</v>
      </c>
      <c r="F1" s="8" t="s">
        <v>18</v>
      </c>
      <c r="G1" s="5" t="s">
        <v>19</v>
      </c>
      <c r="H1" s="5" t="s">
        <v>20</v>
      </c>
      <c r="I1" s="69" t="s">
        <v>21</v>
      </c>
      <c r="J1" s="69"/>
      <c r="K1" s="8" t="s">
        <v>22</v>
      </c>
      <c r="L1" s="9" t="s">
        <v>23</v>
      </c>
      <c r="M1" s="8" t="s">
        <v>24</v>
      </c>
    </row>
    <row r="2" spans="1:14" ht="15.45" customHeight="1" x14ac:dyDescent="0.25">
      <c r="A2" s="10">
        <v>444055</v>
      </c>
      <c r="B2" s="11">
        <v>19615078</v>
      </c>
      <c r="C2" s="12" t="s">
        <v>54</v>
      </c>
      <c r="D2" s="13" t="s">
        <v>26</v>
      </c>
      <c r="E2" s="14" t="s">
        <v>27</v>
      </c>
      <c r="F2" s="15">
        <v>45658</v>
      </c>
      <c r="G2" s="16"/>
      <c r="H2" s="16"/>
      <c r="I2" s="70" t="s">
        <v>28</v>
      </c>
      <c r="J2" s="70"/>
      <c r="K2" s="17" t="s">
        <v>41</v>
      </c>
      <c r="L2" s="17" t="s">
        <v>30</v>
      </c>
      <c r="M2" s="42">
        <v>8.75</v>
      </c>
    </row>
    <row r="3" spans="1:14" ht="12.75" customHeight="1" x14ac:dyDescent="0.25">
      <c r="A3" s="71" t="s">
        <v>55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</row>
    <row r="4" spans="1:14" ht="15" customHeight="1" x14ac:dyDescent="0.25">
      <c r="A4" s="72" t="s">
        <v>56</v>
      </c>
      <c r="B4" s="72"/>
      <c r="C4" s="72"/>
      <c r="D4" s="72"/>
      <c r="E4" s="72"/>
      <c r="F4" s="72"/>
      <c r="G4" s="72"/>
      <c r="H4" s="72"/>
      <c r="I4" s="72"/>
      <c r="J4" s="89">
        <v>8.75</v>
      </c>
      <c r="K4" s="89"/>
      <c r="L4" s="89"/>
      <c r="M4" s="89"/>
      <c r="N4" s="89"/>
    </row>
  </sheetData>
  <mergeCells count="5">
    <mergeCell ref="I1:J1"/>
    <mergeCell ref="I2:J2"/>
    <mergeCell ref="A3:N3"/>
    <mergeCell ref="A4:I4"/>
    <mergeCell ref="J4:N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>
      <selection sqref="A1:XFD5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10.6640625" customWidth="1"/>
    <col min="5" max="5" width="13.109375" customWidth="1"/>
    <col min="6" max="6" width="12.88671875" customWidth="1"/>
    <col min="7" max="7" width="14.88671875" customWidth="1"/>
    <col min="8" max="8" width="15.5546875" customWidth="1"/>
    <col min="9" max="9" width="10.88671875" customWidth="1"/>
    <col min="10" max="10" width="18.6640625" customWidth="1"/>
    <col min="11" max="11" width="10.21875" customWidth="1"/>
    <col min="12" max="12" width="16.44140625" customWidth="1"/>
    <col min="13" max="13" width="2.44140625" customWidth="1"/>
  </cols>
  <sheetData>
    <row r="1" spans="1:13" ht="25.5" customHeight="1" x14ac:dyDescent="0.25">
      <c r="A1" s="4" t="s">
        <v>13</v>
      </c>
      <c r="B1" s="5" t="s">
        <v>14</v>
      </c>
      <c r="C1" s="6" t="s">
        <v>15</v>
      </c>
      <c r="D1" s="5" t="s">
        <v>16</v>
      </c>
      <c r="E1" s="7" t="s">
        <v>17</v>
      </c>
      <c r="F1" s="8" t="s">
        <v>18</v>
      </c>
      <c r="G1" s="5" t="s">
        <v>19</v>
      </c>
      <c r="H1" s="5" t="s">
        <v>20</v>
      </c>
      <c r="I1" s="9" t="s">
        <v>21</v>
      </c>
      <c r="J1" s="8" t="s">
        <v>22</v>
      </c>
      <c r="K1" s="9" t="s">
        <v>23</v>
      </c>
      <c r="L1" s="8" t="s">
        <v>24</v>
      </c>
    </row>
    <row r="2" spans="1:13" ht="5.2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ht="12" customHeight="1" x14ac:dyDescent="0.25">
      <c r="A3" s="20">
        <v>446535</v>
      </c>
      <c r="B3" s="21">
        <v>17301495</v>
      </c>
      <c r="C3" s="22" t="s">
        <v>57</v>
      </c>
      <c r="D3" s="23" t="s">
        <v>26</v>
      </c>
      <c r="E3" s="46" t="s">
        <v>27</v>
      </c>
      <c r="F3" s="47">
        <v>45658</v>
      </c>
      <c r="G3" s="45"/>
      <c r="H3" s="45"/>
      <c r="I3" s="26" t="s">
        <v>28</v>
      </c>
      <c r="J3" s="26" t="s">
        <v>41</v>
      </c>
      <c r="K3" s="26" t="s">
        <v>30</v>
      </c>
      <c r="L3" s="27">
        <v>8.75</v>
      </c>
    </row>
    <row r="4" spans="1:13" ht="12.75" customHeight="1" x14ac:dyDescent="0.25">
      <c r="A4" s="71" t="s">
        <v>55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</row>
    <row r="5" spans="1:13" ht="15" customHeight="1" x14ac:dyDescent="0.25">
      <c r="A5" s="72" t="s">
        <v>58</v>
      </c>
      <c r="B5" s="72"/>
      <c r="C5" s="72"/>
      <c r="D5" s="72"/>
      <c r="E5" s="72"/>
      <c r="F5" s="72"/>
      <c r="G5" s="72"/>
      <c r="H5" s="72"/>
      <c r="I5" s="72"/>
      <c r="J5" s="89">
        <v>8.75</v>
      </c>
      <c r="K5" s="89"/>
      <c r="L5" s="89"/>
      <c r="M5" s="89"/>
    </row>
  </sheetData>
  <mergeCells count="3">
    <mergeCell ref="A4:M4"/>
    <mergeCell ref="A5:I5"/>
    <mergeCell ref="J5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"/>
  <sheetViews>
    <sheetView workbookViewId="0">
      <selection sqref="A1:XFD8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6" customWidth="1"/>
    <col min="5" max="5" width="10.21875" customWidth="1"/>
    <col min="6" max="6" width="3.77734375" customWidth="1"/>
    <col min="7" max="7" width="3.5546875" customWidth="1"/>
    <col min="8" max="8" width="12.88671875" customWidth="1"/>
    <col min="9" max="9" width="14.88671875" customWidth="1"/>
    <col min="10" max="10" width="15.5546875" customWidth="1"/>
    <col min="11" max="11" width="10.88671875" customWidth="1"/>
    <col min="12" max="12" width="18.6640625" customWidth="1"/>
    <col min="13" max="13" width="10.21875" customWidth="1"/>
    <col min="14" max="14" width="16.44140625" customWidth="1"/>
  </cols>
  <sheetData>
    <row r="1" spans="1:14" ht="12.75" customHeight="1" x14ac:dyDescent="0.25">
      <c r="A1" s="74" t="s">
        <v>32</v>
      </c>
      <c r="B1" s="74"/>
      <c r="C1" s="74"/>
      <c r="D1" s="74"/>
      <c r="E1" s="74"/>
      <c r="F1" s="74"/>
      <c r="G1" s="74"/>
      <c r="H1" s="75" t="s">
        <v>33</v>
      </c>
      <c r="I1" s="75"/>
      <c r="J1" s="76" t="s">
        <v>34</v>
      </c>
      <c r="K1" s="76"/>
      <c r="L1" s="76"/>
      <c r="M1" s="77" t="s">
        <v>35</v>
      </c>
      <c r="N1" s="77"/>
    </row>
    <row r="2" spans="1:14" ht="12.75" customHeight="1" x14ac:dyDescent="0.25">
      <c r="A2" s="4" t="s">
        <v>13</v>
      </c>
      <c r="B2" s="5" t="s">
        <v>14</v>
      </c>
      <c r="C2" s="6" t="s">
        <v>15</v>
      </c>
      <c r="D2" s="90" t="s">
        <v>16</v>
      </c>
      <c r="E2" s="90"/>
      <c r="F2" s="91" t="s">
        <v>36</v>
      </c>
      <c r="G2" s="91"/>
      <c r="H2" s="6" t="s">
        <v>37</v>
      </c>
      <c r="I2" s="5" t="s">
        <v>19</v>
      </c>
      <c r="J2" s="5" t="s">
        <v>20</v>
      </c>
      <c r="K2" s="5" t="s">
        <v>21</v>
      </c>
      <c r="L2" s="19" t="s">
        <v>38</v>
      </c>
      <c r="M2" s="9" t="s">
        <v>23</v>
      </c>
      <c r="N2" s="9" t="s">
        <v>39</v>
      </c>
    </row>
    <row r="3" spans="1:14" ht="22.05" customHeight="1" x14ac:dyDescent="0.25">
      <c r="A3" s="10">
        <v>447954</v>
      </c>
      <c r="B3" s="11">
        <v>16912722</v>
      </c>
      <c r="C3" s="12" t="s">
        <v>59</v>
      </c>
      <c r="D3" s="92" t="s">
        <v>26</v>
      </c>
      <c r="E3" s="92"/>
      <c r="F3" s="48" t="s">
        <v>27</v>
      </c>
      <c r="G3" s="93">
        <v>45658</v>
      </c>
      <c r="H3" s="93"/>
      <c r="I3" s="93"/>
      <c r="J3" s="94" t="s">
        <v>28</v>
      </c>
      <c r="K3" s="94"/>
      <c r="L3" s="49" t="s">
        <v>41</v>
      </c>
      <c r="M3" s="17" t="s">
        <v>30</v>
      </c>
      <c r="N3" s="42">
        <v>8.75</v>
      </c>
    </row>
    <row r="4" spans="1:14" ht="12" customHeight="1" x14ac:dyDescent="0.25">
      <c r="A4" s="20">
        <v>447955</v>
      </c>
      <c r="B4" s="21">
        <v>16912722</v>
      </c>
      <c r="C4" s="22" t="s">
        <v>60</v>
      </c>
      <c r="D4" s="95" t="s">
        <v>26</v>
      </c>
      <c r="E4" s="95"/>
      <c r="F4" s="24" t="s">
        <v>27</v>
      </c>
      <c r="G4" s="80">
        <v>45658</v>
      </c>
      <c r="H4" s="80"/>
      <c r="I4" s="80"/>
      <c r="J4" s="81" t="s">
        <v>28</v>
      </c>
      <c r="K4" s="81"/>
      <c r="L4" s="25" t="s">
        <v>41</v>
      </c>
      <c r="M4" s="26" t="s">
        <v>30</v>
      </c>
      <c r="N4" s="27">
        <v>8.75</v>
      </c>
    </row>
    <row r="5" spans="1:14" ht="22.05" customHeight="1" x14ac:dyDescent="0.25">
      <c r="A5" s="28">
        <v>448034</v>
      </c>
      <c r="B5" s="29">
        <v>16912722</v>
      </c>
      <c r="C5" s="30" t="s">
        <v>61</v>
      </c>
      <c r="D5" s="96" t="s">
        <v>26</v>
      </c>
      <c r="E5" s="96"/>
      <c r="F5" s="32" t="s">
        <v>27</v>
      </c>
      <c r="G5" s="82">
        <v>45658</v>
      </c>
      <c r="H5" s="82"/>
      <c r="I5" s="82"/>
      <c r="J5" s="83" t="s">
        <v>28</v>
      </c>
      <c r="K5" s="83"/>
      <c r="L5" s="33" t="s">
        <v>41</v>
      </c>
      <c r="M5" s="34" t="s">
        <v>30</v>
      </c>
      <c r="N5" s="35">
        <v>8.75</v>
      </c>
    </row>
    <row r="6" spans="1:14" ht="12" customHeight="1" x14ac:dyDescent="0.25">
      <c r="A6" s="20">
        <v>447701</v>
      </c>
      <c r="B6" s="21">
        <v>16912722</v>
      </c>
      <c r="C6" s="22" t="s">
        <v>62</v>
      </c>
      <c r="D6" s="95" t="s">
        <v>26</v>
      </c>
      <c r="E6" s="95"/>
      <c r="F6" s="24" t="s">
        <v>27</v>
      </c>
      <c r="G6" s="80">
        <v>45658</v>
      </c>
      <c r="H6" s="80"/>
      <c r="I6" s="80"/>
      <c r="J6" s="81" t="s">
        <v>28</v>
      </c>
      <c r="K6" s="81"/>
      <c r="L6" s="25" t="s">
        <v>41</v>
      </c>
      <c r="M6" s="26" t="s">
        <v>30</v>
      </c>
      <c r="N6" s="27">
        <v>8.75</v>
      </c>
    </row>
    <row r="7" spans="1:14" ht="24" customHeight="1" x14ac:dyDescent="0.25">
      <c r="A7" s="36"/>
      <c r="B7" s="36"/>
      <c r="C7" s="36"/>
      <c r="D7" s="85"/>
      <c r="E7" s="85"/>
      <c r="F7" s="36"/>
      <c r="G7" s="84" t="s">
        <v>46</v>
      </c>
      <c r="H7" s="84"/>
      <c r="I7" s="84"/>
      <c r="J7" s="85"/>
      <c r="K7" s="85"/>
      <c r="L7" s="36"/>
      <c r="M7" s="36"/>
      <c r="N7" s="37">
        <v>35</v>
      </c>
    </row>
    <row r="8" spans="1:14" ht="19.05" customHeight="1" x14ac:dyDescent="0.25">
      <c r="A8" s="36"/>
      <c r="B8" s="36"/>
      <c r="C8" s="87" t="s">
        <v>47</v>
      </c>
      <c r="D8" s="87"/>
      <c r="E8" s="38">
        <v>16912722</v>
      </c>
      <c r="F8" s="36"/>
      <c r="G8" s="84" t="s">
        <v>63</v>
      </c>
      <c r="H8" s="84"/>
      <c r="I8" s="84"/>
      <c r="J8" s="85"/>
      <c r="K8" s="85"/>
      <c r="L8" s="36"/>
      <c r="M8" s="36"/>
      <c r="N8" s="37">
        <v>35</v>
      </c>
    </row>
  </sheetData>
  <mergeCells count="24">
    <mergeCell ref="D7:E7"/>
    <mergeCell ref="G7:I7"/>
    <mergeCell ref="J7:K7"/>
    <mergeCell ref="C8:D8"/>
    <mergeCell ref="G8:I8"/>
    <mergeCell ref="J8:K8"/>
    <mergeCell ref="D5:E5"/>
    <mergeCell ref="G5:I5"/>
    <mergeCell ref="J5:K5"/>
    <mergeCell ref="D6:E6"/>
    <mergeCell ref="G6:I6"/>
    <mergeCell ref="J6:K6"/>
    <mergeCell ref="D3:E3"/>
    <mergeCell ref="G3:I3"/>
    <mergeCell ref="J3:K3"/>
    <mergeCell ref="D4:E4"/>
    <mergeCell ref="G4:I4"/>
    <mergeCell ref="J4:K4"/>
    <mergeCell ref="A1:G1"/>
    <mergeCell ref="H1:I1"/>
    <mergeCell ref="J1:L1"/>
    <mergeCell ref="M1:N1"/>
    <mergeCell ref="D2:E2"/>
    <mergeCell ref="F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3"/>
  <sheetViews>
    <sheetView workbookViewId="0">
      <selection sqref="A1:XFD13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10.21875" customWidth="1"/>
    <col min="5" max="5" width="10" customWidth="1"/>
    <col min="6" max="6" width="3.33203125" customWidth="1"/>
    <col min="7" max="7" width="13.109375" customWidth="1"/>
    <col min="8" max="8" width="14.88671875" customWidth="1"/>
    <col min="9" max="9" width="15.5546875" customWidth="1"/>
    <col min="10" max="10" width="10.88671875" customWidth="1"/>
    <col min="11" max="11" width="18.6640625" customWidth="1"/>
    <col min="12" max="12" width="10.21875" customWidth="1"/>
    <col min="13" max="13" width="16.21875" customWidth="1"/>
  </cols>
  <sheetData>
    <row r="1" spans="1:13" ht="12.75" customHeight="1" x14ac:dyDescent="0.25">
      <c r="A1" s="74" t="s">
        <v>32</v>
      </c>
      <c r="B1" s="74"/>
      <c r="C1" s="74"/>
      <c r="D1" s="74"/>
      <c r="E1" s="74"/>
      <c r="F1" s="74"/>
      <c r="G1" s="75" t="s">
        <v>33</v>
      </c>
      <c r="H1" s="75"/>
      <c r="I1" s="76" t="s">
        <v>34</v>
      </c>
      <c r="J1" s="76"/>
      <c r="K1" s="76"/>
      <c r="L1" s="77" t="s">
        <v>35</v>
      </c>
      <c r="M1" s="77"/>
    </row>
    <row r="2" spans="1:13" ht="12.75" customHeight="1" x14ac:dyDescent="0.25">
      <c r="A2" s="4" t="s">
        <v>13</v>
      </c>
      <c r="B2" s="5" t="s">
        <v>14</v>
      </c>
      <c r="C2" s="6" t="s">
        <v>15</v>
      </c>
      <c r="D2" s="5" t="s">
        <v>16</v>
      </c>
      <c r="E2" s="78" t="s">
        <v>36</v>
      </c>
      <c r="F2" s="78"/>
      <c r="G2" s="6" t="s">
        <v>37</v>
      </c>
      <c r="H2" s="5" t="s">
        <v>19</v>
      </c>
      <c r="I2" s="5" t="s">
        <v>20</v>
      </c>
      <c r="J2" s="5" t="s">
        <v>21</v>
      </c>
      <c r="K2" s="19" t="s">
        <v>38</v>
      </c>
      <c r="L2" s="9" t="s">
        <v>23</v>
      </c>
      <c r="M2" s="9" t="s">
        <v>39</v>
      </c>
    </row>
    <row r="3" spans="1:13" ht="22.05" customHeight="1" x14ac:dyDescent="0.25">
      <c r="A3" s="10">
        <v>446217</v>
      </c>
      <c r="B3" s="11">
        <v>16633294</v>
      </c>
      <c r="C3" s="12" t="s">
        <v>64</v>
      </c>
      <c r="D3" s="13" t="s">
        <v>26</v>
      </c>
      <c r="E3" s="48" t="s">
        <v>27</v>
      </c>
      <c r="F3" s="93">
        <v>45658</v>
      </c>
      <c r="G3" s="93"/>
      <c r="H3" s="93"/>
      <c r="I3" s="94" t="s">
        <v>28</v>
      </c>
      <c r="J3" s="94"/>
      <c r="K3" s="49" t="s">
        <v>41</v>
      </c>
      <c r="L3" s="17" t="s">
        <v>30</v>
      </c>
      <c r="M3" s="42">
        <v>8.75</v>
      </c>
    </row>
    <row r="4" spans="1:13" ht="12" customHeight="1" x14ac:dyDescent="0.25">
      <c r="A4" s="20">
        <v>443292</v>
      </c>
      <c r="B4" s="21">
        <v>16633294</v>
      </c>
      <c r="C4" s="22" t="s">
        <v>65</v>
      </c>
      <c r="D4" s="23" t="s">
        <v>26</v>
      </c>
      <c r="E4" s="24" t="s">
        <v>27</v>
      </c>
      <c r="F4" s="80">
        <v>45658</v>
      </c>
      <c r="G4" s="80"/>
      <c r="H4" s="80"/>
      <c r="I4" s="81" t="s">
        <v>28</v>
      </c>
      <c r="J4" s="81"/>
      <c r="K4" s="25" t="s">
        <v>41</v>
      </c>
      <c r="L4" s="26" t="s">
        <v>30</v>
      </c>
      <c r="M4" s="27">
        <v>8.75</v>
      </c>
    </row>
    <row r="5" spans="1:13" ht="22.05" customHeight="1" x14ac:dyDescent="0.25">
      <c r="A5" s="28">
        <v>443286</v>
      </c>
      <c r="B5" s="29">
        <v>16633294</v>
      </c>
      <c r="C5" s="30" t="s">
        <v>66</v>
      </c>
      <c r="D5" s="31" t="s">
        <v>26</v>
      </c>
      <c r="E5" s="32" t="s">
        <v>27</v>
      </c>
      <c r="F5" s="82">
        <v>45658</v>
      </c>
      <c r="G5" s="82"/>
      <c r="H5" s="82"/>
      <c r="I5" s="83" t="s">
        <v>28</v>
      </c>
      <c r="J5" s="83"/>
      <c r="K5" s="33" t="s">
        <v>41</v>
      </c>
      <c r="L5" s="34" t="s">
        <v>30</v>
      </c>
      <c r="M5" s="35">
        <v>8.75</v>
      </c>
    </row>
    <row r="6" spans="1:13" ht="12" customHeight="1" x14ac:dyDescent="0.25">
      <c r="A6" s="20">
        <v>444212</v>
      </c>
      <c r="B6" s="21">
        <v>16633294</v>
      </c>
      <c r="C6" s="22" t="s">
        <v>67</v>
      </c>
      <c r="D6" s="23" t="s">
        <v>26</v>
      </c>
      <c r="E6" s="24" t="s">
        <v>27</v>
      </c>
      <c r="F6" s="80">
        <v>45658</v>
      </c>
      <c r="G6" s="80"/>
      <c r="H6" s="80"/>
      <c r="I6" s="81" t="s">
        <v>28</v>
      </c>
      <c r="J6" s="81"/>
      <c r="K6" s="25" t="s">
        <v>41</v>
      </c>
      <c r="L6" s="26" t="s">
        <v>30</v>
      </c>
      <c r="M6" s="27">
        <v>8.75</v>
      </c>
    </row>
    <row r="7" spans="1:13" ht="22.05" customHeight="1" x14ac:dyDescent="0.25">
      <c r="A7" s="28">
        <v>443209</v>
      </c>
      <c r="B7" s="29">
        <v>16633294</v>
      </c>
      <c r="C7" s="30" t="s">
        <v>68</v>
      </c>
      <c r="D7" s="31" t="s">
        <v>26</v>
      </c>
      <c r="E7" s="32" t="s">
        <v>27</v>
      </c>
      <c r="F7" s="82">
        <v>45658</v>
      </c>
      <c r="G7" s="82"/>
      <c r="H7" s="82"/>
      <c r="I7" s="83" t="s">
        <v>28</v>
      </c>
      <c r="J7" s="83"/>
      <c r="K7" s="33" t="s">
        <v>41</v>
      </c>
      <c r="L7" s="34" t="s">
        <v>30</v>
      </c>
      <c r="M7" s="35">
        <v>8.75</v>
      </c>
    </row>
    <row r="8" spans="1:13" ht="12" customHeight="1" x14ac:dyDescent="0.25">
      <c r="A8" s="20">
        <v>440990</v>
      </c>
      <c r="B8" s="21">
        <v>16633294</v>
      </c>
      <c r="C8" s="22" t="s">
        <v>69</v>
      </c>
      <c r="D8" s="23" t="s">
        <v>26</v>
      </c>
      <c r="E8" s="24" t="s">
        <v>27</v>
      </c>
      <c r="F8" s="80">
        <v>45658</v>
      </c>
      <c r="G8" s="80"/>
      <c r="H8" s="80"/>
      <c r="I8" s="81" t="s">
        <v>28</v>
      </c>
      <c r="J8" s="81"/>
      <c r="K8" s="25" t="s">
        <v>41</v>
      </c>
      <c r="L8" s="26" t="s">
        <v>30</v>
      </c>
      <c r="M8" s="27">
        <v>8.75</v>
      </c>
    </row>
    <row r="9" spans="1:13" ht="22.05" customHeight="1" x14ac:dyDescent="0.25">
      <c r="A9" s="28">
        <v>445753</v>
      </c>
      <c r="B9" s="29">
        <v>16633294</v>
      </c>
      <c r="C9" s="30" t="s">
        <v>70</v>
      </c>
      <c r="D9" s="31" t="s">
        <v>26</v>
      </c>
      <c r="E9" s="32" t="s">
        <v>27</v>
      </c>
      <c r="F9" s="82">
        <v>45658</v>
      </c>
      <c r="G9" s="82"/>
      <c r="H9" s="82"/>
      <c r="I9" s="83" t="s">
        <v>28</v>
      </c>
      <c r="J9" s="83"/>
      <c r="K9" s="33" t="s">
        <v>41</v>
      </c>
      <c r="L9" s="34" t="s">
        <v>30</v>
      </c>
      <c r="M9" s="35">
        <v>8.75</v>
      </c>
    </row>
    <row r="10" spans="1:13" ht="12" customHeight="1" x14ac:dyDescent="0.25">
      <c r="A10" s="20">
        <v>446673</v>
      </c>
      <c r="B10" s="21">
        <v>16633294</v>
      </c>
      <c r="C10" s="22" t="s">
        <v>71</v>
      </c>
      <c r="D10" s="23" t="s">
        <v>26</v>
      </c>
      <c r="E10" s="24" t="s">
        <v>27</v>
      </c>
      <c r="F10" s="80">
        <v>45658</v>
      </c>
      <c r="G10" s="80"/>
      <c r="H10" s="80"/>
      <c r="I10" s="81" t="s">
        <v>28</v>
      </c>
      <c r="J10" s="81"/>
      <c r="K10" s="25" t="s">
        <v>41</v>
      </c>
      <c r="L10" s="26" t="s">
        <v>30</v>
      </c>
      <c r="M10" s="27">
        <v>8.75</v>
      </c>
    </row>
    <row r="11" spans="1:13" ht="21.3" customHeight="1" x14ac:dyDescent="0.25">
      <c r="A11" s="28">
        <v>447931</v>
      </c>
      <c r="B11" s="29">
        <v>16633294</v>
      </c>
      <c r="C11" s="30" t="s">
        <v>72</v>
      </c>
      <c r="D11" s="31" t="s">
        <v>26</v>
      </c>
      <c r="E11" s="32" t="s">
        <v>27</v>
      </c>
      <c r="F11" s="82">
        <v>45658</v>
      </c>
      <c r="G11" s="82"/>
      <c r="H11" s="82"/>
      <c r="I11" s="83" t="s">
        <v>28</v>
      </c>
      <c r="J11" s="83"/>
      <c r="K11" s="33" t="s">
        <v>41</v>
      </c>
      <c r="L11" s="34" t="s">
        <v>30</v>
      </c>
      <c r="M11" s="35">
        <v>8.75</v>
      </c>
    </row>
    <row r="12" spans="1:13" ht="19.8" customHeight="1" x14ac:dyDescent="0.25">
      <c r="A12" s="36"/>
      <c r="B12" s="36"/>
      <c r="C12" s="36"/>
      <c r="D12" s="36"/>
      <c r="E12" s="36"/>
      <c r="F12" s="84" t="s">
        <v>46</v>
      </c>
      <c r="G12" s="84"/>
      <c r="H12" s="84"/>
      <c r="I12" s="85"/>
      <c r="J12" s="85"/>
      <c r="K12" s="36"/>
      <c r="L12" s="36"/>
      <c r="M12" s="37">
        <v>78.75</v>
      </c>
    </row>
    <row r="13" spans="1:13" ht="19.05" customHeight="1" x14ac:dyDescent="0.25">
      <c r="A13" s="36"/>
      <c r="B13" s="36"/>
      <c r="C13" s="86" t="s">
        <v>47</v>
      </c>
      <c r="D13" s="86"/>
      <c r="E13" s="50">
        <v>16633294</v>
      </c>
      <c r="F13" s="87" t="s">
        <v>73</v>
      </c>
      <c r="G13" s="87"/>
      <c r="H13" s="87"/>
      <c r="I13" s="85"/>
      <c r="J13" s="85"/>
      <c r="K13" s="36"/>
      <c r="L13" s="36"/>
      <c r="M13" s="37">
        <v>78.75</v>
      </c>
    </row>
  </sheetData>
  <mergeCells count="28">
    <mergeCell ref="F12:H12"/>
    <mergeCell ref="I12:J12"/>
    <mergeCell ref="C13:D13"/>
    <mergeCell ref="F13:H13"/>
    <mergeCell ref="I13:J13"/>
    <mergeCell ref="F9:H9"/>
    <mergeCell ref="I9:J9"/>
    <mergeCell ref="F10:H10"/>
    <mergeCell ref="I10:J10"/>
    <mergeCell ref="F11:H11"/>
    <mergeCell ref="I11:J11"/>
    <mergeCell ref="F6:H6"/>
    <mergeCell ref="I6:J6"/>
    <mergeCell ref="F7:H7"/>
    <mergeCell ref="I7:J7"/>
    <mergeCell ref="F8:H8"/>
    <mergeCell ref="I8:J8"/>
    <mergeCell ref="F3:H3"/>
    <mergeCell ref="I3:J3"/>
    <mergeCell ref="F4:H4"/>
    <mergeCell ref="I4:J4"/>
    <mergeCell ref="F5:H5"/>
    <mergeCell ref="I5:J5"/>
    <mergeCell ref="A1:F1"/>
    <mergeCell ref="G1:H1"/>
    <mergeCell ref="I1:K1"/>
    <mergeCell ref="L1:M1"/>
    <mergeCell ref="E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"/>
  <sheetViews>
    <sheetView workbookViewId="0">
      <selection sqref="A1:XFD5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10.6640625" customWidth="1"/>
    <col min="5" max="5" width="13.109375" customWidth="1"/>
    <col min="6" max="6" width="12.88671875" customWidth="1"/>
    <col min="7" max="7" width="14.88671875" customWidth="1"/>
    <col min="8" max="8" width="15.5546875" customWidth="1"/>
    <col min="9" max="9" width="8.21875" customWidth="1"/>
    <col min="10" max="10" width="2.44140625" customWidth="1"/>
    <col min="11" max="11" width="18.6640625" customWidth="1"/>
    <col min="12" max="12" width="10.21875" customWidth="1"/>
    <col min="13" max="13" width="16.44140625" customWidth="1"/>
    <col min="14" max="14" width="2.44140625" customWidth="1"/>
  </cols>
  <sheetData>
    <row r="1" spans="1:14" ht="25.5" customHeight="1" x14ac:dyDescent="0.25">
      <c r="A1" s="4" t="s">
        <v>13</v>
      </c>
      <c r="B1" s="5" t="s">
        <v>14</v>
      </c>
      <c r="C1" s="6" t="s">
        <v>15</v>
      </c>
      <c r="D1" s="5" t="s">
        <v>16</v>
      </c>
      <c r="E1" s="7" t="s">
        <v>17</v>
      </c>
      <c r="F1" s="8" t="s">
        <v>18</v>
      </c>
      <c r="G1" s="5" t="s">
        <v>19</v>
      </c>
      <c r="H1" s="5" t="s">
        <v>20</v>
      </c>
      <c r="I1" s="69" t="s">
        <v>21</v>
      </c>
      <c r="J1" s="69"/>
      <c r="K1" s="8" t="s">
        <v>22</v>
      </c>
      <c r="L1" s="9" t="s">
        <v>23</v>
      </c>
      <c r="M1" s="8" t="s">
        <v>24</v>
      </c>
    </row>
    <row r="2" spans="1:14" ht="5.25" customHeight="1" x14ac:dyDescent="0.25">
      <c r="A2" s="16"/>
      <c r="B2" s="16"/>
      <c r="C2" s="16"/>
      <c r="D2" s="16"/>
      <c r="E2" s="16"/>
      <c r="F2" s="16"/>
      <c r="G2" s="16"/>
      <c r="H2" s="16"/>
      <c r="I2" s="79"/>
      <c r="J2" s="79"/>
      <c r="K2" s="16"/>
      <c r="L2" s="16"/>
      <c r="M2" s="16"/>
    </row>
    <row r="3" spans="1:14" ht="12" customHeight="1" x14ac:dyDescent="0.25">
      <c r="A3" s="20">
        <v>475710</v>
      </c>
      <c r="B3" s="21">
        <v>8814784</v>
      </c>
      <c r="C3" s="22" t="s">
        <v>25</v>
      </c>
      <c r="D3" s="23" t="s">
        <v>26</v>
      </c>
      <c r="E3" s="46" t="s">
        <v>27</v>
      </c>
      <c r="F3" s="47">
        <v>46113</v>
      </c>
      <c r="G3" s="45"/>
      <c r="H3" s="45"/>
      <c r="I3" s="88" t="s">
        <v>28</v>
      </c>
      <c r="J3" s="88"/>
      <c r="K3" s="26" t="s">
        <v>29</v>
      </c>
      <c r="L3" s="26" t="s">
        <v>30</v>
      </c>
      <c r="M3" s="51">
        <v>694</v>
      </c>
    </row>
    <row r="4" spans="1:14" ht="12.75" customHeight="1" x14ac:dyDescent="0.25">
      <c r="A4" s="71" t="s">
        <v>74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 ht="15" customHeight="1" x14ac:dyDescent="0.25">
      <c r="A5" s="72" t="s">
        <v>31</v>
      </c>
      <c r="B5" s="72"/>
      <c r="C5" s="72"/>
      <c r="D5" s="72"/>
      <c r="E5" s="72"/>
      <c r="F5" s="72"/>
      <c r="G5" s="72"/>
      <c r="H5" s="72"/>
      <c r="I5" s="72"/>
      <c r="J5" s="73">
        <v>694</v>
      </c>
      <c r="K5" s="73"/>
      <c r="L5" s="73"/>
      <c r="M5" s="73"/>
      <c r="N5" s="73"/>
    </row>
  </sheetData>
  <mergeCells count="6">
    <mergeCell ref="I1:J1"/>
    <mergeCell ref="I2:J2"/>
    <mergeCell ref="I3:J3"/>
    <mergeCell ref="A4:N4"/>
    <mergeCell ref="A5:I5"/>
    <mergeCell ref="J5:N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9"/>
  <sheetViews>
    <sheetView workbookViewId="0">
      <selection sqref="A1:XFD9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10.6640625" customWidth="1"/>
    <col min="5" max="5" width="9.5546875" customWidth="1"/>
    <col min="6" max="6" width="3.33203125" customWidth="1"/>
    <col min="7" max="7" width="13.109375" customWidth="1"/>
    <col min="8" max="8" width="14.88671875" customWidth="1"/>
    <col min="9" max="9" width="15.5546875" customWidth="1"/>
    <col min="10" max="10" width="10.88671875" customWidth="1"/>
    <col min="11" max="11" width="18.6640625" customWidth="1"/>
    <col min="12" max="12" width="10.21875" customWidth="1"/>
    <col min="13" max="13" width="16.21875" customWidth="1"/>
  </cols>
  <sheetData>
    <row r="1" spans="1:13" ht="12.75" customHeight="1" x14ac:dyDescent="0.25">
      <c r="A1" s="74" t="s">
        <v>32</v>
      </c>
      <c r="B1" s="74"/>
      <c r="C1" s="74"/>
      <c r="D1" s="74"/>
      <c r="E1" s="74"/>
      <c r="F1" s="74"/>
      <c r="G1" s="75" t="s">
        <v>33</v>
      </c>
      <c r="H1" s="75"/>
      <c r="I1" s="76" t="s">
        <v>34</v>
      </c>
      <c r="J1" s="76"/>
      <c r="K1" s="76"/>
      <c r="L1" s="77" t="s">
        <v>35</v>
      </c>
      <c r="M1" s="77"/>
    </row>
    <row r="2" spans="1:13" ht="12.75" customHeight="1" x14ac:dyDescent="0.25">
      <c r="A2" s="4" t="s">
        <v>13</v>
      </c>
      <c r="B2" s="5" t="s">
        <v>14</v>
      </c>
      <c r="C2" s="6" t="s">
        <v>15</v>
      </c>
      <c r="D2" s="5" t="s">
        <v>16</v>
      </c>
      <c r="E2" s="78" t="s">
        <v>36</v>
      </c>
      <c r="F2" s="78"/>
      <c r="G2" s="6" t="s">
        <v>37</v>
      </c>
      <c r="H2" s="5" t="s">
        <v>19</v>
      </c>
      <c r="I2" s="5" t="s">
        <v>20</v>
      </c>
      <c r="J2" s="5" t="s">
        <v>21</v>
      </c>
      <c r="K2" s="19" t="s">
        <v>38</v>
      </c>
      <c r="L2" s="9" t="s">
        <v>23</v>
      </c>
      <c r="M2" s="9" t="s">
        <v>39</v>
      </c>
    </row>
    <row r="3" spans="1:13" ht="22.05" customHeight="1" x14ac:dyDescent="0.25">
      <c r="A3" s="10">
        <v>449350</v>
      </c>
      <c r="B3" s="11">
        <v>2158366</v>
      </c>
      <c r="C3" s="12" t="s">
        <v>40</v>
      </c>
      <c r="D3" s="13" t="s">
        <v>26</v>
      </c>
      <c r="E3" s="48" t="s">
        <v>27</v>
      </c>
      <c r="F3" s="93">
        <v>45717</v>
      </c>
      <c r="G3" s="93"/>
      <c r="H3" s="93"/>
      <c r="I3" s="94" t="s">
        <v>28</v>
      </c>
      <c r="J3" s="94"/>
      <c r="K3" s="49" t="s">
        <v>41</v>
      </c>
      <c r="L3" s="17" t="s">
        <v>30</v>
      </c>
      <c r="M3" s="42">
        <v>28.92</v>
      </c>
    </row>
    <row r="4" spans="1:13" ht="12" customHeight="1" x14ac:dyDescent="0.25">
      <c r="A4" s="20">
        <v>439383</v>
      </c>
      <c r="B4" s="21">
        <v>2158366</v>
      </c>
      <c r="C4" s="22" t="s">
        <v>43</v>
      </c>
      <c r="D4" s="23" t="s">
        <v>26</v>
      </c>
      <c r="E4" s="24" t="s">
        <v>27</v>
      </c>
      <c r="F4" s="80">
        <v>45658</v>
      </c>
      <c r="G4" s="80"/>
      <c r="H4" s="80"/>
      <c r="I4" s="81" t="s">
        <v>28</v>
      </c>
      <c r="J4" s="81"/>
      <c r="K4" s="25" t="s">
        <v>41</v>
      </c>
      <c r="L4" s="26" t="s">
        <v>30</v>
      </c>
      <c r="M4" s="27">
        <v>28.92</v>
      </c>
    </row>
    <row r="5" spans="1:13" ht="22.05" customHeight="1" x14ac:dyDescent="0.25">
      <c r="A5" s="28">
        <v>439384</v>
      </c>
      <c r="B5" s="29">
        <v>2158366</v>
      </c>
      <c r="C5" s="30" t="s">
        <v>42</v>
      </c>
      <c r="D5" s="31" t="s">
        <v>26</v>
      </c>
      <c r="E5" s="32" t="s">
        <v>27</v>
      </c>
      <c r="F5" s="82">
        <v>45658</v>
      </c>
      <c r="G5" s="82"/>
      <c r="H5" s="82"/>
      <c r="I5" s="83" t="s">
        <v>28</v>
      </c>
      <c r="J5" s="83"/>
      <c r="K5" s="33" t="s">
        <v>41</v>
      </c>
      <c r="L5" s="34" t="s">
        <v>30</v>
      </c>
      <c r="M5" s="35">
        <v>28.92</v>
      </c>
    </row>
    <row r="6" spans="1:13" ht="12" customHeight="1" x14ac:dyDescent="0.25">
      <c r="A6" s="20">
        <v>442876</v>
      </c>
      <c r="B6" s="21">
        <v>2158366</v>
      </c>
      <c r="C6" s="22" t="s">
        <v>44</v>
      </c>
      <c r="D6" s="23" t="s">
        <v>26</v>
      </c>
      <c r="E6" s="24" t="s">
        <v>27</v>
      </c>
      <c r="F6" s="80">
        <v>45658</v>
      </c>
      <c r="G6" s="80"/>
      <c r="H6" s="80"/>
      <c r="I6" s="81" t="s">
        <v>28</v>
      </c>
      <c r="J6" s="81"/>
      <c r="K6" s="25" t="s">
        <v>41</v>
      </c>
      <c r="L6" s="26" t="s">
        <v>30</v>
      </c>
      <c r="M6" s="27">
        <v>28.92</v>
      </c>
    </row>
    <row r="7" spans="1:13" ht="21.3" customHeight="1" x14ac:dyDescent="0.25">
      <c r="A7" s="28">
        <v>445341</v>
      </c>
      <c r="B7" s="29">
        <v>2158366</v>
      </c>
      <c r="C7" s="30" t="s">
        <v>45</v>
      </c>
      <c r="D7" s="31" t="s">
        <v>26</v>
      </c>
      <c r="E7" s="32" t="s">
        <v>27</v>
      </c>
      <c r="F7" s="82">
        <v>45658</v>
      </c>
      <c r="G7" s="82"/>
      <c r="H7" s="82"/>
      <c r="I7" s="83" t="s">
        <v>28</v>
      </c>
      <c r="J7" s="83"/>
      <c r="K7" s="33" t="s">
        <v>41</v>
      </c>
      <c r="L7" s="34" t="s">
        <v>30</v>
      </c>
      <c r="M7" s="35">
        <v>28.92</v>
      </c>
    </row>
    <row r="8" spans="1:13" ht="19.8" customHeight="1" x14ac:dyDescent="0.25">
      <c r="A8" s="36"/>
      <c r="B8" s="36"/>
      <c r="C8" s="36"/>
      <c r="D8" s="36"/>
      <c r="E8" s="36"/>
      <c r="F8" s="84" t="s">
        <v>46</v>
      </c>
      <c r="G8" s="84"/>
      <c r="H8" s="84"/>
      <c r="I8" s="85"/>
      <c r="J8" s="85"/>
      <c r="K8" s="36"/>
      <c r="L8" s="36"/>
      <c r="M8" s="37">
        <v>144.6</v>
      </c>
    </row>
    <row r="9" spans="1:13" ht="19.05" customHeight="1" x14ac:dyDescent="0.25">
      <c r="A9" s="36"/>
      <c r="B9" s="36"/>
      <c r="C9" s="86" t="s">
        <v>47</v>
      </c>
      <c r="D9" s="86"/>
      <c r="E9" s="38">
        <v>2158366</v>
      </c>
      <c r="F9" s="87" t="s">
        <v>48</v>
      </c>
      <c r="G9" s="87"/>
      <c r="H9" s="87"/>
      <c r="I9" s="85"/>
      <c r="J9" s="85"/>
      <c r="K9" s="36"/>
      <c r="L9" s="36"/>
      <c r="M9" s="37">
        <v>144.6</v>
      </c>
    </row>
  </sheetData>
  <mergeCells count="20">
    <mergeCell ref="C9:D9"/>
    <mergeCell ref="F9:H9"/>
    <mergeCell ref="I9:J9"/>
    <mergeCell ref="F6:H6"/>
    <mergeCell ref="I6:J6"/>
    <mergeCell ref="F7:H7"/>
    <mergeCell ref="I7:J7"/>
    <mergeCell ref="F8:H8"/>
    <mergeCell ref="I8:J8"/>
    <mergeCell ref="F3:H3"/>
    <mergeCell ref="I3:J3"/>
    <mergeCell ref="F4:H4"/>
    <mergeCell ref="I4:J4"/>
    <mergeCell ref="F5:H5"/>
    <mergeCell ref="I5:J5"/>
    <mergeCell ref="A1:F1"/>
    <mergeCell ref="G1:H1"/>
    <mergeCell ref="I1:K1"/>
    <mergeCell ref="L1:M1"/>
    <mergeCell ref="E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6"/>
  <sheetViews>
    <sheetView workbookViewId="0">
      <selection sqref="A1:XFD6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10.6640625" customWidth="1"/>
    <col min="5" max="5" width="13.109375" customWidth="1"/>
    <col min="6" max="6" width="12.88671875" customWidth="1"/>
    <col min="7" max="7" width="14.88671875" customWidth="1"/>
    <col min="8" max="8" width="15.5546875" customWidth="1"/>
    <col min="9" max="9" width="8.88671875" customWidth="1"/>
    <col min="10" max="10" width="1.77734375" customWidth="1"/>
    <col min="11" max="11" width="18.6640625" customWidth="1"/>
    <col min="12" max="12" width="10.21875" customWidth="1"/>
    <col min="13" max="13" width="16.44140625" customWidth="1"/>
    <col min="14" max="14" width="2.21875" customWidth="1"/>
  </cols>
  <sheetData>
    <row r="1" spans="1:14" ht="25.5" customHeight="1" x14ac:dyDescent="0.25">
      <c r="A1" s="4" t="s">
        <v>13</v>
      </c>
      <c r="B1" s="5" t="s">
        <v>14</v>
      </c>
      <c r="C1" s="6" t="s">
        <v>15</v>
      </c>
      <c r="D1" s="5" t="s">
        <v>16</v>
      </c>
      <c r="E1" s="7" t="s">
        <v>17</v>
      </c>
      <c r="F1" s="8" t="s">
        <v>18</v>
      </c>
      <c r="G1" s="5" t="s">
        <v>19</v>
      </c>
      <c r="H1" s="5" t="s">
        <v>20</v>
      </c>
      <c r="I1" s="69" t="s">
        <v>21</v>
      </c>
      <c r="J1" s="69"/>
      <c r="K1" s="8" t="s">
        <v>22</v>
      </c>
      <c r="L1" s="9" t="s">
        <v>23</v>
      </c>
      <c r="M1" s="8" t="s">
        <v>24</v>
      </c>
    </row>
    <row r="2" spans="1:14" ht="5.25" customHeight="1" x14ac:dyDescent="0.25">
      <c r="A2" s="16"/>
      <c r="B2" s="16"/>
      <c r="C2" s="16"/>
      <c r="D2" s="16"/>
      <c r="E2" s="16"/>
      <c r="F2" s="16"/>
      <c r="G2" s="16"/>
      <c r="H2" s="16"/>
      <c r="I2" s="79"/>
      <c r="J2" s="79"/>
      <c r="K2" s="16"/>
      <c r="L2" s="16"/>
      <c r="M2" s="16"/>
    </row>
    <row r="3" spans="1:14" ht="12" customHeight="1" x14ac:dyDescent="0.25">
      <c r="A3" s="20">
        <v>448295</v>
      </c>
      <c r="B3" s="21">
        <v>19645587</v>
      </c>
      <c r="C3" s="22" t="s">
        <v>49</v>
      </c>
      <c r="D3" s="23" t="s">
        <v>26</v>
      </c>
      <c r="E3" s="43" t="s">
        <v>50</v>
      </c>
      <c r="F3" s="44">
        <v>45658</v>
      </c>
      <c r="G3" s="45"/>
      <c r="H3" s="45"/>
      <c r="I3" s="88" t="s">
        <v>28</v>
      </c>
      <c r="J3" s="88"/>
      <c r="K3" s="26" t="s">
        <v>41</v>
      </c>
      <c r="L3" s="26" t="s">
        <v>30</v>
      </c>
      <c r="M3" s="27">
        <v>28.92</v>
      </c>
    </row>
    <row r="4" spans="1:14" ht="15.45" customHeight="1" x14ac:dyDescent="0.25">
      <c r="A4" s="28">
        <v>439914</v>
      </c>
      <c r="B4" s="29">
        <v>19645587</v>
      </c>
      <c r="C4" s="30" t="s">
        <v>51</v>
      </c>
      <c r="D4" s="31" t="s">
        <v>26</v>
      </c>
      <c r="E4" s="52" t="s">
        <v>27</v>
      </c>
      <c r="F4" s="53">
        <v>45658</v>
      </c>
      <c r="G4" s="54"/>
      <c r="H4" s="54"/>
      <c r="I4" s="97" t="s">
        <v>28</v>
      </c>
      <c r="J4" s="97"/>
      <c r="K4" s="34" t="s">
        <v>41</v>
      </c>
      <c r="L4" s="34" t="s">
        <v>30</v>
      </c>
      <c r="M4" s="35">
        <v>28.92</v>
      </c>
    </row>
    <row r="5" spans="1:14" ht="12.75" customHeight="1" x14ac:dyDescent="0.25">
      <c r="A5" s="71" t="s">
        <v>75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</row>
    <row r="6" spans="1:14" ht="15" customHeight="1" x14ac:dyDescent="0.25">
      <c r="A6" s="72" t="s">
        <v>53</v>
      </c>
      <c r="B6" s="72"/>
      <c r="C6" s="72"/>
      <c r="D6" s="72"/>
      <c r="E6" s="72"/>
      <c r="F6" s="72"/>
      <c r="G6" s="72"/>
      <c r="H6" s="72"/>
      <c r="I6" s="72"/>
      <c r="J6" s="89">
        <v>57.84</v>
      </c>
      <c r="K6" s="89"/>
      <c r="L6" s="89"/>
      <c r="M6" s="89"/>
      <c r="N6" s="89"/>
    </row>
  </sheetData>
  <mergeCells count="7">
    <mergeCell ref="A6:I6"/>
    <mergeCell ref="J6:N6"/>
    <mergeCell ref="I1:J1"/>
    <mergeCell ref="I2:J2"/>
    <mergeCell ref="I3:J3"/>
    <mergeCell ref="I4:J4"/>
    <mergeCell ref="A5:N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"/>
  <sheetViews>
    <sheetView workbookViewId="0">
      <selection sqref="A1:XFD5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10.6640625" customWidth="1"/>
    <col min="5" max="5" width="13.109375" customWidth="1"/>
    <col min="6" max="6" width="12.88671875" customWidth="1"/>
    <col min="7" max="7" width="14.88671875" customWidth="1"/>
    <col min="8" max="8" width="15.5546875" customWidth="1"/>
    <col min="9" max="9" width="9.5546875" customWidth="1"/>
    <col min="10" max="10" width="1.33203125" customWidth="1"/>
    <col min="11" max="11" width="18.6640625" customWidth="1"/>
    <col min="12" max="12" width="10.21875" customWidth="1"/>
    <col min="13" max="13" width="16.44140625" customWidth="1"/>
    <col min="14" max="14" width="2.44140625" customWidth="1"/>
  </cols>
  <sheetData>
    <row r="1" spans="1:14" ht="25.5" customHeight="1" x14ac:dyDescent="0.25">
      <c r="A1" s="4" t="s">
        <v>13</v>
      </c>
      <c r="B1" s="5" t="s">
        <v>14</v>
      </c>
      <c r="C1" s="6" t="s">
        <v>15</v>
      </c>
      <c r="D1" s="5" t="s">
        <v>16</v>
      </c>
      <c r="E1" s="7" t="s">
        <v>17</v>
      </c>
      <c r="F1" s="8" t="s">
        <v>18</v>
      </c>
      <c r="G1" s="5" t="s">
        <v>19</v>
      </c>
      <c r="H1" s="5" t="s">
        <v>20</v>
      </c>
      <c r="I1" s="69" t="s">
        <v>21</v>
      </c>
      <c r="J1" s="69"/>
      <c r="K1" s="8" t="s">
        <v>22</v>
      </c>
      <c r="L1" s="9" t="s">
        <v>23</v>
      </c>
      <c r="M1" s="8" t="s">
        <v>24</v>
      </c>
    </row>
    <row r="2" spans="1:14" ht="5.25" customHeight="1" x14ac:dyDescent="0.25">
      <c r="A2" s="16"/>
      <c r="B2" s="16"/>
      <c r="C2" s="16"/>
      <c r="D2" s="16"/>
      <c r="E2" s="16"/>
      <c r="F2" s="16"/>
      <c r="G2" s="16"/>
      <c r="H2" s="16"/>
      <c r="I2" s="79"/>
      <c r="J2" s="79"/>
      <c r="K2" s="16"/>
      <c r="L2" s="16"/>
      <c r="M2" s="16"/>
    </row>
    <row r="3" spans="1:14" ht="12" customHeight="1" x14ac:dyDescent="0.25">
      <c r="A3" s="20">
        <v>444055</v>
      </c>
      <c r="B3" s="21">
        <v>19615078</v>
      </c>
      <c r="C3" s="22" t="s">
        <v>54</v>
      </c>
      <c r="D3" s="23" t="s">
        <v>26</v>
      </c>
      <c r="E3" s="46" t="s">
        <v>27</v>
      </c>
      <c r="F3" s="47">
        <v>45658</v>
      </c>
      <c r="G3" s="45"/>
      <c r="H3" s="45"/>
      <c r="I3" s="88" t="s">
        <v>28</v>
      </c>
      <c r="J3" s="88"/>
      <c r="K3" s="26" t="s">
        <v>41</v>
      </c>
      <c r="L3" s="26" t="s">
        <v>30</v>
      </c>
      <c r="M3" s="51">
        <v>28.92</v>
      </c>
    </row>
    <row r="4" spans="1:14" ht="12.75" customHeight="1" x14ac:dyDescent="0.25">
      <c r="A4" s="71" t="s">
        <v>76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 ht="15" customHeight="1" x14ac:dyDescent="0.25">
      <c r="A5" s="72" t="s">
        <v>56</v>
      </c>
      <c r="B5" s="72"/>
      <c r="C5" s="72"/>
      <c r="D5" s="72"/>
      <c r="E5" s="72"/>
      <c r="F5" s="72"/>
      <c r="G5" s="72"/>
      <c r="H5" s="72"/>
      <c r="I5" s="72"/>
      <c r="J5" s="89">
        <v>28.92</v>
      </c>
      <c r="K5" s="89"/>
      <c r="L5" s="89"/>
      <c r="M5" s="89"/>
      <c r="N5" s="89"/>
    </row>
  </sheetData>
  <mergeCells count="6">
    <mergeCell ref="I1:J1"/>
    <mergeCell ref="I2:J2"/>
    <mergeCell ref="I3:J3"/>
    <mergeCell ref="A4:N4"/>
    <mergeCell ref="A5:I5"/>
    <mergeCell ref="J5:N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"/>
  <sheetViews>
    <sheetView workbookViewId="0">
      <selection sqref="A1:XFD4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10.6640625" customWidth="1"/>
    <col min="5" max="5" width="13.109375" customWidth="1"/>
    <col min="6" max="6" width="12.88671875" customWidth="1"/>
    <col min="7" max="7" width="14.88671875" customWidth="1"/>
    <col min="8" max="8" width="15.5546875" customWidth="1"/>
    <col min="9" max="9" width="10.6640625" customWidth="1"/>
    <col min="10" max="10" width="18.88671875" customWidth="1"/>
    <col min="11" max="11" width="10.21875" customWidth="1"/>
    <col min="12" max="12" width="16.21875" customWidth="1"/>
    <col min="13" max="13" width="2.6640625" customWidth="1"/>
  </cols>
  <sheetData>
    <row r="1" spans="1:13" ht="25.5" customHeight="1" x14ac:dyDescent="0.25">
      <c r="A1" s="4" t="s">
        <v>13</v>
      </c>
      <c r="B1" s="5" t="s">
        <v>14</v>
      </c>
      <c r="C1" s="6" t="s">
        <v>15</v>
      </c>
      <c r="D1" s="5" t="s">
        <v>16</v>
      </c>
      <c r="E1" s="7" t="s">
        <v>17</v>
      </c>
      <c r="F1" s="8" t="s">
        <v>18</v>
      </c>
      <c r="G1" s="5" t="s">
        <v>19</v>
      </c>
      <c r="H1" s="5" t="s">
        <v>20</v>
      </c>
      <c r="I1" s="9" t="s">
        <v>21</v>
      </c>
      <c r="J1" s="8" t="s">
        <v>22</v>
      </c>
      <c r="K1" s="9" t="s">
        <v>23</v>
      </c>
      <c r="L1" s="8" t="s">
        <v>24</v>
      </c>
    </row>
    <row r="2" spans="1:13" ht="15.45" customHeight="1" x14ac:dyDescent="0.25">
      <c r="A2" s="10">
        <v>446535</v>
      </c>
      <c r="B2" s="11">
        <v>17301495</v>
      </c>
      <c r="C2" s="12" t="s">
        <v>57</v>
      </c>
      <c r="D2" s="13" t="s">
        <v>26</v>
      </c>
      <c r="E2" s="14" t="s">
        <v>27</v>
      </c>
      <c r="F2" s="15">
        <v>45658</v>
      </c>
      <c r="G2" s="16"/>
      <c r="H2" s="16"/>
      <c r="I2" s="17" t="s">
        <v>28</v>
      </c>
      <c r="J2" s="17" t="s">
        <v>41</v>
      </c>
      <c r="K2" s="17" t="s">
        <v>30</v>
      </c>
      <c r="L2" s="18">
        <v>28.92</v>
      </c>
    </row>
    <row r="3" spans="1:13" ht="12.75" customHeight="1" x14ac:dyDescent="0.25">
      <c r="A3" s="71" t="s">
        <v>76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</row>
    <row r="4" spans="1:13" ht="15" customHeight="1" x14ac:dyDescent="0.25">
      <c r="A4" s="72" t="s">
        <v>58</v>
      </c>
      <c r="B4" s="72"/>
      <c r="C4" s="72"/>
      <c r="D4" s="72"/>
      <c r="E4" s="72"/>
      <c r="F4" s="72"/>
      <c r="G4" s="72"/>
      <c r="H4" s="72"/>
      <c r="I4" s="72"/>
      <c r="J4" s="89">
        <v>28.92</v>
      </c>
      <c r="K4" s="89"/>
      <c r="L4" s="89"/>
      <c r="M4" s="89"/>
    </row>
  </sheetData>
  <mergeCells count="3">
    <mergeCell ref="A3:M3"/>
    <mergeCell ref="A4:I4"/>
    <mergeCell ref="J4:M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9"/>
  <sheetViews>
    <sheetView workbookViewId="0">
      <selection sqref="A1:XFD9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6" customWidth="1"/>
    <col min="5" max="5" width="10.21875" customWidth="1"/>
    <col min="6" max="6" width="3.77734375" customWidth="1"/>
    <col min="7" max="7" width="3.5546875" customWidth="1"/>
    <col min="8" max="8" width="12.88671875" customWidth="1"/>
    <col min="9" max="9" width="14.88671875" customWidth="1"/>
    <col min="10" max="10" width="15.5546875" customWidth="1"/>
    <col min="11" max="11" width="10.88671875" customWidth="1"/>
    <col min="12" max="12" width="18.6640625" customWidth="1"/>
    <col min="13" max="13" width="10.21875" customWidth="1"/>
    <col min="14" max="14" width="16.44140625" customWidth="1"/>
  </cols>
  <sheetData>
    <row r="1" spans="1:14" ht="12.75" customHeight="1" x14ac:dyDescent="0.25">
      <c r="A1" s="74" t="s">
        <v>32</v>
      </c>
      <c r="B1" s="74"/>
      <c r="C1" s="74"/>
      <c r="D1" s="74"/>
      <c r="E1" s="74"/>
      <c r="F1" s="74"/>
      <c r="G1" s="74"/>
      <c r="H1" s="75" t="s">
        <v>33</v>
      </c>
      <c r="I1" s="75"/>
      <c r="J1" s="76" t="s">
        <v>34</v>
      </c>
      <c r="K1" s="76"/>
      <c r="L1" s="76"/>
      <c r="M1" s="77" t="s">
        <v>35</v>
      </c>
      <c r="N1" s="77"/>
    </row>
    <row r="2" spans="1:14" ht="12.75" customHeight="1" x14ac:dyDescent="0.25">
      <c r="A2" s="4" t="s">
        <v>13</v>
      </c>
      <c r="B2" s="5" t="s">
        <v>14</v>
      </c>
      <c r="C2" s="6" t="s">
        <v>15</v>
      </c>
      <c r="D2" s="90" t="s">
        <v>16</v>
      </c>
      <c r="E2" s="90"/>
      <c r="F2" s="91" t="s">
        <v>36</v>
      </c>
      <c r="G2" s="91"/>
      <c r="H2" s="6" t="s">
        <v>37</v>
      </c>
      <c r="I2" s="5" t="s">
        <v>19</v>
      </c>
      <c r="J2" s="5" t="s">
        <v>20</v>
      </c>
      <c r="K2" s="5" t="s">
        <v>21</v>
      </c>
      <c r="L2" s="19" t="s">
        <v>38</v>
      </c>
      <c r="M2" s="9" t="s">
        <v>23</v>
      </c>
      <c r="N2" s="9" t="s">
        <v>39</v>
      </c>
    </row>
    <row r="3" spans="1:14" ht="5.25" customHeight="1" x14ac:dyDescent="0.25">
      <c r="A3" s="16"/>
      <c r="B3" s="16"/>
      <c r="C3" s="16"/>
      <c r="D3" s="79"/>
      <c r="E3" s="79"/>
      <c r="F3" s="79"/>
      <c r="G3" s="79"/>
      <c r="H3" s="16"/>
      <c r="I3" s="16"/>
      <c r="J3" s="16"/>
      <c r="K3" s="16"/>
      <c r="L3" s="16"/>
      <c r="M3" s="16"/>
      <c r="N3" s="16"/>
    </row>
    <row r="4" spans="1:14" ht="12" customHeight="1" x14ac:dyDescent="0.25">
      <c r="A4" s="20">
        <v>447954</v>
      </c>
      <c r="B4" s="21">
        <v>16912722</v>
      </c>
      <c r="C4" s="22" t="s">
        <v>59</v>
      </c>
      <c r="D4" s="95" t="s">
        <v>26</v>
      </c>
      <c r="E4" s="95"/>
      <c r="F4" s="24" t="s">
        <v>27</v>
      </c>
      <c r="G4" s="80">
        <v>45658</v>
      </c>
      <c r="H4" s="80"/>
      <c r="I4" s="80"/>
      <c r="J4" s="81" t="s">
        <v>28</v>
      </c>
      <c r="K4" s="81"/>
      <c r="L4" s="25" t="s">
        <v>41</v>
      </c>
      <c r="M4" s="26" t="s">
        <v>30</v>
      </c>
      <c r="N4" s="27">
        <v>28.92</v>
      </c>
    </row>
    <row r="5" spans="1:14" ht="22.05" customHeight="1" x14ac:dyDescent="0.25">
      <c r="A5" s="28">
        <v>447955</v>
      </c>
      <c r="B5" s="29">
        <v>16912722</v>
      </c>
      <c r="C5" s="30" t="s">
        <v>60</v>
      </c>
      <c r="D5" s="96" t="s">
        <v>26</v>
      </c>
      <c r="E5" s="96"/>
      <c r="F5" s="32" t="s">
        <v>27</v>
      </c>
      <c r="G5" s="82">
        <v>45658</v>
      </c>
      <c r="H5" s="82"/>
      <c r="I5" s="82"/>
      <c r="J5" s="83" t="s">
        <v>28</v>
      </c>
      <c r="K5" s="83"/>
      <c r="L5" s="33" t="s">
        <v>41</v>
      </c>
      <c r="M5" s="34" t="s">
        <v>30</v>
      </c>
      <c r="N5" s="35">
        <v>28.92</v>
      </c>
    </row>
    <row r="6" spans="1:14" ht="12" customHeight="1" x14ac:dyDescent="0.25">
      <c r="A6" s="20">
        <v>448034</v>
      </c>
      <c r="B6" s="21">
        <v>16912722</v>
      </c>
      <c r="C6" s="22" t="s">
        <v>61</v>
      </c>
      <c r="D6" s="95" t="s">
        <v>26</v>
      </c>
      <c r="E6" s="95"/>
      <c r="F6" s="24" t="s">
        <v>27</v>
      </c>
      <c r="G6" s="80">
        <v>45658</v>
      </c>
      <c r="H6" s="80"/>
      <c r="I6" s="80"/>
      <c r="J6" s="81" t="s">
        <v>28</v>
      </c>
      <c r="K6" s="81"/>
      <c r="L6" s="25" t="s">
        <v>41</v>
      </c>
      <c r="M6" s="26" t="s">
        <v>30</v>
      </c>
      <c r="N6" s="27">
        <v>28.92</v>
      </c>
    </row>
    <row r="7" spans="1:14" ht="21.3" customHeight="1" x14ac:dyDescent="0.25">
      <c r="A7" s="28">
        <v>447701</v>
      </c>
      <c r="B7" s="29">
        <v>16912722</v>
      </c>
      <c r="C7" s="30" t="s">
        <v>62</v>
      </c>
      <c r="D7" s="96" t="s">
        <v>26</v>
      </c>
      <c r="E7" s="96"/>
      <c r="F7" s="32" t="s">
        <v>27</v>
      </c>
      <c r="G7" s="82">
        <v>45658</v>
      </c>
      <c r="H7" s="82"/>
      <c r="I7" s="82"/>
      <c r="J7" s="83" t="s">
        <v>28</v>
      </c>
      <c r="K7" s="83"/>
      <c r="L7" s="33" t="s">
        <v>41</v>
      </c>
      <c r="M7" s="34" t="s">
        <v>30</v>
      </c>
      <c r="N7" s="35">
        <v>28.92</v>
      </c>
    </row>
    <row r="8" spans="1:14" ht="19.8" customHeight="1" x14ac:dyDescent="0.25">
      <c r="A8" s="36"/>
      <c r="B8" s="36"/>
      <c r="C8" s="36"/>
      <c r="D8" s="85"/>
      <c r="E8" s="85"/>
      <c r="F8" s="36"/>
      <c r="G8" s="84" t="s">
        <v>46</v>
      </c>
      <c r="H8" s="84"/>
      <c r="I8" s="84"/>
      <c r="J8" s="85"/>
      <c r="K8" s="85"/>
      <c r="L8" s="36"/>
      <c r="M8" s="36"/>
      <c r="N8" s="37">
        <v>115.68</v>
      </c>
    </row>
    <row r="9" spans="1:14" ht="19.05" customHeight="1" x14ac:dyDescent="0.25">
      <c r="A9" s="36"/>
      <c r="B9" s="36"/>
      <c r="C9" s="87" t="s">
        <v>47</v>
      </c>
      <c r="D9" s="87"/>
      <c r="E9" s="38">
        <v>16912722</v>
      </c>
      <c r="F9" s="36"/>
      <c r="G9" s="84" t="s">
        <v>63</v>
      </c>
      <c r="H9" s="84"/>
      <c r="I9" s="84"/>
      <c r="J9" s="85"/>
      <c r="K9" s="85"/>
      <c r="L9" s="36"/>
      <c r="M9" s="36"/>
      <c r="N9" s="37">
        <v>115.68</v>
      </c>
    </row>
  </sheetData>
  <mergeCells count="26">
    <mergeCell ref="C9:D9"/>
    <mergeCell ref="G9:I9"/>
    <mergeCell ref="J9:K9"/>
    <mergeCell ref="D7:E7"/>
    <mergeCell ref="G7:I7"/>
    <mergeCell ref="J7:K7"/>
    <mergeCell ref="D8:E8"/>
    <mergeCell ref="G8:I8"/>
    <mergeCell ref="J8:K8"/>
    <mergeCell ref="D5:E5"/>
    <mergeCell ref="G5:I5"/>
    <mergeCell ref="J5:K5"/>
    <mergeCell ref="D6:E6"/>
    <mergeCell ref="G6:I6"/>
    <mergeCell ref="J6:K6"/>
    <mergeCell ref="D3:E3"/>
    <mergeCell ref="F3:G3"/>
    <mergeCell ref="D4:E4"/>
    <mergeCell ref="G4:I4"/>
    <mergeCell ref="J4:K4"/>
    <mergeCell ref="A1:G1"/>
    <mergeCell ref="H1:I1"/>
    <mergeCell ref="J1:L1"/>
    <mergeCell ref="M1:N1"/>
    <mergeCell ref="D2:E2"/>
    <mergeCell ref="F2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5"/>
  <sheetViews>
    <sheetView topLeftCell="A4" workbookViewId="0">
      <selection sqref="A1:XFD15"/>
    </sheetView>
  </sheetViews>
  <sheetFormatPr defaultRowHeight="13.2" x14ac:dyDescent="0.25"/>
  <cols>
    <col min="1" max="1" width="13.33203125" customWidth="1"/>
    <col min="2" max="2" width="15.77734375" customWidth="1"/>
    <col min="3" max="3" width="23.5546875" customWidth="1"/>
    <col min="4" max="4" width="10.21875" customWidth="1"/>
    <col min="5" max="5" width="6" customWidth="1"/>
    <col min="6" max="6" width="3.77734375" customWidth="1"/>
    <col min="7" max="7" width="3.5546875" customWidth="1"/>
    <col min="8" max="8" width="12.88671875" customWidth="1"/>
    <col min="9" max="9" width="14.88671875" customWidth="1"/>
    <col min="10" max="10" width="15.5546875" customWidth="1"/>
    <col min="11" max="11" width="10.88671875" customWidth="1"/>
    <col min="12" max="12" width="18.6640625" customWidth="1"/>
    <col min="13" max="13" width="10.21875" customWidth="1"/>
    <col min="14" max="14" width="16.44140625" customWidth="1"/>
  </cols>
  <sheetData>
    <row r="1" spans="1:14" ht="12.75" customHeight="1" x14ac:dyDescent="0.25">
      <c r="A1" s="74" t="s">
        <v>32</v>
      </c>
      <c r="B1" s="74"/>
      <c r="C1" s="74"/>
      <c r="D1" s="74"/>
      <c r="E1" s="74"/>
      <c r="F1" s="74"/>
      <c r="G1" s="74"/>
      <c r="H1" s="75" t="s">
        <v>33</v>
      </c>
      <c r="I1" s="75"/>
      <c r="J1" s="76" t="s">
        <v>34</v>
      </c>
      <c r="K1" s="76"/>
      <c r="L1" s="76"/>
      <c r="M1" s="77" t="s">
        <v>35</v>
      </c>
      <c r="N1" s="77"/>
    </row>
    <row r="2" spans="1:14" ht="12.75" customHeight="1" x14ac:dyDescent="0.25">
      <c r="A2" s="4" t="s">
        <v>13</v>
      </c>
      <c r="B2" s="5" t="s">
        <v>14</v>
      </c>
      <c r="C2" s="6" t="s">
        <v>15</v>
      </c>
      <c r="D2" s="5" t="s">
        <v>16</v>
      </c>
      <c r="E2" s="78" t="s">
        <v>36</v>
      </c>
      <c r="F2" s="78"/>
      <c r="G2" s="78"/>
      <c r="H2" s="6" t="s">
        <v>37</v>
      </c>
      <c r="I2" s="5" t="s">
        <v>19</v>
      </c>
      <c r="J2" s="5" t="s">
        <v>20</v>
      </c>
      <c r="K2" s="5" t="s">
        <v>21</v>
      </c>
      <c r="L2" s="19" t="s">
        <v>38</v>
      </c>
      <c r="M2" s="9" t="s">
        <v>23</v>
      </c>
      <c r="N2" s="9" t="s">
        <v>39</v>
      </c>
    </row>
    <row r="3" spans="1:14" ht="5.25" customHeight="1" x14ac:dyDescent="0.25">
      <c r="A3" s="16"/>
      <c r="B3" s="16"/>
      <c r="C3" s="16"/>
      <c r="D3" s="16"/>
      <c r="E3" s="79"/>
      <c r="F3" s="79"/>
      <c r="G3" s="79"/>
      <c r="H3" s="16"/>
      <c r="I3" s="16"/>
      <c r="J3" s="16"/>
      <c r="K3" s="16"/>
      <c r="L3" s="16"/>
      <c r="M3" s="16"/>
      <c r="N3" s="16"/>
    </row>
    <row r="4" spans="1:14" ht="12" customHeight="1" x14ac:dyDescent="0.25">
      <c r="A4" s="20">
        <v>446217</v>
      </c>
      <c r="B4" s="21">
        <v>16633294</v>
      </c>
      <c r="C4" s="22" t="s">
        <v>64</v>
      </c>
      <c r="D4" s="23" t="s">
        <v>26</v>
      </c>
      <c r="E4" s="98" t="s">
        <v>27</v>
      </c>
      <c r="F4" s="98"/>
      <c r="G4" s="80">
        <v>45658</v>
      </c>
      <c r="H4" s="80"/>
      <c r="I4" s="80"/>
      <c r="J4" s="81" t="s">
        <v>28</v>
      </c>
      <c r="K4" s="81"/>
      <c r="L4" s="25" t="s">
        <v>41</v>
      </c>
      <c r="M4" s="26" t="s">
        <v>30</v>
      </c>
      <c r="N4" s="27">
        <v>28.92</v>
      </c>
    </row>
    <row r="5" spans="1:14" ht="22.05" customHeight="1" x14ac:dyDescent="0.25">
      <c r="A5" s="28">
        <v>443292</v>
      </c>
      <c r="B5" s="29">
        <v>16633294</v>
      </c>
      <c r="C5" s="30" t="s">
        <v>65</v>
      </c>
      <c r="D5" s="31" t="s">
        <v>26</v>
      </c>
      <c r="E5" s="99" t="s">
        <v>27</v>
      </c>
      <c r="F5" s="99"/>
      <c r="G5" s="82">
        <v>45658</v>
      </c>
      <c r="H5" s="82"/>
      <c r="I5" s="82"/>
      <c r="J5" s="83" t="s">
        <v>28</v>
      </c>
      <c r="K5" s="83"/>
      <c r="L5" s="33" t="s">
        <v>41</v>
      </c>
      <c r="M5" s="34" t="s">
        <v>30</v>
      </c>
      <c r="N5" s="35">
        <v>28.92</v>
      </c>
    </row>
    <row r="6" spans="1:14" ht="12" customHeight="1" x14ac:dyDescent="0.25">
      <c r="A6" s="20">
        <v>443286</v>
      </c>
      <c r="B6" s="21">
        <v>16633294</v>
      </c>
      <c r="C6" s="22" t="s">
        <v>66</v>
      </c>
      <c r="D6" s="23" t="s">
        <v>26</v>
      </c>
      <c r="E6" s="98" t="s">
        <v>27</v>
      </c>
      <c r="F6" s="98"/>
      <c r="G6" s="80">
        <v>45658</v>
      </c>
      <c r="H6" s="80"/>
      <c r="I6" s="80"/>
      <c r="J6" s="81" t="s">
        <v>28</v>
      </c>
      <c r="K6" s="81"/>
      <c r="L6" s="25" t="s">
        <v>41</v>
      </c>
      <c r="M6" s="26" t="s">
        <v>30</v>
      </c>
      <c r="N6" s="27">
        <v>28.92</v>
      </c>
    </row>
    <row r="7" spans="1:14" ht="22.05" customHeight="1" x14ac:dyDescent="0.25">
      <c r="A7" s="28">
        <v>444212</v>
      </c>
      <c r="B7" s="29">
        <v>16633294</v>
      </c>
      <c r="C7" s="30" t="s">
        <v>67</v>
      </c>
      <c r="D7" s="31" t="s">
        <v>26</v>
      </c>
      <c r="E7" s="99" t="s">
        <v>27</v>
      </c>
      <c r="F7" s="99"/>
      <c r="G7" s="82">
        <v>45658</v>
      </c>
      <c r="H7" s="82"/>
      <c r="I7" s="82"/>
      <c r="J7" s="83" t="s">
        <v>28</v>
      </c>
      <c r="K7" s="83"/>
      <c r="L7" s="33" t="s">
        <v>41</v>
      </c>
      <c r="M7" s="34" t="s">
        <v>30</v>
      </c>
      <c r="N7" s="35">
        <v>28.92</v>
      </c>
    </row>
    <row r="8" spans="1:14" ht="12" customHeight="1" x14ac:dyDescent="0.25">
      <c r="A8" s="20">
        <v>443209</v>
      </c>
      <c r="B8" s="21">
        <v>16633294</v>
      </c>
      <c r="C8" s="22" t="s">
        <v>68</v>
      </c>
      <c r="D8" s="23" t="s">
        <v>26</v>
      </c>
      <c r="E8" s="98" t="s">
        <v>27</v>
      </c>
      <c r="F8" s="98"/>
      <c r="G8" s="80">
        <v>45658</v>
      </c>
      <c r="H8" s="80"/>
      <c r="I8" s="80"/>
      <c r="J8" s="81" t="s">
        <v>28</v>
      </c>
      <c r="K8" s="81"/>
      <c r="L8" s="25" t="s">
        <v>41</v>
      </c>
      <c r="M8" s="26" t="s">
        <v>30</v>
      </c>
      <c r="N8" s="27">
        <v>28.92</v>
      </c>
    </row>
    <row r="9" spans="1:14" ht="22.05" customHeight="1" x14ac:dyDescent="0.25">
      <c r="A9" s="28">
        <v>440990</v>
      </c>
      <c r="B9" s="29">
        <v>16633294</v>
      </c>
      <c r="C9" s="30" t="s">
        <v>69</v>
      </c>
      <c r="D9" s="31" t="s">
        <v>26</v>
      </c>
      <c r="E9" s="99" t="s">
        <v>27</v>
      </c>
      <c r="F9" s="99"/>
      <c r="G9" s="82">
        <v>45658</v>
      </c>
      <c r="H9" s="82"/>
      <c r="I9" s="82"/>
      <c r="J9" s="83" t="s">
        <v>28</v>
      </c>
      <c r="K9" s="83"/>
      <c r="L9" s="33" t="s">
        <v>41</v>
      </c>
      <c r="M9" s="34" t="s">
        <v>30</v>
      </c>
      <c r="N9" s="35">
        <v>28.92</v>
      </c>
    </row>
    <row r="10" spans="1:14" ht="12" customHeight="1" x14ac:dyDescent="0.25">
      <c r="A10" s="20">
        <v>445753</v>
      </c>
      <c r="B10" s="21">
        <v>16633294</v>
      </c>
      <c r="C10" s="22" t="s">
        <v>70</v>
      </c>
      <c r="D10" s="23" t="s">
        <v>26</v>
      </c>
      <c r="E10" s="98" t="s">
        <v>27</v>
      </c>
      <c r="F10" s="98"/>
      <c r="G10" s="80">
        <v>45658</v>
      </c>
      <c r="H10" s="80"/>
      <c r="I10" s="80"/>
      <c r="J10" s="81" t="s">
        <v>28</v>
      </c>
      <c r="K10" s="81"/>
      <c r="L10" s="25" t="s">
        <v>41</v>
      </c>
      <c r="M10" s="26" t="s">
        <v>30</v>
      </c>
      <c r="N10" s="27">
        <v>28.92</v>
      </c>
    </row>
    <row r="11" spans="1:14" ht="22.05" customHeight="1" x14ac:dyDescent="0.25">
      <c r="A11" s="28">
        <v>446673</v>
      </c>
      <c r="B11" s="29">
        <v>16633294</v>
      </c>
      <c r="C11" s="30" t="s">
        <v>71</v>
      </c>
      <c r="D11" s="31" t="s">
        <v>26</v>
      </c>
      <c r="E11" s="99" t="s">
        <v>27</v>
      </c>
      <c r="F11" s="99"/>
      <c r="G11" s="82">
        <v>45658</v>
      </c>
      <c r="H11" s="82"/>
      <c r="I11" s="82"/>
      <c r="J11" s="83" t="s">
        <v>28</v>
      </c>
      <c r="K11" s="83"/>
      <c r="L11" s="33" t="s">
        <v>41</v>
      </c>
      <c r="M11" s="34" t="s">
        <v>30</v>
      </c>
      <c r="N11" s="35">
        <v>28.92</v>
      </c>
    </row>
    <row r="12" spans="1:14" ht="12" customHeight="1" x14ac:dyDescent="0.25">
      <c r="A12" s="20">
        <v>447931</v>
      </c>
      <c r="B12" s="21">
        <v>16633294</v>
      </c>
      <c r="C12" s="22" t="s">
        <v>72</v>
      </c>
      <c r="D12" s="23" t="s">
        <v>26</v>
      </c>
      <c r="E12" s="98" t="s">
        <v>27</v>
      </c>
      <c r="F12" s="98"/>
      <c r="G12" s="80">
        <v>45658</v>
      </c>
      <c r="H12" s="80"/>
      <c r="I12" s="80"/>
      <c r="J12" s="81" t="s">
        <v>28</v>
      </c>
      <c r="K12" s="81"/>
      <c r="L12" s="25" t="s">
        <v>41</v>
      </c>
      <c r="M12" s="26" t="s">
        <v>30</v>
      </c>
      <c r="N12" s="27">
        <v>28.92</v>
      </c>
    </row>
    <row r="13" spans="1:14" ht="24" customHeight="1" x14ac:dyDescent="0.25">
      <c r="A13" s="36"/>
      <c r="B13" s="36"/>
      <c r="C13" s="36"/>
      <c r="D13" s="36"/>
      <c r="E13" s="85"/>
      <c r="F13" s="85"/>
      <c r="G13" s="84" t="s">
        <v>46</v>
      </c>
      <c r="H13" s="84"/>
      <c r="I13" s="84"/>
      <c r="J13" s="85"/>
      <c r="K13" s="85"/>
      <c r="L13" s="36"/>
      <c r="M13" s="36"/>
      <c r="N13" s="37">
        <v>260.27999999999997</v>
      </c>
    </row>
    <row r="14" spans="1:14" ht="20.25" customHeight="1" x14ac:dyDescent="0.25">
      <c r="A14" s="36"/>
      <c r="B14" s="36"/>
      <c r="C14" s="86" t="s">
        <v>47</v>
      </c>
      <c r="D14" s="86"/>
      <c r="E14" s="100">
        <v>16633294</v>
      </c>
      <c r="F14" s="100"/>
      <c r="G14" s="87" t="s">
        <v>73</v>
      </c>
      <c r="H14" s="87"/>
      <c r="I14" s="87"/>
      <c r="J14" s="85"/>
      <c r="K14" s="85"/>
      <c r="L14" s="36"/>
      <c r="M14" s="36"/>
      <c r="N14" s="37">
        <v>260.27999999999997</v>
      </c>
    </row>
    <row r="15" spans="1:14" ht="15.75" customHeight="1" x14ac:dyDescent="0.25">
      <c r="A15" s="54"/>
      <c r="B15" s="101" t="s">
        <v>77</v>
      </c>
      <c r="C15" s="101"/>
      <c r="D15" s="102">
        <v>16633294</v>
      </c>
      <c r="E15" s="102"/>
      <c r="F15" s="103" t="s">
        <v>78</v>
      </c>
      <c r="G15" s="103"/>
      <c r="H15" s="103"/>
      <c r="I15" s="103"/>
      <c r="J15" s="104"/>
      <c r="K15" s="104"/>
      <c r="L15" s="54"/>
      <c r="M15" s="54"/>
      <c r="N15" s="55">
        <v>1802.74</v>
      </c>
    </row>
  </sheetData>
  <mergeCells count="44">
    <mergeCell ref="C14:D14"/>
    <mergeCell ref="E14:F14"/>
    <mergeCell ref="G14:I14"/>
    <mergeCell ref="J14:K14"/>
    <mergeCell ref="B15:C15"/>
    <mergeCell ref="D15:E15"/>
    <mergeCell ref="F15:I15"/>
    <mergeCell ref="J15:K15"/>
    <mergeCell ref="E12:F12"/>
    <mergeCell ref="G12:I12"/>
    <mergeCell ref="J12:K12"/>
    <mergeCell ref="E13:F13"/>
    <mergeCell ref="G13:I13"/>
    <mergeCell ref="J13:K13"/>
    <mergeCell ref="E10:F10"/>
    <mergeCell ref="G10:I10"/>
    <mergeCell ref="J10:K10"/>
    <mergeCell ref="E11:F11"/>
    <mergeCell ref="G11:I11"/>
    <mergeCell ref="J11:K11"/>
    <mergeCell ref="E8:F8"/>
    <mergeCell ref="G8:I8"/>
    <mergeCell ref="J8:K8"/>
    <mergeCell ref="E9:F9"/>
    <mergeCell ref="G9:I9"/>
    <mergeCell ref="J9:K9"/>
    <mergeCell ref="E6:F6"/>
    <mergeCell ref="G6:I6"/>
    <mergeCell ref="J6:K6"/>
    <mergeCell ref="E7:F7"/>
    <mergeCell ref="G7:I7"/>
    <mergeCell ref="J7:K7"/>
    <mergeCell ref="E3:G3"/>
    <mergeCell ref="E4:F4"/>
    <mergeCell ref="G4:I4"/>
    <mergeCell ref="J4:K4"/>
    <mergeCell ref="E5:F5"/>
    <mergeCell ref="G5:I5"/>
    <mergeCell ref="J5:K5"/>
    <mergeCell ref="A1:G1"/>
    <mergeCell ref="H1:I1"/>
    <mergeCell ref="J1:L1"/>
    <mergeCell ref="M1:N1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1</vt:lpstr>
      <vt:lpstr>Table 2</vt:lpstr>
      <vt:lpstr>Sheet1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</cp:lastModifiedBy>
  <dcterms:created xsi:type="dcterms:W3CDTF">2026-04-23T20:30:14Z</dcterms:created>
  <dcterms:modified xsi:type="dcterms:W3CDTF">2026-04-24T14:13:48Z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2.0.5</vt:lpwstr>
  </property>
  <property fmtid="{D5CDD505-2E9C-101B-9397-08002B2CF9AE}" pid="5" name="LastSaved">
    <vt:filetime>2026-04-09T00:00:00Z</vt:filetime>
  </property>
</Properties>
</file>