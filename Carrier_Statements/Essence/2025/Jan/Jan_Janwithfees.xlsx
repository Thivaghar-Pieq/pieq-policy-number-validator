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Jan\"/>
    </mc:Choice>
  </mc:AlternateContent>
  <xr:revisionPtr revIDLastSave="0" documentId="8_{2EB25E0B-D53E-434E-9FA5-5E836EFBAB5D}" xr6:coauthVersionLast="47" xr6:coauthVersionMax="47" xr10:uidLastSave="{00000000-0000-0000-0000-000000000000}"/>
  <bookViews>
    <workbookView xWindow="-57720" yWindow="-45" windowWidth="29040" windowHeight="15720" activeTab="3" xr2:uid="{00000000-000D-0000-FFFF-FFFF00000000}"/>
  </bookViews>
  <sheets>
    <sheet name="Table 1" sheetId="1" r:id="rId1"/>
    <sheet name="Sheet1" sheetId="2" r:id="rId2"/>
    <sheet name="Admin Fees" sheetId="3" r:id="rId3"/>
    <sheet name="admin fees cle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2" l="1"/>
  <c r="B71" i="2"/>
  <c r="B72" i="2"/>
  <c r="B73" i="2"/>
  <c r="B74" i="2"/>
  <c r="B75" i="2"/>
  <c r="B6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3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" i="2"/>
</calcChain>
</file>

<file path=xl/sharedStrings.xml><?xml version="1.0" encoding="utf-8"?>
<sst xmlns="http://schemas.openxmlformats.org/spreadsheetml/2006/main" count="1849" uniqueCount="364">
  <si>
    <r>
      <rPr>
        <sz val="9"/>
        <color rgb="FF010101"/>
        <rFont val="Arial"/>
        <family val="2"/>
      </rPr>
      <t>SUMMARY</t>
    </r>
  </si>
  <si>
    <r>
      <rPr>
        <sz val="8.5"/>
        <color rgb="FF010101"/>
        <rFont val="Arial"/>
        <family val="2"/>
      </rPr>
      <t xml:space="preserve">Amount
</t>
    </r>
    <r>
      <rPr>
        <sz val="8.5"/>
        <color rgb="FF010101"/>
        <rFont val="Arial"/>
        <family val="2"/>
      </rPr>
      <t xml:space="preserve">$18,637.00
</t>
    </r>
    <r>
      <rPr>
        <sz val="8.5"/>
        <color rgb="FF010101"/>
        <rFont val="Arial"/>
        <family val="2"/>
      </rPr>
      <t>$34.83</t>
    </r>
  </si>
  <si>
    <r>
      <rPr>
        <sz val="8.5"/>
        <color rgb="FF010101"/>
        <rFont val="Arial"/>
        <family val="2"/>
      </rPr>
      <t xml:space="preserve">Payable Regular Commissions:
</t>
    </r>
    <r>
      <rPr>
        <sz val="8.5"/>
        <color rgb="FF010101"/>
        <rFont val="Arial"/>
        <family val="2"/>
      </rPr>
      <t>New Enrollment Commissions Renewal Commissions</t>
    </r>
  </si>
  <si>
    <r>
      <rPr>
        <b/>
        <sz val="9.5"/>
        <color rgb="FF010101"/>
        <rFont val="Arial"/>
        <family val="2"/>
      </rPr>
      <t>Payable Bonus Commissions:</t>
    </r>
  </si>
  <si>
    <r>
      <rPr>
        <sz val="8.5"/>
        <color rgb="FF010101"/>
        <rFont val="Arial"/>
        <family val="2"/>
      </rPr>
      <t>Regular Commissions Sub-Totals:</t>
    </r>
  </si>
  <si>
    <r>
      <rPr>
        <sz val="9.5"/>
        <color rgb="FF010101"/>
        <rFont val="Arial"/>
        <family val="2"/>
      </rPr>
      <t xml:space="preserve">Administrative Fee 2 (External Brokers)           </t>
    </r>
    <r>
      <rPr>
        <vertAlign val="superscript"/>
        <sz val="9.5"/>
        <color rgb="FF010101"/>
        <rFont val="Arial"/>
        <family val="2"/>
      </rPr>
      <t xml:space="preserve">Corporate Website
</t>
    </r>
    <r>
      <rPr>
        <sz val="8.5"/>
        <color rgb="FF010101"/>
        <rFont val="Arial"/>
        <family val="2"/>
      </rPr>
      <t>Total Commissions:</t>
    </r>
  </si>
  <si>
    <r>
      <rPr>
        <sz val="8.5"/>
        <color rgb="FF010101"/>
        <rFont val="Arial"/>
        <family val="2"/>
      </rPr>
      <t>Bonus Sub-Totals</t>
    </r>
    <r>
      <rPr>
        <sz val="8.5"/>
        <color rgb="FF444444"/>
        <rFont val="Arial"/>
        <family val="2"/>
      </rPr>
      <t>:</t>
    </r>
  </si>
  <si>
    <r>
      <rPr>
        <sz val="8.5"/>
        <color rgb="FF010101"/>
        <rFont val="Arial"/>
        <family val="2"/>
      </rPr>
      <t>$1,480</t>
    </r>
    <r>
      <rPr>
        <sz val="8.5"/>
        <color rgb="FF444444"/>
        <rFont val="Arial"/>
        <family val="2"/>
      </rPr>
      <t>.</t>
    </r>
    <r>
      <rPr>
        <sz val="8.5"/>
        <color rgb="FF010101"/>
        <rFont val="Arial"/>
        <family val="2"/>
      </rPr>
      <t xml:space="preserve">00
</t>
    </r>
    <r>
      <rPr>
        <b/>
        <sz val="9.5"/>
        <color rgb="FF010101"/>
        <rFont val="Arial"/>
        <family val="2"/>
      </rPr>
      <t xml:space="preserve">$1,480.00
</t>
    </r>
    <r>
      <rPr>
        <sz val="8.5"/>
        <color rgb="FF010101"/>
        <rFont val="Arial"/>
        <family val="2"/>
      </rPr>
      <t>$20,151.83</t>
    </r>
  </si>
  <si>
    <r>
      <rPr>
        <b/>
        <sz val="10.5"/>
        <color rgb="FF010101"/>
        <rFont val="Arial"/>
        <family val="2"/>
      </rPr>
      <t xml:space="preserve">SUMMARY </t>
    </r>
    <r>
      <rPr>
        <sz val="10.5"/>
        <color rgb="FF010101"/>
        <rFont val="Arial"/>
        <family val="2"/>
      </rPr>
      <t>TOTALS</t>
    </r>
  </si>
  <si>
    <r>
      <rPr>
        <sz val="8.5"/>
        <color rgb="FF010101"/>
        <rFont val="Arial"/>
        <family val="2"/>
      </rPr>
      <t>Beginning Balance Forward:</t>
    </r>
  </si>
  <si>
    <r>
      <rPr>
        <sz val="8.5"/>
        <color rgb="FF010101"/>
        <rFont val="Arial"/>
        <family val="2"/>
      </rPr>
      <t>Commission  Activity:</t>
    </r>
  </si>
  <si>
    <r>
      <rPr>
        <sz val="8.5"/>
        <color rgb="FF010101"/>
        <rFont val="Arial"/>
        <family val="2"/>
      </rPr>
      <t>Bonuses:</t>
    </r>
  </si>
  <si>
    <r>
      <rPr>
        <sz val="8.5"/>
        <color rgb="FF010101"/>
        <rFont val="Arial"/>
        <family val="2"/>
      </rPr>
      <t>Manual Adjustments:</t>
    </r>
  </si>
  <si>
    <r>
      <rPr>
        <sz val="8.5"/>
        <color rgb="FF010101"/>
        <rFont val="Arial"/>
        <family val="2"/>
      </rPr>
      <t>Total Commissions:</t>
    </r>
  </si>
  <si>
    <r>
      <rPr>
        <sz val="8.5"/>
        <color rgb="FF010101"/>
        <rFont val="Arial"/>
        <family val="2"/>
      </rPr>
      <t>Amount to Pay:</t>
    </r>
  </si>
  <si>
    <r>
      <rPr>
        <sz val="8.5"/>
        <color rgb="FF010101"/>
        <rFont val="Arial"/>
        <family val="2"/>
      </rPr>
      <t>Ending Balance Forward:</t>
    </r>
  </si>
  <si>
    <r>
      <rPr>
        <b/>
        <sz val="9.5"/>
        <color rgb="FF030303"/>
        <rFont val="Arial"/>
        <family val="2"/>
      </rPr>
      <t>Writing Agent                                  8325282                                    Walenga, Dale</t>
    </r>
  </si>
  <si>
    <r>
      <rPr>
        <b/>
        <sz val="9.5"/>
        <color rgb="FF030303"/>
        <rFont val="Arial"/>
        <family val="2"/>
      </rPr>
      <t>New Enrollment</t>
    </r>
  </si>
  <si>
    <r>
      <rPr>
        <b/>
        <sz val="9"/>
        <color rgb="FF030303"/>
        <rFont val="Arial"/>
        <family val="2"/>
      </rPr>
      <t>Member ID</t>
    </r>
  </si>
  <si>
    <r>
      <rPr>
        <b/>
        <sz val="9"/>
        <color rgb="FF030303"/>
        <rFont val="Arial"/>
        <family val="2"/>
      </rPr>
      <t>Writing ID</t>
    </r>
  </si>
  <si>
    <r>
      <rPr>
        <b/>
        <sz val="9"/>
        <color rgb="FF030303"/>
        <rFont val="Arial"/>
        <family val="2"/>
      </rPr>
      <t>Name</t>
    </r>
  </si>
  <si>
    <r>
      <rPr>
        <b/>
        <sz val="9"/>
        <color rgb="FF030303"/>
        <rFont val="Arial"/>
        <family val="2"/>
      </rPr>
      <t>Product</t>
    </r>
  </si>
  <si>
    <r>
      <rPr>
        <b/>
        <sz val="9"/>
        <color rgb="FF030303"/>
        <rFont val="Arial"/>
        <family val="2"/>
      </rPr>
      <t>Policy State</t>
    </r>
  </si>
  <si>
    <r>
      <rPr>
        <b/>
        <sz val="9"/>
        <color rgb="FF030303"/>
        <rFont val="Arial"/>
        <family val="2"/>
      </rPr>
      <t>Effective Date</t>
    </r>
  </si>
  <si>
    <r>
      <rPr>
        <b/>
        <sz val="9"/>
        <color rgb="FF030303"/>
        <rFont val="Arial"/>
        <family val="2"/>
      </rPr>
      <t>Term Date</t>
    </r>
  </si>
  <si>
    <r>
      <rPr>
        <b/>
        <sz val="9"/>
        <color rgb="FF030303"/>
        <rFont val="Arial"/>
        <family val="2"/>
      </rPr>
      <t>Term Code</t>
    </r>
  </si>
  <si>
    <r>
      <rPr>
        <b/>
        <sz val="9"/>
        <color rgb="FF030303"/>
        <rFont val="Arial"/>
        <family val="2"/>
      </rPr>
      <t>Period</t>
    </r>
  </si>
  <si>
    <r>
      <rPr>
        <b/>
        <sz val="9"/>
        <color rgb="FF030303"/>
        <rFont val="Arial"/>
        <family val="2"/>
      </rPr>
      <t>CMS Payment Type</t>
    </r>
  </si>
  <si>
    <r>
      <rPr>
        <sz val="8.5"/>
        <color rgb="FF030303"/>
        <rFont val="Arial"/>
        <family val="2"/>
      </rPr>
      <t>Retro</t>
    </r>
  </si>
  <si>
    <r>
      <rPr>
        <sz val="8.5"/>
        <color rgb="FF030303"/>
        <rFont val="Arial"/>
        <family val="2"/>
      </rPr>
      <t>Commission Amount</t>
    </r>
  </si>
  <si>
    <r>
      <rPr>
        <sz val="7.5"/>
        <color rgb="FF030303"/>
        <rFont val="Arial"/>
        <family val="2"/>
      </rPr>
      <t>Attento, Josephine</t>
    </r>
  </si>
  <si>
    <r>
      <rPr>
        <sz val="7.5"/>
        <color rgb="FF030303"/>
        <rFont val="Arial"/>
        <family val="2"/>
      </rPr>
      <t>MA</t>
    </r>
  </si>
  <si>
    <r>
      <rPr>
        <sz val="7.5"/>
        <color rgb="FF030303"/>
        <rFont val="Arial"/>
        <family val="2"/>
      </rPr>
      <t>IL</t>
    </r>
  </si>
  <si>
    <r>
      <rPr>
        <sz val="7.5"/>
        <color rgb="FF030303"/>
        <rFont val="Arial"/>
        <family val="2"/>
      </rPr>
      <t>01/2025</t>
    </r>
  </si>
  <si>
    <r>
      <rPr>
        <sz val="7.5"/>
        <color rgb="FF030303"/>
        <rFont val="Arial"/>
        <family val="2"/>
      </rPr>
      <t>New to Plan</t>
    </r>
  </si>
  <si>
    <r>
      <rPr>
        <sz val="7.5"/>
        <color rgb="FF030303"/>
        <rFont val="Arial"/>
        <family val="2"/>
      </rPr>
      <t>N</t>
    </r>
  </si>
  <si>
    <r>
      <rPr>
        <sz val="8.5"/>
        <color rgb="FF030303"/>
        <rFont val="Arial"/>
        <family val="2"/>
      </rPr>
      <t xml:space="preserve">Total for New Enrollments:
</t>
    </r>
    <r>
      <rPr>
        <sz val="8.5"/>
        <color rgb="FF030303"/>
        <rFont val="Arial"/>
        <family val="2"/>
      </rPr>
      <t>Walenga, Dale</t>
    </r>
  </si>
  <si>
    <r>
      <rPr>
        <sz val="8.5"/>
        <color rgb="FF030303"/>
        <rFont val="Arial"/>
        <family val="2"/>
      </rPr>
      <t xml:space="preserve">$105.00
</t>
    </r>
    <r>
      <rPr>
        <sz val="8.5"/>
        <color rgb="FF030303"/>
        <rFont val="Arial"/>
        <family val="2"/>
      </rPr>
      <t>$105.00</t>
    </r>
  </si>
  <si>
    <r>
      <rPr>
        <sz val="8.5"/>
        <color rgb="FF030303"/>
        <rFont val="Arial"/>
        <family val="2"/>
      </rPr>
      <t>Total for Writing Agent        8325282</t>
    </r>
  </si>
  <si>
    <r>
      <rPr>
        <b/>
        <sz val="8.5"/>
        <color rgb="FF010101"/>
        <rFont val="Arial"/>
        <family val="2"/>
      </rPr>
      <t>Member ID</t>
    </r>
  </si>
  <si>
    <r>
      <rPr>
        <b/>
        <sz val="8.5"/>
        <color rgb="FF010101"/>
        <rFont val="Arial"/>
        <family val="2"/>
      </rPr>
      <t>Writing ID</t>
    </r>
  </si>
  <si>
    <r>
      <rPr>
        <b/>
        <sz val="8.5"/>
        <color rgb="FF010101"/>
        <rFont val="Arial"/>
        <family val="2"/>
      </rPr>
      <t>Name</t>
    </r>
  </si>
  <si>
    <r>
      <rPr>
        <b/>
        <sz val="8.5"/>
        <color rgb="FF010101"/>
        <rFont val="Arial"/>
        <family val="2"/>
      </rPr>
      <t>Product</t>
    </r>
  </si>
  <si>
    <r>
      <rPr>
        <b/>
        <sz val="8.5"/>
        <color rgb="FF010101"/>
        <rFont val="Arial"/>
        <family val="2"/>
      </rPr>
      <t>Policy State</t>
    </r>
  </si>
  <si>
    <r>
      <rPr>
        <b/>
        <sz val="8.5"/>
        <color rgb="FF010101"/>
        <rFont val="Arial"/>
        <family val="2"/>
      </rPr>
      <t>Effective Date</t>
    </r>
  </si>
  <si>
    <r>
      <rPr>
        <b/>
        <sz val="8.5"/>
        <color rgb="FF010101"/>
        <rFont val="Arial"/>
        <family val="2"/>
      </rPr>
      <t>Term Date</t>
    </r>
  </si>
  <si>
    <r>
      <rPr>
        <b/>
        <sz val="8.5"/>
        <color rgb="FF010101"/>
        <rFont val="Arial"/>
        <family val="2"/>
      </rPr>
      <t>Term Code</t>
    </r>
  </si>
  <si>
    <r>
      <rPr>
        <b/>
        <sz val="8.5"/>
        <color rgb="FF010101"/>
        <rFont val="Arial"/>
        <family val="2"/>
      </rPr>
      <t>Period</t>
    </r>
  </si>
  <si>
    <r>
      <rPr>
        <b/>
        <sz val="8.5"/>
        <color rgb="FF010101"/>
        <rFont val="Arial"/>
        <family val="2"/>
      </rPr>
      <t>CMS Payment Type</t>
    </r>
  </si>
  <si>
    <r>
      <rPr>
        <b/>
        <sz val="8.5"/>
        <color rgb="FF010101"/>
        <rFont val="Arial"/>
        <family val="2"/>
      </rPr>
      <t>Retro</t>
    </r>
  </si>
  <si>
    <r>
      <rPr>
        <b/>
        <sz val="8.5"/>
        <color rgb="FF010101"/>
        <rFont val="Arial"/>
        <family val="2"/>
      </rPr>
      <t>Commission Amount</t>
    </r>
  </si>
  <si>
    <r>
      <rPr>
        <sz val="8"/>
        <color rgb="FF010101"/>
        <rFont val="Arial"/>
        <family val="2"/>
      </rPr>
      <t>Bensing</t>
    </r>
    <r>
      <rPr>
        <sz val="8"/>
        <color rgb="FF3B3B3B"/>
        <rFont val="Arial"/>
        <family val="2"/>
      </rPr>
      <t xml:space="preserve">, </t>
    </r>
    <r>
      <rPr>
        <sz val="8"/>
        <color rgb="FF010101"/>
        <rFont val="Arial"/>
        <family val="2"/>
      </rPr>
      <t>Donald</t>
    </r>
  </si>
  <si>
    <r>
      <rPr>
        <sz val="9"/>
        <color rgb="FF0F0F0F"/>
        <rFont val="Courier New"/>
        <family val="3"/>
      </rPr>
      <t>MA</t>
    </r>
  </si>
  <si>
    <r>
      <rPr>
        <sz val="8"/>
        <color rgb="FF010101"/>
        <rFont val="Arial"/>
        <family val="2"/>
      </rPr>
      <t>IL</t>
    </r>
  </si>
  <si>
    <r>
      <rPr>
        <sz val="8"/>
        <color rgb="FF010101"/>
        <rFont val="Times New Roman"/>
        <family val="1"/>
      </rPr>
      <t>01/2025</t>
    </r>
  </si>
  <si>
    <r>
      <rPr>
        <sz val="8"/>
        <color rgb="FF010101"/>
        <rFont val="Arial"/>
        <family val="2"/>
      </rPr>
      <t>New to Plan</t>
    </r>
  </si>
  <si>
    <r>
      <rPr>
        <sz val="8"/>
        <color rgb="FF010101"/>
        <rFont val="Arial"/>
        <family val="2"/>
      </rPr>
      <t>N</t>
    </r>
  </si>
  <si>
    <r>
      <rPr>
        <sz val="8"/>
        <color rgb="FF010101"/>
        <rFont val="Arial"/>
        <family val="2"/>
      </rPr>
      <t>Huget</t>
    </r>
    <r>
      <rPr>
        <sz val="8"/>
        <color rgb="FF3B3B3B"/>
        <rFont val="Arial"/>
        <family val="2"/>
      </rPr>
      <t xml:space="preserve">, </t>
    </r>
    <r>
      <rPr>
        <sz val="8"/>
        <color rgb="FF0F0F0F"/>
        <rFont val="Arial"/>
        <family val="2"/>
      </rPr>
      <t>Werner</t>
    </r>
  </si>
  <si>
    <r>
      <rPr>
        <sz val="8"/>
        <color rgb="FF0F0F0F"/>
        <rFont val="Arial"/>
        <family val="2"/>
      </rPr>
      <t xml:space="preserve">New </t>
    </r>
    <r>
      <rPr>
        <sz val="8"/>
        <color rgb="FF010101"/>
        <rFont val="Arial"/>
        <family val="2"/>
      </rPr>
      <t>to Plan</t>
    </r>
  </si>
  <si>
    <r>
      <rPr>
        <sz val="8"/>
        <color rgb="FF0F0F0F"/>
        <rFont val="Arial"/>
        <family val="2"/>
      </rPr>
      <t>N</t>
    </r>
  </si>
  <si>
    <r>
      <rPr>
        <sz val="8"/>
        <color rgb="FF010101"/>
        <rFont val="Arial"/>
        <family val="2"/>
      </rPr>
      <t>Hugel</t>
    </r>
    <r>
      <rPr>
        <sz val="8"/>
        <color rgb="FF3B3B3B"/>
        <rFont val="Arial"/>
        <family val="2"/>
      </rPr>
      <t xml:space="preserve">, </t>
    </r>
    <r>
      <rPr>
        <sz val="8"/>
        <color rgb="FF010101"/>
        <rFont val="Arial"/>
        <family val="2"/>
      </rPr>
      <t>Dolores</t>
    </r>
  </si>
  <si>
    <r>
      <rPr>
        <sz val="8"/>
        <color rgb="FF0F0F0F"/>
        <rFont val="Times New Roman"/>
        <family val="1"/>
      </rPr>
      <t>01/2025</t>
    </r>
  </si>
  <si>
    <r>
      <rPr>
        <sz val="8"/>
        <color rgb="FF010101"/>
        <rFont val="Arial"/>
        <family val="2"/>
      </rPr>
      <t>Napolitano</t>
    </r>
    <r>
      <rPr>
        <sz val="8"/>
        <color rgb="FF2A2A2A"/>
        <rFont val="Arial"/>
        <family val="2"/>
      </rPr>
      <t xml:space="preserve">, </t>
    </r>
    <r>
      <rPr>
        <sz val="8"/>
        <color rgb="FF010101"/>
        <rFont val="Arial"/>
        <family val="2"/>
      </rPr>
      <t>Vito</t>
    </r>
  </si>
  <si>
    <r>
      <rPr>
        <sz val="8"/>
        <color rgb="FF010101"/>
        <rFont val="Arial"/>
        <family val="2"/>
      </rPr>
      <t>Szela, Florence</t>
    </r>
  </si>
  <si>
    <r>
      <rPr>
        <sz val="8"/>
        <color rgb="FF010101"/>
        <rFont val="Arial"/>
        <family val="2"/>
      </rPr>
      <t>Templin, Charles</t>
    </r>
  </si>
  <si>
    <r>
      <rPr>
        <sz val="8"/>
        <color rgb="FF0F0F0F"/>
        <rFont val="Arial"/>
        <family val="2"/>
      </rPr>
      <t>IL</t>
    </r>
  </si>
  <si>
    <r>
      <rPr>
        <sz val="8"/>
        <color rgb="FF0F0F0F"/>
        <rFont val="Arial"/>
        <family val="2"/>
      </rPr>
      <t>Initial</t>
    </r>
  </si>
  <si>
    <r>
      <rPr>
        <b/>
        <sz val="8.5"/>
        <color rgb="FF010101"/>
        <rFont val="Arial"/>
        <family val="2"/>
      </rPr>
      <t xml:space="preserve">Total for New Enrollments:                                                                                                                     $735.00
</t>
    </r>
    <r>
      <rPr>
        <b/>
        <sz val="8.5"/>
        <color rgb="FF010101"/>
        <rFont val="Arial"/>
        <family val="2"/>
      </rPr>
      <t xml:space="preserve">Total for Writing Agent        2158366         Horn, Jeffrey                                                                                                                                         </t>
    </r>
    <r>
      <rPr>
        <b/>
        <vertAlign val="subscript"/>
        <sz val="8.5"/>
        <color rgb="FF010101"/>
        <rFont val="Arial"/>
        <family val="2"/>
      </rPr>
      <t>$735.00</t>
    </r>
  </si>
  <si>
    <r>
      <rPr>
        <b/>
        <sz val="9"/>
        <color rgb="FF030303"/>
        <rFont val="Arial"/>
        <family val="2"/>
      </rPr>
      <t xml:space="preserve">Member </t>
    </r>
    <r>
      <rPr>
        <sz val="8.5"/>
        <color rgb="FF030303"/>
        <rFont val="Arial"/>
        <family val="2"/>
      </rPr>
      <t>ID</t>
    </r>
  </si>
  <si>
    <r>
      <rPr>
        <sz val="8.5"/>
        <color rgb="FF030303"/>
        <rFont val="Arial"/>
        <family val="2"/>
      </rPr>
      <t>Term Code</t>
    </r>
  </si>
  <si>
    <r>
      <rPr>
        <sz val="8.5"/>
        <color rgb="FF030303"/>
        <rFont val="Arial"/>
        <family val="2"/>
      </rPr>
      <t>Period</t>
    </r>
  </si>
  <si>
    <r>
      <rPr>
        <sz val="8.5"/>
        <color rgb="FF030303"/>
        <rFont val="Arial"/>
        <family val="2"/>
      </rPr>
      <t>CMS Payment Type</t>
    </r>
  </si>
  <si>
    <r>
      <rPr>
        <sz val="8"/>
        <color rgb="FF030303"/>
        <rFont val="Arial"/>
        <family val="2"/>
      </rPr>
      <t>Hansen</t>
    </r>
    <r>
      <rPr>
        <sz val="8"/>
        <color rgb="FF3D3D3D"/>
        <rFont val="Arial"/>
        <family val="2"/>
      </rPr>
      <t xml:space="preserve">, </t>
    </r>
    <r>
      <rPr>
        <sz val="8"/>
        <color rgb="FF030303"/>
        <rFont val="Arial"/>
        <family val="2"/>
      </rPr>
      <t>Gary</t>
    </r>
  </si>
  <si>
    <r>
      <rPr>
        <sz val="8"/>
        <color rgb="FF030303"/>
        <rFont val="Arial"/>
        <family val="2"/>
      </rPr>
      <t>MA</t>
    </r>
  </si>
  <si>
    <r>
      <rPr>
        <sz val="8"/>
        <color rgb="FF030303"/>
        <rFont val="Times New Roman"/>
        <family val="1"/>
      </rPr>
      <t>01/2025</t>
    </r>
  </si>
  <si>
    <r>
      <rPr>
        <sz val="8"/>
        <color rgb="FF030303"/>
        <rFont val="Arial"/>
        <family val="2"/>
      </rPr>
      <t>New to Plan</t>
    </r>
  </si>
  <si>
    <r>
      <rPr>
        <sz val="8"/>
        <color rgb="FF030303"/>
        <rFont val="Arial"/>
        <family val="2"/>
      </rPr>
      <t>N</t>
    </r>
  </si>
  <si>
    <r>
      <rPr>
        <b/>
        <sz val="9"/>
        <color rgb="FF030303"/>
        <rFont val="Arial"/>
        <family val="2"/>
      </rPr>
      <t>Total for New Enrollments: Taugner, Christian</t>
    </r>
  </si>
  <si>
    <r>
      <rPr>
        <b/>
        <sz val="9"/>
        <color rgb="FF030303"/>
        <rFont val="Arial"/>
        <family val="2"/>
      </rPr>
      <t>Total for Writing Agent</t>
    </r>
  </si>
  <si>
    <r>
      <rPr>
        <b/>
        <sz val="8.5"/>
        <color rgb="FF030303"/>
        <rFont val="Arial"/>
        <family val="2"/>
      </rPr>
      <t xml:space="preserve">Member </t>
    </r>
    <r>
      <rPr>
        <sz val="8.5"/>
        <color rgb="FF030303"/>
        <rFont val="Arial"/>
        <family val="2"/>
      </rPr>
      <t>ID</t>
    </r>
  </si>
  <si>
    <r>
      <rPr>
        <b/>
        <sz val="8.5"/>
        <color rgb="FF030303"/>
        <rFont val="Arial"/>
        <family val="2"/>
      </rPr>
      <t>Writing ID</t>
    </r>
  </si>
  <si>
    <r>
      <rPr>
        <b/>
        <sz val="8.5"/>
        <color rgb="FF030303"/>
        <rFont val="Arial"/>
        <family val="2"/>
      </rPr>
      <t>Name</t>
    </r>
  </si>
  <si>
    <r>
      <rPr>
        <b/>
        <sz val="8.5"/>
        <color rgb="FF030303"/>
        <rFont val="Arial"/>
        <family val="2"/>
      </rPr>
      <t>Product</t>
    </r>
  </si>
  <si>
    <r>
      <rPr>
        <b/>
        <sz val="8.5"/>
        <color rgb="FF030303"/>
        <rFont val="Arial"/>
        <family val="2"/>
      </rPr>
      <t>Policy State</t>
    </r>
  </si>
  <si>
    <r>
      <rPr>
        <b/>
        <sz val="8.5"/>
        <color rgb="FF030303"/>
        <rFont val="Arial"/>
        <family val="2"/>
      </rPr>
      <t>Effective Date</t>
    </r>
  </si>
  <si>
    <r>
      <rPr>
        <b/>
        <sz val="8.5"/>
        <color rgb="FF030303"/>
        <rFont val="Arial"/>
        <family val="2"/>
      </rPr>
      <t>Term Date</t>
    </r>
  </si>
  <si>
    <r>
      <rPr>
        <b/>
        <sz val="8.5"/>
        <color rgb="FF030303"/>
        <rFont val="Arial"/>
        <family val="2"/>
      </rPr>
      <t>Term Code</t>
    </r>
  </si>
  <si>
    <r>
      <rPr>
        <b/>
        <sz val="8.5"/>
        <color rgb="FF030303"/>
        <rFont val="Arial"/>
        <family val="2"/>
      </rPr>
      <t>Period</t>
    </r>
  </si>
  <si>
    <r>
      <rPr>
        <b/>
        <sz val="8.5"/>
        <color rgb="FF030303"/>
        <rFont val="Arial"/>
        <family val="2"/>
      </rPr>
      <t>CMS Payment Type</t>
    </r>
  </si>
  <si>
    <r>
      <rPr>
        <b/>
        <sz val="8.5"/>
        <color rgb="FF030303"/>
        <rFont val="Arial"/>
        <family val="2"/>
      </rPr>
      <t>Retro</t>
    </r>
  </si>
  <si>
    <r>
      <rPr>
        <b/>
        <sz val="8.5"/>
        <color rgb="FF030303"/>
        <rFont val="Arial"/>
        <family val="2"/>
      </rPr>
      <t>Commission Amount</t>
    </r>
  </si>
  <si>
    <r>
      <rPr>
        <sz val="8"/>
        <color rgb="FF030303"/>
        <rFont val="Arial"/>
        <family val="2"/>
      </rPr>
      <t>Arnouil</t>
    </r>
    <r>
      <rPr>
        <sz val="8"/>
        <color rgb="FF383838"/>
        <rFont val="Arial"/>
        <family val="2"/>
      </rPr>
      <t xml:space="preserve">, </t>
    </r>
    <r>
      <rPr>
        <sz val="8"/>
        <color rgb="FF030303"/>
        <rFont val="Arial"/>
        <family val="2"/>
      </rPr>
      <t>Janet</t>
    </r>
  </si>
  <si>
    <r>
      <rPr>
        <sz val="8"/>
        <color rgb="FF030303"/>
        <rFont val="Arial"/>
        <family val="2"/>
      </rPr>
      <t>IL</t>
    </r>
  </si>
  <si>
    <r>
      <rPr>
        <sz val="8"/>
        <color rgb="FF030303"/>
        <rFont val="Arial"/>
        <family val="2"/>
      </rPr>
      <t>Hamilton, Pamela</t>
    </r>
  </si>
  <si>
    <r>
      <rPr>
        <sz val="8"/>
        <color rgb="FF030303"/>
        <rFont val="Arial"/>
        <family val="2"/>
      </rPr>
      <t>IN</t>
    </r>
  </si>
  <si>
    <r>
      <rPr>
        <sz val="8"/>
        <color rgb="FF030303"/>
        <rFont val="Arial"/>
        <family val="2"/>
      </rPr>
      <t>Initial</t>
    </r>
  </si>
  <si>
    <r>
      <rPr>
        <sz val="8"/>
        <color rgb="FF030303"/>
        <rFont val="Arial"/>
        <family val="2"/>
      </rPr>
      <t>Packer, Patricia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</si>
  <si>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>Portugal, Stacey</t>
    </r>
  </si>
  <si>
    <r>
      <rPr>
        <b/>
        <sz val="8.5"/>
        <color rgb="FF030303"/>
        <rFont val="Arial"/>
        <family val="2"/>
      </rPr>
      <t xml:space="preserve">$420.00
</t>
    </r>
    <r>
      <rPr>
        <b/>
        <sz val="8.5"/>
        <color rgb="FF030303"/>
        <rFont val="Arial"/>
        <family val="2"/>
      </rPr>
      <t>$420.00</t>
    </r>
  </si>
  <si>
    <r>
      <rPr>
        <b/>
        <sz val="8.5"/>
        <color rgb="FF030303"/>
        <rFont val="Arial"/>
        <family val="2"/>
      </rPr>
      <t>Total for Writing Agent       19645587</t>
    </r>
  </si>
  <si>
    <r>
      <rPr>
        <sz val="8"/>
        <color rgb="FF030303"/>
        <rFont val="Arial"/>
        <family val="2"/>
      </rPr>
      <t>Kritikos</t>
    </r>
    <r>
      <rPr>
        <sz val="8"/>
        <color rgb="FF2D2D2D"/>
        <rFont val="Arial"/>
        <family val="2"/>
      </rPr>
      <t xml:space="preserve">, </t>
    </r>
    <r>
      <rPr>
        <sz val="8"/>
        <color rgb="FF030303"/>
        <rFont val="Arial"/>
        <family val="2"/>
      </rPr>
      <t>Georgios</t>
    </r>
  </si>
  <si>
    <r>
      <rPr>
        <sz val="8"/>
        <color rgb="FF030303"/>
        <rFont val="Arial"/>
        <family val="2"/>
      </rPr>
      <t>Kusek, Thomas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</si>
  <si>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>Wuensch, Richard</t>
    </r>
  </si>
  <si>
    <r>
      <rPr>
        <b/>
        <sz val="8.5"/>
        <color rgb="FF030303"/>
        <rFont val="Arial"/>
        <family val="2"/>
      </rPr>
      <t xml:space="preserve">$210.00
</t>
    </r>
    <r>
      <rPr>
        <b/>
        <sz val="8.5"/>
        <color rgb="FF030303"/>
        <rFont val="Arial"/>
        <family val="2"/>
      </rPr>
      <t>$210.00</t>
    </r>
  </si>
  <si>
    <r>
      <rPr>
        <b/>
        <sz val="8.5"/>
        <color rgb="FF030303"/>
        <rFont val="Arial"/>
        <family val="2"/>
      </rPr>
      <t>Total for Writing Agent        19615078</t>
    </r>
  </si>
  <si>
    <r>
      <rPr>
        <sz val="8"/>
        <color rgb="FF030303"/>
        <rFont val="Arial"/>
        <family val="2"/>
      </rPr>
      <t>Mauldin</t>
    </r>
    <r>
      <rPr>
        <sz val="8"/>
        <color rgb="FF343434"/>
        <rFont val="Arial"/>
        <family val="2"/>
      </rPr>
      <t xml:space="preserve">, </t>
    </r>
    <r>
      <rPr>
        <sz val="8"/>
        <color rgb="FF030303"/>
        <rFont val="Arial"/>
        <family val="2"/>
      </rPr>
      <t>Ingrid</t>
    </r>
  </si>
  <si>
    <r>
      <rPr>
        <sz val="8"/>
        <color rgb="FF030303"/>
        <rFont val="Times New Roman"/>
        <family val="1"/>
      </rPr>
      <t>MA</t>
    </r>
  </si>
  <si>
    <r>
      <rPr>
        <sz val="8.5"/>
        <color rgb="FF030303"/>
        <rFont val="Arial"/>
        <family val="2"/>
      </rPr>
      <t>Total for New Enrollments: Werner, Steven</t>
    </r>
  </si>
  <si>
    <r>
      <rPr>
        <b/>
        <sz val="8.5"/>
        <color rgb="FF030303"/>
        <rFont val="Arial"/>
        <family val="2"/>
      </rPr>
      <t>Total for Writing Agent</t>
    </r>
  </si>
  <si>
    <r>
      <rPr>
        <b/>
        <sz val="8.5"/>
        <color rgb="FF030303"/>
        <rFont val="Arial"/>
        <family val="2"/>
      </rPr>
      <t xml:space="preserve">Policy
</t>
    </r>
    <r>
      <rPr>
        <b/>
        <sz val="8.5"/>
        <color rgb="FF030303"/>
        <rFont val="Arial"/>
        <family val="2"/>
      </rPr>
      <t>State</t>
    </r>
  </si>
  <si>
    <r>
      <rPr>
        <b/>
        <sz val="8.5"/>
        <color rgb="FF030303"/>
        <rFont val="Arial"/>
        <family val="2"/>
      </rPr>
      <t xml:space="preserve">Effective
</t>
    </r>
    <r>
      <rPr>
        <b/>
        <sz val="8.5"/>
        <color rgb="FF030303"/>
        <rFont val="Arial"/>
        <family val="2"/>
      </rPr>
      <t>Date</t>
    </r>
  </si>
  <si>
    <r>
      <rPr>
        <sz val="8.5"/>
        <color rgb="FF030303"/>
        <rFont val="Arial"/>
        <family val="2"/>
      </rPr>
      <t xml:space="preserve">Term </t>
    </r>
    <r>
      <rPr>
        <b/>
        <sz val="8.5"/>
        <color rgb="FF030303"/>
        <rFont val="Arial"/>
        <family val="2"/>
      </rPr>
      <t>Code</t>
    </r>
  </si>
  <si>
    <r>
      <rPr>
        <b/>
        <sz val="8.5"/>
        <color rgb="FF030303"/>
        <rFont val="Arial"/>
        <family val="2"/>
      </rPr>
      <t xml:space="preserve">CMS Payment
</t>
    </r>
    <r>
      <rPr>
        <sz val="8.5"/>
        <color rgb="FF030303"/>
        <rFont val="Arial"/>
        <family val="2"/>
      </rPr>
      <t>Type</t>
    </r>
  </si>
  <si>
    <r>
      <rPr>
        <sz val="8.5"/>
        <color rgb="FF030303"/>
        <rFont val="Arial"/>
        <family val="2"/>
      </rPr>
      <t xml:space="preserve">Commission
</t>
    </r>
    <r>
      <rPr>
        <sz val="8.5"/>
        <color rgb="FF030303"/>
        <rFont val="Arial"/>
        <family val="2"/>
      </rPr>
      <t>Amount</t>
    </r>
  </si>
  <si>
    <r>
      <rPr>
        <sz val="8"/>
        <color rgb="FF030303"/>
        <rFont val="Arial"/>
        <family val="2"/>
      </rPr>
      <t>Hendrickson</t>
    </r>
    <r>
      <rPr>
        <sz val="8"/>
        <color rgb="FF444444"/>
        <rFont val="Arial"/>
        <family val="2"/>
      </rPr>
      <t xml:space="preserve">, </t>
    </r>
    <r>
      <rPr>
        <sz val="8"/>
        <color rgb="FF030303"/>
        <rFont val="Arial"/>
        <family val="2"/>
      </rPr>
      <t>Sarah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</si>
  <si>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 xml:space="preserve">Total for Writing Agent       </t>
    </r>
    <r>
      <rPr>
        <b/>
        <sz val="9.5"/>
        <color rgb="FF030303"/>
        <rFont val="Courier New"/>
        <family val="3"/>
      </rPr>
      <t xml:space="preserve">17301495    </t>
    </r>
    <r>
      <rPr>
        <b/>
        <sz val="8.5"/>
        <color rgb="FF030303"/>
        <rFont val="Arial"/>
        <family val="2"/>
      </rPr>
      <t>Herrera-Larsen, Esther</t>
    </r>
  </si>
  <si>
    <r>
      <rPr>
        <b/>
        <sz val="8.5"/>
        <color rgb="FF030303"/>
        <rFont val="Arial"/>
        <family val="2"/>
      </rPr>
      <t>Member ID</t>
    </r>
  </si>
  <si>
    <r>
      <rPr>
        <sz val="8"/>
        <color rgb="FF030303"/>
        <rFont val="Arial"/>
        <family val="2"/>
      </rPr>
      <t>Campanella</t>
    </r>
    <r>
      <rPr>
        <sz val="8"/>
        <color rgb="FF3F3F3F"/>
        <rFont val="Arial"/>
        <family val="2"/>
      </rPr>
      <t xml:space="preserve">, </t>
    </r>
    <r>
      <rPr>
        <sz val="8"/>
        <color rgb="FF030303"/>
        <rFont val="Arial"/>
        <family val="2"/>
      </rPr>
      <t>Theodora</t>
    </r>
  </si>
  <si>
    <r>
      <rPr>
        <sz val="8"/>
        <color rgb="FF030303"/>
        <rFont val="Arial"/>
        <family val="2"/>
      </rPr>
      <t>Chilstrom, Marne</t>
    </r>
  </si>
  <si>
    <r>
      <rPr>
        <sz val="8"/>
        <color rgb="FF030303"/>
        <rFont val="Arial"/>
        <family val="2"/>
      </rPr>
      <t>Fluieras, Maria</t>
    </r>
  </si>
  <si>
    <r>
      <rPr>
        <sz val="8"/>
        <color rgb="FF030303"/>
        <rFont val="Arial"/>
        <family val="2"/>
      </rPr>
      <t>Sisty, Carole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</si>
  <si>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>Petrungaro, Andrea</t>
    </r>
  </si>
  <si>
    <r>
      <rPr>
        <b/>
        <sz val="8.5"/>
        <color rgb="FF030303"/>
        <rFont val="Arial"/>
        <family val="2"/>
      </rPr>
      <t xml:space="preserve">$840.00
</t>
    </r>
    <r>
      <rPr>
        <b/>
        <sz val="8.5"/>
        <color rgb="FF030303"/>
        <rFont val="Arial"/>
        <family val="2"/>
      </rPr>
      <t>$840.00</t>
    </r>
  </si>
  <si>
    <r>
      <rPr>
        <sz val="8"/>
        <color rgb="FF030303"/>
        <rFont val="Arial"/>
        <family val="2"/>
      </rPr>
      <t>Boykin</t>
    </r>
    <r>
      <rPr>
        <sz val="8"/>
        <color rgb="FF3F3F3F"/>
        <rFont val="Arial"/>
        <family val="2"/>
      </rPr>
      <t xml:space="preserve">, </t>
    </r>
    <r>
      <rPr>
        <sz val="8"/>
        <color rgb="FF030303"/>
        <rFont val="Arial"/>
        <family val="2"/>
      </rPr>
      <t>Alma</t>
    </r>
  </si>
  <si>
    <r>
      <rPr>
        <sz val="8"/>
        <color rgb="FF030303"/>
        <rFont val="Arial"/>
        <family val="2"/>
      </rPr>
      <t>Frick, Kenneth</t>
    </r>
  </si>
  <si>
    <r>
      <rPr>
        <sz val="8"/>
        <color rgb="FF030303"/>
        <rFont val="Arial"/>
        <family val="2"/>
      </rPr>
      <t>Frick, Donna</t>
    </r>
  </si>
  <si>
    <r>
      <rPr>
        <sz val="8"/>
        <color rgb="FF030303"/>
        <rFont val="Arial"/>
        <family val="2"/>
      </rPr>
      <t>Gumbiner, Gail</t>
    </r>
  </si>
  <si>
    <r>
      <rPr>
        <sz val="8"/>
        <color rgb="FF030303"/>
        <rFont val="Arial"/>
        <family val="2"/>
      </rPr>
      <t>Kanter, Corrine</t>
    </r>
  </si>
  <si>
    <r>
      <rPr>
        <sz val="8"/>
        <color rgb="FF030303"/>
        <rFont val="Arial"/>
        <family val="2"/>
      </rPr>
      <t>Kanter, Larry</t>
    </r>
  </si>
  <si>
    <r>
      <rPr>
        <sz val="8"/>
        <color rgb="FF030303"/>
        <rFont val="Arial"/>
        <family val="2"/>
      </rPr>
      <t>Kuenzel, Chrisanne</t>
    </r>
  </si>
  <si>
    <r>
      <rPr>
        <sz val="8"/>
        <color rgb="FF030303"/>
        <rFont val="Arial"/>
        <family val="2"/>
      </rPr>
      <t>Langton, Joyce</t>
    </r>
  </si>
  <si>
    <r>
      <rPr>
        <sz val="8"/>
        <color rgb="FF030303"/>
        <rFont val="Arial"/>
        <family val="2"/>
      </rPr>
      <t>McDonald, Lisa</t>
    </r>
  </si>
  <si>
    <r>
      <rPr>
        <sz val="8"/>
        <color rgb="FF030303"/>
        <rFont val="Arial"/>
        <family val="2"/>
      </rPr>
      <t>Myers, Martin</t>
    </r>
  </si>
  <si>
    <r>
      <rPr>
        <sz val="8"/>
        <color rgb="FF030303"/>
        <rFont val="Arial"/>
        <family val="2"/>
      </rPr>
      <t>Omark</t>
    </r>
    <r>
      <rPr>
        <sz val="8"/>
        <color rgb="FF3F3F3F"/>
        <rFont val="Arial"/>
        <family val="2"/>
      </rPr>
      <t xml:space="preserve">, </t>
    </r>
    <r>
      <rPr>
        <sz val="8"/>
        <color rgb="FF030303"/>
        <rFont val="Arial"/>
        <family val="2"/>
      </rPr>
      <t>Carl</t>
    </r>
  </si>
  <si>
    <r>
      <rPr>
        <sz val="8"/>
        <color rgb="FF030303"/>
        <rFont val="Arial"/>
        <family val="2"/>
      </rPr>
      <t>Patterson Sebanc</t>
    </r>
    <r>
      <rPr>
        <sz val="8"/>
        <color rgb="FF3F3F3F"/>
        <rFont val="Arial"/>
        <family val="2"/>
      </rPr>
      <t xml:space="preserve">, </t>
    </r>
    <r>
      <rPr>
        <sz val="8"/>
        <color rgb="FF030303"/>
        <rFont val="Arial"/>
        <family val="2"/>
      </rPr>
      <t>Renay</t>
    </r>
  </si>
  <si>
    <r>
      <rPr>
        <sz val="8"/>
        <color rgb="FF030303"/>
        <rFont val="Arial"/>
        <family val="2"/>
      </rPr>
      <t>Seidell</t>
    </r>
    <r>
      <rPr>
        <sz val="8"/>
        <color rgb="FF3F3F3F"/>
        <rFont val="Arial"/>
        <family val="2"/>
      </rPr>
      <t xml:space="preserve">, </t>
    </r>
    <r>
      <rPr>
        <sz val="8"/>
        <color rgb="FF030303"/>
        <rFont val="Arial"/>
        <family val="2"/>
      </rPr>
      <t>Helene</t>
    </r>
  </si>
  <si>
    <r>
      <rPr>
        <sz val="8"/>
        <color rgb="FF030303"/>
        <rFont val="Arial"/>
        <family val="2"/>
      </rPr>
      <t>Silvert, Donald</t>
    </r>
  </si>
  <si>
    <r>
      <rPr>
        <sz val="8"/>
        <color rgb="FF030303"/>
        <rFont val="Arial"/>
        <family val="2"/>
      </rPr>
      <t>Silvert, Anita</t>
    </r>
  </si>
  <si>
    <r>
      <rPr>
        <sz val="8"/>
        <color rgb="FF030303"/>
        <rFont val="Arial"/>
        <family val="2"/>
      </rPr>
      <t>Weitzman, Kenneth</t>
    </r>
  </si>
  <si>
    <r>
      <rPr>
        <sz val="8"/>
        <color rgb="FF030303"/>
        <rFont val="Arial"/>
        <family val="2"/>
      </rPr>
      <t>Wyner, Paul</t>
    </r>
  </si>
  <si>
    <r>
      <rPr>
        <sz val="8"/>
        <color rgb="FF030303"/>
        <rFont val="Arial"/>
        <family val="2"/>
      </rPr>
      <t>MO</t>
    </r>
  </si>
  <si>
    <r>
      <rPr>
        <sz val="8"/>
        <color rgb="FF030303"/>
        <rFont val="Times New Roman"/>
        <family val="1"/>
      </rPr>
      <t>11/2024</t>
    </r>
  </si>
  <si>
    <r>
      <rPr>
        <b/>
        <sz val="8.5"/>
        <color rgb="FF030303"/>
        <rFont val="Arial"/>
        <family val="2"/>
      </rPr>
      <t>Total for New Enrollments:                                                                                                                   $2,255.00</t>
    </r>
  </si>
  <si>
    <r>
      <rPr>
        <b/>
        <sz val="9.5"/>
        <color rgb="FF030303"/>
        <rFont val="Arial"/>
        <family val="2"/>
      </rPr>
      <t>Annual Renewals</t>
    </r>
  </si>
  <si>
    <r>
      <rPr>
        <sz val="8"/>
        <color rgb="FF030303"/>
        <rFont val="Arial"/>
        <family val="2"/>
      </rPr>
      <t>Renew</t>
    </r>
  </si>
  <si>
    <r>
      <rPr>
        <sz val="10"/>
        <color rgb="FF010101"/>
        <rFont val="Arial"/>
        <family val="2"/>
      </rPr>
      <t>Annual Renewals</t>
    </r>
  </si>
  <si>
    <r>
      <rPr>
        <sz val="8.5"/>
        <color rgb="FF010101"/>
        <rFont val="Arial"/>
        <family val="2"/>
      </rPr>
      <t>Member ID</t>
    </r>
  </si>
  <si>
    <r>
      <rPr>
        <sz val="8.5"/>
        <color rgb="FF010101"/>
        <rFont val="Arial"/>
        <family val="2"/>
      </rPr>
      <t>Writing ID</t>
    </r>
  </si>
  <si>
    <r>
      <rPr>
        <sz val="8.5"/>
        <color rgb="FF010101"/>
        <rFont val="Arial"/>
        <family val="2"/>
      </rPr>
      <t>Name</t>
    </r>
  </si>
  <si>
    <r>
      <rPr>
        <sz val="8.5"/>
        <color rgb="FF010101"/>
        <rFont val="Arial"/>
        <family val="2"/>
      </rPr>
      <t>Product</t>
    </r>
  </si>
  <si>
    <r>
      <rPr>
        <sz val="8.5"/>
        <color rgb="FF010101"/>
        <rFont val="Arial"/>
        <family val="2"/>
      </rPr>
      <t>Policy State</t>
    </r>
  </si>
  <si>
    <r>
      <rPr>
        <sz val="8.5"/>
        <color rgb="FF010101"/>
        <rFont val="Arial"/>
        <family val="2"/>
      </rPr>
      <t>Effective Date</t>
    </r>
  </si>
  <si>
    <r>
      <rPr>
        <sz val="8.5"/>
        <color rgb="FF010101"/>
        <rFont val="Arial"/>
        <family val="2"/>
      </rPr>
      <t>Term Date</t>
    </r>
  </si>
  <si>
    <r>
      <rPr>
        <sz val="8.5"/>
        <color rgb="FF010101"/>
        <rFont val="Arial"/>
        <family val="2"/>
      </rPr>
      <t>Term Code</t>
    </r>
  </si>
  <si>
    <r>
      <rPr>
        <sz val="8.5"/>
        <color rgb="FF010101"/>
        <rFont val="Arial"/>
        <family val="2"/>
      </rPr>
      <t>Period</t>
    </r>
  </si>
  <si>
    <r>
      <rPr>
        <sz val="8.5"/>
        <color rgb="FF010101"/>
        <rFont val="Arial"/>
        <family val="2"/>
      </rPr>
      <t>CMS Payment Type</t>
    </r>
  </si>
  <si>
    <r>
      <rPr>
        <sz val="8.5"/>
        <color rgb="FF010101"/>
        <rFont val="Arial"/>
        <family val="2"/>
      </rPr>
      <t>Retro</t>
    </r>
  </si>
  <si>
    <r>
      <rPr>
        <sz val="8.5"/>
        <color rgb="FF010101"/>
        <rFont val="Arial"/>
        <family val="2"/>
      </rPr>
      <t>Commission Amount</t>
    </r>
  </si>
  <si>
    <r>
      <rPr>
        <sz val="8.5"/>
        <color rgb="FF010101"/>
        <rFont val="Arial"/>
        <family val="2"/>
      </rPr>
      <t>Total for  Annual Renewals: Yale, Richard</t>
    </r>
  </si>
  <si>
    <r>
      <rPr>
        <sz val="8.5"/>
        <color rgb="FF010101"/>
        <rFont val="Arial"/>
        <family val="2"/>
      </rPr>
      <t xml:space="preserve">$8.75
</t>
    </r>
    <r>
      <rPr>
        <sz val="8.5"/>
        <color rgb="FF010101"/>
        <rFont val="Arial"/>
        <family val="2"/>
      </rPr>
      <t>$2,263.75</t>
    </r>
  </si>
  <si>
    <r>
      <rPr>
        <sz val="8.5"/>
        <color rgb="FF010101"/>
        <rFont val="Arial"/>
        <family val="2"/>
      </rPr>
      <t>Total for Writing Agent       16633294</t>
    </r>
  </si>
  <si>
    <r>
      <rPr>
        <sz val="7.5"/>
        <color rgb="FF030303"/>
        <rFont val="Arial"/>
        <family val="2"/>
      </rPr>
      <t>Attento</t>
    </r>
    <r>
      <rPr>
        <sz val="7.5"/>
        <color rgb="FF2F2F2F"/>
        <rFont val="Arial"/>
        <family val="2"/>
      </rPr>
      <t xml:space="preserve">, </t>
    </r>
    <r>
      <rPr>
        <sz val="7.5"/>
        <color rgb="FF030303"/>
        <rFont val="Arial"/>
        <family val="2"/>
      </rPr>
      <t>Josephine</t>
    </r>
  </si>
  <si>
    <r>
      <rPr>
        <b/>
        <sz val="9"/>
        <color rgb="FF030303"/>
        <rFont val="Arial"/>
        <family val="2"/>
      </rPr>
      <t>Total for New Enrollments: Walenga, Dale</t>
    </r>
  </si>
  <si>
    <r>
      <rPr>
        <sz val="8.5"/>
        <color rgb="FF030303"/>
        <rFont val="Arial"/>
        <family val="2"/>
      </rPr>
      <t xml:space="preserve">$313.00
</t>
    </r>
    <r>
      <rPr>
        <sz val="8.5"/>
        <color rgb="FF030303"/>
        <rFont val="Arial"/>
        <family val="2"/>
      </rPr>
      <t>$313.00</t>
    </r>
  </si>
  <si>
    <r>
      <rPr>
        <b/>
        <sz val="8.5"/>
        <color rgb="FF010101"/>
        <rFont val="Arial"/>
        <family val="2"/>
      </rPr>
      <t xml:space="preserve">Total for New Enrollments:                                                                                                                   $2,191.00
</t>
    </r>
    <r>
      <rPr>
        <b/>
        <sz val="8.5"/>
        <color rgb="FF010101"/>
        <rFont val="Arial"/>
        <family val="2"/>
      </rPr>
      <t xml:space="preserve">Total for Writing Agent        2158366         Horn, Jeffrey                                                                                                                                       </t>
    </r>
    <r>
      <rPr>
        <b/>
        <vertAlign val="subscript"/>
        <sz val="8.5"/>
        <color rgb="FF010101"/>
        <rFont val="Arial"/>
        <family val="2"/>
      </rPr>
      <t>$2,191.00</t>
    </r>
  </si>
  <si>
    <r>
      <rPr>
        <b/>
        <sz val="9"/>
        <color rgb="FF030303"/>
        <rFont val="Arial"/>
        <family val="2"/>
      </rPr>
      <t xml:space="preserve">Policy
</t>
    </r>
    <r>
      <rPr>
        <b/>
        <sz val="9"/>
        <color rgb="FF030303"/>
        <rFont val="Arial"/>
        <family val="2"/>
      </rPr>
      <t>State</t>
    </r>
  </si>
  <si>
    <r>
      <rPr>
        <b/>
        <sz val="9"/>
        <color rgb="FF030303"/>
        <rFont val="Arial"/>
        <family val="2"/>
      </rPr>
      <t xml:space="preserve">Effective
</t>
    </r>
    <r>
      <rPr>
        <b/>
        <sz val="9"/>
        <color rgb="FF030303"/>
        <rFont val="Arial"/>
        <family val="2"/>
      </rPr>
      <t>Date</t>
    </r>
  </si>
  <si>
    <r>
      <rPr>
        <sz val="8.5"/>
        <color rgb="FF030303"/>
        <rFont val="Arial"/>
        <family val="2"/>
      </rPr>
      <t xml:space="preserve">CMS Payment
</t>
    </r>
    <r>
      <rPr>
        <sz val="8.5"/>
        <color rgb="FF030303"/>
        <rFont val="Arial"/>
        <family val="2"/>
      </rPr>
      <t>Type</t>
    </r>
  </si>
  <si>
    <r>
      <rPr>
        <b/>
        <sz val="9"/>
        <color rgb="FF030303"/>
        <rFont val="Arial"/>
        <family val="2"/>
      </rPr>
      <t xml:space="preserve">Total for New Enrollments:
</t>
    </r>
    <r>
      <rPr>
        <b/>
        <sz val="9"/>
        <color rgb="FF030303"/>
        <rFont val="Arial"/>
        <family val="2"/>
      </rPr>
      <t>Taugner, Christian</t>
    </r>
  </si>
  <si>
    <r>
      <rPr>
        <b/>
        <sz val="8.5"/>
        <color rgb="FF030303"/>
        <rFont val="Arial"/>
        <family val="2"/>
      </rPr>
      <t>Total for New Enrollments: Portugal, Stacey</t>
    </r>
  </si>
  <si>
    <r>
      <rPr>
        <b/>
        <sz val="8.5"/>
        <color rgb="FF030303"/>
        <rFont val="Arial"/>
        <family val="2"/>
      </rPr>
      <t xml:space="preserve">$1,252.00
</t>
    </r>
    <r>
      <rPr>
        <b/>
        <sz val="8.5"/>
        <color rgb="FF030303"/>
        <rFont val="Arial"/>
        <family val="2"/>
      </rPr>
      <t>$1,252.00</t>
    </r>
  </si>
  <si>
    <r>
      <rPr>
        <b/>
        <sz val="8.5"/>
        <color rgb="FF030303"/>
        <rFont val="Arial"/>
        <family val="2"/>
      </rPr>
      <t>Total for New Enrollments: Wuensch, Richard</t>
    </r>
  </si>
  <si>
    <r>
      <rPr>
        <b/>
        <sz val="8.5"/>
        <color rgb="FF030303"/>
        <rFont val="Arial"/>
        <family val="2"/>
      </rPr>
      <t xml:space="preserve">$626.00
</t>
    </r>
    <r>
      <rPr>
        <b/>
        <sz val="8.5"/>
        <color rgb="FF030303"/>
        <rFont val="Arial"/>
        <family val="2"/>
      </rPr>
      <t>$626.00</t>
    </r>
  </si>
  <si>
    <r>
      <rPr>
        <sz val="8.5"/>
        <color rgb="FF030303"/>
        <rFont val="Arial"/>
        <family val="2"/>
      </rPr>
      <t xml:space="preserve">Total for New Enrollments:
</t>
    </r>
    <r>
      <rPr>
        <sz val="8.5"/>
        <color rgb="FF030303"/>
        <rFont val="Arial"/>
        <family val="2"/>
      </rPr>
      <t>Werner, Steven</t>
    </r>
  </si>
  <si>
    <r>
      <rPr>
        <b/>
        <sz val="8.5"/>
        <color rgb="FF030303"/>
        <rFont val="Arial"/>
        <family val="2"/>
      </rPr>
      <t xml:space="preserve">Total for New Enrollments: Total for Writing Agent       </t>
    </r>
    <r>
      <rPr>
        <b/>
        <sz val="9.5"/>
        <color rgb="FF030303"/>
        <rFont val="Courier New"/>
        <family val="3"/>
      </rPr>
      <t xml:space="preserve">17301495    </t>
    </r>
    <r>
      <rPr>
        <b/>
        <sz val="8.5"/>
        <color rgb="FF030303"/>
        <rFont val="Arial"/>
        <family val="2"/>
      </rPr>
      <t>Herrera-Larsen, Esther</t>
    </r>
  </si>
  <si>
    <r>
      <rPr>
        <b/>
        <sz val="8.5"/>
        <color rgb="FF030303"/>
        <rFont val="Arial"/>
        <family val="2"/>
      </rPr>
      <t>Total for New Enrollments: Petrungaro, Andrea</t>
    </r>
  </si>
  <si>
    <r>
      <rPr>
        <b/>
        <sz val="8.5"/>
        <color rgb="FF030303"/>
        <rFont val="Arial"/>
        <family val="2"/>
      </rPr>
      <t xml:space="preserve">$2,504.00
</t>
    </r>
    <r>
      <rPr>
        <b/>
        <sz val="8.5"/>
        <color rgb="FF030303"/>
        <rFont val="Arial"/>
        <family val="2"/>
      </rPr>
      <t>$2,504.00</t>
    </r>
  </si>
  <si>
    <r>
      <rPr>
        <b/>
        <sz val="9.5"/>
        <color rgb="FF050505"/>
        <rFont val="Arial"/>
        <family val="2"/>
      </rPr>
      <t xml:space="preserve">Writing Agent                                   </t>
    </r>
    <r>
      <rPr>
        <b/>
        <sz val="10"/>
        <color rgb="FF050505"/>
        <rFont val="Times New Roman"/>
        <family val="1"/>
      </rPr>
      <t xml:space="preserve">16633294                                    </t>
    </r>
    <r>
      <rPr>
        <b/>
        <sz val="9.5"/>
        <color rgb="FF050505"/>
        <rFont val="Arial"/>
        <family val="2"/>
      </rPr>
      <t xml:space="preserve">Yale, Richard
</t>
    </r>
    <r>
      <rPr>
        <b/>
        <sz val="9.5"/>
        <color rgb="FF050505"/>
        <rFont val="Arial"/>
        <family val="2"/>
      </rPr>
      <t>New Enrollment</t>
    </r>
  </si>
  <si>
    <r>
      <rPr>
        <b/>
        <sz val="8.5"/>
        <color rgb="FF050505"/>
        <rFont val="Arial"/>
        <family val="2"/>
      </rPr>
      <t>Member ID</t>
    </r>
  </si>
  <si>
    <r>
      <rPr>
        <b/>
        <sz val="8.5"/>
        <color rgb="FF050505"/>
        <rFont val="Arial"/>
        <family val="2"/>
      </rPr>
      <t>Writing ID</t>
    </r>
  </si>
  <si>
    <r>
      <rPr>
        <b/>
        <sz val="8.5"/>
        <color rgb="FF050505"/>
        <rFont val="Arial"/>
        <family val="2"/>
      </rPr>
      <t>Name</t>
    </r>
  </si>
  <si>
    <r>
      <rPr>
        <b/>
        <sz val="8.5"/>
        <color rgb="FF050505"/>
        <rFont val="Arial"/>
        <family val="2"/>
      </rPr>
      <t>Product</t>
    </r>
  </si>
  <si>
    <r>
      <rPr>
        <b/>
        <sz val="8.5"/>
        <color rgb="FF050505"/>
        <rFont val="Arial"/>
        <family val="2"/>
      </rPr>
      <t>Policy State</t>
    </r>
  </si>
  <si>
    <r>
      <rPr>
        <b/>
        <sz val="8.5"/>
        <color rgb="FF050505"/>
        <rFont val="Arial"/>
        <family val="2"/>
      </rPr>
      <t>Effective Date</t>
    </r>
  </si>
  <si>
    <r>
      <rPr>
        <b/>
        <sz val="8.5"/>
        <color rgb="FF050505"/>
        <rFont val="Arial"/>
        <family val="2"/>
      </rPr>
      <t>Term Date</t>
    </r>
  </si>
  <si>
    <r>
      <rPr>
        <b/>
        <sz val="8.5"/>
        <color rgb="FF050505"/>
        <rFont val="Arial"/>
        <family val="2"/>
      </rPr>
      <t>Term Code</t>
    </r>
  </si>
  <si>
    <r>
      <rPr>
        <b/>
        <sz val="8.5"/>
        <color rgb="FF050505"/>
        <rFont val="Arial"/>
        <family val="2"/>
      </rPr>
      <t>Period</t>
    </r>
  </si>
  <si>
    <r>
      <rPr>
        <b/>
        <sz val="8.5"/>
        <color rgb="FF050505"/>
        <rFont val="Arial"/>
        <family val="2"/>
      </rPr>
      <t>CMS Payment Type</t>
    </r>
  </si>
  <si>
    <r>
      <rPr>
        <b/>
        <sz val="8.5"/>
        <color rgb="FF050505"/>
        <rFont val="Arial"/>
        <family val="2"/>
      </rPr>
      <t>Retro</t>
    </r>
  </si>
  <si>
    <r>
      <rPr>
        <b/>
        <sz val="8.5"/>
        <color rgb="FF050505"/>
        <rFont val="Arial"/>
        <family val="2"/>
      </rPr>
      <t>Commission Amount</t>
    </r>
  </si>
  <si>
    <r>
      <rPr>
        <sz val="8"/>
        <color rgb="FF050505"/>
        <rFont val="Arial"/>
        <family val="2"/>
      </rPr>
      <t>Boykin</t>
    </r>
    <r>
      <rPr>
        <sz val="8"/>
        <color rgb="FF3F3F3F"/>
        <rFont val="Arial"/>
        <family val="2"/>
      </rPr>
      <t xml:space="preserve">, </t>
    </r>
    <r>
      <rPr>
        <sz val="8"/>
        <color rgb="FF050505"/>
        <rFont val="Arial"/>
        <family val="2"/>
      </rPr>
      <t>Alma</t>
    </r>
  </si>
  <si>
    <r>
      <rPr>
        <sz val="8"/>
        <color rgb="FF050505"/>
        <rFont val="Arial"/>
        <family val="2"/>
      </rPr>
      <t>MA</t>
    </r>
  </si>
  <si>
    <r>
      <rPr>
        <sz val="8"/>
        <color rgb="FF050505"/>
        <rFont val="Arial"/>
        <family val="2"/>
      </rPr>
      <t>IL</t>
    </r>
  </si>
  <si>
    <r>
      <rPr>
        <sz val="8"/>
        <color rgb="FF050505"/>
        <rFont val="Times New Roman"/>
        <family val="1"/>
      </rPr>
      <t>01/2025</t>
    </r>
  </si>
  <si>
    <r>
      <rPr>
        <sz val="8"/>
        <color rgb="FF050505"/>
        <rFont val="Arial"/>
        <family val="2"/>
      </rPr>
      <t>New to Plan</t>
    </r>
  </si>
  <si>
    <r>
      <rPr>
        <sz val="8"/>
        <color rgb="FF050505"/>
        <rFont val="Arial"/>
        <family val="2"/>
      </rPr>
      <t>N</t>
    </r>
  </si>
  <si>
    <r>
      <rPr>
        <sz val="8"/>
        <color rgb="FF050505"/>
        <rFont val="Arial"/>
        <family val="2"/>
      </rPr>
      <t>Frick, Kenneth</t>
    </r>
  </si>
  <si>
    <r>
      <rPr>
        <sz val="8"/>
        <color rgb="FF050505"/>
        <rFont val="Arial"/>
        <family val="2"/>
      </rPr>
      <t>Frick, Donna</t>
    </r>
  </si>
  <si>
    <r>
      <rPr>
        <sz val="8"/>
        <color rgb="FF050505"/>
        <rFont val="Arial"/>
        <family val="2"/>
      </rPr>
      <t>Gumbiner, Gail</t>
    </r>
  </si>
  <si>
    <r>
      <rPr>
        <sz val="8"/>
        <color rgb="FF050505"/>
        <rFont val="Arial"/>
        <family val="2"/>
      </rPr>
      <t>Kanter, Larry</t>
    </r>
  </si>
  <si>
    <r>
      <rPr>
        <sz val="8"/>
        <color rgb="FF050505"/>
        <rFont val="Arial"/>
        <family val="2"/>
      </rPr>
      <t>Kanter, Corrine</t>
    </r>
  </si>
  <si>
    <r>
      <rPr>
        <sz val="8"/>
        <color rgb="FF050505"/>
        <rFont val="Arial"/>
        <family val="2"/>
      </rPr>
      <t>Kuenzel, Chrisanne</t>
    </r>
  </si>
  <si>
    <r>
      <rPr>
        <sz val="8"/>
        <color rgb="FF050505"/>
        <rFont val="Arial"/>
        <family val="2"/>
      </rPr>
      <t>Langton, Joyce</t>
    </r>
  </si>
  <si>
    <r>
      <rPr>
        <sz val="8"/>
        <color rgb="FF050505"/>
        <rFont val="Arial"/>
        <family val="2"/>
      </rPr>
      <t>McDonald, Lisa</t>
    </r>
  </si>
  <si>
    <r>
      <rPr>
        <sz val="8"/>
        <color rgb="FF050505"/>
        <rFont val="Arial"/>
        <family val="2"/>
      </rPr>
      <t>Myers, Martin</t>
    </r>
  </si>
  <si>
    <r>
      <rPr>
        <sz val="8"/>
        <color rgb="FF050505"/>
        <rFont val="Arial"/>
        <family val="2"/>
      </rPr>
      <t>Omark</t>
    </r>
    <r>
      <rPr>
        <sz val="8"/>
        <color rgb="FF3F3F3F"/>
        <rFont val="Arial"/>
        <family val="2"/>
      </rPr>
      <t xml:space="preserve">, </t>
    </r>
    <r>
      <rPr>
        <sz val="8"/>
        <color rgb="FF050505"/>
        <rFont val="Arial"/>
        <family val="2"/>
      </rPr>
      <t>Carl</t>
    </r>
  </si>
  <si>
    <r>
      <rPr>
        <sz val="8"/>
        <color rgb="FF050505"/>
        <rFont val="Arial"/>
        <family val="2"/>
      </rPr>
      <t>Patterson Sebanc</t>
    </r>
    <r>
      <rPr>
        <sz val="8"/>
        <color rgb="FF3F3F3F"/>
        <rFont val="Arial"/>
        <family val="2"/>
      </rPr>
      <t xml:space="preserve">, </t>
    </r>
    <r>
      <rPr>
        <sz val="8"/>
        <color rgb="FF050505"/>
        <rFont val="Arial"/>
        <family val="2"/>
      </rPr>
      <t>Renay</t>
    </r>
  </si>
  <si>
    <r>
      <rPr>
        <sz val="8"/>
        <color rgb="FF050505"/>
        <rFont val="Arial"/>
        <family val="2"/>
      </rPr>
      <t>Seidell</t>
    </r>
    <r>
      <rPr>
        <sz val="8"/>
        <color rgb="FF3F3F3F"/>
        <rFont val="Arial"/>
        <family val="2"/>
      </rPr>
      <t xml:space="preserve">, </t>
    </r>
    <r>
      <rPr>
        <sz val="8"/>
        <color rgb="FF050505"/>
        <rFont val="Arial"/>
        <family val="2"/>
      </rPr>
      <t>Helene</t>
    </r>
  </si>
  <si>
    <r>
      <rPr>
        <sz val="8"/>
        <color rgb="FF050505"/>
        <rFont val="Arial"/>
        <family val="2"/>
      </rPr>
      <t>Silvert, Anita</t>
    </r>
  </si>
  <si>
    <r>
      <rPr>
        <sz val="8"/>
        <color rgb="FF050505"/>
        <rFont val="Arial"/>
        <family val="2"/>
      </rPr>
      <t>Silvert, Donald</t>
    </r>
  </si>
  <si>
    <r>
      <rPr>
        <sz val="8"/>
        <color rgb="FF050505"/>
        <rFont val="Arial"/>
        <family val="2"/>
      </rPr>
      <t>Weitzman, Kenneth</t>
    </r>
  </si>
  <si>
    <r>
      <rPr>
        <sz val="8"/>
        <color rgb="FF050505"/>
        <rFont val="Arial"/>
        <family val="2"/>
      </rPr>
      <t>Initial</t>
    </r>
  </si>
  <si>
    <r>
      <rPr>
        <sz val="8"/>
        <color rgb="FF050505"/>
        <rFont val="Arial"/>
        <family val="2"/>
      </rPr>
      <t>Wyner, Paul</t>
    </r>
  </si>
  <si>
    <r>
      <rPr>
        <sz val="8"/>
        <color rgb="FF050505"/>
        <rFont val="Arial"/>
        <family val="2"/>
      </rPr>
      <t>MO</t>
    </r>
  </si>
  <si>
    <r>
      <rPr>
        <sz val="8"/>
        <color rgb="FF050505"/>
        <rFont val="Times New Roman"/>
        <family val="1"/>
      </rPr>
      <t>11/2024</t>
    </r>
  </si>
  <si>
    <r>
      <rPr>
        <b/>
        <sz val="8.5"/>
        <color rgb="FF050505"/>
        <rFont val="Arial"/>
        <family val="2"/>
      </rPr>
      <t>Total for New Enrollments:</t>
    </r>
  </si>
  <si>
    <r>
      <rPr>
        <b/>
        <sz val="9.5"/>
        <color rgb="FF050505"/>
        <rFont val="Arial"/>
        <family val="2"/>
      </rPr>
      <t>Annual Renewals</t>
    </r>
  </si>
  <si>
    <r>
      <rPr>
        <b/>
        <sz val="8.5"/>
        <color rgb="FF050505"/>
        <rFont val="Arial"/>
        <family val="2"/>
      </rPr>
      <t xml:space="preserve">Policy       Effective
</t>
    </r>
    <r>
      <rPr>
        <b/>
        <sz val="8.5"/>
        <color rgb="FF050505"/>
        <rFont val="Arial"/>
        <family val="2"/>
      </rPr>
      <t>State           Date            Term Date</t>
    </r>
  </si>
  <si>
    <r>
      <rPr>
        <sz val="8"/>
        <color rgb="FF050505"/>
        <rFont val="Arial"/>
        <family val="2"/>
      </rPr>
      <t xml:space="preserve">MO         </t>
    </r>
    <r>
      <rPr>
        <sz val="8"/>
        <color rgb="FF050505"/>
        <rFont val="Times New Roman"/>
        <family val="1"/>
      </rPr>
      <t>11/01/2024</t>
    </r>
  </si>
  <si>
    <r>
      <rPr>
        <sz val="8"/>
        <color rgb="FF050505"/>
        <rFont val="Arial"/>
        <family val="2"/>
      </rPr>
      <t>Renew</t>
    </r>
  </si>
  <si>
    <r>
      <rPr>
        <b/>
        <sz val="9.5"/>
        <color rgb="FF070707"/>
        <rFont val="Arial"/>
        <family val="2"/>
      </rPr>
      <t xml:space="preserve">Writing Agent                                   </t>
    </r>
    <r>
      <rPr>
        <b/>
        <sz val="10"/>
        <color rgb="FF070707"/>
        <rFont val="Times New Roman"/>
        <family val="1"/>
      </rPr>
      <t xml:space="preserve">16633294                                    </t>
    </r>
    <r>
      <rPr>
        <b/>
        <sz val="9.5"/>
        <color rgb="FF070707"/>
        <rFont val="Arial"/>
        <family val="2"/>
      </rPr>
      <t>Yale, Richard</t>
    </r>
  </si>
  <si>
    <r>
      <rPr>
        <b/>
        <sz val="9.5"/>
        <color rgb="FF070707"/>
        <rFont val="Arial"/>
        <family val="2"/>
      </rPr>
      <t>Annual Renewals</t>
    </r>
  </si>
  <si>
    <r>
      <rPr>
        <b/>
        <sz val="8.5"/>
        <color rgb="FF070707"/>
        <rFont val="Arial"/>
        <family val="2"/>
      </rPr>
      <t>Policy</t>
    </r>
  </si>
  <si>
    <r>
      <rPr>
        <b/>
        <sz val="8.5"/>
        <color rgb="FF070707"/>
        <rFont val="Arial"/>
        <family val="2"/>
      </rPr>
      <t>Effective</t>
    </r>
  </si>
  <si>
    <r>
      <rPr>
        <b/>
        <sz val="8.5"/>
        <color rgb="FF070707"/>
        <rFont val="Arial"/>
        <family val="2"/>
      </rPr>
      <t>CMS Payment</t>
    </r>
  </si>
  <si>
    <r>
      <rPr>
        <b/>
        <sz val="8.5"/>
        <color rgb="FF070707"/>
        <rFont val="Arial"/>
        <family val="2"/>
      </rPr>
      <t>Commission</t>
    </r>
  </si>
  <si>
    <r>
      <rPr>
        <b/>
        <sz val="8.5"/>
        <color rgb="FF070707"/>
        <rFont val="Arial"/>
        <family val="2"/>
      </rPr>
      <t>Member ID</t>
    </r>
  </si>
  <si>
    <r>
      <rPr>
        <b/>
        <sz val="8.5"/>
        <color rgb="FF070707"/>
        <rFont val="Arial"/>
        <family val="2"/>
      </rPr>
      <t>Writing ID</t>
    </r>
  </si>
  <si>
    <r>
      <rPr>
        <b/>
        <sz val="8.5"/>
        <color rgb="FF070707"/>
        <rFont val="Arial"/>
        <family val="2"/>
      </rPr>
      <t>Name</t>
    </r>
  </si>
  <si>
    <r>
      <rPr>
        <b/>
        <sz val="8.5"/>
        <color rgb="FF070707"/>
        <rFont val="Arial"/>
        <family val="2"/>
      </rPr>
      <t>Product</t>
    </r>
  </si>
  <si>
    <r>
      <rPr>
        <b/>
        <sz val="8.5"/>
        <color rgb="FF070707"/>
        <rFont val="Arial"/>
        <family val="2"/>
      </rPr>
      <t>State</t>
    </r>
  </si>
  <si>
    <r>
      <rPr>
        <b/>
        <sz val="8.5"/>
        <color rgb="FF070707"/>
        <rFont val="Arial"/>
        <family val="2"/>
      </rPr>
      <t>Date</t>
    </r>
  </si>
  <si>
    <r>
      <rPr>
        <b/>
        <sz val="8.5"/>
        <color rgb="FF070707"/>
        <rFont val="Arial"/>
        <family val="2"/>
      </rPr>
      <t>Term Date</t>
    </r>
  </si>
  <si>
    <r>
      <rPr>
        <b/>
        <sz val="8.5"/>
        <color rgb="FF070707"/>
        <rFont val="Arial"/>
        <family val="2"/>
      </rPr>
      <t>Term Code</t>
    </r>
  </si>
  <si>
    <r>
      <rPr>
        <b/>
        <sz val="8.5"/>
        <color rgb="FF070707"/>
        <rFont val="Arial"/>
        <family val="2"/>
      </rPr>
      <t>Period</t>
    </r>
  </si>
  <si>
    <r>
      <rPr>
        <b/>
        <sz val="8.5"/>
        <color rgb="FF070707"/>
        <rFont val="Arial"/>
        <family val="2"/>
      </rPr>
      <t>Type</t>
    </r>
  </si>
  <si>
    <r>
      <rPr>
        <b/>
        <sz val="8.5"/>
        <color rgb="FF070707"/>
        <rFont val="Arial"/>
        <family val="2"/>
      </rPr>
      <t>Retro</t>
    </r>
  </si>
  <si>
    <r>
      <rPr>
        <b/>
        <sz val="8.5"/>
        <color rgb="FF070707"/>
        <rFont val="Arial"/>
        <family val="2"/>
      </rPr>
      <t>Amount</t>
    </r>
  </si>
  <si>
    <r>
      <rPr>
        <b/>
        <sz val="8.5"/>
        <color rgb="FF070707"/>
        <rFont val="Arial"/>
        <family val="2"/>
      </rPr>
      <t>Total for Annual Renewals: Yale, Richard</t>
    </r>
  </si>
  <si>
    <r>
      <rPr>
        <b/>
        <sz val="8.5"/>
        <color rgb="FF070707"/>
        <rFont val="Arial"/>
        <family val="2"/>
      </rPr>
      <t xml:space="preserve">$26.08
</t>
    </r>
    <r>
      <rPr>
        <b/>
        <sz val="8.5"/>
        <color rgb="FF070707"/>
        <rFont val="Arial"/>
        <family val="2"/>
      </rPr>
      <t>$5,958.08</t>
    </r>
  </si>
  <si>
    <r>
      <rPr>
        <b/>
        <sz val="8.5"/>
        <color rgb="FF070707"/>
        <rFont val="Arial"/>
        <family val="2"/>
      </rPr>
      <t>Total for Writing Agent       16633294</t>
    </r>
  </si>
  <si>
    <r>
      <rPr>
        <b/>
        <sz val="10.5"/>
        <color rgb="FF070707"/>
        <rFont val="Arial"/>
        <family val="2"/>
      </rPr>
      <t xml:space="preserve">Total for Writing Agent       </t>
    </r>
    <r>
      <rPr>
        <b/>
        <sz val="11.5"/>
        <color rgb="FF070707"/>
        <rFont val="Courier New"/>
        <family val="3"/>
      </rPr>
      <t xml:space="preserve">16633294    </t>
    </r>
    <r>
      <rPr>
        <b/>
        <sz val="10.5"/>
        <color rgb="FF070707"/>
        <rFont val="Arial"/>
        <family val="2"/>
      </rPr>
      <t>Yale, Richard</t>
    </r>
  </si>
  <si>
    <r>
      <rPr>
        <b/>
        <sz val="11.5"/>
        <color rgb="FF070707"/>
        <rFont val="Arial"/>
        <family val="2"/>
      </rPr>
      <t>Administrative Fee 2 (External Brokers)</t>
    </r>
  </si>
  <si>
    <r>
      <rPr>
        <b/>
        <sz val="8.5"/>
        <color rgb="FF070707"/>
        <rFont val="Arial"/>
        <family val="2"/>
      </rPr>
      <t>HICN</t>
    </r>
  </si>
  <si>
    <r>
      <rPr>
        <b/>
        <sz val="8.5"/>
        <color rgb="FF070707"/>
        <rFont val="Arial"/>
        <family val="2"/>
      </rPr>
      <t>WA Broker ID</t>
    </r>
  </si>
  <si>
    <r>
      <rPr>
        <b/>
        <sz val="8.5"/>
        <color rgb="FF070707"/>
        <rFont val="Arial"/>
        <family val="2"/>
      </rPr>
      <t>Agent Name</t>
    </r>
  </si>
  <si>
    <r>
      <rPr>
        <b/>
        <sz val="8.5"/>
        <color rgb="FF070707"/>
        <rFont val="Arial"/>
        <family val="2"/>
      </rPr>
      <t>Coverage Period</t>
    </r>
  </si>
  <si>
    <r>
      <rPr>
        <sz val="7.5"/>
        <color rgb="FF070707"/>
        <rFont val="Arial"/>
        <family val="2"/>
      </rPr>
      <t>1U89HN****</t>
    </r>
  </si>
  <si>
    <r>
      <rPr>
        <sz val="7.5"/>
        <color rgb="FF070707"/>
        <rFont val="Arial"/>
        <family val="2"/>
      </rPr>
      <t>Horn, Jeffrey</t>
    </r>
  </si>
  <si>
    <r>
      <rPr>
        <sz val="7.5"/>
        <color rgb="FF070707"/>
        <rFont val="Arial"/>
        <family val="2"/>
      </rPr>
      <t>01/2025</t>
    </r>
  </si>
  <si>
    <r>
      <rPr>
        <sz val="7.5"/>
        <color rgb="FF070707"/>
        <rFont val="Arial"/>
        <family val="2"/>
      </rPr>
      <t>2PP6EK****</t>
    </r>
  </si>
  <si>
    <r>
      <rPr>
        <sz val="7.5"/>
        <color rgb="FF070707"/>
        <rFont val="Arial"/>
        <family val="2"/>
      </rPr>
      <t>1C35YW****</t>
    </r>
  </si>
  <si>
    <r>
      <rPr>
        <sz val="7.5"/>
        <color rgb="FF070707"/>
        <rFont val="Arial"/>
        <family val="2"/>
      </rPr>
      <t>Yale, Richard</t>
    </r>
  </si>
  <si>
    <r>
      <rPr>
        <sz val="7.5"/>
        <color rgb="FF070707"/>
        <rFont val="Arial"/>
        <family val="2"/>
      </rPr>
      <t>11/2024</t>
    </r>
  </si>
  <si>
    <r>
      <rPr>
        <sz val="7.5"/>
        <color rgb="FF070707"/>
        <rFont val="Arial"/>
        <family val="2"/>
      </rPr>
      <t>3G31YG****</t>
    </r>
  </si>
  <si>
    <r>
      <rPr>
        <sz val="7.5"/>
        <color rgb="FF070707"/>
        <rFont val="Arial"/>
        <family val="2"/>
      </rPr>
      <t>Portugal, Stacey</t>
    </r>
  </si>
  <si>
    <r>
      <rPr>
        <sz val="7.5"/>
        <color rgb="FF070707"/>
        <rFont val="Arial"/>
        <family val="2"/>
      </rPr>
      <t>2PX7GT****</t>
    </r>
  </si>
  <si>
    <r>
      <rPr>
        <sz val="7.5"/>
        <color rgb="FF070707"/>
        <rFont val="Arial"/>
        <family val="2"/>
      </rPr>
      <t>2VH0CD****</t>
    </r>
  </si>
  <si>
    <r>
      <rPr>
        <sz val="7.5"/>
        <color rgb="FF070707"/>
        <rFont val="Arial"/>
        <family val="2"/>
      </rPr>
      <t>2NP8KY****</t>
    </r>
  </si>
  <si>
    <r>
      <rPr>
        <sz val="7.5"/>
        <color rgb="FF070707"/>
        <rFont val="Arial"/>
        <family val="2"/>
      </rPr>
      <t>4CT8W8****</t>
    </r>
  </si>
  <si>
    <r>
      <rPr>
        <sz val="7.5"/>
        <color rgb="FF070707"/>
        <rFont val="Arial"/>
        <family val="2"/>
      </rPr>
      <t>1DK2JE****</t>
    </r>
  </si>
  <si>
    <r>
      <rPr>
        <sz val="7.5"/>
        <color rgb="FF070707"/>
        <rFont val="Arial"/>
        <family val="2"/>
      </rPr>
      <t>6J67XG****</t>
    </r>
  </si>
  <si>
    <r>
      <rPr>
        <sz val="7.5"/>
        <color rgb="FF070707"/>
        <rFont val="Arial"/>
        <family val="2"/>
      </rPr>
      <t>5JW6P8****</t>
    </r>
  </si>
  <si>
    <r>
      <rPr>
        <sz val="7.5"/>
        <color rgb="FF070707"/>
        <rFont val="Arial"/>
        <family val="2"/>
      </rPr>
      <t>7R17N5****</t>
    </r>
  </si>
  <si>
    <r>
      <rPr>
        <sz val="7.5"/>
        <color rgb="FF070707"/>
        <rFont val="Arial"/>
        <family val="2"/>
      </rPr>
      <t>4M26D1****</t>
    </r>
  </si>
  <si>
    <r>
      <rPr>
        <sz val="7.5"/>
        <color rgb="FF070707"/>
        <rFont val="Arial"/>
        <family val="2"/>
      </rPr>
      <t>Wuensch, Richard</t>
    </r>
  </si>
  <si>
    <r>
      <rPr>
        <sz val="7.5"/>
        <color rgb="FF070707"/>
        <rFont val="Arial"/>
        <family val="2"/>
      </rPr>
      <t>3QY6MQ****</t>
    </r>
  </si>
  <si>
    <r>
      <rPr>
        <sz val="7.5"/>
        <color rgb="FF070707"/>
        <rFont val="Arial"/>
        <family val="2"/>
      </rPr>
      <t>Horn</t>
    </r>
    <r>
      <rPr>
        <sz val="7.5"/>
        <color rgb="FF3B3B3B"/>
        <rFont val="Arial"/>
        <family val="2"/>
      </rPr>
      <t xml:space="preserve">, </t>
    </r>
    <r>
      <rPr>
        <sz val="7.5"/>
        <color rgb="FF070707"/>
        <rFont val="Arial"/>
        <family val="2"/>
      </rPr>
      <t>Jeffrey</t>
    </r>
  </si>
  <si>
    <r>
      <rPr>
        <sz val="7.5"/>
        <color rgb="FF070707"/>
        <rFont val="Arial"/>
        <family val="2"/>
      </rPr>
      <t>9FD2JQ****</t>
    </r>
  </si>
  <si>
    <r>
      <rPr>
        <sz val="7.5"/>
        <color rgb="FF070707"/>
        <rFont val="Arial"/>
        <family val="2"/>
      </rPr>
      <t>4YE4KF****</t>
    </r>
  </si>
  <si>
    <r>
      <rPr>
        <sz val="7.5"/>
        <color rgb="FF070707"/>
        <rFont val="Arial"/>
        <family val="2"/>
      </rPr>
      <t>Walenga</t>
    </r>
    <r>
      <rPr>
        <sz val="7.5"/>
        <color rgb="FF3B3B3B"/>
        <rFont val="Arial"/>
        <family val="2"/>
      </rPr>
      <t xml:space="preserve">, </t>
    </r>
    <r>
      <rPr>
        <sz val="7.5"/>
        <color rgb="FF070707"/>
        <rFont val="Arial"/>
        <family val="2"/>
      </rPr>
      <t>Dale</t>
    </r>
  </si>
  <si>
    <r>
      <rPr>
        <sz val="7.5"/>
        <color rgb="FF070707"/>
        <rFont val="Arial"/>
        <family val="2"/>
      </rPr>
      <t>3EY5F6****</t>
    </r>
  </si>
  <si>
    <r>
      <rPr>
        <sz val="7.5"/>
        <color rgb="FF070707"/>
        <rFont val="Arial"/>
        <family val="2"/>
      </rPr>
      <t>8K31RA****</t>
    </r>
  </si>
  <si>
    <r>
      <rPr>
        <sz val="7.5"/>
        <color rgb="FF070707"/>
        <rFont val="Arial"/>
        <family val="2"/>
      </rPr>
      <t>4GW7A2****</t>
    </r>
  </si>
  <si>
    <r>
      <rPr>
        <sz val="7.5"/>
        <color rgb="FF070707"/>
        <rFont val="Arial"/>
        <family val="2"/>
      </rPr>
      <t>Taugner, Christian</t>
    </r>
  </si>
  <si>
    <r>
      <rPr>
        <sz val="7.5"/>
        <color rgb="FF070707"/>
        <rFont val="Arial"/>
        <family val="2"/>
      </rPr>
      <t>1RG0N6****</t>
    </r>
  </si>
  <si>
    <r>
      <rPr>
        <sz val="7.5"/>
        <color rgb="FF070707"/>
        <rFont val="Arial"/>
        <family val="2"/>
      </rPr>
      <t>8TH6KK****</t>
    </r>
  </si>
  <si>
    <r>
      <rPr>
        <sz val="7.5"/>
        <color rgb="FF070707"/>
        <rFont val="Arial"/>
        <family val="2"/>
      </rPr>
      <t>5X33YE****</t>
    </r>
  </si>
  <si>
    <r>
      <rPr>
        <sz val="7.5"/>
        <color rgb="FF070707"/>
        <rFont val="Arial"/>
        <family val="2"/>
      </rPr>
      <t>7F44U4****</t>
    </r>
  </si>
  <si>
    <r>
      <rPr>
        <sz val="7.5"/>
        <color rgb="FF070707"/>
        <rFont val="Arial"/>
        <family val="2"/>
      </rPr>
      <t>Portugal</t>
    </r>
    <r>
      <rPr>
        <sz val="7.5"/>
        <color rgb="FF3B3B3B"/>
        <rFont val="Arial"/>
        <family val="2"/>
      </rPr>
      <t xml:space="preserve">, </t>
    </r>
    <r>
      <rPr>
        <sz val="7.5"/>
        <color rgb="FF070707"/>
        <rFont val="Arial"/>
        <family val="2"/>
      </rPr>
      <t>Stacey</t>
    </r>
  </si>
  <si>
    <r>
      <rPr>
        <b/>
        <sz val="11.5"/>
        <color rgb="FF050505"/>
        <rFont val="Arial"/>
        <family val="2"/>
      </rPr>
      <t>Administrative Fee 2 (External Brokers)</t>
    </r>
  </si>
  <si>
    <r>
      <rPr>
        <b/>
        <sz val="8.5"/>
        <color rgb="FF050505"/>
        <rFont val="Arial"/>
        <family val="2"/>
      </rPr>
      <t xml:space="preserve">Coverage
</t>
    </r>
    <r>
      <rPr>
        <b/>
        <sz val="8.5"/>
        <color rgb="FF050505"/>
        <rFont val="Arial"/>
        <family val="2"/>
      </rPr>
      <t>Member ID             HICN                               WA Broker ID                 Agent Name                                                                                                                                        Period           Amount</t>
    </r>
  </si>
  <si>
    <r>
      <rPr>
        <sz val="7.5"/>
        <color rgb="FF050505"/>
        <rFont val="Arial"/>
        <family val="2"/>
      </rPr>
      <t>000445830                7DV9EQ****                        19615078                              Wuensch, Richard</t>
    </r>
  </si>
  <si>
    <r>
      <rPr>
        <sz val="7.5"/>
        <color rgb="FF050505"/>
        <rFont val="Arial"/>
        <family val="2"/>
      </rPr>
      <t>01/2025                $40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</si>
  <si>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000445932                6C66E6****                          16633294                              Yale, Richard                                                                                                                                                            01/2025                $40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</si>
  <si>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000446121                7EK1TM****                        16633294                              Yale, Richard</t>
    </r>
  </si>
  <si>
    <r>
      <rPr>
        <sz val="7.5"/>
        <color rgb="FF050505"/>
        <rFont val="Arial"/>
        <family val="2"/>
      </rPr>
      <t>000446217                8WY2C9****                        16633294                              Yale, Richard                                                                                                                                                            01/2025                $40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</si>
  <si>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000446503                3JF5QP****                         19615078                              Wuensch, Richard</t>
    </r>
  </si>
  <si>
    <r>
      <rPr>
        <sz val="7.5"/>
        <color rgb="FF050505"/>
        <rFont val="Arial"/>
        <family val="2"/>
      </rPr>
      <t>000446535                6G56KC****                        17301495                              Herrera-Larsen, Esth                                                                                                                                                01/2025                $40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</si>
  <si>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000446673                8HC1UV****                        16633294                              Yale, Richard</t>
    </r>
  </si>
  <si>
    <r>
      <rPr>
        <sz val="7.5"/>
        <color rgb="FF050505"/>
        <rFont val="Arial"/>
        <family val="2"/>
      </rPr>
      <t>000447701               1YC9FQ****                        16912722                              Petrungaro, Andrea                                                                                                                                                  01/2025                $40</t>
    </r>
    <r>
      <rPr>
        <sz val="7.5"/>
        <color rgb="FF5D5D5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</si>
  <si>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000447931                8J44Hl****                          16633294                              Yale, Richard</t>
    </r>
  </si>
  <si>
    <r>
      <rPr>
        <sz val="7.5"/>
        <color rgb="FF050505"/>
        <rFont val="Arial"/>
        <family val="2"/>
      </rPr>
      <t>01/2025                $40</t>
    </r>
    <r>
      <rPr>
        <sz val="7.5"/>
        <color rgb="FF5D5D5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</si>
  <si>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000447954                2E16KA****                         16912722                              Petrungaro, Andrea                                                                                                                                                  01/2025                $40</t>
    </r>
    <r>
      <rPr>
        <sz val="7.5"/>
        <color rgb="FF5D5D5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</si>
  <si>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000447955                3GJ6PJ****                          16912722                              Petrungaro, Andrea</t>
    </r>
  </si>
  <si>
    <r>
      <rPr>
        <sz val="7.5"/>
        <color rgb="FF050505"/>
        <rFont val="Arial"/>
        <family val="2"/>
      </rPr>
      <t>000448034                4UT4AA****                         16912722                              Petrungaro</t>
    </r>
    <r>
      <rPr>
        <sz val="7.5"/>
        <color rgb="FF3D3D3D"/>
        <rFont val="Arial"/>
        <family val="2"/>
      </rPr>
      <t xml:space="preserve">, </t>
    </r>
    <r>
      <rPr>
        <sz val="7.5"/>
        <color rgb="FF050505"/>
        <rFont val="Arial"/>
        <family val="2"/>
      </rPr>
      <t>Andrea                                                                                                                                                  01/2025                $40</t>
    </r>
    <r>
      <rPr>
        <sz val="7.5"/>
        <color rgb="FF5D5D5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</si>
  <si>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000448295                7RY6GM****                       19645587                              Portugal, Stacey</t>
    </r>
  </si>
  <si>
    <r>
      <rPr>
        <sz val="7.5"/>
        <color rgb="FF050505"/>
        <rFont val="Arial"/>
        <family val="2"/>
      </rPr>
      <t>000448301                7CK3UV****                        16633294                              Yale, Richard                                                                                                                                                            01/2025                $40</t>
    </r>
    <r>
      <rPr>
        <sz val="7.5"/>
        <color rgb="FF5D5D5D"/>
        <rFont val="Arial"/>
        <family val="2"/>
      </rPr>
      <t>.</t>
    </r>
    <r>
      <rPr>
        <sz val="7.5"/>
        <color rgb="FF050505"/>
        <rFont val="Arial"/>
        <family val="2"/>
      </rPr>
      <t xml:space="preserve">00
</t>
    </r>
    <r>
      <rPr>
        <b/>
        <sz val="8.5"/>
        <color rgb="FF050505"/>
        <rFont val="Arial"/>
        <family val="2"/>
      </rPr>
      <t>Total for Administrative Fee 2 (External Brokers)                             $1,480.00</t>
    </r>
  </si>
  <si>
    <t>Dale Walenga</t>
  </si>
  <si>
    <t>Jeffrey Horn</t>
  </si>
  <si>
    <t>Christian Taugner</t>
  </si>
  <si>
    <t>Stacey Portugal</t>
  </si>
  <si>
    <t>Richard Wuensch</t>
  </si>
  <si>
    <t>Steven Werner</t>
  </si>
  <si>
    <t>Esther Herrra-Larsen</t>
  </si>
  <si>
    <t>Andrea Petrungaro</t>
  </si>
  <si>
    <t>Richard Yale</t>
  </si>
  <si>
    <t>Main Line Benefits</t>
  </si>
  <si>
    <t>Essence MAPD 2025*</t>
  </si>
  <si>
    <t>Essence MAPD 2025</t>
  </si>
  <si>
    <t>Essence MAPD 2024!</t>
  </si>
  <si>
    <t>[%/$=313][prorate=1/12]</t>
  </si>
  <si>
    <t>[%/$=313][prorate=12/12]</t>
  </si>
  <si>
    <t>[%/$=626]</t>
  </si>
  <si>
    <t>[%/$=611]</t>
  </si>
  <si>
    <t>Essence MAPD OVR</t>
  </si>
  <si>
    <r>
      <rPr>
        <b/>
        <sz val="11.5"/>
        <color rgb="FF010101"/>
        <rFont val="Arial"/>
        <family val="2"/>
      </rPr>
      <t>Administrative Fee 2 (External Brokers)</t>
    </r>
  </si>
  <si>
    <r>
      <rPr>
        <b/>
        <sz val="8.5"/>
        <color rgb="FF010101"/>
        <rFont val="Arial"/>
        <family val="2"/>
      </rPr>
      <t xml:space="preserve">Coverage Period
</t>
    </r>
    <r>
      <rPr>
        <sz val="7.5"/>
        <color rgb="FF0F0F0F"/>
        <rFont val="Arial"/>
        <family val="2"/>
      </rPr>
      <t>02/2025</t>
    </r>
  </si>
  <si>
    <r>
      <rPr>
        <b/>
        <sz val="8.5"/>
        <color rgb="FF010101"/>
        <rFont val="Arial"/>
        <family val="2"/>
      </rPr>
      <t xml:space="preserve">Member ID
</t>
    </r>
    <r>
      <rPr>
        <sz val="7.5"/>
        <color rgb="FF010101"/>
        <rFont val="Arial"/>
        <family val="2"/>
      </rPr>
      <t>000444931</t>
    </r>
  </si>
  <si>
    <r>
      <rPr>
        <b/>
        <sz val="8.5"/>
        <color rgb="FF010101"/>
        <rFont val="Arial"/>
        <family val="2"/>
      </rPr>
      <t xml:space="preserve">HICN
</t>
    </r>
    <r>
      <rPr>
        <sz val="7.5"/>
        <color rgb="FF0F0F0F"/>
        <rFont val="Arial"/>
        <family val="2"/>
      </rPr>
      <t>3X98A9****</t>
    </r>
  </si>
  <si>
    <r>
      <rPr>
        <b/>
        <sz val="8.5"/>
        <color rgb="FF010101"/>
        <rFont val="Arial"/>
        <family val="2"/>
      </rPr>
      <t xml:space="preserve">WA Broker ID
</t>
    </r>
    <r>
      <rPr>
        <sz val="7.5"/>
        <color rgb="FF010101"/>
        <rFont val="Arial"/>
        <family val="2"/>
      </rPr>
      <t>19615078</t>
    </r>
  </si>
  <si>
    <r>
      <rPr>
        <b/>
        <sz val="8.5"/>
        <color rgb="FF010101"/>
        <rFont val="Arial"/>
        <family val="2"/>
      </rPr>
      <t xml:space="preserve">Agent Name
</t>
    </r>
    <r>
      <rPr>
        <sz val="7.5"/>
        <color rgb="FF010101"/>
        <rFont val="Arial"/>
        <family val="2"/>
      </rPr>
      <t>Wuensch</t>
    </r>
    <r>
      <rPr>
        <sz val="7.5"/>
        <color rgb="FF2A2A2A"/>
        <rFont val="Arial"/>
        <family val="2"/>
      </rPr>
      <t xml:space="preserve">, </t>
    </r>
    <r>
      <rPr>
        <sz val="7.5"/>
        <color rgb="FF010101"/>
        <rFont val="Arial"/>
        <family val="2"/>
      </rPr>
      <t>Richard</t>
    </r>
  </si>
  <si>
    <r>
      <rPr>
        <b/>
        <sz val="8.5"/>
        <color rgb="FF010101"/>
        <rFont val="Arial"/>
        <family val="2"/>
      </rPr>
      <t xml:space="preserve">Amount
</t>
    </r>
    <r>
      <rPr>
        <sz val="7.5"/>
        <color rgb="FF0F0F0F"/>
        <rFont val="Arial"/>
        <family val="2"/>
      </rPr>
      <t>$40</t>
    </r>
    <r>
      <rPr>
        <sz val="7.5"/>
        <color rgb="FF424242"/>
        <rFont val="Arial"/>
        <family val="2"/>
      </rPr>
      <t>.</t>
    </r>
    <r>
      <rPr>
        <sz val="7.5"/>
        <color rgb="FF010101"/>
        <rFont val="Arial"/>
        <family val="2"/>
      </rPr>
      <t>00</t>
    </r>
  </si>
  <si>
    <r>
      <rPr>
        <b/>
        <sz val="8.5"/>
        <color rgb="FF010101"/>
        <rFont val="Arial"/>
        <family val="2"/>
      </rPr>
      <t>Coverage Period</t>
    </r>
  </si>
  <si>
    <r>
      <rPr>
        <b/>
        <sz val="8.5"/>
        <color rgb="FF010101"/>
        <rFont val="Arial"/>
        <family val="2"/>
      </rPr>
      <t>HICN</t>
    </r>
  </si>
  <si>
    <r>
      <rPr>
        <b/>
        <sz val="8.5"/>
        <color rgb="FF010101"/>
        <rFont val="Arial"/>
        <family val="2"/>
      </rPr>
      <t>WA Broker ID</t>
    </r>
  </si>
  <si>
    <r>
      <rPr>
        <b/>
        <sz val="8.5"/>
        <color rgb="FF010101"/>
        <rFont val="Arial"/>
        <family val="2"/>
      </rPr>
      <t>Agent Name</t>
    </r>
  </si>
  <si>
    <r>
      <rPr>
        <b/>
        <sz val="8.5"/>
        <color rgb="FF010101"/>
        <rFont val="Arial"/>
        <family val="2"/>
      </rPr>
      <t>Amount</t>
    </r>
  </si>
  <si>
    <r>
      <rPr>
        <sz val="7.5"/>
        <color rgb="FF111111"/>
        <rFont val="Arial"/>
        <family val="2"/>
      </rPr>
      <t xml:space="preserve">000448798                </t>
    </r>
    <r>
      <rPr>
        <sz val="7.5"/>
        <color rgb="FF010101"/>
        <rFont val="Arial"/>
        <family val="2"/>
      </rPr>
      <t xml:space="preserve">5CA8Q5****                         </t>
    </r>
    <r>
      <rPr>
        <sz val="7.5"/>
        <color rgb="FF111111"/>
        <rFont val="Arial"/>
        <family val="2"/>
      </rPr>
      <t xml:space="preserve">2158366                                </t>
    </r>
    <r>
      <rPr>
        <sz val="7.5"/>
        <color rgb="FF010101"/>
        <rFont val="Arial"/>
        <family val="2"/>
      </rPr>
      <t>Horn, Jeffrey</t>
    </r>
  </si>
  <si>
    <r>
      <rPr>
        <sz val="7.5"/>
        <color rgb="FF111111"/>
        <rFont val="Arial"/>
        <family val="2"/>
      </rPr>
      <t>02/2025                $40</t>
    </r>
    <r>
      <rPr>
        <sz val="7.5"/>
        <color rgb="FF3F3F3F"/>
        <rFont val="Arial"/>
        <family val="2"/>
      </rPr>
      <t>.</t>
    </r>
    <r>
      <rPr>
        <sz val="7.5"/>
        <color rgb="FF111111"/>
        <rFont val="Arial"/>
        <family val="2"/>
      </rPr>
      <t>00</t>
    </r>
  </si>
  <si>
    <r>
      <rPr>
        <b/>
        <sz val="8.5"/>
        <color rgb="FF010101"/>
        <rFont val="Arial"/>
        <family val="2"/>
      </rPr>
      <t>Total for Administrative Fee 2 (External Brokers)                                  $80.00</t>
    </r>
  </si>
  <si>
    <t>Member ID</t>
  </si>
  <si>
    <t>WA Broker ID</t>
  </si>
  <si>
    <t>Agent Name</t>
  </si>
  <si>
    <t>Coverage Period</t>
  </si>
  <si>
    <t>Amount</t>
  </si>
  <si>
    <t>Horn, Jeffrey</t>
  </si>
  <si>
    <t>01/2025</t>
  </si>
  <si>
    <t>Yale, Richard</t>
  </si>
  <si>
    <t>11/2024</t>
  </si>
  <si>
    <t>Portugal, Stacey</t>
  </si>
  <si>
    <t>Wuensch, Richard</t>
  </si>
  <si>
    <t>Walenga, Dale</t>
  </si>
  <si>
    <t>Taugner, Christian</t>
  </si>
  <si>
    <t>000445830                7DV9EQ****                        19615078                              Wuensch, Richard</t>
  </si>
  <si>
    <t>01/2025                $40.00</t>
  </si>
  <si>
    <t>Petrungaro, Andrea</t>
  </si>
  <si>
    <t>Herrera-Larsen, Esther</t>
  </si>
  <si>
    <t>BCBS of OK HCSC Appointment Fees January</t>
  </si>
  <si>
    <t>MATTHEW POWERS</t>
  </si>
  <si>
    <t>Kirk Tigue</t>
  </si>
  <si>
    <t>BCBS of TX HCSC Appointment Fees January</t>
  </si>
  <si>
    <t>Christopher Brousseau</t>
  </si>
  <si>
    <t>Barry Brenner</t>
  </si>
  <si>
    <t>Patsamon Thanadabouth</t>
  </si>
  <si>
    <t>Cigna med supp appointment fees</t>
  </si>
  <si>
    <t>Victor Fuentes       </t>
  </si>
  <si>
    <t>Timothy Hodgman</t>
  </si>
  <si>
    <t>Thomas pardue</t>
  </si>
  <si>
    <t>Ricardo Santos</t>
  </si>
  <si>
    <t>Gregory Hansford</t>
  </si>
  <si>
    <t>Antony Hunsberger</t>
  </si>
  <si>
    <t>Anthony Hunsberger</t>
  </si>
  <si>
    <t>Essence E-application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</si>
</sst>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\$#,##0.00"/>
    <numFmt numFmtId="165" formatCode="\$0.00"/>
    <numFmt numFmtId="166" formatCode="000000000"/>
    <numFmt numFmtId="167" formatCode="mm/dd/yyyy;@"/>
  </numFmts>
  <fonts count="77" x14ac:knownFonts="1">
    <font>
      <sz val="10"/>
      <color rgb="FF000000"/>
      <name val="Times New Roman"/>
      <charset val="204"/>
    </font>
    <font>
      <sz val="9"/>
      <name val="Arial"/>
      <family val="2"/>
    </font>
    <font>
      <b/>
      <sz val="9.5"/>
      <name val="Arial"/>
      <family val="2"/>
    </font>
    <font>
      <sz val="8.5"/>
      <name val="Arial"/>
      <family val="2"/>
    </font>
    <font>
      <sz val="8.5"/>
      <color rgb="FF010101"/>
      <name val="Arial"/>
      <family val="2"/>
    </font>
    <font>
      <b/>
      <sz val="9"/>
      <name val="Arial"/>
      <family val="2"/>
    </font>
    <font>
      <sz val="7.5"/>
      <color rgb="FF030303"/>
      <name val="Arial"/>
      <family val="2"/>
    </font>
    <font>
      <sz val="7.5"/>
      <name val="Arial"/>
      <family val="2"/>
    </font>
    <font>
      <b/>
      <sz val="8.5"/>
      <name val="Arial"/>
      <family val="2"/>
    </font>
    <font>
      <sz val="8"/>
      <color rgb="FF010101"/>
      <name val="Times New Roman"/>
      <family val="2"/>
    </font>
    <font>
      <sz val="8"/>
      <color rgb="FF0F0F0F"/>
      <name val="Times New Roman"/>
      <family val="2"/>
    </font>
    <font>
      <sz val="8"/>
      <name val="Arial"/>
      <family val="2"/>
    </font>
    <font>
      <sz val="9"/>
      <name val="Courier New"/>
      <family val="3"/>
    </font>
    <font>
      <sz val="8"/>
      <name val="Times New Roman"/>
      <family val="1"/>
    </font>
    <font>
      <sz val="8"/>
      <color rgb="FF030303"/>
      <name val="Times New Roman"/>
      <family val="2"/>
    </font>
    <font>
      <b/>
      <sz val="9"/>
      <color rgb="FF030303"/>
      <name val="Arial"/>
      <family val="2"/>
    </font>
    <font>
      <b/>
      <sz val="9.5"/>
      <color rgb="FF030303"/>
      <name val="Courier New"/>
      <family val="2"/>
    </font>
    <font>
      <b/>
      <sz val="8.5"/>
      <color rgb="FF030303"/>
      <name val="Arial"/>
      <family val="2"/>
    </font>
    <font>
      <sz val="10"/>
      <name val="Arial"/>
      <family val="2"/>
    </font>
    <font>
      <sz val="8"/>
      <color rgb="FF050505"/>
      <name val="Times New Roman"/>
      <family val="2"/>
    </font>
    <font>
      <b/>
      <sz val="8.5"/>
      <color rgb="FF050505"/>
      <name val="Arial"/>
      <family val="2"/>
    </font>
    <font>
      <b/>
      <sz val="8.5"/>
      <color rgb="FF070707"/>
      <name val="Arial"/>
      <family val="2"/>
    </font>
    <font>
      <b/>
      <sz val="11.5"/>
      <name val="Arial"/>
      <family val="2"/>
    </font>
    <font>
      <sz val="7.5"/>
      <color rgb="FF070707"/>
      <name val="Arial"/>
      <family val="2"/>
    </font>
    <font>
      <sz val="9"/>
      <color rgb="FF010101"/>
      <name val="Arial"/>
      <family val="2"/>
    </font>
    <font>
      <b/>
      <sz val="9.5"/>
      <color rgb="FF010101"/>
      <name val="Arial"/>
      <family val="2"/>
    </font>
    <font>
      <sz val="9.5"/>
      <color rgb="FF010101"/>
      <name val="Arial"/>
      <family val="2"/>
    </font>
    <font>
      <vertAlign val="superscript"/>
      <sz val="9.5"/>
      <color rgb="FF010101"/>
      <name val="Arial"/>
      <family val="2"/>
    </font>
    <font>
      <sz val="8.5"/>
      <color rgb="FF444444"/>
      <name val="Arial"/>
      <family val="2"/>
    </font>
    <font>
      <b/>
      <sz val="10.5"/>
      <color rgb="FF010101"/>
      <name val="Arial"/>
      <family val="2"/>
    </font>
    <font>
      <sz val="10.5"/>
      <color rgb="FF010101"/>
      <name val="Arial"/>
      <family val="2"/>
    </font>
    <font>
      <b/>
      <sz val="9.5"/>
      <color rgb="FF030303"/>
      <name val="Arial"/>
      <family val="2"/>
    </font>
    <font>
      <sz val="8.5"/>
      <color rgb="FF030303"/>
      <name val="Arial"/>
      <family val="2"/>
    </font>
    <font>
      <b/>
      <sz val="8.5"/>
      <color rgb="FF010101"/>
      <name val="Arial"/>
      <family val="2"/>
    </font>
    <font>
      <sz val="8"/>
      <color rgb="FF010101"/>
      <name val="Arial"/>
      <family val="2"/>
    </font>
    <font>
      <sz val="8"/>
      <color rgb="FF3B3B3B"/>
      <name val="Arial"/>
      <family val="2"/>
    </font>
    <font>
      <sz val="9"/>
      <color rgb="FF0F0F0F"/>
      <name val="Courier New"/>
      <family val="3"/>
    </font>
    <font>
      <sz val="8"/>
      <color rgb="FF010101"/>
      <name val="Times New Roman"/>
      <family val="1"/>
    </font>
    <font>
      <sz val="8"/>
      <color rgb="FF0F0F0F"/>
      <name val="Arial"/>
      <family val="2"/>
    </font>
    <font>
      <sz val="8"/>
      <color rgb="FF0F0F0F"/>
      <name val="Times New Roman"/>
      <family val="1"/>
    </font>
    <font>
      <sz val="8"/>
      <color rgb="FF2A2A2A"/>
      <name val="Arial"/>
      <family val="2"/>
    </font>
    <font>
      <b/>
      <vertAlign val="subscript"/>
      <sz val="8.5"/>
      <color rgb="FF010101"/>
      <name val="Arial"/>
      <family val="2"/>
    </font>
    <font>
      <sz val="8"/>
      <color rgb="FF030303"/>
      <name val="Arial"/>
      <family val="2"/>
    </font>
    <font>
      <sz val="8"/>
      <color rgb="FF3D3D3D"/>
      <name val="Arial"/>
      <family val="2"/>
    </font>
    <font>
      <sz val="8"/>
      <color rgb="FF030303"/>
      <name val="Times New Roman"/>
      <family val="1"/>
    </font>
    <font>
      <sz val="8"/>
      <color rgb="FF383838"/>
      <name val="Arial"/>
      <family val="2"/>
    </font>
    <font>
      <sz val="8"/>
      <color rgb="FF2D2D2D"/>
      <name val="Arial"/>
      <family val="2"/>
    </font>
    <font>
      <sz val="8"/>
      <color rgb="FF343434"/>
      <name val="Arial"/>
      <family val="2"/>
    </font>
    <font>
      <sz val="8"/>
      <color rgb="FF444444"/>
      <name val="Arial"/>
      <family val="2"/>
    </font>
    <font>
      <b/>
      <sz val="9.5"/>
      <color rgb="FF030303"/>
      <name val="Courier New"/>
      <family val="3"/>
    </font>
    <font>
      <sz val="8"/>
      <color rgb="FF3F3F3F"/>
      <name val="Arial"/>
      <family val="2"/>
    </font>
    <font>
      <sz val="10"/>
      <color rgb="FF010101"/>
      <name val="Arial"/>
      <family val="2"/>
    </font>
    <font>
      <sz val="7.5"/>
      <color rgb="FF2F2F2F"/>
      <name val="Arial"/>
      <family val="2"/>
    </font>
    <font>
      <b/>
      <sz val="9.5"/>
      <color rgb="FF050505"/>
      <name val="Arial"/>
      <family val="2"/>
    </font>
    <font>
      <b/>
      <sz val="10"/>
      <color rgb="FF050505"/>
      <name val="Times New Roman"/>
      <family val="1"/>
    </font>
    <font>
      <sz val="8"/>
      <color rgb="FF050505"/>
      <name val="Arial"/>
      <family val="2"/>
    </font>
    <font>
      <sz val="8"/>
      <color rgb="FF050505"/>
      <name val="Times New Roman"/>
      <family val="1"/>
    </font>
    <font>
      <b/>
      <sz val="9.5"/>
      <color rgb="FF070707"/>
      <name val="Arial"/>
      <family val="2"/>
    </font>
    <font>
      <b/>
      <sz val="10"/>
      <color rgb="FF070707"/>
      <name val="Times New Roman"/>
      <family val="1"/>
    </font>
    <font>
      <b/>
      <sz val="10.5"/>
      <color rgb="FF070707"/>
      <name val="Arial"/>
      <family val="2"/>
    </font>
    <font>
      <b/>
      <sz val="11.5"/>
      <color rgb="FF070707"/>
      <name val="Courier New"/>
      <family val="3"/>
    </font>
    <font>
      <b/>
      <sz val="11.5"/>
      <color rgb="FF070707"/>
      <name val="Arial"/>
      <family val="2"/>
    </font>
    <font>
      <sz val="7.5"/>
      <color rgb="FF3B3B3B"/>
      <name val="Arial"/>
      <family val="2"/>
    </font>
    <font>
      <b/>
      <sz val="11.5"/>
      <color rgb="FF050505"/>
      <name val="Arial"/>
      <family val="2"/>
    </font>
    <font>
      <sz val="7.5"/>
      <color rgb="FF050505"/>
      <name val="Arial"/>
      <family val="2"/>
    </font>
    <font>
      <sz val="7.5"/>
      <color rgb="FF3D3D3D"/>
      <name val="Arial"/>
      <family val="2"/>
    </font>
    <font>
      <sz val="7.5"/>
      <color rgb="FF5D5D5D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.5"/>
      <color rgb="FF010101"/>
      <name val="Arial"/>
      <family val="2"/>
    </font>
    <font>
      <sz val="7.5"/>
      <color rgb="FF0F0F0F"/>
      <name val="Arial"/>
      <family val="2"/>
    </font>
    <font>
      <sz val="7.5"/>
      <color rgb="FF010101"/>
      <name val="Arial"/>
      <family val="2"/>
    </font>
    <font>
      <sz val="7.5"/>
      <color rgb="FF2A2A2A"/>
      <name val="Arial"/>
      <family val="2"/>
    </font>
    <font>
      <sz val="7.5"/>
      <color rgb="FF424242"/>
      <name val="Arial"/>
      <family val="2"/>
    </font>
    <font>
      <sz val="7.5"/>
      <color rgb="FF111111"/>
      <name val="Arial"/>
      <family val="2"/>
    </font>
    <font>
      <sz val="7.5"/>
      <color rgb="FF3F3F3F"/>
      <name val="Arial"/>
      <family val="2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5BA3EF"/>
      </patternFill>
    </fill>
    <fill>
      <patternFill patternType="solid">
        <fgColor rgb="FFCADBCF"/>
      </patternFill>
    </fill>
    <fill>
      <patternFill patternType="solid">
        <fgColor rgb="FF91AA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68" fillId="0" borderId="0" applyFont="0" applyFill="0" applyBorder="0" applyAlignment="0" applyProtection="0"/>
  </cellStyleXfs>
  <cellXfs count="25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left" vertical="top" shrinkToFit="1"/>
    </xf>
    <xf numFmtId="0" fontId="7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66" fontId="9" fillId="3" borderId="0" xfId="0" applyNumberFormat="1" applyFont="1" applyFill="1" applyAlignment="1">
      <alignment horizontal="left" vertical="top" shrinkToFit="1"/>
    </xf>
    <xf numFmtId="0" fontId="13" fillId="3" borderId="0" xfId="0" applyFont="1" applyFill="1" applyAlignment="1">
      <alignment horizontal="center" vertical="top" wrapText="1"/>
    </xf>
    <xf numFmtId="166" fontId="9" fillId="0" borderId="0" xfId="0" applyNumberFormat="1" applyFont="1" applyAlignment="1">
      <alignment horizontal="left" vertical="top" shrinkToFit="1"/>
    </xf>
    <xf numFmtId="0" fontId="13" fillId="0" borderId="0" xfId="0" applyFont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 indent="1"/>
    </xf>
    <xf numFmtId="166" fontId="14" fillId="3" borderId="0" xfId="0" applyNumberFormat="1" applyFont="1" applyFill="1" applyAlignment="1">
      <alignment horizontal="left" vertical="top" shrinkToFit="1"/>
    </xf>
    <xf numFmtId="0" fontId="7" fillId="3" borderId="0" xfId="0" applyFont="1" applyFill="1" applyAlignment="1">
      <alignment horizontal="center" vertical="top" wrapText="1"/>
    </xf>
    <xf numFmtId="166" fontId="14" fillId="0" borderId="1" xfId="0" applyNumberFormat="1" applyFont="1" applyBorder="1" applyAlignment="1">
      <alignment horizontal="left" vertical="top" shrinkToFit="1"/>
    </xf>
    <xf numFmtId="0" fontId="13" fillId="0" borderId="1" xfId="0" applyFont="1" applyBorder="1" applyAlignment="1">
      <alignment horizontal="center" vertical="top" wrapText="1"/>
    </xf>
    <xf numFmtId="166" fontId="14" fillId="0" borderId="0" xfId="0" applyNumberFormat="1" applyFont="1" applyAlignment="1">
      <alignment horizontal="left" vertical="top" shrinkToFit="1"/>
    </xf>
    <xf numFmtId="0" fontId="3" fillId="0" borderId="2" xfId="0" applyFont="1" applyBorder="1" applyAlignment="1">
      <alignment horizontal="left" vertical="center" wrapText="1"/>
    </xf>
    <xf numFmtId="166" fontId="6" fillId="3" borderId="0" xfId="0" applyNumberFormat="1" applyFont="1" applyFill="1" applyAlignment="1">
      <alignment horizontal="left" vertical="top" shrinkToFit="1"/>
    </xf>
    <xf numFmtId="166" fontId="9" fillId="0" borderId="1" xfId="0" applyNumberFormat="1" applyFont="1" applyBorder="1" applyAlignment="1">
      <alignment horizontal="left" vertical="top" shrinkToFit="1"/>
    </xf>
    <xf numFmtId="166" fontId="10" fillId="0" borderId="0" xfId="0" applyNumberFormat="1" applyFont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6" fontId="19" fillId="0" borderId="1" xfId="0" applyNumberFormat="1" applyFont="1" applyBorder="1" applyAlignment="1">
      <alignment horizontal="left" vertical="top" shrinkToFit="1"/>
    </xf>
    <xf numFmtId="166" fontId="19" fillId="3" borderId="0" xfId="0" applyNumberFormat="1" applyFont="1" applyFill="1" applyAlignment="1">
      <alignment horizontal="left" vertical="top" shrinkToFit="1"/>
    </xf>
    <xf numFmtId="166" fontId="19" fillId="0" borderId="0" xfId="0" applyNumberFormat="1" applyFont="1" applyAlignment="1">
      <alignment horizontal="left" vertical="top" shrinkToFit="1"/>
    </xf>
    <xf numFmtId="0" fontId="0" fillId="4" borderId="2" xfId="0" applyFill="1" applyBorder="1" applyAlignment="1">
      <alignment horizontal="left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right" vertical="center" wrapText="1"/>
    </xf>
    <xf numFmtId="165" fontId="23" fillId="0" borderId="1" xfId="0" applyNumberFormat="1" applyFont="1" applyBorder="1" applyAlignment="1">
      <alignment horizontal="right" vertical="top" shrinkToFit="1"/>
    </xf>
    <xf numFmtId="165" fontId="23" fillId="3" borderId="0" xfId="0" applyNumberFormat="1" applyFont="1" applyFill="1" applyAlignment="1">
      <alignment horizontal="right" vertical="top" shrinkToFit="1"/>
    </xf>
    <xf numFmtId="165" fontId="23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166" fontId="6" fillId="0" borderId="0" xfId="0" applyNumberFormat="1" applyFont="1" applyAlignment="1">
      <alignment horizontal="left" vertical="top" shrinkToFit="1"/>
    </xf>
    <xf numFmtId="0" fontId="67" fillId="0" borderId="0" xfId="0" applyFont="1" applyAlignment="1">
      <alignment horizontal="left" vertical="center" wrapText="1"/>
    </xf>
    <xf numFmtId="0" fontId="67" fillId="0" borderId="0" xfId="0" applyFont="1" applyAlignment="1">
      <alignment horizontal="left" wrapText="1"/>
    </xf>
    <xf numFmtId="0" fontId="6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1" fontId="6" fillId="0" borderId="0" xfId="0" applyNumberFormat="1" applyFont="1" applyAlignment="1">
      <alignment horizontal="left" vertical="top" shrinkToFit="1"/>
    </xf>
    <xf numFmtId="167" fontId="6" fillId="0" borderId="0" xfId="0" applyNumberFormat="1" applyFont="1" applyAlignment="1">
      <alignment horizontal="left" vertical="top" shrinkToFit="1"/>
    </xf>
    <xf numFmtId="165" fontId="6" fillId="0" borderId="0" xfId="0" applyNumberFormat="1" applyFont="1" applyAlignment="1">
      <alignment horizontal="left" vertical="top" shrinkToFit="1"/>
    </xf>
    <xf numFmtId="1" fontId="10" fillId="0" borderId="0" xfId="0" applyNumberFormat="1" applyFont="1" applyAlignment="1">
      <alignment horizontal="left" vertical="top" shrinkToFit="1"/>
    </xf>
    <xf numFmtId="167" fontId="10" fillId="0" borderId="0" xfId="0" applyNumberFormat="1" applyFont="1" applyAlignment="1">
      <alignment horizontal="left" vertical="top" shrinkToFit="1"/>
    </xf>
    <xf numFmtId="165" fontId="10" fillId="0" borderId="0" xfId="0" applyNumberFormat="1" applyFont="1" applyAlignment="1">
      <alignment horizontal="left" vertical="top" shrinkToFit="1"/>
    </xf>
    <xf numFmtId="167" fontId="9" fillId="0" borderId="0" xfId="0" applyNumberFormat="1" applyFont="1" applyAlignment="1">
      <alignment horizontal="left" vertical="top" shrinkToFit="1"/>
    </xf>
    <xf numFmtId="1" fontId="14" fillId="0" borderId="0" xfId="0" applyNumberFormat="1" applyFont="1" applyAlignment="1">
      <alignment horizontal="left" vertical="top" shrinkToFit="1"/>
    </xf>
    <xf numFmtId="167" fontId="14" fillId="0" borderId="0" xfId="0" applyNumberFormat="1" applyFont="1" applyAlignment="1">
      <alignment horizontal="left" vertical="top" shrinkToFit="1"/>
    </xf>
    <xf numFmtId="165" fontId="14" fillId="0" borderId="0" xfId="0" applyNumberFormat="1" applyFont="1" applyAlignment="1">
      <alignment horizontal="left" vertical="top" shrinkToFit="1"/>
    </xf>
    <xf numFmtId="1" fontId="19" fillId="0" borderId="0" xfId="0" applyNumberFormat="1" applyFont="1" applyAlignment="1">
      <alignment horizontal="left" vertical="top" shrinkToFit="1"/>
    </xf>
    <xf numFmtId="167" fontId="19" fillId="0" borderId="0" xfId="0" applyNumberFormat="1" applyFont="1" applyAlignment="1">
      <alignment horizontal="left" vertical="top" shrinkToFit="1"/>
    </xf>
    <xf numFmtId="165" fontId="19" fillId="0" borderId="0" xfId="0" applyNumberFormat="1" applyFont="1" applyAlignment="1">
      <alignment horizontal="left" vertical="top" shrinkToFit="1"/>
    </xf>
    <xf numFmtId="0" fontId="11" fillId="0" borderId="1" xfId="0" applyFont="1" applyBorder="1" applyAlignment="1">
      <alignment vertical="top" wrapText="1"/>
    </xf>
    <xf numFmtId="14" fontId="0" fillId="0" borderId="0" xfId="0" applyNumberFormat="1" applyAlignment="1">
      <alignment horizontal="left" vertical="top" wrapText="1"/>
    </xf>
    <xf numFmtId="167" fontId="0" fillId="0" borderId="0" xfId="0" applyNumberFormat="1" applyAlignment="1">
      <alignment horizontal="left" vertical="top"/>
    </xf>
    <xf numFmtId="44" fontId="0" fillId="0" borderId="0" xfId="1" applyFont="1" applyAlignment="1">
      <alignment horizontal="left" vertical="top"/>
    </xf>
    <xf numFmtId="0" fontId="76" fillId="0" borderId="0" xfId="0" applyFont="1" applyAlignment="1">
      <alignment horizontal="left" vertical="top"/>
    </xf>
    <xf numFmtId="167" fontId="76" fillId="0" borderId="0" xfId="0" applyNumberFormat="1" applyFont="1" applyAlignment="1">
      <alignment horizontal="left" vertical="top"/>
    </xf>
    <xf numFmtId="44" fontId="76" fillId="0" borderId="0" xfId="1" applyFont="1" applyAlignment="1">
      <alignment horizontal="left" vertical="top"/>
    </xf>
    <xf numFmtId="0" fontId="0" fillId="5" borderId="0" xfId="0" applyFill="1"/>
    <xf numFmtId="44" fontId="0" fillId="5" borderId="0" xfId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top" wrapText="1" indent="22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 indent="16"/>
    </xf>
    <xf numFmtId="0" fontId="3" fillId="0" borderId="0" xfId="0" applyFont="1" applyAlignment="1">
      <alignment horizontal="left" vertical="top" wrapText="1" indent="6"/>
    </xf>
    <xf numFmtId="164" fontId="4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16"/>
    </xf>
    <xf numFmtId="0" fontId="3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9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165" fontId="4" fillId="0" borderId="0" xfId="0" applyNumberFormat="1" applyFont="1" applyAlignment="1">
      <alignment horizontal="right" vertical="top" shrinkToFit="1"/>
    </xf>
    <xf numFmtId="0" fontId="3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0" borderId="0" xfId="0" applyNumberFormat="1" applyFont="1" applyAlignment="1">
      <alignment horizontal="right" vertical="top" shrinkToFit="1"/>
    </xf>
    <xf numFmtId="165" fontId="4" fillId="3" borderId="0" xfId="0" applyNumberFormat="1" applyFont="1" applyFill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right" vertical="center" shrinkToFit="1"/>
    </xf>
    <xf numFmtId="0" fontId="2" fillId="2" borderId="0" xfId="0" applyFont="1" applyFill="1" applyAlignment="1">
      <alignment horizontal="left" vertical="top" wrapText="1" indent="1"/>
    </xf>
    <xf numFmtId="0" fontId="2" fillId="4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 indent="1"/>
    </xf>
    <xf numFmtId="1" fontId="6" fillId="0" borderId="1" xfId="0" applyNumberFormat="1" applyFont="1" applyBorder="1" applyAlignment="1">
      <alignment horizontal="left" vertical="top" indent="1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167" fontId="6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 indent="2"/>
    </xf>
    <xf numFmtId="165" fontId="6" fillId="0" borderId="1" xfId="0" applyNumberFormat="1" applyFont="1" applyBorder="1" applyAlignment="1">
      <alignment horizontal="left" vertical="top" indent="3" shrinkToFit="1"/>
    </xf>
    <xf numFmtId="0" fontId="3" fillId="0" borderId="0" xfId="0" applyFont="1" applyAlignment="1">
      <alignment horizontal="left" vertical="top" wrapText="1" indent="21"/>
    </xf>
    <xf numFmtId="0" fontId="8" fillId="0" borderId="2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" fontId="10" fillId="3" borderId="0" xfId="0" applyNumberFormat="1" applyFont="1" applyFill="1" applyAlignment="1">
      <alignment horizontal="left" vertical="top" indent="1" shrinkToFit="1"/>
    </xf>
    <xf numFmtId="0" fontId="11" fillId="3" borderId="0" xfId="0" applyFont="1" applyFill="1" applyAlignment="1">
      <alignment horizontal="left" vertical="top" wrapText="1" indent="1"/>
    </xf>
    <xf numFmtId="0" fontId="12" fillId="3" borderId="0" xfId="0" applyFont="1" applyFill="1" applyAlignment="1">
      <alignment horizontal="left" vertical="top" wrapText="1"/>
    </xf>
    <xf numFmtId="0" fontId="11" fillId="3" borderId="0" xfId="0" applyFont="1" applyFill="1" applyAlignment="1">
      <alignment horizontal="center" vertical="top" wrapText="1"/>
    </xf>
    <xf numFmtId="167" fontId="10" fillId="3" borderId="0" xfId="0" applyNumberFormat="1" applyFont="1" applyFill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165" fontId="10" fillId="3" borderId="0" xfId="0" applyNumberFormat="1" applyFont="1" applyFill="1" applyAlignment="1">
      <alignment horizontal="center" vertical="top" shrinkToFit="1"/>
    </xf>
    <xf numFmtId="1" fontId="10" fillId="0" borderId="0" xfId="0" applyNumberFormat="1" applyFont="1" applyAlignment="1">
      <alignment horizontal="left" vertical="top" indent="1" shrinkToFit="1"/>
    </xf>
    <xf numFmtId="0" fontId="1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167" fontId="9" fillId="0" borderId="0" xfId="0" applyNumberFormat="1" applyFont="1" applyAlignment="1">
      <alignment horizontal="center" vertical="top" shrinkToFit="1"/>
    </xf>
    <xf numFmtId="165" fontId="10" fillId="0" borderId="0" xfId="0" applyNumberFormat="1" applyFont="1" applyAlignment="1">
      <alignment horizontal="center" vertical="top" shrinkToFit="1"/>
    </xf>
    <xf numFmtId="167" fontId="10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2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1"/>
    </xf>
    <xf numFmtId="1" fontId="14" fillId="3" borderId="0" xfId="0" applyNumberFormat="1" applyFont="1" applyFill="1" applyAlignment="1">
      <alignment horizontal="center" vertical="top" shrinkToFit="1"/>
    </xf>
    <xf numFmtId="0" fontId="11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center" vertical="top" wrapText="1"/>
    </xf>
    <xf numFmtId="167" fontId="14" fillId="3" borderId="0" xfId="0" applyNumberFormat="1" applyFont="1" applyFill="1" applyAlignment="1">
      <alignment horizontal="left" vertical="top" indent="1" shrinkToFit="1"/>
    </xf>
    <xf numFmtId="0" fontId="11" fillId="3" borderId="0" xfId="0" applyFont="1" applyFill="1" applyAlignment="1">
      <alignment horizontal="left" vertical="top" wrapText="1" indent="2"/>
    </xf>
    <xf numFmtId="165" fontId="14" fillId="3" borderId="0" xfId="0" applyNumberFormat="1" applyFont="1" applyFill="1" applyAlignment="1">
      <alignment horizontal="left" vertical="top" indent="3" shrinkToFi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19"/>
    </xf>
    <xf numFmtId="1" fontId="15" fillId="0" borderId="0" xfId="0" applyNumberFormat="1" applyFont="1" applyAlignment="1">
      <alignment horizontal="left" vertical="top" shrinkToFit="1"/>
    </xf>
    <xf numFmtId="1" fontId="14" fillId="0" borderId="1" xfId="0" applyNumberFormat="1" applyFont="1" applyBorder="1" applyAlignment="1">
      <alignment horizontal="left" vertical="top" indent="1" shrinkToFit="1"/>
    </xf>
    <xf numFmtId="0" fontId="11" fillId="0" borderId="1" xfId="0" applyFont="1" applyBorder="1" applyAlignment="1">
      <alignment horizontal="left" vertical="top" wrapText="1" inden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167" fontId="14" fillId="0" borderId="1" xfId="0" applyNumberFormat="1" applyFont="1" applyBorder="1" applyAlignment="1">
      <alignment horizontal="center" vertical="top" shrinkToFit="1"/>
    </xf>
    <xf numFmtId="165" fontId="14" fillId="0" borderId="1" xfId="0" applyNumberFormat="1" applyFont="1" applyBorder="1" applyAlignment="1">
      <alignment horizontal="left" vertical="top" indent="3" shrinkToFit="1"/>
    </xf>
    <xf numFmtId="1" fontId="14" fillId="3" borderId="0" xfId="0" applyNumberFormat="1" applyFont="1" applyFill="1" applyAlignment="1">
      <alignment horizontal="left" vertical="top" indent="1" shrinkToFit="1"/>
    </xf>
    <xf numFmtId="167" fontId="14" fillId="3" borderId="0" xfId="0" applyNumberFormat="1" applyFont="1" applyFill="1" applyAlignment="1">
      <alignment horizontal="center" vertical="top" shrinkToFit="1"/>
    </xf>
    <xf numFmtId="1" fontId="14" fillId="0" borderId="0" xfId="0" applyNumberFormat="1" applyFont="1" applyAlignment="1">
      <alignment horizontal="left" vertical="top" indent="1" shrinkToFit="1"/>
    </xf>
    <xf numFmtId="0" fontId="11" fillId="0" borderId="0" xfId="0" applyFont="1" applyAlignment="1">
      <alignment horizontal="left" vertical="top" wrapText="1"/>
    </xf>
    <xf numFmtId="167" fontId="14" fillId="0" borderId="0" xfId="0" applyNumberFormat="1" applyFont="1" applyAlignment="1">
      <alignment horizontal="center" vertical="top" shrinkToFit="1"/>
    </xf>
    <xf numFmtId="165" fontId="14" fillId="0" borderId="0" xfId="0" applyNumberFormat="1" applyFont="1" applyAlignment="1">
      <alignment horizontal="left" vertical="top" indent="3" shrinkToFit="1"/>
    </xf>
    <xf numFmtId="0" fontId="8" fillId="0" borderId="0" xfId="0" applyFont="1" applyAlignment="1">
      <alignment horizontal="left" vertical="top" wrapText="1" indent="20"/>
    </xf>
    <xf numFmtId="1" fontId="14" fillId="0" borderId="0" xfId="0" applyNumberFormat="1" applyFont="1" applyAlignment="1">
      <alignment horizontal="center" vertical="top" shrinkToFit="1"/>
    </xf>
    <xf numFmtId="0" fontId="7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left" vertical="top" wrapText="1" indent="19"/>
    </xf>
    <xf numFmtId="0" fontId="13" fillId="3" borderId="0" xfId="0" applyFont="1" applyFill="1" applyAlignment="1">
      <alignment horizontal="left" vertical="top" wrapText="1"/>
    </xf>
    <xf numFmtId="1" fontId="16" fillId="0" borderId="0" xfId="0" applyNumberFormat="1" applyFont="1" applyAlignment="1">
      <alignment horizontal="left" vertical="top" shrinkToFit="1"/>
    </xf>
    <xf numFmtId="0" fontId="0" fillId="0" borderId="2" xfId="0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 indent="1"/>
    </xf>
    <xf numFmtId="1" fontId="14" fillId="0" borderId="1" xfId="0" applyNumberFormat="1" applyFont="1" applyBorder="1" applyAlignment="1">
      <alignment horizontal="center" vertical="top" shrinkToFit="1"/>
    </xf>
    <xf numFmtId="167" fontId="14" fillId="0" borderId="1" xfId="0" applyNumberFormat="1" applyFont="1" applyBorder="1" applyAlignment="1">
      <alignment horizontal="left" vertical="top" indent="1" shrinkToFit="1"/>
    </xf>
    <xf numFmtId="0" fontId="11" fillId="0" borderId="1" xfId="0" applyFont="1" applyBorder="1" applyAlignment="1">
      <alignment horizontal="left" vertical="top" wrapText="1" indent="2"/>
    </xf>
    <xf numFmtId="0" fontId="2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left" vertical="top" wrapText="1" indent="4"/>
    </xf>
    <xf numFmtId="0" fontId="13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 indent="4"/>
    </xf>
    <xf numFmtId="1" fontId="17" fillId="0" borderId="0" xfId="0" applyNumberFormat="1" applyFont="1" applyAlignment="1">
      <alignment horizontal="left" vertical="top" shrinkToFit="1"/>
    </xf>
    <xf numFmtId="165" fontId="14" fillId="3" borderId="0" xfId="0" applyNumberFormat="1" applyFont="1" applyFill="1" applyAlignment="1">
      <alignment horizontal="center" vertical="top" shrinkToFit="1"/>
    </xf>
    <xf numFmtId="165" fontId="14" fillId="0" borderId="0" xfId="0" applyNumberFormat="1" applyFont="1" applyAlignment="1">
      <alignment horizontal="center" vertical="top" shrinkToFit="1"/>
    </xf>
    <xf numFmtId="0" fontId="8" fillId="0" borderId="0" xfId="0" applyFont="1" applyAlignment="1">
      <alignment horizontal="left" vertical="top" wrapText="1" indent="42"/>
    </xf>
    <xf numFmtId="165" fontId="14" fillId="0" borderId="1" xfId="0" applyNumberFormat="1" applyFont="1" applyBorder="1" applyAlignment="1">
      <alignment horizontal="center" vertical="top" shrinkToFit="1"/>
    </xf>
    <xf numFmtId="0" fontId="18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1" fontId="6" fillId="3" borderId="0" xfId="0" applyNumberFormat="1" applyFont="1" applyFill="1" applyAlignment="1">
      <alignment horizontal="left" vertical="top" indent="1" shrinkToFit="1"/>
    </xf>
    <xf numFmtId="0" fontId="7" fillId="3" borderId="0" xfId="0" applyFont="1" applyFill="1" applyAlignment="1">
      <alignment horizontal="left" vertical="top" wrapText="1" indent="1"/>
    </xf>
    <xf numFmtId="0" fontId="7" fillId="3" borderId="0" xfId="0" applyFont="1" applyFill="1" applyAlignment="1">
      <alignment horizontal="left" vertical="top" wrapText="1"/>
    </xf>
    <xf numFmtId="167" fontId="6" fillId="3" borderId="0" xfId="0" applyNumberFormat="1" applyFont="1" applyFill="1" applyAlignment="1">
      <alignment horizontal="left" vertical="top" indent="1" shrinkToFit="1"/>
    </xf>
    <xf numFmtId="0" fontId="7" fillId="3" borderId="0" xfId="0" applyFont="1" applyFill="1" applyAlignment="1">
      <alignment horizontal="left" vertical="top" wrapText="1" indent="2"/>
    </xf>
    <xf numFmtId="165" fontId="6" fillId="3" borderId="0" xfId="0" applyNumberFormat="1" applyFont="1" applyFill="1" applyAlignment="1">
      <alignment horizontal="left" vertical="top" indent="3" shrinkToFit="1"/>
    </xf>
    <xf numFmtId="0" fontId="5" fillId="0" borderId="0" xfId="0" applyFont="1" applyAlignment="1">
      <alignment horizontal="left" vertical="top" wrapText="1" indent="21"/>
    </xf>
    <xf numFmtId="1" fontId="10" fillId="0" borderId="1" xfId="0" applyNumberFormat="1" applyFont="1" applyBorder="1" applyAlignment="1">
      <alignment horizontal="left" vertical="top" indent="1" shrinkToFit="1"/>
    </xf>
    <xf numFmtId="0" fontId="12" fillId="0" borderId="1" xfId="0" applyFont="1" applyBorder="1" applyAlignment="1">
      <alignment horizontal="left" vertical="top" wrapText="1"/>
    </xf>
    <xf numFmtId="167" fontId="10" fillId="0" borderId="1" xfId="0" applyNumberFormat="1" applyFont="1" applyBorder="1" applyAlignment="1">
      <alignment horizontal="center" vertical="top" shrinkToFit="1"/>
    </xf>
    <xf numFmtId="165" fontId="10" fillId="0" borderId="1" xfId="0" applyNumberFormat="1" applyFont="1" applyBorder="1" applyAlignment="1">
      <alignment horizontal="center" vertical="top" shrinkToFit="1"/>
    </xf>
    <xf numFmtId="167" fontId="9" fillId="3" borderId="0" xfId="0" applyNumberFormat="1" applyFont="1" applyFill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8"/>
    </xf>
    <xf numFmtId="0" fontId="11" fillId="0" borderId="1" xfId="0" applyFont="1" applyBorder="1" applyAlignment="1">
      <alignment horizontal="left" vertical="top" wrapText="1" indent="4"/>
    </xf>
    <xf numFmtId="0" fontId="8" fillId="0" borderId="2" xfId="0" applyFont="1" applyBorder="1" applyAlignment="1">
      <alignment horizontal="left" vertical="center" wrapText="1" indent="2"/>
    </xf>
    <xf numFmtId="1" fontId="19" fillId="0" borderId="1" xfId="0" applyNumberFormat="1" applyFont="1" applyBorder="1" applyAlignment="1">
      <alignment horizontal="center" vertical="top" shrinkToFit="1"/>
    </xf>
    <xf numFmtId="167" fontId="19" fillId="0" borderId="1" xfId="0" applyNumberFormat="1" applyFont="1" applyBorder="1" applyAlignment="1">
      <alignment horizontal="center" vertical="top" shrinkToFit="1"/>
    </xf>
    <xf numFmtId="165" fontId="19" fillId="0" borderId="1" xfId="0" applyNumberFormat="1" applyFont="1" applyBorder="1" applyAlignment="1">
      <alignment horizontal="center" vertical="top" shrinkToFit="1"/>
    </xf>
    <xf numFmtId="1" fontId="19" fillId="3" borderId="0" xfId="0" applyNumberFormat="1" applyFont="1" applyFill="1" applyAlignment="1">
      <alignment horizontal="center" vertical="top" shrinkToFit="1"/>
    </xf>
    <xf numFmtId="167" fontId="19" fillId="3" borderId="0" xfId="0" applyNumberFormat="1" applyFont="1" applyFill="1" applyAlignment="1">
      <alignment horizontal="center" vertical="top" shrinkToFit="1"/>
    </xf>
    <xf numFmtId="165" fontId="19" fillId="3" borderId="0" xfId="0" applyNumberFormat="1" applyFont="1" applyFill="1" applyAlignment="1">
      <alignment horizontal="center" vertical="top" shrinkToFit="1"/>
    </xf>
    <xf numFmtId="1" fontId="19" fillId="0" borderId="0" xfId="0" applyNumberFormat="1" applyFont="1" applyAlignment="1">
      <alignment horizontal="center" vertical="top" shrinkToFit="1"/>
    </xf>
    <xf numFmtId="167" fontId="19" fillId="0" borderId="0" xfId="0" applyNumberFormat="1" applyFont="1" applyAlignment="1">
      <alignment horizontal="center" vertical="top" shrinkToFit="1"/>
    </xf>
    <xf numFmtId="165" fontId="19" fillId="0" borderId="0" xfId="0" applyNumberFormat="1" applyFont="1" applyAlignment="1">
      <alignment horizontal="center" vertical="top" shrinkToFit="1"/>
    </xf>
    <xf numFmtId="0" fontId="8" fillId="0" borderId="0" xfId="0" applyFont="1" applyAlignment="1">
      <alignment horizontal="left" vertical="center" wrapText="1" indent="4"/>
    </xf>
    <xf numFmtId="164" fontId="20" fillId="0" borderId="0" xfId="0" applyNumberFormat="1" applyFont="1" applyAlignment="1">
      <alignment horizontal="center" vertical="center" shrinkToFit="1"/>
    </xf>
    <xf numFmtId="0" fontId="0" fillId="4" borderId="2" xfId="0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top" wrapText="1" indent="7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 indent="2"/>
    </xf>
    <xf numFmtId="0" fontId="8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1"/>
    </xf>
    <xf numFmtId="0" fontId="0" fillId="3" borderId="0" xfId="0" applyFill="1" applyAlignment="1">
      <alignment horizontal="left" vertical="top" wrapText="1" indent="2"/>
    </xf>
    <xf numFmtId="0" fontId="0" fillId="2" borderId="0" xfId="0" applyFill="1" applyAlignment="1">
      <alignment horizontal="left" vertical="top" wrapText="1" indent="1"/>
    </xf>
    <xf numFmtId="0" fontId="8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center" vertical="top" wrapText="1"/>
    </xf>
    <xf numFmtId="0" fontId="8" fillId="0" borderId="2" xfId="0" applyFont="1" applyBorder="1" applyAlignment="1">
      <alignment horizontal="left" vertical="top" wrapText="1" indent="2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 wrapText="1" indent="21"/>
    </xf>
    <xf numFmtId="0" fontId="0" fillId="0" borderId="0" xfId="0" applyAlignment="1">
      <alignment horizontal="left" vertical="top" wrapText="1" indent="12"/>
    </xf>
    <xf numFmtId="164" fontId="21" fillId="0" borderId="0" xfId="0" applyNumberFormat="1" applyFont="1" applyAlignment="1">
      <alignment horizontal="right" vertical="top" indent="4" shrinkToFit="1"/>
    </xf>
    <xf numFmtId="0" fontId="22" fillId="2" borderId="2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left" vertical="center" wrapText="1" indent="4"/>
    </xf>
    <xf numFmtId="0" fontId="8" fillId="0" borderId="3" xfId="0" applyFont="1" applyBorder="1" applyAlignment="1">
      <alignment horizontal="left" vertical="center" wrapText="1" indent="3"/>
    </xf>
    <xf numFmtId="0" fontId="8" fillId="0" borderId="3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top" wrapText="1"/>
    </xf>
    <xf numFmtId="166" fontId="23" fillId="0" borderId="1" xfId="0" applyNumberFormat="1" applyFont="1" applyBorder="1" applyAlignment="1">
      <alignment horizontal="left" vertical="top" indent="4" shrinkToFit="1"/>
    </xf>
    <xf numFmtId="1" fontId="23" fillId="0" borderId="1" xfId="0" applyNumberFormat="1" applyFont="1" applyBorder="1" applyAlignment="1">
      <alignment horizontal="left" vertical="top" indent="3" shrinkToFit="1"/>
    </xf>
    <xf numFmtId="166" fontId="23" fillId="3" borderId="0" xfId="0" applyNumberFormat="1" applyFont="1" applyFill="1" applyAlignment="1">
      <alignment horizontal="left" vertical="top" indent="4" shrinkToFit="1"/>
    </xf>
    <xf numFmtId="1" fontId="23" fillId="3" borderId="0" xfId="0" applyNumberFormat="1" applyFont="1" applyFill="1" applyAlignment="1">
      <alignment horizontal="left" vertical="top" indent="3" shrinkToFit="1"/>
    </xf>
    <xf numFmtId="166" fontId="23" fillId="0" borderId="0" xfId="0" applyNumberFormat="1" applyFont="1" applyAlignment="1">
      <alignment horizontal="left" vertical="top" indent="4" shrinkToFit="1"/>
    </xf>
    <xf numFmtId="0" fontId="7" fillId="0" borderId="0" xfId="0" applyFont="1" applyAlignment="1">
      <alignment horizontal="left" vertical="top" wrapText="1" indent="2"/>
    </xf>
    <xf numFmtId="1" fontId="23" fillId="0" borderId="0" xfId="0" applyNumberFormat="1" applyFont="1" applyAlignment="1">
      <alignment horizontal="left" vertical="top" indent="3" shrinkToFit="1"/>
    </xf>
    <xf numFmtId="0" fontId="7" fillId="0" borderId="0" xfId="0" applyFont="1" applyAlignment="1">
      <alignment horizontal="left" vertical="top" wrapText="1" indent="1"/>
    </xf>
    <xf numFmtId="0" fontId="7" fillId="3" borderId="0" xfId="0" applyFont="1" applyFill="1" applyAlignment="1">
      <alignment horizontal="left" vertical="top" wrapText="1" indent="4"/>
    </xf>
    <xf numFmtId="0" fontId="7" fillId="3" borderId="0" xfId="0" applyFont="1" applyFill="1" applyAlignment="1">
      <alignment horizontal="right" vertical="top" wrapText="1"/>
    </xf>
    <xf numFmtId="0" fontId="7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 indent="4"/>
    </xf>
    <xf numFmtId="0" fontId="7" fillId="3" borderId="1" xfId="0" applyFont="1" applyFill="1" applyBorder="1" applyAlignment="1">
      <alignment horizontal="left" vertical="top" wrapText="1" indent="4"/>
    </xf>
    <xf numFmtId="0" fontId="7" fillId="3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 wrapText="1" indent="3"/>
    </xf>
    <xf numFmtId="0" fontId="7" fillId="3" borderId="1" xfId="0" applyFont="1" applyFill="1" applyBorder="1" applyAlignment="1">
      <alignment horizontal="left" vertical="top" wrapText="1" indent="1"/>
    </xf>
    <xf numFmtId="0" fontId="8" fillId="0" borderId="0" xfId="0" applyFont="1" applyAlignment="1">
      <alignment horizontal="left" vertical="top" wrapText="1" indent="59"/>
    </xf>
    <xf numFmtId="0" fontId="8" fillId="0" borderId="0" xfId="0" applyFont="1" applyAlignment="1">
      <alignment horizontal="left" vertical="top" wrapText="1" indent="4"/>
    </xf>
    <xf numFmtId="0" fontId="64" fillId="3" borderId="1" xfId="0" applyFont="1" applyFill="1" applyBorder="1" applyAlignment="1">
      <alignment horizontal="left" vertical="top" wrapText="1" indent="4"/>
    </xf>
    <xf numFmtId="0" fontId="67" fillId="5" borderId="0" xfId="0" applyFont="1" applyFill="1" applyAlignment="1">
      <alignment horizontal="left" vertical="top"/>
    </xf>
    <xf numFmtId="167" fontId="0" fillId="5" borderId="0" xfId="0" applyNumberFormat="1" applyFill="1" applyAlignment="1">
      <alignment horizontal="left" vertical="top"/>
    </xf>
    <xf numFmtId="0" fontId="67" fillId="5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149504</xdr:colOff>
      <xdr:row>4</xdr:row>
      <xdr:rowOff>116935</xdr:rowOff>
    </xdr:from>
    <xdr:ext cx="108013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80135" cy="0"/>
        </a:xfrm>
        <a:custGeom>
          <a:avLst/>
          <a:gdLst/>
          <a:ahLst/>
          <a:cxnLst/>
          <a:rect l="0" t="0" r="0" b="0"/>
          <a:pathLst>
            <a:path w="1080135">
              <a:moveTo>
                <a:pt x="0" y="0"/>
              </a:moveTo>
              <a:lnTo>
                <a:pt x="1080039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26</xdr:col>
      <xdr:colOff>145796</xdr:colOff>
      <xdr:row>5</xdr:row>
      <xdr:rowOff>232505</xdr:rowOff>
    </xdr:from>
    <xdr:ext cx="115824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26</xdr:col>
      <xdr:colOff>145796</xdr:colOff>
      <xdr:row>5</xdr:row>
      <xdr:rowOff>411003</xdr:rowOff>
    </xdr:from>
    <xdr:ext cx="115824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0</xdr:col>
      <xdr:colOff>170</xdr:colOff>
      <xdr:row>70</xdr:row>
      <xdr:rowOff>222758</xdr:rowOff>
    </xdr:from>
    <xdr:ext cx="9662795" cy="169545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70" y="16148558"/>
          <a:ext cx="9662795" cy="169545"/>
          <a:chOff x="0" y="0"/>
          <a:chExt cx="9662795" cy="16954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95" y="0"/>
            <a:ext cx="9662160" cy="166370"/>
          </a:xfrm>
          <a:custGeom>
            <a:avLst/>
            <a:gdLst/>
            <a:ahLst/>
            <a:cxnLst/>
            <a:rect l="0" t="0" r="0" b="0"/>
            <a:pathLst>
              <a:path w="9662160" h="166370">
                <a:moveTo>
                  <a:pt x="0" y="166116"/>
                </a:moveTo>
                <a:lnTo>
                  <a:pt x="0" y="0"/>
                </a:lnTo>
                <a:lnTo>
                  <a:pt x="9662160" y="0"/>
                </a:lnTo>
                <a:lnTo>
                  <a:pt x="9662160" y="166116"/>
                </a:lnTo>
                <a:lnTo>
                  <a:pt x="0" y="166116"/>
                </a:lnTo>
                <a:close/>
              </a:path>
            </a:pathLst>
          </a:custGeom>
          <a:solidFill>
            <a:srgbClr val="91AA9C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166782"/>
            <a:ext cx="9648825" cy="0"/>
          </a:xfrm>
          <a:custGeom>
            <a:avLst/>
            <a:gdLst/>
            <a:ahLst/>
            <a:cxnLst/>
            <a:rect l="0" t="0" r="0" b="0"/>
            <a:pathLst>
              <a:path w="9648825">
                <a:moveTo>
                  <a:pt x="8784907" y="0"/>
                </a:moveTo>
                <a:lnTo>
                  <a:pt x="9648253" y="0"/>
                </a:lnTo>
              </a:path>
              <a:path w="9648825">
                <a:moveTo>
                  <a:pt x="0" y="0"/>
                </a:moveTo>
                <a:lnTo>
                  <a:pt x="903065" y="0"/>
                </a:lnTo>
              </a:path>
              <a:path w="9648825">
                <a:moveTo>
                  <a:pt x="6585204" y="0"/>
                </a:moveTo>
                <a:lnTo>
                  <a:pt x="7169467" y="0"/>
                </a:lnTo>
              </a:path>
              <a:path w="9648825">
                <a:moveTo>
                  <a:pt x="1780222" y="0"/>
                </a:moveTo>
                <a:lnTo>
                  <a:pt x="3038665" y="0"/>
                </a:lnTo>
              </a:path>
              <a:path w="9648825">
                <a:moveTo>
                  <a:pt x="3038665" y="0"/>
                </a:moveTo>
                <a:lnTo>
                  <a:pt x="3686937" y="0"/>
                </a:lnTo>
              </a:path>
              <a:path w="9648825">
                <a:moveTo>
                  <a:pt x="4194905" y="0"/>
                </a:moveTo>
                <a:lnTo>
                  <a:pt x="4895088" y="0"/>
                </a:lnTo>
              </a:path>
              <a:path w="9648825">
                <a:moveTo>
                  <a:pt x="4895088" y="0"/>
                </a:moveTo>
                <a:lnTo>
                  <a:pt x="5734050" y="0"/>
                </a:lnTo>
              </a:path>
              <a:path w="9648825">
                <a:moveTo>
                  <a:pt x="7169467" y="0"/>
                </a:moveTo>
                <a:lnTo>
                  <a:pt x="8186928" y="0"/>
                </a:lnTo>
              </a:path>
              <a:path w="9648825">
                <a:moveTo>
                  <a:pt x="5734050" y="0"/>
                </a:moveTo>
                <a:lnTo>
                  <a:pt x="6585204" y="0"/>
                </a:lnTo>
              </a:path>
              <a:path w="9648825">
                <a:moveTo>
                  <a:pt x="8186928" y="0"/>
                </a:moveTo>
                <a:lnTo>
                  <a:pt x="8784907" y="0"/>
                </a:lnTo>
              </a:path>
              <a:path w="9648825">
                <a:moveTo>
                  <a:pt x="903065" y="0"/>
                </a:moveTo>
                <a:lnTo>
                  <a:pt x="1780222" y="0"/>
                </a:lnTo>
              </a:path>
              <a:path w="9648825">
                <a:moveTo>
                  <a:pt x="3686937" y="0"/>
                </a:moveTo>
                <a:lnTo>
                  <a:pt x="4194905" y="0"/>
                </a:lnTo>
              </a:path>
            </a:pathLst>
          </a:custGeom>
          <a:ln w="4581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170</xdr:colOff>
      <xdr:row>94</xdr:row>
      <xdr:rowOff>222757</xdr:rowOff>
    </xdr:from>
    <xdr:ext cx="9662795" cy="169545"/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70" y="21473032"/>
          <a:ext cx="9662795" cy="169545"/>
          <a:chOff x="0" y="0"/>
          <a:chExt cx="9662795" cy="169545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95" y="0"/>
            <a:ext cx="9662160" cy="166370"/>
          </a:xfrm>
          <a:custGeom>
            <a:avLst/>
            <a:gdLst/>
            <a:ahLst/>
            <a:cxnLst/>
            <a:rect l="0" t="0" r="0" b="0"/>
            <a:pathLst>
              <a:path w="9662160" h="166370">
                <a:moveTo>
                  <a:pt x="0" y="166116"/>
                </a:moveTo>
                <a:lnTo>
                  <a:pt x="0" y="0"/>
                </a:lnTo>
                <a:lnTo>
                  <a:pt x="9662160" y="0"/>
                </a:lnTo>
                <a:lnTo>
                  <a:pt x="9662160" y="166116"/>
                </a:lnTo>
                <a:lnTo>
                  <a:pt x="0" y="166116"/>
                </a:lnTo>
                <a:close/>
              </a:path>
            </a:pathLst>
          </a:custGeom>
          <a:solidFill>
            <a:srgbClr val="91AA9C">
              <a:alpha val="50000"/>
            </a:srgbClr>
          </a:solidFill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0" y="166782"/>
            <a:ext cx="9648825" cy="0"/>
          </a:xfrm>
          <a:custGeom>
            <a:avLst/>
            <a:gdLst/>
            <a:ahLst/>
            <a:cxnLst/>
            <a:rect l="0" t="0" r="0" b="0"/>
            <a:pathLst>
              <a:path w="9648825">
                <a:moveTo>
                  <a:pt x="8784907" y="0"/>
                </a:moveTo>
                <a:lnTo>
                  <a:pt x="9648253" y="0"/>
                </a:lnTo>
              </a:path>
              <a:path w="9648825">
                <a:moveTo>
                  <a:pt x="0" y="0"/>
                </a:moveTo>
                <a:lnTo>
                  <a:pt x="903065" y="0"/>
                </a:lnTo>
              </a:path>
              <a:path w="9648825">
                <a:moveTo>
                  <a:pt x="6585204" y="0"/>
                </a:moveTo>
                <a:lnTo>
                  <a:pt x="7169467" y="0"/>
                </a:lnTo>
              </a:path>
              <a:path w="9648825">
                <a:moveTo>
                  <a:pt x="1780222" y="0"/>
                </a:moveTo>
                <a:lnTo>
                  <a:pt x="3038665" y="0"/>
                </a:lnTo>
              </a:path>
              <a:path w="9648825">
                <a:moveTo>
                  <a:pt x="3038665" y="0"/>
                </a:moveTo>
                <a:lnTo>
                  <a:pt x="3686937" y="0"/>
                </a:lnTo>
              </a:path>
              <a:path w="9648825">
                <a:moveTo>
                  <a:pt x="4194905" y="0"/>
                </a:moveTo>
                <a:lnTo>
                  <a:pt x="4895088" y="0"/>
                </a:lnTo>
              </a:path>
              <a:path w="9648825">
                <a:moveTo>
                  <a:pt x="4895088" y="0"/>
                </a:moveTo>
                <a:lnTo>
                  <a:pt x="5734050" y="0"/>
                </a:lnTo>
              </a:path>
              <a:path w="9648825">
                <a:moveTo>
                  <a:pt x="7169467" y="0"/>
                </a:moveTo>
                <a:lnTo>
                  <a:pt x="8186928" y="0"/>
                </a:lnTo>
              </a:path>
              <a:path w="9648825">
                <a:moveTo>
                  <a:pt x="5734050" y="0"/>
                </a:moveTo>
                <a:lnTo>
                  <a:pt x="6585204" y="0"/>
                </a:lnTo>
              </a:path>
              <a:path w="9648825">
                <a:moveTo>
                  <a:pt x="8186928" y="0"/>
                </a:moveTo>
                <a:lnTo>
                  <a:pt x="8784907" y="0"/>
                </a:lnTo>
              </a:path>
              <a:path w="9648825">
                <a:moveTo>
                  <a:pt x="903065" y="0"/>
                </a:moveTo>
                <a:lnTo>
                  <a:pt x="1780222" y="0"/>
                </a:lnTo>
              </a:path>
              <a:path w="9648825">
                <a:moveTo>
                  <a:pt x="3686937" y="0"/>
                </a:moveTo>
                <a:lnTo>
                  <a:pt x="4194905" y="0"/>
                </a:lnTo>
              </a:path>
            </a:pathLst>
          </a:custGeom>
          <a:ln w="4581">
            <a:solidFill>
              <a:srgbClr val="000000"/>
            </a:solidFill>
          </a:ln>
        </xdr:spPr>
      </xdr:sp>
    </xdr:grpSp>
    <xdr:clientData/>
  </xdr:oneCellAnchor>
  <xdr:oneCellAnchor>
    <xdr:from>
      <xdr:col>31</xdr:col>
      <xdr:colOff>2717</xdr:colOff>
      <xdr:row>208</xdr:row>
      <xdr:rowOff>258980</xdr:rowOff>
    </xdr:from>
    <xdr:ext cx="98425" cy="511809"/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8556167" y="45007430"/>
          <a:ext cx="98425" cy="511809"/>
          <a:chOff x="0" y="0"/>
          <a:chExt cx="98425" cy="511809"/>
        </a:xfrm>
      </xdr:grpSpPr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0" y="9"/>
            <a:ext cx="82550" cy="511809"/>
          </a:xfrm>
          <a:custGeom>
            <a:avLst/>
            <a:gdLst/>
            <a:ahLst/>
            <a:cxnLst/>
            <a:rect l="0" t="0" r="0" b="0"/>
            <a:pathLst>
              <a:path w="82550" h="511809">
                <a:moveTo>
                  <a:pt x="79400" y="0"/>
                </a:moveTo>
                <a:lnTo>
                  <a:pt x="0" y="0"/>
                </a:lnTo>
                <a:lnTo>
                  <a:pt x="0" y="255092"/>
                </a:lnTo>
                <a:lnTo>
                  <a:pt x="79400" y="255092"/>
                </a:lnTo>
                <a:lnTo>
                  <a:pt x="79400" y="0"/>
                </a:lnTo>
                <a:close/>
              </a:path>
              <a:path w="82550" h="511809">
                <a:moveTo>
                  <a:pt x="82296" y="294474"/>
                </a:moveTo>
                <a:lnTo>
                  <a:pt x="2895" y="294474"/>
                </a:lnTo>
                <a:lnTo>
                  <a:pt x="2895" y="511441"/>
                </a:lnTo>
                <a:lnTo>
                  <a:pt x="82296" y="511441"/>
                </a:lnTo>
                <a:lnTo>
                  <a:pt x="82296" y="294474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13" name="Textbox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0" y="0"/>
            <a:ext cx="98425" cy="51180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400" b="1">
                <a:solidFill>
                  <a:srgbClr val="CADBCF"/>
                </a:solidFill>
                <a:latin typeface="Arial"/>
                <a:cs typeface="Arial"/>
              </a:rPr>
              <a:t>L</a:t>
            </a:r>
          </a:p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31</xdr:col>
      <xdr:colOff>5620</xdr:colOff>
      <xdr:row>212</xdr:row>
      <xdr:rowOff>98715</xdr:rowOff>
    </xdr:from>
    <xdr:ext cx="80010" cy="217170"/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8559070" y="45599640"/>
          <a:ext cx="80010" cy="217170"/>
          <a:chOff x="0" y="0"/>
          <a:chExt cx="80010" cy="217170"/>
        </a:xfrm>
      </xdr:grpSpPr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16" name="Textbox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31</xdr:col>
      <xdr:colOff>5620</xdr:colOff>
      <xdr:row>214</xdr:row>
      <xdr:rowOff>99270</xdr:rowOff>
    </xdr:from>
    <xdr:ext cx="80010" cy="217170"/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8559070" y="45895470"/>
          <a:ext cx="80010" cy="217170"/>
          <a:chOff x="0" y="0"/>
          <a:chExt cx="80010" cy="217170"/>
        </a:xfrm>
      </xdr:grpSpPr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19" name="Textbox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31</xdr:col>
      <xdr:colOff>5620</xdr:colOff>
      <xdr:row>216</xdr:row>
      <xdr:rowOff>102876</xdr:rowOff>
    </xdr:from>
    <xdr:ext cx="80010" cy="217170"/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8559070" y="46194351"/>
          <a:ext cx="80010" cy="217170"/>
          <a:chOff x="0" y="0"/>
          <a:chExt cx="80010" cy="217170"/>
        </a:xfrm>
      </xdr:grpSpPr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22" name="Textbox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31</xdr:col>
      <xdr:colOff>5620</xdr:colOff>
      <xdr:row>218</xdr:row>
      <xdr:rowOff>103431</xdr:rowOff>
    </xdr:from>
    <xdr:ext cx="80010" cy="217170"/>
    <xdr:grpSp>
      <xdr:nvGrpSpPr>
        <xdr:cNvPr id="23" name="Group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8559070" y="46490181"/>
          <a:ext cx="80010" cy="217170"/>
          <a:chOff x="0" y="0"/>
          <a:chExt cx="80010" cy="217170"/>
        </a:xfrm>
      </xdr:grpSpPr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25" name="Textbox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31</xdr:col>
      <xdr:colOff>5620</xdr:colOff>
      <xdr:row>220</xdr:row>
      <xdr:rowOff>103986</xdr:rowOff>
    </xdr:from>
    <xdr:ext cx="80010" cy="217170"/>
    <xdr:grpSp>
      <xdr:nvGrpSpPr>
        <xdr:cNvPr id="26" name="Group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8559070" y="46786011"/>
          <a:ext cx="80010" cy="217170"/>
          <a:chOff x="0" y="0"/>
          <a:chExt cx="80010" cy="217170"/>
        </a:xfrm>
      </xdr:grpSpPr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28" name="Textbox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149504</xdr:colOff>
      <xdr:row>0</xdr:row>
      <xdr:rowOff>0</xdr:rowOff>
    </xdr:from>
    <xdr:ext cx="108013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D8CEFA64-AE56-409E-A205-D53A54624BD1}"/>
            </a:ext>
          </a:extLst>
        </xdr:cNvPr>
        <xdr:cNvSpPr/>
      </xdr:nvSpPr>
      <xdr:spPr>
        <a:xfrm>
          <a:off x="6978929" y="1050385"/>
          <a:ext cx="1080135" cy="0"/>
        </a:xfrm>
        <a:custGeom>
          <a:avLst/>
          <a:gdLst/>
          <a:ahLst/>
          <a:cxnLst/>
          <a:rect l="0" t="0" r="0" b="0"/>
          <a:pathLst>
            <a:path w="1080135">
              <a:moveTo>
                <a:pt x="0" y="0"/>
              </a:moveTo>
              <a:lnTo>
                <a:pt x="1080039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7</xdr:col>
      <xdr:colOff>145796</xdr:colOff>
      <xdr:row>0</xdr:row>
      <xdr:rowOff>0</xdr:rowOff>
    </xdr:from>
    <xdr:ext cx="115824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EF14E435-DBC7-48A8-879D-A700622870D6}"/>
            </a:ext>
          </a:extLst>
        </xdr:cNvPr>
        <xdr:cNvSpPr/>
      </xdr:nvSpPr>
      <xdr:spPr>
        <a:xfrm>
          <a:off x="6975221" y="1680305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7</xdr:col>
      <xdr:colOff>145796</xdr:colOff>
      <xdr:row>0</xdr:row>
      <xdr:rowOff>0</xdr:rowOff>
    </xdr:from>
    <xdr:ext cx="115824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3CD04D5A-410A-4B67-A363-33D7B96BE4B5}"/>
            </a:ext>
          </a:extLst>
        </xdr:cNvPr>
        <xdr:cNvSpPr/>
      </xdr:nvSpPr>
      <xdr:spPr>
        <a:xfrm>
          <a:off x="6975221" y="1858803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0</xdr:colOff>
      <xdr:row>28</xdr:row>
      <xdr:rowOff>127290</xdr:rowOff>
    </xdr:from>
    <xdr:ext cx="80010" cy="217170"/>
    <xdr:sp macro="" textlink="">
      <xdr:nvSpPr>
        <xdr:cNvPr id="6" name="Shape 15">
          <a:extLst>
            <a:ext uri="{FF2B5EF4-FFF2-40B4-BE49-F238E27FC236}">
              <a16:creationId xmlns:a16="http://schemas.microsoft.com/office/drawing/2014/main" id="{F0E219CF-FE32-04DA-97EE-42FC90325E13}"/>
            </a:ext>
          </a:extLst>
        </xdr:cNvPr>
        <xdr:cNvSpPr/>
      </xdr:nvSpPr>
      <xdr:spPr>
        <a:xfrm>
          <a:off x="11772900" y="4794540"/>
          <a:ext cx="80010" cy="217170"/>
        </a:xfrm>
        <a:custGeom>
          <a:avLst/>
          <a:gdLst/>
          <a:ahLst/>
          <a:cxnLst/>
          <a:rect l="0" t="0" r="0" b="0"/>
          <a:pathLst>
            <a:path w="80010" h="217170">
              <a:moveTo>
                <a:pt x="79403" y="216969"/>
              </a:moveTo>
              <a:lnTo>
                <a:pt x="0" y="216969"/>
              </a:lnTo>
              <a:lnTo>
                <a:pt x="0" y="0"/>
              </a:lnTo>
              <a:lnTo>
                <a:pt x="79403" y="0"/>
              </a:lnTo>
              <a:lnTo>
                <a:pt x="79403" y="216969"/>
              </a:lnTo>
              <a:close/>
            </a:path>
          </a:pathLst>
        </a:custGeom>
        <a:solidFill>
          <a:srgbClr val="D1DFD6">
            <a:alpha val="50000"/>
          </a:srgbClr>
        </a:solidFill>
      </xdr:spPr>
    </xdr:sp>
    <xdr:clientData/>
  </xdr:oneCellAnchor>
  <xdr:oneCellAnchor>
    <xdr:from>
      <xdr:col>38</xdr:col>
      <xdr:colOff>0</xdr:colOff>
      <xdr:row>33</xdr:row>
      <xdr:rowOff>23070</xdr:rowOff>
    </xdr:from>
    <xdr:ext cx="3528060" cy="293370"/>
    <xdr:grpSp>
      <xdr:nvGrpSpPr>
        <xdr:cNvPr id="8" name="Group 17">
          <a:extLst>
            <a:ext uri="{FF2B5EF4-FFF2-40B4-BE49-F238E27FC236}">
              <a16:creationId xmlns:a16="http://schemas.microsoft.com/office/drawing/2014/main" id="{BC8D6E0A-C8C6-4C9F-BDE9-E5AA3D8C4EB3}"/>
            </a:ext>
          </a:extLst>
        </xdr:cNvPr>
        <xdr:cNvGrpSpPr/>
      </xdr:nvGrpSpPr>
      <xdr:grpSpPr>
        <a:xfrm>
          <a:off x="11325225" y="5423745"/>
          <a:ext cx="3528060" cy="293370"/>
          <a:chOff x="0" y="-76200"/>
          <a:chExt cx="3528060" cy="293370"/>
        </a:xfrm>
      </xdr:grpSpPr>
      <xdr:sp macro="" textlink="">
        <xdr:nvSpPr>
          <xdr:cNvPr id="9" name="Shape 18">
            <a:extLst>
              <a:ext uri="{FF2B5EF4-FFF2-40B4-BE49-F238E27FC236}">
                <a16:creationId xmlns:a16="http://schemas.microsoft.com/office/drawing/2014/main" id="{DF59D14D-9132-1733-19BF-E71E915B492D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10" name="Textbox 19">
            <a:extLst>
              <a:ext uri="{FF2B5EF4-FFF2-40B4-BE49-F238E27FC236}">
                <a16:creationId xmlns:a16="http://schemas.microsoft.com/office/drawing/2014/main" id="{C140533B-43AA-8B0A-63BB-37A08174DAFC}"/>
              </a:ext>
            </a:extLst>
          </xdr:cNvPr>
          <xdr:cNvSpPr txBox="1"/>
        </xdr:nvSpPr>
        <xdr:spPr>
          <a:xfrm>
            <a:off x="3448050" y="-7620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38</xdr:col>
      <xdr:colOff>0</xdr:colOff>
      <xdr:row>31</xdr:row>
      <xdr:rowOff>122481</xdr:rowOff>
    </xdr:from>
    <xdr:ext cx="622935" cy="779145"/>
    <xdr:grpSp>
      <xdr:nvGrpSpPr>
        <xdr:cNvPr id="14" name="Group 23">
          <a:extLst>
            <a:ext uri="{FF2B5EF4-FFF2-40B4-BE49-F238E27FC236}">
              <a16:creationId xmlns:a16="http://schemas.microsoft.com/office/drawing/2014/main" id="{CCBCA3B5-AD1C-40F1-9E8F-CAE93CAAECE2}"/>
            </a:ext>
          </a:extLst>
        </xdr:cNvPr>
        <xdr:cNvGrpSpPr/>
      </xdr:nvGrpSpPr>
      <xdr:grpSpPr>
        <a:xfrm>
          <a:off x="11325225" y="5227881"/>
          <a:ext cx="622935" cy="779145"/>
          <a:chOff x="4267200" y="-723900"/>
          <a:chExt cx="622935" cy="779145"/>
        </a:xfrm>
      </xdr:grpSpPr>
      <xdr:sp macro="" textlink="">
        <xdr:nvSpPr>
          <xdr:cNvPr id="15" name="Shape 24">
            <a:extLst>
              <a:ext uri="{FF2B5EF4-FFF2-40B4-BE49-F238E27FC236}">
                <a16:creationId xmlns:a16="http://schemas.microsoft.com/office/drawing/2014/main" id="{5D577927-378E-0FBE-E5EE-28A91D5719E3}"/>
              </a:ext>
            </a:extLst>
          </xdr:cNvPr>
          <xdr:cNvSpPr/>
        </xdr:nvSpPr>
        <xdr:spPr>
          <a:xfrm>
            <a:off x="4810125" y="-72390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16" name="Textbox 25">
            <a:extLst>
              <a:ext uri="{FF2B5EF4-FFF2-40B4-BE49-F238E27FC236}">
                <a16:creationId xmlns:a16="http://schemas.microsoft.com/office/drawing/2014/main" id="{3374F6DC-9048-B3D5-3997-E16246976DF2}"/>
              </a:ext>
            </a:extLst>
          </xdr:cNvPr>
          <xdr:cNvSpPr txBox="1"/>
        </xdr:nvSpPr>
        <xdr:spPr>
          <a:xfrm>
            <a:off x="4267200" y="-161925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38</xdr:col>
      <xdr:colOff>0</xdr:colOff>
      <xdr:row>29</xdr:row>
      <xdr:rowOff>8736</xdr:rowOff>
    </xdr:from>
    <xdr:ext cx="80010" cy="217170"/>
    <xdr:grpSp>
      <xdr:nvGrpSpPr>
        <xdr:cNvPr id="17" name="Group 26">
          <a:extLst>
            <a:ext uri="{FF2B5EF4-FFF2-40B4-BE49-F238E27FC236}">
              <a16:creationId xmlns:a16="http://schemas.microsoft.com/office/drawing/2014/main" id="{BAE5AE92-286C-4079-A1F8-5447C24BFE30}"/>
            </a:ext>
          </a:extLst>
        </xdr:cNvPr>
        <xdr:cNvGrpSpPr/>
      </xdr:nvGrpSpPr>
      <xdr:grpSpPr>
        <a:xfrm>
          <a:off x="11325225" y="4818861"/>
          <a:ext cx="80010" cy="217170"/>
          <a:chOff x="0" y="0"/>
          <a:chExt cx="80010" cy="217170"/>
        </a:xfrm>
      </xdr:grpSpPr>
      <xdr:sp macro="" textlink="">
        <xdr:nvSpPr>
          <xdr:cNvPr id="18" name="Shape 27">
            <a:extLst>
              <a:ext uri="{FF2B5EF4-FFF2-40B4-BE49-F238E27FC236}">
                <a16:creationId xmlns:a16="http://schemas.microsoft.com/office/drawing/2014/main" id="{F3ACC081-F447-C1E4-269F-D3A65CBD9028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  <xdr:txBody>
          <a:bodyPr/>
          <a:lstStyle/>
          <a:p>
            <a:endParaRPr lang="en-US"/>
          </a:p>
        </xdr:txBody>
      </xdr:sp>
      <xdr:sp macro="" textlink="">
        <xdr:nvSpPr>
          <xdr:cNvPr id="19" name="Textbox 28">
            <a:extLst>
              <a:ext uri="{FF2B5EF4-FFF2-40B4-BE49-F238E27FC236}">
                <a16:creationId xmlns:a16="http://schemas.microsoft.com/office/drawing/2014/main" id="{7B1FF68E-2EE7-20B2-5814-3F11B8741938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 sz="1250" b="0">
              <a:solidFill>
                <a:srgbClr val="CADBCF"/>
              </a:solidFill>
              <a:latin typeface="Arial"/>
              <a:cs typeface="Arial"/>
            </a:endParaRPr>
          </a:p>
        </xdr:txBody>
      </xdr:sp>
    </xdr:grpSp>
    <xdr:clientData/>
  </xdr:oneCellAnchor>
  <xdr:oneCellAnchor>
    <xdr:from>
      <xdr:col>0</xdr:col>
      <xdr:colOff>266</xdr:colOff>
      <xdr:row>43</xdr:row>
      <xdr:rowOff>136366</xdr:rowOff>
    </xdr:from>
    <xdr:ext cx="9662160" cy="0"/>
    <xdr:sp macro="" textlink="">
      <xdr:nvSpPr>
        <xdr:cNvPr id="20" name="Shape 17">
          <a:extLst>
            <a:ext uri="{FF2B5EF4-FFF2-40B4-BE49-F238E27FC236}">
              <a16:creationId xmlns:a16="http://schemas.microsoft.com/office/drawing/2014/main" id="{E4600D60-554B-494E-8FC9-E702E13A8E74}"/>
            </a:ext>
          </a:extLst>
        </xdr:cNvPr>
        <xdr:cNvSpPr/>
      </xdr:nvSpPr>
      <xdr:spPr>
        <a:xfrm>
          <a:off x="266" y="47170816"/>
          <a:ext cx="9662160" cy="0"/>
        </a:xfrm>
        <a:custGeom>
          <a:avLst/>
          <a:gdLst/>
          <a:ahLst/>
          <a:cxnLst/>
          <a:rect l="0" t="0" r="0" b="0"/>
          <a:pathLst>
            <a:path w="9662160">
              <a:moveTo>
                <a:pt x="9025794" y="0"/>
              </a:moveTo>
              <a:lnTo>
                <a:pt x="9661874" y="0"/>
              </a:lnTo>
            </a:path>
            <a:path w="9662160">
              <a:moveTo>
                <a:pt x="0" y="0"/>
              </a:moveTo>
              <a:lnTo>
                <a:pt x="1348454" y="0"/>
              </a:lnTo>
            </a:path>
            <a:path w="9662160">
              <a:moveTo>
                <a:pt x="6687311" y="0"/>
              </a:moveTo>
              <a:lnTo>
                <a:pt x="7602569" y="0"/>
              </a:lnTo>
            </a:path>
            <a:path w="9662160">
              <a:moveTo>
                <a:pt x="8403431" y="0"/>
              </a:moveTo>
              <a:lnTo>
                <a:pt x="9025794" y="0"/>
              </a:lnTo>
            </a:path>
            <a:path w="9662160">
              <a:moveTo>
                <a:pt x="5822442" y="0"/>
              </a:moveTo>
              <a:lnTo>
                <a:pt x="6687311" y="0"/>
              </a:lnTo>
            </a:path>
            <a:path w="9662160">
              <a:moveTo>
                <a:pt x="1348454" y="0"/>
              </a:moveTo>
              <a:lnTo>
                <a:pt x="2542794" y="0"/>
              </a:lnTo>
            </a:path>
            <a:path w="9662160">
              <a:moveTo>
                <a:pt x="2542794" y="0"/>
              </a:moveTo>
              <a:lnTo>
                <a:pt x="3750945" y="0"/>
              </a:lnTo>
            </a:path>
            <a:path w="9662160">
              <a:moveTo>
                <a:pt x="7602569" y="0"/>
              </a:moveTo>
              <a:lnTo>
                <a:pt x="8275320" y="0"/>
              </a:lnTo>
            </a:path>
            <a:path w="9662160">
              <a:moveTo>
                <a:pt x="8263128" y="0"/>
              </a:moveTo>
              <a:lnTo>
                <a:pt x="8339328" y="0"/>
              </a:lnTo>
            </a:path>
            <a:path w="9662160">
              <a:moveTo>
                <a:pt x="5021580" y="0"/>
              </a:moveTo>
              <a:lnTo>
                <a:pt x="5822442" y="0"/>
              </a:lnTo>
            </a:path>
            <a:path w="9662160">
              <a:moveTo>
                <a:pt x="3750945" y="0"/>
              </a:moveTo>
              <a:lnTo>
                <a:pt x="5021580" y="0"/>
              </a:lnTo>
            </a:path>
            <a:path w="9662160">
              <a:moveTo>
                <a:pt x="8339328" y="0"/>
              </a:moveTo>
              <a:lnTo>
                <a:pt x="8403431" y="0"/>
              </a:lnTo>
            </a:path>
          </a:pathLst>
        </a:custGeom>
        <a:ln w="4581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3"/>
  <sheetViews>
    <sheetView topLeftCell="A6" workbookViewId="0">
      <selection activeCell="O10" sqref="O10:AC10"/>
    </sheetView>
  </sheetViews>
  <sheetFormatPr defaultRowHeight="12.75" x14ac:dyDescent="0.2"/>
  <cols>
    <col min="1" max="1" width="14" customWidth="1"/>
    <col min="2" max="2" width="6.83203125" customWidth="1"/>
    <col min="3" max="3" width="8" customWidth="1"/>
    <col min="4" max="4" width="1.1640625" customWidth="1"/>
    <col min="5" max="5" width="5.83203125" customWidth="1"/>
    <col min="6" max="6" width="4.6640625" customWidth="1"/>
    <col min="7" max="7" width="14" customWidth="1"/>
    <col min="8" max="8" width="1.1640625" customWidth="1"/>
    <col min="9" max="9" width="2.1640625" customWidth="1"/>
    <col min="10" max="13" width="1.1640625" customWidth="1"/>
    <col min="14" max="14" width="4.6640625" customWidth="1"/>
    <col min="15" max="15" width="2.1640625" customWidth="1"/>
    <col min="16" max="17" width="1.1640625" customWidth="1"/>
    <col min="18" max="19" width="2.1640625" customWidth="1"/>
    <col min="20" max="20" width="10.5" customWidth="1"/>
    <col min="21" max="21" width="2.1640625" customWidth="1"/>
    <col min="22" max="22" width="6.83203125" customWidth="1"/>
    <col min="23" max="23" width="4.6640625" customWidth="1"/>
    <col min="24" max="24" width="3.33203125" customWidth="1"/>
    <col min="25" max="25" width="12.6640625" customWidth="1"/>
    <col min="26" max="26" width="3.33203125" customWidth="1"/>
    <col min="27" max="27" width="10.5" customWidth="1"/>
    <col min="28" max="28" width="1.1640625" customWidth="1"/>
    <col min="29" max="29" width="10.5" customWidth="1"/>
    <col min="30" max="30" width="6.83203125" customWidth="1"/>
    <col min="31" max="31" width="1.1640625" customWidth="1"/>
    <col min="32" max="32" width="2.1640625" customWidth="1"/>
    <col min="33" max="33" width="6.83203125" customWidth="1"/>
    <col min="34" max="34" width="3.33203125" customWidth="1"/>
    <col min="35" max="35" width="1.1640625" customWidth="1"/>
    <col min="36" max="36" width="2.1640625" customWidth="1"/>
    <col min="37" max="37" width="9.33203125" customWidth="1"/>
    <col min="38" max="38" width="5.83203125" customWidth="1"/>
  </cols>
  <sheetData>
    <row r="1" spans="1:38" ht="15" customHeight="1" x14ac:dyDescent="0.2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1"/>
    </row>
    <row r="2" spans="1:38" ht="18.95" customHeight="1" x14ac:dyDescent="0.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2"/>
      <c r="P2" s="78"/>
      <c r="Q2" s="78"/>
      <c r="R2" s="78"/>
      <c r="S2" s="78"/>
      <c r="T2" s="78"/>
      <c r="U2" s="78"/>
      <c r="V2" s="78"/>
      <c r="W2" s="78"/>
      <c r="X2" s="78"/>
      <c r="Y2" s="2"/>
      <c r="Z2" s="78"/>
      <c r="AA2" s="78"/>
      <c r="AB2" s="78"/>
      <c r="AC2" s="79" t="s">
        <v>1</v>
      </c>
      <c r="AD2" s="79"/>
      <c r="AE2" s="79"/>
      <c r="AF2" s="79"/>
      <c r="AG2" s="79"/>
      <c r="AH2" s="79"/>
      <c r="AI2" s="79"/>
      <c r="AJ2" s="79"/>
      <c r="AK2" s="79"/>
      <c r="AL2" s="79"/>
    </row>
    <row r="3" spans="1:38" ht="34.5" customHeight="1" x14ac:dyDescent="0.2">
      <c r="A3" s="80" t="s">
        <v>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1"/>
      <c r="Q3" s="81"/>
      <c r="R3" s="81"/>
      <c r="S3" s="81"/>
      <c r="T3" s="81"/>
      <c r="U3" s="81"/>
      <c r="V3" s="81"/>
      <c r="W3" s="81"/>
      <c r="X3" s="81"/>
      <c r="Y3" s="3"/>
      <c r="Z3" s="81"/>
      <c r="AA3" s="81"/>
      <c r="AB3" s="81"/>
      <c r="AC3" s="79"/>
      <c r="AD3" s="79"/>
      <c r="AE3" s="79"/>
      <c r="AF3" s="79"/>
      <c r="AG3" s="79"/>
      <c r="AH3" s="79"/>
      <c r="AI3" s="79"/>
      <c r="AJ3" s="79"/>
      <c r="AK3" s="79"/>
      <c r="AL3" s="79"/>
    </row>
    <row r="4" spans="1:38" ht="5.25" customHeight="1" x14ac:dyDescent="0.2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2"/>
      <c r="Q4" s="82"/>
      <c r="R4" s="82"/>
      <c r="S4" s="82"/>
      <c r="T4" s="82"/>
      <c r="U4" s="82"/>
      <c r="V4" s="82"/>
      <c r="W4" s="82"/>
      <c r="X4" s="82"/>
      <c r="Y4" s="1"/>
      <c r="Z4" s="82"/>
      <c r="AA4" s="82"/>
      <c r="AB4" s="82"/>
      <c r="AC4" s="1"/>
      <c r="AD4" s="82"/>
      <c r="AE4" s="82"/>
      <c r="AF4" s="82"/>
      <c r="AG4" s="82"/>
      <c r="AH4" s="82"/>
      <c r="AI4" s="82"/>
      <c r="AJ4" s="82"/>
      <c r="AK4" s="82"/>
      <c r="AL4" s="1"/>
    </row>
    <row r="5" spans="1:38" ht="40.5" customHeight="1" x14ac:dyDescent="0.2">
      <c r="A5" s="83" t="s">
        <v>3</v>
      </c>
      <c r="B5" s="83"/>
      <c r="C5" s="83"/>
      <c r="D5" s="83"/>
      <c r="E5" s="83"/>
      <c r="F5" s="83"/>
      <c r="G5" s="83"/>
      <c r="H5" s="83"/>
      <c r="I5" s="83"/>
      <c r="J5" s="83"/>
      <c r="K5" s="84" t="s">
        <v>4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5">
        <v>18671.830000000002</v>
      </c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</row>
    <row r="6" spans="1:38" ht="48" customHeight="1" x14ac:dyDescent="0.2">
      <c r="A6" s="86" t="s">
        <v>5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7" t="s">
        <v>6</v>
      </c>
      <c r="X6" s="87"/>
      <c r="Y6" s="87"/>
      <c r="Z6" s="88" t="s">
        <v>7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</row>
    <row r="7" spans="1:38" ht="44.45" customHeight="1" x14ac:dyDescent="0.2">
      <c r="A7" s="89" t="s">
        <v>8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</row>
    <row r="8" spans="1:38" ht="12.95" customHeight="1" x14ac:dyDescent="0.2">
      <c r="A8" s="82"/>
      <c r="B8" s="82"/>
      <c r="C8" s="82"/>
      <c r="D8" s="82"/>
      <c r="E8" s="82"/>
      <c r="F8" s="90" t="s">
        <v>9</v>
      </c>
      <c r="G8" s="90"/>
      <c r="H8" s="90"/>
      <c r="I8" s="90"/>
      <c r="J8" s="90"/>
      <c r="K8" s="90"/>
      <c r="L8" s="90"/>
      <c r="M8" s="90"/>
      <c r="N8" s="90"/>
      <c r="O8" s="91">
        <v>0</v>
      </c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82"/>
      <c r="AE8" s="82"/>
      <c r="AF8" s="82"/>
      <c r="AG8" s="82"/>
      <c r="AH8" s="82"/>
      <c r="AI8" s="82"/>
      <c r="AJ8" s="82"/>
      <c r="AK8" s="82"/>
      <c r="AL8" s="1"/>
    </row>
    <row r="9" spans="1:38" ht="12.95" customHeight="1" x14ac:dyDescent="0.2">
      <c r="A9" s="82"/>
      <c r="B9" s="82"/>
      <c r="C9" s="82"/>
      <c r="D9" s="82"/>
      <c r="E9" s="82"/>
      <c r="F9" s="92" t="s">
        <v>10</v>
      </c>
      <c r="G9" s="92"/>
      <c r="H9" s="92"/>
      <c r="I9" s="92"/>
      <c r="J9" s="92"/>
      <c r="K9" s="92"/>
      <c r="L9" s="92"/>
      <c r="M9" s="92"/>
      <c r="N9" s="92"/>
      <c r="O9" s="93">
        <v>18671.830000000002</v>
      </c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82"/>
      <c r="AE9" s="82"/>
      <c r="AF9" s="82"/>
      <c r="AG9" s="82"/>
      <c r="AH9" s="82"/>
      <c r="AI9" s="82"/>
      <c r="AJ9" s="82"/>
      <c r="AK9" s="82"/>
      <c r="AL9" s="1"/>
    </row>
    <row r="10" spans="1:38" ht="12.95" customHeight="1" x14ac:dyDescent="0.2">
      <c r="A10" s="82"/>
      <c r="B10" s="82"/>
      <c r="C10" s="82"/>
      <c r="D10" s="82"/>
      <c r="E10" s="82"/>
      <c r="F10" s="90" t="s">
        <v>11</v>
      </c>
      <c r="G10" s="90"/>
      <c r="H10" s="90"/>
      <c r="I10" s="90"/>
      <c r="J10" s="90"/>
      <c r="K10" s="90"/>
      <c r="L10" s="90"/>
      <c r="M10" s="90"/>
      <c r="N10" s="90"/>
      <c r="O10" s="94">
        <v>1480</v>
      </c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82"/>
      <c r="AE10" s="82"/>
      <c r="AF10" s="82"/>
      <c r="AG10" s="82"/>
      <c r="AH10" s="82"/>
      <c r="AI10" s="82"/>
      <c r="AJ10" s="82"/>
      <c r="AK10" s="82"/>
      <c r="AL10" s="1"/>
    </row>
    <row r="11" spans="1:38" ht="12.95" customHeight="1" x14ac:dyDescent="0.2">
      <c r="A11" s="82"/>
      <c r="B11" s="82"/>
      <c r="C11" s="82"/>
      <c r="D11" s="82"/>
      <c r="E11" s="82"/>
      <c r="F11" s="92" t="s">
        <v>12</v>
      </c>
      <c r="G11" s="92"/>
      <c r="H11" s="92"/>
      <c r="I11" s="92"/>
      <c r="J11" s="92"/>
      <c r="K11" s="92"/>
      <c r="L11" s="92"/>
      <c r="M11" s="92"/>
      <c r="N11" s="92"/>
      <c r="O11" s="95">
        <v>0</v>
      </c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82"/>
      <c r="AE11" s="82"/>
      <c r="AF11" s="82"/>
      <c r="AG11" s="82"/>
      <c r="AH11" s="82"/>
      <c r="AI11" s="82"/>
      <c r="AJ11" s="82"/>
      <c r="AK11" s="82"/>
      <c r="AL11" s="1"/>
    </row>
    <row r="12" spans="1:38" ht="24" customHeight="1" x14ac:dyDescent="0.2">
      <c r="A12" s="78"/>
      <c r="B12" s="78"/>
      <c r="C12" s="78"/>
      <c r="D12" s="78"/>
      <c r="E12" s="78"/>
      <c r="F12" s="90" t="s">
        <v>13</v>
      </c>
      <c r="G12" s="90"/>
      <c r="H12" s="90"/>
      <c r="I12" s="90"/>
      <c r="J12" s="90"/>
      <c r="K12" s="90"/>
      <c r="L12" s="90"/>
      <c r="M12" s="90"/>
      <c r="N12" s="90"/>
      <c r="O12" s="96">
        <v>20151.830000000002</v>
      </c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78"/>
      <c r="AE12" s="78"/>
      <c r="AF12" s="78"/>
      <c r="AG12" s="78"/>
      <c r="AH12" s="78"/>
      <c r="AI12" s="78"/>
      <c r="AJ12" s="78"/>
      <c r="AK12" s="78"/>
      <c r="AL12" s="2"/>
    </row>
    <row r="13" spans="1:38" ht="24" customHeight="1" x14ac:dyDescent="0.2">
      <c r="A13" s="78"/>
      <c r="B13" s="78"/>
      <c r="C13" s="78"/>
      <c r="D13" s="78"/>
      <c r="E13" s="78"/>
      <c r="F13" s="97" t="s">
        <v>14</v>
      </c>
      <c r="G13" s="97"/>
      <c r="H13" s="97"/>
      <c r="I13" s="97"/>
      <c r="J13" s="97"/>
      <c r="K13" s="97"/>
      <c r="L13" s="97"/>
      <c r="M13" s="97"/>
      <c r="N13" s="97"/>
      <c r="O13" s="98">
        <v>20151.830000000002</v>
      </c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78"/>
      <c r="AE13" s="78"/>
      <c r="AF13" s="78"/>
      <c r="AG13" s="78"/>
      <c r="AH13" s="78"/>
      <c r="AI13" s="78"/>
      <c r="AJ13" s="78"/>
      <c r="AK13" s="78"/>
      <c r="AL13" s="2"/>
    </row>
    <row r="14" spans="1:38" ht="12.75" customHeight="1" x14ac:dyDescent="0.2">
      <c r="A14" s="82"/>
      <c r="B14" s="82"/>
      <c r="C14" s="82"/>
      <c r="D14" s="82"/>
      <c r="E14" s="82"/>
      <c r="F14" s="90" t="s">
        <v>15</v>
      </c>
      <c r="G14" s="90"/>
      <c r="H14" s="90"/>
      <c r="I14" s="90"/>
      <c r="J14" s="90"/>
      <c r="K14" s="90"/>
      <c r="L14" s="90"/>
      <c r="M14" s="90"/>
      <c r="N14" s="90"/>
      <c r="O14" s="91">
        <v>0</v>
      </c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82"/>
      <c r="AE14" s="82"/>
      <c r="AF14" s="82"/>
      <c r="AG14" s="82"/>
      <c r="AH14" s="82"/>
      <c r="AI14" s="82"/>
      <c r="AJ14" s="82"/>
      <c r="AK14" s="82"/>
      <c r="AL14" s="1"/>
    </row>
    <row r="15" spans="1:38" ht="17.45" customHeight="1" x14ac:dyDescent="0.2">
      <c r="A15" s="99" t="s">
        <v>16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2"/>
    </row>
    <row r="16" spans="1:38" ht="13.5" customHeight="1" x14ac:dyDescent="0.2">
      <c r="A16" s="100" t="s">
        <v>17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"/>
    </row>
    <row r="17" spans="1:38" ht="25.5" customHeight="1" x14ac:dyDescent="0.2">
      <c r="A17" s="4" t="s">
        <v>18</v>
      </c>
      <c r="B17" s="101" t="s">
        <v>19</v>
      </c>
      <c r="C17" s="101"/>
      <c r="D17" s="101"/>
      <c r="E17" s="101" t="s">
        <v>20</v>
      </c>
      <c r="F17" s="101"/>
      <c r="G17" s="101"/>
      <c r="H17" s="102" t="s">
        <v>21</v>
      </c>
      <c r="I17" s="102"/>
      <c r="J17" s="102"/>
      <c r="K17" s="102"/>
      <c r="L17" s="102"/>
      <c r="M17" s="102"/>
      <c r="N17" s="102"/>
      <c r="O17" s="103" t="s">
        <v>22</v>
      </c>
      <c r="P17" s="103"/>
      <c r="Q17" s="103"/>
      <c r="R17" s="103"/>
      <c r="S17" s="103"/>
      <c r="T17" s="103" t="s">
        <v>23</v>
      </c>
      <c r="U17" s="103"/>
      <c r="V17" s="101" t="s">
        <v>24</v>
      </c>
      <c r="W17" s="101"/>
      <c r="X17" s="101"/>
      <c r="Y17" s="101" t="s">
        <v>25</v>
      </c>
      <c r="Z17" s="101"/>
      <c r="AA17" s="5" t="s">
        <v>26</v>
      </c>
      <c r="AB17" s="103" t="s">
        <v>27</v>
      </c>
      <c r="AC17" s="103"/>
      <c r="AD17" s="103"/>
      <c r="AE17" s="103"/>
      <c r="AF17" s="104" t="s">
        <v>28</v>
      </c>
      <c r="AG17" s="104"/>
      <c r="AH17" s="105" t="s">
        <v>29</v>
      </c>
      <c r="AI17" s="105"/>
      <c r="AJ17" s="105"/>
      <c r="AK17" s="105"/>
      <c r="AL17" s="2"/>
    </row>
    <row r="18" spans="1:38" ht="26.1" customHeight="1" x14ac:dyDescent="0.2">
      <c r="A18" s="7">
        <v>445324</v>
      </c>
      <c r="B18" s="106">
        <v>8325282</v>
      </c>
      <c r="C18" s="106"/>
      <c r="D18" s="106"/>
      <c r="E18" s="107" t="s">
        <v>30</v>
      </c>
      <c r="F18" s="107"/>
      <c r="G18" s="107"/>
      <c r="H18" s="108" t="s">
        <v>31</v>
      </c>
      <c r="I18" s="108"/>
      <c r="J18" s="108"/>
      <c r="K18" s="108"/>
      <c r="L18" s="108"/>
      <c r="M18" s="108"/>
      <c r="N18" s="108"/>
      <c r="O18" s="109" t="s">
        <v>32</v>
      </c>
      <c r="P18" s="109"/>
      <c r="Q18" s="109"/>
      <c r="R18" s="109"/>
      <c r="S18" s="109"/>
      <c r="T18" s="110">
        <v>45658</v>
      </c>
      <c r="U18" s="110"/>
      <c r="V18" s="111"/>
      <c r="W18" s="111"/>
      <c r="X18" s="111"/>
      <c r="Y18" s="111"/>
      <c r="Z18" s="111"/>
      <c r="AA18" s="8" t="s">
        <v>33</v>
      </c>
      <c r="AB18" s="112" t="s">
        <v>34</v>
      </c>
      <c r="AC18" s="112"/>
      <c r="AD18" s="112"/>
      <c r="AE18" s="112"/>
      <c r="AF18" s="109" t="s">
        <v>35</v>
      </c>
      <c r="AG18" s="109"/>
      <c r="AH18" s="113">
        <v>105</v>
      </c>
      <c r="AI18" s="113"/>
      <c r="AJ18" s="113"/>
      <c r="AK18" s="113"/>
      <c r="AL18" s="2"/>
    </row>
    <row r="19" spans="1:38" ht="18.600000000000001" customHeight="1" x14ac:dyDescent="0.2">
      <c r="A19" s="2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81" t="s">
        <v>36</v>
      </c>
      <c r="T19" s="81"/>
      <c r="U19" s="81"/>
      <c r="V19" s="81"/>
      <c r="W19" s="81"/>
      <c r="X19" s="2"/>
      <c r="Y19" s="78"/>
      <c r="Z19" s="78"/>
      <c r="AA19" s="2"/>
      <c r="AB19" s="78"/>
      <c r="AC19" s="78"/>
      <c r="AD19" s="78"/>
      <c r="AE19" s="78"/>
      <c r="AF19" s="78"/>
      <c r="AG19" s="78"/>
      <c r="AH19" s="78"/>
      <c r="AI19" s="78"/>
      <c r="AJ19" s="81" t="s">
        <v>37</v>
      </c>
      <c r="AK19" s="81"/>
      <c r="AL19" s="81"/>
    </row>
    <row r="20" spans="1:38" ht="12" customHeight="1" x14ac:dyDescent="0.2">
      <c r="A20" s="114" t="s">
        <v>38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82"/>
      <c r="R20" s="82"/>
      <c r="S20" s="81"/>
      <c r="T20" s="81"/>
      <c r="U20" s="81"/>
      <c r="V20" s="81"/>
      <c r="W20" s="81"/>
      <c r="X20" s="1"/>
      <c r="Y20" s="82"/>
      <c r="Z20" s="82"/>
      <c r="AA20" s="1"/>
      <c r="AB20" s="82"/>
      <c r="AC20" s="82"/>
      <c r="AD20" s="82"/>
      <c r="AE20" s="82"/>
      <c r="AF20" s="82"/>
      <c r="AG20" s="82"/>
      <c r="AH20" s="82"/>
      <c r="AI20" s="82"/>
      <c r="AJ20" s="81"/>
      <c r="AK20" s="81"/>
      <c r="AL20" s="81"/>
    </row>
    <row r="21" spans="1:38" ht="6" customHeight="1" x14ac:dyDescent="0.2">
      <c r="A21" s="1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1"/>
      <c r="T21" s="82"/>
      <c r="U21" s="82"/>
      <c r="V21" s="82"/>
      <c r="W21" s="82"/>
      <c r="X21" s="1"/>
      <c r="Y21" s="82"/>
      <c r="Z21" s="82"/>
      <c r="AA21" s="1"/>
      <c r="AB21" s="82"/>
      <c r="AC21" s="82"/>
      <c r="AD21" s="82"/>
      <c r="AE21" s="82"/>
      <c r="AF21" s="82"/>
      <c r="AG21" s="82"/>
      <c r="AH21" s="82"/>
      <c r="AI21" s="82"/>
      <c r="AJ21" s="81"/>
      <c r="AK21" s="81"/>
      <c r="AL21" s="81"/>
    </row>
    <row r="22" spans="1:38" ht="24" customHeight="1" x14ac:dyDescent="0.2">
      <c r="A22" s="9" t="s">
        <v>39</v>
      </c>
      <c r="B22" s="115" t="s">
        <v>40</v>
      </c>
      <c r="C22" s="115"/>
      <c r="D22" s="115"/>
      <c r="E22" s="115" t="s">
        <v>41</v>
      </c>
      <c r="F22" s="115"/>
      <c r="G22" s="115"/>
      <c r="H22" s="116" t="s">
        <v>42</v>
      </c>
      <c r="I22" s="116"/>
      <c r="J22" s="116"/>
      <c r="K22" s="116"/>
      <c r="L22" s="116"/>
      <c r="M22" s="116"/>
      <c r="N22" s="116"/>
      <c r="O22" s="117" t="s">
        <v>43</v>
      </c>
      <c r="P22" s="117"/>
      <c r="Q22" s="117"/>
      <c r="R22" s="117"/>
      <c r="S22" s="117"/>
      <c r="T22" s="117" t="s">
        <v>44</v>
      </c>
      <c r="U22" s="117"/>
      <c r="V22" s="115" t="s">
        <v>45</v>
      </c>
      <c r="W22" s="115"/>
      <c r="X22" s="115"/>
      <c r="Y22" s="115" t="s">
        <v>46</v>
      </c>
      <c r="Z22" s="115"/>
      <c r="AA22" s="11" t="s">
        <v>47</v>
      </c>
      <c r="AB22" s="117" t="s">
        <v>48</v>
      </c>
      <c r="AC22" s="117"/>
      <c r="AD22" s="117"/>
      <c r="AE22" s="117"/>
      <c r="AF22" s="118" t="s">
        <v>49</v>
      </c>
      <c r="AG22" s="118"/>
      <c r="AH22" s="117" t="s">
        <v>50</v>
      </c>
      <c r="AI22" s="117"/>
      <c r="AJ22" s="117"/>
      <c r="AK22" s="117"/>
      <c r="AL22" s="2"/>
    </row>
    <row r="23" spans="1:38" ht="5.25" customHeight="1" x14ac:dyDescent="0.2">
      <c r="A23" s="12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2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"/>
    </row>
    <row r="24" spans="1:38" ht="12.75" customHeight="1" x14ac:dyDescent="0.2">
      <c r="A24" s="13">
        <v>443223</v>
      </c>
      <c r="B24" s="120">
        <v>2158366</v>
      </c>
      <c r="C24" s="120"/>
      <c r="D24" s="120"/>
      <c r="E24" s="121" t="s">
        <v>51</v>
      </c>
      <c r="F24" s="121"/>
      <c r="G24" s="121"/>
      <c r="H24" s="122" t="s">
        <v>52</v>
      </c>
      <c r="I24" s="122"/>
      <c r="J24" s="122"/>
      <c r="K24" s="122"/>
      <c r="L24" s="122"/>
      <c r="M24" s="122"/>
      <c r="N24" s="122"/>
      <c r="O24" s="123" t="s">
        <v>53</v>
      </c>
      <c r="P24" s="123"/>
      <c r="Q24" s="123"/>
      <c r="R24" s="123"/>
      <c r="S24" s="123"/>
      <c r="T24" s="124">
        <v>45658</v>
      </c>
      <c r="U24" s="124"/>
      <c r="V24" s="125"/>
      <c r="W24" s="125"/>
      <c r="X24" s="125"/>
      <c r="Y24" s="125"/>
      <c r="Z24" s="125"/>
      <c r="AA24" s="14" t="s">
        <v>54</v>
      </c>
      <c r="AB24" s="123" t="s">
        <v>55</v>
      </c>
      <c r="AC24" s="123"/>
      <c r="AD24" s="123"/>
      <c r="AE24" s="123"/>
      <c r="AF24" s="123" t="s">
        <v>56</v>
      </c>
      <c r="AG24" s="123"/>
      <c r="AH24" s="126">
        <v>105</v>
      </c>
      <c r="AI24" s="126"/>
      <c r="AJ24" s="126"/>
      <c r="AK24" s="126"/>
      <c r="AL24" s="1"/>
    </row>
    <row r="25" spans="1:38" ht="21.95" customHeight="1" x14ac:dyDescent="0.2">
      <c r="A25" s="15">
        <v>439384</v>
      </c>
      <c r="B25" s="127">
        <v>2158366</v>
      </c>
      <c r="C25" s="127"/>
      <c r="D25" s="127"/>
      <c r="E25" s="128" t="s">
        <v>57</v>
      </c>
      <c r="F25" s="128"/>
      <c r="G25" s="128"/>
      <c r="H25" s="129" t="s">
        <v>52</v>
      </c>
      <c r="I25" s="129"/>
      <c r="J25" s="129"/>
      <c r="K25" s="129"/>
      <c r="L25" s="129"/>
      <c r="M25" s="129"/>
      <c r="N25" s="129"/>
      <c r="O25" s="130" t="s">
        <v>53</v>
      </c>
      <c r="P25" s="130"/>
      <c r="Q25" s="130"/>
      <c r="R25" s="130"/>
      <c r="S25" s="130"/>
      <c r="T25" s="131">
        <v>45658</v>
      </c>
      <c r="U25" s="131"/>
      <c r="V25" s="78"/>
      <c r="W25" s="78"/>
      <c r="X25" s="78"/>
      <c r="Y25" s="78"/>
      <c r="Z25" s="78"/>
      <c r="AA25" s="16" t="s">
        <v>54</v>
      </c>
      <c r="AB25" s="130" t="s">
        <v>58</v>
      </c>
      <c r="AC25" s="130"/>
      <c r="AD25" s="130"/>
      <c r="AE25" s="130"/>
      <c r="AF25" s="130" t="s">
        <v>59</v>
      </c>
      <c r="AG25" s="130"/>
      <c r="AH25" s="132">
        <v>105</v>
      </c>
      <c r="AI25" s="132"/>
      <c r="AJ25" s="132"/>
      <c r="AK25" s="132"/>
      <c r="AL25" s="2"/>
    </row>
    <row r="26" spans="1:38" ht="12.75" customHeight="1" x14ac:dyDescent="0.2">
      <c r="A26" s="13">
        <v>439383</v>
      </c>
      <c r="B26" s="120">
        <v>2158366</v>
      </c>
      <c r="C26" s="120"/>
      <c r="D26" s="120"/>
      <c r="E26" s="121" t="s">
        <v>60</v>
      </c>
      <c r="F26" s="121"/>
      <c r="G26" s="121"/>
      <c r="H26" s="122" t="s">
        <v>52</v>
      </c>
      <c r="I26" s="122"/>
      <c r="J26" s="122"/>
      <c r="K26" s="122"/>
      <c r="L26" s="122"/>
      <c r="M26" s="122"/>
      <c r="N26" s="122"/>
      <c r="O26" s="123" t="s">
        <v>53</v>
      </c>
      <c r="P26" s="123"/>
      <c r="Q26" s="123"/>
      <c r="R26" s="123"/>
      <c r="S26" s="123"/>
      <c r="T26" s="124">
        <v>45658</v>
      </c>
      <c r="U26" s="124"/>
      <c r="V26" s="125"/>
      <c r="W26" s="125"/>
      <c r="X26" s="125"/>
      <c r="Y26" s="125"/>
      <c r="Z26" s="125"/>
      <c r="AA26" s="14" t="s">
        <v>61</v>
      </c>
      <c r="AB26" s="123" t="s">
        <v>58</v>
      </c>
      <c r="AC26" s="123"/>
      <c r="AD26" s="123"/>
      <c r="AE26" s="123"/>
      <c r="AF26" s="123" t="s">
        <v>59</v>
      </c>
      <c r="AG26" s="123"/>
      <c r="AH26" s="126">
        <v>105</v>
      </c>
      <c r="AI26" s="126"/>
      <c r="AJ26" s="126"/>
      <c r="AK26" s="126"/>
      <c r="AL26" s="1"/>
    </row>
    <row r="27" spans="1:38" ht="21.95" customHeight="1" x14ac:dyDescent="0.2">
      <c r="A27" s="15">
        <v>444121</v>
      </c>
      <c r="B27" s="127">
        <v>2158366</v>
      </c>
      <c r="C27" s="127"/>
      <c r="D27" s="127"/>
      <c r="E27" s="128" t="s">
        <v>62</v>
      </c>
      <c r="F27" s="128"/>
      <c r="G27" s="128"/>
      <c r="H27" s="129" t="s">
        <v>52</v>
      </c>
      <c r="I27" s="129"/>
      <c r="J27" s="129"/>
      <c r="K27" s="129"/>
      <c r="L27" s="129"/>
      <c r="M27" s="129"/>
      <c r="N27" s="129"/>
      <c r="O27" s="130" t="s">
        <v>53</v>
      </c>
      <c r="P27" s="130"/>
      <c r="Q27" s="130"/>
      <c r="R27" s="130"/>
      <c r="S27" s="130"/>
      <c r="T27" s="133">
        <v>45658</v>
      </c>
      <c r="U27" s="133"/>
      <c r="V27" s="78"/>
      <c r="W27" s="78"/>
      <c r="X27" s="78"/>
      <c r="Y27" s="78"/>
      <c r="Z27" s="78"/>
      <c r="AA27" s="16" t="s">
        <v>54</v>
      </c>
      <c r="AB27" s="130" t="s">
        <v>55</v>
      </c>
      <c r="AC27" s="130"/>
      <c r="AD27" s="130"/>
      <c r="AE27" s="130"/>
      <c r="AF27" s="130" t="s">
        <v>56</v>
      </c>
      <c r="AG27" s="130"/>
      <c r="AH27" s="132">
        <v>105</v>
      </c>
      <c r="AI27" s="132"/>
      <c r="AJ27" s="132"/>
      <c r="AK27" s="132"/>
      <c r="AL27" s="2"/>
    </row>
    <row r="28" spans="1:38" ht="12.75" customHeight="1" x14ac:dyDescent="0.2">
      <c r="A28" s="13">
        <v>442876</v>
      </c>
      <c r="B28" s="120">
        <v>2158366</v>
      </c>
      <c r="C28" s="120"/>
      <c r="D28" s="120"/>
      <c r="E28" s="121" t="s">
        <v>63</v>
      </c>
      <c r="F28" s="121"/>
      <c r="G28" s="121"/>
      <c r="H28" s="122" t="s">
        <v>52</v>
      </c>
      <c r="I28" s="122"/>
      <c r="J28" s="122"/>
      <c r="K28" s="122"/>
      <c r="L28" s="122"/>
      <c r="M28" s="122"/>
      <c r="N28" s="122"/>
      <c r="O28" s="123" t="s">
        <v>53</v>
      </c>
      <c r="P28" s="123"/>
      <c r="Q28" s="123"/>
      <c r="R28" s="123"/>
      <c r="S28" s="123"/>
      <c r="T28" s="124">
        <v>45658</v>
      </c>
      <c r="U28" s="124"/>
      <c r="V28" s="125"/>
      <c r="W28" s="125"/>
      <c r="X28" s="125"/>
      <c r="Y28" s="125"/>
      <c r="Z28" s="125"/>
      <c r="AA28" s="14" t="s">
        <v>54</v>
      </c>
      <c r="AB28" s="123" t="s">
        <v>55</v>
      </c>
      <c r="AC28" s="123"/>
      <c r="AD28" s="123"/>
      <c r="AE28" s="123"/>
      <c r="AF28" s="123" t="s">
        <v>56</v>
      </c>
      <c r="AG28" s="123"/>
      <c r="AH28" s="126">
        <v>105</v>
      </c>
      <c r="AI28" s="126"/>
      <c r="AJ28" s="126"/>
      <c r="AK28" s="126"/>
      <c r="AL28" s="1"/>
    </row>
    <row r="29" spans="1:38" ht="27.6" customHeight="1" x14ac:dyDescent="0.2">
      <c r="A29" s="15">
        <v>445341</v>
      </c>
      <c r="B29" s="127">
        <v>2158366</v>
      </c>
      <c r="C29" s="127"/>
      <c r="D29" s="127"/>
      <c r="E29" s="128" t="s">
        <v>64</v>
      </c>
      <c r="F29" s="128"/>
      <c r="G29" s="128"/>
      <c r="H29" s="129" t="s">
        <v>52</v>
      </c>
      <c r="I29" s="129"/>
      <c r="J29" s="129"/>
      <c r="K29" s="129"/>
      <c r="L29" s="129"/>
      <c r="M29" s="129"/>
      <c r="N29" s="129"/>
      <c r="O29" s="130" t="s">
        <v>65</v>
      </c>
      <c r="P29" s="130"/>
      <c r="Q29" s="130"/>
      <c r="R29" s="130"/>
      <c r="S29" s="130"/>
      <c r="T29" s="133">
        <v>45658</v>
      </c>
      <c r="U29" s="133"/>
      <c r="V29" s="78"/>
      <c r="W29" s="78"/>
      <c r="X29" s="78"/>
      <c r="Y29" s="78"/>
      <c r="Z29" s="78"/>
      <c r="AA29" s="16" t="s">
        <v>54</v>
      </c>
      <c r="AB29" s="130" t="s">
        <v>66</v>
      </c>
      <c r="AC29" s="130"/>
      <c r="AD29" s="130"/>
      <c r="AE29" s="130"/>
      <c r="AF29" s="130" t="s">
        <v>56</v>
      </c>
      <c r="AG29" s="130"/>
      <c r="AH29" s="132">
        <v>210</v>
      </c>
      <c r="AI29" s="132"/>
      <c r="AJ29" s="132"/>
      <c r="AK29" s="132"/>
      <c r="AL29" s="2"/>
    </row>
    <row r="30" spans="1:38" ht="32.25" customHeight="1" x14ac:dyDescent="0.2">
      <c r="A30" s="134" t="s">
        <v>67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</row>
    <row r="31" spans="1:38" ht="25.5" customHeight="1" x14ac:dyDescent="0.2">
      <c r="A31" s="17" t="s">
        <v>68</v>
      </c>
      <c r="B31" s="135" t="s">
        <v>19</v>
      </c>
      <c r="C31" s="135"/>
      <c r="D31" s="135"/>
      <c r="E31" s="101" t="s">
        <v>20</v>
      </c>
      <c r="F31" s="101"/>
      <c r="G31" s="101"/>
      <c r="H31" s="102" t="s">
        <v>21</v>
      </c>
      <c r="I31" s="102"/>
      <c r="J31" s="102"/>
      <c r="K31" s="102"/>
      <c r="L31" s="102"/>
      <c r="M31" s="102"/>
      <c r="N31" s="102"/>
      <c r="O31" s="103" t="s">
        <v>22</v>
      </c>
      <c r="P31" s="103"/>
      <c r="Q31" s="103"/>
      <c r="R31" s="103"/>
      <c r="S31" s="103"/>
      <c r="T31" s="103" t="s">
        <v>23</v>
      </c>
      <c r="U31" s="103"/>
      <c r="V31" s="101" t="s">
        <v>24</v>
      </c>
      <c r="W31" s="101"/>
      <c r="X31" s="101"/>
      <c r="Y31" s="136" t="s">
        <v>69</v>
      </c>
      <c r="Z31" s="136"/>
      <c r="AA31" s="6" t="s">
        <v>70</v>
      </c>
      <c r="AB31" s="105" t="s">
        <v>71</v>
      </c>
      <c r="AC31" s="105"/>
      <c r="AD31" s="105"/>
      <c r="AE31" s="105"/>
      <c r="AF31" s="104" t="s">
        <v>28</v>
      </c>
      <c r="AG31" s="104"/>
      <c r="AH31" s="105" t="s">
        <v>29</v>
      </c>
      <c r="AI31" s="105"/>
      <c r="AJ31" s="105"/>
      <c r="AK31" s="105"/>
      <c r="AL31" s="2"/>
    </row>
    <row r="32" spans="1:38" ht="5.25" customHeight="1" x14ac:dyDescent="0.2">
      <c r="A32" s="12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2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"/>
    </row>
    <row r="33" spans="1:38" ht="12.6" customHeight="1" x14ac:dyDescent="0.2">
      <c r="A33" s="19">
        <v>445359</v>
      </c>
      <c r="B33" s="137">
        <v>19681796</v>
      </c>
      <c r="C33" s="137"/>
      <c r="D33" s="137"/>
      <c r="E33" s="121" t="s">
        <v>72</v>
      </c>
      <c r="F33" s="121"/>
      <c r="G33" s="121"/>
      <c r="H33" s="138" t="s">
        <v>73</v>
      </c>
      <c r="I33" s="138"/>
      <c r="J33" s="138"/>
      <c r="K33" s="138"/>
      <c r="L33" s="138"/>
      <c r="M33" s="138"/>
      <c r="N33" s="138"/>
      <c r="O33" s="139" t="s">
        <v>32</v>
      </c>
      <c r="P33" s="139"/>
      <c r="Q33" s="139"/>
      <c r="R33" s="139"/>
      <c r="S33" s="139"/>
      <c r="T33" s="140">
        <v>45658</v>
      </c>
      <c r="U33" s="140"/>
      <c r="V33" s="125"/>
      <c r="W33" s="125"/>
      <c r="X33" s="125"/>
      <c r="Y33" s="125"/>
      <c r="Z33" s="125"/>
      <c r="AA33" s="14" t="s">
        <v>74</v>
      </c>
      <c r="AB33" s="141" t="s">
        <v>75</v>
      </c>
      <c r="AC33" s="141"/>
      <c r="AD33" s="141"/>
      <c r="AE33" s="141"/>
      <c r="AF33" s="123" t="s">
        <v>76</v>
      </c>
      <c r="AG33" s="123"/>
      <c r="AH33" s="142">
        <v>105</v>
      </c>
      <c r="AI33" s="142"/>
      <c r="AJ33" s="142"/>
      <c r="AK33" s="142"/>
      <c r="AL33" s="1"/>
    </row>
    <row r="34" spans="1:38" ht="26.85" customHeight="1" x14ac:dyDescent="0.2">
      <c r="A34" s="2"/>
      <c r="B34" s="78"/>
      <c r="C34" s="78"/>
      <c r="D34" s="78"/>
      <c r="E34" s="78"/>
      <c r="F34" s="78"/>
      <c r="G34" s="78"/>
      <c r="H34" s="2"/>
      <c r="I34" s="78"/>
      <c r="J34" s="78"/>
      <c r="K34" s="78"/>
      <c r="L34" s="78"/>
      <c r="M34" s="78"/>
      <c r="N34" s="78"/>
      <c r="O34" s="2"/>
      <c r="P34" s="78"/>
      <c r="Q34" s="78"/>
      <c r="R34" s="78"/>
      <c r="S34" s="143" t="s">
        <v>77</v>
      </c>
      <c r="T34" s="143"/>
      <c r="U34" s="143"/>
      <c r="V34" s="143"/>
      <c r="W34" s="143"/>
      <c r="X34" s="2"/>
      <c r="Y34" s="78"/>
      <c r="Z34" s="78"/>
      <c r="AA34" s="2"/>
      <c r="AB34" s="78"/>
      <c r="AC34" s="78"/>
      <c r="AD34" s="78"/>
      <c r="AE34" s="78"/>
      <c r="AF34" s="78"/>
      <c r="AG34" s="78"/>
      <c r="AH34" s="78"/>
      <c r="AI34" s="78"/>
      <c r="AJ34" s="81" t="s">
        <v>37</v>
      </c>
      <c r="AK34" s="81"/>
      <c r="AL34" s="81"/>
    </row>
    <row r="35" spans="1:38" ht="12.75" customHeight="1" x14ac:dyDescent="0.2">
      <c r="A35" s="144" t="s">
        <v>78</v>
      </c>
      <c r="B35" s="144"/>
      <c r="C35" s="144"/>
      <c r="D35" s="144"/>
      <c r="E35" s="144"/>
      <c r="F35" s="144"/>
      <c r="G35" s="144"/>
      <c r="H35" s="144"/>
      <c r="I35" s="78"/>
      <c r="J35" s="78"/>
      <c r="K35" s="78"/>
      <c r="L35" s="145">
        <v>19681796</v>
      </c>
      <c r="M35" s="145"/>
      <c r="N35" s="145"/>
      <c r="O35" s="145"/>
      <c r="P35" s="78"/>
      <c r="Q35" s="78"/>
      <c r="R35" s="78"/>
      <c r="S35" s="143"/>
      <c r="T35" s="143"/>
      <c r="U35" s="143"/>
      <c r="V35" s="143"/>
      <c r="W35" s="143"/>
      <c r="X35" s="2"/>
      <c r="Y35" s="78"/>
      <c r="Z35" s="78"/>
      <c r="AA35" s="2"/>
      <c r="AB35" s="78"/>
      <c r="AC35" s="78"/>
      <c r="AD35" s="78"/>
      <c r="AE35" s="78"/>
      <c r="AF35" s="78"/>
      <c r="AG35" s="78"/>
      <c r="AH35" s="78"/>
      <c r="AI35" s="78"/>
      <c r="AJ35" s="81"/>
      <c r="AK35" s="81"/>
      <c r="AL35" s="81"/>
    </row>
    <row r="36" spans="1:38" ht="5.45" customHeight="1" x14ac:dyDescent="0.2">
      <c r="A36" s="1"/>
      <c r="B36" s="82"/>
      <c r="C36" s="82"/>
      <c r="D36" s="82"/>
      <c r="E36" s="82"/>
      <c r="F36" s="82"/>
      <c r="G36" s="82"/>
      <c r="H36" s="1"/>
      <c r="I36" s="82"/>
      <c r="J36" s="82"/>
      <c r="K36" s="82"/>
      <c r="L36" s="82"/>
      <c r="M36" s="82"/>
      <c r="N36" s="82"/>
      <c r="O36" s="1"/>
      <c r="P36" s="82"/>
      <c r="Q36" s="82"/>
      <c r="R36" s="82"/>
      <c r="S36" s="1"/>
      <c r="T36" s="82"/>
      <c r="U36" s="82"/>
      <c r="V36" s="82"/>
      <c r="W36" s="82"/>
      <c r="X36" s="1"/>
      <c r="Y36" s="82"/>
      <c r="Z36" s="82"/>
      <c r="AA36" s="1"/>
      <c r="AB36" s="82"/>
      <c r="AC36" s="82"/>
      <c r="AD36" s="82"/>
      <c r="AE36" s="82"/>
      <c r="AF36" s="82"/>
      <c r="AG36" s="82"/>
      <c r="AH36" s="82"/>
      <c r="AI36" s="82"/>
      <c r="AJ36" s="81"/>
      <c r="AK36" s="81"/>
      <c r="AL36" s="81"/>
    </row>
    <row r="37" spans="1:38" ht="24" customHeight="1" x14ac:dyDescent="0.2">
      <c r="A37" s="17" t="s">
        <v>79</v>
      </c>
      <c r="B37" s="115" t="s">
        <v>80</v>
      </c>
      <c r="C37" s="115"/>
      <c r="D37" s="115"/>
      <c r="E37" s="115" t="s">
        <v>81</v>
      </c>
      <c r="F37" s="115"/>
      <c r="G37" s="115"/>
      <c r="H37" s="116" t="s">
        <v>82</v>
      </c>
      <c r="I37" s="116"/>
      <c r="J37" s="116"/>
      <c r="K37" s="116"/>
      <c r="L37" s="116"/>
      <c r="M37" s="116"/>
      <c r="N37" s="116"/>
      <c r="O37" s="117" t="s">
        <v>83</v>
      </c>
      <c r="P37" s="117"/>
      <c r="Q37" s="117"/>
      <c r="R37" s="117"/>
      <c r="S37" s="117"/>
      <c r="T37" s="117" t="s">
        <v>84</v>
      </c>
      <c r="U37" s="117"/>
      <c r="V37" s="115" t="s">
        <v>85</v>
      </c>
      <c r="W37" s="115"/>
      <c r="X37" s="115"/>
      <c r="Y37" s="115" t="s">
        <v>86</v>
      </c>
      <c r="Z37" s="115"/>
      <c r="AA37" s="11" t="s">
        <v>87</v>
      </c>
      <c r="AB37" s="117" t="s">
        <v>88</v>
      </c>
      <c r="AC37" s="117"/>
      <c r="AD37" s="117"/>
      <c r="AE37" s="117"/>
      <c r="AF37" s="118" t="s">
        <v>89</v>
      </c>
      <c r="AG37" s="118"/>
      <c r="AH37" s="117" t="s">
        <v>90</v>
      </c>
      <c r="AI37" s="117"/>
      <c r="AJ37" s="117"/>
      <c r="AK37" s="117"/>
      <c r="AL37" s="2"/>
    </row>
    <row r="38" spans="1:38" ht="21.95" customHeight="1" x14ac:dyDescent="0.2">
      <c r="A38" s="21">
        <v>445779</v>
      </c>
      <c r="B38" s="146">
        <v>19645587</v>
      </c>
      <c r="C38" s="146"/>
      <c r="D38" s="146"/>
      <c r="E38" s="147" t="s">
        <v>91</v>
      </c>
      <c r="F38" s="147"/>
      <c r="G38" s="147"/>
      <c r="H38" s="148" t="s">
        <v>73</v>
      </c>
      <c r="I38" s="148"/>
      <c r="J38" s="148"/>
      <c r="K38" s="148"/>
      <c r="L38" s="148"/>
      <c r="M38" s="148"/>
      <c r="N38" s="148"/>
      <c r="O38" s="149" t="s">
        <v>92</v>
      </c>
      <c r="P38" s="149"/>
      <c r="Q38" s="149"/>
      <c r="R38" s="149"/>
      <c r="S38" s="149"/>
      <c r="T38" s="150">
        <v>45658</v>
      </c>
      <c r="U38" s="150"/>
      <c r="V38" s="111"/>
      <c r="W38" s="111"/>
      <c r="X38" s="111"/>
      <c r="Y38" s="111"/>
      <c r="Z38" s="111"/>
      <c r="AA38" s="22" t="s">
        <v>74</v>
      </c>
      <c r="AB38" s="149" t="s">
        <v>75</v>
      </c>
      <c r="AC38" s="149"/>
      <c r="AD38" s="149"/>
      <c r="AE38" s="149"/>
      <c r="AF38" s="149" t="s">
        <v>76</v>
      </c>
      <c r="AG38" s="149"/>
      <c r="AH38" s="151">
        <v>105</v>
      </c>
      <c r="AI38" s="151"/>
      <c r="AJ38" s="151"/>
      <c r="AK38" s="151"/>
      <c r="AL38" s="2"/>
    </row>
    <row r="39" spans="1:38" ht="12" customHeight="1" x14ac:dyDescent="0.2">
      <c r="A39" s="19">
        <v>448295</v>
      </c>
      <c r="B39" s="152">
        <v>19645587</v>
      </c>
      <c r="C39" s="152"/>
      <c r="D39" s="152"/>
      <c r="E39" s="121" t="s">
        <v>93</v>
      </c>
      <c r="F39" s="121"/>
      <c r="G39" s="121"/>
      <c r="H39" s="138" t="s">
        <v>73</v>
      </c>
      <c r="I39" s="138"/>
      <c r="J39" s="138"/>
      <c r="K39" s="138"/>
      <c r="L39" s="138"/>
      <c r="M39" s="138"/>
      <c r="N39" s="138"/>
      <c r="O39" s="123" t="s">
        <v>94</v>
      </c>
      <c r="P39" s="123"/>
      <c r="Q39" s="123"/>
      <c r="R39" s="123"/>
      <c r="S39" s="123"/>
      <c r="T39" s="153">
        <v>45658</v>
      </c>
      <c r="U39" s="153"/>
      <c r="V39" s="125"/>
      <c r="W39" s="125"/>
      <c r="X39" s="125"/>
      <c r="Y39" s="125"/>
      <c r="Z39" s="125"/>
      <c r="AA39" s="14" t="s">
        <v>74</v>
      </c>
      <c r="AB39" s="123" t="s">
        <v>95</v>
      </c>
      <c r="AC39" s="123"/>
      <c r="AD39" s="123"/>
      <c r="AE39" s="123"/>
      <c r="AF39" s="123" t="s">
        <v>76</v>
      </c>
      <c r="AG39" s="123"/>
      <c r="AH39" s="142">
        <v>210</v>
      </c>
      <c r="AI39" s="142"/>
      <c r="AJ39" s="142"/>
      <c r="AK39" s="142"/>
      <c r="AL39" s="1"/>
    </row>
    <row r="40" spans="1:38" ht="27" customHeight="1" x14ac:dyDescent="0.2">
      <c r="A40" s="23">
        <v>439914</v>
      </c>
      <c r="B40" s="154">
        <v>19645587</v>
      </c>
      <c r="C40" s="154"/>
      <c r="D40" s="154"/>
      <c r="E40" s="128" t="s">
        <v>96</v>
      </c>
      <c r="F40" s="128"/>
      <c r="G40" s="128"/>
      <c r="H40" s="155" t="s">
        <v>73</v>
      </c>
      <c r="I40" s="155"/>
      <c r="J40" s="155"/>
      <c r="K40" s="155"/>
      <c r="L40" s="155"/>
      <c r="M40" s="155"/>
      <c r="N40" s="155"/>
      <c r="O40" s="130" t="s">
        <v>92</v>
      </c>
      <c r="P40" s="130"/>
      <c r="Q40" s="130"/>
      <c r="R40" s="130"/>
      <c r="S40" s="130"/>
      <c r="T40" s="156">
        <v>45658</v>
      </c>
      <c r="U40" s="156"/>
      <c r="V40" s="78"/>
      <c r="W40" s="78"/>
      <c r="X40" s="78"/>
      <c r="Y40" s="78"/>
      <c r="Z40" s="78"/>
      <c r="AA40" s="16" t="s">
        <v>74</v>
      </c>
      <c r="AB40" s="130" t="s">
        <v>75</v>
      </c>
      <c r="AC40" s="130"/>
      <c r="AD40" s="130"/>
      <c r="AE40" s="130"/>
      <c r="AF40" s="130" t="s">
        <v>76</v>
      </c>
      <c r="AG40" s="130"/>
      <c r="AH40" s="157">
        <v>105</v>
      </c>
      <c r="AI40" s="157"/>
      <c r="AJ40" s="157"/>
      <c r="AK40" s="157"/>
      <c r="AL40" s="2"/>
    </row>
    <row r="41" spans="1:38" ht="18.600000000000001" customHeight="1" x14ac:dyDescent="0.2">
      <c r="A41" s="2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81" t="s">
        <v>97</v>
      </c>
      <c r="T41" s="81"/>
      <c r="U41" s="81"/>
      <c r="V41" s="81"/>
      <c r="W41" s="81"/>
      <c r="X41" s="2"/>
      <c r="Y41" s="78"/>
      <c r="Z41" s="78"/>
      <c r="AA41" s="2"/>
      <c r="AB41" s="78"/>
      <c r="AC41" s="78"/>
      <c r="AD41" s="78"/>
      <c r="AE41" s="78"/>
      <c r="AF41" s="78"/>
      <c r="AG41" s="78"/>
      <c r="AH41" s="78"/>
      <c r="AI41" s="78"/>
      <c r="AJ41" s="81" t="s">
        <v>98</v>
      </c>
      <c r="AK41" s="81"/>
      <c r="AL41" s="81"/>
    </row>
    <row r="42" spans="1:38" ht="12" customHeight="1" x14ac:dyDescent="0.2">
      <c r="A42" s="158" t="s">
        <v>99</v>
      </c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82"/>
      <c r="R42" s="82"/>
      <c r="S42" s="81"/>
      <c r="T42" s="81"/>
      <c r="U42" s="81"/>
      <c r="V42" s="81"/>
      <c r="W42" s="81"/>
      <c r="X42" s="1"/>
      <c r="Y42" s="82"/>
      <c r="Z42" s="82"/>
      <c r="AA42" s="1"/>
      <c r="AB42" s="82"/>
      <c r="AC42" s="82"/>
      <c r="AD42" s="82"/>
      <c r="AE42" s="82"/>
      <c r="AF42" s="82"/>
      <c r="AG42" s="82"/>
      <c r="AH42" s="82"/>
      <c r="AI42" s="82"/>
      <c r="AJ42" s="81"/>
      <c r="AK42" s="81"/>
      <c r="AL42" s="81"/>
    </row>
    <row r="43" spans="1:38" ht="6" customHeight="1" x14ac:dyDescent="0.2">
      <c r="A43" s="1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1"/>
      <c r="T43" s="82"/>
      <c r="U43" s="82"/>
      <c r="V43" s="82"/>
      <c r="W43" s="82"/>
      <c r="X43" s="1"/>
      <c r="Y43" s="82"/>
      <c r="Z43" s="82"/>
      <c r="AA43" s="1"/>
      <c r="AB43" s="82"/>
      <c r="AC43" s="82"/>
      <c r="AD43" s="82"/>
      <c r="AE43" s="82"/>
      <c r="AF43" s="82"/>
      <c r="AG43" s="82"/>
      <c r="AH43" s="82"/>
      <c r="AI43" s="82"/>
      <c r="AJ43" s="81"/>
      <c r="AK43" s="81"/>
      <c r="AL43" s="81"/>
    </row>
    <row r="44" spans="1:38" ht="24" customHeight="1" x14ac:dyDescent="0.2">
      <c r="A44" s="17" t="s">
        <v>79</v>
      </c>
      <c r="B44" s="118" t="s">
        <v>80</v>
      </c>
      <c r="C44" s="118"/>
      <c r="D44" s="118"/>
      <c r="E44" s="115" t="s">
        <v>81</v>
      </c>
      <c r="F44" s="115"/>
      <c r="G44" s="115"/>
      <c r="H44" s="116" t="s">
        <v>82</v>
      </c>
      <c r="I44" s="116"/>
      <c r="J44" s="116"/>
      <c r="K44" s="116"/>
      <c r="L44" s="116"/>
      <c r="M44" s="116"/>
      <c r="N44" s="116"/>
      <c r="O44" s="117" t="s">
        <v>83</v>
      </c>
      <c r="P44" s="117"/>
      <c r="Q44" s="117"/>
      <c r="R44" s="117"/>
      <c r="S44" s="117"/>
      <c r="T44" s="117" t="s">
        <v>84</v>
      </c>
      <c r="U44" s="117"/>
      <c r="V44" s="115" t="s">
        <v>85</v>
      </c>
      <c r="W44" s="115"/>
      <c r="X44" s="115"/>
      <c r="Y44" s="115" t="s">
        <v>86</v>
      </c>
      <c r="Z44" s="115"/>
      <c r="AA44" s="11" t="s">
        <v>87</v>
      </c>
      <c r="AB44" s="117" t="s">
        <v>88</v>
      </c>
      <c r="AC44" s="117"/>
      <c r="AD44" s="117"/>
      <c r="AE44" s="117"/>
      <c r="AF44" s="118" t="s">
        <v>89</v>
      </c>
      <c r="AG44" s="118"/>
      <c r="AH44" s="117" t="s">
        <v>90</v>
      </c>
      <c r="AI44" s="117"/>
      <c r="AJ44" s="117"/>
      <c r="AK44" s="117"/>
      <c r="AL44" s="2"/>
    </row>
    <row r="45" spans="1:38" ht="5.25" customHeight="1" x14ac:dyDescent="0.2">
      <c r="A45" s="12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2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"/>
    </row>
    <row r="46" spans="1:38" ht="12" customHeight="1" x14ac:dyDescent="0.2">
      <c r="A46" s="19">
        <v>444055</v>
      </c>
      <c r="B46" s="137">
        <v>19615078</v>
      </c>
      <c r="C46" s="137"/>
      <c r="D46" s="137"/>
      <c r="E46" s="121" t="s">
        <v>100</v>
      </c>
      <c r="F46" s="121"/>
      <c r="G46" s="121"/>
      <c r="H46" s="138" t="s">
        <v>73</v>
      </c>
      <c r="I46" s="138"/>
      <c r="J46" s="138"/>
      <c r="K46" s="138"/>
      <c r="L46" s="138"/>
      <c r="M46" s="138"/>
      <c r="N46" s="138"/>
      <c r="O46" s="139" t="s">
        <v>32</v>
      </c>
      <c r="P46" s="139"/>
      <c r="Q46" s="139"/>
      <c r="R46" s="139"/>
      <c r="S46" s="139"/>
      <c r="T46" s="153">
        <v>45658</v>
      </c>
      <c r="U46" s="153"/>
      <c r="V46" s="125"/>
      <c r="W46" s="125"/>
      <c r="X46" s="125"/>
      <c r="Y46" s="125"/>
      <c r="Z46" s="125"/>
      <c r="AA46" s="14" t="s">
        <v>74</v>
      </c>
      <c r="AB46" s="141" t="s">
        <v>75</v>
      </c>
      <c r="AC46" s="141"/>
      <c r="AD46" s="141"/>
      <c r="AE46" s="141"/>
      <c r="AF46" s="123" t="s">
        <v>76</v>
      </c>
      <c r="AG46" s="123"/>
      <c r="AH46" s="142">
        <v>105</v>
      </c>
      <c r="AI46" s="142"/>
      <c r="AJ46" s="142"/>
      <c r="AK46" s="142"/>
      <c r="AL46" s="1"/>
    </row>
    <row r="47" spans="1:38" ht="26.1" customHeight="1" x14ac:dyDescent="0.2">
      <c r="A47" s="23">
        <v>445830</v>
      </c>
      <c r="B47" s="159">
        <v>19615078</v>
      </c>
      <c r="C47" s="159"/>
      <c r="D47" s="159"/>
      <c r="E47" s="128" t="s">
        <v>101</v>
      </c>
      <c r="F47" s="128"/>
      <c r="G47" s="128"/>
      <c r="H47" s="155" t="s">
        <v>73</v>
      </c>
      <c r="I47" s="155"/>
      <c r="J47" s="155"/>
      <c r="K47" s="155"/>
      <c r="L47" s="155"/>
      <c r="M47" s="155"/>
      <c r="N47" s="155"/>
      <c r="O47" s="160" t="s">
        <v>32</v>
      </c>
      <c r="P47" s="160"/>
      <c r="Q47" s="160"/>
      <c r="R47" s="160"/>
      <c r="S47" s="160"/>
      <c r="T47" s="156">
        <v>45658</v>
      </c>
      <c r="U47" s="156"/>
      <c r="V47" s="78"/>
      <c r="W47" s="78"/>
      <c r="X47" s="78"/>
      <c r="Y47" s="78"/>
      <c r="Z47" s="78"/>
      <c r="AA47" s="16" t="s">
        <v>74</v>
      </c>
      <c r="AB47" s="161" t="s">
        <v>75</v>
      </c>
      <c r="AC47" s="161"/>
      <c r="AD47" s="161"/>
      <c r="AE47" s="161"/>
      <c r="AF47" s="130" t="s">
        <v>76</v>
      </c>
      <c r="AG47" s="130"/>
      <c r="AH47" s="157">
        <v>105</v>
      </c>
      <c r="AI47" s="157"/>
      <c r="AJ47" s="157"/>
      <c r="AK47" s="157"/>
      <c r="AL47" s="2"/>
    </row>
    <row r="48" spans="1:38" ht="18.600000000000001" customHeight="1" x14ac:dyDescent="0.2">
      <c r="A48" s="2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2"/>
      <c r="P48" s="78"/>
      <c r="Q48" s="78"/>
      <c r="R48" s="78"/>
      <c r="S48" s="81" t="s">
        <v>102</v>
      </c>
      <c r="T48" s="81"/>
      <c r="U48" s="81"/>
      <c r="V48" s="81"/>
      <c r="W48" s="81"/>
      <c r="X48" s="2"/>
      <c r="Y48" s="78"/>
      <c r="Z48" s="78"/>
      <c r="AA48" s="2"/>
      <c r="AB48" s="78"/>
      <c r="AC48" s="78"/>
      <c r="AD48" s="78"/>
      <c r="AE48" s="78"/>
      <c r="AF48" s="78"/>
      <c r="AG48" s="78"/>
      <c r="AH48" s="78"/>
      <c r="AI48" s="78"/>
      <c r="AJ48" s="81" t="s">
        <v>103</v>
      </c>
      <c r="AK48" s="81"/>
      <c r="AL48" s="81"/>
    </row>
    <row r="49" spans="1:38" ht="12" customHeight="1" x14ac:dyDescent="0.2">
      <c r="A49" s="162" t="s">
        <v>104</v>
      </c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82"/>
      <c r="Q49" s="82"/>
      <c r="R49" s="82"/>
      <c r="S49" s="81"/>
      <c r="T49" s="81"/>
      <c r="U49" s="81"/>
      <c r="V49" s="81"/>
      <c r="W49" s="81"/>
      <c r="X49" s="1"/>
      <c r="Y49" s="82"/>
      <c r="Z49" s="82"/>
      <c r="AA49" s="1"/>
      <c r="AB49" s="82"/>
      <c r="AC49" s="82"/>
      <c r="AD49" s="82"/>
      <c r="AE49" s="82"/>
      <c r="AF49" s="82"/>
      <c r="AG49" s="82"/>
      <c r="AH49" s="82"/>
      <c r="AI49" s="82"/>
      <c r="AJ49" s="81"/>
      <c r="AK49" s="81"/>
      <c r="AL49" s="81"/>
    </row>
    <row r="50" spans="1:38" ht="6" customHeight="1" x14ac:dyDescent="0.2">
      <c r="A50" s="1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1"/>
      <c r="P50" s="82"/>
      <c r="Q50" s="82"/>
      <c r="R50" s="82"/>
      <c r="S50" s="1"/>
      <c r="T50" s="82"/>
      <c r="U50" s="82"/>
      <c r="V50" s="82"/>
      <c r="W50" s="82"/>
      <c r="X50" s="1"/>
      <c r="Y50" s="82"/>
      <c r="Z50" s="82"/>
      <c r="AA50" s="1"/>
      <c r="AB50" s="82"/>
      <c r="AC50" s="82"/>
      <c r="AD50" s="82"/>
      <c r="AE50" s="82"/>
      <c r="AF50" s="82"/>
      <c r="AG50" s="82"/>
      <c r="AH50" s="82"/>
      <c r="AI50" s="82"/>
      <c r="AJ50" s="81"/>
      <c r="AK50" s="81"/>
      <c r="AL50" s="81"/>
    </row>
    <row r="51" spans="1:38" ht="24" customHeight="1" x14ac:dyDescent="0.2">
      <c r="A51" s="17" t="s">
        <v>79</v>
      </c>
      <c r="B51" s="118" t="s">
        <v>80</v>
      </c>
      <c r="C51" s="118"/>
      <c r="D51" s="118"/>
      <c r="E51" s="115" t="s">
        <v>81</v>
      </c>
      <c r="F51" s="115"/>
      <c r="G51" s="115"/>
      <c r="H51" s="116" t="s">
        <v>82</v>
      </c>
      <c r="I51" s="116"/>
      <c r="J51" s="116"/>
      <c r="K51" s="116"/>
      <c r="L51" s="116"/>
      <c r="M51" s="116"/>
      <c r="N51" s="116"/>
      <c r="O51" s="117" t="s">
        <v>83</v>
      </c>
      <c r="P51" s="117"/>
      <c r="Q51" s="117"/>
      <c r="R51" s="117"/>
      <c r="S51" s="117"/>
      <c r="T51" s="117" t="s">
        <v>84</v>
      </c>
      <c r="U51" s="117"/>
      <c r="V51" s="115" t="s">
        <v>85</v>
      </c>
      <c r="W51" s="115"/>
      <c r="X51" s="115"/>
      <c r="Y51" s="136" t="s">
        <v>69</v>
      </c>
      <c r="Z51" s="136"/>
      <c r="AA51" s="6" t="s">
        <v>70</v>
      </c>
      <c r="AB51" s="105" t="s">
        <v>71</v>
      </c>
      <c r="AC51" s="105"/>
      <c r="AD51" s="105"/>
      <c r="AE51" s="105"/>
      <c r="AF51" s="104" t="s">
        <v>28</v>
      </c>
      <c r="AG51" s="104"/>
      <c r="AH51" s="105" t="s">
        <v>29</v>
      </c>
      <c r="AI51" s="105"/>
      <c r="AJ51" s="105"/>
      <c r="AK51" s="105"/>
      <c r="AL51" s="2"/>
    </row>
    <row r="52" spans="1:38" ht="5.25" customHeight="1" x14ac:dyDescent="0.2">
      <c r="A52" s="12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2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"/>
    </row>
    <row r="53" spans="1:38" ht="12.6" customHeight="1" x14ac:dyDescent="0.2">
      <c r="A53" s="19">
        <v>443966</v>
      </c>
      <c r="B53" s="137">
        <v>19481808</v>
      </c>
      <c r="C53" s="137"/>
      <c r="D53" s="137"/>
      <c r="E53" s="121" t="s">
        <v>105</v>
      </c>
      <c r="F53" s="121"/>
      <c r="G53" s="121"/>
      <c r="H53" s="163" t="s">
        <v>106</v>
      </c>
      <c r="I53" s="163"/>
      <c r="J53" s="163"/>
      <c r="K53" s="163"/>
      <c r="L53" s="163"/>
      <c r="M53" s="163"/>
      <c r="N53" s="163"/>
      <c r="O53" s="139" t="s">
        <v>32</v>
      </c>
      <c r="P53" s="139"/>
      <c r="Q53" s="139"/>
      <c r="R53" s="139"/>
      <c r="S53" s="139"/>
      <c r="T53" s="140">
        <v>45658</v>
      </c>
      <c r="U53" s="140"/>
      <c r="V53" s="125"/>
      <c r="W53" s="125"/>
      <c r="X53" s="125"/>
      <c r="Y53" s="125"/>
      <c r="Z53" s="125"/>
      <c r="AA53" s="14" t="s">
        <v>74</v>
      </c>
      <c r="AB53" s="141" t="s">
        <v>75</v>
      </c>
      <c r="AC53" s="141"/>
      <c r="AD53" s="141"/>
      <c r="AE53" s="141"/>
      <c r="AF53" s="123" t="s">
        <v>76</v>
      </c>
      <c r="AG53" s="123"/>
      <c r="AH53" s="142">
        <v>105</v>
      </c>
      <c r="AI53" s="142"/>
      <c r="AJ53" s="142"/>
      <c r="AK53" s="142"/>
      <c r="AL53" s="1"/>
    </row>
    <row r="54" spans="1:38" ht="26.85" customHeight="1" x14ac:dyDescent="0.2">
      <c r="A54" s="2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90" t="s">
        <v>107</v>
      </c>
      <c r="T54" s="90"/>
      <c r="U54" s="90"/>
      <c r="V54" s="90"/>
      <c r="W54" s="90"/>
      <c r="X54" s="2"/>
      <c r="Y54" s="78"/>
      <c r="Z54" s="78"/>
      <c r="AA54" s="2"/>
      <c r="AB54" s="78"/>
      <c r="AC54" s="78"/>
      <c r="AD54" s="78"/>
      <c r="AE54" s="78"/>
      <c r="AF54" s="78"/>
      <c r="AG54" s="78"/>
      <c r="AH54" s="78"/>
      <c r="AI54" s="78"/>
      <c r="AJ54" s="81" t="s">
        <v>37</v>
      </c>
      <c r="AK54" s="81"/>
      <c r="AL54" s="81"/>
    </row>
    <row r="55" spans="1:38" ht="13.5" customHeight="1" x14ac:dyDescent="0.2">
      <c r="A55" s="158" t="s">
        <v>108</v>
      </c>
      <c r="B55" s="158"/>
      <c r="C55" s="158"/>
      <c r="D55" s="158"/>
      <c r="E55" s="158"/>
      <c r="F55" s="158"/>
      <c r="G55" s="158"/>
      <c r="H55" s="158"/>
      <c r="I55" s="158"/>
      <c r="J55" s="78"/>
      <c r="K55" s="78"/>
      <c r="L55" s="78"/>
      <c r="M55" s="164">
        <v>19481808</v>
      </c>
      <c r="N55" s="164"/>
      <c r="O55" s="164"/>
      <c r="P55" s="164"/>
      <c r="Q55" s="78"/>
      <c r="R55" s="78"/>
      <c r="S55" s="90"/>
      <c r="T55" s="90"/>
      <c r="U55" s="90"/>
      <c r="V55" s="90"/>
      <c r="W55" s="90"/>
      <c r="X55" s="2"/>
      <c r="Y55" s="78"/>
      <c r="Z55" s="78"/>
      <c r="AA55" s="2"/>
      <c r="AB55" s="78"/>
      <c r="AC55" s="78"/>
      <c r="AD55" s="78"/>
      <c r="AE55" s="78"/>
      <c r="AF55" s="78"/>
      <c r="AG55" s="78"/>
      <c r="AH55" s="78"/>
      <c r="AI55" s="78"/>
      <c r="AJ55" s="81"/>
      <c r="AK55" s="81"/>
      <c r="AL55" s="81"/>
    </row>
    <row r="56" spans="1:38" ht="5.25" customHeight="1" x14ac:dyDescent="0.2">
      <c r="A56" s="1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1"/>
      <c r="T56" s="82"/>
      <c r="U56" s="82"/>
      <c r="V56" s="82"/>
      <c r="W56" s="82"/>
      <c r="X56" s="1"/>
      <c r="Y56" s="82"/>
      <c r="Z56" s="82"/>
      <c r="AA56" s="1"/>
      <c r="AB56" s="82"/>
      <c r="AC56" s="82"/>
      <c r="AD56" s="82"/>
      <c r="AE56" s="82"/>
      <c r="AF56" s="82"/>
      <c r="AG56" s="82"/>
      <c r="AH56" s="82"/>
      <c r="AI56" s="82"/>
      <c r="AJ56" s="81"/>
      <c r="AK56" s="81"/>
      <c r="AL56" s="81"/>
    </row>
    <row r="57" spans="1:38" ht="24" customHeight="1" x14ac:dyDescent="0.2">
      <c r="A57" s="17" t="s">
        <v>79</v>
      </c>
      <c r="B57" s="118" t="s">
        <v>80</v>
      </c>
      <c r="C57" s="118"/>
      <c r="D57" s="118"/>
      <c r="E57" s="115" t="s">
        <v>81</v>
      </c>
      <c r="F57" s="115"/>
      <c r="G57" s="115"/>
      <c r="H57" s="116" t="s">
        <v>82</v>
      </c>
      <c r="I57" s="116"/>
      <c r="J57" s="116"/>
      <c r="K57" s="116"/>
      <c r="L57" s="116"/>
      <c r="M57" s="116"/>
      <c r="N57" s="116"/>
      <c r="O57" s="165" t="s">
        <v>109</v>
      </c>
      <c r="P57" s="165"/>
      <c r="Q57" s="165"/>
      <c r="R57" s="165"/>
      <c r="S57" s="165"/>
      <c r="T57" s="166" t="s">
        <v>110</v>
      </c>
      <c r="U57" s="166"/>
      <c r="V57" s="115" t="s">
        <v>85</v>
      </c>
      <c r="W57" s="115"/>
      <c r="X57" s="115"/>
      <c r="Y57" s="167" t="s">
        <v>111</v>
      </c>
      <c r="Z57" s="167"/>
      <c r="AA57" s="11" t="s">
        <v>87</v>
      </c>
      <c r="AB57" s="166" t="s">
        <v>112</v>
      </c>
      <c r="AC57" s="166"/>
      <c r="AD57" s="166"/>
      <c r="AE57" s="166"/>
      <c r="AF57" s="118" t="s">
        <v>89</v>
      </c>
      <c r="AG57" s="118"/>
      <c r="AH57" s="166" t="s">
        <v>113</v>
      </c>
      <c r="AI57" s="166"/>
      <c r="AJ57" s="166"/>
      <c r="AK57" s="166"/>
      <c r="AL57" s="2"/>
    </row>
    <row r="58" spans="1:38" ht="26.1" customHeight="1" x14ac:dyDescent="0.2">
      <c r="A58" s="21">
        <v>446535</v>
      </c>
      <c r="B58" s="168">
        <v>17301495</v>
      </c>
      <c r="C58" s="168"/>
      <c r="D58" s="168"/>
      <c r="E58" s="147" t="s">
        <v>114</v>
      </c>
      <c r="F58" s="147"/>
      <c r="G58" s="147"/>
      <c r="H58" s="148" t="s">
        <v>73</v>
      </c>
      <c r="I58" s="148"/>
      <c r="J58" s="148"/>
      <c r="K58" s="148"/>
      <c r="L58" s="148"/>
      <c r="M58" s="148"/>
      <c r="N58" s="148"/>
      <c r="O58" s="109" t="s">
        <v>32</v>
      </c>
      <c r="P58" s="109"/>
      <c r="Q58" s="109"/>
      <c r="R58" s="109"/>
      <c r="S58" s="109"/>
      <c r="T58" s="169">
        <v>45658</v>
      </c>
      <c r="U58" s="169"/>
      <c r="V58" s="111"/>
      <c r="W58" s="111"/>
      <c r="X58" s="111"/>
      <c r="Y58" s="111"/>
      <c r="Z58" s="111"/>
      <c r="AA58" s="22" t="s">
        <v>74</v>
      </c>
      <c r="AB58" s="170" t="s">
        <v>75</v>
      </c>
      <c r="AC58" s="170"/>
      <c r="AD58" s="170"/>
      <c r="AE58" s="170"/>
      <c r="AF58" s="149" t="s">
        <v>76</v>
      </c>
      <c r="AG58" s="149"/>
      <c r="AH58" s="151">
        <v>105</v>
      </c>
      <c r="AI58" s="151"/>
      <c r="AJ58" s="151"/>
      <c r="AK58" s="151"/>
      <c r="AL58" s="2"/>
    </row>
    <row r="59" spans="1:38" ht="29.1" customHeight="1" x14ac:dyDescent="0.2">
      <c r="A59" s="81" t="s">
        <v>115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2"/>
      <c r="Y59" s="78"/>
      <c r="Z59" s="78"/>
      <c r="AA59" s="2"/>
      <c r="AB59" s="78"/>
      <c r="AC59" s="78"/>
      <c r="AD59" s="78"/>
      <c r="AE59" s="78"/>
      <c r="AF59" s="78"/>
      <c r="AG59" s="78"/>
      <c r="AH59" s="78"/>
      <c r="AI59" s="78"/>
      <c r="AJ59" s="81" t="s">
        <v>37</v>
      </c>
      <c r="AK59" s="81"/>
      <c r="AL59" s="81"/>
    </row>
    <row r="60" spans="1:38" ht="5.25" customHeight="1" x14ac:dyDescent="0.2">
      <c r="A60" s="1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1"/>
      <c r="Y60" s="82"/>
      <c r="Z60" s="82"/>
      <c r="AA60" s="1"/>
      <c r="AB60" s="82"/>
      <c r="AC60" s="82"/>
      <c r="AD60" s="82"/>
      <c r="AE60" s="82"/>
      <c r="AF60" s="82"/>
      <c r="AG60" s="82"/>
      <c r="AH60" s="82"/>
      <c r="AI60" s="82"/>
      <c r="AJ60" s="81"/>
      <c r="AK60" s="81"/>
      <c r="AL60" s="81"/>
    </row>
    <row r="61" spans="1:38" ht="30.6" customHeight="1" x14ac:dyDescent="0.2">
      <c r="A61" s="171" t="s">
        <v>17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2"/>
    </row>
    <row r="62" spans="1:38" ht="24" customHeight="1" x14ac:dyDescent="0.2">
      <c r="A62" s="9" t="s">
        <v>116</v>
      </c>
      <c r="B62" s="115" t="s">
        <v>80</v>
      </c>
      <c r="C62" s="115"/>
      <c r="D62" s="115"/>
      <c r="E62" s="115" t="s">
        <v>81</v>
      </c>
      <c r="F62" s="115"/>
      <c r="G62" s="115"/>
      <c r="H62" s="116" t="s">
        <v>82</v>
      </c>
      <c r="I62" s="116"/>
      <c r="J62" s="116"/>
      <c r="K62" s="116"/>
      <c r="L62" s="116"/>
      <c r="M62" s="116"/>
      <c r="N62" s="116"/>
      <c r="O62" s="117" t="s">
        <v>83</v>
      </c>
      <c r="P62" s="117"/>
      <c r="Q62" s="117"/>
      <c r="R62" s="117"/>
      <c r="S62" s="117"/>
      <c r="T62" s="117" t="s">
        <v>84</v>
      </c>
      <c r="U62" s="117"/>
      <c r="V62" s="115" t="s">
        <v>85</v>
      </c>
      <c r="W62" s="115"/>
      <c r="X62" s="115"/>
      <c r="Y62" s="115" t="s">
        <v>86</v>
      </c>
      <c r="Z62" s="115"/>
      <c r="AA62" s="11" t="s">
        <v>87</v>
      </c>
      <c r="AB62" s="117" t="s">
        <v>88</v>
      </c>
      <c r="AC62" s="117"/>
      <c r="AD62" s="117"/>
      <c r="AE62" s="117"/>
      <c r="AF62" s="118" t="s">
        <v>89</v>
      </c>
      <c r="AG62" s="118"/>
      <c r="AH62" s="117" t="s">
        <v>90</v>
      </c>
      <c r="AI62" s="117"/>
      <c r="AJ62" s="117"/>
      <c r="AK62" s="117"/>
      <c r="AL62" s="2"/>
    </row>
    <row r="63" spans="1:38" ht="5.25" customHeight="1" x14ac:dyDescent="0.2">
      <c r="A63" s="12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2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"/>
    </row>
    <row r="64" spans="1:38" ht="12" customHeight="1" x14ac:dyDescent="0.2">
      <c r="A64" s="19">
        <v>447954</v>
      </c>
      <c r="B64" s="152">
        <v>16912722</v>
      </c>
      <c r="C64" s="152"/>
      <c r="D64" s="152"/>
      <c r="E64" s="121" t="s">
        <v>117</v>
      </c>
      <c r="F64" s="121"/>
      <c r="G64" s="121"/>
      <c r="H64" s="163" t="s">
        <v>106</v>
      </c>
      <c r="I64" s="163"/>
      <c r="J64" s="163"/>
      <c r="K64" s="163"/>
      <c r="L64" s="163"/>
      <c r="M64" s="163"/>
      <c r="N64" s="163"/>
      <c r="O64" s="139" t="s">
        <v>32</v>
      </c>
      <c r="P64" s="139"/>
      <c r="Q64" s="139"/>
      <c r="R64" s="139"/>
      <c r="S64" s="139"/>
      <c r="T64" s="153">
        <v>45658</v>
      </c>
      <c r="U64" s="153"/>
      <c r="V64" s="125"/>
      <c r="W64" s="125"/>
      <c r="X64" s="125"/>
      <c r="Y64" s="125"/>
      <c r="Z64" s="125"/>
      <c r="AA64" s="14" t="s">
        <v>74</v>
      </c>
      <c r="AB64" s="172" t="s">
        <v>95</v>
      </c>
      <c r="AC64" s="172"/>
      <c r="AD64" s="172"/>
      <c r="AE64" s="172"/>
      <c r="AF64" s="123" t="s">
        <v>76</v>
      </c>
      <c r="AG64" s="123"/>
      <c r="AH64" s="142">
        <v>210</v>
      </c>
      <c r="AI64" s="142"/>
      <c r="AJ64" s="142"/>
      <c r="AK64" s="142"/>
      <c r="AL64" s="1"/>
    </row>
    <row r="65" spans="1:38" ht="21.95" customHeight="1" x14ac:dyDescent="0.2">
      <c r="A65" s="23">
        <v>447955</v>
      </c>
      <c r="B65" s="154">
        <v>16912722</v>
      </c>
      <c r="C65" s="154"/>
      <c r="D65" s="154"/>
      <c r="E65" s="128" t="s">
        <v>118</v>
      </c>
      <c r="F65" s="128"/>
      <c r="G65" s="128"/>
      <c r="H65" s="173" t="s">
        <v>106</v>
      </c>
      <c r="I65" s="173"/>
      <c r="J65" s="173"/>
      <c r="K65" s="173"/>
      <c r="L65" s="173"/>
      <c r="M65" s="173"/>
      <c r="N65" s="173"/>
      <c r="O65" s="160" t="s">
        <v>32</v>
      </c>
      <c r="P65" s="160"/>
      <c r="Q65" s="160"/>
      <c r="R65" s="160"/>
      <c r="S65" s="160"/>
      <c r="T65" s="156">
        <v>45658</v>
      </c>
      <c r="U65" s="156"/>
      <c r="V65" s="78"/>
      <c r="W65" s="78"/>
      <c r="X65" s="78"/>
      <c r="Y65" s="78"/>
      <c r="Z65" s="78"/>
      <c r="AA65" s="16" t="s">
        <v>74</v>
      </c>
      <c r="AB65" s="174" t="s">
        <v>95</v>
      </c>
      <c r="AC65" s="174"/>
      <c r="AD65" s="174"/>
      <c r="AE65" s="174"/>
      <c r="AF65" s="130" t="s">
        <v>76</v>
      </c>
      <c r="AG65" s="130"/>
      <c r="AH65" s="157">
        <v>210</v>
      </c>
      <c r="AI65" s="157"/>
      <c r="AJ65" s="157"/>
      <c r="AK65" s="157"/>
      <c r="AL65" s="2"/>
    </row>
    <row r="66" spans="1:38" ht="12" customHeight="1" x14ac:dyDescent="0.2">
      <c r="A66" s="19">
        <v>448034</v>
      </c>
      <c r="B66" s="152">
        <v>16912722</v>
      </c>
      <c r="C66" s="152"/>
      <c r="D66" s="152"/>
      <c r="E66" s="121" t="s">
        <v>119</v>
      </c>
      <c r="F66" s="121"/>
      <c r="G66" s="121"/>
      <c r="H66" s="163" t="s">
        <v>106</v>
      </c>
      <c r="I66" s="163"/>
      <c r="J66" s="163"/>
      <c r="K66" s="163"/>
      <c r="L66" s="163"/>
      <c r="M66" s="163"/>
      <c r="N66" s="163"/>
      <c r="O66" s="139" t="s">
        <v>32</v>
      </c>
      <c r="P66" s="139"/>
      <c r="Q66" s="139"/>
      <c r="R66" s="139"/>
      <c r="S66" s="139"/>
      <c r="T66" s="153">
        <v>45658</v>
      </c>
      <c r="U66" s="153"/>
      <c r="V66" s="125"/>
      <c r="W66" s="125"/>
      <c r="X66" s="125"/>
      <c r="Y66" s="125"/>
      <c r="Z66" s="125"/>
      <c r="AA66" s="14" t="s">
        <v>74</v>
      </c>
      <c r="AB66" s="172" t="s">
        <v>95</v>
      </c>
      <c r="AC66" s="172"/>
      <c r="AD66" s="172"/>
      <c r="AE66" s="172"/>
      <c r="AF66" s="123" t="s">
        <v>76</v>
      </c>
      <c r="AG66" s="123"/>
      <c r="AH66" s="142">
        <v>210</v>
      </c>
      <c r="AI66" s="142"/>
      <c r="AJ66" s="142"/>
      <c r="AK66" s="142"/>
      <c r="AL66" s="1"/>
    </row>
    <row r="67" spans="1:38" ht="27" customHeight="1" x14ac:dyDescent="0.2">
      <c r="A67" s="23">
        <v>447701</v>
      </c>
      <c r="B67" s="154">
        <v>16912722</v>
      </c>
      <c r="C67" s="154"/>
      <c r="D67" s="154"/>
      <c r="E67" s="128" t="s">
        <v>120</v>
      </c>
      <c r="F67" s="128"/>
      <c r="G67" s="128"/>
      <c r="H67" s="173" t="s">
        <v>106</v>
      </c>
      <c r="I67" s="173"/>
      <c r="J67" s="173"/>
      <c r="K67" s="173"/>
      <c r="L67" s="173"/>
      <c r="M67" s="173"/>
      <c r="N67" s="173"/>
      <c r="O67" s="160" t="s">
        <v>32</v>
      </c>
      <c r="P67" s="160"/>
      <c r="Q67" s="160"/>
      <c r="R67" s="160"/>
      <c r="S67" s="160"/>
      <c r="T67" s="156">
        <v>45658</v>
      </c>
      <c r="U67" s="156"/>
      <c r="V67" s="78"/>
      <c r="W67" s="78"/>
      <c r="X67" s="78"/>
      <c r="Y67" s="78"/>
      <c r="Z67" s="78"/>
      <c r="AA67" s="16" t="s">
        <v>74</v>
      </c>
      <c r="AB67" s="174" t="s">
        <v>95</v>
      </c>
      <c r="AC67" s="174"/>
      <c r="AD67" s="174"/>
      <c r="AE67" s="174"/>
      <c r="AF67" s="130" t="s">
        <v>76</v>
      </c>
      <c r="AG67" s="130"/>
      <c r="AH67" s="157">
        <v>210</v>
      </c>
      <c r="AI67" s="157"/>
      <c r="AJ67" s="157"/>
      <c r="AK67" s="157"/>
      <c r="AL67" s="2"/>
    </row>
    <row r="68" spans="1:38" ht="18.600000000000001" customHeight="1" x14ac:dyDescent="0.2">
      <c r="A68" s="2"/>
      <c r="B68" s="78"/>
      <c r="C68" s="78"/>
      <c r="D68" s="78"/>
      <c r="E68" s="78"/>
      <c r="F68" s="78"/>
      <c r="G68" s="78"/>
      <c r="H68" s="2"/>
      <c r="I68" s="78"/>
      <c r="J68" s="78"/>
      <c r="K68" s="78"/>
      <c r="L68" s="78"/>
      <c r="M68" s="78"/>
      <c r="N68" s="78"/>
      <c r="O68" s="2"/>
      <c r="P68" s="78"/>
      <c r="Q68" s="78"/>
      <c r="R68" s="78"/>
      <c r="S68" s="81" t="s">
        <v>121</v>
      </c>
      <c r="T68" s="81"/>
      <c r="U68" s="81"/>
      <c r="V68" s="81"/>
      <c r="W68" s="81"/>
      <c r="X68" s="2"/>
      <c r="Y68" s="78"/>
      <c r="Z68" s="78"/>
      <c r="AA68" s="2"/>
      <c r="AB68" s="78"/>
      <c r="AC68" s="78"/>
      <c r="AD68" s="78"/>
      <c r="AE68" s="78"/>
      <c r="AF68" s="78"/>
      <c r="AG68" s="78"/>
      <c r="AH68" s="78"/>
      <c r="AI68" s="78"/>
      <c r="AJ68" s="81" t="s">
        <v>122</v>
      </c>
      <c r="AK68" s="81"/>
      <c r="AL68" s="81"/>
    </row>
    <row r="69" spans="1:38" ht="12" customHeight="1" x14ac:dyDescent="0.2">
      <c r="A69" s="162" t="s">
        <v>108</v>
      </c>
      <c r="B69" s="162"/>
      <c r="C69" s="162"/>
      <c r="D69" s="162"/>
      <c r="E69" s="162"/>
      <c r="F69" s="162"/>
      <c r="G69" s="162"/>
      <c r="H69" s="162"/>
      <c r="I69" s="82"/>
      <c r="J69" s="82"/>
      <c r="K69" s="82"/>
      <c r="L69" s="175">
        <v>16912722</v>
      </c>
      <c r="M69" s="175"/>
      <c r="N69" s="175"/>
      <c r="O69" s="175"/>
      <c r="P69" s="82"/>
      <c r="Q69" s="82"/>
      <c r="R69" s="82"/>
      <c r="S69" s="81"/>
      <c r="T69" s="81"/>
      <c r="U69" s="81"/>
      <c r="V69" s="81"/>
      <c r="W69" s="81"/>
      <c r="X69" s="1"/>
      <c r="Y69" s="82"/>
      <c r="Z69" s="82"/>
      <c r="AA69" s="1"/>
      <c r="AB69" s="82"/>
      <c r="AC69" s="82"/>
      <c r="AD69" s="82"/>
      <c r="AE69" s="82"/>
      <c r="AF69" s="82"/>
      <c r="AG69" s="82"/>
      <c r="AH69" s="82"/>
      <c r="AI69" s="82"/>
      <c r="AJ69" s="81"/>
      <c r="AK69" s="81"/>
      <c r="AL69" s="81"/>
    </row>
    <row r="70" spans="1:38" ht="6" customHeight="1" x14ac:dyDescent="0.2">
      <c r="A70" s="1"/>
      <c r="B70" s="82"/>
      <c r="C70" s="82"/>
      <c r="D70" s="82"/>
      <c r="E70" s="82"/>
      <c r="F70" s="82"/>
      <c r="G70" s="82"/>
      <c r="H70" s="1"/>
      <c r="I70" s="82"/>
      <c r="J70" s="82"/>
      <c r="K70" s="82"/>
      <c r="L70" s="82"/>
      <c r="M70" s="82"/>
      <c r="N70" s="82"/>
      <c r="O70" s="1"/>
      <c r="P70" s="82"/>
      <c r="Q70" s="82"/>
      <c r="R70" s="82"/>
      <c r="S70" s="1"/>
      <c r="T70" s="82"/>
      <c r="U70" s="82"/>
      <c r="V70" s="82"/>
      <c r="W70" s="82"/>
      <c r="X70" s="1"/>
      <c r="Y70" s="82"/>
      <c r="Z70" s="82"/>
      <c r="AA70" s="1"/>
      <c r="AB70" s="82"/>
      <c r="AC70" s="82"/>
      <c r="AD70" s="82"/>
      <c r="AE70" s="82"/>
      <c r="AF70" s="82"/>
      <c r="AG70" s="82"/>
      <c r="AH70" s="82"/>
      <c r="AI70" s="82"/>
      <c r="AJ70" s="81"/>
      <c r="AK70" s="81"/>
      <c r="AL70" s="81"/>
    </row>
    <row r="71" spans="1:38" ht="30.6" customHeight="1" x14ac:dyDescent="0.2">
      <c r="A71" s="171" t="s">
        <v>17</v>
      </c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2"/>
    </row>
    <row r="72" spans="1:38" ht="24" customHeight="1" x14ac:dyDescent="0.2">
      <c r="A72" s="9" t="s">
        <v>116</v>
      </c>
      <c r="B72" s="118" t="s">
        <v>80</v>
      </c>
      <c r="C72" s="118"/>
      <c r="D72" s="118"/>
      <c r="E72" s="115" t="s">
        <v>81</v>
      </c>
      <c r="F72" s="115"/>
      <c r="G72" s="115"/>
      <c r="H72" s="116" t="s">
        <v>82</v>
      </c>
      <c r="I72" s="116"/>
      <c r="J72" s="116"/>
      <c r="K72" s="116"/>
      <c r="L72" s="116"/>
      <c r="M72" s="116"/>
      <c r="N72" s="116"/>
      <c r="O72" s="117" t="s">
        <v>83</v>
      </c>
      <c r="P72" s="117"/>
      <c r="Q72" s="117"/>
      <c r="R72" s="117"/>
      <c r="S72" s="117"/>
      <c r="T72" s="117" t="s">
        <v>84</v>
      </c>
      <c r="U72" s="117"/>
      <c r="V72" s="118" t="s">
        <v>85</v>
      </c>
      <c r="W72" s="118"/>
      <c r="X72" s="118"/>
      <c r="Y72" s="118" t="s">
        <v>86</v>
      </c>
      <c r="Z72" s="118"/>
      <c r="AA72" s="11" t="s">
        <v>87</v>
      </c>
      <c r="AB72" s="117" t="s">
        <v>88</v>
      </c>
      <c r="AC72" s="117"/>
      <c r="AD72" s="117"/>
      <c r="AE72" s="117"/>
      <c r="AF72" s="118" t="s">
        <v>89</v>
      </c>
      <c r="AG72" s="118"/>
      <c r="AH72" s="117" t="s">
        <v>90</v>
      </c>
      <c r="AI72" s="117"/>
      <c r="AJ72" s="117"/>
      <c r="AK72" s="117"/>
      <c r="AL72" s="2"/>
    </row>
    <row r="73" spans="1:38" ht="5.25" customHeight="1" x14ac:dyDescent="0.2">
      <c r="A73" s="12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2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"/>
    </row>
    <row r="74" spans="1:38" ht="12" customHeight="1" x14ac:dyDescent="0.2">
      <c r="A74" s="19">
        <v>445336</v>
      </c>
      <c r="B74" s="137">
        <v>16633294</v>
      </c>
      <c r="C74" s="137"/>
      <c r="D74" s="137"/>
      <c r="E74" s="121" t="s">
        <v>123</v>
      </c>
      <c r="F74" s="121"/>
      <c r="G74" s="121"/>
      <c r="H74" s="138" t="s">
        <v>73</v>
      </c>
      <c r="I74" s="138"/>
      <c r="J74" s="138"/>
      <c r="K74" s="138"/>
      <c r="L74" s="138"/>
      <c r="M74" s="138"/>
      <c r="N74" s="138"/>
      <c r="O74" s="123" t="s">
        <v>92</v>
      </c>
      <c r="P74" s="123"/>
      <c r="Q74" s="123"/>
      <c r="R74" s="123"/>
      <c r="S74" s="123"/>
      <c r="T74" s="153">
        <v>45658</v>
      </c>
      <c r="U74" s="153"/>
      <c r="V74" s="125"/>
      <c r="W74" s="125"/>
      <c r="X74" s="125"/>
      <c r="Y74" s="125"/>
      <c r="Z74" s="125"/>
      <c r="AA74" s="14" t="s">
        <v>74</v>
      </c>
      <c r="AB74" s="123" t="s">
        <v>75</v>
      </c>
      <c r="AC74" s="123"/>
      <c r="AD74" s="123"/>
      <c r="AE74" s="123"/>
      <c r="AF74" s="123" t="s">
        <v>76</v>
      </c>
      <c r="AG74" s="123"/>
      <c r="AH74" s="176">
        <v>105</v>
      </c>
      <c r="AI74" s="176"/>
      <c r="AJ74" s="176"/>
      <c r="AK74" s="176"/>
      <c r="AL74" s="1"/>
    </row>
    <row r="75" spans="1:38" ht="21.95" customHeight="1" x14ac:dyDescent="0.2">
      <c r="A75" s="23">
        <v>445462</v>
      </c>
      <c r="B75" s="159">
        <v>16633294</v>
      </c>
      <c r="C75" s="159"/>
      <c r="D75" s="159"/>
      <c r="E75" s="128" t="s">
        <v>124</v>
      </c>
      <c r="F75" s="128"/>
      <c r="G75" s="128"/>
      <c r="H75" s="155" t="s">
        <v>73</v>
      </c>
      <c r="I75" s="155"/>
      <c r="J75" s="155"/>
      <c r="K75" s="155"/>
      <c r="L75" s="155"/>
      <c r="M75" s="155"/>
      <c r="N75" s="155"/>
      <c r="O75" s="130" t="s">
        <v>92</v>
      </c>
      <c r="P75" s="130"/>
      <c r="Q75" s="130"/>
      <c r="R75" s="130"/>
      <c r="S75" s="130"/>
      <c r="T75" s="156">
        <v>45658</v>
      </c>
      <c r="U75" s="156"/>
      <c r="V75" s="78"/>
      <c r="W75" s="78"/>
      <c r="X75" s="78"/>
      <c r="Y75" s="78"/>
      <c r="Z75" s="78"/>
      <c r="AA75" s="16" t="s">
        <v>74</v>
      </c>
      <c r="AB75" s="130" t="s">
        <v>75</v>
      </c>
      <c r="AC75" s="130"/>
      <c r="AD75" s="130"/>
      <c r="AE75" s="130"/>
      <c r="AF75" s="130" t="s">
        <v>76</v>
      </c>
      <c r="AG75" s="130"/>
      <c r="AH75" s="177">
        <v>105</v>
      </c>
      <c r="AI75" s="177"/>
      <c r="AJ75" s="177"/>
      <c r="AK75" s="177"/>
      <c r="AL75" s="2"/>
    </row>
    <row r="76" spans="1:38" ht="12" customHeight="1" x14ac:dyDescent="0.2">
      <c r="A76" s="19">
        <v>445463</v>
      </c>
      <c r="B76" s="137">
        <v>16633294</v>
      </c>
      <c r="C76" s="137"/>
      <c r="D76" s="137"/>
      <c r="E76" s="121" t="s">
        <v>125</v>
      </c>
      <c r="F76" s="121"/>
      <c r="G76" s="121"/>
      <c r="H76" s="138" t="s">
        <v>73</v>
      </c>
      <c r="I76" s="138"/>
      <c r="J76" s="138"/>
      <c r="K76" s="138"/>
      <c r="L76" s="138"/>
      <c r="M76" s="138"/>
      <c r="N76" s="138"/>
      <c r="O76" s="123" t="s">
        <v>92</v>
      </c>
      <c r="P76" s="123"/>
      <c r="Q76" s="123"/>
      <c r="R76" s="123"/>
      <c r="S76" s="123"/>
      <c r="T76" s="153">
        <v>45658</v>
      </c>
      <c r="U76" s="153"/>
      <c r="V76" s="125"/>
      <c r="W76" s="125"/>
      <c r="X76" s="125"/>
      <c r="Y76" s="125"/>
      <c r="Z76" s="125"/>
      <c r="AA76" s="14" t="s">
        <v>74</v>
      </c>
      <c r="AB76" s="123" t="s">
        <v>75</v>
      </c>
      <c r="AC76" s="123"/>
      <c r="AD76" s="123"/>
      <c r="AE76" s="123"/>
      <c r="AF76" s="123" t="s">
        <v>76</v>
      </c>
      <c r="AG76" s="123"/>
      <c r="AH76" s="176">
        <v>105</v>
      </c>
      <c r="AI76" s="176"/>
      <c r="AJ76" s="176"/>
      <c r="AK76" s="176"/>
      <c r="AL76" s="1"/>
    </row>
    <row r="77" spans="1:38" ht="21.95" customHeight="1" x14ac:dyDescent="0.2">
      <c r="A77" s="23">
        <v>446217</v>
      </c>
      <c r="B77" s="159">
        <v>16633294</v>
      </c>
      <c r="C77" s="159"/>
      <c r="D77" s="159"/>
      <c r="E77" s="128" t="s">
        <v>126</v>
      </c>
      <c r="F77" s="128"/>
      <c r="G77" s="128"/>
      <c r="H77" s="155" t="s">
        <v>73</v>
      </c>
      <c r="I77" s="155"/>
      <c r="J77" s="155"/>
      <c r="K77" s="155"/>
      <c r="L77" s="155"/>
      <c r="M77" s="155"/>
      <c r="N77" s="155"/>
      <c r="O77" s="130" t="s">
        <v>92</v>
      </c>
      <c r="P77" s="130"/>
      <c r="Q77" s="130"/>
      <c r="R77" s="130"/>
      <c r="S77" s="130"/>
      <c r="T77" s="156">
        <v>45658</v>
      </c>
      <c r="U77" s="156"/>
      <c r="V77" s="78"/>
      <c r="W77" s="78"/>
      <c r="X77" s="78"/>
      <c r="Y77" s="78"/>
      <c r="Z77" s="78"/>
      <c r="AA77" s="16" t="s">
        <v>74</v>
      </c>
      <c r="AB77" s="130" t="s">
        <v>75</v>
      </c>
      <c r="AC77" s="130"/>
      <c r="AD77" s="130"/>
      <c r="AE77" s="130"/>
      <c r="AF77" s="130" t="s">
        <v>76</v>
      </c>
      <c r="AG77" s="130"/>
      <c r="AH77" s="177">
        <v>105</v>
      </c>
      <c r="AI77" s="177"/>
      <c r="AJ77" s="177"/>
      <c r="AK77" s="177"/>
      <c r="AL77" s="2"/>
    </row>
    <row r="78" spans="1:38" ht="12" customHeight="1" x14ac:dyDescent="0.2">
      <c r="A78" s="19">
        <v>443286</v>
      </c>
      <c r="B78" s="137">
        <v>16633294</v>
      </c>
      <c r="C78" s="137"/>
      <c r="D78" s="137"/>
      <c r="E78" s="121" t="s">
        <v>127</v>
      </c>
      <c r="F78" s="121"/>
      <c r="G78" s="121"/>
      <c r="H78" s="138" t="s">
        <v>73</v>
      </c>
      <c r="I78" s="138"/>
      <c r="J78" s="138"/>
      <c r="K78" s="138"/>
      <c r="L78" s="138"/>
      <c r="M78" s="138"/>
      <c r="N78" s="138"/>
      <c r="O78" s="123" t="s">
        <v>92</v>
      </c>
      <c r="P78" s="123"/>
      <c r="Q78" s="123"/>
      <c r="R78" s="123"/>
      <c r="S78" s="123"/>
      <c r="T78" s="153">
        <v>45658</v>
      </c>
      <c r="U78" s="153"/>
      <c r="V78" s="125"/>
      <c r="W78" s="125"/>
      <c r="X78" s="125"/>
      <c r="Y78" s="125"/>
      <c r="Z78" s="125"/>
      <c r="AA78" s="14" t="s">
        <v>74</v>
      </c>
      <c r="AB78" s="123" t="s">
        <v>75</v>
      </c>
      <c r="AC78" s="123"/>
      <c r="AD78" s="123"/>
      <c r="AE78" s="123"/>
      <c r="AF78" s="123" t="s">
        <v>76</v>
      </c>
      <c r="AG78" s="123"/>
      <c r="AH78" s="176">
        <v>105</v>
      </c>
      <c r="AI78" s="176"/>
      <c r="AJ78" s="176"/>
      <c r="AK78" s="176"/>
      <c r="AL78" s="1"/>
    </row>
    <row r="79" spans="1:38" ht="21.95" customHeight="1" x14ac:dyDescent="0.2">
      <c r="A79" s="23">
        <v>443292</v>
      </c>
      <c r="B79" s="159">
        <v>16633294</v>
      </c>
      <c r="C79" s="159"/>
      <c r="D79" s="159"/>
      <c r="E79" s="128" t="s">
        <v>128</v>
      </c>
      <c r="F79" s="128"/>
      <c r="G79" s="128"/>
      <c r="H79" s="155" t="s">
        <v>73</v>
      </c>
      <c r="I79" s="155"/>
      <c r="J79" s="155"/>
      <c r="K79" s="155"/>
      <c r="L79" s="155"/>
      <c r="M79" s="155"/>
      <c r="N79" s="155"/>
      <c r="O79" s="130" t="s">
        <v>92</v>
      </c>
      <c r="P79" s="130"/>
      <c r="Q79" s="130"/>
      <c r="R79" s="130"/>
      <c r="S79" s="130"/>
      <c r="T79" s="156">
        <v>45658</v>
      </c>
      <c r="U79" s="156"/>
      <c r="V79" s="78"/>
      <c r="W79" s="78"/>
      <c r="X79" s="78"/>
      <c r="Y79" s="78"/>
      <c r="Z79" s="78"/>
      <c r="AA79" s="16" t="s">
        <v>74</v>
      </c>
      <c r="AB79" s="130" t="s">
        <v>75</v>
      </c>
      <c r="AC79" s="130"/>
      <c r="AD79" s="130"/>
      <c r="AE79" s="130"/>
      <c r="AF79" s="130" t="s">
        <v>76</v>
      </c>
      <c r="AG79" s="130"/>
      <c r="AH79" s="177">
        <v>105</v>
      </c>
      <c r="AI79" s="177"/>
      <c r="AJ79" s="177"/>
      <c r="AK79" s="177"/>
      <c r="AL79" s="2"/>
    </row>
    <row r="80" spans="1:38" ht="12" customHeight="1" x14ac:dyDescent="0.2">
      <c r="A80" s="19">
        <v>444212</v>
      </c>
      <c r="B80" s="137">
        <v>16633294</v>
      </c>
      <c r="C80" s="137"/>
      <c r="D80" s="137"/>
      <c r="E80" s="121" t="s">
        <v>129</v>
      </c>
      <c r="F80" s="121"/>
      <c r="G80" s="121"/>
      <c r="H80" s="138" t="s">
        <v>73</v>
      </c>
      <c r="I80" s="138"/>
      <c r="J80" s="138"/>
      <c r="K80" s="138"/>
      <c r="L80" s="138"/>
      <c r="M80" s="138"/>
      <c r="N80" s="138"/>
      <c r="O80" s="123" t="s">
        <v>92</v>
      </c>
      <c r="P80" s="123"/>
      <c r="Q80" s="123"/>
      <c r="R80" s="123"/>
      <c r="S80" s="123"/>
      <c r="T80" s="153">
        <v>45658</v>
      </c>
      <c r="U80" s="153"/>
      <c r="V80" s="125"/>
      <c r="W80" s="125"/>
      <c r="X80" s="125"/>
      <c r="Y80" s="125"/>
      <c r="Z80" s="125"/>
      <c r="AA80" s="14" t="s">
        <v>74</v>
      </c>
      <c r="AB80" s="123" t="s">
        <v>75</v>
      </c>
      <c r="AC80" s="123"/>
      <c r="AD80" s="123"/>
      <c r="AE80" s="123"/>
      <c r="AF80" s="123" t="s">
        <v>76</v>
      </c>
      <c r="AG80" s="123"/>
      <c r="AH80" s="176">
        <v>105</v>
      </c>
      <c r="AI80" s="176"/>
      <c r="AJ80" s="176"/>
      <c r="AK80" s="176"/>
      <c r="AL80" s="1"/>
    </row>
    <row r="81" spans="1:38" ht="21.95" customHeight="1" x14ac:dyDescent="0.2">
      <c r="A81" s="23">
        <v>443209</v>
      </c>
      <c r="B81" s="159">
        <v>16633294</v>
      </c>
      <c r="C81" s="159"/>
      <c r="D81" s="159"/>
      <c r="E81" s="128" t="s">
        <v>130</v>
      </c>
      <c r="F81" s="128"/>
      <c r="G81" s="128"/>
      <c r="H81" s="155" t="s">
        <v>73</v>
      </c>
      <c r="I81" s="155"/>
      <c r="J81" s="155"/>
      <c r="K81" s="155"/>
      <c r="L81" s="155"/>
      <c r="M81" s="155"/>
      <c r="N81" s="155"/>
      <c r="O81" s="130" t="s">
        <v>92</v>
      </c>
      <c r="P81" s="130"/>
      <c r="Q81" s="130"/>
      <c r="R81" s="130"/>
      <c r="S81" s="130"/>
      <c r="T81" s="156">
        <v>45658</v>
      </c>
      <c r="U81" s="156"/>
      <c r="V81" s="78"/>
      <c r="W81" s="78"/>
      <c r="X81" s="78"/>
      <c r="Y81" s="78"/>
      <c r="Z81" s="78"/>
      <c r="AA81" s="16" t="s">
        <v>74</v>
      </c>
      <c r="AB81" s="130" t="s">
        <v>75</v>
      </c>
      <c r="AC81" s="130"/>
      <c r="AD81" s="130"/>
      <c r="AE81" s="130"/>
      <c r="AF81" s="130" t="s">
        <v>76</v>
      </c>
      <c r="AG81" s="130"/>
      <c r="AH81" s="177">
        <v>105</v>
      </c>
      <c r="AI81" s="177"/>
      <c r="AJ81" s="177"/>
      <c r="AK81" s="177"/>
      <c r="AL81" s="2"/>
    </row>
    <row r="82" spans="1:38" ht="12" customHeight="1" x14ac:dyDescent="0.2">
      <c r="A82" s="19">
        <v>440990</v>
      </c>
      <c r="B82" s="137">
        <v>16633294</v>
      </c>
      <c r="C82" s="137"/>
      <c r="D82" s="137"/>
      <c r="E82" s="121" t="s">
        <v>131</v>
      </c>
      <c r="F82" s="121"/>
      <c r="G82" s="121"/>
      <c r="H82" s="138" t="s">
        <v>73</v>
      </c>
      <c r="I82" s="138"/>
      <c r="J82" s="138"/>
      <c r="K82" s="138"/>
      <c r="L82" s="138"/>
      <c r="M82" s="138"/>
      <c r="N82" s="138"/>
      <c r="O82" s="123" t="s">
        <v>92</v>
      </c>
      <c r="P82" s="123"/>
      <c r="Q82" s="123"/>
      <c r="R82" s="123"/>
      <c r="S82" s="123"/>
      <c r="T82" s="153">
        <v>45658</v>
      </c>
      <c r="U82" s="153"/>
      <c r="V82" s="125"/>
      <c r="W82" s="125"/>
      <c r="X82" s="125"/>
      <c r="Y82" s="125"/>
      <c r="Z82" s="125"/>
      <c r="AA82" s="14" t="s">
        <v>74</v>
      </c>
      <c r="AB82" s="123" t="s">
        <v>75</v>
      </c>
      <c r="AC82" s="123"/>
      <c r="AD82" s="123"/>
      <c r="AE82" s="123"/>
      <c r="AF82" s="123" t="s">
        <v>76</v>
      </c>
      <c r="AG82" s="123"/>
      <c r="AH82" s="176">
        <v>105</v>
      </c>
      <c r="AI82" s="176"/>
      <c r="AJ82" s="176"/>
      <c r="AK82" s="176"/>
      <c r="AL82" s="1"/>
    </row>
    <row r="83" spans="1:38" ht="21.95" customHeight="1" x14ac:dyDescent="0.2">
      <c r="A83" s="23">
        <v>445753</v>
      </c>
      <c r="B83" s="159">
        <v>16633294</v>
      </c>
      <c r="C83" s="159"/>
      <c r="D83" s="159"/>
      <c r="E83" s="128" t="s">
        <v>132</v>
      </c>
      <c r="F83" s="128"/>
      <c r="G83" s="128"/>
      <c r="H83" s="155" t="s">
        <v>73</v>
      </c>
      <c r="I83" s="155"/>
      <c r="J83" s="155"/>
      <c r="K83" s="155"/>
      <c r="L83" s="155"/>
      <c r="M83" s="155"/>
      <c r="N83" s="155"/>
      <c r="O83" s="130" t="s">
        <v>92</v>
      </c>
      <c r="P83" s="130"/>
      <c r="Q83" s="130"/>
      <c r="R83" s="130"/>
      <c r="S83" s="130"/>
      <c r="T83" s="156">
        <v>45658</v>
      </c>
      <c r="U83" s="156"/>
      <c r="V83" s="78"/>
      <c r="W83" s="78"/>
      <c r="X83" s="78"/>
      <c r="Y83" s="78"/>
      <c r="Z83" s="78"/>
      <c r="AA83" s="16" t="s">
        <v>74</v>
      </c>
      <c r="AB83" s="130" t="s">
        <v>75</v>
      </c>
      <c r="AC83" s="130"/>
      <c r="AD83" s="130"/>
      <c r="AE83" s="130"/>
      <c r="AF83" s="130" t="s">
        <v>76</v>
      </c>
      <c r="AG83" s="130"/>
      <c r="AH83" s="177">
        <v>105</v>
      </c>
      <c r="AI83" s="177"/>
      <c r="AJ83" s="177"/>
      <c r="AK83" s="177"/>
      <c r="AL83" s="2"/>
    </row>
    <row r="84" spans="1:38" ht="12" customHeight="1" x14ac:dyDescent="0.2">
      <c r="A84" s="19">
        <v>446673</v>
      </c>
      <c r="B84" s="137">
        <v>16633294</v>
      </c>
      <c r="C84" s="137"/>
      <c r="D84" s="137"/>
      <c r="E84" s="121" t="s">
        <v>133</v>
      </c>
      <c r="F84" s="121"/>
      <c r="G84" s="121"/>
      <c r="H84" s="138" t="s">
        <v>73</v>
      </c>
      <c r="I84" s="138"/>
      <c r="J84" s="138"/>
      <c r="K84" s="138"/>
      <c r="L84" s="138"/>
      <c r="M84" s="138"/>
      <c r="N84" s="138"/>
      <c r="O84" s="123" t="s">
        <v>92</v>
      </c>
      <c r="P84" s="123"/>
      <c r="Q84" s="123"/>
      <c r="R84" s="123"/>
      <c r="S84" s="123"/>
      <c r="T84" s="153">
        <v>45658</v>
      </c>
      <c r="U84" s="153"/>
      <c r="V84" s="125"/>
      <c r="W84" s="125"/>
      <c r="X84" s="125"/>
      <c r="Y84" s="125"/>
      <c r="Z84" s="125"/>
      <c r="AA84" s="14" t="s">
        <v>74</v>
      </c>
      <c r="AB84" s="123" t="s">
        <v>75</v>
      </c>
      <c r="AC84" s="123"/>
      <c r="AD84" s="123"/>
      <c r="AE84" s="123"/>
      <c r="AF84" s="123" t="s">
        <v>76</v>
      </c>
      <c r="AG84" s="123"/>
      <c r="AH84" s="176">
        <v>105</v>
      </c>
      <c r="AI84" s="176"/>
      <c r="AJ84" s="176"/>
      <c r="AK84" s="176"/>
      <c r="AL84" s="1"/>
    </row>
    <row r="85" spans="1:38" ht="23.1" customHeight="1" x14ac:dyDescent="0.2">
      <c r="A85" s="23">
        <v>446121</v>
      </c>
      <c r="B85" s="159">
        <v>16633294</v>
      </c>
      <c r="C85" s="159"/>
      <c r="D85" s="159"/>
      <c r="E85" s="128" t="s">
        <v>134</v>
      </c>
      <c r="F85" s="128"/>
      <c r="G85" s="128"/>
      <c r="H85" s="155" t="s">
        <v>73</v>
      </c>
      <c r="I85" s="155"/>
      <c r="J85" s="155"/>
      <c r="K85" s="155"/>
      <c r="L85" s="155"/>
      <c r="M85" s="155"/>
      <c r="N85" s="155"/>
      <c r="O85" s="130" t="s">
        <v>92</v>
      </c>
      <c r="P85" s="130"/>
      <c r="Q85" s="130"/>
      <c r="R85" s="130"/>
      <c r="S85" s="130"/>
      <c r="T85" s="156">
        <v>45658</v>
      </c>
      <c r="U85" s="156"/>
      <c r="V85" s="78"/>
      <c r="W85" s="78"/>
      <c r="X85" s="78"/>
      <c r="Y85" s="78"/>
      <c r="Z85" s="78"/>
      <c r="AA85" s="16" t="s">
        <v>74</v>
      </c>
      <c r="AB85" s="130" t="s">
        <v>75</v>
      </c>
      <c r="AC85" s="130"/>
      <c r="AD85" s="130"/>
      <c r="AE85" s="130"/>
      <c r="AF85" s="130" t="s">
        <v>76</v>
      </c>
      <c r="AG85" s="130"/>
      <c r="AH85" s="177">
        <v>105</v>
      </c>
      <c r="AI85" s="177"/>
      <c r="AJ85" s="177"/>
      <c r="AK85" s="177"/>
      <c r="AL85" s="2"/>
    </row>
    <row r="86" spans="1:38" ht="12" customHeight="1" x14ac:dyDescent="0.2">
      <c r="A86" s="19">
        <v>447931</v>
      </c>
      <c r="B86" s="137">
        <v>16633294</v>
      </c>
      <c r="C86" s="137"/>
      <c r="D86" s="137"/>
      <c r="E86" s="121" t="s">
        <v>135</v>
      </c>
      <c r="F86" s="121"/>
      <c r="G86" s="121"/>
      <c r="H86" s="138" t="s">
        <v>73</v>
      </c>
      <c r="I86" s="138"/>
      <c r="J86" s="138"/>
      <c r="K86" s="138"/>
      <c r="L86" s="138"/>
      <c r="M86" s="138"/>
      <c r="N86" s="138"/>
      <c r="O86" s="123" t="s">
        <v>92</v>
      </c>
      <c r="P86" s="123"/>
      <c r="Q86" s="123"/>
      <c r="R86" s="123"/>
      <c r="S86" s="123"/>
      <c r="T86" s="153">
        <v>45658</v>
      </c>
      <c r="U86" s="153"/>
      <c r="V86" s="125"/>
      <c r="W86" s="125"/>
      <c r="X86" s="125"/>
      <c r="Y86" s="125"/>
      <c r="Z86" s="125"/>
      <c r="AA86" s="14" t="s">
        <v>74</v>
      </c>
      <c r="AB86" s="123" t="s">
        <v>75</v>
      </c>
      <c r="AC86" s="123"/>
      <c r="AD86" s="123"/>
      <c r="AE86" s="123"/>
      <c r="AF86" s="123" t="s">
        <v>76</v>
      </c>
      <c r="AG86" s="123"/>
      <c r="AH86" s="176">
        <v>105</v>
      </c>
      <c r="AI86" s="176"/>
      <c r="AJ86" s="176"/>
      <c r="AK86" s="176"/>
      <c r="AL86" s="1"/>
    </row>
    <row r="87" spans="1:38" ht="21" customHeight="1" x14ac:dyDescent="0.2">
      <c r="A87" s="23">
        <v>443229</v>
      </c>
      <c r="B87" s="159">
        <v>16633294</v>
      </c>
      <c r="C87" s="159"/>
      <c r="D87" s="159"/>
      <c r="E87" s="128" t="s">
        <v>136</v>
      </c>
      <c r="F87" s="128"/>
      <c r="G87" s="128"/>
      <c r="H87" s="155" t="s">
        <v>73</v>
      </c>
      <c r="I87" s="155"/>
      <c r="J87" s="155"/>
      <c r="K87" s="155"/>
      <c r="L87" s="155"/>
      <c r="M87" s="155"/>
      <c r="N87" s="155"/>
      <c r="O87" s="130" t="s">
        <v>92</v>
      </c>
      <c r="P87" s="130"/>
      <c r="Q87" s="130"/>
      <c r="R87" s="130"/>
      <c r="S87" s="130"/>
      <c r="T87" s="156">
        <v>45658</v>
      </c>
      <c r="U87" s="156"/>
      <c r="V87" s="78"/>
      <c r="W87" s="78"/>
      <c r="X87" s="78"/>
      <c r="Y87" s="78"/>
      <c r="Z87" s="78"/>
      <c r="AA87" s="16" t="s">
        <v>74</v>
      </c>
      <c r="AB87" s="130" t="s">
        <v>75</v>
      </c>
      <c r="AC87" s="130"/>
      <c r="AD87" s="130"/>
      <c r="AE87" s="130"/>
      <c r="AF87" s="130" t="s">
        <v>76</v>
      </c>
      <c r="AG87" s="130"/>
      <c r="AH87" s="177">
        <v>105</v>
      </c>
      <c r="AI87" s="177"/>
      <c r="AJ87" s="177"/>
      <c r="AK87" s="177"/>
      <c r="AL87" s="2"/>
    </row>
    <row r="88" spans="1:38" ht="12.95" customHeight="1" x14ac:dyDescent="0.2">
      <c r="A88" s="19">
        <v>443227</v>
      </c>
      <c r="B88" s="137">
        <v>16633294</v>
      </c>
      <c r="C88" s="137"/>
      <c r="D88" s="137"/>
      <c r="E88" s="121" t="s">
        <v>137</v>
      </c>
      <c r="F88" s="121"/>
      <c r="G88" s="121"/>
      <c r="H88" s="138" t="s">
        <v>73</v>
      </c>
      <c r="I88" s="138"/>
      <c r="J88" s="138"/>
      <c r="K88" s="138"/>
      <c r="L88" s="138"/>
      <c r="M88" s="138"/>
      <c r="N88" s="138"/>
      <c r="O88" s="123" t="s">
        <v>92</v>
      </c>
      <c r="P88" s="123"/>
      <c r="Q88" s="123"/>
      <c r="R88" s="123"/>
      <c r="S88" s="123"/>
      <c r="T88" s="153">
        <v>45658</v>
      </c>
      <c r="U88" s="153"/>
      <c r="V88" s="125"/>
      <c r="W88" s="125"/>
      <c r="X88" s="125"/>
      <c r="Y88" s="125"/>
      <c r="Z88" s="125"/>
      <c r="AA88" s="14" t="s">
        <v>74</v>
      </c>
      <c r="AB88" s="123" t="s">
        <v>75</v>
      </c>
      <c r="AC88" s="123"/>
      <c r="AD88" s="123"/>
      <c r="AE88" s="123"/>
      <c r="AF88" s="123" t="s">
        <v>76</v>
      </c>
      <c r="AG88" s="123"/>
      <c r="AH88" s="176">
        <v>105</v>
      </c>
      <c r="AI88" s="176"/>
      <c r="AJ88" s="176"/>
      <c r="AK88" s="176"/>
      <c r="AL88" s="1"/>
    </row>
    <row r="89" spans="1:38" ht="21.95" customHeight="1" x14ac:dyDescent="0.2">
      <c r="A89" s="23">
        <v>448301</v>
      </c>
      <c r="B89" s="159">
        <v>16633294</v>
      </c>
      <c r="C89" s="159"/>
      <c r="D89" s="159"/>
      <c r="E89" s="128" t="s">
        <v>138</v>
      </c>
      <c r="F89" s="128"/>
      <c r="G89" s="128"/>
      <c r="H89" s="155" t="s">
        <v>73</v>
      </c>
      <c r="I89" s="155"/>
      <c r="J89" s="155"/>
      <c r="K89" s="155"/>
      <c r="L89" s="155"/>
      <c r="M89" s="155"/>
      <c r="N89" s="155"/>
      <c r="O89" s="130" t="s">
        <v>92</v>
      </c>
      <c r="P89" s="130"/>
      <c r="Q89" s="130"/>
      <c r="R89" s="130"/>
      <c r="S89" s="130"/>
      <c r="T89" s="156">
        <v>45658</v>
      </c>
      <c r="U89" s="156"/>
      <c r="V89" s="78"/>
      <c r="W89" s="78"/>
      <c r="X89" s="78"/>
      <c r="Y89" s="78"/>
      <c r="Z89" s="78"/>
      <c r="AA89" s="16" t="s">
        <v>74</v>
      </c>
      <c r="AB89" s="130" t="s">
        <v>95</v>
      </c>
      <c r="AC89" s="130"/>
      <c r="AD89" s="130"/>
      <c r="AE89" s="130"/>
      <c r="AF89" s="130" t="s">
        <v>76</v>
      </c>
      <c r="AG89" s="130"/>
      <c r="AH89" s="177">
        <v>210</v>
      </c>
      <c r="AI89" s="177"/>
      <c r="AJ89" s="177"/>
      <c r="AK89" s="177"/>
      <c r="AL89" s="2"/>
    </row>
    <row r="90" spans="1:38" ht="12.2" customHeight="1" x14ac:dyDescent="0.2">
      <c r="A90" s="19">
        <v>439729</v>
      </c>
      <c r="B90" s="137">
        <v>16633294</v>
      </c>
      <c r="C90" s="137"/>
      <c r="D90" s="137"/>
      <c r="E90" s="121" t="s">
        <v>139</v>
      </c>
      <c r="F90" s="121"/>
      <c r="G90" s="121"/>
      <c r="H90" s="138" t="s">
        <v>73</v>
      </c>
      <c r="I90" s="138"/>
      <c r="J90" s="138"/>
      <c r="K90" s="138"/>
      <c r="L90" s="138"/>
      <c r="M90" s="138"/>
      <c r="N90" s="138"/>
      <c r="O90" s="123" t="s">
        <v>140</v>
      </c>
      <c r="P90" s="123"/>
      <c r="Q90" s="123"/>
      <c r="R90" s="123"/>
      <c r="S90" s="123"/>
      <c r="T90" s="153">
        <v>45597</v>
      </c>
      <c r="U90" s="153"/>
      <c r="V90" s="125"/>
      <c r="W90" s="125"/>
      <c r="X90" s="125"/>
      <c r="Y90" s="125"/>
      <c r="Z90" s="125"/>
      <c r="AA90" s="14" t="s">
        <v>141</v>
      </c>
      <c r="AB90" s="123" t="s">
        <v>95</v>
      </c>
      <c r="AC90" s="123"/>
      <c r="AD90" s="123"/>
      <c r="AE90" s="123"/>
      <c r="AF90" s="123" t="s">
        <v>76</v>
      </c>
      <c r="AG90" s="123"/>
      <c r="AH90" s="176">
        <v>470</v>
      </c>
      <c r="AI90" s="176"/>
      <c r="AJ90" s="176"/>
      <c r="AK90" s="176"/>
      <c r="AL90" s="1"/>
    </row>
    <row r="91" spans="1:38" ht="24.75" customHeight="1" x14ac:dyDescent="0.2">
      <c r="A91" s="178" t="s">
        <v>142</v>
      </c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78"/>
      <c r="AI91" s="178"/>
      <c r="AJ91" s="178"/>
      <c r="AK91" s="178"/>
      <c r="AL91" s="178"/>
    </row>
    <row r="92" spans="1:38" ht="13.5" customHeight="1" x14ac:dyDescent="0.2">
      <c r="A92" s="100" t="s">
        <v>143</v>
      </c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"/>
    </row>
    <row r="93" spans="1:38" ht="24.2" customHeight="1" x14ac:dyDescent="0.2">
      <c r="A93" s="9" t="s">
        <v>116</v>
      </c>
      <c r="B93" s="118" t="s">
        <v>80</v>
      </c>
      <c r="C93" s="118"/>
      <c r="D93" s="118"/>
      <c r="E93" s="115" t="s">
        <v>81</v>
      </c>
      <c r="F93" s="115"/>
      <c r="G93" s="115"/>
      <c r="H93" s="116" t="s">
        <v>82</v>
      </c>
      <c r="I93" s="116"/>
      <c r="J93" s="116"/>
      <c r="K93" s="116"/>
      <c r="L93" s="116"/>
      <c r="M93" s="116"/>
      <c r="N93" s="116"/>
      <c r="O93" s="117" t="s">
        <v>83</v>
      </c>
      <c r="P93" s="117"/>
      <c r="Q93" s="117"/>
      <c r="R93" s="117"/>
      <c r="S93" s="117"/>
      <c r="T93" s="117" t="s">
        <v>84</v>
      </c>
      <c r="U93" s="117"/>
      <c r="V93" s="118" t="s">
        <v>85</v>
      </c>
      <c r="W93" s="118"/>
      <c r="X93" s="118"/>
      <c r="Y93" s="118" t="s">
        <v>86</v>
      </c>
      <c r="Z93" s="118"/>
      <c r="AA93" s="11" t="s">
        <v>87</v>
      </c>
      <c r="AB93" s="117" t="s">
        <v>88</v>
      </c>
      <c r="AC93" s="117"/>
      <c r="AD93" s="117"/>
      <c r="AE93" s="117"/>
      <c r="AF93" s="118" t="s">
        <v>89</v>
      </c>
      <c r="AG93" s="118"/>
      <c r="AH93" s="117" t="s">
        <v>90</v>
      </c>
      <c r="AI93" s="117"/>
      <c r="AJ93" s="117"/>
      <c r="AK93" s="117"/>
      <c r="AL93" s="2"/>
    </row>
    <row r="94" spans="1:38" ht="15.2" customHeight="1" x14ac:dyDescent="0.2">
      <c r="A94" s="21">
        <v>439729</v>
      </c>
      <c r="B94" s="168">
        <v>16633294</v>
      </c>
      <c r="C94" s="168"/>
      <c r="D94" s="168"/>
      <c r="E94" s="147" t="s">
        <v>139</v>
      </c>
      <c r="F94" s="147"/>
      <c r="G94" s="147"/>
      <c r="H94" s="148" t="s">
        <v>73</v>
      </c>
      <c r="I94" s="148"/>
      <c r="J94" s="148"/>
      <c r="K94" s="148"/>
      <c r="L94" s="148"/>
      <c r="M94" s="148"/>
      <c r="N94" s="148"/>
      <c r="O94" s="149" t="s">
        <v>140</v>
      </c>
      <c r="P94" s="149"/>
      <c r="Q94" s="149"/>
      <c r="R94" s="149"/>
      <c r="S94" s="149"/>
      <c r="T94" s="150">
        <v>45597</v>
      </c>
      <c r="U94" s="150"/>
      <c r="V94" s="119"/>
      <c r="W94" s="119"/>
      <c r="X94" s="119"/>
      <c r="Y94" s="119"/>
      <c r="Z94" s="119"/>
      <c r="AA94" s="22" t="s">
        <v>74</v>
      </c>
      <c r="AB94" s="149" t="s">
        <v>144</v>
      </c>
      <c r="AC94" s="149"/>
      <c r="AD94" s="149"/>
      <c r="AE94" s="149"/>
      <c r="AF94" s="149" t="s">
        <v>76</v>
      </c>
      <c r="AG94" s="149"/>
      <c r="AH94" s="179">
        <v>8.75</v>
      </c>
      <c r="AI94" s="179"/>
      <c r="AJ94" s="179"/>
      <c r="AK94" s="179"/>
      <c r="AL94" s="1"/>
    </row>
    <row r="95" spans="1:38" ht="30.6" customHeight="1" x14ac:dyDescent="0.2">
      <c r="A95" s="180" t="s">
        <v>145</v>
      </c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80"/>
      <c r="AI95" s="180"/>
      <c r="AJ95" s="180"/>
      <c r="AK95" s="180"/>
      <c r="AL95" s="2"/>
    </row>
    <row r="96" spans="1:38" ht="24.6" customHeight="1" x14ac:dyDescent="0.2">
      <c r="A96" s="24" t="s">
        <v>146</v>
      </c>
      <c r="B96" s="136" t="s">
        <v>147</v>
      </c>
      <c r="C96" s="136"/>
      <c r="D96" s="136"/>
      <c r="E96" s="136" t="s">
        <v>148</v>
      </c>
      <c r="F96" s="136"/>
      <c r="G96" s="136"/>
      <c r="H96" s="181" t="s">
        <v>149</v>
      </c>
      <c r="I96" s="181"/>
      <c r="J96" s="181"/>
      <c r="K96" s="181"/>
      <c r="L96" s="181"/>
      <c r="M96" s="181"/>
      <c r="N96" s="181"/>
      <c r="O96" s="105" t="s">
        <v>150</v>
      </c>
      <c r="P96" s="105"/>
      <c r="Q96" s="105"/>
      <c r="R96" s="105"/>
      <c r="S96" s="105"/>
      <c r="T96" s="105" t="s">
        <v>151</v>
      </c>
      <c r="U96" s="105"/>
      <c r="V96" s="136" t="s">
        <v>152</v>
      </c>
      <c r="W96" s="136"/>
      <c r="X96" s="136"/>
      <c r="Y96" s="136" t="s">
        <v>153</v>
      </c>
      <c r="Z96" s="136"/>
      <c r="AA96" s="18" t="s">
        <v>154</v>
      </c>
      <c r="AB96" s="105" t="s">
        <v>155</v>
      </c>
      <c r="AC96" s="105"/>
      <c r="AD96" s="105"/>
      <c r="AE96" s="105"/>
      <c r="AF96" s="136" t="s">
        <v>156</v>
      </c>
      <c r="AG96" s="136"/>
      <c r="AH96" s="105" t="s">
        <v>157</v>
      </c>
      <c r="AI96" s="105"/>
      <c r="AJ96" s="105"/>
      <c r="AK96" s="105"/>
      <c r="AL96" s="2"/>
    </row>
    <row r="97" spans="1:38" ht="27.75" customHeight="1" x14ac:dyDescent="0.2">
      <c r="A97" s="2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2"/>
      <c r="S97" s="90" t="s">
        <v>158</v>
      </c>
      <c r="T97" s="90"/>
      <c r="U97" s="90"/>
      <c r="V97" s="90"/>
      <c r="W97" s="90"/>
      <c r="X97" s="2"/>
      <c r="Y97" s="78"/>
      <c r="Z97" s="78"/>
      <c r="AA97" s="2"/>
      <c r="AB97" s="78"/>
      <c r="AC97" s="78"/>
      <c r="AD97" s="78"/>
      <c r="AE97" s="78"/>
      <c r="AF97" s="78"/>
      <c r="AG97" s="78"/>
      <c r="AH97" s="78"/>
      <c r="AI97" s="78"/>
      <c r="AJ97" s="182" t="s">
        <v>159</v>
      </c>
      <c r="AK97" s="182"/>
      <c r="AL97" s="182"/>
    </row>
    <row r="98" spans="1:38" ht="12" customHeight="1" x14ac:dyDescent="0.2">
      <c r="A98" s="114" t="s">
        <v>160</v>
      </c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"/>
      <c r="S98" s="90"/>
      <c r="T98" s="90"/>
      <c r="U98" s="90"/>
      <c r="V98" s="90"/>
      <c r="W98" s="90"/>
      <c r="X98" s="1"/>
      <c r="Y98" s="82"/>
      <c r="Z98" s="82"/>
      <c r="AA98" s="1"/>
      <c r="AB98" s="82"/>
      <c r="AC98" s="82"/>
      <c r="AD98" s="82"/>
      <c r="AE98" s="82"/>
      <c r="AF98" s="82"/>
      <c r="AG98" s="82"/>
      <c r="AH98" s="82"/>
      <c r="AI98" s="82"/>
      <c r="AJ98" s="182"/>
      <c r="AK98" s="182"/>
      <c r="AL98" s="182"/>
    </row>
    <row r="99" spans="1:38" ht="5.25" customHeight="1" x14ac:dyDescent="0.2">
      <c r="A99" s="1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1"/>
      <c r="S99" s="1"/>
      <c r="T99" s="82"/>
      <c r="U99" s="82"/>
      <c r="V99" s="82"/>
      <c r="W99" s="82"/>
      <c r="X99" s="1"/>
      <c r="Y99" s="82"/>
      <c r="Z99" s="82"/>
      <c r="AA99" s="1"/>
      <c r="AB99" s="82"/>
      <c r="AC99" s="82"/>
      <c r="AD99" s="82"/>
      <c r="AE99" s="82"/>
      <c r="AF99" s="82"/>
      <c r="AG99" s="82"/>
      <c r="AH99" s="82"/>
      <c r="AI99" s="82"/>
      <c r="AJ99" s="182"/>
      <c r="AK99" s="182"/>
      <c r="AL99" s="182"/>
    </row>
    <row r="100" spans="1:38" ht="25.5" customHeight="1" x14ac:dyDescent="0.2">
      <c r="A100" s="17" t="s">
        <v>68</v>
      </c>
      <c r="B100" s="101" t="s">
        <v>19</v>
      </c>
      <c r="C100" s="101"/>
      <c r="D100" s="101"/>
      <c r="E100" s="101" t="s">
        <v>20</v>
      </c>
      <c r="F100" s="101"/>
      <c r="G100" s="101"/>
      <c r="H100" s="102" t="s">
        <v>21</v>
      </c>
      <c r="I100" s="102"/>
      <c r="J100" s="102"/>
      <c r="K100" s="102"/>
      <c r="L100" s="102"/>
      <c r="M100" s="102"/>
      <c r="N100" s="102"/>
      <c r="O100" s="103" t="s">
        <v>22</v>
      </c>
      <c r="P100" s="103"/>
      <c r="Q100" s="103"/>
      <c r="R100" s="103"/>
      <c r="S100" s="103"/>
      <c r="T100" s="103" t="s">
        <v>23</v>
      </c>
      <c r="U100" s="103"/>
      <c r="V100" s="101" t="s">
        <v>24</v>
      </c>
      <c r="W100" s="101"/>
      <c r="X100" s="101"/>
      <c r="Y100" s="136" t="s">
        <v>69</v>
      </c>
      <c r="Z100" s="136"/>
      <c r="AA100" s="6" t="s">
        <v>70</v>
      </c>
      <c r="AB100" s="105" t="s">
        <v>71</v>
      </c>
      <c r="AC100" s="105"/>
      <c r="AD100" s="105"/>
      <c r="AE100" s="105"/>
      <c r="AF100" s="104" t="s">
        <v>28</v>
      </c>
      <c r="AG100" s="104"/>
      <c r="AH100" s="105" t="s">
        <v>29</v>
      </c>
      <c r="AI100" s="105"/>
      <c r="AJ100" s="105"/>
      <c r="AK100" s="105"/>
      <c r="AL100" s="2"/>
    </row>
    <row r="101" spans="1:38" ht="5.25" customHeight="1" x14ac:dyDescent="0.2">
      <c r="A101" s="12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2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"/>
    </row>
    <row r="102" spans="1:38" ht="12.6" customHeight="1" x14ac:dyDescent="0.2">
      <c r="A102" s="25">
        <v>445324</v>
      </c>
      <c r="B102" s="183">
        <v>8325282</v>
      </c>
      <c r="C102" s="183"/>
      <c r="D102" s="183"/>
      <c r="E102" s="184" t="s">
        <v>161</v>
      </c>
      <c r="F102" s="184"/>
      <c r="G102" s="184"/>
      <c r="H102" s="185" t="s">
        <v>31</v>
      </c>
      <c r="I102" s="185"/>
      <c r="J102" s="185"/>
      <c r="K102" s="185"/>
      <c r="L102" s="185"/>
      <c r="M102" s="185"/>
      <c r="N102" s="185"/>
      <c r="O102" s="139" t="s">
        <v>32</v>
      </c>
      <c r="P102" s="139"/>
      <c r="Q102" s="139"/>
      <c r="R102" s="139"/>
      <c r="S102" s="139"/>
      <c r="T102" s="186">
        <v>45658</v>
      </c>
      <c r="U102" s="186"/>
      <c r="V102" s="125"/>
      <c r="W102" s="125"/>
      <c r="X102" s="125"/>
      <c r="Y102" s="125"/>
      <c r="Z102" s="125"/>
      <c r="AA102" s="20" t="s">
        <v>33</v>
      </c>
      <c r="AB102" s="187" t="s">
        <v>34</v>
      </c>
      <c r="AC102" s="187"/>
      <c r="AD102" s="187"/>
      <c r="AE102" s="187"/>
      <c r="AF102" s="139" t="s">
        <v>35</v>
      </c>
      <c r="AG102" s="139"/>
      <c r="AH102" s="188">
        <v>313</v>
      </c>
      <c r="AI102" s="188"/>
      <c r="AJ102" s="188"/>
      <c r="AK102" s="188"/>
      <c r="AL102" s="1"/>
    </row>
    <row r="103" spans="1:38" ht="26.85" customHeight="1" x14ac:dyDescent="0.2">
      <c r="A103" s="2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2"/>
      <c r="O103" s="78"/>
      <c r="P103" s="78"/>
      <c r="Q103" s="78"/>
      <c r="R103" s="78"/>
      <c r="S103" s="143" t="s">
        <v>162</v>
      </c>
      <c r="T103" s="143"/>
      <c r="U103" s="143"/>
      <c r="V103" s="143"/>
      <c r="W103" s="143"/>
      <c r="X103" s="2"/>
      <c r="Y103" s="78"/>
      <c r="Z103" s="78"/>
      <c r="AA103" s="2"/>
      <c r="AB103" s="78"/>
      <c r="AC103" s="78"/>
      <c r="AD103" s="78"/>
      <c r="AE103" s="78"/>
      <c r="AF103" s="78"/>
      <c r="AG103" s="78"/>
      <c r="AH103" s="78"/>
      <c r="AI103" s="78"/>
      <c r="AJ103" s="81" t="s">
        <v>163</v>
      </c>
      <c r="AK103" s="81"/>
      <c r="AL103" s="81"/>
    </row>
    <row r="104" spans="1:38" ht="12.75" customHeight="1" x14ac:dyDescent="0.2">
      <c r="A104" s="189" t="s">
        <v>78</v>
      </c>
      <c r="B104" s="189"/>
      <c r="C104" s="189"/>
      <c r="D104" s="189"/>
      <c r="E104" s="189"/>
      <c r="F104" s="189"/>
      <c r="G104" s="189"/>
      <c r="H104" s="189"/>
      <c r="I104" s="189"/>
      <c r="J104" s="189"/>
      <c r="K104" s="78"/>
      <c r="L104" s="78"/>
      <c r="M104" s="78"/>
      <c r="N104" s="175">
        <v>8325282</v>
      </c>
      <c r="O104" s="175"/>
      <c r="P104" s="175"/>
      <c r="Q104" s="78"/>
      <c r="R104" s="78"/>
      <c r="S104" s="143"/>
      <c r="T104" s="143"/>
      <c r="U104" s="143"/>
      <c r="V104" s="143"/>
      <c r="W104" s="143"/>
      <c r="X104" s="2"/>
      <c r="Y104" s="78"/>
      <c r="Z104" s="78"/>
      <c r="AA104" s="2"/>
      <c r="AB104" s="78"/>
      <c r="AC104" s="78"/>
      <c r="AD104" s="78"/>
      <c r="AE104" s="78"/>
      <c r="AF104" s="78"/>
      <c r="AG104" s="78"/>
      <c r="AH104" s="78"/>
      <c r="AI104" s="78"/>
      <c r="AJ104" s="81"/>
      <c r="AK104" s="81"/>
      <c r="AL104" s="81"/>
    </row>
    <row r="105" spans="1:38" ht="5.45" customHeight="1" x14ac:dyDescent="0.2">
      <c r="A105" s="1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1"/>
      <c r="O105" s="82"/>
      <c r="P105" s="82"/>
      <c r="Q105" s="82"/>
      <c r="R105" s="82"/>
      <c r="S105" s="1"/>
      <c r="T105" s="82"/>
      <c r="U105" s="82"/>
      <c r="V105" s="82"/>
      <c r="W105" s="82"/>
      <c r="X105" s="1"/>
      <c r="Y105" s="82"/>
      <c r="Z105" s="82"/>
      <c r="AA105" s="1"/>
      <c r="AB105" s="82"/>
      <c r="AC105" s="82"/>
      <c r="AD105" s="82"/>
      <c r="AE105" s="82"/>
      <c r="AF105" s="82"/>
      <c r="AG105" s="82"/>
      <c r="AH105" s="82"/>
      <c r="AI105" s="82"/>
      <c r="AJ105" s="81"/>
      <c r="AK105" s="81"/>
      <c r="AL105" s="81"/>
    </row>
    <row r="106" spans="1:38" ht="24" customHeight="1" x14ac:dyDescent="0.2">
      <c r="A106" s="9" t="s">
        <v>39</v>
      </c>
      <c r="B106" s="115" t="s">
        <v>40</v>
      </c>
      <c r="C106" s="115"/>
      <c r="D106" s="115"/>
      <c r="E106" s="115" t="s">
        <v>41</v>
      </c>
      <c r="F106" s="115"/>
      <c r="G106" s="115"/>
      <c r="H106" s="116" t="s">
        <v>42</v>
      </c>
      <c r="I106" s="116"/>
      <c r="J106" s="116"/>
      <c r="K106" s="116"/>
      <c r="L106" s="116"/>
      <c r="M106" s="116"/>
      <c r="N106" s="116"/>
      <c r="O106" s="117" t="s">
        <v>43</v>
      </c>
      <c r="P106" s="117"/>
      <c r="Q106" s="117"/>
      <c r="R106" s="117"/>
      <c r="S106" s="117"/>
      <c r="T106" s="117" t="s">
        <v>44</v>
      </c>
      <c r="U106" s="117"/>
      <c r="V106" s="115" t="s">
        <v>45</v>
      </c>
      <c r="W106" s="115"/>
      <c r="X106" s="115"/>
      <c r="Y106" s="115" t="s">
        <v>46</v>
      </c>
      <c r="Z106" s="115"/>
      <c r="AA106" s="11" t="s">
        <v>47</v>
      </c>
      <c r="AB106" s="117" t="s">
        <v>48</v>
      </c>
      <c r="AC106" s="117"/>
      <c r="AD106" s="117"/>
      <c r="AE106" s="117"/>
      <c r="AF106" s="118" t="s">
        <v>49</v>
      </c>
      <c r="AG106" s="118"/>
      <c r="AH106" s="117" t="s">
        <v>50</v>
      </c>
      <c r="AI106" s="117"/>
      <c r="AJ106" s="117"/>
      <c r="AK106" s="117"/>
      <c r="AL106" s="2"/>
    </row>
    <row r="107" spans="1:38" ht="21.95" customHeight="1" x14ac:dyDescent="0.2">
      <c r="A107" s="26">
        <v>443223</v>
      </c>
      <c r="B107" s="190">
        <v>2158366</v>
      </c>
      <c r="C107" s="190"/>
      <c r="D107" s="190"/>
      <c r="E107" s="147" t="s">
        <v>51</v>
      </c>
      <c r="F107" s="147"/>
      <c r="G107" s="147"/>
      <c r="H107" s="191" t="s">
        <v>52</v>
      </c>
      <c r="I107" s="191"/>
      <c r="J107" s="191"/>
      <c r="K107" s="191"/>
      <c r="L107" s="191"/>
      <c r="M107" s="191"/>
      <c r="N107" s="191"/>
      <c r="O107" s="149" t="s">
        <v>53</v>
      </c>
      <c r="P107" s="149"/>
      <c r="Q107" s="149"/>
      <c r="R107" s="149"/>
      <c r="S107" s="149"/>
      <c r="T107" s="192">
        <v>45658</v>
      </c>
      <c r="U107" s="192"/>
      <c r="V107" s="111"/>
      <c r="W107" s="111"/>
      <c r="X107" s="111"/>
      <c r="Y107" s="111"/>
      <c r="Z107" s="111"/>
      <c r="AA107" s="22" t="s">
        <v>54</v>
      </c>
      <c r="AB107" s="149" t="s">
        <v>55</v>
      </c>
      <c r="AC107" s="149"/>
      <c r="AD107" s="149"/>
      <c r="AE107" s="149"/>
      <c r="AF107" s="149" t="s">
        <v>56</v>
      </c>
      <c r="AG107" s="149"/>
      <c r="AH107" s="193">
        <v>313</v>
      </c>
      <c r="AI107" s="193"/>
      <c r="AJ107" s="193"/>
      <c r="AK107" s="193"/>
      <c r="AL107" s="2"/>
    </row>
    <row r="108" spans="1:38" ht="12.75" customHeight="1" x14ac:dyDescent="0.2">
      <c r="A108" s="13">
        <v>439384</v>
      </c>
      <c r="B108" s="120">
        <v>2158366</v>
      </c>
      <c r="C108" s="120"/>
      <c r="D108" s="120"/>
      <c r="E108" s="121" t="s">
        <v>57</v>
      </c>
      <c r="F108" s="121"/>
      <c r="G108" s="121"/>
      <c r="H108" s="122" t="s">
        <v>52</v>
      </c>
      <c r="I108" s="122"/>
      <c r="J108" s="122"/>
      <c r="K108" s="122"/>
      <c r="L108" s="122"/>
      <c r="M108" s="122"/>
      <c r="N108" s="122"/>
      <c r="O108" s="123" t="s">
        <v>53</v>
      </c>
      <c r="P108" s="123"/>
      <c r="Q108" s="123"/>
      <c r="R108" s="123"/>
      <c r="S108" s="123"/>
      <c r="T108" s="194">
        <v>45658</v>
      </c>
      <c r="U108" s="194"/>
      <c r="V108" s="125"/>
      <c r="W108" s="125"/>
      <c r="X108" s="125"/>
      <c r="Y108" s="125"/>
      <c r="Z108" s="125"/>
      <c r="AA108" s="14" t="s">
        <v>54</v>
      </c>
      <c r="AB108" s="123" t="s">
        <v>58</v>
      </c>
      <c r="AC108" s="123"/>
      <c r="AD108" s="123"/>
      <c r="AE108" s="123"/>
      <c r="AF108" s="123" t="s">
        <v>59</v>
      </c>
      <c r="AG108" s="123"/>
      <c r="AH108" s="126">
        <v>313</v>
      </c>
      <c r="AI108" s="126"/>
      <c r="AJ108" s="126"/>
      <c r="AK108" s="126"/>
      <c r="AL108" s="1"/>
    </row>
    <row r="109" spans="1:38" ht="21.95" customHeight="1" x14ac:dyDescent="0.2">
      <c r="A109" s="27">
        <v>439383</v>
      </c>
      <c r="B109" s="127">
        <v>2158366</v>
      </c>
      <c r="C109" s="127"/>
      <c r="D109" s="127"/>
      <c r="E109" s="128" t="s">
        <v>60</v>
      </c>
      <c r="F109" s="128"/>
      <c r="G109" s="128"/>
      <c r="H109" s="129" t="s">
        <v>52</v>
      </c>
      <c r="I109" s="129"/>
      <c r="J109" s="129"/>
      <c r="K109" s="129"/>
      <c r="L109" s="129"/>
      <c r="M109" s="129"/>
      <c r="N109" s="129"/>
      <c r="O109" s="130" t="s">
        <v>53</v>
      </c>
      <c r="P109" s="130"/>
      <c r="Q109" s="130"/>
      <c r="R109" s="130"/>
      <c r="S109" s="130"/>
      <c r="T109" s="133">
        <v>45658</v>
      </c>
      <c r="U109" s="133"/>
      <c r="V109" s="78"/>
      <c r="W109" s="78"/>
      <c r="X109" s="78"/>
      <c r="Y109" s="78"/>
      <c r="Z109" s="78"/>
      <c r="AA109" s="16" t="s">
        <v>61</v>
      </c>
      <c r="AB109" s="130" t="s">
        <v>58</v>
      </c>
      <c r="AC109" s="130"/>
      <c r="AD109" s="130"/>
      <c r="AE109" s="130"/>
      <c r="AF109" s="130" t="s">
        <v>59</v>
      </c>
      <c r="AG109" s="130"/>
      <c r="AH109" s="132">
        <v>313</v>
      </c>
      <c r="AI109" s="132"/>
      <c r="AJ109" s="132"/>
      <c r="AK109" s="132"/>
      <c r="AL109" s="2"/>
    </row>
    <row r="110" spans="1:38" ht="12.75" customHeight="1" x14ac:dyDescent="0.2">
      <c r="A110" s="13">
        <v>444121</v>
      </c>
      <c r="B110" s="120">
        <v>2158366</v>
      </c>
      <c r="C110" s="120"/>
      <c r="D110" s="120"/>
      <c r="E110" s="121" t="s">
        <v>62</v>
      </c>
      <c r="F110" s="121"/>
      <c r="G110" s="121"/>
      <c r="H110" s="122" t="s">
        <v>52</v>
      </c>
      <c r="I110" s="122"/>
      <c r="J110" s="122"/>
      <c r="K110" s="122"/>
      <c r="L110" s="122"/>
      <c r="M110" s="122"/>
      <c r="N110" s="122"/>
      <c r="O110" s="123" t="s">
        <v>53</v>
      </c>
      <c r="P110" s="123"/>
      <c r="Q110" s="123"/>
      <c r="R110" s="123"/>
      <c r="S110" s="123"/>
      <c r="T110" s="124">
        <v>45658</v>
      </c>
      <c r="U110" s="124"/>
      <c r="V110" s="125"/>
      <c r="W110" s="125"/>
      <c r="X110" s="125"/>
      <c r="Y110" s="125"/>
      <c r="Z110" s="125"/>
      <c r="AA110" s="14" t="s">
        <v>54</v>
      </c>
      <c r="AB110" s="123" t="s">
        <v>55</v>
      </c>
      <c r="AC110" s="123"/>
      <c r="AD110" s="123"/>
      <c r="AE110" s="123"/>
      <c r="AF110" s="123" t="s">
        <v>56</v>
      </c>
      <c r="AG110" s="123"/>
      <c r="AH110" s="126">
        <v>313</v>
      </c>
      <c r="AI110" s="126"/>
      <c r="AJ110" s="126"/>
      <c r="AK110" s="126"/>
      <c r="AL110" s="1"/>
    </row>
    <row r="111" spans="1:38" ht="21.95" customHeight="1" x14ac:dyDescent="0.2">
      <c r="A111" s="15">
        <v>442876</v>
      </c>
      <c r="B111" s="127">
        <v>2158366</v>
      </c>
      <c r="C111" s="127"/>
      <c r="D111" s="127"/>
      <c r="E111" s="128" t="s">
        <v>63</v>
      </c>
      <c r="F111" s="128"/>
      <c r="G111" s="128"/>
      <c r="H111" s="129" t="s">
        <v>52</v>
      </c>
      <c r="I111" s="129"/>
      <c r="J111" s="129"/>
      <c r="K111" s="129"/>
      <c r="L111" s="129"/>
      <c r="M111" s="129"/>
      <c r="N111" s="129"/>
      <c r="O111" s="130" t="s">
        <v>53</v>
      </c>
      <c r="P111" s="130"/>
      <c r="Q111" s="130"/>
      <c r="R111" s="130"/>
      <c r="S111" s="130"/>
      <c r="T111" s="131">
        <v>45658</v>
      </c>
      <c r="U111" s="131"/>
      <c r="V111" s="78"/>
      <c r="W111" s="78"/>
      <c r="X111" s="78"/>
      <c r="Y111" s="78"/>
      <c r="Z111" s="78"/>
      <c r="AA111" s="16" t="s">
        <v>54</v>
      </c>
      <c r="AB111" s="130" t="s">
        <v>55</v>
      </c>
      <c r="AC111" s="130"/>
      <c r="AD111" s="130"/>
      <c r="AE111" s="130"/>
      <c r="AF111" s="130" t="s">
        <v>56</v>
      </c>
      <c r="AG111" s="130"/>
      <c r="AH111" s="132">
        <v>313</v>
      </c>
      <c r="AI111" s="132"/>
      <c r="AJ111" s="132"/>
      <c r="AK111" s="132"/>
      <c r="AL111" s="2"/>
    </row>
    <row r="112" spans="1:38" ht="12.75" customHeight="1" x14ac:dyDescent="0.2">
      <c r="A112" s="13">
        <v>445341</v>
      </c>
      <c r="B112" s="120">
        <v>2158366</v>
      </c>
      <c r="C112" s="120"/>
      <c r="D112" s="120"/>
      <c r="E112" s="121" t="s">
        <v>64</v>
      </c>
      <c r="F112" s="121"/>
      <c r="G112" s="121"/>
      <c r="H112" s="122" t="s">
        <v>52</v>
      </c>
      <c r="I112" s="122"/>
      <c r="J112" s="122"/>
      <c r="K112" s="122"/>
      <c r="L112" s="122"/>
      <c r="M112" s="122"/>
      <c r="N112" s="122"/>
      <c r="O112" s="123" t="s">
        <v>65</v>
      </c>
      <c r="P112" s="123"/>
      <c r="Q112" s="123"/>
      <c r="R112" s="123"/>
      <c r="S112" s="123"/>
      <c r="T112" s="124">
        <v>45658</v>
      </c>
      <c r="U112" s="124"/>
      <c r="V112" s="125"/>
      <c r="W112" s="125"/>
      <c r="X112" s="125"/>
      <c r="Y112" s="125"/>
      <c r="Z112" s="125"/>
      <c r="AA112" s="14" t="s">
        <v>54</v>
      </c>
      <c r="AB112" s="123" t="s">
        <v>66</v>
      </c>
      <c r="AC112" s="123"/>
      <c r="AD112" s="123"/>
      <c r="AE112" s="123"/>
      <c r="AF112" s="123" t="s">
        <v>59</v>
      </c>
      <c r="AG112" s="123"/>
      <c r="AH112" s="126">
        <v>626</v>
      </c>
      <c r="AI112" s="126"/>
      <c r="AJ112" s="126"/>
      <c r="AK112" s="126"/>
      <c r="AL112" s="1"/>
    </row>
    <row r="113" spans="1:38" ht="42" customHeight="1" x14ac:dyDescent="0.2">
      <c r="A113" s="134" t="s">
        <v>164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</row>
    <row r="114" spans="1:38" ht="25.5" customHeight="1" x14ac:dyDescent="0.2">
      <c r="A114" s="28" t="s">
        <v>68</v>
      </c>
      <c r="B114" s="195" t="s">
        <v>19</v>
      </c>
      <c r="C114" s="195"/>
      <c r="D114" s="195"/>
      <c r="E114" s="103" t="s">
        <v>20</v>
      </c>
      <c r="F114" s="103"/>
      <c r="G114" s="103"/>
      <c r="H114" s="196" t="s">
        <v>21</v>
      </c>
      <c r="I114" s="196"/>
      <c r="J114" s="196"/>
      <c r="K114" s="196"/>
      <c r="L114" s="196"/>
      <c r="M114" s="196"/>
      <c r="N114" s="196"/>
      <c r="O114" s="165" t="s">
        <v>165</v>
      </c>
      <c r="P114" s="165"/>
      <c r="Q114" s="165"/>
      <c r="R114" s="165"/>
      <c r="S114" s="165"/>
      <c r="T114" s="166" t="s">
        <v>166</v>
      </c>
      <c r="U114" s="166"/>
      <c r="V114" s="103" t="s">
        <v>24</v>
      </c>
      <c r="W114" s="103"/>
      <c r="X114" s="103"/>
      <c r="Y114" s="136" t="s">
        <v>69</v>
      </c>
      <c r="Z114" s="136"/>
      <c r="AA114" s="6" t="s">
        <v>70</v>
      </c>
      <c r="AB114" s="166" t="s">
        <v>167</v>
      </c>
      <c r="AC114" s="166"/>
      <c r="AD114" s="166"/>
      <c r="AE114" s="166"/>
      <c r="AF114" s="104" t="s">
        <v>28</v>
      </c>
      <c r="AG114" s="104"/>
      <c r="AH114" s="166" t="s">
        <v>113</v>
      </c>
      <c r="AI114" s="166"/>
      <c r="AJ114" s="166"/>
      <c r="AK114" s="166"/>
      <c r="AL114" s="2"/>
    </row>
    <row r="115" spans="1:38" ht="26.1" customHeight="1" x14ac:dyDescent="0.2">
      <c r="A115" s="21">
        <v>445359</v>
      </c>
      <c r="B115" s="168">
        <v>19681796</v>
      </c>
      <c r="C115" s="168"/>
      <c r="D115" s="168"/>
      <c r="E115" s="147" t="s">
        <v>72</v>
      </c>
      <c r="F115" s="147"/>
      <c r="G115" s="147"/>
      <c r="H115" s="148" t="s">
        <v>73</v>
      </c>
      <c r="I115" s="148"/>
      <c r="J115" s="148"/>
      <c r="K115" s="148"/>
      <c r="L115" s="148"/>
      <c r="M115" s="148"/>
      <c r="N115" s="148"/>
      <c r="O115" s="109" t="s">
        <v>32</v>
      </c>
      <c r="P115" s="109"/>
      <c r="Q115" s="109"/>
      <c r="R115" s="109"/>
      <c r="S115" s="109"/>
      <c r="T115" s="169">
        <v>45658</v>
      </c>
      <c r="U115" s="169"/>
      <c r="V115" s="111"/>
      <c r="W115" s="111"/>
      <c r="X115" s="111"/>
      <c r="Y115" s="111"/>
      <c r="Z115" s="111"/>
      <c r="AA115" s="22" t="s">
        <v>74</v>
      </c>
      <c r="AB115" s="170" t="s">
        <v>75</v>
      </c>
      <c r="AC115" s="170"/>
      <c r="AD115" s="170"/>
      <c r="AE115" s="170"/>
      <c r="AF115" s="149" t="s">
        <v>76</v>
      </c>
      <c r="AG115" s="149"/>
      <c r="AH115" s="151">
        <v>313</v>
      </c>
      <c r="AI115" s="151"/>
      <c r="AJ115" s="151"/>
      <c r="AK115" s="151"/>
      <c r="AL115" s="2"/>
    </row>
    <row r="116" spans="1:38" ht="18.600000000000001" customHeight="1" x14ac:dyDescent="0.2">
      <c r="A116" s="2"/>
      <c r="B116" s="78"/>
      <c r="C116" s="78"/>
      <c r="D116" s="78"/>
      <c r="E116" s="78"/>
      <c r="F116" s="78"/>
      <c r="G116" s="78"/>
      <c r="H116" s="2"/>
      <c r="I116" s="78"/>
      <c r="J116" s="78"/>
      <c r="K116" s="78"/>
      <c r="L116" s="78"/>
      <c r="M116" s="78"/>
      <c r="N116" s="78"/>
      <c r="O116" s="2"/>
      <c r="P116" s="78"/>
      <c r="Q116" s="78"/>
      <c r="R116" s="78"/>
      <c r="S116" s="81" t="s">
        <v>168</v>
      </c>
      <c r="T116" s="81"/>
      <c r="U116" s="81"/>
      <c r="V116" s="81"/>
      <c r="W116" s="81"/>
      <c r="X116" s="2"/>
      <c r="Y116" s="78"/>
      <c r="Z116" s="78"/>
      <c r="AA116" s="2"/>
      <c r="AB116" s="78"/>
      <c r="AC116" s="78"/>
      <c r="AD116" s="78"/>
      <c r="AE116" s="78"/>
      <c r="AF116" s="78"/>
      <c r="AG116" s="78"/>
      <c r="AH116" s="78"/>
      <c r="AI116" s="78"/>
      <c r="AJ116" s="81" t="s">
        <v>163</v>
      </c>
      <c r="AK116" s="81"/>
      <c r="AL116" s="81"/>
    </row>
    <row r="117" spans="1:38" ht="12.75" customHeight="1" x14ac:dyDescent="0.2">
      <c r="A117" s="144" t="s">
        <v>78</v>
      </c>
      <c r="B117" s="144"/>
      <c r="C117" s="144"/>
      <c r="D117" s="144"/>
      <c r="E117" s="144"/>
      <c r="F117" s="144"/>
      <c r="G117" s="144"/>
      <c r="H117" s="144"/>
      <c r="I117" s="78"/>
      <c r="J117" s="78"/>
      <c r="K117" s="78"/>
      <c r="L117" s="145">
        <v>19681796</v>
      </c>
      <c r="M117" s="145"/>
      <c r="N117" s="145"/>
      <c r="O117" s="145"/>
      <c r="P117" s="78"/>
      <c r="Q117" s="78"/>
      <c r="R117" s="78"/>
      <c r="S117" s="81"/>
      <c r="T117" s="81"/>
      <c r="U117" s="81"/>
      <c r="V117" s="81"/>
      <c r="W117" s="81"/>
      <c r="X117" s="2"/>
      <c r="Y117" s="78"/>
      <c r="Z117" s="78"/>
      <c r="AA117" s="2"/>
      <c r="AB117" s="78"/>
      <c r="AC117" s="78"/>
      <c r="AD117" s="78"/>
      <c r="AE117" s="78"/>
      <c r="AF117" s="78"/>
      <c r="AG117" s="78"/>
      <c r="AH117" s="78"/>
      <c r="AI117" s="78"/>
      <c r="AJ117" s="81"/>
      <c r="AK117" s="81"/>
      <c r="AL117" s="81"/>
    </row>
    <row r="118" spans="1:38" ht="5.45" customHeight="1" x14ac:dyDescent="0.2">
      <c r="A118" s="1"/>
      <c r="B118" s="82"/>
      <c r="C118" s="82"/>
      <c r="D118" s="82"/>
      <c r="E118" s="82"/>
      <c r="F118" s="82"/>
      <c r="G118" s="82"/>
      <c r="H118" s="1"/>
      <c r="I118" s="82"/>
      <c r="J118" s="82"/>
      <c r="K118" s="82"/>
      <c r="L118" s="82"/>
      <c r="M118" s="82"/>
      <c r="N118" s="82"/>
      <c r="O118" s="1"/>
      <c r="P118" s="82"/>
      <c r="Q118" s="82"/>
      <c r="R118" s="82"/>
      <c r="S118" s="1"/>
      <c r="T118" s="82"/>
      <c r="U118" s="82"/>
      <c r="V118" s="82"/>
      <c r="W118" s="82"/>
      <c r="X118" s="1"/>
      <c r="Y118" s="82"/>
      <c r="Z118" s="82"/>
      <c r="AA118" s="1"/>
      <c r="AB118" s="82"/>
      <c r="AC118" s="82"/>
      <c r="AD118" s="82"/>
      <c r="AE118" s="82"/>
      <c r="AF118" s="82"/>
      <c r="AG118" s="82"/>
      <c r="AH118" s="82"/>
      <c r="AI118" s="82"/>
      <c r="AJ118" s="81"/>
      <c r="AK118" s="81"/>
      <c r="AL118" s="81"/>
    </row>
    <row r="119" spans="1:38" ht="24" customHeight="1" x14ac:dyDescent="0.2">
      <c r="A119" s="17" t="s">
        <v>79</v>
      </c>
      <c r="B119" s="115" t="s">
        <v>80</v>
      </c>
      <c r="C119" s="115"/>
      <c r="D119" s="115"/>
      <c r="E119" s="115" t="s">
        <v>81</v>
      </c>
      <c r="F119" s="115"/>
      <c r="G119" s="115"/>
      <c r="H119" s="116" t="s">
        <v>82</v>
      </c>
      <c r="I119" s="116"/>
      <c r="J119" s="116"/>
      <c r="K119" s="116"/>
      <c r="L119" s="116"/>
      <c r="M119" s="116"/>
      <c r="N119" s="116"/>
      <c r="O119" s="117" t="s">
        <v>83</v>
      </c>
      <c r="P119" s="117"/>
      <c r="Q119" s="117"/>
      <c r="R119" s="117"/>
      <c r="S119" s="117"/>
      <c r="T119" s="117" t="s">
        <v>84</v>
      </c>
      <c r="U119" s="117"/>
      <c r="V119" s="115" t="s">
        <v>85</v>
      </c>
      <c r="W119" s="115"/>
      <c r="X119" s="115"/>
      <c r="Y119" s="115" t="s">
        <v>86</v>
      </c>
      <c r="Z119" s="115"/>
      <c r="AA119" s="11" t="s">
        <v>87</v>
      </c>
      <c r="AB119" s="117" t="s">
        <v>88</v>
      </c>
      <c r="AC119" s="117"/>
      <c r="AD119" s="117"/>
      <c r="AE119" s="117"/>
      <c r="AF119" s="118" t="s">
        <v>89</v>
      </c>
      <c r="AG119" s="118"/>
      <c r="AH119" s="117" t="s">
        <v>90</v>
      </c>
      <c r="AI119" s="117"/>
      <c r="AJ119" s="117"/>
      <c r="AK119" s="117"/>
      <c r="AL119" s="2"/>
    </row>
    <row r="120" spans="1:38" ht="5.25" customHeight="1" x14ac:dyDescent="0.2">
      <c r="A120" s="12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2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"/>
    </row>
    <row r="121" spans="1:38" ht="12" customHeight="1" x14ac:dyDescent="0.2">
      <c r="A121" s="19">
        <v>445779</v>
      </c>
      <c r="B121" s="152">
        <v>19645587</v>
      </c>
      <c r="C121" s="152"/>
      <c r="D121" s="152"/>
      <c r="E121" s="121" t="s">
        <v>91</v>
      </c>
      <c r="F121" s="121"/>
      <c r="G121" s="121"/>
      <c r="H121" s="138" t="s">
        <v>73</v>
      </c>
      <c r="I121" s="138"/>
      <c r="J121" s="138"/>
      <c r="K121" s="138"/>
      <c r="L121" s="138"/>
      <c r="M121" s="138"/>
      <c r="N121" s="138"/>
      <c r="O121" s="123" t="s">
        <v>92</v>
      </c>
      <c r="P121" s="123"/>
      <c r="Q121" s="123"/>
      <c r="R121" s="123"/>
      <c r="S121" s="123"/>
      <c r="T121" s="153">
        <v>45658</v>
      </c>
      <c r="U121" s="153"/>
      <c r="V121" s="125"/>
      <c r="W121" s="125"/>
      <c r="X121" s="125"/>
      <c r="Y121" s="125"/>
      <c r="Z121" s="125"/>
      <c r="AA121" s="14" t="s">
        <v>74</v>
      </c>
      <c r="AB121" s="123" t="s">
        <v>75</v>
      </c>
      <c r="AC121" s="123"/>
      <c r="AD121" s="123"/>
      <c r="AE121" s="123"/>
      <c r="AF121" s="123" t="s">
        <v>76</v>
      </c>
      <c r="AG121" s="123"/>
      <c r="AH121" s="142">
        <v>313</v>
      </c>
      <c r="AI121" s="142"/>
      <c r="AJ121" s="142"/>
      <c r="AK121" s="142"/>
      <c r="AL121" s="1"/>
    </row>
    <row r="122" spans="1:38" ht="21.95" customHeight="1" x14ac:dyDescent="0.2">
      <c r="A122" s="23">
        <v>448295</v>
      </c>
      <c r="B122" s="154">
        <v>19645587</v>
      </c>
      <c r="C122" s="154"/>
      <c r="D122" s="154"/>
      <c r="E122" s="128" t="s">
        <v>93</v>
      </c>
      <c r="F122" s="128"/>
      <c r="G122" s="128"/>
      <c r="H122" s="155" t="s">
        <v>73</v>
      </c>
      <c r="I122" s="155"/>
      <c r="J122" s="155"/>
      <c r="K122" s="155"/>
      <c r="L122" s="155"/>
      <c r="M122" s="155"/>
      <c r="N122" s="155"/>
      <c r="O122" s="130" t="s">
        <v>94</v>
      </c>
      <c r="P122" s="130"/>
      <c r="Q122" s="130"/>
      <c r="R122" s="130"/>
      <c r="S122" s="130"/>
      <c r="T122" s="156">
        <v>45658</v>
      </c>
      <c r="U122" s="156"/>
      <c r="V122" s="78"/>
      <c r="W122" s="78"/>
      <c r="X122" s="78"/>
      <c r="Y122" s="78"/>
      <c r="Z122" s="78"/>
      <c r="AA122" s="16" t="s">
        <v>74</v>
      </c>
      <c r="AB122" s="130" t="s">
        <v>95</v>
      </c>
      <c r="AC122" s="130"/>
      <c r="AD122" s="130"/>
      <c r="AE122" s="130"/>
      <c r="AF122" s="130" t="s">
        <v>76</v>
      </c>
      <c r="AG122" s="130"/>
      <c r="AH122" s="157">
        <v>626</v>
      </c>
      <c r="AI122" s="157"/>
      <c r="AJ122" s="157"/>
      <c r="AK122" s="157"/>
      <c r="AL122" s="2"/>
    </row>
    <row r="123" spans="1:38" ht="12.6" customHeight="1" x14ac:dyDescent="0.2">
      <c r="A123" s="19">
        <v>439914</v>
      </c>
      <c r="B123" s="152">
        <v>19645587</v>
      </c>
      <c r="C123" s="152"/>
      <c r="D123" s="152"/>
      <c r="E123" s="121" t="s">
        <v>96</v>
      </c>
      <c r="F123" s="121"/>
      <c r="G123" s="121"/>
      <c r="H123" s="138" t="s">
        <v>73</v>
      </c>
      <c r="I123" s="138"/>
      <c r="J123" s="138"/>
      <c r="K123" s="138"/>
      <c r="L123" s="138"/>
      <c r="M123" s="138"/>
      <c r="N123" s="138"/>
      <c r="O123" s="123" t="s">
        <v>92</v>
      </c>
      <c r="P123" s="123"/>
      <c r="Q123" s="123"/>
      <c r="R123" s="123"/>
      <c r="S123" s="123"/>
      <c r="T123" s="153">
        <v>45658</v>
      </c>
      <c r="U123" s="153"/>
      <c r="V123" s="125"/>
      <c r="W123" s="125"/>
      <c r="X123" s="125"/>
      <c r="Y123" s="125"/>
      <c r="Z123" s="125"/>
      <c r="AA123" s="14" t="s">
        <v>74</v>
      </c>
      <c r="AB123" s="123" t="s">
        <v>75</v>
      </c>
      <c r="AC123" s="123"/>
      <c r="AD123" s="123"/>
      <c r="AE123" s="123"/>
      <c r="AF123" s="123" t="s">
        <v>76</v>
      </c>
      <c r="AG123" s="123"/>
      <c r="AH123" s="142">
        <v>313</v>
      </c>
      <c r="AI123" s="142"/>
      <c r="AJ123" s="142"/>
      <c r="AK123" s="142"/>
      <c r="AL123" s="1"/>
    </row>
    <row r="124" spans="1:38" ht="27.75" customHeight="1" x14ac:dyDescent="0.2">
      <c r="A124" s="2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197" t="s">
        <v>169</v>
      </c>
      <c r="T124" s="197"/>
      <c r="U124" s="197"/>
      <c r="V124" s="197"/>
      <c r="W124" s="197"/>
      <c r="X124" s="2"/>
      <c r="Y124" s="78"/>
      <c r="Z124" s="78"/>
      <c r="AA124" s="2"/>
      <c r="AB124" s="78"/>
      <c r="AC124" s="78"/>
      <c r="AD124" s="78"/>
      <c r="AE124" s="78"/>
      <c r="AF124" s="78"/>
      <c r="AG124" s="78"/>
      <c r="AH124" s="2"/>
      <c r="AI124" s="81" t="s">
        <v>170</v>
      </c>
      <c r="AJ124" s="81"/>
      <c r="AK124" s="81"/>
      <c r="AL124" s="81"/>
    </row>
    <row r="125" spans="1:38" ht="12" customHeight="1" x14ac:dyDescent="0.2">
      <c r="A125" s="158" t="s">
        <v>99</v>
      </c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82"/>
      <c r="R125" s="82"/>
      <c r="S125" s="197"/>
      <c r="T125" s="197"/>
      <c r="U125" s="197"/>
      <c r="V125" s="197"/>
      <c r="W125" s="197"/>
      <c r="X125" s="1"/>
      <c r="Y125" s="82"/>
      <c r="Z125" s="82"/>
      <c r="AA125" s="1"/>
      <c r="AB125" s="82"/>
      <c r="AC125" s="82"/>
      <c r="AD125" s="82"/>
      <c r="AE125" s="82"/>
      <c r="AF125" s="82"/>
      <c r="AG125" s="82"/>
      <c r="AH125" s="1"/>
      <c r="AI125" s="81"/>
      <c r="AJ125" s="81"/>
      <c r="AK125" s="81"/>
      <c r="AL125" s="81"/>
    </row>
    <row r="126" spans="1:38" ht="6" customHeight="1" x14ac:dyDescent="0.2">
      <c r="A126" s="1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1"/>
      <c r="T126" s="82"/>
      <c r="U126" s="82"/>
      <c r="V126" s="82"/>
      <c r="W126" s="82"/>
      <c r="X126" s="1"/>
      <c r="Y126" s="82"/>
      <c r="Z126" s="82"/>
      <c r="AA126" s="1"/>
      <c r="AB126" s="82"/>
      <c r="AC126" s="82"/>
      <c r="AD126" s="82"/>
      <c r="AE126" s="82"/>
      <c r="AF126" s="82"/>
      <c r="AG126" s="82"/>
      <c r="AH126" s="1"/>
      <c r="AI126" s="81"/>
      <c r="AJ126" s="81"/>
      <c r="AK126" s="81"/>
      <c r="AL126" s="81"/>
    </row>
    <row r="127" spans="1:38" ht="24" customHeight="1" x14ac:dyDescent="0.2">
      <c r="A127" s="17" t="s">
        <v>79</v>
      </c>
      <c r="B127" s="118" t="s">
        <v>80</v>
      </c>
      <c r="C127" s="118"/>
      <c r="D127" s="118"/>
      <c r="E127" s="115" t="s">
        <v>81</v>
      </c>
      <c r="F127" s="115"/>
      <c r="G127" s="115"/>
      <c r="H127" s="116" t="s">
        <v>82</v>
      </c>
      <c r="I127" s="116"/>
      <c r="J127" s="116"/>
      <c r="K127" s="116"/>
      <c r="L127" s="116"/>
      <c r="M127" s="116"/>
      <c r="N127" s="116"/>
      <c r="O127" s="117" t="s">
        <v>83</v>
      </c>
      <c r="P127" s="117"/>
      <c r="Q127" s="117"/>
      <c r="R127" s="117"/>
      <c r="S127" s="117"/>
      <c r="T127" s="117" t="s">
        <v>84</v>
      </c>
      <c r="U127" s="117"/>
      <c r="V127" s="115" t="s">
        <v>85</v>
      </c>
      <c r="W127" s="115"/>
      <c r="X127" s="115"/>
      <c r="Y127" s="115" t="s">
        <v>86</v>
      </c>
      <c r="Z127" s="115"/>
      <c r="AA127" s="11" t="s">
        <v>87</v>
      </c>
      <c r="AB127" s="117" t="s">
        <v>88</v>
      </c>
      <c r="AC127" s="117"/>
      <c r="AD127" s="117"/>
      <c r="AE127" s="117"/>
      <c r="AF127" s="118" t="s">
        <v>89</v>
      </c>
      <c r="AG127" s="118"/>
      <c r="AH127" s="117" t="s">
        <v>90</v>
      </c>
      <c r="AI127" s="117"/>
      <c r="AJ127" s="117"/>
      <c r="AK127" s="117"/>
      <c r="AL127" s="2"/>
    </row>
    <row r="128" spans="1:38" ht="21.95" customHeight="1" x14ac:dyDescent="0.2">
      <c r="A128" s="21">
        <v>444055</v>
      </c>
      <c r="B128" s="168">
        <v>19615078</v>
      </c>
      <c r="C128" s="168"/>
      <c r="D128" s="168"/>
      <c r="E128" s="147" t="s">
        <v>100</v>
      </c>
      <c r="F128" s="147"/>
      <c r="G128" s="147"/>
      <c r="H128" s="148" t="s">
        <v>73</v>
      </c>
      <c r="I128" s="148"/>
      <c r="J128" s="148"/>
      <c r="K128" s="148"/>
      <c r="L128" s="148"/>
      <c r="M128" s="148"/>
      <c r="N128" s="148"/>
      <c r="O128" s="109" t="s">
        <v>32</v>
      </c>
      <c r="P128" s="109"/>
      <c r="Q128" s="109"/>
      <c r="R128" s="109"/>
      <c r="S128" s="109"/>
      <c r="T128" s="150">
        <v>45658</v>
      </c>
      <c r="U128" s="150"/>
      <c r="V128" s="111"/>
      <c r="W128" s="111"/>
      <c r="X128" s="111"/>
      <c r="Y128" s="111"/>
      <c r="Z128" s="111"/>
      <c r="AA128" s="22" t="s">
        <v>74</v>
      </c>
      <c r="AB128" s="170" t="s">
        <v>75</v>
      </c>
      <c r="AC128" s="170"/>
      <c r="AD128" s="170"/>
      <c r="AE128" s="170"/>
      <c r="AF128" s="149" t="s">
        <v>76</v>
      </c>
      <c r="AG128" s="149"/>
      <c r="AH128" s="151">
        <v>313</v>
      </c>
      <c r="AI128" s="151"/>
      <c r="AJ128" s="151"/>
      <c r="AK128" s="151"/>
      <c r="AL128" s="2"/>
    </row>
    <row r="129" spans="1:38" ht="12.6" customHeight="1" x14ac:dyDescent="0.2">
      <c r="A129" s="19">
        <v>445830</v>
      </c>
      <c r="B129" s="137">
        <v>19615078</v>
      </c>
      <c r="C129" s="137"/>
      <c r="D129" s="137"/>
      <c r="E129" s="121" t="s">
        <v>101</v>
      </c>
      <c r="F129" s="121"/>
      <c r="G129" s="121"/>
      <c r="H129" s="138" t="s">
        <v>73</v>
      </c>
      <c r="I129" s="138"/>
      <c r="J129" s="138"/>
      <c r="K129" s="138"/>
      <c r="L129" s="138"/>
      <c r="M129" s="138"/>
      <c r="N129" s="138"/>
      <c r="O129" s="139" t="s">
        <v>32</v>
      </c>
      <c r="P129" s="139"/>
      <c r="Q129" s="139"/>
      <c r="R129" s="139"/>
      <c r="S129" s="139"/>
      <c r="T129" s="153">
        <v>45658</v>
      </c>
      <c r="U129" s="153"/>
      <c r="V129" s="125"/>
      <c r="W129" s="125"/>
      <c r="X129" s="125"/>
      <c r="Y129" s="125"/>
      <c r="Z129" s="125"/>
      <c r="AA129" s="14" t="s">
        <v>74</v>
      </c>
      <c r="AB129" s="141" t="s">
        <v>75</v>
      </c>
      <c r="AC129" s="141"/>
      <c r="AD129" s="141"/>
      <c r="AE129" s="141"/>
      <c r="AF129" s="123" t="s">
        <v>76</v>
      </c>
      <c r="AG129" s="123"/>
      <c r="AH129" s="142">
        <v>313</v>
      </c>
      <c r="AI129" s="142"/>
      <c r="AJ129" s="142"/>
      <c r="AK129" s="142"/>
      <c r="AL129" s="1"/>
    </row>
    <row r="130" spans="1:38" ht="26.85" customHeight="1" x14ac:dyDescent="0.2">
      <c r="A130" s="2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2"/>
      <c r="P130" s="78"/>
      <c r="Q130" s="78"/>
      <c r="R130" s="78"/>
      <c r="S130" s="197" t="s">
        <v>171</v>
      </c>
      <c r="T130" s="197"/>
      <c r="U130" s="197"/>
      <c r="V130" s="197"/>
      <c r="W130" s="197"/>
      <c r="X130" s="2"/>
      <c r="Y130" s="78"/>
      <c r="Z130" s="78"/>
      <c r="AA130" s="2"/>
      <c r="AB130" s="78"/>
      <c r="AC130" s="78"/>
      <c r="AD130" s="78"/>
      <c r="AE130" s="78"/>
      <c r="AF130" s="78"/>
      <c r="AG130" s="78"/>
      <c r="AH130" s="78"/>
      <c r="AI130" s="78"/>
      <c r="AJ130" s="81" t="s">
        <v>172</v>
      </c>
      <c r="AK130" s="81"/>
      <c r="AL130" s="81"/>
    </row>
    <row r="131" spans="1:38" ht="12" customHeight="1" x14ac:dyDescent="0.2">
      <c r="A131" s="162" t="s">
        <v>104</v>
      </c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82"/>
      <c r="Q131" s="82"/>
      <c r="R131" s="82"/>
      <c r="S131" s="197"/>
      <c r="T131" s="197"/>
      <c r="U131" s="197"/>
      <c r="V131" s="197"/>
      <c r="W131" s="197"/>
      <c r="X131" s="1"/>
      <c r="Y131" s="82"/>
      <c r="Z131" s="82"/>
      <c r="AA131" s="1"/>
      <c r="AB131" s="82"/>
      <c r="AC131" s="82"/>
      <c r="AD131" s="82"/>
      <c r="AE131" s="82"/>
      <c r="AF131" s="82"/>
      <c r="AG131" s="82"/>
      <c r="AH131" s="82"/>
      <c r="AI131" s="82"/>
      <c r="AJ131" s="81"/>
      <c r="AK131" s="81"/>
      <c r="AL131" s="81"/>
    </row>
    <row r="132" spans="1:38" ht="6" customHeight="1" x14ac:dyDescent="0.2">
      <c r="A132" s="1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1"/>
      <c r="P132" s="82"/>
      <c r="Q132" s="82"/>
      <c r="R132" s="82"/>
      <c r="S132" s="1"/>
      <c r="T132" s="82"/>
      <c r="U132" s="82"/>
      <c r="V132" s="82"/>
      <c r="W132" s="82"/>
      <c r="X132" s="1"/>
      <c r="Y132" s="82"/>
      <c r="Z132" s="82"/>
      <c r="AA132" s="1"/>
      <c r="AB132" s="82"/>
      <c r="AC132" s="82"/>
      <c r="AD132" s="82"/>
      <c r="AE132" s="82"/>
      <c r="AF132" s="82"/>
      <c r="AG132" s="82"/>
      <c r="AH132" s="82"/>
      <c r="AI132" s="82"/>
      <c r="AJ132" s="81"/>
      <c r="AK132" s="81"/>
      <c r="AL132" s="81"/>
    </row>
    <row r="133" spans="1:38" ht="24" customHeight="1" x14ac:dyDescent="0.2">
      <c r="A133" s="17" t="s">
        <v>79</v>
      </c>
      <c r="B133" s="118" t="s">
        <v>80</v>
      </c>
      <c r="C133" s="118"/>
      <c r="D133" s="118"/>
      <c r="E133" s="115" t="s">
        <v>81</v>
      </c>
      <c r="F133" s="115"/>
      <c r="G133" s="115"/>
      <c r="H133" s="116" t="s">
        <v>82</v>
      </c>
      <c r="I133" s="116"/>
      <c r="J133" s="116"/>
      <c r="K133" s="116"/>
      <c r="L133" s="116"/>
      <c r="M133" s="116"/>
      <c r="N133" s="116"/>
      <c r="O133" s="165" t="s">
        <v>109</v>
      </c>
      <c r="P133" s="165"/>
      <c r="Q133" s="165"/>
      <c r="R133" s="165"/>
      <c r="S133" s="165"/>
      <c r="T133" s="166" t="s">
        <v>110</v>
      </c>
      <c r="U133" s="166"/>
      <c r="V133" s="115" t="s">
        <v>85</v>
      </c>
      <c r="W133" s="115"/>
      <c r="X133" s="115"/>
      <c r="Y133" s="136" t="s">
        <v>69</v>
      </c>
      <c r="Z133" s="136"/>
      <c r="AA133" s="6" t="s">
        <v>70</v>
      </c>
      <c r="AB133" s="166" t="s">
        <v>167</v>
      </c>
      <c r="AC133" s="166"/>
      <c r="AD133" s="166"/>
      <c r="AE133" s="166"/>
      <c r="AF133" s="104" t="s">
        <v>28</v>
      </c>
      <c r="AG133" s="104"/>
      <c r="AH133" s="166" t="s">
        <v>113</v>
      </c>
      <c r="AI133" s="166"/>
      <c r="AJ133" s="166"/>
      <c r="AK133" s="166"/>
      <c r="AL133" s="2"/>
    </row>
    <row r="134" spans="1:38" ht="26.1" customHeight="1" x14ac:dyDescent="0.2">
      <c r="A134" s="21">
        <v>443966</v>
      </c>
      <c r="B134" s="168">
        <v>19481808</v>
      </c>
      <c r="C134" s="168"/>
      <c r="D134" s="168"/>
      <c r="E134" s="147" t="s">
        <v>105</v>
      </c>
      <c r="F134" s="147"/>
      <c r="G134" s="147"/>
      <c r="H134" s="198" t="s">
        <v>106</v>
      </c>
      <c r="I134" s="198"/>
      <c r="J134" s="198"/>
      <c r="K134" s="198"/>
      <c r="L134" s="198"/>
      <c r="M134" s="198"/>
      <c r="N134" s="198"/>
      <c r="O134" s="109" t="s">
        <v>32</v>
      </c>
      <c r="P134" s="109"/>
      <c r="Q134" s="109"/>
      <c r="R134" s="109"/>
      <c r="S134" s="109"/>
      <c r="T134" s="169">
        <v>45658</v>
      </c>
      <c r="U134" s="169"/>
      <c r="V134" s="111"/>
      <c r="W134" s="111"/>
      <c r="X134" s="111"/>
      <c r="Y134" s="111"/>
      <c r="Z134" s="111"/>
      <c r="AA134" s="22" t="s">
        <v>74</v>
      </c>
      <c r="AB134" s="170" t="s">
        <v>75</v>
      </c>
      <c r="AC134" s="170"/>
      <c r="AD134" s="170"/>
      <c r="AE134" s="170"/>
      <c r="AF134" s="149" t="s">
        <v>76</v>
      </c>
      <c r="AG134" s="149"/>
      <c r="AH134" s="151">
        <v>313</v>
      </c>
      <c r="AI134" s="151"/>
      <c r="AJ134" s="151"/>
      <c r="AK134" s="151"/>
      <c r="AL134" s="2"/>
    </row>
    <row r="135" spans="1:38" ht="18.600000000000001" customHeight="1" x14ac:dyDescent="0.2">
      <c r="A135" s="2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81" t="s">
        <v>173</v>
      </c>
      <c r="T135" s="81"/>
      <c r="U135" s="81"/>
      <c r="V135" s="81"/>
      <c r="W135" s="81"/>
      <c r="X135" s="2"/>
      <c r="Y135" s="78"/>
      <c r="Z135" s="78"/>
      <c r="AA135" s="2"/>
      <c r="AB135" s="78"/>
      <c r="AC135" s="78"/>
      <c r="AD135" s="78"/>
      <c r="AE135" s="78"/>
      <c r="AF135" s="78"/>
      <c r="AG135" s="78"/>
      <c r="AH135" s="78"/>
      <c r="AI135" s="78"/>
      <c r="AJ135" s="81" t="s">
        <v>163</v>
      </c>
      <c r="AK135" s="81"/>
      <c r="AL135" s="81"/>
    </row>
    <row r="136" spans="1:38" ht="13.5" customHeight="1" x14ac:dyDescent="0.2">
      <c r="A136" s="158" t="s">
        <v>108</v>
      </c>
      <c r="B136" s="158"/>
      <c r="C136" s="158"/>
      <c r="D136" s="158"/>
      <c r="E136" s="158"/>
      <c r="F136" s="158"/>
      <c r="G136" s="158"/>
      <c r="H136" s="158"/>
      <c r="I136" s="158"/>
      <c r="J136" s="78"/>
      <c r="K136" s="78"/>
      <c r="L136" s="78"/>
      <c r="M136" s="164">
        <v>19481808</v>
      </c>
      <c r="N136" s="164"/>
      <c r="O136" s="164"/>
      <c r="P136" s="164"/>
      <c r="Q136" s="78"/>
      <c r="R136" s="78"/>
      <c r="S136" s="81"/>
      <c r="T136" s="81"/>
      <c r="U136" s="81"/>
      <c r="V136" s="81"/>
      <c r="W136" s="81"/>
      <c r="X136" s="2"/>
      <c r="Y136" s="78"/>
      <c r="Z136" s="78"/>
      <c r="AA136" s="2"/>
      <c r="AB136" s="78"/>
      <c r="AC136" s="78"/>
      <c r="AD136" s="78"/>
      <c r="AE136" s="78"/>
      <c r="AF136" s="78"/>
      <c r="AG136" s="78"/>
      <c r="AH136" s="78"/>
      <c r="AI136" s="78"/>
      <c r="AJ136" s="81"/>
      <c r="AK136" s="81"/>
      <c r="AL136" s="81"/>
    </row>
    <row r="137" spans="1:38" ht="5.25" customHeight="1" x14ac:dyDescent="0.2">
      <c r="A137" s="1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1"/>
      <c r="T137" s="82"/>
      <c r="U137" s="82"/>
      <c r="V137" s="82"/>
      <c r="W137" s="82"/>
      <c r="X137" s="1"/>
      <c r="Y137" s="82"/>
      <c r="Z137" s="82"/>
      <c r="AA137" s="1"/>
      <c r="AB137" s="82"/>
      <c r="AC137" s="82"/>
      <c r="AD137" s="82"/>
      <c r="AE137" s="82"/>
      <c r="AF137" s="82"/>
      <c r="AG137" s="82"/>
      <c r="AH137" s="82"/>
      <c r="AI137" s="82"/>
      <c r="AJ137" s="81"/>
      <c r="AK137" s="81"/>
      <c r="AL137" s="81"/>
    </row>
    <row r="138" spans="1:38" ht="24" customHeight="1" x14ac:dyDescent="0.2">
      <c r="A138" s="17" t="s">
        <v>79</v>
      </c>
      <c r="B138" s="118" t="s">
        <v>80</v>
      </c>
      <c r="C138" s="118"/>
      <c r="D138" s="118"/>
      <c r="E138" s="115" t="s">
        <v>81</v>
      </c>
      <c r="F138" s="115"/>
      <c r="G138" s="115"/>
      <c r="H138" s="116" t="s">
        <v>82</v>
      </c>
      <c r="I138" s="116"/>
      <c r="J138" s="116"/>
      <c r="K138" s="116"/>
      <c r="L138" s="116"/>
      <c r="M138" s="116"/>
      <c r="N138" s="116"/>
      <c r="O138" s="117" t="s">
        <v>83</v>
      </c>
      <c r="P138" s="117"/>
      <c r="Q138" s="117"/>
      <c r="R138" s="117"/>
      <c r="S138" s="117"/>
      <c r="T138" s="117" t="s">
        <v>84</v>
      </c>
      <c r="U138" s="117"/>
      <c r="V138" s="115" t="s">
        <v>85</v>
      </c>
      <c r="W138" s="115"/>
      <c r="X138" s="115"/>
      <c r="Y138" s="167" t="s">
        <v>111</v>
      </c>
      <c r="Z138" s="167"/>
      <c r="AA138" s="11" t="s">
        <v>87</v>
      </c>
      <c r="AB138" s="166" t="s">
        <v>112</v>
      </c>
      <c r="AC138" s="166"/>
      <c r="AD138" s="166"/>
      <c r="AE138" s="166"/>
      <c r="AF138" s="118" t="s">
        <v>89</v>
      </c>
      <c r="AG138" s="118"/>
      <c r="AH138" s="105" t="s">
        <v>29</v>
      </c>
      <c r="AI138" s="105"/>
      <c r="AJ138" s="105"/>
      <c r="AK138" s="105"/>
      <c r="AL138" s="2"/>
    </row>
    <row r="139" spans="1:38" ht="5.25" customHeight="1" x14ac:dyDescent="0.2">
      <c r="A139" s="12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2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"/>
    </row>
    <row r="140" spans="1:38" ht="12.6" customHeight="1" x14ac:dyDescent="0.2">
      <c r="A140" s="19">
        <v>446535</v>
      </c>
      <c r="B140" s="137">
        <v>17301495</v>
      </c>
      <c r="C140" s="137"/>
      <c r="D140" s="137"/>
      <c r="E140" s="121" t="s">
        <v>114</v>
      </c>
      <c r="F140" s="121"/>
      <c r="G140" s="121"/>
      <c r="H140" s="138" t="s">
        <v>73</v>
      </c>
      <c r="I140" s="138"/>
      <c r="J140" s="138"/>
      <c r="K140" s="138"/>
      <c r="L140" s="138"/>
      <c r="M140" s="138"/>
      <c r="N140" s="138"/>
      <c r="O140" s="139" t="s">
        <v>32</v>
      </c>
      <c r="P140" s="139"/>
      <c r="Q140" s="139"/>
      <c r="R140" s="139"/>
      <c r="S140" s="139"/>
      <c r="T140" s="140">
        <v>45658</v>
      </c>
      <c r="U140" s="140"/>
      <c r="V140" s="125"/>
      <c r="W140" s="125"/>
      <c r="X140" s="125"/>
      <c r="Y140" s="125"/>
      <c r="Z140" s="125"/>
      <c r="AA140" s="14" t="s">
        <v>74</v>
      </c>
      <c r="AB140" s="141" t="s">
        <v>75</v>
      </c>
      <c r="AC140" s="141"/>
      <c r="AD140" s="141"/>
      <c r="AE140" s="141"/>
      <c r="AF140" s="123" t="s">
        <v>76</v>
      </c>
      <c r="AG140" s="123"/>
      <c r="AH140" s="142">
        <v>313</v>
      </c>
      <c r="AI140" s="142"/>
      <c r="AJ140" s="142"/>
      <c r="AK140" s="142"/>
      <c r="AL140" s="1"/>
    </row>
    <row r="141" spans="1:38" ht="37.35" customHeight="1" x14ac:dyDescent="0.2">
      <c r="A141" s="199" t="s">
        <v>174</v>
      </c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3"/>
      <c r="Y141" s="81"/>
      <c r="Z141" s="81"/>
      <c r="AA141" s="3"/>
      <c r="AB141" s="81"/>
      <c r="AC141" s="81"/>
      <c r="AD141" s="81"/>
      <c r="AE141" s="81"/>
      <c r="AF141" s="81"/>
      <c r="AG141" s="81"/>
      <c r="AH141" s="81"/>
      <c r="AI141" s="81"/>
      <c r="AJ141" s="81" t="s">
        <v>163</v>
      </c>
      <c r="AK141" s="81"/>
      <c r="AL141" s="81"/>
    </row>
    <row r="142" spans="1:38" ht="5.25" customHeight="1" x14ac:dyDescent="0.2">
      <c r="A142" s="1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1"/>
      <c r="Y142" s="82"/>
      <c r="Z142" s="82"/>
      <c r="AA142" s="1"/>
      <c r="AB142" s="82"/>
      <c r="AC142" s="82"/>
      <c r="AD142" s="82"/>
      <c r="AE142" s="82"/>
      <c r="AF142" s="82"/>
      <c r="AG142" s="82"/>
      <c r="AH142" s="82"/>
      <c r="AI142" s="82"/>
      <c r="AJ142" s="81"/>
      <c r="AK142" s="81"/>
      <c r="AL142" s="81"/>
    </row>
    <row r="143" spans="1:38" ht="24" customHeight="1" x14ac:dyDescent="0.2">
      <c r="A143" s="9" t="s">
        <v>116</v>
      </c>
      <c r="B143" s="115" t="s">
        <v>80</v>
      </c>
      <c r="C143" s="115"/>
      <c r="D143" s="115"/>
      <c r="E143" s="115" t="s">
        <v>81</v>
      </c>
      <c r="F143" s="115"/>
      <c r="G143" s="115"/>
      <c r="H143" s="116" t="s">
        <v>82</v>
      </c>
      <c r="I143" s="116"/>
      <c r="J143" s="116"/>
      <c r="K143" s="116"/>
      <c r="L143" s="116"/>
      <c r="M143" s="116"/>
      <c r="N143" s="116"/>
      <c r="O143" s="117" t="s">
        <v>83</v>
      </c>
      <c r="P143" s="117"/>
      <c r="Q143" s="117"/>
      <c r="R143" s="117"/>
      <c r="S143" s="117"/>
      <c r="T143" s="117" t="s">
        <v>84</v>
      </c>
      <c r="U143" s="117"/>
      <c r="V143" s="115" t="s">
        <v>85</v>
      </c>
      <c r="W143" s="115"/>
      <c r="X143" s="115"/>
      <c r="Y143" s="115" t="s">
        <v>86</v>
      </c>
      <c r="Z143" s="115"/>
      <c r="AA143" s="11" t="s">
        <v>87</v>
      </c>
      <c r="AB143" s="117" t="s">
        <v>88</v>
      </c>
      <c r="AC143" s="117"/>
      <c r="AD143" s="117"/>
      <c r="AE143" s="117"/>
      <c r="AF143" s="118" t="s">
        <v>89</v>
      </c>
      <c r="AG143" s="118"/>
      <c r="AH143" s="117" t="s">
        <v>90</v>
      </c>
      <c r="AI143" s="117"/>
      <c r="AJ143" s="117"/>
      <c r="AK143" s="117"/>
      <c r="AL143" s="2"/>
    </row>
    <row r="144" spans="1:38" ht="21.95" customHeight="1" x14ac:dyDescent="0.2">
      <c r="A144" s="21">
        <v>447954</v>
      </c>
      <c r="B144" s="146">
        <v>16912722</v>
      </c>
      <c r="C144" s="146"/>
      <c r="D144" s="146"/>
      <c r="E144" s="147" t="s">
        <v>117</v>
      </c>
      <c r="F144" s="147"/>
      <c r="G144" s="147"/>
      <c r="H144" s="148" t="s">
        <v>73</v>
      </c>
      <c r="I144" s="148"/>
      <c r="J144" s="148"/>
      <c r="K144" s="148"/>
      <c r="L144" s="148"/>
      <c r="M144" s="148"/>
      <c r="N144" s="148"/>
      <c r="O144" s="109" t="s">
        <v>32</v>
      </c>
      <c r="P144" s="109"/>
      <c r="Q144" s="109"/>
      <c r="R144" s="109"/>
      <c r="S144" s="109"/>
      <c r="T144" s="150">
        <v>45658</v>
      </c>
      <c r="U144" s="150"/>
      <c r="V144" s="111"/>
      <c r="W144" s="111"/>
      <c r="X144" s="111"/>
      <c r="Y144" s="111"/>
      <c r="Z144" s="111"/>
      <c r="AA144" s="22" t="s">
        <v>74</v>
      </c>
      <c r="AB144" s="200" t="s">
        <v>95</v>
      </c>
      <c r="AC144" s="200"/>
      <c r="AD144" s="200"/>
      <c r="AE144" s="200"/>
      <c r="AF144" s="149" t="s">
        <v>76</v>
      </c>
      <c r="AG144" s="149"/>
      <c r="AH144" s="151">
        <v>626</v>
      </c>
      <c r="AI144" s="151"/>
      <c r="AJ144" s="151"/>
      <c r="AK144" s="151"/>
      <c r="AL144" s="2"/>
    </row>
    <row r="145" spans="1:38" ht="12" customHeight="1" x14ac:dyDescent="0.2">
      <c r="A145" s="19">
        <v>447955</v>
      </c>
      <c r="B145" s="152">
        <v>16912722</v>
      </c>
      <c r="C145" s="152"/>
      <c r="D145" s="152"/>
      <c r="E145" s="121" t="s">
        <v>118</v>
      </c>
      <c r="F145" s="121"/>
      <c r="G145" s="121"/>
      <c r="H145" s="138" t="s">
        <v>73</v>
      </c>
      <c r="I145" s="138"/>
      <c r="J145" s="138"/>
      <c r="K145" s="138"/>
      <c r="L145" s="138"/>
      <c r="M145" s="138"/>
      <c r="N145" s="138"/>
      <c r="O145" s="139" t="s">
        <v>32</v>
      </c>
      <c r="P145" s="139"/>
      <c r="Q145" s="139"/>
      <c r="R145" s="139"/>
      <c r="S145" s="139"/>
      <c r="T145" s="153">
        <v>45658</v>
      </c>
      <c r="U145" s="153"/>
      <c r="V145" s="125"/>
      <c r="W145" s="125"/>
      <c r="X145" s="125"/>
      <c r="Y145" s="125"/>
      <c r="Z145" s="125"/>
      <c r="AA145" s="14" t="s">
        <v>74</v>
      </c>
      <c r="AB145" s="172" t="s">
        <v>95</v>
      </c>
      <c r="AC145" s="172"/>
      <c r="AD145" s="172"/>
      <c r="AE145" s="172"/>
      <c r="AF145" s="123" t="s">
        <v>76</v>
      </c>
      <c r="AG145" s="123"/>
      <c r="AH145" s="142">
        <v>626</v>
      </c>
      <c r="AI145" s="142"/>
      <c r="AJ145" s="142"/>
      <c r="AK145" s="142"/>
      <c r="AL145" s="1"/>
    </row>
    <row r="146" spans="1:38" ht="21.95" customHeight="1" x14ac:dyDescent="0.2">
      <c r="A146" s="23">
        <v>448034</v>
      </c>
      <c r="B146" s="154">
        <v>16912722</v>
      </c>
      <c r="C146" s="154"/>
      <c r="D146" s="154"/>
      <c r="E146" s="128" t="s">
        <v>119</v>
      </c>
      <c r="F146" s="128"/>
      <c r="G146" s="128"/>
      <c r="H146" s="155" t="s">
        <v>73</v>
      </c>
      <c r="I146" s="155"/>
      <c r="J146" s="155"/>
      <c r="K146" s="155"/>
      <c r="L146" s="155"/>
      <c r="M146" s="155"/>
      <c r="N146" s="155"/>
      <c r="O146" s="160" t="s">
        <v>32</v>
      </c>
      <c r="P146" s="160"/>
      <c r="Q146" s="160"/>
      <c r="R146" s="160"/>
      <c r="S146" s="160"/>
      <c r="T146" s="156">
        <v>45658</v>
      </c>
      <c r="U146" s="156"/>
      <c r="V146" s="78"/>
      <c r="W146" s="78"/>
      <c r="X146" s="78"/>
      <c r="Y146" s="78"/>
      <c r="Z146" s="78"/>
      <c r="AA146" s="16" t="s">
        <v>74</v>
      </c>
      <c r="AB146" s="174" t="s">
        <v>95</v>
      </c>
      <c r="AC146" s="174"/>
      <c r="AD146" s="174"/>
      <c r="AE146" s="174"/>
      <c r="AF146" s="130" t="s">
        <v>76</v>
      </c>
      <c r="AG146" s="130"/>
      <c r="AH146" s="157">
        <v>626</v>
      </c>
      <c r="AI146" s="157"/>
      <c r="AJ146" s="157"/>
      <c r="AK146" s="157"/>
      <c r="AL146" s="2"/>
    </row>
    <row r="147" spans="1:38" ht="12.6" customHeight="1" x14ac:dyDescent="0.2">
      <c r="A147" s="19">
        <v>447701</v>
      </c>
      <c r="B147" s="152">
        <v>16912722</v>
      </c>
      <c r="C147" s="152"/>
      <c r="D147" s="152"/>
      <c r="E147" s="121" t="s">
        <v>120</v>
      </c>
      <c r="F147" s="121"/>
      <c r="G147" s="121"/>
      <c r="H147" s="138" t="s">
        <v>73</v>
      </c>
      <c r="I147" s="138"/>
      <c r="J147" s="138"/>
      <c r="K147" s="138"/>
      <c r="L147" s="138"/>
      <c r="M147" s="138"/>
      <c r="N147" s="138"/>
      <c r="O147" s="139" t="s">
        <v>32</v>
      </c>
      <c r="P147" s="139"/>
      <c r="Q147" s="139"/>
      <c r="R147" s="139"/>
      <c r="S147" s="139"/>
      <c r="T147" s="153">
        <v>45658</v>
      </c>
      <c r="U147" s="153"/>
      <c r="V147" s="125"/>
      <c r="W147" s="125"/>
      <c r="X147" s="125"/>
      <c r="Y147" s="125"/>
      <c r="Z147" s="125"/>
      <c r="AA147" s="14" t="s">
        <v>74</v>
      </c>
      <c r="AB147" s="172" t="s">
        <v>95</v>
      </c>
      <c r="AC147" s="172"/>
      <c r="AD147" s="172"/>
      <c r="AE147" s="172"/>
      <c r="AF147" s="123" t="s">
        <v>76</v>
      </c>
      <c r="AG147" s="123"/>
      <c r="AH147" s="142">
        <v>626</v>
      </c>
      <c r="AI147" s="142"/>
      <c r="AJ147" s="142"/>
      <c r="AK147" s="142"/>
      <c r="AL147" s="1"/>
    </row>
    <row r="148" spans="1:38" ht="27.75" customHeight="1" x14ac:dyDescent="0.2">
      <c r="A148" s="2"/>
      <c r="B148" s="78"/>
      <c r="C148" s="78"/>
      <c r="D148" s="78"/>
      <c r="E148" s="78"/>
      <c r="F148" s="78"/>
      <c r="G148" s="78"/>
      <c r="H148" s="2"/>
      <c r="I148" s="78"/>
      <c r="J148" s="78"/>
      <c r="K148" s="78"/>
      <c r="L148" s="78"/>
      <c r="M148" s="78"/>
      <c r="N148" s="78"/>
      <c r="O148" s="2"/>
      <c r="P148" s="78"/>
      <c r="Q148" s="78"/>
      <c r="R148" s="78"/>
      <c r="S148" s="197" t="s">
        <v>175</v>
      </c>
      <c r="T148" s="197"/>
      <c r="U148" s="197"/>
      <c r="V148" s="197"/>
      <c r="W148" s="197"/>
      <c r="X148" s="2"/>
      <c r="Y148" s="78"/>
      <c r="Z148" s="78"/>
      <c r="AA148" s="2"/>
      <c r="AB148" s="78"/>
      <c r="AC148" s="78"/>
      <c r="AD148" s="78"/>
      <c r="AE148" s="78"/>
      <c r="AF148" s="78"/>
      <c r="AG148" s="78"/>
      <c r="AH148" s="2"/>
      <c r="AI148" s="81" t="s">
        <v>176</v>
      </c>
      <c r="AJ148" s="81"/>
      <c r="AK148" s="81"/>
      <c r="AL148" s="81"/>
    </row>
    <row r="149" spans="1:38" ht="12" customHeight="1" x14ac:dyDescent="0.2">
      <c r="A149" s="162" t="s">
        <v>108</v>
      </c>
      <c r="B149" s="162"/>
      <c r="C149" s="162"/>
      <c r="D149" s="162"/>
      <c r="E149" s="162"/>
      <c r="F149" s="162"/>
      <c r="G149" s="162"/>
      <c r="H149" s="162"/>
      <c r="I149" s="82"/>
      <c r="J149" s="82"/>
      <c r="K149" s="82"/>
      <c r="L149" s="175">
        <v>16912722</v>
      </c>
      <c r="M149" s="175"/>
      <c r="N149" s="175"/>
      <c r="O149" s="175"/>
      <c r="P149" s="82"/>
      <c r="Q149" s="82"/>
      <c r="R149" s="82"/>
      <c r="S149" s="197"/>
      <c r="T149" s="197"/>
      <c r="U149" s="197"/>
      <c r="V149" s="197"/>
      <c r="W149" s="197"/>
      <c r="X149" s="1"/>
      <c r="Y149" s="82"/>
      <c r="Z149" s="82"/>
      <c r="AA149" s="1"/>
      <c r="AB149" s="82"/>
      <c r="AC149" s="82"/>
      <c r="AD149" s="82"/>
      <c r="AE149" s="82"/>
      <c r="AF149" s="82"/>
      <c r="AG149" s="82"/>
      <c r="AH149" s="1"/>
      <c r="AI149" s="81"/>
      <c r="AJ149" s="81"/>
      <c r="AK149" s="81"/>
      <c r="AL149" s="81"/>
    </row>
    <row r="150" spans="1:38" ht="6" customHeight="1" x14ac:dyDescent="0.2">
      <c r="A150" s="1"/>
      <c r="B150" s="82"/>
      <c r="C150" s="82"/>
      <c r="D150" s="82"/>
      <c r="E150" s="82"/>
      <c r="F150" s="82"/>
      <c r="G150" s="82"/>
      <c r="H150" s="1"/>
      <c r="I150" s="82"/>
      <c r="J150" s="82"/>
      <c r="K150" s="82"/>
      <c r="L150" s="82"/>
      <c r="M150" s="82"/>
      <c r="N150" s="82"/>
      <c r="O150" s="1"/>
      <c r="P150" s="82"/>
      <c r="Q150" s="82"/>
      <c r="R150" s="82"/>
      <c r="S150" s="1"/>
      <c r="T150" s="82"/>
      <c r="U150" s="82"/>
      <c r="V150" s="82"/>
      <c r="W150" s="82"/>
      <c r="X150" s="1"/>
      <c r="Y150" s="82"/>
      <c r="Z150" s="82"/>
      <c r="AA150" s="1"/>
      <c r="AB150" s="82"/>
      <c r="AC150" s="82"/>
      <c r="AD150" s="82"/>
      <c r="AE150" s="82"/>
      <c r="AF150" s="82"/>
      <c r="AG150" s="82"/>
      <c r="AH150" s="1"/>
      <c r="AI150" s="81"/>
      <c r="AJ150" s="81"/>
      <c r="AK150" s="81"/>
      <c r="AL150" s="81"/>
    </row>
    <row r="151" spans="1:38" ht="30.95" customHeight="1" x14ac:dyDescent="0.2">
      <c r="A151" s="182" t="s">
        <v>177</v>
      </c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</row>
    <row r="152" spans="1:38" ht="24" customHeight="1" x14ac:dyDescent="0.2">
      <c r="A152" s="9" t="s">
        <v>178</v>
      </c>
      <c r="B152" s="118" t="s">
        <v>179</v>
      </c>
      <c r="C152" s="118"/>
      <c r="D152" s="201" t="s">
        <v>180</v>
      </c>
      <c r="E152" s="201"/>
      <c r="F152" s="201"/>
      <c r="G152" s="201"/>
      <c r="H152" s="116" t="s">
        <v>181</v>
      </c>
      <c r="I152" s="116"/>
      <c r="J152" s="116"/>
      <c r="K152" s="116"/>
      <c r="L152" s="116"/>
      <c r="M152" s="116"/>
      <c r="N152" s="116"/>
      <c r="O152" s="117" t="s">
        <v>182</v>
      </c>
      <c r="P152" s="117"/>
      <c r="Q152" s="117"/>
      <c r="R152" s="117"/>
      <c r="S152" s="117"/>
      <c r="T152" s="117" t="s">
        <v>183</v>
      </c>
      <c r="U152" s="117"/>
      <c r="V152" s="115" t="s">
        <v>184</v>
      </c>
      <c r="W152" s="115"/>
      <c r="X152" s="115"/>
      <c r="Y152" s="118" t="s">
        <v>185</v>
      </c>
      <c r="Z152" s="118"/>
      <c r="AA152" s="11" t="s">
        <v>186</v>
      </c>
      <c r="AB152" s="117" t="s">
        <v>187</v>
      </c>
      <c r="AC152" s="117"/>
      <c r="AD152" s="117"/>
      <c r="AE152" s="118" t="s">
        <v>188</v>
      </c>
      <c r="AF152" s="118"/>
      <c r="AG152" s="118"/>
      <c r="AH152" s="117" t="s">
        <v>189</v>
      </c>
      <c r="AI152" s="117"/>
      <c r="AJ152" s="117"/>
      <c r="AK152" s="117"/>
    </row>
    <row r="153" spans="1:38" ht="21.95" customHeight="1" x14ac:dyDescent="0.2">
      <c r="A153" s="29">
        <v>445336</v>
      </c>
      <c r="B153" s="202">
        <v>16633294</v>
      </c>
      <c r="C153" s="202"/>
      <c r="D153" s="170" t="s">
        <v>190</v>
      </c>
      <c r="E153" s="170"/>
      <c r="F153" s="170"/>
      <c r="G153" s="170"/>
      <c r="H153" s="148" t="s">
        <v>191</v>
      </c>
      <c r="I153" s="148"/>
      <c r="J153" s="148"/>
      <c r="K153" s="148"/>
      <c r="L153" s="148"/>
      <c r="M153" s="148"/>
      <c r="N153" s="148"/>
      <c r="O153" s="149" t="s">
        <v>192</v>
      </c>
      <c r="P153" s="149"/>
      <c r="Q153" s="149"/>
      <c r="R153" s="149"/>
      <c r="S153" s="149"/>
      <c r="T153" s="203">
        <v>45658</v>
      </c>
      <c r="U153" s="203"/>
      <c r="V153" s="111"/>
      <c r="W153" s="111"/>
      <c r="X153" s="111"/>
      <c r="Y153" s="111"/>
      <c r="Z153" s="111"/>
      <c r="AA153" s="22" t="s">
        <v>193</v>
      </c>
      <c r="AB153" s="149" t="s">
        <v>194</v>
      </c>
      <c r="AC153" s="149"/>
      <c r="AD153" s="149"/>
      <c r="AE153" s="149" t="s">
        <v>195</v>
      </c>
      <c r="AF153" s="149"/>
      <c r="AG153" s="149"/>
      <c r="AH153" s="204">
        <v>313</v>
      </c>
      <c r="AI153" s="204"/>
      <c r="AJ153" s="204"/>
      <c r="AK153" s="204"/>
    </row>
    <row r="154" spans="1:38" ht="12" customHeight="1" x14ac:dyDescent="0.2">
      <c r="A154" s="30">
        <v>445462</v>
      </c>
      <c r="B154" s="205">
        <v>16633294</v>
      </c>
      <c r="C154" s="205"/>
      <c r="D154" s="141" t="s">
        <v>196</v>
      </c>
      <c r="E154" s="141"/>
      <c r="F154" s="141"/>
      <c r="G154" s="141"/>
      <c r="H154" s="138" t="s">
        <v>191</v>
      </c>
      <c r="I154" s="138"/>
      <c r="J154" s="138"/>
      <c r="K154" s="138"/>
      <c r="L154" s="138"/>
      <c r="M154" s="138"/>
      <c r="N154" s="138"/>
      <c r="O154" s="123" t="s">
        <v>192</v>
      </c>
      <c r="P154" s="123"/>
      <c r="Q154" s="123"/>
      <c r="R154" s="123"/>
      <c r="S154" s="123"/>
      <c r="T154" s="206">
        <v>45658</v>
      </c>
      <c r="U154" s="206"/>
      <c r="V154" s="125"/>
      <c r="W154" s="125"/>
      <c r="X154" s="125"/>
      <c r="Y154" s="125"/>
      <c r="Z154" s="125"/>
      <c r="AA154" s="14" t="s">
        <v>193</v>
      </c>
      <c r="AB154" s="123" t="s">
        <v>194</v>
      </c>
      <c r="AC154" s="123"/>
      <c r="AD154" s="123"/>
      <c r="AE154" s="123" t="s">
        <v>195</v>
      </c>
      <c r="AF154" s="123"/>
      <c r="AG154" s="123"/>
      <c r="AH154" s="207">
        <v>313</v>
      </c>
      <c r="AI154" s="207"/>
      <c r="AJ154" s="207"/>
      <c r="AK154" s="207"/>
    </row>
    <row r="155" spans="1:38" ht="21.95" customHeight="1" x14ac:dyDescent="0.2">
      <c r="A155" s="31">
        <v>445463</v>
      </c>
      <c r="B155" s="208">
        <v>16633294</v>
      </c>
      <c r="C155" s="208"/>
      <c r="D155" s="161" t="s">
        <v>197</v>
      </c>
      <c r="E155" s="161"/>
      <c r="F155" s="161"/>
      <c r="G155" s="161"/>
      <c r="H155" s="155" t="s">
        <v>191</v>
      </c>
      <c r="I155" s="155"/>
      <c r="J155" s="155"/>
      <c r="K155" s="155"/>
      <c r="L155" s="155"/>
      <c r="M155" s="155"/>
      <c r="N155" s="155"/>
      <c r="O155" s="130" t="s">
        <v>192</v>
      </c>
      <c r="P155" s="130"/>
      <c r="Q155" s="130"/>
      <c r="R155" s="130"/>
      <c r="S155" s="130"/>
      <c r="T155" s="209">
        <v>45658</v>
      </c>
      <c r="U155" s="209"/>
      <c r="V155" s="78"/>
      <c r="W155" s="78"/>
      <c r="X155" s="78"/>
      <c r="Y155" s="78"/>
      <c r="Z155" s="78"/>
      <c r="AA155" s="16" t="s">
        <v>193</v>
      </c>
      <c r="AB155" s="130" t="s">
        <v>194</v>
      </c>
      <c r="AC155" s="130"/>
      <c r="AD155" s="130"/>
      <c r="AE155" s="130" t="s">
        <v>195</v>
      </c>
      <c r="AF155" s="130"/>
      <c r="AG155" s="130"/>
      <c r="AH155" s="210">
        <v>313</v>
      </c>
      <c r="AI155" s="210"/>
      <c r="AJ155" s="210"/>
      <c r="AK155" s="210"/>
    </row>
    <row r="156" spans="1:38" ht="12" customHeight="1" x14ac:dyDescent="0.2">
      <c r="A156" s="30">
        <v>446217</v>
      </c>
      <c r="B156" s="205">
        <v>16633294</v>
      </c>
      <c r="C156" s="205"/>
      <c r="D156" s="141" t="s">
        <v>198</v>
      </c>
      <c r="E156" s="141"/>
      <c r="F156" s="141"/>
      <c r="G156" s="141"/>
      <c r="H156" s="138" t="s">
        <v>191</v>
      </c>
      <c r="I156" s="138"/>
      <c r="J156" s="138"/>
      <c r="K156" s="138"/>
      <c r="L156" s="138"/>
      <c r="M156" s="138"/>
      <c r="N156" s="138"/>
      <c r="O156" s="123" t="s">
        <v>192</v>
      </c>
      <c r="P156" s="123"/>
      <c r="Q156" s="123"/>
      <c r="R156" s="123"/>
      <c r="S156" s="123"/>
      <c r="T156" s="206">
        <v>45658</v>
      </c>
      <c r="U156" s="206"/>
      <c r="V156" s="125"/>
      <c r="W156" s="125"/>
      <c r="X156" s="125"/>
      <c r="Y156" s="125"/>
      <c r="Z156" s="125"/>
      <c r="AA156" s="14" t="s">
        <v>193</v>
      </c>
      <c r="AB156" s="123" t="s">
        <v>194</v>
      </c>
      <c r="AC156" s="123"/>
      <c r="AD156" s="123"/>
      <c r="AE156" s="123" t="s">
        <v>195</v>
      </c>
      <c r="AF156" s="123"/>
      <c r="AG156" s="123"/>
      <c r="AH156" s="207">
        <v>313</v>
      </c>
      <c r="AI156" s="207"/>
      <c r="AJ156" s="207"/>
      <c r="AK156" s="207"/>
    </row>
    <row r="157" spans="1:38" ht="21.95" customHeight="1" x14ac:dyDescent="0.2">
      <c r="A157" s="31">
        <v>443292</v>
      </c>
      <c r="B157" s="208">
        <v>16633294</v>
      </c>
      <c r="C157" s="208"/>
      <c r="D157" s="161" t="s">
        <v>199</v>
      </c>
      <c r="E157" s="161"/>
      <c r="F157" s="161"/>
      <c r="G157" s="161"/>
      <c r="H157" s="155" t="s">
        <v>191</v>
      </c>
      <c r="I157" s="155"/>
      <c r="J157" s="155"/>
      <c r="K157" s="155"/>
      <c r="L157" s="155"/>
      <c r="M157" s="155"/>
      <c r="N157" s="155"/>
      <c r="O157" s="130" t="s">
        <v>192</v>
      </c>
      <c r="P157" s="130"/>
      <c r="Q157" s="130"/>
      <c r="R157" s="130"/>
      <c r="S157" s="130"/>
      <c r="T157" s="209">
        <v>45658</v>
      </c>
      <c r="U157" s="209"/>
      <c r="V157" s="78"/>
      <c r="W157" s="78"/>
      <c r="X157" s="78"/>
      <c r="Y157" s="78"/>
      <c r="Z157" s="78"/>
      <c r="AA157" s="16" t="s">
        <v>193</v>
      </c>
      <c r="AB157" s="130" t="s">
        <v>194</v>
      </c>
      <c r="AC157" s="130"/>
      <c r="AD157" s="130"/>
      <c r="AE157" s="130" t="s">
        <v>195</v>
      </c>
      <c r="AF157" s="130"/>
      <c r="AG157" s="130"/>
      <c r="AH157" s="210">
        <v>313</v>
      </c>
      <c r="AI157" s="210"/>
      <c r="AJ157" s="210"/>
      <c r="AK157" s="210"/>
    </row>
    <row r="158" spans="1:38" ht="12" customHeight="1" x14ac:dyDescent="0.2">
      <c r="A158" s="30">
        <v>443286</v>
      </c>
      <c r="B158" s="205">
        <v>16633294</v>
      </c>
      <c r="C158" s="205"/>
      <c r="D158" s="141" t="s">
        <v>200</v>
      </c>
      <c r="E158" s="141"/>
      <c r="F158" s="141"/>
      <c r="G158" s="141"/>
      <c r="H158" s="138" t="s">
        <v>191</v>
      </c>
      <c r="I158" s="138"/>
      <c r="J158" s="138"/>
      <c r="K158" s="138"/>
      <c r="L158" s="138"/>
      <c r="M158" s="138"/>
      <c r="N158" s="138"/>
      <c r="O158" s="123" t="s">
        <v>192</v>
      </c>
      <c r="P158" s="123"/>
      <c r="Q158" s="123"/>
      <c r="R158" s="123"/>
      <c r="S158" s="123"/>
      <c r="T158" s="206">
        <v>45658</v>
      </c>
      <c r="U158" s="206"/>
      <c r="V158" s="125"/>
      <c r="W158" s="125"/>
      <c r="X158" s="125"/>
      <c r="Y158" s="125"/>
      <c r="Z158" s="125"/>
      <c r="AA158" s="14" t="s">
        <v>193</v>
      </c>
      <c r="AB158" s="123" t="s">
        <v>194</v>
      </c>
      <c r="AC158" s="123"/>
      <c r="AD158" s="123"/>
      <c r="AE158" s="123" t="s">
        <v>195</v>
      </c>
      <c r="AF158" s="123"/>
      <c r="AG158" s="123"/>
      <c r="AH158" s="207">
        <v>313</v>
      </c>
      <c r="AI158" s="207"/>
      <c r="AJ158" s="207"/>
      <c r="AK158" s="207"/>
    </row>
    <row r="159" spans="1:38" ht="21.95" customHeight="1" x14ac:dyDescent="0.2">
      <c r="A159" s="31">
        <v>444212</v>
      </c>
      <c r="B159" s="208">
        <v>16633294</v>
      </c>
      <c r="C159" s="208"/>
      <c r="D159" s="161" t="s">
        <v>201</v>
      </c>
      <c r="E159" s="161"/>
      <c r="F159" s="161"/>
      <c r="G159" s="161"/>
      <c r="H159" s="155" t="s">
        <v>191</v>
      </c>
      <c r="I159" s="155"/>
      <c r="J159" s="155"/>
      <c r="K159" s="155"/>
      <c r="L159" s="155"/>
      <c r="M159" s="155"/>
      <c r="N159" s="155"/>
      <c r="O159" s="130" t="s">
        <v>192</v>
      </c>
      <c r="P159" s="130"/>
      <c r="Q159" s="130"/>
      <c r="R159" s="130"/>
      <c r="S159" s="130"/>
      <c r="T159" s="209">
        <v>45658</v>
      </c>
      <c r="U159" s="209"/>
      <c r="V159" s="78"/>
      <c r="W159" s="78"/>
      <c r="X159" s="78"/>
      <c r="Y159" s="78"/>
      <c r="Z159" s="78"/>
      <c r="AA159" s="16" t="s">
        <v>193</v>
      </c>
      <c r="AB159" s="130" t="s">
        <v>194</v>
      </c>
      <c r="AC159" s="130"/>
      <c r="AD159" s="130"/>
      <c r="AE159" s="130" t="s">
        <v>195</v>
      </c>
      <c r="AF159" s="130"/>
      <c r="AG159" s="130"/>
      <c r="AH159" s="210">
        <v>313</v>
      </c>
      <c r="AI159" s="210"/>
      <c r="AJ159" s="210"/>
      <c r="AK159" s="210"/>
    </row>
    <row r="160" spans="1:38" ht="12" customHeight="1" x14ac:dyDescent="0.2">
      <c r="A160" s="30">
        <v>443209</v>
      </c>
      <c r="B160" s="205">
        <v>16633294</v>
      </c>
      <c r="C160" s="205"/>
      <c r="D160" s="141" t="s">
        <v>202</v>
      </c>
      <c r="E160" s="141"/>
      <c r="F160" s="141"/>
      <c r="G160" s="141"/>
      <c r="H160" s="138" t="s">
        <v>191</v>
      </c>
      <c r="I160" s="138"/>
      <c r="J160" s="138"/>
      <c r="K160" s="138"/>
      <c r="L160" s="138"/>
      <c r="M160" s="138"/>
      <c r="N160" s="138"/>
      <c r="O160" s="123" t="s">
        <v>192</v>
      </c>
      <c r="P160" s="123"/>
      <c r="Q160" s="123"/>
      <c r="R160" s="123"/>
      <c r="S160" s="123"/>
      <c r="T160" s="206">
        <v>45658</v>
      </c>
      <c r="U160" s="206"/>
      <c r="V160" s="125"/>
      <c r="W160" s="125"/>
      <c r="X160" s="125"/>
      <c r="Y160" s="125"/>
      <c r="Z160" s="125"/>
      <c r="AA160" s="14" t="s">
        <v>193</v>
      </c>
      <c r="AB160" s="123" t="s">
        <v>194</v>
      </c>
      <c r="AC160" s="123"/>
      <c r="AD160" s="123"/>
      <c r="AE160" s="123" t="s">
        <v>195</v>
      </c>
      <c r="AF160" s="123"/>
      <c r="AG160" s="123"/>
      <c r="AH160" s="207">
        <v>313</v>
      </c>
      <c r="AI160" s="207"/>
      <c r="AJ160" s="207"/>
      <c r="AK160" s="207"/>
    </row>
    <row r="161" spans="1:38" ht="21.95" customHeight="1" x14ac:dyDescent="0.2">
      <c r="A161" s="31">
        <v>440990</v>
      </c>
      <c r="B161" s="208">
        <v>16633294</v>
      </c>
      <c r="C161" s="208"/>
      <c r="D161" s="161" t="s">
        <v>203</v>
      </c>
      <c r="E161" s="161"/>
      <c r="F161" s="161"/>
      <c r="G161" s="161"/>
      <c r="H161" s="155" t="s">
        <v>191</v>
      </c>
      <c r="I161" s="155"/>
      <c r="J161" s="155"/>
      <c r="K161" s="155"/>
      <c r="L161" s="155"/>
      <c r="M161" s="155"/>
      <c r="N161" s="155"/>
      <c r="O161" s="130" t="s">
        <v>192</v>
      </c>
      <c r="P161" s="130"/>
      <c r="Q161" s="130"/>
      <c r="R161" s="130"/>
      <c r="S161" s="130"/>
      <c r="T161" s="209">
        <v>45658</v>
      </c>
      <c r="U161" s="209"/>
      <c r="V161" s="78"/>
      <c r="W161" s="78"/>
      <c r="X161" s="78"/>
      <c r="Y161" s="78"/>
      <c r="Z161" s="78"/>
      <c r="AA161" s="16" t="s">
        <v>193</v>
      </c>
      <c r="AB161" s="130" t="s">
        <v>194</v>
      </c>
      <c r="AC161" s="130"/>
      <c r="AD161" s="130"/>
      <c r="AE161" s="130" t="s">
        <v>195</v>
      </c>
      <c r="AF161" s="130"/>
      <c r="AG161" s="130"/>
      <c r="AH161" s="210">
        <v>313</v>
      </c>
      <c r="AI161" s="210"/>
      <c r="AJ161" s="210"/>
      <c r="AK161" s="210"/>
    </row>
    <row r="162" spans="1:38" ht="12.95" customHeight="1" x14ac:dyDescent="0.2">
      <c r="A162" s="30">
        <v>445753</v>
      </c>
      <c r="B162" s="205">
        <v>16633294</v>
      </c>
      <c r="C162" s="205"/>
      <c r="D162" s="141" t="s">
        <v>204</v>
      </c>
      <c r="E162" s="141"/>
      <c r="F162" s="141"/>
      <c r="G162" s="141"/>
      <c r="H162" s="138" t="s">
        <v>191</v>
      </c>
      <c r="I162" s="138"/>
      <c r="J162" s="138"/>
      <c r="K162" s="138"/>
      <c r="L162" s="138"/>
      <c r="M162" s="138"/>
      <c r="N162" s="138"/>
      <c r="O162" s="123" t="s">
        <v>192</v>
      </c>
      <c r="P162" s="123"/>
      <c r="Q162" s="123"/>
      <c r="R162" s="123"/>
      <c r="S162" s="123"/>
      <c r="T162" s="206">
        <v>45658</v>
      </c>
      <c r="U162" s="206"/>
      <c r="V162" s="125"/>
      <c r="W162" s="125"/>
      <c r="X162" s="125"/>
      <c r="Y162" s="125"/>
      <c r="Z162" s="125"/>
      <c r="AA162" s="14" t="s">
        <v>193</v>
      </c>
      <c r="AB162" s="123" t="s">
        <v>194</v>
      </c>
      <c r="AC162" s="123"/>
      <c r="AD162" s="123"/>
      <c r="AE162" s="123" t="s">
        <v>195</v>
      </c>
      <c r="AF162" s="123"/>
      <c r="AG162" s="123"/>
      <c r="AH162" s="207">
        <v>313</v>
      </c>
      <c r="AI162" s="207"/>
      <c r="AJ162" s="207"/>
      <c r="AK162" s="207"/>
    </row>
    <row r="163" spans="1:38" ht="21" customHeight="1" x14ac:dyDescent="0.2">
      <c r="A163" s="31">
        <v>446673</v>
      </c>
      <c r="B163" s="208">
        <v>16633294</v>
      </c>
      <c r="C163" s="208"/>
      <c r="D163" s="161" t="s">
        <v>205</v>
      </c>
      <c r="E163" s="161"/>
      <c r="F163" s="161"/>
      <c r="G163" s="161"/>
      <c r="H163" s="155" t="s">
        <v>191</v>
      </c>
      <c r="I163" s="155"/>
      <c r="J163" s="155"/>
      <c r="K163" s="155"/>
      <c r="L163" s="155"/>
      <c r="M163" s="155"/>
      <c r="N163" s="155"/>
      <c r="O163" s="130" t="s">
        <v>192</v>
      </c>
      <c r="P163" s="130"/>
      <c r="Q163" s="130"/>
      <c r="R163" s="130"/>
      <c r="S163" s="130"/>
      <c r="T163" s="209">
        <v>45658</v>
      </c>
      <c r="U163" s="209"/>
      <c r="V163" s="78"/>
      <c r="W163" s="78"/>
      <c r="X163" s="78"/>
      <c r="Y163" s="78"/>
      <c r="Z163" s="78"/>
      <c r="AA163" s="16" t="s">
        <v>193</v>
      </c>
      <c r="AB163" s="130" t="s">
        <v>194</v>
      </c>
      <c r="AC163" s="130"/>
      <c r="AD163" s="130"/>
      <c r="AE163" s="130" t="s">
        <v>195</v>
      </c>
      <c r="AF163" s="130"/>
      <c r="AG163" s="130"/>
      <c r="AH163" s="210">
        <v>313</v>
      </c>
      <c r="AI163" s="210"/>
      <c r="AJ163" s="210"/>
      <c r="AK163" s="210"/>
    </row>
    <row r="164" spans="1:38" ht="12" customHeight="1" x14ac:dyDescent="0.2">
      <c r="A164" s="30">
        <v>446121</v>
      </c>
      <c r="B164" s="205">
        <v>16633294</v>
      </c>
      <c r="C164" s="205"/>
      <c r="D164" s="141" t="s">
        <v>206</v>
      </c>
      <c r="E164" s="141"/>
      <c r="F164" s="141"/>
      <c r="G164" s="141"/>
      <c r="H164" s="138" t="s">
        <v>191</v>
      </c>
      <c r="I164" s="138"/>
      <c r="J164" s="138"/>
      <c r="K164" s="138"/>
      <c r="L164" s="138"/>
      <c r="M164" s="138"/>
      <c r="N164" s="138"/>
      <c r="O164" s="123" t="s">
        <v>192</v>
      </c>
      <c r="P164" s="123"/>
      <c r="Q164" s="123"/>
      <c r="R164" s="123"/>
      <c r="S164" s="123"/>
      <c r="T164" s="206">
        <v>45658</v>
      </c>
      <c r="U164" s="206"/>
      <c r="V164" s="125"/>
      <c r="W164" s="125"/>
      <c r="X164" s="125"/>
      <c r="Y164" s="125"/>
      <c r="Z164" s="125"/>
      <c r="AA164" s="14" t="s">
        <v>193</v>
      </c>
      <c r="AB164" s="123" t="s">
        <v>194</v>
      </c>
      <c r="AC164" s="123"/>
      <c r="AD164" s="123"/>
      <c r="AE164" s="123" t="s">
        <v>195</v>
      </c>
      <c r="AF164" s="123"/>
      <c r="AG164" s="123"/>
      <c r="AH164" s="207">
        <v>313</v>
      </c>
      <c r="AI164" s="207"/>
      <c r="AJ164" s="207"/>
      <c r="AK164" s="207"/>
    </row>
    <row r="165" spans="1:38" ht="21.95" customHeight="1" x14ac:dyDescent="0.2">
      <c r="A165" s="31">
        <v>447931</v>
      </c>
      <c r="B165" s="208">
        <v>16633294</v>
      </c>
      <c r="C165" s="208"/>
      <c r="D165" s="161" t="s">
        <v>207</v>
      </c>
      <c r="E165" s="161"/>
      <c r="F165" s="161"/>
      <c r="G165" s="161"/>
      <c r="H165" s="155" t="s">
        <v>191</v>
      </c>
      <c r="I165" s="155"/>
      <c r="J165" s="155"/>
      <c r="K165" s="155"/>
      <c r="L165" s="155"/>
      <c r="M165" s="155"/>
      <c r="N165" s="155"/>
      <c r="O165" s="130" t="s">
        <v>192</v>
      </c>
      <c r="P165" s="130"/>
      <c r="Q165" s="130"/>
      <c r="R165" s="130"/>
      <c r="S165" s="130"/>
      <c r="T165" s="209">
        <v>45658</v>
      </c>
      <c r="U165" s="209"/>
      <c r="V165" s="78"/>
      <c r="W165" s="78"/>
      <c r="X165" s="78"/>
      <c r="Y165" s="78"/>
      <c r="Z165" s="78"/>
      <c r="AA165" s="16" t="s">
        <v>193</v>
      </c>
      <c r="AB165" s="130" t="s">
        <v>194</v>
      </c>
      <c r="AC165" s="130"/>
      <c r="AD165" s="130"/>
      <c r="AE165" s="130" t="s">
        <v>195</v>
      </c>
      <c r="AF165" s="130"/>
      <c r="AG165" s="130"/>
      <c r="AH165" s="210">
        <v>313</v>
      </c>
      <c r="AI165" s="210"/>
      <c r="AJ165" s="210"/>
      <c r="AK165" s="210"/>
    </row>
    <row r="166" spans="1:38" ht="12" customHeight="1" x14ac:dyDescent="0.2">
      <c r="A166" s="30">
        <v>443227</v>
      </c>
      <c r="B166" s="205">
        <v>16633294</v>
      </c>
      <c r="C166" s="205"/>
      <c r="D166" s="141" t="s">
        <v>208</v>
      </c>
      <c r="E166" s="141"/>
      <c r="F166" s="141"/>
      <c r="G166" s="141"/>
      <c r="H166" s="138" t="s">
        <v>191</v>
      </c>
      <c r="I166" s="138"/>
      <c r="J166" s="138"/>
      <c r="K166" s="138"/>
      <c r="L166" s="138"/>
      <c r="M166" s="138"/>
      <c r="N166" s="138"/>
      <c r="O166" s="123" t="s">
        <v>192</v>
      </c>
      <c r="P166" s="123"/>
      <c r="Q166" s="123"/>
      <c r="R166" s="123"/>
      <c r="S166" s="123"/>
      <c r="T166" s="206">
        <v>45658</v>
      </c>
      <c r="U166" s="206"/>
      <c r="V166" s="125"/>
      <c r="W166" s="125"/>
      <c r="X166" s="125"/>
      <c r="Y166" s="125"/>
      <c r="Z166" s="125"/>
      <c r="AA166" s="14" t="s">
        <v>193</v>
      </c>
      <c r="AB166" s="123" t="s">
        <v>194</v>
      </c>
      <c r="AC166" s="123"/>
      <c r="AD166" s="123"/>
      <c r="AE166" s="123" t="s">
        <v>195</v>
      </c>
      <c r="AF166" s="123"/>
      <c r="AG166" s="123"/>
      <c r="AH166" s="207">
        <v>313</v>
      </c>
      <c r="AI166" s="207"/>
      <c r="AJ166" s="207"/>
      <c r="AK166" s="207"/>
    </row>
    <row r="167" spans="1:38" ht="23.1" customHeight="1" x14ac:dyDescent="0.2">
      <c r="A167" s="31">
        <v>443229</v>
      </c>
      <c r="B167" s="208">
        <v>16633294</v>
      </c>
      <c r="C167" s="208"/>
      <c r="D167" s="161" t="s">
        <v>209</v>
      </c>
      <c r="E167" s="161"/>
      <c r="F167" s="161"/>
      <c r="G167" s="161"/>
      <c r="H167" s="155" t="s">
        <v>191</v>
      </c>
      <c r="I167" s="155"/>
      <c r="J167" s="155"/>
      <c r="K167" s="155"/>
      <c r="L167" s="155"/>
      <c r="M167" s="155"/>
      <c r="N167" s="155"/>
      <c r="O167" s="130" t="s">
        <v>192</v>
      </c>
      <c r="P167" s="130"/>
      <c r="Q167" s="130"/>
      <c r="R167" s="130"/>
      <c r="S167" s="130"/>
      <c r="T167" s="209">
        <v>45658</v>
      </c>
      <c r="U167" s="209"/>
      <c r="V167" s="78"/>
      <c r="W167" s="78"/>
      <c r="X167" s="78"/>
      <c r="Y167" s="78"/>
      <c r="Z167" s="78"/>
      <c r="AA167" s="16" t="s">
        <v>193</v>
      </c>
      <c r="AB167" s="130" t="s">
        <v>194</v>
      </c>
      <c r="AC167" s="130"/>
      <c r="AD167" s="130"/>
      <c r="AE167" s="130" t="s">
        <v>195</v>
      </c>
      <c r="AF167" s="130"/>
      <c r="AG167" s="130"/>
      <c r="AH167" s="210">
        <v>313</v>
      </c>
      <c r="AI167" s="210"/>
      <c r="AJ167" s="210"/>
      <c r="AK167" s="210"/>
    </row>
    <row r="168" spans="1:38" ht="12" customHeight="1" x14ac:dyDescent="0.2">
      <c r="A168" s="30">
        <v>448301</v>
      </c>
      <c r="B168" s="205">
        <v>16633294</v>
      </c>
      <c r="C168" s="205"/>
      <c r="D168" s="141" t="s">
        <v>210</v>
      </c>
      <c r="E168" s="141"/>
      <c r="F168" s="141"/>
      <c r="G168" s="141"/>
      <c r="H168" s="138" t="s">
        <v>191</v>
      </c>
      <c r="I168" s="138"/>
      <c r="J168" s="138"/>
      <c r="K168" s="138"/>
      <c r="L168" s="138"/>
      <c r="M168" s="138"/>
      <c r="N168" s="138"/>
      <c r="O168" s="123" t="s">
        <v>192</v>
      </c>
      <c r="P168" s="123"/>
      <c r="Q168" s="123"/>
      <c r="R168" s="123"/>
      <c r="S168" s="123"/>
      <c r="T168" s="206">
        <v>45658</v>
      </c>
      <c r="U168" s="206"/>
      <c r="V168" s="125"/>
      <c r="W168" s="125"/>
      <c r="X168" s="125"/>
      <c r="Y168" s="125"/>
      <c r="Z168" s="125"/>
      <c r="AA168" s="14" t="s">
        <v>193</v>
      </c>
      <c r="AB168" s="123" t="s">
        <v>211</v>
      </c>
      <c r="AC168" s="123"/>
      <c r="AD168" s="123"/>
      <c r="AE168" s="123" t="s">
        <v>195</v>
      </c>
      <c r="AF168" s="123"/>
      <c r="AG168" s="123"/>
      <c r="AH168" s="207">
        <v>626</v>
      </c>
      <c r="AI168" s="207"/>
      <c r="AJ168" s="207"/>
      <c r="AK168" s="207"/>
    </row>
    <row r="169" spans="1:38" ht="15" customHeight="1" x14ac:dyDescent="0.2">
      <c r="A169" s="31">
        <v>439729</v>
      </c>
      <c r="B169" s="208">
        <v>16633294</v>
      </c>
      <c r="C169" s="208"/>
      <c r="D169" s="161" t="s">
        <v>212</v>
      </c>
      <c r="E169" s="161"/>
      <c r="F169" s="161"/>
      <c r="G169" s="161"/>
      <c r="H169" s="155" t="s">
        <v>191</v>
      </c>
      <c r="I169" s="155"/>
      <c r="J169" s="155"/>
      <c r="K169" s="155"/>
      <c r="L169" s="155"/>
      <c r="M169" s="155"/>
      <c r="N169" s="155"/>
      <c r="O169" s="130" t="s">
        <v>213</v>
      </c>
      <c r="P169" s="130"/>
      <c r="Q169" s="130"/>
      <c r="R169" s="130"/>
      <c r="S169" s="130"/>
      <c r="T169" s="209">
        <v>45597</v>
      </c>
      <c r="U169" s="209"/>
      <c r="V169" s="82"/>
      <c r="W169" s="82"/>
      <c r="X169" s="82"/>
      <c r="Y169" s="82"/>
      <c r="Z169" s="82"/>
      <c r="AA169" s="16" t="s">
        <v>214</v>
      </c>
      <c r="AB169" s="130" t="s">
        <v>211</v>
      </c>
      <c r="AC169" s="130"/>
      <c r="AD169" s="130"/>
      <c r="AE169" s="130" t="s">
        <v>195</v>
      </c>
      <c r="AF169" s="130"/>
      <c r="AG169" s="130"/>
      <c r="AH169" s="210">
        <v>611</v>
      </c>
      <c r="AI169" s="210"/>
      <c r="AJ169" s="210"/>
      <c r="AK169" s="210"/>
    </row>
    <row r="170" spans="1:38" ht="27" customHeight="1" x14ac:dyDescent="0.2">
      <c r="A170" s="2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211" t="s">
        <v>215</v>
      </c>
      <c r="P170" s="211"/>
      <c r="Q170" s="211"/>
      <c r="R170" s="211"/>
      <c r="S170" s="211"/>
      <c r="T170" s="211"/>
      <c r="U170" s="211"/>
      <c r="V170" s="211"/>
      <c r="W170" s="211"/>
      <c r="X170" s="211"/>
      <c r="Y170" s="78"/>
      <c r="Z170" s="78"/>
      <c r="AA170" s="2"/>
      <c r="AB170" s="78"/>
      <c r="AC170" s="78"/>
      <c r="AD170" s="78"/>
      <c r="AE170" s="78"/>
      <c r="AF170" s="78"/>
      <c r="AG170" s="78"/>
      <c r="AH170" s="212">
        <v>5932</v>
      </c>
      <c r="AI170" s="212"/>
      <c r="AJ170" s="212"/>
      <c r="AK170" s="212"/>
    </row>
    <row r="171" spans="1:38" ht="13.5" customHeight="1" x14ac:dyDescent="0.2">
      <c r="A171" s="32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4" t="s">
        <v>216</v>
      </c>
      <c r="P171" s="214"/>
      <c r="Q171" s="214"/>
      <c r="R171" s="214"/>
      <c r="S171" s="214"/>
      <c r="T171" s="214"/>
      <c r="U171" s="214"/>
      <c r="V171" s="214"/>
      <c r="W171" s="214"/>
      <c r="X171" s="214"/>
      <c r="Y171" s="213"/>
      <c r="Z171" s="213"/>
      <c r="AA171" s="32"/>
      <c r="AB171" s="213"/>
      <c r="AC171" s="213"/>
      <c r="AD171" s="213"/>
      <c r="AE171" s="213"/>
      <c r="AF171" s="213"/>
      <c r="AG171" s="213"/>
      <c r="AH171" s="213"/>
      <c r="AI171" s="213"/>
      <c r="AJ171" s="213"/>
      <c r="AK171" s="213"/>
    </row>
    <row r="172" spans="1:38" ht="24" customHeight="1" x14ac:dyDescent="0.2">
      <c r="A172" s="33" t="s">
        <v>178</v>
      </c>
      <c r="B172" s="215" t="s">
        <v>179</v>
      </c>
      <c r="C172" s="215"/>
      <c r="D172" s="216" t="s">
        <v>180</v>
      </c>
      <c r="E172" s="216"/>
      <c r="F172" s="216"/>
      <c r="G172" s="216"/>
      <c r="H172" s="217" t="s">
        <v>181</v>
      </c>
      <c r="I172" s="217"/>
      <c r="J172" s="217"/>
      <c r="K172" s="217"/>
      <c r="L172" s="217"/>
      <c r="M172" s="217"/>
      <c r="N172" s="217"/>
      <c r="O172" s="218" t="s">
        <v>217</v>
      </c>
      <c r="P172" s="218"/>
      <c r="Q172" s="218"/>
      <c r="R172" s="218"/>
      <c r="S172" s="218"/>
      <c r="T172" s="218"/>
      <c r="U172" s="218"/>
      <c r="V172" s="218"/>
      <c r="W172" s="218"/>
      <c r="X172" s="218"/>
      <c r="Y172" s="215" t="s">
        <v>185</v>
      </c>
      <c r="Z172" s="215"/>
      <c r="AA172" s="34" t="s">
        <v>186</v>
      </c>
      <c r="AB172" s="219" t="s">
        <v>187</v>
      </c>
      <c r="AC172" s="219"/>
      <c r="AD172" s="219"/>
      <c r="AE172" s="215" t="s">
        <v>188</v>
      </c>
      <c r="AF172" s="215"/>
      <c r="AG172" s="215"/>
      <c r="AH172" s="219" t="s">
        <v>189</v>
      </c>
      <c r="AI172" s="219"/>
      <c r="AJ172" s="219"/>
      <c r="AK172" s="219"/>
    </row>
    <row r="173" spans="1:38" ht="5.25" customHeight="1" x14ac:dyDescent="0.2">
      <c r="A173" s="12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2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</row>
    <row r="174" spans="1:38" ht="11.85" customHeight="1" x14ac:dyDescent="0.2">
      <c r="A174" s="30">
        <v>439729</v>
      </c>
      <c r="B174" s="205">
        <v>16633294</v>
      </c>
      <c r="C174" s="205"/>
      <c r="D174" s="141" t="s">
        <v>212</v>
      </c>
      <c r="E174" s="141"/>
      <c r="F174" s="141"/>
      <c r="G174" s="141"/>
      <c r="H174" s="138" t="s">
        <v>191</v>
      </c>
      <c r="I174" s="138"/>
      <c r="J174" s="138"/>
      <c r="K174" s="138"/>
      <c r="L174" s="138"/>
      <c r="M174" s="138"/>
      <c r="N174" s="138"/>
      <c r="O174" s="220" t="s">
        <v>218</v>
      </c>
      <c r="P174" s="220"/>
      <c r="Q174" s="220"/>
      <c r="R174" s="220"/>
      <c r="S174" s="220"/>
      <c r="T174" s="220"/>
      <c r="U174" s="220"/>
      <c r="V174" s="220"/>
      <c r="W174" s="220"/>
      <c r="X174" s="220"/>
      <c r="Y174" s="125"/>
      <c r="Z174" s="125"/>
      <c r="AA174" s="14" t="s">
        <v>193</v>
      </c>
      <c r="AB174" s="123" t="s">
        <v>219</v>
      </c>
      <c r="AC174" s="123"/>
      <c r="AD174" s="123"/>
      <c r="AE174" s="123" t="s">
        <v>195</v>
      </c>
      <c r="AF174" s="123"/>
      <c r="AG174" s="123"/>
      <c r="AH174" s="207">
        <v>26.08</v>
      </c>
      <c r="AI174" s="207"/>
      <c r="AJ174" s="207"/>
      <c r="AK174" s="207"/>
    </row>
    <row r="175" spans="1:38" ht="17.45" customHeight="1" x14ac:dyDescent="0.2">
      <c r="A175" s="221" t="s">
        <v>220</v>
      </c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  <c r="AB175" s="221"/>
      <c r="AC175" s="221"/>
      <c r="AD175" s="221"/>
      <c r="AE175" s="221"/>
      <c r="AF175" s="221"/>
      <c r="AG175" s="221"/>
      <c r="AH175" s="221"/>
      <c r="AI175" s="221"/>
      <c r="AJ175" s="221"/>
      <c r="AK175" s="221"/>
      <c r="AL175" s="2"/>
    </row>
    <row r="176" spans="1:38" ht="13.5" customHeight="1" x14ac:dyDescent="0.2">
      <c r="A176" s="100" t="s">
        <v>221</v>
      </c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"/>
    </row>
    <row r="177" spans="1:38" ht="12.6" customHeight="1" x14ac:dyDescent="0.2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222" t="s">
        <v>222</v>
      </c>
      <c r="P177" s="222"/>
      <c r="Q177" s="222"/>
      <c r="R177" s="222"/>
      <c r="S177" s="222"/>
      <c r="T177" s="222" t="s">
        <v>223</v>
      </c>
      <c r="U177" s="222"/>
      <c r="V177" s="82"/>
      <c r="W177" s="82"/>
      <c r="X177" s="82"/>
      <c r="Y177" s="82"/>
      <c r="Z177" s="82"/>
      <c r="AA177" s="1"/>
      <c r="AB177" s="223" t="s">
        <v>224</v>
      </c>
      <c r="AC177" s="223"/>
      <c r="AD177" s="223"/>
      <c r="AE177" s="82"/>
      <c r="AF177" s="82"/>
      <c r="AG177" s="82"/>
      <c r="AH177" s="222" t="s">
        <v>225</v>
      </c>
      <c r="AI177" s="222"/>
      <c r="AJ177" s="222"/>
      <c r="AK177" s="222"/>
      <c r="AL177" s="1"/>
    </row>
    <row r="178" spans="1:38" ht="12" customHeight="1" x14ac:dyDescent="0.2">
      <c r="A178" s="35" t="s">
        <v>226</v>
      </c>
      <c r="B178" s="117" t="s">
        <v>227</v>
      </c>
      <c r="C178" s="117"/>
      <c r="D178" s="224" t="s">
        <v>228</v>
      </c>
      <c r="E178" s="224"/>
      <c r="F178" s="224"/>
      <c r="G178" s="224"/>
      <c r="H178" s="225" t="s">
        <v>229</v>
      </c>
      <c r="I178" s="225"/>
      <c r="J178" s="225"/>
      <c r="K178" s="225"/>
      <c r="L178" s="225"/>
      <c r="M178" s="225"/>
      <c r="N178" s="225"/>
      <c r="O178" s="117" t="s">
        <v>230</v>
      </c>
      <c r="P178" s="117"/>
      <c r="Q178" s="117"/>
      <c r="R178" s="117"/>
      <c r="S178" s="117"/>
      <c r="T178" s="224" t="s">
        <v>231</v>
      </c>
      <c r="U178" s="224"/>
      <c r="V178" s="117" t="s">
        <v>232</v>
      </c>
      <c r="W178" s="117"/>
      <c r="X178" s="117"/>
      <c r="Y178" s="117" t="s">
        <v>233</v>
      </c>
      <c r="Z178" s="117"/>
      <c r="AA178" s="10" t="s">
        <v>234</v>
      </c>
      <c r="AB178" s="226" t="s">
        <v>235</v>
      </c>
      <c r="AC178" s="226"/>
      <c r="AD178" s="226"/>
      <c r="AE178" s="117" t="s">
        <v>236</v>
      </c>
      <c r="AF178" s="117"/>
      <c r="AG178" s="117"/>
      <c r="AH178" s="224" t="s">
        <v>237</v>
      </c>
      <c r="AI178" s="224"/>
      <c r="AJ178" s="224"/>
      <c r="AK178" s="224"/>
      <c r="AL178" s="1"/>
    </row>
    <row r="179" spans="1:38" ht="27.75" customHeight="1" x14ac:dyDescent="0.2">
      <c r="A179" s="2"/>
      <c r="B179" s="2"/>
      <c r="C179" s="2"/>
      <c r="D179" s="78"/>
      <c r="E179" s="78"/>
      <c r="F179" s="78"/>
      <c r="G179" s="2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2"/>
      <c r="S179" s="197" t="s">
        <v>238</v>
      </c>
      <c r="T179" s="197"/>
      <c r="U179" s="197"/>
      <c r="V179" s="197"/>
      <c r="W179" s="197"/>
      <c r="X179" s="2"/>
      <c r="Y179" s="78"/>
      <c r="Z179" s="78"/>
      <c r="AA179" s="2"/>
      <c r="AB179" s="78"/>
      <c r="AC179" s="78"/>
      <c r="AD179" s="78"/>
      <c r="AE179" s="2"/>
      <c r="AF179" s="2"/>
      <c r="AG179" s="2"/>
      <c r="AH179" s="2"/>
      <c r="AI179" s="182" t="s">
        <v>239</v>
      </c>
      <c r="AJ179" s="182"/>
      <c r="AK179" s="182"/>
      <c r="AL179" s="182"/>
    </row>
    <row r="180" spans="1:38" ht="12" customHeight="1" x14ac:dyDescent="0.2">
      <c r="A180" s="227" t="s">
        <v>240</v>
      </c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1"/>
      <c r="S180" s="197"/>
      <c r="T180" s="197"/>
      <c r="U180" s="197"/>
      <c r="V180" s="197"/>
      <c r="W180" s="197"/>
      <c r="X180" s="1"/>
      <c r="Y180" s="82"/>
      <c r="Z180" s="82"/>
      <c r="AA180" s="1"/>
      <c r="AB180" s="82"/>
      <c r="AC180" s="82"/>
      <c r="AD180" s="82"/>
      <c r="AE180" s="1"/>
      <c r="AF180" s="1"/>
      <c r="AG180" s="1"/>
      <c r="AH180" s="1"/>
      <c r="AI180" s="182"/>
      <c r="AJ180" s="182"/>
      <c r="AK180" s="182"/>
      <c r="AL180" s="182"/>
    </row>
    <row r="181" spans="1:38" ht="5.45" customHeight="1" x14ac:dyDescent="0.2">
      <c r="A181" s="1"/>
      <c r="B181" s="1"/>
      <c r="C181" s="1"/>
      <c r="D181" s="82"/>
      <c r="E181" s="82"/>
      <c r="F181" s="82"/>
      <c r="G181" s="1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1"/>
      <c r="S181" s="1"/>
      <c r="T181" s="1"/>
      <c r="U181" s="1"/>
      <c r="V181" s="82"/>
      <c r="W181" s="82"/>
      <c r="X181" s="1"/>
      <c r="Y181" s="82"/>
      <c r="Z181" s="82"/>
      <c r="AA181" s="1"/>
      <c r="AB181" s="82"/>
      <c r="AC181" s="82"/>
      <c r="AD181" s="82"/>
      <c r="AE181" s="1"/>
      <c r="AF181" s="1"/>
      <c r="AG181" s="1"/>
      <c r="AH181" s="1"/>
      <c r="AI181" s="182"/>
      <c r="AJ181" s="182"/>
      <c r="AK181" s="182"/>
      <c r="AL181" s="182"/>
    </row>
    <row r="182" spans="1:38" ht="25.5" customHeight="1" x14ac:dyDescent="0.2">
      <c r="A182" s="228" t="s">
        <v>241</v>
      </c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9">
        <v>18671.830000000002</v>
      </c>
      <c r="V182" s="229"/>
      <c r="W182" s="229"/>
      <c r="X182" s="229"/>
      <c r="Y182" s="229"/>
      <c r="Z182" s="229"/>
      <c r="AA182" s="229"/>
      <c r="AB182" s="229"/>
      <c r="AC182" s="229"/>
      <c r="AD182" s="229"/>
      <c r="AE182" s="229"/>
      <c r="AF182" s="229"/>
      <c r="AG182" s="229"/>
      <c r="AH182" s="229"/>
      <c r="AI182" s="229"/>
      <c r="AJ182" s="229"/>
      <c r="AK182" s="229"/>
      <c r="AL182" s="229"/>
    </row>
    <row r="183" spans="1:38" ht="16.5" customHeight="1" x14ac:dyDescent="0.2">
      <c r="A183" s="230" t="s">
        <v>242</v>
      </c>
      <c r="B183" s="230"/>
      <c r="C183" s="230"/>
      <c r="D183" s="230"/>
      <c r="E183" s="230"/>
      <c r="F183" s="230"/>
      <c r="G183" s="230"/>
      <c r="H183" s="230"/>
      <c r="I183" s="230"/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  <c r="V183" s="230"/>
      <c r="W183" s="230"/>
      <c r="X183" s="230"/>
      <c r="Y183" s="230"/>
      <c r="Z183" s="230"/>
      <c r="AA183" s="230"/>
      <c r="AB183" s="230"/>
      <c r="AC183" s="230"/>
      <c r="AD183" s="230"/>
      <c r="AE183" s="230"/>
      <c r="AF183" s="230"/>
      <c r="AG183" s="230"/>
      <c r="AH183" s="230"/>
      <c r="AI183" s="230"/>
      <c r="AJ183" s="230"/>
      <c r="AK183" s="230"/>
      <c r="AL183" s="1"/>
    </row>
    <row r="184" spans="1:38" ht="24" customHeight="1" x14ac:dyDescent="0.2">
      <c r="A184" s="231" t="s">
        <v>226</v>
      </c>
      <c r="B184" s="231"/>
      <c r="C184" s="216" t="s">
        <v>243</v>
      </c>
      <c r="D184" s="216"/>
      <c r="E184" s="216"/>
      <c r="F184" s="216"/>
      <c r="G184" s="232" t="s">
        <v>244</v>
      </c>
      <c r="H184" s="232"/>
      <c r="I184" s="232"/>
      <c r="J184" s="232"/>
      <c r="K184" s="232"/>
      <c r="L184" s="232"/>
      <c r="M184" s="232"/>
      <c r="N184" s="232"/>
      <c r="O184" s="233" t="s">
        <v>245</v>
      </c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  <c r="AA184" s="233"/>
      <c r="AB184" s="233"/>
      <c r="AC184" s="233"/>
      <c r="AD184" s="233"/>
      <c r="AE184" s="233"/>
      <c r="AF184" s="2"/>
      <c r="AG184" s="234" t="s">
        <v>246</v>
      </c>
      <c r="AH184" s="234"/>
      <c r="AI184" s="234"/>
      <c r="AJ184" s="234"/>
      <c r="AK184" s="36" t="s">
        <v>237</v>
      </c>
      <c r="AL184" s="2"/>
    </row>
    <row r="185" spans="1:38" ht="12" customHeight="1" x14ac:dyDescent="0.2">
      <c r="A185" s="235">
        <v>439383</v>
      </c>
      <c r="B185" s="235"/>
      <c r="C185" s="112" t="s">
        <v>247</v>
      </c>
      <c r="D185" s="112"/>
      <c r="E185" s="112"/>
      <c r="F185" s="112"/>
      <c r="G185" s="236">
        <v>2158366</v>
      </c>
      <c r="H185" s="236"/>
      <c r="I185" s="236"/>
      <c r="J185" s="236"/>
      <c r="K185" s="236"/>
      <c r="L185" s="236"/>
      <c r="M185" s="236"/>
      <c r="N185" s="236"/>
      <c r="O185" s="107" t="s">
        <v>248</v>
      </c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"/>
      <c r="AG185" s="107" t="s">
        <v>249</v>
      </c>
      <c r="AH185" s="107"/>
      <c r="AI185" s="107"/>
      <c r="AJ185" s="107"/>
      <c r="AK185" s="37">
        <v>40</v>
      </c>
      <c r="AL185" s="1"/>
    </row>
    <row r="186" spans="1:38" ht="12" customHeight="1" x14ac:dyDescent="0.2">
      <c r="A186" s="237">
        <v>439384</v>
      </c>
      <c r="B186" s="237"/>
      <c r="C186" s="187" t="s">
        <v>250</v>
      </c>
      <c r="D186" s="187"/>
      <c r="E186" s="187"/>
      <c r="F186" s="187"/>
      <c r="G186" s="238">
        <v>2158366</v>
      </c>
      <c r="H186" s="238"/>
      <c r="I186" s="238"/>
      <c r="J186" s="238"/>
      <c r="K186" s="238"/>
      <c r="L186" s="238"/>
      <c r="M186" s="238"/>
      <c r="N186" s="238"/>
      <c r="O186" s="184" t="s">
        <v>248</v>
      </c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  <c r="AB186" s="184"/>
      <c r="AC186" s="184"/>
      <c r="AD186" s="184"/>
      <c r="AE186" s="184"/>
      <c r="AF186" s="1"/>
      <c r="AG186" s="184" t="s">
        <v>249</v>
      </c>
      <c r="AH186" s="184"/>
      <c r="AI186" s="184"/>
      <c r="AJ186" s="184"/>
      <c r="AK186" s="38">
        <v>40</v>
      </c>
      <c r="AL186" s="1"/>
    </row>
    <row r="187" spans="1:38" ht="12" customHeight="1" x14ac:dyDescent="0.2">
      <c r="A187" s="239">
        <v>439729</v>
      </c>
      <c r="B187" s="239"/>
      <c r="C187" s="240" t="s">
        <v>251</v>
      </c>
      <c r="D187" s="240"/>
      <c r="E187" s="240"/>
      <c r="F187" s="240"/>
      <c r="G187" s="241">
        <v>16633294</v>
      </c>
      <c r="H187" s="241"/>
      <c r="I187" s="241"/>
      <c r="J187" s="241"/>
      <c r="K187" s="241"/>
      <c r="L187" s="241"/>
      <c r="M187" s="241"/>
      <c r="N187" s="241"/>
      <c r="O187" s="242" t="s">
        <v>252</v>
      </c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242"/>
      <c r="AA187" s="242"/>
      <c r="AB187" s="242"/>
      <c r="AC187" s="242"/>
      <c r="AD187" s="242"/>
      <c r="AE187" s="242"/>
      <c r="AF187" s="1"/>
      <c r="AG187" s="242" t="s">
        <v>253</v>
      </c>
      <c r="AH187" s="242"/>
      <c r="AI187" s="242"/>
      <c r="AJ187" s="242"/>
      <c r="AK187" s="39">
        <v>40</v>
      </c>
      <c r="AL187" s="1"/>
    </row>
    <row r="188" spans="1:38" ht="12" customHeight="1" x14ac:dyDescent="0.2">
      <c r="A188" s="237">
        <v>439914</v>
      </c>
      <c r="B188" s="237"/>
      <c r="C188" s="187" t="s">
        <v>254</v>
      </c>
      <c r="D188" s="187"/>
      <c r="E188" s="187"/>
      <c r="F188" s="187"/>
      <c r="G188" s="238">
        <v>19645587</v>
      </c>
      <c r="H188" s="238"/>
      <c r="I188" s="238"/>
      <c r="J188" s="238"/>
      <c r="K188" s="238"/>
      <c r="L188" s="238"/>
      <c r="M188" s="238"/>
      <c r="N188" s="238"/>
      <c r="O188" s="184" t="s">
        <v>255</v>
      </c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  <c r="AB188" s="184"/>
      <c r="AC188" s="184"/>
      <c r="AD188" s="184"/>
      <c r="AE188" s="184"/>
      <c r="AF188" s="1"/>
      <c r="AG188" s="184" t="s">
        <v>249</v>
      </c>
      <c r="AH188" s="184"/>
      <c r="AI188" s="184"/>
      <c r="AJ188" s="184"/>
      <c r="AK188" s="38">
        <v>40</v>
      </c>
      <c r="AL188" s="1"/>
    </row>
    <row r="189" spans="1:38" ht="12" customHeight="1" x14ac:dyDescent="0.2">
      <c r="A189" s="239">
        <v>440990</v>
      </c>
      <c r="B189" s="239"/>
      <c r="C189" s="240" t="s">
        <v>256</v>
      </c>
      <c r="D189" s="240"/>
      <c r="E189" s="240"/>
      <c r="F189" s="240"/>
      <c r="G189" s="241">
        <v>16633294</v>
      </c>
      <c r="H189" s="241"/>
      <c r="I189" s="241"/>
      <c r="J189" s="241"/>
      <c r="K189" s="241"/>
      <c r="L189" s="241"/>
      <c r="M189" s="241"/>
      <c r="N189" s="241"/>
      <c r="O189" s="242" t="s">
        <v>252</v>
      </c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242"/>
      <c r="AA189" s="242"/>
      <c r="AB189" s="242"/>
      <c r="AC189" s="242"/>
      <c r="AD189" s="242"/>
      <c r="AE189" s="242"/>
      <c r="AF189" s="1"/>
      <c r="AG189" s="242" t="s">
        <v>249</v>
      </c>
      <c r="AH189" s="242"/>
      <c r="AI189" s="242"/>
      <c r="AJ189" s="242"/>
      <c r="AK189" s="39">
        <v>40</v>
      </c>
      <c r="AL189" s="1"/>
    </row>
    <row r="190" spans="1:38" ht="12" customHeight="1" x14ac:dyDescent="0.2">
      <c r="A190" s="237">
        <v>442876</v>
      </c>
      <c r="B190" s="237"/>
      <c r="C190" s="187" t="s">
        <v>257</v>
      </c>
      <c r="D190" s="187"/>
      <c r="E190" s="187"/>
      <c r="F190" s="187"/>
      <c r="G190" s="238">
        <v>2158366</v>
      </c>
      <c r="H190" s="238"/>
      <c r="I190" s="238"/>
      <c r="J190" s="238"/>
      <c r="K190" s="238"/>
      <c r="L190" s="238"/>
      <c r="M190" s="238"/>
      <c r="N190" s="238"/>
      <c r="O190" s="184" t="s">
        <v>248</v>
      </c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  <c r="AB190" s="184"/>
      <c r="AC190" s="184"/>
      <c r="AD190" s="184"/>
      <c r="AE190" s="184"/>
      <c r="AF190" s="1"/>
      <c r="AG190" s="184" t="s">
        <v>249</v>
      </c>
      <c r="AH190" s="184"/>
      <c r="AI190" s="184"/>
      <c r="AJ190" s="184"/>
      <c r="AK190" s="38">
        <v>40</v>
      </c>
      <c r="AL190" s="1"/>
    </row>
    <row r="191" spans="1:38" ht="12" customHeight="1" x14ac:dyDescent="0.2">
      <c r="A191" s="239">
        <v>443209</v>
      </c>
      <c r="B191" s="239"/>
      <c r="C191" s="240" t="s">
        <v>258</v>
      </c>
      <c r="D191" s="240"/>
      <c r="E191" s="240"/>
      <c r="F191" s="240"/>
      <c r="G191" s="241">
        <v>16633294</v>
      </c>
      <c r="H191" s="241"/>
      <c r="I191" s="241"/>
      <c r="J191" s="241"/>
      <c r="K191" s="241"/>
      <c r="L191" s="241"/>
      <c r="M191" s="241"/>
      <c r="N191" s="241"/>
      <c r="O191" s="242" t="s">
        <v>252</v>
      </c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242"/>
      <c r="AA191" s="242"/>
      <c r="AB191" s="242"/>
      <c r="AC191" s="242"/>
      <c r="AD191" s="242"/>
      <c r="AE191" s="242"/>
      <c r="AF191" s="1"/>
      <c r="AG191" s="242" t="s">
        <v>249</v>
      </c>
      <c r="AH191" s="242"/>
      <c r="AI191" s="242"/>
      <c r="AJ191" s="242"/>
      <c r="AK191" s="39">
        <v>40</v>
      </c>
      <c r="AL191" s="1"/>
    </row>
    <row r="192" spans="1:38" ht="12" customHeight="1" x14ac:dyDescent="0.2">
      <c r="A192" s="237">
        <v>443223</v>
      </c>
      <c r="B192" s="237"/>
      <c r="C192" s="187" t="s">
        <v>259</v>
      </c>
      <c r="D192" s="187"/>
      <c r="E192" s="187"/>
      <c r="F192" s="187"/>
      <c r="G192" s="238">
        <v>2158366</v>
      </c>
      <c r="H192" s="238"/>
      <c r="I192" s="238"/>
      <c r="J192" s="238"/>
      <c r="K192" s="238"/>
      <c r="L192" s="238"/>
      <c r="M192" s="238"/>
      <c r="N192" s="238"/>
      <c r="O192" s="184" t="s">
        <v>248</v>
      </c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  <c r="AB192" s="184"/>
      <c r="AC192" s="184"/>
      <c r="AD192" s="184"/>
      <c r="AE192" s="184"/>
      <c r="AF192" s="1"/>
      <c r="AG192" s="184" t="s">
        <v>249</v>
      </c>
      <c r="AH192" s="184"/>
      <c r="AI192" s="184"/>
      <c r="AJ192" s="184"/>
      <c r="AK192" s="38">
        <v>40</v>
      </c>
      <c r="AL192" s="1"/>
    </row>
    <row r="193" spans="1:38" ht="12" customHeight="1" x14ac:dyDescent="0.2">
      <c r="A193" s="239">
        <v>443227</v>
      </c>
      <c r="B193" s="239"/>
      <c r="C193" s="240" t="s">
        <v>260</v>
      </c>
      <c r="D193" s="240"/>
      <c r="E193" s="240"/>
      <c r="F193" s="240"/>
      <c r="G193" s="241">
        <v>16633294</v>
      </c>
      <c r="H193" s="241"/>
      <c r="I193" s="241"/>
      <c r="J193" s="241"/>
      <c r="K193" s="241"/>
      <c r="L193" s="241"/>
      <c r="M193" s="241"/>
      <c r="N193" s="241"/>
      <c r="O193" s="242" t="s">
        <v>252</v>
      </c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242"/>
      <c r="AA193" s="242"/>
      <c r="AB193" s="242"/>
      <c r="AC193" s="242"/>
      <c r="AD193" s="242"/>
      <c r="AE193" s="242"/>
      <c r="AF193" s="1"/>
      <c r="AG193" s="242" t="s">
        <v>249</v>
      </c>
      <c r="AH193" s="242"/>
      <c r="AI193" s="242"/>
      <c r="AJ193" s="242"/>
      <c r="AK193" s="39">
        <v>40</v>
      </c>
      <c r="AL193" s="1"/>
    </row>
    <row r="194" spans="1:38" ht="12" customHeight="1" x14ac:dyDescent="0.2">
      <c r="A194" s="237">
        <v>443229</v>
      </c>
      <c r="B194" s="237"/>
      <c r="C194" s="187" t="s">
        <v>261</v>
      </c>
      <c r="D194" s="187"/>
      <c r="E194" s="187"/>
      <c r="F194" s="187"/>
      <c r="G194" s="238">
        <v>16633294</v>
      </c>
      <c r="H194" s="238"/>
      <c r="I194" s="238"/>
      <c r="J194" s="238"/>
      <c r="K194" s="238"/>
      <c r="L194" s="238"/>
      <c r="M194" s="238"/>
      <c r="N194" s="238"/>
      <c r="O194" s="184" t="s">
        <v>252</v>
      </c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  <c r="AB194" s="184"/>
      <c r="AC194" s="184"/>
      <c r="AD194" s="184"/>
      <c r="AE194" s="184"/>
      <c r="AF194" s="1"/>
      <c r="AG194" s="184" t="s">
        <v>249</v>
      </c>
      <c r="AH194" s="184"/>
      <c r="AI194" s="184"/>
      <c r="AJ194" s="184"/>
      <c r="AK194" s="38">
        <v>40</v>
      </c>
      <c r="AL194" s="1"/>
    </row>
    <row r="195" spans="1:38" ht="12" customHeight="1" x14ac:dyDescent="0.2">
      <c r="A195" s="239">
        <v>443286</v>
      </c>
      <c r="B195" s="239"/>
      <c r="C195" s="240" t="s">
        <v>262</v>
      </c>
      <c r="D195" s="240"/>
      <c r="E195" s="240"/>
      <c r="F195" s="240"/>
      <c r="G195" s="241">
        <v>16633294</v>
      </c>
      <c r="H195" s="241"/>
      <c r="I195" s="241"/>
      <c r="J195" s="241"/>
      <c r="K195" s="241"/>
      <c r="L195" s="241"/>
      <c r="M195" s="241"/>
      <c r="N195" s="241"/>
      <c r="O195" s="242" t="s">
        <v>252</v>
      </c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242"/>
      <c r="AA195" s="242"/>
      <c r="AB195" s="242"/>
      <c r="AC195" s="242"/>
      <c r="AD195" s="242"/>
      <c r="AE195" s="242"/>
      <c r="AF195" s="1"/>
      <c r="AG195" s="242" t="s">
        <v>249</v>
      </c>
      <c r="AH195" s="242"/>
      <c r="AI195" s="242"/>
      <c r="AJ195" s="242"/>
      <c r="AK195" s="39">
        <v>40</v>
      </c>
      <c r="AL195" s="1"/>
    </row>
    <row r="196" spans="1:38" ht="12" customHeight="1" x14ac:dyDescent="0.2">
      <c r="A196" s="237">
        <v>443292</v>
      </c>
      <c r="B196" s="237"/>
      <c r="C196" s="187" t="s">
        <v>263</v>
      </c>
      <c r="D196" s="187"/>
      <c r="E196" s="187"/>
      <c r="F196" s="187"/>
      <c r="G196" s="238">
        <v>16633294</v>
      </c>
      <c r="H196" s="238"/>
      <c r="I196" s="238"/>
      <c r="J196" s="238"/>
      <c r="K196" s="238"/>
      <c r="L196" s="238"/>
      <c r="M196" s="238"/>
      <c r="N196" s="238"/>
      <c r="O196" s="184" t="s">
        <v>252</v>
      </c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  <c r="AB196" s="184"/>
      <c r="AC196" s="184"/>
      <c r="AD196" s="184"/>
      <c r="AE196" s="184"/>
      <c r="AF196" s="1"/>
      <c r="AG196" s="184" t="s">
        <v>249</v>
      </c>
      <c r="AH196" s="184"/>
      <c r="AI196" s="184"/>
      <c r="AJ196" s="184"/>
      <c r="AK196" s="38">
        <v>40</v>
      </c>
      <c r="AL196" s="1"/>
    </row>
    <row r="197" spans="1:38" ht="12" customHeight="1" x14ac:dyDescent="0.2">
      <c r="A197" s="239">
        <v>444055</v>
      </c>
      <c r="B197" s="239"/>
      <c r="C197" s="240" t="s">
        <v>264</v>
      </c>
      <c r="D197" s="240"/>
      <c r="E197" s="240"/>
      <c r="F197" s="240"/>
      <c r="G197" s="241">
        <v>19615078</v>
      </c>
      <c r="H197" s="241"/>
      <c r="I197" s="241"/>
      <c r="J197" s="241"/>
      <c r="K197" s="241"/>
      <c r="L197" s="241"/>
      <c r="M197" s="241"/>
      <c r="N197" s="241"/>
      <c r="O197" s="242" t="s">
        <v>265</v>
      </c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242"/>
      <c r="AA197" s="242"/>
      <c r="AB197" s="242"/>
      <c r="AC197" s="242"/>
      <c r="AD197" s="242"/>
      <c r="AE197" s="242"/>
      <c r="AF197" s="1"/>
      <c r="AG197" s="242" t="s">
        <v>249</v>
      </c>
      <c r="AH197" s="242"/>
      <c r="AI197" s="242"/>
      <c r="AJ197" s="242"/>
      <c r="AK197" s="39">
        <v>40</v>
      </c>
      <c r="AL197" s="1"/>
    </row>
    <row r="198" spans="1:38" ht="12" customHeight="1" x14ac:dyDescent="0.2">
      <c r="A198" s="237">
        <v>444121</v>
      </c>
      <c r="B198" s="237"/>
      <c r="C198" s="187" t="s">
        <v>266</v>
      </c>
      <c r="D198" s="187"/>
      <c r="E198" s="187"/>
      <c r="F198" s="187"/>
      <c r="G198" s="238">
        <v>2158366</v>
      </c>
      <c r="H198" s="238"/>
      <c r="I198" s="238"/>
      <c r="J198" s="238"/>
      <c r="K198" s="238"/>
      <c r="L198" s="238"/>
      <c r="M198" s="238"/>
      <c r="N198" s="238"/>
      <c r="O198" s="184" t="s">
        <v>267</v>
      </c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  <c r="AB198" s="184"/>
      <c r="AC198" s="184"/>
      <c r="AD198" s="184"/>
      <c r="AE198" s="184"/>
      <c r="AF198" s="1"/>
      <c r="AG198" s="184" t="s">
        <v>249</v>
      </c>
      <c r="AH198" s="184"/>
      <c r="AI198" s="184"/>
      <c r="AJ198" s="184"/>
      <c r="AK198" s="38">
        <v>40</v>
      </c>
      <c r="AL198" s="1"/>
    </row>
    <row r="199" spans="1:38" ht="12" customHeight="1" x14ac:dyDescent="0.2">
      <c r="A199" s="239">
        <v>444212</v>
      </c>
      <c r="B199" s="239"/>
      <c r="C199" s="240" t="s">
        <v>268</v>
      </c>
      <c r="D199" s="240"/>
      <c r="E199" s="240"/>
      <c r="F199" s="240"/>
      <c r="G199" s="241">
        <v>16633294</v>
      </c>
      <c r="H199" s="241"/>
      <c r="I199" s="241"/>
      <c r="J199" s="241"/>
      <c r="K199" s="241"/>
      <c r="L199" s="241"/>
      <c r="M199" s="241"/>
      <c r="N199" s="241"/>
      <c r="O199" s="242" t="s">
        <v>252</v>
      </c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242"/>
      <c r="AA199" s="242"/>
      <c r="AB199" s="242"/>
      <c r="AC199" s="242"/>
      <c r="AD199" s="242"/>
      <c r="AE199" s="242"/>
      <c r="AF199" s="1"/>
      <c r="AG199" s="242" t="s">
        <v>249</v>
      </c>
      <c r="AH199" s="242"/>
      <c r="AI199" s="242"/>
      <c r="AJ199" s="242"/>
      <c r="AK199" s="39">
        <v>40</v>
      </c>
      <c r="AL199" s="1"/>
    </row>
    <row r="200" spans="1:38" ht="12" customHeight="1" x14ac:dyDescent="0.2">
      <c r="A200" s="237">
        <v>445324</v>
      </c>
      <c r="B200" s="237"/>
      <c r="C200" s="187" t="s">
        <v>269</v>
      </c>
      <c r="D200" s="187"/>
      <c r="E200" s="187"/>
      <c r="F200" s="187"/>
      <c r="G200" s="238">
        <v>8325282</v>
      </c>
      <c r="H200" s="238"/>
      <c r="I200" s="238"/>
      <c r="J200" s="238"/>
      <c r="K200" s="238"/>
      <c r="L200" s="238"/>
      <c r="M200" s="238"/>
      <c r="N200" s="238"/>
      <c r="O200" s="184" t="s">
        <v>270</v>
      </c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  <c r="AB200" s="184"/>
      <c r="AC200" s="184"/>
      <c r="AD200" s="184"/>
      <c r="AE200" s="184"/>
      <c r="AF200" s="1"/>
      <c r="AG200" s="184" t="s">
        <v>249</v>
      </c>
      <c r="AH200" s="184"/>
      <c r="AI200" s="184"/>
      <c r="AJ200" s="184"/>
      <c r="AK200" s="38">
        <v>40</v>
      </c>
      <c r="AL200" s="1"/>
    </row>
    <row r="201" spans="1:38" ht="12" customHeight="1" x14ac:dyDescent="0.2">
      <c r="A201" s="239">
        <v>445336</v>
      </c>
      <c r="B201" s="239"/>
      <c r="C201" s="240" t="s">
        <v>271</v>
      </c>
      <c r="D201" s="240"/>
      <c r="E201" s="240"/>
      <c r="F201" s="240"/>
      <c r="G201" s="241">
        <v>16633294</v>
      </c>
      <c r="H201" s="241"/>
      <c r="I201" s="241"/>
      <c r="J201" s="241"/>
      <c r="K201" s="241"/>
      <c r="L201" s="241"/>
      <c r="M201" s="241"/>
      <c r="N201" s="241"/>
      <c r="O201" s="242" t="s">
        <v>252</v>
      </c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242"/>
      <c r="AA201" s="242"/>
      <c r="AB201" s="242"/>
      <c r="AC201" s="242"/>
      <c r="AD201" s="242"/>
      <c r="AE201" s="242"/>
      <c r="AF201" s="1"/>
      <c r="AG201" s="242" t="s">
        <v>249</v>
      </c>
      <c r="AH201" s="242"/>
      <c r="AI201" s="242"/>
      <c r="AJ201" s="242"/>
      <c r="AK201" s="39">
        <v>40</v>
      </c>
      <c r="AL201" s="1"/>
    </row>
    <row r="202" spans="1:38" ht="12" customHeight="1" x14ac:dyDescent="0.2">
      <c r="A202" s="237">
        <v>445341</v>
      </c>
      <c r="B202" s="237"/>
      <c r="C202" s="187" t="s">
        <v>272</v>
      </c>
      <c r="D202" s="187"/>
      <c r="E202" s="187"/>
      <c r="F202" s="187"/>
      <c r="G202" s="238">
        <v>2158366</v>
      </c>
      <c r="H202" s="238"/>
      <c r="I202" s="238"/>
      <c r="J202" s="238"/>
      <c r="K202" s="238"/>
      <c r="L202" s="238"/>
      <c r="M202" s="238"/>
      <c r="N202" s="238"/>
      <c r="O202" s="184" t="s">
        <v>248</v>
      </c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  <c r="AB202" s="184"/>
      <c r="AC202" s="184"/>
      <c r="AD202" s="184"/>
      <c r="AE202" s="184"/>
      <c r="AF202" s="1"/>
      <c r="AG202" s="184" t="s">
        <v>249</v>
      </c>
      <c r="AH202" s="184"/>
      <c r="AI202" s="184"/>
      <c r="AJ202" s="184"/>
      <c r="AK202" s="38">
        <v>40</v>
      </c>
      <c r="AL202" s="1"/>
    </row>
    <row r="203" spans="1:38" ht="12.95" customHeight="1" x14ac:dyDescent="0.2">
      <c r="A203" s="239">
        <v>445359</v>
      </c>
      <c r="B203" s="239"/>
      <c r="C203" s="240" t="s">
        <v>273</v>
      </c>
      <c r="D203" s="240"/>
      <c r="E203" s="240"/>
      <c r="F203" s="240"/>
      <c r="G203" s="241">
        <v>19681796</v>
      </c>
      <c r="H203" s="241"/>
      <c r="I203" s="241"/>
      <c r="J203" s="241"/>
      <c r="K203" s="241"/>
      <c r="L203" s="241"/>
      <c r="M203" s="241"/>
      <c r="N203" s="241"/>
      <c r="O203" s="242" t="s">
        <v>274</v>
      </c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242"/>
      <c r="AA203" s="242"/>
      <c r="AB203" s="242"/>
      <c r="AC203" s="242"/>
      <c r="AD203" s="242"/>
      <c r="AE203" s="242"/>
      <c r="AF203" s="1"/>
      <c r="AG203" s="242" t="s">
        <v>249</v>
      </c>
      <c r="AH203" s="242"/>
      <c r="AI203" s="242"/>
      <c r="AJ203" s="242"/>
      <c r="AK203" s="39">
        <v>40</v>
      </c>
      <c r="AL203" s="1"/>
    </row>
    <row r="204" spans="1:38" ht="12" customHeight="1" x14ac:dyDescent="0.2">
      <c r="A204" s="237">
        <v>445462</v>
      </c>
      <c r="B204" s="237"/>
      <c r="C204" s="187" t="s">
        <v>275</v>
      </c>
      <c r="D204" s="187"/>
      <c r="E204" s="187"/>
      <c r="F204" s="187"/>
      <c r="G204" s="238">
        <v>16633294</v>
      </c>
      <c r="H204" s="238"/>
      <c r="I204" s="238"/>
      <c r="J204" s="238"/>
      <c r="K204" s="238"/>
      <c r="L204" s="238"/>
      <c r="M204" s="238"/>
      <c r="N204" s="238"/>
      <c r="O204" s="184" t="s">
        <v>252</v>
      </c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  <c r="AB204" s="184"/>
      <c r="AC204" s="184"/>
      <c r="AD204" s="184"/>
      <c r="AE204" s="184"/>
      <c r="AF204" s="1"/>
      <c r="AG204" s="184" t="s">
        <v>249</v>
      </c>
      <c r="AH204" s="184"/>
      <c r="AI204" s="184"/>
      <c r="AJ204" s="184"/>
      <c r="AK204" s="38">
        <v>40</v>
      </c>
      <c r="AL204" s="1"/>
    </row>
    <row r="205" spans="1:38" ht="12" customHeight="1" x14ac:dyDescent="0.2">
      <c r="A205" s="239">
        <v>445463</v>
      </c>
      <c r="B205" s="239"/>
      <c r="C205" s="240" t="s">
        <v>276</v>
      </c>
      <c r="D205" s="240"/>
      <c r="E205" s="240"/>
      <c r="F205" s="240"/>
      <c r="G205" s="241">
        <v>16633294</v>
      </c>
      <c r="H205" s="241"/>
      <c r="I205" s="241"/>
      <c r="J205" s="241"/>
      <c r="K205" s="241"/>
      <c r="L205" s="241"/>
      <c r="M205" s="241"/>
      <c r="N205" s="241"/>
      <c r="O205" s="242" t="s">
        <v>252</v>
      </c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242"/>
      <c r="AA205" s="242"/>
      <c r="AB205" s="242"/>
      <c r="AC205" s="242"/>
      <c r="AD205" s="242"/>
      <c r="AE205" s="242"/>
      <c r="AF205" s="1"/>
      <c r="AG205" s="242" t="s">
        <v>249</v>
      </c>
      <c r="AH205" s="242"/>
      <c r="AI205" s="242"/>
      <c r="AJ205" s="242"/>
      <c r="AK205" s="39">
        <v>40</v>
      </c>
      <c r="AL205" s="1"/>
    </row>
    <row r="206" spans="1:38" ht="12" customHeight="1" x14ac:dyDescent="0.2">
      <c r="A206" s="237">
        <v>445753</v>
      </c>
      <c r="B206" s="237"/>
      <c r="C206" s="187" t="s">
        <v>277</v>
      </c>
      <c r="D206" s="187"/>
      <c r="E206" s="187"/>
      <c r="F206" s="187"/>
      <c r="G206" s="238">
        <v>16633294</v>
      </c>
      <c r="H206" s="238"/>
      <c r="I206" s="238"/>
      <c r="J206" s="238"/>
      <c r="K206" s="238"/>
      <c r="L206" s="238"/>
      <c r="M206" s="238"/>
      <c r="N206" s="238"/>
      <c r="O206" s="184" t="s">
        <v>252</v>
      </c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  <c r="AB206" s="184"/>
      <c r="AC206" s="184"/>
      <c r="AD206" s="184"/>
      <c r="AE206" s="184"/>
      <c r="AF206" s="1"/>
      <c r="AG206" s="184" t="s">
        <v>249</v>
      </c>
      <c r="AH206" s="184"/>
      <c r="AI206" s="184"/>
      <c r="AJ206" s="184"/>
      <c r="AK206" s="38">
        <v>40</v>
      </c>
      <c r="AL206" s="1"/>
    </row>
    <row r="207" spans="1:38" ht="9.75" customHeight="1" x14ac:dyDescent="0.2">
      <c r="A207" s="239">
        <v>445779</v>
      </c>
      <c r="B207" s="239"/>
      <c r="C207" s="240" t="s">
        <v>278</v>
      </c>
      <c r="D207" s="240"/>
      <c r="E207" s="240"/>
      <c r="F207" s="240"/>
      <c r="G207" s="241">
        <v>19645587</v>
      </c>
      <c r="H207" s="241"/>
      <c r="I207" s="241"/>
      <c r="J207" s="241"/>
      <c r="K207" s="241"/>
      <c r="L207" s="241"/>
      <c r="M207" s="241"/>
      <c r="N207" s="241"/>
      <c r="O207" s="242" t="s">
        <v>279</v>
      </c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242"/>
      <c r="AA207" s="242"/>
      <c r="AB207" s="242"/>
      <c r="AC207" s="242"/>
      <c r="AD207" s="242"/>
      <c r="AE207" s="242"/>
      <c r="AF207" s="1"/>
      <c r="AG207" s="242" t="s">
        <v>249</v>
      </c>
      <c r="AH207" s="242"/>
      <c r="AI207" s="242"/>
      <c r="AJ207" s="242"/>
      <c r="AK207" s="39">
        <v>40</v>
      </c>
      <c r="AL207" s="1"/>
    </row>
    <row r="208" spans="1:38" ht="16.5" customHeight="1" x14ac:dyDescent="0.2">
      <c r="A208" s="230" t="s">
        <v>280</v>
      </c>
      <c r="B208" s="230"/>
      <c r="C208" s="230"/>
      <c r="D208" s="230"/>
      <c r="E208" s="230"/>
      <c r="F208" s="230"/>
      <c r="G208" s="230"/>
      <c r="H208" s="230"/>
      <c r="I208" s="230"/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  <c r="V208" s="230"/>
      <c r="W208" s="230"/>
      <c r="X208" s="230"/>
      <c r="Y208" s="230"/>
      <c r="Z208" s="230"/>
      <c r="AA208" s="230"/>
      <c r="AB208" s="230"/>
      <c r="AC208" s="230"/>
      <c r="AD208" s="230"/>
      <c r="AE208" s="230"/>
      <c r="AF208" s="230"/>
      <c r="AG208" s="230"/>
      <c r="AH208" s="230"/>
      <c r="AI208" s="230"/>
      <c r="AJ208" s="230"/>
      <c r="AK208" s="230"/>
      <c r="AL208" s="1"/>
    </row>
    <row r="209" spans="1:38" ht="24" customHeight="1" x14ac:dyDescent="0.2">
      <c r="A209" s="81" t="s">
        <v>281</v>
      </c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</row>
    <row r="210" spans="1:38" ht="12.6" customHeight="1" x14ac:dyDescent="0.2">
      <c r="A210" s="247" t="s">
        <v>282</v>
      </c>
      <c r="B210" s="247"/>
      <c r="C210" s="247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  <c r="AA210" s="247"/>
      <c r="AB210" s="247"/>
      <c r="AC210" s="247"/>
      <c r="AD210" s="247"/>
      <c r="AE210" s="247"/>
      <c r="AF210" s="1"/>
      <c r="AG210" s="248" t="s">
        <v>283</v>
      </c>
      <c r="AH210" s="248"/>
      <c r="AI210" s="248"/>
      <c r="AJ210" s="248"/>
      <c r="AK210" s="248"/>
      <c r="AL210" s="1"/>
    </row>
    <row r="211" spans="1:38" ht="11.45" customHeight="1" x14ac:dyDescent="0.2">
      <c r="A211" s="245" t="s">
        <v>284</v>
      </c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  <c r="AE211" s="245"/>
      <c r="AF211" s="245"/>
      <c r="AG211" s="245"/>
      <c r="AH211" s="245"/>
      <c r="AI211" s="245"/>
      <c r="AJ211" s="245"/>
      <c r="AK211" s="245"/>
      <c r="AL211" s="245"/>
    </row>
    <row r="212" spans="1:38" ht="12.6" customHeight="1" x14ac:dyDescent="0.2">
      <c r="A212" s="243" t="s">
        <v>285</v>
      </c>
      <c r="B212" s="243"/>
      <c r="C212" s="243"/>
      <c r="D212" s="243"/>
      <c r="E212" s="243"/>
      <c r="F212" s="243"/>
      <c r="G212" s="243"/>
      <c r="H212" s="243"/>
      <c r="I212" s="243"/>
      <c r="J212" s="243"/>
      <c r="K212" s="243"/>
      <c r="L212" s="243"/>
      <c r="M212" s="243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43"/>
      <c r="AC212" s="243"/>
      <c r="AD212" s="243"/>
      <c r="AE212" s="243"/>
      <c r="AF212" s="1"/>
      <c r="AG212" s="244" t="s">
        <v>283</v>
      </c>
      <c r="AH212" s="244"/>
      <c r="AI212" s="244"/>
      <c r="AJ212" s="244"/>
      <c r="AK212" s="244"/>
      <c r="AL212" s="1"/>
    </row>
    <row r="213" spans="1:38" ht="11.45" customHeight="1" x14ac:dyDescent="0.2">
      <c r="A213" s="245" t="s">
        <v>286</v>
      </c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  <c r="AE213" s="245"/>
      <c r="AF213" s="245"/>
      <c r="AG213" s="245"/>
      <c r="AH213" s="245"/>
      <c r="AI213" s="245"/>
      <c r="AJ213" s="245"/>
      <c r="AK213" s="245"/>
      <c r="AL213" s="245"/>
    </row>
    <row r="214" spans="1:38" ht="12.6" customHeight="1" x14ac:dyDescent="0.2">
      <c r="A214" s="243" t="s">
        <v>287</v>
      </c>
      <c r="B214" s="243"/>
      <c r="C214" s="243"/>
      <c r="D214" s="243"/>
      <c r="E214" s="243"/>
      <c r="F214" s="243"/>
      <c r="G214" s="243"/>
      <c r="H214" s="243"/>
      <c r="I214" s="243"/>
      <c r="J214" s="243"/>
      <c r="K214" s="243"/>
      <c r="L214" s="243"/>
      <c r="M214" s="243"/>
      <c r="N214" s="243"/>
      <c r="O214" s="243"/>
      <c r="P214" s="243"/>
      <c r="Q214" s="243"/>
      <c r="R214" s="243"/>
      <c r="S214" s="243"/>
      <c r="T214" s="243"/>
      <c r="U214" s="243"/>
      <c r="V214" s="243"/>
      <c r="W214" s="243"/>
      <c r="X214" s="243"/>
      <c r="Y214" s="243"/>
      <c r="Z214" s="243"/>
      <c r="AA214" s="243"/>
      <c r="AB214" s="243"/>
      <c r="AC214" s="243"/>
      <c r="AD214" s="243"/>
      <c r="AE214" s="243"/>
      <c r="AF214" s="1"/>
      <c r="AG214" s="244" t="s">
        <v>283</v>
      </c>
      <c r="AH214" s="244"/>
      <c r="AI214" s="244"/>
      <c r="AJ214" s="244"/>
      <c r="AK214" s="244"/>
      <c r="AL214" s="1"/>
    </row>
    <row r="215" spans="1:38" ht="11.45" customHeight="1" x14ac:dyDescent="0.2">
      <c r="A215" s="245" t="s">
        <v>288</v>
      </c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  <c r="AE215" s="245"/>
      <c r="AF215" s="245"/>
      <c r="AG215" s="245"/>
      <c r="AH215" s="245"/>
      <c r="AI215" s="245"/>
      <c r="AJ215" s="245"/>
      <c r="AK215" s="245"/>
      <c r="AL215" s="245"/>
    </row>
    <row r="216" spans="1:38" ht="12.6" customHeight="1" x14ac:dyDescent="0.2">
      <c r="A216" s="243" t="s">
        <v>289</v>
      </c>
      <c r="B216" s="243"/>
      <c r="C216" s="243"/>
      <c r="D216" s="243"/>
      <c r="E216" s="243"/>
      <c r="F216" s="243"/>
      <c r="G216" s="243"/>
      <c r="H216" s="243"/>
      <c r="I216" s="243"/>
      <c r="J216" s="243"/>
      <c r="K216" s="243"/>
      <c r="L216" s="243"/>
      <c r="M216" s="243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3"/>
      <c r="AC216" s="243"/>
      <c r="AD216" s="243"/>
      <c r="AE216" s="243"/>
      <c r="AF216" s="1"/>
      <c r="AG216" s="244" t="s">
        <v>283</v>
      </c>
      <c r="AH216" s="244"/>
      <c r="AI216" s="244"/>
      <c r="AJ216" s="244"/>
      <c r="AK216" s="244"/>
      <c r="AL216" s="1"/>
    </row>
    <row r="217" spans="1:38" ht="11.45" customHeight="1" x14ac:dyDescent="0.2">
      <c r="A217" s="245" t="s">
        <v>290</v>
      </c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  <c r="AE217" s="245"/>
      <c r="AF217" s="245"/>
      <c r="AG217" s="245"/>
      <c r="AH217" s="245"/>
      <c r="AI217" s="245"/>
      <c r="AJ217" s="245"/>
      <c r="AK217" s="245"/>
      <c r="AL217" s="245"/>
    </row>
    <row r="218" spans="1:38" ht="12.6" customHeight="1" x14ac:dyDescent="0.2">
      <c r="A218" s="243" t="s">
        <v>291</v>
      </c>
      <c r="B218" s="243"/>
      <c r="C218" s="243"/>
      <c r="D218" s="243"/>
      <c r="E218" s="243"/>
      <c r="F218" s="243"/>
      <c r="G218" s="243"/>
      <c r="H218" s="243"/>
      <c r="I218" s="243"/>
      <c r="J218" s="243"/>
      <c r="K218" s="243"/>
      <c r="L218" s="243"/>
      <c r="M218" s="243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3"/>
      <c r="Y218" s="243"/>
      <c r="Z218" s="243"/>
      <c r="AA218" s="243"/>
      <c r="AB218" s="243"/>
      <c r="AC218" s="243"/>
      <c r="AD218" s="243"/>
      <c r="AE218" s="243"/>
      <c r="AF218" s="1"/>
      <c r="AG218" s="244" t="s">
        <v>292</v>
      </c>
      <c r="AH218" s="244"/>
      <c r="AI218" s="244"/>
      <c r="AJ218" s="244"/>
      <c r="AK218" s="244"/>
      <c r="AL218" s="1"/>
    </row>
    <row r="219" spans="1:38" ht="11.45" customHeight="1" x14ac:dyDescent="0.2">
      <c r="A219" s="245" t="s">
        <v>293</v>
      </c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E219" s="245"/>
      <c r="AF219" s="245"/>
      <c r="AG219" s="245"/>
      <c r="AH219" s="245"/>
      <c r="AI219" s="245"/>
      <c r="AJ219" s="245"/>
      <c r="AK219" s="245"/>
      <c r="AL219" s="245"/>
    </row>
    <row r="220" spans="1:38" ht="12.6" customHeight="1" x14ac:dyDescent="0.2">
      <c r="A220" s="243" t="s">
        <v>294</v>
      </c>
      <c r="B220" s="243"/>
      <c r="C220" s="243"/>
      <c r="D220" s="243"/>
      <c r="E220" s="243"/>
      <c r="F220" s="243"/>
      <c r="G220" s="243"/>
      <c r="H220" s="243"/>
      <c r="I220" s="243"/>
      <c r="J220" s="243"/>
      <c r="K220" s="243"/>
      <c r="L220" s="243"/>
      <c r="M220" s="243"/>
      <c r="N220" s="243"/>
      <c r="O220" s="243"/>
      <c r="P220" s="243"/>
      <c r="Q220" s="243"/>
      <c r="R220" s="243"/>
      <c r="S220" s="243"/>
      <c r="T220" s="243"/>
      <c r="U220" s="243"/>
      <c r="V220" s="243"/>
      <c r="W220" s="243"/>
      <c r="X220" s="243"/>
      <c r="Y220" s="243"/>
      <c r="Z220" s="243"/>
      <c r="AA220" s="243"/>
      <c r="AB220" s="243"/>
      <c r="AC220" s="243"/>
      <c r="AD220" s="243"/>
      <c r="AE220" s="243"/>
      <c r="AF220" s="1"/>
      <c r="AG220" s="244" t="s">
        <v>292</v>
      </c>
      <c r="AH220" s="244"/>
      <c r="AI220" s="244"/>
      <c r="AJ220" s="244"/>
      <c r="AK220" s="244"/>
      <c r="AL220" s="1"/>
    </row>
    <row r="221" spans="1:38" ht="11.45" customHeight="1" x14ac:dyDescent="0.2">
      <c r="A221" s="245" t="s">
        <v>295</v>
      </c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  <c r="AE221" s="245"/>
      <c r="AF221" s="245"/>
      <c r="AG221" s="245"/>
      <c r="AH221" s="245"/>
      <c r="AI221" s="245"/>
      <c r="AJ221" s="245"/>
      <c r="AK221" s="245"/>
      <c r="AL221" s="245"/>
    </row>
    <row r="222" spans="1:38" ht="12.6" customHeight="1" x14ac:dyDescent="0.2">
      <c r="A222" s="243" t="s">
        <v>296</v>
      </c>
      <c r="B222" s="243"/>
      <c r="C222" s="243"/>
      <c r="D222" s="243"/>
      <c r="E222" s="243"/>
      <c r="F222" s="243"/>
      <c r="G222" s="243"/>
      <c r="H222" s="243"/>
      <c r="I222" s="243"/>
      <c r="J222" s="243"/>
      <c r="K222" s="243"/>
      <c r="L222" s="243"/>
      <c r="M222" s="243"/>
      <c r="N222" s="243"/>
      <c r="O222" s="243"/>
      <c r="P222" s="243"/>
      <c r="Q222" s="243"/>
      <c r="R222" s="243"/>
      <c r="S222" s="243"/>
      <c r="T222" s="243"/>
      <c r="U222" s="243"/>
      <c r="V222" s="243"/>
      <c r="W222" s="243"/>
      <c r="X222" s="243"/>
      <c r="Y222" s="243"/>
      <c r="Z222" s="243"/>
      <c r="AA222" s="243"/>
      <c r="AB222" s="243"/>
      <c r="AC222" s="243"/>
      <c r="AD222" s="243"/>
      <c r="AE222" s="243"/>
      <c r="AF222" s="1"/>
      <c r="AG222" s="244" t="s">
        <v>292</v>
      </c>
      <c r="AH222" s="244"/>
      <c r="AI222" s="244"/>
      <c r="AJ222" s="244"/>
      <c r="AK222" s="244"/>
      <c r="AL222" s="1"/>
    </row>
    <row r="223" spans="1:38" ht="31.5" customHeight="1" x14ac:dyDescent="0.2">
      <c r="A223" s="246" t="s">
        <v>297</v>
      </c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</row>
  </sheetData>
  <mergeCells count="1710">
    <mergeCell ref="A220:AE220"/>
    <mergeCell ref="AG220:AK220"/>
    <mergeCell ref="A221:AL221"/>
    <mergeCell ref="A222:AE222"/>
    <mergeCell ref="AG222:AK222"/>
    <mergeCell ref="A223:AL223"/>
    <mergeCell ref="A208:AK208"/>
    <mergeCell ref="A209:AL209"/>
    <mergeCell ref="A210:AE210"/>
    <mergeCell ref="AG210:AK210"/>
    <mergeCell ref="A211:AL211"/>
    <mergeCell ref="A212:AE212"/>
    <mergeCell ref="AG212:AK212"/>
    <mergeCell ref="A213:AL213"/>
    <mergeCell ref="A214:AE214"/>
    <mergeCell ref="AG214:AK214"/>
    <mergeCell ref="A215:AL215"/>
    <mergeCell ref="A216:AE216"/>
    <mergeCell ref="AG216:AK216"/>
    <mergeCell ref="A217:AL217"/>
    <mergeCell ref="A218:AE218"/>
    <mergeCell ref="AG218:AK218"/>
    <mergeCell ref="A219:AL219"/>
    <mergeCell ref="A204:B204"/>
    <mergeCell ref="C204:F204"/>
    <mergeCell ref="G204:N204"/>
    <mergeCell ref="O204:AE204"/>
    <mergeCell ref="AG204:AJ204"/>
    <mergeCell ref="A205:B205"/>
    <mergeCell ref="C205:F205"/>
    <mergeCell ref="G205:N205"/>
    <mergeCell ref="O205:AE205"/>
    <mergeCell ref="AG205:AJ205"/>
    <mergeCell ref="A206:B206"/>
    <mergeCell ref="C206:F206"/>
    <mergeCell ref="G206:N206"/>
    <mergeCell ref="O206:AE206"/>
    <mergeCell ref="AG206:AJ206"/>
    <mergeCell ref="A207:B207"/>
    <mergeCell ref="C207:F207"/>
    <mergeCell ref="G207:N207"/>
    <mergeCell ref="O207:AE207"/>
    <mergeCell ref="AG207:AJ207"/>
    <mergeCell ref="A200:B200"/>
    <mergeCell ref="C200:F200"/>
    <mergeCell ref="G200:N200"/>
    <mergeCell ref="O200:AE200"/>
    <mergeCell ref="AG200:AJ200"/>
    <mergeCell ref="A201:B201"/>
    <mergeCell ref="C201:F201"/>
    <mergeCell ref="G201:N201"/>
    <mergeCell ref="O201:AE201"/>
    <mergeCell ref="AG201:AJ201"/>
    <mergeCell ref="A202:B202"/>
    <mergeCell ref="C202:F202"/>
    <mergeCell ref="G202:N202"/>
    <mergeCell ref="O202:AE202"/>
    <mergeCell ref="AG202:AJ202"/>
    <mergeCell ref="A203:B203"/>
    <mergeCell ref="C203:F203"/>
    <mergeCell ref="G203:N203"/>
    <mergeCell ref="O203:AE203"/>
    <mergeCell ref="AG203:AJ203"/>
    <mergeCell ref="A196:B196"/>
    <mergeCell ref="C196:F196"/>
    <mergeCell ref="G196:N196"/>
    <mergeCell ref="O196:AE196"/>
    <mergeCell ref="AG196:AJ196"/>
    <mergeCell ref="A197:B197"/>
    <mergeCell ref="C197:F197"/>
    <mergeCell ref="G197:N197"/>
    <mergeCell ref="O197:AE197"/>
    <mergeCell ref="AG197:AJ197"/>
    <mergeCell ref="A198:B198"/>
    <mergeCell ref="C198:F198"/>
    <mergeCell ref="G198:N198"/>
    <mergeCell ref="O198:AE198"/>
    <mergeCell ref="AG198:AJ198"/>
    <mergeCell ref="A199:B199"/>
    <mergeCell ref="C199:F199"/>
    <mergeCell ref="G199:N199"/>
    <mergeCell ref="O199:AE199"/>
    <mergeCell ref="AG199:AJ199"/>
    <mergeCell ref="A192:B192"/>
    <mergeCell ref="C192:F192"/>
    <mergeCell ref="G192:N192"/>
    <mergeCell ref="O192:AE192"/>
    <mergeCell ref="AG192:AJ192"/>
    <mergeCell ref="A193:B193"/>
    <mergeCell ref="C193:F193"/>
    <mergeCell ref="G193:N193"/>
    <mergeCell ref="O193:AE193"/>
    <mergeCell ref="AG193:AJ193"/>
    <mergeCell ref="A194:B194"/>
    <mergeCell ref="C194:F194"/>
    <mergeCell ref="G194:N194"/>
    <mergeCell ref="O194:AE194"/>
    <mergeCell ref="AG194:AJ194"/>
    <mergeCell ref="A195:B195"/>
    <mergeCell ref="C195:F195"/>
    <mergeCell ref="G195:N195"/>
    <mergeCell ref="O195:AE195"/>
    <mergeCell ref="AG195:AJ195"/>
    <mergeCell ref="A188:B188"/>
    <mergeCell ref="C188:F188"/>
    <mergeCell ref="G188:N188"/>
    <mergeCell ref="O188:AE188"/>
    <mergeCell ref="AG188:AJ188"/>
    <mergeCell ref="A189:B189"/>
    <mergeCell ref="C189:F189"/>
    <mergeCell ref="G189:N189"/>
    <mergeCell ref="O189:AE189"/>
    <mergeCell ref="AG189:AJ189"/>
    <mergeCell ref="A190:B190"/>
    <mergeCell ref="C190:F190"/>
    <mergeCell ref="G190:N190"/>
    <mergeCell ref="O190:AE190"/>
    <mergeCell ref="AG190:AJ190"/>
    <mergeCell ref="A191:B191"/>
    <mergeCell ref="C191:F191"/>
    <mergeCell ref="G191:N191"/>
    <mergeCell ref="O191:AE191"/>
    <mergeCell ref="AG191:AJ191"/>
    <mergeCell ref="A183:AK183"/>
    <mergeCell ref="A184:B184"/>
    <mergeCell ref="C184:F184"/>
    <mergeCell ref="G184:N184"/>
    <mergeCell ref="O184:AE184"/>
    <mergeCell ref="AG184:AJ184"/>
    <mergeCell ref="A185:B185"/>
    <mergeCell ref="C185:F185"/>
    <mergeCell ref="G185:N185"/>
    <mergeCell ref="O185:AE185"/>
    <mergeCell ref="AG185:AJ185"/>
    <mergeCell ref="A186:B186"/>
    <mergeCell ref="C186:F186"/>
    <mergeCell ref="G186:N186"/>
    <mergeCell ref="O186:AE186"/>
    <mergeCell ref="AG186:AJ186"/>
    <mergeCell ref="A187:B187"/>
    <mergeCell ref="C187:F187"/>
    <mergeCell ref="G187:N187"/>
    <mergeCell ref="O187:AE187"/>
    <mergeCell ref="AG187:AJ187"/>
    <mergeCell ref="D179:F179"/>
    <mergeCell ref="H179:N179"/>
    <mergeCell ref="O179:Q179"/>
    <mergeCell ref="S179:W180"/>
    <mergeCell ref="Y179:Z179"/>
    <mergeCell ref="AB179:AD179"/>
    <mergeCell ref="AI179:AL181"/>
    <mergeCell ref="A180:Q180"/>
    <mergeCell ref="Y180:Z180"/>
    <mergeCell ref="AB180:AD180"/>
    <mergeCell ref="D181:F181"/>
    <mergeCell ref="H181:N181"/>
    <mergeCell ref="O181:Q181"/>
    <mergeCell ref="V181:W181"/>
    <mergeCell ref="Y181:Z181"/>
    <mergeCell ref="AB181:AD181"/>
    <mergeCell ref="A182:T182"/>
    <mergeCell ref="U182:AL182"/>
    <mergeCell ref="A176:AK176"/>
    <mergeCell ref="A177:N177"/>
    <mergeCell ref="O177:S177"/>
    <mergeCell ref="T177:U177"/>
    <mergeCell ref="V177:X177"/>
    <mergeCell ref="Y177:Z177"/>
    <mergeCell ref="AB177:AD177"/>
    <mergeCell ref="AE177:AG177"/>
    <mergeCell ref="AH177:AK177"/>
    <mergeCell ref="B178:C178"/>
    <mergeCell ref="D178:G178"/>
    <mergeCell ref="H178:N178"/>
    <mergeCell ref="O178:S178"/>
    <mergeCell ref="T178:U178"/>
    <mergeCell ref="V178:X178"/>
    <mergeCell ref="Y178:Z178"/>
    <mergeCell ref="AB178:AD178"/>
    <mergeCell ref="AE178:AG178"/>
    <mergeCell ref="AH178:AK178"/>
    <mergeCell ref="B173:C173"/>
    <mergeCell ref="D173:G173"/>
    <mergeCell ref="H173:N173"/>
    <mergeCell ref="O173:X173"/>
    <mergeCell ref="Y173:Z173"/>
    <mergeCell ref="AB173:AD173"/>
    <mergeCell ref="AE173:AG173"/>
    <mergeCell ref="AH173:AK173"/>
    <mergeCell ref="B174:C174"/>
    <mergeCell ref="D174:G174"/>
    <mergeCell ref="H174:N174"/>
    <mergeCell ref="O174:X174"/>
    <mergeCell ref="Y174:Z174"/>
    <mergeCell ref="AB174:AD174"/>
    <mergeCell ref="AE174:AG174"/>
    <mergeCell ref="AH174:AK174"/>
    <mergeCell ref="A175:AK175"/>
    <mergeCell ref="B170:C170"/>
    <mergeCell ref="D170:G170"/>
    <mergeCell ref="H170:N170"/>
    <mergeCell ref="O170:X170"/>
    <mergeCell ref="Y170:Z170"/>
    <mergeCell ref="AB170:AD170"/>
    <mergeCell ref="AE170:AG170"/>
    <mergeCell ref="AH170:AK170"/>
    <mergeCell ref="B171:C171"/>
    <mergeCell ref="D171:G171"/>
    <mergeCell ref="H171:N171"/>
    <mergeCell ref="O171:X171"/>
    <mergeCell ref="Y171:Z171"/>
    <mergeCell ref="AB171:AD171"/>
    <mergeCell ref="AE171:AG171"/>
    <mergeCell ref="AH171:AK171"/>
    <mergeCell ref="B172:C172"/>
    <mergeCell ref="D172:G172"/>
    <mergeCell ref="H172:N172"/>
    <mergeCell ref="O172:X172"/>
    <mergeCell ref="Y172:Z172"/>
    <mergeCell ref="AB172:AD172"/>
    <mergeCell ref="AE172:AG172"/>
    <mergeCell ref="AH172:AK172"/>
    <mergeCell ref="B168:C168"/>
    <mergeCell ref="D168:G168"/>
    <mergeCell ref="H168:N168"/>
    <mergeCell ref="O168:S168"/>
    <mergeCell ref="T168:U168"/>
    <mergeCell ref="V168:X168"/>
    <mergeCell ref="Y168:Z168"/>
    <mergeCell ref="AB168:AD168"/>
    <mergeCell ref="AE168:AG168"/>
    <mergeCell ref="AH168:AK168"/>
    <mergeCell ref="B169:C169"/>
    <mergeCell ref="D169:G169"/>
    <mergeCell ref="H169:N169"/>
    <mergeCell ref="O169:S169"/>
    <mergeCell ref="T169:U169"/>
    <mergeCell ref="V169:X169"/>
    <mergeCell ref="Y169:Z169"/>
    <mergeCell ref="AB169:AD169"/>
    <mergeCell ref="AE169:AG169"/>
    <mergeCell ref="AH169:AK169"/>
    <mergeCell ref="B166:C166"/>
    <mergeCell ref="D166:G166"/>
    <mergeCell ref="H166:N166"/>
    <mergeCell ref="O166:S166"/>
    <mergeCell ref="T166:U166"/>
    <mergeCell ref="V166:X166"/>
    <mergeCell ref="Y166:Z166"/>
    <mergeCell ref="AB166:AD166"/>
    <mergeCell ref="AE166:AG166"/>
    <mergeCell ref="AH166:AK166"/>
    <mergeCell ref="B167:C167"/>
    <mergeCell ref="D167:G167"/>
    <mergeCell ref="H167:N167"/>
    <mergeCell ref="O167:S167"/>
    <mergeCell ref="T167:U167"/>
    <mergeCell ref="V167:X167"/>
    <mergeCell ref="Y167:Z167"/>
    <mergeCell ref="AB167:AD167"/>
    <mergeCell ref="AE167:AG167"/>
    <mergeCell ref="AH167:AK167"/>
    <mergeCell ref="B164:C164"/>
    <mergeCell ref="D164:G164"/>
    <mergeCell ref="H164:N164"/>
    <mergeCell ref="O164:S164"/>
    <mergeCell ref="T164:U164"/>
    <mergeCell ref="V164:X164"/>
    <mergeCell ref="Y164:Z164"/>
    <mergeCell ref="AB164:AD164"/>
    <mergeCell ref="AE164:AG164"/>
    <mergeCell ref="AH164:AK164"/>
    <mergeCell ref="B165:C165"/>
    <mergeCell ref="D165:G165"/>
    <mergeCell ref="H165:N165"/>
    <mergeCell ref="O165:S165"/>
    <mergeCell ref="T165:U165"/>
    <mergeCell ref="V165:X165"/>
    <mergeCell ref="Y165:Z165"/>
    <mergeCell ref="AB165:AD165"/>
    <mergeCell ref="AE165:AG165"/>
    <mergeCell ref="AH165:AK165"/>
    <mergeCell ref="B162:C162"/>
    <mergeCell ref="D162:G162"/>
    <mergeCell ref="H162:N162"/>
    <mergeCell ref="O162:S162"/>
    <mergeCell ref="T162:U162"/>
    <mergeCell ref="V162:X162"/>
    <mergeCell ref="Y162:Z162"/>
    <mergeCell ref="AB162:AD162"/>
    <mergeCell ref="AE162:AG162"/>
    <mergeCell ref="AH162:AK162"/>
    <mergeCell ref="B163:C163"/>
    <mergeCell ref="D163:G163"/>
    <mergeCell ref="H163:N163"/>
    <mergeCell ref="O163:S163"/>
    <mergeCell ref="T163:U163"/>
    <mergeCell ref="V163:X163"/>
    <mergeCell ref="Y163:Z163"/>
    <mergeCell ref="AB163:AD163"/>
    <mergeCell ref="AE163:AG163"/>
    <mergeCell ref="AH163:AK163"/>
    <mergeCell ref="B160:C160"/>
    <mergeCell ref="D160:G160"/>
    <mergeCell ref="H160:N160"/>
    <mergeCell ref="O160:S160"/>
    <mergeCell ref="T160:U160"/>
    <mergeCell ref="V160:X160"/>
    <mergeCell ref="Y160:Z160"/>
    <mergeCell ref="AB160:AD160"/>
    <mergeCell ref="AE160:AG160"/>
    <mergeCell ref="AH160:AK160"/>
    <mergeCell ref="B161:C161"/>
    <mergeCell ref="D161:G161"/>
    <mergeCell ref="H161:N161"/>
    <mergeCell ref="O161:S161"/>
    <mergeCell ref="T161:U161"/>
    <mergeCell ref="V161:X161"/>
    <mergeCell ref="Y161:Z161"/>
    <mergeCell ref="AB161:AD161"/>
    <mergeCell ref="AE161:AG161"/>
    <mergeCell ref="AH161:AK161"/>
    <mergeCell ref="B158:C158"/>
    <mergeCell ref="D158:G158"/>
    <mergeCell ref="H158:N158"/>
    <mergeCell ref="O158:S158"/>
    <mergeCell ref="T158:U158"/>
    <mergeCell ref="V158:X158"/>
    <mergeCell ref="Y158:Z158"/>
    <mergeCell ref="AB158:AD158"/>
    <mergeCell ref="AE158:AG158"/>
    <mergeCell ref="AH158:AK158"/>
    <mergeCell ref="B159:C159"/>
    <mergeCell ref="D159:G159"/>
    <mergeCell ref="H159:N159"/>
    <mergeCell ref="O159:S159"/>
    <mergeCell ref="T159:U159"/>
    <mergeCell ref="V159:X159"/>
    <mergeCell ref="Y159:Z159"/>
    <mergeCell ref="AB159:AD159"/>
    <mergeCell ref="AE159:AG159"/>
    <mergeCell ref="AH159:AK159"/>
    <mergeCell ref="B156:C156"/>
    <mergeCell ref="D156:G156"/>
    <mergeCell ref="H156:N156"/>
    <mergeCell ref="O156:S156"/>
    <mergeCell ref="T156:U156"/>
    <mergeCell ref="V156:X156"/>
    <mergeCell ref="Y156:Z156"/>
    <mergeCell ref="AB156:AD156"/>
    <mergeCell ref="AE156:AG156"/>
    <mergeCell ref="AH156:AK156"/>
    <mergeCell ref="B157:C157"/>
    <mergeCell ref="D157:G157"/>
    <mergeCell ref="H157:N157"/>
    <mergeCell ref="O157:S157"/>
    <mergeCell ref="T157:U157"/>
    <mergeCell ref="V157:X157"/>
    <mergeCell ref="Y157:Z157"/>
    <mergeCell ref="AB157:AD157"/>
    <mergeCell ref="AE157:AG157"/>
    <mergeCell ref="AH157:AK157"/>
    <mergeCell ref="B154:C154"/>
    <mergeCell ref="D154:G154"/>
    <mergeCell ref="H154:N154"/>
    <mergeCell ref="O154:S154"/>
    <mergeCell ref="T154:U154"/>
    <mergeCell ref="V154:X154"/>
    <mergeCell ref="Y154:Z154"/>
    <mergeCell ref="AB154:AD154"/>
    <mergeCell ref="AE154:AG154"/>
    <mergeCell ref="AH154:AK154"/>
    <mergeCell ref="B155:C155"/>
    <mergeCell ref="D155:G155"/>
    <mergeCell ref="H155:N155"/>
    <mergeCell ref="O155:S155"/>
    <mergeCell ref="T155:U155"/>
    <mergeCell ref="V155:X155"/>
    <mergeCell ref="Y155:Z155"/>
    <mergeCell ref="AB155:AD155"/>
    <mergeCell ref="AE155:AG155"/>
    <mergeCell ref="AH155:AK155"/>
    <mergeCell ref="T150:U150"/>
    <mergeCell ref="V150:W150"/>
    <mergeCell ref="Y150:Z150"/>
    <mergeCell ref="AB150:AE150"/>
    <mergeCell ref="AF150:AG150"/>
    <mergeCell ref="A151:AK151"/>
    <mergeCell ref="B152:C152"/>
    <mergeCell ref="D152:G152"/>
    <mergeCell ref="H152:N152"/>
    <mergeCell ref="O152:S152"/>
    <mergeCell ref="T152:U152"/>
    <mergeCell ref="V152:X152"/>
    <mergeCell ref="Y152:Z152"/>
    <mergeCell ref="AB152:AD152"/>
    <mergeCell ref="AE152:AG152"/>
    <mergeCell ref="AH152:AK152"/>
    <mergeCell ref="B153:C153"/>
    <mergeCell ref="D153:G153"/>
    <mergeCell ref="H153:N153"/>
    <mergeCell ref="O153:S153"/>
    <mergeCell ref="T153:U153"/>
    <mergeCell ref="V153:X153"/>
    <mergeCell ref="Y153:Z153"/>
    <mergeCell ref="AB153:AD153"/>
    <mergeCell ref="AE153:AG153"/>
    <mergeCell ref="AH153:AK153"/>
    <mergeCell ref="B147:D147"/>
    <mergeCell ref="E147:G147"/>
    <mergeCell ref="H147:N147"/>
    <mergeCell ref="O147:S147"/>
    <mergeCell ref="T147:U147"/>
    <mergeCell ref="V147:X147"/>
    <mergeCell ref="Y147:Z147"/>
    <mergeCell ref="AB147:AE147"/>
    <mergeCell ref="AF147:AG147"/>
    <mergeCell ref="AH147:AK147"/>
    <mergeCell ref="B148:D148"/>
    <mergeCell ref="E148:G148"/>
    <mergeCell ref="I148:K148"/>
    <mergeCell ref="L148:N148"/>
    <mergeCell ref="P148:R148"/>
    <mergeCell ref="S148:W149"/>
    <mergeCell ref="Y148:Z148"/>
    <mergeCell ref="AB148:AE148"/>
    <mergeCell ref="AF148:AG148"/>
    <mergeCell ref="AI148:AL150"/>
    <mergeCell ref="A149:H149"/>
    <mergeCell ref="I149:K149"/>
    <mergeCell ref="L149:O149"/>
    <mergeCell ref="P149:R149"/>
    <mergeCell ref="Y149:Z149"/>
    <mergeCell ref="AB149:AE149"/>
    <mergeCell ref="AF149:AG149"/>
    <mergeCell ref="B150:D150"/>
    <mergeCell ref="E150:G150"/>
    <mergeCell ref="I150:K150"/>
    <mergeCell ref="L150:N150"/>
    <mergeCell ref="P150:R150"/>
    <mergeCell ref="B145:D145"/>
    <mergeCell ref="E145:G145"/>
    <mergeCell ref="H145:N145"/>
    <mergeCell ref="O145:S145"/>
    <mergeCell ref="T145:U145"/>
    <mergeCell ref="V145:X145"/>
    <mergeCell ref="Y145:Z145"/>
    <mergeCell ref="AB145:AE145"/>
    <mergeCell ref="AF145:AG145"/>
    <mergeCell ref="AH145:AK145"/>
    <mergeCell ref="B146:D146"/>
    <mergeCell ref="E146:G146"/>
    <mergeCell ref="H146:N146"/>
    <mergeCell ref="O146:S146"/>
    <mergeCell ref="T146:U146"/>
    <mergeCell ref="V146:X146"/>
    <mergeCell ref="Y146:Z146"/>
    <mergeCell ref="AB146:AE146"/>
    <mergeCell ref="AF146:AG146"/>
    <mergeCell ref="AH146:AK146"/>
    <mergeCell ref="B143:D143"/>
    <mergeCell ref="E143:G143"/>
    <mergeCell ref="H143:N143"/>
    <mergeCell ref="O143:S143"/>
    <mergeCell ref="T143:U143"/>
    <mergeCell ref="V143:X143"/>
    <mergeCell ref="Y143:Z143"/>
    <mergeCell ref="AB143:AE143"/>
    <mergeCell ref="AF143:AG143"/>
    <mergeCell ref="AH143:AK143"/>
    <mergeCell ref="B144:D144"/>
    <mergeCell ref="E144:G144"/>
    <mergeCell ref="H144:N144"/>
    <mergeCell ref="O144:S144"/>
    <mergeCell ref="T144:U144"/>
    <mergeCell ref="V144:X144"/>
    <mergeCell ref="Y144:Z144"/>
    <mergeCell ref="AB144:AE144"/>
    <mergeCell ref="AF144:AG144"/>
    <mergeCell ref="AH144:AK144"/>
    <mergeCell ref="B140:D140"/>
    <mergeCell ref="E140:G140"/>
    <mergeCell ref="H140:N140"/>
    <mergeCell ref="O140:S140"/>
    <mergeCell ref="T140:U140"/>
    <mergeCell ref="V140:X140"/>
    <mergeCell ref="Y140:Z140"/>
    <mergeCell ref="AB140:AE140"/>
    <mergeCell ref="AF140:AG140"/>
    <mergeCell ref="AH140:AK140"/>
    <mergeCell ref="A141:W141"/>
    <mergeCell ref="Y141:Z141"/>
    <mergeCell ref="AB141:AE141"/>
    <mergeCell ref="AF141:AG141"/>
    <mergeCell ref="AH141:AI141"/>
    <mergeCell ref="AJ141:AL142"/>
    <mergeCell ref="B142:D142"/>
    <mergeCell ref="E142:G142"/>
    <mergeCell ref="H142:N142"/>
    <mergeCell ref="O142:S142"/>
    <mergeCell ref="T142:U142"/>
    <mergeCell ref="V142:W142"/>
    <mergeCell ref="Y142:Z142"/>
    <mergeCell ref="AB142:AE142"/>
    <mergeCell ref="AF142:AG142"/>
    <mergeCell ref="AH142:AI142"/>
    <mergeCell ref="AF137:AG137"/>
    <mergeCell ref="AH137:AI137"/>
    <mergeCell ref="B138:D138"/>
    <mergeCell ref="E138:G138"/>
    <mergeCell ref="H138:N138"/>
    <mergeCell ref="O138:S138"/>
    <mergeCell ref="T138:U138"/>
    <mergeCell ref="V138:X138"/>
    <mergeCell ref="Y138:Z138"/>
    <mergeCell ref="AB138:AE138"/>
    <mergeCell ref="AF138:AG138"/>
    <mergeCell ref="AH138:AK138"/>
    <mergeCell ref="B139:D139"/>
    <mergeCell ref="E139:G139"/>
    <mergeCell ref="H139:N139"/>
    <mergeCell ref="O139:S139"/>
    <mergeCell ref="T139:U139"/>
    <mergeCell ref="V139:X139"/>
    <mergeCell ref="Y139:Z139"/>
    <mergeCell ref="AB139:AE139"/>
    <mergeCell ref="AF139:AG139"/>
    <mergeCell ref="AH139:AK139"/>
    <mergeCell ref="B135:D135"/>
    <mergeCell ref="E135:G135"/>
    <mergeCell ref="H135:I135"/>
    <mergeCell ref="J135:L135"/>
    <mergeCell ref="M135:N135"/>
    <mergeCell ref="O135:P135"/>
    <mergeCell ref="Q135:R135"/>
    <mergeCell ref="S135:W136"/>
    <mergeCell ref="Y135:Z135"/>
    <mergeCell ref="AB135:AE135"/>
    <mergeCell ref="AF135:AG135"/>
    <mergeCell ref="AH135:AI135"/>
    <mergeCell ref="AJ135:AL137"/>
    <mergeCell ref="A136:I136"/>
    <mergeCell ref="J136:L136"/>
    <mergeCell ref="M136:P136"/>
    <mergeCell ref="Q136:R136"/>
    <mergeCell ref="Y136:Z136"/>
    <mergeCell ref="AB136:AE136"/>
    <mergeCell ref="AF136:AG136"/>
    <mergeCell ref="AH136:AI136"/>
    <mergeCell ref="B137:D137"/>
    <mergeCell ref="E137:G137"/>
    <mergeCell ref="H137:I137"/>
    <mergeCell ref="J137:L137"/>
    <mergeCell ref="M137:N137"/>
    <mergeCell ref="O137:P137"/>
    <mergeCell ref="Q137:R137"/>
    <mergeCell ref="T137:U137"/>
    <mergeCell ref="V137:W137"/>
    <mergeCell ref="Y137:Z137"/>
    <mergeCell ref="AB137:AE137"/>
    <mergeCell ref="Y132:Z132"/>
    <mergeCell ref="AB132:AE132"/>
    <mergeCell ref="AF132:AG132"/>
    <mergeCell ref="AH132:AI132"/>
    <mergeCell ref="B133:D133"/>
    <mergeCell ref="E133:G133"/>
    <mergeCell ref="H133:N133"/>
    <mergeCell ref="O133:S133"/>
    <mergeCell ref="T133:U133"/>
    <mergeCell ref="V133:X133"/>
    <mergeCell ref="Y133:Z133"/>
    <mergeCell ref="AB133:AE133"/>
    <mergeCell ref="AF133:AG133"/>
    <mergeCell ref="AH133:AK133"/>
    <mergeCell ref="B134:D134"/>
    <mergeCell ref="E134:G134"/>
    <mergeCell ref="H134:N134"/>
    <mergeCell ref="O134:S134"/>
    <mergeCell ref="T134:U134"/>
    <mergeCell ref="V134:X134"/>
    <mergeCell ref="Y134:Z134"/>
    <mergeCell ref="AB134:AE134"/>
    <mergeCell ref="AF134:AG134"/>
    <mergeCell ref="AH134:AK134"/>
    <mergeCell ref="B129:D129"/>
    <mergeCell ref="E129:G129"/>
    <mergeCell ref="H129:N129"/>
    <mergeCell ref="O129:S129"/>
    <mergeCell ref="T129:U129"/>
    <mergeCell ref="V129:X129"/>
    <mergeCell ref="Y129:Z129"/>
    <mergeCell ref="AB129:AE129"/>
    <mergeCell ref="AF129:AG129"/>
    <mergeCell ref="AH129:AK129"/>
    <mergeCell ref="B130:D130"/>
    <mergeCell ref="E130:G130"/>
    <mergeCell ref="H130:N130"/>
    <mergeCell ref="P130:R130"/>
    <mergeCell ref="S130:W131"/>
    <mergeCell ref="Y130:Z130"/>
    <mergeCell ref="AB130:AE130"/>
    <mergeCell ref="AF130:AG130"/>
    <mergeCell ref="AH130:AI130"/>
    <mergeCell ref="AJ130:AL132"/>
    <mergeCell ref="A131:O131"/>
    <mergeCell ref="P131:R131"/>
    <mergeCell ref="Y131:Z131"/>
    <mergeCell ref="AB131:AE131"/>
    <mergeCell ref="AF131:AG131"/>
    <mergeCell ref="AH131:AI131"/>
    <mergeCell ref="B132:D132"/>
    <mergeCell ref="E132:G132"/>
    <mergeCell ref="H132:N132"/>
    <mergeCell ref="P132:R132"/>
    <mergeCell ref="T132:U132"/>
    <mergeCell ref="V132:W132"/>
    <mergeCell ref="Y126:Z126"/>
    <mergeCell ref="AB126:AE126"/>
    <mergeCell ref="AF126:AG126"/>
    <mergeCell ref="B127:D127"/>
    <mergeCell ref="E127:G127"/>
    <mergeCell ref="H127:N127"/>
    <mergeCell ref="O127:S127"/>
    <mergeCell ref="T127:U127"/>
    <mergeCell ref="V127:X127"/>
    <mergeCell ref="Y127:Z127"/>
    <mergeCell ref="AB127:AE127"/>
    <mergeCell ref="AF127:AG127"/>
    <mergeCell ref="AH127:AK127"/>
    <mergeCell ref="B128:D128"/>
    <mergeCell ref="E128:G128"/>
    <mergeCell ref="H128:N128"/>
    <mergeCell ref="O128:S128"/>
    <mergeCell ref="T128:U128"/>
    <mergeCell ref="V128:X128"/>
    <mergeCell ref="Y128:Z128"/>
    <mergeCell ref="AB128:AE128"/>
    <mergeCell ref="AF128:AG128"/>
    <mergeCell ref="AH128:AK128"/>
    <mergeCell ref="B123:D123"/>
    <mergeCell ref="E123:G123"/>
    <mergeCell ref="H123:N123"/>
    <mergeCell ref="O123:S123"/>
    <mergeCell ref="T123:U123"/>
    <mergeCell ref="V123:X123"/>
    <mergeCell ref="Y123:Z123"/>
    <mergeCell ref="AB123:AE123"/>
    <mergeCell ref="AF123:AG123"/>
    <mergeCell ref="AH123:AK123"/>
    <mergeCell ref="B124:D124"/>
    <mergeCell ref="E124:G124"/>
    <mergeCell ref="H124:N124"/>
    <mergeCell ref="O124:P124"/>
    <mergeCell ref="Q124:R124"/>
    <mergeCell ref="S124:W125"/>
    <mergeCell ref="Y124:Z124"/>
    <mergeCell ref="AB124:AE124"/>
    <mergeCell ref="AF124:AG124"/>
    <mergeCell ref="AI124:AL126"/>
    <mergeCell ref="A125:P125"/>
    <mergeCell ref="Q125:R125"/>
    <mergeCell ref="Y125:Z125"/>
    <mergeCell ref="AB125:AE125"/>
    <mergeCell ref="AF125:AG125"/>
    <mergeCell ref="B126:D126"/>
    <mergeCell ref="E126:G126"/>
    <mergeCell ref="H126:N126"/>
    <mergeCell ref="O126:P126"/>
    <mergeCell ref="Q126:R126"/>
    <mergeCell ref="T126:U126"/>
    <mergeCell ref="V126:W126"/>
    <mergeCell ref="B121:D121"/>
    <mergeCell ref="E121:G121"/>
    <mergeCell ref="H121:N121"/>
    <mergeCell ref="O121:S121"/>
    <mergeCell ref="T121:U121"/>
    <mergeCell ref="V121:X121"/>
    <mergeCell ref="Y121:Z121"/>
    <mergeCell ref="AB121:AE121"/>
    <mergeCell ref="AF121:AG121"/>
    <mergeCell ref="AH121:AK121"/>
    <mergeCell ref="B122:D122"/>
    <mergeCell ref="E122:G122"/>
    <mergeCell ref="H122:N122"/>
    <mergeCell ref="O122:S122"/>
    <mergeCell ref="T122:U122"/>
    <mergeCell ref="V122:X122"/>
    <mergeCell ref="Y122:Z122"/>
    <mergeCell ref="AB122:AE122"/>
    <mergeCell ref="AF122:AG122"/>
    <mergeCell ref="AH122:AK122"/>
    <mergeCell ref="B119:D119"/>
    <mergeCell ref="E119:G119"/>
    <mergeCell ref="H119:N119"/>
    <mergeCell ref="O119:S119"/>
    <mergeCell ref="T119:U119"/>
    <mergeCell ref="V119:X119"/>
    <mergeCell ref="Y119:Z119"/>
    <mergeCell ref="AB119:AE119"/>
    <mergeCell ref="AF119:AG119"/>
    <mergeCell ref="AH119:AK119"/>
    <mergeCell ref="B120:D120"/>
    <mergeCell ref="E120:G120"/>
    <mergeCell ref="H120:N120"/>
    <mergeCell ref="O120:S120"/>
    <mergeCell ref="T120:U120"/>
    <mergeCell ref="V120:X120"/>
    <mergeCell ref="Y120:Z120"/>
    <mergeCell ref="AB120:AE120"/>
    <mergeCell ref="AF120:AG120"/>
    <mergeCell ref="AH120:AK120"/>
    <mergeCell ref="B116:D116"/>
    <mergeCell ref="E116:G116"/>
    <mergeCell ref="I116:K116"/>
    <mergeCell ref="L116:N116"/>
    <mergeCell ref="P116:R116"/>
    <mergeCell ref="S116:W117"/>
    <mergeCell ref="Y116:Z116"/>
    <mergeCell ref="AB116:AE116"/>
    <mergeCell ref="AF116:AG116"/>
    <mergeCell ref="AH116:AI116"/>
    <mergeCell ref="AJ116:AL118"/>
    <mergeCell ref="A117:H117"/>
    <mergeCell ref="I117:K117"/>
    <mergeCell ref="L117:O117"/>
    <mergeCell ref="P117:R117"/>
    <mergeCell ref="Y117:Z117"/>
    <mergeCell ref="AB117:AE117"/>
    <mergeCell ref="AF117:AG117"/>
    <mergeCell ref="AH117:AI117"/>
    <mergeCell ref="B118:D118"/>
    <mergeCell ref="E118:G118"/>
    <mergeCell ref="I118:K118"/>
    <mergeCell ref="L118:N118"/>
    <mergeCell ref="P118:R118"/>
    <mergeCell ref="T118:U118"/>
    <mergeCell ref="V118:W118"/>
    <mergeCell ref="Y118:Z118"/>
    <mergeCell ref="AB118:AE118"/>
    <mergeCell ref="AF118:AG118"/>
    <mergeCell ref="AH118:AI118"/>
    <mergeCell ref="A113:AL113"/>
    <mergeCell ref="B114:D114"/>
    <mergeCell ref="E114:G114"/>
    <mergeCell ref="H114:N114"/>
    <mergeCell ref="O114:S114"/>
    <mergeCell ref="T114:U114"/>
    <mergeCell ref="V114:X114"/>
    <mergeCell ref="Y114:Z114"/>
    <mergeCell ref="AB114:AE114"/>
    <mergeCell ref="AF114:AG114"/>
    <mergeCell ref="AH114:AK114"/>
    <mergeCell ref="B115:D115"/>
    <mergeCell ref="E115:G115"/>
    <mergeCell ref="H115:N115"/>
    <mergeCell ref="O115:S115"/>
    <mergeCell ref="T115:U115"/>
    <mergeCell ref="V115:X115"/>
    <mergeCell ref="Y115:Z115"/>
    <mergeCell ref="AB115:AE115"/>
    <mergeCell ref="AF115:AG115"/>
    <mergeCell ref="AH115:AK115"/>
    <mergeCell ref="B111:D111"/>
    <mergeCell ref="E111:G111"/>
    <mergeCell ref="H111:N111"/>
    <mergeCell ref="O111:S111"/>
    <mergeCell ref="T111:U111"/>
    <mergeCell ref="V111:X111"/>
    <mergeCell ref="Y111:Z111"/>
    <mergeCell ref="AB111:AE111"/>
    <mergeCell ref="AF111:AG111"/>
    <mergeCell ref="AH111:AK111"/>
    <mergeCell ref="B112:D112"/>
    <mergeCell ref="E112:G112"/>
    <mergeCell ref="H112:N112"/>
    <mergeCell ref="O112:S112"/>
    <mergeCell ref="T112:U112"/>
    <mergeCell ref="V112:X112"/>
    <mergeCell ref="Y112:Z112"/>
    <mergeCell ref="AB112:AE112"/>
    <mergeCell ref="AF112:AG112"/>
    <mergeCell ref="AH112:AK112"/>
    <mergeCell ref="B109:D109"/>
    <mergeCell ref="E109:G109"/>
    <mergeCell ref="H109:N109"/>
    <mergeCell ref="O109:S109"/>
    <mergeCell ref="T109:U109"/>
    <mergeCell ref="V109:X109"/>
    <mergeCell ref="Y109:Z109"/>
    <mergeCell ref="AB109:AE109"/>
    <mergeCell ref="AF109:AG109"/>
    <mergeCell ref="AH109:AK109"/>
    <mergeCell ref="B110:D110"/>
    <mergeCell ref="E110:G110"/>
    <mergeCell ref="H110:N110"/>
    <mergeCell ref="O110:S110"/>
    <mergeCell ref="T110:U110"/>
    <mergeCell ref="V110:X110"/>
    <mergeCell ref="Y110:Z110"/>
    <mergeCell ref="AB110:AE110"/>
    <mergeCell ref="AF110:AG110"/>
    <mergeCell ref="AH110:AK110"/>
    <mergeCell ref="B107:D107"/>
    <mergeCell ref="E107:G107"/>
    <mergeCell ref="H107:N107"/>
    <mergeCell ref="O107:S107"/>
    <mergeCell ref="T107:U107"/>
    <mergeCell ref="V107:X107"/>
    <mergeCell ref="Y107:Z107"/>
    <mergeCell ref="AB107:AE107"/>
    <mergeCell ref="AF107:AG107"/>
    <mergeCell ref="AH107:AK107"/>
    <mergeCell ref="B108:D108"/>
    <mergeCell ref="E108:G108"/>
    <mergeCell ref="H108:N108"/>
    <mergeCell ref="O108:S108"/>
    <mergeCell ref="T108:U108"/>
    <mergeCell ref="V108:X108"/>
    <mergeCell ref="Y108:Z108"/>
    <mergeCell ref="AB108:AE108"/>
    <mergeCell ref="AF108:AG108"/>
    <mergeCell ref="AH108:AK108"/>
    <mergeCell ref="H105:J105"/>
    <mergeCell ref="K105:M105"/>
    <mergeCell ref="O105:P105"/>
    <mergeCell ref="Q105:R105"/>
    <mergeCell ref="T105:U105"/>
    <mergeCell ref="V105:W105"/>
    <mergeCell ref="Y105:Z105"/>
    <mergeCell ref="AB105:AE105"/>
    <mergeCell ref="AF105:AG105"/>
    <mergeCell ref="AH105:AI105"/>
    <mergeCell ref="B106:D106"/>
    <mergeCell ref="E106:G106"/>
    <mergeCell ref="H106:N106"/>
    <mergeCell ref="O106:S106"/>
    <mergeCell ref="T106:U106"/>
    <mergeCell ref="V106:X106"/>
    <mergeCell ref="Y106:Z106"/>
    <mergeCell ref="AB106:AE106"/>
    <mergeCell ref="AF106:AG106"/>
    <mergeCell ref="AH106:AK106"/>
    <mergeCell ref="B102:D102"/>
    <mergeCell ref="E102:G102"/>
    <mergeCell ref="H102:N102"/>
    <mergeCell ref="O102:S102"/>
    <mergeCell ref="T102:U102"/>
    <mergeCell ref="V102:X102"/>
    <mergeCell ref="Y102:Z102"/>
    <mergeCell ref="AB102:AE102"/>
    <mergeCell ref="AF102:AG102"/>
    <mergeCell ref="AH102:AK102"/>
    <mergeCell ref="B103:D103"/>
    <mergeCell ref="E103:G103"/>
    <mergeCell ref="H103:J103"/>
    <mergeCell ref="K103:M103"/>
    <mergeCell ref="O103:P103"/>
    <mergeCell ref="Q103:R103"/>
    <mergeCell ref="S103:W104"/>
    <mergeCell ref="Y103:Z103"/>
    <mergeCell ref="AB103:AE103"/>
    <mergeCell ref="AF103:AG103"/>
    <mergeCell ref="AH103:AI103"/>
    <mergeCell ref="AJ103:AL105"/>
    <mergeCell ref="A104:J104"/>
    <mergeCell ref="K104:M104"/>
    <mergeCell ref="N104:P104"/>
    <mergeCell ref="Q104:R104"/>
    <mergeCell ref="Y104:Z104"/>
    <mergeCell ref="AB104:AE104"/>
    <mergeCell ref="AF104:AG104"/>
    <mergeCell ref="AH104:AI104"/>
    <mergeCell ref="B105:D105"/>
    <mergeCell ref="E105:G105"/>
    <mergeCell ref="B100:D100"/>
    <mergeCell ref="E100:G100"/>
    <mergeCell ref="H100:N100"/>
    <mergeCell ref="O100:S100"/>
    <mergeCell ref="T100:U100"/>
    <mergeCell ref="V100:X100"/>
    <mergeCell ref="Y100:Z100"/>
    <mergeCell ref="AB100:AE100"/>
    <mergeCell ref="AF100:AG100"/>
    <mergeCell ref="AH100:AK100"/>
    <mergeCell ref="B101:D101"/>
    <mergeCell ref="E101:G101"/>
    <mergeCell ref="H101:N101"/>
    <mergeCell ref="O101:S101"/>
    <mergeCell ref="T101:U101"/>
    <mergeCell ref="V101:X101"/>
    <mergeCell ref="Y101:Z101"/>
    <mergeCell ref="AB101:AE101"/>
    <mergeCell ref="AF101:AG101"/>
    <mergeCell ref="AH101:AK101"/>
    <mergeCell ref="B97:D97"/>
    <mergeCell ref="E97:G97"/>
    <mergeCell ref="H97:N97"/>
    <mergeCell ref="O97:Q97"/>
    <mergeCell ref="S97:W98"/>
    <mergeCell ref="Y97:Z97"/>
    <mergeCell ref="AB97:AE97"/>
    <mergeCell ref="AF97:AG97"/>
    <mergeCell ref="AH97:AI97"/>
    <mergeCell ref="AJ97:AL99"/>
    <mergeCell ref="A98:Q98"/>
    <mergeCell ref="Y98:Z98"/>
    <mergeCell ref="AB98:AE98"/>
    <mergeCell ref="AF98:AG98"/>
    <mergeCell ref="AH98:AI98"/>
    <mergeCell ref="B99:D99"/>
    <mergeCell ref="E99:G99"/>
    <mergeCell ref="H99:N99"/>
    <mergeCell ref="O99:Q99"/>
    <mergeCell ref="T99:U99"/>
    <mergeCell ref="V99:W99"/>
    <mergeCell ref="Y99:Z99"/>
    <mergeCell ref="AB99:AE99"/>
    <mergeCell ref="AF99:AG99"/>
    <mergeCell ref="AH99:AI99"/>
    <mergeCell ref="B94:D94"/>
    <mergeCell ref="E94:G94"/>
    <mergeCell ref="H94:N94"/>
    <mergeCell ref="O94:S94"/>
    <mergeCell ref="T94:U94"/>
    <mergeCell ref="V94:X94"/>
    <mergeCell ref="Y94:Z94"/>
    <mergeCell ref="AB94:AE94"/>
    <mergeCell ref="AF94:AG94"/>
    <mergeCell ref="AH94:AK94"/>
    <mergeCell ref="A95:AK95"/>
    <mergeCell ref="B96:D96"/>
    <mergeCell ref="E96:G96"/>
    <mergeCell ref="H96:N96"/>
    <mergeCell ref="O96:S96"/>
    <mergeCell ref="T96:U96"/>
    <mergeCell ref="V96:X96"/>
    <mergeCell ref="Y96:Z96"/>
    <mergeCell ref="AB96:AE96"/>
    <mergeCell ref="AF96:AG96"/>
    <mergeCell ref="AH96:AK96"/>
    <mergeCell ref="B90:D90"/>
    <mergeCell ref="E90:G90"/>
    <mergeCell ref="H90:N90"/>
    <mergeCell ref="O90:S90"/>
    <mergeCell ref="T90:U90"/>
    <mergeCell ref="V90:X90"/>
    <mergeCell ref="Y90:Z90"/>
    <mergeCell ref="AB90:AE90"/>
    <mergeCell ref="AF90:AG90"/>
    <mergeCell ref="AH90:AK90"/>
    <mergeCell ref="A91:AL91"/>
    <mergeCell ref="A92:AK92"/>
    <mergeCell ref="B93:D93"/>
    <mergeCell ref="E93:G93"/>
    <mergeCell ref="H93:N93"/>
    <mergeCell ref="O93:S93"/>
    <mergeCell ref="T93:U93"/>
    <mergeCell ref="V93:X93"/>
    <mergeCell ref="Y93:Z93"/>
    <mergeCell ref="AB93:AE93"/>
    <mergeCell ref="AF93:AG93"/>
    <mergeCell ref="AH93:AK93"/>
    <mergeCell ref="B88:D88"/>
    <mergeCell ref="E88:G88"/>
    <mergeCell ref="H88:N88"/>
    <mergeCell ref="O88:S88"/>
    <mergeCell ref="T88:U88"/>
    <mergeCell ref="V88:X88"/>
    <mergeCell ref="Y88:Z88"/>
    <mergeCell ref="AB88:AE88"/>
    <mergeCell ref="AF88:AG88"/>
    <mergeCell ref="AH88:AK88"/>
    <mergeCell ref="B89:D89"/>
    <mergeCell ref="E89:G89"/>
    <mergeCell ref="H89:N89"/>
    <mergeCell ref="O89:S89"/>
    <mergeCell ref="T89:U89"/>
    <mergeCell ref="V89:X89"/>
    <mergeCell ref="Y89:Z89"/>
    <mergeCell ref="AB89:AE89"/>
    <mergeCell ref="AF89:AG89"/>
    <mergeCell ref="AH89:AK89"/>
    <mergeCell ref="B86:D86"/>
    <mergeCell ref="E86:G86"/>
    <mergeCell ref="H86:N86"/>
    <mergeCell ref="O86:S86"/>
    <mergeCell ref="T86:U86"/>
    <mergeCell ref="V86:X86"/>
    <mergeCell ref="Y86:Z86"/>
    <mergeCell ref="AB86:AE86"/>
    <mergeCell ref="AF86:AG86"/>
    <mergeCell ref="AH86:AK86"/>
    <mergeCell ref="B87:D87"/>
    <mergeCell ref="E87:G87"/>
    <mergeCell ref="H87:N87"/>
    <mergeCell ref="O87:S87"/>
    <mergeCell ref="T87:U87"/>
    <mergeCell ref="V87:X87"/>
    <mergeCell ref="Y87:Z87"/>
    <mergeCell ref="AB87:AE87"/>
    <mergeCell ref="AF87:AG87"/>
    <mergeCell ref="AH87:AK87"/>
    <mergeCell ref="B84:D84"/>
    <mergeCell ref="E84:G84"/>
    <mergeCell ref="H84:N84"/>
    <mergeCell ref="O84:S84"/>
    <mergeCell ref="T84:U84"/>
    <mergeCell ref="V84:X84"/>
    <mergeCell ref="Y84:Z84"/>
    <mergeCell ref="AB84:AE84"/>
    <mergeCell ref="AF84:AG84"/>
    <mergeCell ref="AH84:AK84"/>
    <mergeCell ref="B85:D85"/>
    <mergeCell ref="E85:G85"/>
    <mergeCell ref="H85:N85"/>
    <mergeCell ref="O85:S85"/>
    <mergeCell ref="T85:U85"/>
    <mergeCell ref="V85:X85"/>
    <mergeCell ref="Y85:Z85"/>
    <mergeCell ref="AB85:AE85"/>
    <mergeCell ref="AF85:AG85"/>
    <mergeCell ref="AH85:AK85"/>
    <mergeCell ref="B82:D82"/>
    <mergeCell ref="E82:G82"/>
    <mergeCell ref="H82:N82"/>
    <mergeCell ref="O82:S82"/>
    <mergeCell ref="T82:U82"/>
    <mergeCell ref="V82:X82"/>
    <mergeCell ref="Y82:Z82"/>
    <mergeCell ref="AB82:AE82"/>
    <mergeCell ref="AF82:AG82"/>
    <mergeCell ref="AH82:AK82"/>
    <mergeCell ref="B83:D83"/>
    <mergeCell ref="E83:G83"/>
    <mergeCell ref="H83:N83"/>
    <mergeCell ref="O83:S83"/>
    <mergeCell ref="T83:U83"/>
    <mergeCell ref="V83:X83"/>
    <mergeCell ref="Y83:Z83"/>
    <mergeCell ref="AB83:AE83"/>
    <mergeCell ref="AF83:AG83"/>
    <mergeCell ref="AH83:AK83"/>
    <mergeCell ref="B80:D80"/>
    <mergeCell ref="E80:G80"/>
    <mergeCell ref="H80:N80"/>
    <mergeCell ref="O80:S80"/>
    <mergeCell ref="T80:U80"/>
    <mergeCell ref="V80:X80"/>
    <mergeCell ref="Y80:Z80"/>
    <mergeCell ref="AB80:AE80"/>
    <mergeCell ref="AF80:AG80"/>
    <mergeCell ref="AH80:AK80"/>
    <mergeCell ref="B81:D81"/>
    <mergeCell ref="E81:G81"/>
    <mergeCell ref="H81:N81"/>
    <mergeCell ref="O81:S81"/>
    <mergeCell ref="T81:U81"/>
    <mergeCell ref="V81:X81"/>
    <mergeCell ref="Y81:Z81"/>
    <mergeCell ref="AB81:AE81"/>
    <mergeCell ref="AF81:AG81"/>
    <mergeCell ref="AH81:AK81"/>
    <mergeCell ref="B78:D78"/>
    <mergeCell ref="E78:G78"/>
    <mergeCell ref="H78:N78"/>
    <mergeCell ref="O78:S78"/>
    <mergeCell ref="T78:U78"/>
    <mergeCell ref="V78:X78"/>
    <mergeCell ref="Y78:Z78"/>
    <mergeCell ref="AB78:AE78"/>
    <mergeCell ref="AF78:AG78"/>
    <mergeCell ref="AH78:AK78"/>
    <mergeCell ref="B79:D79"/>
    <mergeCell ref="E79:G79"/>
    <mergeCell ref="H79:N79"/>
    <mergeCell ref="O79:S79"/>
    <mergeCell ref="T79:U79"/>
    <mergeCell ref="V79:X79"/>
    <mergeCell ref="Y79:Z79"/>
    <mergeCell ref="AB79:AE79"/>
    <mergeCell ref="AF79:AG79"/>
    <mergeCell ref="AH79:AK79"/>
    <mergeCell ref="B76:D76"/>
    <mergeCell ref="E76:G76"/>
    <mergeCell ref="H76:N76"/>
    <mergeCell ref="O76:S76"/>
    <mergeCell ref="T76:U76"/>
    <mergeCell ref="V76:X76"/>
    <mergeCell ref="Y76:Z76"/>
    <mergeCell ref="AB76:AE76"/>
    <mergeCell ref="AF76:AG76"/>
    <mergeCell ref="AH76:AK76"/>
    <mergeCell ref="B77:D77"/>
    <mergeCell ref="E77:G77"/>
    <mergeCell ref="H77:N77"/>
    <mergeCell ref="O77:S77"/>
    <mergeCell ref="T77:U77"/>
    <mergeCell ref="V77:X77"/>
    <mergeCell ref="Y77:Z77"/>
    <mergeCell ref="AB77:AE77"/>
    <mergeCell ref="AF77:AG77"/>
    <mergeCell ref="AH77:AK77"/>
    <mergeCell ref="B74:D74"/>
    <mergeCell ref="E74:G74"/>
    <mergeCell ref="H74:N74"/>
    <mergeCell ref="O74:S74"/>
    <mergeCell ref="T74:U74"/>
    <mergeCell ref="V74:X74"/>
    <mergeCell ref="Y74:Z74"/>
    <mergeCell ref="AB74:AE74"/>
    <mergeCell ref="AF74:AG74"/>
    <mergeCell ref="AH74:AK74"/>
    <mergeCell ref="B75:D75"/>
    <mergeCell ref="E75:G75"/>
    <mergeCell ref="H75:N75"/>
    <mergeCell ref="O75:S75"/>
    <mergeCell ref="T75:U75"/>
    <mergeCell ref="V75:X75"/>
    <mergeCell ref="Y75:Z75"/>
    <mergeCell ref="AB75:AE75"/>
    <mergeCell ref="AF75:AG75"/>
    <mergeCell ref="AH75:AK75"/>
    <mergeCell ref="A71:AK71"/>
    <mergeCell ref="B72:D72"/>
    <mergeCell ref="E72:G72"/>
    <mergeCell ref="H72:N72"/>
    <mergeCell ref="O72:S72"/>
    <mergeCell ref="T72:U72"/>
    <mergeCell ref="V72:X72"/>
    <mergeCell ref="Y72:Z72"/>
    <mergeCell ref="AB72:AE72"/>
    <mergeCell ref="AF72:AG72"/>
    <mergeCell ref="AH72:AK72"/>
    <mergeCell ref="B73:D73"/>
    <mergeCell ref="E73:G73"/>
    <mergeCell ref="H73:N73"/>
    <mergeCell ref="O73:S73"/>
    <mergeCell ref="T73:U73"/>
    <mergeCell ref="V73:X73"/>
    <mergeCell ref="Y73:Z73"/>
    <mergeCell ref="AB73:AE73"/>
    <mergeCell ref="AF73:AG73"/>
    <mergeCell ref="AH73:AK73"/>
    <mergeCell ref="B68:D68"/>
    <mergeCell ref="E68:G68"/>
    <mergeCell ref="I68:K68"/>
    <mergeCell ref="L68:N68"/>
    <mergeCell ref="P68:R68"/>
    <mergeCell ref="S68:W69"/>
    <mergeCell ref="Y68:Z68"/>
    <mergeCell ref="AB68:AE68"/>
    <mergeCell ref="AF68:AG68"/>
    <mergeCell ref="AH68:AI68"/>
    <mergeCell ref="AJ68:AL70"/>
    <mergeCell ref="A69:H69"/>
    <mergeCell ref="I69:K69"/>
    <mergeCell ref="L69:O69"/>
    <mergeCell ref="P69:R69"/>
    <mergeCell ref="Y69:Z69"/>
    <mergeCell ref="AB69:AE69"/>
    <mergeCell ref="AF69:AG69"/>
    <mergeCell ref="AH69:AI69"/>
    <mergeCell ref="B70:D70"/>
    <mergeCell ref="E70:G70"/>
    <mergeCell ref="I70:K70"/>
    <mergeCell ref="L70:N70"/>
    <mergeCell ref="P70:R70"/>
    <mergeCell ref="T70:U70"/>
    <mergeCell ref="V70:W70"/>
    <mergeCell ref="Y70:Z70"/>
    <mergeCell ref="AB70:AE70"/>
    <mergeCell ref="AF70:AG70"/>
    <mergeCell ref="AH70:AI70"/>
    <mergeCell ref="B66:D66"/>
    <mergeCell ref="E66:G66"/>
    <mergeCell ref="H66:N66"/>
    <mergeCell ref="O66:S66"/>
    <mergeCell ref="T66:U66"/>
    <mergeCell ref="V66:X66"/>
    <mergeCell ref="Y66:Z66"/>
    <mergeCell ref="AB66:AE66"/>
    <mergeCell ref="AF66:AG66"/>
    <mergeCell ref="AH66:AK66"/>
    <mergeCell ref="B67:D67"/>
    <mergeCell ref="E67:G67"/>
    <mergeCell ref="H67:N67"/>
    <mergeCell ref="O67:S67"/>
    <mergeCell ref="T67:U67"/>
    <mergeCell ref="V67:X67"/>
    <mergeCell ref="Y67:Z67"/>
    <mergeCell ref="AB67:AE67"/>
    <mergeCell ref="AF67:AG67"/>
    <mergeCell ref="AH67:AK67"/>
    <mergeCell ref="B64:D64"/>
    <mergeCell ref="E64:G64"/>
    <mergeCell ref="H64:N64"/>
    <mergeCell ref="O64:S64"/>
    <mergeCell ref="T64:U64"/>
    <mergeCell ref="V64:X64"/>
    <mergeCell ref="Y64:Z64"/>
    <mergeCell ref="AB64:AE64"/>
    <mergeCell ref="AF64:AG64"/>
    <mergeCell ref="AH64:AK64"/>
    <mergeCell ref="B65:D65"/>
    <mergeCell ref="E65:G65"/>
    <mergeCell ref="H65:N65"/>
    <mergeCell ref="O65:S65"/>
    <mergeCell ref="T65:U65"/>
    <mergeCell ref="V65:X65"/>
    <mergeCell ref="Y65:Z65"/>
    <mergeCell ref="AB65:AE65"/>
    <mergeCell ref="AF65:AG65"/>
    <mergeCell ref="AH65:AK65"/>
    <mergeCell ref="A61:AK61"/>
    <mergeCell ref="B62:D62"/>
    <mergeCell ref="E62:G62"/>
    <mergeCell ref="H62:N62"/>
    <mergeCell ref="O62:S62"/>
    <mergeCell ref="T62:U62"/>
    <mergeCell ref="V62:X62"/>
    <mergeCell ref="Y62:Z62"/>
    <mergeCell ref="AB62:AE62"/>
    <mergeCell ref="AF62:AG62"/>
    <mergeCell ref="AH62:AK62"/>
    <mergeCell ref="B63:D63"/>
    <mergeCell ref="E63:G63"/>
    <mergeCell ref="H63:N63"/>
    <mergeCell ref="O63:S63"/>
    <mergeCell ref="T63:U63"/>
    <mergeCell ref="V63:X63"/>
    <mergeCell ref="Y63:Z63"/>
    <mergeCell ref="AB63:AE63"/>
    <mergeCell ref="AF63:AG63"/>
    <mergeCell ref="AH63:AK63"/>
    <mergeCell ref="B58:D58"/>
    <mergeCell ref="E58:G58"/>
    <mergeCell ref="H58:N58"/>
    <mergeCell ref="O58:S58"/>
    <mergeCell ref="T58:U58"/>
    <mergeCell ref="V58:X58"/>
    <mergeCell ref="Y58:Z58"/>
    <mergeCell ref="AB58:AE58"/>
    <mergeCell ref="AF58:AG58"/>
    <mergeCell ref="AH58:AK58"/>
    <mergeCell ref="A59:W59"/>
    <mergeCell ref="Y59:Z59"/>
    <mergeCell ref="AB59:AE59"/>
    <mergeCell ref="AF59:AG59"/>
    <mergeCell ref="AH59:AI59"/>
    <mergeCell ref="AJ59:AL60"/>
    <mergeCell ref="B60:D60"/>
    <mergeCell ref="E60:G60"/>
    <mergeCell ref="H60:N60"/>
    <mergeCell ref="O60:S60"/>
    <mergeCell ref="T60:U60"/>
    <mergeCell ref="V60:W60"/>
    <mergeCell ref="Y60:Z60"/>
    <mergeCell ref="AB60:AE60"/>
    <mergeCell ref="AF60:AG60"/>
    <mergeCell ref="AH60:AI60"/>
    <mergeCell ref="E56:G56"/>
    <mergeCell ref="H56:I56"/>
    <mergeCell ref="J56:L56"/>
    <mergeCell ref="M56:N56"/>
    <mergeCell ref="O56:P56"/>
    <mergeCell ref="Q56:R56"/>
    <mergeCell ref="T56:U56"/>
    <mergeCell ref="V56:W56"/>
    <mergeCell ref="Y56:Z56"/>
    <mergeCell ref="AB56:AE56"/>
    <mergeCell ref="AF56:AG56"/>
    <mergeCell ref="AH56:AI56"/>
    <mergeCell ref="B57:D57"/>
    <mergeCell ref="E57:G57"/>
    <mergeCell ref="H57:N57"/>
    <mergeCell ref="O57:S57"/>
    <mergeCell ref="T57:U57"/>
    <mergeCell ref="V57:X57"/>
    <mergeCell ref="Y57:Z57"/>
    <mergeCell ref="AB57:AE57"/>
    <mergeCell ref="AF57:AG57"/>
    <mergeCell ref="AH57:AK57"/>
    <mergeCell ref="B53:D53"/>
    <mergeCell ref="E53:G53"/>
    <mergeCell ref="H53:N53"/>
    <mergeCell ref="O53:S53"/>
    <mergeCell ref="T53:U53"/>
    <mergeCell ref="V53:X53"/>
    <mergeCell ref="Y53:Z53"/>
    <mergeCell ref="AB53:AE53"/>
    <mergeCell ref="AF53:AG53"/>
    <mergeCell ref="AH53:AK53"/>
    <mergeCell ref="B54:D54"/>
    <mergeCell ref="E54:G54"/>
    <mergeCell ref="H54:I54"/>
    <mergeCell ref="J54:L54"/>
    <mergeCell ref="M54:N54"/>
    <mergeCell ref="O54:P54"/>
    <mergeCell ref="Q54:R54"/>
    <mergeCell ref="S54:W55"/>
    <mergeCell ref="Y54:Z54"/>
    <mergeCell ref="AB54:AE54"/>
    <mergeCell ref="AF54:AG54"/>
    <mergeCell ref="AH54:AI54"/>
    <mergeCell ref="AJ54:AL56"/>
    <mergeCell ref="A55:I55"/>
    <mergeCell ref="J55:L55"/>
    <mergeCell ref="M55:P55"/>
    <mergeCell ref="Q55:R55"/>
    <mergeCell ref="Y55:Z55"/>
    <mergeCell ref="AB55:AE55"/>
    <mergeCell ref="AF55:AG55"/>
    <mergeCell ref="AH55:AI55"/>
    <mergeCell ref="B56:D56"/>
    <mergeCell ref="B51:D51"/>
    <mergeCell ref="E51:G51"/>
    <mergeCell ref="H51:N51"/>
    <mergeCell ref="O51:S51"/>
    <mergeCell ref="T51:U51"/>
    <mergeCell ref="V51:X51"/>
    <mergeCell ref="Y51:Z51"/>
    <mergeCell ref="AB51:AE51"/>
    <mergeCell ref="AF51:AG51"/>
    <mergeCell ref="AH51:AK51"/>
    <mergeCell ref="B52:D52"/>
    <mergeCell ref="E52:G52"/>
    <mergeCell ref="H52:N52"/>
    <mergeCell ref="O52:S52"/>
    <mergeCell ref="T52:U52"/>
    <mergeCell ref="V52:X52"/>
    <mergeCell ref="Y52:Z52"/>
    <mergeCell ref="AB52:AE52"/>
    <mergeCell ref="AF52:AG52"/>
    <mergeCell ref="AH52:AK52"/>
    <mergeCell ref="B48:D48"/>
    <mergeCell ref="E48:G48"/>
    <mergeCell ref="H48:N48"/>
    <mergeCell ref="P48:R48"/>
    <mergeCell ref="S48:W49"/>
    <mergeCell ref="Y48:Z48"/>
    <mergeCell ref="AB48:AE48"/>
    <mergeCell ref="AF48:AG48"/>
    <mergeCell ref="AH48:AI48"/>
    <mergeCell ref="AJ48:AL50"/>
    <mergeCell ref="A49:O49"/>
    <mergeCell ref="P49:R49"/>
    <mergeCell ref="Y49:Z49"/>
    <mergeCell ref="AB49:AE49"/>
    <mergeCell ref="AF49:AG49"/>
    <mergeCell ref="AH49:AI49"/>
    <mergeCell ref="B50:D50"/>
    <mergeCell ref="E50:G50"/>
    <mergeCell ref="H50:N50"/>
    <mergeCell ref="P50:R50"/>
    <mergeCell ref="T50:U50"/>
    <mergeCell ref="V50:W50"/>
    <mergeCell ref="Y50:Z50"/>
    <mergeCell ref="AB50:AE50"/>
    <mergeCell ref="AF50:AG50"/>
    <mergeCell ref="AH50:AI50"/>
    <mergeCell ref="B46:D46"/>
    <mergeCell ref="E46:G46"/>
    <mergeCell ref="H46:N46"/>
    <mergeCell ref="O46:S46"/>
    <mergeCell ref="T46:U46"/>
    <mergeCell ref="V46:X46"/>
    <mergeCell ref="Y46:Z46"/>
    <mergeCell ref="AB46:AE46"/>
    <mergeCell ref="AF46:AG46"/>
    <mergeCell ref="AH46:AK46"/>
    <mergeCell ref="B47:D47"/>
    <mergeCell ref="E47:G47"/>
    <mergeCell ref="H47:N47"/>
    <mergeCell ref="O47:S47"/>
    <mergeCell ref="T47:U47"/>
    <mergeCell ref="V47:X47"/>
    <mergeCell ref="Y47:Z47"/>
    <mergeCell ref="AB47:AE47"/>
    <mergeCell ref="AF47:AG47"/>
    <mergeCell ref="AH47:AK47"/>
    <mergeCell ref="T43:U43"/>
    <mergeCell ref="V43:W43"/>
    <mergeCell ref="Y43:Z43"/>
    <mergeCell ref="AB43:AE43"/>
    <mergeCell ref="AF43:AG43"/>
    <mergeCell ref="AH43:AI43"/>
    <mergeCell ref="B44:D44"/>
    <mergeCell ref="E44:G44"/>
    <mergeCell ref="H44:N44"/>
    <mergeCell ref="O44:S44"/>
    <mergeCell ref="T44:U44"/>
    <mergeCell ref="V44:X44"/>
    <mergeCell ref="Y44:Z44"/>
    <mergeCell ref="AB44:AE44"/>
    <mergeCell ref="AF44:AG44"/>
    <mergeCell ref="AH44:AK44"/>
    <mergeCell ref="B45:D45"/>
    <mergeCell ref="E45:G45"/>
    <mergeCell ref="H45:N45"/>
    <mergeCell ref="O45:S45"/>
    <mergeCell ref="T45:U45"/>
    <mergeCell ref="V45:X45"/>
    <mergeCell ref="Y45:Z45"/>
    <mergeCell ref="AB45:AE45"/>
    <mergeCell ref="AF45:AG45"/>
    <mergeCell ref="AH45:AK45"/>
    <mergeCell ref="B40:D40"/>
    <mergeCell ref="E40:G40"/>
    <mergeCell ref="H40:N40"/>
    <mergeCell ref="O40:S40"/>
    <mergeCell ref="T40:U40"/>
    <mergeCell ref="V40:X40"/>
    <mergeCell ref="Y40:Z40"/>
    <mergeCell ref="AB40:AE40"/>
    <mergeCell ref="AF40:AG40"/>
    <mergeCell ref="AH40:AK40"/>
    <mergeCell ref="B41:D41"/>
    <mergeCell ref="E41:G41"/>
    <mergeCell ref="H41:N41"/>
    <mergeCell ref="O41:P41"/>
    <mergeCell ref="Q41:R41"/>
    <mergeCell ref="S41:W42"/>
    <mergeCell ref="Y41:Z41"/>
    <mergeCell ref="AB41:AE41"/>
    <mergeCell ref="AF41:AG41"/>
    <mergeCell ref="AH41:AI41"/>
    <mergeCell ref="AJ41:AL43"/>
    <mergeCell ref="A42:P42"/>
    <mergeCell ref="Q42:R42"/>
    <mergeCell ref="Y42:Z42"/>
    <mergeCell ref="AB42:AE42"/>
    <mergeCell ref="AF42:AG42"/>
    <mergeCell ref="AH42:AI42"/>
    <mergeCell ref="B43:D43"/>
    <mergeCell ref="E43:G43"/>
    <mergeCell ref="H43:N43"/>
    <mergeCell ref="O43:P43"/>
    <mergeCell ref="Q43:R43"/>
    <mergeCell ref="B38:D38"/>
    <mergeCell ref="E38:G38"/>
    <mergeCell ref="H38:N38"/>
    <mergeCell ref="O38:S38"/>
    <mergeCell ref="T38:U38"/>
    <mergeCell ref="V38:X38"/>
    <mergeCell ref="Y38:Z38"/>
    <mergeCell ref="AB38:AE38"/>
    <mergeCell ref="AF38:AG38"/>
    <mergeCell ref="AH38:AK38"/>
    <mergeCell ref="B39:D39"/>
    <mergeCell ref="E39:G39"/>
    <mergeCell ref="H39:N39"/>
    <mergeCell ref="O39:S39"/>
    <mergeCell ref="T39:U39"/>
    <mergeCell ref="V39:X39"/>
    <mergeCell ref="Y39:Z39"/>
    <mergeCell ref="AB39:AE39"/>
    <mergeCell ref="AF39:AG39"/>
    <mergeCell ref="AH39:AK39"/>
    <mergeCell ref="L36:N36"/>
    <mergeCell ref="P36:R36"/>
    <mergeCell ref="T36:U36"/>
    <mergeCell ref="V36:W36"/>
    <mergeCell ref="Y36:Z36"/>
    <mergeCell ref="AB36:AE36"/>
    <mergeCell ref="AF36:AG36"/>
    <mergeCell ref="AH36:AI36"/>
    <mergeCell ref="B37:D37"/>
    <mergeCell ref="E37:G37"/>
    <mergeCell ref="H37:N37"/>
    <mergeCell ref="O37:S37"/>
    <mergeCell ref="T37:U37"/>
    <mergeCell ref="V37:X37"/>
    <mergeCell ref="Y37:Z37"/>
    <mergeCell ref="AB37:AE37"/>
    <mergeCell ref="AF37:AG37"/>
    <mergeCell ref="AH37:AK37"/>
    <mergeCell ref="B33:D33"/>
    <mergeCell ref="E33:G33"/>
    <mergeCell ref="H33:N33"/>
    <mergeCell ref="O33:S33"/>
    <mergeCell ref="T33:U33"/>
    <mergeCell ref="V33:X33"/>
    <mergeCell ref="Y33:Z33"/>
    <mergeCell ref="AB33:AE33"/>
    <mergeCell ref="AF33:AG33"/>
    <mergeCell ref="AH33:AK33"/>
    <mergeCell ref="B34:D34"/>
    <mergeCell ref="E34:G34"/>
    <mergeCell ref="I34:K34"/>
    <mergeCell ref="L34:N34"/>
    <mergeCell ref="P34:R34"/>
    <mergeCell ref="S34:W35"/>
    <mergeCell ref="Y34:Z34"/>
    <mergeCell ref="AB34:AE34"/>
    <mergeCell ref="AF34:AG34"/>
    <mergeCell ref="AH34:AI34"/>
    <mergeCell ref="AJ34:AL36"/>
    <mergeCell ref="A35:H35"/>
    <mergeCell ref="I35:K35"/>
    <mergeCell ref="L35:O35"/>
    <mergeCell ref="P35:R35"/>
    <mergeCell ref="Y35:Z35"/>
    <mergeCell ref="AB35:AE35"/>
    <mergeCell ref="AF35:AG35"/>
    <mergeCell ref="AH35:AI35"/>
    <mergeCell ref="B36:D36"/>
    <mergeCell ref="E36:G36"/>
    <mergeCell ref="I36:K36"/>
    <mergeCell ref="A30:AL30"/>
    <mergeCell ref="B31:D31"/>
    <mergeCell ref="E31:G31"/>
    <mergeCell ref="H31:N31"/>
    <mergeCell ref="O31:S31"/>
    <mergeCell ref="T31:U31"/>
    <mergeCell ref="V31:X31"/>
    <mergeCell ref="Y31:Z31"/>
    <mergeCell ref="AB31:AE31"/>
    <mergeCell ref="AF31:AG31"/>
    <mergeCell ref="AH31:AK31"/>
    <mergeCell ref="B32:D32"/>
    <mergeCell ref="E32:G32"/>
    <mergeCell ref="H32:N32"/>
    <mergeCell ref="O32:S32"/>
    <mergeCell ref="T32:U32"/>
    <mergeCell ref="V32:X32"/>
    <mergeCell ref="Y32:Z32"/>
    <mergeCell ref="AB32:AE32"/>
    <mergeCell ref="AF32:AG32"/>
    <mergeCell ref="AH32:AK32"/>
    <mergeCell ref="B28:D28"/>
    <mergeCell ref="E28:G28"/>
    <mergeCell ref="H28:N28"/>
    <mergeCell ref="O28:S28"/>
    <mergeCell ref="T28:U28"/>
    <mergeCell ref="V28:X28"/>
    <mergeCell ref="Y28:Z28"/>
    <mergeCell ref="AB28:AE28"/>
    <mergeCell ref="AF28:AG28"/>
    <mergeCell ref="AH28:AK28"/>
    <mergeCell ref="B29:D29"/>
    <mergeCell ref="E29:G29"/>
    <mergeCell ref="H29:N29"/>
    <mergeCell ref="O29:S29"/>
    <mergeCell ref="T29:U29"/>
    <mergeCell ref="V29:X29"/>
    <mergeCell ref="Y29:Z29"/>
    <mergeCell ref="AB29:AE29"/>
    <mergeCell ref="AF29:AG29"/>
    <mergeCell ref="AH29:AK29"/>
    <mergeCell ref="B26:D26"/>
    <mergeCell ref="E26:G26"/>
    <mergeCell ref="H26:N26"/>
    <mergeCell ref="O26:S26"/>
    <mergeCell ref="T26:U26"/>
    <mergeCell ref="V26:X26"/>
    <mergeCell ref="Y26:Z26"/>
    <mergeCell ref="AB26:AE26"/>
    <mergeCell ref="AF26:AG26"/>
    <mergeCell ref="AH26:AK26"/>
    <mergeCell ref="B27:D27"/>
    <mergeCell ref="E27:G27"/>
    <mergeCell ref="H27:N27"/>
    <mergeCell ref="O27:S27"/>
    <mergeCell ref="T27:U27"/>
    <mergeCell ref="V27:X27"/>
    <mergeCell ref="Y27:Z27"/>
    <mergeCell ref="AB27:AE27"/>
    <mergeCell ref="AF27:AG27"/>
    <mergeCell ref="AH27:AK27"/>
    <mergeCell ref="B24:D24"/>
    <mergeCell ref="E24:G24"/>
    <mergeCell ref="H24:N24"/>
    <mergeCell ref="O24:S24"/>
    <mergeCell ref="T24:U24"/>
    <mergeCell ref="V24:X24"/>
    <mergeCell ref="Y24:Z24"/>
    <mergeCell ref="AB24:AE24"/>
    <mergeCell ref="AF24:AG24"/>
    <mergeCell ref="AH24:AK24"/>
    <mergeCell ref="B25:D25"/>
    <mergeCell ref="E25:G25"/>
    <mergeCell ref="H25:N25"/>
    <mergeCell ref="O25:S25"/>
    <mergeCell ref="T25:U25"/>
    <mergeCell ref="V25:X25"/>
    <mergeCell ref="Y25:Z25"/>
    <mergeCell ref="AB25:AE25"/>
    <mergeCell ref="AF25:AG25"/>
    <mergeCell ref="AH25:AK25"/>
    <mergeCell ref="T21:U21"/>
    <mergeCell ref="V21:W21"/>
    <mergeCell ref="Y21:Z21"/>
    <mergeCell ref="AB21:AE21"/>
    <mergeCell ref="AF21:AG21"/>
    <mergeCell ref="AH21:AI21"/>
    <mergeCell ref="B22:D22"/>
    <mergeCell ref="E22:G22"/>
    <mergeCell ref="H22:N22"/>
    <mergeCell ref="O22:S22"/>
    <mergeCell ref="T22:U22"/>
    <mergeCell ref="V22:X22"/>
    <mergeCell ref="Y22:Z22"/>
    <mergeCell ref="AB22:AE22"/>
    <mergeCell ref="AF22:AG22"/>
    <mergeCell ref="AH22:AK22"/>
    <mergeCell ref="B23:D23"/>
    <mergeCell ref="E23:G23"/>
    <mergeCell ref="H23:N23"/>
    <mergeCell ref="O23:S23"/>
    <mergeCell ref="T23:U23"/>
    <mergeCell ref="V23:X23"/>
    <mergeCell ref="Y23:Z23"/>
    <mergeCell ref="AB23:AE23"/>
    <mergeCell ref="AF23:AG23"/>
    <mergeCell ref="AH23:AK23"/>
    <mergeCell ref="B18:D18"/>
    <mergeCell ref="E18:G18"/>
    <mergeCell ref="H18:N18"/>
    <mergeCell ref="O18:S18"/>
    <mergeCell ref="T18:U18"/>
    <mergeCell ref="V18:X18"/>
    <mergeCell ref="Y18:Z18"/>
    <mergeCell ref="AB18:AE18"/>
    <mergeCell ref="AF18:AG18"/>
    <mergeCell ref="AH18:AK18"/>
    <mergeCell ref="B19:D19"/>
    <mergeCell ref="E19:G19"/>
    <mergeCell ref="H19:N19"/>
    <mergeCell ref="O19:P19"/>
    <mergeCell ref="Q19:R19"/>
    <mergeCell ref="S19:W20"/>
    <mergeCell ref="Y19:Z19"/>
    <mergeCell ref="AB19:AE19"/>
    <mergeCell ref="AF19:AG19"/>
    <mergeCell ref="AH19:AI19"/>
    <mergeCell ref="AJ19:AL21"/>
    <mergeCell ref="A20:P20"/>
    <mergeCell ref="Q20:R20"/>
    <mergeCell ref="Y20:Z20"/>
    <mergeCell ref="AB20:AE20"/>
    <mergeCell ref="AF20:AG20"/>
    <mergeCell ref="AH20:AI20"/>
    <mergeCell ref="B21:D21"/>
    <mergeCell ref="E21:G21"/>
    <mergeCell ref="H21:N21"/>
    <mergeCell ref="O21:P21"/>
    <mergeCell ref="Q21:R21"/>
    <mergeCell ref="A12:E12"/>
    <mergeCell ref="F12:N12"/>
    <mergeCell ref="O12:AC12"/>
    <mergeCell ref="AD12:AK12"/>
    <mergeCell ref="A13:E13"/>
    <mergeCell ref="F13:N13"/>
    <mergeCell ref="O13:AC13"/>
    <mergeCell ref="AD13:AK13"/>
    <mergeCell ref="A14:E14"/>
    <mergeCell ref="F14:N14"/>
    <mergeCell ref="O14:AC14"/>
    <mergeCell ref="AD14:AK14"/>
    <mergeCell ref="A15:AK15"/>
    <mergeCell ref="A16:AK16"/>
    <mergeCell ref="B17:D17"/>
    <mergeCell ref="E17:G17"/>
    <mergeCell ref="H17:N17"/>
    <mergeCell ref="O17:S17"/>
    <mergeCell ref="T17:U17"/>
    <mergeCell ref="V17:X17"/>
    <mergeCell ref="Y17:Z17"/>
    <mergeCell ref="AB17:AE17"/>
    <mergeCell ref="AF17:AG17"/>
    <mergeCell ref="AH17:AK17"/>
    <mergeCell ref="A6:V6"/>
    <mergeCell ref="W6:Y6"/>
    <mergeCell ref="Z6:AL6"/>
    <mergeCell ref="A7:AL7"/>
    <mergeCell ref="A8:E8"/>
    <mergeCell ref="F8:N8"/>
    <mergeCell ref="O8:AC8"/>
    <mergeCell ref="AD8:AK8"/>
    <mergeCell ref="A9:E9"/>
    <mergeCell ref="F9:N9"/>
    <mergeCell ref="O9:AC9"/>
    <mergeCell ref="AD9:AK9"/>
    <mergeCell ref="A10:E10"/>
    <mergeCell ref="F10:N10"/>
    <mergeCell ref="O10:AC10"/>
    <mergeCell ref="AD10:AK10"/>
    <mergeCell ref="A11:E11"/>
    <mergeCell ref="F11:N11"/>
    <mergeCell ref="O11:AC11"/>
    <mergeCell ref="AD11:AK11"/>
    <mergeCell ref="A1:AK1"/>
    <mergeCell ref="A2:E2"/>
    <mergeCell ref="F2:J2"/>
    <mergeCell ref="K2:N2"/>
    <mergeCell ref="P2:V2"/>
    <mergeCell ref="W2:X2"/>
    <mergeCell ref="Z2:AB2"/>
    <mergeCell ref="AC2:AL3"/>
    <mergeCell ref="A3:O4"/>
    <mergeCell ref="P3:V3"/>
    <mergeCell ref="W3:X3"/>
    <mergeCell ref="Z3:AB3"/>
    <mergeCell ref="P4:V4"/>
    <mergeCell ref="W4:X4"/>
    <mergeCell ref="Z4:AB4"/>
    <mergeCell ref="AD4:AK4"/>
    <mergeCell ref="A5:J5"/>
    <mergeCell ref="K5:X5"/>
    <mergeCell ref="Y5:A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04B1-2FC2-4FE9-B43D-DDC6E1BBCB41}">
  <dimension ref="A1:P75"/>
  <sheetViews>
    <sheetView topLeftCell="A40" workbookViewId="0">
      <selection activeCell="G10" sqref="G10"/>
    </sheetView>
  </sheetViews>
  <sheetFormatPr defaultColWidth="15.83203125" defaultRowHeight="15" customHeight="1" x14ac:dyDescent="0.2"/>
  <cols>
    <col min="12" max="12" width="19.83203125" bestFit="1" customWidth="1"/>
    <col min="13" max="13" width="18.33203125" bestFit="1" customWidth="1"/>
    <col min="15" max="15" width="21.33203125" bestFit="1" customWidth="1"/>
  </cols>
  <sheetData>
    <row r="1" spans="1:15" ht="15" customHeight="1" x14ac:dyDescent="0.2">
      <c r="A1" s="47" t="s">
        <v>18</v>
      </c>
      <c r="B1" s="47"/>
      <c r="C1" s="47" t="s">
        <v>19</v>
      </c>
      <c r="D1" s="47" t="s">
        <v>20</v>
      </c>
      <c r="E1" s="47" t="s">
        <v>21</v>
      </c>
      <c r="F1" s="43" t="s">
        <v>22</v>
      </c>
      <c r="G1" s="43" t="s">
        <v>23</v>
      </c>
      <c r="H1" s="47" t="s">
        <v>26</v>
      </c>
      <c r="I1" s="43" t="s">
        <v>27</v>
      </c>
      <c r="J1" s="41" t="s">
        <v>28</v>
      </c>
      <c r="K1" s="40" t="s">
        <v>29</v>
      </c>
      <c r="L1" s="2"/>
    </row>
    <row r="2" spans="1:15" ht="15" customHeight="1" x14ac:dyDescent="0.2">
      <c r="A2" s="48">
        <v>445324</v>
      </c>
      <c r="B2" s="48" t="str">
        <f>CONCATENATE(A2,1)</f>
        <v>4453241</v>
      </c>
      <c r="C2" s="54">
        <v>8325282</v>
      </c>
      <c r="D2" s="52" t="s">
        <v>30</v>
      </c>
      <c r="E2" s="52" t="s">
        <v>31</v>
      </c>
      <c r="F2" s="52" t="s">
        <v>32</v>
      </c>
      <c r="G2" s="55">
        <v>45658</v>
      </c>
      <c r="H2" s="52" t="s">
        <v>33</v>
      </c>
      <c r="I2" s="52" t="s">
        <v>34</v>
      </c>
      <c r="J2" s="52" t="s">
        <v>35</v>
      </c>
      <c r="K2" s="56">
        <v>105</v>
      </c>
      <c r="L2" s="49" t="s">
        <v>298</v>
      </c>
      <c r="M2" s="51" t="s">
        <v>307</v>
      </c>
      <c r="N2">
        <v>20411454</v>
      </c>
      <c r="O2" t="s">
        <v>315</v>
      </c>
    </row>
    <row r="3" spans="1:15" ht="15" customHeight="1" x14ac:dyDescent="0.2">
      <c r="A3" s="15">
        <v>443223</v>
      </c>
      <c r="B3" s="48" t="str">
        <f t="shared" ref="B3:B38" si="0">CONCATENATE(A3,1)</f>
        <v>4432231</v>
      </c>
      <c r="C3" s="57">
        <v>2158366</v>
      </c>
      <c r="D3" s="44" t="s">
        <v>51</v>
      </c>
      <c r="E3" s="42" t="s">
        <v>52</v>
      </c>
      <c r="F3" s="44" t="s">
        <v>53</v>
      </c>
      <c r="G3" s="58">
        <v>45658</v>
      </c>
      <c r="H3" s="45" t="s">
        <v>54</v>
      </c>
      <c r="I3" s="44" t="s">
        <v>55</v>
      </c>
      <c r="J3" s="44" t="s">
        <v>56</v>
      </c>
      <c r="K3" s="59">
        <v>105</v>
      </c>
      <c r="L3" s="50" t="s">
        <v>299</v>
      </c>
      <c r="M3" s="51" t="s">
        <v>307</v>
      </c>
      <c r="N3">
        <v>20411454</v>
      </c>
      <c r="O3" t="s">
        <v>315</v>
      </c>
    </row>
    <row r="4" spans="1:15" ht="15" customHeight="1" x14ac:dyDescent="0.2">
      <c r="A4" s="15">
        <v>439384</v>
      </c>
      <c r="B4" s="48" t="str">
        <f t="shared" si="0"/>
        <v>4393841</v>
      </c>
      <c r="C4" s="57">
        <v>2158366</v>
      </c>
      <c r="D4" s="44" t="s">
        <v>57</v>
      </c>
      <c r="E4" s="42" t="s">
        <v>52</v>
      </c>
      <c r="F4" s="44" t="s">
        <v>53</v>
      </c>
      <c r="G4" s="60">
        <v>45658</v>
      </c>
      <c r="H4" s="45" t="s">
        <v>54</v>
      </c>
      <c r="I4" s="44" t="s">
        <v>58</v>
      </c>
      <c r="J4" s="44" t="s">
        <v>59</v>
      </c>
      <c r="K4" s="59">
        <v>105</v>
      </c>
      <c r="L4" s="50" t="s">
        <v>299</v>
      </c>
      <c r="M4" s="51" t="s">
        <v>307</v>
      </c>
      <c r="N4">
        <v>20411454</v>
      </c>
      <c r="O4" t="s">
        <v>315</v>
      </c>
    </row>
    <row r="5" spans="1:15" ht="15" customHeight="1" x14ac:dyDescent="0.2">
      <c r="A5" s="15">
        <v>439383</v>
      </c>
      <c r="B5" s="48" t="str">
        <f t="shared" si="0"/>
        <v>4393831</v>
      </c>
      <c r="C5" s="57">
        <v>2158366</v>
      </c>
      <c r="D5" s="44" t="s">
        <v>60</v>
      </c>
      <c r="E5" s="42" t="s">
        <v>52</v>
      </c>
      <c r="F5" s="44" t="s">
        <v>53</v>
      </c>
      <c r="G5" s="58">
        <v>45658</v>
      </c>
      <c r="H5" s="45" t="s">
        <v>61</v>
      </c>
      <c r="I5" s="44" t="s">
        <v>58</v>
      </c>
      <c r="J5" s="44" t="s">
        <v>59</v>
      </c>
      <c r="K5" s="59">
        <v>105</v>
      </c>
      <c r="L5" s="50" t="s">
        <v>299</v>
      </c>
      <c r="M5" s="51" t="s">
        <v>307</v>
      </c>
      <c r="N5">
        <v>20411454</v>
      </c>
      <c r="O5" t="s">
        <v>315</v>
      </c>
    </row>
    <row r="6" spans="1:15" ht="15" customHeight="1" x14ac:dyDescent="0.2">
      <c r="A6" s="15">
        <v>444121</v>
      </c>
      <c r="B6" s="48" t="str">
        <f t="shared" si="0"/>
        <v>4441211</v>
      </c>
      <c r="C6" s="57">
        <v>2158366</v>
      </c>
      <c r="D6" s="44" t="s">
        <v>62</v>
      </c>
      <c r="E6" s="42" t="s">
        <v>52</v>
      </c>
      <c r="F6" s="44" t="s">
        <v>53</v>
      </c>
      <c r="G6" s="58">
        <v>45658</v>
      </c>
      <c r="H6" s="45" t="s">
        <v>54</v>
      </c>
      <c r="I6" s="44" t="s">
        <v>55</v>
      </c>
      <c r="J6" s="44" t="s">
        <v>56</v>
      </c>
      <c r="K6" s="59">
        <v>105</v>
      </c>
      <c r="L6" s="50" t="s">
        <v>299</v>
      </c>
      <c r="M6" s="51" t="s">
        <v>307</v>
      </c>
      <c r="N6">
        <v>20411454</v>
      </c>
      <c r="O6" t="s">
        <v>315</v>
      </c>
    </row>
    <row r="7" spans="1:15" ht="15" customHeight="1" x14ac:dyDescent="0.2">
      <c r="A7" s="15">
        <v>442876</v>
      </c>
      <c r="B7" s="48" t="str">
        <f t="shared" si="0"/>
        <v>4428761</v>
      </c>
      <c r="C7" s="57">
        <v>2158366</v>
      </c>
      <c r="D7" s="44" t="s">
        <v>63</v>
      </c>
      <c r="E7" s="42" t="s">
        <v>52</v>
      </c>
      <c r="F7" s="44" t="s">
        <v>53</v>
      </c>
      <c r="G7" s="58">
        <v>45658</v>
      </c>
      <c r="H7" s="45" t="s">
        <v>54</v>
      </c>
      <c r="I7" s="44" t="s">
        <v>55</v>
      </c>
      <c r="J7" s="44" t="s">
        <v>56</v>
      </c>
      <c r="K7" s="59">
        <v>105</v>
      </c>
      <c r="L7" s="50" t="s">
        <v>299</v>
      </c>
      <c r="M7" s="51" t="s">
        <v>307</v>
      </c>
      <c r="N7">
        <v>20411454</v>
      </c>
      <c r="O7" t="s">
        <v>315</v>
      </c>
    </row>
    <row r="8" spans="1:15" ht="15" customHeight="1" x14ac:dyDescent="0.2">
      <c r="A8" s="15">
        <v>445341</v>
      </c>
      <c r="B8" s="48" t="str">
        <f t="shared" si="0"/>
        <v>4453411</v>
      </c>
      <c r="C8" s="57">
        <v>2158366</v>
      </c>
      <c r="D8" s="44" t="s">
        <v>64</v>
      </c>
      <c r="E8" s="42" t="s">
        <v>52</v>
      </c>
      <c r="F8" s="44" t="s">
        <v>65</v>
      </c>
      <c r="G8" s="58">
        <v>45658</v>
      </c>
      <c r="H8" s="45" t="s">
        <v>54</v>
      </c>
      <c r="I8" s="44" t="s">
        <v>66</v>
      </c>
      <c r="J8" s="44" t="s">
        <v>56</v>
      </c>
      <c r="K8" s="59">
        <v>210</v>
      </c>
      <c r="L8" s="50" t="s">
        <v>299</v>
      </c>
      <c r="M8" s="51" t="s">
        <v>307</v>
      </c>
      <c r="N8">
        <v>20411454</v>
      </c>
      <c r="O8" t="s">
        <v>315</v>
      </c>
    </row>
    <row r="9" spans="1:15" ht="15" customHeight="1" x14ac:dyDescent="0.2">
      <c r="A9" s="23">
        <v>445359</v>
      </c>
      <c r="B9" s="48" t="str">
        <f t="shared" si="0"/>
        <v>4453591</v>
      </c>
      <c r="C9" s="61">
        <v>19681796</v>
      </c>
      <c r="D9" s="44" t="s">
        <v>72</v>
      </c>
      <c r="E9" s="44" t="s">
        <v>73</v>
      </c>
      <c r="F9" s="52" t="s">
        <v>32</v>
      </c>
      <c r="G9" s="62">
        <v>45658</v>
      </c>
      <c r="H9" s="45" t="s">
        <v>74</v>
      </c>
      <c r="I9" s="44" t="s">
        <v>75</v>
      </c>
      <c r="J9" s="44" t="s">
        <v>76</v>
      </c>
      <c r="K9" s="63">
        <v>105</v>
      </c>
      <c r="L9" s="50" t="s">
        <v>300</v>
      </c>
      <c r="M9" s="51" t="s">
        <v>307</v>
      </c>
      <c r="N9">
        <v>20411454</v>
      </c>
      <c r="O9" t="s">
        <v>315</v>
      </c>
    </row>
    <row r="10" spans="1:15" ht="15" customHeight="1" x14ac:dyDescent="0.2">
      <c r="A10" s="23">
        <v>445779</v>
      </c>
      <c r="B10" s="48" t="str">
        <f t="shared" si="0"/>
        <v>4457791</v>
      </c>
      <c r="C10" s="61">
        <v>19645587</v>
      </c>
      <c r="D10" s="44" t="s">
        <v>91</v>
      </c>
      <c r="E10" s="44" t="s">
        <v>73</v>
      </c>
      <c r="F10" s="44" t="s">
        <v>92</v>
      </c>
      <c r="G10" s="62">
        <v>45658</v>
      </c>
      <c r="H10" s="45" t="s">
        <v>74</v>
      </c>
      <c r="I10" s="44" t="s">
        <v>75</v>
      </c>
      <c r="J10" s="44" t="s">
        <v>76</v>
      </c>
      <c r="K10" s="63">
        <v>105</v>
      </c>
      <c r="L10" s="49" t="s">
        <v>301</v>
      </c>
      <c r="M10" s="51" t="s">
        <v>307</v>
      </c>
      <c r="N10">
        <v>20411454</v>
      </c>
      <c r="O10" t="s">
        <v>315</v>
      </c>
    </row>
    <row r="11" spans="1:15" ht="15" customHeight="1" x14ac:dyDescent="0.2">
      <c r="A11" s="23">
        <v>448295</v>
      </c>
      <c r="B11" s="48" t="str">
        <f t="shared" si="0"/>
        <v>4482951</v>
      </c>
      <c r="C11" s="61">
        <v>19645587</v>
      </c>
      <c r="D11" s="44" t="s">
        <v>93</v>
      </c>
      <c r="E11" s="44" t="s">
        <v>73</v>
      </c>
      <c r="F11" s="44" t="s">
        <v>94</v>
      </c>
      <c r="G11" s="62">
        <v>45658</v>
      </c>
      <c r="H11" s="45" t="s">
        <v>74</v>
      </c>
      <c r="I11" s="44" t="s">
        <v>95</v>
      </c>
      <c r="J11" s="44" t="s">
        <v>76</v>
      </c>
      <c r="K11" s="63">
        <v>210</v>
      </c>
      <c r="L11" s="49" t="s">
        <v>301</v>
      </c>
      <c r="M11" s="51" t="s">
        <v>307</v>
      </c>
      <c r="N11">
        <v>20411454</v>
      </c>
      <c r="O11" t="s">
        <v>315</v>
      </c>
    </row>
    <row r="12" spans="1:15" ht="15" customHeight="1" x14ac:dyDescent="0.2">
      <c r="A12" s="23">
        <v>439914</v>
      </c>
      <c r="B12" s="48" t="str">
        <f t="shared" si="0"/>
        <v>4399141</v>
      </c>
      <c r="C12" s="61">
        <v>19645587</v>
      </c>
      <c r="D12" s="44" t="s">
        <v>96</v>
      </c>
      <c r="E12" s="44" t="s">
        <v>73</v>
      </c>
      <c r="F12" s="44" t="s">
        <v>92</v>
      </c>
      <c r="G12" s="62">
        <v>45658</v>
      </c>
      <c r="H12" s="45" t="s">
        <v>74</v>
      </c>
      <c r="I12" s="44" t="s">
        <v>75</v>
      </c>
      <c r="J12" s="44" t="s">
        <v>76</v>
      </c>
      <c r="K12" s="63">
        <v>105</v>
      </c>
      <c r="L12" s="49" t="s">
        <v>301</v>
      </c>
      <c r="M12" s="51" t="s">
        <v>307</v>
      </c>
      <c r="N12">
        <v>20411454</v>
      </c>
      <c r="O12" t="s">
        <v>315</v>
      </c>
    </row>
    <row r="13" spans="1:15" ht="15" customHeight="1" x14ac:dyDescent="0.2">
      <c r="A13" s="23">
        <v>444055</v>
      </c>
      <c r="B13" s="48" t="str">
        <f t="shared" si="0"/>
        <v>4440551</v>
      </c>
      <c r="C13" s="61">
        <v>19615078</v>
      </c>
      <c r="D13" s="44" t="s">
        <v>100</v>
      </c>
      <c r="E13" s="44" t="s">
        <v>73</v>
      </c>
      <c r="F13" s="52" t="s">
        <v>32</v>
      </c>
      <c r="G13" s="62">
        <v>45658</v>
      </c>
      <c r="H13" s="45" t="s">
        <v>74</v>
      </c>
      <c r="I13" s="44" t="s">
        <v>75</v>
      </c>
      <c r="J13" s="44" t="s">
        <v>76</v>
      </c>
      <c r="K13" s="63">
        <v>105</v>
      </c>
      <c r="L13" s="50" t="s">
        <v>302</v>
      </c>
      <c r="M13" s="51" t="s">
        <v>307</v>
      </c>
      <c r="N13">
        <v>20411454</v>
      </c>
      <c r="O13" t="s">
        <v>315</v>
      </c>
    </row>
    <row r="14" spans="1:15" ht="15" customHeight="1" x14ac:dyDescent="0.2">
      <c r="A14" s="23">
        <v>445830</v>
      </c>
      <c r="B14" s="48" t="str">
        <f t="shared" si="0"/>
        <v>4458301</v>
      </c>
      <c r="C14" s="61">
        <v>19615078</v>
      </c>
      <c r="D14" s="44" t="s">
        <v>101</v>
      </c>
      <c r="E14" s="44" t="s">
        <v>73</v>
      </c>
      <c r="F14" s="52" t="s">
        <v>32</v>
      </c>
      <c r="G14" s="62">
        <v>45658</v>
      </c>
      <c r="H14" s="45" t="s">
        <v>74</v>
      </c>
      <c r="I14" s="44" t="s">
        <v>75</v>
      </c>
      <c r="J14" s="44" t="s">
        <v>76</v>
      </c>
      <c r="K14" s="63">
        <v>105</v>
      </c>
      <c r="L14" s="50" t="s">
        <v>302</v>
      </c>
      <c r="M14" s="51" t="s">
        <v>307</v>
      </c>
      <c r="N14">
        <v>20411454</v>
      </c>
      <c r="O14" t="s">
        <v>315</v>
      </c>
    </row>
    <row r="15" spans="1:15" ht="15" customHeight="1" x14ac:dyDescent="0.2">
      <c r="A15" s="23">
        <v>443966</v>
      </c>
      <c r="B15" s="48" t="str">
        <f t="shared" si="0"/>
        <v>4439661</v>
      </c>
      <c r="C15" s="61">
        <v>19481808</v>
      </c>
      <c r="D15" s="44" t="s">
        <v>105</v>
      </c>
      <c r="E15" s="45" t="s">
        <v>106</v>
      </c>
      <c r="F15" s="52" t="s">
        <v>32</v>
      </c>
      <c r="G15" s="62">
        <v>45658</v>
      </c>
      <c r="H15" s="45" t="s">
        <v>74</v>
      </c>
      <c r="I15" s="44" t="s">
        <v>75</v>
      </c>
      <c r="J15" s="44" t="s">
        <v>76</v>
      </c>
      <c r="K15" s="63">
        <v>105</v>
      </c>
      <c r="L15" s="50" t="s">
        <v>303</v>
      </c>
      <c r="M15" s="51" t="s">
        <v>307</v>
      </c>
      <c r="N15">
        <v>20411454</v>
      </c>
      <c r="O15" t="s">
        <v>315</v>
      </c>
    </row>
    <row r="16" spans="1:15" ht="15" customHeight="1" x14ac:dyDescent="0.2">
      <c r="A16" s="23">
        <v>446535</v>
      </c>
      <c r="B16" s="48" t="str">
        <f t="shared" si="0"/>
        <v>4465351</v>
      </c>
      <c r="C16" s="61">
        <v>17301495</v>
      </c>
      <c r="D16" s="44" t="s">
        <v>114</v>
      </c>
      <c r="E16" s="44" t="s">
        <v>73</v>
      </c>
      <c r="F16" s="52" t="s">
        <v>32</v>
      </c>
      <c r="G16" s="62">
        <v>45658</v>
      </c>
      <c r="H16" s="45" t="s">
        <v>74</v>
      </c>
      <c r="I16" s="44" t="s">
        <v>75</v>
      </c>
      <c r="J16" s="44" t="s">
        <v>76</v>
      </c>
      <c r="K16" s="63">
        <v>105</v>
      </c>
      <c r="L16" s="49" t="s">
        <v>304</v>
      </c>
      <c r="M16" s="51" t="s">
        <v>307</v>
      </c>
      <c r="N16">
        <v>20411454</v>
      </c>
      <c r="O16" t="s">
        <v>315</v>
      </c>
    </row>
    <row r="17" spans="1:15" ht="15" customHeight="1" x14ac:dyDescent="0.2">
      <c r="A17" s="23">
        <v>447954</v>
      </c>
      <c r="B17" s="48" t="str">
        <f t="shared" si="0"/>
        <v>4479541</v>
      </c>
      <c r="C17" s="61">
        <v>16912722</v>
      </c>
      <c r="D17" s="44" t="s">
        <v>117</v>
      </c>
      <c r="E17" s="45" t="s">
        <v>106</v>
      </c>
      <c r="F17" s="52" t="s">
        <v>32</v>
      </c>
      <c r="G17" s="62">
        <v>45658</v>
      </c>
      <c r="H17" s="45" t="s">
        <v>74</v>
      </c>
      <c r="I17" s="44" t="s">
        <v>95</v>
      </c>
      <c r="J17" s="44" t="s">
        <v>76</v>
      </c>
      <c r="K17" s="63">
        <v>210</v>
      </c>
      <c r="L17" s="50" t="s">
        <v>305</v>
      </c>
      <c r="M17" s="51" t="s">
        <v>307</v>
      </c>
      <c r="N17">
        <v>20411454</v>
      </c>
      <c r="O17" t="s">
        <v>315</v>
      </c>
    </row>
    <row r="18" spans="1:15" ht="15" customHeight="1" x14ac:dyDescent="0.2">
      <c r="A18" s="23">
        <v>447955</v>
      </c>
      <c r="B18" s="48" t="str">
        <f t="shared" si="0"/>
        <v>4479551</v>
      </c>
      <c r="C18" s="61">
        <v>16912722</v>
      </c>
      <c r="D18" s="44" t="s">
        <v>118</v>
      </c>
      <c r="E18" s="45" t="s">
        <v>106</v>
      </c>
      <c r="F18" s="52" t="s">
        <v>32</v>
      </c>
      <c r="G18" s="62">
        <v>45658</v>
      </c>
      <c r="H18" s="45" t="s">
        <v>74</v>
      </c>
      <c r="I18" s="44" t="s">
        <v>95</v>
      </c>
      <c r="J18" s="44" t="s">
        <v>76</v>
      </c>
      <c r="K18" s="63">
        <v>210</v>
      </c>
      <c r="L18" s="50" t="s">
        <v>305</v>
      </c>
      <c r="M18" s="51" t="s">
        <v>307</v>
      </c>
      <c r="N18">
        <v>20411454</v>
      </c>
      <c r="O18" t="s">
        <v>315</v>
      </c>
    </row>
    <row r="19" spans="1:15" ht="15" customHeight="1" x14ac:dyDescent="0.2">
      <c r="A19" s="23">
        <v>448034</v>
      </c>
      <c r="B19" s="48" t="str">
        <f t="shared" si="0"/>
        <v>4480341</v>
      </c>
      <c r="C19" s="61">
        <v>16912722</v>
      </c>
      <c r="D19" s="44" t="s">
        <v>119</v>
      </c>
      <c r="E19" s="45" t="s">
        <v>106</v>
      </c>
      <c r="F19" s="52" t="s">
        <v>32</v>
      </c>
      <c r="G19" s="62">
        <v>45658</v>
      </c>
      <c r="H19" s="45" t="s">
        <v>74</v>
      </c>
      <c r="I19" s="44" t="s">
        <v>95</v>
      </c>
      <c r="J19" s="44" t="s">
        <v>76</v>
      </c>
      <c r="K19" s="63">
        <v>210</v>
      </c>
      <c r="L19" s="50" t="s">
        <v>305</v>
      </c>
      <c r="M19" s="51" t="s">
        <v>307</v>
      </c>
      <c r="N19">
        <v>20411454</v>
      </c>
      <c r="O19" t="s">
        <v>315</v>
      </c>
    </row>
    <row r="20" spans="1:15" ht="15" customHeight="1" x14ac:dyDescent="0.2">
      <c r="A20" s="23">
        <v>447701</v>
      </c>
      <c r="B20" s="48" t="str">
        <f t="shared" si="0"/>
        <v>4477011</v>
      </c>
      <c r="C20" s="61">
        <v>16912722</v>
      </c>
      <c r="D20" s="44" t="s">
        <v>120</v>
      </c>
      <c r="E20" s="45" t="s">
        <v>106</v>
      </c>
      <c r="F20" s="52" t="s">
        <v>32</v>
      </c>
      <c r="G20" s="62">
        <v>45658</v>
      </c>
      <c r="H20" s="45" t="s">
        <v>74</v>
      </c>
      <c r="I20" s="44" t="s">
        <v>95</v>
      </c>
      <c r="J20" s="44" t="s">
        <v>76</v>
      </c>
      <c r="K20" s="63">
        <v>210</v>
      </c>
      <c r="L20" s="50" t="s">
        <v>305</v>
      </c>
      <c r="M20" s="51" t="s">
        <v>307</v>
      </c>
      <c r="N20">
        <v>20411454</v>
      </c>
      <c r="O20" t="s">
        <v>315</v>
      </c>
    </row>
    <row r="21" spans="1:15" ht="15" customHeight="1" x14ac:dyDescent="0.2">
      <c r="A21" s="23">
        <v>445336</v>
      </c>
      <c r="B21" s="48" t="str">
        <f t="shared" si="0"/>
        <v>4453361</v>
      </c>
      <c r="C21" s="61">
        <v>16633294</v>
      </c>
      <c r="D21" s="44" t="s">
        <v>123</v>
      </c>
      <c r="E21" s="44" t="s">
        <v>73</v>
      </c>
      <c r="F21" s="44" t="s">
        <v>92</v>
      </c>
      <c r="G21" s="62">
        <v>45658</v>
      </c>
      <c r="H21" s="45" t="s">
        <v>74</v>
      </c>
      <c r="I21" s="44" t="s">
        <v>75</v>
      </c>
      <c r="J21" s="44" t="s">
        <v>76</v>
      </c>
      <c r="K21" s="63">
        <v>105</v>
      </c>
      <c r="L21" s="50" t="s">
        <v>306</v>
      </c>
      <c r="M21" s="51" t="s">
        <v>307</v>
      </c>
      <c r="N21">
        <v>20411454</v>
      </c>
      <c r="O21" t="s">
        <v>315</v>
      </c>
    </row>
    <row r="22" spans="1:15" ht="15" customHeight="1" x14ac:dyDescent="0.2">
      <c r="A22" s="23">
        <v>445462</v>
      </c>
      <c r="B22" s="48" t="str">
        <f t="shared" si="0"/>
        <v>4454621</v>
      </c>
      <c r="C22" s="61">
        <v>16633294</v>
      </c>
      <c r="D22" s="44" t="s">
        <v>124</v>
      </c>
      <c r="E22" s="44" t="s">
        <v>73</v>
      </c>
      <c r="F22" s="44" t="s">
        <v>92</v>
      </c>
      <c r="G22" s="62">
        <v>45658</v>
      </c>
      <c r="H22" s="45" t="s">
        <v>74</v>
      </c>
      <c r="I22" s="44" t="s">
        <v>75</v>
      </c>
      <c r="J22" s="44" t="s">
        <v>76</v>
      </c>
      <c r="K22" s="63">
        <v>105</v>
      </c>
      <c r="L22" s="50" t="s">
        <v>306</v>
      </c>
      <c r="M22" s="51" t="s">
        <v>307</v>
      </c>
      <c r="N22">
        <v>20411454</v>
      </c>
      <c r="O22" t="s">
        <v>315</v>
      </c>
    </row>
    <row r="23" spans="1:15" ht="15" customHeight="1" x14ac:dyDescent="0.2">
      <c r="A23" s="23">
        <v>445463</v>
      </c>
      <c r="B23" s="48" t="str">
        <f t="shared" si="0"/>
        <v>4454631</v>
      </c>
      <c r="C23" s="61">
        <v>16633294</v>
      </c>
      <c r="D23" s="44" t="s">
        <v>125</v>
      </c>
      <c r="E23" s="44" t="s">
        <v>73</v>
      </c>
      <c r="F23" s="44" t="s">
        <v>92</v>
      </c>
      <c r="G23" s="62">
        <v>45658</v>
      </c>
      <c r="H23" s="45" t="s">
        <v>74</v>
      </c>
      <c r="I23" s="44" t="s">
        <v>75</v>
      </c>
      <c r="J23" s="44" t="s">
        <v>76</v>
      </c>
      <c r="K23" s="63">
        <v>105</v>
      </c>
      <c r="L23" s="50" t="s">
        <v>306</v>
      </c>
      <c r="M23" s="51" t="s">
        <v>307</v>
      </c>
      <c r="N23">
        <v>20411454</v>
      </c>
      <c r="O23" t="s">
        <v>315</v>
      </c>
    </row>
    <row r="24" spans="1:15" ht="15" customHeight="1" x14ac:dyDescent="0.2">
      <c r="A24" s="23">
        <v>446217</v>
      </c>
      <c r="B24" s="48" t="str">
        <f t="shared" si="0"/>
        <v>4462171</v>
      </c>
      <c r="C24" s="61">
        <v>16633294</v>
      </c>
      <c r="D24" s="44" t="s">
        <v>126</v>
      </c>
      <c r="E24" s="44" t="s">
        <v>73</v>
      </c>
      <c r="F24" s="44" t="s">
        <v>92</v>
      </c>
      <c r="G24" s="62">
        <v>45658</v>
      </c>
      <c r="H24" s="45" t="s">
        <v>74</v>
      </c>
      <c r="I24" s="44" t="s">
        <v>75</v>
      </c>
      <c r="J24" s="44" t="s">
        <v>76</v>
      </c>
      <c r="K24" s="63">
        <v>105</v>
      </c>
      <c r="L24" s="50" t="s">
        <v>306</v>
      </c>
      <c r="M24" s="51" t="s">
        <v>307</v>
      </c>
      <c r="N24">
        <v>20411454</v>
      </c>
      <c r="O24" t="s">
        <v>315</v>
      </c>
    </row>
    <row r="25" spans="1:15" ht="15" customHeight="1" x14ac:dyDescent="0.2">
      <c r="A25" s="23">
        <v>443286</v>
      </c>
      <c r="B25" s="48" t="str">
        <f t="shared" si="0"/>
        <v>4432861</v>
      </c>
      <c r="C25" s="61">
        <v>16633294</v>
      </c>
      <c r="D25" s="44" t="s">
        <v>127</v>
      </c>
      <c r="E25" s="44" t="s">
        <v>73</v>
      </c>
      <c r="F25" s="44" t="s">
        <v>92</v>
      </c>
      <c r="G25" s="62">
        <v>45658</v>
      </c>
      <c r="H25" s="45" t="s">
        <v>74</v>
      </c>
      <c r="I25" s="44" t="s">
        <v>75</v>
      </c>
      <c r="J25" s="44" t="s">
        <v>76</v>
      </c>
      <c r="K25" s="63">
        <v>105</v>
      </c>
      <c r="L25" s="50" t="s">
        <v>306</v>
      </c>
      <c r="M25" s="51" t="s">
        <v>307</v>
      </c>
      <c r="N25">
        <v>20411454</v>
      </c>
      <c r="O25" t="s">
        <v>315</v>
      </c>
    </row>
    <row r="26" spans="1:15" ht="15" customHeight="1" x14ac:dyDescent="0.2">
      <c r="A26" s="23">
        <v>443292</v>
      </c>
      <c r="B26" s="48" t="str">
        <f t="shared" si="0"/>
        <v>4432921</v>
      </c>
      <c r="C26" s="61">
        <v>16633294</v>
      </c>
      <c r="D26" s="44" t="s">
        <v>128</v>
      </c>
      <c r="E26" s="44" t="s">
        <v>73</v>
      </c>
      <c r="F26" s="44" t="s">
        <v>92</v>
      </c>
      <c r="G26" s="62">
        <v>45658</v>
      </c>
      <c r="H26" s="45" t="s">
        <v>74</v>
      </c>
      <c r="I26" s="44" t="s">
        <v>75</v>
      </c>
      <c r="J26" s="44" t="s">
        <v>76</v>
      </c>
      <c r="K26" s="63">
        <v>105</v>
      </c>
      <c r="L26" s="50" t="s">
        <v>306</v>
      </c>
      <c r="M26" s="51" t="s">
        <v>307</v>
      </c>
      <c r="N26">
        <v>20411454</v>
      </c>
      <c r="O26" t="s">
        <v>315</v>
      </c>
    </row>
    <row r="27" spans="1:15" ht="15" customHeight="1" x14ac:dyDescent="0.2">
      <c r="A27" s="23">
        <v>444212</v>
      </c>
      <c r="B27" s="48" t="str">
        <f t="shared" si="0"/>
        <v>4442121</v>
      </c>
      <c r="C27" s="61">
        <v>16633294</v>
      </c>
      <c r="D27" s="44" t="s">
        <v>129</v>
      </c>
      <c r="E27" s="44" t="s">
        <v>73</v>
      </c>
      <c r="F27" s="44" t="s">
        <v>92</v>
      </c>
      <c r="G27" s="62">
        <v>45658</v>
      </c>
      <c r="H27" s="45" t="s">
        <v>74</v>
      </c>
      <c r="I27" s="44" t="s">
        <v>75</v>
      </c>
      <c r="J27" s="44" t="s">
        <v>76</v>
      </c>
      <c r="K27" s="63">
        <v>105</v>
      </c>
      <c r="L27" s="50" t="s">
        <v>306</v>
      </c>
      <c r="M27" s="51" t="s">
        <v>307</v>
      </c>
      <c r="N27">
        <v>20411454</v>
      </c>
      <c r="O27" t="s">
        <v>315</v>
      </c>
    </row>
    <row r="28" spans="1:15" ht="15" customHeight="1" x14ac:dyDescent="0.2">
      <c r="A28" s="23">
        <v>443209</v>
      </c>
      <c r="B28" s="48" t="str">
        <f t="shared" si="0"/>
        <v>4432091</v>
      </c>
      <c r="C28" s="61">
        <v>16633294</v>
      </c>
      <c r="D28" s="44" t="s">
        <v>130</v>
      </c>
      <c r="E28" s="44" t="s">
        <v>73</v>
      </c>
      <c r="F28" s="44" t="s">
        <v>92</v>
      </c>
      <c r="G28" s="62">
        <v>45658</v>
      </c>
      <c r="H28" s="45" t="s">
        <v>74</v>
      </c>
      <c r="I28" s="44" t="s">
        <v>75</v>
      </c>
      <c r="J28" s="44" t="s">
        <v>76</v>
      </c>
      <c r="K28" s="63">
        <v>105</v>
      </c>
      <c r="L28" s="50" t="s">
        <v>306</v>
      </c>
      <c r="M28" s="51" t="s">
        <v>307</v>
      </c>
      <c r="N28">
        <v>20411454</v>
      </c>
      <c r="O28" t="s">
        <v>315</v>
      </c>
    </row>
    <row r="29" spans="1:15" ht="15" customHeight="1" x14ac:dyDescent="0.2">
      <c r="A29" s="23">
        <v>440990</v>
      </c>
      <c r="B29" s="48" t="str">
        <f t="shared" si="0"/>
        <v>4409901</v>
      </c>
      <c r="C29" s="61">
        <v>16633294</v>
      </c>
      <c r="D29" s="44" t="s">
        <v>131</v>
      </c>
      <c r="E29" s="44" t="s">
        <v>73</v>
      </c>
      <c r="F29" s="44" t="s">
        <v>92</v>
      </c>
      <c r="G29" s="62">
        <v>45658</v>
      </c>
      <c r="H29" s="45" t="s">
        <v>74</v>
      </c>
      <c r="I29" s="44" t="s">
        <v>75</v>
      </c>
      <c r="J29" s="44" t="s">
        <v>76</v>
      </c>
      <c r="K29" s="63">
        <v>105</v>
      </c>
      <c r="L29" s="50" t="s">
        <v>306</v>
      </c>
      <c r="M29" s="51" t="s">
        <v>307</v>
      </c>
      <c r="N29">
        <v>20411454</v>
      </c>
      <c r="O29" t="s">
        <v>315</v>
      </c>
    </row>
    <row r="30" spans="1:15" ht="15" customHeight="1" x14ac:dyDescent="0.2">
      <c r="A30" s="23">
        <v>445753</v>
      </c>
      <c r="B30" s="48" t="str">
        <f t="shared" si="0"/>
        <v>4457531</v>
      </c>
      <c r="C30" s="61">
        <v>16633294</v>
      </c>
      <c r="D30" s="44" t="s">
        <v>132</v>
      </c>
      <c r="E30" s="44" t="s">
        <v>73</v>
      </c>
      <c r="F30" s="44" t="s">
        <v>92</v>
      </c>
      <c r="G30" s="62">
        <v>45658</v>
      </c>
      <c r="H30" s="45" t="s">
        <v>74</v>
      </c>
      <c r="I30" s="44" t="s">
        <v>75</v>
      </c>
      <c r="J30" s="44" t="s">
        <v>76</v>
      </c>
      <c r="K30" s="63">
        <v>105</v>
      </c>
      <c r="L30" s="50" t="s">
        <v>306</v>
      </c>
      <c r="M30" s="51" t="s">
        <v>307</v>
      </c>
      <c r="N30">
        <v>20411454</v>
      </c>
      <c r="O30" t="s">
        <v>315</v>
      </c>
    </row>
    <row r="31" spans="1:15" ht="15" customHeight="1" x14ac:dyDescent="0.2">
      <c r="A31" s="23">
        <v>446673</v>
      </c>
      <c r="B31" s="48" t="str">
        <f t="shared" si="0"/>
        <v>4466731</v>
      </c>
      <c r="C31" s="61">
        <v>16633294</v>
      </c>
      <c r="D31" s="44" t="s">
        <v>133</v>
      </c>
      <c r="E31" s="44" t="s">
        <v>73</v>
      </c>
      <c r="F31" s="44" t="s">
        <v>92</v>
      </c>
      <c r="G31" s="62">
        <v>45658</v>
      </c>
      <c r="H31" s="45" t="s">
        <v>74</v>
      </c>
      <c r="I31" s="44" t="s">
        <v>75</v>
      </c>
      <c r="J31" s="44" t="s">
        <v>76</v>
      </c>
      <c r="K31" s="63">
        <v>105</v>
      </c>
      <c r="L31" s="50" t="s">
        <v>306</v>
      </c>
      <c r="M31" s="51" t="s">
        <v>307</v>
      </c>
      <c r="N31">
        <v>20411454</v>
      </c>
      <c r="O31" t="s">
        <v>315</v>
      </c>
    </row>
    <row r="32" spans="1:15" ht="15" customHeight="1" x14ac:dyDescent="0.2">
      <c r="A32" s="23">
        <v>446121</v>
      </c>
      <c r="B32" s="48" t="str">
        <f t="shared" si="0"/>
        <v>4461211</v>
      </c>
      <c r="C32" s="61">
        <v>16633294</v>
      </c>
      <c r="D32" s="44" t="s">
        <v>134</v>
      </c>
      <c r="E32" s="44" t="s">
        <v>73</v>
      </c>
      <c r="F32" s="44" t="s">
        <v>92</v>
      </c>
      <c r="G32" s="62">
        <v>45658</v>
      </c>
      <c r="H32" s="45" t="s">
        <v>74</v>
      </c>
      <c r="I32" s="44" t="s">
        <v>75</v>
      </c>
      <c r="J32" s="44" t="s">
        <v>76</v>
      </c>
      <c r="K32" s="63">
        <v>105</v>
      </c>
      <c r="L32" s="50" t="s">
        <v>306</v>
      </c>
      <c r="M32" s="51" t="s">
        <v>307</v>
      </c>
      <c r="N32">
        <v>20411454</v>
      </c>
      <c r="O32" t="s">
        <v>315</v>
      </c>
    </row>
    <row r="33" spans="1:16" ht="15" customHeight="1" x14ac:dyDescent="0.2">
      <c r="A33" s="23">
        <v>447931</v>
      </c>
      <c r="B33" s="48" t="str">
        <f t="shared" si="0"/>
        <v>4479311</v>
      </c>
      <c r="C33" s="61">
        <v>16633294</v>
      </c>
      <c r="D33" s="44" t="s">
        <v>135</v>
      </c>
      <c r="E33" s="44" t="s">
        <v>73</v>
      </c>
      <c r="F33" s="44" t="s">
        <v>92</v>
      </c>
      <c r="G33" s="62">
        <v>45658</v>
      </c>
      <c r="H33" s="45" t="s">
        <v>74</v>
      </c>
      <c r="I33" s="44" t="s">
        <v>75</v>
      </c>
      <c r="J33" s="44" t="s">
        <v>76</v>
      </c>
      <c r="K33" s="63">
        <v>105</v>
      </c>
      <c r="L33" s="50" t="s">
        <v>306</v>
      </c>
      <c r="M33" s="51" t="s">
        <v>307</v>
      </c>
      <c r="N33">
        <v>20411454</v>
      </c>
      <c r="O33" t="s">
        <v>315</v>
      </c>
    </row>
    <row r="34" spans="1:16" ht="15" customHeight="1" x14ac:dyDescent="0.2">
      <c r="A34" s="23">
        <v>443229</v>
      </c>
      <c r="B34" s="48" t="str">
        <f t="shared" si="0"/>
        <v>4432291</v>
      </c>
      <c r="C34" s="61">
        <v>16633294</v>
      </c>
      <c r="D34" s="44" t="s">
        <v>136</v>
      </c>
      <c r="E34" s="44" t="s">
        <v>73</v>
      </c>
      <c r="F34" s="44" t="s">
        <v>92</v>
      </c>
      <c r="G34" s="62">
        <v>45658</v>
      </c>
      <c r="H34" s="45" t="s">
        <v>74</v>
      </c>
      <c r="I34" s="44" t="s">
        <v>75</v>
      </c>
      <c r="J34" s="44" t="s">
        <v>76</v>
      </c>
      <c r="K34" s="63">
        <v>105</v>
      </c>
      <c r="L34" s="50" t="s">
        <v>306</v>
      </c>
      <c r="M34" s="51" t="s">
        <v>307</v>
      </c>
      <c r="N34">
        <v>20411454</v>
      </c>
      <c r="O34" t="s">
        <v>315</v>
      </c>
    </row>
    <row r="35" spans="1:16" ht="15" customHeight="1" x14ac:dyDescent="0.2">
      <c r="A35" s="23">
        <v>443227</v>
      </c>
      <c r="B35" s="48" t="str">
        <f t="shared" si="0"/>
        <v>4432271</v>
      </c>
      <c r="C35" s="61">
        <v>16633294</v>
      </c>
      <c r="D35" s="44" t="s">
        <v>137</v>
      </c>
      <c r="E35" s="44" t="s">
        <v>73</v>
      </c>
      <c r="F35" s="44" t="s">
        <v>92</v>
      </c>
      <c r="G35" s="62">
        <v>45658</v>
      </c>
      <c r="H35" s="45" t="s">
        <v>74</v>
      </c>
      <c r="I35" s="44" t="s">
        <v>75</v>
      </c>
      <c r="J35" s="44" t="s">
        <v>76</v>
      </c>
      <c r="K35" s="63">
        <v>105</v>
      </c>
      <c r="L35" s="50" t="s">
        <v>306</v>
      </c>
      <c r="M35" s="51" t="s">
        <v>307</v>
      </c>
      <c r="N35">
        <v>20411454</v>
      </c>
      <c r="O35" t="s">
        <v>315</v>
      </c>
    </row>
    <row r="36" spans="1:16" ht="15" customHeight="1" x14ac:dyDescent="0.2">
      <c r="A36" s="23">
        <v>448301</v>
      </c>
      <c r="B36" s="48" t="str">
        <f t="shared" si="0"/>
        <v>4483011</v>
      </c>
      <c r="C36" s="61">
        <v>16633294</v>
      </c>
      <c r="D36" s="44" t="s">
        <v>138</v>
      </c>
      <c r="E36" s="44" t="s">
        <v>73</v>
      </c>
      <c r="F36" s="44" t="s">
        <v>92</v>
      </c>
      <c r="G36" s="62">
        <v>45658</v>
      </c>
      <c r="H36" s="45" t="s">
        <v>74</v>
      </c>
      <c r="I36" s="44" t="s">
        <v>95</v>
      </c>
      <c r="J36" s="44" t="s">
        <v>76</v>
      </c>
      <c r="K36" s="63">
        <v>210</v>
      </c>
      <c r="L36" s="50" t="s">
        <v>306</v>
      </c>
      <c r="M36" s="51" t="s">
        <v>307</v>
      </c>
      <c r="N36">
        <v>20411454</v>
      </c>
      <c r="O36" t="s">
        <v>315</v>
      </c>
    </row>
    <row r="37" spans="1:16" ht="15" customHeight="1" x14ac:dyDescent="0.2">
      <c r="A37" s="23">
        <v>439729</v>
      </c>
      <c r="B37" s="48" t="str">
        <f t="shared" si="0"/>
        <v>4397291</v>
      </c>
      <c r="C37" s="61">
        <v>16633294</v>
      </c>
      <c r="D37" s="44" t="s">
        <v>139</v>
      </c>
      <c r="E37" s="44" t="s">
        <v>73</v>
      </c>
      <c r="F37" s="44" t="s">
        <v>140</v>
      </c>
      <c r="G37" s="62">
        <v>45597</v>
      </c>
      <c r="H37" s="45" t="s">
        <v>141</v>
      </c>
      <c r="I37" s="44" t="s">
        <v>95</v>
      </c>
      <c r="J37" s="44" t="s">
        <v>76</v>
      </c>
      <c r="K37" s="63">
        <v>470</v>
      </c>
      <c r="L37" s="50" t="s">
        <v>306</v>
      </c>
      <c r="M37" s="51" t="s">
        <v>307</v>
      </c>
      <c r="N37">
        <v>20411454</v>
      </c>
      <c r="O37" t="s">
        <v>315</v>
      </c>
    </row>
    <row r="38" spans="1:16" ht="15" customHeight="1" x14ac:dyDescent="0.2">
      <c r="A38" s="23">
        <v>439729</v>
      </c>
      <c r="B38" s="48" t="str">
        <f t="shared" si="0"/>
        <v>4397291</v>
      </c>
      <c r="C38" s="61">
        <v>16633294</v>
      </c>
      <c r="D38" s="44" t="s">
        <v>139</v>
      </c>
      <c r="E38" s="44" t="s">
        <v>73</v>
      </c>
      <c r="F38" s="44" t="s">
        <v>140</v>
      </c>
      <c r="G38" s="62">
        <v>45597</v>
      </c>
      <c r="H38" s="45" t="s">
        <v>74</v>
      </c>
      <c r="I38" s="44" t="s">
        <v>144</v>
      </c>
      <c r="J38" s="44" t="s">
        <v>76</v>
      </c>
      <c r="K38" s="63">
        <v>8.75</v>
      </c>
      <c r="L38" s="50" t="s">
        <v>306</v>
      </c>
      <c r="M38" s="51" t="s">
        <v>307</v>
      </c>
      <c r="N38">
        <v>20411454</v>
      </c>
      <c r="O38" t="s">
        <v>315</v>
      </c>
    </row>
    <row r="39" spans="1:16" ht="15" customHeight="1" x14ac:dyDescent="0.2">
      <c r="A39" s="31">
        <v>439729</v>
      </c>
      <c r="B39" s="48" t="str">
        <f>CONCATENATE(A39,2)</f>
        <v>4397292</v>
      </c>
      <c r="C39" s="64">
        <v>16633294</v>
      </c>
      <c r="D39" s="53" t="s">
        <v>212</v>
      </c>
      <c r="E39" s="44" t="s">
        <v>191</v>
      </c>
      <c r="F39" s="3" t="s">
        <v>218</v>
      </c>
      <c r="G39" s="68">
        <v>45597</v>
      </c>
      <c r="H39" s="45" t="s">
        <v>193</v>
      </c>
      <c r="I39" s="44" t="s">
        <v>219</v>
      </c>
      <c r="J39" s="44"/>
      <c r="K39" s="66">
        <v>26.08</v>
      </c>
      <c r="L39" s="51" t="s">
        <v>306</v>
      </c>
      <c r="M39" s="51" t="s">
        <v>306</v>
      </c>
      <c r="N39">
        <v>16633294</v>
      </c>
      <c r="O39" t="s">
        <v>308</v>
      </c>
      <c r="P39" t="s">
        <v>311</v>
      </c>
    </row>
    <row r="40" spans="1:16" ht="15" customHeight="1" x14ac:dyDescent="0.2">
      <c r="A40" s="48">
        <v>445324</v>
      </c>
      <c r="B40" s="48" t="str">
        <f t="shared" ref="B40:B67" si="1">CONCATENATE(A40,2)</f>
        <v>4453242</v>
      </c>
      <c r="C40" s="54">
        <v>8325282</v>
      </c>
      <c r="D40" s="52" t="s">
        <v>161</v>
      </c>
      <c r="E40" s="52" t="s">
        <v>31</v>
      </c>
      <c r="F40" s="52" t="s">
        <v>32</v>
      </c>
      <c r="G40" s="55">
        <v>45658</v>
      </c>
      <c r="H40" s="52" t="s">
        <v>33</v>
      </c>
      <c r="I40" s="52" t="s">
        <v>34</v>
      </c>
      <c r="J40" s="52" t="s">
        <v>35</v>
      </c>
      <c r="K40" s="56">
        <v>313</v>
      </c>
      <c r="L40" s="50" t="s">
        <v>298</v>
      </c>
      <c r="M40" s="50" t="s">
        <v>298</v>
      </c>
      <c r="N40">
        <v>8325282</v>
      </c>
      <c r="O40" t="s">
        <v>308</v>
      </c>
      <c r="P40" s="51" t="s">
        <v>312</v>
      </c>
    </row>
    <row r="41" spans="1:16" ht="15" customHeight="1" x14ac:dyDescent="0.2">
      <c r="A41" s="15">
        <v>443223</v>
      </c>
      <c r="B41" s="48" t="str">
        <f t="shared" si="1"/>
        <v>4432232</v>
      </c>
      <c r="C41" s="57">
        <v>2158366</v>
      </c>
      <c r="D41" s="44" t="s">
        <v>51</v>
      </c>
      <c r="E41" s="42" t="s">
        <v>52</v>
      </c>
      <c r="F41" s="44" t="s">
        <v>53</v>
      </c>
      <c r="G41" s="58">
        <v>45658</v>
      </c>
      <c r="H41" s="45" t="s">
        <v>54</v>
      </c>
      <c r="I41" s="44" t="s">
        <v>55</v>
      </c>
      <c r="J41" s="44" t="s">
        <v>56</v>
      </c>
      <c r="K41" s="59">
        <v>313</v>
      </c>
      <c r="L41" s="49" t="s">
        <v>299</v>
      </c>
      <c r="M41" s="49" t="s">
        <v>299</v>
      </c>
      <c r="N41">
        <v>2158366</v>
      </c>
      <c r="O41" t="s">
        <v>308</v>
      </c>
      <c r="P41" s="51" t="s">
        <v>312</v>
      </c>
    </row>
    <row r="42" spans="1:16" ht="15" customHeight="1" x14ac:dyDescent="0.2">
      <c r="A42" s="15">
        <v>439384</v>
      </c>
      <c r="B42" s="48" t="str">
        <f t="shared" si="1"/>
        <v>4393842</v>
      </c>
      <c r="C42" s="57">
        <v>2158366</v>
      </c>
      <c r="D42" s="44" t="s">
        <v>57</v>
      </c>
      <c r="E42" s="42" t="s">
        <v>52</v>
      </c>
      <c r="F42" s="44" t="s">
        <v>53</v>
      </c>
      <c r="G42" s="60">
        <v>45658</v>
      </c>
      <c r="H42" s="45" t="s">
        <v>54</v>
      </c>
      <c r="I42" s="44" t="s">
        <v>58</v>
      </c>
      <c r="J42" s="44" t="s">
        <v>59</v>
      </c>
      <c r="K42" s="59">
        <v>313</v>
      </c>
      <c r="L42" s="49" t="s">
        <v>299</v>
      </c>
      <c r="M42" s="49" t="s">
        <v>299</v>
      </c>
      <c r="N42">
        <v>2158366</v>
      </c>
      <c r="O42" t="s">
        <v>308</v>
      </c>
      <c r="P42" s="51" t="s">
        <v>312</v>
      </c>
    </row>
    <row r="43" spans="1:16" ht="15" customHeight="1" x14ac:dyDescent="0.2">
      <c r="A43" s="27">
        <v>439383</v>
      </c>
      <c r="B43" s="48" t="str">
        <f t="shared" si="1"/>
        <v>4393832</v>
      </c>
      <c r="C43" s="57">
        <v>2158366</v>
      </c>
      <c r="D43" s="44" t="s">
        <v>60</v>
      </c>
      <c r="E43" s="42" t="s">
        <v>52</v>
      </c>
      <c r="F43" s="44" t="s">
        <v>53</v>
      </c>
      <c r="G43" s="58">
        <v>45658</v>
      </c>
      <c r="H43" s="45" t="s">
        <v>61</v>
      </c>
      <c r="I43" s="44" t="s">
        <v>58</v>
      </c>
      <c r="J43" s="44" t="s">
        <v>59</v>
      </c>
      <c r="K43" s="59">
        <v>313</v>
      </c>
      <c r="L43" s="49" t="s">
        <v>299</v>
      </c>
      <c r="M43" s="49" t="s">
        <v>299</v>
      </c>
      <c r="N43">
        <v>2158366</v>
      </c>
      <c r="O43" t="s">
        <v>308</v>
      </c>
      <c r="P43" s="51" t="s">
        <v>312</v>
      </c>
    </row>
    <row r="44" spans="1:16" ht="15" customHeight="1" x14ac:dyDescent="0.2">
      <c r="A44" s="15">
        <v>444121</v>
      </c>
      <c r="B44" s="48" t="str">
        <f t="shared" si="1"/>
        <v>4441212</v>
      </c>
      <c r="C44" s="57">
        <v>2158366</v>
      </c>
      <c r="D44" s="44" t="s">
        <v>62</v>
      </c>
      <c r="E44" s="42" t="s">
        <v>52</v>
      </c>
      <c r="F44" s="44" t="s">
        <v>53</v>
      </c>
      <c r="G44" s="58">
        <v>45658</v>
      </c>
      <c r="H44" s="45" t="s">
        <v>54</v>
      </c>
      <c r="I44" s="44" t="s">
        <v>55</v>
      </c>
      <c r="J44" s="44" t="s">
        <v>56</v>
      </c>
      <c r="K44" s="59">
        <v>313</v>
      </c>
      <c r="L44" s="49" t="s">
        <v>299</v>
      </c>
      <c r="M44" s="49" t="s">
        <v>299</v>
      </c>
      <c r="N44">
        <v>2158366</v>
      </c>
      <c r="O44" t="s">
        <v>308</v>
      </c>
      <c r="P44" s="51" t="s">
        <v>312</v>
      </c>
    </row>
    <row r="45" spans="1:16" ht="15" customHeight="1" x14ac:dyDescent="0.2">
      <c r="A45" s="15">
        <v>442876</v>
      </c>
      <c r="B45" s="48" t="str">
        <f t="shared" si="1"/>
        <v>4428762</v>
      </c>
      <c r="C45" s="57">
        <v>2158366</v>
      </c>
      <c r="D45" s="44" t="s">
        <v>63</v>
      </c>
      <c r="E45" s="42" t="s">
        <v>52</v>
      </c>
      <c r="F45" s="44" t="s">
        <v>53</v>
      </c>
      <c r="G45" s="60">
        <v>45658</v>
      </c>
      <c r="H45" s="45" t="s">
        <v>54</v>
      </c>
      <c r="I45" s="44" t="s">
        <v>55</v>
      </c>
      <c r="J45" s="44" t="s">
        <v>56</v>
      </c>
      <c r="K45" s="59">
        <v>313</v>
      </c>
      <c r="L45" s="49" t="s">
        <v>299</v>
      </c>
      <c r="M45" s="49" t="s">
        <v>299</v>
      </c>
      <c r="N45">
        <v>2158366</v>
      </c>
      <c r="O45" t="s">
        <v>308</v>
      </c>
      <c r="P45" s="51" t="s">
        <v>312</v>
      </c>
    </row>
    <row r="46" spans="1:16" ht="15" customHeight="1" x14ac:dyDescent="0.2">
      <c r="A46" s="23">
        <v>445359</v>
      </c>
      <c r="B46" s="48" t="str">
        <f t="shared" si="1"/>
        <v>4453592</v>
      </c>
      <c r="C46" s="61">
        <v>19681796</v>
      </c>
      <c r="D46" s="44" t="s">
        <v>72</v>
      </c>
      <c r="E46" s="44" t="s">
        <v>73</v>
      </c>
      <c r="F46" s="52" t="s">
        <v>32</v>
      </c>
      <c r="G46" s="62">
        <v>45658</v>
      </c>
      <c r="H46" s="45" t="s">
        <v>74</v>
      </c>
      <c r="I46" s="44" t="s">
        <v>75</v>
      </c>
      <c r="J46" s="44" t="s">
        <v>76</v>
      </c>
      <c r="K46" s="63">
        <v>313</v>
      </c>
      <c r="L46" s="49" t="s">
        <v>300</v>
      </c>
      <c r="M46" s="49" t="s">
        <v>300</v>
      </c>
      <c r="N46">
        <v>19681796</v>
      </c>
      <c r="O46" t="s">
        <v>308</v>
      </c>
      <c r="P46" s="51" t="s">
        <v>312</v>
      </c>
    </row>
    <row r="47" spans="1:16" ht="15" customHeight="1" x14ac:dyDescent="0.2">
      <c r="A47" s="23">
        <v>445779</v>
      </c>
      <c r="B47" s="48" t="str">
        <f t="shared" si="1"/>
        <v>4457792</v>
      </c>
      <c r="C47" s="61">
        <v>19645587</v>
      </c>
      <c r="D47" s="44" t="s">
        <v>91</v>
      </c>
      <c r="E47" s="44" t="s">
        <v>73</v>
      </c>
      <c r="F47" s="44" t="s">
        <v>92</v>
      </c>
      <c r="G47" s="62">
        <v>45658</v>
      </c>
      <c r="H47" s="45" t="s">
        <v>74</v>
      </c>
      <c r="I47" s="44" t="s">
        <v>75</v>
      </c>
      <c r="J47" s="44" t="s">
        <v>76</v>
      </c>
      <c r="K47" s="63">
        <v>313</v>
      </c>
      <c r="L47" s="50" t="s">
        <v>301</v>
      </c>
      <c r="M47" s="50" t="s">
        <v>301</v>
      </c>
      <c r="N47">
        <v>19645587</v>
      </c>
      <c r="O47" t="s">
        <v>308</v>
      </c>
      <c r="P47" s="51" t="s">
        <v>312</v>
      </c>
    </row>
    <row r="48" spans="1:16" ht="15" customHeight="1" x14ac:dyDescent="0.2">
      <c r="A48" s="23">
        <v>439914</v>
      </c>
      <c r="B48" s="48" t="str">
        <f t="shared" si="1"/>
        <v>4399142</v>
      </c>
      <c r="C48" s="61">
        <v>19645587</v>
      </c>
      <c r="D48" s="44" t="s">
        <v>96</v>
      </c>
      <c r="E48" s="44" t="s">
        <v>73</v>
      </c>
      <c r="F48" s="44" t="s">
        <v>92</v>
      </c>
      <c r="G48" s="62">
        <v>45658</v>
      </c>
      <c r="H48" s="45" t="s">
        <v>74</v>
      </c>
      <c r="I48" s="44" t="s">
        <v>75</v>
      </c>
      <c r="J48" s="44" t="s">
        <v>76</v>
      </c>
      <c r="K48" s="63">
        <v>313</v>
      </c>
      <c r="L48" s="50" t="s">
        <v>301</v>
      </c>
      <c r="M48" s="50" t="s">
        <v>301</v>
      </c>
      <c r="N48">
        <v>19645587</v>
      </c>
      <c r="O48" t="s">
        <v>308</v>
      </c>
      <c r="P48" s="51" t="s">
        <v>312</v>
      </c>
    </row>
    <row r="49" spans="1:16" ht="15" customHeight="1" x14ac:dyDescent="0.2">
      <c r="A49" s="23">
        <v>444055</v>
      </c>
      <c r="B49" s="48" t="str">
        <f t="shared" si="1"/>
        <v>4440552</v>
      </c>
      <c r="C49" s="61">
        <v>19615078</v>
      </c>
      <c r="D49" s="44" t="s">
        <v>100</v>
      </c>
      <c r="E49" s="44" t="s">
        <v>73</v>
      </c>
      <c r="F49" s="52" t="s">
        <v>32</v>
      </c>
      <c r="G49" s="62">
        <v>45658</v>
      </c>
      <c r="H49" s="45" t="s">
        <v>74</v>
      </c>
      <c r="I49" s="44" t="s">
        <v>75</v>
      </c>
      <c r="J49" s="44" t="s">
        <v>76</v>
      </c>
      <c r="K49" s="63">
        <v>313</v>
      </c>
      <c r="L49" s="49" t="s">
        <v>302</v>
      </c>
      <c r="M49" s="49" t="s">
        <v>302</v>
      </c>
      <c r="N49">
        <v>19615078</v>
      </c>
      <c r="O49" t="s">
        <v>308</v>
      </c>
      <c r="P49" s="51" t="s">
        <v>312</v>
      </c>
    </row>
    <row r="50" spans="1:16" ht="15" customHeight="1" x14ac:dyDescent="0.2">
      <c r="A50" s="23">
        <v>445830</v>
      </c>
      <c r="B50" s="48" t="str">
        <f t="shared" si="1"/>
        <v>4458302</v>
      </c>
      <c r="C50" s="61">
        <v>19615078</v>
      </c>
      <c r="D50" s="44" t="s">
        <v>101</v>
      </c>
      <c r="E50" s="44" t="s">
        <v>73</v>
      </c>
      <c r="F50" s="52" t="s">
        <v>32</v>
      </c>
      <c r="G50" s="62">
        <v>45658</v>
      </c>
      <c r="H50" s="45" t="s">
        <v>74</v>
      </c>
      <c r="I50" s="44" t="s">
        <v>75</v>
      </c>
      <c r="J50" s="44" t="s">
        <v>76</v>
      </c>
      <c r="K50" s="63">
        <v>313</v>
      </c>
      <c r="L50" s="49" t="s">
        <v>302</v>
      </c>
      <c r="M50" s="49" t="s">
        <v>302</v>
      </c>
      <c r="N50">
        <v>19615078</v>
      </c>
      <c r="O50" t="s">
        <v>308</v>
      </c>
      <c r="P50" s="51" t="s">
        <v>312</v>
      </c>
    </row>
    <row r="51" spans="1:16" ht="15" customHeight="1" x14ac:dyDescent="0.2">
      <c r="A51" s="23">
        <v>443966</v>
      </c>
      <c r="B51" s="48" t="str">
        <f t="shared" si="1"/>
        <v>4439662</v>
      </c>
      <c r="C51" s="61">
        <v>19481808</v>
      </c>
      <c r="D51" s="44" t="s">
        <v>105</v>
      </c>
      <c r="E51" s="45" t="s">
        <v>106</v>
      </c>
      <c r="F51" s="52" t="s">
        <v>32</v>
      </c>
      <c r="G51" s="62">
        <v>45658</v>
      </c>
      <c r="H51" s="45" t="s">
        <v>74</v>
      </c>
      <c r="I51" s="44" t="s">
        <v>75</v>
      </c>
      <c r="J51" s="44" t="s">
        <v>76</v>
      </c>
      <c r="K51" s="63">
        <v>313</v>
      </c>
      <c r="L51" s="49" t="s">
        <v>303</v>
      </c>
      <c r="M51" s="49" t="s">
        <v>303</v>
      </c>
      <c r="N51">
        <v>19481808</v>
      </c>
      <c r="O51" t="s">
        <v>308</v>
      </c>
      <c r="P51" s="51" t="s">
        <v>312</v>
      </c>
    </row>
    <row r="52" spans="1:16" ht="15" customHeight="1" x14ac:dyDescent="0.2">
      <c r="A52" s="23">
        <v>446535</v>
      </c>
      <c r="B52" s="48" t="str">
        <f t="shared" si="1"/>
        <v>4465352</v>
      </c>
      <c r="C52" s="61">
        <v>17301495</v>
      </c>
      <c r="D52" s="44" t="s">
        <v>114</v>
      </c>
      <c r="E52" s="44" t="s">
        <v>73</v>
      </c>
      <c r="F52" s="52" t="s">
        <v>32</v>
      </c>
      <c r="G52" s="62">
        <v>45658</v>
      </c>
      <c r="H52" s="45" t="s">
        <v>74</v>
      </c>
      <c r="I52" s="44" t="s">
        <v>75</v>
      </c>
      <c r="J52" s="44" t="s">
        <v>76</v>
      </c>
      <c r="K52" s="63">
        <v>313</v>
      </c>
      <c r="L52" s="50" t="s">
        <v>304</v>
      </c>
      <c r="M52" s="50" t="s">
        <v>304</v>
      </c>
      <c r="N52">
        <v>17301495</v>
      </c>
      <c r="O52" t="s">
        <v>308</v>
      </c>
      <c r="P52" s="51" t="s">
        <v>312</v>
      </c>
    </row>
    <row r="53" spans="1:16" ht="15" customHeight="1" x14ac:dyDescent="0.2">
      <c r="A53" s="31">
        <v>445336</v>
      </c>
      <c r="B53" s="48" t="str">
        <f t="shared" si="1"/>
        <v>4453362</v>
      </c>
      <c r="C53" s="64">
        <v>16633294</v>
      </c>
      <c r="D53" s="53" t="s">
        <v>190</v>
      </c>
      <c r="E53" s="44" t="s">
        <v>191</v>
      </c>
      <c r="F53" s="44" t="s">
        <v>192</v>
      </c>
      <c r="G53" s="65">
        <v>45658</v>
      </c>
      <c r="H53" s="45" t="s">
        <v>193</v>
      </c>
      <c r="I53" s="44" t="s">
        <v>194</v>
      </c>
      <c r="J53" s="44"/>
      <c r="K53" s="66">
        <v>313</v>
      </c>
      <c r="L53" s="51" t="s">
        <v>306</v>
      </c>
      <c r="M53" s="51" t="s">
        <v>306</v>
      </c>
      <c r="N53">
        <v>16633294</v>
      </c>
      <c r="O53" t="s">
        <v>308</v>
      </c>
      <c r="P53" s="51" t="s">
        <v>312</v>
      </c>
    </row>
    <row r="54" spans="1:16" ht="15" customHeight="1" x14ac:dyDescent="0.2">
      <c r="A54" s="31">
        <v>445462</v>
      </c>
      <c r="B54" s="48" t="str">
        <f t="shared" si="1"/>
        <v>4454622</v>
      </c>
      <c r="C54" s="64">
        <v>16633294</v>
      </c>
      <c r="D54" s="53" t="s">
        <v>196</v>
      </c>
      <c r="E54" s="44" t="s">
        <v>191</v>
      </c>
      <c r="F54" s="44" t="s">
        <v>192</v>
      </c>
      <c r="G54" s="65">
        <v>45658</v>
      </c>
      <c r="H54" s="45" t="s">
        <v>193</v>
      </c>
      <c r="I54" s="44" t="s">
        <v>194</v>
      </c>
      <c r="J54" s="44"/>
      <c r="K54" s="66">
        <v>313</v>
      </c>
      <c r="L54" s="51" t="s">
        <v>306</v>
      </c>
      <c r="M54" s="51" t="s">
        <v>306</v>
      </c>
      <c r="N54">
        <v>16633294</v>
      </c>
      <c r="O54" t="s">
        <v>308</v>
      </c>
      <c r="P54" s="51" t="s">
        <v>312</v>
      </c>
    </row>
    <row r="55" spans="1:16" ht="15" customHeight="1" x14ac:dyDescent="0.2">
      <c r="A55" s="31">
        <v>445463</v>
      </c>
      <c r="B55" s="48" t="str">
        <f t="shared" si="1"/>
        <v>4454632</v>
      </c>
      <c r="C55" s="64">
        <v>16633294</v>
      </c>
      <c r="D55" s="53" t="s">
        <v>197</v>
      </c>
      <c r="E55" s="44" t="s">
        <v>191</v>
      </c>
      <c r="F55" s="44" t="s">
        <v>192</v>
      </c>
      <c r="G55" s="65">
        <v>45658</v>
      </c>
      <c r="H55" s="45" t="s">
        <v>193</v>
      </c>
      <c r="I55" s="44" t="s">
        <v>194</v>
      </c>
      <c r="J55" s="44"/>
      <c r="K55" s="66">
        <v>313</v>
      </c>
      <c r="L55" s="51" t="s">
        <v>306</v>
      </c>
      <c r="M55" s="51" t="s">
        <v>306</v>
      </c>
      <c r="N55">
        <v>16633294</v>
      </c>
      <c r="O55" t="s">
        <v>308</v>
      </c>
      <c r="P55" s="51" t="s">
        <v>312</v>
      </c>
    </row>
    <row r="56" spans="1:16" ht="15" customHeight="1" x14ac:dyDescent="0.2">
      <c r="A56" s="31">
        <v>446217</v>
      </c>
      <c r="B56" s="48" t="str">
        <f t="shared" si="1"/>
        <v>4462172</v>
      </c>
      <c r="C56" s="64">
        <v>16633294</v>
      </c>
      <c r="D56" s="53" t="s">
        <v>198</v>
      </c>
      <c r="E56" s="44" t="s">
        <v>191</v>
      </c>
      <c r="F56" s="44" t="s">
        <v>192</v>
      </c>
      <c r="G56" s="65">
        <v>45658</v>
      </c>
      <c r="H56" s="45" t="s">
        <v>193</v>
      </c>
      <c r="I56" s="44" t="s">
        <v>194</v>
      </c>
      <c r="J56" s="44"/>
      <c r="K56" s="66">
        <v>313</v>
      </c>
      <c r="L56" s="51" t="s">
        <v>306</v>
      </c>
      <c r="M56" s="51" t="s">
        <v>306</v>
      </c>
      <c r="N56">
        <v>16633294</v>
      </c>
      <c r="O56" t="s">
        <v>308</v>
      </c>
      <c r="P56" s="51" t="s">
        <v>312</v>
      </c>
    </row>
    <row r="57" spans="1:16" ht="15" customHeight="1" x14ac:dyDescent="0.2">
      <c r="A57" s="31">
        <v>443292</v>
      </c>
      <c r="B57" s="48" t="str">
        <f t="shared" si="1"/>
        <v>4432922</v>
      </c>
      <c r="C57" s="64">
        <v>16633294</v>
      </c>
      <c r="D57" s="53" t="s">
        <v>199</v>
      </c>
      <c r="E57" s="44" t="s">
        <v>191</v>
      </c>
      <c r="F57" s="44" t="s">
        <v>192</v>
      </c>
      <c r="G57" s="65">
        <v>45658</v>
      </c>
      <c r="H57" s="45" t="s">
        <v>193</v>
      </c>
      <c r="I57" s="44" t="s">
        <v>194</v>
      </c>
      <c r="J57" s="44"/>
      <c r="K57" s="66">
        <v>313</v>
      </c>
      <c r="L57" s="51" t="s">
        <v>306</v>
      </c>
      <c r="M57" s="51" t="s">
        <v>306</v>
      </c>
      <c r="N57">
        <v>16633294</v>
      </c>
      <c r="O57" t="s">
        <v>308</v>
      </c>
      <c r="P57" s="51" t="s">
        <v>312</v>
      </c>
    </row>
    <row r="58" spans="1:16" ht="15" customHeight="1" x14ac:dyDescent="0.2">
      <c r="A58" s="31">
        <v>443286</v>
      </c>
      <c r="B58" s="48" t="str">
        <f t="shared" si="1"/>
        <v>4432862</v>
      </c>
      <c r="C58" s="64">
        <v>16633294</v>
      </c>
      <c r="D58" s="67" t="s">
        <v>200</v>
      </c>
      <c r="E58" s="44" t="s">
        <v>191</v>
      </c>
      <c r="F58" s="44" t="s">
        <v>192</v>
      </c>
      <c r="G58" s="65">
        <v>45658</v>
      </c>
      <c r="H58" s="45" t="s">
        <v>193</v>
      </c>
      <c r="I58" s="44" t="s">
        <v>194</v>
      </c>
      <c r="J58" s="44"/>
      <c r="K58" s="66">
        <v>313</v>
      </c>
      <c r="L58" s="51" t="s">
        <v>306</v>
      </c>
      <c r="M58" s="51" t="s">
        <v>306</v>
      </c>
      <c r="N58">
        <v>16633294</v>
      </c>
      <c r="O58" t="s">
        <v>308</v>
      </c>
      <c r="P58" s="51" t="s">
        <v>312</v>
      </c>
    </row>
    <row r="59" spans="1:16" ht="15" customHeight="1" x14ac:dyDescent="0.2">
      <c r="A59" s="31">
        <v>444212</v>
      </c>
      <c r="B59" s="48" t="str">
        <f t="shared" si="1"/>
        <v>4442122</v>
      </c>
      <c r="C59" s="64">
        <v>16633294</v>
      </c>
      <c r="D59" s="53" t="s">
        <v>201</v>
      </c>
      <c r="E59" s="44" t="s">
        <v>191</v>
      </c>
      <c r="F59" s="44" t="s">
        <v>192</v>
      </c>
      <c r="G59" s="65">
        <v>45658</v>
      </c>
      <c r="H59" s="45" t="s">
        <v>193</v>
      </c>
      <c r="I59" s="44" t="s">
        <v>194</v>
      </c>
      <c r="J59" s="44"/>
      <c r="K59" s="66">
        <v>313</v>
      </c>
      <c r="L59" s="51" t="s">
        <v>306</v>
      </c>
      <c r="M59" s="51" t="s">
        <v>306</v>
      </c>
      <c r="N59">
        <v>16633294</v>
      </c>
      <c r="O59" t="s">
        <v>308</v>
      </c>
      <c r="P59" s="51" t="s">
        <v>312</v>
      </c>
    </row>
    <row r="60" spans="1:16" ht="15" customHeight="1" x14ac:dyDescent="0.2">
      <c r="A60" s="31">
        <v>443209</v>
      </c>
      <c r="B60" s="48" t="str">
        <f t="shared" si="1"/>
        <v>4432092</v>
      </c>
      <c r="C60" s="64">
        <v>16633294</v>
      </c>
      <c r="D60" s="53" t="s">
        <v>202</v>
      </c>
      <c r="E60" s="44" t="s">
        <v>191</v>
      </c>
      <c r="F60" s="44" t="s">
        <v>192</v>
      </c>
      <c r="G60" s="65">
        <v>45658</v>
      </c>
      <c r="H60" s="45" t="s">
        <v>193</v>
      </c>
      <c r="I60" s="44" t="s">
        <v>194</v>
      </c>
      <c r="J60" s="44"/>
      <c r="K60" s="66">
        <v>313</v>
      </c>
      <c r="L60" s="51" t="s">
        <v>306</v>
      </c>
      <c r="M60" s="51" t="s">
        <v>306</v>
      </c>
      <c r="N60">
        <v>16633294</v>
      </c>
      <c r="O60" t="s">
        <v>308</v>
      </c>
      <c r="P60" s="51" t="s">
        <v>312</v>
      </c>
    </row>
    <row r="61" spans="1:16" ht="15" customHeight="1" x14ac:dyDescent="0.2">
      <c r="A61" s="31">
        <v>440990</v>
      </c>
      <c r="B61" s="48" t="str">
        <f t="shared" si="1"/>
        <v>4409902</v>
      </c>
      <c r="C61" s="64">
        <v>16633294</v>
      </c>
      <c r="D61" s="53" t="s">
        <v>203</v>
      </c>
      <c r="E61" s="44" t="s">
        <v>191</v>
      </c>
      <c r="F61" s="44" t="s">
        <v>192</v>
      </c>
      <c r="G61" s="65">
        <v>45658</v>
      </c>
      <c r="H61" s="45" t="s">
        <v>193</v>
      </c>
      <c r="I61" s="44" t="s">
        <v>194</v>
      </c>
      <c r="J61" s="44"/>
      <c r="K61" s="66">
        <v>313</v>
      </c>
      <c r="L61" s="51" t="s">
        <v>306</v>
      </c>
      <c r="M61" s="51" t="s">
        <v>306</v>
      </c>
      <c r="N61">
        <v>16633294</v>
      </c>
      <c r="O61" t="s">
        <v>308</v>
      </c>
      <c r="P61" s="51" t="s">
        <v>312</v>
      </c>
    </row>
    <row r="62" spans="1:16" ht="15" customHeight="1" x14ac:dyDescent="0.2">
      <c r="A62" s="31">
        <v>445753</v>
      </c>
      <c r="B62" s="48" t="str">
        <f t="shared" si="1"/>
        <v>4457532</v>
      </c>
      <c r="C62" s="64">
        <v>16633294</v>
      </c>
      <c r="D62" s="53" t="s">
        <v>204</v>
      </c>
      <c r="E62" s="44" t="s">
        <v>191</v>
      </c>
      <c r="F62" s="44" t="s">
        <v>192</v>
      </c>
      <c r="G62" s="65">
        <v>45658</v>
      </c>
      <c r="H62" s="45" t="s">
        <v>193</v>
      </c>
      <c r="I62" s="44" t="s">
        <v>194</v>
      </c>
      <c r="J62" s="44"/>
      <c r="K62" s="66">
        <v>313</v>
      </c>
      <c r="L62" s="51" t="s">
        <v>306</v>
      </c>
      <c r="M62" s="51" t="s">
        <v>306</v>
      </c>
      <c r="N62">
        <v>16633294</v>
      </c>
      <c r="O62" t="s">
        <v>308</v>
      </c>
      <c r="P62" s="51" t="s">
        <v>312</v>
      </c>
    </row>
    <row r="63" spans="1:16" ht="15" customHeight="1" x14ac:dyDescent="0.2">
      <c r="A63" s="31">
        <v>446673</v>
      </c>
      <c r="B63" s="48" t="str">
        <f t="shared" si="1"/>
        <v>4466732</v>
      </c>
      <c r="C63" s="64">
        <v>16633294</v>
      </c>
      <c r="D63" s="53" t="s">
        <v>205</v>
      </c>
      <c r="E63" s="44" t="s">
        <v>191</v>
      </c>
      <c r="F63" s="44" t="s">
        <v>192</v>
      </c>
      <c r="G63" s="65">
        <v>45658</v>
      </c>
      <c r="H63" s="45" t="s">
        <v>193</v>
      </c>
      <c r="I63" s="44" t="s">
        <v>194</v>
      </c>
      <c r="J63" s="44"/>
      <c r="K63" s="66">
        <v>313</v>
      </c>
      <c r="L63" s="51" t="s">
        <v>306</v>
      </c>
      <c r="M63" s="51" t="s">
        <v>306</v>
      </c>
      <c r="N63">
        <v>16633294</v>
      </c>
      <c r="O63" t="s">
        <v>308</v>
      </c>
      <c r="P63" s="51" t="s">
        <v>312</v>
      </c>
    </row>
    <row r="64" spans="1:16" ht="15" customHeight="1" x14ac:dyDescent="0.2">
      <c r="A64" s="31">
        <v>446121</v>
      </c>
      <c r="B64" s="48" t="str">
        <f t="shared" si="1"/>
        <v>4461212</v>
      </c>
      <c r="C64" s="64">
        <v>16633294</v>
      </c>
      <c r="D64" s="53" t="s">
        <v>206</v>
      </c>
      <c r="E64" s="44" t="s">
        <v>191</v>
      </c>
      <c r="F64" s="44" t="s">
        <v>192</v>
      </c>
      <c r="G64" s="65">
        <v>45658</v>
      </c>
      <c r="H64" s="45" t="s">
        <v>193</v>
      </c>
      <c r="I64" s="44" t="s">
        <v>194</v>
      </c>
      <c r="J64" s="44"/>
      <c r="K64" s="66">
        <v>313</v>
      </c>
      <c r="L64" s="51" t="s">
        <v>306</v>
      </c>
      <c r="M64" s="51" t="s">
        <v>306</v>
      </c>
      <c r="N64">
        <v>16633294</v>
      </c>
      <c r="O64" t="s">
        <v>308</v>
      </c>
      <c r="P64" s="51" t="s">
        <v>312</v>
      </c>
    </row>
    <row r="65" spans="1:16" ht="15" customHeight="1" x14ac:dyDescent="0.2">
      <c r="A65" s="31">
        <v>447931</v>
      </c>
      <c r="B65" s="48" t="str">
        <f t="shared" si="1"/>
        <v>4479312</v>
      </c>
      <c r="C65" s="64">
        <v>16633294</v>
      </c>
      <c r="D65" s="53" t="s">
        <v>207</v>
      </c>
      <c r="E65" s="44" t="s">
        <v>191</v>
      </c>
      <c r="F65" s="44" t="s">
        <v>192</v>
      </c>
      <c r="G65" s="65">
        <v>45658</v>
      </c>
      <c r="H65" s="45" t="s">
        <v>193</v>
      </c>
      <c r="I65" s="44" t="s">
        <v>194</v>
      </c>
      <c r="J65" s="44"/>
      <c r="K65" s="66">
        <v>313</v>
      </c>
      <c r="L65" s="51" t="s">
        <v>306</v>
      </c>
      <c r="M65" s="51" t="s">
        <v>306</v>
      </c>
      <c r="N65">
        <v>16633294</v>
      </c>
      <c r="O65" t="s">
        <v>308</v>
      </c>
      <c r="P65" s="51" t="s">
        <v>312</v>
      </c>
    </row>
    <row r="66" spans="1:16" ht="15" customHeight="1" x14ac:dyDescent="0.2">
      <c r="A66" s="31">
        <v>443227</v>
      </c>
      <c r="B66" s="48" t="str">
        <f t="shared" si="1"/>
        <v>4432272</v>
      </c>
      <c r="C66" s="64">
        <v>16633294</v>
      </c>
      <c r="D66" s="53" t="s">
        <v>208</v>
      </c>
      <c r="E66" s="44" t="s">
        <v>191</v>
      </c>
      <c r="F66" s="44" t="s">
        <v>192</v>
      </c>
      <c r="G66" s="65">
        <v>45658</v>
      </c>
      <c r="H66" s="45" t="s">
        <v>193</v>
      </c>
      <c r="I66" s="44" t="s">
        <v>194</v>
      </c>
      <c r="J66" s="44"/>
      <c r="K66" s="66">
        <v>313</v>
      </c>
      <c r="L66" s="51" t="s">
        <v>306</v>
      </c>
      <c r="M66" s="51" t="s">
        <v>306</v>
      </c>
      <c r="N66">
        <v>16633294</v>
      </c>
      <c r="O66" t="s">
        <v>308</v>
      </c>
      <c r="P66" s="51" t="s">
        <v>312</v>
      </c>
    </row>
    <row r="67" spans="1:16" ht="15" customHeight="1" x14ac:dyDescent="0.2">
      <c r="A67" s="31">
        <v>443229</v>
      </c>
      <c r="B67" s="48" t="str">
        <f t="shared" si="1"/>
        <v>4432292</v>
      </c>
      <c r="C67" s="64">
        <v>16633294</v>
      </c>
      <c r="D67" s="53" t="s">
        <v>209</v>
      </c>
      <c r="E67" s="44" t="s">
        <v>191</v>
      </c>
      <c r="F67" s="44" t="s">
        <v>192</v>
      </c>
      <c r="G67" s="65">
        <v>45658</v>
      </c>
      <c r="H67" s="45" t="s">
        <v>193</v>
      </c>
      <c r="I67" s="44" t="s">
        <v>194</v>
      </c>
      <c r="J67" s="44"/>
      <c r="K67" s="66">
        <v>313</v>
      </c>
      <c r="L67" s="51" t="s">
        <v>306</v>
      </c>
      <c r="M67" s="51" t="s">
        <v>306</v>
      </c>
      <c r="N67">
        <v>16633294</v>
      </c>
      <c r="O67" t="s">
        <v>308</v>
      </c>
      <c r="P67" s="51" t="s">
        <v>312</v>
      </c>
    </row>
    <row r="68" spans="1:16" ht="15" customHeight="1" x14ac:dyDescent="0.2">
      <c r="A68" s="31">
        <v>439729</v>
      </c>
      <c r="B68" s="64">
        <v>439729</v>
      </c>
      <c r="C68" s="64">
        <v>16633294</v>
      </c>
      <c r="D68" s="53" t="s">
        <v>212</v>
      </c>
      <c r="E68" s="44" t="s">
        <v>191</v>
      </c>
      <c r="F68" s="44" t="s">
        <v>213</v>
      </c>
      <c r="G68" s="65">
        <v>45597</v>
      </c>
      <c r="H68" s="45" t="s">
        <v>214</v>
      </c>
      <c r="I68" s="44" t="s">
        <v>211</v>
      </c>
      <c r="J68" s="44"/>
      <c r="K68" s="66">
        <v>611</v>
      </c>
      <c r="L68" s="51" t="s">
        <v>306</v>
      </c>
      <c r="M68" s="51" t="s">
        <v>306</v>
      </c>
      <c r="N68">
        <v>16633294</v>
      </c>
      <c r="O68" t="s">
        <v>310</v>
      </c>
      <c r="P68" s="51" t="s">
        <v>314</v>
      </c>
    </row>
    <row r="69" spans="1:16" ht="15" customHeight="1" x14ac:dyDescent="0.2">
      <c r="A69" s="15">
        <v>445341</v>
      </c>
      <c r="B69" s="48" t="str">
        <f>CONCATENATE(A69,3)</f>
        <v>4453413</v>
      </c>
      <c r="C69" s="57">
        <v>2158366</v>
      </c>
      <c r="D69" s="44" t="s">
        <v>64</v>
      </c>
      <c r="E69" s="42" t="s">
        <v>52</v>
      </c>
      <c r="F69" s="44" t="s">
        <v>65</v>
      </c>
      <c r="G69" s="58">
        <v>45658</v>
      </c>
      <c r="H69" s="45" t="s">
        <v>54</v>
      </c>
      <c r="I69" s="44" t="s">
        <v>66</v>
      </c>
      <c r="J69" s="44" t="s">
        <v>59</v>
      </c>
      <c r="K69" s="59">
        <v>626</v>
      </c>
      <c r="L69" s="49" t="s">
        <v>299</v>
      </c>
      <c r="M69" s="49" t="s">
        <v>299</v>
      </c>
      <c r="N69">
        <v>2158366</v>
      </c>
      <c r="O69" t="s">
        <v>309</v>
      </c>
      <c r="P69" s="51" t="s">
        <v>313</v>
      </c>
    </row>
    <row r="70" spans="1:16" ht="15" customHeight="1" x14ac:dyDescent="0.2">
      <c r="A70" s="23">
        <v>448295</v>
      </c>
      <c r="B70" s="48" t="str">
        <f t="shared" ref="B70:B75" si="2">CONCATENATE(A70,3)</f>
        <v>4482953</v>
      </c>
      <c r="C70" s="61">
        <v>19645587</v>
      </c>
      <c r="D70" s="44" t="s">
        <v>93</v>
      </c>
      <c r="E70" s="44" t="s">
        <v>73</v>
      </c>
      <c r="F70" s="44" t="s">
        <v>94</v>
      </c>
      <c r="G70" s="62">
        <v>45658</v>
      </c>
      <c r="H70" s="45" t="s">
        <v>74</v>
      </c>
      <c r="I70" s="44" t="s">
        <v>95</v>
      </c>
      <c r="J70" s="44" t="s">
        <v>76</v>
      </c>
      <c r="K70" s="63">
        <v>626</v>
      </c>
      <c r="L70" s="50" t="s">
        <v>301</v>
      </c>
      <c r="M70" s="50" t="s">
        <v>301</v>
      </c>
      <c r="N70">
        <v>19645587</v>
      </c>
      <c r="O70" t="s">
        <v>309</v>
      </c>
      <c r="P70" s="51" t="s">
        <v>313</v>
      </c>
    </row>
    <row r="71" spans="1:16" ht="15" customHeight="1" x14ac:dyDescent="0.2">
      <c r="A71" s="23">
        <v>447954</v>
      </c>
      <c r="B71" s="48" t="str">
        <f t="shared" si="2"/>
        <v>4479543</v>
      </c>
      <c r="C71" s="61">
        <v>16912722</v>
      </c>
      <c r="D71" s="44" t="s">
        <v>117</v>
      </c>
      <c r="E71" s="44" t="s">
        <v>73</v>
      </c>
      <c r="F71" s="52" t="s">
        <v>32</v>
      </c>
      <c r="G71" s="62">
        <v>45658</v>
      </c>
      <c r="H71" s="45" t="s">
        <v>74</v>
      </c>
      <c r="I71" s="44" t="s">
        <v>95</v>
      </c>
      <c r="J71" s="44" t="s">
        <v>76</v>
      </c>
      <c r="K71" s="63">
        <v>626</v>
      </c>
      <c r="L71" s="49" t="s">
        <v>305</v>
      </c>
      <c r="M71" s="49" t="s">
        <v>305</v>
      </c>
      <c r="N71">
        <v>16912722</v>
      </c>
      <c r="O71" t="s">
        <v>309</v>
      </c>
      <c r="P71" s="51" t="s">
        <v>313</v>
      </c>
    </row>
    <row r="72" spans="1:16" ht="15" customHeight="1" x14ac:dyDescent="0.2">
      <c r="A72" s="23">
        <v>447955</v>
      </c>
      <c r="B72" s="48" t="str">
        <f t="shared" si="2"/>
        <v>4479553</v>
      </c>
      <c r="C72" s="61">
        <v>16912722</v>
      </c>
      <c r="D72" s="44" t="s">
        <v>118</v>
      </c>
      <c r="E72" s="44" t="s">
        <v>73</v>
      </c>
      <c r="F72" s="52" t="s">
        <v>32</v>
      </c>
      <c r="G72" s="62">
        <v>45658</v>
      </c>
      <c r="H72" s="45" t="s">
        <v>74</v>
      </c>
      <c r="I72" s="44" t="s">
        <v>95</v>
      </c>
      <c r="J72" s="44" t="s">
        <v>76</v>
      </c>
      <c r="K72" s="63">
        <v>626</v>
      </c>
      <c r="L72" s="49" t="s">
        <v>305</v>
      </c>
      <c r="M72" s="49" t="s">
        <v>305</v>
      </c>
      <c r="N72">
        <v>16912722</v>
      </c>
      <c r="O72" t="s">
        <v>309</v>
      </c>
      <c r="P72" s="51" t="s">
        <v>313</v>
      </c>
    </row>
    <row r="73" spans="1:16" ht="15" customHeight="1" x14ac:dyDescent="0.2">
      <c r="A73" s="23">
        <v>448034</v>
      </c>
      <c r="B73" s="48" t="str">
        <f t="shared" si="2"/>
        <v>4480343</v>
      </c>
      <c r="C73" s="61">
        <v>16912722</v>
      </c>
      <c r="D73" s="44" t="s">
        <v>119</v>
      </c>
      <c r="E73" s="44" t="s">
        <v>73</v>
      </c>
      <c r="F73" s="52" t="s">
        <v>32</v>
      </c>
      <c r="G73" s="62">
        <v>45658</v>
      </c>
      <c r="H73" s="45" t="s">
        <v>74</v>
      </c>
      <c r="I73" s="44" t="s">
        <v>95</v>
      </c>
      <c r="J73" s="44" t="s">
        <v>76</v>
      </c>
      <c r="K73" s="63">
        <v>626</v>
      </c>
      <c r="L73" s="49" t="s">
        <v>305</v>
      </c>
      <c r="M73" s="49" t="s">
        <v>305</v>
      </c>
      <c r="N73">
        <v>16912722</v>
      </c>
      <c r="O73" t="s">
        <v>309</v>
      </c>
      <c r="P73" s="51" t="s">
        <v>313</v>
      </c>
    </row>
    <row r="74" spans="1:16" ht="15" customHeight="1" x14ac:dyDescent="0.2">
      <c r="A74" s="23">
        <v>447701</v>
      </c>
      <c r="B74" s="48" t="str">
        <f t="shared" si="2"/>
        <v>4477013</v>
      </c>
      <c r="C74" s="61">
        <v>16912722</v>
      </c>
      <c r="D74" s="44" t="s">
        <v>120</v>
      </c>
      <c r="E74" s="44" t="s">
        <v>73</v>
      </c>
      <c r="F74" s="52" t="s">
        <v>32</v>
      </c>
      <c r="G74" s="62">
        <v>45658</v>
      </c>
      <c r="H74" s="45" t="s">
        <v>74</v>
      </c>
      <c r="I74" s="44" t="s">
        <v>95</v>
      </c>
      <c r="J74" s="44" t="s">
        <v>76</v>
      </c>
      <c r="K74" s="63">
        <v>626</v>
      </c>
      <c r="L74" s="49" t="s">
        <v>305</v>
      </c>
      <c r="M74" s="49" t="s">
        <v>305</v>
      </c>
      <c r="N74">
        <v>16912722</v>
      </c>
      <c r="O74" t="s">
        <v>309</v>
      </c>
      <c r="P74" s="51" t="s">
        <v>313</v>
      </c>
    </row>
    <row r="75" spans="1:16" ht="15" customHeight="1" x14ac:dyDescent="0.2">
      <c r="A75" s="31">
        <v>448301</v>
      </c>
      <c r="B75" s="48" t="str">
        <f t="shared" si="2"/>
        <v>4483013</v>
      </c>
      <c r="C75" s="64">
        <v>16633294</v>
      </c>
      <c r="D75" s="53" t="s">
        <v>210</v>
      </c>
      <c r="E75" s="44" t="s">
        <v>191</v>
      </c>
      <c r="F75" s="44" t="s">
        <v>192</v>
      </c>
      <c r="G75" s="65">
        <v>45658</v>
      </c>
      <c r="H75" s="45" t="s">
        <v>193</v>
      </c>
      <c r="I75" s="44" t="s">
        <v>211</v>
      </c>
      <c r="J75" s="44"/>
      <c r="K75" s="66">
        <v>626</v>
      </c>
      <c r="L75" s="51" t="s">
        <v>306</v>
      </c>
      <c r="M75" s="51" t="s">
        <v>306</v>
      </c>
      <c r="N75">
        <v>16633294</v>
      </c>
      <c r="O75" t="s">
        <v>309</v>
      </c>
      <c r="P75" s="51" t="s">
        <v>313</v>
      </c>
    </row>
  </sheetData>
  <sortState xmlns:xlrd2="http://schemas.microsoft.com/office/spreadsheetml/2017/richdata2" ref="A39:AO75">
    <sortCondition ref="K39:K7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5706-5C52-4298-8359-A0F9A8138CD6}">
  <dimension ref="A1:AS49"/>
  <sheetViews>
    <sheetView topLeftCell="A15" workbookViewId="0">
      <selection activeCell="A32" sqref="A32:AE32"/>
    </sheetView>
  </sheetViews>
  <sheetFormatPr defaultRowHeight="12.75" x14ac:dyDescent="0.2"/>
  <cols>
    <col min="8" max="9" width="9.33203125" customWidth="1"/>
    <col min="10" max="10" width="4.1640625" customWidth="1"/>
    <col min="11" max="14" width="9.33203125" hidden="1" customWidth="1"/>
    <col min="15" max="20" width="9.33203125" customWidth="1"/>
    <col min="21" max="21" width="0.33203125" customWidth="1"/>
    <col min="22" max="22" width="9.33203125" hidden="1" customWidth="1"/>
    <col min="23" max="23" width="1.5" hidden="1" customWidth="1"/>
    <col min="24" max="32" width="9.33203125" hidden="1" customWidth="1"/>
    <col min="37" max="37" width="8.33203125" customWidth="1"/>
    <col min="38" max="38" width="8" customWidth="1"/>
  </cols>
  <sheetData>
    <row r="1" spans="1:45" ht="16.5" customHeight="1" x14ac:dyDescent="0.2">
      <c r="A1" s="230" t="s">
        <v>242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1"/>
      <c r="AP1" s="67"/>
      <c r="AQ1" s="67"/>
      <c r="AR1" s="67"/>
      <c r="AS1" s="67"/>
    </row>
    <row r="2" spans="1:45" ht="24" customHeight="1" x14ac:dyDescent="0.2">
      <c r="A2" s="231" t="s">
        <v>226</v>
      </c>
      <c r="B2" s="231"/>
      <c r="C2" s="216" t="s">
        <v>243</v>
      </c>
      <c r="D2" s="216"/>
      <c r="E2" s="216"/>
      <c r="F2" s="216"/>
      <c r="G2" s="232" t="s">
        <v>244</v>
      </c>
      <c r="H2" s="232"/>
      <c r="I2" s="232"/>
      <c r="J2" s="232"/>
      <c r="K2" s="232"/>
      <c r="L2" s="232"/>
      <c r="M2" s="232"/>
      <c r="N2" s="232"/>
      <c r="O2" s="233" t="s">
        <v>245</v>
      </c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"/>
      <c r="AG2" s="234" t="s">
        <v>246</v>
      </c>
      <c r="AH2" s="234"/>
      <c r="AI2" s="234"/>
      <c r="AJ2" s="234"/>
      <c r="AK2" s="36" t="s">
        <v>237</v>
      </c>
      <c r="AL2" s="2"/>
      <c r="AP2" s="53"/>
      <c r="AQ2" s="53"/>
      <c r="AR2" s="53"/>
      <c r="AS2" s="53"/>
    </row>
    <row r="3" spans="1:45" ht="12" customHeight="1" x14ac:dyDescent="0.2">
      <c r="A3" s="235">
        <v>439383</v>
      </c>
      <c r="B3" s="235"/>
      <c r="C3" s="112" t="s">
        <v>247</v>
      </c>
      <c r="D3" s="112"/>
      <c r="E3" s="112"/>
      <c r="F3" s="112"/>
      <c r="G3" s="236">
        <v>2158366</v>
      </c>
      <c r="H3" s="236"/>
      <c r="I3" s="236"/>
      <c r="J3" s="236"/>
      <c r="K3" s="236"/>
      <c r="L3" s="236"/>
      <c r="M3" s="236"/>
      <c r="N3" s="236"/>
      <c r="O3" s="107" t="s">
        <v>248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"/>
      <c r="AG3" s="107" t="s">
        <v>249</v>
      </c>
      <c r="AH3" s="107"/>
      <c r="AI3" s="107"/>
      <c r="AJ3" s="107"/>
      <c r="AK3" s="37">
        <v>40</v>
      </c>
      <c r="AL3" s="1"/>
      <c r="AP3" s="53"/>
      <c r="AQ3" s="53"/>
      <c r="AR3" s="53"/>
      <c r="AS3" s="53"/>
    </row>
    <row r="4" spans="1:45" ht="12" customHeight="1" x14ac:dyDescent="0.2">
      <c r="A4" s="237">
        <v>439384</v>
      </c>
      <c r="B4" s="237"/>
      <c r="C4" s="187" t="s">
        <v>250</v>
      </c>
      <c r="D4" s="187"/>
      <c r="E4" s="187"/>
      <c r="F4" s="187"/>
      <c r="G4" s="238">
        <v>2158366</v>
      </c>
      <c r="H4" s="238"/>
      <c r="I4" s="238"/>
      <c r="J4" s="238"/>
      <c r="K4" s="238"/>
      <c r="L4" s="238"/>
      <c r="M4" s="238"/>
      <c r="N4" s="238"/>
      <c r="O4" s="184" t="s">
        <v>248</v>
      </c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"/>
      <c r="AG4" s="184" t="s">
        <v>249</v>
      </c>
      <c r="AH4" s="184"/>
      <c r="AI4" s="184"/>
      <c r="AJ4" s="184"/>
      <c r="AK4" s="38">
        <v>40</v>
      </c>
      <c r="AL4" s="1"/>
      <c r="AP4" s="53"/>
      <c r="AQ4" s="53"/>
      <c r="AR4" s="53"/>
      <c r="AS4" s="53"/>
    </row>
    <row r="5" spans="1:45" ht="12" customHeight="1" x14ac:dyDescent="0.2">
      <c r="A5" s="239">
        <v>439729</v>
      </c>
      <c r="B5" s="239"/>
      <c r="C5" s="240" t="s">
        <v>251</v>
      </c>
      <c r="D5" s="240"/>
      <c r="E5" s="240"/>
      <c r="F5" s="240"/>
      <c r="G5" s="241">
        <v>16633294</v>
      </c>
      <c r="H5" s="241"/>
      <c r="I5" s="241"/>
      <c r="J5" s="241"/>
      <c r="K5" s="241"/>
      <c r="L5" s="241"/>
      <c r="M5" s="241"/>
      <c r="N5" s="241"/>
      <c r="O5" s="242" t="s">
        <v>252</v>
      </c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1"/>
      <c r="AG5" s="242" t="s">
        <v>253</v>
      </c>
      <c r="AH5" s="242"/>
      <c r="AI5" s="242"/>
      <c r="AJ5" s="242"/>
      <c r="AK5" s="39">
        <v>40</v>
      </c>
      <c r="AL5" s="1"/>
      <c r="AP5" s="53"/>
      <c r="AQ5" s="53"/>
      <c r="AR5" s="53"/>
      <c r="AS5" s="53"/>
    </row>
    <row r="6" spans="1:45" ht="12" customHeight="1" x14ac:dyDescent="0.2">
      <c r="A6" s="237">
        <v>439914</v>
      </c>
      <c r="B6" s="237"/>
      <c r="C6" s="187" t="s">
        <v>254</v>
      </c>
      <c r="D6" s="187"/>
      <c r="E6" s="187"/>
      <c r="F6" s="187"/>
      <c r="G6" s="238">
        <v>19645587</v>
      </c>
      <c r="H6" s="238"/>
      <c r="I6" s="238"/>
      <c r="J6" s="238"/>
      <c r="K6" s="238"/>
      <c r="L6" s="238"/>
      <c r="M6" s="238"/>
      <c r="N6" s="238"/>
      <c r="O6" s="184" t="s">
        <v>255</v>
      </c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"/>
      <c r="AG6" s="184" t="s">
        <v>249</v>
      </c>
      <c r="AH6" s="184"/>
      <c r="AI6" s="184"/>
      <c r="AJ6" s="184"/>
      <c r="AK6" s="38">
        <v>40</v>
      </c>
      <c r="AL6" s="1"/>
      <c r="AP6" s="53"/>
      <c r="AQ6" s="53"/>
      <c r="AR6" s="53"/>
      <c r="AS6" s="53"/>
    </row>
    <row r="7" spans="1:45" ht="12" customHeight="1" x14ac:dyDescent="0.2">
      <c r="A7" s="239">
        <v>440990</v>
      </c>
      <c r="B7" s="239"/>
      <c r="C7" s="240" t="s">
        <v>256</v>
      </c>
      <c r="D7" s="240"/>
      <c r="E7" s="240"/>
      <c r="F7" s="240"/>
      <c r="G7" s="241">
        <v>16633294</v>
      </c>
      <c r="H7" s="241"/>
      <c r="I7" s="241"/>
      <c r="J7" s="241"/>
      <c r="K7" s="241"/>
      <c r="L7" s="241"/>
      <c r="M7" s="241"/>
      <c r="N7" s="241"/>
      <c r="O7" s="242" t="s">
        <v>252</v>
      </c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1"/>
      <c r="AG7" s="242" t="s">
        <v>249</v>
      </c>
      <c r="AH7" s="242"/>
      <c r="AI7" s="242"/>
      <c r="AJ7" s="242"/>
      <c r="AK7" s="39">
        <v>40</v>
      </c>
      <c r="AL7" s="1"/>
      <c r="AP7" s="53"/>
      <c r="AQ7" s="53"/>
      <c r="AR7" s="53"/>
      <c r="AS7" s="53"/>
    </row>
    <row r="8" spans="1:45" ht="12" customHeight="1" x14ac:dyDescent="0.2">
      <c r="A8" s="237">
        <v>442876</v>
      </c>
      <c r="B8" s="237"/>
      <c r="C8" s="187" t="s">
        <v>257</v>
      </c>
      <c r="D8" s="187"/>
      <c r="E8" s="187"/>
      <c r="F8" s="187"/>
      <c r="G8" s="238">
        <v>2158366</v>
      </c>
      <c r="H8" s="238"/>
      <c r="I8" s="238"/>
      <c r="J8" s="238"/>
      <c r="K8" s="238"/>
      <c r="L8" s="238"/>
      <c r="M8" s="238"/>
      <c r="N8" s="238"/>
      <c r="O8" s="184" t="s">
        <v>248</v>
      </c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"/>
      <c r="AG8" s="184" t="s">
        <v>249</v>
      </c>
      <c r="AH8" s="184"/>
      <c r="AI8" s="184"/>
      <c r="AJ8" s="184"/>
      <c r="AK8" s="38">
        <v>40</v>
      </c>
      <c r="AL8" s="1"/>
      <c r="AP8" s="53"/>
      <c r="AQ8" s="53"/>
      <c r="AR8" s="53"/>
      <c r="AS8" s="53"/>
    </row>
    <row r="9" spans="1:45" ht="12" customHeight="1" x14ac:dyDescent="0.2">
      <c r="A9" s="239">
        <v>443209</v>
      </c>
      <c r="B9" s="239"/>
      <c r="C9" s="240" t="s">
        <v>258</v>
      </c>
      <c r="D9" s="240"/>
      <c r="E9" s="240"/>
      <c r="F9" s="240"/>
      <c r="G9" s="241">
        <v>16633294</v>
      </c>
      <c r="H9" s="241"/>
      <c r="I9" s="241"/>
      <c r="J9" s="241"/>
      <c r="K9" s="241"/>
      <c r="L9" s="241"/>
      <c r="M9" s="241"/>
      <c r="N9" s="241"/>
      <c r="O9" s="242" t="s">
        <v>252</v>
      </c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1"/>
      <c r="AG9" s="242" t="s">
        <v>249</v>
      </c>
      <c r="AH9" s="242"/>
      <c r="AI9" s="242"/>
      <c r="AJ9" s="242"/>
      <c r="AK9" s="39">
        <v>40</v>
      </c>
      <c r="AL9" s="1"/>
      <c r="AP9" s="53"/>
      <c r="AQ9" s="53"/>
      <c r="AR9" s="53"/>
      <c r="AS9" s="53"/>
    </row>
    <row r="10" spans="1:45" ht="12" customHeight="1" x14ac:dyDescent="0.2">
      <c r="A10" s="237">
        <v>443223</v>
      </c>
      <c r="B10" s="237"/>
      <c r="C10" s="187" t="s">
        <v>259</v>
      </c>
      <c r="D10" s="187"/>
      <c r="E10" s="187"/>
      <c r="F10" s="187"/>
      <c r="G10" s="238">
        <v>2158366</v>
      </c>
      <c r="H10" s="238"/>
      <c r="I10" s="238"/>
      <c r="J10" s="238"/>
      <c r="K10" s="238"/>
      <c r="L10" s="238"/>
      <c r="M10" s="238"/>
      <c r="N10" s="238"/>
      <c r="O10" s="184" t="s">
        <v>248</v>
      </c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"/>
      <c r="AG10" s="184" t="s">
        <v>249</v>
      </c>
      <c r="AH10" s="184"/>
      <c r="AI10" s="184"/>
      <c r="AJ10" s="184"/>
      <c r="AK10" s="38">
        <v>40</v>
      </c>
      <c r="AL10" s="1"/>
      <c r="AP10" s="53"/>
      <c r="AQ10" s="53"/>
      <c r="AR10" s="53"/>
      <c r="AS10" s="53"/>
    </row>
    <row r="11" spans="1:45" ht="12" customHeight="1" x14ac:dyDescent="0.2">
      <c r="A11" s="239">
        <v>443227</v>
      </c>
      <c r="B11" s="239"/>
      <c r="C11" s="240" t="s">
        <v>260</v>
      </c>
      <c r="D11" s="240"/>
      <c r="E11" s="240"/>
      <c r="F11" s="240"/>
      <c r="G11" s="241">
        <v>16633294</v>
      </c>
      <c r="H11" s="241"/>
      <c r="I11" s="241"/>
      <c r="J11" s="241"/>
      <c r="K11" s="241"/>
      <c r="L11" s="241"/>
      <c r="M11" s="241"/>
      <c r="N11" s="241"/>
      <c r="O11" s="242" t="s">
        <v>252</v>
      </c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1"/>
      <c r="AG11" s="242" t="s">
        <v>249</v>
      </c>
      <c r="AH11" s="242"/>
      <c r="AI11" s="242"/>
      <c r="AJ11" s="242"/>
      <c r="AK11" s="39">
        <v>40</v>
      </c>
      <c r="AL11" s="1"/>
      <c r="AP11" s="53"/>
      <c r="AQ11" s="53"/>
      <c r="AR11" s="53"/>
      <c r="AS11" s="53"/>
    </row>
    <row r="12" spans="1:45" ht="12" customHeight="1" x14ac:dyDescent="0.2">
      <c r="A12" s="237">
        <v>443229</v>
      </c>
      <c r="B12" s="237"/>
      <c r="C12" s="187" t="s">
        <v>261</v>
      </c>
      <c r="D12" s="187"/>
      <c r="E12" s="187"/>
      <c r="F12" s="187"/>
      <c r="G12" s="238">
        <v>16633294</v>
      </c>
      <c r="H12" s="238"/>
      <c r="I12" s="238"/>
      <c r="J12" s="238"/>
      <c r="K12" s="238"/>
      <c r="L12" s="238"/>
      <c r="M12" s="238"/>
      <c r="N12" s="238"/>
      <c r="O12" s="184" t="s">
        <v>252</v>
      </c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"/>
      <c r="AG12" s="184" t="s">
        <v>249</v>
      </c>
      <c r="AH12" s="184"/>
      <c r="AI12" s="184"/>
      <c r="AJ12" s="184"/>
      <c r="AK12" s="38">
        <v>40</v>
      </c>
      <c r="AL12" s="1"/>
      <c r="AP12" s="53"/>
      <c r="AQ12" s="53"/>
      <c r="AR12" s="53"/>
      <c r="AS12" s="53"/>
    </row>
    <row r="13" spans="1:45" ht="12" customHeight="1" x14ac:dyDescent="0.2">
      <c r="A13" s="239">
        <v>443286</v>
      </c>
      <c r="B13" s="239"/>
      <c r="C13" s="240" t="s">
        <v>262</v>
      </c>
      <c r="D13" s="240"/>
      <c r="E13" s="240"/>
      <c r="F13" s="240"/>
      <c r="G13" s="241">
        <v>16633294</v>
      </c>
      <c r="H13" s="241"/>
      <c r="I13" s="241"/>
      <c r="J13" s="241"/>
      <c r="K13" s="241"/>
      <c r="L13" s="241"/>
      <c r="M13" s="241"/>
      <c r="N13" s="241"/>
      <c r="O13" s="242" t="s">
        <v>252</v>
      </c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1"/>
      <c r="AG13" s="242" t="s">
        <v>249</v>
      </c>
      <c r="AH13" s="242"/>
      <c r="AI13" s="242"/>
      <c r="AJ13" s="242"/>
      <c r="AK13" s="39">
        <v>40</v>
      </c>
      <c r="AL13" s="1"/>
      <c r="AP13" s="53"/>
      <c r="AQ13" s="53"/>
      <c r="AR13" s="53"/>
      <c r="AS13" s="53"/>
    </row>
    <row r="14" spans="1:45" ht="12" customHeight="1" x14ac:dyDescent="0.2">
      <c r="A14" s="237">
        <v>443292</v>
      </c>
      <c r="B14" s="237"/>
      <c r="C14" s="187" t="s">
        <v>263</v>
      </c>
      <c r="D14" s="187"/>
      <c r="E14" s="187"/>
      <c r="F14" s="187"/>
      <c r="G14" s="238">
        <v>16633294</v>
      </c>
      <c r="H14" s="238"/>
      <c r="I14" s="238"/>
      <c r="J14" s="238"/>
      <c r="K14" s="238"/>
      <c r="L14" s="238"/>
      <c r="M14" s="238"/>
      <c r="N14" s="238"/>
      <c r="O14" s="184" t="s">
        <v>252</v>
      </c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"/>
      <c r="AG14" s="184" t="s">
        <v>249</v>
      </c>
      <c r="AH14" s="184"/>
      <c r="AI14" s="184"/>
      <c r="AJ14" s="184"/>
      <c r="AK14" s="38">
        <v>40</v>
      </c>
      <c r="AL14" s="1"/>
      <c r="AP14" s="53"/>
      <c r="AQ14" s="53"/>
      <c r="AR14" s="53"/>
      <c r="AS14" s="53"/>
    </row>
    <row r="15" spans="1:45" ht="12" customHeight="1" x14ac:dyDescent="0.2">
      <c r="A15" s="239">
        <v>444055</v>
      </c>
      <c r="B15" s="239"/>
      <c r="C15" s="240" t="s">
        <v>264</v>
      </c>
      <c r="D15" s="240"/>
      <c r="E15" s="240"/>
      <c r="F15" s="240"/>
      <c r="G15" s="241">
        <v>19615078</v>
      </c>
      <c r="H15" s="241"/>
      <c r="I15" s="241"/>
      <c r="J15" s="241"/>
      <c r="K15" s="241"/>
      <c r="L15" s="241"/>
      <c r="M15" s="241"/>
      <c r="N15" s="241"/>
      <c r="O15" s="242" t="s">
        <v>265</v>
      </c>
      <c r="P15" s="242"/>
      <c r="Q15" s="242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1"/>
      <c r="AG15" s="242" t="s">
        <v>249</v>
      </c>
      <c r="AH15" s="242"/>
      <c r="AI15" s="242"/>
      <c r="AJ15" s="242"/>
      <c r="AK15" s="39">
        <v>40</v>
      </c>
      <c r="AL15" s="1"/>
      <c r="AP15" s="53"/>
      <c r="AQ15" s="53"/>
      <c r="AR15" s="53"/>
      <c r="AS15" s="53"/>
    </row>
    <row r="16" spans="1:45" ht="12" customHeight="1" x14ac:dyDescent="0.2">
      <c r="A16" s="237">
        <v>444121</v>
      </c>
      <c r="B16" s="237"/>
      <c r="C16" s="187" t="s">
        <v>266</v>
      </c>
      <c r="D16" s="187"/>
      <c r="E16" s="187"/>
      <c r="F16" s="187"/>
      <c r="G16" s="238">
        <v>2158366</v>
      </c>
      <c r="H16" s="238"/>
      <c r="I16" s="238"/>
      <c r="J16" s="238"/>
      <c r="K16" s="238"/>
      <c r="L16" s="238"/>
      <c r="M16" s="238"/>
      <c r="N16" s="238"/>
      <c r="O16" s="184" t="s">
        <v>267</v>
      </c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"/>
      <c r="AG16" s="184" t="s">
        <v>249</v>
      </c>
      <c r="AH16" s="184"/>
      <c r="AI16" s="184"/>
      <c r="AJ16" s="184"/>
      <c r="AK16" s="38">
        <v>40</v>
      </c>
      <c r="AL16" s="1"/>
      <c r="AP16" s="53"/>
      <c r="AQ16" s="53"/>
      <c r="AR16" s="53"/>
      <c r="AS16" s="53"/>
    </row>
    <row r="17" spans="1:45" ht="12" customHeight="1" x14ac:dyDescent="0.2">
      <c r="A17" s="239">
        <v>444212</v>
      </c>
      <c r="B17" s="239"/>
      <c r="C17" s="240" t="s">
        <v>268</v>
      </c>
      <c r="D17" s="240"/>
      <c r="E17" s="240"/>
      <c r="F17" s="240"/>
      <c r="G17" s="241">
        <v>16633294</v>
      </c>
      <c r="H17" s="241"/>
      <c r="I17" s="241"/>
      <c r="J17" s="241"/>
      <c r="K17" s="241"/>
      <c r="L17" s="241"/>
      <c r="M17" s="241"/>
      <c r="N17" s="241"/>
      <c r="O17" s="242" t="s">
        <v>252</v>
      </c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1"/>
      <c r="AG17" s="242" t="s">
        <v>249</v>
      </c>
      <c r="AH17" s="242"/>
      <c r="AI17" s="242"/>
      <c r="AJ17" s="242"/>
      <c r="AK17" s="39">
        <v>40</v>
      </c>
      <c r="AL17" s="1"/>
      <c r="AP17" s="53"/>
      <c r="AQ17" s="53"/>
      <c r="AR17" s="53"/>
      <c r="AS17" s="53"/>
    </row>
    <row r="18" spans="1:45" ht="12" customHeight="1" x14ac:dyDescent="0.2">
      <c r="A18" s="237">
        <v>445324</v>
      </c>
      <c r="B18" s="237"/>
      <c r="C18" s="187" t="s">
        <v>269</v>
      </c>
      <c r="D18" s="187"/>
      <c r="E18" s="187"/>
      <c r="F18" s="187"/>
      <c r="G18" s="238">
        <v>8325282</v>
      </c>
      <c r="H18" s="238"/>
      <c r="I18" s="238"/>
      <c r="J18" s="238"/>
      <c r="K18" s="238"/>
      <c r="L18" s="238"/>
      <c r="M18" s="238"/>
      <c r="N18" s="238"/>
      <c r="O18" s="184" t="s">
        <v>270</v>
      </c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"/>
      <c r="AG18" s="184" t="s">
        <v>249</v>
      </c>
      <c r="AH18" s="184"/>
      <c r="AI18" s="184"/>
      <c r="AJ18" s="184"/>
      <c r="AK18" s="38">
        <v>40</v>
      </c>
      <c r="AL18" s="1"/>
      <c r="AP18" s="53"/>
    </row>
    <row r="19" spans="1:45" ht="12" customHeight="1" x14ac:dyDescent="0.2">
      <c r="A19" s="239">
        <v>445336</v>
      </c>
      <c r="B19" s="239"/>
      <c r="C19" s="240" t="s">
        <v>271</v>
      </c>
      <c r="D19" s="240"/>
      <c r="E19" s="240"/>
      <c r="F19" s="240"/>
      <c r="G19" s="241">
        <v>16633294</v>
      </c>
      <c r="H19" s="241"/>
      <c r="I19" s="241"/>
      <c r="J19" s="241"/>
      <c r="K19" s="241"/>
      <c r="L19" s="241"/>
      <c r="M19" s="241"/>
      <c r="N19" s="241"/>
      <c r="O19" s="242" t="s">
        <v>252</v>
      </c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1"/>
      <c r="AG19" s="242" t="s">
        <v>249</v>
      </c>
      <c r="AH19" s="242"/>
      <c r="AI19" s="242"/>
      <c r="AJ19" s="242"/>
      <c r="AK19" s="39">
        <v>40</v>
      </c>
      <c r="AL19" s="1"/>
    </row>
    <row r="20" spans="1:45" ht="12" customHeight="1" x14ac:dyDescent="0.2">
      <c r="A20" s="237">
        <v>445341</v>
      </c>
      <c r="B20" s="237"/>
      <c r="C20" s="187" t="s">
        <v>272</v>
      </c>
      <c r="D20" s="187"/>
      <c r="E20" s="187"/>
      <c r="F20" s="187"/>
      <c r="G20" s="238">
        <v>2158366</v>
      </c>
      <c r="H20" s="238"/>
      <c r="I20" s="238"/>
      <c r="J20" s="238"/>
      <c r="K20" s="238"/>
      <c r="L20" s="238"/>
      <c r="M20" s="238"/>
      <c r="N20" s="238"/>
      <c r="O20" s="184" t="s">
        <v>248</v>
      </c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"/>
      <c r="AG20" s="184" t="s">
        <v>249</v>
      </c>
      <c r="AH20" s="184"/>
      <c r="AI20" s="184"/>
      <c r="AJ20" s="184"/>
      <c r="AK20" s="38">
        <v>40</v>
      </c>
      <c r="AL20" s="1"/>
    </row>
    <row r="21" spans="1:45" ht="12.95" customHeight="1" x14ac:dyDescent="0.2">
      <c r="A21" s="239">
        <v>445359</v>
      </c>
      <c r="B21" s="239"/>
      <c r="C21" s="240" t="s">
        <v>273</v>
      </c>
      <c r="D21" s="240"/>
      <c r="E21" s="240"/>
      <c r="F21" s="240"/>
      <c r="G21" s="241">
        <v>19681796</v>
      </c>
      <c r="H21" s="241"/>
      <c r="I21" s="241"/>
      <c r="J21" s="241"/>
      <c r="K21" s="241"/>
      <c r="L21" s="241"/>
      <c r="M21" s="241"/>
      <c r="N21" s="241"/>
      <c r="O21" s="242" t="s">
        <v>274</v>
      </c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1"/>
      <c r="AG21" s="242" t="s">
        <v>249</v>
      </c>
      <c r="AH21" s="242"/>
      <c r="AI21" s="242"/>
      <c r="AJ21" s="242"/>
      <c r="AK21" s="39">
        <v>40</v>
      </c>
      <c r="AL21" s="1"/>
    </row>
    <row r="22" spans="1:45" ht="12" customHeight="1" x14ac:dyDescent="0.2">
      <c r="A22" s="237">
        <v>445462</v>
      </c>
      <c r="B22" s="237"/>
      <c r="C22" s="187" t="s">
        <v>275</v>
      </c>
      <c r="D22" s="187"/>
      <c r="E22" s="187"/>
      <c r="F22" s="187"/>
      <c r="G22" s="238">
        <v>16633294</v>
      </c>
      <c r="H22" s="238"/>
      <c r="I22" s="238"/>
      <c r="J22" s="238"/>
      <c r="K22" s="238"/>
      <c r="L22" s="238"/>
      <c r="M22" s="238"/>
      <c r="N22" s="238"/>
      <c r="O22" s="184" t="s">
        <v>252</v>
      </c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"/>
      <c r="AG22" s="184" t="s">
        <v>249</v>
      </c>
      <c r="AH22" s="184"/>
      <c r="AI22" s="184"/>
      <c r="AJ22" s="184"/>
      <c r="AK22" s="38">
        <v>40</v>
      </c>
      <c r="AL22" s="1"/>
    </row>
    <row r="23" spans="1:45" ht="12" customHeight="1" x14ac:dyDescent="0.2">
      <c r="A23" s="239">
        <v>445463</v>
      </c>
      <c r="B23" s="239"/>
      <c r="C23" s="240" t="s">
        <v>276</v>
      </c>
      <c r="D23" s="240"/>
      <c r="E23" s="240"/>
      <c r="F23" s="240"/>
      <c r="G23" s="241">
        <v>16633294</v>
      </c>
      <c r="H23" s="241"/>
      <c r="I23" s="241"/>
      <c r="J23" s="241"/>
      <c r="K23" s="241"/>
      <c r="L23" s="241"/>
      <c r="M23" s="241"/>
      <c r="N23" s="241"/>
      <c r="O23" s="242" t="s">
        <v>252</v>
      </c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1"/>
      <c r="AG23" s="242" t="s">
        <v>249</v>
      </c>
      <c r="AH23" s="242"/>
      <c r="AI23" s="242"/>
      <c r="AJ23" s="242"/>
      <c r="AK23" s="39">
        <v>40</v>
      </c>
      <c r="AL23" s="1"/>
    </row>
    <row r="24" spans="1:45" ht="12" customHeight="1" x14ac:dyDescent="0.2">
      <c r="A24" s="237">
        <v>445753</v>
      </c>
      <c r="B24" s="237"/>
      <c r="C24" s="187" t="s">
        <v>277</v>
      </c>
      <c r="D24" s="187"/>
      <c r="E24" s="187"/>
      <c r="F24" s="187"/>
      <c r="G24" s="238">
        <v>16633294</v>
      </c>
      <c r="H24" s="238"/>
      <c r="I24" s="238"/>
      <c r="J24" s="238"/>
      <c r="K24" s="238"/>
      <c r="L24" s="238"/>
      <c r="M24" s="238"/>
      <c r="N24" s="238"/>
      <c r="O24" s="184" t="s">
        <v>252</v>
      </c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"/>
      <c r="AG24" s="184" t="s">
        <v>249</v>
      </c>
      <c r="AH24" s="184"/>
      <c r="AI24" s="184"/>
      <c r="AJ24" s="184"/>
      <c r="AK24" s="38">
        <v>40</v>
      </c>
      <c r="AL24" s="1"/>
    </row>
    <row r="25" spans="1:45" ht="9.75" customHeight="1" x14ac:dyDescent="0.2">
      <c r="A25" s="239">
        <v>445779</v>
      </c>
      <c r="B25" s="239"/>
      <c r="C25" s="240" t="s">
        <v>278</v>
      </c>
      <c r="D25" s="240"/>
      <c r="E25" s="240"/>
      <c r="F25" s="240"/>
      <c r="G25" s="241">
        <v>19645587</v>
      </c>
      <c r="H25" s="241"/>
      <c r="I25" s="241"/>
      <c r="J25" s="241"/>
      <c r="K25" s="241"/>
      <c r="L25" s="241"/>
      <c r="M25" s="241"/>
      <c r="N25" s="241"/>
      <c r="O25" s="242" t="s">
        <v>279</v>
      </c>
      <c r="P25" s="242"/>
      <c r="Q25" s="242"/>
      <c r="R25" s="242"/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1"/>
      <c r="AG25" s="242" t="s">
        <v>249</v>
      </c>
      <c r="AH25" s="242"/>
      <c r="AI25" s="242"/>
      <c r="AJ25" s="242"/>
      <c r="AK25" s="39">
        <v>40</v>
      </c>
      <c r="AL25" s="1"/>
    </row>
    <row r="26" spans="1:45" ht="16.5" customHeight="1" x14ac:dyDescent="0.2">
      <c r="A26" s="230" t="s">
        <v>280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0"/>
      <c r="AA26" s="230"/>
      <c r="AB26" s="230"/>
      <c r="AC26" s="230"/>
      <c r="AD26" s="230"/>
      <c r="AE26" s="230"/>
      <c r="AF26" s="230"/>
      <c r="AG26" s="230"/>
      <c r="AH26" s="230"/>
      <c r="AI26" s="230"/>
      <c r="AJ26" s="230"/>
      <c r="AK26" s="230"/>
      <c r="AL26" s="1"/>
    </row>
    <row r="27" spans="1:45" ht="24" customHeight="1" x14ac:dyDescent="0.2">
      <c r="A27" s="81" t="s">
        <v>281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</row>
    <row r="28" spans="1:45" ht="12.6" customHeight="1" x14ac:dyDescent="0.2">
      <c r="A28" s="253" t="s">
        <v>344</v>
      </c>
      <c r="B28" s="253"/>
      <c r="C28" s="253"/>
      <c r="D28" s="253"/>
      <c r="E28" s="253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  <c r="AD28" s="253"/>
      <c r="AE28" s="253"/>
      <c r="AF28" s="1"/>
      <c r="AG28" s="248" t="s">
        <v>283</v>
      </c>
      <c r="AH28" s="248"/>
      <c r="AI28" s="248"/>
      <c r="AJ28" s="248"/>
      <c r="AK28" s="248"/>
      <c r="AL28" s="1"/>
    </row>
    <row r="29" spans="1:45" ht="11.45" customHeight="1" x14ac:dyDescent="0.2">
      <c r="A29" s="245" t="s">
        <v>284</v>
      </c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  <c r="AJ29" s="245"/>
      <c r="AK29" s="245"/>
      <c r="AL29" s="245"/>
    </row>
    <row r="30" spans="1:45" ht="12.6" customHeight="1" x14ac:dyDescent="0.2">
      <c r="A30" s="243" t="s">
        <v>285</v>
      </c>
      <c r="B30" s="243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  <c r="AE30" s="243"/>
      <c r="AF30" s="1"/>
      <c r="AG30" s="244" t="s">
        <v>283</v>
      </c>
      <c r="AH30" s="244"/>
      <c r="AI30" s="244"/>
      <c r="AJ30" s="244"/>
      <c r="AK30" s="244"/>
      <c r="AL30" s="1"/>
    </row>
    <row r="31" spans="1:45" ht="11.45" customHeight="1" x14ac:dyDescent="0.2">
      <c r="A31" s="245" t="s">
        <v>286</v>
      </c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</row>
    <row r="32" spans="1:45" ht="12.6" customHeight="1" x14ac:dyDescent="0.2">
      <c r="A32" s="243" t="s">
        <v>287</v>
      </c>
      <c r="B32" s="243"/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243"/>
      <c r="Z32" s="243"/>
      <c r="AA32" s="243"/>
      <c r="AB32" s="243"/>
      <c r="AC32" s="243"/>
      <c r="AD32" s="243"/>
      <c r="AE32" s="243"/>
      <c r="AF32" s="1"/>
      <c r="AG32" s="244" t="s">
        <v>283</v>
      </c>
      <c r="AH32" s="244"/>
      <c r="AI32" s="244"/>
      <c r="AJ32" s="244"/>
      <c r="AK32" s="244"/>
      <c r="AL32" s="1"/>
    </row>
    <row r="33" spans="1:42" ht="11.45" customHeight="1" x14ac:dyDescent="0.2">
      <c r="A33" s="245" t="s">
        <v>288</v>
      </c>
      <c r="B33" s="245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  <c r="AJ33" s="245"/>
      <c r="AK33" s="245"/>
      <c r="AL33" s="245"/>
    </row>
    <row r="34" spans="1:42" ht="12.6" customHeight="1" x14ac:dyDescent="0.2">
      <c r="A34" s="243" t="s">
        <v>289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1"/>
      <c r="AG34" s="244" t="s">
        <v>283</v>
      </c>
      <c r="AH34" s="244"/>
      <c r="AI34" s="244"/>
      <c r="AJ34" s="244"/>
      <c r="AK34" s="244"/>
      <c r="AL34" s="1"/>
    </row>
    <row r="35" spans="1:42" ht="11.45" customHeight="1" x14ac:dyDescent="0.2">
      <c r="A35" s="245" t="s">
        <v>290</v>
      </c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</row>
    <row r="36" spans="1:42" ht="12.6" customHeight="1" x14ac:dyDescent="0.2">
      <c r="A36" s="243" t="s">
        <v>291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243"/>
      <c r="Z36" s="243"/>
      <c r="AA36" s="243"/>
      <c r="AB36" s="243"/>
      <c r="AC36" s="243"/>
      <c r="AD36" s="243"/>
      <c r="AE36" s="243"/>
      <c r="AF36" s="1"/>
      <c r="AG36" s="244" t="s">
        <v>292</v>
      </c>
      <c r="AH36" s="244"/>
      <c r="AI36" s="244"/>
      <c r="AJ36" s="244"/>
      <c r="AK36" s="244"/>
      <c r="AL36" s="1"/>
    </row>
    <row r="37" spans="1:42" ht="11.45" customHeight="1" x14ac:dyDescent="0.2">
      <c r="A37" s="245" t="s">
        <v>293</v>
      </c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</row>
    <row r="38" spans="1:42" ht="12.6" customHeight="1" x14ac:dyDescent="0.2">
      <c r="A38" s="243" t="s">
        <v>294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243"/>
      <c r="Z38" s="243"/>
      <c r="AA38" s="243"/>
      <c r="AB38" s="243"/>
      <c r="AC38" s="243"/>
      <c r="AD38" s="243"/>
      <c r="AE38" s="243"/>
      <c r="AF38" s="1"/>
      <c r="AG38" s="244" t="s">
        <v>292</v>
      </c>
      <c r="AH38" s="244"/>
      <c r="AI38" s="244"/>
      <c r="AJ38" s="244"/>
      <c r="AK38" s="244"/>
      <c r="AL38" s="1"/>
    </row>
    <row r="39" spans="1:42" ht="11.45" customHeight="1" x14ac:dyDescent="0.2">
      <c r="A39" s="245" t="s">
        <v>295</v>
      </c>
      <c r="B39" s="245"/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  <c r="AH39" s="245"/>
      <c r="AI39" s="245"/>
      <c r="AJ39" s="245"/>
      <c r="AK39" s="245"/>
      <c r="AL39" s="245"/>
    </row>
    <row r="40" spans="1:42" ht="12.6" customHeight="1" x14ac:dyDescent="0.2">
      <c r="A40" s="243" t="s">
        <v>296</v>
      </c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3"/>
      <c r="AE40" s="243"/>
      <c r="AF40" s="1"/>
      <c r="AG40" s="244" t="s">
        <v>292</v>
      </c>
      <c r="AH40" s="244"/>
      <c r="AI40" s="244"/>
      <c r="AJ40" s="244"/>
      <c r="AK40" s="244"/>
      <c r="AL40" s="1"/>
    </row>
    <row r="41" spans="1:42" ht="31.5" customHeight="1" x14ac:dyDescent="0.2">
      <c r="A41" s="246" t="s">
        <v>297</v>
      </c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</row>
    <row r="42" spans="1:42" ht="15" x14ac:dyDescent="0.2">
      <c r="A42" s="230" t="s">
        <v>316</v>
      </c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  <c r="AN42" s="230"/>
      <c r="AO42" s="230"/>
      <c r="AP42" s="1"/>
    </row>
    <row r="43" spans="1:42" x14ac:dyDescent="0.2">
      <c r="A43" s="1"/>
      <c r="B43" s="1"/>
      <c r="C43" s="1"/>
      <c r="D43" s="1"/>
      <c r="E43" s="1"/>
      <c r="F43" s="82"/>
      <c r="G43" s="82"/>
      <c r="H43" s="1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1"/>
      <c r="T43" s="1"/>
      <c r="U43" s="82"/>
      <c r="V43" s="82"/>
      <c r="W43" s="1"/>
      <c r="X43" s="1"/>
      <c r="Y43" s="82"/>
      <c r="Z43" s="82"/>
      <c r="AA43" s="1"/>
      <c r="AB43" s="82"/>
      <c r="AC43" s="82"/>
      <c r="AD43" s="1"/>
      <c r="AE43" s="82"/>
      <c r="AF43" s="82"/>
      <c r="AG43" s="82"/>
      <c r="AH43" s="82"/>
      <c r="AI43" s="82"/>
      <c r="AJ43" s="82"/>
      <c r="AK43" s="182" t="s">
        <v>317</v>
      </c>
      <c r="AL43" s="182"/>
      <c r="AM43" s="82"/>
      <c r="AN43" s="82"/>
      <c r="AO43" s="1"/>
      <c r="AP43" s="1"/>
    </row>
    <row r="44" spans="1:42" x14ac:dyDescent="0.2">
      <c r="A44" s="246" t="s">
        <v>318</v>
      </c>
      <c r="B44" s="246"/>
      <c r="C44" s="2"/>
      <c r="D44" s="81" t="s">
        <v>319</v>
      </c>
      <c r="E44" s="81"/>
      <c r="F44" s="78"/>
      <c r="G44" s="78"/>
      <c r="H44" s="81" t="s">
        <v>320</v>
      </c>
      <c r="I44" s="81"/>
      <c r="J44" s="81"/>
      <c r="K44" s="81"/>
      <c r="L44" s="81"/>
      <c r="M44" s="78"/>
      <c r="N44" s="78"/>
      <c r="O44" s="78"/>
      <c r="P44" s="78"/>
      <c r="Q44" s="81" t="s">
        <v>321</v>
      </c>
      <c r="R44" s="81"/>
      <c r="S44" s="81"/>
      <c r="T44" s="81"/>
      <c r="U44" s="81"/>
      <c r="V44" s="81"/>
      <c r="W44" s="2"/>
      <c r="X44" s="2"/>
      <c r="Y44" s="78"/>
      <c r="Z44" s="78"/>
      <c r="AA44" s="2"/>
      <c r="AB44" s="78"/>
      <c r="AC44" s="78"/>
      <c r="AD44" s="2"/>
      <c r="AE44" s="78"/>
      <c r="AF44" s="78"/>
      <c r="AG44" s="78"/>
      <c r="AH44" s="78"/>
      <c r="AI44" s="78"/>
      <c r="AJ44" s="78"/>
      <c r="AK44" s="182"/>
      <c r="AL44" s="182"/>
      <c r="AM44" s="78"/>
      <c r="AN44" s="78"/>
      <c r="AO44" s="249" t="s">
        <v>322</v>
      </c>
      <c r="AP44" s="249"/>
    </row>
    <row r="45" spans="1:42" ht="15" x14ac:dyDescent="0.2">
      <c r="A45" s="230" t="s">
        <v>316</v>
      </c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1"/>
    </row>
    <row r="46" spans="1:42" ht="12.75" customHeight="1" x14ac:dyDescent="0.2">
      <c r="A46" s="82"/>
      <c r="B46" s="82"/>
      <c r="C46" s="1"/>
      <c r="D46" s="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1"/>
      <c r="AJ46" s="1"/>
      <c r="AK46" s="197" t="s">
        <v>323</v>
      </c>
      <c r="AL46" s="197"/>
      <c r="AM46" s="82"/>
      <c r="AN46" s="82"/>
      <c r="AO46" s="1"/>
      <c r="AP46" s="1"/>
    </row>
    <row r="47" spans="1:42" x14ac:dyDescent="0.2">
      <c r="A47" s="252" t="s">
        <v>39</v>
      </c>
      <c r="B47" s="252"/>
      <c r="C47" s="1"/>
      <c r="D47" s="46" t="s">
        <v>324</v>
      </c>
      <c r="E47" s="82"/>
      <c r="F47" s="82"/>
      <c r="G47" s="82"/>
      <c r="H47" s="197" t="s">
        <v>325</v>
      </c>
      <c r="I47" s="197"/>
      <c r="J47" s="197"/>
      <c r="K47" s="197"/>
      <c r="L47" s="197"/>
      <c r="M47" s="82"/>
      <c r="N47" s="82"/>
      <c r="O47" s="82"/>
      <c r="P47" s="82"/>
      <c r="Q47" s="197" t="s">
        <v>326</v>
      </c>
      <c r="R47" s="197"/>
      <c r="S47" s="197"/>
      <c r="T47" s="197"/>
      <c r="U47" s="197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1"/>
      <c r="AJ47" s="1"/>
      <c r="AK47" s="197"/>
      <c r="AL47" s="197"/>
      <c r="AM47" s="82"/>
      <c r="AN47" s="82"/>
      <c r="AO47" s="197" t="s">
        <v>327</v>
      </c>
      <c r="AP47" s="197"/>
    </row>
    <row r="48" spans="1:42" ht="12.75" customHeight="1" x14ac:dyDescent="0.2">
      <c r="A48" s="247" t="s">
        <v>328</v>
      </c>
      <c r="B48" s="247"/>
      <c r="C48" s="247"/>
      <c r="D48" s="247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247"/>
      <c r="X48" s="247"/>
      <c r="Y48" s="247"/>
      <c r="Z48" s="247"/>
      <c r="AA48" s="247"/>
      <c r="AB48" s="247"/>
      <c r="AC48" s="247"/>
      <c r="AD48" s="247"/>
      <c r="AE48" s="247"/>
      <c r="AF48" s="247"/>
      <c r="AG48" s="247"/>
      <c r="AH48" s="247"/>
      <c r="AI48" s="1"/>
      <c r="AJ48" s="250" t="s">
        <v>329</v>
      </c>
      <c r="AK48" s="250"/>
      <c r="AL48" s="250"/>
      <c r="AM48" s="250"/>
      <c r="AN48" s="250"/>
      <c r="AO48" s="250"/>
      <c r="AP48" s="1"/>
    </row>
    <row r="49" spans="1:42" x14ac:dyDescent="0.2">
      <c r="A49" s="251" t="s">
        <v>330</v>
      </c>
      <c r="B49" s="251"/>
      <c r="C49" s="251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1"/>
    </row>
  </sheetData>
  <mergeCells count="190">
    <mergeCell ref="A1:AK1"/>
    <mergeCell ref="A2:B2"/>
    <mergeCell ref="C2:F2"/>
    <mergeCell ref="G2:N2"/>
    <mergeCell ref="O2:AE2"/>
    <mergeCell ref="AG2:AJ2"/>
    <mergeCell ref="A3:B3"/>
    <mergeCell ref="C3:F3"/>
    <mergeCell ref="G3:N3"/>
    <mergeCell ref="O3:AE3"/>
    <mergeCell ref="AG3:AJ3"/>
    <mergeCell ref="A4:B4"/>
    <mergeCell ref="C4:F4"/>
    <mergeCell ref="G4:N4"/>
    <mergeCell ref="O4:AE4"/>
    <mergeCell ref="AG4:AJ4"/>
    <mergeCell ref="A5:B5"/>
    <mergeCell ref="C5:F5"/>
    <mergeCell ref="G5:N5"/>
    <mergeCell ref="O5:AE5"/>
    <mergeCell ref="AG5:AJ5"/>
    <mergeCell ref="A6:B6"/>
    <mergeCell ref="C6:F6"/>
    <mergeCell ref="G6:N6"/>
    <mergeCell ref="O6:AE6"/>
    <mergeCell ref="AG6:AJ6"/>
    <mergeCell ref="A7:B7"/>
    <mergeCell ref="C7:F7"/>
    <mergeCell ref="G7:N7"/>
    <mergeCell ref="O7:AE7"/>
    <mergeCell ref="AG7:AJ7"/>
    <mergeCell ref="A8:B8"/>
    <mergeCell ref="C8:F8"/>
    <mergeCell ref="G8:N8"/>
    <mergeCell ref="O8:AE8"/>
    <mergeCell ref="AG8:AJ8"/>
    <mergeCell ref="A9:B9"/>
    <mergeCell ref="C9:F9"/>
    <mergeCell ref="G9:N9"/>
    <mergeCell ref="O9:AE9"/>
    <mergeCell ref="AG9:AJ9"/>
    <mergeCell ref="A10:B10"/>
    <mergeCell ref="C10:F10"/>
    <mergeCell ref="G10:N10"/>
    <mergeCell ref="O10:AE10"/>
    <mergeCell ref="AG10:AJ10"/>
    <mergeCell ref="A11:B11"/>
    <mergeCell ref="C11:F11"/>
    <mergeCell ref="G11:N11"/>
    <mergeCell ref="O11:AE11"/>
    <mergeCell ref="AG11:AJ11"/>
    <mergeCell ref="A12:B12"/>
    <mergeCell ref="C12:F12"/>
    <mergeCell ref="G12:N12"/>
    <mergeCell ref="O12:AE12"/>
    <mergeCell ref="AG12:AJ12"/>
    <mergeCell ref="A13:B13"/>
    <mergeCell ref="C13:F13"/>
    <mergeCell ref="G13:N13"/>
    <mergeCell ref="O13:AE13"/>
    <mergeCell ref="AG13:AJ13"/>
    <mergeCell ref="A14:B14"/>
    <mergeCell ref="C14:F14"/>
    <mergeCell ref="G14:N14"/>
    <mergeCell ref="O14:AE14"/>
    <mergeCell ref="AG14:AJ14"/>
    <mergeCell ref="A15:B15"/>
    <mergeCell ref="C15:F15"/>
    <mergeCell ref="G15:N15"/>
    <mergeCell ref="O15:AE15"/>
    <mergeCell ref="AG15:AJ15"/>
    <mergeCell ref="A16:B16"/>
    <mergeCell ref="C16:F16"/>
    <mergeCell ref="G16:N16"/>
    <mergeCell ref="O16:AE16"/>
    <mergeCell ref="AG16:AJ16"/>
    <mergeCell ref="A17:B17"/>
    <mergeCell ref="C17:F17"/>
    <mergeCell ref="G17:N17"/>
    <mergeCell ref="O17:AE17"/>
    <mergeCell ref="AG17:AJ17"/>
    <mergeCell ref="A18:B18"/>
    <mergeCell ref="C18:F18"/>
    <mergeCell ref="G18:N18"/>
    <mergeCell ref="O18:AE18"/>
    <mergeCell ref="AG18:AJ18"/>
    <mergeCell ref="A19:B19"/>
    <mergeCell ref="C19:F19"/>
    <mergeCell ref="G19:N19"/>
    <mergeCell ref="O19:AE19"/>
    <mergeCell ref="AG19:AJ19"/>
    <mergeCell ref="A20:B20"/>
    <mergeCell ref="C20:F20"/>
    <mergeCell ref="G20:N20"/>
    <mergeCell ref="O20:AE20"/>
    <mergeCell ref="AG20:AJ20"/>
    <mergeCell ref="A21:B21"/>
    <mergeCell ref="C21:F21"/>
    <mergeCell ref="G21:N21"/>
    <mergeCell ref="O21:AE21"/>
    <mergeCell ref="AG21:AJ21"/>
    <mergeCell ref="A22:B22"/>
    <mergeCell ref="C22:F22"/>
    <mergeCell ref="G22:N22"/>
    <mergeCell ref="O22:AE22"/>
    <mergeCell ref="AG22:AJ22"/>
    <mergeCell ref="A23:B23"/>
    <mergeCell ref="C23:F23"/>
    <mergeCell ref="G23:N23"/>
    <mergeCell ref="O23:AE23"/>
    <mergeCell ref="AG23:AJ23"/>
    <mergeCell ref="A24:B24"/>
    <mergeCell ref="C24:F24"/>
    <mergeCell ref="G24:N24"/>
    <mergeCell ref="O24:AE24"/>
    <mergeCell ref="AG24:AJ24"/>
    <mergeCell ref="A25:B25"/>
    <mergeCell ref="C25:F25"/>
    <mergeCell ref="G25:N25"/>
    <mergeCell ref="O25:AE25"/>
    <mergeCell ref="AG25:AJ25"/>
    <mergeCell ref="A26:AK26"/>
    <mergeCell ref="A27:AL27"/>
    <mergeCell ref="A28:AE28"/>
    <mergeCell ref="AG28:AK28"/>
    <mergeCell ref="A29:AL29"/>
    <mergeCell ref="A30:AE30"/>
    <mergeCell ref="AG30:AK30"/>
    <mergeCell ref="A31:AL31"/>
    <mergeCell ref="A32:AE32"/>
    <mergeCell ref="AG32:AK32"/>
    <mergeCell ref="A33:AL33"/>
    <mergeCell ref="A34:AE34"/>
    <mergeCell ref="AG34:AK34"/>
    <mergeCell ref="A39:AL39"/>
    <mergeCell ref="A40:AE40"/>
    <mergeCell ref="AG40:AK40"/>
    <mergeCell ref="A41:AL41"/>
    <mergeCell ref="A35:AL35"/>
    <mergeCell ref="A36:AE36"/>
    <mergeCell ref="AG36:AK36"/>
    <mergeCell ref="A37:AL37"/>
    <mergeCell ref="A38:AE38"/>
    <mergeCell ref="AG38:AK38"/>
    <mergeCell ref="AE44:AG44"/>
    <mergeCell ref="AH44:AJ44"/>
    <mergeCell ref="A48:AH48"/>
    <mergeCell ref="AJ48:AO48"/>
    <mergeCell ref="A49:AP49"/>
    <mergeCell ref="A45:AO45"/>
    <mergeCell ref="A46:B46"/>
    <mergeCell ref="E46:G46"/>
    <mergeCell ref="H46:L46"/>
    <mergeCell ref="M46:P46"/>
    <mergeCell ref="Q46:U46"/>
    <mergeCell ref="V46:AH46"/>
    <mergeCell ref="AK46:AL47"/>
    <mergeCell ref="AM46:AN46"/>
    <mergeCell ref="A47:B47"/>
    <mergeCell ref="E47:G47"/>
    <mergeCell ref="H47:L47"/>
    <mergeCell ref="M47:P47"/>
    <mergeCell ref="Q47:U47"/>
    <mergeCell ref="V47:AH47"/>
    <mergeCell ref="AM47:AN47"/>
    <mergeCell ref="AO47:AP47"/>
    <mergeCell ref="AM44:AN44"/>
    <mergeCell ref="AO44:AP44"/>
    <mergeCell ref="A42:AO42"/>
    <mergeCell ref="F43:G43"/>
    <mergeCell ref="I43:L43"/>
    <mergeCell ref="M43:N43"/>
    <mergeCell ref="O43:P43"/>
    <mergeCell ref="Q43:R43"/>
    <mergeCell ref="U43:V43"/>
    <mergeCell ref="Y43:Z43"/>
    <mergeCell ref="AB43:AC43"/>
    <mergeCell ref="AE43:AG43"/>
    <mergeCell ref="AH43:AJ43"/>
    <mergeCell ref="AK43:AL44"/>
    <mergeCell ref="AM43:AN43"/>
    <mergeCell ref="A44:B44"/>
    <mergeCell ref="D44:E44"/>
    <mergeCell ref="F44:G44"/>
    <mergeCell ref="H44:L44"/>
    <mergeCell ref="M44:N44"/>
    <mergeCell ref="O44:P44"/>
    <mergeCell ref="Q44:V44"/>
    <mergeCell ref="Y44:Z44"/>
    <mergeCell ref="AB44:AC4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195E-EB7D-41C2-8981-B8D40A76A927}">
  <dimension ref="A1:AF57"/>
  <sheetViews>
    <sheetView tabSelected="1" workbookViewId="0">
      <selection activeCell="A2" sqref="A2"/>
    </sheetView>
  </sheetViews>
  <sheetFormatPr defaultRowHeight="12.75" x14ac:dyDescent="0.2"/>
  <cols>
    <col min="1" max="1" width="24" bestFit="1" customWidth="1"/>
    <col min="2" max="2" width="14.1640625" bestFit="1" customWidth="1"/>
    <col min="3" max="3" width="22.83203125" customWidth="1"/>
    <col min="4" max="4" width="43.83203125" style="69" bestFit="1" customWidth="1"/>
    <col min="5" max="5" width="10.5" style="70" bestFit="1" customWidth="1"/>
    <col min="6" max="6" width="27.6640625" bestFit="1" customWidth="1"/>
  </cols>
  <sheetData>
    <row r="1" spans="1:6" s="71" customFormat="1" x14ac:dyDescent="0.2">
      <c r="A1" s="71" t="s">
        <v>331</v>
      </c>
      <c r="B1" s="71" t="s">
        <v>332</v>
      </c>
      <c r="C1" s="71" t="s">
        <v>333</v>
      </c>
      <c r="D1" s="72" t="s">
        <v>334</v>
      </c>
      <c r="E1" s="73" t="s">
        <v>335</v>
      </c>
    </row>
    <row r="2" spans="1:6" s="76" customFormat="1" x14ac:dyDescent="0.2">
      <c r="A2" s="76">
        <v>446535</v>
      </c>
      <c r="B2" s="76">
        <v>17301495</v>
      </c>
      <c r="C2" s="254" t="s">
        <v>347</v>
      </c>
      <c r="D2" s="255" t="s">
        <v>337</v>
      </c>
      <c r="E2" s="75">
        <v>40</v>
      </c>
      <c r="F2" s="256" t="s">
        <v>363</v>
      </c>
    </row>
    <row r="3" spans="1:6" s="76" customFormat="1" x14ac:dyDescent="0.2">
      <c r="A3" s="76">
        <v>439383</v>
      </c>
      <c r="B3" s="76">
        <v>2158366</v>
      </c>
      <c r="C3" s="76" t="s">
        <v>336</v>
      </c>
      <c r="D3" s="255" t="s">
        <v>337</v>
      </c>
      <c r="E3" s="75">
        <v>40</v>
      </c>
      <c r="F3" s="256" t="s">
        <v>363</v>
      </c>
    </row>
    <row r="4" spans="1:6" s="76" customFormat="1" x14ac:dyDescent="0.2">
      <c r="A4" s="76">
        <v>439384</v>
      </c>
      <c r="B4" s="76">
        <v>2158366</v>
      </c>
      <c r="C4" s="76" t="s">
        <v>336</v>
      </c>
      <c r="D4" s="255" t="s">
        <v>337</v>
      </c>
      <c r="E4" s="75">
        <v>40</v>
      </c>
      <c r="F4" s="256" t="s">
        <v>363</v>
      </c>
    </row>
    <row r="5" spans="1:6" s="76" customFormat="1" x14ac:dyDescent="0.2">
      <c r="A5" s="76">
        <v>442876</v>
      </c>
      <c r="B5" s="76">
        <v>2158366</v>
      </c>
      <c r="C5" s="76" t="s">
        <v>336</v>
      </c>
      <c r="D5" s="255" t="s">
        <v>337</v>
      </c>
      <c r="E5" s="75">
        <v>40</v>
      </c>
      <c r="F5" s="256" t="s">
        <v>363</v>
      </c>
    </row>
    <row r="6" spans="1:6" s="76" customFormat="1" x14ac:dyDescent="0.2">
      <c r="A6" s="76">
        <v>443223</v>
      </c>
      <c r="B6" s="76">
        <v>2158366</v>
      </c>
      <c r="C6" s="76" t="s">
        <v>336</v>
      </c>
      <c r="D6" s="255" t="s">
        <v>337</v>
      </c>
      <c r="E6" s="75">
        <v>40</v>
      </c>
      <c r="F6" s="256" t="s">
        <v>363</v>
      </c>
    </row>
    <row r="7" spans="1:6" s="76" customFormat="1" x14ac:dyDescent="0.2">
      <c r="A7" s="76">
        <v>444121</v>
      </c>
      <c r="B7" s="76">
        <v>2158366</v>
      </c>
      <c r="C7" s="76" t="s">
        <v>336</v>
      </c>
      <c r="D7" s="255" t="s">
        <v>337</v>
      </c>
      <c r="E7" s="75">
        <v>40</v>
      </c>
      <c r="F7" s="256" t="s">
        <v>363</v>
      </c>
    </row>
    <row r="8" spans="1:6" s="76" customFormat="1" x14ac:dyDescent="0.2">
      <c r="A8" s="76">
        <v>445341</v>
      </c>
      <c r="B8" s="76">
        <v>2158366</v>
      </c>
      <c r="C8" s="76" t="s">
        <v>336</v>
      </c>
      <c r="D8" s="255" t="s">
        <v>337</v>
      </c>
      <c r="E8" s="75">
        <v>40</v>
      </c>
      <c r="F8" s="256" t="s">
        <v>363</v>
      </c>
    </row>
    <row r="9" spans="1:6" s="76" customFormat="1" x14ac:dyDescent="0.2">
      <c r="A9" s="76">
        <v>448798</v>
      </c>
      <c r="B9" s="76">
        <v>2158366</v>
      </c>
      <c r="C9" s="254" t="s">
        <v>336</v>
      </c>
      <c r="D9" s="255">
        <v>45689</v>
      </c>
      <c r="E9" s="75">
        <v>40</v>
      </c>
      <c r="F9" s="256" t="s">
        <v>363</v>
      </c>
    </row>
    <row r="10" spans="1:6" s="76" customFormat="1" x14ac:dyDescent="0.2">
      <c r="A10" s="76">
        <v>447701</v>
      </c>
      <c r="B10" s="76">
        <v>16912722</v>
      </c>
      <c r="C10" s="76" t="s">
        <v>346</v>
      </c>
      <c r="D10" s="255" t="s">
        <v>337</v>
      </c>
      <c r="E10" s="75">
        <v>40</v>
      </c>
      <c r="F10" s="256" t="s">
        <v>363</v>
      </c>
    </row>
    <row r="11" spans="1:6" s="76" customFormat="1" x14ac:dyDescent="0.2">
      <c r="A11" s="76">
        <v>447954</v>
      </c>
      <c r="B11" s="76">
        <v>16912722</v>
      </c>
      <c r="C11" s="76" t="s">
        <v>346</v>
      </c>
      <c r="D11" s="255" t="s">
        <v>337</v>
      </c>
      <c r="E11" s="75">
        <v>40</v>
      </c>
      <c r="F11" s="256" t="s">
        <v>363</v>
      </c>
    </row>
    <row r="12" spans="1:6" s="76" customFormat="1" x14ac:dyDescent="0.2">
      <c r="A12" s="76">
        <v>447955</v>
      </c>
      <c r="B12" s="76">
        <v>16912722</v>
      </c>
      <c r="C12" s="76" t="s">
        <v>346</v>
      </c>
      <c r="D12" s="255" t="s">
        <v>337</v>
      </c>
      <c r="E12" s="75">
        <v>40</v>
      </c>
      <c r="F12" s="256" t="s">
        <v>363</v>
      </c>
    </row>
    <row r="13" spans="1:6" s="76" customFormat="1" x14ac:dyDescent="0.2">
      <c r="A13" s="76">
        <v>448034</v>
      </c>
      <c r="B13" s="76">
        <v>16912722</v>
      </c>
      <c r="C13" s="76" t="s">
        <v>346</v>
      </c>
      <c r="D13" s="255" t="s">
        <v>337</v>
      </c>
      <c r="E13" s="75">
        <v>40</v>
      </c>
      <c r="F13" s="256" t="s">
        <v>363</v>
      </c>
    </row>
    <row r="14" spans="1:6" s="76" customFormat="1" x14ac:dyDescent="0.2">
      <c r="A14" s="76">
        <v>439914</v>
      </c>
      <c r="B14" s="76">
        <v>19645587</v>
      </c>
      <c r="C14" s="76" t="s">
        <v>340</v>
      </c>
      <c r="D14" s="255" t="s">
        <v>337</v>
      </c>
      <c r="E14" s="75">
        <v>40</v>
      </c>
      <c r="F14" s="256" t="s">
        <v>363</v>
      </c>
    </row>
    <row r="15" spans="1:6" s="76" customFormat="1" x14ac:dyDescent="0.2">
      <c r="A15" s="76">
        <v>448295</v>
      </c>
      <c r="B15" s="76">
        <v>19645587</v>
      </c>
      <c r="C15" s="76" t="s">
        <v>340</v>
      </c>
      <c r="D15" s="255" t="s">
        <v>337</v>
      </c>
      <c r="E15" s="75">
        <v>40</v>
      </c>
      <c r="F15" s="256" t="s">
        <v>363</v>
      </c>
    </row>
    <row r="16" spans="1:6" s="76" customFormat="1" x14ac:dyDescent="0.2">
      <c r="A16" s="76">
        <v>445359</v>
      </c>
      <c r="B16" s="76">
        <v>19681796</v>
      </c>
      <c r="C16" s="76" t="s">
        <v>343</v>
      </c>
      <c r="D16" s="255" t="s">
        <v>337</v>
      </c>
      <c r="E16" s="75">
        <v>40</v>
      </c>
      <c r="F16" s="256" t="s">
        <v>363</v>
      </c>
    </row>
    <row r="17" spans="1:32" s="76" customFormat="1" x14ac:dyDescent="0.2">
      <c r="A17" s="76">
        <v>445324</v>
      </c>
      <c r="B17" s="76">
        <v>8325282</v>
      </c>
      <c r="C17" s="76" t="s">
        <v>342</v>
      </c>
      <c r="D17" s="255" t="s">
        <v>337</v>
      </c>
      <c r="E17" s="75">
        <v>40</v>
      </c>
      <c r="F17" s="256" t="s">
        <v>363</v>
      </c>
    </row>
    <row r="18" spans="1:32" s="76" customFormat="1" x14ac:dyDescent="0.2">
      <c r="A18" s="76">
        <v>444055</v>
      </c>
      <c r="B18" s="76">
        <v>19615078</v>
      </c>
      <c r="C18" s="76" t="s">
        <v>341</v>
      </c>
      <c r="D18" s="255" t="s">
        <v>337</v>
      </c>
      <c r="E18" s="75">
        <v>40</v>
      </c>
      <c r="F18" s="256" t="s">
        <v>363</v>
      </c>
    </row>
    <row r="19" spans="1:32" s="76" customFormat="1" x14ac:dyDescent="0.2">
      <c r="A19" s="254">
        <v>445830</v>
      </c>
      <c r="B19" s="76">
        <v>19615078</v>
      </c>
      <c r="C19" s="76" t="s">
        <v>341</v>
      </c>
      <c r="D19" s="255" t="s">
        <v>337</v>
      </c>
      <c r="E19" s="75">
        <v>40</v>
      </c>
      <c r="F19" s="256" t="s">
        <v>363</v>
      </c>
    </row>
    <row r="20" spans="1:32" s="76" customFormat="1" x14ac:dyDescent="0.2">
      <c r="A20" s="76">
        <v>446503</v>
      </c>
      <c r="B20" s="76">
        <v>19615078</v>
      </c>
      <c r="C20" s="76" t="s">
        <v>341</v>
      </c>
      <c r="D20" s="255" t="s">
        <v>337</v>
      </c>
      <c r="E20" s="75">
        <v>40</v>
      </c>
      <c r="F20" s="256" t="s">
        <v>363</v>
      </c>
    </row>
    <row r="21" spans="1:32" s="76" customFormat="1" x14ac:dyDescent="0.2">
      <c r="A21" s="76">
        <v>439729</v>
      </c>
      <c r="B21" s="76">
        <v>16633294</v>
      </c>
      <c r="C21" s="76" t="s">
        <v>338</v>
      </c>
      <c r="D21" s="255" t="s">
        <v>339</v>
      </c>
      <c r="E21" s="75">
        <v>40</v>
      </c>
      <c r="F21" s="256" t="s">
        <v>363</v>
      </c>
    </row>
    <row r="22" spans="1:32" s="76" customFormat="1" x14ac:dyDescent="0.2">
      <c r="A22" s="76">
        <v>440990</v>
      </c>
      <c r="B22" s="76">
        <v>16633294</v>
      </c>
      <c r="C22" s="76" t="s">
        <v>338</v>
      </c>
      <c r="D22" s="255" t="s">
        <v>337</v>
      </c>
      <c r="E22" s="75">
        <v>40</v>
      </c>
      <c r="F22" s="256" t="s">
        <v>363</v>
      </c>
    </row>
    <row r="23" spans="1:32" s="76" customFormat="1" x14ac:dyDescent="0.2">
      <c r="A23" s="76">
        <v>443209</v>
      </c>
      <c r="B23" s="76">
        <v>16633294</v>
      </c>
      <c r="C23" s="76" t="s">
        <v>338</v>
      </c>
      <c r="D23" s="255" t="s">
        <v>337</v>
      </c>
      <c r="E23" s="75">
        <v>40</v>
      </c>
      <c r="F23" s="256" t="s">
        <v>363</v>
      </c>
    </row>
    <row r="24" spans="1:32" s="76" customFormat="1" x14ac:dyDescent="0.2">
      <c r="A24" s="76">
        <v>443227</v>
      </c>
      <c r="B24" s="76">
        <v>16633294</v>
      </c>
      <c r="C24" s="76" t="s">
        <v>338</v>
      </c>
      <c r="D24" s="255" t="s">
        <v>337</v>
      </c>
      <c r="E24" s="75">
        <v>40</v>
      </c>
      <c r="F24" s="256" t="s">
        <v>363</v>
      </c>
    </row>
    <row r="25" spans="1:32" s="76" customFormat="1" x14ac:dyDescent="0.2">
      <c r="A25" s="76">
        <v>443229</v>
      </c>
      <c r="B25" s="76">
        <v>16633294</v>
      </c>
      <c r="C25" s="76" t="s">
        <v>338</v>
      </c>
      <c r="D25" s="255" t="s">
        <v>337</v>
      </c>
      <c r="E25" s="75">
        <v>40</v>
      </c>
      <c r="F25" s="256" t="s">
        <v>363</v>
      </c>
      <c r="AF25" s="76" t="s">
        <v>345</v>
      </c>
    </row>
    <row r="26" spans="1:32" s="76" customFormat="1" x14ac:dyDescent="0.2">
      <c r="A26" s="76">
        <v>443286</v>
      </c>
      <c r="B26" s="76">
        <v>16633294</v>
      </c>
      <c r="C26" s="76" t="s">
        <v>338</v>
      </c>
      <c r="D26" s="255" t="s">
        <v>337</v>
      </c>
      <c r="E26" s="75">
        <v>40</v>
      </c>
      <c r="F26" s="256" t="s">
        <v>363</v>
      </c>
    </row>
    <row r="27" spans="1:32" s="76" customFormat="1" x14ac:dyDescent="0.2">
      <c r="A27" s="76">
        <v>443292</v>
      </c>
      <c r="B27" s="76">
        <v>16633294</v>
      </c>
      <c r="C27" s="76" t="s">
        <v>338</v>
      </c>
      <c r="D27" s="255" t="s">
        <v>337</v>
      </c>
      <c r="E27" s="75">
        <v>40</v>
      </c>
      <c r="F27" s="256" t="s">
        <v>363</v>
      </c>
    </row>
    <row r="28" spans="1:32" s="76" customFormat="1" x14ac:dyDescent="0.2">
      <c r="A28" s="76">
        <v>444212</v>
      </c>
      <c r="B28" s="76">
        <v>16633294</v>
      </c>
      <c r="C28" s="76" t="s">
        <v>338</v>
      </c>
      <c r="D28" s="255" t="s">
        <v>337</v>
      </c>
      <c r="E28" s="75">
        <v>40</v>
      </c>
      <c r="F28" s="256" t="s">
        <v>363</v>
      </c>
    </row>
    <row r="29" spans="1:32" s="76" customFormat="1" x14ac:dyDescent="0.2">
      <c r="A29" s="76">
        <v>445336</v>
      </c>
      <c r="B29" s="76">
        <v>16633294</v>
      </c>
      <c r="C29" s="76" t="s">
        <v>338</v>
      </c>
      <c r="D29" s="255" t="s">
        <v>337</v>
      </c>
      <c r="E29" s="75">
        <v>40</v>
      </c>
      <c r="F29" s="256" t="s">
        <v>363</v>
      </c>
    </row>
    <row r="30" spans="1:32" s="76" customFormat="1" x14ac:dyDescent="0.2">
      <c r="A30" s="76">
        <v>445462</v>
      </c>
      <c r="B30" s="76">
        <v>16633294</v>
      </c>
      <c r="C30" s="76" t="s">
        <v>338</v>
      </c>
      <c r="D30" s="255" t="s">
        <v>337</v>
      </c>
      <c r="E30" s="75">
        <v>40</v>
      </c>
      <c r="F30" s="256" t="s">
        <v>363</v>
      </c>
    </row>
    <row r="31" spans="1:32" s="76" customFormat="1" x14ac:dyDescent="0.2">
      <c r="A31" s="76">
        <v>445463</v>
      </c>
      <c r="B31" s="76">
        <v>16633294</v>
      </c>
      <c r="C31" s="76" t="s">
        <v>338</v>
      </c>
      <c r="D31" s="255" t="s">
        <v>337</v>
      </c>
      <c r="E31" s="75">
        <v>40</v>
      </c>
      <c r="F31" s="256" t="s">
        <v>363</v>
      </c>
    </row>
    <row r="32" spans="1:32" s="76" customFormat="1" x14ac:dyDescent="0.2">
      <c r="A32" s="76">
        <v>445753</v>
      </c>
      <c r="B32" s="76">
        <v>16633294</v>
      </c>
      <c r="C32" s="76" t="s">
        <v>338</v>
      </c>
      <c r="D32" s="255" t="s">
        <v>337</v>
      </c>
      <c r="E32" s="75">
        <v>40</v>
      </c>
      <c r="F32" s="256" t="s">
        <v>363</v>
      </c>
    </row>
    <row r="33" spans="1:6" s="76" customFormat="1" x14ac:dyDescent="0.2">
      <c r="A33" s="76">
        <v>445932</v>
      </c>
      <c r="B33" s="76">
        <v>16633294</v>
      </c>
      <c r="C33" s="76" t="s">
        <v>338</v>
      </c>
      <c r="D33" s="255" t="s">
        <v>337</v>
      </c>
      <c r="E33" s="75">
        <v>40</v>
      </c>
      <c r="F33" s="256" t="s">
        <v>363</v>
      </c>
    </row>
    <row r="34" spans="1:6" s="76" customFormat="1" x14ac:dyDescent="0.2">
      <c r="A34" s="76">
        <v>446121</v>
      </c>
      <c r="B34" s="76">
        <v>16633294</v>
      </c>
      <c r="C34" s="76" t="s">
        <v>338</v>
      </c>
      <c r="D34" s="255" t="s">
        <v>337</v>
      </c>
      <c r="E34" s="75">
        <v>40</v>
      </c>
      <c r="F34" s="256" t="s">
        <v>363</v>
      </c>
    </row>
    <row r="35" spans="1:6" s="76" customFormat="1" x14ac:dyDescent="0.2">
      <c r="A35" s="76">
        <v>446217</v>
      </c>
      <c r="B35" s="76">
        <v>16633294</v>
      </c>
      <c r="C35" s="76" t="s">
        <v>338</v>
      </c>
      <c r="D35" s="255" t="s">
        <v>337</v>
      </c>
      <c r="E35" s="75">
        <v>40</v>
      </c>
      <c r="F35" s="256" t="s">
        <v>363</v>
      </c>
    </row>
    <row r="36" spans="1:6" s="76" customFormat="1" x14ac:dyDescent="0.2">
      <c r="A36" s="76">
        <v>446673</v>
      </c>
      <c r="B36" s="76">
        <v>16633294</v>
      </c>
      <c r="C36" s="76" t="s">
        <v>338</v>
      </c>
      <c r="D36" s="255" t="s">
        <v>337</v>
      </c>
      <c r="E36" s="75">
        <v>40</v>
      </c>
      <c r="F36" s="256" t="s">
        <v>363</v>
      </c>
    </row>
    <row r="37" spans="1:6" s="76" customFormat="1" x14ac:dyDescent="0.2">
      <c r="A37" s="76">
        <v>447931</v>
      </c>
      <c r="B37" s="76">
        <v>16633294</v>
      </c>
      <c r="C37" s="76" t="s">
        <v>338</v>
      </c>
      <c r="D37" s="255" t="s">
        <v>337</v>
      </c>
      <c r="E37" s="75">
        <v>40</v>
      </c>
      <c r="F37" s="256" t="s">
        <v>363</v>
      </c>
    </row>
    <row r="38" spans="1:6" s="76" customFormat="1" x14ac:dyDescent="0.2">
      <c r="A38" s="76">
        <v>448301</v>
      </c>
      <c r="B38" s="76">
        <v>16633294</v>
      </c>
      <c r="C38" s="76" t="s">
        <v>338</v>
      </c>
      <c r="D38" s="255" t="s">
        <v>337</v>
      </c>
      <c r="E38" s="75">
        <v>40</v>
      </c>
      <c r="F38" s="256" t="s">
        <v>363</v>
      </c>
    </row>
    <row r="40" spans="1:6" x14ac:dyDescent="0.2">
      <c r="A40" s="74" t="s">
        <v>362</v>
      </c>
      <c r="B40" s="74">
        <v>7146581</v>
      </c>
      <c r="C40" s="74">
        <v>-30</v>
      </c>
      <c r="D40" s="74" t="s">
        <v>355</v>
      </c>
      <c r="E40" s="75"/>
    </row>
    <row r="41" spans="1:6" x14ac:dyDescent="0.2">
      <c r="A41" s="74" t="s">
        <v>362</v>
      </c>
      <c r="B41" s="74">
        <v>7146581</v>
      </c>
      <c r="C41" s="74">
        <v>-30</v>
      </c>
      <c r="D41" s="74" t="s">
        <v>355</v>
      </c>
      <c r="E41" s="75"/>
    </row>
    <row r="42" spans="1:6" x14ac:dyDescent="0.2">
      <c r="A42" s="74" t="s">
        <v>361</v>
      </c>
      <c r="B42" s="74">
        <v>7146581</v>
      </c>
      <c r="C42" s="74">
        <v>-40</v>
      </c>
      <c r="D42" s="74" t="s">
        <v>355</v>
      </c>
      <c r="E42" s="75"/>
    </row>
    <row r="43" spans="1:6" x14ac:dyDescent="0.2">
      <c r="A43" s="74" t="s">
        <v>361</v>
      </c>
      <c r="B43" s="74">
        <v>7146581</v>
      </c>
      <c r="C43" s="74">
        <v>-40</v>
      </c>
      <c r="D43" s="74" t="s">
        <v>355</v>
      </c>
      <c r="E43" s="75"/>
    </row>
    <row r="44" spans="1:6" x14ac:dyDescent="0.2">
      <c r="A44" s="74" t="s">
        <v>300</v>
      </c>
      <c r="B44" s="74">
        <v>19681796</v>
      </c>
      <c r="C44" s="74">
        <v>-20</v>
      </c>
      <c r="D44" s="74" t="s">
        <v>355</v>
      </c>
      <c r="E44" s="75"/>
    </row>
    <row r="45" spans="1:6" x14ac:dyDescent="0.2">
      <c r="A45" s="74" t="s">
        <v>360</v>
      </c>
      <c r="B45" s="74">
        <v>17094718</v>
      </c>
      <c r="C45" s="74">
        <v>-20</v>
      </c>
      <c r="D45" s="74" t="s">
        <v>355</v>
      </c>
      <c r="E45" s="75"/>
    </row>
    <row r="46" spans="1:6" x14ac:dyDescent="0.2">
      <c r="A46" s="74" t="s">
        <v>359</v>
      </c>
      <c r="B46" s="74">
        <v>19200754</v>
      </c>
      <c r="C46" s="74">
        <v>-20</v>
      </c>
      <c r="D46" s="74" t="s">
        <v>355</v>
      </c>
      <c r="E46" s="75"/>
      <c r="F46" s="76"/>
    </row>
    <row r="47" spans="1:6" x14ac:dyDescent="0.2">
      <c r="A47" s="74" t="s">
        <v>358</v>
      </c>
      <c r="B47" s="74">
        <v>371819</v>
      </c>
      <c r="C47" s="74">
        <v>-20</v>
      </c>
      <c r="D47" s="74" t="s">
        <v>355</v>
      </c>
      <c r="E47" s="75"/>
      <c r="F47" s="76"/>
    </row>
    <row r="48" spans="1:6" s="76" customFormat="1" x14ac:dyDescent="0.2">
      <c r="A48" s="74" t="s">
        <v>357</v>
      </c>
      <c r="B48" s="74">
        <v>18581063</v>
      </c>
      <c r="C48" s="74">
        <v>-16</v>
      </c>
      <c r="D48" s="74" t="s">
        <v>355</v>
      </c>
      <c r="E48" s="75"/>
    </row>
    <row r="49" spans="1:5" s="76" customFormat="1" x14ac:dyDescent="0.2">
      <c r="A49" s="74" t="s">
        <v>357</v>
      </c>
      <c r="B49" s="74">
        <v>18581063</v>
      </c>
      <c r="C49" s="74">
        <v>-16</v>
      </c>
      <c r="D49" s="74" t="s">
        <v>355</v>
      </c>
      <c r="E49" s="75"/>
    </row>
    <row r="50" spans="1:5" s="76" customFormat="1" x14ac:dyDescent="0.2">
      <c r="A50" s="74" t="s">
        <v>356</v>
      </c>
      <c r="B50" s="74">
        <v>21283956</v>
      </c>
      <c r="C50" s="74">
        <v>-30</v>
      </c>
      <c r="D50" s="74" t="s">
        <v>355</v>
      </c>
      <c r="E50" s="75"/>
    </row>
    <row r="51" spans="1:5" s="76" customFormat="1" x14ac:dyDescent="0.2">
      <c r="A51" s="74" t="s">
        <v>356</v>
      </c>
      <c r="B51" s="74">
        <v>21283956</v>
      </c>
      <c r="C51" s="74">
        <v>-30</v>
      </c>
      <c r="D51" s="74" t="s">
        <v>355</v>
      </c>
      <c r="E51" s="75"/>
    </row>
    <row r="52" spans="1:5" s="76" customFormat="1" x14ac:dyDescent="0.2">
      <c r="A52" s="74" t="s">
        <v>354</v>
      </c>
      <c r="B52" s="74">
        <v>8405446</v>
      </c>
      <c r="C52" s="74">
        <v>-24</v>
      </c>
      <c r="D52" s="74" t="s">
        <v>351</v>
      </c>
      <c r="E52" s="75"/>
    </row>
    <row r="53" spans="1:5" s="76" customFormat="1" x14ac:dyDescent="0.2">
      <c r="A53" s="74" t="s">
        <v>353</v>
      </c>
      <c r="B53" s="74">
        <v>21348299</v>
      </c>
      <c r="C53" s="74">
        <v>-24</v>
      </c>
      <c r="D53" s="74" t="s">
        <v>351</v>
      </c>
      <c r="E53" s="75"/>
    </row>
    <row r="54" spans="1:5" s="76" customFormat="1" x14ac:dyDescent="0.2">
      <c r="A54" s="74" t="s">
        <v>352</v>
      </c>
      <c r="B54" s="74">
        <v>21435997</v>
      </c>
      <c r="C54" s="74">
        <v>-12</v>
      </c>
      <c r="D54" s="74" t="s">
        <v>351</v>
      </c>
      <c r="E54" s="75"/>
    </row>
    <row r="55" spans="1:5" s="76" customFormat="1" x14ac:dyDescent="0.2">
      <c r="A55" s="74" t="s">
        <v>350</v>
      </c>
      <c r="B55" s="74">
        <v>21421111</v>
      </c>
      <c r="C55" s="74">
        <v>-12</v>
      </c>
      <c r="D55" s="74" t="s">
        <v>351</v>
      </c>
      <c r="E55" s="75"/>
    </row>
    <row r="56" spans="1:5" s="76" customFormat="1" x14ac:dyDescent="0.2">
      <c r="A56" s="74" t="s">
        <v>350</v>
      </c>
      <c r="B56" s="74">
        <v>21421111</v>
      </c>
      <c r="C56" s="74">
        <v>-32</v>
      </c>
      <c r="D56" s="74" t="s">
        <v>348</v>
      </c>
      <c r="E56" s="75"/>
    </row>
    <row r="57" spans="1:5" s="76" customFormat="1" x14ac:dyDescent="0.2">
      <c r="A57" s="74" t="s">
        <v>349</v>
      </c>
      <c r="B57" s="74">
        <v>21345012</v>
      </c>
      <c r="C57" s="74">
        <v>-32</v>
      </c>
      <c r="D57" s="74" t="s">
        <v>348</v>
      </c>
      <c r="E57" s="75"/>
    </row>
  </sheetData>
  <sortState xmlns:xlrd2="http://schemas.microsoft.com/office/spreadsheetml/2017/richdata2" ref="A2:E38">
    <sortCondition ref="C2:C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Sheet1</vt:lpstr>
      <vt:lpstr>Admin Fees</vt:lpstr>
      <vt:lpstr>admin fees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FormActionServlet</dc:title>
  <cp:lastModifiedBy>Janki Patel</cp:lastModifiedBy>
  <dcterms:created xsi:type="dcterms:W3CDTF">2025-03-20T15:54:27Z</dcterms:created>
  <dcterms:modified xsi:type="dcterms:W3CDTF">2025-03-26T15:05:42Z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LastSaved">
    <vt:filetime>2025-03-20T00:00:00Z</vt:filetime>
  </property>
  <property fmtid="{D5CDD505-2E9C-101B-9397-08002B2CF9AE}" pid="4" name="Producer">
    <vt:lpwstr>Microsoft: Print To PDF</vt:lpwstr>
  </property>
</Properties>
</file>